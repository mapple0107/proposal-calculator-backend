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codeName="ThisWorkbook" defaultThemeVersion="124226"/>
  <mc:AlternateContent xmlns:mc="http://schemas.openxmlformats.org/markup-compatibility/2006">
    <mc:Choice Requires="x15">
      <x15ac:absPath xmlns:x15ac="http://schemas.microsoft.com/office/spreadsheetml/2010/11/ac" url="/Users/mylove/Downloads/"/>
    </mc:Choice>
  </mc:AlternateContent>
  <xr:revisionPtr revIDLastSave="0" documentId="13_ncr:1_{A4645F93-0B6C-BF43-9C69-199849BE47AD}" xr6:coauthVersionLast="47" xr6:coauthVersionMax="47" xr10:uidLastSave="{00000000-0000-0000-0000-000000000000}"/>
  <bookViews>
    <workbookView xWindow="0" yWindow="600" windowWidth="25600" windowHeight="14240" tabRatio="705" activeTab="7" xr2:uid="{00000000-000D-0000-FFFF-FFFF00000000}"/>
  </bookViews>
  <sheets>
    <sheet name="PDATA" sheetId="25" state="veryHidden" r:id="rId1"/>
    <sheet name="RDATA" sheetId="28" state="veryHidden" r:id="rId2"/>
    <sheet name="PY" sheetId="38" state="veryHidden" r:id="rId3"/>
    <sheet name="揭露" sheetId="37" state="veryHidden" r:id="rId4"/>
    <sheet name="input_s" sheetId="87" state="hidden" r:id="rId5"/>
    <sheet name="總表" sheetId="33" state="veryHidden" r:id="rId6"/>
    <sheet name="OP" sheetId="91" state="veryHidden" r:id="rId7"/>
    <sheet name="輸入頁" sheetId="27" r:id="rId8"/>
    <sheet name="列印頁" sheetId="88" r:id="rId9"/>
  </sheets>
  <definedNames>
    <definedName name="CV">PDATA!$EI$252:$IP$518</definedName>
    <definedName name="DIE">PDATA!$V$522:$EC$798</definedName>
    <definedName name="En_BFM">OP!$W$4:$W$5</definedName>
    <definedName name="En_PayMF">OP!$U$3:$U$6</definedName>
    <definedName name="En_PayMR">OP!$V$3:$V$6</definedName>
    <definedName name="En_PayT">OP!$T$5:$T$8</definedName>
    <definedName name="En_Sex">OP!$S$3:$S$4</definedName>
    <definedName name="EXP">PDATA!$EI$522:$IP$798</definedName>
    <definedName name="GP">PDATA!$J:$K</definedName>
    <definedName name="HL_1">PDATA!$V$1134:$EC$1399</definedName>
    <definedName name="HL_2">PDATA!$EI$1134:$IP$1399</definedName>
    <definedName name="PA">PDATA!$V$2:$EC$248</definedName>
    <definedName name="PDN1_1">OP!$C$23</definedName>
    <definedName name="PDSN1">OP!$C$22</definedName>
    <definedName name="PDSN1_1">OP!$C$22</definedName>
    <definedName name="PI">OP!$AK$4:$AL$90</definedName>
    <definedName name="_xlnm.Print_Area" localSheetId="8">列印頁!$A$1:$W$216</definedName>
    <definedName name="_xlnm.Print_Area" localSheetId="7">輸入頁!$A$1:$T$53</definedName>
    <definedName name="PV">PDATA!$EI$958:$IP$1120</definedName>
    <definedName name="PV0">PDATA!$V$958:$ED$1120</definedName>
    <definedName name="PVal">PDATA!$O:$P</definedName>
    <definedName name="PYO">PY!$D$4</definedName>
    <definedName name="PYR">PY!$C$11</definedName>
    <definedName name="PYY">PY!$C$4</definedName>
    <definedName name="SRV">PDATA!$EI$2:$IP$248</definedName>
    <definedName name="TOV">總表!$B$3:$AI$114</definedName>
    <definedName name="關係">OP!$B$182:$B$186</definedName>
  </definedNames>
  <calcPr calcId="191029" calcOnSave="0"/>
  <webPublishObjects count="1">
    <webPublishObject id="30313" divId="e-test0804_30313" destinationFile="D:\Documents and Settings\Administrator.NONE-7C44F5C952\桌面\自製試算表\e-test0804.htm"/>
  </webPublishObject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V105" i="88" l="1"/>
  <c r="O27" i="25"/>
  <c r="O28" i="25"/>
  <c r="O29" i="25"/>
  <c r="O30" i="25"/>
  <c r="O31" i="25"/>
  <c r="O32" i="25"/>
  <c r="O33" i="25"/>
  <c r="O34" i="25"/>
  <c r="O35" i="25"/>
  <c r="O36" i="25"/>
  <c r="O37" i="25"/>
  <c r="O38" i="25"/>
  <c r="O39" i="25"/>
  <c r="O40" i="25"/>
  <c r="O41" i="25"/>
  <c r="O42" i="25"/>
  <c r="O43" i="25"/>
  <c r="O44" i="25"/>
  <c r="O45" i="25"/>
  <c r="O46" i="25"/>
  <c r="O47" i="25"/>
  <c r="O3" i="25"/>
  <c r="O4" i="25"/>
  <c r="O5" i="25"/>
  <c r="O6" i="25"/>
  <c r="O7" i="25"/>
  <c r="O8" i="25"/>
  <c r="O9" i="25"/>
  <c r="O10" i="25"/>
  <c r="O11" i="25"/>
  <c r="O12" i="25"/>
  <c r="O13" i="25"/>
  <c r="O14" i="25"/>
  <c r="O15" i="25"/>
  <c r="O16" i="25"/>
  <c r="O17" i="25"/>
  <c r="O18" i="25"/>
  <c r="O19" i="25"/>
  <c r="O20" i="25"/>
  <c r="O21" i="25"/>
  <c r="O22" i="25"/>
  <c r="O23" i="25"/>
  <c r="O24" i="25"/>
  <c r="O25" i="25"/>
  <c r="O26" i="25"/>
  <c r="J5" i="25"/>
  <c r="J6" i="25"/>
  <c r="J7" i="25"/>
  <c r="J8" i="25"/>
  <c r="J9" i="25"/>
  <c r="J10"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J42" i="25"/>
  <c r="J43" i="25"/>
  <c r="J44" i="25"/>
  <c r="J45" i="25"/>
  <c r="J46" i="25"/>
  <c r="J47" i="25"/>
  <c r="J48" i="25"/>
  <c r="J49" i="25"/>
  <c r="J50" i="25"/>
  <c r="J51" i="25"/>
  <c r="J52" i="25"/>
  <c r="J53" i="25"/>
  <c r="J54" i="25"/>
  <c r="J55" i="25"/>
  <c r="J56" i="25"/>
  <c r="J57" i="25"/>
  <c r="J58" i="25"/>
  <c r="J59" i="25"/>
  <c r="J60" i="25"/>
  <c r="J61" i="25"/>
  <c r="J62" i="25"/>
  <c r="J63" i="25"/>
  <c r="J64" i="25"/>
  <c r="J65" i="25"/>
  <c r="J66" i="25"/>
  <c r="J67" i="25"/>
  <c r="J68" i="25"/>
  <c r="J69" i="25"/>
  <c r="J70" i="25"/>
  <c r="J71" i="25"/>
  <c r="J72" i="25"/>
  <c r="J73" i="25"/>
  <c r="J74" i="25"/>
  <c r="J75" i="25"/>
  <c r="J76" i="25"/>
  <c r="J77" i="25"/>
  <c r="J78" i="25"/>
  <c r="J79" i="25"/>
  <c r="J80" i="25"/>
  <c r="J81" i="25"/>
  <c r="J82" i="25"/>
  <c r="J83" i="25"/>
  <c r="J84" i="25"/>
  <c r="J85" i="25"/>
  <c r="J86" i="25"/>
  <c r="J87" i="25"/>
  <c r="J88" i="25"/>
  <c r="J89" i="25"/>
  <c r="J90" i="25"/>
  <c r="J91" i="25"/>
  <c r="J92" i="25"/>
  <c r="J93" i="25"/>
  <c r="J94" i="25"/>
  <c r="J95" i="25"/>
  <c r="J96" i="25"/>
  <c r="J97" i="25"/>
  <c r="J98" i="25"/>
  <c r="J99" i="25"/>
  <c r="J100" i="25"/>
  <c r="J101" i="25"/>
  <c r="J102" i="25"/>
  <c r="J103" i="25"/>
  <c r="J104" i="25"/>
  <c r="J105" i="25"/>
  <c r="J106" i="25"/>
  <c r="J107" i="25"/>
  <c r="J108" i="25"/>
  <c r="J109" i="25"/>
  <c r="J110" i="25"/>
  <c r="J111" i="25"/>
  <c r="J112" i="25"/>
  <c r="J113" i="25"/>
  <c r="J114" i="25"/>
  <c r="J115" i="25"/>
  <c r="J116" i="25"/>
  <c r="J117" i="25"/>
  <c r="J118" i="25"/>
  <c r="J119" i="25"/>
  <c r="J120" i="25"/>
  <c r="J121" i="25"/>
  <c r="J122" i="25"/>
  <c r="J123" i="25"/>
  <c r="J124" i="25"/>
  <c r="J125" i="25"/>
  <c r="J126" i="25"/>
  <c r="J127" i="25"/>
  <c r="J128" i="25"/>
  <c r="J129" i="25"/>
  <c r="J130" i="25"/>
  <c r="J131" i="25"/>
  <c r="J132" i="25"/>
  <c r="J133" i="25"/>
  <c r="J134" i="25"/>
  <c r="J135" i="25"/>
  <c r="J136" i="25"/>
  <c r="J137" i="25"/>
  <c r="J138" i="25"/>
  <c r="J139" i="25"/>
  <c r="J140" i="25"/>
  <c r="J141" i="25"/>
  <c r="J142" i="25"/>
  <c r="J143" i="25"/>
  <c r="J144" i="25"/>
  <c r="J145" i="25"/>
  <c r="J146" i="25"/>
  <c r="J147" i="25"/>
  <c r="J148" i="25"/>
  <c r="J149" i="25"/>
  <c r="J150" i="25"/>
  <c r="J151" i="25"/>
  <c r="J152" i="25"/>
  <c r="J153" i="25"/>
  <c r="J154" i="25"/>
  <c r="J155" i="25"/>
  <c r="J156" i="25"/>
  <c r="J157" i="25"/>
  <c r="J158" i="25"/>
  <c r="J159" i="25"/>
  <c r="J160" i="25"/>
  <c r="J161" i="25"/>
  <c r="J162" i="25"/>
  <c r="J163" i="25"/>
  <c r="J164" i="25"/>
  <c r="J165" i="25"/>
  <c r="J166" i="25"/>
  <c r="J167" i="25"/>
  <c r="J168" i="25"/>
  <c r="J169" i="25"/>
  <c r="J170" i="25"/>
  <c r="J171" i="25"/>
  <c r="J172" i="25"/>
  <c r="J173" i="25"/>
  <c r="J174" i="25"/>
  <c r="J175" i="25"/>
  <c r="J176" i="25"/>
  <c r="J177" i="25"/>
  <c r="J178" i="25"/>
  <c r="J179" i="25"/>
  <c r="J180" i="25"/>
  <c r="J181" i="25"/>
  <c r="J182" i="25"/>
  <c r="J183" i="25"/>
  <c r="J184" i="25"/>
  <c r="J185" i="25"/>
  <c r="J186" i="25"/>
  <c r="J187" i="25"/>
  <c r="J188" i="25"/>
  <c r="J189" i="25"/>
  <c r="J190" i="25"/>
  <c r="J191" i="25"/>
  <c r="J192" i="25"/>
  <c r="J193" i="25"/>
  <c r="J194" i="25"/>
  <c r="J195" i="25"/>
  <c r="J196" i="25"/>
  <c r="J197" i="25"/>
  <c r="J198" i="25"/>
  <c r="J199" i="25"/>
  <c r="J200" i="25"/>
  <c r="J201" i="25"/>
  <c r="J202" i="25"/>
  <c r="J203" i="25"/>
  <c r="J204" i="25"/>
  <c r="J205" i="25"/>
  <c r="J206" i="25"/>
  <c r="J207" i="25"/>
  <c r="J208" i="25"/>
  <c r="J209" i="25"/>
  <c r="J210" i="25"/>
  <c r="J211" i="25"/>
  <c r="J212" i="25"/>
  <c r="J213" i="25"/>
  <c r="J214" i="25"/>
  <c r="J215" i="25"/>
  <c r="J216" i="25"/>
  <c r="J217" i="25"/>
  <c r="J218" i="25"/>
  <c r="J219" i="25"/>
  <c r="J220" i="25"/>
  <c r="J221" i="25"/>
  <c r="J222" i="25"/>
  <c r="J223" i="25"/>
  <c r="J224" i="25"/>
  <c r="J225" i="25"/>
  <c r="J226" i="25"/>
  <c r="J227" i="25"/>
  <c r="J228" i="25"/>
  <c r="J229" i="25"/>
  <c r="J230" i="25"/>
  <c r="J231" i="25"/>
  <c r="J232" i="25"/>
  <c r="J233" i="25"/>
  <c r="J234" i="25"/>
  <c r="J235" i="25"/>
  <c r="J236" i="25"/>
  <c r="J237" i="25"/>
  <c r="J238" i="25"/>
  <c r="J239" i="25"/>
  <c r="J240" i="25"/>
  <c r="J241" i="25"/>
  <c r="J242" i="25"/>
  <c r="J243" i="25"/>
  <c r="J244" i="25"/>
  <c r="J245" i="25"/>
  <c r="J246" i="25"/>
  <c r="J247" i="25"/>
  <c r="J248" i="25"/>
  <c r="J2" i="25"/>
  <c r="J3" i="25"/>
  <c r="J4" i="25"/>
  <c r="O2" i="25"/>
  <c r="O1" i="25"/>
  <c r="EI522" i="25" l="1"/>
  <c r="V522" i="25"/>
  <c r="V801" i="25"/>
  <c r="V50" i="88"/>
  <c r="C3" i="91" l="1"/>
  <c r="E54" i="88" l="1"/>
  <c r="E55" i="88" s="1"/>
  <c r="E56" i="88" s="1"/>
  <c r="E57" i="88" s="1"/>
  <c r="E58" i="88" s="1"/>
  <c r="E59" i="88" s="1"/>
  <c r="E60" i="88" s="1"/>
  <c r="E61" i="88" s="1"/>
  <c r="E62" i="88" s="1"/>
  <c r="E63" i="88" s="1"/>
  <c r="E64" i="88" s="1"/>
  <c r="E65" i="88" s="1"/>
  <c r="E66" i="88" s="1"/>
  <c r="E67" i="88" s="1"/>
  <c r="E23" i="88"/>
  <c r="E24" i="88" s="1"/>
  <c r="E25" i="88" s="1"/>
  <c r="E26" i="88" s="1"/>
  <c r="E27" i="88" s="1"/>
  <c r="E28" i="88" s="1"/>
  <c r="E29" i="88" s="1"/>
  <c r="E30" i="88" s="1"/>
  <c r="E31" i="88" s="1"/>
  <c r="E32" i="88" s="1"/>
  <c r="E33" i="88" s="1"/>
  <c r="E34" i="88" s="1"/>
  <c r="E35" i="88" s="1"/>
  <c r="E36" i="88" s="1"/>
  <c r="D55" i="91" l="1"/>
  <c r="V2" i="25" l="1"/>
  <c r="V1133" i="25"/>
  <c r="EI1133" i="25" l="1"/>
  <c r="EI1132" i="25"/>
  <c r="V1132" i="25" l="1"/>
  <c r="EI252" i="25"/>
  <c r="E15" i="91" l="1"/>
  <c r="AC1" i="91"/>
  <c r="C134" i="91"/>
  <c r="E189" i="91"/>
  <c r="C181" i="91" s="1"/>
  <c r="D182" i="91"/>
  <c r="C61" i="91"/>
  <c r="I27" i="91"/>
  <c r="J27" i="91" s="1"/>
  <c r="AE18" i="91"/>
  <c r="AC10" i="91"/>
  <c r="AC4" i="91" s="1"/>
  <c r="C32" i="91"/>
  <c r="D121" i="91"/>
  <c r="Q50" i="27" s="1"/>
  <c r="V18" i="88"/>
  <c r="S5" i="88"/>
  <c r="B50" i="27"/>
  <c r="P37" i="27"/>
  <c r="R4" i="27"/>
  <c r="M44" i="87"/>
  <c r="M37" i="87"/>
  <c r="M36" i="87"/>
  <c r="M33" i="87"/>
  <c r="M32" i="87"/>
  <c r="B6" i="87"/>
  <c r="B5" i="87"/>
  <c r="B4" i="87"/>
  <c r="B3" i="87"/>
  <c r="B2" i="87"/>
  <c r="D1" i="37"/>
  <c r="K4" i="37" s="1"/>
  <c r="C29" i="38"/>
  <c r="B570" i="91"/>
  <c r="D197" i="91"/>
  <c r="B195" i="91" s="1"/>
  <c r="E195" i="91"/>
  <c r="D134" i="91"/>
  <c r="D128" i="91"/>
  <c r="D127" i="91"/>
  <c r="D107" i="91"/>
  <c r="B162" i="88" s="1"/>
  <c r="D106" i="91"/>
  <c r="D101" i="91"/>
  <c r="B159" i="88" s="1"/>
  <c r="D100" i="91"/>
  <c r="C94" i="91"/>
  <c r="D94" i="91" s="1"/>
  <c r="E83" i="91"/>
  <c r="AK79" i="91"/>
  <c r="J62" i="91"/>
  <c r="J61" i="91"/>
  <c r="J60" i="91"/>
  <c r="J59" i="91"/>
  <c r="J58" i="91"/>
  <c r="J57" i="91"/>
  <c r="J56" i="91"/>
  <c r="J55" i="91"/>
  <c r="J54" i="91"/>
  <c r="J53" i="91"/>
  <c r="J52" i="91"/>
  <c r="J51" i="91"/>
  <c r="J50" i="91"/>
  <c r="J49" i="91"/>
  <c r="J48" i="91"/>
  <c r="J47" i="91"/>
  <c r="J46" i="91"/>
  <c r="J45" i="91"/>
  <c r="J44" i="91"/>
  <c r="J43" i="91"/>
  <c r="D39" i="91"/>
  <c r="AK38" i="91"/>
  <c r="D38" i="91"/>
  <c r="D33" i="91"/>
  <c r="BI6" i="91"/>
  <c r="AK29" i="91"/>
  <c r="AK23" i="91"/>
  <c r="E23" i="91"/>
  <c r="B2" i="88" s="1"/>
  <c r="D21" i="91"/>
  <c r="H20" i="91"/>
  <c r="N18" i="91"/>
  <c r="N17" i="91"/>
  <c r="AK16" i="91"/>
  <c r="AB16" i="91"/>
  <c r="N16" i="91"/>
  <c r="B16" i="91"/>
  <c r="BK13" i="91"/>
  <c r="J12" i="91"/>
  <c r="I12" i="91"/>
  <c r="K12" i="91" s="1"/>
  <c r="L9" i="91"/>
  <c r="AK7" i="91"/>
  <c r="E7" i="91"/>
  <c r="F10" i="27" s="1"/>
  <c r="BJ6" i="91"/>
  <c r="BA5" i="91"/>
  <c r="BD4" i="91"/>
  <c r="U3" i="91"/>
  <c r="F3" i="91"/>
  <c r="BI2" i="91"/>
  <c r="BI5" i="91" s="1"/>
  <c r="AL2" i="91"/>
  <c r="AK90" i="91" s="1"/>
  <c r="AK24" i="91" l="1"/>
  <c r="B103" i="88"/>
  <c r="B48" i="88"/>
  <c r="AK75" i="91"/>
  <c r="AK39" i="91"/>
  <c r="R4" i="88"/>
  <c r="R46" i="27"/>
  <c r="AC18" i="91"/>
  <c r="AD18" i="91"/>
  <c r="D183" i="91"/>
  <c r="N13" i="27"/>
  <c r="D13" i="27"/>
  <c r="I14" i="27" s="1"/>
  <c r="D181" i="91"/>
  <c r="K12" i="27"/>
  <c r="I12" i="27"/>
  <c r="B2" i="27"/>
  <c r="I2" i="28"/>
  <c r="AD3" i="91"/>
  <c r="AB3" i="91"/>
  <c r="AE4" i="91" s="1"/>
  <c r="AD10" i="91"/>
  <c r="AK13" i="91"/>
  <c r="AK18" i="91"/>
  <c r="AK21" i="91"/>
  <c r="AK30" i="91"/>
  <c r="AK6" i="91"/>
  <c r="AK10" i="91"/>
  <c r="L12" i="91"/>
  <c r="AK15" i="91"/>
  <c r="AK36" i="91"/>
  <c r="AK44" i="91"/>
  <c r="AK86" i="91"/>
  <c r="AK35" i="91"/>
  <c r="AK80" i="91"/>
  <c r="AK9" i="91"/>
  <c r="AK31" i="91"/>
  <c r="AK40" i="91"/>
  <c r="AK81" i="91"/>
  <c r="C191" i="91"/>
  <c r="D195" i="91"/>
  <c r="D105" i="91"/>
  <c r="V104" i="88" s="1"/>
  <c r="AK19" i="91"/>
  <c r="AK5" i="91"/>
  <c r="AK12" i="91"/>
  <c r="AK17" i="91"/>
  <c r="AK22" i="91"/>
  <c r="AK25" i="91"/>
  <c r="AK37" i="91"/>
  <c r="AK42" i="91"/>
  <c r="AK87" i="91"/>
  <c r="AK27" i="91"/>
  <c r="AK32" i="91"/>
  <c r="AK41" i="91"/>
  <c r="AK45" i="91"/>
  <c r="AK82" i="91"/>
  <c r="AK33" i="91"/>
  <c r="AK83" i="91"/>
  <c r="AK4" i="91"/>
  <c r="AK11" i="91"/>
  <c r="AK20" i="91"/>
  <c r="AK26" i="91"/>
  <c r="AK28" i="91"/>
  <c r="AK84" i="91"/>
  <c r="AK88" i="91"/>
  <c r="AK14" i="91"/>
  <c r="AK8" i="91"/>
  <c r="AK34" i="91"/>
  <c r="AK43" i="91"/>
  <c r="AK85" i="91"/>
  <c r="AK89" i="91"/>
  <c r="V49" i="88" l="1"/>
  <c r="I39" i="91"/>
  <c r="C95" i="91"/>
  <c r="J39" i="91"/>
  <c r="V215" i="88"/>
  <c r="V163" i="88"/>
  <c r="AE3" i="91"/>
  <c r="AE5" i="91" s="1"/>
  <c r="AE6" i="91" s="1"/>
  <c r="A8" i="27" s="1"/>
  <c r="N12" i="91"/>
  <c r="M12" i="91"/>
  <c r="AD25" i="91"/>
  <c r="AE25" i="91" s="1"/>
  <c r="AK47" i="91"/>
  <c r="D186" i="91" l="1"/>
  <c r="AD14" i="91"/>
  <c r="AD6" i="91"/>
  <c r="AD5" i="91"/>
  <c r="AK48" i="91"/>
  <c r="AK49" i="91" s="1"/>
  <c r="AK50" i="91" s="1"/>
  <c r="D95" i="91"/>
  <c r="P8" i="27" l="1"/>
  <c r="AC25" i="91"/>
  <c r="AC26" i="91" s="1"/>
  <c r="R8" i="27"/>
  <c r="AK51" i="91"/>
  <c r="AC21" i="91"/>
  <c r="D185" i="91" l="1"/>
  <c r="AK52" i="91"/>
  <c r="AK53" i="91" l="1"/>
  <c r="AK54" i="91" l="1"/>
  <c r="AK55" i="91" l="1"/>
  <c r="AK56" i="91" s="1"/>
  <c r="AK57" i="91" l="1"/>
  <c r="AK58" i="91" s="1"/>
  <c r="F26" i="27"/>
  <c r="AK59" i="91" l="1"/>
  <c r="AK60" i="91" s="1"/>
  <c r="AK61" i="91" s="1"/>
  <c r="AK62" i="91" s="1"/>
  <c r="AK63" i="91" s="1"/>
  <c r="AK64" i="91" s="1"/>
  <c r="AK65" i="91" s="1"/>
  <c r="AK66" i="91" s="1"/>
  <c r="AK67" i="91" s="1"/>
  <c r="AK68" i="91" s="1"/>
  <c r="AK69" i="91" s="1"/>
  <c r="AK70" i="91" s="1"/>
  <c r="AK71" i="91" s="1"/>
  <c r="AK72" i="91" s="1"/>
  <c r="AK73" i="91" s="1"/>
  <c r="AK74" i="91" s="1"/>
  <c r="AK76" i="91" s="1"/>
  <c r="AK77" i="91" s="1"/>
  <c r="AK78" i="91" s="1"/>
  <c r="C177" i="88"/>
  <c r="C176" i="88"/>
  <c r="C175" i="88"/>
  <c r="C174" i="88"/>
  <c r="C173" i="88"/>
  <c r="C172" i="88"/>
  <c r="C171" i="88"/>
  <c r="C170" i="88"/>
  <c r="C169" i="88"/>
  <c r="C168" i="88"/>
  <c r="C167" i="88"/>
  <c r="B166" i="88"/>
  <c r="C192" i="88" l="1"/>
  <c r="C182" i="88"/>
  <c r="C194" i="88"/>
  <c r="C183" i="88"/>
  <c r="C195" i="88"/>
  <c r="C184" i="88"/>
  <c r="C196" i="88"/>
  <c r="C185" i="88"/>
  <c r="C197" i="88"/>
  <c r="C179" i="88"/>
  <c r="C180" i="88"/>
  <c r="C186" i="88"/>
  <c r="C198" i="88"/>
  <c r="C187" i="88"/>
  <c r="C199" i="88"/>
  <c r="C181" i="88"/>
  <c r="C203" i="88"/>
  <c r="C204" i="88"/>
  <c r="C188" i="88"/>
  <c r="C200" i="88"/>
  <c r="C189" i="88"/>
  <c r="C201" i="88"/>
  <c r="C178" i="88"/>
  <c r="C190" i="88"/>
  <c r="C202" i="88"/>
  <c r="C191" i="88"/>
  <c r="C205" i="88"/>
  <c r="C193" i="88"/>
  <c r="F30" i="27"/>
  <c r="F28" i="27"/>
  <c r="J28" i="27" l="1"/>
  <c r="H79" i="87"/>
  <c r="C141" i="91" s="1"/>
  <c r="C4" i="38" s="1"/>
  <c r="J138" i="87"/>
  <c r="J137" i="87"/>
  <c r="J136" i="87"/>
  <c r="J135" i="87"/>
  <c r="J134" i="87"/>
  <c r="J133" i="87"/>
  <c r="J132" i="87"/>
  <c r="J131" i="87"/>
  <c r="J130" i="87"/>
  <c r="J129" i="87"/>
  <c r="J128" i="87"/>
  <c r="J127" i="87"/>
  <c r="J126" i="87"/>
  <c r="J125" i="87"/>
  <c r="J124" i="87"/>
  <c r="J123" i="87"/>
  <c r="J122" i="87"/>
  <c r="J121" i="87"/>
  <c r="J120" i="87"/>
  <c r="J119" i="87"/>
  <c r="J118" i="87"/>
  <c r="J117" i="87"/>
  <c r="J116" i="87"/>
  <c r="J115" i="87"/>
  <c r="J114" i="87"/>
  <c r="J113" i="87"/>
  <c r="J112" i="87"/>
  <c r="J111" i="87"/>
  <c r="J110" i="87"/>
  <c r="J109" i="87"/>
  <c r="J108" i="87"/>
  <c r="J107" i="87"/>
  <c r="J106" i="87"/>
  <c r="J105" i="87"/>
  <c r="J104" i="87"/>
  <c r="J103" i="87"/>
  <c r="J102" i="87"/>
  <c r="J101" i="87"/>
  <c r="J100" i="87"/>
  <c r="J99" i="87"/>
  <c r="J98" i="87"/>
  <c r="J97" i="87"/>
  <c r="J96" i="87"/>
  <c r="J95" i="87"/>
  <c r="J94" i="87"/>
  <c r="J93" i="87"/>
  <c r="J92" i="87"/>
  <c r="J91" i="87"/>
  <c r="J90" i="87"/>
  <c r="J89" i="87"/>
  <c r="J88" i="87"/>
  <c r="J87" i="87"/>
  <c r="J86" i="87"/>
  <c r="J85" i="87"/>
  <c r="J84" i="87"/>
  <c r="J83" i="87"/>
  <c r="J82" i="87"/>
  <c r="I81" i="87"/>
  <c r="J81" i="87" s="1"/>
  <c r="J80" i="87"/>
  <c r="I79" i="87"/>
  <c r="J79" i="87" s="1"/>
  <c r="J78" i="87"/>
  <c r="J77" i="87"/>
  <c r="J76" i="87"/>
  <c r="J75" i="87"/>
  <c r="J74" i="87"/>
  <c r="J73" i="87"/>
  <c r="J72" i="87"/>
  <c r="J70" i="87"/>
  <c r="J69" i="87"/>
  <c r="J68" i="87"/>
  <c r="J67" i="87"/>
  <c r="J66" i="87"/>
  <c r="J65" i="87"/>
  <c r="J64" i="87"/>
  <c r="J63" i="87"/>
  <c r="J62" i="87"/>
  <c r="J60" i="87"/>
  <c r="J59" i="87"/>
  <c r="J58" i="87"/>
  <c r="J57" i="87"/>
  <c r="J56" i="87"/>
  <c r="J55" i="87"/>
  <c r="J54" i="87"/>
  <c r="J52" i="87"/>
  <c r="J51" i="87"/>
  <c r="J50" i="87"/>
  <c r="J49" i="87"/>
  <c r="J48" i="87"/>
  <c r="J47" i="87"/>
  <c r="J46" i="87"/>
  <c r="J44" i="87"/>
  <c r="J43" i="87"/>
  <c r="J42" i="87"/>
  <c r="J41" i="87"/>
  <c r="J39" i="87"/>
  <c r="J38" i="87"/>
  <c r="J37" i="87"/>
  <c r="J36" i="87"/>
  <c r="J33" i="87"/>
  <c r="J32" i="87"/>
  <c r="J31" i="87"/>
  <c r="J30" i="87"/>
  <c r="J29" i="87"/>
  <c r="J28" i="87"/>
  <c r="J27" i="87"/>
  <c r="J26" i="87"/>
  <c r="J25" i="87"/>
  <c r="J23" i="87"/>
  <c r="J20" i="87"/>
  <c r="J19" i="87"/>
  <c r="J18" i="87"/>
  <c r="J17" i="87"/>
  <c r="J16" i="87"/>
  <c r="O15" i="87"/>
  <c r="I15" i="87"/>
  <c r="J15" i="87" s="1"/>
  <c r="J14" i="87"/>
  <c r="J13" i="87"/>
  <c r="J12" i="87"/>
  <c r="J11" i="87"/>
  <c r="K26" i="27" l="1"/>
  <c r="L79" i="87"/>
  <c r="H34" i="87"/>
  <c r="H35" i="87"/>
  <c r="H81" i="87"/>
  <c r="H61" i="87"/>
  <c r="H21" i="87"/>
  <c r="H22" i="87"/>
  <c r="H20" i="87"/>
  <c r="H24" i="87"/>
  <c r="H27" i="87"/>
  <c r="H40" i="87"/>
  <c r="H45" i="87"/>
  <c r="C41" i="91" s="1"/>
  <c r="H53" i="87"/>
  <c r="C43" i="91" s="1"/>
  <c r="H71" i="87"/>
  <c r="H19" i="87"/>
  <c r="H84" i="87"/>
  <c r="H93" i="87"/>
  <c r="H62" i="87"/>
  <c r="H94" i="87"/>
  <c r="H16" i="87"/>
  <c r="H86" i="87"/>
  <c r="H63" i="87"/>
  <c r="H95" i="87"/>
  <c r="H106" i="87"/>
  <c r="H17" i="87"/>
  <c r="H64" i="87"/>
  <c r="H82" i="87"/>
  <c r="H92" i="87"/>
  <c r="H15" i="87"/>
  <c r="H26" i="87"/>
  <c r="C40" i="91" l="1"/>
  <c r="I34" i="87"/>
  <c r="C22" i="91"/>
  <c r="I35" i="87"/>
  <c r="C24" i="91"/>
  <c r="C10" i="91"/>
  <c r="E18" i="91"/>
  <c r="C72" i="91"/>
  <c r="C189" i="91"/>
  <c r="C28" i="91"/>
  <c r="C64" i="91"/>
  <c r="D64" i="91" s="1"/>
  <c r="D41" i="91"/>
  <c r="I45" i="87" s="1"/>
  <c r="C96" i="91"/>
  <c r="C142" i="91"/>
  <c r="C6" i="38" s="1"/>
  <c r="L81" i="87"/>
  <c r="I21" i="87"/>
  <c r="D43" i="91" l="1"/>
  <c r="I53" i="87" s="1"/>
  <c r="I24" i="91"/>
  <c r="I69" i="91"/>
  <c r="BA3" i="91"/>
  <c r="H42" i="91"/>
  <c r="B107" i="88"/>
  <c r="D22" i="91"/>
  <c r="A1" i="28"/>
  <c r="I22" i="91"/>
  <c r="I42" i="91"/>
  <c r="J42" i="91" s="1"/>
  <c r="D32" i="91"/>
  <c r="P19" i="27"/>
  <c r="D24" i="91"/>
  <c r="D25" i="91" s="1"/>
  <c r="I21" i="91"/>
  <c r="C56" i="91"/>
  <c r="B1" i="37" s="1"/>
  <c r="E24" i="91"/>
  <c r="I20" i="91"/>
  <c r="P17" i="27"/>
  <c r="D10" i="91"/>
  <c r="C198" i="91"/>
  <c r="C4" i="91"/>
  <c r="E196" i="91"/>
  <c r="C192" i="91"/>
  <c r="C195" i="91"/>
  <c r="C82" i="91"/>
  <c r="E74" i="91"/>
  <c r="E76" i="91"/>
  <c r="C73" i="91"/>
  <c r="E4" i="88" s="1"/>
  <c r="E75" i="91"/>
  <c r="C81" i="91"/>
  <c r="E82" i="91"/>
  <c r="B74" i="91" s="1"/>
  <c r="C74" i="91" s="1"/>
  <c r="C18" i="91"/>
  <c r="Q4" i="88"/>
  <c r="D18" i="91"/>
  <c r="E96" i="91"/>
  <c r="I71" i="87" s="1"/>
  <c r="J71" i="87" s="1"/>
  <c r="D51" i="91"/>
  <c r="D96" i="91"/>
  <c r="I13" i="91"/>
  <c r="D40" i="91"/>
  <c r="J13" i="91"/>
  <c r="K27" i="91"/>
  <c r="C45" i="91" s="1"/>
  <c r="C37" i="91"/>
  <c r="E64" i="91"/>
  <c r="D27" i="91"/>
  <c r="L108" i="37" l="1"/>
  <c r="L120" i="37"/>
  <c r="L132" i="37"/>
  <c r="L144" i="37"/>
  <c r="L109" i="37"/>
  <c r="L121" i="37"/>
  <c r="L133" i="37"/>
  <c r="L145" i="37"/>
  <c r="L110" i="37"/>
  <c r="L122" i="37"/>
  <c r="L134" i="37"/>
  <c r="L146" i="37"/>
  <c r="L111" i="37"/>
  <c r="L123" i="37"/>
  <c r="L135" i="37"/>
  <c r="L147" i="37"/>
  <c r="L112" i="37"/>
  <c r="L124" i="37"/>
  <c r="L136" i="37"/>
  <c r="L126" i="37"/>
  <c r="L138" i="37"/>
  <c r="L115" i="37"/>
  <c r="L139" i="37"/>
  <c r="L116" i="37"/>
  <c r="L140" i="37"/>
  <c r="L117" i="37"/>
  <c r="L141" i="37"/>
  <c r="L118" i="37"/>
  <c r="L142" i="37"/>
  <c r="L119" i="37"/>
  <c r="L143" i="37"/>
  <c r="L113" i="37"/>
  <c r="L125" i="37"/>
  <c r="L137" i="37"/>
  <c r="L114" i="37"/>
  <c r="L103" i="37"/>
  <c r="L127" i="37"/>
  <c r="L104" i="37"/>
  <c r="L128" i="37"/>
  <c r="L105" i="37"/>
  <c r="L129" i="37"/>
  <c r="L106" i="37"/>
  <c r="L130" i="37"/>
  <c r="L107" i="37"/>
  <c r="L131" i="37"/>
  <c r="I40" i="87"/>
  <c r="C34" i="91"/>
  <c r="C50" i="91"/>
  <c r="D49" i="91" s="1"/>
  <c r="H17" i="27" s="1"/>
  <c r="N42" i="91"/>
  <c r="C26" i="91" s="1"/>
  <c r="J40" i="27" s="1"/>
  <c r="M42" i="91"/>
  <c r="C15" i="91" s="1"/>
  <c r="K42" i="91"/>
  <c r="L42" i="91"/>
  <c r="C16" i="91" s="1"/>
  <c r="D198" i="91"/>
  <c r="O15" i="27" s="1"/>
  <c r="B196" i="91"/>
  <c r="D191" i="91"/>
  <c r="B191" i="91"/>
  <c r="E192" i="91" s="1"/>
  <c r="E191" i="91" s="1"/>
  <c r="E193" i="91" s="1"/>
  <c r="E194" i="91" s="1"/>
  <c r="B3" i="91"/>
  <c r="E4" i="91" s="1"/>
  <c r="E3" i="91" s="1"/>
  <c r="J10" i="27" s="1"/>
  <c r="B197" i="91"/>
  <c r="D3" i="91"/>
  <c r="AD19" i="91"/>
  <c r="D19" i="91"/>
  <c r="I22" i="87"/>
  <c r="BF3" i="91"/>
  <c r="H59" i="87"/>
  <c r="D45" i="91"/>
  <c r="C42" i="91"/>
  <c r="C44" i="91"/>
  <c r="A21" i="27"/>
  <c r="K13" i="91"/>
  <c r="L13" i="91"/>
  <c r="I11" i="91"/>
  <c r="D37" i="91"/>
  <c r="N39" i="27" s="1"/>
  <c r="J11" i="91"/>
  <c r="G175" i="91"/>
  <c r="G174" i="91"/>
  <c r="D97" i="91"/>
  <c r="G173" i="91"/>
  <c r="BB3" i="91" l="1"/>
  <c r="AD16" i="91"/>
  <c r="C98" i="91"/>
  <c r="D98" i="91" s="1"/>
  <c r="H39" i="91"/>
  <c r="BC3" i="91"/>
  <c r="D4" i="91"/>
  <c r="AD15" i="91"/>
  <c r="E5" i="91"/>
  <c r="E6" i="91" s="1"/>
  <c r="D86" i="91"/>
  <c r="E86" i="91" s="1"/>
  <c r="D194" i="91"/>
  <c r="D193" i="91"/>
  <c r="D184" i="91" s="1"/>
  <c r="B181" i="91" s="1"/>
  <c r="N13" i="91"/>
  <c r="M13" i="91"/>
  <c r="D42" i="91"/>
  <c r="I10" i="91"/>
  <c r="C46" i="91"/>
  <c r="J10" i="91"/>
  <c r="D44" i="91"/>
  <c r="C47" i="91"/>
  <c r="J69" i="91" s="1"/>
  <c r="L11" i="91"/>
  <c r="K11" i="91"/>
  <c r="A5" i="27" l="1"/>
  <c r="D6" i="91"/>
  <c r="I96" i="91" s="1"/>
  <c r="AD17" i="91"/>
  <c r="AD20" i="91"/>
  <c r="F4" i="91"/>
  <c r="F6" i="91"/>
  <c r="F5" i="91"/>
  <c r="D5" i="91"/>
  <c r="F55" i="91" s="1"/>
  <c r="E3" i="33" s="1"/>
  <c r="D14" i="91"/>
  <c r="K10" i="91"/>
  <c r="L10" i="91"/>
  <c r="N11" i="91"/>
  <c r="M11" i="91"/>
  <c r="M8" i="91"/>
  <c r="F42" i="38"/>
  <c r="E42" i="38"/>
  <c r="F41" i="38"/>
  <c r="E41" i="38"/>
  <c r="F40" i="38"/>
  <c r="E40" i="38"/>
  <c r="F39" i="38"/>
  <c r="E39" i="38"/>
  <c r="C86" i="91" l="1"/>
  <c r="C87" i="91" s="1"/>
  <c r="D115" i="91"/>
  <c r="R3" i="33" s="1"/>
  <c r="D3" i="33"/>
  <c r="D113" i="91"/>
  <c r="D114" i="91"/>
  <c r="Q3" i="33" s="1"/>
  <c r="O43" i="91"/>
  <c r="O44" i="91"/>
  <c r="O45" i="91"/>
  <c r="C7" i="91"/>
  <c r="E10" i="27" s="1"/>
  <c r="C88" i="91"/>
  <c r="AC27" i="91" s="1"/>
  <c r="M4" i="88"/>
  <c r="C57" i="91"/>
  <c r="D57" i="91" s="1"/>
  <c r="BD3" i="91" s="1"/>
  <c r="BI3" i="91"/>
  <c r="BH14" i="91" s="1"/>
  <c r="BJ14" i="91" s="1"/>
  <c r="P5" i="27"/>
  <c r="D122" i="91"/>
  <c r="BB4" i="91"/>
  <c r="D15" i="91"/>
  <c r="B194" i="91"/>
  <c r="R5" i="27"/>
  <c r="D16" i="91"/>
  <c r="C55" i="91"/>
  <c r="BE3" i="91"/>
  <c r="BB5" i="91" s="1"/>
  <c r="N10" i="91"/>
  <c r="M10" i="91"/>
  <c r="M9" i="91" s="1"/>
  <c r="O42" i="91" l="1"/>
  <c r="N4" i="27"/>
  <c r="D17" i="91"/>
  <c r="E15" i="27"/>
  <c r="F174" i="91"/>
  <c r="F175" i="91"/>
  <c r="F173" i="91"/>
  <c r="I24" i="87"/>
  <c r="D20" i="91"/>
  <c r="K9" i="91"/>
  <c r="N14" i="27"/>
  <c r="D14" i="27"/>
  <c r="C27" i="91" l="1"/>
  <c r="K40" i="27" s="1"/>
  <c r="M39" i="27"/>
  <c r="D41" i="27" s="1"/>
  <c r="J1" i="25"/>
  <c r="D28" i="91" l="1"/>
  <c r="A39" i="27" s="1"/>
  <c r="D88" i="91"/>
  <c r="AD27" i="91"/>
  <c r="D47" i="38"/>
  <c r="B27" i="38"/>
  <c r="D8" i="38"/>
  <c r="T132" i="33"/>
  <c r="S132" i="33"/>
  <c r="R132" i="33"/>
  <c r="Q132" i="33"/>
  <c r="P132" i="33"/>
  <c r="O132" i="33"/>
  <c r="N132" i="33"/>
  <c r="M132" i="33"/>
  <c r="L132" i="33"/>
  <c r="K132" i="33"/>
  <c r="J132" i="33"/>
  <c r="V1" i="25"/>
  <c r="EI1" i="25"/>
  <c r="V251" i="25"/>
  <c r="EI251" i="25"/>
  <c r="V521" i="25"/>
  <c r="EI521" i="25"/>
  <c r="EI801" i="25"/>
  <c r="V957" i="25"/>
  <c r="EI957" i="25"/>
  <c r="A4" i="28"/>
  <c r="A2" i="28"/>
  <c r="S36" i="27"/>
  <c r="D48" i="38"/>
  <c r="C53" i="91" l="1"/>
  <c r="D53" i="91" s="1"/>
  <c r="AD26" i="91" s="1"/>
  <c r="D29" i="91"/>
  <c r="I61" i="87"/>
  <c r="C30" i="91"/>
  <c r="C63" i="91" s="1"/>
  <c r="D4" i="38"/>
  <c r="C23" i="38"/>
  <c r="B38" i="38"/>
  <c r="B30" i="38"/>
  <c r="C7" i="38" s="1"/>
  <c r="G28" i="27" s="1"/>
  <c r="Z3" i="33"/>
  <c r="D45" i="38"/>
  <c r="B91" i="28"/>
  <c r="C91" i="28" s="1"/>
  <c r="D46" i="38"/>
  <c r="D91" i="91" l="1"/>
  <c r="B7" i="88" s="1"/>
  <c r="A2" i="88"/>
  <c r="E38" i="88" s="1"/>
  <c r="AH4" i="33"/>
  <c r="AI4" i="33"/>
  <c r="G4" i="33"/>
  <c r="G115" i="33"/>
  <c r="H4" i="33"/>
  <c r="A2" i="27"/>
  <c r="O41" i="27" s="1"/>
  <c r="J4" i="33"/>
  <c r="F4" i="33"/>
  <c r="S4" i="33" s="1"/>
  <c r="I4" i="33"/>
  <c r="D93" i="91"/>
  <c r="B6" i="88" s="1"/>
  <c r="C4" i="33"/>
  <c r="B5" i="33" s="1"/>
  <c r="I5" i="33" s="1"/>
  <c r="H115" i="33"/>
  <c r="C133" i="91" s="1"/>
  <c r="D87" i="91"/>
  <c r="C31" i="91"/>
  <c r="BI4" i="91" s="1"/>
  <c r="BH15" i="91" s="1"/>
  <c r="C62" i="91"/>
  <c r="N53" i="27" s="1"/>
  <c r="F111" i="28"/>
  <c r="F63" i="28"/>
  <c r="F190" i="28"/>
  <c r="F67" i="28"/>
  <c r="B19" i="28"/>
  <c r="C19" i="28" s="1"/>
  <c r="B105" i="28"/>
  <c r="C105" i="28" s="1"/>
  <c r="B15" i="28"/>
  <c r="C15" i="28" s="1"/>
  <c r="H1" i="28"/>
  <c r="I1" i="28" s="1"/>
  <c r="B123" i="28"/>
  <c r="C123" i="28" s="1"/>
  <c r="F122" i="28"/>
  <c r="F25" i="28"/>
  <c r="B111" i="28"/>
  <c r="C111" i="28" s="1"/>
  <c r="B62" i="28"/>
  <c r="C62" i="28" s="1"/>
  <c r="F3" i="28"/>
  <c r="B126" i="28"/>
  <c r="C126" i="28" s="1"/>
  <c r="C24" i="38"/>
  <c r="C25" i="38" s="1"/>
  <c r="C16" i="38"/>
  <c r="C17" i="38" s="1"/>
  <c r="C18" i="38"/>
  <c r="C10" i="38"/>
  <c r="C11" i="38" s="1"/>
  <c r="D38" i="38"/>
  <c r="D5" i="38" s="1"/>
  <c r="C38" i="38"/>
  <c r="C5" i="38" s="1"/>
  <c r="B26" i="28"/>
  <c r="C26" i="28" s="1"/>
  <c r="B154" i="28"/>
  <c r="C154" i="28" s="1"/>
  <c r="F160" i="28"/>
  <c r="B117" i="28"/>
  <c r="C117" i="28" s="1"/>
  <c r="B92" i="28"/>
  <c r="C92" i="28" s="1"/>
  <c r="B56" i="28"/>
  <c r="C56" i="28" s="1"/>
  <c r="F45" i="28"/>
  <c r="B122" i="28"/>
  <c r="C122" i="28" s="1"/>
  <c r="F92" i="28"/>
  <c r="F119" i="28"/>
  <c r="F127" i="28"/>
  <c r="B196" i="28"/>
  <c r="C196" i="28" s="1"/>
  <c r="B169" i="28"/>
  <c r="C169" i="28" s="1"/>
  <c r="F6" i="28"/>
  <c r="F95" i="28"/>
  <c r="F144" i="28"/>
  <c r="B98" i="28"/>
  <c r="C98" i="28" s="1"/>
  <c r="B134" i="28"/>
  <c r="C134" i="28" s="1"/>
  <c r="B70" i="28"/>
  <c r="C70" i="28" s="1"/>
  <c r="F197" i="28"/>
  <c r="B173" i="28"/>
  <c r="C173" i="28" s="1"/>
  <c r="B137" i="28"/>
  <c r="C137" i="28" s="1"/>
  <c r="F117" i="28"/>
  <c r="F20" i="28"/>
  <c r="F15" i="28"/>
  <c r="F86" i="28"/>
  <c r="B164" i="28"/>
  <c r="C164" i="28" s="1"/>
  <c r="B30" i="28"/>
  <c r="C30" i="28" s="1"/>
  <c r="F131" i="28"/>
  <c r="F172" i="28"/>
  <c r="B95" i="28"/>
  <c r="C95" i="28" s="1"/>
  <c r="F120" i="28"/>
  <c r="F37" i="28"/>
  <c r="B143" i="28"/>
  <c r="C143" i="28" s="1"/>
  <c r="F81" i="28"/>
  <c r="F8" i="28"/>
  <c r="B16" i="28"/>
  <c r="C16" i="28" s="1"/>
  <c r="B199" i="28"/>
  <c r="C199" i="28" s="1"/>
  <c r="F102" i="28"/>
  <c r="F191" i="28"/>
  <c r="F123" i="28"/>
  <c r="F94" i="28"/>
  <c r="B197" i="28"/>
  <c r="C197" i="28" s="1"/>
  <c r="B69" i="28"/>
  <c r="C69" i="28" s="1"/>
  <c r="B120" i="28"/>
  <c r="C120" i="28" s="1"/>
  <c r="F75" i="28"/>
  <c r="F109" i="28"/>
  <c r="F173" i="28"/>
  <c r="F182" i="28"/>
  <c r="B83" i="28"/>
  <c r="C83" i="28" s="1"/>
  <c r="B139" i="28"/>
  <c r="C139" i="28" s="1"/>
  <c r="F80" i="28"/>
  <c r="B43" i="28"/>
  <c r="C43" i="28" s="1"/>
  <c r="F36" i="28"/>
  <c r="F152" i="28"/>
  <c r="F9" i="28"/>
  <c r="F19" i="28"/>
  <c r="B41" i="28"/>
  <c r="C41" i="28" s="1"/>
  <c r="F150" i="28"/>
  <c r="F68" i="28"/>
  <c r="B192" i="28"/>
  <c r="C192" i="28" s="1"/>
  <c r="F44" i="28"/>
  <c r="B14" i="28"/>
  <c r="C14" i="28" s="1"/>
  <c r="B97" i="28"/>
  <c r="C97" i="28" s="1"/>
  <c r="F7" i="28"/>
  <c r="B49" i="28"/>
  <c r="C49" i="28" s="1"/>
  <c r="B71" i="28"/>
  <c r="C71" i="28" s="1"/>
  <c r="F4" i="28"/>
  <c r="F40" i="28"/>
  <c r="B172" i="28"/>
  <c r="C172" i="28" s="1"/>
  <c r="F189" i="28"/>
  <c r="F90" i="28"/>
  <c r="B44" i="28"/>
  <c r="C44" i="28" s="1"/>
  <c r="F147" i="28"/>
  <c r="F192" i="28"/>
  <c r="B76" i="28"/>
  <c r="C76" i="28" s="1"/>
  <c r="F187" i="28"/>
  <c r="F141" i="28"/>
  <c r="F137" i="28"/>
  <c r="F79" i="28"/>
  <c r="B42" i="28"/>
  <c r="C42" i="28" s="1"/>
  <c r="F49" i="28"/>
  <c r="B128" i="28"/>
  <c r="C128" i="28" s="1"/>
  <c r="F30" i="28"/>
  <c r="F195" i="28"/>
  <c r="F158" i="28"/>
  <c r="F106" i="28"/>
  <c r="B78" i="28"/>
  <c r="C78" i="28" s="1"/>
  <c r="B140" i="28"/>
  <c r="C140" i="28" s="1"/>
  <c r="B194" i="28"/>
  <c r="C194" i="28" s="1"/>
  <c r="B124" i="28"/>
  <c r="C124" i="28" s="1"/>
  <c r="F54" i="28"/>
  <c r="B24" i="28"/>
  <c r="C24" i="28" s="1"/>
  <c r="B112" i="28"/>
  <c r="C112" i="28" s="1"/>
  <c r="F88" i="28"/>
  <c r="F21" i="28"/>
  <c r="F163" i="28"/>
  <c r="F154" i="28"/>
  <c r="F69" i="28"/>
  <c r="F164" i="28"/>
  <c r="F170" i="28"/>
  <c r="B115" i="28"/>
  <c r="C115" i="28" s="1"/>
  <c r="B81" i="28"/>
  <c r="C81" i="28" s="1"/>
  <c r="F167" i="28"/>
  <c r="F134" i="28"/>
  <c r="B167" i="28"/>
  <c r="C167" i="28" s="1"/>
  <c r="F56" i="28"/>
  <c r="B135" i="28"/>
  <c r="C135" i="28" s="1"/>
  <c r="B66" i="28"/>
  <c r="C66" i="28" s="1"/>
  <c r="F153" i="28"/>
  <c r="B180" i="28"/>
  <c r="C180" i="28" s="1"/>
  <c r="F188" i="28"/>
  <c r="B181" i="28"/>
  <c r="C181" i="28" s="1"/>
  <c r="F112" i="28"/>
  <c r="F96" i="28"/>
  <c r="B77" i="28"/>
  <c r="C77" i="28" s="1"/>
  <c r="F162" i="28"/>
  <c r="B150" i="28"/>
  <c r="C150" i="28" s="1"/>
  <c r="F32" i="28"/>
  <c r="B20" i="28"/>
  <c r="C20" i="28" s="1"/>
  <c r="B184" i="28"/>
  <c r="C184" i="28" s="1"/>
  <c r="B161" i="28"/>
  <c r="C161" i="28" s="1"/>
  <c r="B3" i="28"/>
  <c r="C3" i="28" s="1"/>
  <c r="F146" i="28"/>
  <c r="B157" i="28"/>
  <c r="C157" i="28" s="1"/>
  <c r="B17" i="28"/>
  <c r="C17" i="28" s="1"/>
  <c r="F194" i="28"/>
  <c r="B67" i="28"/>
  <c r="C67" i="28" s="1"/>
  <c r="B39" i="28"/>
  <c r="C39" i="28" s="1"/>
  <c r="F14" i="28"/>
  <c r="F179" i="28"/>
  <c r="B170" i="28"/>
  <c r="C170" i="28" s="1"/>
  <c r="B35" i="28"/>
  <c r="C35" i="28" s="1"/>
  <c r="B68" i="28"/>
  <c r="C68" i="28" s="1"/>
  <c r="F186" i="28"/>
  <c r="F107" i="28"/>
  <c r="F62" i="28"/>
  <c r="B141" i="28"/>
  <c r="C141" i="28" s="1"/>
  <c r="B60" i="28"/>
  <c r="C60" i="28" s="1"/>
  <c r="B190" i="28"/>
  <c r="C190" i="28" s="1"/>
  <c r="B178" i="28"/>
  <c r="C178" i="28" s="1"/>
  <c r="B186" i="28"/>
  <c r="C186" i="28" s="1"/>
  <c r="F65" i="28"/>
  <c r="F24" i="28"/>
  <c r="F11" i="28"/>
  <c r="F132" i="28"/>
  <c r="F178" i="28"/>
  <c r="F51" i="28"/>
  <c r="B189" i="28"/>
  <c r="C189" i="28" s="1"/>
  <c r="F155" i="28"/>
  <c r="F17" i="28"/>
  <c r="F151" i="28"/>
  <c r="F39" i="28"/>
  <c r="B182" i="28"/>
  <c r="C182" i="28" s="1"/>
  <c r="F48" i="28"/>
  <c r="B25" i="28"/>
  <c r="C25" i="28" s="1"/>
  <c r="B75" i="28"/>
  <c r="C75" i="28" s="1"/>
  <c r="F31" i="28"/>
  <c r="F125" i="28"/>
  <c r="F140" i="28"/>
  <c r="F93" i="28"/>
  <c r="F165" i="28"/>
  <c r="F135" i="28"/>
  <c r="F157" i="28"/>
  <c r="B72" i="28"/>
  <c r="C72" i="28" s="1"/>
  <c r="B187" i="28"/>
  <c r="C187" i="28" s="1"/>
  <c r="B148" i="28"/>
  <c r="C148" i="28" s="1"/>
  <c r="B74" i="28"/>
  <c r="C74" i="28" s="1"/>
  <c r="F59" i="28"/>
  <c r="B102" i="28"/>
  <c r="C102" i="28" s="1"/>
  <c r="F116" i="28"/>
  <c r="F82" i="28"/>
  <c r="F128" i="28"/>
  <c r="B94" i="28"/>
  <c r="C94" i="28" s="1"/>
  <c r="B93" i="28"/>
  <c r="C93" i="28" s="1"/>
  <c r="F145" i="28"/>
  <c r="F91" i="28"/>
  <c r="F113" i="28"/>
  <c r="B200" i="28"/>
  <c r="C200" i="28" s="1"/>
  <c r="B9" i="28"/>
  <c r="C9" i="28" s="1"/>
  <c r="B162" i="28"/>
  <c r="C162" i="28" s="1"/>
  <c r="B119" i="28"/>
  <c r="C119" i="28" s="1"/>
  <c r="F52" i="28"/>
  <c r="B149" i="28"/>
  <c r="C149" i="28" s="1"/>
  <c r="B40" i="28"/>
  <c r="C40" i="28" s="1"/>
  <c r="F166" i="28"/>
  <c r="B87" i="28"/>
  <c r="C87" i="28" s="1"/>
  <c r="F47" i="28"/>
  <c r="B58" i="28"/>
  <c r="C58" i="28" s="1"/>
  <c r="B185" i="28"/>
  <c r="C185" i="28" s="1"/>
  <c r="F66" i="28"/>
  <c r="F13" i="28"/>
  <c r="B57" i="28"/>
  <c r="C57" i="28" s="1"/>
  <c r="B127" i="28"/>
  <c r="C127" i="28" s="1"/>
  <c r="B84" i="28"/>
  <c r="C84" i="28" s="1"/>
  <c r="F130" i="28"/>
  <c r="F103" i="28"/>
  <c r="F38" i="28"/>
  <c r="B50" i="28"/>
  <c r="C50" i="28" s="1"/>
  <c r="F60" i="28"/>
  <c r="F118" i="28"/>
  <c r="B31" i="28"/>
  <c r="C31" i="28" s="1"/>
  <c r="B23" i="28"/>
  <c r="C23" i="28" s="1"/>
  <c r="B136" i="28"/>
  <c r="C136" i="28" s="1"/>
  <c r="B113" i="28"/>
  <c r="C113" i="28" s="1"/>
  <c r="F98" i="28"/>
  <c r="F33" i="28"/>
  <c r="F169" i="28"/>
  <c r="B52" i="28"/>
  <c r="C52" i="28" s="1"/>
  <c r="F53" i="28"/>
  <c r="F198" i="28"/>
  <c r="F76" i="28"/>
  <c r="B107" i="28"/>
  <c r="C107" i="28" s="1"/>
  <c r="B145" i="28"/>
  <c r="C145" i="28" s="1"/>
  <c r="F72" i="28"/>
  <c r="F78" i="28"/>
  <c r="B6" i="28"/>
  <c r="C6" i="28" s="1"/>
  <c r="F177" i="28"/>
  <c r="B103" i="28"/>
  <c r="C103" i="28" s="1"/>
  <c r="B54" i="28"/>
  <c r="C54" i="28" s="1"/>
  <c r="B121" i="28"/>
  <c r="C121" i="28" s="1"/>
  <c r="F126" i="28"/>
  <c r="F136" i="28"/>
  <c r="B104" i="28"/>
  <c r="C104" i="28" s="1"/>
  <c r="B193" i="28"/>
  <c r="C193" i="28" s="1"/>
  <c r="F41" i="28"/>
  <c r="B82" i="28"/>
  <c r="C82" i="28" s="1"/>
  <c r="F175" i="28"/>
  <c r="F100" i="28"/>
  <c r="B55" i="28"/>
  <c r="C55" i="28" s="1"/>
  <c r="F181" i="28"/>
  <c r="B96" i="28"/>
  <c r="C96" i="28" s="1"/>
  <c r="B195" i="28"/>
  <c r="C195" i="28" s="1"/>
  <c r="F138" i="28"/>
  <c r="B100" i="28"/>
  <c r="C100" i="28" s="1"/>
  <c r="F70" i="28"/>
  <c r="F174" i="28"/>
  <c r="B21" i="28"/>
  <c r="C21" i="28" s="1"/>
  <c r="B80" i="28"/>
  <c r="C80" i="28" s="1"/>
  <c r="F108" i="28"/>
  <c r="F74" i="28"/>
  <c r="F22" i="28"/>
  <c r="F89" i="28"/>
  <c r="B43" i="38"/>
  <c r="C43" i="38"/>
  <c r="B160" i="28"/>
  <c r="C160" i="28" s="1"/>
  <c r="F148" i="28"/>
  <c r="B125" i="28"/>
  <c r="C125" i="28" s="1"/>
  <c r="F115" i="28"/>
  <c r="F5" i="28"/>
  <c r="B79" i="28"/>
  <c r="C79" i="28" s="1"/>
  <c r="F114" i="28"/>
  <c r="F55" i="28"/>
  <c r="F168" i="28"/>
  <c r="B156" i="28"/>
  <c r="C156" i="28" s="1"/>
  <c r="F97" i="28"/>
  <c r="B106" i="28"/>
  <c r="C106" i="28" s="1"/>
  <c r="F139" i="28"/>
  <c r="B116" i="28"/>
  <c r="C116" i="28" s="1"/>
  <c r="F27" i="28"/>
  <c r="F156" i="28"/>
  <c r="B36" i="28"/>
  <c r="C36" i="28" s="1"/>
  <c r="B130" i="28"/>
  <c r="C130" i="28" s="1"/>
  <c r="F64" i="28"/>
  <c r="F87" i="28"/>
  <c r="F142" i="28"/>
  <c r="B108" i="28"/>
  <c r="C108" i="28" s="1"/>
  <c r="F99" i="28"/>
  <c r="B129" i="28"/>
  <c r="C129" i="28" s="1"/>
  <c r="F58" i="28"/>
  <c r="F50" i="28"/>
  <c r="F84" i="28"/>
  <c r="F171" i="28"/>
  <c r="B142" i="28"/>
  <c r="C142" i="28" s="1"/>
  <c r="B63" i="28"/>
  <c r="C63" i="28" s="1"/>
  <c r="B109" i="28"/>
  <c r="C109" i="28" s="1"/>
  <c r="F196" i="28"/>
  <c r="B46" i="28"/>
  <c r="C46" i="28" s="1"/>
  <c r="B11" i="28"/>
  <c r="C11" i="28" s="1"/>
  <c r="F199" i="28"/>
  <c r="B144" i="28"/>
  <c r="C144" i="28" s="1"/>
  <c r="B147" i="28"/>
  <c r="C147" i="28" s="1"/>
  <c r="B159" i="28"/>
  <c r="C159" i="28" s="1"/>
  <c r="F77" i="28"/>
  <c r="F105" i="28"/>
  <c r="B99" i="28"/>
  <c r="C99" i="28" s="1"/>
  <c r="B59" i="28"/>
  <c r="C59" i="28" s="1"/>
  <c r="B175" i="28"/>
  <c r="C175" i="28" s="1"/>
  <c r="B45" i="28"/>
  <c r="C45" i="28" s="1"/>
  <c r="B7" i="28"/>
  <c r="C7" i="28" s="1"/>
  <c r="B198" i="28"/>
  <c r="C198" i="28" s="1"/>
  <c r="B13" i="28"/>
  <c r="C13" i="28" s="1"/>
  <c r="B4" i="28"/>
  <c r="C4" i="28" s="1"/>
  <c r="B64" i="28"/>
  <c r="C64" i="28" s="1"/>
  <c r="B22" i="28"/>
  <c r="C22" i="28" s="1"/>
  <c r="F16" i="28"/>
  <c r="B152" i="28"/>
  <c r="C152" i="28" s="1"/>
  <c r="B12" i="28"/>
  <c r="C12" i="28" s="1"/>
  <c r="B155" i="28"/>
  <c r="C155" i="28" s="1"/>
  <c r="B48" i="28"/>
  <c r="C48" i="28" s="1"/>
  <c r="B61" i="28"/>
  <c r="C61" i="28" s="1"/>
  <c r="F184" i="28"/>
  <c r="F42" i="28"/>
  <c r="B51" i="28"/>
  <c r="C51" i="28" s="1"/>
  <c r="B8" i="28"/>
  <c r="C8" i="28" s="1"/>
  <c r="F34" i="28"/>
  <c r="F46" i="28"/>
  <c r="B132" i="28"/>
  <c r="C132" i="28" s="1"/>
  <c r="B188" i="28"/>
  <c r="C188" i="28" s="1"/>
  <c r="B88" i="28"/>
  <c r="C88" i="28" s="1"/>
  <c r="F23" i="28"/>
  <c r="F200" i="28"/>
  <c r="B110" i="28"/>
  <c r="C110" i="28" s="1"/>
  <c r="F185" i="28"/>
  <c r="B47" i="28"/>
  <c r="C47" i="28" s="1"/>
  <c r="B90" i="28"/>
  <c r="C90" i="28" s="1"/>
  <c r="F26" i="28"/>
  <c r="B18" i="28"/>
  <c r="C18" i="28" s="1"/>
  <c r="F180" i="28"/>
  <c r="F29" i="28"/>
  <c r="B176" i="28"/>
  <c r="C176" i="28" s="1"/>
  <c r="F129" i="28"/>
  <c r="F149" i="28"/>
  <c r="B133" i="28"/>
  <c r="C133" i="28" s="1"/>
  <c r="F18" i="28"/>
  <c r="B34" i="28"/>
  <c r="C34" i="28" s="1"/>
  <c r="B27" i="28"/>
  <c r="C27" i="28" s="1"/>
  <c r="B28" i="28"/>
  <c r="C28" i="28" s="1"/>
  <c r="B33" i="28"/>
  <c r="C33" i="28" s="1"/>
  <c r="F159" i="28"/>
  <c r="B183" i="28"/>
  <c r="C183" i="28" s="1"/>
  <c r="F43" i="28"/>
  <c r="B153" i="28"/>
  <c r="C153" i="28" s="1"/>
  <c r="F133" i="28"/>
  <c r="B53" i="28"/>
  <c r="C53" i="28" s="1"/>
  <c r="B146" i="28"/>
  <c r="C146" i="28" s="1"/>
  <c r="F35" i="28"/>
  <c r="B101" i="28"/>
  <c r="C101" i="28" s="1"/>
  <c r="F176" i="28"/>
  <c r="F124" i="28"/>
  <c r="F101" i="28"/>
  <c r="F71" i="28"/>
  <c r="B37" i="28"/>
  <c r="C37" i="28" s="1"/>
  <c r="F143" i="28"/>
  <c r="F104" i="28"/>
  <c r="F10" i="28"/>
  <c r="F183" i="28"/>
  <c r="B118" i="28"/>
  <c r="C118" i="28" s="1"/>
  <c r="B179" i="28"/>
  <c r="C179" i="28" s="1"/>
  <c r="F12" i="28"/>
  <c r="B131" i="28"/>
  <c r="C131" i="28" s="1"/>
  <c r="F57" i="28"/>
  <c r="B5" i="28"/>
  <c r="C5" i="28" s="1"/>
  <c r="B114" i="28"/>
  <c r="C114" i="28" s="1"/>
  <c r="F85" i="28"/>
  <c r="B151" i="28"/>
  <c r="C151" i="28" s="1"/>
  <c r="B138" i="28"/>
  <c r="C138" i="28" s="1"/>
  <c r="B171" i="28"/>
  <c r="C171" i="28" s="1"/>
  <c r="F28" i="28"/>
  <c r="B166" i="28"/>
  <c r="C166" i="28" s="1"/>
  <c r="B177" i="28"/>
  <c r="C177" i="28" s="1"/>
  <c r="B163" i="28"/>
  <c r="C163" i="28" s="1"/>
  <c r="B86" i="28"/>
  <c r="C86" i="28" s="1"/>
  <c r="B168" i="28"/>
  <c r="C168" i="28" s="1"/>
  <c r="B165" i="28"/>
  <c r="C165" i="28" s="1"/>
  <c r="B38" i="28"/>
  <c r="C38" i="28" s="1"/>
  <c r="B73" i="28"/>
  <c r="C73" i="28" s="1"/>
  <c r="B29" i="28"/>
  <c r="C29" i="28" s="1"/>
  <c r="F73" i="28"/>
  <c r="B191" i="28"/>
  <c r="C191" i="28" s="1"/>
  <c r="B85" i="28"/>
  <c r="C85" i="28" s="1"/>
  <c r="B158" i="28"/>
  <c r="C158" i="28" s="1"/>
  <c r="F61" i="28"/>
  <c r="F193" i="28"/>
  <c r="F121" i="28"/>
  <c r="B32" i="28"/>
  <c r="C32" i="28" s="1"/>
  <c r="F110" i="28"/>
  <c r="B10" i="28"/>
  <c r="C10" i="28" s="1"/>
  <c r="B65" i="28"/>
  <c r="C65" i="28" s="1"/>
  <c r="F83" i="28"/>
  <c r="F161" i="28"/>
  <c r="B174" i="28"/>
  <c r="C174" i="28" s="1"/>
  <c r="B89" i="28"/>
  <c r="C89" i="28" s="1"/>
  <c r="G67" i="88" l="1"/>
  <c r="AH5" i="33"/>
  <c r="H5" i="33"/>
  <c r="G55" i="88"/>
  <c r="AI5" i="33"/>
  <c r="G5" i="33"/>
  <c r="G61" i="88"/>
  <c r="G27" i="88"/>
  <c r="H13" i="88"/>
  <c r="J5" i="33"/>
  <c r="C5" i="33"/>
  <c r="B6" i="33" s="1"/>
  <c r="AH6" i="33" s="1"/>
  <c r="G28" i="88"/>
  <c r="F5" i="33"/>
  <c r="S5" i="33" s="1"/>
  <c r="G34" i="88"/>
  <c r="BH16" i="91"/>
  <c r="BJ16" i="91" s="1"/>
  <c r="BH11" i="91"/>
  <c r="C35" i="91"/>
  <c r="C49" i="91" s="1"/>
  <c r="R43" i="27" s="1"/>
  <c r="E9" i="27"/>
  <c r="E22" i="27"/>
  <c r="G64" i="88"/>
  <c r="G35" i="88"/>
  <c r="G54" i="88"/>
  <c r="G31" i="88"/>
  <c r="G33" i="88"/>
  <c r="G29" i="88"/>
  <c r="BH12" i="91"/>
  <c r="G60" i="88"/>
  <c r="E37" i="88"/>
  <c r="G65" i="88"/>
  <c r="P6" i="88"/>
  <c r="G30" i="88"/>
  <c r="B14" i="88"/>
  <c r="G24" i="88"/>
  <c r="G58" i="88"/>
  <c r="C135" i="91"/>
  <c r="D135" i="91" s="1"/>
  <c r="B11" i="88"/>
  <c r="G57" i="88"/>
  <c r="G62" i="88"/>
  <c r="G56" i="88"/>
  <c r="G36" i="88"/>
  <c r="G66" i="88"/>
  <c r="D133" i="91"/>
  <c r="G32" i="88"/>
  <c r="G63" i="88"/>
  <c r="H14" i="88"/>
  <c r="B13" i="88"/>
  <c r="G22" i="88"/>
  <c r="G26" i="88"/>
  <c r="M6" i="88"/>
  <c r="E20" i="88"/>
  <c r="G23" i="88"/>
  <c r="G53" i="88"/>
  <c r="K13" i="88"/>
  <c r="G59" i="88"/>
  <c r="G25" i="88"/>
  <c r="E6" i="27"/>
  <c r="O43" i="27"/>
  <c r="T4" i="33"/>
  <c r="U4" i="33"/>
  <c r="V4" i="33" s="1"/>
  <c r="BJ15" i="91"/>
  <c r="Z4" i="33"/>
  <c r="Y4" i="33" s="1"/>
  <c r="C26" i="38"/>
  <c r="C27" i="38" s="1"/>
  <c r="F2" i="28"/>
  <c r="B1" i="28" s="1"/>
  <c r="I9" i="28"/>
  <c r="H12" i="28"/>
  <c r="H19" i="28"/>
  <c r="H24" i="28"/>
  <c r="H22" i="28"/>
  <c r="I24" i="28"/>
  <c r="I8" i="28"/>
  <c r="H3" i="28"/>
  <c r="I11" i="28"/>
  <c r="H25" i="28"/>
  <c r="H7" i="28"/>
  <c r="I19" i="28"/>
  <c r="H6" i="28"/>
  <c r="I15" i="28"/>
  <c r="I3" i="28"/>
  <c r="H4" i="28"/>
  <c r="I6" i="28"/>
  <c r="I13" i="28"/>
  <c r="H10" i="28"/>
  <c r="I25" i="28"/>
  <c r="H18" i="28"/>
  <c r="I14" i="28"/>
  <c r="I16" i="28"/>
  <c r="I18" i="28"/>
  <c r="I20" i="28"/>
  <c r="H5" i="28"/>
  <c r="I4" i="28"/>
  <c r="H11" i="28"/>
  <c r="H14" i="28"/>
  <c r="I10" i="28"/>
  <c r="I12" i="28"/>
  <c r="I5" i="28"/>
  <c r="H23" i="28"/>
  <c r="H9" i="28"/>
  <c r="I23" i="28"/>
  <c r="H20" i="28"/>
  <c r="H17" i="28"/>
  <c r="H16" i="28"/>
  <c r="H15" i="28"/>
  <c r="H21" i="28"/>
  <c r="I17" i="28"/>
  <c r="I21" i="28"/>
  <c r="H13" i="28"/>
  <c r="I7" i="28"/>
  <c r="H8" i="28"/>
  <c r="I22" i="28"/>
  <c r="L37" i="37"/>
  <c r="L49" i="37"/>
  <c r="L43" i="37"/>
  <c r="L102" i="37"/>
  <c r="L39" i="37"/>
  <c r="L98" i="37"/>
  <c r="L47" i="37"/>
  <c r="L26" i="37"/>
  <c r="L92" i="37"/>
  <c r="L13" i="37"/>
  <c r="L96" i="37"/>
  <c r="L29" i="37"/>
  <c r="L97" i="37"/>
  <c r="L88" i="37"/>
  <c r="L40" i="37"/>
  <c r="L44" i="37"/>
  <c r="L18" i="37"/>
  <c r="L24" i="37"/>
  <c r="L28" i="37"/>
  <c r="L25" i="37"/>
  <c r="L14" i="37"/>
  <c r="L78" i="37"/>
  <c r="L70" i="37"/>
  <c r="L32" i="37"/>
  <c r="L66" i="37"/>
  <c r="L67" i="37"/>
  <c r="L85" i="37"/>
  <c r="L8" i="37"/>
  <c r="L100" i="37"/>
  <c r="L75" i="37"/>
  <c r="L64" i="37"/>
  <c r="L46" i="37"/>
  <c r="L81" i="37"/>
  <c r="L83" i="37"/>
  <c r="L82" i="37"/>
  <c r="L31" i="37"/>
  <c r="L101" i="37"/>
  <c r="L48" i="37"/>
  <c r="L54" i="37"/>
  <c r="L63" i="37"/>
  <c r="L52" i="37"/>
  <c r="L34" i="37"/>
  <c r="L9" i="37"/>
  <c r="L60" i="37"/>
  <c r="L74" i="37"/>
  <c r="L87" i="37"/>
  <c r="L33" i="37"/>
  <c r="L10" i="37"/>
  <c r="L30" i="37"/>
  <c r="L38" i="37"/>
  <c r="L41" i="37"/>
  <c r="L51" i="37"/>
  <c r="L91" i="37"/>
  <c r="L4" i="37"/>
  <c r="L80" i="37"/>
  <c r="L15" i="37"/>
  <c r="L22" i="37"/>
  <c r="L11" i="37"/>
  <c r="L89" i="37"/>
  <c r="L90" i="37"/>
  <c r="L12" i="37"/>
  <c r="L6" i="37"/>
  <c r="L99" i="37"/>
  <c r="L86" i="37"/>
  <c r="L73" i="37"/>
  <c r="L77" i="37"/>
  <c r="L71" i="37"/>
  <c r="L59" i="37"/>
  <c r="L35" i="37"/>
  <c r="L68" i="37"/>
  <c r="L56" i="37"/>
  <c r="L69" i="37"/>
  <c r="L76" i="37"/>
  <c r="L23" i="37"/>
  <c r="L36" i="37"/>
  <c r="L61" i="37"/>
  <c r="L27" i="37"/>
  <c r="L95" i="37"/>
  <c r="L5" i="37"/>
  <c r="L42" i="37"/>
  <c r="L21" i="37"/>
  <c r="L20" i="37"/>
  <c r="L55" i="37"/>
  <c r="L58" i="37"/>
  <c r="L45" i="37"/>
  <c r="L72" i="37"/>
  <c r="L19" i="37"/>
  <c r="L94" i="37"/>
  <c r="L7" i="37"/>
  <c r="L62" i="37"/>
  <c r="L93" i="37"/>
  <c r="L84" i="37"/>
  <c r="L17" i="37"/>
  <c r="L65" i="37"/>
  <c r="L53" i="37"/>
  <c r="L50" i="37"/>
  <c r="L16" i="37"/>
  <c r="L79" i="37"/>
  <c r="L57" i="37"/>
  <c r="D35" i="91" l="1"/>
  <c r="S6" i="88"/>
  <c r="AE27" i="91"/>
  <c r="G6" i="33"/>
  <c r="AI6" i="33"/>
  <c r="H6" i="33"/>
  <c r="Z5" i="33"/>
  <c r="Y5" i="33" s="1"/>
  <c r="J6" i="33"/>
  <c r="I6" i="33"/>
  <c r="C6" i="33"/>
  <c r="B7" i="33" s="1"/>
  <c r="F7" i="33" s="1"/>
  <c r="S7" i="33" s="1"/>
  <c r="U7" i="33" s="1"/>
  <c r="F6" i="33"/>
  <c r="S6" i="33" s="1"/>
  <c r="U6" i="33" s="1"/>
  <c r="C52" i="91"/>
  <c r="D5" i="33" s="1"/>
  <c r="J70" i="91"/>
  <c r="K14" i="88" s="1"/>
  <c r="E88" i="91"/>
  <c r="C48" i="91"/>
  <c r="C51" i="91" s="1"/>
  <c r="D4" i="33" s="1"/>
  <c r="E4" i="33" s="1"/>
  <c r="BJ13" i="91"/>
  <c r="BI13" i="91" s="1"/>
  <c r="BH13" i="91" s="1"/>
  <c r="BI8" i="91" s="1"/>
  <c r="BI7" i="91" s="1"/>
  <c r="R37" i="27"/>
  <c r="U5" i="33"/>
  <c r="V5" i="33" s="1"/>
  <c r="T5" i="33"/>
  <c r="C22" i="38"/>
  <c r="D27" i="38"/>
  <c r="I27" i="28"/>
  <c r="M4" i="37"/>
  <c r="N4" i="37"/>
  <c r="AA6" i="33" l="1"/>
  <c r="Z6" i="33"/>
  <c r="Y6" i="33" s="1"/>
  <c r="AI7" i="33"/>
  <c r="D92" i="91"/>
  <c r="B8" i="88" s="1"/>
  <c r="H7" i="33"/>
  <c r="G7" i="33"/>
  <c r="R41" i="27"/>
  <c r="AH7" i="33"/>
  <c r="C7" i="33"/>
  <c r="D7" i="33" s="1"/>
  <c r="J7" i="33"/>
  <c r="AA5" i="33"/>
  <c r="I7" i="33"/>
  <c r="AA4" i="33"/>
  <c r="AB4" i="33" s="1"/>
  <c r="E5" i="33"/>
  <c r="AA7" i="33"/>
  <c r="D6" i="33"/>
  <c r="M5" i="37"/>
  <c r="M6" i="37" s="1"/>
  <c r="N5" i="37"/>
  <c r="N6" i="37" s="1"/>
  <c r="N7" i="37" s="1"/>
  <c r="V6" i="33"/>
  <c r="V7" i="33" s="1"/>
  <c r="T6" i="33"/>
  <c r="T7" i="33" s="1"/>
  <c r="AB5" i="33" l="1"/>
  <c r="AB6" i="33" s="1"/>
  <c r="AB7" i="33" s="1"/>
  <c r="B8" i="33"/>
  <c r="F8" i="33" s="1"/>
  <c r="Z7" i="33"/>
  <c r="Y7" i="33" s="1"/>
  <c r="E6" i="33"/>
  <c r="E7" i="33" s="1"/>
  <c r="M7" i="37"/>
  <c r="M8" i="37" s="1"/>
  <c r="N8" i="37"/>
  <c r="H8" i="33" l="1"/>
  <c r="C8" i="33"/>
  <c r="B9" i="33" s="1"/>
  <c r="AA8" i="33"/>
  <c r="AB8" i="33" s="1"/>
  <c r="J8" i="33"/>
  <c r="I8" i="33"/>
  <c r="AI8" i="33"/>
  <c r="AH8" i="33"/>
  <c r="G8" i="33"/>
  <c r="S8" i="33"/>
  <c r="O52" i="27"/>
  <c r="J52" i="27"/>
  <c r="P52" i="27"/>
  <c r="M9" i="37"/>
  <c r="N9" i="37"/>
  <c r="D8" i="33" l="1"/>
  <c r="E8" i="33" s="1"/>
  <c r="Z8" i="33"/>
  <c r="Y8" i="33" s="1"/>
  <c r="T8" i="33"/>
  <c r="U8" i="33"/>
  <c r="V8" i="33" s="1"/>
  <c r="I9" i="33"/>
  <c r="J9" i="33"/>
  <c r="C9" i="33"/>
  <c r="D9" i="33" s="1"/>
  <c r="G9" i="33"/>
  <c r="H9" i="33"/>
  <c r="AI9" i="33"/>
  <c r="AA9" i="33"/>
  <c r="AB9" i="33" s="1"/>
  <c r="AH9" i="33"/>
  <c r="F9" i="33"/>
  <c r="S9" i="33" s="1"/>
  <c r="J61" i="87"/>
  <c r="J45" i="87"/>
  <c r="J53" i="87"/>
  <c r="J40" i="87"/>
  <c r="C41" i="27"/>
  <c r="M10" i="37"/>
  <c r="N10" i="37"/>
  <c r="E9" i="33" l="1"/>
  <c r="T9" i="33"/>
  <c r="Z9" i="33"/>
  <c r="Y9" i="33" s="1"/>
  <c r="U9" i="33"/>
  <c r="V9" i="33" s="1"/>
  <c r="B10" i="33"/>
  <c r="J35" i="87"/>
  <c r="J24" i="87"/>
  <c r="J34" i="87"/>
  <c r="J21" i="87"/>
  <c r="J22" i="87"/>
  <c r="N11" i="37"/>
  <c r="M11" i="37"/>
  <c r="H10" i="33" l="1"/>
  <c r="AH10" i="33"/>
  <c r="F10" i="33"/>
  <c r="AA10" i="33"/>
  <c r="AB10" i="33" s="1"/>
  <c r="C10" i="33"/>
  <c r="D10" i="33" s="1"/>
  <c r="E10" i="33" s="1"/>
  <c r="AI10" i="33"/>
  <c r="G10" i="33"/>
  <c r="I10" i="33"/>
  <c r="J10" i="33"/>
  <c r="N12" i="37"/>
  <c r="M12" i="37"/>
  <c r="Z10" i="33" l="1"/>
  <c r="Y10" i="33" s="1"/>
  <c r="N13" i="37"/>
  <c r="N14" i="37" s="1"/>
  <c r="N15" i="37" s="1"/>
  <c r="N16" i="37" s="1"/>
  <c r="N17" i="37" s="1"/>
  <c r="N18" i="37" s="1"/>
  <c r="N19" i="37" s="1"/>
  <c r="N20" i="37" s="1"/>
  <c r="N21" i="37" s="1"/>
  <c r="N22" i="37" s="1"/>
  <c r="N23" i="37" s="1"/>
  <c r="N24" i="37" s="1"/>
  <c r="N25" i="37" s="1"/>
  <c r="N26" i="37" s="1"/>
  <c r="N27" i="37" s="1"/>
  <c r="N28" i="37" s="1"/>
  <c r="N29" i="37" s="1"/>
  <c r="N30" i="37" s="1"/>
  <c r="N31" i="37" s="1"/>
  <c r="N32" i="37" s="1"/>
  <c r="N33" i="37" s="1"/>
  <c r="N34" i="37" s="1"/>
  <c r="N35" i="37" s="1"/>
  <c r="N36" i="37" s="1"/>
  <c r="N37" i="37" s="1"/>
  <c r="N38" i="37" s="1"/>
  <c r="N39" i="37" s="1"/>
  <c r="N40" i="37" s="1"/>
  <c r="N41" i="37" s="1"/>
  <c r="N42" i="37" s="1"/>
  <c r="N43" i="37" s="1"/>
  <c r="N44" i="37" s="1"/>
  <c r="N45" i="37" s="1"/>
  <c r="N46" i="37" s="1"/>
  <c r="N47" i="37" s="1"/>
  <c r="N48" i="37" s="1"/>
  <c r="N49" i="37" s="1"/>
  <c r="N50" i="37" s="1"/>
  <c r="N51" i="37" s="1"/>
  <c r="N52" i="37" s="1"/>
  <c r="N53" i="37" s="1"/>
  <c r="N54" i="37" s="1"/>
  <c r="N55" i="37" s="1"/>
  <c r="N56" i="37" s="1"/>
  <c r="N57" i="37" s="1"/>
  <c r="N58" i="37" s="1"/>
  <c r="N59" i="37" s="1"/>
  <c r="N60" i="37" s="1"/>
  <c r="N61" i="37" s="1"/>
  <c r="N62" i="37" s="1"/>
  <c r="N63" i="37" s="1"/>
  <c r="N64" i="37" s="1"/>
  <c r="N65" i="37" s="1"/>
  <c r="N66" i="37" s="1"/>
  <c r="N67" i="37" s="1"/>
  <c r="N68" i="37" s="1"/>
  <c r="N69" i="37" s="1"/>
  <c r="N70" i="37" s="1"/>
  <c r="N71" i="37" s="1"/>
  <c r="N72" i="37" s="1"/>
  <c r="N73" i="37" s="1"/>
  <c r="N74" i="37" s="1"/>
  <c r="N75" i="37" s="1"/>
  <c r="N76" i="37" s="1"/>
  <c r="N77" i="37" s="1"/>
  <c r="N78" i="37" s="1"/>
  <c r="N79" i="37" s="1"/>
  <c r="N80" i="37" s="1"/>
  <c r="N81" i="37" s="1"/>
  <c r="N82" i="37" s="1"/>
  <c r="N83" i="37" s="1"/>
  <c r="N84" i="37" s="1"/>
  <c r="N85" i="37" s="1"/>
  <c r="N86" i="37" s="1"/>
  <c r="N87" i="37" s="1"/>
  <c r="N88" i="37" s="1"/>
  <c r="N89" i="37" s="1"/>
  <c r="N90" i="37" s="1"/>
  <c r="N91" i="37" s="1"/>
  <c r="N92" i="37" s="1"/>
  <c r="N93" i="37" s="1"/>
  <c r="N94" i="37" s="1"/>
  <c r="N95" i="37" s="1"/>
  <c r="N96" i="37" s="1"/>
  <c r="N97" i="37" s="1"/>
  <c r="N98" i="37" s="1"/>
  <c r="N99" i="37" s="1"/>
  <c r="N100" i="37" s="1"/>
  <c r="N101" i="37" s="1"/>
  <c r="N102" i="37" s="1"/>
  <c r="N103" i="37" s="1"/>
  <c r="N104" i="37" s="1"/>
  <c r="N105" i="37" s="1"/>
  <c r="N106" i="37" s="1"/>
  <c r="N107" i="37" s="1"/>
  <c r="N108" i="37" s="1"/>
  <c r="N109" i="37" s="1"/>
  <c r="N110" i="37" s="1"/>
  <c r="N111" i="37" s="1"/>
  <c r="N112" i="37" s="1"/>
  <c r="N113" i="37" s="1"/>
  <c r="N114" i="37" s="1"/>
  <c r="N115" i="37" s="1"/>
  <c r="N116" i="37" s="1"/>
  <c r="N117" i="37" s="1"/>
  <c r="N118" i="37" s="1"/>
  <c r="N119" i="37" s="1"/>
  <c r="N120" i="37" s="1"/>
  <c r="N121" i="37" s="1"/>
  <c r="N122" i="37" s="1"/>
  <c r="N123" i="37" s="1"/>
  <c r="N124" i="37" s="1"/>
  <c r="N125" i="37" s="1"/>
  <c r="N126" i="37" s="1"/>
  <c r="N127" i="37" s="1"/>
  <c r="N128" i="37" s="1"/>
  <c r="N129" i="37" s="1"/>
  <c r="N130" i="37" s="1"/>
  <c r="N131" i="37" s="1"/>
  <c r="N132" i="37" s="1"/>
  <c r="N133" i="37" s="1"/>
  <c r="N134" i="37" s="1"/>
  <c r="N135" i="37" s="1"/>
  <c r="N136" i="37" s="1"/>
  <c r="N137" i="37" s="1"/>
  <c r="N138" i="37" s="1"/>
  <c r="N139" i="37" s="1"/>
  <c r="N140" i="37" s="1"/>
  <c r="N141" i="37" s="1"/>
  <c r="N142" i="37" s="1"/>
  <c r="N143" i="37" s="1"/>
  <c r="N144" i="37" s="1"/>
  <c r="N145" i="37" s="1"/>
  <c r="N146" i="37" s="1"/>
  <c r="N147" i="37" s="1"/>
  <c r="B11" i="33"/>
  <c r="AH11" i="33" s="1"/>
  <c r="S10" i="33"/>
  <c r="U10" i="33" s="1"/>
  <c r="V10" i="33" s="1"/>
  <c r="M13" i="37"/>
  <c r="M14" i="37" s="1"/>
  <c r="M15" i="37" s="1"/>
  <c r="M16" i="37" s="1"/>
  <c r="M17" i="37" s="1"/>
  <c r="M18" i="37" s="1"/>
  <c r="M19" i="37" s="1"/>
  <c r="M20" i="37" s="1"/>
  <c r="M21" i="37" s="1"/>
  <c r="M22" i="37" s="1"/>
  <c r="M23" i="37" s="1"/>
  <c r="M24" i="37" s="1"/>
  <c r="M25" i="37" s="1"/>
  <c r="M26" i="37" s="1"/>
  <c r="M27" i="37" s="1"/>
  <c r="M28" i="37" s="1"/>
  <c r="M29" i="37" s="1"/>
  <c r="M30" i="37" s="1"/>
  <c r="M31" i="37" s="1"/>
  <c r="M32" i="37" s="1"/>
  <c r="M33" i="37" s="1"/>
  <c r="M34" i="37" s="1"/>
  <c r="M35" i="37" s="1"/>
  <c r="M36" i="37" s="1"/>
  <c r="M37" i="37" s="1"/>
  <c r="M38" i="37" s="1"/>
  <c r="M39" i="37" s="1"/>
  <c r="M40" i="37" s="1"/>
  <c r="M41" i="37" s="1"/>
  <c r="M42" i="37" s="1"/>
  <c r="M43" i="37" s="1"/>
  <c r="M44" i="37" s="1"/>
  <c r="M45" i="37" s="1"/>
  <c r="M46" i="37" s="1"/>
  <c r="M47" i="37" s="1"/>
  <c r="M48" i="37" s="1"/>
  <c r="M49" i="37" s="1"/>
  <c r="M50" i="37" s="1"/>
  <c r="M51" i="37" s="1"/>
  <c r="M52" i="37" s="1"/>
  <c r="M53" i="37" s="1"/>
  <c r="M54" i="37" s="1"/>
  <c r="M55" i="37" s="1"/>
  <c r="M56" i="37" s="1"/>
  <c r="M57" i="37" s="1"/>
  <c r="M58" i="37" s="1"/>
  <c r="M59" i="37" s="1"/>
  <c r="M60" i="37" s="1"/>
  <c r="M61" i="37" s="1"/>
  <c r="M62" i="37" s="1"/>
  <c r="M63" i="37" s="1"/>
  <c r="M64" i="37" s="1"/>
  <c r="M65" i="37" s="1"/>
  <c r="M66" i="37" s="1"/>
  <c r="M67" i="37" s="1"/>
  <c r="M68" i="37" s="1"/>
  <c r="M69" i="37" s="1"/>
  <c r="M70" i="37" s="1"/>
  <c r="M71" i="37" s="1"/>
  <c r="M72" i="37" s="1"/>
  <c r="M73" i="37" s="1"/>
  <c r="M74" i="37" s="1"/>
  <c r="M75" i="37" s="1"/>
  <c r="M76" i="37" s="1"/>
  <c r="M77" i="37" s="1"/>
  <c r="M78" i="37" s="1"/>
  <c r="M79" i="37" s="1"/>
  <c r="M80" i="37" s="1"/>
  <c r="M81" i="37" s="1"/>
  <c r="M82" i="37" s="1"/>
  <c r="M83" i="37" s="1"/>
  <c r="M84" i="37" s="1"/>
  <c r="M85" i="37" s="1"/>
  <c r="M86" i="37" s="1"/>
  <c r="M87" i="37" s="1"/>
  <c r="M88" i="37" s="1"/>
  <c r="M89" i="37" s="1"/>
  <c r="M90" i="37" s="1"/>
  <c r="M91" i="37" s="1"/>
  <c r="M92" i="37" s="1"/>
  <c r="M93" i="37" s="1"/>
  <c r="M94" i="37" s="1"/>
  <c r="M95" i="37" s="1"/>
  <c r="M96" i="37" s="1"/>
  <c r="M97" i="37" s="1"/>
  <c r="M98" i="37" s="1"/>
  <c r="M99" i="37" s="1"/>
  <c r="M100" i="37" s="1"/>
  <c r="M101" i="37" s="1"/>
  <c r="M102" i="37" s="1"/>
  <c r="M103" i="37" s="1"/>
  <c r="M104" i="37" s="1"/>
  <c r="M105" i="37" s="1"/>
  <c r="M106" i="37" s="1"/>
  <c r="C14" i="37" l="1"/>
  <c r="C8" i="37"/>
  <c r="C12" i="37"/>
  <c r="M107" i="37"/>
  <c r="C9" i="37"/>
  <c r="C13" i="37"/>
  <c r="C7" i="37"/>
  <c r="C11" i="37"/>
  <c r="C10" i="37"/>
  <c r="H11" i="33"/>
  <c r="J11" i="33"/>
  <c r="I11" i="33"/>
  <c r="G11" i="33"/>
  <c r="AA11" i="33"/>
  <c r="AB11" i="33" s="1"/>
  <c r="AI11" i="33"/>
  <c r="C11" i="33"/>
  <c r="D11" i="33" s="1"/>
  <c r="E11" i="33" s="1"/>
  <c r="F11" i="33"/>
  <c r="S11" i="33" s="1"/>
  <c r="U11" i="33" s="1"/>
  <c r="V11" i="33" s="1"/>
  <c r="T10" i="33"/>
  <c r="M108" i="37" l="1"/>
  <c r="M109" i="37" s="1"/>
  <c r="M110" i="37" s="1"/>
  <c r="M111" i="37" s="1"/>
  <c r="M112" i="37" s="1"/>
  <c r="M113" i="37" s="1"/>
  <c r="M114" i="37" s="1"/>
  <c r="M115" i="37" s="1"/>
  <c r="M116" i="37" s="1"/>
  <c r="M117" i="37" s="1"/>
  <c r="M118" i="37" s="1"/>
  <c r="M119" i="37" s="1"/>
  <c r="M120" i="37" s="1"/>
  <c r="M121" i="37" s="1"/>
  <c r="M122" i="37" s="1"/>
  <c r="M123" i="37" s="1"/>
  <c r="M124" i="37" s="1"/>
  <c r="M125" i="37" s="1"/>
  <c r="M126" i="37" s="1"/>
  <c r="M127" i="37" s="1"/>
  <c r="M128" i="37" s="1"/>
  <c r="M129" i="37" s="1"/>
  <c r="M130" i="37" s="1"/>
  <c r="M131" i="37" s="1"/>
  <c r="M132" i="37" s="1"/>
  <c r="M133" i="37" s="1"/>
  <c r="M134" i="37" s="1"/>
  <c r="M135" i="37" s="1"/>
  <c r="M136" i="37" s="1"/>
  <c r="M137" i="37" s="1"/>
  <c r="M138" i="37" s="1"/>
  <c r="M139" i="37" s="1"/>
  <c r="M140" i="37" s="1"/>
  <c r="M141" i="37" s="1"/>
  <c r="M142" i="37" s="1"/>
  <c r="M143" i="37" s="1"/>
  <c r="M144" i="37" s="1"/>
  <c r="M145" i="37" s="1"/>
  <c r="M146" i="37" s="1"/>
  <c r="M147" i="37" s="1"/>
  <c r="Z11" i="33"/>
  <c r="Y11" i="33" s="1"/>
  <c r="B12" i="33"/>
  <c r="H12" i="33" s="1"/>
  <c r="T11" i="33"/>
  <c r="D5" i="37" l="1"/>
  <c r="F5" i="37"/>
  <c r="F14" i="37" s="1"/>
  <c r="H5" i="37"/>
  <c r="I5" i="37"/>
  <c r="G5" i="37"/>
  <c r="G14" i="37" s="1"/>
  <c r="E5" i="37"/>
  <c r="E10" i="37" s="1"/>
  <c r="AI12" i="33"/>
  <c r="G12" i="33"/>
  <c r="F12" i="33"/>
  <c r="S12" i="33" s="1"/>
  <c r="U12" i="33" s="1"/>
  <c r="V12" i="33" s="1"/>
  <c r="J12" i="33"/>
  <c r="AA12" i="33"/>
  <c r="AB12" i="33" s="1"/>
  <c r="I12" i="33"/>
  <c r="C12" i="33"/>
  <c r="D12" i="33" s="1"/>
  <c r="E12" i="33" s="1"/>
  <c r="AH12" i="33"/>
  <c r="E8" i="37" l="1"/>
  <c r="I6" i="37"/>
  <c r="F10" i="37"/>
  <c r="F11" i="37"/>
  <c r="E9" i="37"/>
  <c r="I14" i="37"/>
  <c r="I9" i="37"/>
  <c r="G8" i="37"/>
  <c r="G13" i="37"/>
  <c r="G7" i="37"/>
  <c r="I7" i="37"/>
  <c r="I8" i="37"/>
  <c r="I10" i="37"/>
  <c r="H6" i="37"/>
  <c r="H14" i="37"/>
  <c r="H11" i="37"/>
  <c r="H12" i="37"/>
  <c r="H7" i="37"/>
  <c r="H10" i="37"/>
  <c r="H8" i="37"/>
  <c r="F7" i="37"/>
  <c r="F9" i="37"/>
  <c r="F13" i="37"/>
  <c r="F8" i="37"/>
  <c r="F12" i="37"/>
  <c r="G12" i="37"/>
  <c r="G10" i="37"/>
  <c r="D9" i="37"/>
  <c r="D6" i="37"/>
  <c r="D7" i="37"/>
  <c r="D10" i="37"/>
  <c r="D13" i="37"/>
  <c r="D8" i="37"/>
  <c r="D14" i="37"/>
  <c r="D11" i="37"/>
  <c r="D12" i="37"/>
  <c r="F6" i="37"/>
  <c r="E6" i="37"/>
  <c r="I12" i="37"/>
  <c r="G6" i="37"/>
  <c r="H13" i="37"/>
  <c r="E13" i="37"/>
  <c r="E11" i="37"/>
  <c r="E12" i="37"/>
  <c r="E7" i="37"/>
  <c r="E14" i="37"/>
  <c r="G9" i="37"/>
  <c r="G11" i="37"/>
  <c r="I13" i="37"/>
  <c r="H9" i="37"/>
  <c r="I11" i="37"/>
  <c r="B13" i="33"/>
  <c r="I13" i="33" s="1"/>
  <c r="Z12" i="33"/>
  <c r="Y12" i="33" s="1"/>
  <c r="T12" i="33"/>
  <c r="E132" i="33"/>
  <c r="D132" i="33"/>
  <c r="C132" i="33"/>
  <c r="S5" i="27"/>
  <c r="R21" i="27" s="1"/>
  <c r="J13" i="33" l="1"/>
  <c r="G13" i="33"/>
  <c r="AH13" i="33"/>
  <c r="F13" i="33"/>
  <c r="S13" i="33" s="1"/>
  <c r="T13" i="33" s="1"/>
  <c r="AA13" i="33"/>
  <c r="AB13" i="33" s="1"/>
  <c r="H13" i="33"/>
  <c r="C13" i="33"/>
  <c r="D13" i="33" s="1"/>
  <c r="E13" i="33" s="1"/>
  <c r="AI13" i="33"/>
  <c r="Z13" i="33" l="1"/>
  <c r="Y13" i="33" s="1"/>
  <c r="B14" i="33"/>
  <c r="AI14" i="33" s="1"/>
  <c r="U13" i="33"/>
  <c r="V13" i="33" s="1"/>
  <c r="G132" i="33"/>
  <c r="H14" i="33" l="1"/>
  <c r="AH14" i="33"/>
  <c r="I14" i="33"/>
  <c r="J14" i="33"/>
  <c r="G14" i="33"/>
  <c r="C14" i="33"/>
  <c r="B15" i="33" s="1"/>
  <c r="AA15" i="33" s="1"/>
  <c r="AA14" i="33"/>
  <c r="AB14" i="33" s="1"/>
  <c r="F14" i="33"/>
  <c r="S14" i="33" s="1"/>
  <c r="U14" i="33" s="1"/>
  <c r="V14" i="33" s="1"/>
  <c r="I132" i="33"/>
  <c r="H132" i="33"/>
  <c r="F132" i="33"/>
  <c r="D14" i="33" l="1"/>
  <c r="E14" i="33" s="1"/>
  <c r="AB15" i="33"/>
  <c r="H15" i="33"/>
  <c r="G15" i="33"/>
  <c r="C15" i="33"/>
  <c r="B16" i="33" s="1"/>
  <c r="J16" i="33" s="1"/>
  <c r="AH15" i="33"/>
  <c r="F15" i="33"/>
  <c r="S15" i="33" s="1"/>
  <c r="U15" i="33" s="1"/>
  <c r="V15" i="33" s="1"/>
  <c r="AI15" i="33"/>
  <c r="Z14" i="33"/>
  <c r="Y14" i="33" s="1"/>
  <c r="I15" i="33"/>
  <c r="J15" i="33"/>
  <c r="T14" i="33"/>
  <c r="D15" i="33" l="1"/>
  <c r="E15" i="33" s="1"/>
  <c r="Z15" i="33"/>
  <c r="Y15" i="33" s="1"/>
  <c r="H16" i="33"/>
  <c r="F16" i="33"/>
  <c r="S16" i="33" s="1"/>
  <c r="U16" i="33" s="1"/>
  <c r="V16" i="33" s="1"/>
  <c r="AA16" i="33"/>
  <c r="AB16" i="33" s="1"/>
  <c r="AH16" i="33"/>
  <c r="AI16" i="33"/>
  <c r="I16" i="33"/>
  <c r="G16" i="33"/>
  <c r="C16" i="33"/>
  <c r="B17" i="33" s="1"/>
  <c r="H17" i="33" s="1"/>
  <c r="T15" i="33"/>
  <c r="D16" i="33" l="1"/>
  <c r="E16" i="33" s="1"/>
  <c r="C17" i="33"/>
  <c r="B18" i="33" s="1"/>
  <c r="J18" i="33" s="1"/>
  <c r="I17" i="33"/>
  <c r="J17" i="33"/>
  <c r="G17" i="33"/>
  <c r="AH17" i="33"/>
  <c r="F17" i="33"/>
  <c r="S17" i="33" s="1"/>
  <c r="AA17" i="33"/>
  <c r="AB17" i="33" s="1"/>
  <c r="AI17" i="33"/>
  <c r="Z16" i="33"/>
  <c r="Y16" i="33" s="1"/>
  <c r="T16" i="33"/>
  <c r="D17" i="33" l="1"/>
  <c r="E17" i="33" s="1"/>
  <c r="AH18" i="33"/>
  <c r="H18" i="33"/>
  <c r="AI18" i="33"/>
  <c r="F18" i="33"/>
  <c r="S18" i="33" s="1"/>
  <c r="G18" i="33"/>
  <c r="AA18" i="33"/>
  <c r="AB18" i="33" s="1"/>
  <c r="I18" i="33"/>
  <c r="C18" i="33"/>
  <c r="B19" i="33" s="1"/>
  <c r="Z17" i="33"/>
  <c r="Y17" i="33" s="1"/>
  <c r="U17" i="33"/>
  <c r="V17" i="33" s="1"/>
  <c r="T17" i="33"/>
  <c r="D18" i="33" l="1"/>
  <c r="E18" i="33" s="1"/>
  <c r="AH19" i="33"/>
  <c r="F19" i="33"/>
  <c r="S19" i="33" s="1"/>
  <c r="U19" i="33" s="1"/>
  <c r="G19" i="33"/>
  <c r="I19" i="33"/>
  <c r="C19" i="33"/>
  <c r="B20" i="33" s="1"/>
  <c r="J20" i="33" s="1"/>
  <c r="J19" i="33"/>
  <c r="H19" i="33"/>
  <c r="AI19" i="33"/>
  <c r="Z18" i="33"/>
  <c r="Y18" i="33" s="1"/>
  <c r="AA19" i="33"/>
  <c r="AB19" i="33" s="1"/>
  <c r="U18" i="33"/>
  <c r="V18" i="33" s="1"/>
  <c r="T18" i="33"/>
  <c r="Z19" i="33" l="1"/>
  <c r="Y19" i="33" s="1"/>
  <c r="D19" i="33"/>
  <c r="E19" i="33" s="1"/>
  <c r="F20" i="33"/>
  <c r="S20" i="33" s="1"/>
  <c r="AA20" i="33"/>
  <c r="AB20" i="33" s="1"/>
  <c r="AH20" i="33"/>
  <c r="H20" i="33"/>
  <c r="AI20" i="33"/>
  <c r="G20" i="33"/>
  <c r="I20" i="33"/>
  <c r="C20" i="33"/>
  <c r="B21" i="33" s="1"/>
  <c r="G21" i="33" s="1"/>
  <c r="T19" i="33"/>
  <c r="V19" i="33"/>
  <c r="Z20" i="33" l="1"/>
  <c r="Y20" i="33" s="1"/>
  <c r="D20" i="33"/>
  <c r="E20" i="33" s="1"/>
  <c r="C21" i="33"/>
  <c r="B22" i="33" s="1"/>
  <c r="F22" i="33" s="1"/>
  <c r="S22" i="33" s="1"/>
  <c r="AH21" i="33"/>
  <c r="J21" i="33"/>
  <c r="F21" i="33"/>
  <c r="S21" i="33" s="1"/>
  <c r="U21" i="33" s="1"/>
  <c r="AA21" i="33"/>
  <c r="AB21" i="33" s="1"/>
  <c r="I21" i="33"/>
  <c r="AI21" i="33"/>
  <c r="H21" i="33"/>
  <c r="T20" i="33"/>
  <c r="U20" i="33"/>
  <c r="V20" i="33" s="1"/>
  <c r="Z21" i="33" l="1"/>
  <c r="Y21" i="33" s="1"/>
  <c r="C22" i="33"/>
  <c r="B23" i="33" s="1"/>
  <c r="AA23" i="33" s="1"/>
  <c r="AH22" i="33"/>
  <c r="I22" i="33"/>
  <c r="J22" i="33"/>
  <c r="D21" i="33"/>
  <c r="E21" i="33" s="1"/>
  <c r="AA22" i="33"/>
  <c r="AB22" i="33" s="1"/>
  <c r="H22" i="33"/>
  <c r="G22" i="33"/>
  <c r="AI22" i="33"/>
  <c r="V21" i="33"/>
  <c r="T21" i="33"/>
  <c r="T22" i="33" s="1"/>
  <c r="U22" i="33"/>
  <c r="Z22" i="33" l="1"/>
  <c r="Y22" i="33" s="1"/>
  <c r="D22" i="33"/>
  <c r="E22" i="33" s="1"/>
  <c r="G23" i="33"/>
  <c r="I23" i="33"/>
  <c r="J23" i="33"/>
  <c r="H23" i="33"/>
  <c r="F23" i="33"/>
  <c r="S23" i="33" s="1"/>
  <c r="U23" i="33" s="1"/>
  <c r="AI23" i="33"/>
  <c r="C23" i="33"/>
  <c r="B24" i="33" s="1"/>
  <c r="H24" i="33" s="1"/>
  <c r="AH23" i="33"/>
  <c r="AB23" i="33"/>
  <c r="V22" i="33"/>
  <c r="D23" i="33" l="1"/>
  <c r="E23" i="33" s="1"/>
  <c r="Z23" i="33"/>
  <c r="Y23" i="33" s="1"/>
  <c r="T23" i="33"/>
  <c r="G24" i="33"/>
  <c r="J24" i="33"/>
  <c r="F24" i="33"/>
  <c r="S24" i="33" s="1"/>
  <c r="U24" i="33" s="1"/>
  <c r="V23" i="33"/>
  <c r="AH24" i="33"/>
  <c r="AA24" i="33"/>
  <c r="AB24" i="33" s="1"/>
  <c r="C24" i="33"/>
  <c r="B25" i="33" s="1"/>
  <c r="F25" i="33" s="1"/>
  <c r="S25" i="33" s="1"/>
  <c r="U25" i="33" s="1"/>
  <c r="AI24" i="33"/>
  <c r="I24" i="33"/>
  <c r="D24" i="33" l="1"/>
  <c r="E24" i="33" s="1"/>
  <c r="T24" i="33"/>
  <c r="T25" i="33" s="1"/>
  <c r="V24" i="33"/>
  <c r="V25" i="33" s="1"/>
  <c r="G25" i="33"/>
  <c r="AI25" i="33"/>
  <c r="C25" i="33"/>
  <c r="B26" i="33" s="1"/>
  <c r="I26" i="33" s="1"/>
  <c r="I25" i="33"/>
  <c r="Z24" i="33"/>
  <c r="Y24" i="33" s="1"/>
  <c r="H25" i="33"/>
  <c r="Z25" i="33" s="1"/>
  <c r="Y25" i="33" s="1"/>
  <c r="AH25" i="33"/>
  <c r="J25" i="33"/>
  <c r="AA25" i="33"/>
  <c r="AB25" i="33" s="1"/>
  <c r="D25" i="33" l="1"/>
  <c r="E25" i="33" s="1"/>
  <c r="AA26" i="33"/>
  <c r="AB26" i="33" s="1"/>
  <c r="G26" i="33"/>
  <c r="AH26" i="33"/>
  <c r="F26" i="33"/>
  <c r="S26" i="33" s="1"/>
  <c r="T26" i="33" s="1"/>
  <c r="AI26" i="33"/>
  <c r="J26" i="33"/>
  <c r="H26" i="33"/>
  <c r="C26" i="33"/>
  <c r="B27" i="33" s="1"/>
  <c r="G27" i="33" s="1"/>
  <c r="Z26" i="33" l="1"/>
  <c r="Y26" i="33" s="1"/>
  <c r="D26" i="33"/>
  <c r="E26" i="33" s="1"/>
  <c r="H27" i="33"/>
  <c r="AH27" i="33"/>
  <c r="AA27" i="33"/>
  <c r="AB27" i="33" s="1"/>
  <c r="U26" i="33"/>
  <c r="V26" i="33" s="1"/>
  <c r="F27" i="33"/>
  <c r="S27" i="33" s="1"/>
  <c r="U27" i="33" s="1"/>
  <c r="C27" i="33"/>
  <c r="B28" i="33" s="1"/>
  <c r="G28" i="33" s="1"/>
  <c r="I27" i="33"/>
  <c r="J27" i="33"/>
  <c r="AI27" i="33"/>
  <c r="D27" i="33" l="1"/>
  <c r="E27" i="33" s="1"/>
  <c r="V27" i="33"/>
  <c r="I28" i="33"/>
  <c r="Z27" i="33"/>
  <c r="Y27" i="33" s="1"/>
  <c r="J28" i="33"/>
  <c r="C28" i="33"/>
  <c r="B29" i="33" s="1"/>
  <c r="AH29" i="33" s="1"/>
  <c r="AI28" i="33"/>
  <c r="AH28" i="33"/>
  <c r="T27" i="33"/>
  <c r="AA28" i="33"/>
  <c r="AB28" i="33" s="1"/>
  <c r="H28" i="33"/>
  <c r="Z28" i="33" s="1"/>
  <c r="Y28" i="33" s="1"/>
  <c r="F28" i="33"/>
  <c r="S28" i="33" s="1"/>
  <c r="U28" i="33" s="1"/>
  <c r="D28" i="33" l="1"/>
  <c r="E28" i="33" s="1"/>
  <c r="V28" i="33"/>
  <c r="G29" i="33"/>
  <c r="I29" i="33"/>
  <c r="F29" i="33"/>
  <c r="S29" i="33" s="1"/>
  <c r="U29" i="33" s="1"/>
  <c r="C29" i="33"/>
  <c r="B30" i="33" s="1"/>
  <c r="J29" i="33"/>
  <c r="T28" i="33"/>
  <c r="H29" i="33"/>
  <c r="Z29" i="33" s="1"/>
  <c r="AA29" i="33"/>
  <c r="AB29" i="33" s="1"/>
  <c r="AI29" i="33"/>
  <c r="D29" i="33" l="1"/>
  <c r="E29" i="33" s="1"/>
  <c r="V29" i="33"/>
  <c r="T29" i="33"/>
  <c r="Y29" i="33"/>
  <c r="I30" i="33"/>
  <c r="AI30" i="33"/>
  <c r="F30" i="33"/>
  <c r="S30" i="33" s="1"/>
  <c r="G30" i="33"/>
  <c r="H30" i="33"/>
  <c r="C30" i="33"/>
  <c r="J30" i="33"/>
  <c r="AH30" i="33"/>
  <c r="AA30" i="33"/>
  <c r="AB30" i="33" s="1"/>
  <c r="Z30" i="33" l="1"/>
  <c r="Y30" i="33" s="1"/>
  <c r="B31" i="33"/>
  <c r="C31" i="33" s="1"/>
  <c r="D30" i="33"/>
  <c r="E30" i="33" s="1"/>
  <c r="U30" i="33"/>
  <c r="V30" i="33" s="1"/>
  <c r="T30" i="33"/>
  <c r="B32" i="33" l="1"/>
  <c r="C32" i="33" s="1"/>
  <c r="G31" i="33"/>
  <c r="H31" i="33"/>
  <c r="Z31" i="33" s="1"/>
  <c r="AI31" i="33"/>
  <c r="J31" i="33"/>
  <c r="F31" i="33"/>
  <c r="S31" i="33" s="1"/>
  <c r="U31" i="33" s="1"/>
  <c r="V31" i="33" s="1"/>
  <c r="I31" i="33"/>
  <c r="AA31" i="33"/>
  <c r="AB31" i="33" s="1"/>
  <c r="AH31" i="33"/>
  <c r="D31" i="33"/>
  <c r="E31" i="33" s="1"/>
  <c r="Y31" i="33" l="1"/>
  <c r="B33" i="33"/>
  <c r="C33" i="33" s="1"/>
  <c r="T31" i="33"/>
  <c r="AI32" i="33"/>
  <c r="D32" i="33"/>
  <c r="E32" i="33" s="1"/>
  <c r="AA32" i="33"/>
  <c r="AB32" i="33" s="1"/>
  <c r="F32" i="33"/>
  <c r="S32" i="33" s="1"/>
  <c r="U32" i="33" s="1"/>
  <c r="V32" i="33" s="1"/>
  <c r="AH32" i="33"/>
  <c r="G32" i="33"/>
  <c r="I32" i="33"/>
  <c r="H32" i="33"/>
  <c r="Z32" i="33" s="1"/>
  <c r="J32" i="33"/>
  <c r="Y32" i="33" l="1"/>
  <c r="B34" i="33"/>
  <c r="C34" i="33" s="1"/>
  <c r="B35" i="33" s="1"/>
  <c r="J35" i="33" s="1"/>
  <c r="T32" i="33"/>
  <c r="D33" i="33"/>
  <c r="E33" i="33" s="1"/>
  <c r="H33" i="33"/>
  <c r="Z33" i="33" s="1"/>
  <c r="I33" i="33"/>
  <c r="G33" i="33"/>
  <c r="AA33" i="33"/>
  <c r="AB33" i="33" s="1"/>
  <c r="F33" i="33"/>
  <c r="S33" i="33" s="1"/>
  <c r="U33" i="33" s="1"/>
  <c r="V33" i="33" s="1"/>
  <c r="J33" i="33"/>
  <c r="AH33" i="33"/>
  <c r="AI33" i="33"/>
  <c r="I35" i="33" l="1"/>
  <c r="AA35" i="33"/>
  <c r="AI35" i="33"/>
  <c r="G35" i="33"/>
  <c r="AH35" i="33"/>
  <c r="D35" i="33"/>
  <c r="H35" i="33"/>
  <c r="F35" i="33"/>
  <c r="S35" i="33" s="1"/>
  <c r="U35" i="33" s="1"/>
  <c r="C35" i="33"/>
  <c r="B36" i="33" s="1"/>
  <c r="J36" i="33" s="1"/>
  <c r="T33" i="33"/>
  <c r="Y33" i="33"/>
  <c r="J34" i="33"/>
  <c r="F34" i="33"/>
  <c r="S34" i="33" s="1"/>
  <c r="U34" i="33" s="1"/>
  <c r="V34" i="33" s="1"/>
  <c r="AH34" i="33"/>
  <c r="H34" i="33"/>
  <c r="Z34" i="33" s="1"/>
  <c r="Y34" i="33" s="1"/>
  <c r="G34" i="33"/>
  <c r="AI34" i="33"/>
  <c r="AA34" i="33"/>
  <c r="AB34" i="33" s="1"/>
  <c r="D34" i="33"/>
  <c r="E34" i="33" s="1"/>
  <c r="I34" i="33"/>
  <c r="E35" i="33" l="1"/>
  <c r="Z35" i="33"/>
  <c r="Y35" i="33" s="1"/>
  <c r="C36" i="33"/>
  <c r="B37" i="33" s="1"/>
  <c r="I37" i="33" s="1"/>
  <c r="AB35" i="33"/>
  <c r="AH36" i="33"/>
  <c r="D36" i="33"/>
  <c r="F36" i="33"/>
  <c r="S36" i="33" s="1"/>
  <c r="U36" i="33" s="1"/>
  <c r="I36" i="33"/>
  <c r="AI36" i="33"/>
  <c r="H36" i="33"/>
  <c r="Z36" i="33" s="1"/>
  <c r="G36" i="33"/>
  <c r="AA36" i="33"/>
  <c r="T34" i="33"/>
  <c r="T35" i="33" s="1"/>
  <c r="V35" i="33"/>
  <c r="E36" i="33" l="1"/>
  <c r="AI37" i="33"/>
  <c r="F37" i="33"/>
  <c r="S37" i="33" s="1"/>
  <c r="U37" i="33" s="1"/>
  <c r="AA37" i="33"/>
  <c r="J37" i="33"/>
  <c r="D37" i="33"/>
  <c r="H37" i="33"/>
  <c r="G37" i="33"/>
  <c r="AH37" i="33"/>
  <c r="C37" i="33"/>
  <c r="B38" i="33" s="1"/>
  <c r="AI38" i="33" s="1"/>
  <c r="AB36" i="33"/>
  <c r="V36" i="33"/>
  <c r="T36" i="33"/>
  <c r="Y36" i="33"/>
  <c r="E37" i="33" l="1"/>
  <c r="Z37" i="33"/>
  <c r="Y37" i="33" s="1"/>
  <c r="T37" i="33"/>
  <c r="AB37" i="33"/>
  <c r="V37" i="33"/>
  <c r="AA38" i="33"/>
  <c r="C38" i="33"/>
  <c r="B39" i="33" s="1"/>
  <c r="F38" i="33"/>
  <c r="S38" i="33" s="1"/>
  <c r="U38" i="33" s="1"/>
  <c r="H38" i="33"/>
  <c r="Z38" i="33" s="1"/>
  <c r="G38" i="33"/>
  <c r="J38" i="33"/>
  <c r="AH38" i="33"/>
  <c r="D38" i="33"/>
  <c r="I38" i="33"/>
  <c r="E38" i="33" l="1"/>
  <c r="AB38" i="33"/>
  <c r="V38" i="33"/>
  <c r="T38" i="33"/>
  <c r="Y38" i="33"/>
  <c r="C39" i="33"/>
  <c r="B40" i="33" s="1"/>
  <c r="AI39" i="33"/>
  <c r="D39" i="33"/>
  <c r="AH39" i="33"/>
  <c r="F39" i="33"/>
  <c r="S39" i="33" s="1"/>
  <c r="J39" i="33"/>
  <c r="AA39" i="33"/>
  <c r="I39" i="33"/>
  <c r="G39" i="33"/>
  <c r="H39" i="33"/>
  <c r="E39" i="33" l="1"/>
  <c r="Z39" i="33"/>
  <c r="Y39" i="33" s="1"/>
  <c r="T39" i="33"/>
  <c r="AB39" i="33"/>
  <c r="C40" i="33"/>
  <c r="B41" i="33" s="1"/>
  <c r="U39" i="33"/>
  <c r="V39" i="33" s="1"/>
  <c r="J40" i="33"/>
  <c r="G40" i="33"/>
  <c r="AA40" i="33"/>
  <c r="F40" i="33"/>
  <c r="S40" i="33" s="1"/>
  <c r="I40" i="33"/>
  <c r="AH40" i="33"/>
  <c r="H40" i="33"/>
  <c r="AI40" i="33"/>
  <c r="D40" i="33"/>
  <c r="T40" i="33" l="1"/>
  <c r="Z40" i="33"/>
  <c r="Y40" i="33" s="1"/>
  <c r="E40" i="33"/>
  <c r="AB40" i="33"/>
  <c r="C41" i="33"/>
  <c r="B42" i="33" s="1"/>
  <c r="I41" i="33"/>
  <c r="D41" i="33"/>
  <c r="AA41" i="33"/>
  <c r="G41" i="33"/>
  <c r="AH41" i="33"/>
  <c r="J41" i="33"/>
  <c r="H41" i="33"/>
  <c r="Z41" i="33" s="1"/>
  <c r="AI41" i="33"/>
  <c r="F41" i="33"/>
  <c r="S41" i="33" s="1"/>
  <c r="U40" i="33"/>
  <c r="V40" i="33" s="1"/>
  <c r="T41" i="33" l="1"/>
  <c r="E41" i="33"/>
  <c r="AB41" i="33"/>
  <c r="Y41" i="33"/>
  <c r="U41" i="33"/>
  <c r="V41" i="33" s="1"/>
  <c r="AA42" i="33"/>
  <c r="F42" i="33"/>
  <c r="S42" i="33" s="1"/>
  <c r="J42" i="33"/>
  <c r="G42" i="33"/>
  <c r="H42" i="33"/>
  <c r="AI42" i="33"/>
  <c r="I42" i="33"/>
  <c r="AH42" i="33"/>
  <c r="D42" i="33"/>
  <c r="C42" i="33"/>
  <c r="T42" i="33" l="1"/>
  <c r="E42" i="33"/>
  <c r="AB42" i="33"/>
  <c r="Z42" i="33"/>
  <c r="Y42" i="33" s="1"/>
  <c r="U42" i="33"/>
  <c r="V42" i="33" s="1"/>
  <c r="B43" i="33"/>
  <c r="C43" i="33" l="1"/>
  <c r="B44" i="33" s="1"/>
  <c r="AI43" i="33"/>
  <c r="G43" i="33"/>
  <c r="D43" i="33"/>
  <c r="E43" i="33" s="1"/>
  <c r="AH43" i="33"/>
  <c r="AA43" i="33"/>
  <c r="AB43" i="33" s="1"/>
  <c r="F43" i="33"/>
  <c r="S43" i="33" s="1"/>
  <c r="I43" i="33"/>
  <c r="H43" i="33"/>
  <c r="Z43" i="33" s="1"/>
  <c r="J43" i="33"/>
  <c r="Y43" i="33" l="1"/>
  <c r="U43" i="33"/>
  <c r="V43" i="33" s="1"/>
  <c r="T43" i="33"/>
  <c r="AH44" i="33"/>
  <c r="J44" i="33"/>
  <c r="D44" i="33"/>
  <c r="E44" i="33" s="1"/>
  <c r="F44" i="33"/>
  <c r="S44" i="33" s="1"/>
  <c r="U44" i="33" s="1"/>
  <c r="AI44" i="33"/>
  <c r="G44" i="33"/>
  <c r="I44" i="33"/>
  <c r="AA44" i="33"/>
  <c r="AB44" i="33" s="1"/>
  <c r="H44" i="33"/>
  <c r="C44" i="33"/>
  <c r="Z44" i="33" l="1"/>
  <c r="Y44" i="33" s="1"/>
  <c r="V44" i="33"/>
  <c r="T44" i="33"/>
  <c r="B45" i="33"/>
  <c r="C45" i="33" l="1"/>
  <c r="B46" i="33" s="1"/>
  <c r="D45" i="33"/>
  <c r="E45" i="33" s="1"/>
  <c r="AH45" i="33"/>
  <c r="F45" i="33"/>
  <c r="S45" i="33" s="1"/>
  <c r="T45" i="33" s="1"/>
  <c r="AA45" i="33"/>
  <c r="AB45" i="33" s="1"/>
  <c r="I45" i="33"/>
  <c r="J45" i="33"/>
  <c r="G45" i="33"/>
  <c r="H45" i="33"/>
  <c r="Z45" i="33" s="1"/>
  <c r="AI45" i="33"/>
  <c r="Y45" i="33" l="1"/>
  <c r="C46" i="33"/>
  <c r="B47" i="33" s="1"/>
  <c r="U45" i="33"/>
  <c r="V45" i="33" s="1"/>
  <c r="D46" i="33"/>
  <c r="E46" i="33" s="1"/>
  <c r="J46" i="33"/>
  <c r="AI46" i="33"/>
  <c r="AH46" i="33"/>
  <c r="AA46" i="33"/>
  <c r="AB46" i="33" s="1"/>
  <c r="F46" i="33"/>
  <c r="S46" i="33" s="1"/>
  <c r="I46" i="33"/>
  <c r="G46" i="33"/>
  <c r="H46" i="33"/>
  <c r="Z46" i="33" s="1"/>
  <c r="Y46" i="33" l="1"/>
  <c r="U46" i="33"/>
  <c r="V46" i="33" s="1"/>
  <c r="T46" i="33"/>
  <c r="F47" i="33"/>
  <c r="S47" i="33" s="1"/>
  <c r="U47" i="33" s="1"/>
  <c r="AA47" i="33"/>
  <c r="AB47" i="33" s="1"/>
  <c r="I47" i="33"/>
  <c r="J47" i="33"/>
  <c r="D47" i="33"/>
  <c r="E47" i="33" s="1"/>
  <c r="AH47" i="33"/>
  <c r="H47" i="33"/>
  <c r="AI47" i="33"/>
  <c r="G47" i="33"/>
  <c r="C47" i="33"/>
  <c r="Z47" i="33" l="1"/>
  <c r="Y47" i="33" s="1"/>
  <c r="V47" i="33"/>
  <c r="T47" i="33"/>
  <c r="B48" i="33"/>
  <c r="C48" i="33" l="1"/>
  <c r="B49" i="33" s="1"/>
  <c r="I49" i="33" s="1"/>
  <c r="AI48" i="33"/>
  <c r="D48" i="33"/>
  <c r="E48" i="33" s="1"/>
  <c r="AH48" i="33"/>
  <c r="F48" i="33"/>
  <c r="S48" i="33" s="1"/>
  <c r="T48" i="33" s="1"/>
  <c r="AA48" i="33"/>
  <c r="AB48" i="33" s="1"/>
  <c r="I48" i="33"/>
  <c r="J48" i="33"/>
  <c r="G48" i="33"/>
  <c r="H48" i="33"/>
  <c r="Z48" i="33" l="1"/>
  <c r="Y48" i="33" s="1"/>
  <c r="C49" i="33"/>
  <c r="B50" i="33" s="1"/>
  <c r="G50" i="33" s="1"/>
  <c r="AI49" i="33"/>
  <c r="H49" i="33"/>
  <c r="J49" i="33"/>
  <c r="AH49" i="33"/>
  <c r="D49" i="33"/>
  <c r="E49" i="33" s="1"/>
  <c r="G49" i="33"/>
  <c r="AA49" i="33"/>
  <c r="AB49" i="33" s="1"/>
  <c r="F49" i="33"/>
  <c r="S49" i="33" s="1"/>
  <c r="U49" i="33" s="1"/>
  <c r="U48" i="33"/>
  <c r="V48" i="33" s="1"/>
  <c r="AA50" i="33" l="1"/>
  <c r="AB50" i="33" s="1"/>
  <c r="F50" i="33"/>
  <c r="S50" i="33" s="1"/>
  <c r="U50" i="33" s="1"/>
  <c r="I50" i="33"/>
  <c r="J50" i="33"/>
  <c r="H50" i="33"/>
  <c r="C50" i="33"/>
  <c r="B51" i="33" s="1"/>
  <c r="F51" i="33" s="1"/>
  <c r="S51" i="33" s="1"/>
  <c r="U51" i="33" s="1"/>
  <c r="AH50" i="33"/>
  <c r="AI50" i="33"/>
  <c r="D50" i="33"/>
  <c r="E50" i="33" s="1"/>
  <c r="Z49" i="33"/>
  <c r="Y49" i="33" s="1"/>
  <c r="V49" i="33"/>
  <c r="T49" i="33"/>
  <c r="Z50" i="33" l="1"/>
  <c r="Y50" i="33" s="1"/>
  <c r="T50" i="33"/>
  <c r="T51" i="33" s="1"/>
  <c r="C51" i="33"/>
  <c r="B52" i="33" s="1"/>
  <c r="J52" i="33" s="1"/>
  <c r="AI51" i="33"/>
  <c r="H51" i="33"/>
  <c r="Z51" i="33" s="1"/>
  <c r="J51" i="33"/>
  <c r="D51" i="33"/>
  <c r="E51" i="33" s="1"/>
  <c r="AA51" i="33"/>
  <c r="AB51" i="33" s="1"/>
  <c r="G51" i="33"/>
  <c r="AH51" i="33"/>
  <c r="I51" i="33"/>
  <c r="V50" i="33"/>
  <c r="V51" i="33" s="1"/>
  <c r="H52" i="33" l="1"/>
  <c r="I52" i="33"/>
  <c r="C52" i="33"/>
  <c r="B53" i="33" s="1"/>
  <c r="H53" i="33" s="1"/>
  <c r="D52" i="33"/>
  <c r="E52" i="33" s="1"/>
  <c r="AI52" i="33"/>
  <c r="G52" i="33"/>
  <c r="F52" i="33"/>
  <c r="S52" i="33" s="1"/>
  <c r="U52" i="33" s="1"/>
  <c r="V52" i="33" s="1"/>
  <c r="AA52" i="33"/>
  <c r="AB52" i="33" s="1"/>
  <c r="AH52" i="33"/>
  <c r="Y51" i="33"/>
  <c r="C53" i="33" l="1"/>
  <c r="B54" i="33" s="1"/>
  <c r="G54" i="33" s="1"/>
  <c r="F53" i="33"/>
  <c r="S53" i="33" s="1"/>
  <c r="U53" i="33" s="1"/>
  <c r="V53" i="33" s="1"/>
  <c r="AA53" i="33"/>
  <c r="AB53" i="33" s="1"/>
  <c r="J53" i="33"/>
  <c r="AI53" i="33"/>
  <c r="Z52" i="33"/>
  <c r="Y52" i="33" s="1"/>
  <c r="D53" i="33"/>
  <c r="E53" i="33" s="1"/>
  <c r="G53" i="33"/>
  <c r="I53" i="33"/>
  <c r="AH53" i="33"/>
  <c r="T52" i="33"/>
  <c r="H54" i="33" l="1"/>
  <c r="T53" i="33"/>
  <c r="Z53" i="33"/>
  <c r="Y53" i="33" s="1"/>
  <c r="D54" i="33"/>
  <c r="E54" i="33" s="1"/>
  <c r="J54" i="33"/>
  <c r="C54" i="33"/>
  <c r="B55" i="33" s="1"/>
  <c r="D55" i="33" s="1"/>
  <c r="I54" i="33"/>
  <c r="F54" i="33"/>
  <c r="S54" i="33" s="1"/>
  <c r="U54" i="33" s="1"/>
  <c r="V54" i="33" s="1"/>
  <c r="AI54" i="33"/>
  <c r="AH54" i="33"/>
  <c r="AA54" i="33"/>
  <c r="AB54" i="33" s="1"/>
  <c r="G55" i="33" l="1"/>
  <c r="J55" i="33"/>
  <c r="I55" i="33"/>
  <c r="F55" i="33"/>
  <c r="S55" i="33" s="1"/>
  <c r="U55" i="33" s="1"/>
  <c r="V55" i="33" s="1"/>
  <c r="H55" i="33"/>
  <c r="C55" i="33"/>
  <c r="B56" i="33" s="1"/>
  <c r="AI56" i="33" s="1"/>
  <c r="AH55" i="33"/>
  <c r="AI55" i="33"/>
  <c r="Z54" i="33"/>
  <c r="Y54" i="33" s="1"/>
  <c r="AA55" i="33"/>
  <c r="AB55" i="33" s="1"/>
  <c r="T54" i="33"/>
  <c r="E55" i="33"/>
  <c r="Z55" i="33" l="1"/>
  <c r="Y55" i="33" s="1"/>
  <c r="I56" i="33"/>
  <c r="C56" i="33"/>
  <c r="B57" i="33" s="1"/>
  <c r="I57" i="33" s="1"/>
  <c r="G56" i="33"/>
  <c r="F56" i="33"/>
  <c r="S56" i="33" s="1"/>
  <c r="U56" i="33" s="1"/>
  <c r="V56" i="33" s="1"/>
  <c r="AA56" i="33"/>
  <c r="AB56" i="33" s="1"/>
  <c r="AH56" i="33"/>
  <c r="D56" i="33"/>
  <c r="E56" i="33" s="1"/>
  <c r="J56" i="33"/>
  <c r="H56" i="33"/>
  <c r="Z56" i="33" s="1"/>
  <c r="Y56" i="33" s="1"/>
  <c r="T55" i="33"/>
  <c r="C57" i="33" l="1"/>
  <c r="B58" i="33" s="1"/>
  <c r="D58" i="33" s="1"/>
  <c r="AH57" i="33"/>
  <c r="F57" i="33"/>
  <c r="S57" i="33" s="1"/>
  <c r="U57" i="33" s="1"/>
  <c r="V57" i="33" s="1"/>
  <c r="J57" i="33"/>
  <c r="G57" i="33"/>
  <c r="H57" i="33"/>
  <c r="AI57" i="33"/>
  <c r="D57" i="33"/>
  <c r="E57" i="33" s="1"/>
  <c r="AA57" i="33"/>
  <c r="AB57" i="33" s="1"/>
  <c r="T56" i="33"/>
  <c r="Z57" i="33" l="1"/>
  <c r="Y57" i="33" s="1"/>
  <c r="E58" i="33"/>
  <c r="C58" i="33"/>
  <c r="B59" i="33" s="1"/>
  <c r="H59" i="33" s="1"/>
  <c r="J58" i="33"/>
  <c r="F58" i="33"/>
  <c r="S58" i="33" s="1"/>
  <c r="U58" i="33" s="1"/>
  <c r="V58" i="33" s="1"/>
  <c r="G58" i="33"/>
  <c r="H58" i="33"/>
  <c r="Z58" i="33" s="1"/>
  <c r="Y58" i="33" s="1"/>
  <c r="AH58" i="33"/>
  <c r="I58" i="33"/>
  <c r="AA58" i="33"/>
  <c r="AB58" i="33" s="1"/>
  <c r="AI58" i="33"/>
  <c r="T57" i="33"/>
  <c r="T58" i="33" l="1"/>
  <c r="AH59" i="33"/>
  <c r="G59" i="33"/>
  <c r="F59" i="33"/>
  <c r="S59" i="33" s="1"/>
  <c r="D59" i="33"/>
  <c r="E59" i="33" s="1"/>
  <c r="J59" i="33"/>
  <c r="AA59" i="33"/>
  <c r="AB59" i="33" s="1"/>
  <c r="I59" i="33"/>
  <c r="AI59" i="33"/>
  <c r="C59" i="33"/>
  <c r="B60" i="33" s="1"/>
  <c r="C60" i="33" s="1"/>
  <c r="B61" i="33" s="1"/>
  <c r="D61" i="33" s="1"/>
  <c r="T59" i="33" l="1"/>
  <c r="U59" i="33"/>
  <c r="V59" i="33" s="1"/>
  <c r="Z59" i="33"/>
  <c r="Y59" i="33" s="1"/>
  <c r="D60" i="33"/>
  <c r="J60" i="33"/>
  <c r="AH60" i="33"/>
  <c r="C61" i="33"/>
  <c r="B62" i="33" s="1"/>
  <c r="AI62" i="33" s="1"/>
  <c r="AA60" i="33"/>
  <c r="AB60" i="33" s="1"/>
  <c r="F60" i="33"/>
  <c r="S60" i="33" s="1"/>
  <c r="U60" i="33" s="1"/>
  <c r="G60" i="33"/>
  <c r="H60" i="33"/>
  <c r="Z60" i="33" s="1"/>
  <c r="J61" i="33"/>
  <c r="F61" i="33"/>
  <c r="S61" i="33" s="1"/>
  <c r="U61" i="33" s="1"/>
  <c r="H61" i="33"/>
  <c r="AA61" i="33"/>
  <c r="AI61" i="33"/>
  <c r="AH61" i="33"/>
  <c r="G61" i="33"/>
  <c r="I61" i="33"/>
  <c r="AI60" i="33"/>
  <c r="E60" i="33"/>
  <c r="E61" i="33" s="1"/>
  <c r="I60" i="33"/>
  <c r="V60" i="33" l="1"/>
  <c r="V61" i="33" s="1"/>
  <c r="G62" i="33"/>
  <c r="Z61" i="33"/>
  <c r="Y61" i="33" s="1"/>
  <c r="C62" i="33"/>
  <c r="B63" i="33" s="1"/>
  <c r="C63" i="33" s="1"/>
  <c r="B64" i="33" s="1"/>
  <c r="AB61" i="33"/>
  <c r="H62" i="33"/>
  <c r="F62" i="33"/>
  <c r="S62" i="33" s="1"/>
  <c r="Y60" i="33"/>
  <c r="T60" i="33"/>
  <c r="T61" i="33" s="1"/>
  <c r="AA62" i="33"/>
  <c r="D62" i="33"/>
  <c r="E62" i="33" s="1"/>
  <c r="I62" i="33"/>
  <c r="AH62" i="33"/>
  <c r="J62" i="33"/>
  <c r="AB62" i="33" l="1"/>
  <c r="Z62" i="33"/>
  <c r="Y62" i="33" s="1"/>
  <c r="AH63" i="33"/>
  <c r="G63" i="33"/>
  <c r="D63" i="33"/>
  <c r="E63" i="33" s="1"/>
  <c r="AI63" i="33"/>
  <c r="H63" i="33"/>
  <c r="Z63" i="33" s="1"/>
  <c r="J63" i="33"/>
  <c r="I63" i="33"/>
  <c r="AA63" i="33"/>
  <c r="F63" i="33"/>
  <c r="S63" i="33" s="1"/>
  <c r="T62" i="33"/>
  <c r="U62" i="33"/>
  <c r="V62" i="33" s="1"/>
  <c r="C64" i="33"/>
  <c r="B65" i="33" s="1"/>
  <c r="I64" i="33"/>
  <c r="J64" i="33"/>
  <c r="G64" i="33"/>
  <c r="D64" i="33"/>
  <c r="H64" i="33"/>
  <c r="Z64" i="33" s="1"/>
  <c r="AI64" i="33"/>
  <c r="AH64" i="33"/>
  <c r="F64" i="33"/>
  <c r="S64" i="33" s="1"/>
  <c r="AA64" i="33"/>
  <c r="AB63" i="33" l="1"/>
  <c r="AB64" i="33" s="1"/>
  <c r="T63" i="33"/>
  <c r="T64" i="33" s="1"/>
  <c r="Y63" i="33"/>
  <c r="U63" i="33"/>
  <c r="V63" i="33" s="1"/>
  <c r="E64" i="33"/>
  <c r="Y64" i="33"/>
  <c r="C65" i="33"/>
  <c r="B66" i="33" s="1"/>
  <c r="U64" i="33"/>
  <c r="H65" i="33"/>
  <c r="D65" i="33"/>
  <c r="AA65" i="33"/>
  <c r="F65" i="33"/>
  <c r="S65" i="33" s="1"/>
  <c r="AI65" i="33"/>
  <c r="I65" i="33"/>
  <c r="J65" i="33"/>
  <c r="AH65" i="33"/>
  <c r="G65" i="33"/>
  <c r="AB65" i="33" l="1"/>
  <c r="T65" i="33"/>
  <c r="E65" i="33"/>
  <c r="V64" i="33"/>
  <c r="Z65" i="33"/>
  <c r="Y65" i="33" s="1"/>
  <c r="AH66" i="33"/>
  <c r="J66" i="33"/>
  <c r="G66" i="33"/>
  <c r="I66" i="33"/>
  <c r="AA66" i="33"/>
  <c r="F66" i="33"/>
  <c r="S66" i="33" s="1"/>
  <c r="H66" i="33"/>
  <c r="D66" i="33"/>
  <c r="AI66" i="33"/>
  <c r="C66" i="33"/>
  <c r="U65" i="33"/>
  <c r="T66" i="33" l="1"/>
  <c r="AB66" i="33"/>
  <c r="V65" i="33"/>
  <c r="E66" i="33"/>
  <c r="Z66" i="33"/>
  <c r="Y66" i="33" s="1"/>
  <c r="U66" i="33"/>
  <c r="B67" i="33"/>
  <c r="AA67" i="33" s="1"/>
  <c r="V66" i="33" l="1"/>
  <c r="AH67" i="33"/>
  <c r="J67" i="33"/>
  <c r="D67" i="33"/>
  <c r="E67" i="33" s="1"/>
  <c r="I67" i="33"/>
  <c r="G67" i="33"/>
  <c r="AB67" i="33"/>
  <c r="H67" i="33"/>
  <c r="F67" i="33"/>
  <c r="S67" i="33" s="1"/>
  <c r="T67" i="33" s="1"/>
  <c r="AI67" i="33"/>
  <c r="C67" i="33"/>
  <c r="U67" i="33" l="1"/>
  <c r="V67" i="33" s="1"/>
  <c r="B68" i="33"/>
  <c r="C68" i="33" s="1"/>
  <c r="Z67" i="33"/>
  <c r="Y67" i="33" s="1"/>
  <c r="B69" i="33" l="1"/>
  <c r="C69" i="33" s="1"/>
  <c r="AI68" i="33"/>
  <c r="F68" i="33"/>
  <c r="S68" i="33" s="1"/>
  <c r="AA68" i="33"/>
  <c r="AB68" i="33" s="1"/>
  <c r="H68" i="33"/>
  <c r="Z68" i="33" s="1"/>
  <c r="I68" i="33"/>
  <c r="D68" i="33"/>
  <c r="E68" i="33" s="1"/>
  <c r="AH68" i="33"/>
  <c r="G68" i="33"/>
  <c r="J68" i="33"/>
  <c r="Y68" i="33" l="1"/>
  <c r="U68" i="33"/>
  <c r="V68" i="33" s="1"/>
  <c r="T68" i="33"/>
  <c r="B70" i="33"/>
  <c r="C70" i="33" s="1"/>
  <c r="AH69" i="33"/>
  <c r="AI69" i="33"/>
  <c r="J69" i="33"/>
  <c r="AA69" i="33"/>
  <c r="AB69" i="33" s="1"/>
  <c r="I69" i="33"/>
  <c r="G69" i="33"/>
  <c r="D69" i="33"/>
  <c r="E69" i="33" s="1"/>
  <c r="F69" i="33"/>
  <c r="S69" i="33" s="1"/>
  <c r="U69" i="33" s="1"/>
  <c r="V69" i="33" s="1"/>
  <c r="H69" i="33"/>
  <c r="Z69" i="33" s="1"/>
  <c r="Y69" i="33" l="1"/>
  <c r="B71" i="33"/>
  <c r="D70" i="33"/>
  <c r="E70" i="33" s="1"/>
  <c r="G70" i="33"/>
  <c r="AH70" i="33"/>
  <c r="J70" i="33"/>
  <c r="I70" i="33"/>
  <c r="AI70" i="33"/>
  <c r="F70" i="33"/>
  <c r="S70" i="33" s="1"/>
  <c r="U70" i="33" s="1"/>
  <c r="V70" i="33" s="1"/>
  <c r="H70" i="33"/>
  <c r="Z70" i="33" s="1"/>
  <c r="AA70" i="33"/>
  <c r="AB70" i="33" s="1"/>
  <c r="T69" i="33"/>
  <c r="Y70" i="33" l="1"/>
  <c r="T70" i="33"/>
  <c r="AA71" i="33"/>
  <c r="AB71" i="33" s="1"/>
  <c r="F71" i="33"/>
  <c r="S71" i="33" s="1"/>
  <c r="D71" i="33"/>
  <c r="E71" i="33" s="1"/>
  <c r="AI71" i="33"/>
  <c r="AH71" i="33"/>
  <c r="H71" i="33"/>
  <c r="I71" i="33"/>
  <c r="J71" i="33"/>
  <c r="G71" i="33"/>
  <c r="C71" i="33"/>
  <c r="T71" i="33" l="1"/>
  <c r="Z71" i="33"/>
  <c r="Y71" i="33" s="1"/>
  <c r="U71" i="33"/>
  <c r="V71" i="33" s="1"/>
  <c r="B72" i="33"/>
  <c r="C72" i="33" s="1"/>
  <c r="B73" i="33" l="1"/>
  <c r="C73" i="33" s="1"/>
  <c r="H72" i="33"/>
  <c r="Z72" i="33" s="1"/>
  <c r="I72" i="33"/>
  <c r="AI72" i="33"/>
  <c r="F72" i="33"/>
  <c r="S72" i="33" s="1"/>
  <c r="T72" i="33" s="1"/>
  <c r="D72" i="33"/>
  <c r="E72" i="33" s="1"/>
  <c r="AH72" i="33"/>
  <c r="J72" i="33"/>
  <c r="AA72" i="33"/>
  <c r="AB72" i="33" s="1"/>
  <c r="G72" i="33"/>
  <c r="Y72" i="33" l="1"/>
  <c r="U72" i="33"/>
  <c r="V72" i="33" s="1"/>
  <c r="B74" i="33"/>
  <c r="C74" i="33" s="1"/>
  <c r="D73" i="33"/>
  <c r="E73" i="33" s="1"/>
  <c r="J73" i="33"/>
  <c r="H73" i="33"/>
  <c r="Z73" i="33" s="1"/>
  <c r="G73" i="33"/>
  <c r="I73" i="33"/>
  <c r="AA73" i="33"/>
  <c r="AB73" i="33" s="1"/>
  <c r="AI73" i="33"/>
  <c r="F73" i="33"/>
  <c r="S73" i="33" s="1"/>
  <c r="T73" i="33" s="1"/>
  <c r="AH73" i="33"/>
  <c r="Y73" i="33" l="1"/>
  <c r="B75" i="33"/>
  <c r="C75" i="33" s="1"/>
  <c r="J74" i="33"/>
  <c r="H74" i="33"/>
  <c r="Z74" i="33" s="1"/>
  <c r="AI74" i="33"/>
  <c r="F74" i="33"/>
  <c r="S74" i="33" s="1"/>
  <c r="U74" i="33" s="1"/>
  <c r="D74" i="33"/>
  <c r="E74" i="33" s="1"/>
  <c r="I74" i="33"/>
  <c r="AH74" i="33"/>
  <c r="AA74" i="33"/>
  <c r="AB74" i="33" s="1"/>
  <c r="G74" i="33"/>
  <c r="U73" i="33"/>
  <c r="V73" i="33" s="1"/>
  <c r="Y74" i="33" l="1"/>
  <c r="V74" i="33"/>
  <c r="T74" i="33"/>
  <c r="B76" i="33"/>
  <c r="C76" i="33" s="1"/>
  <c r="J75" i="33"/>
  <c r="AA75" i="33"/>
  <c r="AB75" i="33" s="1"/>
  <c r="F75" i="33"/>
  <c r="S75" i="33" s="1"/>
  <c r="U75" i="33" s="1"/>
  <c r="D75" i="33"/>
  <c r="E75" i="33" s="1"/>
  <c r="AH75" i="33"/>
  <c r="G75" i="33"/>
  <c r="AI75" i="33"/>
  <c r="H75" i="33"/>
  <c r="Z75" i="33" s="1"/>
  <c r="I75" i="33"/>
  <c r="V75" i="33" l="1"/>
  <c r="Y75" i="33"/>
  <c r="B77" i="33"/>
  <c r="C77" i="33" s="1"/>
  <c r="T75" i="33"/>
  <c r="AH76" i="33"/>
  <c r="J76" i="33"/>
  <c r="AI76" i="33"/>
  <c r="D76" i="33"/>
  <c r="E76" i="33" s="1"/>
  <c r="F76" i="33"/>
  <c r="S76" i="33" s="1"/>
  <c r="U76" i="33" s="1"/>
  <c r="V76" i="33" s="1"/>
  <c r="I76" i="33"/>
  <c r="H76" i="33"/>
  <c r="Z76" i="33" s="1"/>
  <c r="G76" i="33"/>
  <c r="AA76" i="33"/>
  <c r="AB76" i="33" s="1"/>
  <c r="Y76" i="33" l="1"/>
  <c r="T76" i="33"/>
  <c r="B78" i="33"/>
  <c r="G77" i="33"/>
  <c r="I77" i="33"/>
  <c r="H77" i="33"/>
  <c r="Z77" i="33" s="1"/>
  <c r="AH77" i="33"/>
  <c r="F77" i="33"/>
  <c r="S77" i="33" s="1"/>
  <c r="U77" i="33" s="1"/>
  <c r="V77" i="33" s="1"/>
  <c r="AI77" i="33"/>
  <c r="D77" i="33"/>
  <c r="E77" i="33" s="1"/>
  <c r="AA77" i="33"/>
  <c r="AB77" i="33" s="1"/>
  <c r="J77" i="33"/>
  <c r="Y77" i="33" l="1"/>
  <c r="T77" i="33"/>
  <c r="G78" i="33"/>
  <c r="F78" i="33"/>
  <c r="S78" i="33" s="1"/>
  <c r="U78" i="33" s="1"/>
  <c r="V78" i="33" s="1"/>
  <c r="H78" i="33"/>
  <c r="AA78" i="33"/>
  <c r="AB78" i="33" s="1"/>
  <c r="I78" i="33"/>
  <c r="D78" i="33"/>
  <c r="E78" i="33" s="1"/>
  <c r="J78" i="33"/>
  <c r="AH78" i="33"/>
  <c r="AI78" i="33"/>
  <c r="C78" i="33"/>
  <c r="Z78" i="33" l="1"/>
  <c r="Y78" i="33" s="1"/>
  <c r="T78" i="33"/>
  <c r="B79" i="33"/>
  <c r="C79" i="33" l="1"/>
  <c r="B80" i="33" s="1"/>
  <c r="AH79" i="33"/>
  <c r="F79" i="33"/>
  <c r="S79" i="33" s="1"/>
  <c r="U79" i="33" s="1"/>
  <c r="V79" i="33" s="1"/>
  <c r="D79" i="33"/>
  <c r="E79" i="33" s="1"/>
  <c r="AA79" i="33"/>
  <c r="AB79" i="33" s="1"/>
  <c r="H79" i="33"/>
  <c r="Z79" i="33" s="1"/>
  <c r="I79" i="33"/>
  <c r="J79" i="33"/>
  <c r="AI79" i="33"/>
  <c r="G79" i="33"/>
  <c r="Y79" i="33" l="1"/>
  <c r="T79" i="33"/>
  <c r="AH80" i="33"/>
  <c r="G80" i="33"/>
  <c r="AI80" i="33"/>
  <c r="D80" i="33"/>
  <c r="E80" i="33" s="1"/>
  <c r="J80" i="33"/>
  <c r="I80" i="33"/>
  <c r="AA80" i="33"/>
  <c r="AB80" i="33" s="1"/>
  <c r="H80" i="33"/>
  <c r="F80" i="33"/>
  <c r="S80" i="33" s="1"/>
  <c r="C80" i="33"/>
  <c r="T80" i="33" l="1"/>
  <c r="Z80" i="33"/>
  <c r="Y80" i="33" s="1"/>
  <c r="U80" i="33"/>
  <c r="V80" i="33" s="1"/>
  <c r="B81" i="33"/>
  <c r="C81" i="33" s="1"/>
  <c r="B82" i="33" l="1"/>
  <c r="C82" i="33" s="1"/>
  <c r="G81" i="33"/>
  <c r="AI81" i="33"/>
  <c r="J81" i="33"/>
  <c r="H81" i="33"/>
  <c r="Z81" i="33" s="1"/>
  <c r="F81" i="33"/>
  <c r="S81" i="33" s="1"/>
  <c r="U81" i="33" s="1"/>
  <c r="V81" i="33" s="1"/>
  <c r="I81" i="33"/>
  <c r="D81" i="33"/>
  <c r="E81" i="33" s="1"/>
  <c r="AH81" i="33"/>
  <c r="AA81" i="33"/>
  <c r="AB81" i="33" s="1"/>
  <c r="Y81" i="33" l="1"/>
  <c r="B83" i="33"/>
  <c r="C83" i="33" s="1"/>
  <c r="T81" i="33"/>
  <c r="AA82" i="33"/>
  <c r="AB82" i="33" s="1"/>
  <c r="D82" i="33"/>
  <c r="E82" i="33" s="1"/>
  <c r="I82" i="33"/>
  <c r="F82" i="33"/>
  <c r="S82" i="33" s="1"/>
  <c r="T82" i="33" s="1"/>
  <c r="AI82" i="33"/>
  <c r="J82" i="33"/>
  <c r="G82" i="33"/>
  <c r="AH82" i="33"/>
  <c r="H82" i="33"/>
  <c r="Z82" i="33" s="1"/>
  <c r="Y82" i="33" l="1"/>
  <c r="U82" i="33"/>
  <c r="V82" i="33" s="1"/>
  <c r="B84" i="33"/>
  <c r="C84" i="33" s="1"/>
  <c r="J83" i="33"/>
  <c r="H83" i="33"/>
  <c r="Z83" i="33" s="1"/>
  <c r="G83" i="33"/>
  <c r="AI83" i="33"/>
  <c r="I83" i="33"/>
  <c r="AA83" i="33"/>
  <c r="AB83" i="33" s="1"/>
  <c r="F83" i="33"/>
  <c r="S83" i="33" s="1"/>
  <c r="U83" i="33" s="1"/>
  <c r="V83" i="33" s="1"/>
  <c r="AH83" i="33"/>
  <c r="D83" i="33"/>
  <c r="E83" i="33" s="1"/>
  <c r="Y83" i="33" l="1"/>
  <c r="T83" i="33"/>
  <c r="B85" i="33"/>
  <c r="C85" i="33" s="1"/>
  <c r="AI84" i="33"/>
  <c r="AA84" i="33"/>
  <c r="AB84" i="33" s="1"/>
  <c r="H84" i="33"/>
  <c r="AH84" i="33"/>
  <c r="G84" i="33"/>
  <c r="J84" i="33"/>
  <c r="D84" i="33"/>
  <c r="E84" i="33" s="1"/>
  <c r="I84" i="33"/>
  <c r="F84" i="33"/>
  <c r="S84" i="33" s="1"/>
  <c r="U84" i="33" l="1"/>
  <c r="V84" i="33" s="1"/>
  <c r="T84" i="33"/>
  <c r="Z84" i="33"/>
  <c r="Y84" i="33" s="1"/>
  <c r="J85" i="33"/>
  <c r="G85" i="33"/>
  <c r="I85" i="33"/>
  <c r="H85" i="33"/>
  <c r="AI85" i="33"/>
  <c r="D85" i="33"/>
  <c r="E85" i="33" s="1"/>
  <c r="AH85" i="33"/>
  <c r="F85" i="33"/>
  <c r="S85" i="33" s="1"/>
  <c r="AA85" i="33"/>
  <c r="AB85" i="33" s="1"/>
  <c r="B86" i="33"/>
  <c r="C86" i="33" s="1"/>
  <c r="T85" i="33" l="1"/>
  <c r="U85" i="33"/>
  <c r="V85" i="33" s="1"/>
  <c r="Z85" i="33"/>
  <c r="Y85" i="33" s="1"/>
  <c r="B87" i="33"/>
  <c r="C87" i="33" s="1"/>
  <c r="G86" i="33"/>
  <c r="AI86" i="33"/>
  <c r="D86" i="33"/>
  <c r="E86" i="33" s="1"/>
  <c r="AH86" i="33"/>
  <c r="J86" i="33"/>
  <c r="AA86" i="33"/>
  <c r="AB86" i="33" s="1"/>
  <c r="F86" i="33"/>
  <c r="S86" i="33" s="1"/>
  <c r="I86" i="33"/>
  <c r="H86" i="33"/>
  <c r="Z86" i="33" s="1"/>
  <c r="T86" i="33" l="1"/>
  <c r="U86" i="33"/>
  <c r="V86" i="33" s="1"/>
  <c r="B88" i="33"/>
  <c r="I88" i="33" s="1"/>
  <c r="Y86" i="33"/>
  <c r="J87" i="33"/>
  <c r="F87" i="33"/>
  <c r="S87" i="33" s="1"/>
  <c r="AA87" i="33"/>
  <c r="AB87" i="33" s="1"/>
  <c r="H87" i="33"/>
  <c r="I87" i="33"/>
  <c r="AI87" i="33"/>
  <c r="G87" i="33"/>
  <c r="AH87" i="33"/>
  <c r="D87" i="33"/>
  <c r="E87" i="33" s="1"/>
  <c r="D88" i="33" l="1"/>
  <c r="E88" i="33" s="1"/>
  <c r="G88" i="33"/>
  <c r="AH88" i="33"/>
  <c r="AI88" i="33"/>
  <c r="C88" i="33"/>
  <c r="B89" i="33" s="1"/>
  <c r="U89" i="33" s="1"/>
  <c r="J88" i="33"/>
  <c r="F88" i="33"/>
  <c r="S88" i="33" s="1"/>
  <c r="U88" i="33" s="1"/>
  <c r="H88" i="33"/>
  <c r="AA88" i="33"/>
  <c r="AB88" i="33" s="1"/>
  <c r="T87" i="33"/>
  <c r="U87" i="33"/>
  <c r="V87" i="33" s="1"/>
  <c r="Z87" i="33"/>
  <c r="Y87" i="33" s="1"/>
  <c r="Z88" i="33" l="1"/>
  <c r="Y88" i="33" s="1"/>
  <c r="Z89" i="33"/>
  <c r="AB89" i="33"/>
  <c r="F89" i="33"/>
  <c r="T89" i="33"/>
  <c r="I89" i="33"/>
  <c r="C89" i="33"/>
  <c r="B90" i="33" s="1"/>
  <c r="I90" i="33" s="1"/>
  <c r="AI89" i="33"/>
  <c r="D89" i="33"/>
  <c r="E89" i="33"/>
  <c r="AH89" i="33"/>
  <c r="J89" i="33"/>
  <c r="V89" i="33"/>
  <c r="Y89" i="33"/>
  <c r="S89" i="33"/>
  <c r="G89" i="33"/>
  <c r="AA89" i="33"/>
  <c r="H89" i="33"/>
  <c r="V88" i="33"/>
  <c r="T88" i="33"/>
  <c r="C90" i="33" l="1"/>
  <c r="B91" i="33" s="1"/>
  <c r="AB91" i="33" s="1"/>
  <c r="U90" i="33"/>
  <c r="V90" i="33"/>
  <c r="G90" i="33"/>
  <c r="J90" i="33"/>
  <c r="Z90" i="33"/>
  <c r="H90" i="33"/>
  <c r="T90" i="33"/>
  <c r="D90" i="33"/>
  <c r="S90" i="33"/>
  <c r="E90" i="33"/>
  <c r="AH90" i="33"/>
  <c r="AA90" i="33"/>
  <c r="AI90" i="33"/>
  <c r="F90" i="33"/>
  <c r="Y90" i="33"/>
  <c r="AB90" i="33"/>
  <c r="S91" i="33" l="1"/>
  <c r="Y91" i="33"/>
  <c r="D91" i="33"/>
  <c r="AH91" i="33"/>
  <c r="C91" i="33"/>
  <c r="C92" i="33" s="1"/>
  <c r="B93" i="33" s="1"/>
  <c r="Y93" i="33" s="1"/>
  <c r="E91" i="33"/>
  <c r="Z91" i="33"/>
  <c r="J91" i="33"/>
  <c r="AA91" i="33"/>
  <c r="U91" i="33"/>
  <c r="V91" i="33"/>
  <c r="I91" i="33"/>
  <c r="F91" i="33"/>
  <c r="H91" i="33"/>
  <c r="AI91" i="33"/>
  <c r="G91" i="33"/>
  <c r="T91" i="33"/>
  <c r="AH93" i="33" l="1"/>
  <c r="U93" i="33"/>
  <c r="D93" i="33"/>
  <c r="E93" i="33"/>
  <c r="V93" i="33"/>
  <c r="H93" i="33"/>
  <c r="Z93" i="33"/>
  <c r="AB93" i="33"/>
  <c r="G93" i="33"/>
  <c r="F93" i="33"/>
  <c r="J93" i="33"/>
  <c r="AA93" i="33"/>
  <c r="C93" i="33"/>
  <c r="C94" i="33" s="1"/>
  <c r="C95" i="33" s="1"/>
  <c r="B96" i="33" s="1"/>
  <c r="I93" i="33"/>
  <c r="B92" i="33"/>
  <c r="S93" i="33"/>
  <c r="AI93" i="33"/>
  <c r="T93" i="33"/>
  <c r="AB92" i="33" l="1"/>
  <c r="T92" i="33"/>
  <c r="AA92" i="33"/>
  <c r="J92" i="33"/>
  <c r="E92" i="33"/>
  <c r="V92" i="33"/>
  <c r="D92" i="33"/>
  <c r="Z92" i="33"/>
  <c r="U92" i="33"/>
  <c r="I92" i="33"/>
  <c r="H92" i="33"/>
  <c r="G92" i="33"/>
  <c r="Y92" i="33"/>
  <c r="AH92" i="33"/>
  <c r="F92" i="33"/>
  <c r="AI92" i="33"/>
  <c r="S92" i="33"/>
  <c r="C96" i="33"/>
  <c r="B97" i="33" s="1"/>
  <c r="AB97" i="33" s="1"/>
  <c r="B94" i="33"/>
  <c r="D94" i="33" s="1"/>
  <c r="B95" i="33"/>
  <c r="Y95" i="33" s="1"/>
  <c r="Y96" i="33"/>
  <c r="AB96" i="33"/>
  <c r="U96" i="33"/>
  <c r="V96" i="33"/>
  <c r="F96" i="33"/>
  <c r="AA96" i="33"/>
  <c r="J96" i="33"/>
  <c r="G96" i="33"/>
  <c r="I96" i="33"/>
  <c r="S96" i="33"/>
  <c r="AI96" i="33"/>
  <c r="D96" i="33"/>
  <c r="Z96" i="33"/>
  <c r="E96" i="33"/>
  <c r="H96" i="33"/>
  <c r="AH96" i="33"/>
  <c r="T96" i="33"/>
  <c r="S94" i="33" l="1"/>
  <c r="Y94" i="33"/>
  <c r="V95" i="33"/>
  <c r="F94" i="33"/>
  <c r="T94" i="33"/>
  <c r="AB94" i="33"/>
  <c r="AI94" i="33"/>
  <c r="Z94" i="33"/>
  <c r="I95" i="33"/>
  <c r="AH95" i="33"/>
  <c r="AI95" i="33"/>
  <c r="AH94" i="33"/>
  <c r="I94" i="33"/>
  <c r="J94" i="33"/>
  <c r="V94" i="33"/>
  <c r="H95" i="33"/>
  <c r="Z95" i="33"/>
  <c r="G94" i="33"/>
  <c r="U94" i="33"/>
  <c r="H94" i="33"/>
  <c r="AB95" i="33"/>
  <c r="AA94" i="33"/>
  <c r="U95" i="33"/>
  <c r="G95" i="33"/>
  <c r="E94" i="33"/>
  <c r="E95" i="33"/>
  <c r="D95" i="33"/>
  <c r="T95" i="33"/>
  <c r="J95" i="33"/>
  <c r="J97" i="33"/>
  <c r="E97" i="33"/>
  <c r="AI97" i="33"/>
  <c r="T97" i="33"/>
  <c r="D97" i="33"/>
  <c r="V97" i="33"/>
  <c r="Z97" i="33"/>
  <c r="U97" i="33"/>
  <c r="AH97" i="33"/>
  <c r="S97" i="33"/>
  <c r="AA95" i="33"/>
  <c r="F95" i="33"/>
  <c r="Y97" i="33"/>
  <c r="AA97" i="33"/>
  <c r="I97" i="33"/>
  <c r="G97" i="33"/>
  <c r="H97" i="33"/>
  <c r="C97" i="33"/>
  <c r="B98" i="33" s="1"/>
  <c r="T98" i="33" s="1"/>
  <c r="F97" i="33"/>
  <c r="S95" i="33"/>
  <c r="Y98" i="33" l="1"/>
  <c r="G98" i="33"/>
  <c r="Z98" i="33"/>
  <c r="U98" i="33"/>
  <c r="D98" i="33"/>
  <c r="AA98" i="33"/>
  <c r="J98" i="33"/>
  <c r="AH98" i="33"/>
  <c r="AB98" i="33"/>
  <c r="AI98" i="33"/>
  <c r="F98" i="33"/>
  <c r="S98" i="33"/>
  <c r="E98" i="33"/>
  <c r="H98" i="33"/>
  <c r="V98" i="33"/>
  <c r="C98" i="33"/>
  <c r="B99" i="33" s="1"/>
  <c r="U99" i="33" s="1"/>
  <c r="I98" i="33"/>
  <c r="J99" i="33" l="1"/>
  <c r="AI99" i="33"/>
  <c r="C99" i="33"/>
  <c r="B100" i="33" s="1"/>
  <c r="AB100" i="33" s="1"/>
  <c r="Z99" i="33"/>
  <c r="G99" i="33"/>
  <c r="H99" i="33"/>
  <c r="Y99" i="33"/>
  <c r="V99" i="33"/>
  <c r="F99" i="33"/>
  <c r="I99" i="33"/>
  <c r="AA99" i="33"/>
  <c r="E99" i="33"/>
  <c r="D99" i="33"/>
  <c r="S99" i="33"/>
  <c r="T99" i="33"/>
  <c r="AB99" i="33"/>
  <c r="AH99" i="33"/>
  <c r="C100" i="33" l="1"/>
  <c r="B101" i="33" s="1"/>
  <c r="AB101" i="33" s="1"/>
  <c r="I100" i="33"/>
  <c r="H100" i="33"/>
  <c r="J100" i="33"/>
  <c r="Z100" i="33"/>
  <c r="S100" i="33"/>
  <c r="G100" i="33"/>
  <c r="F100" i="33"/>
  <c r="V100" i="33"/>
  <c r="U100" i="33"/>
  <c r="AH100" i="33"/>
  <c r="AA100" i="33"/>
  <c r="AI100" i="33"/>
  <c r="D100" i="33"/>
  <c r="E100" i="33"/>
  <c r="T100" i="33"/>
  <c r="Y100" i="33"/>
  <c r="U101" i="33" l="1"/>
  <c r="J101" i="33"/>
  <c r="C101" i="33"/>
  <c r="B102" i="33" s="1"/>
  <c r="AH102" i="33" s="1"/>
  <c r="G101" i="33"/>
  <c r="V101" i="33"/>
  <c r="H101" i="33"/>
  <c r="F101" i="33"/>
  <c r="I101" i="33"/>
  <c r="AA101" i="33"/>
  <c r="AH101" i="33"/>
  <c r="Z101" i="33"/>
  <c r="T101" i="33"/>
  <c r="S101" i="33"/>
  <c r="E101" i="33"/>
  <c r="D101" i="33"/>
  <c r="AI101" i="33"/>
  <c r="Y101" i="33"/>
  <c r="G102" i="33" l="1"/>
  <c r="Z102" i="33"/>
  <c r="H102" i="33"/>
  <c r="J102" i="33"/>
  <c r="U102" i="33"/>
  <c r="AB102" i="33"/>
  <c r="V102" i="33"/>
  <c r="I102" i="33"/>
  <c r="AA102" i="33"/>
  <c r="S102" i="33"/>
  <c r="F102" i="33"/>
  <c r="D102" i="33"/>
  <c r="AI102" i="33"/>
  <c r="C102" i="33"/>
  <c r="B103" i="33" s="1"/>
  <c r="AI103" i="33" s="1"/>
  <c r="T102" i="33"/>
  <c r="Y102" i="33"/>
  <c r="E102" i="33"/>
  <c r="C103" i="33" l="1"/>
  <c r="B104" i="33" s="1"/>
  <c r="AH104" i="33" s="1"/>
  <c r="E103" i="33"/>
  <c r="U103" i="33"/>
  <c r="S103" i="33"/>
  <c r="Z103" i="33"/>
  <c r="D103" i="33"/>
  <c r="I103" i="33"/>
  <c r="Y103" i="33"/>
  <c r="AA103" i="33"/>
  <c r="AB103" i="33"/>
  <c r="F103" i="33"/>
  <c r="V103" i="33"/>
  <c r="G103" i="33"/>
  <c r="H103" i="33"/>
  <c r="J103" i="33"/>
  <c r="T103" i="33"/>
  <c r="AH103" i="33"/>
  <c r="C104" i="33" l="1"/>
  <c r="B105" i="33" s="1"/>
  <c r="G105" i="33" s="1"/>
  <c r="Y104" i="33"/>
  <c r="E104" i="33"/>
  <c r="AB104" i="33"/>
  <c r="G104" i="33"/>
  <c r="I104" i="33"/>
  <c r="D104" i="33"/>
  <c r="T104" i="33"/>
  <c r="H104" i="33"/>
  <c r="AI104" i="33"/>
  <c r="U104" i="33"/>
  <c r="V104" i="33"/>
  <c r="S104" i="33"/>
  <c r="Z104" i="33"/>
  <c r="F104" i="33"/>
  <c r="AA104" i="33"/>
  <c r="J104" i="33"/>
  <c r="AA105" i="33" l="1"/>
  <c r="V105" i="33"/>
  <c r="C105" i="33"/>
  <c r="B106" i="33" s="1"/>
  <c r="Y106" i="33" s="1"/>
  <c r="Z105" i="33"/>
  <c r="F105" i="33"/>
  <c r="T105" i="33"/>
  <c r="S105" i="33"/>
  <c r="J105" i="33"/>
  <c r="H105" i="33"/>
  <c r="D105" i="33"/>
  <c r="AH105" i="33"/>
  <c r="I105" i="33"/>
  <c r="E105" i="33"/>
  <c r="Y105" i="33"/>
  <c r="U105" i="33"/>
  <c r="AB105" i="33"/>
  <c r="AI105" i="33"/>
  <c r="C106" i="33" l="1"/>
  <c r="B107" i="33" s="1"/>
  <c r="G106" i="33"/>
  <c r="S106" i="33"/>
  <c r="I106" i="33"/>
  <c r="T106" i="33"/>
  <c r="D106" i="33"/>
  <c r="E106" i="33"/>
  <c r="F106" i="33"/>
  <c r="V106" i="33"/>
  <c r="Z106" i="33"/>
  <c r="AA106" i="33"/>
  <c r="U106" i="33"/>
  <c r="AH106" i="33"/>
  <c r="AI106" i="33"/>
  <c r="H106" i="33"/>
  <c r="AB106" i="33"/>
  <c r="J106" i="33"/>
  <c r="C107" i="33"/>
  <c r="B108" i="33" s="1"/>
  <c r="H108" i="33" s="1"/>
  <c r="H107" i="33" l="1"/>
  <c r="U107" i="33"/>
  <c r="AB107" i="33"/>
  <c r="S107" i="33"/>
  <c r="T107" i="33"/>
  <c r="D107" i="33"/>
  <c r="V107" i="33"/>
  <c r="J107" i="33"/>
  <c r="Z107" i="33"/>
  <c r="F107" i="33"/>
  <c r="E107" i="33"/>
  <c r="AA107" i="33"/>
  <c r="Y107" i="33"/>
  <c r="G107" i="33"/>
  <c r="I107" i="33"/>
  <c r="AI107" i="33"/>
  <c r="AH107" i="33"/>
  <c r="AI108" i="33"/>
  <c r="C108" i="33"/>
  <c r="B109" i="33" s="1"/>
  <c r="H109" i="33" s="1"/>
  <c r="F108" i="33"/>
  <c r="Z108" i="33"/>
  <c r="I108" i="33"/>
  <c r="AA108" i="33"/>
  <c r="D108" i="33"/>
  <c r="V108" i="33"/>
  <c r="Y108" i="33"/>
  <c r="AH108" i="33"/>
  <c r="AB108" i="33"/>
  <c r="S108" i="33"/>
  <c r="E108" i="33"/>
  <c r="G108" i="33"/>
  <c r="U108" i="33"/>
  <c r="T108" i="33"/>
  <c r="J108" i="33"/>
  <c r="V109" i="33" l="1"/>
  <c r="U109" i="33"/>
  <c r="S109" i="33"/>
  <c r="AH109" i="33"/>
  <c r="AA109" i="33"/>
  <c r="Z109" i="33"/>
  <c r="E109" i="33"/>
  <c r="F109" i="33"/>
  <c r="I109" i="33"/>
  <c r="AI109" i="33"/>
  <c r="C109" i="33"/>
  <c r="B110" i="33" s="1"/>
  <c r="Z110" i="33" s="1"/>
  <c r="J109" i="33"/>
  <c r="D109" i="33"/>
  <c r="Y109" i="33"/>
  <c r="T109" i="33"/>
  <c r="AB109" i="33"/>
  <c r="G109" i="33"/>
  <c r="F110" i="33" l="1"/>
  <c r="T110" i="33"/>
  <c r="J110" i="33"/>
  <c r="AA110" i="33"/>
  <c r="AI110" i="33"/>
  <c r="AH110" i="33"/>
  <c r="H110" i="33"/>
  <c r="D110" i="33"/>
  <c r="E110" i="33"/>
  <c r="I110" i="33"/>
  <c r="C110" i="33"/>
  <c r="C111" i="33" s="1"/>
  <c r="B112" i="33" s="1"/>
  <c r="G112" i="33" s="1"/>
  <c r="V110" i="33"/>
  <c r="S110" i="33"/>
  <c r="Y110" i="33"/>
  <c r="AB110" i="33"/>
  <c r="G110" i="33"/>
  <c r="U110" i="33"/>
  <c r="D112" i="33" l="1"/>
  <c r="AH112" i="33"/>
  <c r="AA112" i="33"/>
  <c r="AI112" i="33"/>
  <c r="AB112" i="33"/>
  <c r="B111" i="33"/>
  <c r="U111" i="33" s="1"/>
  <c r="V112" i="33"/>
  <c r="F112" i="33"/>
  <c r="E112" i="33"/>
  <c r="T112" i="33"/>
  <c r="I112" i="33"/>
  <c r="U112" i="33"/>
  <c r="H112" i="33"/>
  <c r="J112" i="33"/>
  <c r="Y112" i="33"/>
  <c r="S112" i="33"/>
  <c r="Z112" i="33"/>
  <c r="C112" i="33"/>
  <c r="B113" i="33" s="1"/>
  <c r="F113" i="33" s="1"/>
  <c r="E111" i="33" l="1"/>
  <c r="J111" i="33"/>
  <c r="S111" i="33"/>
  <c r="F111" i="33"/>
  <c r="V111" i="33"/>
  <c r="D111" i="33"/>
  <c r="H113" i="33"/>
  <c r="AA113" i="33"/>
  <c r="T113" i="33"/>
  <c r="E113" i="33"/>
  <c r="U113" i="33"/>
  <c r="AB111" i="33"/>
  <c r="AH111" i="33"/>
  <c r="I111" i="33"/>
  <c r="J113" i="33"/>
  <c r="T111" i="33"/>
  <c r="G111" i="33"/>
  <c r="AB113" i="33"/>
  <c r="AH113" i="33"/>
  <c r="Y111" i="33"/>
  <c r="Z113" i="33"/>
  <c r="H111" i="33"/>
  <c r="D113" i="33"/>
  <c r="Z111" i="33"/>
  <c r="S113" i="33"/>
  <c r="V113" i="33"/>
  <c r="C113" i="33"/>
  <c r="Y113" i="33"/>
  <c r="I113" i="33"/>
  <c r="AA111" i="33"/>
  <c r="AI113" i="33"/>
  <c r="G113" i="33"/>
  <c r="AI111" i="33"/>
  <c r="B114" i="33" l="1"/>
  <c r="C114" i="33"/>
  <c r="N137" i="33" l="1"/>
  <c r="T148" i="33"/>
  <c r="T133" i="33"/>
  <c r="F140" i="33"/>
  <c r="J138" i="33"/>
  <c r="K140" i="33"/>
  <c r="D141" i="33"/>
  <c r="K136" i="33"/>
  <c r="H145" i="33"/>
  <c r="S133" i="33"/>
  <c r="I138" i="33"/>
  <c r="P137" i="33"/>
  <c r="R147" i="33"/>
  <c r="F143" i="33"/>
  <c r="J142" i="33"/>
  <c r="N139" i="33"/>
  <c r="F138" i="33"/>
  <c r="P148" i="33"/>
  <c r="Q139" i="33"/>
  <c r="M134" i="33"/>
  <c r="N133" i="33"/>
  <c r="E135" i="33"/>
  <c r="H139" i="33"/>
  <c r="T140" i="33"/>
  <c r="C142" i="33"/>
  <c r="R140" i="33"/>
  <c r="T134" i="33"/>
  <c r="H136" i="33"/>
  <c r="P136" i="33"/>
  <c r="P133" i="33"/>
  <c r="R143" i="33"/>
  <c r="E145" i="33"/>
  <c r="M136" i="33"/>
  <c r="P138" i="33"/>
  <c r="G145" i="33"/>
  <c r="L147" i="33"/>
  <c r="C136" i="33"/>
  <c r="P139" i="33"/>
  <c r="I144" i="33"/>
  <c r="C146" i="33"/>
  <c r="F136" i="33"/>
  <c r="E136" i="33"/>
  <c r="L148" i="33"/>
  <c r="I147" i="33"/>
  <c r="K134" i="33"/>
  <c r="C148" i="33"/>
  <c r="J141" i="33"/>
  <c r="D143" i="33"/>
  <c r="P134" i="33"/>
  <c r="L133" i="33"/>
  <c r="J139" i="33"/>
  <c r="T135" i="33"/>
  <c r="S138" i="33"/>
  <c r="S141" i="33"/>
  <c r="R136" i="33"/>
  <c r="L144" i="33"/>
  <c r="Q146" i="33"/>
  <c r="J133" i="33"/>
  <c r="G139" i="33"/>
  <c r="D133" i="33"/>
  <c r="M141" i="33"/>
  <c r="P140" i="33"/>
  <c r="I134" i="33"/>
  <c r="I133" i="33"/>
  <c r="C133" i="33"/>
  <c r="E143" i="33"/>
  <c r="C135" i="33"/>
  <c r="J134" i="33"/>
  <c r="C141" i="33"/>
  <c r="H146" i="33"/>
  <c r="M138" i="33"/>
  <c r="Q148" i="33"/>
  <c r="L135" i="33"/>
  <c r="N141" i="33"/>
  <c r="H148" i="33"/>
  <c r="J148" i="33"/>
  <c r="D139" i="33"/>
  <c r="L146" i="33"/>
  <c r="I143" i="33"/>
  <c r="I145" i="33"/>
  <c r="O137" i="33"/>
  <c r="D138" i="33"/>
  <c r="N147" i="33"/>
  <c r="T141" i="33"/>
  <c r="O140" i="33"/>
  <c r="I135" i="33"/>
  <c r="P146" i="33"/>
  <c r="H142" i="33"/>
  <c r="S142" i="33"/>
  <c r="H134" i="33"/>
  <c r="D144" i="33"/>
  <c r="N143" i="33"/>
  <c r="T137" i="33"/>
  <c r="S140" i="33"/>
  <c r="F146" i="33"/>
  <c r="G137" i="33"/>
  <c r="O141" i="33"/>
  <c r="Q142" i="33"/>
  <c r="C145" i="33"/>
  <c r="J144" i="33"/>
  <c r="H141" i="33"/>
  <c r="I141" i="33"/>
  <c r="F148" i="33"/>
  <c r="C144" i="33"/>
  <c r="C138" i="33"/>
  <c r="C139" i="33"/>
  <c r="J143" i="33"/>
  <c r="P147" i="33"/>
  <c r="F135" i="33"/>
  <c r="E138" i="33"/>
  <c r="J145" i="33"/>
  <c r="M145" i="33"/>
  <c r="S139" i="33"/>
  <c r="H137" i="33"/>
  <c r="L145" i="33"/>
  <c r="I142" i="33"/>
  <c r="H138" i="33"/>
  <c r="T136" i="33"/>
  <c r="R148" i="33"/>
  <c r="S147" i="33"/>
  <c r="L141" i="33"/>
  <c r="M148" i="33"/>
  <c r="Q147" i="33"/>
  <c r="M135" i="33"/>
  <c r="E141" i="33"/>
  <c r="R142" i="33"/>
  <c r="F145" i="33"/>
  <c r="N136" i="33"/>
  <c r="N144" i="33"/>
  <c r="E139" i="33"/>
  <c r="D142" i="33"/>
  <c r="E140" i="33"/>
  <c r="S136" i="33"/>
  <c r="K143" i="33"/>
  <c r="F142" i="33"/>
  <c r="H140" i="33"/>
  <c r="L136" i="33"/>
  <c r="P144" i="33"/>
  <c r="R135" i="33"/>
  <c r="Q138" i="33"/>
  <c r="G138" i="33"/>
  <c r="K146" i="33"/>
  <c r="L143" i="33"/>
  <c r="S137" i="33"/>
  <c r="O144" i="33"/>
  <c r="R133" i="33"/>
  <c r="F137" i="33"/>
  <c r="J147" i="33"/>
  <c r="J137" i="33"/>
  <c r="H144" i="33"/>
  <c r="M142" i="33"/>
  <c r="M133" i="33"/>
  <c r="Q133" i="33"/>
  <c r="S148" i="33"/>
  <c r="T145" i="33"/>
  <c r="Q137" i="33"/>
  <c r="Q134" i="33"/>
  <c r="M144" i="33"/>
  <c r="Q140" i="33"/>
  <c r="R134" i="33"/>
  <c r="Q136" i="33"/>
  <c r="K145" i="33"/>
  <c r="N146" i="33"/>
  <c r="I137" i="33"/>
  <c r="G136" i="33"/>
  <c r="M146" i="33"/>
  <c r="T144" i="33"/>
  <c r="N138" i="33"/>
  <c r="K135" i="33"/>
  <c r="R139" i="33"/>
  <c r="J140" i="33"/>
  <c r="Q141" i="33"/>
  <c r="G134" i="33"/>
  <c r="J135" i="33"/>
  <c r="O143" i="33"/>
  <c r="F133" i="33"/>
  <c r="S135" i="33"/>
  <c r="N140" i="33"/>
  <c r="D145" i="33"/>
  <c r="E134" i="33"/>
  <c r="F139" i="33"/>
  <c r="G133" i="33"/>
  <c r="P143" i="33"/>
  <c r="E142" i="33"/>
  <c r="L134" i="33"/>
  <c r="Q135" i="33"/>
  <c r="E137" i="33"/>
  <c r="H143" i="33"/>
  <c r="N148" i="33"/>
  <c r="K137" i="33"/>
  <c r="P142" i="33"/>
  <c r="O134" i="33"/>
  <c r="L140" i="33"/>
  <c r="G143" i="33"/>
  <c r="D146" i="33"/>
  <c r="D140" i="33"/>
  <c r="D137" i="33"/>
  <c r="S143" i="33"/>
  <c r="I146" i="33"/>
  <c r="C140" i="33"/>
  <c r="F147" i="33"/>
  <c r="F144" i="33"/>
  <c r="P141" i="33"/>
  <c r="L142" i="33"/>
  <c r="G148" i="33"/>
  <c r="K144" i="33"/>
  <c r="G146" i="33"/>
  <c r="R141" i="33"/>
  <c r="H147" i="33"/>
  <c r="N145" i="33"/>
  <c r="I148" i="33"/>
  <c r="L139" i="33"/>
  <c r="C134" i="33"/>
  <c r="K147" i="33"/>
  <c r="M147" i="33"/>
  <c r="E147" i="33"/>
  <c r="O145" i="33"/>
  <c r="T143" i="33"/>
  <c r="G141" i="33"/>
  <c r="M140" i="33"/>
  <c r="S134" i="33"/>
  <c r="K148" i="33"/>
  <c r="S145" i="33"/>
  <c r="I139" i="33"/>
  <c r="O142" i="33"/>
  <c r="G140" i="33"/>
  <c r="R145" i="33"/>
  <c r="D147" i="33"/>
  <c r="O136" i="33"/>
  <c r="F141" i="33"/>
  <c r="S144" i="33"/>
  <c r="G147" i="33"/>
  <c r="D135" i="33"/>
  <c r="J136" i="33"/>
  <c r="T147" i="33"/>
  <c r="F134" i="33"/>
  <c r="I136" i="33"/>
  <c r="M137" i="33"/>
  <c r="D136" i="33"/>
  <c r="O146" i="33"/>
  <c r="T142" i="33"/>
  <c r="O148" i="33"/>
  <c r="T139" i="33"/>
  <c r="K133" i="33"/>
  <c r="K142" i="33"/>
  <c r="N135" i="33"/>
  <c r="H133" i="33"/>
  <c r="M143" i="33"/>
  <c r="Q143" i="33"/>
  <c r="D134" i="33"/>
  <c r="P135" i="33"/>
  <c r="S146" i="33"/>
  <c r="G142" i="33"/>
  <c r="C137" i="33"/>
  <c r="N134" i="33"/>
  <c r="Q144" i="33"/>
  <c r="G144" i="33"/>
  <c r="R138" i="33"/>
  <c r="H135" i="33"/>
  <c r="C143" i="33"/>
  <c r="O138" i="33"/>
  <c r="E146" i="33"/>
  <c r="O133" i="33"/>
  <c r="N142" i="33"/>
  <c r="K139" i="33"/>
  <c r="K138" i="33"/>
  <c r="E144" i="33"/>
  <c r="E148" i="33"/>
  <c r="R137" i="33"/>
  <c r="G135" i="33"/>
  <c r="L138" i="33"/>
  <c r="R146" i="33"/>
  <c r="O135" i="33"/>
  <c r="I140" i="33"/>
  <c r="M139" i="33"/>
  <c r="P145" i="33"/>
  <c r="L137" i="33"/>
  <c r="K141" i="33"/>
  <c r="O139" i="33"/>
  <c r="R144" i="33"/>
  <c r="D148" i="33"/>
  <c r="Q145" i="33"/>
  <c r="J146" i="33"/>
  <c r="C147" i="33"/>
  <c r="T138" i="33"/>
  <c r="E133" i="33"/>
  <c r="T146" i="33"/>
  <c r="O147" i="33"/>
  <c r="S114" i="33"/>
  <c r="N131" i="33"/>
  <c r="P131" i="33"/>
  <c r="Z114" i="33"/>
  <c r="D131" i="33"/>
  <c r="Y114" i="33"/>
  <c r="G131" i="33"/>
  <c r="T131" i="33"/>
  <c r="D114" i="33"/>
  <c r="F131" i="33"/>
  <c r="V114" i="33"/>
  <c r="S131" i="33"/>
  <c r="O131" i="33"/>
  <c r="H131" i="33"/>
  <c r="L131" i="33"/>
  <c r="AI114" i="33"/>
  <c r="M131" i="33"/>
  <c r="E114" i="33"/>
  <c r="J114" i="33"/>
  <c r="J131" i="33"/>
  <c r="I114" i="33"/>
  <c r="Q131" i="33"/>
  <c r="I131" i="33"/>
  <c r="AB114" i="33"/>
  <c r="AH114" i="33"/>
  <c r="C131" i="33"/>
  <c r="E131" i="33"/>
  <c r="AA114" i="33"/>
  <c r="U114" i="33"/>
  <c r="R131" i="33"/>
  <c r="F114" i="33"/>
  <c r="K131" i="33"/>
  <c r="K114" i="33"/>
  <c r="G114" i="33"/>
  <c r="H114" i="33"/>
  <c r="T114" i="33"/>
</calcChain>
</file>

<file path=xl/sharedStrings.xml><?xml version="1.0" encoding="utf-8"?>
<sst xmlns="http://schemas.openxmlformats.org/spreadsheetml/2006/main" count="4687" uniqueCount="1385">
  <si>
    <t>年繳</t>
    <phoneticPr fontId="17" type="noConversion"/>
  </si>
  <si>
    <t>最高承保</t>
    <phoneticPr fontId="17" type="noConversion"/>
  </si>
  <si>
    <t>保險</t>
    <phoneticPr fontId="17" type="noConversion"/>
  </si>
  <si>
    <t>半年繳</t>
    <phoneticPr fontId="17" type="noConversion"/>
  </si>
  <si>
    <t>足歲</t>
    <phoneticPr fontId="17" type="noConversion"/>
  </si>
  <si>
    <t>季繳</t>
    <phoneticPr fontId="17" type="noConversion"/>
  </si>
  <si>
    <t>月繳</t>
    <phoneticPr fontId="17" type="noConversion"/>
  </si>
  <si>
    <t>輸入格式選項</t>
    <phoneticPr fontId="17" type="noConversion"/>
  </si>
  <si>
    <t>檢核欄位</t>
    <phoneticPr fontId="17" type="noConversion"/>
  </si>
  <si>
    <t>1.輸入格式1-6或7位數字輸入</t>
    <phoneticPr fontId="17" type="noConversion"/>
  </si>
  <si>
    <t>2.輸入格式2-年月日</t>
    <phoneticPr fontId="17" type="noConversion"/>
  </si>
  <si>
    <t>生日檢核</t>
    <phoneticPr fontId="17" type="noConversion"/>
  </si>
  <si>
    <t>最高承保(保險年齡)</t>
    <phoneticPr fontId="17" type="noConversion"/>
  </si>
  <si>
    <t>年齡檢核</t>
    <phoneticPr fontId="17" type="noConversion"/>
  </si>
  <si>
    <t>性別 (1.男 2.女)</t>
    <phoneticPr fontId="17" type="noConversion"/>
  </si>
  <si>
    <t>性別檢核</t>
    <phoneticPr fontId="17" type="noConversion"/>
  </si>
  <si>
    <t>基本資料欄位檢核結果</t>
    <phoneticPr fontId="17" type="noConversion"/>
  </si>
  <si>
    <t>計價幣別(1.台幣 2.外幣)</t>
    <phoneticPr fontId="17" type="noConversion"/>
  </si>
  <si>
    <t>險種代號</t>
    <phoneticPr fontId="17" type="noConversion"/>
  </si>
  <si>
    <t>商品中文名稱</t>
    <phoneticPr fontId="17" type="noConversion"/>
  </si>
  <si>
    <t>年期</t>
    <phoneticPr fontId="17" type="noConversion"/>
  </si>
  <si>
    <t>年期檢核</t>
    <phoneticPr fontId="17" type="noConversion"/>
  </si>
  <si>
    <t>最低保額</t>
    <phoneticPr fontId="17" type="noConversion"/>
  </si>
  <si>
    <t>最高保額</t>
    <phoneticPr fontId="17" type="noConversion"/>
  </si>
  <si>
    <t>保額檢核</t>
    <phoneticPr fontId="17" type="noConversion"/>
  </si>
  <si>
    <t>繳別</t>
    <phoneticPr fontId="17" type="noConversion"/>
  </si>
  <si>
    <t>折扣率</t>
    <phoneticPr fontId="17" type="noConversion"/>
  </si>
  <si>
    <t>原始應繳保費</t>
    <phoneticPr fontId="17" type="noConversion"/>
  </si>
  <si>
    <t>↓首期</t>
    <phoneticPr fontId="17" type="noConversion"/>
  </si>
  <si>
    <t>續期↓</t>
    <phoneticPr fontId="17" type="noConversion"/>
  </si>
  <si>
    <t>換算格式1.傳統 2.直接除</t>
    <phoneticPr fontId="17" type="noConversion"/>
  </si>
  <si>
    <t>繳別換算率</t>
    <phoneticPr fontId="17" type="noConversion"/>
  </si>
  <si>
    <t>↑首期</t>
    <phoneticPr fontId="17" type="noConversion"/>
  </si>
  <si>
    <t>應繳保費</t>
    <phoneticPr fontId="17" type="noConversion"/>
  </si>
  <si>
    <t>高保費折扣</t>
    <phoneticPr fontId="17" type="noConversion"/>
  </si>
  <si>
    <t>低&lt;=保費&lt;高</t>
    <phoneticPr fontId="17" type="noConversion"/>
  </si>
  <si>
    <t>續期↑</t>
    <phoneticPr fontId="17" type="noConversion"/>
  </si>
  <si>
    <t>高保額折扣</t>
    <phoneticPr fontId="17" type="noConversion"/>
  </si>
  <si>
    <t>險種</t>
    <phoneticPr fontId="17" type="noConversion"/>
  </si>
  <si>
    <t>首期繳別</t>
    <phoneticPr fontId="17" type="noConversion"/>
  </si>
  <si>
    <t>自繳折扣-首期</t>
    <phoneticPr fontId="17" type="noConversion"/>
  </si>
  <si>
    <t>續期繳別</t>
    <phoneticPr fontId="17" type="noConversion"/>
  </si>
  <si>
    <t>自繳折扣-續期</t>
    <phoneticPr fontId="17" type="noConversion"/>
  </si>
  <si>
    <t>折扣率上限</t>
    <phoneticPr fontId="17" type="noConversion"/>
  </si>
  <si>
    <t>首期總折扣率</t>
    <phoneticPr fontId="17" type="noConversion"/>
  </si>
  <si>
    <t>續期總折扣率</t>
    <phoneticPr fontId="17" type="noConversion"/>
  </si>
  <si>
    <t>首期實繳保費</t>
    <phoneticPr fontId="17" type="noConversion"/>
  </si>
  <si>
    <t>續期實繳保費</t>
    <phoneticPr fontId="17" type="noConversion"/>
  </si>
  <si>
    <t>繳別回乘倍數</t>
    <phoneticPr fontId="17" type="noConversion"/>
  </si>
  <si>
    <t>←首期保費規則</t>
    <phoneticPr fontId="17" type="noConversion"/>
  </si>
  <si>
    <t>最低年齡</t>
    <phoneticPr fontId="17" type="noConversion"/>
  </si>
  <si>
    <t>最高年齡</t>
    <phoneticPr fontId="17" type="noConversion"/>
  </si>
  <si>
    <t>首年實繳保費</t>
    <phoneticPr fontId="17" type="noConversion"/>
  </si>
  <si>
    <t>續年實繳保費</t>
    <phoneticPr fontId="17" type="noConversion"/>
  </si>
  <si>
    <t>主約1欄位檢核結果</t>
    <phoneticPr fontId="17" type="noConversion"/>
  </si>
  <si>
    <t>版次</t>
    <phoneticPr fontId="17" type="noConversion"/>
  </si>
  <si>
    <t>A險種+年期(2位)+性別(1位)+年齡(2位)</t>
    <phoneticPr fontId="17" type="noConversion"/>
  </si>
  <si>
    <t>SUMKEY</t>
    <phoneticPr fontId="17" type="noConversion"/>
  </si>
  <si>
    <t>姓名：</t>
    <phoneticPr fontId="17" type="noConversion"/>
  </si>
  <si>
    <t>性別：</t>
    <phoneticPr fontId="17" type="noConversion"/>
  </si>
  <si>
    <t>保險年齡：</t>
    <phoneticPr fontId="17" type="noConversion"/>
  </si>
  <si>
    <t>實際年齡：</t>
    <phoneticPr fontId="17" type="noConversion"/>
  </si>
  <si>
    <t>‧稅法相關規定或解釋之改變可能會影響本險之稅賦優惠。</t>
  </si>
  <si>
    <t>生日(民國)：</t>
    <phoneticPr fontId="17" type="noConversion"/>
  </si>
  <si>
    <t>保額</t>
    <phoneticPr fontId="17" type="noConversion"/>
  </si>
  <si>
    <t>保額限制：</t>
    <phoneticPr fontId="17" type="noConversion"/>
  </si>
  <si>
    <t>每萬保費</t>
    <phoneticPr fontId="17" type="noConversion"/>
  </si>
  <si>
    <r>
      <t>保額</t>
    </r>
    <r>
      <rPr>
        <b/>
        <sz val="12"/>
        <color indexed="8"/>
        <rFont val="Arial"/>
        <family val="2"/>
      </rPr>
      <t>(</t>
    </r>
    <r>
      <rPr>
        <b/>
        <sz val="12"/>
        <color indexed="8"/>
        <rFont val="細明體"/>
        <family val="3"/>
        <charset val="136"/>
      </rPr>
      <t>萬</t>
    </r>
    <r>
      <rPr>
        <b/>
        <sz val="12"/>
        <color indexed="8"/>
        <rFont val="Arial"/>
        <family val="2"/>
      </rPr>
      <t>)</t>
    </r>
    <r>
      <rPr>
        <b/>
        <sz val="12"/>
        <color indexed="8"/>
        <rFont val="細明體"/>
        <family val="3"/>
        <charset val="136"/>
      </rPr>
      <t>：</t>
    </r>
    <r>
      <rPr>
        <b/>
        <sz val="12"/>
        <color indexed="8"/>
        <rFont val="Arial"/>
        <family val="2"/>
      </rPr>
      <t/>
    </r>
    <phoneticPr fontId="17" type="noConversion"/>
  </si>
  <si>
    <t>年度</t>
    <phoneticPr fontId="17" type="noConversion"/>
  </si>
  <si>
    <t>富邦信用卡</t>
    <phoneticPr fontId="17" type="noConversion"/>
  </si>
  <si>
    <t>金融機構轉帳</t>
    <phoneticPr fontId="17" type="noConversion"/>
  </si>
  <si>
    <t>一般信用卡</t>
    <phoneticPr fontId="17" type="noConversion"/>
  </si>
  <si>
    <t>自行繳費</t>
    <phoneticPr fontId="17" type="noConversion"/>
  </si>
  <si>
    <t>KEY</t>
    <phoneticPr fontId="17" type="noConversion"/>
  </si>
  <si>
    <t>繳別：</t>
    <phoneticPr fontId="17" type="noConversion"/>
  </si>
  <si>
    <t>繳費方式：</t>
    <phoneticPr fontId="17" type="noConversion"/>
  </si>
  <si>
    <t>版次</t>
  </si>
  <si>
    <t>商品代號</t>
  </si>
  <si>
    <t>性別</t>
  </si>
  <si>
    <t>年齡</t>
  </si>
  <si>
    <t>第1年身故保險金</t>
  </si>
  <si>
    <t>第2年身故保險金</t>
  </si>
  <si>
    <t>第3年身故保險金</t>
  </si>
  <si>
    <t>第4年身故保險金</t>
  </si>
  <si>
    <t>第5年身故保險金</t>
  </si>
  <si>
    <t>第6年身故保險金</t>
  </si>
  <si>
    <t>第7年身故保險金</t>
  </si>
  <si>
    <t>第8年身故保險金</t>
  </si>
  <si>
    <t>第9年身故保險金</t>
  </si>
  <si>
    <t>第10年身故保險金</t>
  </si>
  <si>
    <t>第11年身故保險金</t>
  </si>
  <si>
    <t>第12年身故保險金</t>
  </si>
  <si>
    <t>第13年身故保險金</t>
  </si>
  <si>
    <t>第14年身故保險金</t>
  </si>
  <si>
    <t>第15年身故保險金</t>
  </si>
  <si>
    <t>第16年身故保險金</t>
  </si>
  <si>
    <t>第17年身故保險金</t>
  </si>
  <si>
    <t>第18年身故保險金</t>
  </si>
  <si>
    <t>第19年身故保險金</t>
  </si>
  <si>
    <t>第20年身故保險金</t>
  </si>
  <si>
    <t>第21年身故保險金</t>
  </si>
  <si>
    <t>第22年身故保險金</t>
  </si>
  <si>
    <t>第23年身故保險金</t>
  </si>
  <si>
    <t>第24年身故保險金</t>
  </si>
  <si>
    <t>第25年身故保險金</t>
  </si>
  <si>
    <t>第26年身故保險金</t>
  </si>
  <si>
    <t>第27年身故保險金</t>
  </si>
  <si>
    <t>第28年身故保險金</t>
  </si>
  <si>
    <t>第29年身故保險金</t>
  </si>
  <si>
    <t>第30年身故保險金</t>
  </si>
  <si>
    <t>第31年身故保險金</t>
  </si>
  <si>
    <t>第32年身故保險金</t>
  </si>
  <si>
    <t>第33年身故保險金</t>
  </si>
  <si>
    <t>第34年身故保險金</t>
  </si>
  <si>
    <t>第35年身故保險金</t>
  </si>
  <si>
    <t>第36年身故保險金</t>
  </si>
  <si>
    <t>第37年身故保險金</t>
  </si>
  <si>
    <t>第38年身故保險金</t>
  </si>
  <si>
    <t>第39年身故保險金</t>
  </si>
  <si>
    <t>第40年身故保險金</t>
  </si>
  <si>
    <t>第41年身故保險金</t>
  </si>
  <si>
    <t>第42年身故保險金</t>
  </si>
  <si>
    <t>第43年身故保險金</t>
  </si>
  <si>
    <t>第44年身故保險金</t>
  </si>
  <si>
    <t>第45年身故保險金</t>
  </si>
  <si>
    <t>第46年身故保險金</t>
  </si>
  <si>
    <t>第47年身故保險金</t>
  </si>
  <si>
    <t>第48年身故保險金</t>
  </si>
  <si>
    <t>第49年身故保險金</t>
  </si>
  <si>
    <t>第50年身故保險金</t>
  </si>
  <si>
    <t>第51年身故保險金</t>
  </si>
  <si>
    <t>第52年身故保險金</t>
  </si>
  <si>
    <t>第53年身故保險金</t>
  </si>
  <si>
    <t>第54年身故保險金</t>
  </si>
  <si>
    <t>第55年身故保險金</t>
  </si>
  <si>
    <t>第56年身故保險金</t>
  </si>
  <si>
    <t>第57年身故保險金</t>
  </si>
  <si>
    <t>第58年身故保險金</t>
  </si>
  <si>
    <t>第59年身故保險金</t>
  </si>
  <si>
    <t>第60年身故保險金</t>
  </si>
  <si>
    <t>第61年身故保險金</t>
  </si>
  <si>
    <t>第62年身故保險金</t>
  </si>
  <si>
    <t>第63年身故保險金</t>
  </si>
  <si>
    <t>第64年身故保險金</t>
  </si>
  <si>
    <t>第65年身故保險金</t>
  </si>
  <si>
    <t>第66年身故保險金</t>
  </si>
  <si>
    <t>第67年身故保險金</t>
  </si>
  <si>
    <t>第68年身故保險金</t>
  </si>
  <si>
    <t>第69年身故保險金</t>
  </si>
  <si>
    <t>第70年身故保險金</t>
  </si>
  <si>
    <t>第71年身故保險金</t>
  </si>
  <si>
    <t>第72年身故保險金</t>
  </si>
  <si>
    <t>第73年身故保險金</t>
  </si>
  <si>
    <t>第74年身故保險金額</t>
  </si>
  <si>
    <t>第75年身故保險金</t>
  </si>
  <si>
    <t>第76年身故保險金</t>
  </si>
  <si>
    <t>第77年身故保險金</t>
  </si>
  <si>
    <t>第78年身故保險金</t>
  </si>
  <si>
    <t>第79年身故保險金</t>
  </si>
  <si>
    <t>第80年身故保險金</t>
  </si>
  <si>
    <t>第81年身故保險金</t>
  </si>
  <si>
    <t>第82年身故保險金</t>
  </si>
  <si>
    <t>第83年身故保險金</t>
  </si>
  <si>
    <t>第84年身故保險金</t>
  </si>
  <si>
    <t>第85年身故保險金</t>
  </si>
  <si>
    <t>第86年身故保險金</t>
  </si>
  <si>
    <t>第87年身故保險金</t>
  </si>
  <si>
    <t>第88年身故保險金</t>
  </si>
  <si>
    <t>第89年身故保險金</t>
  </si>
  <si>
    <t>第90年身故保險金</t>
  </si>
  <si>
    <t>第91年身故保險金</t>
  </si>
  <si>
    <t>第92年身故保險金</t>
  </si>
  <si>
    <t>第93年身故保險金</t>
  </si>
  <si>
    <t>第94年身故保險金</t>
  </si>
  <si>
    <t>第95年身故保險金</t>
  </si>
  <si>
    <t>第96年身故保險金</t>
  </si>
  <si>
    <t>第97年身故保險金</t>
  </si>
  <si>
    <t>第98年身故保險金</t>
  </si>
  <si>
    <t>第99年身故保險金</t>
  </si>
  <si>
    <t>第100年身故保險金</t>
  </si>
  <si>
    <t>第101年身故保險金</t>
  </si>
  <si>
    <t>第102年身故保險金</t>
  </si>
  <si>
    <t>第103年身故保險金</t>
  </si>
  <si>
    <t>第104年身故保險金</t>
  </si>
  <si>
    <t>第105年身故保險金</t>
  </si>
  <si>
    <t>第106年身故保險金</t>
  </si>
  <si>
    <t>第107年身故保險金</t>
  </si>
  <si>
    <t>第108年身故保險金</t>
  </si>
  <si>
    <t>第109年身故保險金</t>
  </si>
  <si>
    <t>第110年身故保險金</t>
  </si>
  <si>
    <t>第111年身故保險金</t>
  </si>
  <si>
    <t>第1年解約金</t>
  </si>
  <si>
    <t>第2年解約金</t>
  </si>
  <si>
    <t>第3年解約金</t>
  </si>
  <si>
    <t>第4年解約金</t>
  </si>
  <si>
    <t>第5年解約金</t>
  </si>
  <si>
    <t>第6年解約金</t>
  </si>
  <si>
    <t>第7年解約金</t>
  </si>
  <si>
    <t>第8年解約金</t>
  </si>
  <si>
    <t>第9年解約金</t>
  </si>
  <si>
    <t>第10年解約金</t>
  </si>
  <si>
    <t>第11年解約金</t>
  </si>
  <si>
    <t>第12年解約金</t>
  </si>
  <si>
    <t>第13年解約金</t>
  </si>
  <si>
    <t>第14年解約金</t>
  </si>
  <si>
    <t>第15年解約金</t>
  </si>
  <si>
    <t>第16年解約金</t>
  </si>
  <si>
    <t>第17年解約金</t>
  </si>
  <si>
    <t>第18年解約金</t>
  </si>
  <si>
    <t>第19年解約金</t>
  </si>
  <si>
    <t>第20年解約金</t>
  </si>
  <si>
    <t>第21年解約金</t>
  </si>
  <si>
    <t>第22年解約金</t>
  </si>
  <si>
    <t>第23年解約金</t>
  </si>
  <si>
    <t>第24年解約金</t>
  </si>
  <si>
    <t>第25年解約金</t>
  </si>
  <si>
    <t>第26年解約金</t>
  </si>
  <si>
    <t>第27年解約金</t>
  </si>
  <si>
    <t>第28年解約金</t>
  </si>
  <si>
    <t>第29年解約金</t>
  </si>
  <si>
    <t>第30年解約金</t>
  </si>
  <si>
    <t>第31年解約金</t>
  </si>
  <si>
    <t>第32年解約金</t>
  </si>
  <si>
    <t>第33年解約金</t>
  </si>
  <si>
    <t>第34年解約金</t>
  </si>
  <si>
    <t>第35年解約金</t>
  </si>
  <si>
    <t>第36年解約金</t>
  </si>
  <si>
    <t>第37年解約金</t>
  </si>
  <si>
    <t>第38年解約金</t>
  </si>
  <si>
    <t>第39年解約金</t>
  </si>
  <si>
    <t>第40年解約金</t>
  </si>
  <si>
    <t>第41年解約金</t>
  </si>
  <si>
    <t>第42年解約金</t>
  </si>
  <si>
    <t>第43年解約金</t>
  </si>
  <si>
    <t>第44年解約金</t>
  </si>
  <si>
    <t>第45年解約金</t>
  </si>
  <si>
    <t>第46年解約金</t>
  </si>
  <si>
    <t>第47年解約金</t>
  </si>
  <si>
    <t>第48年解約金</t>
  </si>
  <si>
    <t>第49年解約金</t>
  </si>
  <si>
    <t>第50年解約金</t>
  </si>
  <si>
    <t>第51年解約金</t>
  </si>
  <si>
    <t>第52年解約金</t>
  </si>
  <si>
    <t>第53年解約金</t>
  </si>
  <si>
    <t>第54年解約金</t>
  </si>
  <si>
    <t>第55年解約金</t>
  </si>
  <si>
    <t>第56年解約金</t>
  </si>
  <si>
    <t>第57年解約金</t>
  </si>
  <si>
    <t>第58年解約金</t>
  </si>
  <si>
    <t>第59年解約金</t>
  </si>
  <si>
    <t>第60年解約金</t>
  </si>
  <si>
    <t>第61年解約金</t>
  </si>
  <si>
    <t>第62年解約金</t>
  </si>
  <si>
    <t>第63年解約金</t>
  </si>
  <si>
    <t>第64年解約金</t>
  </si>
  <si>
    <t>第65年解約金</t>
  </si>
  <si>
    <t>第66年解約金</t>
  </si>
  <si>
    <t>第67年解約金</t>
  </si>
  <si>
    <t>第68年解約金</t>
  </si>
  <si>
    <t>第69年解約金</t>
  </si>
  <si>
    <t>第70年解約金</t>
  </si>
  <si>
    <t>第71年解約金</t>
  </si>
  <si>
    <t>第72年解約金</t>
  </si>
  <si>
    <t>第73年解約金</t>
  </si>
  <si>
    <t>第74年解約金</t>
  </si>
  <si>
    <t>第75年解約金</t>
  </si>
  <si>
    <t>第76年解約金</t>
  </si>
  <si>
    <t>第77年解約金</t>
  </si>
  <si>
    <t>第78年解約金</t>
  </si>
  <si>
    <t>第79年解約金</t>
  </si>
  <si>
    <t>第80年解約金</t>
  </si>
  <si>
    <t>第81年解約金</t>
  </si>
  <si>
    <t>第82年解約金</t>
  </si>
  <si>
    <t>第83年解約金</t>
  </si>
  <si>
    <t>第84年解約金</t>
  </si>
  <si>
    <t>第85年解約金</t>
  </si>
  <si>
    <t>第86年解約金</t>
  </si>
  <si>
    <t>第87年解約金</t>
  </si>
  <si>
    <t>第88年解約金</t>
  </si>
  <si>
    <t>第89年解約金</t>
  </si>
  <si>
    <t>第90年解約金</t>
  </si>
  <si>
    <t>第91年解約金</t>
  </si>
  <si>
    <t>第92年解約金</t>
  </si>
  <si>
    <t>第93年解約金</t>
  </si>
  <si>
    <t>第94年解約金</t>
  </si>
  <si>
    <t>第95年解約金</t>
  </si>
  <si>
    <t>第96年解約金</t>
  </si>
  <si>
    <t>第97年解約金</t>
  </si>
  <si>
    <t>第98年解約金</t>
  </si>
  <si>
    <t>第99年解約金</t>
  </si>
  <si>
    <t>第100年解約金</t>
  </si>
  <si>
    <t>第101年解約金</t>
  </si>
  <si>
    <t>第102年解約金</t>
  </si>
  <si>
    <t>第103年解約金</t>
  </si>
  <si>
    <t>第104年解約金</t>
  </si>
  <si>
    <t>第105年解約金</t>
  </si>
  <si>
    <t>第106年解約金</t>
  </si>
  <si>
    <t>第107年解約金</t>
  </si>
  <si>
    <t>第108年解約金</t>
  </si>
  <si>
    <t>第109年解約金</t>
  </si>
  <si>
    <t>第110年解約金</t>
  </si>
  <si>
    <t>第111年解約金</t>
  </si>
  <si>
    <t>險種大類</t>
  </si>
  <si>
    <t>年期險種</t>
  </si>
  <si>
    <t>fubon</t>
    <phoneticPr fontId="17" type="noConversion"/>
  </si>
  <si>
    <t>試算日</t>
    <phoneticPr fontId="17" type="noConversion"/>
  </si>
  <si>
    <t>生日</t>
    <phoneticPr fontId="17" type="noConversion"/>
  </si>
  <si>
    <t>驗證</t>
    <phoneticPr fontId="17" type="noConversion"/>
  </si>
  <si>
    <t>彈性繳</t>
    <phoneticPr fontId="17" type="noConversion"/>
  </si>
  <si>
    <t>躉繳</t>
    <phoneticPr fontId="17" type="noConversion"/>
  </si>
  <si>
    <t>MAX-Y</t>
    <phoneticPr fontId="17" type="noConversion"/>
  </si>
  <si>
    <t>被保險人基本資料：</t>
    <phoneticPr fontId="17" type="noConversion"/>
  </si>
  <si>
    <t>1MAX</t>
    <phoneticPr fontId="17" type="noConversion"/>
  </si>
  <si>
    <t>1MIN</t>
    <phoneticPr fontId="17" type="noConversion"/>
  </si>
  <si>
    <t>SRV</t>
    <phoneticPr fontId="17" type="noConversion"/>
  </si>
  <si>
    <t>EXP</t>
    <phoneticPr fontId="17" type="noConversion"/>
  </si>
  <si>
    <t>DIE</t>
    <phoneticPr fontId="17" type="noConversion"/>
  </si>
  <si>
    <t>GP</t>
    <phoneticPr fontId="17" type="noConversion"/>
  </si>
  <si>
    <t>PA</t>
    <phoneticPr fontId="17" type="noConversion"/>
  </si>
  <si>
    <t>適用通路：</t>
    <phoneticPr fontId="17" type="noConversion"/>
  </si>
  <si>
    <t>現金給付</t>
    <phoneticPr fontId="17" type="noConversion"/>
  </si>
  <si>
    <t>儲存生息</t>
    <phoneticPr fontId="17" type="noConversion"/>
  </si>
  <si>
    <t>預定利率</t>
    <phoneticPr fontId="17" type="noConversion"/>
  </si>
  <si>
    <t>CV</t>
    <phoneticPr fontId="17" type="noConversion"/>
  </si>
  <si>
    <t>支票</t>
    <phoneticPr fontId="17" type="noConversion"/>
  </si>
  <si>
    <t>集彙折扣-首期</t>
    <phoneticPr fontId="17" type="noConversion"/>
  </si>
  <si>
    <t>集彙折扣-續期</t>
    <phoneticPr fontId="17" type="noConversion"/>
  </si>
  <si>
    <t>員工折扣</t>
    <phoneticPr fontId="17" type="noConversion"/>
  </si>
  <si>
    <t>折扣選項</t>
    <phoneticPr fontId="17" type="noConversion"/>
  </si>
  <si>
    <t>無</t>
    <phoneticPr fontId="17" type="noConversion"/>
  </si>
  <si>
    <t>第一頁說明↓</t>
    <phoneticPr fontId="17" type="noConversion"/>
  </si>
  <si>
    <t>102警語↓</t>
    <phoneticPr fontId="17" type="noConversion"/>
  </si>
  <si>
    <t>折扣使用</t>
    <phoneticPr fontId="17" type="noConversion"/>
  </si>
  <si>
    <t>首期</t>
    <phoneticPr fontId="17" type="noConversion"/>
  </si>
  <si>
    <t>續期</t>
    <phoneticPr fontId="17" type="noConversion"/>
  </si>
  <si>
    <t>繳費方式</t>
    <phoneticPr fontId="17" type="noConversion"/>
  </si>
  <si>
    <t>高保額</t>
    <phoneticPr fontId="17" type="noConversion"/>
  </si>
  <si>
    <t>繳費方式、高保額及集體彙繳件折扣</t>
  </si>
  <si>
    <t>員工轉帳件</t>
    <phoneticPr fontId="17" type="noConversion"/>
  </si>
  <si>
    <t>保險年齡：</t>
    <phoneticPr fontId="17" type="noConversion"/>
  </si>
  <si>
    <t>年</t>
  </si>
  <si>
    <t>換算匯率</t>
    <phoneticPr fontId="17" type="noConversion"/>
  </si>
  <si>
    <t>保額上限</t>
    <phoneticPr fontId="17" type="noConversion"/>
  </si>
  <si>
    <t>累積總保額上限</t>
    <phoneticPr fontId="17" type="noConversion"/>
  </si>
  <si>
    <t>key</t>
    <phoneticPr fontId="17" type="noConversion"/>
  </si>
  <si>
    <t>宣告利率</t>
    <phoneticPr fontId="17" type="noConversion"/>
  </si>
  <si>
    <t>MAX</t>
    <phoneticPr fontId="17" type="noConversion"/>
  </si>
  <si>
    <t>業務、服展、北富銀</t>
    <phoneticPr fontId="17" type="noConversion"/>
  </si>
  <si>
    <t>業務、服展</t>
    <phoneticPr fontId="17" type="noConversion"/>
  </si>
  <si>
    <t>北富銀</t>
    <phoneticPr fontId="17" type="noConversion"/>
  </si>
  <si>
    <t>整銷</t>
    <phoneticPr fontId="17" type="noConversion"/>
  </si>
  <si>
    <t>多元</t>
    <phoneticPr fontId="17" type="noConversion"/>
  </si>
  <si>
    <t>富邦人壽保險股份有限公司履行個人資料保護法告知說明書</t>
  </si>
  <si>
    <t xml:space="preserve"> </t>
  </si>
  <si>
    <t>富邦人壽保險股份有限公司（下稱本公司）依據個人資料保護法（以下稱個資法）</t>
  </si>
  <si>
    <t>規定，向 台端告知下列事項，請 台端詳閱：</t>
  </si>
  <si>
    <t>一、蒐集之目的：</t>
  </si>
  <si>
    <t>（一）人身保險（００一）</t>
  </si>
  <si>
    <t>（二）其他經營合於營業登記項目或組織章程所定之業務（一八一）</t>
  </si>
  <si>
    <t>二、蒐集之個人資料類別：</t>
  </si>
  <si>
    <t>（一）姓名。</t>
  </si>
  <si>
    <t>（二）身分證統一編號。</t>
  </si>
  <si>
    <t>（三）地址。</t>
  </si>
  <si>
    <t>三、個人資料利用之期間、地區、對象、方式：</t>
  </si>
  <si>
    <t>（三）地區：上述對象所在之地區。</t>
  </si>
  <si>
    <t>（四）方式：合於法令規定之利用方式。</t>
  </si>
  <si>
    <t>四、依據個資法第三條規定，台端就本公司保有 台端之個人資料得行使之權利及</t>
  </si>
  <si>
    <t xml:space="preserve">    方式：</t>
  </si>
  <si>
    <t>（一）得向本公司行使之權利：</t>
  </si>
  <si>
    <t xml:space="preserve">      1.向本公司查詢、請求閱覽或請求製給複製本。</t>
  </si>
  <si>
    <t xml:space="preserve">      2.向本公司請求補充或更正。</t>
  </si>
  <si>
    <t xml:space="preserve">      3.向本公司請求停止蒐集、處理或利用及請求刪除。</t>
  </si>
  <si>
    <t>（二）行使權利之方式：</t>
  </si>
  <si>
    <t xml:space="preserve">    台端若未能提供相關個人資料時，本公司將可能延後或無法進行必要之審核</t>
  </si>
  <si>
    <t xml:space="preserve">    及處理作業，因此可能婉謝承保、遲延或無法承保。</t>
  </si>
  <si>
    <t>保經代</t>
  </si>
  <si>
    <t xml:space="preserve">      與本公司有再保業務往來之公司、依法有調查權機關或金融監理機關。</t>
  </si>
  <si>
    <t>PVFB</t>
    <phoneticPr fontId="17" type="noConversion"/>
  </si>
  <si>
    <t>含</t>
    <phoneticPr fontId="17" type="noConversion"/>
  </si>
  <si>
    <t>PVFB0</t>
    <phoneticPr fontId="17" type="noConversion"/>
  </si>
  <si>
    <t>領後</t>
    <phoneticPr fontId="17" type="noConversion"/>
  </si>
  <si>
    <t>DIE2</t>
    <phoneticPr fontId="17" type="noConversion"/>
  </si>
  <si>
    <t>主約險種代號：</t>
    <phoneticPr fontId="17" type="noConversion"/>
  </si>
  <si>
    <t>生存保險金</t>
    <phoneticPr fontId="17" type="noConversion"/>
  </si>
  <si>
    <t>PV</t>
    <phoneticPr fontId="17" type="noConversion"/>
  </si>
  <si>
    <t>預計第二年度起保單週月日
領取生存保險金/元：</t>
    <phoneticPr fontId="17" type="noConversion"/>
  </si>
  <si>
    <t>換算投保保額/萬：</t>
    <phoneticPr fontId="17" type="noConversion"/>
  </si>
  <si>
    <t>主約繳費年期：</t>
    <phoneticPr fontId="17" type="noConversion"/>
  </si>
  <si>
    <t>姓名遮蔽用：中/英/數混合：前6碼"*"，中文：倒數第2碼"○"</t>
    <phoneticPr fontId="17" type="noConversion"/>
  </si>
  <si>
    <t>←輸入頁資料</t>
    <phoneticPr fontId="17" type="noConversion"/>
  </si>
  <si>
    <t>帶入資料</t>
    <phoneticPr fontId="17" type="noConversion"/>
  </si>
  <si>
    <t>判別不顯示(不判別)</t>
    <phoneticPr fontId="17" type="noConversion"/>
  </si>
  <si>
    <t>ID-11碼數字</t>
    <phoneticPr fontId="17" type="noConversion"/>
  </si>
  <si>
    <t>*</t>
  </si>
  <si>
    <t>ID-10碼</t>
    <phoneticPr fontId="17" type="noConversion"/>
  </si>
  <si>
    <t>**</t>
  </si>
  <si>
    <t>護照-9碼</t>
    <phoneticPr fontId="17" type="noConversion"/>
  </si>
  <si>
    <t>***</t>
  </si>
  <si>
    <t>****</t>
  </si>
  <si>
    <t>*****</t>
  </si>
  <si>
    <t>******</t>
  </si>
  <si>
    <t>空格位置</t>
    <phoneticPr fontId="17" type="noConversion"/>
  </si>
  <si>
    <t>試算日：</t>
  </si>
  <si>
    <t>錠嵂保經</t>
  </si>
  <si>
    <t>生存保險金
F+O</t>
    <phoneticPr fontId="17" type="noConversion"/>
  </si>
  <si>
    <t>生存保險金(月)
round(S/12,0)</t>
    <phoneticPr fontId="17" type="noConversion"/>
  </si>
  <si>
    <t>（四）病歷、醫療、健康檢查 。</t>
  </si>
  <si>
    <t>（五）要保書、要保文件等其他基於保險契約所提供之個人資料。</t>
  </si>
  <si>
    <t>←帶OP</t>
    <phoneticPr fontId="70" type="noConversion"/>
  </si>
  <si>
    <t>以下3欄要注意最下方要和右側揭露拉齊</t>
    <phoneticPr fontId="70" type="noConversion"/>
  </si>
  <si>
    <t>以下COPY-DB</t>
    <phoneticPr fontId="70" type="noConversion"/>
  </si>
  <si>
    <t>代表年齡第?小→</t>
    <phoneticPr fontId="70" type="noConversion"/>
  </si>
  <si>
    <t>年齡代號轉換</t>
    <phoneticPr fontId="70" type="noConversion"/>
  </si>
  <si>
    <t>KEY</t>
    <phoneticPr fontId="70" type="noConversion"/>
  </si>
  <si>
    <t>年齡</t>
    <phoneticPr fontId="70" type="noConversion"/>
  </si>
  <si>
    <t>年度</t>
    <phoneticPr fontId="70" type="noConversion"/>
  </si>
  <si>
    <t>繳費方式</t>
  </si>
  <si>
    <t>宣告利率</t>
  </si>
  <si>
    <t>繳費金額</t>
  </si>
  <si>
    <t>保單年度</t>
  </si>
  <si>
    <t>性別男=1，女=2→</t>
    <phoneticPr fontId="70" type="noConversion"/>
  </si>
  <si>
    <t>取第?欄→</t>
    <phoneticPr fontId="70" type="noConversion"/>
  </si>
  <si>
    <t>第?小↓</t>
    <phoneticPr fontId="70" type="noConversion"/>
  </si>
  <si>
    <t>保單年度</t>
    <phoneticPr fontId="70" type="noConversion"/>
  </si>
  <si>
    <t>以上區域為帶入列印頁範圍</t>
    <phoneticPr fontId="70" type="noConversion"/>
  </si>
  <si>
    <t>分期</t>
    <phoneticPr fontId="70" type="noConversion"/>
  </si>
  <si>
    <t>ㄧ次</t>
    <phoneticPr fontId="70" type="noConversion"/>
  </si>
  <si>
    <t>年</t>
    <phoneticPr fontId="70" type="noConversion"/>
  </si>
  <si>
    <t>半年</t>
    <phoneticPr fontId="70" type="noConversion"/>
  </si>
  <si>
    <t>季</t>
    <phoneticPr fontId="70" type="noConversion"/>
  </si>
  <si>
    <t>月</t>
    <phoneticPr fontId="70" type="noConversion"/>
  </si>
  <si>
    <t>精算公式→</t>
    <phoneticPr fontId="70" type="noConversion"/>
  </si>
  <si>
    <t>←精算換算比例(每萬元)</t>
    <phoneticPr fontId="70" type="noConversion"/>
  </si>
  <si>
    <t>←帶入換算比例(每元)</t>
    <phoneticPr fontId="70" type="noConversion"/>
  </si>
  <si>
    <t>定期定額-本利攤還</t>
    <phoneticPr fontId="70" type="noConversion"/>
  </si>
  <si>
    <t>給付金額/每期</t>
    <phoneticPr fontId="70" type="noConversion"/>
  </si>
  <si>
    <t>給付總額</t>
    <phoneticPr fontId="70" type="noConversion"/>
  </si>
  <si>
    <t>給付比例</t>
    <phoneticPr fontId="70" type="noConversion"/>
  </si>
  <si>
    <t>←自行計算換算比例</t>
    <phoneticPr fontId="70" type="noConversion"/>
  </si>
  <si>
    <t>定額不定期</t>
    <phoneticPr fontId="70" type="noConversion"/>
  </si>
  <si>
    <t>←帶入期付金額</t>
    <phoneticPr fontId="70" type="noConversion"/>
  </si>
  <si>
    <t>給付次數</t>
    <phoneticPr fontId="70" type="noConversion"/>
  </si>
  <si>
    <t>剩餘金額</t>
    <phoneticPr fontId="70" type="noConversion"/>
  </si>
  <si>
    <t>給付年次</t>
    <phoneticPr fontId="70" type="noConversion"/>
  </si>
  <si>
    <t>←自行計算給付年月數</t>
    <phoneticPr fontId="70" type="noConversion"/>
  </si>
  <si>
    <t>主約身故保障給付設定：</t>
    <phoneticPr fontId="70" type="noConversion"/>
  </si>
  <si>
    <t>職業等級</t>
  </si>
  <si>
    <t>年期</t>
  </si>
  <si>
    <t>保額代碼</t>
  </si>
  <si>
    <t>投保金額</t>
  </si>
  <si>
    <t/>
  </si>
  <si>
    <t>第1年祝壽保險金</t>
  </si>
  <si>
    <t>第2年祝壽保險金</t>
  </si>
  <si>
    <t>第3年祝壽保險金</t>
  </si>
  <si>
    <t>第4年祝壽保險金</t>
  </si>
  <si>
    <t>第5年祝壽保險金</t>
  </si>
  <si>
    <t>第6年祝壽保險金</t>
  </si>
  <si>
    <t>第7年祝壽保險金</t>
  </si>
  <si>
    <t>第8年祝壽保險金</t>
  </si>
  <si>
    <t>第9年祝壽保險金</t>
  </si>
  <si>
    <t>第10年祝壽保險金</t>
  </si>
  <si>
    <t>第11年祝壽保險金</t>
  </si>
  <si>
    <t>第12年祝壽保險金</t>
  </si>
  <si>
    <t>第13年祝壽保險金</t>
  </si>
  <si>
    <t>第14年祝壽保險金</t>
  </si>
  <si>
    <t>第15年祝壽保險金</t>
  </si>
  <si>
    <t>第16年祝壽保險金</t>
  </si>
  <si>
    <t>第17年祝壽保險金</t>
  </si>
  <si>
    <t>第18年祝壽保險金</t>
  </si>
  <si>
    <t>第19年祝壽保險金</t>
  </si>
  <si>
    <t>第20年祝壽保險金</t>
  </si>
  <si>
    <t>第21年祝壽保險金</t>
  </si>
  <si>
    <t>第22年祝壽保險金</t>
  </si>
  <si>
    <t>第23年祝壽保險金</t>
  </si>
  <si>
    <t>第24年祝壽保險金</t>
  </si>
  <si>
    <t>第25年祝壽保險金</t>
  </si>
  <si>
    <t>第26年祝壽保險金</t>
  </si>
  <si>
    <t>第27年祝壽保險金</t>
  </si>
  <si>
    <t>第28年祝壽保險金</t>
  </si>
  <si>
    <t>第29年祝壽保險金</t>
  </si>
  <si>
    <t>第30年祝壽保險金</t>
  </si>
  <si>
    <t>第31年祝壽保險金</t>
  </si>
  <si>
    <t>第32年祝壽保險金</t>
  </si>
  <si>
    <t>第33年祝壽保險金</t>
  </si>
  <si>
    <t>第34年祝壽保險金</t>
  </si>
  <si>
    <t>第35年祝壽保險金</t>
  </si>
  <si>
    <t>第36年祝壽保險金</t>
  </si>
  <si>
    <t>第37年祝壽保險金</t>
  </si>
  <si>
    <t>第38年祝壽保險金</t>
  </si>
  <si>
    <t>第39年祝壽保險金</t>
  </si>
  <si>
    <t>第40年祝壽保險金</t>
  </si>
  <si>
    <t>第41年祝壽保險金</t>
  </si>
  <si>
    <t>第42年祝壽保險金</t>
  </si>
  <si>
    <t>第43年祝壽保險金</t>
  </si>
  <si>
    <t>第44年祝壽保險金</t>
  </si>
  <si>
    <t>第45年祝壽保險金</t>
  </si>
  <si>
    <t>第46年祝壽保險金</t>
  </si>
  <si>
    <t>第47年祝壽保險金</t>
  </si>
  <si>
    <t>第48年祝壽保險金</t>
  </si>
  <si>
    <t>第49年祝壽保險金</t>
  </si>
  <si>
    <t>第50年祝壽保險金</t>
  </si>
  <si>
    <t>第51年祝壽保險金</t>
  </si>
  <si>
    <t>第52年祝壽保險金</t>
  </si>
  <si>
    <t>第53年祝壽保險金</t>
  </si>
  <si>
    <t>第54年祝壽保險金</t>
  </si>
  <si>
    <t>第55年祝壽保險金</t>
  </si>
  <si>
    <t>第56年祝壽保險金</t>
  </si>
  <si>
    <t>第57年祝壽保險金</t>
  </si>
  <si>
    <t>第58年祝壽保險金</t>
  </si>
  <si>
    <t>第59年祝壽保險金</t>
  </si>
  <si>
    <t>第60年祝壽保險金</t>
  </si>
  <si>
    <t>第61年祝壽保險金</t>
  </si>
  <si>
    <t>第62年祝壽保險金</t>
  </si>
  <si>
    <t>第63年祝壽保險金</t>
  </si>
  <si>
    <t>第64年祝壽保險金</t>
  </si>
  <si>
    <t>第65年祝壽保險金</t>
  </si>
  <si>
    <t>第66年祝壽保險金</t>
  </si>
  <si>
    <t>第67年祝壽保險金</t>
  </si>
  <si>
    <t>第68年祝壽保險金</t>
  </si>
  <si>
    <t>第69年祝壽保險金</t>
  </si>
  <si>
    <t>第70年祝壽保險金</t>
  </si>
  <si>
    <t>第71年祝壽保險金</t>
  </si>
  <si>
    <t>第72年祝壽保險金</t>
  </si>
  <si>
    <t>第73年祝壽保險金</t>
  </si>
  <si>
    <t>第74年祝壽保險金</t>
  </si>
  <si>
    <t>第75年祝壽保險金</t>
  </si>
  <si>
    <t>第76年祝壽保險金</t>
  </si>
  <si>
    <t>第77年祝壽保險金</t>
  </si>
  <si>
    <t>第78年祝壽保險金</t>
  </si>
  <si>
    <t>第79年祝壽保險金</t>
  </si>
  <si>
    <t>第80年祝壽保險金</t>
  </si>
  <si>
    <t>第81年祝壽保險金</t>
  </si>
  <si>
    <t>第82年祝壽保險金</t>
  </si>
  <si>
    <t>第83年祝壽保險金</t>
  </si>
  <si>
    <t>第84年祝壽保險金</t>
  </si>
  <si>
    <t>第85年祝壽保險金</t>
  </si>
  <si>
    <t>第86年祝壽保險金</t>
  </si>
  <si>
    <t>第87年祝壽保險金</t>
  </si>
  <si>
    <t>第88年祝壽保險金</t>
  </si>
  <si>
    <t>第89年祝壽保險金</t>
  </si>
  <si>
    <t>第90年祝壽保險金</t>
  </si>
  <si>
    <t>第91年祝壽保險金</t>
  </si>
  <si>
    <t>第92年祝壽保險金</t>
  </si>
  <si>
    <t>第93年祝壽保險金</t>
  </si>
  <si>
    <t>第94年祝壽保險金</t>
  </si>
  <si>
    <t>第95年祝壽保險金</t>
  </si>
  <si>
    <t>第96年祝壽保險金</t>
  </si>
  <si>
    <t>第97年祝壽保險金</t>
  </si>
  <si>
    <t>第98年祝壽保險金</t>
  </si>
  <si>
    <t>第99年祝壽保險金</t>
  </si>
  <si>
    <t>第100年祝壽保險金</t>
  </si>
  <si>
    <t>第101年祝壽保險金</t>
  </si>
  <si>
    <t>第102年祝壽保險金</t>
  </si>
  <si>
    <t>第103年祝壽保險金</t>
  </si>
  <si>
    <t>第104年祝壽保險金</t>
  </si>
  <si>
    <t>第105年祝壽保險金</t>
  </si>
  <si>
    <t>第106年祝壽保險金</t>
  </si>
  <si>
    <t>第107年祝壽保險金</t>
  </si>
  <si>
    <t>第108年祝壽保險金</t>
  </si>
  <si>
    <t>第109年祝壽保險金</t>
  </si>
  <si>
    <t>第110年祝壽保險金</t>
  </si>
  <si>
    <t>第111年祝壽保險金</t>
  </si>
  <si>
    <t>揭露利率</t>
  </si>
  <si>
    <t>美元</t>
  </si>
  <si>
    <t>←設定幣別</t>
    <phoneticPr fontId="17" type="noConversion"/>
  </si>
  <si>
    <t>分期低額</t>
    <phoneticPr fontId="17" type="noConversion"/>
  </si>
  <si>
    <t>每期</t>
    <phoneticPr fontId="17" type="noConversion"/>
  </si>
  <si>
    <t>指定</t>
    <phoneticPr fontId="17" type="noConversion"/>
  </si>
  <si>
    <t>新臺幣</t>
    <phoneticPr fontId="17" type="noConversion"/>
  </si>
  <si>
    <t>澳幣</t>
  </si>
  <si>
    <t>人民幣</t>
  </si>
  <si>
    <t>客戶計畫繳交保費(元)：</t>
    <phoneticPr fontId="17" type="noConversion"/>
  </si>
  <si>
    <t>換算可購買保額(萬)：</t>
    <phoneticPr fontId="17" type="noConversion"/>
  </si>
  <si>
    <t>計畫繳交保費換算保額未考慮保費折扣條件</t>
    <phoneticPr fontId="17" type="noConversion"/>
  </si>
  <si>
    <t>保費</t>
    <phoneticPr fontId="17" type="noConversion"/>
  </si>
  <si>
    <t>換算1</t>
    <phoneticPr fontId="17" type="noConversion"/>
  </si>
  <si>
    <t>換算2加計折扣</t>
    <phoneticPr fontId="17" type="noConversion"/>
  </si>
  <si>
    <t>新臺幣</t>
  </si>
  <si>
    <t>保額輸入檢核</t>
    <phoneticPr fontId="17" type="noConversion"/>
  </si>
  <si>
    <t>提醒設定</t>
    <phoneticPr fontId="17" type="noConversion"/>
  </si>
  <si>
    <t>跳歲計算</t>
    <phoneticPr fontId="17" type="noConversion"/>
  </si>
  <si>
    <t>新年齡/保費/差異</t>
    <phoneticPr fontId="17" type="noConversion"/>
  </si>
  <si>
    <t>簡寫</t>
    <phoneticPr fontId="17" type="noConversion"/>
  </si>
  <si>
    <t>1-中文-0-混合</t>
    <phoneticPr fontId="17" type="noConversion"/>
  </si>
  <si>
    <t>富邦人壽</t>
    <phoneticPr fontId="17" type="noConversion"/>
  </si>
  <si>
    <t>FBLI</t>
    <phoneticPr fontId="17" type="noConversion"/>
  </si>
  <si>
    <t>祝壽保險金</t>
    <phoneticPr fontId="17" type="noConversion"/>
  </si>
  <si>
    <t>更新區域</t>
    <phoneticPr fontId="17" type="noConversion"/>
  </si>
  <si>
    <t>帶入內容區域</t>
    <phoneticPr fontId="17" type="noConversion"/>
  </si>
  <si>
    <t>全列印頁面-祝壽保險金</t>
    <phoneticPr fontId="17" type="noConversion"/>
  </si>
  <si>
    <t>列印頁
未扣除增值回饋分享金</t>
    <phoneticPr fontId="17" type="noConversion"/>
  </si>
  <si>
    <t>繳費年度</t>
  </si>
  <si>
    <t>保費</t>
  </si>
  <si>
    <t>客戶</t>
    <phoneticPr fontId="17" type="noConversion"/>
  </si>
  <si>
    <t>商品別：</t>
    <phoneticPr fontId="17" type="noConversion"/>
  </si>
  <si>
    <t>保費：</t>
    <phoneticPr fontId="17" type="noConversion"/>
  </si>
  <si>
    <t>換算匯率：</t>
    <phoneticPr fontId="17" type="noConversion"/>
  </si>
  <si>
    <t>發單後是否需要電訪：</t>
    <phoneticPr fontId="17" type="noConversion"/>
  </si>
  <si>
    <t>電訪原因：</t>
    <phoneticPr fontId="17" type="noConversion"/>
  </si>
  <si>
    <t>※請注意！上述的電訪提醒僅針對本試算表所輸入的資料進行初步判斷，實際發單後是否須要電訪本公司將會另行通知。</t>
    <phoneticPr fontId="17" type="noConversion"/>
  </si>
  <si>
    <t>被保險人達70歲(含)以上且年繳保險費達10萬元(含)以上</t>
    <phoneticPr fontId="17" type="noConversion"/>
  </si>
  <si>
    <t>被保險人達70歲(含)以上且躉繳保險費達100萬(含)以上</t>
    <phoneticPr fontId="17" type="noConversion"/>
  </si>
  <si>
    <t>被保險人年齡達70歲(含)以上</t>
    <phoneticPr fontId="17" type="noConversion"/>
  </si>
  <si>
    <t>年繳保險費達新台幣30萬(含)以上</t>
    <phoneticPr fontId="17" type="noConversion"/>
  </si>
  <si>
    <t>躉繳保險費達新台幣100萬(含)以上</t>
    <phoneticPr fontId="17" type="noConversion"/>
  </si>
  <si>
    <t>‧消費者投保前應審慎瞭解本商品之承保範圍、除外責任、不保事項及商品風險，相關內容均詳列於保單條款及相關銷售</t>
    <phoneticPr fontId="17" type="noConversion"/>
  </si>
  <si>
    <t xml:space="preserve">  文件，如有疑義請洽詢銷售人員以詳細說明。</t>
    <phoneticPr fontId="17" type="noConversion"/>
  </si>
  <si>
    <t>PB</t>
    <phoneticPr fontId="17" type="noConversion"/>
  </si>
  <si>
    <t xml:space="preserve"> </t>
    <phoneticPr fontId="17" type="noConversion"/>
  </si>
  <si>
    <t>生日(民國)：</t>
    <phoneticPr fontId="17" type="noConversion"/>
  </si>
  <si>
    <t>實際年齡：</t>
    <phoneticPr fontId="17" type="noConversion"/>
  </si>
  <si>
    <t>要保人</t>
    <phoneticPr fontId="17" type="noConversion"/>
  </si>
  <si>
    <t>提醒↓</t>
    <phoneticPr fontId="17" type="noConversion"/>
  </si>
  <si>
    <t>提前提醒</t>
    <phoneticPr fontId="17" type="noConversion"/>
  </si>
  <si>
    <t>錄音提醒功能</t>
    <phoneticPr fontId="17" type="noConversion"/>
  </si>
  <si>
    <t>1=提醒/0=不提醒</t>
    <phoneticPr fontId="17" type="noConversion"/>
  </si>
  <si>
    <t>繳款人生日</t>
  </si>
  <si>
    <t>投保本商品的目的及需求：</t>
  </si>
  <si>
    <t>←銀保通路判別使用</t>
  </si>
  <si>
    <t>保障至幾歲</t>
    <phoneticPr fontId="17" type="noConversion"/>
  </si>
  <si>
    <t>列印頁-簡/銀保/彙總</t>
    <phoneticPr fontId="17" type="noConversion"/>
  </si>
  <si>
    <t>基本保額</t>
    <phoneticPr fontId="17" type="noConversion"/>
  </si>
  <si>
    <t>生存保險金</t>
    <phoneticPr fontId="17" type="noConversion"/>
  </si>
  <si>
    <t>全列印頁面使用</t>
    <phoneticPr fontId="17" type="noConversion"/>
  </si>
  <si>
    <t>折扣率：</t>
    <phoneticPr fontId="17" type="noConversion"/>
  </si>
  <si>
    <t>保費/折扣後保費：</t>
    <phoneticPr fontId="17" type="noConversion"/>
  </si>
  <si>
    <t>表格保險種類</t>
    <phoneticPr fontId="17" type="noConversion"/>
  </si>
  <si>
    <t>其他頁面用</t>
    <phoneticPr fontId="17" type="noConversion"/>
  </si>
  <si>
    <t>彙總版用</t>
    <phoneticPr fontId="17" type="noConversion"/>
  </si>
  <si>
    <t>商品文號：</t>
    <phoneticPr fontId="17" type="noConversion"/>
  </si>
  <si>
    <t>列印頁版次試算日：</t>
    <phoneticPr fontId="17" type="noConversion"/>
  </si>
  <si>
    <t>頁尾審閱期：(組合需加代號)</t>
    <phoneticPr fontId="17" type="noConversion"/>
  </si>
  <si>
    <t>頁尾警語：</t>
    <phoneticPr fontId="17" type="noConversion"/>
  </si>
  <si>
    <t>全列印頁表頭欄位使用</t>
    <phoneticPr fontId="17" type="noConversion"/>
  </si>
  <si>
    <t>OLD/說明</t>
    <phoneticPr fontId="17" type="noConversion"/>
  </si>
  <si>
    <t>16歲前年度回饋分享金：</t>
    <phoneticPr fontId="17" type="noConversion"/>
  </si>
  <si>
    <t>16歲前增購保額身故欄位：</t>
    <phoneticPr fontId="17" type="noConversion"/>
  </si>
  <si>
    <t>16歲前增購保額解約金欄位：</t>
    <phoneticPr fontId="17" type="noConversion"/>
  </si>
  <si>
    <t>輸入頁使用</t>
    <phoneticPr fontId="17" type="noConversion"/>
  </si>
  <si>
    <t>輸入頁試算日：</t>
    <phoneticPr fontId="17" type="noConversion"/>
  </si>
  <si>
    <t>未滿15足歲：</t>
    <phoneticPr fontId="17" type="noConversion"/>
  </si>
  <si>
    <t>※未滿15足歲同一被保險人累計本公司及產、壽險同業之壽險及傷害險最高總保額為2,000萬。</t>
    <phoneticPr fontId="17" type="noConversion"/>
  </si>
  <si>
    <t>列印頁/列印頁-銀保</t>
    <phoneticPr fontId="17" type="noConversion"/>
  </si>
  <si>
    <t>保險金額祝壽保險金：</t>
    <phoneticPr fontId="17" type="noConversion"/>
  </si>
  <si>
    <t>增額繳清保險金額祝壽保險金(預估值)：</t>
    <phoneticPr fontId="17" type="noConversion"/>
  </si>
  <si>
    <t>總保險金額祝壽保險金(預估值)：</t>
    <phoneticPr fontId="17" type="noConversion"/>
  </si>
  <si>
    <t>台幣=1，美元=2，澳幣=3</t>
    <phoneticPr fontId="17" type="noConversion"/>
  </si>
  <si>
    <t>「銷售過程紀錄錄音參考範本投保目的及需求須與業務人員報告書一致」</t>
  </si>
  <si>
    <t>109.07.01富壽商精字第1090002113號函備查、109.09.01依109.07.08金管保壽字第1090423012號函修正</t>
    <phoneticPr fontId="17" type="noConversion"/>
  </si>
  <si>
    <t>年度末
減額繳清
保險金額</t>
    <phoneticPr fontId="17" type="noConversion"/>
  </si>
  <si>
    <t>險種代號</t>
  </si>
  <si>
    <t>銷售紀錄單使用版本</t>
    <phoneticPr fontId="17" type="noConversion"/>
  </si>
  <si>
    <t>公版</t>
  </si>
  <si>
    <t>保額小數位數</t>
    <phoneticPr fontId="17" type="noConversion"/>
  </si>
  <si>
    <t>保留-3</t>
    <phoneticPr fontId="17" type="noConversion"/>
  </si>
  <si>
    <t>保留-4</t>
    <phoneticPr fontId="17" type="noConversion"/>
  </si>
  <si>
    <t>免體檢額度-5</t>
    <phoneticPr fontId="17" type="noConversion"/>
  </si>
  <si>
    <t>通算係數-6-男</t>
    <phoneticPr fontId="17" type="noConversion"/>
  </si>
  <si>
    <t>通算系數-7-女</t>
    <phoneticPr fontId="17" type="noConversion"/>
  </si>
  <si>
    <t>年齡-1</t>
    <phoneticPr fontId="17" type="noConversion"/>
  </si>
  <si>
    <t>最高保額-2</t>
    <phoneticPr fontId="17" type="noConversion"/>
  </si>
  <si>
    <t>最長年期</t>
    <phoneticPr fontId="17" type="noConversion"/>
  </si>
  <si>
    <t>通算保額係數</t>
    <phoneticPr fontId="17" type="noConversion"/>
  </si>
  <si>
    <t>通算保額係數欄位判定</t>
    <phoneticPr fontId="17" type="noConversion"/>
  </si>
  <si>
    <t>免體減額度</t>
    <phoneticPr fontId="17" type="noConversion"/>
  </si>
  <si>
    <t>匯率</t>
    <phoneticPr fontId="17" type="noConversion"/>
  </si>
  <si>
    <t>顯示體檢(1：顯示，空：不顯示)</t>
    <phoneticPr fontId="17" type="noConversion"/>
  </si>
  <si>
    <t>保額(以千為單位)</t>
    <phoneticPr fontId="17" type="noConversion"/>
  </si>
  <si>
    <t>抵繳保費</t>
    <phoneticPr fontId="17" type="noConversion"/>
  </si>
  <si>
    <t>無紅利給付文字：</t>
    <phoneticPr fontId="17" type="noConversion"/>
  </si>
  <si>
    <t>可選年度紅利給付方式</t>
    <phoneticPr fontId="17" type="noConversion"/>
  </si>
  <si>
    <t>TOV_BONU_M</t>
    <phoneticPr fontId="17" type="noConversion"/>
  </si>
  <si>
    <t>TOV_BONU_L</t>
    <phoneticPr fontId="17" type="noConversion"/>
  </si>
  <si>
    <t>TOV_BONU_H</t>
    <phoneticPr fontId="17" type="noConversion"/>
  </si>
  <si>
    <t>保單紅利欄位警語</t>
    <phoneticPr fontId="17" type="noConversion"/>
  </si>
  <si>
    <t>有紅利頁首：</t>
    <phoneticPr fontId="17" type="noConversion"/>
  </si>
  <si>
    <t>年度
實繳保費</t>
    <phoneticPr fontId="17" type="noConversion"/>
  </si>
  <si>
    <t>※本契約條款樣張須於訂立契約前提供要保人至少三日審閱期間</t>
    <phoneticPr fontId="17" type="noConversion"/>
  </si>
  <si>
    <t>年度保單紅利給付方式：</t>
    <phoneticPr fontId="17" type="noConversion"/>
  </si>
  <si>
    <t>第1年減額繳清保額</t>
  </si>
  <si>
    <t>第2年減額繳清保額</t>
  </si>
  <si>
    <t>第3年減額繳清保額</t>
  </si>
  <si>
    <t>第4年減額繳清保額</t>
  </si>
  <si>
    <t>第5年減額繳清保額</t>
  </si>
  <si>
    <t>第6年減額繳清保額</t>
  </si>
  <si>
    <t>第7年減額繳清保額</t>
  </si>
  <si>
    <t>第8年減額繳清保額</t>
  </si>
  <si>
    <t>第9年減額繳清保額</t>
  </si>
  <si>
    <t>第10年減額繳清保額</t>
  </si>
  <si>
    <t>第11年減額繳清保額</t>
  </si>
  <si>
    <t>第12年減額繳清保額</t>
  </si>
  <si>
    <t>第13年減額繳清保額</t>
  </si>
  <si>
    <t>第14年減額繳清保額</t>
  </si>
  <si>
    <t>第15年減額繳清保額</t>
  </si>
  <si>
    <t>第16年減額繳清保額</t>
  </si>
  <si>
    <t>第17年減額繳清保額</t>
  </si>
  <si>
    <t>第18年減額繳清保額</t>
  </si>
  <si>
    <t>第19年減額繳清保額B</t>
  </si>
  <si>
    <t>第20年減額繳清保額</t>
  </si>
  <si>
    <t>第21年減額繳清保額B</t>
  </si>
  <si>
    <t>第22年減額繳清保額</t>
  </si>
  <si>
    <t>第23年減額繳清保額</t>
  </si>
  <si>
    <t>第24年減額繳清保額</t>
  </si>
  <si>
    <t>第25年減額繳清保額</t>
  </si>
  <si>
    <t>第26年減額繳清保額B</t>
  </si>
  <si>
    <t>第27年減額繳清保額</t>
  </si>
  <si>
    <t>第28年減額繳清保額B</t>
  </si>
  <si>
    <t>第29年減額繳清保額</t>
  </si>
  <si>
    <t>第30年減額繳清保額B</t>
  </si>
  <si>
    <t>第31年減額繳清保額</t>
  </si>
  <si>
    <t>第32年減額繳清保額</t>
  </si>
  <si>
    <t>第33年減額繳清保額</t>
  </si>
  <si>
    <t>第34年減額繳清保額</t>
  </si>
  <si>
    <t>第35年減額繳清保額</t>
  </si>
  <si>
    <t>第36年減額繳清保額</t>
  </si>
  <si>
    <t>第37年減額繳清保額</t>
  </si>
  <si>
    <t>第38年減額繳清保額</t>
  </si>
  <si>
    <t>第39年減額繳清保額</t>
  </si>
  <si>
    <t>第40年減額繳清保額</t>
  </si>
  <si>
    <t>第41年減額繳清保額</t>
  </si>
  <si>
    <t>第42年減額繳清保額</t>
  </si>
  <si>
    <t>第43年減額繳清保額</t>
  </si>
  <si>
    <t>第44年減額繳清保額</t>
  </si>
  <si>
    <t>第45年減額繳清保額</t>
  </si>
  <si>
    <t>第46年減額繳清保額</t>
  </si>
  <si>
    <t>第47年減額繳清保額</t>
  </si>
  <si>
    <t>第48年減額繳清保額</t>
  </si>
  <si>
    <t>第49年減額繳清保額</t>
  </si>
  <si>
    <t>第50年減額繳清保額</t>
  </si>
  <si>
    <t>第51年減額繳清保額</t>
  </si>
  <si>
    <t>第52年減額繳清保額</t>
  </si>
  <si>
    <t>第53年減額繳清保額</t>
  </si>
  <si>
    <t>第54年減額繳清保額</t>
  </si>
  <si>
    <t>第55年減額繳清保額</t>
  </si>
  <si>
    <t>第56年減額繳清保額</t>
  </si>
  <si>
    <t>第57年減額繳清保額</t>
  </si>
  <si>
    <t>第58年減額繳清保額</t>
  </si>
  <si>
    <t>第59年減額繳清保額</t>
  </si>
  <si>
    <t>第60年減額繳清保額</t>
  </si>
  <si>
    <t>第61年減額繳清保額</t>
  </si>
  <si>
    <t>第62年減額繳清保額</t>
  </si>
  <si>
    <t>第63年減額繳清保額</t>
  </si>
  <si>
    <t>第64年減額繳清保額</t>
  </si>
  <si>
    <t>第65年減額繳清保額</t>
  </si>
  <si>
    <t>第66年減額繳清保額</t>
  </si>
  <si>
    <t>第67年減額繳清保額</t>
  </si>
  <si>
    <t>第68年減額繳清保額</t>
  </si>
  <si>
    <t>第69年減額繳清保額</t>
  </si>
  <si>
    <t>第70年減額繳清保額</t>
  </si>
  <si>
    <t>第71年減額繳清保額</t>
  </si>
  <si>
    <t>第72年減額繳清保額</t>
  </si>
  <si>
    <t>第73年減額繳清保額</t>
  </si>
  <si>
    <t>第74年減額繳清保額</t>
  </si>
  <si>
    <t>第75年減額繳清保額</t>
  </si>
  <si>
    <t>第76年減額繳清保額</t>
  </si>
  <si>
    <t>第77年減額繳清保額</t>
  </si>
  <si>
    <t>第78年減額繳清保額</t>
  </si>
  <si>
    <t>第79年減額繳清保額</t>
  </si>
  <si>
    <t>第80年減額繳清保額</t>
  </si>
  <si>
    <t>第81年減額繳清保額</t>
  </si>
  <si>
    <t>第82年契遾B繳清保額</t>
  </si>
  <si>
    <t>第83年減額繳清保額</t>
  </si>
  <si>
    <t>第84年減額繳清保額</t>
  </si>
  <si>
    <t>第85年減額繳清保額</t>
  </si>
  <si>
    <t>第86年減額繳清保額</t>
  </si>
  <si>
    <t>第87年減額繳清保額</t>
  </si>
  <si>
    <t>第88年減額繳清保額</t>
  </si>
  <si>
    <t>第89年減額繳清保額</t>
  </si>
  <si>
    <t>第90年減額繳清保額</t>
  </si>
  <si>
    <t>第91年減額繳清保額</t>
  </si>
  <si>
    <t>第92年減額繳清保額</t>
  </si>
  <si>
    <t>第93年減額繳清保額</t>
  </si>
  <si>
    <t>第94年減額繳清保額</t>
  </si>
  <si>
    <t>第95年減額繳清保額</t>
  </si>
  <si>
    <t>第96年減額繳清保額</t>
  </si>
  <si>
    <t>第97年減額繳清保額</t>
  </si>
  <si>
    <t>第98年減額繳清保額</t>
  </si>
  <si>
    <t>第99年減額繳清保額</t>
  </si>
  <si>
    <t>第100年減額繳清保額</t>
  </si>
  <si>
    <t>第101年減額繳清保額</t>
  </si>
  <si>
    <t>第102年減額繳清保額</t>
  </si>
  <si>
    <t>第103年減額繳清保額</t>
  </si>
  <si>
    <t>第104年減額繳清保額</t>
  </si>
  <si>
    <t>第105年減額繳清保額</t>
  </si>
  <si>
    <t>第106年減額繳清保額</t>
  </si>
  <si>
    <t>第107年減額繳清保額</t>
  </si>
  <si>
    <t>第108年減額繳清保額</t>
  </si>
  <si>
    <t>第109年減額繳清保額</t>
  </si>
  <si>
    <t>第110年減額繳清保額</t>
  </si>
  <si>
    <t>第111年減額繳清保額</t>
  </si>
  <si>
    <t>tbPV0(期初保價金)_領後(不含生存金)</t>
    <phoneticPr fontId="17" type="noConversion"/>
  </si>
  <si>
    <t>假設儲存生息利率</t>
    <phoneticPr fontId="17" type="noConversion"/>
  </si>
  <si>
    <t>年度末
身故/完全
失能保障</t>
    <phoneticPr fontId="17" type="noConversion"/>
  </si>
  <si>
    <t>年度末
解約金</t>
    <phoneticPr fontId="17" type="noConversion"/>
  </si>
  <si>
    <t>年度末
保險金額
( Z )</t>
  </si>
  <si>
    <t>ㄧ次給付</t>
    <phoneticPr fontId="17" type="noConversion"/>
  </si>
  <si>
    <t>繳清保險金額</t>
  </si>
  <si>
    <t>本保單計價幣別：</t>
    <phoneticPr fontId="17" type="noConversion"/>
  </si>
  <si>
    <t>身故保障=基本保額+增購保額-最後一年回饋金(增購保額)
ㄧ次給付身故=身故保障*比例PYO+紅利+最後一年紅利(增購保額)
分期給付=身故保障*比例PYY</t>
    <phoneticPr fontId="17" type="noConversion"/>
  </si>
  <si>
    <t>年度末身故/完全失能時可領總金額</t>
    <phoneticPr fontId="17" type="noConversion"/>
  </si>
  <si>
    <t>轉換金額</t>
    <phoneticPr fontId="17" type="noConversion"/>
  </si>
  <si>
    <t>指定保險金比例：</t>
    <phoneticPr fontId="17" type="noConversion"/>
  </si>
  <si>
    <t>台幣(1)</t>
    <phoneticPr fontId="17" type="noConversion"/>
  </si>
  <si>
    <t>美元(2)</t>
    <phoneticPr fontId="17" type="noConversion"/>
  </si>
  <si>
    <t>澳幣(3)</t>
    <phoneticPr fontId="17" type="noConversion"/>
  </si>
  <si>
    <t>保
單
年
度</t>
    <phoneticPr fontId="17" type="noConversion"/>
  </si>
  <si>
    <t>保
險
年
齡</t>
    <phoneticPr fontId="17" type="noConversion"/>
  </si>
  <si>
    <t>銀保</t>
  </si>
  <si>
    <t>銀保</t>
    <phoneticPr fontId="17" type="noConversion"/>
  </si>
  <si>
    <t>同被保險人</t>
  </si>
  <si>
    <t>要保人同被保險人</t>
  </si>
  <si>
    <t>繳款人同被保險人</t>
  </si>
  <si>
    <t>繳款人同要保人</t>
  </si>
  <si>
    <t>與被保險人不同人</t>
  </si>
  <si>
    <t>要保人</t>
  </si>
  <si>
    <t>被保人</t>
  </si>
  <si>
    <t>繳款人</t>
  </si>
  <si>
    <t>月繳*2 ←1130126新增月繳倍數(紀錄單用)</t>
  </si>
  <si>
    <t>公司名稱：</t>
  </si>
  <si>
    <t>招攬人：</t>
  </si>
  <si>
    <t>登錄證：</t>
  </si>
  <si>
    <t>共同招攬人：</t>
  </si>
  <si>
    <t>共同招攬人登錄證：</t>
  </si>
  <si>
    <t>要保人/繳款人：</t>
    <phoneticPr fontId="17" type="noConversion"/>
  </si>
  <si>
    <t>（二）對象：本公司、中華民國人壽保險商業同業公會、財團法人保險事業發展</t>
  </si>
  <si>
    <t xml:space="preserve">      中心、財團法人金融消費評議中心、業務委外機構、臺灣網路認證(股)公司、</t>
  </si>
  <si>
    <t xml:space="preserve">      與本公司有再保業務往來之公司、依法有調查權機關或金融監理機關。</t>
  </si>
  <si>
    <t xml:space="preserve">      您可以透過書面（包含電子郵件、傳真、電子文件）方式行使權利。</t>
  </si>
  <si>
    <t>（一）期間：因執行業務所必須及依法令規定應為保存之期間。</t>
  </si>
  <si>
    <t>五、台端不提供個人資料所致權益之影響</t>
  </si>
  <si>
    <t>‧下表保險相關給付為保證給付項目，可能紅利金額為零之情境</t>
    <phoneticPr fontId="17" type="noConversion"/>
  </si>
  <si>
    <t>‧本保險為分紅保險單，保單紅利部分非本保險單之保證給付項目，本公司不保證其給付金額。</t>
    <phoneticPr fontId="17" type="noConversion"/>
  </si>
  <si>
    <t>以下為可能紅利金額為零情境</t>
    <phoneticPr fontId="17" type="noConversion"/>
  </si>
  <si>
    <t>本建議書僅供參考，詳細商品內容及其變更，應以投保當時保單條款內容及本公司核保、保全作業規定為準</t>
    <phoneticPr fontId="17" type="noConversion"/>
  </si>
  <si>
    <t>請注意：如使用非微軟OFFICE-PC版開啟本建議書，本建議書內容可能會因硬體系統升級或軟體更新問題導致數值誤差，業務同仁使用時請確實確認。</t>
  </si>
  <si>
    <t>累計增額繳清保險金額</t>
  </si>
  <si>
    <t>累計生存保險金</t>
  </si>
  <si>
    <t>累計生存保險金(月)
(U*12)+上期總額</t>
  </si>
  <si>
    <t>累計已領
生存保險金</t>
  </si>
  <si>
    <t>累計已領生存保險金</t>
  </si>
  <si>
    <t>累計
實繳保費</t>
  </si>
  <si>
    <t>現售</t>
  </si>
  <si>
    <t>‧富邦人壽保險股份有限公司 / 地址：台北市信義區松高路77號8樓 / 電話：(02)8771-6699</t>
  </si>
  <si>
    <t>身份別保費折扣：</t>
    <phoneticPr fontId="17" type="noConversion"/>
  </si>
  <si>
    <t>一銀</t>
    <phoneticPr fontId="17" type="noConversion"/>
  </si>
  <si>
    <t>上銀</t>
    <phoneticPr fontId="17" type="noConversion"/>
  </si>
  <si>
    <t>回傳資訊</t>
    <phoneticPr fontId="111" type="noConversion"/>
  </si>
  <si>
    <t>保費：首期</t>
    <phoneticPr fontId="111" type="noConversion"/>
  </si>
  <si>
    <t>保費：續期</t>
    <phoneticPr fontId="111" type="noConversion"/>
  </si>
  <si>
    <t>錯誤訊息：</t>
    <phoneticPr fontId="111" type="noConversion"/>
  </si>
  <si>
    <t>原始保費：</t>
    <phoneticPr fontId="17" type="noConversion"/>
  </si>
  <si>
    <t>1090428新增</t>
    <phoneticPr fontId="17" type="noConversion"/>
  </si>
  <si>
    <t>目前未使用，預留</t>
    <phoneticPr fontId="111" type="noConversion"/>
  </si>
  <si>
    <t>EXCEL使用</t>
    <phoneticPr fontId="111" type="noConversion"/>
  </si>
  <si>
    <t>欄位名</t>
  </si>
  <si>
    <t>中文名</t>
  </si>
  <si>
    <t>說明</t>
  </si>
  <si>
    <t>是否必填</t>
  </si>
  <si>
    <t>試算表使用欄位</t>
    <phoneticPr fontId="111" type="noConversion"/>
  </si>
  <si>
    <t>excel套用欄位內容</t>
    <phoneticPr fontId="111" type="noConversion"/>
  </si>
  <si>
    <t>錯誤訊息</t>
    <phoneticPr fontId="111" type="noConversion"/>
  </si>
  <si>
    <t>間隔</t>
    <phoneticPr fontId="111" type="noConversion"/>
  </si>
  <si>
    <t>性別</t>
    <phoneticPr fontId="111" type="noConversion"/>
  </si>
  <si>
    <t>ProposalRequest</t>
    <phoneticPr fontId="111" type="noConversion"/>
  </si>
  <si>
    <t>男</t>
    <phoneticPr fontId="111" type="noConversion"/>
  </si>
  <si>
    <t>TrnNum</t>
  </si>
  <si>
    <t>交易序號</t>
  </si>
  <si>
    <t>系統代號+yyyymmddhhMMssmis(建議保險公司可以接收該欄位並記錄於log中, 到時候追查資料時比較方便)</t>
    <phoneticPr fontId="111" type="noConversion"/>
  </si>
  <si>
    <t>V</t>
  </si>
  <si>
    <t>X</t>
    <phoneticPr fontId="111" type="noConversion"/>
  </si>
  <si>
    <t>女</t>
    <phoneticPr fontId="111" type="noConversion"/>
  </si>
  <si>
    <t>data_type</t>
  </si>
  <si>
    <t>資料類別</t>
  </si>
  <si>
    <t>1.產生建議書</t>
  </si>
  <si>
    <t>2.要保書檢核</t>
  </si>
  <si>
    <t>insco_no</t>
  </si>
  <si>
    <t>保險公司代碼</t>
  </si>
  <si>
    <t>018安聯</t>
  </si>
  <si>
    <t>proposal_seq</t>
  </si>
  <si>
    <t>建議書序號</t>
  </si>
  <si>
    <t>data_type為2(要保書檢核)時不傳</t>
  </si>
  <si>
    <t>中信規則</t>
    <phoneticPr fontId="111" type="noConversion"/>
  </si>
  <si>
    <t>被保人身分別</t>
    <phoneticPr fontId="111" type="noConversion"/>
  </si>
  <si>
    <t>1090721-建議書序號不需檢核</t>
    <phoneticPr fontId="17" type="noConversion"/>
  </si>
  <si>
    <t>owner_name</t>
  </si>
  <si>
    <t>要保人姓名</t>
  </si>
  <si>
    <t>目前無要保人欄位，預留</t>
    <phoneticPr fontId="111" type="noConversion"/>
  </si>
  <si>
    <t>一般</t>
    <phoneticPr fontId="111" type="noConversion"/>
  </si>
  <si>
    <t>owner_sex</t>
  </si>
  <si>
    <t>要保人性別</t>
  </si>
  <si>
    <t>1男</t>
  </si>
  <si>
    <t>學生</t>
    <phoneticPr fontId="111" type="noConversion"/>
  </si>
  <si>
    <t>2女</t>
  </si>
  <si>
    <t>家管</t>
    <phoneticPr fontId="111" type="noConversion"/>
  </si>
  <si>
    <t>owner_birth</t>
  </si>
  <si>
    <t>要保人出生年月日</t>
  </si>
  <si>
    <t>yyyymmdd</t>
  </si>
  <si>
    <t>退休人士</t>
    <phoneticPr fontId="111" type="noConversion"/>
  </si>
  <si>
    <t>is_owner</t>
  </si>
  <si>
    <t>要被保人同一人</t>
  </si>
  <si>
    <t>Y/N</t>
  </si>
  <si>
    <t>insure_name</t>
  </si>
  <si>
    <t>被保人姓名</t>
  </si>
  <si>
    <t>insure_sex</t>
  </si>
  <si>
    <t>被保險人性別</t>
  </si>
  <si>
    <t>繳別</t>
    <phoneticPr fontId="111" type="noConversion"/>
  </si>
  <si>
    <t>insure_birthday</t>
  </si>
  <si>
    <t>被保險人出生年月日</t>
  </si>
  <si>
    <t>1150126調整</t>
    <phoneticPr fontId="17" type="noConversion"/>
  </si>
  <si>
    <t>01</t>
    <phoneticPr fontId="111" type="noConversion"/>
  </si>
  <si>
    <t>月繳</t>
    <phoneticPr fontId="111" type="noConversion"/>
  </si>
  <si>
    <t>03</t>
    <phoneticPr fontId="111" type="noConversion"/>
  </si>
  <si>
    <t>季繳</t>
    <phoneticPr fontId="111" type="noConversion"/>
  </si>
  <si>
    <t>insure_prof_kind</t>
  </si>
  <si>
    <t>被保險人職業等級</t>
  </si>
  <si>
    <t>1~6</t>
  </si>
  <si>
    <t>與被保人兼業等級取大</t>
    <phoneticPr fontId="111" type="noConversion"/>
  </si>
  <si>
    <t>06</t>
    <phoneticPr fontId="111" type="noConversion"/>
  </si>
  <si>
    <t>半年繳</t>
    <phoneticPr fontId="111" type="noConversion"/>
  </si>
  <si>
    <t>insure_prof_type</t>
  </si>
  <si>
    <t>被保險人職業身分別</t>
    <phoneticPr fontId="111" type="noConversion"/>
  </si>
  <si>
    <t>1.一般</t>
  </si>
  <si>
    <t>試算表無身分判別，預留</t>
    <phoneticPr fontId="111" type="noConversion"/>
  </si>
  <si>
    <t>12</t>
    <phoneticPr fontId="111" type="noConversion"/>
  </si>
  <si>
    <t>年繳</t>
    <phoneticPr fontId="111" type="noConversion"/>
  </si>
  <si>
    <t>2.學生</t>
  </si>
  <si>
    <t>P</t>
    <phoneticPr fontId="111" type="noConversion"/>
  </si>
  <si>
    <t>躉繳</t>
    <phoneticPr fontId="111" type="noConversion"/>
  </si>
  <si>
    <t>3.家管</t>
  </si>
  <si>
    <t>4.退休人士</t>
  </si>
  <si>
    <t>insure_job_code</t>
  </si>
  <si>
    <t>被保險人職業代碼</t>
  </si>
  <si>
    <t>繳費方式</t>
    <phoneticPr fontId="111" type="noConversion"/>
  </si>
  <si>
    <t>首期</t>
    <phoneticPr fontId="111" type="noConversion"/>
  </si>
  <si>
    <t>續期</t>
    <phoneticPr fontId="111" type="noConversion"/>
  </si>
  <si>
    <t>中信</t>
    <phoneticPr fontId="111" type="noConversion"/>
  </si>
  <si>
    <t>insure_part_time_prof_kind</t>
  </si>
  <si>
    <t>被保險人兼職職業等級</t>
  </si>
  <si>
    <t>於H26取大</t>
    <phoneticPr fontId="111" type="noConversion"/>
  </si>
  <si>
    <t>1</t>
    <phoneticPr fontId="17" type="noConversion"/>
  </si>
  <si>
    <t>-</t>
    <phoneticPr fontId="111" type="noConversion"/>
  </si>
  <si>
    <t>1.帳戶圈存(匯款)</t>
  </si>
  <si>
    <t>insure_part_time_job_code</t>
  </si>
  <si>
    <t>被保險人兼職職業代碼</t>
  </si>
  <si>
    <t>2</t>
    <phoneticPr fontId="17" type="noConversion"/>
  </si>
  <si>
    <t>2.現金圈存(匯款)</t>
  </si>
  <si>
    <t>plan_code</t>
  </si>
  <si>
    <t>3</t>
    <phoneticPr fontId="17" type="noConversion"/>
  </si>
  <si>
    <t>一般信用卡</t>
    <phoneticPr fontId="111" type="noConversion"/>
  </si>
  <si>
    <t>3.信用卡</t>
  </si>
  <si>
    <t>paid_period_year</t>
  </si>
  <si>
    <t>繳費年期</t>
  </si>
  <si>
    <t>4</t>
    <phoneticPr fontId="17" type="noConversion"/>
  </si>
  <si>
    <t>金融機構轉帳</t>
    <phoneticPr fontId="111" type="noConversion"/>
  </si>
  <si>
    <t>4.本行自扣(轉帳)</t>
  </si>
  <si>
    <t>coverage_type</t>
  </si>
  <si>
    <t>保障類別單位</t>
  </si>
  <si>
    <t>1.保額 2單位 3計畫</t>
  </si>
  <si>
    <t>試算表無須判別</t>
    <phoneticPr fontId="111" type="noConversion"/>
  </si>
  <si>
    <t>5</t>
    <phoneticPr fontId="17" type="noConversion"/>
  </si>
  <si>
    <t>自行繳費</t>
    <phoneticPr fontId="111" type="noConversion"/>
  </si>
  <si>
    <t>5.臨櫃轉帳(匯款)</t>
  </si>
  <si>
    <t>cuy_cpo</t>
  </si>
  <si>
    <t>保額幣別</t>
  </si>
  <si>
    <t>台幣為TWD</t>
  </si>
  <si>
    <t>6</t>
    <phoneticPr fontId="17" type="noConversion"/>
  </si>
  <si>
    <t>6.臨櫃存入(匯款)</t>
  </si>
  <si>
    <t>cuy_prem</t>
  </si>
  <si>
    <t>保費幣別</t>
  </si>
  <si>
    <t>OIU商品時,</t>
  </si>
  <si>
    <t>7</t>
    <phoneticPr fontId="17" type="noConversion"/>
  </si>
  <si>
    <t>9.其他</t>
  </si>
  <si>
    <t>可能保額與保費幣別不同</t>
  </si>
  <si>
    <t>A</t>
    <phoneticPr fontId="111" type="noConversion"/>
  </si>
  <si>
    <t>A.他行自扣(轉帳)</t>
  </si>
  <si>
    <t>Modx</t>
  </si>
  <si>
    <t>繳別</t>
  </si>
  <si>
    <t>01 月繳</t>
  </si>
  <si>
    <t>03 季繳</t>
  </si>
  <si>
    <t>06 半年繳</t>
  </si>
  <si>
    <t>12 年繳</t>
  </si>
  <si>
    <t>增值回饋分享金給付方式</t>
    <phoneticPr fontId="111" type="noConversion"/>
  </si>
  <si>
    <t>P 躉繳</t>
  </si>
  <si>
    <t>1 增購保額</t>
  </si>
  <si>
    <t>first_pay_way</t>
  </si>
  <si>
    <t>首期繳費方式</t>
  </si>
  <si>
    <t>2 抵繳保費</t>
  </si>
  <si>
    <t>現金給付</t>
    <phoneticPr fontId="111" type="noConversion"/>
  </si>
  <si>
    <t>3 現金給付</t>
  </si>
  <si>
    <t>儲存生息</t>
    <phoneticPr fontId="111" type="noConversion"/>
  </si>
  <si>
    <t>4 儲存生息</t>
  </si>
  <si>
    <t>年金給付方式</t>
    <phoneticPr fontId="111" type="noConversion"/>
  </si>
  <si>
    <t>一次年金</t>
    <phoneticPr fontId="111" type="noConversion"/>
  </si>
  <si>
    <t>1 一次給付</t>
  </si>
  <si>
    <t>cont_pay_way</t>
  </si>
  <si>
    <t>續期繳費方式</t>
  </si>
  <si>
    <t>分期年金</t>
    <phoneticPr fontId="111" type="noConversion"/>
  </si>
  <si>
    <t>2 分期給付</t>
  </si>
  <si>
    <t>年金保證期</t>
    <phoneticPr fontId="111" type="noConversion"/>
  </si>
  <si>
    <t>group_pay_disc_no</t>
  </si>
  <si>
    <t>group_pay_disc</t>
  </si>
  <si>
    <t>集體彙繳折扣率</t>
  </si>
  <si>
    <t>ex 1%提供 0.01</t>
  </si>
  <si>
    <t>face_amt</t>
  </si>
  <si>
    <t>保額(元/計畫/單位)</t>
  </si>
  <si>
    <t>prem_amt</t>
  </si>
  <si>
    <t>保費(目標保費、核心保費)</t>
  </si>
  <si>
    <t>投資型用</t>
    <phoneticPr fontId="111" type="noConversion"/>
  </si>
  <si>
    <t>excess_prmm</t>
  </si>
  <si>
    <t>超額保費(衛星保費)</t>
  </si>
  <si>
    <t>additional_prmm</t>
  </si>
  <si>
    <t>增額保費/首期追加繳付</t>
  </si>
  <si>
    <t>需加工計算首期總保費</t>
    <phoneticPr fontId="111" type="noConversion"/>
  </si>
  <si>
    <t>年</t>
    <phoneticPr fontId="111" type="noConversion"/>
  </si>
  <si>
    <t>1.年給付</t>
  </si>
  <si>
    <t>cont_trial_yn</t>
  </si>
  <si>
    <t>是否續保試算</t>
  </si>
  <si>
    <t>月</t>
    <phoneticPr fontId="111" type="noConversion"/>
  </si>
  <si>
    <t>2.月給付</t>
  </si>
  <si>
    <t>mortgage_year</t>
  </si>
  <si>
    <t>房貸年期</t>
  </si>
  <si>
    <t>季</t>
    <phoneticPr fontId="111" type="noConversion"/>
  </si>
  <si>
    <t>3.季給付</t>
  </si>
  <si>
    <t>mortgage_amt</t>
  </si>
  <si>
    <t>房貸金額</t>
  </si>
  <si>
    <t>元</t>
  </si>
  <si>
    <t>半年</t>
    <phoneticPr fontId="111" type="noConversion"/>
  </si>
  <si>
    <t>4.半年給付</t>
  </si>
  <si>
    <t>cont_face_amt</t>
  </si>
  <si>
    <t>續保保額</t>
  </si>
  <si>
    <t>add_feedback_pay_type_6</t>
  </si>
  <si>
    <t>增值回饋金1-6年給付方式</t>
  </si>
  <si>
    <t>試算表自行判別</t>
    <phoneticPr fontId="111" type="noConversion"/>
  </si>
  <si>
    <t>add_feedback_pay_type_7</t>
  </si>
  <si>
    <t>增值回饋金Y7+給付方式</t>
  </si>
  <si>
    <t>分期定期年期</t>
    <phoneticPr fontId="111" type="noConversion"/>
  </si>
  <si>
    <t>add_feedback_pay_type_m_flag</t>
  </si>
  <si>
    <t>增值回饋金Y7+且大於55歲是否月領</t>
  </si>
  <si>
    <t>試算表無月領設定</t>
    <phoneticPr fontId="111" type="noConversion"/>
  </si>
  <si>
    <t>designate_insurance_amt</t>
  </si>
  <si>
    <t>指定保險金</t>
  </si>
  <si>
    <t>無分期定額保險金</t>
    <phoneticPr fontId="111" type="noConversion"/>
  </si>
  <si>
    <t>installment_fix_ins_est_rate</t>
  </si>
  <si>
    <t>分期定額保險金預定利率</t>
  </si>
  <si>
    <t>installment_fix_ins_pay_during</t>
  </si>
  <si>
    <t>分期定額保險金給付期間</t>
  </si>
  <si>
    <t>death_ins_pay_pct</t>
  </si>
  <si>
    <t>主約身故保障給付設定</t>
  </si>
  <si>
    <t>ex 30% 提供30</t>
  </si>
  <si>
    <t>(約定分期給付比例)</t>
  </si>
  <si>
    <t>installment_regu_ins_pay_during</t>
  </si>
  <si>
    <t>分期定期保險金給付期間</t>
  </si>
  <si>
    <t>10或20</t>
    <phoneticPr fontId="111" type="noConversion"/>
  </si>
  <si>
    <t>annuity_pay_type</t>
  </si>
  <si>
    <t>年金給付方式</t>
  </si>
  <si>
    <t>annuity_guarantee_during</t>
  </si>
  <si>
    <t>年金保證期間</t>
  </si>
  <si>
    <t>annuity_guarantee_amt</t>
  </si>
  <si>
    <t>年金保證金額</t>
  </si>
  <si>
    <t>annuity_guarantee_during_pay_type</t>
  </si>
  <si>
    <t>年金分期給付方式/年金保證期間給付方式</t>
  </si>
  <si>
    <t>annuity_pay_start_age</t>
  </si>
  <si>
    <t>年金開始給付(歲)</t>
  </si>
  <si>
    <t>歲</t>
  </si>
  <si>
    <t>系統換算</t>
    <phoneticPr fontId="111" type="noConversion"/>
  </si>
  <si>
    <t>annuity_guarantee_age</t>
  </si>
  <si>
    <t>年金保證提領年齡</t>
  </si>
  <si>
    <t>anuuity_accumulated_period</t>
  </si>
  <si>
    <t>年金累積期間/年金開始給付(年)</t>
  </si>
  <si>
    <t>annuity_plan_paid_period_year</t>
  </si>
  <si>
    <t>計畫繳費年期(年金)</t>
  </si>
  <si>
    <t>inv_plan_paid_period_year</t>
  </si>
  <si>
    <t>計畫繳費年期(投資型壽險)</t>
  </si>
  <si>
    <t>inv_rate_1</t>
  </si>
  <si>
    <t xml:space="preserve">預估投資報酬率1 </t>
  </si>
  <si>
    <t>只會使用單段報酬率，其餘系統自訂</t>
    <phoneticPr fontId="111" type="noConversion"/>
  </si>
  <si>
    <t>應比預估投資報酬率2高</t>
  </si>
  <si>
    <t>inv_rate_2</t>
  </si>
  <si>
    <t>預估投資報酬率2</t>
  </si>
  <si>
    <t>應比預估投資報酬率1低</t>
  </si>
  <si>
    <t>inv_pct_nor</t>
  </si>
  <si>
    <t>投資比例-一般</t>
  </si>
  <si>
    <t>%</t>
  </si>
  <si>
    <t>inv_pct_etf</t>
  </si>
  <si>
    <t>投資比例-ETF</t>
  </si>
  <si>
    <t>inv_pct_dit</t>
  </si>
  <si>
    <t>投資比例-全委</t>
  </si>
  <si>
    <t>inv_pct_cuy</t>
  </si>
  <si>
    <t>投資比例-貨幣</t>
  </si>
  <si>
    <t>inv_pct_bnd</t>
  </si>
  <si>
    <t>投資比例-債券</t>
  </si>
  <si>
    <t>inv_coverage_year</t>
  </si>
  <si>
    <t>保障年歲(投資型商品)</t>
  </si>
  <si>
    <t>first_add_pay</t>
  </si>
  <si>
    <t>首期追加繳付</t>
  </si>
  <si>
    <t>imm_invest</t>
  </si>
  <si>
    <t>是否立投</t>
  </si>
  <si>
    <t>allocation_pct_y</t>
  </si>
  <si>
    <t>年提撥比</t>
  </si>
  <si>
    <t>allocation_pct_m</t>
  </si>
  <si>
    <t>月提撥比例</t>
  </si>
  <si>
    <t>inv_annuity_pay_choice</t>
  </si>
  <si>
    <t>投資型年金給付選擇</t>
  </si>
  <si>
    <t>1.IFL</t>
  </si>
  <si>
    <t>2.GWA</t>
  </si>
  <si>
    <t>inv_annuity_ifl_start_age</t>
  </si>
  <si>
    <t>IFL開始領取年齡</t>
  </si>
  <si>
    <t>inv_annuity_gwa_start_age</t>
  </si>
  <si>
    <t>GWA開始領取年齡</t>
  </si>
  <si>
    <t>ProposalAdd</t>
    <phoneticPr fontId="111" type="noConversion"/>
  </si>
  <si>
    <t>若無附約將傳空陣列[]</t>
  </si>
  <si>
    <t>insu_rela_desc</t>
  </si>
  <si>
    <t>附約被保險人關係</t>
  </si>
  <si>
    <t>0要保人本人</t>
  </si>
  <si>
    <t>1被保險人本人</t>
  </si>
  <si>
    <t>2 配偶</t>
  </si>
  <si>
    <t>3 子女</t>
  </si>
  <si>
    <t>4 本人父母</t>
  </si>
  <si>
    <t>5 配偶父母</t>
  </si>
  <si>
    <t>6 其它</t>
  </si>
  <si>
    <t>被保險人</t>
  </si>
  <si>
    <t>被保險人</t>
    <phoneticPr fontId="111" type="noConversion"/>
  </si>
  <si>
    <t>出生年月日</t>
  </si>
  <si>
    <r>
      <t>1.</t>
    </r>
    <r>
      <rPr>
        <sz val="10"/>
        <color rgb="FF000000"/>
        <rFont val="Times New Roman"/>
        <family val="1"/>
      </rPr>
      <t xml:space="preserve">      </t>
    </r>
    <r>
      <rPr>
        <sz val="10"/>
        <color rgb="FF000000"/>
        <rFont val="微軟正黑體"/>
        <family val="2"/>
        <charset val="136"/>
      </rPr>
      <t>保額</t>
    </r>
  </si>
  <si>
    <r>
      <t>2.</t>
    </r>
    <r>
      <rPr>
        <sz val="10"/>
        <color theme="1"/>
        <rFont val="Times New Roman"/>
        <family val="1"/>
      </rPr>
      <t xml:space="preserve">      </t>
    </r>
    <r>
      <rPr>
        <sz val="10"/>
        <color rgb="FF000000"/>
        <rFont val="微軟正黑體"/>
        <family val="2"/>
        <charset val="136"/>
      </rPr>
      <t>單位</t>
    </r>
  </si>
  <si>
    <r>
      <t>3.</t>
    </r>
    <r>
      <rPr>
        <sz val="10"/>
        <color theme="1"/>
        <rFont val="Times New Roman"/>
        <family val="1"/>
      </rPr>
      <t xml:space="preserve">      </t>
    </r>
    <r>
      <rPr>
        <sz val="10"/>
        <color rgb="FF000000"/>
        <rFont val="微軟正黑體"/>
        <family val="2"/>
        <charset val="136"/>
      </rPr>
      <t>計畫</t>
    </r>
  </si>
  <si>
    <t>exmpt_period_year</t>
  </si>
  <si>
    <t>豁免年期</t>
  </si>
  <si>
    <t>指定保險金年期：</t>
    <phoneticPr fontId="17" type="noConversion"/>
  </si>
  <si>
    <t>全列印頁面-分期定期保險金給付</t>
    <phoneticPr fontId="17" type="noConversion"/>
  </si>
  <si>
    <t>投保年齡區間：</t>
    <phoneticPr fontId="17" type="noConversion"/>
  </si>
  <si>
    <t>%</t>
    <phoneticPr fontId="17" type="noConversion"/>
  </si>
  <si>
    <t>是否使用：1=系統帶入,0=輸入頁帶入</t>
    <phoneticPr fontId="111" type="noConversion"/>
  </si>
  <si>
    <t>集彙折扣代碼</t>
    <phoneticPr fontId="17" type="noConversion"/>
  </si>
  <si>
    <t>集彙、員工專案有值=Y</t>
    <phoneticPr fontId="111" type="noConversion"/>
  </si>
  <si>
    <t>分期最低金額</t>
    <phoneticPr fontId="142" type="noConversion"/>
  </si>
  <si>
    <t>分期定期保險金給付期間：</t>
    <phoneticPr fontId="142" type="noConversion"/>
  </si>
  <si>
    <t>假設分期定期保險金預定利率：</t>
    <phoneticPr fontId="142" type="noConversion"/>
  </si>
  <si>
    <t>期別</t>
    <phoneticPr fontId="142" type="noConversion"/>
  </si>
  <si>
    <t>險種代號+年期</t>
    <phoneticPr fontId="17" type="noConversion"/>
  </si>
  <si>
    <t>預定利率-2</t>
    <phoneticPr fontId="17" type="noConversion"/>
  </si>
  <si>
    <t>最低年齡-3</t>
    <phoneticPr fontId="17" type="noConversion"/>
  </si>
  <si>
    <t>最高年齡-4</t>
    <phoneticPr fontId="17" type="noConversion"/>
  </si>
  <si>
    <t>最低保額-5</t>
    <phoneticPr fontId="17" type="noConversion"/>
  </si>
  <si>
    <t>最高保額-6</t>
    <phoneticPr fontId="17" type="noConversion"/>
  </si>
  <si>
    <t>集體彙繳件</t>
    <phoneticPr fontId="17" type="noConversion"/>
  </si>
  <si>
    <t>金融機構轉帳</t>
  </si>
  <si>
    <t>控制項目</t>
    <phoneticPr fontId="17" type="noConversion"/>
  </si>
  <si>
    <t>男</t>
    <phoneticPr fontId="17" type="noConversion"/>
  </si>
  <si>
    <t>女</t>
    <phoneticPr fontId="17" type="noConversion"/>
  </si>
  <si>
    <t>繳清保險金額</t>
    <phoneticPr fontId="17" type="noConversion"/>
  </si>
  <si>
    <t>購買增額繳清保險金額</t>
    <phoneticPr fontId="17" type="noConversion"/>
  </si>
  <si>
    <t>性別：En_Sex</t>
    <phoneticPr fontId="17" type="noConversion"/>
  </si>
  <si>
    <t>繳別：En_PayT</t>
    <phoneticPr fontId="17" type="noConversion"/>
  </si>
  <si>
    <t>繳費方式-首期：En_PayMF</t>
    <phoneticPr fontId="17" type="noConversion"/>
  </si>
  <si>
    <t>繳費方式-續期：En_PayMR</t>
    <phoneticPr fontId="17" type="noConversion"/>
  </si>
  <si>
    <t>給付方式：En_BFM</t>
    <phoneticPr fontId="17" type="noConversion"/>
  </si>
  <si>
    <t>OLD/說明/檢核</t>
    <phoneticPr fontId="17" type="noConversion"/>
  </si>
  <si>
    <t>利變：1、分紅：2、其他：3</t>
    <phoneticPr fontId="17" type="noConversion"/>
  </si>
  <si>
    <t>現金給付</t>
  </si>
  <si>
    <t>年繳</t>
  </si>
  <si>
    <t>假設分紅：最可能紅利</t>
    <phoneticPr fontId="17" type="noConversion"/>
  </si>
  <si>
    <t>假設分紅：較低紅利</t>
    <phoneticPr fontId="17" type="noConversion"/>
  </si>
  <si>
    <t>假設分紅：
可能紅利金額為零</t>
    <phoneticPr fontId="17" type="noConversion"/>
  </si>
  <si>
    <t>被保險人：</t>
    <phoneticPr fontId="142" type="noConversion"/>
  </si>
  <si>
    <t>保險年齡：</t>
    <phoneticPr fontId="142" type="noConversion"/>
  </si>
  <si>
    <t>性別：</t>
    <phoneticPr fontId="142" type="noConversion"/>
  </si>
  <si>
    <t>保險種類</t>
    <phoneticPr fontId="142" type="noConversion"/>
  </si>
  <si>
    <t>險種代碼</t>
    <phoneticPr fontId="142" type="noConversion"/>
  </si>
  <si>
    <t>保額</t>
    <phoneticPr fontId="142" type="noConversion"/>
  </si>
  <si>
    <t>‧上表健康管理折扣後實繳保費，繳費期內如不符折扣條件，上表將不適用，詳細內容以投保當時保單條款規定為準。</t>
    <phoneticPr fontId="17" type="noConversion"/>
  </si>
  <si>
    <t>投     保     利     益     表</t>
    <phoneticPr fontId="142" type="noConversion"/>
  </si>
  <si>
    <t>‧上表所列各項保險實際給付金額以保單條款規定為準。</t>
    <phoneticPr fontId="142" type="noConversion"/>
  </si>
  <si>
    <t>商品摘要</t>
    <phoneticPr fontId="142" type="noConversion"/>
  </si>
  <si>
    <t>免付費申訴專線：0809-000-550</t>
  </si>
  <si>
    <t xml:space="preserve">  期間。</t>
  </si>
  <si>
    <t>‧傷害：係指被保險人於本契約有效期間內，遭受意外傷害事故，因而蒙受之傷害。</t>
    <phoneticPr fontId="142" type="noConversion"/>
  </si>
  <si>
    <t>‧意外傷害事故：係指非由疾病引起之外來突發事故。</t>
    <phoneticPr fontId="142" type="noConversion"/>
  </si>
  <si>
    <t>‧本商品各項保險金給付詳細內容及其限制請詳閱保單條款內容說明。</t>
    <phoneticPr fontId="142" type="noConversion"/>
  </si>
  <si>
    <t>注意事項：</t>
    <phoneticPr fontId="17" type="noConversion"/>
  </si>
  <si>
    <t>‧本公司資訊公開說明文件放置網址www.fubon.com/life/，歡迎上網查詢。</t>
    <phoneticPr fontId="142" type="noConversion"/>
  </si>
  <si>
    <t>‧本商品經富邦人壽合格簽署人員檢視其內容業已符合一般精算原則及保險法令，惟為確保權益，基於保險公司與消費者</t>
  </si>
  <si>
    <t xml:space="preserve">  衡平對等原則，消費者仍應詳加閱讀保險單條款與相關文件，審慎選擇保險商品。本商品如有虛偽不實或違法情事，應</t>
  </si>
  <si>
    <t xml:space="preserve">  由富邦人壽及負責人依法負責。</t>
  </si>
  <si>
    <t>‧投保後解約或不繼續繳費可能不利消費者，請慎選符合需求之保險商品。</t>
  </si>
  <si>
    <t>‧保險契約各項權利義務皆詳列於保單條款，消費者務必詳加閱讀了解，並把握保單契約撤銷之時效(收到保單翌日起算</t>
  </si>
  <si>
    <t xml:space="preserve">  十日內)。</t>
  </si>
  <si>
    <t>‧本商品保險保障部份受「財團法人保險安定基金」之「人身保險安定基金專戶」保障，並非存款，不受存款保險之保障。</t>
    <phoneticPr fontId="142" type="noConversion"/>
  </si>
  <si>
    <t>‧本商品之保險契約由富邦人壽承保發單，招攬人員若為保險經紀人(或代理人) 所屬業務員仍應受保險業務員管理規則</t>
  </si>
  <si>
    <t xml:space="preserve">  規範。</t>
  </si>
  <si>
    <t>‧本人已將本建議書內容及注意事項向要保人親自告知</t>
  </si>
  <si>
    <t>‧本人已詳閱本建議書內容並同意提醒注意事項</t>
  </si>
  <si>
    <r>
      <t>業務員簽名：</t>
    </r>
    <r>
      <rPr>
        <b/>
        <u/>
        <sz val="10"/>
        <rFont val="新細明體"/>
        <family val="3"/>
        <charset val="136"/>
      </rPr>
      <t xml:space="preserve">                                                   .</t>
    </r>
    <phoneticPr fontId="142" type="noConversion"/>
  </si>
  <si>
    <r>
      <t>要保人簽名：</t>
    </r>
    <r>
      <rPr>
        <b/>
        <u/>
        <sz val="10"/>
        <rFont val="新細明體"/>
        <family val="3"/>
        <charset val="136"/>
      </rPr>
      <t xml:space="preserve">                                                   .</t>
    </r>
    <phoneticPr fontId="142" type="noConversion"/>
  </si>
  <si>
    <t>健康管理保險費折扣項目</t>
    <phoneticPr fontId="17" type="noConversion"/>
  </si>
  <si>
    <t>輕度失智
保險金</t>
    <phoneticPr fontId="17" type="noConversion"/>
  </si>
  <si>
    <t>中重度失智
保險金
(免責期間屆滿
時之保單年度)</t>
    <phoneticPr fontId="17" type="noConversion"/>
  </si>
  <si>
    <t>保險金額-
大眾運輸工具意外身故保障-28
(不含年度末身故/完全失能時可領總金額)</t>
  </si>
  <si>
    <t>重大燒燙傷保險金-29</t>
    <phoneticPr fontId="17" type="noConversion"/>
  </si>
  <si>
    <t>保險金額-
大眾運輸工具
意外身故保障-30
(含年度末身故/完全失能保障)</t>
    <phoneticPr fontId="17" type="noConversion"/>
  </si>
  <si>
    <t>意外身故保險金(含身故可領總金額)-31</t>
    <phoneticPr fontId="17" type="noConversion"/>
  </si>
  <si>
    <t>年度末
大眾運輸
交通工具
意外身故保障</t>
    <phoneticPr fontId="17" type="noConversion"/>
  </si>
  <si>
    <t>年度末
大眾運輸交通工具
意外身故時可領總金額</t>
    <phoneticPr fontId="17" type="noConversion"/>
  </si>
  <si>
    <t>重大疾病暨
特定傷病保險金</t>
    <phoneticPr fontId="17" type="noConversion"/>
  </si>
  <si>
    <t>有折扣：1、2；無折扣：0</t>
    <phoneticPr fontId="17" type="noConversion"/>
  </si>
  <si>
    <t>非連生：1、連生：2</t>
    <phoneticPr fontId="17" type="noConversion"/>
  </si>
  <si>
    <t>被保險人2</t>
    <phoneticPr fontId="17" type="noConversion"/>
  </si>
  <si>
    <t>姓名</t>
    <phoneticPr fontId="17" type="noConversion"/>
  </si>
  <si>
    <t>儲存生息-1%</t>
    <phoneticPr fontId="17" type="noConversion"/>
  </si>
  <si>
    <t>男</t>
  </si>
  <si>
    <t>女</t>
  </si>
  <si>
    <t>InsuranceReverseName</t>
  </si>
  <si>
    <t>Gender</t>
  </si>
  <si>
    <t>Age</t>
  </si>
  <si>
    <t>tbHEALTH1</t>
    <phoneticPr fontId="17" type="noConversion"/>
  </si>
  <si>
    <t>HEALTH1</t>
  </si>
  <si>
    <t>HEALTH2</t>
  </si>
  <si>
    <t>HEALTH3</t>
  </si>
  <si>
    <t>HEALTH4</t>
  </si>
  <si>
    <t>HEALTH5</t>
  </si>
  <si>
    <t>HEALTH6</t>
  </si>
  <si>
    <t>HEALTH7</t>
  </si>
  <si>
    <t>HEALTH8</t>
  </si>
  <si>
    <t>HEALTH9</t>
  </si>
  <si>
    <t>HEALTH10</t>
  </si>
  <si>
    <t>HEALTH11</t>
  </si>
  <si>
    <t>HEALTH12</t>
  </si>
  <si>
    <t>HEALTH13</t>
  </si>
  <si>
    <t>HEALTH14</t>
  </si>
  <si>
    <t>HEALTH15</t>
  </si>
  <si>
    <t>HEALTH16</t>
  </si>
  <si>
    <t>HEALTH17</t>
  </si>
  <si>
    <t>HEALTH18</t>
  </si>
  <si>
    <t>HEALTH19</t>
  </si>
  <si>
    <t>HEALTH20</t>
  </si>
  <si>
    <t>HEALTH21</t>
  </si>
  <si>
    <t>HEALTH22</t>
  </si>
  <si>
    <t>HEALTH23</t>
  </si>
  <si>
    <t>HEALTH24</t>
  </si>
  <si>
    <t>HEALTH25</t>
  </si>
  <si>
    <t>HEALTH26</t>
  </si>
  <si>
    <t>HEALTH27</t>
  </si>
  <si>
    <t>HEALTH28</t>
  </si>
  <si>
    <t>HEALTH29</t>
  </si>
  <si>
    <t>HEALTH30</t>
  </si>
  <si>
    <t>HEALTH31</t>
  </si>
  <si>
    <t>HEALTH32</t>
  </si>
  <si>
    <t>HEALTH33</t>
  </si>
  <si>
    <t>HEALTH34</t>
  </si>
  <si>
    <t>HEALTH35</t>
  </si>
  <si>
    <t>HEALTH36</t>
  </si>
  <si>
    <t>HEALTH37</t>
  </si>
  <si>
    <t>HEALTH38</t>
  </si>
  <si>
    <t>HEALTH39</t>
  </si>
  <si>
    <t>HEALTH40</t>
  </si>
  <si>
    <t>HEALTH41</t>
  </si>
  <si>
    <t>HEALTH42</t>
  </si>
  <si>
    <t>HEALTH43</t>
  </si>
  <si>
    <t>HEALTH44</t>
  </si>
  <si>
    <t>HEALTH45</t>
  </si>
  <si>
    <t>HEALTH46</t>
  </si>
  <si>
    <t>HEALTH47</t>
  </si>
  <si>
    <t>HEALTH48</t>
  </si>
  <si>
    <t>HEALTH49</t>
  </si>
  <si>
    <t>HEALTH50</t>
  </si>
  <si>
    <t>HEALTH51</t>
  </si>
  <si>
    <t>HEALTH52</t>
  </si>
  <si>
    <t>HEALTH53</t>
  </si>
  <si>
    <t>HEALTH54</t>
  </si>
  <si>
    <t>HEALTH55</t>
  </si>
  <si>
    <t>HEALTH56</t>
  </si>
  <si>
    <t>HEALTH57</t>
  </si>
  <si>
    <t>HEALTH58</t>
  </si>
  <si>
    <t>HEALTH59</t>
  </si>
  <si>
    <t>HEALTH60</t>
  </si>
  <si>
    <t>HEALTH61</t>
  </si>
  <si>
    <t>HEALTH62</t>
  </si>
  <si>
    <t>HEALTH63</t>
  </si>
  <si>
    <t>HEALTH64</t>
  </si>
  <si>
    <t>HEALTH65</t>
  </si>
  <si>
    <t>HEALTH66</t>
  </si>
  <si>
    <t>HEALTH67</t>
  </si>
  <si>
    <t>HEALTH68</t>
  </si>
  <si>
    <t>HEALTH69</t>
  </si>
  <si>
    <t>HEALTH70</t>
  </si>
  <si>
    <t>HEALTH71</t>
  </si>
  <si>
    <t>HEALTH72</t>
  </si>
  <si>
    <t>HEALTH73</t>
  </si>
  <si>
    <t>HEALTH74</t>
  </si>
  <si>
    <t>HEALTH75</t>
  </si>
  <si>
    <t>HEALTH76</t>
  </si>
  <si>
    <t>HEALTH77</t>
  </si>
  <si>
    <t>HEALTH78</t>
  </si>
  <si>
    <t>HEALTH79</t>
  </si>
  <si>
    <t>HEALTH80</t>
  </si>
  <si>
    <t>HEALTH81</t>
  </si>
  <si>
    <t>HEALTH82</t>
  </si>
  <si>
    <t>HEALTH83</t>
  </si>
  <si>
    <t>HEALTH84</t>
  </si>
  <si>
    <t>HEALTH85</t>
  </si>
  <si>
    <t>HEALTH86</t>
  </si>
  <si>
    <t>HEALTH87</t>
  </si>
  <si>
    <t>HEALTH88</t>
  </si>
  <si>
    <t>HEALTH89</t>
  </si>
  <si>
    <t>HEALTH90</t>
  </si>
  <si>
    <t>HEALTH91</t>
  </si>
  <si>
    <t>HEALTH92</t>
  </si>
  <si>
    <t>HEALTH93</t>
  </si>
  <si>
    <t>HEALTH94</t>
  </si>
  <si>
    <t>HEALTH95</t>
  </si>
  <si>
    <t>HEALTH96</t>
  </si>
  <si>
    <t>HEALTH97</t>
  </si>
  <si>
    <t>HEALTH98</t>
  </si>
  <si>
    <t>HEALTH99</t>
  </si>
  <si>
    <t>HEALTH100</t>
  </si>
  <si>
    <t>HEALTH101</t>
  </si>
  <si>
    <t>HEALTH102</t>
  </si>
  <si>
    <t>HEALTH103</t>
  </si>
  <si>
    <t>HEALTH104</t>
  </si>
  <si>
    <t>HEALTH105</t>
  </si>
  <si>
    <t>HEALTH106</t>
  </si>
  <si>
    <t>HEALTH107</t>
  </si>
  <si>
    <t>HEALTH108</t>
  </si>
  <si>
    <t>HEALTH109</t>
  </si>
  <si>
    <t>HEALTH110</t>
  </si>
  <si>
    <t>HEALTH111</t>
  </si>
  <si>
    <t>tbHEALTH2</t>
    <phoneticPr fontId="17" type="noConversion"/>
  </si>
  <si>
    <t xml:space="preserve">  相關資訊，請洽本公司業務員、服務據點(免費服務及申訴電話：0809-000-550)或網站(www.fubon.com/life/)，</t>
    <phoneticPr fontId="142" type="noConversion"/>
  </si>
  <si>
    <t xml:space="preserve">  以保障您的權益。</t>
    <phoneticPr fontId="142" type="noConversion"/>
  </si>
  <si>
    <t>開始承保保險年齡</t>
    <phoneticPr fontId="17" type="noConversion"/>
  </si>
  <si>
    <t>附加費用利率：</t>
    <phoneticPr fontId="17" type="noConversion"/>
  </si>
  <si>
    <t>完全失能
關懷
保險金</t>
    <phoneticPr fontId="142" type="noConversion"/>
  </si>
  <si>
    <t>完全失能
生活扶助
保險金</t>
    <phoneticPr fontId="142" type="noConversion"/>
  </si>
  <si>
    <t>累計
給付年度</t>
    <phoneticPr fontId="142" type="noConversion"/>
  </si>
  <si>
    <t>每月
給付金額
(元)</t>
    <phoneticPr fontId="142" type="noConversion"/>
  </si>
  <si>
    <t>長期照顧
一次
保險金</t>
    <phoneticPr fontId="142" type="noConversion"/>
  </si>
  <si>
    <t>長期照顧
分期
保險金</t>
    <phoneticPr fontId="142" type="noConversion"/>
  </si>
  <si>
    <t>V1.0-1150720</t>
    <phoneticPr fontId="17" type="noConversion"/>
  </si>
  <si>
    <t>指定疫苗接種或健康檢查</t>
    <phoneticPr fontId="17" type="noConversion"/>
  </si>
  <si>
    <t>豁免保險費</t>
    <phoneticPr fontId="142" type="noConversion"/>
  </si>
  <si>
    <t>‧被保險人於本契約有效且繳費期間內，經醫院醫師診斷確定致成下列情形之一者，本公司豁免診斷確定日後之本契約（不含附約）續期應繳之各期保險費，本契約繼續有效：
  一、依保單條款約定之疾病或意外傷害事故致成保單條款附表所列之完全失能程度之一者。
  二、被保險人經醫院專科醫師診斷確定符合保單條款約定之「長期照顧狀態」，並於免責期間屆滿後
      仍生存且持續符合「長期照顧狀態」者。
‧本契約依前項第二款約定豁免保險費期間，若被保險人因保單條款約定之被保險人「長期照顧狀態」已消滅致本公司暫停給付「長期照顧分期保險金」時，本公司自暫停給付「長期照顧分期保險金」之次一應繳日起暫停豁免保險費。要保人應於暫停給付「長期照顧分期保險金」之次一應繳日起繼續交付保險費使本契約繼續有效。</t>
    <phoneticPr fontId="142" type="noConversion"/>
  </si>
  <si>
    <t>‧本保險因費率計算已考慮脫退率，故本保險無解約金。</t>
    <phoneticPr fontId="142" type="noConversion"/>
  </si>
  <si>
    <t>‧本商品免責期間為九十日。</t>
    <phoneticPr fontId="142" type="noConversion"/>
  </si>
  <si>
    <t>‧免責期間：係指被保險人經專科醫師診斷確定為「長期照顧狀態」之日起算，且持續符合「長期照顧狀態」達九十日之</t>
  </si>
  <si>
    <t>‧疾病：係指被保險人自本契約生效日或復效日（含）起所發生之疾病。</t>
    <phoneticPr fontId="142" type="noConversion"/>
  </si>
  <si>
    <t>‧健康管理保險費折扣：本契約有效之繳費期間內，被保險人於指定期間內，接受經中央衛生主管機關查驗登記並核准使</t>
    <phoneticPr fontId="142" type="noConversion"/>
  </si>
  <si>
    <t xml:space="preserve">  用之指定疫苗接種，或接受經中央衛生主管機關核准登記並領有開業執照之醫療機構或醫事檢驗所之合格醫事人員所作</t>
    <phoneticPr fontId="142" type="noConversion"/>
  </si>
  <si>
    <t xml:space="preserve">  之健康檢查，並將證明文件或報告送達本公司者，本契約次一保單年度之續期保險費(不含附約)，按提供之項目，給予</t>
    <phoneticPr fontId="142" type="noConversion"/>
  </si>
  <si>
    <t xml:space="preserve">  (二)健康檢查報告：提供包含被保險人身高、體重、血壓、血糖、血脂肪(包括膽固醇及三酸甘油脂)等數值之檢查報告</t>
    <phoneticPr fontId="142" type="noConversion"/>
  </si>
  <si>
    <t xml:space="preserve">      者，本公司將提供本契約次一保單年度續期保險費1%之健康折扣。於同一指定期間內，被保險人無論接受幾次健康</t>
    <phoneticPr fontId="142" type="noConversion"/>
  </si>
  <si>
    <t xml:space="preserve">      檢查，本款健康折扣均以一次計算。</t>
    <phoneticPr fontId="142" type="noConversion"/>
  </si>
  <si>
    <t xml:space="preserve">  被保險人若於同一指定期間內提供前項第一款及第二款之證明文件及報告者，本契約之健康折扣以1%為限。</t>
    <phoneticPr fontId="142" type="noConversion"/>
  </si>
  <si>
    <t xml:space="preserve">  被保險人如未於第一項約定之期限內提供疫苗接種證明文件或健康檢查報告予本公司者，本契約次一保單年度即不提供</t>
    <phoneticPr fontId="142" type="noConversion"/>
  </si>
  <si>
    <t xml:space="preserve">  健康折扣。</t>
    <phoneticPr fontId="142" type="noConversion"/>
  </si>
  <si>
    <t xml:space="preserve">  本契約已達豁免保險費者，無本條約定適用。</t>
    <phoneticPr fontId="142" type="noConversion"/>
  </si>
  <si>
    <t xml:space="preserve">  (一)指定疫苗接種證明文件：提供被保險人接受「指定疫苗接種」的任一項目及接種日期之證明文件，本公司將提供本</t>
    <phoneticPr fontId="142" type="noConversion"/>
  </si>
  <si>
    <t xml:space="preserve">      一次計算。</t>
    <phoneticPr fontId="142" type="noConversion"/>
  </si>
  <si>
    <t xml:space="preserve">      契約次一保單年度續期保險費1%之健康折扣。於同一指定期間內，被保險人無論接受幾次接種，本款健康折扣均以</t>
    <phoneticPr fontId="142" type="noConversion"/>
  </si>
  <si>
    <t>累計給付年度</t>
  </si>
  <si>
    <t>給付數值</t>
  </si>
  <si>
    <t>F險種+年期(2位)</t>
    <phoneticPr fontId="17" type="noConversion"/>
  </si>
  <si>
    <t>富邦人壽順馨久久長期照顧定期健康保險</t>
    <phoneticPr fontId="17" type="noConversion"/>
  </si>
  <si>
    <t>LTT30</t>
  </si>
  <si>
    <t>LTT10</t>
  </si>
  <si>
    <t>LTT20</t>
  </si>
  <si>
    <t>LTT</t>
  </si>
  <si>
    <t>給付項目：完全失能關懷保險金、完全失能生活扶助保險金、長期照顧一次保險金、長期照顧分期保險金、豁免保險費</t>
    <phoneticPr fontId="17" type="noConversion"/>
  </si>
  <si>
    <t>最高33.7%，最低25.9%</t>
    <phoneticPr fontId="17" type="noConversion"/>
  </si>
  <si>
    <t>1</t>
  </si>
  <si>
    <t>2</t>
  </si>
  <si>
    <t>‧契約的終止：本契約有下列情形之一時，其效力即行終止：</t>
    <phoneticPr fontId="142" type="noConversion"/>
  </si>
  <si>
    <t>‧長期照顧狀態：係指被保險人經專科醫師診斷判定，符合保單條款所列之生理功能障礙或認知功能障礙二項情形之一者。</t>
    <phoneticPr fontId="142" type="noConversion"/>
  </si>
  <si>
    <t xml:space="preserve">  三、本公司依保單條款約定給付「完全失能生活扶助保險金」及「長期照顧分期保險金」累計達一百八十個月時。</t>
    <phoneticPr fontId="142" type="noConversion"/>
  </si>
  <si>
    <t xml:space="preserve">  一、被保險人身故時。二、被保險人保險年齡屆滿八十五歲時。</t>
    <phoneticPr fontId="142" type="noConversion"/>
  </si>
  <si>
    <t>‧被保險人於本契約有效期間內，經醫院專科醫師診斷確定符合保單條款約定之「長期照顧狀態」，並於免責期間屆滿時仍生存且持續符合「長期照顧狀態」者，本公司按免責期間屆滿時之保險金額的十五倍給付。</t>
    <phoneticPr fontId="142" type="noConversion"/>
  </si>
  <si>
    <t xml:space="preserve">  健康管理保險費折扣（以下簡稱健康折扣）。健康折扣於每一保單年度均按其提供之項目重新計算：</t>
    <phoneticPr fontId="142" type="noConversion"/>
  </si>
  <si>
    <t>無</t>
  </si>
  <si>
    <t>‧被保險人於本契約有效期間內因保單條款約定的疾病或意外傷害事故，經醫院醫師診斷確定致成保單條款附表所列完全失能程度之一，且於完全失能診斷確定日仍生存者，本公司於完全失能診斷確定日起一年內之每一週月日（不論被保險人生存與否）依保單條款約定給付。
‧被保險人於完全失能診斷確定日之週年日仍生存者，本公司於各該週年日起一年內之每一週月日（不論被保險人生存與否）依保單條款約定給付。 
‧被保險人於本契約有效期間內，不論同時或先後致成二項以上完全失能者，本公司僅給付一項。若係同項完全失能發生二次以上者，本公司僅給付一次。
‧本公司於依保單條款約定給付「長期照顧分期保險金」期間，不另給付「完全失能生活扶助保險金」。「完全失能生活扶助保險金」與「長期照顧分期保險金」之給付，合計最高給付上限為一百八十個月。</t>
    <phoneticPr fontId="142" type="noConversion"/>
  </si>
  <si>
    <t>‧被保險人於本契約有效期間內因保單條款約定的疾病或意外傷害事故，經醫院醫師診斷確定符合保單條款附表所列完全失能程度之一，且於完全失能診斷確定日仍生存者依保單條款約定給付。本契約有效期間內以給付一次為限。
‧若被保險人已先行符合保單條款「長期照顧一次保險金」約定之給付條件，本公司不再負本條保險金給付之責；若被保險人同時符合本條與保單條款「長期照顧一次保險金」約定之給付條件，本公司僅就其中一條約定負給付保險金之責。</t>
    <phoneticPr fontId="142" type="noConversion"/>
  </si>
  <si>
    <t>‧本契約有效期間內以給付一次為限。
‧若被保險人已先行符合保單條款「完全失能關懷保險金」約定之給付條件，本公司不再負本條保險金給付之責；若被保險人同時符合本條與保單條款「完全失能關懷保險金」約定之給付條件，本公司僅就其中一條約定負給付保險金之責。</t>
    <phoneticPr fontId="142" type="noConversion"/>
  </si>
  <si>
    <t>‧被保險人於本契約有效期間內，經醫院專科醫師診斷確定符合保單條款約定之「長期照顧狀態」，並於免責期間屆滿時仍生存且持續符合「長期照顧狀態」者，本公司於免責期間屆滿翌日及一年內之每一週月日（不論被保險人生存與否）依保單條款約定給付。
‧被保險人於免責期間屆滿翌日的週年日仍生存並持續符合「長期照顧狀態」者，本公司於各該週年日起一年內之每一週月日（不論被保險人生存與否）依保單條款約定給付。  
‧本公司於依保單條款約定給付「完全失能生活扶助保險金」期間，不另給付「長期照顧分期保險金」。「長期照顧分期保險金」與「完全失能生活扶助保險金」之給付，合計最高給付上限為一百八十個月。</t>
    <phoneticPr fontId="142" type="noConversion"/>
  </si>
  <si>
    <t>‧前項情形，若被保險人係於保險年齡六十五歲(不含)以前，符合首次經醫院專科醫師診斷確定屬於保單條款約定之認知功能障礙，以及於免責期間屆滿時仍生存且持續符合「長期照顧狀態」之認知功能障礙二項條件者，本公司除依前項約定之金額給付外，另加計免責期間屆滿時之保險金額的十倍給付。但被保險人於符合認知功能障礙以前，已先行經醫院專科醫師診斷確定屬於保單條款約定之生理功能障礙，而符合前項約定給付條件者，無本項約定之適用。</t>
    <phoneticPr fontId="142" type="noConversion"/>
  </si>
  <si>
    <t>同被保險人</t>
    <phoneticPr fontId="17" type="noConversion"/>
  </si>
  <si>
    <t>其他(請自行填入)</t>
    <phoneticPr fontId="17" type="noConversion"/>
  </si>
  <si>
    <t>匯款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</si>
</sst>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41" formatCode="_(* #,##0_);_(* \(#,##0\);_(* &quot;-&quot;_);_(@_)"/>
    <numFmt numFmtId="43" formatCode="_(* #,##0.00_);_(* \(#,##0.00\);_(* &quot;-&quot;??_);_(@_)"/>
    <numFmt numFmtId="176" formatCode="0.0%"/>
    <numFmt numFmtId="177" formatCode="#,##0_ "/>
    <numFmt numFmtId="178" formatCode="0_);[Red]\(0\)"/>
    <numFmt numFmtId="179" formatCode="0_ "/>
    <numFmt numFmtId="180" formatCode="#,##0\ &quot;歲&quot;"/>
    <numFmt numFmtId="181" formatCode="#,##0_ &quot;元&quot;"/>
    <numFmt numFmtId="182" formatCode="0\ &quot;歲&quot;"/>
    <numFmt numFmtId="183" formatCode="\(\1\)&quot;安&quot;&quot;泰&quot;&quot;人&quot;&quot;壽&quot;&quot;富&quot;&quot;貴&quot;&quot;保&quot;&quot;本&quot;&quot;終&quot;&quot;身&quot;&quot;壽&quot;&quot;險&quot;\ \(&quot;繳&quot;&quot;費&quot;\ 0\ &quot;年&quot;\)"/>
    <numFmt numFmtId="184" formatCode="0\ &quot;XRLD&quot;"/>
    <numFmt numFmtId="185" formatCode="#,##0\ &quot;歲&quot;;[Red]\ \-#,##0\ &quot;歲&quot;"/>
    <numFmt numFmtId="186" formatCode="m&quot;月&quot;d&quot;日&quot;"/>
    <numFmt numFmtId="187" formatCode="0.00_ "/>
    <numFmt numFmtId="188" formatCode="0\ &quot;公&quot;&quot;分&quot;\ "/>
    <numFmt numFmtId="189" formatCode="0.0\ &quot;公&quot;&quot;斤&quot;"/>
    <numFmt numFmtId="190" formatCode="0.00_);[Red]\(0.00\)"/>
    <numFmt numFmtId="191" formatCode="_-* #,##0_-;\-* #,##0_-;_-* &quot;&quot;??_-;_-@_-"/>
    <numFmt numFmtId="192" formatCode="#,##0.00_ "/>
    <numFmt numFmtId="193" formatCode="0\ &quot;宣&quot;&quot;告&quot;&quot;利&quot;&quot;率&quot;"/>
    <numFmt numFmtId="194" formatCode="0.00000000000_ "/>
    <numFmt numFmtId="195" formatCode="#,##0.0_ "/>
    <numFmt numFmtId="196" formatCode="#,##0.0000000000_ "/>
    <numFmt numFmtId="197" formatCode="_-* #,##0_-;\-* #,##0_-;_-* &quot;-&quot;??_-;_-@_-"/>
    <numFmt numFmtId="198" formatCode="#,##0_ ;[Red]\-#,##0\ "/>
    <numFmt numFmtId="199" formatCode="0.0000000000_ "/>
    <numFmt numFmtId="200" formatCode="0\ &quot;年&quot;"/>
    <numFmt numFmtId="201" formatCode="[DBNum1][$-404]General"/>
    <numFmt numFmtId="202" formatCode="0.00000_ "/>
  </numFmts>
  <fonts count="172">
    <font>
      <sz val="10"/>
      <name val="新細明體"/>
      <family val="1"/>
      <charset val="136"/>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0"/>
      <name val="新細明體"/>
      <family val="1"/>
      <charset val="136"/>
    </font>
    <font>
      <u/>
      <sz val="10"/>
      <color indexed="12"/>
      <name val="新細明體"/>
      <family val="1"/>
      <charset val="136"/>
    </font>
    <font>
      <sz val="9"/>
      <name val="新細明體"/>
      <family val="1"/>
      <charset val="136"/>
    </font>
    <font>
      <sz val="10"/>
      <name val="Arial"/>
      <family val="2"/>
    </font>
    <font>
      <sz val="12"/>
      <name val="Arial"/>
      <family val="2"/>
    </font>
    <font>
      <sz val="12"/>
      <name val="細明體"/>
      <family val="3"/>
      <charset val="136"/>
    </font>
    <font>
      <sz val="12"/>
      <name val="新細明體"/>
      <family val="1"/>
      <charset val="136"/>
    </font>
    <font>
      <sz val="12"/>
      <color indexed="9"/>
      <name val="新細明體"/>
      <family val="1"/>
      <charset val="136"/>
    </font>
    <font>
      <b/>
      <sz val="10"/>
      <color indexed="10"/>
      <name val="新細明體"/>
      <family val="1"/>
      <charset val="136"/>
    </font>
    <font>
      <sz val="12"/>
      <color indexed="8"/>
      <name val="新細明體"/>
      <family val="1"/>
      <charset val="136"/>
    </font>
    <font>
      <b/>
      <sz val="12"/>
      <color indexed="9"/>
      <name val="新細明體"/>
      <family val="1"/>
      <charset val="136"/>
    </font>
    <font>
      <b/>
      <sz val="16"/>
      <color indexed="9"/>
      <name val="Arial"/>
      <family val="2"/>
    </font>
    <font>
      <b/>
      <sz val="12"/>
      <name val="Arial"/>
      <family val="2"/>
    </font>
    <font>
      <b/>
      <sz val="12"/>
      <color indexed="9"/>
      <name val="Arial"/>
      <family val="2"/>
    </font>
    <font>
      <b/>
      <sz val="12"/>
      <color indexed="12"/>
      <name val="Arial"/>
      <family val="2"/>
    </font>
    <font>
      <b/>
      <sz val="12"/>
      <color indexed="10"/>
      <name val="Arial"/>
      <family val="2"/>
    </font>
    <font>
      <b/>
      <sz val="10"/>
      <color indexed="10"/>
      <name val="Arial"/>
      <family val="2"/>
    </font>
    <font>
      <sz val="12"/>
      <color indexed="12"/>
      <name val="Arial"/>
      <family val="2"/>
    </font>
    <font>
      <sz val="12"/>
      <color indexed="8"/>
      <name val="Arial"/>
      <family val="2"/>
    </font>
    <font>
      <b/>
      <sz val="12"/>
      <color indexed="53"/>
      <name val="Arial"/>
      <family val="2"/>
    </font>
    <font>
      <b/>
      <sz val="12"/>
      <color indexed="8"/>
      <name val="Arial"/>
      <family val="2"/>
    </font>
    <font>
      <sz val="12"/>
      <color indexed="9"/>
      <name val="Arial"/>
      <family val="2"/>
    </font>
    <font>
      <b/>
      <sz val="14"/>
      <color indexed="12"/>
      <name val="Arial"/>
      <family val="2"/>
    </font>
    <font>
      <b/>
      <sz val="14"/>
      <color indexed="10"/>
      <name val="Arial"/>
      <family val="2"/>
    </font>
    <font>
      <b/>
      <sz val="12"/>
      <name val="新細明體"/>
      <family val="1"/>
      <charset val="136"/>
    </font>
    <font>
      <b/>
      <sz val="12"/>
      <name val="細明體"/>
      <family val="3"/>
      <charset val="136"/>
    </font>
    <font>
      <b/>
      <sz val="16"/>
      <name val="新細明體"/>
      <family val="1"/>
      <charset val="136"/>
    </font>
    <font>
      <b/>
      <sz val="16"/>
      <name val="Arial"/>
      <family val="2"/>
    </font>
    <font>
      <b/>
      <sz val="10"/>
      <name val="Arial"/>
      <family val="2"/>
    </font>
    <font>
      <sz val="9"/>
      <name val="Arial"/>
      <family val="2"/>
    </font>
    <font>
      <sz val="12"/>
      <color indexed="10"/>
      <name val="Arial"/>
      <family val="2"/>
    </font>
    <font>
      <b/>
      <sz val="12"/>
      <color indexed="8"/>
      <name val="細明體"/>
      <family val="3"/>
      <charset val="136"/>
    </font>
    <font>
      <b/>
      <sz val="12"/>
      <color indexed="10"/>
      <name val="細明體"/>
      <family val="3"/>
      <charset val="136"/>
    </font>
    <font>
      <b/>
      <sz val="12"/>
      <color indexed="12"/>
      <name val="新細明體"/>
      <family val="1"/>
      <charset val="136"/>
    </font>
    <font>
      <sz val="9"/>
      <name val="細明體"/>
      <family val="3"/>
      <charset val="136"/>
    </font>
    <font>
      <sz val="10"/>
      <name val="細明體"/>
      <family val="3"/>
      <charset val="136"/>
    </font>
    <font>
      <sz val="8"/>
      <name val="Arial"/>
      <family val="2"/>
    </font>
    <font>
      <b/>
      <sz val="12"/>
      <color indexed="21"/>
      <name val="細明體"/>
      <family val="3"/>
      <charset val="136"/>
    </font>
    <font>
      <b/>
      <sz val="12"/>
      <color indexed="21"/>
      <name val="Arial"/>
      <family val="2"/>
    </font>
    <font>
      <sz val="12"/>
      <color indexed="18"/>
      <name val="Arial"/>
      <family val="2"/>
    </font>
    <font>
      <b/>
      <sz val="12"/>
      <color indexed="12"/>
      <name val="細明體"/>
      <family val="3"/>
      <charset val="136"/>
    </font>
    <font>
      <b/>
      <sz val="24"/>
      <color indexed="8"/>
      <name val="標楷體"/>
      <family val="4"/>
      <charset val="136"/>
    </font>
    <font>
      <b/>
      <sz val="24"/>
      <color indexed="8"/>
      <name val="Arial"/>
      <family val="2"/>
    </font>
    <font>
      <b/>
      <sz val="12"/>
      <color indexed="10"/>
      <name val="新細明體"/>
      <family val="1"/>
      <charset val="136"/>
    </font>
    <font>
      <b/>
      <sz val="14"/>
      <name val="標楷體"/>
      <family val="4"/>
      <charset val="136"/>
    </font>
    <font>
      <b/>
      <sz val="9"/>
      <name val="細明體"/>
      <family val="3"/>
      <charset val="136"/>
    </font>
    <font>
      <b/>
      <sz val="9"/>
      <color indexed="10"/>
      <name val="細明體"/>
      <family val="3"/>
      <charset val="136"/>
    </font>
    <font>
      <b/>
      <sz val="9"/>
      <color indexed="12"/>
      <name val="細明體"/>
      <family val="3"/>
      <charset val="136"/>
    </font>
    <font>
      <sz val="9"/>
      <color indexed="8"/>
      <name val="新細明體"/>
      <family val="1"/>
      <charset val="136"/>
    </font>
    <font>
      <sz val="9"/>
      <color indexed="8"/>
      <name val="Arial"/>
      <family val="2"/>
    </font>
    <font>
      <sz val="9"/>
      <color indexed="12"/>
      <name val="新細明體"/>
      <family val="1"/>
      <charset val="136"/>
    </font>
    <font>
      <b/>
      <sz val="12"/>
      <name val="標楷體"/>
      <family val="4"/>
      <charset val="136"/>
    </font>
    <font>
      <b/>
      <sz val="11"/>
      <color indexed="10"/>
      <name val="細明體"/>
      <family val="3"/>
      <charset val="136"/>
    </font>
    <font>
      <sz val="8"/>
      <name val="細明體"/>
      <family val="3"/>
      <charset val="136"/>
    </font>
    <font>
      <sz val="12"/>
      <name val="新細明體"/>
      <family val="1"/>
      <charset val="136"/>
    </font>
    <font>
      <sz val="9"/>
      <name val="新細明體"/>
      <family val="1"/>
      <charset val="136"/>
    </font>
    <font>
      <sz val="10"/>
      <name val="新細明體"/>
      <family val="1"/>
      <charset val="136"/>
    </font>
    <font>
      <sz val="12"/>
      <color indexed="8"/>
      <name val="新細明體"/>
      <family val="1"/>
      <charset val="136"/>
    </font>
    <font>
      <sz val="9"/>
      <color indexed="8"/>
      <name val="新細明體"/>
      <family val="1"/>
      <charset val="136"/>
    </font>
    <font>
      <sz val="11"/>
      <color indexed="8"/>
      <name val="新細明體"/>
      <family val="1"/>
      <charset val="136"/>
    </font>
    <font>
      <sz val="11"/>
      <color indexed="9"/>
      <name val="新細明體"/>
      <family val="1"/>
      <charset val="136"/>
    </font>
    <font>
      <sz val="11"/>
      <color indexed="20"/>
      <name val="新細明體"/>
      <family val="1"/>
      <charset val="136"/>
    </font>
    <font>
      <b/>
      <sz val="11"/>
      <color indexed="52"/>
      <name val="新細明體"/>
      <family val="1"/>
      <charset val="136"/>
    </font>
    <font>
      <b/>
      <sz val="11"/>
      <color indexed="9"/>
      <name val="新細明體"/>
      <family val="1"/>
      <charset val="136"/>
    </font>
    <font>
      <i/>
      <sz val="11"/>
      <color indexed="23"/>
      <name val="新細明體"/>
      <family val="1"/>
      <charset val="136"/>
    </font>
    <font>
      <sz val="11"/>
      <color indexed="17"/>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sz val="11"/>
      <color indexed="62"/>
      <name val="新細明體"/>
      <family val="1"/>
      <charset val="136"/>
    </font>
    <font>
      <sz val="11"/>
      <color indexed="52"/>
      <name val="新細明體"/>
      <family val="1"/>
      <charset val="136"/>
    </font>
    <font>
      <sz val="11"/>
      <color indexed="60"/>
      <name val="新細明體"/>
      <family val="1"/>
      <charset val="136"/>
    </font>
    <font>
      <b/>
      <sz val="11"/>
      <color indexed="63"/>
      <name val="新細明體"/>
      <family val="1"/>
      <charset val="136"/>
    </font>
    <font>
      <b/>
      <sz val="7"/>
      <name val="Arial"/>
      <family val="2"/>
    </font>
    <font>
      <b/>
      <sz val="18"/>
      <color indexed="56"/>
      <name val="新細明體"/>
      <family val="1"/>
      <charset val="136"/>
    </font>
    <font>
      <b/>
      <sz val="11"/>
      <color indexed="8"/>
      <name val="新細明體"/>
      <family val="1"/>
      <charset val="136"/>
    </font>
    <font>
      <sz val="11"/>
      <color indexed="10"/>
      <name val="新細明體"/>
      <family val="1"/>
      <charset val="136"/>
    </font>
    <font>
      <u/>
      <sz val="10"/>
      <color indexed="12"/>
      <name val="新細明體"/>
      <family val="1"/>
      <charset val="136"/>
    </font>
    <font>
      <sz val="10"/>
      <name val="新細明體"/>
      <family val="1"/>
      <charset val="136"/>
    </font>
    <font>
      <sz val="12"/>
      <color theme="1"/>
      <name val="新細明體"/>
      <family val="1"/>
      <charset val="136"/>
      <scheme val="minor"/>
    </font>
    <font>
      <b/>
      <sz val="12"/>
      <color rgb="FFFF0000"/>
      <name val="新細明體"/>
      <family val="1"/>
      <charset val="136"/>
    </font>
    <font>
      <b/>
      <sz val="12"/>
      <color rgb="FF0000FF"/>
      <name val="細明體"/>
      <family val="3"/>
      <charset val="136"/>
    </font>
    <font>
      <b/>
      <sz val="9"/>
      <color rgb="FFFF0000"/>
      <name val="細明體"/>
      <family val="3"/>
      <charset val="136"/>
    </font>
    <font>
      <b/>
      <u/>
      <sz val="12"/>
      <color rgb="FFFF0000"/>
      <name val="新細明體"/>
      <family val="1"/>
      <charset val="136"/>
    </font>
    <font>
      <b/>
      <u/>
      <sz val="12"/>
      <color rgb="FFFF0000"/>
      <name val="Arial"/>
      <family val="2"/>
    </font>
    <font>
      <b/>
      <sz val="14"/>
      <color rgb="FF0000FF"/>
      <name val="Arial"/>
      <family val="2"/>
    </font>
    <font>
      <b/>
      <sz val="12"/>
      <color theme="0"/>
      <name val="細明體"/>
      <family val="3"/>
      <charset val="136"/>
    </font>
    <font>
      <sz val="9"/>
      <color rgb="FFFF0000"/>
      <name val="新細明體"/>
      <family val="1"/>
      <charset val="136"/>
    </font>
    <font>
      <b/>
      <sz val="12"/>
      <color rgb="FFFF0000"/>
      <name val="Arial"/>
      <family val="2"/>
    </font>
    <font>
      <b/>
      <sz val="12"/>
      <color rgb="FF0000FF"/>
      <name val="新細明體"/>
      <family val="1"/>
      <charset val="136"/>
    </font>
    <font>
      <b/>
      <sz val="14"/>
      <color rgb="FF0000FF"/>
      <name val="新細明體"/>
      <family val="1"/>
      <charset val="136"/>
    </font>
    <font>
      <b/>
      <u/>
      <sz val="12"/>
      <color rgb="FF0000FF"/>
      <name val="Arial"/>
      <family val="2"/>
    </font>
    <font>
      <sz val="12"/>
      <color theme="5" tint="-0.249977111117893"/>
      <name val="新細明體"/>
      <family val="1"/>
      <charset val="136"/>
    </font>
    <font>
      <b/>
      <sz val="12"/>
      <color rgb="FF0000FF"/>
      <name val="Arial"/>
      <family val="2"/>
    </font>
    <font>
      <sz val="9"/>
      <color theme="1"/>
      <name val="新細明體"/>
      <family val="1"/>
      <charset val="136"/>
      <scheme val="minor"/>
    </font>
    <font>
      <sz val="10"/>
      <color rgb="FFFF0000"/>
      <name val="新細明體"/>
      <family val="1"/>
      <charset val="136"/>
    </font>
    <font>
      <sz val="9"/>
      <name val="新細明體"/>
      <family val="2"/>
      <charset val="136"/>
      <scheme val="minor"/>
    </font>
    <font>
      <b/>
      <sz val="12"/>
      <color theme="1"/>
      <name val="細明體"/>
      <family val="3"/>
      <charset val="136"/>
    </font>
    <font>
      <b/>
      <sz val="12"/>
      <color theme="0"/>
      <name val="Arial"/>
      <family val="2"/>
    </font>
    <font>
      <sz val="10"/>
      <color rgb="FF0000FF"/>
      <name val="新細明體"/>
      <family val="1"/>
      <charset val="136"/>
    </font>
    <font>
      <sz val="9"/>
      <color rgb="FF000000"/>
      <name val="新細明體"/>
      <family val="1"/>
      <charset val="136"/>
    </font>
    <font>
      <sz val="12"/>
      <color indexed="10"/>
      <name val="新細明體"/>
      <family val="1"/>
      <charset val="136"/>
    </font>
    <font>
      <b/>
      <sz val="12"/>
      <color indexed="8"/>
      <name val="新細明體"/>
      <family val="1"/>
      <charset val="136"/>
    </font>
    <font>
      <b/>
      <sz val="12"/>
      <color indexed="21"/>
      <name val="新細明體"/>
      <family val="1"/>
      <charset val="136"/>
    </font>
    <font>
      <b/>
      <sz val="10"/>
      <name val="細明體"/>
      <family val="3"/>
      <charset val="136"/>
    </font>
    <font>
      <sz val="10"/>
      <color indexed="9"/>
      <name val="細明體"/>
      <family val="3"/>
      <charset val="136"/>
    </font>
    <font>
      <sz val="9"/>
      <color indexed="9"/>
      <name val="細明體"/>
      <family val="3"/>
      <charset val="136"/>
    </font>
    <font>
      <b/>
      <sz val="8"/>
      <name val="細明體"/>
      <family val="3"/>
      <charset val="136"/>
    </font>
    <font>
      <sz val="8"/>
      <color indexed="8"/>
      <name val="Arial"/>
      <family val="2"/>
    </font>
    <font>
      <b/>
      <sz val="8"/>
      <name val="Arial"/>
      <family val="2"/>
    </font>
    <font>
      <sz val="9"/>
      <color theme="3"/>
      <name val="新細明體"/>
      <family val="1"/>
      <charset val="136"/>
    </font>
    <font>
      <sz val="10"/>
      <color theme="3"/>
      <name val="新細明體"/>
      <family val="1"/>
      <charset val="136"/>
    </font>
    <font>
      <sz val="12"/>
      <color theme="3"/>
      <name val="新細明體"/>
      <family val="1"/>
      <charset val="136"/>
    </font>
    <font>
      <sz val="12"/>
      <color rgb="FFFF0000"/>
      <name val="Arial"/>
      <family val="2"/>
    </font>
    <font>
      <sz val="8"/>
      <color indexed="8"/>
      <name val="細明體"/>
      <family val="3"/>
      <charset val="136"/>
    </font>
    <font>
      <sz val="12"/>
      <color theme="0"/>
      <name val="新細明體"/>
      <family val="1"/>
      <charset val="136"/>
    </font>
    <font>
      <sz val="12"/>
      <name val="Microsoft JhengHei"/>
      <family val="1"/>
      <charset val="136"/>
    </font>
    <font>
      <sz val="10"/>
      <color theme="0"/>
      <name val="新細明體"/>
      <family val="1"/>
      <charset val="136"/>
    </font>
    <font>
      <sz val="10"/>
      <color theme="1"/>
      <name val="微軟正黑體"/>
      <family val="2"/>
      <charset val="136"/>
    </font>
    <font>
      <sz val="10"/>
      <color rgb="FFFF0000"/>
      <name val="微軟正黑體"/>
      <family val="2"/>
      <charset val="136"/>
    </font>
    <font>
      <sz val="10"/>
      <color rgb="FF000000"/>
      <name val="微軟正黑體"/>
      <family val="2"/>
      <charset val="136"/>
    </font>
    <font>
      <sz val="10"/>
      <color theme="1"/>
      <name val="新細明體"/>
      <family val="3"/>
      <charset val="136"/>
    </font>
    <font>
      <sz val="10"/>
      <name val="微軟正黑體"/>
      <family val="2"/>
      <charset val="136"/>
    </font>
    <font>
      <sz val="10"/>
      <color rgb="FF548DD4"/>
      <name val="微軟正黑體"/>
      <family val="2"/>
      <charset val="136"/>
    </font>
    <font>
      <sz val="10"/>
      <color rgb="FF000000"/>
      <name val="Times New Roman"/>
      <family val="1"/>
    </font>
    <font>
      <sz val="10"/>
      <color theme="1"/>
      <name val="Times New Roman"/>
      <family val="1"/>
    </font>
    <font>
      <b/>
      <sz val="10"/>
      <color rgb="FFFF0000"/>
      <name val="新細明體"/>
      <family val="1"/>
      <charset val="136"/>
    </font>
    <font>
      <sz val="9"/>
      <name val="新細明體"/>
      <family val="3"/>
      <charset val="136"/>
    </font>
    <font>
      <sz val="12"/>
      <name val="細明體"/>
      <family val="2"/>
      <charset val="136"/>
    </font>
    <font>
      <b/>
      <sz val="12"/>
      <color theme="0"/>
      <name val="新細明體"/>
      <family val="1"/>
      <charset val="136"/>
    </font>
    <font>
      <sz val="10"/>
      <name val="新細明體"/>
      <family val="3"/>
      <charset val="136"/>
    </font>
    <font>
      <sz val="10"/>
      <color indexed="9"/>
      <name val="新細明體"/>
      <family val="3"/>
      <charset val="136"/>
    </font>
    <font>
      <b/>
      <sz val="16"/>
      <name val="標楷體"/>
      <family val="4"/>
      <charset val="136"/>
    </font>
    <font>
      <sz val="9"/>
      <color indexed="9"/>
      <name val="新細明體"/>
      <family val="3"/>
      <charset val="136"/>
    </font>
    <font>
      <b/>
      <sz val="9"/>
      <name val="Arial"/>
      <family val="2"/>
    </font>
    <font>
      <b/>
      <sz val="8"/>
      <color indexed="10"/>
      <name val="新細明體"/>
      <family val="3"/>
      <charset val="136"/>
    </font>
    <font>
      <b/>
      <sz val="8"/>
      <name val="新細明體"/>
      <family val="3"/>
      <charset val="136"/>
    </font>
    <font>
      <b/>
      <sz val="9"/>
      <color indexed="8"/>
      <name val="細明體"/>
      <family val="3"/>
      <charset val="136"/>
    </font>
    <font>
      <b/>
      <sz val="9"/>
      <color indexed="8"/>
      <name val="Arial"/>
      <family val="2"/>
    </font>
    <font>
      <b/>
      <sz val="9"/>
      <name val="新細明體"/>
      <family val="3"/>
      <charset val="136"/>
      <scheme val="minor"/>
    </font>
    <font>
      <b/>
      <sz val="9"/>
      <name val="新細明體"/>
      <family val="3"/>
      <charset val="136"/>
    </font>
    <font>
      <b/>
      <sz val="10"/>
      <color indexed="10"/>
      <name val="細明體"/>
      <family val="3"/>
      <charset val="136"/>
    </font>
    <font>
      <b/>
      <sz val="9"/>
      <color indexed="10"/>
      <name val="新細明體"/>
      <family val="1"/>
      <charset val="136"/>
    </font>
    <font>
      <b/>
      <sz val="10"/>
      <name val="新細明體"/>
      <family val="3"/>
      <charset val="136"/>
    </font>
    <font>
      <strike/>
      <sz val="9"/>
      <name val="新細明體"/>
      <family val="3"/>
      <charset val="136"/>
    </font>
    <font>
      <strike/>
      <sz val="10"/>
      <name val="Arial"/>
      <family val="2"/>
    </font>
    <font>
      <b/>
      <sz val="9"/>
      <color rgb="FF0000FF"/>
      <name val="細明體"/>
      <family val="3"/>
      <charset val="136"/>
    </font>
    <font>
      <b/>
      <sz val="9"/>
      <color indexed="9"/>
      <name val="Arial"/>
      <family val="2"/>
    </font>
    <font>
      <sz val="10"/>
      <color indexed="9"/>
      <name val="Arial"/>
      <family val="2"/>
    </font>
    <font>
      <b/>
      <sz val="9"/>
      <color indexed="9"/>
      <name val="細明體"/>
      <family val="3"/>
      <charset val="136"/>
    </font>
    <font>
      <b/>
      <sz val="10"/>
      <color indexed="9"/>
      <name val="Arial"/>
      <family val="2"/>
    </font>
    <font>
      <b/>
      <u/>
      <sz val="9"/>
      <color indexed="10"/>
      <name val="細明體"/>
      <family val="3"/>
      <charset val="136"/>
    </font>
    <font>
      <b/>
      <u/>
      <sz val="9"/>
      <color rgb="FFFF0000"/>
      <name val="細明體"/>
      <family val="3"/>
      <charset val="136"/>
    </font>
    <font>
      <sz val="10"/>
      <color theme="0"/>
      <name val="新細明體"/>
      <family val="3"/>
      <charset val="136"/>
    </font>
    <font>
      <b/>
      <sz val="18"/>
      <name val="標楷體"/>
      <family val="4"/>
      <charset val="136"/>
    </font>
    <font>
      <b/>
      <u/>
      <sz val="10"/>
      <name val="新細明體"/>
      <family val="3"/>
      <charset val="136"/>
    </font>
    <font>
      <sz val="10"/>
      <color theme="1"/>
      <name val="新細明體"/>
      <family val="1"/>
      <charset val="136"/>
    </font>
  </fonts>
  <fills count="5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indexed="64"/>
      </patternFill>
    </fill>
    <fill>
      <patternFill patternType="solid">
        <fgColor indexed="9"/>
        <bgColor indexed="64"/>
      </patternFill>
    </fill>
    <fill>
      <patternFill patternType="solid">
        <fgColor indexed="13"/>
        <bgColor indexed="64"/>
      </patternFill>
    </fill>
    <fill>
      <patternFill patternType="solid">
        <fgColor indexed="43"/>
        <bgColor indexed="64"/>
      </patternFill>
    </fill>
    <fill>
      <patternFill patternType="solid">
        <fgColor indexed="41"/>
        <bgColor indexed="64"/>
      </patternFill>
    </fill>
    <fill>
      <patternFill patternType="solid">
        <fgColor indexed="53"/>
        <bgColor indexed="64"/>
      </patternFill>
    </fill>
    <fill>
      <patternFill patternType="solid">
        <fgColor indexed="42"/>
        <bgColor indexed="64"/>
      </patternFill>
    </fill>
    <fill>
      <patternFill patternType="solid">
        <fgColor indexed="22"/>
        <bgColor indexed="0"/>
      </patternFill>
    </fill>
    <fill>
      <patternFill patternType="solid">
        <fgColor indexed="45"/>
        <bgColor indexed="64"/>
      </patternFill>
    </fill>
    <fill>
      <patternFill patternType="solid">
        <fgColor rgb="FFFFFF00"/>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FF0000"/>
        <bgColor indexed="64"/>
      </patternFill>
    </fill>
    <fill>
      <patternFill patternType="solid">
        <fgColor theme="5"/>
        <bgColor indexed="64"/>
      </patternFill>
    </fill>
    <fill>
      <patternFill patternType="solid">
        <fgColor theme="6"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2"/>
        <bgColor indexed="64"/>
      </patternFill>
    </fill>
    <fill>
      <patternFill patternType="solid">
        <fgColor theme="4" tint="0.79998168889431442"/>
        <bgColor indexed="64"/>
      </patternFill>
    </fill>
    <fill>
      <patternFill patternType="solid">
        <fgColor rgb="FF00B05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5117038483843"/>
        <bgColor indexed="64"/>
      </patternFill>
    </fill>
    <fill>
      <patternFill patternType="solid">
        <fgColor rgb="FFFFC000"/>
        <bgColor indexed="64"/>
      </patternFill>
    </fill>
    <fill>
      <patternFill patternType="solid">
        <fgColor theme="4" tint="0.39997558519241921"/>
        <bgColor indexed="64"/>
      </patternFill>
    </fill>
    <fill>
      <patternFill patternType="solid">
        <fgColor rgb="FFFFFFFF"/>
        <bgColor indexed="64"/>
      </patternFill>
    </fill>
    <fill>
      <patternFill patternType="solid">
        <fgColor theme="7" tint="0.79995117038483843"/>
        <bgColor indexed="64"/>
      </patternFill>
    </fill>
    <fill>
      <patternFill patternType="solid">
        <fgColor theme="5" tint="0.39997558519241921"/>
        <bgColor indexed="64"/>
      </patternFill>
    </fill>
    <fill>
      <patternFill patternType="solid">
        <fgColor rgb="FFFFFF99"/>
        <bgColor indexed="64"/>
      </patternFill>
    </fill>
    <fill>
      <patternFill patternType="solid">
        <fgColor rgb="FFFFFFCC"/>
        <bgColor indexed="64"/>
      </patternFill>
    </fill>
  </fills>
  <borders count="4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thin">
        <color indexed="9"/>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auto="1"/>
      </top>
      <bottom/>
      <diagonal/>
    </border>
    <border>
      <left/>
      <right style="medium">
        <color indexed="64"/>
      </right>
      <top/>
      <bottom style="medium">
        <color indexed="64"/>
      </bottom>
      <diagonal/>
    </border>
    <border>
      <left style="thin">
        <color auto="1"/>
      </left>
      <right/>
      <top/>
      <bottom/>
      <diagonal/>
    </border>
    <border>
      <left style="thin">
        <color auto="1"/>
      </left>
      <right style="thin">
        <color indexed="64"/>
      </right>
      <top style="thin">
        <color indexed="64"/>
      </top>
      <bottom style="thin">
        <color indexed="64"/>
      </bottom>
      <diagonal/>
    </border>
    <border>
      <left style="thin">
        <color auto="1"/>
      </left>
      <right/>
      <top style="thin">
        <color indexed="64"/>
      </top>
      <bottom/>
      <diagonal/>
    </border>
    <border>
      <left style="thin">
        <color auto="1"/>
      </left>
      <right/>
      <top/>
      <bottom style="thin">
        <color indexed="64"/>
      </bottom>
      <diagonal/>
    </border>
    <border>
      <left/>
      <right style="thin">
        <color auto="1"/>
      </right>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bottom style="thin">
        <color indexed="64"/>
      </bottom>
      <diagonal/>
    </border>
    <border>
      <left/>
      <right/>
      <top/>
      <bottom style="medium">
        <color auto="1"/>
      </bottom>
      <diagonal/>
    </border>
    <border>
      <left/>
      <right style="thin">
        <color auto="1"/>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bottom/>
      <diagonal/>
    </border>
    <border>
      <left style="thin">
        <color indexed="9"/>
      </left>
      <right/>
      <top style="thin">
        <color indexed="64"/>
      </top>
      <bottom/>
      <diagonal/>
    </border>
    <border>
      <left style="thin">
        <color indexed="22"/>
      </left>
      <right style="thin">
        <color indexed="22"/>
      </right>
      <top style="thin">
        <color indexed="22"/>
      </top>
      <bottom style="thin">
        <color indexed="22"/>
      </bottom>
      <diagonal/>
    </border>
    <border>
      <left/>
      <right/>
      <top style="thin">
        <color indexed="64"/>
      </top>
      <bottom/>
      <diagonal/>
    </border>
    <border>
      <left style="thin">
        <color indexed="64"/>
      </left>
      <right/>
      <top style="thin">
        <color indexed="64"/>
      </top>
      <bottom/>
      <diagonal/>
    </border>
  </borders>
  <cellStyleXfs count="111">
    <xf numFmtId="0" fontId="0" fillId="0" borderId="0"/>
    <xf numFmtId="0" fontId="15" fillId="0" borderId="0"/>
    <xf numFmtId="0" fontId="15" fillId="0" borderId="0"/>
    <xf numFmtId="0" fontId="71" fillId="0" borderId="0"/>
    <xf numFmtId="0" fontId="15" fillId="0" borderId="0"/>
    <xf numFmtId="0" fontId="15" fillId="0" borderId="0"/>
    <xf numFmtId="0" fontId="93" fillId="0" borderId="0"/>
    <xf numFmtId="0" fontId="15" fillId="0" borderId="0"/>
    <xf numFmtId="0" fontId="18" fillId="0" borderId="0"/>
    <xf numFmtId="0" fontId="74" fillId="2" borderId="0" applyNumberFormat="0" applyBorder="0" applyAlignment="0" applyProtection="0">
      <alignment vertical="center"/>
    </xf>
    <xf numFmtId="0" fontId="74" fillId="3" borderId="0" applyNumberFormat="0" applyBorder="0" applyAlignment="0" applyProtection="0">
      <alignment vertical="center"/>
    </xf>
    <xf numFmtId="0" fontId="74" fillId="4" borderId="0" applyNumberFormat="0" applyBorder="0" applyAlignment="0" applyProtection="0">
      <alignment vertical="center"/>
    </xf>
    <xf numFmtId="0" fontId="74" fillId="5" borderId="0" applyNumberFormat="0" applyBorder="0" applyAlignment="0" applyProtection="0">
      <alignment vertical="center"/>
    </xf>
    <xf numFmtId="0" fontId="74" fillId="6" borderId="0" applyNumberFormat="0" applyBorder="0" applyAlignment="0" applyProtection="0">
      <alignment vertical="center"/>
    </xf>
    <xf numFmtId="0" fontId="74" fillId="7" borderId="0" applyNumberFormat="0" applyBorder="0" applyAlignment="0" applyProtection="0">
      <alignment vertical="center"/>
    </xf>
    <xf numFmtId="0" fontId="74" fillId="8" borderId="0" applyNumberFormat="0" applyBorder="0" applyAlignment="0" applyProtection="0">
      <alignment vertical="center"/>
    </xf>
    <xf numFmtId="0" fontId="74" fillId="9" borderId="0" applyNumberFormat="0" applyBorder="0" applyAlignment="0" applyProtection="0">
      <alignment vertical="center"/>
    </xf>
    <xf numFmtId="0" fontId="74" fillId="10" borderId="0" applyNumberFormat="0" applyBorder="0" applyAlignment="0" applyProtection="0">
      <alignment vertical="center"/>
    </xf>
    <xf numFmtId="0" fontId="74" fillId="5" borderId="0" applyNumberFormat="0" applyBorder="0" applyAlignment="0" applyProtection="0">
      <alignment vertical="center"/>
    </xf>
    <xf numFmtId="0" fontId="74" fillId="8" borderId="0" applyNumberFormat="0" applyBorder="0" applyAlignment="0" applyProtection="0">
      <alignment vertical="center"/>
    </xf>
    <xf numFmtId="0" fontId="74" fillId="11" borderId="0" applyNumberFormat="0" applyBorder="0" applyAlignment="0" applyProtection="0">
      <alignment vertical="center"/>
    </xf>
    <xf numFmtId="0" fontId="75" fillId="12" borderId="0" applyNumberFormat="0" applyBorder="0" applyAlignment="0" applyProtection="0">
      <alignment vertical="center"/>
    </xf>
    <xf numFmtId="0" fontId="75" fillId="9" borderId="0" applyNumberFormat="0" applyBorder="0" applyAlignment="0" applyProtection="0">
      <alignment vertical="center"/>
    </xf>
    <xf numFmtId="0" fontId="75" fillId="10" borderId="0" applyNumberFormat="0" applyBorder="0" applyAlignment="0" applyProtection="0">
      <alignment vertical="center"/>
    </xf>
    <xf numFmtId="0" fontId="75" fillId="13" borderId="0" applyNumberFormat="0" applyBorder="0" applyAlignment="0" applyProtection="0">
      <alignment vertical="center"/>
    </xf>
    <xf numFmtId="0" fontId="75" fillId="14" borderId="0" applyNumberFormat="0" applyBorder="0" applyAlignment="0" applyProtection="0">
      <alignment vertical="center"/>
    </xf>
    <xf numFmtId="0" fontId="75" fillId="15" borderId="0" applyNumberFormat="0" applyBorder="0" applyAlignment="0" applyProtection="0">
      <alignment vertical="center"/>
    </xf>
    <xf numFmtId="0" fontId="75" fillId="16" borderId="0" applyNumberFormat="0" applyBorder="0" applyAlignment="0" applyProtection="0">
      <alignment vertical="center"/>
    </xf>
    <xf numFmtId="0" fontId="75" fillId="17" borderId="0" applyNumberFormat="0" applyBorder="0" applyAlignment="0" applyProtection="0">
      <alignment vertical="center"/>
    </xf>
    <xf numFmtId="0" fontId="75" fillId="18" borderId="0" applyNumberFormat="0" applyBorder="0" applyAlignment="0" applyProtection="0">
      <alignment vertical="center"/>
    </xf>
    <xf numFmtId="0" fontId="75" fillId="13" borderId="0" applyNumberFormat="0" applyBorder="0" applyAlignment="0" applyProtection="0">
      <alignment vertical="center"/>
    </xf>
    <xf numFmtId="0" fontId="75" fillId="14" borderId="0" applyNumberFormat="0" applyBorder="0" applyAlignment="0" applyProtection="0">
      <alignment vertical="center"/>
    </xf>
    <xf numFmtId="0" fontId="75" fillId="19" borderId="0" applyNumberFormat="0" applyBorder="0" applyAlignment="0" applyProtection="0">
      <alignment vertical="center"/>
    </xf>
    <xf numFmtId="0" fontId="76" fillId="3" borderId="0" applyNumberFormat="0" applyBorder="0" applyAlignment="0" applyProtection="0">
      <alignment vertical="center"/>
    </xf>
    <xf numFmtId="0" fontId="77" fillId="20" borderId="1" applyNumberFormat="0" applyAlignment="0" applyProtection="0">
      <alignment vertical="center"/>
    </xf>
    <xf numFmtId="0" fontId="78" fillId="21" borderId="2" applyNumberFormat="0" applyAlignment="0" applyProtection="0">
      <alignment vertical="center"/>
    </xf>
    <xf numFmtId="0" fontId="79" fillId="0" borderId="0" applyNumberFormat="0" applyFill="0" applyBorder="0" applyAlignment="0" applyProtection="0">
      <alignment vertical="center"/>
    </xf>
    <xf numFmtId="0" fontId="80" fillId="4" borderId="0" applyNumberFormat="0" applyBorder="0" applyAlignment="0" applyProtection="0">
      <alignment vertical="center"/>
    </xf>
    <xf numFmtId="0" fontId="81" fillId="0" borderId="3" applyNumberFormat="0" applyFill="0" applyAlignment="0" applyProtection="0">
      <alignment vertical="center"/>
    </xf>
    <xf numFmtId="0" fontId="82" fillId="0" borderId="4" applyNumberFormat="0" applyFill="0" applyAlignment="0" applyProtection="0">
      <alignment vertical="center"/>
    </xf>
    <xf numFmtId="0" fontId="83" fillId="0" borderId="5" applyNumberFormat="0" applyFill="0" applyAlignment="0" applyProtection="0">
      <alignment vertical="center"/>
    </xf>
    <xf numFmtId="0" fontId="83" fillId="0" borderId="0" applyNumberFormat="0" applyFill="0" applyBorder="0" applyAlignment="0" applyProtection="0">
      <alignment vertical="center"/>
    </xf>
    <xf numFmtId="0" fontId="84" fillId="7" borderId="1" applyNumberFormat="0" applyAlignment="0" applyProtection="0">
      <alignment vertical="center"/>
    </xf>
    <xf numFmtId="0" fontId="85" fillId="0" borderId="6" applyNumberFormat="0" applyFill="0" applyAlignment="0" applyProtection="0">
      <alignment vertical="center"/>
    </xf>
    <xf numFmtId="0" fontId="86" fillId="22" borderId="0" applyNumberFormat="0" applyBorder="0" applyAlignment="0" applyProtection="0">
      <alignment vertical="center"/>
    </xf>
    <xf numFmtId="0" fontId="18" fillId="23" borderId="7" applyNumberFormat="0" applyFont="0" applyAlignment="0" applyProtection="0">
      <alignment vertical="center"/>
    </xf>
    <xf numFmtId="0" fontId="87" fillId="20" borderId="8" applyNumberFormat="0" applyAlignment="0" applyProtection="0">
      <alignment vertical="center"/>
    </xf>
    <xf numFmtId="0" fontId="88" fillId="24" borderId="0">
      <alignment vertical="center"/>
      <protection hidden="1"/>
    </xf>
    <xf numFmtId="0" fontId="89" fillId="0" borderId="0" applyNumberFormat="0" applyFill="0" applyBorder="0" applyAlignment="0" applyProtection="0">
      <alignment vertical="center"/>
    </xf>
    <xf numFmtId="0" fontId="90" fillId="0" borderId="9" applyNumberFormat="0" applyFill="0" applyAlignment="0" applyProtection="0">
      <alignment vertical="center"/>
    </xf>
    <xf numFmtId="0" fontId="91" fillId="0" borderId="0" applyNumberFormat="0" applyFill="0" applyBorder="0" applyAlignment="0" applyProtection="0">
      <alignment vertical="center"/>
    </xf>
    <xf numFmtId="0" fontId="21" fillId="0" borderId="0"/>
    <xf numFmtId="0" fontId="94" fillId="0" borderId="0">
      <alignment vertical="center"/>
    </xf>
    <xf numFmtId="0" fontId="15" fillId="0" borderId="0"/>
    <xf numFmtId="0" fontId="15" fillId="0" borderId="0"/>
    <xf numFmtId="0" fontId="69" fillId="0" borderId="0">
      <alignment vertical="center"/>
    </xf>
    <xf numFmtId="0" fontId="69" fillId="0" borderId="0">
      <alignment vertical="center"/>
    </xf>
    <xf numFmtId="0" fontId="18" fillId="0" borderId="0">
      <alignment vertical="center"/>
    </xf>
    <xf numFmtId="0" fontId="93" fillId="0" borderId="0"/>
    <xf numFmtId="0" fontId="15" fillId="0" borderId="0"/>
    <xf numFmtId="0" fontId="24" fillId="0" borderId="0"/>
    <xf numFmtId="0" fontId="24" fillId="0" borderId="0"/>
    <xf numFmtId="0" fontId="72" fillId="0" borderId="0"/>
    <xf numFmtId="0" fontId="24" fillId="0" borderId="0"/>
    <xf numFmtId="0" fontId="24" fillId="0" borderId="0"/>
    <xf numFmtId="0" fontId="21" fillId="0" borderId="0">
      <alignment vertical="center"/>
    </xf>
    <xf numFmtId="0" fontId="69" fillId="0" borderId="0">
      <alignment vertical="center"/>
    </xf>
    <xf numFmtId="0" fontId="21" fillId="0" borderId="0">
      <alignment vertical="center"/>
    </xf>
    <xf numFmtId="0" fontId="18" fillId="0" borderId="0"/>
    <xf numFmtId="0" fontId="72" fillId="0" borderId="0"/>
    <xf numFmtId="0" fontId="24" fillId="0" borderId="0"/>
    <xf numFmtId="0" fontId="72" fillId="0" borderId="0"/>
    <xf numFmtId="43" fontId="15" fillId="0" borderId="0" applyFont="0" applyFill="0" applyBorder="0" applyAlignment="0" applyProtection="0"/>
    <xf numFmtId="43" fontId="93"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41" fontId="93" fillId="0" borderId="0" applyFont="0" applyFill="0" applyBorder="0" applyAlignment="0" applyProtection="0"/>
    <xf numFmtId="41" fontId="15" fillId="0" borderId="0" applyFont="0" applyFill="0" applyBorder="0" applyAlignment="0" applyProtection="0"/>
    <xf numFmtId="0" fontId="80" fillId="4" borderId="0" applyNumberFormat="0" applyBorder="0" applyAlignment="0" applyProtection="0">
      <alignment vertical="center"/>
    </xf>
    <xf numFmtId="0" fontId="16" fillId="0" borderId="0" applyNumberFormat="0" applyFill="0" applyBorder="0" applyAlignment="0" applyProtection="0"/>
    <xf numFmtId="0" fontId="92" fillId="0" borderId="0" applyNumberFormat="0" applyFill="0" applyBorder="0" applyAlignment="0" applyProtection="0"/>
    <xf numFmtId="0" fontId="69" fillId="0" borderId="0"/>
    <xf numFmtId="0" fontId="76" fillId="3" borderId="0" applyNumberFormat="0" applyBorder="0" applyAlignment="0" applyProtection="0">
      <alignment vertical="center"/>
    </xf>
    <xf numFmtId="0" fontId="15" fillId="0" borderId="0"/>
    <xf numFmtId="0" fontId="15" fillId="0" borderId="0"/>
    <xf numFmtId="0" fontId="14" fillId="0" borderId="0">
      <alignment vertical="center"/>
    </xf>
    <xf numFmtId="0" fontId="15" fillId="0" borderId="0"/>
    <xf numFmtId="0" fontId="13" fillId="0" borderId="0">
      <alignment vertical="center"/>
    </xf>
    <xf numFmtId="0" fontId="15" fillId="0" borderId="0"/>
    <xf numFmtId="0" fontId="12" fillId="0" borderId="0">
      <alignment vertical="center"/>
    </xf>
    <xf numFmtId="0" fontId="11" fillId="0" borderId="0">
      <alignment vertical="center"/>
    </xf>
    <xf numFmtId="0" fontId="10" fillId="0" borderId="0">
      <alignment vertical="center"/>
    </xf>
    <xf numFmtId="0" fontId="9" fillId="0" borderId="0">
      <alignment vertical="center"/>
    </xf>
    <xf numFmtId="0" fontId="8" fillId="0" borderId="0">
      <alignment vertical="center"/>
    </xf>
    <xf numFmtId="0" fontId="7" fillId="0" borderId="0">
      <alignment vertical="center"/>
    </xf>
    <xf numFmtId="0" fontId="6" fillId="0" borderId="0">
      <alignment vertical="center"/>
    </xf>
    <xf numFmtId="0" fontId="15" fillId="0" borderId="0"/>
    <xf numFmtId="0" fontId="5" fillId="0" borderId="0">
      <alignment vertical="center"/>
    </xf>
    <xf numFmtId="0" fontId="4" fillId="0" borderId="0">
      <alignment vertical="center"/>
    </xf>
    <xf numFmtId="0" fontId="3" fillId="0" borderId="0">
      <alignment vertical="center"/>
    </xf>
    <xf numFmtId="0" fontId="145" fillId="0" borderId="0"/>
    <xf numFmtId="0" fontId="145" fillId="0" borderId="0"/>
    <xf numFmtId="41" fontId="145" fillId="0" borderId="0" applyFont="0" applyFill="0" applyBorder="0" applyAlignment="0" applyProtection="0"/>
    <xf numFmtId="43" fontId="145" fillId="0" borderId="0" applyFont="0" applyFill="0" applyBorder="0" applyAlignment="0" applyProtection="0"/>
    <xf numFmtId="0" fontId="145" fillId="0" borderId="0"/>
    <xf numFmtId="0" fontId="2" fillId="0" borderId="0">
      <alignment vertical="center"/>
    </xf>
    <xf numFmtId="0" fontId="24" fillId="0" borderId="0"/>
    <xf numFmtId="0" fontId="24" fillId="0" borderId="0"/>
    <xf numFmtId="0" fontId="1" fillId="0" borderId="0">
      <alignment vertical="center"/>
    </xf>
    <xf numFmtId="0" fontId="24" fillId="0" borderId="0"/>
  </cellStyleXfs>
  <cellXfs count="847">
    <xf numFmtId="0" fontId="0" fillId="0" borderId="0" xfId="0"/>
    <xf numFmtId="0" fontId="19" fillId="0" borderId="0" xfId="1" applyFont="1"/>
    <xf numFmtId="0" fontId="21" fillId="25" borderId="0" xfId="68" applyFont="1" applyFill="1" applyAlignment="1" applyProtection="1">
      <alignment vertical="center"/>
      <protection hidden="1"/>
    </xf>
    <xf numFmtId="0" fontId="21" fillId="0" borderId="0" xfId="68" applyFont="1" applyAlignment="1" applyProtection="1">
      <alignment vertical="center"/>
      <protection hidden="1"/>
    </xf>
    <xf numFmtId="0" fontId="22" fillId="25" borderId="0" xfId="68" applyFont="1" applyFill="1" applyAlignment="1" applyProtection="1">
      <alignment vertical="center"/>
      <protection hidden="1"/>
    </xf>
    <xf numFmtId="0" fontId="0" fillId="0" borderId="0" xfId="1" applyFont="1" applyProtection="1">
      <protection hidden="1"/>
    </xf>
    <xf numFmtId="0" fontId="28" fillId="0" borderId="0" xfId="68" applyFont="1" applyAlignment="1" applyProtection="1">
      <alignment horizontal="center" vertical="center"/>
      <protection hidden="1"/>
    </xf>
    <xf numFmtId="0" fontId="50" fillId="0" borderId="0" xfId="1" applyFont="1"/>
    <xf numFmtId="0" fontId="30" fillId="0" borderId="0" xfId="68" applyFont="1" applyAlignment="1" applyProtection="1">
      <alignment horizontal="center" vertical="center"/>
      <protection hidden="1"/>
    </xf>
    <xf numFmtId="0" fontId="39" fillId="0" borderId="0" xfId="68" applyFont="1" applyAlignment="1" applyProtection="1">
      <alignment horizontal="center" vertical="center"/>
      <protection hidden="1"/>
    </xf>
    <xf numFmtId="0" fontId="27" fillId="0" borderId="0" xfId="68" applyFont="1" applyAlignment="1" applyProtection="1">
      <alignment horizontal="center" vertical="center"/>
      <protection hidden="1"/>
    </xf>
    <xf numFmtId="0" fontId="33" fillId="0" borderId="0" xfId="68" applyFont="1" applyAlignment="1" applyProtection="1">
      <alignment horizontal="center" vertical="center" wrapText="1"/>
      <protection hidden="1"/>
    </xf>
    <xf numFmtId="181" fontId="35" fillId="0" borderId="0" xfId="68" applyNumberFormat="1" applyFont="1" applyAlignment="1" applyProtection="1">
      <alignment horizontal="center" vertical="center"/>
      <protection hidden="1"/>
    </xf>
    <xf numFmtId="190" fontId="35" fillId="0" borderId="0" xfId="68" applyNumberFormat="1" applyFont="1" applyAlignment="1" applyProtection="1">
      <alignment horizontal="center" vertical="center"/>
      <protection hidden="1"/>
    </xf>
    <xf numFmtId="181" fontId="38" fillId="0" borderId="0" xfId="68" applyNumberFormat="1" applyFont="1" applyAlignment="1" applyProtection="1">
      <alignment horizontal="center" vertical="center"/>
      <protection hidden="1"/>
    </xf>
    <xf numFmtId="181" fontId="37" fillId="0" borderId="0" xfId="68" applyNumberFormat="1" applyFont="1" applyAlignment="1" applyProtection="1">
      <alignment horizontal="center" vertical="center" shrinkToFit="1"/>
      <protection hidden="1"/>
    </xf>
    <xf numFmtId="0" fontId="19" fillId="0" borderId="0" xfId="68" applyFont="1" applyAlignment="1" applyProtection="1">
      <alignment horizontal="center" vertical="center"/>
      <protection hidden="1"/>
    </xf>
    <xf numFmtId="0" fontId="29" fillId="0" borderId="0" xfId="68" applyFont="1" applyAlignment="1" applyProtection="1">
      <alignment horizontal="center" vertical="center"/>
      <protection hidden="1"/>
    </xf>
    <xf numFmtId="0" fontId="40" fillId="0" borderId="0" xfId="68" applyFont="1" applyAlignment="1" applyProtection="1">
      <alignment horizontal="center" vertical="center"/>
      <protection hidden="1"/>
    </xf>
    <xf numFmtId="0" fontId="34" fillId="0" borderId="0" xfId="68" applyFont="1" applyAlignment="1" applyProtection="1">
      <alignment horizontal="center" vertical="center"/>
      <protection hidden="1"/>
    </xf>
    <xf numFmtId="0" fontId="27" fillId="0" borderId="0" xfId="68" applyFont="1" applyAlignment="1" applyProtection="1">
      <alignment horizontal="center" vertical="center" shrinkToFit="1"/>
      <protection hidden="1"/>
    </xf>
    <xf numFmtId="0" fontId="40" fillId="0" borderId="0" xfId="68" applyFont="1" applyAlignment="1" applyProtection="1">
      <alignment horizontal="right" vertical="center"/>
      <protection hidden="1"/>
    </xf>
    <xf numFmtId="0" fontId="19" fillId="0" borderId="0" xfId="68" applyFont="1" applyAlignment="1" applyProtection="1">
      <alignment horizontal="right" vertical="center"/>
      <protection hidden="1"/>
    </xf>
    <xf numFmtId="0" fontId="21" fillId="0" borderId="0" xfId="68" applyFont="1" applyAlignment="1" applyProtection="1">
      <alignment horizontal="center" vertical="center"/>
      <protection hidden="1"/>
    </xf>
    <xf numFmtId="0" fontId="48" fillId="0" borderId="0" xfId="68" applyFont="1" applyAlignment="1" applyProtection="1">
      <alignment horizontal="center" vertical="center" shrinkToFit="1"/>
      <protection hidden="1"/>
    </xf>
    <xf numFmtId="0" fontId="42" fillId="0" borderId="0" xfId="68" applyFont="1" applyAlignment="1" applyProtection="1">
      <alignment vertical="center"/>
      <protection hidden="1"/>
    </xf>
    <xf numFmtId="0" fontId="21" fillId="0" borderId="0" xfId="65" applyAlignment="1">
      <alignment horizontal="center" vertical="center"/>
    </xf>
    <xf numFmtId="0" fontId="21" fillId="0" borderId="0" xfId="65">
      <alignment vertical="center"/>
    </xf>
    <xf numFmtId="0" fontId="39" fillId="0" borderId="10" xfId="68" applyFont="1" applyBorder="1" applyAlignment="1" applyProtection="1">
      <alignment horizontal="right" vertical="center"/>
      <protection hidden="1"/>
    </xf>
    <xf numFmtId="0" fontId="39" fillId="0" borderId="0" xfId="68" applyFont="1" applyAlignment="1" applyProtection="1">
      <alignment horizontal="right" vertical="center"/>
      <protection hidden="1"/>
    </xf>
    <xf numFmtId="0" fontId="21" fillId="28" borderId="12" xfId="65" applyFill="1" applyBorder="1">
      <alignment vertical="center"/>
    </xf>
    <xf numFmtId="0" fontId="21" fillId="29" borderId="0" xfId="65" applyFill="1" applyAlignment="1">
      <alignment horizontal="center" vertical="center"/>
    </xf>
    <xf numFmtId="0" fontId="21" fillId="29" borderId="0" xfId="65" applyFill="1">
      <alignment vertical="center"/>
    </xf>
    <xf numFmtId="0" fontId="21" fillId="29" borderId="14" xfId="65" applyFill="1" applyBorder="1" applyAlignment="1">
      <alignment horizontal="center" vertical="center"/>
    </xf>
    <xf numFmtId="177" fontId="21" fillId="0" borderId="0" xfId="65" applyNumberFormat="1" applyAlignment="1">
      <alignment horizontal="center" vertical="center"/>
    </xf>
    <xf numFmtId="192" fontId="21" fillId="0" borderId="0" xfId="65" applyNumberFormat="1" applyAlignment="1">
      <alignment horizontal="center" vertical="center"/>
    </xf>
    <xf numFmtId="0" fontId="21" fillId="0" borderId="15" xfId="65" applyBorder="1">
      <alignment vertical="center"/>
    </xf>
    <xf numFmtId="0" fontId="21" fillId="0" borderId="0" xfId="65" applyAlignment="1">
      <alignment horizontal="right" vertical="center"/>
    </xf>
    <xf numFmtId="10" fontId="21" fillId="0" borderId="0" xfId="65" applyNumberFormat="1" applyAlignment="1">
      <alignment horizontal="center" vertical="center"/>
    </xf>
    <xf numFmtId="0" fontId="21" fillId="0" borderId="14" xfId="65" applyBorder="1">
      <alignment vertical="center"/>
    </xf>
    <xf numFmtId="176" fontId="21" fillId="0" borderId="0" xfId="65" applyNumberFormat="1" applyAlignment="1">
      <alignment horizontal="center" vertical="center"/>
    </xf>
    <xf numFmtId="0" fontId="58" fillId="0" borderId="0" xfId="65" applyFont="1">
      <alignment vertical="center"/>
    </xf>
    <xf numFmtId="186" fontId="21" fillId="0" borderId="0" xfId="65" applyNumberFormat="1">
      <alignment vertical="center"/>
    </xf>
    <xf numFmtId="0" fontId="50" fillId="0" borderId="0" xfId="65" applyFont="1">
      <alignment vertical="center"/>
    </xf>
    <xf numFmtId="0" fontId="23" fillId="0" borderId="0" xfId="68" applyFont="1" applyAlignment="1" applyProtection="1">
      <alignment vertical="center"/>
      <protection hidden="1"/>
    </xf>
    <xf numFmtId="0" fontId="36" fillId="25" borderId="0" xfId="68" applyFont="1" applyFill="1" applyAlignment="1" applyProtection="1">
      <alignment horizontal="center" vertical="center"/>
      <protection hidden="1"/>
    </xf>
    <xf numFmtId="0" fontId="32" fillId="0" borderId="0" xfId="68" applyFont="1" applyAlignment="1" applyProtection="1">
      <alignment horizontal="center" vertical="center"/>
      <protection hidden="1"/>
    </xf>
    <xf numFmtId="0" fontId="65" fillId="0" borderId="0" xfId="61" applyFont="1" applyAlignment="1">
      <alignment wrapText="1"/>
    </xf>
    <xf numFmtId="0" fontId="30" fillId="0" borderId="0" xfId="68" applyFont="1" applyAlignment="1" applyProtection="1">
      <alignment horizontal="center" vertical="center" shrinkToFit="1"/>
      <protection hidden="1"/>
    </xf>
    <xf numFmtId="0" fontId="30" fillId="0" borderId="0" xfId="68" applyFont="1" applyAlignment="1" applyProtection="1">
      <alignment horizontal="right" vertical="center" wrapText="1"/>
      <protection hidden="1"/>
    </xf>
    <xf numFmtId="0" fontId="30" fillId="0" borderId="0" xfId="68" applyFont="1" applyAlignment="1" applyProtection="1">
      <alignment vertical="center" wrapText="1"/>
      <protection hidden="1"/>
    </xf>
    <xf numFmtId="0" fontId="39" fillId="25" borderId="0" xfId="68" applyFont="1" applyFill="1" applyAlignment="1" applyProtection="1">
      <alignment horizontal="center" vertical="center"/>
      <protection hidden="1"/>
    </xf>
    <xf numFmtId="0" fontId="31" fillId="0" borderId="0" xfId="1" applyFont="1" applyAlignment="1" applyProtection="1">
      <alignment shrinkToFit="1"/>
      <protection hidden="1"/>
    </xf>
    <xf numFmtId="189" fontId="28" fillId="0" borderId="0" xfId="68" applyNumberFormat="1" applyFont="1" applyAlignment="1" applyProtection="1">
      <alignment horizontal="center" vertical="center" shrinkToFit="1"/>
      <protection hidden="1"/>
    </xf>
    <xf numFmtId="187" fontId="29" fillId="0" borderId="0" xfId="68" applyNumberFormat="1" applyFont="1" applyAlignment="1" applyProtection="1">
      <alignment vertical="center" shrinkToFit="1"/>
      <protection hidden="1"/>
    </xf>
    <xf numFmtId="187" fontId="27" fillId="0" borderId="0" xfId="68" applyNumberFormat="1" applyFont="1" applyAlignment="1" applyProtection="1">
      <alignment vertical="center"/>
      <protection hidden="1"/>
    </xf>
    <xf numFmtId="0" fontId="21" fillId="28" borderId="0" xfId="67" applyFill="1">
      <alignment vertical="center"/>
    </xf>
    <xf numFmtId="0" fontId="21" fillId="27" borderId="0" xfId="67" applyFill="1">
      <alignment vertical="center"/>
    </xf>
    <xf numFmtId="0" fontId="21" fillId="0" borderId="0" xfId="67">
      <alignment vertical="center"/>
    </xf>
    <xf numFmtId="0" fontId="21" fillId="0" borderId="11" xfId="67" applyBorder="1">
      <alignment vertical="center"/>
    </xf>
    <xf numFmtId="0" fontId="21" fillId="0" borderId="0" xfId="51"/>
    <xf numFmtId="10" fontId="21" fillId="0" borderId="11" xfId="67" applyNumberFormat="1" applyBorder="1">
      <alignment vertical="center"/>
    </xf>
    <xf numFmtId="14" fontId="21" fillId="0" borderId="0" xfId="67" applyNumberFormat="1">
      <alignment vertical="center"/>
    </xf>
    <xf numFmtId="19" fontId="21" fillId="0" borderId="0" xfId="67" applyNumberFormat="1">
      <alignment vertical="center"/>
    </xf>
    <xf numFmtId="10" fontId="21" fillId="0" borderId="0" xfId="67" applyNumberFormat="1">
      <alignment vertical="center"/>
    </xf>
    <xf numFmtId="0" fontId="21" fillId="0" borderId="0" xfId="51" applyAlignment="1">
      <alignment vertical="center"/>
    </xf>
    <xf numFmtId="0" fontId="21" fillId="35" borderId="0" xfId="65" applyFill="1">
      <alignment vertical="center"/>
    </xf>
    <xf numFmtId="0" fontId="95" fillId="30" borderId="11" xfId="65" applyFont="1" applyFill="1" applyBorder="1">
      <alignment vertical="center"/>
    </xf>
    <xf numFmtId="0" fontId="95" fillId="28" borderId="11" xfId="65" applyFont="1" applyFill="1" applyBorder="1">
      <alignment vertical="center"/>
    </xf>
    <xf numFmtId="0" fontId="63" fillId="31" borderId="18" xfId="63" applyFont="1" applyFill="1" applyBorder="1" applyAlignment="1">
      <alignment horizontal="center"/>
    </xf>
    <xf numFmtId="0" fontId="63" fillId="0" borderId="7" xfId="63" applyFont="1" applyBorder="1" applyAlignment="1">
      <alignment horizontal="right" wrapText="1"/>
    </xf>
    <xf numFmtId="0" fontId="30" fillId="0" borderId="0" xfId="1" applyFont="1" applyProtection="1">
      <protection hidden="1"/>
    </xf>
    <xf numFmtId="0" fontId="63" fillId="0" borderId="0" xfId="61" applyFont="1" applyAlignment="1">
      <alignment wrapText="1"/>
    </xf>
    <xf numFmtId="0" fontId="63" fillId="0" borderId="0" xfId="61" applyFont="1" applyAlignment="1">
      <alignment horizontal="right" wrapText="1"/>
    </xf>
    <xf numFmtId="0" fontId="46" fillId="0" borderId="17" xfId="68" applyFont="1" applyBorder="1" applyAlignment="1" applyProtection="1">
      <alignment horizontal="center" vertical="center" wrapText="1"/>
      <protection hidden="1"/>
    </xf>
    <xf numFmtId="188" fontId="28" fillId="0" borderId="17" xfId="68" applyNumberFormat="1" applyFont="1" applyBorder="1" applyAlignment="1" applyProtection="1">
      <alignment horizontal="center" vertical="center"/>
      <protection hidden="1"/>
    </xf>
    <xf numFmtId="0" fontId="19" fillId="0" borderId="17" xfId="68" applyFont="1" applyBorder="1" applyAlignment="1" applyProtection="1">
      <alignment horizontal="center" vertical="center"/>
      <protection hidden="1"/>
    </xf>
    <xf numFmtId="0" fontId="33" fillId="0" borderId="17" xfId="68" applyFont="1" applyBorder="1" applyAlignment="1" applyProtection="1">
      <alignment horizontal="center" vertical="center" wrapText="1"/>
      <protection hidden="1"/>
    </xf>
    <xf numFmtId="0" fontId="19" fillId="0" borderId="15" xfId="68" applyFont="1" applyBorder="1" applyAlignment="1" applyProtection="1">
      <alignment horizontal="center" vertical="center"/>
      <protection hidden="1"/>
    </xf>
    <xf numFmtId="0" fontId="21" fillId="0" borderId="15" xfId="68" applyFont="1" applyBorder="1" applyAlignment="1" applyProtection="1">
      <alignment vertical="center"/>
      <protection hidden="1"/>
    </xf>
    <xf numFmtId="0" fontId="47" fillId="0" borderId="15" xfId="68" applyFont="1" applyBorder="1" applyAlignment="1" applyProtection="1">
      <alignment horizontal="left" vertical="center"/>
      <protection hidden="1"/>
    </xf>
    <xf numFmtId="0" fontId="30" fillId="0" borderId="15" xfId="68" applyFont="1" applyBorder="1" applyAlignment="1" applyProtection="1">
      <alignment horizontal="center" vertical="center" shrinkToFit="1"/>
      <protection hidden="1"/>
    </xf>
    <xf numFmtId="0" fontId="52" fillId="0" borderId="15" xfId="68" applyFont="1" applyBorder="1" applyAlignment="1" applyProtection="1">
      <alignment vertical="center"/>
      <protection hidden="1"/>
    </xf>
    <xf numFmtId="0" fontId="39" fillId="0" borderId="15" xfId="68" applyFont="1" applyBorder="1" applyAlignment="1" applyProtection="1">
      <alignment horizontal="center" vertical="center"/>
      <protection hidden="1"/>
    </xf>
    <xf numFmtId="41" fontId="96" fillId="0" borderId="15" xfId="76" applyFont="1" applyBorder="1" applyAlignment="1" applyProtection="1">
      <alignment horizontal="right" vertical="center"/>
      <protection hidden="1"/>
    </xf>
    <xf numFmtId="0" fontId="54" fillId="0" borderId="17" xfId="68" applyFont="1" applyBorder="1" applyAlignment="1" applyProtection="1">
      <alignment horizontal="center" vertical="center"/>
      <protection hidden="1"/>
    </xf>
    <xf numFmtId="0" fontId="55" fillId="0" borderId="15" xfId="68" applyFont="1" applyBorder="1" applyAlignment="1" applyProtection="1">
      <alignment horizontal="left" vertical="center"/>
      <protection hidden="1"/>
    </xf>
    <xf numFmtId="0" fontId="0" fillId="0" borderId="15" xfId="1" applyFont="1" applyBorder="1" applyProtection="1">
      <protection hidden="1"/>
    </xf>
    <xf numFmtId="0" fontId="30" fillId="0" borderId="15" xfId="68" applyFont="1" applyBorder="1" applyAlignment="1" applyProtection="1">
      <alignment horizontal="right" vertical="center" wrapText="1"/>
      <protection hidden="1"/>
    </xf>
    <xf numFmtId="0" fontId="0" fillId="0" borderId="11" xfId="0" applyBorder="1"/>
    <xf numFmtId="0" fontId="30" fillId="0" borderId="0" xfId="68" applyFont="1" applyAlignment="1" applyProtection="1">
      <alignment vertical="center" shrinkToFit="1"/>
      <protection hidden="1"/>
    </xf>
    <xf numFmtId="0" fontId="67" fillId="0" borderId="0" xfId="1" applyFont="1" applyAlignment="1" applyProtection="1">
      <alignment vertical="center"/>
      <protection hidden="1"/>
    </xf>
    <xf numFmtId="0" fontId="44" fillId="0" borderId="11" xfId="1" applyFont="1" applyBorder="1" applyAlignment="1" applyProtection="1">
      <alignment horizontal="center" vertical="center" shrinkToFit="1"/>
      <protection hidden="1"/>
    </xf>
    <xf numFmtId="0" fontId="64" fillId="0" borderId="11" xfId="1" applyFont="1" applyBorder="1" applyAlignment="1" applyProtection="1">
      <alignment horizontal="center" vertical="center" shrinkToFit="1"/>
      <protection hidden="1"/>
    </xf>
    <xf numFmtId="0" fontId="17" fillId="0" borderId="7" xfId="60" applyFont="1" applyBorder="1" applyAlignment="1">
      <alignment horizontal="right" wrapText="1"/>
    </xf>
    <xf numFmtId="0" fontId="63" fillId="0" borderId="7" xfId="63" applyFont="1" applyBorder="1" applyAlignment="1">
      <alignment wrapText="1"/>
    </xf>
    <xf numFmtId="0" fontId="63" fillId="0" borderId="0" xfId="61" applyFont="1" applyAlignment="1">
      <alignment horizontal="center"/>
    </xf>
    <xf numFmtId="0" fontId="63" fillId="0" borderId="18" xfId="63" applyFont="1" applyBorder="1" applyAlignment="1">
      <alignment horizontal="center"/>
    </xf>
    <xf numFmtId="0" fontId="47" fillId="0" borderId="0" xfId="68" applyFont="1" applyAlignment="1" applyProtection="1">
      <alignment horizontal="left" vertical="center"/>
      <protection hidden="1"/>
    </xf>
    <xf numFmtId="0" fontId="52" fillId="0" borderId="0" xfId="68" applyFont="1" applyAlignment="1" applyProtection="1">
      <alignment vertical="center"/>
      <protection hidden="1"/>
    </xf>
    <xf numFmtId="0" fontId="53" fillId="0" borderId="0" xfId="68" applyFont="1" applyAlignment="1" applyProtection="1">
      <alignment horizontal="right" vertical="center"/>
      <protection hidden="1"/>
    </xf>
    <xf numFmtId="0" fontId="47" fillId="0" borderId="0" xfId="68" applyFont="1" applyAlignment="1" applyProtection="1">
      <alignment horizontal="center" vertical="center"/>
      <protection hidden="1"/>
    </xf>
    <xf numFmtId="57" fontId="30" fillId="0" borderId="0" xfId="68" applyNumberFormat="1" applyFont="1" applyAlignment="1" applyProtection="1">
      <alignment horizontal="center" vertical="center"/>
      <protection hidden="1"/>
    </xf>
    <xf numFmtId="0" fontId="98" fillId="0" borderId="0" xfId="80" applyFont="1" applyFill="1" applyBorder="1" applyAlignment="1" applyProtection="1">
      <alignment horizontal="center" vertical="center"/>
      <protection hidden="1"/>
    </xf>
    <xf numFmtId="0" fontId="53" fillId="0" borderId="0" xfId="68" applyFont="1" applyAlignment="1" applyProtection="1">
      <alignment vertical="center"/>
      <protection hidden="1"/>
    </xf>
    <xf numFmtId="177" fontId="99" fillId="0" borderId="0" xfId="80" applyNumberFormat="1" applyFont="1" applyFill="1" applyBorder="1" applyAlignment="1" applyProtection="1">
      <alignment vertical="center"/>
      <protection hidden="1"/>
    </xf>
    <xf numFmtId="0" fontId="0" fillId="0" borderId="0" xfId="1" applyFont="1" applyAlignment="1" applyProtection="1">
      <alignment vertical="center"/>
      <protection hidden="1"/>
    </xf>
    <xf numFmtId="177" fontId="100" fillId="0" borderId="11" xfId="1" applyNumberFormat="1" applyFont="1" applyBorder="1" applyAlignment="1" applyProtection="1">
      <alignment horizontal="center" vertical="center"/>
      <protection hidden="1"/>
    </xf>
    <xf numFmtId="0" fontId="17" fillId="36" borderId="7" xfId="60" applyFont="1" applyFill="1" applyBorder="1" applyAlignment="1">
      <alignment horizontal="right" wrapText="1"/>
    </xf>
    <xf numFmtId="0" fontId="0" fillId="36" borderId="0" xfId="0" applyFill="1"/>
    <xf numFmtId="0" fontId="0" fillId="0" borderId="0" xfId="0" applyAlignment="1">
      <alignment vertical="center"/>
    </xf>
    <xf numFmtId="0" fontId="101" fillId="36" borderId="0" xfId="68" applyFont="1" applyFill="1" applyAlignment="1" applyProtection="1">
      <alignment horizontal="right"/>
      <protection hidden="1"/>
    </xf>
    <xf numFmtId="0" fontId="26" fillId="0" borderId="0" xfId="68" applyFont="1" applyProtection="1">
      <protection hidden="1"/>
    </xf>
    <xf numFmtId="191" fontId="44" fillId="0" borderId="11" xfId="72" applyNumberFormat="1" applyFont="1" applyFill="1" applyBorder="1" applyAlignment="1" applyProtection="1">
      <alignment vertical="center" shrinkToFit="1"/>
      <protection hidden="1"/>
    </xf>
    <xf numFmtId="0" fontId="0" fillId="0" borderId="17" xfId="1" applyFont="1" applyBorder="1" applyProtection="1">
      <protection hidden="1"/>
    </xf>
    <xf numFmtId="0" fontId="17" fillId="41" borderId="11" xfId="1" applyFont="1" applyFill="1" applyBorder="1" applyAlignment="1" applyProtection="1">
      <alignment horizontal="center" vertical="center" wrapText="1"/>
      <protection hidden="1"/>
    </xf>
    <xf numFmtId="0" fontId="17" fillId="41" borderId="11" xfId="1" applyFont="1" applyFill="1" applyBorder="1" applyAlignment="1" applyProtection="1">
      <alignment vertical="center" wrapText="1"/>
      <protection hidden="1"/>
    </xf>
    <xf numFmtId="0" fontId="64" fillId="0" borderId="0" xfId="1" applyFont="1" applyAlignment="1" applyProtection="1">
      <alignment horizontal="center" vertical="center" shrinkToFit="1"/>
      <protection hidden="1"/>
    </xf>
    <xf numFmtId="0" fontId="44" fillId="0" borderId="0" xfId="1" applyFont="1" applyAlignment="1" applyProtection="1">
      <alignment horizontal="center" vertical="center" shrinkToFit="1"/>
      <protection hidden="1"/>
    </xf>
    <xf numFmtId="191" fontId="44" fillId="0" borderId="0" xfId="72" applyNumberFormat="1" applyFont="1" applyFill="1" applyBorder="1" applyAlignment="1" applyProtection="1">
      <alignment vertical="center" shrinkToFit="1"/>
      <protection hidden="1"/>
    </xf>
    <xf numFmtId="191" fontId="44" fillId="0" borderId="0" xfId="72" applyNumberFormat="1" applyFont="1" applyFill="1" applyBorder="1" applyAlignment="1">
      <alignment vertical="center" shrinkToFit="1"/>
    </xf>
    <xf numFmtId="0" fontId="18" fillId="46" borderId="11" xfId="72" applyNumberFormat="1" applyFont="1" applyFill="1" applyBorder="1" applyAlignment="1" applyProtection="1">
      <alignment horizontal="center" vertical="center" shrinkToFit="1"/>
      <protection hidden="1"/>
    </xf>
    <xf numFmtId="0" fontId="18" fillId="46" borderId="11" xfId="1" applyFont="1" applyFill="1" applyBorder="1" applyAlignment="1" applyProtection="1">
      <alignment horizontal="center" vertical="center" shrinkToFit="1"/>
      <protection hidden="1"/>
    </xf>
    <xf numFmtId="0" fontId="0" fillId="0" borderId="11" xfId="0" applyBorder="1" applyAlignment="1">
      <alignment wrapText="1"/>
    </xf>
    <xf numFmtId="197" fontId="15" fillId="46" borderId="11" xfId="72" applyNumberFormat="1" applyFont="1" applyFill="1" applyBorder="1" applyAlignment="1">
      <alignment horizontal="center" vertical="center"/>
    </xf>
    <xf numFmtId="177" fontId="0" fillId="0" borderId="11" xfId="0" applyNumberFormat="1" applyBorder="1" applyAlignment="1">
      <alignment wrapText="1"/>
    </xf>
    <xf numFmtId="0" fontId="69" fillId="0" borderId="0" xfId="66">
      <alignment vertical="center"/>
    </xf>
    <xf numFmtId="0" fontId="69" fillId="33" borderId="11" xfId="66" applyFill="1" applyBorder="1">
      <alignment vertical="center"/>
    </xf>
    <xf numFmtId="0" fontId="0" fillId="0" borderId="0" xfId="66" applyFont="1">
      <alignment vertical="center"/>
    </xf>
    <xf numFmtId="0" fontId="19" fillId="0" borderId="0" xfId="3" applyFont="1"/>
    <xf numFmtId="0" fontId="69" fillId="0" borderId="0" xfId="55">
      <alignment vertical="center"/>
    </xf>
    <xf numFmtId="0" fontId="20" fillId="0" borderId="11" xfId="3" applyFont="1" applyBorder="1" applyAlignment="1">
      <alignment horizontal="right"/>
    </xf>
    <xf numFmtId="0" fontId="19" fillId="41" borderId="11" xfId="3" applyFont="1" applyFill="1" applyBorder="1"/>
    <xf numFmtId="0" fontId="0" fillId="0" borderId="11" xfId="66" applyFont="1" applyBorder="1">
      <alignment vertical="center"/>
    </xf>
    <xf numFmtId="0" fontId="0" fillId="0" borderId="11" xfId="66" applyFont="1" applyBorder="1" applyAlignment="1">
      <alignment horizontal="center" vertical="center"/>
    </xf>
    <xf numFmtId="0" fontId="0" fillId="0" borderId="11" xfId="66" applyFont="1" applyBorder="1" applyAlignment="1">
      <alignment horizontal="right" vertical="center"/>
    </xf>
    <xf numFmtId="0" fontId="69" fillId="41" borderId="11" xfId="66" applyFill="1" applyBorder="1">
      <alignment vertical="center"/>
    </xf>
    <xf numFmtId="0" fontId="72" fillId="33" borderId="11" xfId="71" applyFill="1" applyBorder="1" applyAlignment="1">
      <alignment wrapText="1"/>
    </xf>
    <xf numFmtId="0" fontId="69" fillId="0" borderId="11" xfId="66" applyBorder="1">
      <alignment vertical="center"/>
    </xf>
    <xf numFmtId="0" fontId="69" fillId="0" borderId="13" xfId="66" applyBorder="1">
      <alignment vertical="center"/>
    </xf>
    <xf numFmtId="0" fontId="73" fillId="0" borderId="7" xfId="69" applyFont="1" applyBorder="1" applyAlignment="1">
      <alignment wrapText="1"/>
    </xf>
    <xf numFmtId="0" fontId="20" fillId="0" borderId="0" xfId="3" applyFont="1" applyAlignment="1">
      <alignment horizontal="right"/>
    </xf>
    <xf numFmtId="0" fontId="19" fillId="39" borderId="11" xfId="3" applyFont="1" applyFill="1" applyBorder="1"/>
    <xf numFmtId="0" fontId="20" fillId="0" borderId="0" xfId="3" applyFont="1" applyAlignment="1">
      <alignment horizontal="center"/>
    </xf>
    <xf numFmtId="0" fontId="20" fillId="34" borderId="11" xfId="3" applyFont="1" applyFill="1" applyBorder="1" applyAlignment="1">
      <alignment horizontal="center" vertical="center"/>
    </xf>
    <xf numFmtId="0" fontId="19" fillId="34" borderId="11" xfId="3" applyFont="1" applyFill="1" applyBorder="1" applyAlignment="1">
      <alignment horizontal="center" vertical="center"/>
    </xf>
    <xf numFmtId="10" fontId="19" fillId="34" borderId="11" xfId="3" applyNumberFormat="1" applyFont="1" applyFill="1" applyBorder="1" applyAlignment="1">
      <alignment horizontal="center" vertical="center"/>
    </xf>
    <xf numFmtId="0" fontId="73" fillId="0" borderId="0" xfId="3" applyFont="1" applyAlignment="1">
      <alignment horizontal="center"/>
    </xf>
    <xf numFmtId="0" fontId="73" fillId="0" borderId="0" xfId="62" applyFont="1" applyAlignment="1">
      <alignment horizontal="center"/>
    </xf>
    <xf numFmtId="0" fontId="73" fillId="0" borderId="0" xfId="62" applyFont="1" applyAlignment="1">
      <alignment horizontal="right" wrapText="1"/>
    </xf>
    <xf numFmtId="0" fontId="73" fillId="0" borderId="0" xfId="3" applyFont="1" applyAlignment="1">
      <alignment wrapText="1"/>
    </xf>
    <xf numFmtId="0" fontId="102" fillId="0" borderId="0" xfId="64" applyFont="1" applyAlignment="1">
      <alignment wrapText="1"/>
    </xf>
    <xf numFmtId="0" fontId="20" fillId="0" borderId="0" xfId="1" applyFont="1"/>
    <xf numFmtId="10" fontId="19" fillId="0" borderId="0" xfId="1" applyNumberFormat="1" applyFont="1"/>
    <xf numFmtId="0" fontId="102" fillId="0" borderId="0" xfId="64" applyFont="1" applyAlignment="1">
      <alignment horizontal="center"/>
    </xf>
    <xf numFmtId="0" fontId="94" fillId="0" borderId="11" xfId="52" applyBorder="1">
      <alignment vertical="center"/>
    </xf>
    <xf numFmtId="177" fontId="94" fillId="0" borderId="12" xfId="52" applyNumberFormat="1" applyBorder="1">
      <alignment vertical="center"/>
    </xf>
    <xf numFmtId="0" fontId="94" fillId="0" borderId="0" xfId="52">
      <alignment vertical="center"/>
    </xf>
    <xf numFmtId="0" fontId="94" fillId="0" borderId="11" xfId="52" applyBorder="1" applyAlignment="1">
      <alignment horizontal="center" vertical="center"/>
    </xf>
    <xf numFmtId="10" fontId="94" fillId="0" borderId="11" xfId="52" applyNumberFormat="1" applyBorder="1">
      <alignment vertical="center"/>
    </xf>
    <xf numFmtId="177" fontId="94" fillId="0" borderId="11" xfId="52" applyNumberFormat="1" applyBorder="1" applyAlignment="1">
      <alignment horizontal="right" vertical="center"/>
    </xf>
    <xf numFmtId="177" fontId="94" fillId="0" borderId="11" xfId="52" applyNumberFormat="1" applyBorder="1">
      <alignment vertical="center"/>
    </xf>
    <xf numFmtId="10" fontId="94" fillId="38" borderId="11" xfId="52" applyNumberFormat="1" applyFill="1" applyBorder="1" applyAlignment="1">
      <alignment horizontal="right" vertical="center"/>
    </xf>
    <xf numFmtId="0" fontId="94" fillId="38" borderId="11" xfId="52" applyFill="1" applyBorder="1" applyAlignment="1">
      <alignment horizontal="center" vertical="center"/>
    </xf>
    <xf numFmtId="0" fontId="94" fillId="0" borderId="0" xfId="52" applyAlignment="1">
      <alignment horizontal="center" vertical="center"/>
    </xf>
    <xf numFmtId="194" fontId="94" fillId="0" borderId="11" xfId="52" applyNumberFormat="1" applyBorder="1">
      <alignment vertical="center"/>
    </xf>
    <xf numFmtId="0" fontId="94" fillId="33" borderId="11" xfId="52" applyFill="1" applyBorder="1">
      <alignment vertical="center"/>
    </xf>
    <xf numFmtId="194" fontId="94" fillId="47" borderId="11" xfId="52" applyNumberFormat="1" applyFill="1" applyBorder="1" applyAlignment="1">
      <alignment horizontal="center" vertical="center"/>
    </xf>
    <xf numFmtId="198" fontId="94" fillId="38" borderId="11" xfId="52" applyNumberFormat="1" applyFill="1" applyBorder="1">
      <alignment vertical="center"/>
    </xf>
    <xf numFmtId="194" fontId="94" fillId="47" borderId="11" xfId="52" applyNumberFormat="1" applyFill="1" applyBorder="1">
      <alignment vertical="center"/>
    </xf>
    <xf numFmtId="177" fontId="94" fillId="38" borderId="11" xfId="52" applyNumberFormat="1" applyFill="1" applyBorder="1">
      <alignment vertical="center"/>
    </xf>
    <xf numFmtId="199" fontId="94" fillId="0" borderId="11" xfId="52" applyNumberFormat="1" applyBorder="1">
      <alignment vertical="center"/>
    </xf>
    <xf numFmtId="196" fontId="94" fillId="0" borderId="11" xfId="52" applyNumberFormat="1" applyBorder="1">
      <alignment vertical="center"/>
    </xf>
    <xf numFmtId="195" fontId="94" fillId="0" borderId="11" xfId="52" applyNumberFormat="1" applyBorder="1">
      <alignment vertical="center"/>
    </xf>
    <xf numFmtId="0" fontId="55" fillId="0" borderId="0" xfId="68" applyFont="1" applyAlignment="1" applyProtection="1">
      <alignment horizontal="left" vertical="center"/>
      <protection hidden="1"/>
    </xf>
    <xf numFmtId="0" fontId="55" fillId="0" borderId="17" xfId="68" applyFont="1" applyBorder="1" applyAlignment="1" applyProtection="1">
      <alignment horizontal="left" vertical="center"/>
      <protection hidden="1"/>
    </xf>
    <xf numFmtId="0" fontId="21" fillId="0" borderId="17" xfId="68" applyFont="1" applyBorder="1" applyAlignment="1" applyProtection="1">
      <alignment vertical="center"/>
      <protection hidden="1"/>
    </xf>
    <xf numFmtId="0" fontId="30" fillId="0" borderId="17" xfId="68" applyFont="1" applyBorder="1" applyAlignment="1" applyProtection="1">
      <alignment horizontal="center" vertical="center" shrinkToFit="1"/>
      <protection hidden="1"/>
    </xf>
    <xf numFmtId="0" fontId="30" fillId="0" borderId="17" xfId="68" applyFont="1" applyBorder="1" applyAlignment="1" applyProtection="1">
      <alignment horizontal="right" vertical="center" wrapText="1"/>
      <protection hidden="1"/>
    </xf>
    <xf numFmtId="0" fontId="0" fillId="39" borderId="11" xfId="0" applyFill="1" applyBorder="1"/>
    <xf numFmtId="0" fontId="49" fillId="39" borderId="11" xfId="0" applyFont="1" applyFill="1" applyBorder="1" applyAlignment="1">
      <alignment horizontal="center" vertical="center" wrapText="1"/>
    </xf>
    <xf numFmtId="0" fontId="0" fillId="39" borderId="11" xfId="0" applyFill="1" applyBorder="1" applyAlignment="1">
      <alignment wrapText="1"/>
    </xf>
    <xf numFmtId="191" fontId="44" fillId="0" borderId="0" xfId="72" applyNumberFormat="1" applyFont="1" applyFill="1" applyBorder="1" applyAlignment="1" applyProtection="1">
      <alignment horizontal="center" vertical="center" shrinkToFit="1"/>
      <protection hidden="1"/>
    </xf>
    <xf numFmtId="10" fontId="94" fillId="33" borderId="11" xfId="52" applyNumberFormat="1" applyFill="1" applyBorder="1" applyAlignment="1">
      <alignment horizontal="center" vertical="center"/>
    </xf>
    <xf numFmtId="10" fontId="94" fillId="0" borderId="11" xfId="52" applyNumberFormat="1" applyBorder="1" applyAlignment="1">
      <alignment horizontal="center" vertical="center"/>
    </xf>
    <xf numFmtId="0" fontId="21" fillId="0" borderId="0" xfId="65" quotePrefix="1">
      <alignment vertical="center"/>
    </xf>
    <xf numFmtId="38" fontId="44" fillId="0" borderId="11" xfId="72" applyNumberFormat="1" applyFont="1" applyFill="1" applyBorder="1" applyAlignment="1" applyProtection="1">
      <alignment vertical="center" shrinkToFit="1"/>
      <protection hidden="1"/>
    </xf>
    <xf numFmtId="38" fontId="44" fillId="0" borderId="11" xfId="72" applyNumberFormat="1" applyFont="1" applyFill="1" applyBorder="1" applyAlignment="1">
      <alignment vertical="center" shrinkToFit="1"/>
    </xf>
    <xf numFmtId="38" fontId="44" fillId="0" borderId="11" xfId="1" applyNumberFormat="1" applyFont="1" applyBorder="1" applyAlignment="1" applyProtection="1">
      <alignment vertical="center" shrinkToFit="1"/>
      <protection hidden="1"/>
    </xf>
    <xf numFmtId="38" fontId="44" fillId="0" borderId="11" xfId="0" applyNumberFormat="1" applyFont="1" applyBorder="1"/>
    <xf numFmtId="192" fontId="94" fillId="33" borderId="11" xfId="52" applyNumberFormat="1" applyFill="1" applyBorder="1">
      <alignment vertical="center"/>
    </xf>
    <xf numFmtId="192" fontId="94" fillId="0" borderId="11" xfId="52" applyNumberFormat="1" applyBorder="1">
      <alignment vertical="center"/>
    </xf>
    <xf numFmtId="0" fontId="94" fillId="33" borderId="11" xfId="52" applyFill="1" applyBorder="1" applyAlignment="1">
      <alignment horizontal="center" vertical="center"/>
    </xf>
    <xf numFmtId="201" fontId="94" fillId="0" borderId="0" xfId="52" applyNumberFormat="1">
      <alignment vertical="center"/>
    </xf>
    <xf numFmtId="0" fontId="94" fillId="44" borderId="11" xfId="52" applyFill="1" applyBorder="1">
      <alignment vertical="center"/>
    </xf>
    <xf numFmtId="0" fontId="104" fillId="0" borderId="0" xfId="80" applyFont="1" applyFill="1" applyBorder="1" applyAlignment="1" applyProtection="1">
      <alignment horizontal="center" vertical="center"/>
      <protection hidden="1"/>
    </xf>
    <xf numFmtId="0" fontId="105" fillId="0" borderId="0" xfId="80" applyFont="1" applyFill="1" applyBorder="1" applyAlignment="1" applyProtection="1">
      <alignment horizontal="center" vertical="center"/>
      <protection hidden="1"/>
    </xf>
    <xf numFmtId="0" fontId="104" fillId="0" borderId="0" xfId="80" applyFont="1" applyFill="1" applyBorder="1" applyAlignment="1" applyProtection="1">
      <alignment horizontal="right" vertical="center"/>
      <protection hidden="1"/>
    </xf>
    <xf numFmtId="191" fontId="44" fillId="0" borderId="0" xfId="72" applyNumberFormat="1" applyFont="1" applyFill="1" applyBorder="1" applyAlignment="1" applyProtection="1">
      <alignment horizontal="center" vertical="center"/>
      <protection hidden="1"/>
    </xf>
    <xf numFmtId="0" fontId="107" fillId="0" borderId="0" xfId="55" applyFont="1">
      <alignment vertical="center"/>
    </xf>
    <xf numFmtId="191" fontId="49" fillId="0" borderId="0" xfId="72" applyNumberFormat="1" applyFont="1" applyFill="1" applyBorder="1" applyAlignment="1" applyProtection="1">
      <alignment vertical="center"/>
      <protection hidden="1"/>
    </xf>
    <xf numFmtId="177" fontId="44" fillId="0" borderId="0" xfId="0" applyNumberFormat="1" applyFont="1"/>
    <xf numFmtId="40" fontId="44" fillId="33" borderId="11" xfId="0" applyNumberFormat="1" applyFont="1" applyFill="1" applyBorder="1"/>
    <xf numFmtId="0" fontId="21" fillId="0" borderId="0" xfId="0" applyFont="1" applyAlignment="1">
      <alignment vertical="center"/>
    </xf>
    <xf numFmtId="187" fontId="21" fillId="0" borderId="0" xfId="0" applyNumberFormat="1" applyFont="1" applyAlignment="1">
      <alignment vertical="center"/>
    </xf>
    <xf numFmtId="177" fontId="21" fillId="0" borderId="0" xfId="65" applyNumberFormat="1">
      <alignment vertical="center"/>
    </xf>
    <xf numFmtId="187" fontId="0" fillId="0" borderId="0" xfId="0" applyNumberFormat="1" applyAlignment="1">
      <alignment vertical="center"/>
    </xf>
    <xf numFmtId="0" fontId="0" fillId="0" borderId="0" xfId="0" applyAlignment="1">
      <alignment vertical="center" wrapText="1"/>
    </xf>
    <xf numFmtId="191" fontId="44" fillId="0" borderId="0" xfId="72" applyNumberFormat="1" applyFont="1" applyFill="1" applyBorder="1" applyAlignment="1" applyProtection="1">
      <alignment vertical="center" wrapText="1"/>
      <protection hidden="1"/>
    </xf>
    <xf numFmtId="0" fontId="0" fillId="0" borderId="0" xfId="0" applyAlignment="1">
      <alignment horizontal="center" vertical="center" shrinkToFit="1"/>
    </xf>
    <xf numFmtId="191" fontId="44" fillId="0" borderId="0" xfId="72" applyNumberFormat="1" applyFont="1" applyFill="1" applyBorder="1" applyAlignment="1" applyProtection="1">
      <alignment horizontal="center" vertical="center" wrapText="1" shrinkToFit="1"/>
      <protection hidden="1"/>
    </xf>
    <xf numFmtId="191" fontId="44" fillId="0" borderId="0" xfId="72" applyNumberFormat="1" applyFont="1" applyFill="1" applyBorder="1" applyAlignment="1" applyProtection="1">
      <alignment vertical="center" wrapText="1" shrinkToFit="1"/>
      <protection hidden="1"/>
    </xf>
    <xf numFmtId="0" fontId="0" fillId="41" borderId="11" xfId="0" applyFill="1" applyBorder="1"/>
    <xf numFmtId="0" fontId="110" fillId="0" borderId="0" xfId="1" applyFont="1"/>
    <xf numFmtId="0" fontId="102" fillId="0" borderId="7" xfId="60" applyFont="1" applyBorder="1" applyAlignment="1">
      <alignment horizontal="right" wrapText="1"/>
    </xf>
    <xf numFmtId="0" fontId="110" fillId="0" borderId="0" xfId="0" applyFont="1"/>
    <xf numFmtId="0" fontId="102" fillId="36" borderId="7" xfId="60" applyFont="1" applyFill="1" applyBorder="1" applyAlignment="1">
      <alignment horizontal="right" wrapText="1"/>
    </xf>
    <xf numFmtId="0" fontId="102" fillId="0" borderId="7" xfId="63" applyFont="1" applyBorder="1" applyAlignment="1">
      <alignment horizontal="right" wrapText="1"/>
    </xf>
    <xf numFmtId="0" fontId="21" fillId="43" borderId="0" xfId="0" applyFont="1" applyFill="1" applyAlignment="1">
      <alignment vertical="center"/>
    </xf>
    <xf numFmtId="0" fontId="42" fillId="0" borderId="0" xfId="68" applyFont="1" applyAlignment="1" applyProtection="1">
      <alignment horizontal="center" vertical="center"/>
      <protection hidden="1"/>
    </xf>
    <xf numFmtId="0" fontId="19" fillId="0" borderId="22" xfId="68" applyFont="1" applyBorder="1" applyAlignment="1" applyProtection="1">
      <alignment horizontal="center" vertical="center"/>
      <protection hidden="1"/>
    </xf>
    <xf numFmtId="0" fontId="21" fillId="0" borderId="12" xfId="65" applyBorder="1" applyAlignment="1">
      <alignment horizontal="center" vertical="center"/>
    </xf>
    <xf numFmtId="0" fontId="19" fillId="0" borderId="0" xfId="1" applyFont="1" applyAlignment="1">
      <alignment horizontal="right"/>
    </xf>
    <xf numFmtId="0" fontId="47" fillId="0" borderId="22" xfId="1" applyFont="1" applyBorder="1" applyAlignment="1" applyProtection="1">
      <alignment horizontal="right"/>
      <protection hidden="1"/>
    </xf>
    <xf numFmtId="0" fontId="17" fillId="46" borderId="11" xfId="1" applyFont="1" applyFill="1" applyBorder="1" applyAlignment="1" applyProtection="1">
      <alignment vertical="center" wrapText="1"/>
      <protection hidden="1"/>
    </xf>
    <xf numFmtId="0" fontId="17" fillId="39" borderId="11" xfId="1" applyFont="1" applyFill="1" applyBorder="1" applyAlignment="1" applyProtection="1">
      <alignment vertical="center" wrapText="1"/>
      <protection hidden="1"/>
    </xf>
    <xf numFmtId="0" fontId="0" fillId="46" borderId="11" xfId="0" applyFill="1" applyBorder="1"/>
    <xf numFmtId="0" fontId="17" fillId="41" borderId="12" xfId="1" applyFont="1" applyFill="1" applyBorder="1" applyAlignment="1" applyProtection="1">
      <alignment vertical="center" wrapText="1"/>
      <protection hidden="1"/>
    </xf>
    <xf numFmtId="0" fontId="49" fillId="43" borderId="11" xfId="84" applyFont="1" applyFill="1" applyBorder="1" applyAlignment="1" applyProtection="1">
      <alignment horizontal="center" vertical="center" wrapText="1"/>
      <protection hidden="1"/>
    </xf>
    <xf numFmtId="0" fontId="95" fillId="34" borderId="11" xfId="65" applyFont="1" applyFill="1" applyBorder="1">
      <alignment vertical="center"/>
    </xf>
    <xf numFmtId="0" fontId="95" fillId="41" borderId="11" xfId="65" applyFont="1" applyFill="1" applyBorder="1">
      <alignment vertical="center"/>
    </xf>
    <xf numFmtId="0" fontId="95" fillId="37" borderId="11" xfId="65" applyFont="1" applyFill="1" applyBorder="1">
      <alignment vertical="center"/>
    </xf>
    <xf numFmtId="0" fontId="95" fillId="46" borderId="11" xfId="65" applyFont="1" applyFill="1" applyBorder="1">
      <alignment vertical="center"/>
    </xf>
    <xf numFmtId="0" fontId="95" fillId="49" borderId="11" xfId="65" applyFont="1" applyFill="1" applyBorder="1">
      <alignment vertical="center"/>
    </xf>
    <xf numFmtId="0" fontId="113" fillId="36" borderId="0" xfId="68" applyFont="1" applyFill="1" applyAlignment="1" applyProtection="1">
      <alignment horizontal="center" vertical="center" shrinkToFit="1"/>
      <protection hidden="1"/>
    </xf>
    <xf numFmtId="0" fontId="95" fillId="0" borderId="0" xfId="68" applyFont="1" applyAlignment="1" applyProtection="1">
      <alignment horizontal="left" vertical="center"/>
      <protection hidden="1"/>
    </xf>
    <xf numFmtId="0" fontId="58" fillId="0" borderId="0" xfId="68" applyFont="1" applyAlignment="1" applyProtection="1">
      <alignment horizontal="right" vertical="center"/>
      <protection hidden="1"/>
    </xf>
    <xf numFmtId="0" fontId="118" fillId="0" borderId="15" xfId="68" applyFont="1" applyBorder="1" applyAlignment="1" applyProtection="1">
      <alignment horizontal="right" vertical="center"/>
      <protection hidden="1"/>
    </xf>
    <xf numFmtId="0" fontId="58" fillId="0" borderId="0" xfId="68" applyFont="1" applyAlignment="1" applyProtection="1">
      <alignment vertical="center"/>
      <protection hidden="1"/>
    </xf>
    <xf numFmtId="0" fontId="110" fillId="0" borderId="0" xfId="0" applyFont="1" applyAlignment="1">
      <alignment vertical="center" wrapText="1"/>
    </xf>
    <xf numFmtId="0" fontId="110" fillId="0" borderId="0" xfId="0" applyFont="1" applyAlignment="1">
      <alignment vertical="center"/>
    </xf>
    <xf numFmtId="0" fontId="17" fillId="0" borderId="0" xfId="1" applyFont="1" applyAlignment="1" applyProtection="1">
      <alignment horizontal="center" vertical="center" wrapText="1"/>
      <protection hidden="1"/>
    </xf>
    <xf numFmtId="0" fontId="17" fillId="0" borderId="0" xfId="1" applyFont="1" applyAlignment="1" applyProtection="1">
      <alignment vertical="center" wrapText="1"/>
      <protection hidden="1"/>
    </xf>
    <xf numFmtId="191" fontId="49" fillId="0" borderId="0" xfId="72" applyNumberFormat="1" applyFont="1" applyFill="1" applyBorder="1" applyAlignment="1" applyProtection="1">
      <alignment horizontal="center" vertical="center" shrinkToFit="1"/>
      <protection hidden="1"/>
    </xf>
    <xf numFmtId="0" fontId="109" fillId="0" borderId="0" xfId="0" applyFont="1" applyAlignment="1" applyProtection="1">
      <alignment horizontal="center" vertical="center"/>
      <protection hidden="1"/>
    </xf>
    <xf numFmtId="0" fontId="109" fillId="0" borderId="0" xfId="0" applyFont="1" applyAlignment="1" applyProtection="1">
      <alignment horizontal="center" vertical="center" shrinkToFit="1"/>
      <protection hidden="1"/>
    </xf>
    <xf numFmtId="191" fontId="17" fillId="0" borderId="0" xfId="1" applyNumberFormat="1" applyFont="1" applyAlignment="1" applyProtection="1">
      <alignment horizontal="center" vertical="center" wrapText="1"/>
      <protection hidden="1"/>
    </xf>
    <xf numFmtId="0" fontId="49" fillId="0" borderId="0" xfId="0" applyFont="1" applyAlignment="1" applyProtection="1">
      <alignment horizontal="center" vertical="center" wrapText="1"/>
      <protection hidden="1"/>
    </xf>
    <xf numFmtId="191" fontId="49" fillId="0" borderId="0" xfId="0" applyNumberFormat="1" applyFont="1" applyAlignment="1" applyProtection="1">
      <alignment horizontal="center" vertical="center" wrapText="1"/>
      <protection hidden="1"/>
    </xf>
    <xf numFmtId="191" fontId="49" fillId="0" borderId="0" xfId="72" applyNumberFormat="1" applyFont="1" applyFill="1" applyBorder="1" applyAlignment="1" applyProtection="1">
      <alignment horizontal="center" vertical="center"/>
      <protection hidden="1"/>
    </xf>
    <xf numFmtId="0" fontId="0" fillId="0" borderId="0" xfId="0" applyAlignment="1">
      <alignment horizontal="center" vertical="center"/>
    </xf>
    <xf numFmtId="187" fontId="110" fillId="0" borderId="0" xfId="0" applyNumberFormat="1" applyFont="1" applyAlignment="1">
      <alignment vertical="center" wrapText="1"/>
    </xf>
    <xf numFmtId="0" fontId="109" fillId="0" borderId="0" xfId="0" applyFont="1" applyAlignment="1" applyProtection="1">
      <alignment horizontal="center" vertical="center" wrapText="1" shrinkToFit="1"/>
      <protection hidden="1"/>
    </xf>
    <xf numFmtId="191" fontId="17" fillId="0" borderId="0" xfId="1" applyNumberFormat="1" applyFont="1" applyAlignment="1" applyProtection="1">
      <alignment horizontal="center" vertical="center"/>
      <protection hidden="1"/>
    </xf>
    <xf numFmtId="0" fontId="17" fillId="0" borderId="0" xfId="1" applyFont="1" applyAlignment="1" applyProtection="1">
      <alignment horizontal="center" vertical="center"/>
      <protection hidden="1"/>
    </xf>
    <xf numFmtId="0" fontId="39" fillId="0" borderId="0" xfId="68" applyFont="1" applyAlignment="1" applyProtection="1">
      <alignment horizontal="left" vertical="center"/>
      <protection hidden="1"/>
    </xf>
    <xf numFmtId="0" fontId="39" fillId="25" borderId="0" xfId="68" applyFont="1" applyFill="1" applyAlignment="1" applyProtection="1">
      <alignment horizontal="center" vertical="center" wrapText="1"/>
      <protection hidden="1"/>
    </xf>
    <xf numFmtId="0" fontId="58" fillId="0" borderId="15" xfId="68" applyFont="1" applyBorder="1" applyAlignment="1" applyProtection="1">
      <alignment horizontal="center" vertical="center"/>
      <protection hidden="1"/>
    </xf>
    <xf numFmtId="0" fontId="95" fillId="0" borderId="0" xfId="68" applyFont="1" applyAlignment="1" applyProtection="1">
      <alignment horizontal="right" vertical="center"/>
      <protection hidden="1"/>
    </xf>
    <xf numFmtId="0" fontId="104" fillId="0" borderId="0" xfId="68" applyFont="1" applyAlignment="1" applyProtection="1">
      <alignment vertical="center"/>
      <protection hidden="1"/>
    </xf>
    <xf numFmtId="0" fontId="58" fillId="0" borderId="0" xfId="68" applyFont="1" applyAlignment="1" applyProtection="1">
      <alignment horizontal="left" vertical="center"/>
      <protection hidden="1"/>
    </xf>
    <xf numFmtId="0" fontId="0" fillId="0" borderId="15" xfId="0" applyBorder="1"/>
    <xf numFmtId="0" fontId="0" fillId="39" borderId="11" xfId="0" applyFill="1" applyBorder="1" applyAlignment="1">
      <alignment vertical="center" wrapText="1"/>
    </xf>
    <xf numFmtId="0" fontId="125" fillId="31" borderId="18" xfId="63" applyFont="1" applyFill="1" applyBorder="1" applyAlignment="1">
      <alignment horizontal="center"/>
    </xf>
    <xf numFmtId="0" fontId="125" fillId="0" borderId="7" xfId="63" applyFont="1" applyBorder="1" applyAlignment="1">
      <alignment wrapText="1"/>
    </xf>
    <xf numFmtId="0" fontId="126" fillId="0" borderId="0" xfId="0" applyFont="1"/>
    <xf numFmtId="0" fontId="125" fillId="0" borderId="7" xfId="60" applyFont="1" applyBorder="1" applyAlignment="1">
      <alignment horizontal="right" wrapText="1"/>
    </xf>
    <xf numFmtId="0" fontId="126" fillId="36" borderId="0" xfId="0" applyFont="1" applyFill="1"/>
    <xf numFmtId="0" fontId="127" fillId="0" borderId="0" xfId="55" applyFont="1">
      <alignment vertical="center"/>
    </xf>
    <xf numFmtId="0" fontId="63" fillId="31" borderId="18" xfId="70" applyFont="1" applyFill="1" applyBorder="1" applyAlignment="1">
      <alignment horizontal="center"/>
    </xf>
    <xf numFmtId="0" fontId="63" fillId="0" borderId="7" xfId="70" applyFont="1" applyBorder="1" applyAlignment="1">
      <alignment wrapText="1"/>
    </xf>
    <xf numFmtId="0" fontId="39" fillId="0" borderId="0" xfId="0" applyFont="1" applyAlignment="1">
      <alignment horizontal="right" vertical="center"/>
    </xf>
    <xf numFmtId="0" fontId="112" fillId="0" borderId="0" xfId="68" applyFont="1" applyAlignment="1" applyProtection="1">
      <alignment horizontal="right" vertical="center"/>
      <protection hidden="1"/>
    </xf>
    <xf numFmtId="0" fontId="128" fillId="0" borderId="0" xfId="68" applyFont="1" applyAlignment="1" applyProtection="1">
      <alignment horizontal="left" vertical="center"/>
      <protection hidden="1"/>
    </xf>
    <xf numFmtId="0" fontId="26" fillId="0" borderId="24" xfId="68" applyFont="1" applyBorder="1" applyProtection="1">
      <protection hidden="1"/>
    </xf>
    <xf numFmtId="0" fontId="41" fillId="0" borderId="24" xfId="68" applyFont="1" applyBorder="1" applyAlignment="1" applyProtection="1">
      <alignment vertical="center"/>
      <protection hidden="1"/>
    </xf>
    <xf numFmtId="0" fontId="42" fillId="0" borderId="24" xfId="68" applyFont="1" applyBorder="1" applyAlignment="1" applyProtection="1">
      <alignment vertical="center"/>
      <protection hidden="1"/>
    </xf>
    <xf numFmtId="0" fontId="42" fillId="0" borderId="24" xfId="68" applyFont="1" applyBorder="1" applyAlignment="1" applyProtection="1">
      <alignment horizontal="center" vertical="center"/>
      <protection hidden="1"/>
    </xf>
    <xf numFmtId="0" fontId="21" fillId="0" borderId="24" xfId="68" applyFont="1" applyBorder="1" applyAlignment="1" applyProtection="1">
      <alignment vertical="center"/>
      <protection hidden="1"/>
    </xf>
    <xf numFmtId="0" fontId="27" fillId="0" borderId="24" xfId="68" applyFont="1" applyBorder="1" applyAlignment="1" applyProtection="1">
      <alignment horizontal="center" vertical="center"/>
      <protection hidden="1"/>
    </xf>
    <xf numFmtId="0" fontId="39" fillId="0" borderId="24" xfId="68" applyFont="1" applyBorder="1" applyAlignment="1" applyProtection="1">
      <alignment horizontal="right" vertical="center"/>
      <protection hidden="1"/>
    </xf>
    <xf numFmtId="0" fontId="27" fillId="0" borderId="26" xfId="68" applyFont="1" applyBorder="1" applyAlignment="1" applyProtection="1">
      <alignment horizontal="center" vertical="center"/>
      <protection hidden="1"/>
    </xf>
    <xf numFmtId="0" fontId="39" fillId="0" borderId="24" xfId="68" applyFont="1" applyBorder="1" applyAlignment="1" applyProtection="1">
      <alignment horizontal="center" vertical="center"/>
      <protection hidden="1"/>
    </xf>
    <xf numFmtId="0" fontId="39" fillId="0" borderId="24" xfId="68" applyFont="1" applyBorder="1" applyAlignment="1" applyProtection="1">
      <alignment vertical="center"/>
      <protection hidden="1"/>
    </xf>
    <xf numFmtId="0" fontId="27" fillId="0" borderId="27" xfId="68" applyFont="1" applyBorder="1" applyAlignment="1" applyProtection="1">
      <alignment horizontal="center" vertical="center"/>
      <protection hidden="1"/>
    </xf>
    <xf numFmtId="0" fontId="27" fillId="0" borderId="24" xfId="68" applyFont="1" applyBorder="1" applyAlignment="1" applyProtection="1">
      <alignment horizontal="right" vertical="center"/>
      <protection hidden="1"/>
    </xf>
    <xf numFmtId="0" fontId="40" fillId="0" borderId="24" xfId="68" applyFont="1" applyBorder="1" applyAlignment="1" applyProtection="1">
      <alignment vertical="center"/>
      <protection hidden="1"/>
    </xf>
    <xf numFmtId="49" fontId="27" fillId="0" borderId="27" xfId="68" applyNumberFormat="1" applyFont="1" applyBorder="1" applyAlignment="1" applyProtection="1">
      <alignment horizontal="left" vertical="center"/>
      <protection hidden="1"/>
    </xf>
    <xf numFmtId="49" fontId="27" fillId="0" borderId="24" xfId="68" applyNumberFormat="1" applyFont="1" applyBorder="1" applyAlignment="1" applyProtection="1">
      <alignment horizontal="left" vertical="center"/>
      <protection hidden="1"/>
    </xf>
    <xf numFmtId="0" fontId="0" fillId="0" borderId="24" xfId="0" applyBorder="1"/>
    <xf numFmtId="0" fontId="26" fillId="0" borderId="28" xfId="68" applyFont="1" applyBorder="1" applyProtection="1">
      <protection hidden="1"/>
    </xf>
    <xf numFmtId="0" fontId="36" fillId="25" borderId="28" xfId="68" applyFont="1" applyFill="1" applyBorder="1" applyAlignment="1" applyProtection="1">
      <alignment horizontal="center" vertical="center"/>
      <protection hidden="1"/>
    </xf>
    <xf numFmtId="0" fontId="19" fillId="0" borderId="28" xfId="68" applyFont="1" applyBorder="1" applyAlignment="1" applyProtection="1">
      <alignment horizontal="center" vertical="center"/>
      <protection hidden="1"/>
    </xf>
    <xf numFmtId="0" fontId="31" fillId="0" borderId="28" xfId="68" applyFont="1" applyBorder="1" applyAlignment="1" applyProtection="1">
      <alignment horizontal="right" vertical="center"/>
      <protection hidden="1"/>
    </xf>
    <xf numFmtId="0" fontId="19" fillId="0" borderId="30" xfId="68" applyFont="1" applyBorder="1" applyAlignment="1" applyProtection="1">
      <alignment horizontal="center" vertical="center"/>
      <protection hidden="1"/>
    </xf>
    <xf numFmtId="0" fontId="33" fillId="0" borderId="28" xfId="68" applyFont="1" applyBorder="1" applyAlignment="1" applyProtection="1">
      <alignment horizontal="center" vertical="center" wrapText="1"/>
      <protection hidden="1"/>
    </xf>
    <xf numFmtId="0" fontId="21" fillId="0" borderId="28" xfId="68" applyFont="1" applyBorder="1" applyAlignment="1" applyProtection="1">
      <alignment vertical="center"/>
      <protection hidden="1"/>
    </xf>
    <xf numFmtId="0" fontId="30" fillId="0" borderId="28" xfId="68" applyFont="1" applyBorder="1" applyAlignment="1" applyProtection="1">
      <alignment vertical="center" wrapText="1"/>
      <protection hidden="1"/>
    </xf>
    <xf numFmtId="0" fontId="30" fillId="0" borderId="31" xfId="68" applyFont="1" applyBorder="1" applyAlignment="1" applyProtection="1">
      <alignment horizontal="right" vertical="center" wrapText="1"/>
      <protection hidden="1"/>
    </xf>
    <xf numFmtId="0" fontId="30" fillId="0" borderId="30" xfId="68" applyFont="1" applyBorder="1" applyAlignment="1" applyProtection="1">
      <alignment horizontal="right" vertical="center" wrapText="1"/>
      <protection hidden="1"/>
    </xf>
    <xf numFmtId="0" fontId="36" fillId="0" borderId="28" xfId="68" applyFont="1" applyBorder="1" applyAlignment="1" applyProtection="1">
      <alignment horizontal="center" vertical="center"/>
      <protection hidden="1"/>
    </xf>
    <xf numFmtId="0" fontId="30" fillId="0" borderId="28" xfId="68" applyFont="1" applyBorder="1" applyAlignment="1" applyProtection="1">
      <alignment horizontal="right" vertical="center" wrapText="1"/>
      <protection hidden="1"/>
    </xf>
    <xf numFmtId="0" fontId="19" fillId="0" borderId="31" xfId="68" applyFont="1" applyBorder="1" applyAlignment="1" applyProtection="1">
      <alignment horizontal="center" vertical="center"/>
      <protection hidden="1"/>
    </xf>
    <xf numFmtId="0" fontId="36" fillId="0" borderId="31" xfId="68" applyFont="1" applyBorder="1" applyAlignment="1" applyProtection="1">
      <alignment horizontal="center" vertical="center"/>
      <protection hidden="1"/>
    </xf>
    <xf numFmtId="0" fontId="0" fillId="0" borderId="28" xfId="0" applyBorder="1"/>
    <xf numFmtId="0" fontId="95" fillId="0" borderId="28" xfId="0" applyFont="1" applyBorder="1" applyAlignment="1">
      <alignment horizontal="right"/>
    </xf>
    <xf numFmtId="0" fontId="0" fillId="0" borderId="27" xfId="0" applyBorder="1"/>
    <xf numFmtId="0" fontId="0" fillId="0" borderId="31" xfId="0" applyBorder="1"/>
    <xf numFmtId="193" fontId="39" fillId="36" borderId="0" xfId="1" applyNumberFormat="1" applyFont="1" applyFill="1" applyAlignment="1" applyProtection="1">
      <alignment horizontal="right" vertical="center"/>
      <protection hidden="1"/>
    </xf>
    <xf numFmtId="0" fontId="130" fillId="25" borderId="0" xfId="68" applyFont="1" applyFill="1" applyAlignment="1" applyProtection="1">
      <alignment vertical="center"/>
      <protection hidden="1"/>
    </xf>
    <xf numFmtId="0" fontId="21" fillId="0" borderId="29" xfId="65" applyBorder="1" applyAlignment="1">
      <alignment horizontal="center" vertical="center"/>
    </xf>
    <xf numFmtId="176" fontId="21" fillId="0" borderId="29" xfId="65" applyNumberFormat="1" applyBorder="1" applyAlignment="1">
      <alignment horizontal="center" vertical="center"/>
    </xf>
    <xf numFmtId="0" fontId="21" fillId="0" borderId="29" xfId="65" applyBorder="1">
      <alignment vertical="center"/>
    </xf>
    <xf numFmtId="0" fontId="21" fillId="0" borderId="0" xfId="0" applyFont="1" applyAlignment="1">
      <alignment horizontal="center" vertical="center"/>
    </xf>
    <xf numFmtId="14" fontId="21" fillId="0" borderId="0" xfId="0" applyNumberFormat="1" applyFont="1" applyAlignment="1">
      <alignment horizontal="center" vertical="center"/>
    </xf>
    <xf numFmtId="177" fontId="21" fillId="0" borderId="0" xfId="0" applyNumberFormat="1" applyFont="1" applyAlignment="1">
      <alignment vertical="center"/>
    </xf>
    <xf numFmtId="0" fontId="131" fillId="0" borderId="0" xfId="65" applyFont="1">
      <alignment vertical="center"/>
    </xf>
    <xf numFmtId="0" fontId="58" fillId="0" borderId="15" xfId="68" applyFont="1" applyBorder="1" applyAlignment="1" applyProtection="1">
      <alignment horizontal="left" vertical="center" wrapText="1"/>
      <protection hidden="1"/>
    </xf>
    <xf numFmtId="49" fontId="0" fillId="0" borderId="0" xfId="0" applyNumberFormat="1" applyAlignment="1">
      <alignment horizontal="center" vertical="center"/>
    </xf>
    <xf numFmtId="177" fontId="0" fillId="52" borderId="29" xfId="0" applyNumberFormat="1" applyFill="1" applyBorder="1" applyAlignment="1">
      <alignment vertical="center"/>
    </xf>
    <xf numFmtId="0" fontId="0" fillId="52" borderId="29" xfId="0" applyFill="1" applyBorder="1" applyAlignment="1">
      <alignment vertical="center"/>
    </xf>
    <xf numFmtId="0" fontId="132" fillId="0" borderId="0" xfId="0" applyFont="1" applyAlignment="1">
      <alignment horizontal="center" vertical="center"/>
    </xf>
    <xf numFmtId="0" fontId="15" fillId="33" borderId="0" xfId="53" applyFill="1" applyAlignment="1">
      <alignment vertical="center"/>
    </xf>
    <xf numFmtId="177" fontId="15" fillId="52" borderId="29" xfId="53" applyNumberFormat="1" applyFill="1" applyBorder="1" applyAlignment="1">
      <alignment vertical="center"/>
    </xf>
    <xf numFmtId="0" fontId="15" fillId="0" borderId="0" xfId="53" applyAlignment="1">
      <alignment vertical="center"/>
    </xf>
    <xf numFmtId="0" fontId="0" fillId="37" borderId="29" xfId="0" applyFill="1" applyBorder="1" applyAlignment="1">
      <alignment horizontal="center" vertical="center"/>
    </xf>
    <xf numFmtId="0" fontId="15" fillId="52" borderId="29" xfId="53" applyFill="1" applyBorder="1" applyAlignment="1">
      <alignment vertical="center"/>
    </xf>
    <xf numFmtId="0" fontId="0" fillId="46" borderId="29" xfId="0" applyFill="1" applyBorder="1" applyAlignment="1">
      <alignment horizontal="center" vertical="center"/>
    </xf>
    <xf numFmtId="0" fontId="133" fillId="48" borderId="34" xfId="0" applyFont="1" applyFill="1" applyBorder="1" applyAlignment="1">
      <alignment horizontal="justify" vertical="center" wrapText="1"/>
    </xf>
    <xf numFmtId="0" fontId="133" fillId="48" borderId="35" xfId="0" applyFont="1" applyFill="1" applyBorder="1" applyAlignment="1">
      <alignment horizontal="justify" vertical="center" wrapText="1"/>
    </xf>
    <xf numFmtId="0" fontId="133" fillId="48" borderId="36" xfId="0" applyFont="1" applyFill="1" applyBorder="1" applyAlignment="1">
      <alignment horizontal="justify" vertical="center" wrapText="1"/>
    </xf>
    <xf numFmtId="0" fontId="133" fillId="48" borderId="29" xfId="0" applyFont="1" applyFill="1" applyBorder="1" applyAlignment="1">
      <alignment horizontal="center" vertical="center" wrapText="1"/>
    </xf>
    <xf numFmtId="49" fontId="133" fillId="38" borderId="29" xfId="0" applyNumberFormat="1" applyFont="1" applyFill="1" applyBorder="1" applyAlignment="1">
      <alignment horizontal="center" vertical="center" wrapText="1"/>
    </xf>
    <xf numFmtId="0" fontId="0" fillId="0" borderId="29" xfId="0" applyBorder="1" applyAlignment="1">
      <alignment horizontal="center" vertical="center" wrapText="1"/>
    </xf>
    <xf numFmtId="0" fontId="0" fillId="0" borderId="29" xfId="0" applyBorder="1" applyAlignment="1">
      <alignment horizontal="center" vertical="center"/>
    </xf>
    <xf numFmtId="0" fontId="0" fillId="0" borderId="29" xfId="0" applyBorder="1" applyAlignment="1">
      <alignment vertical="center"/>
    </xf>
    <xf numFmtId="0" fontId="134" fillId="33" borderId="37" xfId="0" applyFont="1" applyFill="1" applyBorder="1" applyAlignment="1">
      <alignment horizontal="justify" vertical="center" wrapText="1"/>
    </xf>
    <xf numFmtId="0" fontId="133" fillId="53" borderId="23" xfId="0" applyFont="1" applyFill="1" applyBorder="1" applyAlignment="1">
      <alignment horizontal="justify" vertical="center" wrapText="1"/>
    </xf>
    <xf numFmtId="0" fontId="133" fillId="53" borderId="32" xfId="0" applyFont="1" applyFill="1" applyBorder="1" applyAlignment="1">
      <alignment horizontal="justify" vertical="center" wrapText="1"/>
    </xf>
    <xf numFmtId="0" fontId="133" fillId="53" borderId="29" xfId="0" applyFont="1" applyFill="1" applyBorder="1" applyAlignment="1">
      <alignment horizontal="center" vertical="center" wrapText="1"/>
    </xf>
    <xf numFmtId="0" fontId="133" fillId="0" borderId="0" xfId="0" applyFont="1" applyAlignment="1">
      <alignment horizontal="center" vertical="center" wrapText="1"/>
    </xf>
    <xf numFmtId="49" fontId="0" fillId="0" borderId="22" xfId="0" applyNumberFormat="1" applyBorder="1" applyAlignment="1">
      <alignment horizontal="center" vertical="center"/>
    </xf>
    <xf numFmtId="0" fontId="0" fillId="0" borderId="22" xfId="0" applyBorder="1" applyAlignment="1">
      <alignment horizontal="center" vertical="center"/>
    </xf>
    <xf numFmtId="0" fontId="0" fillId="0" borderId="29" xfId="0" quotePrefix="1" applyBorder="1" applyAlignment="1">
      <alignment horizontal="center" vertical="center"/>
    </xf>
    <xf numFmtId="0" fontId="135" fillId="53" borderId="37" xfId="0" applyFont="1" applyFill="1" applyBorder="1" applyAlignment="1">
      <alignment horizontal="justify" vertical="center" wrapText="1"/>
    </xf>
    <xf numFmtId="0" fontId="135" fillId="53" borderId="23" xfId="0" applyFont="1" applyFill="1" applyBorder="1" applyAlignment="1">
      <alignment horizontal="justify" vertical="center" wrapText="1"/>
    </xf>
    <xf numFmtId="0" fontId="135" fillId="53" borderId="32" xfId="0" applyFont="1" applyFill="1" applyBorder="1" applyAlignment="1">
      <alignment horizontal="justify" vertical="center" wrapText="1"/>
    </xf>
    <xf numFmtId="0" fontId="135" fillId="53" borderId="29" xfId="0" applyFont="1" applyFill="1" applyBorder="1" applyAlignment="1">
      <alignment horizontal="center" vertical="center" wrapText="1"/>
    </xf>
    <xf numFmtId="0" fontId="135" fillId="0" borderId="0" xfId="0" applyFont="1" applyAlignment="1">
      <alignment horizontal="center" vertical="center" wrapText="1"/>
    </xf>
    <xf numFmtId="0" fontId="135" fillId="53" borderId="39" xfId="0" applyFont="1" applyFill="1" applyBorder="1" applyAlignment="1">
      <alignment vertical="center" wrapText="1"/>
    </xf>
    <xf numFmtId="0" fontId="135" fillId="53" borderId="37" xfId="0" applyFont="1" applyFill="1" applyBorder="1" applyAlignment="1">
      <alignment horizontal="left" vertical="center" wrapText="1" indent="1"/>
    </xf>
    <xf numFmtId="0" fontId="135" fillId="53" borderId="23" xfId="0" applyFont="1" applyFill="1" applyBorder="1" applyAlignment="1">
      <alignment vertical="center" wrapText="1"/>
    </xf>
    <xf numFmtId="0" fontId="135" fillId="53" borderId="32" xfId="0" applyFont="1" applyFill="1" applyBorder="1" applyAlignment="1">
      <alignment vertical="center" wrapText="1"/>
    </xf>
    <xf numFmtId="49" fontId="0" fillId="0" borderId="15" xfId="0" applyNumberFormat="1" applyBorder="1" applyAlignment="1">
      <alignment horizontal="center" vertical="center"/>
    </xf>
    <xf numFmtId="0" fontId="0" fillId="0" borderId="15" xfId="0" applyBorder="1" applyAlignment="1">
      <alignment horizontal="center" vertical="center"/>
    </xf>
    <xf numFmtId="0" fontId="135" fillId="33" borderId="29" xfId="0" applyFont="1" applyFill="1" applyBorder="1" applyAlignment="1">
      <alignment horizontal="center" vertical="center" wrapText="1"/>
    </xf>
    <xf numFmtId="0" fontId="0" fillId="38" borderId="29" xfId="0" applyFill="1" applyBorder="1" applyAlignment="1" applyProtection="1">
      <alignment horizontal="center" vertical="center"/>
      <protection locked="0"/>
    </xf>
    <xf numFmtId="187" fontId="0" fillId="33" borderId="0" xfId="0" applyNumberFormat="1" applyFill="1" applyAlignment="1">
      <alignment vertical="center" wrapText="1"/>
    </xf>
    <xf numFmtId="0" fontId="135" fillId="53" borderId="29" xfId="0" applyFont="1" applyFill="1" applyBorder="1" applyAlignment="1">
      <alignment vertical="center" wrapText="1"/>
    </xf>
    <xf numFmtId="0" fontId="0" fillId="0" borderId="14" xfId="0" applyBorder="1" applyAlignment="1">
      <alignment horizontal="center" vertical="center"/>
    </xf>
    <xf numFmtId="0" fontId="0" fillId="0" borderId="15" xfId="0" applyBorder="1" applyAlignment="1">
      <alignment vertical="center"/>
    </xf>
    <xf numFmtId="14" fontId="0" fillId="37" borderId="29" xfId="0" applyNumberFormat="1" applyFill="1" applyBorder="1" applyAlignment="1">
      <alignment horizontal="center" vertical="center"/>
    </xf>
    <xf numFmtId="0" fontId="0" fillId="41" borderId="29" xfId="0" applyFill="1" applyBorder="1" applyAlignment="1" applyProtection="1">
      <alignment horizontal="center" vertical="center"/>
      <protection locked="0"/>
    </xf>
    <xf numFmtId="0" fontId="0" fillId="0" borderId="14" xfId="0" applyBorder="1" applyAlignment="1">
      <alignment vertical="center"/>
    </xf>
    <xf numFmtId="0" fontId="0" fillId="41" borderId="29" xfId="0" quotePrefix="1" applyFill="1" applyBorder="1" applyAlignment="1" applyProtection="1">
      <alignment horizontal="center" vertical="center"/>
      <protection locked="0"/>
    </xf>
    <xf numFmtId="0" fontId="0" fillId="54" borderId="29" xfId="0" applyFill="1" applyBorder="1" applyAlignment="1">
      <alignment vertical="center"/>
    </xf>
    <xf numFmtId="0" fontId="132" fillId="0" borderId="0" xfId="0" applyFont="1"/>
    <xf numFmtId="0" fontId="134" fillId="0" borderId="0" xfId="0" applyFont="1" applyAlignment="1">
      <alignment horizontal="center" vertical="center" wrapText="1"/>
    </xf>
    <xf numFmtId="0" fontId="0" fillId="0" borderId="22" xfId="0" applyBorder="1" applyAlignment="1">
      <alignment vertical="center"/>
    </xf>
    <xf numFmtId="0" fontId="136" fillId="53" borderId="23" xfId="0" applyFont="1" applyFill="1" applyBorder="1" applyAlignment="1">
      <alignment vertical="center" wrapText="1"/>
    </xf>
    <xf numFmtId="0" fontId="135" fillId="0" borderId="29" xfId="0" applyFont="1" applyBorder="1" applyAlignment="1">
      <alignment horizontal="center" vertical="center" wrapText="1"/>
    </xf>
    <xf numFmtId="49" fontId="0" fillId="38" borderId="29" xfId="0" quotePrefix="1" applyNumberFormat="1" applyFill="1" applyBorder="1" applyAlignment="1" applyProtection="1">
      <alignment horizontal="center" vertical="center"/>
      <protection locked="0"/>
    </xf>
    <xf numFmtId="0" fontId="0" fillId="55" borderId="29" xfId="0" applyFill="1" applyBorder="1" applyAlignment="1">
      <alignment horizontal="center" vertical="center"/>
    </xf>
    <xf numFmtId="0" fontId="133" fillId="53" borderId="32" xfId="0" applyFont="1" applyFill="1" applyBorder="1" applyAlignment="1">
      <alignment vertical="center" wrapText="1"/>
    </xf>
    <xf numFmtId="0" fontId="133" fillId="53" borderId="23" xfId="0" applyFont="1" applyFill="1" applyBorder="1" applyAlignment="1">
      <alignment vertical="center" wrapText="1"/>
    </xf>
    <xf numFmtId="0" fontId="133" fillId="33" borderId="29" xfId="0" applyFont="1" applyFill="1" applyBorder="1" applyAlignment="1">
      <alignment horizontal="center" vertical="center" wrapText="1"/>
    </xf>
    <xf numFmtId="0" fontId="0" fillId="0" borderId="29" xfId="0" applyBorder="1" applyAlignment="1" applyProtection="1">
      <alignment horizontal="center" vertical="center"/>
      <protection locked="0"/>
    </xf>
    <xf numFmtId="0" fontId="0" fillId="0" borderId="0" xfId="0" applyAlignment="1">
      <alignment horizontal="left" vertical="center"/>
    </xf>
    <xf numFmtId="0" fontId="133" fillId="0" borderId="29" xfId="0" applyFont="1" applyBorder="1" applyAlignment="1">
      <alignment horizontal="center" vertical="center" wrapText="1"/>
    </xf>
    <xf numFmtId="0" fontId="0" fillId="38" borderId="29" xfId="0" quotePrefix="1" applyFill="1" applyBorder="1" applyAlignment="1" applyProtection="1">
      <alignment horizontal="center" vertical="center"/>
      <protection locked="0"/>
    </xf>
    <xf numFmtId="10" fontId="0" fillId="46" borderId="29" xfId="0" applyNumberFormat="1" applyFill="1" applyBorder="1" applyAlignment="1">
      <alignment horizontal="center" vertical="center"/>
    </xf>
    <xf numFmtId="0" fontId="0" fillId="40" borderId="0" xfId="0" applyFill="1" applyAlignment="1">
      <alignment vertical="center"/>
    </xf>
    <xf numFmtId="0" fontId="0" fillId="40" borderId="0" xfId="0" applyFill="1" applyAlignment="1">
      <alignment horizontal="center" vertical="center"/>
    </xf>
    <xf numFmtId="0" fontId="133" fillId="53" borderId="37" xfId="0" applyFont="1" applyFill="1" applyBorder="1" applyAlignment="1">
      <alignment horizontal="left" vertical="center" wrapText="1" indent="1"/>
    </xf>
    <xf numFmtId="0" fontId="138" fillId="53" borderId="37" xfId="0" applyFont="1" applyFill="1" applyBorder="1" applyAlignment="1">
      <alignment vertical="center" wrapText="1"/>
    </xf>
    <xf numFmtId="0" fontId="138" fillId="53" borderId="37" xfId="0" applyFont="1" applyFill="1" applyBorder="1" applyAlignment="1">
      <alignment horizontal="left" vertical="center" wrapText="1" indent="1"/>
    </xf>
    <xf numFmtId="0" fontId="134" fillId="53" borderId="23" xfId="0" applyFont="1" applyFill="1" applyBorder="1" applyAlignment="1">
      <alignment vertical="center" wrapText="1"/>
    </xf>
    <xf numFmtId="0" fontId="135" fillId="53" borderId="39" xfId="0" applyFont="1" applyFill="1" applyBorder="1" applyAlignment="1">
      <alignment horizontal="left" vertical="center" wrapText="1" indent="1"/>
    </xf>
    <xf numFmtId="0" fontId="133" fillId="53" borderId="39" xfId="0" applyFont="1" applyFill="1" applyBorder="1" applyAlignment="1">
      <alignment horizontal="left" vertical="center" wrapText="1" indent="1"/>
    </xf>
    <xf numFmtId="0" fontId="133" fillId="53" borderId="23" xfId="0" applyFont="1" applyFill="1" applyBorder="1" applyAlignment="1">
      <alignment horizontal="left" vertical="center" wrapText="1" indent="1"/>
    </xf>
    <xf numFmtId="0" fontId="134" fillId="53" borderId="32" xfId="0" applyFont="1" applyFill="1" applyBorder="1" applyAlignment="1">
      <alignment vertical="center" wrapText="1"/>
    </xf>
    <xf numFmtId="0" fontId="134" fillId="53" borderId="29" xfId="0" applyFont="1" applyFill="1" applyBorder="1" applyAlignment="1">
      <alignment horizontal="center" vertical="center" wrapText="1"/>
    </xf>
    <xf numFmtId="49" fontId="0" fillId="0" borderId="0" xfId="0" applyNumberFormat="1"/>
    <xf numFmtId="0" fontId="21" fillId="40" borderId="0" xfId="65" applyFill="1" applyAlignment="1">
      <alignment horizontal="center" vertical="center"/>
    </xf>
    <xf numFmtId="0" fontId="21" fillId="40" borderId="29" xfId="65" applyFill="1" applyBorder="1" applyAlignment="1">
      <alignment horizontal="center" vertical="center"/>
    </xf>
    <xf numFmtId="0" fontId="0" fillId="40" borderId="29" xfId="2" applyFont="1" applyFill="1" applyBorder="1" applyAlignment="1" applyProtection="1">
      <alignment shrinkToFit="1"/>
      <protection hidden="1"/>
    </xf>
    <xf numFmtId="0" fontId="19" fillId="40" borderId="0" xfId="1" applyFont="1" applyFill="1"/>
    <xf numFmtId="10" fontId="94" fillId="40" borderId="13" xfId="52" applyNumberFormat="1" applyFill="1" applyBorder="1" applyAlignment="1">
      <alignment horizontal="right" vertical="center"/>
    </xf>
    <xf numFmtId="0" fontId="94" fillId="40" borderId="13" xfId="52" applyFill="1" applyBorder="1" applyAlignment="1">
      <alignment horizontal="right" vertical="center"/>
    </xf>
    <xf numFmtId="10" fontId="21" fillId="40" borderId="29" xfId="65" applyNumberFormat="1" applyFill="1" applyBorder="1" applyAlignment="1">
      <alignment horizontal="center" vertical="center"/>
    </xf>
    <xf numFmtId="0" fontId="21" fillId="46" borderId="29" xfId="65" applyFill="1" applyBorder="1" applyAlignment="1">
      <alignment horizontal="center" vertical="center"/>
    </xf>
    <xf numFmtId="0" fontId="21" fillId="46" borderId="29" xfId="0" applyFont="1" applyFill="1" applyBorder="1" applyAlignment="1">
      <alignment horizontal="left" vertical="center"/>
    </xf>
    <xf numFmtId="187" fontId="21" fillId="46" borderId="29" xfId="0" applyNumberFormat="1" applyFont="1" applyFill="1" applyBorder="1" applyAlignment="1">
      <alignment vertical="center"/>
    </xf>
    <xf numFmtId="187" fontId="21" fillId="0" borderId="29" xfId="0" applyNumberFormat="1" applyFont="1" applyBorder="1" applyAlignment="1">
      <alignment vertical="center"/>
    </xf>
    <xf numFmtId="202" fontId="21" fillId="40" borderId="29" xfId="65" applyNumberFormat="1" applyFill="1" applyBorder="1" applyAlignment="1">
      <alignment horizontal="center" vertical="center"/>
    </xf>
    <xf numFmtId="178" fontId="21" fillId="40" borderId="29" xfId="65" applyNumberFormat="1" applyFill="1" applyBorder="1" applyAlignment="1">
      <alignment horizontal="center" vertical="center"/>
    </xf>
    <xf numFmtId="0" fontId="21" fillId="0" borderId="29" xfId="1" applyFont="1" applyBorder="1" applyAlignment="1">
      <alignment vertical="center"/>
    </xf>
    <xf numFmtId="10" fontId="21" fillId="0" borderId="29" xfId="65" applyNumberFormat="1" applyBorder="1">
      <alignment vertical="center"/>
    </xf>
    <xf numFmtId="10" fontId="21" fillId="33" borderId="29" xfId="65" applyNumberFormat="1" applyFill="1" applyBorder="1" applyAlignment="1">
      <alignment horizontal="center" vertical="center"/>
    </xf>
    <xf numFmtId="192" fontId="21" fillId="40" borderId="29" xfId="65" applyNumberFormat="1" applyFill="1" applyBorder="1" applyAlignment="1">
      <alignment horizontal="center" vertical="center"/>
    </xf>
    <xf numFmtId="0" fontId="55" fillId="0" borderId="22" xfId="68" applyFont="1" applyBorder="1" applyAlignment="1" applyProtection="1">
      <alignment horizontal="left" vertical="center"/>
      <protection hidden="1"/>
    </xf>
    <xf numFmtId="0" fontId="21" fillId="0" borderId="22" xfId="68" applyFont="1" applyBorder="1" applyAlignment="1" applyProtection="1">
      <alignment vertical="center"/>
      <protection hidden="1"/>
    </xf>
    <xf numFmtId="0" fontId="30" fillId="0" borderId="22" xfId="68" applyFont="1" applyBorder="1" applyAlignment="1" applyProtection="1">
      <alignment horizontal="center" vertical="center" shrinkToFit="1"/>
      <protection hidden="1"/>
    </xf>
    <xf numFmtId="0" fontId="0" fillId="0" borderId="22" xfId="1" applyFont="1" applyBorder="1" applyProtection="1">
      <protection hidden="1"/>
    </xf>
    <xf numFmtId="0" fontId="30" fillId="0" borderId="22" xfId="68" applyFont="1" applyBorder="1" applyAlignment="1" applyProtection="1">
      <alignment horizontal="right" vertical="center" wrapText="1"/>
      <protection hidden="1"/>
    </xf>
    <xf numFmtId="0" fontId="30" fillId="0" borderId="33" xfId="68" applyFont="1" applyBorder="1" applyAlignment="1" applyProtection="1">
      <alignment horizontal="right" vertical="center" wrapText="1"/>
      <protection hidden="1"/>
    </xf>
    <xf numFmtId="0" fontId="55" fillId="0" borderId="0" xfId="68" applyFont="1" applyAlignment="1" applyProtection="1">
      <alignment vertical="center" shrinkToFit="1"/>
      <protection locked="0"/>
    </xf>
    <xf numFmtId="0" fontId="30" fillId="0" borderId="0" xfId="68" applyFont="1" applyAlignment="1" applyProtection="1">
      <alignment horizontal="left" vertical="center"/>
      <protection hidden="1"/>
    </xf>
    <xf numFmtId="0" fontId="116" fillId="0" borderId="0" xfId="68" applyFont="1" applyAlignment="1" applyProtection="1">
      <alignment horizontal="center" vertical="center"/>
      <protection hidden="1"/>
    </xf>
    <xf numFmtId="0" fontId="45" fillId="0" borderId="0" xfId="68" applyFont="1" applyAlignment="1" applyProtection="1">
      <alignment horizontal="center" vertical="center"/>
      <protection hidden="1"/>
    </xf>
    <xf numFmtId="177" fontId="27" fillId="0" borderId="0" xfId="68" applyNumberFormat="1" applyFont="1" applyAlignment="1" applyProtection="1">
      <alignment horizontal="right" vertical="center" shrinkToFit="1"/>
      <protection hidden="1"/>
    </xf>
    <xf numFmtId="0" fontId="19" fillId="0" borderId="33" xfId="68" applyFont="1" applyBorder="1" applyAlignment="1" applyProtection="1">
      <alignment horizontal="center" vertical="center"/>
      <protection hidden="1"/>
    </xf>
    <xf numFmtId="0" fontId="27" fillId="0" borderId="0" xfId="68" applyFont="1" applyAlignment="1" applyProtection="1">
      <alignment vertical="center"/>
      <protection hidden="1"/>
    </xf>
    <xf numFmtId="0" fontId="58" fillId="0" borderId="33" xfId="68" applyFont="1" applyBorder="1" applyAlignment="1" applyProtection="1">
      <alignment horizontal="left" vertical="center"/>
      <protection hidden="1"/>
    </xf>
    <xf numFmtId="0" fontId="33" fillId="0" borderId="0" xfId="68" applyFont="1" applyAlignment="1" applyProtection="1">
      <alignment horizontal="center" vertical="center"/>
      <protection hidden="1"/>
    </xf>
    <xf numFmtId="0" fontId="36" fillId="0" borderId="0" xfId="68" applyFont="1" applyAlignment="1" applyProtection="1">
      <alignment horizontal="center" vertical="center"/>
      <protection hidden="1"/>
    </xf>
    <xf numFmtId="0" fontId="39" fillId="0" borderId="0" xfId="68" applyFont="1" applyAlignment="1" applyProtection="1">
      <alignment vertical="center"/>
      <protection hidden="1"/>
    </xf>
    <xf numFmtId="0" fontId="29" fillId="0" borderId="0" xfId="68" applyFont="1" applyAlignment="1" applyProtection="1">
      <alignment vertical="center"/>
      <protection hidden="1"/>
    </xf>
    <xf numFmtId="0" fontId="39" fillId="25" borderId="0" xfId="68" applyFont="1" applyFill="1" applyAlignment="1" applyProtection="1">
      <alignment horizontal="right" vertical="center"/>
      <protection hidden="1"/>
    </xf>
    <xf numFmtId="177" fontId="27" fillId="25" borderId="0" xfId="68" applyNumberFormat="1" applyFont="1" applyFill="1" applyAlignment="1" applyProtection="1">
      <alignment horizontal="right" vertical="center" shrinkToFit="1"/>
      <protection hidden="1"/>
    </xf>
    <xf numFmtId="0" fontId="36" fillId="25" borderId="0" xfId="68" applyFont="1" applyFill="1" applyAlignment="1" applyProtection="1">
      <alignment horizontal="center" vertical="center" wrapText="1"/>
      <protection hidden="1"/>
    </xf>
    <xf numFmtId="0" fontId="25" fillId="25" borderId="0" xfId="68" applyFont="1" applyFill="1" applyAlignment="1" applyProtection="1">
      <alignment horizontal="center" vertical="center"/>
      <protection hidden="1"/>
    </xf>
    <xf numFmtId="177" fontId="28" fillId="25" borderId="0" xfId="68" applyNumberFormat="1" applyFont="1" applyFill="1" applyAlignment="1" applyProtection="1">
      <alignment horizontal="center" vertical="center"/>
      <protection hidden="1"/>
    </xf>
    <xf numFmtId="0" fontId="58" fillId="0" borderId="0" xfId="68" applyFont="1" applyAlignment="1" applyProtection="1">
      <alignment horizontal="left" vertical="center" wrapText="1"/>
      <protection hidden="1"/>
    </xf>
    <xf numFmtId="0" fontId="21" fillId="33" borderId="29" xfId="65" applyFill="1" applyBorder="1">
      <alignment vertical="center"/>
    </xf>
    <xf numFmtId="0" fontId="21" fillId="33" borderId="29" xfId="65" applyFill="1" applyBorder="1" applyAlignment="1">
      <alignment vertical="center" wrapText="1"/>
    </xf>
    <xf numFmtId="0" fontId="104" fillId="0" borderId="0" xfId="1" applyFont="1" applyProtection="1">
      <protection hidden="1"/>
    </xf>
    <xf numFmtId="0" fontId="141" fillId="43" borderId="12" xfId="0" applyFont="1" applyFill="1" applyBorder="1" applyAlignment="1" applyProtection="1">
      <alignment horizontal="center" vertical="center"/>
      <protection locked="0" hidden="1"/>
    </xf>
    <xf numFmtId="0" fontId="94" fillId="0" borderId="29" xfId="52" applyBorder="1">
      <alignment vertical="center"/>
    </xf>
    <xf numFmtId="9" fontId="21" fillId="0" borderId="0" xfId="65" applyNumberFormat="1" applyAlignment="1">
      <alignment horizontal="center" vertical="center"/>
    </xf>
    <xf numFmtId="187" fontId="21" fillId="0" borderId="0" xfId="65" applyNumberFormat="1">
      <alignment vertical="center"/>
    </xf>
    <xf numFmtId="177" fontId="21" fillId="0" borderId="29" xfId="65" applyNumberFormat="1" applyBorder="1" applyAlignment="1">
      <alignment horizontal="center" vertical="center"/>
    </xf>
    <xf numFmtId="0" fontId="21" fillId="33" borderId="29" xfId="65" applyFill="1" applyBorder="1" applyAlignment="1">
      <alignment horizontal="center" vertical="center"/>
    </xf>
    <xf numFmtId="0" fontId="21" fillId="56" borderId="29" xfId="65" applyFill="1" applyBorder="1">
      <alignment vertical="center"/>
    </xf>
    <xf numFmtId="0" fontId="21" fillId="0" borderId="13" xfId="65" applyBorder="1" applyAlignment="1">
      <alignment horizontal="center" vertical="center"/>
    </xf>
    <xf numFmtId="0" fontId="21" fillId="0" borderId="29" xfId="65" applyBorder="1" applyAlignment="1">
      <alignment vertical="center" wrapText="1"/>
    </xf>
    <xf numFmtId="0" fontId="21" fillId="0" borderId="29" xfId="1" applyFont="1" applyBorder="1" applyAlignment="1">
      <alignment wrapText="1"/>
    </xf>
    <xf numFmtId="0" fontId="21" fillId="0" borderId="29" xfId="1" applyFont="1" applyBorder="1" applyAlignment="1">
      <alignment vertical="center" wrapText="1"/>
    </xf>
    <xf numFmtId="0" fontId="21" fillId="0" borderId="16" xfId="65" applyBorder="1">
      <alignment vertical="center"/>
    </xf>
    <xf numFmtId="0" fontId="143" fillId="0" borderId="29" xfId="1" applyFont="1" applyBorder="1"/>
    <xf numFmtId="0" fontId="21" fillId="40" borderId="13" xfId="65" applyFill="1" applyBorder="1">
      <alignment vertical="center"/>
    </xf>
    <xf numFmtId="0" fontId="0" fillId="0" borderId="0" xfId="0" applyAlignment="1">
      <alignment horizontal="right" vertical="center"/>
    </xf>
    <xf numFmtId="0" fontId="141" fillId="0" borderId="12" xfId="0" applyFont="1" applyBorder="1" applyAlignment="1" applyProtection="1">
      <alignment horizontal="center" vertical="center"/>
      <protection hidden="1"/>
    </xf>
    <xf numFmtId="177" fontId="21" fillId="0" borderId="29" xfId="65" applyNumberFormat="1" applyBorder="1">
      <alignment vertical="center"/>
    </xf>
    <xf numFmtId="0" fontId="0" fillId="0" borderId="0" xfId="101" applyFont="1" applyProtection="1">
      <protection hidden="1"/>
    </xf>
    <xf numFmtId="0" fontId="146" fillId="0" borderId="0" xfId="101" applyFont="1" applyAlignment="1" applyProtection="1">
      <alignment horizontal="right"/>
      <protection hidden="1"/>
    </xf>
    <xf numFmtId="0" fontId="146" fillId="0" borderId="0" xfId="101" applyFont="1" applyProtection="1">
      <protection hidden="1"/>
    </xf>
    <xf numFmtId="0" fontId="148" fillId="0" borderId="0" xfId="101" applyFont="1" applyAlignment="1" applyProtection="1">
      <alignment vertical="center"/>
      <protection hidden="1"/>
    </xf>
    <xf numFmtId="0" fontId="60" fillId="0" borderId="0" xfId="101" applyFont="1" applyAlignment="1" applyProtection="1">
      <alignment horizontal="right" vertical="center"/>
      <protection hidden="1"/>
    </xf>
    <xf numFmtId="0" fontId="60" fillId="0" borderId="0" xfId="101" applyFont="1" applyAlignment="1" applyProtection="1">
      <alignment vertical="center"/>
      <protection hidden="1"/>
    </xf>
    <xf numFmtId="0" fontId="142" fillId="0" borderId="0" xfId="101" applyFont="1" applyAlignment="1" applyProtection="1">
      <alignment vertical="center"/>
      <protection hidden="1"/>
    </xf>
    <xf numFmtId="0" fontId="146" fillId="0" borderId="0" xfId="101" applyFont="1" applyAlignment="1" applyProtection="1">
      <alignment vertical="center"/>
      <protection hidden="1"/>
    </xf>
    <xf numFmtId="0" fontId="0" fillId="0" borderId="0" xfId="101" applyFont="1" applyAlignment="1" applyProtection="1">
      <alignment vertical="center"/>
      <protection hidden="1"/>
    </xf>
    <xf numFmtId="0" fontId="120" fillId="0" borderId="0" xfId="101" applyFont="1" applyAlignment="1" applyProtection="1">
      <alignment vertical="center"/>
      <protection hidden="1"/>
    </xf>
    <xf numFmtId="0" fontId="60" fillId="0" borderId="22" xfId="101" applyFont="1" applyBorder="1" applyAlignment="1" applyProtection="1">
      <alignment vertical="center"/>
      <protection hidden="1"/>
    </xf>
    <xf numFmtId="0" fontId="60" fillId="0" borderId="22" xfId="101" applyFont="1" applyBorder="1" applyAlignment="1" applyProtection="1">
      <alignment vertical="center" shrinkToFit="1"/>
      <protection hidden="1"/>
    </xf>
    <xf numFmtId="0" fontId="97" fillId="0" borderId="22" xfId="101" applyFont="1" applyBorder="1" applyAlignment="1" applyProtection="1">
      <alignment horizontal="right" vertical="center"/>
      <protection hidden="1"/>
    </xf>
    <xf numFmtId="0" fontId="50" fillId="0" borderId="0" xfId="101" applyFont="1" applyAlignment="1" applyProtection="1">
      <alignment vertical="center"/>
      <protection hidden="1"/>
    </xf>
    <xf numFmtId="0" fontId="151" fillId="0" borderId="0" xfId="101" applyFont="1" applyAlignment="1" applyProtection="1">
      <alignment horizontal="left" vertical="center"/>
      <protection hidden="1"/>
    </xf>
    <xf numFmtId="0" fontId="124" fillId="0" borderId="0" xfId="101" applyFont="1" applyAlignment="1" applyProtection="1">
      <alignment horizontal="left" vertical="center"/>
      <protection hidden="1"/>
    </xf>
    <xf numFmtId="0" fontId="119" fillId="0" borderId="0" xfId="101" applyFont="1" applyAlignment="1" applyProtection="1">
      <alignment horizontal="left" vertical="center"/>
      <protection hidden="1"/>
    </xf>
    <xf numFmtId="183" fontId="119" fillId="0" borderId="0" xfId="101" applyNumberFormat="1" applyFont="1" applyAlignment="1" applyProtection="1">
      <alignment horizontal="left" vertical="center"/>
      <protection hidden="1"/>
    </xf>
    <xf numFmtId="0" fontId="120" fillId="0" borderId="0" xfId="101" applyFont="1" applyProtection="1">
      <protection hidden="1"/>
    </xf>
    <xf numFmtId="0" fontId="50" fillId="0" borderId="0" xfId="101" applyFont="1" applyProtection="1">
      <protection hidden="1"/>
    </xf>
    <xf numFmtId="0" fontId="152" fillId="0" borderId="0" xfId="102" applyFont="1" applyAlignment="1" applyProtection="1">
      <alignment horizontal="left" vertical="center"/>
      <protection hidden="1"/>
    </xf>
    <xf numFmtId="0" fontId="122" fillId="0" borderId="0" xfId="101" applyFont="1" applyAlignment="1" applyProtection="1">
      <alignment horizontal="left" vertical="center"/>
      <protection hidden="1"/>
    </xf>
    <xf numFmtId="57" fontId="0" fillId="0" borderId="0" xfId="101" applyNumberFormat="1" applyFont="1" applyProtection="1">
      <protection hidden="1"/>
    </xf>
    <xf numFmtId="0" fontId="149" fillId="25" borderId="0" xfId="101" applyFont="1" applyFill="1" applyAlignment="1" applyProtection="1">
      <alignment horizontal="left" vertical="center"/>
      <protection hidden="1"/>
    </xf>
    <xf numFmtId="0" fontId="154" fillId="0" borderId="0" xfId="101" applyFont="1" applyAlignment="1" applyProtection="1">
      <alignment horizontal="left" vertical="center"/>
      <protection hidden="1"/>
    </xf>
    <xf numFmtId="0" fontId="155" fillId="0" borderId="0" xfId="101" applyFont="1" applyAlignment="1" applyProtection="1">
      <alignment horizontal="right" vertical="center"/>
      <protection hidden="1"/>
    </xf>
    <xf numFmtId="0" fontId="155" fillId="0" borderId="0" xfId="101" applyFont="1" applyAlignment="1" applyProtection="1">
      <alignment horizontal="left" vertical="center"/>
      <protection hidden="1"/>
    </xf>
    <xf numFmtId="182" fontId="155" fillId="0" borderId="0" xfId="101" applyNumberFormat="1" applyFont="1" applyAlignment="1" applyProtection="1">
      <alignment horizontal="left" vertical="center"/>
      <protection hidden="1"/>
    </xf>
    <xf numFmtId="0" fontId="155" fillId="0" borderId="0" xfId="101" applyFont="1" applyAlignment="1" applyProtection="1">
      <alignment vertical="center"/>
      <protection hidden="1"/>
    </xf>
    <xf numFmtId="57" fontId="142" fillId="0" borderId="0" xfId="101" applyNumberFormat="1" applyFont="1" applyAlignment="1" applyProtection="1">
      <alignment horizontal="center" vertical="center"/>
      <protection hidden="1"/>
    </xf>
    <xf numFmtId="0" fontId="97" fillId="0" borderId="0" xfId="68" applyFont="1" applyAlignment="1" applyProtection="1">
      <alignment horizontal="right" vertical="center"/>
      <protection hidden="1"/>
    </xf>
    <xf numFmtId="57" fontId="142" fillId="0" borderId="0" xfId="101" applyNumberFormat="1" applyFont="1" applyAlignment="1" applyProtection="1">
      <alignment vertical="center"/>
      <protection hidden="1"/>
    </xf>
    <xf numFmtId="0" fontId="155" fillId="0" borderId="0" xfId="101" applyFont="1" applyAlignment="1" applyProtection="1">
      <alignment horizontal="right"/>
      <protection hidden="1"/>
    </xf>
    <xf numFmtId="0" fontId="155" fillId="0" borderId="0" xfId="101" applyFont="1" applyAlignment="1" applyProtection="1">
      <alignment horizontal="left"/>
      <protection hidden="1"/>
    </xf>
    <xf numFmtId="0" fontId="155" fillId="0" borderId="0" xfId="101" applyFont="1" applyAlignment="1" applyProtection="1">
      <alignment horizontal="right" shrinkToFit="1"/>
      <protection hidden="1"/>
    </xf>
    <xf numFmtId="182" fontId="155" fillId="0" borderId="0" xfId="101" applyNumberFormat="1" applyFont="1" applyAlignment="1" applyProtection="1">
      <alignment horizontal="left"/>
      <protection hidden="1"/>
    </xf>
    <xf numFmtId="0" fontId="155" fillId="0" borderId="0" xfId="101" applyFont="1" applyProtection="1">
      <protection hidden="1"/>
    </xf>
    <xf numFmtId="0" fontId="142" fillId="0" borderId="0" xfId="101" applyFont="1" applyProtection="1">
      <protection hidden="1"/>
    </xf>
    <xf numFmtId="0" fontId="142" fillId="0" borderId="0" xfId="101" applyFont="1" applyAlignment="1" applyProtection="1">
      <alignment horizontal="right"/>
      <protection hidden="1"/>
    </xf>
    <xf numFmtId="0" fontId="148" fillId="0" borderId="0" xfId="101" applyFont="1" applyAlignment="1" applyProtection="1">
      <alignment horizontal="right"/>
      <protection hidden="1"/>
    </xf>
    <xf numFmtId="57" fontId="142" fillId="0" borderId="0" xfId="101" applyNumberFormat="1" applyFont="1" applyAlignment="1" applyProtection="1">
      <alignment horizontal="center"/>
      <protection hidden="1"/>
    </xf>
    <xf numFmtId="57" fontId="155" fillId="0" borderId="0" xfId="101" applyNumberFormat="1" applyFont="1" applyAlignment="1" applyProtection="1">
      <alignment horizontal="right"/>
      <protection hidden="1"/>
    </xf>
    <xf numFmtId="57" fontId="145" fillId="0" borderId="0" xfId="101" applyNumberFormat="1" applyAlignment="1" applyProtection="1">
      <alignment vertical="center"/>
      <protection hidden="1"/>
    </xf>
    <xf numFmtId="0" fontId="145" fillId="0" borderId="0" xfId="101" applyAlignment="1" applyProtection="1">
      <alignment vertical="center"/>
      <protection hidden="1"/>
    </xf>
    <xf numFmtId="49" fontId="43" fillId="0" borderId="0" xfId="101" applyNumberFormat="1" applyFont="1" applyAlignment="1" applyProtection="1">
      <alignment horizontal="left" vertical="center"/>
      <protection hidden="1"/>
    </xf>
    <xf numFmtId="0" fontId="43" fillId="0" borderId="0" xfId="101" applyFont="1" applyAlignment="1" applyProtection="1">
      <alignment horizontal="left" vertical="center"/>
      <protection hidden="1"/>
    </xf>
    <xf numFmtId="0" fontId="61" fillId="0" borderId="0" xfId="101" applyFont="1" applyAlignment="1" applyProtection="1">
      <alignment horizontal="center" vertical="center"/>
      <protection hidden="1"/>
    </xf>
    <xf numFmtId="0" fontId="43" fillId="0" borderId="0" xfId="101" applyFont="1" applyAlignment="1" applyProtection="1">
      <alignment vertical="center" shrinkToFit="1"/>
      <protection hidden="1"/>
    </xf>
    <xf numFmtId="0" fontId="124" fillId="0" borderId="0" xfId="101" applyFont="1" applyAlignment="1" applyProtection="1">
      <alignment horizontal="right" vertical="center"/>
      <protection hidden="1"/>
    </xf>
    <xf numFmtId="0" fontId="97" fillId="0" borderId="0" xfId="101" applyFont="1" applyAlignment="1" applyProtection="1">
      <alignment vertical="center"/>
      <protection hidden="1"/>
    </xf>
    <xf numFmtId="0" fontId="149" fillId="0" borderId="0" xfId="101" applyFont="1" applyAlignment="1" applyProtection="1">
      <alignment horizontal="center"/>
      <protection hidden="1"/>
    </xf>
    <xf numFmtId="0" fontId="149" fillId="0" borderId="0" xfId="101" applyFont="1" applyProtection="1">
      <protection hidden="1"/>
    </xf>
    <xf numFmtId="0" fontId="43" fillId="0" borderId="0" xfId="101" applyFont="1" applyAlignment="1" applyProtection="1">
      <alignment horizontal="left"/>
      <protection hidden="1"/>
    </xf>
    <xf numFmtId="0" fontId="43" fillId="0" borderId="0" xfId="101" applyFont="1" applyAlignment="1" applyProtection="1">
      <alignment horizontal="center"/>
      <protection hidden="1"/>
    </xf>
    <xf numFmtId="0" fontId="43" fillId="0" borderId="0" xfId="101" applyFont="1" applyProtection="1">
      <protection hidden="1"/>
    </xf>
    <xf numFmtId="0" fontId="158" fillId="0" borderId="0" xfId="101" applyFont="1" applyAlignment="1" applyProtection="1">
      <alignment horizontal="right"/>
      <protection hidden="1"/>
    </xf>
    <xf numFmtId="57" fontId="43" fillId="0" borderId="0" xfId="101" applyNumberFormat="1" applyFont="1" applyAlignment="1" applyProtection="1">
      <alignment horizontal="center" shrinkToFit="1"/>
      <protection hidden="1"/>
    </xf>
    <xf numFmtId="0" fontId="62" fillId="0" borderId="0" xfId="101" applyFont="1" applyAlignment="1" applyProtection="1">
      <alignment vertical="center"/>
      <protection hidden="1"/>
    </xf>
    <xf numFmtId="0" fontId="18" fillId="0" borderId="0" xfId="101" applyFont="1" applyAlignment="1" applyProtection="1">
      <alignment vertical="center"/>
      <protection hidden="1"/>
    </xf>
    <xf numFmtId="0" fontId="159" fillId="0" borderId="0" xfId="101" applyFont="1" applyAlignment="1" applyProtection="1">
      <alignment vertical="center"/>
      <protection hidden="1"/>
    </xf>
    <xf numFmtId="0" fontId="160" fillId="0" borderId="0" xfId="101" applyFont="1" applyAlignment="1" applyProtection="1">
      <alignment vertical="center"/>
      <protection hidden="1"/>
    </xf>
    <xf numFmtId="0" fontId="148" fillId="0" borderId="0" xfId="101" applyFont="1" applyProtection="1">
      <protection hidden="1"/>
    </xf>
    <xf numFmtId="0" fontId="162" fillId="0" borderId="0" xfId="101" applyFont="1" applyAlignment="1" applyProtection="1">
      <alignment vertical="center"/>
      <protection hidden="1"/>
    </xf>
    <xf numFmtId="0" fontId="149" fillId="0" borderId="0" xfId="101" applyFont="1" applyAlignment="1" applyProtection="1">
      <alignment horizontal="right" vertical="center"/>
      <protection hidden="1"/>
    </xf>
    <xf numFmtId="0" fontId="163" fillId="0" borderId="0" xfId="101" applyFont="1" applyAlignment="1" applyProtection="1">
      <alignment vertical="center"/>
      <protection hidden="1"/>
    </xf>
    <xf numFmtId="0" fontId="164" fillId="0" borderId="0" xfId="101" applyFont="1" applyAlignment="1" applyProtection="1">
      <alignment vertical="center"/>
      <protection hidden="1"/>
    </xf>
    <xf numFmtId="0" fontId="165" fillId="0" borderId="0" xfId="101" applyFont="1" applyAlignment="1" applyProtection="1">
      <alignment vertical="center"/>
      <protection hidden="1"/>
    </xf>
    <xf numFmtId="0" fontId="49" fillId="0" borderId="0" xfId="101" applyFont="1" applyProtection="1">
      <protection hidden="1"/>
    </xf>
    <xf numFmtId="0" fontId="121" fillId="0" borderId="0" xfId="101" applyFont="1" applyProtection="1">
      <protection hidden="1"/>
    </xf>
    <xf numFmtId="0" fontId="163" fillId="0" borderId="0" xfId="101" applyFont="1" applyProtection="1">
      <protection hidden="1"/>
    </xf>
    <xf numFmtId="0" fontId="49" fillId="0" borderId="0" xfId="101" applyFont="1" applyAlignment="1">
      <alignment horizontal="center" vertical="center"/>
    </xf>
    <xf numFmtId="10" fontId="49" fillId="0" borderId="0" xfId="101" applyNumberFormat="1" applyFont="1" applyAlignment="1">
      <alignment horizontal="center" vertical="center"/>
    </xf>
    <xf numFmtId="0" fontId="18" fillId="0" borderId="0" xfId="101" applyFont="1" applyProtection="1">
      <protection hidden="1"/>
    </xf>
    <xf numFmtId="0" fontId="61" fillId="0" borderId="0" xfId="101" applyFont="1" applyProtection="1">
      <protection hidden="1"/>
    </xf>
    <xf numFmtId="0" fontId="68" fillId="0" borderId="0" xfId="101" applyFont="1"/>
    <xf numFmtId="10" fontId="129" fillId="0" borderId="0" xfId="101" applyNumberFormat="1" applyFont="1"/>
    <xf numFmtId="0" fontId="51" fillId="0" borderId="0" xfId="101" applyFont="1"/>
    <xf numFmtId="10" fontId="123" fillId="0" borderId="0" xfId="101" applyNumberFormat="1" applyFont="1"/>
    <xf numFmtId="0" fontId="44" fillId="0" borderId="0" xfId="101" applyFont="1"/>
    <xf numFmtId="10" fontId="64" fillId="0" borderId="0" xfId="101" applyNumberFormat="1" applyFont="1"/>
    <xf numFmtId="0" fontId="44" fillId="0" borderId="0" xfId="101" applyFont="1" applyProtection="1">
      <protection hidden="1"/>
    </xf>
    <xf numFmtId="0" fontId="49" fillId="0" borderId="0" xfId="101" applyFont="1" applyAlignment="1" applyProtection="1">
      <alignment vertical="center"/>
      <protection hidden="1"/>
    </xf>
    <xf numFmtId="0" fontId="61" fillId="0" borderId="0" xfId="105" applyFont="1" applyAlignment="1" applyProtection="1">
      <alignment vertical="center"/>
      <protection hidden="1"/>
    </xf>
    <xf numFmtId="0" fontId="166" fillId="0" borderId="0" xfId="105" applyFont="1" applyAlignment="1" applyProtection="1">
      <alignment vertical="center"/>
      <protection hidden="1"/>
    </xf>
    <xf numFmtId="0" fontId="44" fillId="0" borderId="0" xfId="101" applyFont="1" applyAlignment="1">
      <alignment vertical="center"/>
    </xf>
    <xf numFmtId="10" fontId="64" fillId="0" borderId="0" xfId="101" applyNumberFormat="1" applyFont="1" applyAlignment="1">
      <alignment vertical="center"/>
    </xf>
    <xf numFmtId="0" fontId="44" fillId="0" borderId="0" xfId="101" applyFont="1" applyAlignment="1" applyProtection="1">
      <alignment vertical="center"/>
      <protection hidden="1"/>
    </xf>
    <xf numFmtId="0" fontId="166" fillId="0" borderId="0" xfId="101" applyFont="1" applyAlignment="1" applyProtection="1">
      <alignment vertical="center"/>
      <protection hidden="1"/>
    </xf>
    <xf numFmtId="0" fontId="61" fillId="0" borderId="0" xfId="101" applyFont="1" applyAlignment="1" applyProtection="1">
      <alignment vertical="center"/>
      <protection hidden="1"/>
    </xf>
    <xf numFmtId="0" fontId="149" fillId="0" borderId="0" xfId="101" applyFont="1" applyAlignment="1">
      <alignment vertical="center"/>
    </xf>
    <xf numFmtId="0" fontId="149" fillId="0" borderId="0" xfId="101" applyFont="1" applyAlignment="1" applyProtection="1">
      <alignment vertical="center"/>
      <protection hidden="1"/>
    </xf>
    <xf numFmtId="0" fontId="168" fillId="0" borderId="0" xfId="101" applyFont="1" applyProtection="1">
      <protection hidden="1"/>
    </xf>
    <xf numFmtId="0" fontId="168" fillId="36" borderId="0" xfId="101" applyFont="1" applyFill="1" applyProtection="1">
      <protection hidden="1"/>
    </xf>
    <xf numFmtId="0" fontId="66" fillId="0" borderId="0" xfId="102" applyFont="1" applyAlignment="1">
      <alignment vertical="center"/>
    </xf>
    <xf numFmtId="0" fontId="158" fillId="0" borderId="15" xfId="101" applyFont="1" applyBorder="1" applyAlignment="1" applyProtection="1">
      <alignment horizontal="right"/>
      <protection hidden="1"/>
    </xf>
    <xf numFmtId="0" fontId="0" fillId="0" borderId="26" xfId="101" applyFont="1" applyBorder="1" applyProtection="1">
      <protection hidden="1"/>
    </xf>
    <xf numFmtId="0" fontId="0" fillId="0" borderId="22" xfId="101" applyFont="1" applyBorder="1" applyProtection="1">
      <protection hidden="1"/>
    </xf>
    <xf numFmtId="0" fontId="0" fillId="0" borderId="30" xfId="101" applyFont="1" applyBorder="1" applyProtection="1">
      <protection hidden="1"/>
    </xf>
    <xf numFmtId="0" fontId="158" fillId="0" borderId="24" xfId="101" applyFont="1" applyBorder="1" applyProtection="1">
      <protection hidden="1"/>
    </xf>
    <xf numFmtId="0" fontId="158" fillId="0" borderId="0" xfId="101" applyFont="1" applyProtection="1">
      <protection hidden="1"/>
    </xf>
    <xf numFmtId="0" fontId="158" fillId="0" borderId="33" xfId="101" applyFont="1" applyBorder="1" applyProtection="1">
      <protection hidden="1"/>
    </xf>
    <xf numFmtId="0" fontId="158" fillId="0" borderId="0" xfId="101" applyFont="1" applyAlignment="1" applyProtection="1">
      <alignment horizontal="left"/>
      <protection hidden="1"/>
    </xf>
    <xf numFmtId="0" fontId="158" fillId="0" borderId="27" xfId="101" applyFont="1" applyBorder="1" applyProtection="1">
      <protection hidden="1"/>
    </xf>
    <xf numFmtId="0" fontId="158" fillId="0" borderId="15" xfId="101" applyFont="1" applyBorder="1" applyProtection="1">
      <protection hidden="1"/>
    </xf>
    <xf numFmtId="0" fontId="158" fillId="0" borderId="31" xfId="101" applyFont="1" applyBorder="1" applyProtection="1">
      <protection hidden="1"/>
    </xf>
    <xf numFmtId="9" fontId="21" fillId="0" borderId="29" xfId="65" applyNumberFormat="1" applyBorder="1">
      <alignment vertical="center"/>
    </xf>
    <xf numFmtId="0" fontId="21" fillId="0" borderId="29" xfId="65" applyBorder="1" applyAlignment="1">
      <alignment horizontal="right" vertical="center"/>
    </xf>
    <xf numFmtId="0" fontId="144" fillId="36" borderId="0" xfId="1" applyFont="1" applyFill="1" applyAlignment="1" applyProtection="1">
      <alignment horizontal="right" vertical="center"/>
      <protection hidden="1"/>
    </xf>
    <xf numFmtId="0" fontId="60" fillId="25" borderId="15" xfId="101" applyFont="1" applyFill="1" applyBorder="1" applyAlignment="1" applyProtection="1">
      <alignment horizontal="left" vertical="center"/>
      <protection hidden="1"/>
    </xf>
    <xf numFmtId="0" fontId="150" fillId="0" borderId="0" xfId="101" applyFont="1" applyAlignment="1" applyProtection="1">
      <alignment horizontal="left" vertical="center"/>
      <protection hidden="1"/>
    </xf>
    <xf numFmtId="0" fontId="157" fillId="0" borderId="0" xfId="101" applyFont="1" applyAlignment="1" applyProtection="1">
      <alignment horizontal="right" vertical="center"/>
      <protection hidden="1"/>
    </xf>
    <xf numFmtId="0" fontId="15" fillId="0" borderId="0" xfId="102" applyFont="1" applyAlignment="1">
      <alignment horizontal="right" vertical="center"/>
    </xf>
    <xf numFmtId="0" fontId="60" fillId="0" borderId="15" xfId="101" applyFont="1" applyBorder="1" applyAlignment="1" applyProtection="1">
      <alignment horizontal="right" vertical="center"/>
      <protection hidden="1"/>
    </xf>
    <xf numFmtId="0" fontId="50" fillId="0" borderId="15" xfId="102" applyFont="1" applyBorder="1" applyAlignment="1">
      <alignment vertical="center"/>
    </xf>
    <xf numFmtId="0" fontId="60" fillId="25" borderId="15" xfId="101" applyFont="1" applyFill="1" applyBorder="1" applyAlignment="1" applyProtection="1">
      <alignment horizontal="right" vertical="center"/>
      <protection hidden="1"/>
    </xf>
    <xf numFmtId="0" fontId="0" fillId="0" borderId="29" xfId="0" applyBorder="1"/>
    <xf numFmtId="0" fontId="0" fillId="0" borderId="29" xfId="0" applyBorder="1" applyAlignment="1">
      <alignment vertical="center" wrapText="1"/>
    </xf>
    <xf numFmtId="0" fontId="17" fillId="41" borderId="29" xfId="1" applyFont="1" applyFill="1" applyBorder="1" applyAlignment="1" applyProtection="1">
      <alignment vertical="center" wrapText="1"/>
      <protection hidden="1"/>
    </xf>
    <xf numFmtId="0" fontId="0" fillId="0" borderId="10" xfId="0" applyBorder="1" applyAlignment="1">
      <alignment horizontal="left" vertical="center"/>
    </xf>
    <xf numFmtId="0" fontId="34" fillId="0" borderId="22" xfId="68" applyFont="1" applyBorder="1" applyAlignment="1" applyProtection="1">
      <alignment horizontal="center" vertical="center"/>
      <protection hidden="1"/>
    </xf>
    <xf numFmtId="0" fontId="33" fillId="0" borderId="22" xfId="68" applyFont="1" applyBorder="1" applyAlignment="1" applyProtection="1">
      <alignment horizontal="center" vertical="center" wrapText="1"/>
      <protection hidden="1"/>
    </xf>
    <xf numFmtId="0" fontId="36" fillId="0" borderId="30" xfId="68" applyFont="1" applyBorder="1" applyAlignment="1" applyProtection="1">
      <alignment horizontal="center" vertical="center"/>
      <protection hidden="1"/>
    </xf>
    <xf numFmtId="0" fontId="21" fillId="48" borderId="29" xfId="65" applyFill="1" applyBorder="1" applyAlignment="1">
      <alignment horizontal="center" vertical="center"/>
    </xf>
    <xf numFmtId="0" fontId="21" fillId="34" borderId="29" xfId="65" applyFill="1" applyBorder="1">
      <alignment vertical="center"/>
    </xf>
    <xf numFmtId="0" fontId="21" fillId="0" borderId="29" xfId="0" applyFont="1" applyBorder="1" applyAlignment="1">
      <alignment vertical="center"/>
    </xf>
    <xf numFmtId="14" fontId="21" fillId="40" borderId="29" xfId="65" applyNumberFormat="1" applyFill="1" applyBorder="1" applyAlignment="1">
      <alignment horizontal="center" vertical="center"/>
    </xf>
    <xf numFmtId="14" fontId="21" fillId="26" borderId="29" xfId="65" applyNumberFormat="1" applyFill="1" applyBorder="1" applyAlignment="1">
      <alignment horizontal="center" vertical="center"/>
    </xf>
    <xf numFmtId="14" fontId="21" fillId="0" borderId="29" xfId="65" applyNumberFormat="1" applyBorder="1" applyAlignment="1">
      <alignment horizontal="center" vertical="center"/>
    </xf>
    <xf numFmtId="14" fontId="21" fillId="56" borderId="29" xfId="65" applyNumberFormat="1" applyFill="1" applyBorder="1" applyAlignment="1">
      <alignment horizontal="center" vertical="center"/>
    </xf>
    <xf numFmtId="0" fontId="21" fillId="28" borderId="29" xfId="65" applyFill="1" applyBorder="1" applyAlignment="1">
      <alignment horizontal="center" vertical="center"/>
    </xf>
    <xf numFmtId="0" fontId="21" fillId="51" borderId="29" xfId="65" applyFill="1" applyBorder="1" applyAlignment="1">
      <alignment horizontal="center" vertical="center"/>
    </xf>
    <xf numFmtId="178" fontId="21" fillId="0" borderId="29" xfId="65" applyNumberFormat="1" applyBorder="1" applyAlignment="1">
      <alignment horizontal="center" vertical="center"/>
    </xf>
    <xf numFmtId="178" fontId="21" fillId="56" borderId="29" xfId="65" applyNumberFormat="1" applyFill="1" applyBorder="1" applyAlignment="1">
      <alignment horizontal="center" vertical="center"/>
    </xf>
    <xf numFmtId="177" fontId="21" fillId="0" borderId="29" xfId="0" applyNumberFormat="1" applyFont="1" applyBorder="1" applyAlignment="1">
      <alignment vertical="center"/>
    </xf>
    <xf numFmtId="0" fontId="21" fillId="27" borderId="29" xfId="65" applyFill="1" applyBorder="1" applyAlignment="1">
      <alignment horizontal="center" vertical="center"/>
    </xf>
    <xf numFmtId="0" fontId="115" fillId="51" borderId="29" xfId="0" applyFont="1" applyFill="1" applyBorder="1" applyAlignment="1">
      <alignment vertical="center" wrapText="1"/>
    </xf>
    <xf numFmtId="0" fontId="21" fillId="46" borderId="29" xfId="65" applyFill="1" applyBorder="1">
      <alignment vertical="center"/>
    </xf>
    <xf numFmtId="0" fontId="63" fillId="0" borderId="0" xfId="107" applyFont="1" applyAlignment="1">
      <alignment horizontal="center"/>
    </xf>
    <xf numFmtId="0" fontId="63" fillId="0" borderId="0" xfId="107" applyFont="1" applyAlignment="1">
      <alignment wrapText="1"/>
    </xf>
    <xf numFmtId="0" fontId="21" fillId="28" borderId="29" xfId="65" applyFill="1" applyBorder="1">
      <alignment vertical="center"/>
    </xf>
    <xf numFmtId="0" fontId="21" fillId="43" borderId="29" xfId="0" applyFont="1" applyFill="1" applyBorder="1" applyAlignment="1">
      <alignment vertical="center"/>
    </xf>
    <xf numFmtId="0" fontId="21" fillId="29" borderId="29" xfId="65" applyFill="1" applyBorder="1" applyAlignment="1">
      <alignment horizontal="center" vertical="center"/>
    </xf>
    <xf numFmtId="0" fontId="21" fillId="29" borderId="29" xfId="65" applyFill="1" applyBorder="1">
      <alignment vertical="center"/>
    </xf>
    <xf numFmtId="0" fontId="21" fillId="29" borderId="20" xfId="65" applyFill="1" applyBorder="1" applyAlignment="1">
      <alignment horizontal="center" vertical="center"/>
    </xf>
    <xf numFmtId="0" fontId="21" fillId="0" borderId="30" xfId="65" applyBorder="1" applyAlignment="1">
      <alignment horizontal="center" vertical="center"/>
    </xf>
    <xf numFmtId="0" fontId="21" fillId="0" borderId="22" xfId="65" applyBorder="1" applyAlignment="1">
      <alignment horizontal="center" vertical="center"/>
    </xf>
    <xf numFmtId="0" fontId="21" fillId="0" borderId="31" xfId="65" applyBorder="1" applyAlignment="1">
      <alignment horizontal="center" vertical="center"/>
    </xf>
    <xf numFmtId="0" fontId="21" fillId="0" borderId="15" xfId="65" applyBorder="1" applyAlignment="1">
      <alignment horizontal="center" vertical="center"/>
    </xf>
    <xf numFmtId="0" fontId="15" fillId="0" borderId="0" xfId="1" applyAlignment="1" applyProtection="1">
      <alignment horizontal="left"/>
      <protection hidden="1"/>
    </xf>
    <xf numFmtId="0" fontId="21" fillId="56" borderId="29" xfId="65" applyFill="1" applyBorder="1" applyAlignment="1">
      <alignment horizontal="center" vertical="center"/>
    </xf>
    <xf numFmtId="0" fontId="21" fillId="48" borderId="16" xfId="65" applyFill="1" applyBorder="1" applyAlignment="1">
      <alignment horizontal="center" vertical="center"/>
    </xf>
    <xf numFmtId="0" fontId="21" fillId="0" borderId="26" xfId="65" applyBorder="1">
      <alignment vertical="center"/>
    </xf>
    <xf numFmtId="0" fontId="21" fillId="56" borderId="29" xfId="65" applyFill="1" applyBorder="1" applyAlignment="1">
      <alignment horizontal="left" vertical="center"/>
    </xf>
    <xf numFmtId="192" fontId="21" fillId="56" borderId="29" xfId="65" applyNumberFormat="1" applyFill="1" applyBorder="1" applyAlignment="1">
      <alignment horizontal="center" vertical="center"/>
    </xf>
    <xf numFmtId="0" fontId="21" fillId="40" borderId="29" xfId="65" applyFill="1" applyBorder="1">
      <alignment vertical="center"/>
    </xf>
    <xf numFmtId="0" fontId="21" fillId="0" borderId="22" xfId="65" applyBorder="1">
      <alignment vertical="center"/>
    </xf>
    <xf numFmtId="14" fontId="21" fillId="0" borderId="29" xfId="65" applyNumberFormat="1" applyBorder="1">
      <alignment vertical="center"/>
    </xf>
    <xf numFmtId="0" fontId="63" fillId="0" borderId="0" xfId="108" applyFont="1" applyAlignment="1">
      <alignment horizontal="center"/>
    </xf>
    <xf numFmtId="0" fontId="63" fillId="0" borderId="0" xfId="108" applyFont="1" applyAlignment="1">
      <alignment wrapText="1"/>
    </xf>
    <xf numFmtId="0" fontId="21" fillId="39" borderId="29" xfId="65" applyFill="1" applyBorder="1" applyAlignment="1">
      <alignment horizontal="center" vertical="center"/>
    </xf>
    <xf numFmtId="0" fontId="21" fillId="39" borderId="29" xfId="65" applyFill="1" applyBorder="1">
      <alignment vertical="center"/>
    </xf>
    <xf numFmtId="0" fontId="0" fillId="43" borderId="29" xfId="0" applyFill="1" applyBorder="1" applyAlignment="1">
      <alignment vertical="center"/>
    </xf>
    <xf numFmtId="0" fontId="21" fillId="33" borderId="29" xfId="2" applyFont="1" applyFill="1" applyBorder="1" applyAlignment="1" applyProtection="1">
      <alignment shrinkToFit="1"/>
      <protection hidden="1"/>
    </xf>
    <xf numFmtId="0" fontId="0" fillId="42" borderId="29" xfId="0" applyFill="1" applyBorder="1" applyAlignment="1">
      <alignment vertical="center"/>
    </xf>
    <xf numFmtId="0" fontId="0" fillId="45" borderId="29" xfId="0" applyFill="1" applyBorder="1" applyAlignment="1">
      <alignment horizontal="center" vertical="center"/>
    </xf>
    <xf numFmtId="0" fontId="0" fillId="45" borderId="29" xfId="0" applyFill="1" applyBorder="1" applyAlignment="1">
      <alignment vertical="center"/>
    </xf>
    <xf numFmtId="0" fontId="0" fillId="46" borderId="29" xfId="0" applyFill="1" applyBorder="1" applyAlignment="1">
      <alignment vertical="center"/>
    </xf>
    <xf numFmtId="0" fontId="21" fillId="0" borderId="29" xfId="2" applyFont="1" applyBorder="1" applyAlignment="1" applyProtection="1">
      <alignment horizontal="center" shrinkToFit="1"/>
      <protection hidden="1"/>
    </xf>
    <xf numFmtId="0" fontId="95" fillId="30" borderId="29" xfId="65" applyFont="1" applyFill="1" applyBorder="1">
      <alignment vertical="center"/>
    </xf>
    <xf numFmtId="0" fontId="21" fillId="32" borderId="29" xfId="65" applyFill="1" applyBorder="1" applyAlignment="1">
      <alignment horizontal="center" vertical="center"/>
    </xf>
    <xf numFmtId="14" fontId="21" fillId="32" borderId="29" xfId="65" applyNumberFormat="1" applyFill="1" applyBorder="1" applyAlignment="1">
      <alignment horizontal="center" vertical="center"/>
    </xf>
    <xf numFmtId="178" fontId="21" fillId="32" borderId="29" xfId="65" applyNumberFormat="1" applyFill="1" applyBorder="1" applyAlignment="1">
      <alignment horizontal="center" vertical="center"/>
    </xf>
    <xf numFmtId="192" fontId="21" fillId="32" borderId="29" xfId="65" applyNumberFormat="1" applyFill="1" applyBorder="1" applyAlignment="1">
      <alignment horizontal="center" vertical="center"/>
    </xf>
    <xf numFmtId="0" fontId="21" fillId="33" borderId="29" xfId="65" applyFill="1" applyBorder="1" applyAlignment="1">
      <alignment horizontal="left" vertical="center"/>
    </xf>
    <xf numFmtId="0" fontId="21" fillId="33" borderId="29" xfId="65" applyFill="1" applyBorder="1" applyAlignment="1">
      <alignment horizontal="right" vertical="center"/>
    </xf>
    <xf numFmtId="0" fontId="21" fillId="33" borderId="29" xfId="1" applyFont="1" applyFill="1" applyBorder="1" applyAlignment="1">
      <alignment vertical="center"/>
    </xf>
    <xf numFmtId="0" fontId="95" fillId="28" borderId="29" xfId="65" applyFont="1" applyFill="1" applyBorder="1">
      <alignment vertical="center"/>
    </xf>
    <xf numFmtId="187" fontId="21" fillId="33" borderId="29" xfId="0" applyNumberFormat="1" applyFont="1" applyFill="1" applyBorder="1" applyAlignment="1">
      <alignment vertical="center"/>
    </xf>
    <xf numFmtId="187" fontId="0" fillId="0" borderId="29" xfId="0" applyNumberFormat="1" applyBorder="1" applyAlignment="1">
      <alignment vertical="center"/>
    </xf>
    <xf numFmtId="0" fontId="21" fillId="0" borderId="29" xfId="65" applyBorder="1" applyAlignment="1">
      <alignment horizontal="left" vertical="center"/>
    </xf>
    <xf numFmtId="0" fontId="0" fillId="0" borderId="29" xfId="0" applyBorder="1" applyAlignment="1">
      <alignment horizontal="left" vertical="center"/>
    </xf>
    <xf numFmtId="0" fontId="21" fillId="41" borderId="29" xfId="65" applyFill="1" applyBorder="1" applyAlignment="1">
      <alignment horizontal="center" vertical="center"/>
    </xf>
    <xf numFmtId="0" fontId="21" fillId="33" borderId="29" xfId="0" applyFont="1" applyFill="1" applyBorder="1" applyAlignment="1">
      <alignment vertical="center"/>
    </xf>
    <xf numFmtId="176" fontId="21" fillId="33" borderId="29" xfId="65" applyNumberFormat="1" applyFill="1" applyBorder="1">
      <alignment vertical="center"/>
    </xf>
    <xf numFmtId="0" fontId="0" fillId="39" borderId="29" xfId="0" applyFill="1" applyBorder="1"/>
    <xf numFmtId="0" fontId="21" fillId="50" borderId="29" xfId="65" applyFill="1" applyBorder="1" applyAlignment="1">
      <alignment horizontal="center" vertical="center"/>
    </xf>
    <xf numFmtId="0" fontId="21" fillId="50" borderId="29" xfId="0" applyFont="1" applyFill="1" applyBorder="1" applyAlignment="1">
      <alignment horizontal="center" vertical="center"/>
    </xf>
    <xf numFmtId="0" fontId="21" fillId="33" borderId="29" xfId="0" applyFont="1" applyFill="1" applyBorder="1" applyAlignment="1">
      <alignment horizontal="center" vertical="center"/>
    </xf>
    <xf numFmtId="180" fontId="27" fillId="0" borderId="0" xfId="68" applyNumberFormat="1" applyFont="1" applyAlignment="1" applyProtection="1">
      <alignment horizontal="center" vertical="center"/>
      <protection hidden="1"/>
    </xf>
    <xf numFmtId="0" fontId="29" fillId="43" borderId="29" xfId="68" applyFont="1" applyFill="1" applyBorder="1" applyAlignment="1" applyProtection="1">
      <alignment horizontal="center" vertical="center" shrinkToFit="1"/>
      <protection locked="0"/>
    </xf>
    <xf numFmtId="185" fontId="27" fillId="0" borderId="0" xfId="68" applyNumberFormat="1" applyFont="1" applyAlignment="1" applyProtection="1">
      <alignment horizontal="center" vertical="center"/>
      <protection hidden="1"/>
    </xf>
    <xf numFmtId="180" fontId="27" fillId="0" borderId="0" xfId="68" applyNumberFormat="1" applyFont="1" applyAlignment="1" applyProtection="1">
      <alignment horizontal="left" vertical="center" shrinkToFit="1"/>
      <protection hidden="1"/>
    </xf>
    <xf numFmtId="185" fontId="27" fillId="0" borderId="0" xfId="68" applyNumberFormat="1" applyFont="1" applyAlignment="1" applyProtection="1">
      <alignment horizontal="left" vertical="center" shrinkToFit="1"/>
      <protection hidden="1"/>
    </xf>
    <xf numFmtId="0" fontId="21" fillId="57" borderId="29" xfId="65" applyFill="1" applyBorder="1">
      <alignment vertical="center"/>
    </xf>
    <xf numFmtId="0" fontId="63" fillId="0" borderId="45" xfId="63" applyFont="1" applyBorder="1" applyAlignment="1">
      <alignment wrapText="1"/>
    </xf>
    <xf numFmtId="0" fontId="102" fillId="0" borderId="45" xfId="60" applyFont="1" applyBorder="1" applyAlignment="1">
      <alignment horizontal="right" wrapText="1"/>
    </xf>
    <xf numFmtId="0" fontId="102" fillId="36" borderId="45" xfId="60" applyFont="1" applyFill="1" applyBorder="1" applyAlignment="1">
      <alignment horizontal="right" wrapText="1"/>
    </xf>
    <xf numFmtId="0" fontId="15" fillId="0" borderId="0" xfId="0" applyFont="1"/>
    <xf numFmtId="0" fontId="171" fillId="0" borderId="0" xfId="109" applyFont="1">
      <alignment vertical="center"/>
    </xf>
    <xf numFmtId="0" fontId="63" fillId="0" borderId="45" xfId="63" applyFont="1" applyBorder="1" applyAlignment="1">
      <alignment horizontal="right" wrapText="1"/>
    </xf>
    <xf numFmtId="0" fontId="0" fillId="0" borderId="0" xfId="0" quotePrefix="1"/>
    <xf numFmtId="0" fontId="17" fillId="0" borderId="0" xfId="63" applyFont="1" applyAlignment="1">
      <alignment horizontal="center"/>
    </xf>
    <xf numFmtId="49" fontId="171" fillId="0" borderId="0" xfId="109" applyNumberFormat="1" applyFont="1">
      <alignment vertical="center"/>
    </xf>
    <xf numFmtId="38" fontId="44" fillId="0" borderId="0" xfId="0" applyNumberFormat="1" applyFont="1"/>
    <xf numFmtId="38" fontId="44" fillId="0" borderId="0" xfId="72" applyNumberFormat="1" applyFont="1" applyFill="1" applyBorder="1" applyAlignment="1">
      <alignment vertical="center" shrinkToFit="1"/>
    </xf>
    <xf numFmtId="38" fontId="44" fillId="0" borderId="29" xfId="0" applyNumberFormat="1" applyFont="1" applyBorder="1"/>
    <xf numFmtId="191" fontId="44" fillId="0" borderId="29" xfId="72" applyNumberFormat="1" applyFont="1" applyFill="1" applyBorder="1" applyAlignment="1" applyProtection="1">
      <alignment vertical="center" shrinkToFit="1"/>
      <protection hidden="1"/>
    </xf>
    <xf numFmtId="38" fontId="44" fillId="0" borderId="29" xfId="72" applyNumberFormat="1" applyFont="1" applyFill="1" applyBorder="1" applyAlignment="1">
      <alignment vertical="center" shrinkToFit="1"/>
    </xf>
    <xf numFmtId="1" fontId="15" fillId="0" borderId="0" xfId="0" applyNumberFormat="1" applyFont="1"/>
    <xf numFmtId="1" fontId="171" fillId="0" borderId="0" xfId="109" applyNumberFormat="1" applyFont="1">
      <alignment vertical="center"/>
    </xf>
    <xf numFmtId="0" fontId="15" fillId="0" borderId="0" xfId="0" applyFont="1" applyAlignment="1">
      <alignment horizontal="center" vertical="center"/>
    </xf>
    <xf numFmtId="0" fontId="15" fillId="0" borderId="0" xfId="0" quotePrefix="1" applyFont="1" applyAlignment="1">
      <alignment horizontal="center" vertical="center"/>
    </xf>
    <xf numFmtId="0" fontId="15" fillId="0" borderId="0" xfId="0" quotePrefix="1" applyFont="1"/>
    <xf numFmtId="0" fontId="167" fillId="0" borderId="0" xfId="105" applyFont="1" applyAlignment="1" applyProtection="1">
      <alignment vertical="center"/>
      <protection hidden="1"/>
    </xf>
    <xf numFmtId="0" fontId="21" fillId="48" borderId="29" xfId="65" applyFill="1" applyBorder="1">
      <alignment vertical="center"/>
    </xf>
    <xf numFmtId="10" fontId="21" fillId="48" borderId="29" xfId="65" applyNumberFormat="1" applyFill="1" applyBorder="1" applyAlignment="1">
      <alignment horizontal="center" vertical="center"/>
    </xf>
    <xf numFmtId="0" fontId="95" fillId="48" borderId="29" xfId="65" applyFont="1" applyFill="1" applyBorder="1" applyAlignment="1">
      <alignment horizontal="center" vertical="center"/>
    </xf>
    <xf numFmtId="0" fontId="21" fillId="48" borderId="11" xfId="65" applyFill="1" applyBorder="1" applyAlignment="1">
      <alignment horizontal="center" vertical="center"/>
    </xf>
    <xf numFmtId="0" fontId="21" fillId="48" borderId="29" xfId="65" applyFill="1" applyBorder="1" applyAlignment="1">
      <alignment horizontal="left" vertical="center"/>
    </xf>
    <xf numFmtId="0" fontId="21" fillId="48" borderId="29" xfId="65" applyFill="1" applyBorder="1" applyProtection="1">
      <alignment vertical="center"/>
      <protection locked="0" hidden="1"/>
    </xf>
    <xf numFmtId="0" fontId="95" fillId="48" borderId="29" xfId="65" applyFont="1" applyFill="1" applyBorder="1">
      <alignment vertical="center"/>
    </xf>
    <xf numFmtId="49" fontId="21" fillId="48" borderId="0" xfId="65" applyNumberFormat="1" applyFill="1" applyAlignment="1">
      <alignment horizontal="center" vertical="center"/>
    </xf>
    <xf numFmtId="0" fontId="0" fillId="0" borderId="0" xfId="105" applyFont="1" applyProtection="1">
      <protection hidden="1"/>
    </xf>
    <xf numFmtId="195" fontId="106" fillId="0" borderId="0" xfId="68" applyNumberFormat="1" applyFont="1" applyAlignment="1" applyProtection="1">
      <alignment horizontal="center" vertical="center"/>
      <protection hidden="1"/>
    </xf>
    <xf numFmtId="0" fontId="95" fillId="33" borderId="11" xfId="65" applyFont="1" applyFill="1" applyBorder="1">
      <alignment vertical="center"/>
    </xf>
    <xf numFmtId="0" fontId="97" fillId="0" borderId="0" xfId="105" applyFont="1" applyAlignment="1" applyProtection="1">
      <alignment vertical="center"/>
      <protection hidden="1"/>
    </xf>
    <xf numFmtId="0" fontId="161" fillId="0" borderId="0" xfId="105" applyFont="1" applyAlignment="1" applyProtection="1">
      <alignment vertical="center"/>
      <protection hidden="1"/>
    </xf>
    <xf numFmtId="0" fontId="63" fillId="31" borderId="18" xfId="110" applyFont="1" applyFill="1" applyBorder="1" applyAlignment="1">
      <alignment horizontal="center"/>
    </xf>
    <xf numFmtId="0" fontId="110" fillId="0" borderId="0" xfId="0" applyFont="1" applyAlignment="1">
      <alignment horizontal="right" vertical="center"/>
    </xf>
    <xf numFmtId="0" fontId="0" fillId="0" borderId="0" xfId="0" applyAlignment="1">
      <alignment wrapText="1"/>
    </xf>
    <xf numFmtId="0" fontId="149" fillId="0" borderId="0" xfId="0" applyFont="1" applyAlignment="1">
      <alignment horizontal="center" vertical="center" shrinkToFit="1"/>
    </xf>
    <xf numFmtId="0" fontId="0" fillId="0" borderId="0" xfId="0" applyAlignment="1">
      <alignment vertical="center" shrinkToFit="1"/>
    </xf>
    <xf numFmtId="0" fontId="62" fillId="0" borderId="0" xfId="0" applyFont="1" applyAlignment="1" applyProtection="1">
      <alignment vertical="center"/>
      <protection hidden="1"/>
    </xf>
    <xf numFmtId="49" fontId="39" fillId="33" borderId="20" xfId="0" applyNumberFormat="1" applyFont="1" applyFill="1" applyBorder="1" applyAlignment="1" applyProtection="1">
      <alignment horizontal="left" vertical="center"/>
      <protection locked="0"/>
    </xf>
    <xf numFmtId="49" fontId="39" fillId="33" borderId="14" xfId="0" applyNumberFormat="1" applyFont="1" applyFill="1" applyBorder="1" applyAlignment="1" applyProtection="1">
      <alignment horizontal="left" vertical="center"/>
      <protection locked="0"/>
    </xf>
    <xf numFmtId="49" fontId="39" fillId="33" borderId="16" xfId="0" applyNumberFormat="1" applyFont="1" applyFill="1" applyBorder="1" applyAlignment="1" applyProtection="1">
      <alignment horizontal="left" vertical="center"/>
      <protection locked="0"/>
    </xf>
    <xf numFmtId="0" fontId="48" fillId="43" borderId="20" xfId="68" applyFont="1" applyFill="1" applyBorder="1" applyAlignment="1" applyProtection="1">
      <alignment horizontal="center" vertical="center" shrinkToFit="1"/>
      <protection locked="0"/>
    </xf>
    <xf numFmtId="0" fontId="48" fillId="43" borderId="16" xfId="68" applyFont="1" applyFill="1" applyBorder="1" applyAlignment="1" applyProtection="1">
      <alignment horizontal="center" vertical="center" shrinkToFit="1"/>
      <protection locked="0"/>
    </xf>
    <xf numFmtId="0" fontId="104" fillId="43" borderId="11" xfId="68" applyFont="1" applyFill="1" applyBorder="1" applyAlignment="1" applyProtection="1">
      <alignment horizontal="center" vertical="center"/>
      <protection locked="0" hidden="1"/>
    </xf>
    <xf numFmtId="0" fontId="108" fillId="43" borderId="20" xfId="68" applyFont="1" applyFill="1" applyBorder="1" applyAlignment="1" applyProtection="1">
      <alignment horizontal="center" vertical="center" shrinkToFit="1"/>
      <protection locked="0" hidden="1"/>
    </xf>
    <xf numFmtId="0" fontId="108" fillId="43" borderId="16" xfId="68" applyFont="1" applyFill="1" applyBorder="1" applyAlignment="1" applyProtection="1">
      <alignment horizontal="center" vertical="center" shrinkToFit="1"/>
      <protection locked="0" hidden="1"/>
    </xf>
    <xf numFmtId="0" fontId="144" fillId="36" borderId="0" xfId="1" applyFont="1" applyFill="1" applyAlignment="1" applyProtection="1">
      <alignment horizontal="center" vertical="center" shrinkToFit="1"/>
      <protection hidden="1"/>
    </xf>
    <xf numFmtId="0" fontId="132" fillId="36" borderId="0" xfId="0" applyFont="1" applyFill="1" applyAlignment="1" applyProtection="1">
      <alignment shrinkToFit="1"/>
      <protection hidden="1"/>
    </xf>
    <xf numFmtId="0" fontId="114" fillId="43" borderId="11" xfId="0" applyFont="1" applyFill="1" applyBorder="1" applyAlignment="1" applyProtection="1">
      <alignment horizontal="center" vertical="center"/>
      <protection locked="0" hidden="1"/>
    </xf>
    <xf numFmtId="0" fontId="95" fillId="0" borderId="19" xfId="1" applyFont="1" applyBorder="1" applyAlignment="1" applyProtection="1">
      <alignment horizontal="left" vertical="center" wrapText="1"/>
      <protection hidden="1"/>
    </xf>
    <xf numFmtId="0" fontId="95" fillId="0" borderId="0" xfId="1" applyFont="1" applyAlignment="1" applyProtection="1">
      <alignment horizontal="left" vertical="center" wrapText="1"/>
      <protection hidden="1"/>
    </xf>
    <xf numFmtId="0" fontId="95" fillId="0" borderId="28" xfId="1" applyFont="1" applyBorder="1" applyAlignment="1" applyProtection="1">
      <alignment horizontal="left" vertical="center" wrapText="1"/>
      <protection hidden="1"/>
    </xf>
    <xf numFmtId="177" fontId="103" fillId="41" borderId="20" xfId="68" applyNumberFormat="1" applyFont="1" applyFill="1" applyBorder="1" applyAlignment="1" applyProtection="1">
      <alignment horizontal="right" vertical="center"/>
      <protection locked="0" hidden="1"/>
    </xf>
    <xf numFmtId="177" fontId="103" fillId="41" borderId="14" xfId="68" applyNumberFormat="1" applyFont="1" applyFill="1" applyBorder="1" applyAlignment="1" applyProtection="1">
      <alignment horizontal="right" vertical="center"/>
      <protection locked="0" hidden="1"/>
    </xf>
    <xf numFmtId="177" fontId="103" fillId="41" borderId="16" xfId="68" applyNumberFormat="1" applyFont="1" applyFill="1" applyBorder="1" applyAlignment="1" applyProtection="1">
      <alignment horizontal="right" vertical="center"/>
      <protection locked="0" hidden="1"/>
    </xf>
    <xf numFmtId="0" fontId="39" fillId="0" borderId="24" xfId="1" applyFont="1" applyBorder="1" applyAlignment="1" applyProtection="1">
      <alignment horizontal="right" vertical="center" wrapText="1"/>
      <protection hidden="1"/>
    </xf>
    <xf numFmtId="0" fontId="39" fillId="0" borderId="0" xfId="1" applyFont="1" applyAlignment="1" applyProtection="1">
      <alignment horizontal="right" vertical="center"/>
      <protection hidden="1"/>
    </xf>
    <xf numFmtId="177" fontId="99" fillId="41" borderId="20" xfId="80" applyNumberFormat="1" applyFont="1" applyFill="1" applyBorder="1" applyAlignment="1" applyProtection="1">
      <alignment horizontal="center" vertical="center"/>
      <protection locked="0" hidden="1"/>
    </xf>
    <xf numFmtId="177" fontId="99" fillId="41" borderId="14" xfId="80" applyNumberFormat="1" applyFont="1" applyFill="1" applyBorder="1" applyAlignment="1" applyProtection="1">
      <alignment horizontal="center" vertical="center"/>
      <protection locked="0" hidden="1"/>
    </xf>
    <xf numFmtId="177" fontId="99" fillId="41" borderId="16" xfId="80" applyNumberFormat="1" applyFont="1" applyFill="1" applyBorder="1" applyAlignment="1" applyProtection="1">
      <alignment horizontal="center" vertical="center"/>
      <protection locked="0" hidden="1"/>
    </xf>
    <xf numFmtId="0" fontId="39" fillId="0" borderId="24" xfId="68" applyFont="1" applyBorder="1" applyAlignment="1" applyProtection="1">
      <alignment horizontal="right" vertical="center"/>
      <protection hidden="1"/>
    </xf>
    <xf numFmtId="0" fontId="27" fillId="0" borderId="0" xfId="68" applyFont="1" applyAlignment="1" applyProtection="1">
      <alignment horizontal="right" vertical="center"/>
      <protection hidden="1"/>
    </xf>
    <xf numFmtId="57" fontId="30" fillId="0" borderId="15" xfId="68" applyNumberFormat="1" applyFont="1" applyBorder="1" applyAlignment="1" applyProtection="1">
      <alignment horizontal="center" vertical="center"/>
      <protection hidden="1"/>
    </xf>
    <xf numFmtId="182" fontId="27" fillId="0" borderId="44" xfId="68" applyNumberFormat="1" applyFont="1" applyBorder="1" applyAlignment="1" applyProtection="1">
      <alignment horizontal="left" vertical="center" shrinkToFit="1"/>
      <protection hidden="1"/>
    </xf>
    <xf numFmtId="0" fontId="0" fillId="0" borderId="22" xfId="0" applyBorder="1" applyAlignment="1">
      <alignment horizontal="left" vertical="center" shrinkToFit="1"/>
    </xf>
    <xf numFmtId="0" fontId="56" fillId="34" borderId="25" xfId="68" applyFont="1" applyFill="1" applyBorder="1" applyAlignment="1" applyProtection="1">
      <alignment horizontal="center" vertical="center" shrinkToFit="1"/>
      <protection hidden="1"/>
    </xf>
    <xf numFmtId="0" fontId="57" fillId="34" borderId="11" xfId="68" applyFont="1" applyFill="1" applyBorder="1" applyAlignment="1" applyProtection="1">
      <alignment horizontal="center" vertical="center" shrinkToFit="1"/>
      <protection hidden="1"/>
    </xf>
    <xf numFmtId="0" fontId="57" fillId="34" borderId="29" xfId="68" applyFont="1" applyFill="1" applyBorder="1" applyAlignment="1" applyProtection="1">
      <alignment horizontal="center" vertical="center" shrinkToFit="1"/>
      <protection hidden="1"/>
    </xf>
    <xf numFmtId="0" fontId="29" fillId="43" borderId="14" xfId="68" applyFont="1" applyFill="1" applyBorder="1" applyAlignment="1" applyProtection="1">
      <alignment horizontal="center" vertical="center" shrinkToFit="1"/>
      <protection locked="0"/>
    </xf>
    <xf numFmtId="0" fontId="29" fillId="43" borderId="16" xfId="68" applyFont="1" applyFill="1" applyBorder="1" applyAlignment="1" applyProtection="1">
      <alignment horizontal="center" vertical="center" shrinkToFit="1"/>
      <protection locked="0"/>
    </xf>
    <xf numFmtId="0" fontId="95" fillId="0" borderId="25" xfId="68" applyFont="1" applyBorder="1" applyAlignment="1" applyProtection="1">
      <alignment horizontal="center" vertical="center" shrinkToFit="1"/>
      <protection hidden="1"/>
    </xf>
    <xf numFmtId="0" fontId="95" fillId="0" borderId="11" xfId="68" applyFont="1" applyBorder="1" applyAlignment="1" applyProtection="1">
      <alignment horizontal="center" vertical="center" shrinkToFit="1"/>
      <protection hidden="1"/>
    </xf>
    <xf numFmtId="0" fontId="95" fillId="0" borderId="29" xfId="68" applyFont="1" applyBorder="1" applyAlignment="1" applyProtection="1">
      <alignment horizontal="center" vertical="center" shrinkToFit="1"/>
      <protection hidden="1"/>
    </xf>
    <xf numFmtId="0" fontId="39" fillId="0" borderId="0" xfId="68" applyFont="1" applyAlignment="1" applyProtection="1">
      <alignment horizontal="left" vertical="center" shrinkToFit="1"/>
      <protection hidden="1"/>
    </xf>
    <xf numFmtId="0" fontId="29" fillId="43" borderId="20" xfId="68" applyFont="1" applyFill="1" applyBorder="1" applyAlignment="1" applyProtection="1">
      <alignment horizontal="center" vertical="center" shrinkToFit="1"/>
      <protection locked="0"/>
    </xf>
    <xf numFmtId="179" fontId="108" fillId="43" borderId="11" xfId="68" applyNumberFormat="1" applyFont="1" applyFill="1" applyBorder="1" applyAlignment="1" applyProtection="1">
      <alignment horizontal="center" vertical="center"/>
      <protection locked="0" hidden="1"/>
    </xf>
    <xf numFmtId="0" fontId="104" fillId="43" borderId="20" xfId="68" applyFont="1" applyFill="1" applyBorder="1" applyAlignment="1" applyProtection="1">
      <alignment horizontal="center" vertical="center"/>
      <protection locked="0" hidden="1"/>
    </xf>
    <xf numFmtId="0" fontId="104" fillId="43" borderId="14" xfId="68" applyFont="1" applyFill="1" applyBorder="1" applyAlignment="1" applyProtection="1">
      <alignment horizontal="center" vertical="center"/>
      <protection locked="0" hidden="1"/>
    </xf>
    <xf numFmtId="0" fontId="104" fillId="43" borderId="16" xfId="68" applyFont="1" applyFill="1" applyBorder="1" applyAlignment="1" applyProtection="1">
      <alignment horizontal="center" vertical="center"/>
      <protection locked="0" hidden="1"/>
    </xf>
    <xf numFmtId="0" fontId="104" fillId="43" borderId="20" xfId="68" applyFont="1" applyFill="1" applyBorder="1" applyAlignment="1" applyProtection="1">
      <alignment horizontal="center" vertical="center" shrinkToFit="1"/>
      <protection locked="0"/>
    </xf>
    <xf numFmtId="0" fontId="104" fillId="43" borderId="16" xfId="68" applyFont="1" applyFill="1" applyBorder="1" applyAlignment="1" applyProtection="1">
      <alignment horizontal="center" vertical="center" shrinkToFit="1"/>
      <protection locked="0"/>
    </xf>
    <xf numFmtId="0" fontId="104" fillId="43" borderId="11" xfId="68" applyFont="1" applyFill="1" applyBorder="1" applyAlignment="1" applyProtection="1">
      <alignment horizontal="center" vertical="center" shrinkToFit="1"/>
      <protection locked="0" hidden="1"/>
    </xf>
    <xf numFmtId="0" fontId="58" fillId="0" borderId="0" xfId="68" applyFont="1" applyAlignment="1" applyProtection="1">
      <alignment horizontal="center" vertical="center" shrinkToFit="1"/>
      <protection hidden="1"/>
    </xf>
    <xf numFmtId="0" fontId="39" fillId="25" borderId="0" xfId="68" applyFont="1" applyFill="1" applyAlignment="1" applyProtection="1">
      <alignment horizontal="right" vertical="center"/>
      <protection hidden="1"/>
    </xf>
    <xf numFmtId="0" fontId="46" fillId="0" borderId="0" xfId="68" applyFont="1" applyAlignment="1" applyProtection="1">
      <alignment horizontal="right" vertical="center" wrapText="1"/>
      <protection hidden="1"/>
    </xf>
    <xf numFmtId="0" fontId="35" fillId="0" borderId="0" xfId="68" applyFont="1" applyAlignment="1" applyProtection="1">
      <alignment horizontal="right" vertical="center" wrapText="1"/>
      <protection hidden="1"/>
    </xf>
    <xf numFmtId="0" fontId="35" fillId="0" borderId="33" xfId="68" applyFont="1" applyBorder="1" applyAlignment="1" applyProtection="1">
      <alignment horizontal="right" vertical="center" wrapText="1"/>
      <protection hidden="1"/>
    </xf>
    <xf numFmtId="195" fontId="29" fillId="43" borderId="20" xfId="68" applyNumberFormat="1" applyFont="1" applyFill="1" applyBorder="1" applyAlignment="1" applyProtection="1">
      <alignment horizontal="center" vertical="center" shrinkToFit="1"/>
      <protection locked="0"/>
    </xf>
    <xf numFmtId="195" fontId="29" fillId="43" borderId="14" xfId="68" applyNumberFormat="1" applyFont="1" applyFill="1" applyBorder="1" applyAlignment="1" applyProtection="1">
      <alignment horizontal="center" vertical="center" shrinkToFit="1"/>
      <protection locked="0"/>
    </xf>
    <xf numFmtId="195" fontId="29" fillId="43" borderId="16" xfId="68" applyNumberFormat="1" applyFont="1" applyFill="1" applyBorder="1" applyAlignment="1" applyProtection="1">
      <alignment horizontal="center" vertical="center" shrinkToFit="1"/>
      <protection locked="0"/>
    </xf>
    <xf numFmtId="200" fontId="108" fillId="43" borderId="11" xfId="68" applyNumberFormat="1" applyFont="1" applyFill="1" applyBorder="1" applyAlignment="1" applyProtection="1">
      <alignment horizontal="center" vertical="center"/>
      <protection locked="0" hidden="1"/>
    </xf>
    <xf numFmtId="0" fontId="27" fillId="0" borderId="0" xfId="68" applyFont="1" applyAlignment="1" applyProtection="1">
      <alignment horizontal="center" vertical="center" shrinkToFit="1"/>
      <protection hidden="1"/>
    </xf>
    <xf numFmtId="177" fontId="108" fillId="43" borderId="20" xfId="68" applyNumberFormat="1" applyFont="1" applyFill="1" applyBorder="1" applyAlignment="1" applyProtection="1">
      <alignment horizontal="center" vertical="center" shrinkToFit="1"/>
      <protection locked="0" hidden="1"/>
    </xf>
    <xf numFmtId="177" fontId="108" fillId="43" borderId="16" xfId="68" applyNumberFormat="1" applyFont="1" applyFill="1" applyBorder="1" applyAlignment="1" applyProtection="1">
      <alignment horizontal="center" vertical="center" shrinkToFit="1"/>
      <protection locked="0" hidden="1"/>
    </xf>
    <xf numFmtId="0" fontId="117" fillId="0" borderId="0" xfId="68" applyFont="1" applyAlignment="1" applyProtection="1">
      <alignment horizontal="right" vertical="center" wrapText="1"/>
      <protection hidden="1"/>
    </xf>
    <xf numFmtId="10" fontId="27" fillId="0" borderId="0" xfId="68" applyNumberFormat="1" applyFont="1" applyAlignment="1" applyProtection="1">
      <alignment horizontal="center" vertical="center"/>
      <protection hidden="1"/>
    </xf>
    <xf numFmtId="0" fontId="21" fillId="0" borderId="0" xfId="68" applyFont="1" applyAlignment="1" applyProtection="1">
      <alignment horizontal="right" vertical="center"/>
      <protection hidden="1"/>
    </xf>
    <xf numFmtId="0" fontId="55" fillId="0" borderId="0" xfId="68" applyFont="1" applyAlignment="1" applyProtection="1">
      <alignment horizontal="center" vertical="center" shrinkToFit="1"/>
      <protection locked="0"/>
    </xf>
    <xf numFmtId="0" fontId="58" fillId="0" borderId="24" xfId="68" applyFont="1" applyBorder="1" applyAlignment="1" applyProtection="1">
      <alignment horizontal="left" vertical="center" wrapText="1"/>
      <protection hidden="1"/>
    </xf>
    <xf numFmtId="0" fontId="0" fillId="0" borderId="0" xfId="0" applyAlignment="1">
      <alignment wrapText="1"/>
    </xf>
    <xf numFmtId="0" fontId="0" fillId="0" borderId="24" xfId="0" applyBorder="1" applyAlignment="1">
      <alignment wrapText="1"/>
    </xf>
    <xf numFmtId="0" fontId="0" fillId="0" borderId="27" xfId="0" applyBorder="1" applyAlignment="1">
      <alignment wrapText="1"/>
    </xf>
    <xf numFmtId="0" fontId="0" fillId="0" borderId="15" xfId="0" applyBorder="1" applyAlignment="1">
      <alignment wrapText="1"/>
    </xf>
    <xf numFmtId="0" fontId="95" fillId="0" borderId="0" xfId="68" applyFont="1" applyAlignment="1" applyProtection="1">
      <alignment horizontal="left" vertical="center" shrinkToFit="1"/>
      <protection hidden="1"/>
    </xf>
    <xf numFmtId="0" fontId="48" fillId="0" borderId="0" xfId="68" applyFont="1" applyAlignment="1" applyProtection="1">
      <alignment horizontal="left" vertical="center" shrinkToFit="1"/>
      <protection hidden="1"/>
    </xf>
    <xf numFmtId="0" fontId="69" fillId="39" borderId="15" xfId="55" applyFill="1" applyBorder="1" applyAlignment="1">
      <alignment horizontal="center" vertical="center"/>
    </xf>
    <xf numFmtId="0" fontId="138" fillId="53" borderId="38" xfId="0" applyFont="1" applyFill="1" applyBorder="1" applyAlignment="1">
      <alignment horizontal="left" vertical="center" wrapText="1" indent="1"/>
    </xf>
    <xf numFmtId="0" fontId="138" fillId="53" borderId="37" xfId="0" applyFont="1" applyFill="1" applyBorder="1" applyAlignment="1">
      <alignment horizontal="left" vertical="center" wrapText="1" indent="1"/>
    </xf>
    <xf numFmtId="0" fontId="133" fillId="53" borderId="40" xfId="0" applyFont="1" applyFill="1" applyBorder="1" applyAlignment="1">
      <alignment vertical="center" wrapText="1"/>
    </xf>
    <xf numFmtId="0" fontId="133" fillId="53" borderId="41" xfId="0" applyFont="1" applyFill="1" applyBorder="1" applyAlignment="1">
      <alignment vertical="center" wrapText="1"/>
    </xf>
    <xf numFmtId="0" fontId="133" fillId="53" borderId="12" xfId="0" applyFont="1" applyFill="1" applyBorder="1" applyAlignment="1">
      <alignment horizontal="center" vertical="center" wrapText="1"/>
    </xf>
    <xf numFmtId="0" fontId="133" fillId="53" borderId="13" xfId="0" applyFont="1" applyFill="1" applyBorder="1" applyAlignment="1">
      <alignment horizontal="center" vertical="center" wrapText="1"/>
    </xf>
    <xf numFmtId="0" fontId="138" fillId="53" borderId="42" xfId="0" applyFont="1" applyFill="1" applyBorder="1" applyAlignment="1">
      <alignment horizontal="left" vertical="center" wrapText="1" indent="1"/>
    </xf>
    <xf numFmtId="0" fontId="135" fillId="53" borderId="38" xfId="0" applyFont="1" applyFill="1" applyBorder="1" applyAlignment="1">
      <alignment vertical="center" wrapText="1"/>
    </xf>
    <xf numFmtId="0" fontId="135" fillId="53" borderId="42" xfId="0" applyFont="1" applyFill="1" applyBorder="1" applyAlignment="1">
      <alignment vertical="center" wrapText="1"/>
    </xf>
    <xf numFmtId="0" fontId="135" fillId="53" borderId="37" xfId="0" applyFont="1" applyFill="1" applyBorder="1" applyAlignment="1">
      <alignment vertical="center" wrapText="1"/>
    </xf>
    <xf numFmtId="0" fontId="133" fillId="53" borderId="43" xfId="0" applyFont="1" applyFill="1" applyBorder="1" applyAlignment="1">
      <alignment vertical="center" wrapText="1"/>
    </xf>
    <xf numFmtId="0" fontId="133" fillId="53" borderId="21" xfId="0" applyFont="1" applyFill="1" applyBorder="1" applyAlignment="1">
      <alignment horizontal="center" vertical="center" wrapText="1"/>
    </xf>
    <xf numFmtId="0" fontId="135" fillId="53" borderId="38" xfId="0" applyFont="1" applyFill="1" applyBorder="1" applyAlignment="1">
      <alignment horizontal="left" vertical="center" wrapText="1" indent="1"/>
    </xf>
    <xf numFmtId="0" fontId="135" fillId="53" borderId="37" xfId="0" applyFont="1" applyFill="1" applyBorder="1" applyAlignment="1">
      <alignment horizontal="left" vertical="center" wrapText="1" indent="1"/>
    </xf>
    <xf numFmtId="0" fontId="137" fillId="33" borderId="12" xfId="0" applyFont="1" applyFill="1" applyBorder="1" applyAlignment="1">
      <alignment horizontal="center" vertical="center" wrapText="1"/>
    </xf>
    <xf numFmtId="0" fontId="137" fillId="33" borderId="13" xfId="0" applyFont="1" applyFill="1" applyBorder="1" applyAlignment="1">
      <alignment horizontal="center" vertical="center" wrapText="1"/>
    </xf>
    <xf numFmtId="0" fontId="133" fillId="33" borderId="12" xfId="0" applyFont="1" applyFill="1" applyBorder="1" applyAlignment="1">
      <alignment horizontal="center" vertical="center" wrapText="1"/>
    </xf>
    <xf numFmtId="0" fontId="133" fillId="33" borderId="13" xfId="0" applyFont="1" applyFill="1" applyBorder="1" applyAlignment="1">
      <alignment horizontal="center" vertical="center" wrapText="1"/>
    </xf>
    <xf numFmtId="0" fontId="135" fillId="53" borderId="42" xfId="0" applyFont="1" applyFill="1" applyBorder="1" applyAlignment="1">
      <alignment horizontal="left" vertical="center" wrapText="1" indent="1"/>
    </xf>
    <xf numFmtId="0" fontId="133" fillId="33" borderId="21" xfId="0" applyFont="1" applyFill="1" applyBorder="1" applyAlignment="1">
      <alignment horizontal="center" vertical="center" wrapText="1"/>
    </xf>
    <xf numFmtId="0" fontId="135" fillId="53" borderId="40" xfId="0" applyFont="1" applyFill="1" applyBorder="1" applyAlignment="1">
      <alignment vertical="center" wrapText="1"/>
    </xf>
    <xf numFmtId="0" fontId="135" fillId="53" borderId="43" xfId="0" applyFont="1" applyFill="1" applyBorder="1" applyAlignment="1">
      <alignment vertical="center" wrapText="1"/>
    </xf>
    <xf numFmtId="0" fontId="135" fillId="53" borderId="41" xfId="0" applyFont="1" applyFill="1" applyBorder="1" applyAlignment="1">
      <alignment vertical="center" wrapText="1"/>
    </xf>
    <xf numFmtId="0" fontId="135" fillId="33" borderId="12" xfId="0" applyFont="1" applyFill="1" applyBorder="1" applyAlignment="1">
      <alignment horizontal="center" vertical="center" wrapText="1"/>
    </xf>
    <xf numFmtId="0" fontId="135" fillId="33" borderId="21" xfId="0" applyFont="1" applyFill="1" applyBorder="1" applyAlignment="1">
      <alignment horizontal="center" vertical="center" wrapText="1"/>
    </xf>
    <xf numFmtId="0" fontId="135" fillId="33" borderId="13" xfId="0" applyFont="1" applyFill="1" applyBorder="1" applyAlignment="1">
      <alignment horizontal="center" vertical="center" wrapText="1"/>
    </xf>
    <xf numFmtId="0" fontId="133" fillId="0" borderId="21" xfId="0" applyFont="1" applyBorder="1" applyAlignment="1">
      <alignment horizontal="center" vertical="center" wrapText="1"/>
    </xf>
    <xf numFmtId="0" fontId="133" fillId="0" borderId="12" xfId="0" applyFont="1" applyBorder="1" applyAlignment="1">
      <alignment horizontal="center" vertical="center" wrapText="1"/>
    </xf>
    <xf numFmtId="0" fontId="133" fillId="0" borderId="13" xfId="0" applyFont="1" applyBorder="1" applyAlignment="1">
      <alignment horizontal="center" vertical="center" wrapText="1"/>
    </xf>
    <xf numFmtId="0" fontId="133" fillId="0" borderId="24" xfId="0" applyFont="1" applyBorder="1" applyAlignment="1">
      <alignment horizontal="center" vertical="center" wrapText="1"/>
    </xf>
    <xf numFmtId="0" fontId="135" fillId="0" borderId="24" xfId="0" applyFont="1" applyBorder="1" applyAlignment="1">
      <alignment horizontal="center" vertical="center" wrapText="1"/>
    </xf>
    <xf numFmtId="0" fontId="135" fillId="0" borderId="12" xfId="0" applyFont="1" applyBorder="1" applyAlignment="1">
      <alignment horizontal="center" vertical="center" wrapText="1"/>
    </xf>
    <xf numFmtId="0" fontId="135" fillId="0" borderId="13" xfId="0" applyFont="1" applyBorder="1" applyAlignment="1">
      <alignment horizontal="center" vertical="center" wrapText="1"/>
    </xf>
    <xf numFmtId="0" fontId="0" fillId="0" borderId="29" xfId="0" applyBorder="1" applyAlignment="1">
      <alignment vertical="center" wrapText="1"/>
    </xf>
    <xf numFmtId="0" fontId="0" fillId="0" borderId="29" xfId="0" applyBorder="1"/>
    <xf numFmtId="0" fontId="17" fillId="0" borderId="11" xfId="1" applyFont="1" applyBorder="1" applyAlignment="1" applyProtection="1">
      <alignment horizontal="center" vertical="center" shrinkToFit="1"/>
      <protection hidden="1"/>
    </xf>
    <xf numFmtId="0" fontId="0" fillId="0" borderId="20" xfId="0" applyBorder="1" applyAlignment="1">
      <alignment horizontal="center"/>
    </xf>
    <xf numFmtId="0" fontId="0" fillId="0" borderId="16" xfId="0" applyBorder="1" applyAlignment="1">
      <alignment horizontal="center"/>
    </xf>
    <xf numFmtId="0" fontId="0" fillId="0" borderId="14" xfId="0" applyBorder="1" applyAlignment="1">
      <alignment horizontal="center"/>
    </xf>
    <xf numFmtId="0" fontId="49" fillId="41" borderId="11" xfId="0" applyFont="1" applyFill="1" applyBorder="1" applyAlignment="1">
      <alignment vertical="center" wrapText="1"/>
    </xf>
    <xf numFmtId="0" fontId="49" fillId="37" borderId="11" xfId="0" applyFont="1" applyFill="1" applyBorder="1" applyAlignment="1">
      <alignment vertical="center" wrapText="1"/>
    </xf>
    <xf numFmtId="0" fontId="149" fillId="0" borderId="20" xfId="0" applyFont="1" applyBorder="1" applyAlignment="1">
      <alignment horizontal="center" vertical="center" shrinkToFit="1"/>
    </xf>
    <xf numFmtId="0" fontId="0" fillId="0" borderId="16" xfId="0" applyBorder="1" applyAlignment="1">
      <alignment vertical="center" shrinkToFit="1"/>
    </xf>
    <xf numFmtId="0" fontId="156" fillId="0" borderId="0" xfId="101" applyFont="1" applyAlignment="1" applyProtection="1">
      <alignment horizontal="center" vertical="center"/>
      <protection hidden="1"/>
    </xf>
    <xf numFmtId="0" fontId="157" fillId="0" borderId="0" xfId="101" applyFont="1" applyAlignment="1" applyProtection="1">
      <alignment horizontal="right" vertical="center"/>
      <protection hidden="1"/>
    </xf>
    <xf numFmtId="0" fontId="15" fillId="0" borderId="0" xfId="102" applyFont="1" applyAlignment="1">
      <alignment horizontal="right" vertical="center"/>
    </xf>
    <xf numFmtId="0" fontId="169" fillId="0" borderId="0" xfId="102" applyFont="1" applyAlignment="1">
      <alignment horizontal="center" vertical="center"/>
    </xf>
    <xf numFmtId="0" fontId="147" fillId="34" borderId="29" xfId="68" applyFont="1" applyFill="1" applyBorder="1" applyAlignment="1" applyProtection="1">
      <alignment horizontal="center" vertical="center" shrinkToFit="1"/>
      <protection hidden="1"/>
    </xf>
    <xf numFmtId="0" fontId="60" fillId="57" borderId="47" xfId="105" applyFont="1" applyFill="1" applyBorder="1" applyAlignment="1" applyProtection="1">
      <alignment horizontal="center" vertical="center" wrapText="1"/>
      <protection hidden="1"/>
    </xf>
    <xf numFmtId="0" fontId="0" fillId="0" borderId="22" xfId="0" applyBorder="1" applyAlignment="1">
      <alignment wrapText="1"/>
    </xf>
    <xf numFmtId="0" fontId="0" fillId="0" borderId="30" xfId="0" applyBorder="1" applyAlignment="1">
      <alignment wrapText="1"/>
    </xf>
    <xf numFmtId="0" fontId="0" fillId="0" borderId="33" xfId="0" applyBorder="1" applyAlignment="1">
      <alignment wrapText="1"/>
    </xf>
    <xf numFmtId="0" fontId="0" fillId="0" borderId="31" xfId="0" applyBorder="1" applyAlignment="1">
      <alignment wrapText="1"/>
    </xf>
    <xf numFmtId="0" fontId="60" fillId="57" borderId="29" xfId="105" applyFont="1" applyFill="1" applyBorder="1" applyAlignment="1" applyProtection="1">
      <alignment horizontal="center" vertical="center" wrapText="1"/>
      <protection hidden="1"/>
    </xf>
    <xf numFmtId="0" fontId="0" fillId="0" borderId="29" xfId="0" applyBorder="1" applyAlignment="1">
      <alignment wrapText="1"/>
    </xf>
    <xf numFmtId="0" fontId="60" fillId="0" borderId="29" xfId="105" applyFont="1" applyBorder="1" applyAlignment="1" applyProtection="1">
      <alignment horizontal="left" vertical="center" wrapText="1"/>
      <protection hidden="1"/>
    </xf>
    <xf numFmtId="0" fontId="0" fillId="0" borderId="16" xfId="0" applyBorder="1" applyAlignment="1">
      <alignment horizontal="center" vertical="center" shrinkToFit="1"/>
    </xf>
    <xf numFmtId="0" fontId="122" fillId="48" borderId="20" xfId="105" applyFont="1" applyFill="1" applyBorder="1" applyAlignment="1" applyProtection="1">
      <alignment horizontal="center" vertical="center" wrapText="1" shrinkToFit="1"/>
      <protection hidden="1"/>
    </xf>
    <xf numFmtId="0" fontId="0" fillId="0" borderId="16" xfId="0" applyBorder="1" applyAlignment="1">
      <alignment horizontal="center" vertical="center" wrapText="1"/>
    </xf>
    <xf numFmtId="0" fontId="60" fillId="0" borderId="20" xfId="105" applyFont="1" applyBorder="1" applyAlignment="1" applyProtection="1">
      <alignment horizontal="left" vertical="center" wrapText="1" shrinkToFit="1"/>
      <protection hidden="1"/>
    </xf>
    <xf numFmtId="0" fontId="50" fillId="0" borderId="14" xfId="0" applyFont="1" applyBorder="1" applyAlignment="1">
      <alignment horizontal="left" wrapText="1"/>
    </xf>
    <xf numFmtId="0" fontId="50" fillId="0" borderId="16" xfId="0" applyFont="1" applyBorder="1" applyAlignment="1">
      <alignment horizontal="left" wrapText="1"/>
    </xf>
    <xf numFmtId="0" fontId="149" fillId="0" borderId="29" xfId="105" applyFont="1" applyBorder="1" applyAlignment="1" applyProtection="1">
      <alignment horizontal="right" vertical="center" shrinkToFit="1"/>
      <protection hidden="1"/>
    </xf>
    <xf numFmtId="0" fontId="0" fillId="0" borderId="29" xfId="0" applyBorder="1" applyAlignment="1">
      <alignment vertical="center" shrinkToFit="1"/>
    </xf>
    <xf numFmtId="0" fontId="49" fillId="0" borderId="0" xfId="101" applyFont="1" applyAlignment="1" applyProtection="1">
      <alignment horizontal="right" vertical="center" shrinkToFit="1"/>
      <protection hidden="1"/>
    </xf>
    <xf numFmtId="0" fontId="60" fillId="41" borderId="29" xfId="101" applyFont="1" applyFill="1" applyBorder="1" applyAlignment="1" applyProtection="1">
      <alignment horizontal="center" vertical="center" shrinkToFit="1"/>
      <protection hidden="1"/>
    </xf>
    <xf numFmtId="184" fontId="149" fillId="0" borderId="20" xfId="101" applyNumberFormat="1" applyFont="1" applyBorder="1" applyAlignment="1" applyProtection="1">
      <alignment horizontal="center" vertical="center" shrinkToFit="1"/>
      <protection hidden="1"/>
    </xf>
    <xf numFmtId="0" fontId="0" fillId="0" borderId="14" xfId="0" applyBorder="1" applyAlignment="1">
      <alignment vertical="center" shrinkToFit="1"/>
    </xf>
    <xf numFmtId="182" fontId="60" fillId="0" borderId="15" xfId="101" applyNumberFormat="1" applyFont="1" applyBorder="1" applyAlignment="1" applyProtection="1">
      <alignment horizontal="left" vertical="center" shrinkToFit="1"/>
      <protection hidden="1"/>
    </xf>
    <xf numFmtId="0" fontId="0" fillId="0" borderId="15" xfId="0" applyBorder="1" applyAlignment="1">
      <alignment horizontal="left" vertical="center" shrinkToFit="1"/>
    </xf>
    <xf numFmtId="0" fontId="60" fillId="0" borderId="15" xfId="101" applyFont="1" applyBorder="1" applyAlignment="1" applyProtection="1">
      <alignment horizontal="left" vertical="center" shrinkToFit="1"/>
      <protection hidden="1"/>
    </xf>
    <xf numFmtId="0" fontId="0" fillId="0" borderId="15" xfId="0" applyBorder="1" applyAlignment="1">
      <alignment vertical="center" shrinkToFit="1"/>
    </xf>
    <xf numFmtId="0" fontId="152" fillId="41" borderId="29" xfId="102" applyFont="1" applyFill="1" applyBorder="1" applyAlignment="1" applyProtection="1">
      <alignment horizontal="left" vertical="center"/>
      <protection hidden="1"/>
    </xf>
    <xf numFmtId="0" fontId="145" fillId="41" borderId="29" xfId="102" applyFill="1" applyBorder="1" applyAlignment="1">
      <alignment horizontal="left" vertical="center"/>
    </xf>
    <xf numFmtId="0" fontId="145" fillId="41" borderId="29" xfId="102" applyFill="1" applyBorder="1"/>
    <xf numFmtId="9" fontId="153" fillId="0" borderId="29" xfId="102" applyNumberFormat="1" applyFont="1" applyBorder="1" applyAlignment="1" applyProtection="1">
      <alignment horizontal="center" vertical="center"/>
      <protection hidden="1"/>
    </xf>
    <xf numFmtId="0" fontId="145" fillId="0" borderId="29" xfId="102" applyBorder="1"/>
    <xf numFmtId="177" fontId="149" fillId="0" borderId="29" xfId="102" applyNumberFormat="1" applyFont="1" applyBorder="1" applyAlignment="1">
      <alignment horizontal="right" vertical="center"/>
    </xf>
    <xf numFmtId="0" fontId="60" fillId="0" borderId="0" xfId="101" applyFont="1" applyAlignment="1" applyProtection="1">
      <alignment horizontal="left" vertical="center" shrinkToFit="1"/>
      <protection hidden="1"/>
    </xf>
    <xf numFmtId="0" fontId="59" fillId="34" borderId="29" xfId="101" applyFont="1" applyFill="1" applyBorder="1" applyAlignment="1" applyProtection="1">
      <alignment horizontal="center" vertical="center"/>
      <protection hidden="1"/>
    </xf>
    <xf numFmtId="0" fontId="50" fillId="41" borderId="29" xfId="102" applyFont="1" applyFill="1" applyBorder="1" applyAlignment="1">
      <alignment horizontal="left" vertical="center"/>
    </xf>
    <xf numFmtId="0" fontId="152" fillId="41" borderId="29" xfId="102" applyFont="1" applyFill="1" applyBorder="1" applyAlignment="1" applyProtection="1">
      <alignment horizontal="center" vertical="center"/>
      <protection hidden="1"/>
    </xf>
    <xf numFmtId="0" fontId="60" fillId="41" borderId="20" xfId="101" applyFont="1" applyFill="1" applyBorder="1" applyAlignment="1" applyProtection="1">
      <alignment horizontal="center" vertical="center" shrinkToFit="1"/>
      <protection hidden="1"/>
    </xf>
    <xf numFmtId="0" fontId="145" fillId="41" borderId="14" xfId="102" applyFill="1" applyBorder="1" applyAlignment="1">
      <alignment horizontal="center" vertical="center" shrinkToFit="1"/>
    </xf>
    <xf numFmtId="0" fontId="145" fillId="41" borderId="16" xfId="102" applyFill="1" applyBorder="1" applyAlignment="1">
      <alignment horizontal="center" vertical="center" shrinkToFit="1"/>
    </xf>
    <xf numFmtId="183" fontId="60" fillId="0" borderId="20" xfId="101" applyNumberFormat="1" applyFont="1" applyBorder="1" applyAlignment="1" applyProtection="1">
      <alignment horizontal="left" vertical="center" shrinkToFit="1"/>
      <protection hidden="1"/>
    </xf>
    <xf numFmtId="0" fontId="145" fillId="0" borderId="14" xfId="102" applyBorder="1" applyAlignment="1">
      <alignment vertical="center" shrinkToFit="1"/>
    </xf>
    <xf numFmtId="0" fontId="145" fillId="0" borderId="16" xfId="102" applyBorder="1" applyAlignment="1">
      <alignment vertical="center" shrinkToFit="1"/>
    </xf>
    <xf numFmtId="0" fontId="149" fillId="0" borderId="29" xfId="101" applyFont="1" applyBorder="1" applyAlignment="1" applyProtection="1">
      <alignment horizontal="center" vertical="center" shrinkToFit="1"/>
      <protection hidden="1"/>
    </xf>
    <xf numFmtId="41" fontId="149" fillId="0" borderId="29" xfId="103" applyFont="1" applyBorder="1" applyAlignment="1" applyProtection="1">
      <alignment horizontal="center" vertical="center" shrinkToFit="1"/>
      <protection hidden="1"/>
    </xf>
    <xf numFmtId="0" fontId="0" fillId="0" borderId="46" xfId="0" applyBorder="1" applyAlignment="1">
      <alignment wrapText="1"/>
    </xf>
    <xf numFmtId="0" fontId="60" fillId="0" borderId="47" xfId="105" applyFont="1" applyBorder="1" applyAlignment="1" applyProtection="1">
      <alignment horizontal="left" vertical="center" wrapText="1"/>
      <protection hidden="1"/>
    </xf>
  </cellXfs>
  <cellStyles count="111">
    <cellStyle name="_x000e__x0008__x000a_" xfId="1" xr:uid="{00000000-0005-0000-0000-000000000000}"/>
    <cellStyle name="_x000e__x0008__x000a_ 2" xfId="2" xr:uid="{00000000-0005-0000-0000-000001000000}"/>
    <cellStyle name="_x000e__x0008__x000a_ 2 2" xfId="3" xr:uid="{00000000-0005-0000-0000-000002000000}"/>
    <cellStyle name="_x000e__x0008__x000a_ 2 2 2" xfId="4" xr:uid="{00000000-0005-0000-0000-000003000000}"/>
    <cellStyle name="_x000e__x0008__x000a_ 2 2 3" xfId="97" xr:uid="{00000000-0005-0000-0000-000004000000}"/>
    <cellStyle name="_x000e__x0008__x000a_ 2 3" xfId="5" xr:uid="{00000000-0005-0000-0000-000005000000}"/>
    <cellStyle name="_x000e__x0008__x000a_ 2 4" xfId="105" xr:uid="{5027B1D8-2334-4177-8027-01D646B4DF4B}"/>
    <cellStyle name="_x000e__x0008__x000a_ 3" xfId="6" xr:uid="{00000000-0005-0000-0000-000006000000}"/>
    <cellStyle name="_x000e__x0008__x000a_ 3 2" xfId="7" xr:uid="{00000000-0005-0000-0000-000007000000}"/>
    <cellStyle name="_x000e__x0008__x000a_ 3 2 2" xfId="84" xr:uid="{00000000-0005-0000-0000-000008000000}"/>
    <cellStyle name="_x000e__x0008__x000a_ 4" xfId="101" xr:uid="{C3CA860E-3351-4593-A6C7-E677A4962482}"/>
    <cellStyle name="_x000e__x0008__x000a_ 4 2" xfId="87" xr:uid="{00000000-0005-0000-0000-000009000000}"/>
    <cellStyle name="_x000e__x0008__x000a_ 5" xfId="85" xr:uid="{00000000-0005-0000-0000-00000A000000}"/>
    <cellStyle name="_x000a_386grabber=v" xfId="8" xr:uid="{00000000-0005-0000-0000-00000B000000}"/>
    <cellStyle name="20% - Accent1" xfId="9" xr:uid="{00000000-0005-0000-0000-00000C000000}"/>
    <cellStyle name="20% - Accent2" xfId="10" xr:uid="{00000000-0005-0000-0000-00000D000000}"/>
    <cellStyle name="20% - Accent3" xfId="11" xr:uid="{00000000-0005-0000-0000-00000E000000}"/>
    <cellStyle name="20% - Accent4" xfId="12" xr:uid="{00000000-0005-0000-0000-00000F000000}"/>
    <cellStyle name="20% - Accent5" xfId="13" xr:uid="{00000000-0005-0000-0000-000010000000}"/>
    <cellStyle name="20% - Accent6" xfId="14" xr:uid="{00000000-0005-0000-0000-000011000000}"/>
    <cellStyle name="40% - Accent1" xfId="15" xr:uid="{00000000-0005-0000-0000-000012000000}"/>
    <cellStyle name="40% - Accent2" xfId="16" xr:uid="{00000000-0005-0000-0000-000013000000}"/>
    <cellStyle name="40% - Accent3" xfId="17" xr:uid="{00000000-0005-0000-0000-000014000000}"/>
    <cellStyle name="40% - Accent4" xfId="18" xr:uid="{00000000-0005-0000-0000-000015000000}"/>
    <cellStyle name="40% - Accent5" xfId="19" xr:uid="{00000000-0005-0000-0000-000016000000}"/>
    <cellStyle name="40% - Accent6" xfId="20" xr:uid="{00000000-0005-0000-0000-000017000000}"/>
    <cellStyle name="60% - Accent1" xfId="21" xr:uid="{00000000-0005-0000-0000-000018000000}"/>
    <cellStyle name="60% - Accent2" xfId="22" xr:uid="{00000000-0005-0000-0000-000019000000}"/>
    <cellStyle name="60% - Accent3" xfId="23" xr:uid="{00000000-0005-0000-0000-00001A000000}"/>
    <cellStyle name="60% - Accent4" xfId="24" xr:uid="{00000000-0005-0000-0000-00001B000000}"/>
    <cellStyle name="60% - Accent5" xfId="25" xr:uid="{00000000-0005-0000-0000-00001C000000}"/>
    <cellStyle name="60% - Accent6" xfId="26" xr:uid="{00000000-0005-0000-0000-00001D000000}"/>
    <cellStyle name="Accent1" xfId="27" xr:uid="{00000000-0005-0000-0000-00001E000000}"/>
    <cellStyle name="Accent2" xfId="28" xr:uid="{00000000-0005-0000-0000-00001F000000}"/>
    <cellStyle name="Accent3" xfId="29" xr:uid="{00000000-0005-0000-0000-000020000000}"/>
    <cellStyle name="Accent4" xfId="30" xr:uid="{00000000-0005-0000-0000-000021000000}"/>
    <cellStyle name="Accent5" xfId="31" xr:uid="{00000000-0005-0000-0000-000022000000}"/>
    <cellStyle name="Accent6" xfId="32" xr:uid="{00000000-0005-0000-0000-000023000000}"/>
    <cellStyle name="Bad" xfId="33" xr:uid="{00000000-0005-0000-0000-000024000000}"/>
    <cellStyle name="Calculation" xfId="34" xr:uid="{00000000-0005-0000-0000-000025000000}"/>
    <cellStyle name="Check Cell" xfId="35" xr:uid="{00000000-0005-0000-0000-000026000000}"/>
    <cellStyle name="Explanatory Text" xfId="36" xr:uid="{00000000-0005-0000-0000-000027000000}"/>
    <cellStyle name="Good" xfId="37" xr:uid="{00000000-0005-0000-0000-000028000000}"/>
    <cellStyle name="Heading 1" xfId="38" xr:uid="{00000000-0005-0000-0000-000029000000}"/>
    <cellStyle name="Heading 2" xfId="39" xr:uid="{00000000-0005-0000-0000-00002A000000}"/>
    <cellStyle name="Heading 3" xfId="40" xr:uid="{00000000-0005-0000-0000-00002B000000}"/>
    <cellStyle name="Heading 4" xfId="41" xr:uid="{00000000-0005-0000-0000-00002C000000}"/>
    <cellStyle name="Input" xfId="42" xr:uid="{00000000-0005-0000-0000-00002D000000}"/>
    <cellStyle name="Linked Cell" xfId="43" xr:uid="{00000000-0005-0000-0000-00002E000000}"/>
    <cellStyle name="Neutral" xfId="44" xr:uid="{00000000-0005-0000-0000-00002F000000}"/>
    <cellStyle name="Note" xfId="45" xr:uid="{00000000-0005-0000-0000-000030000000}"/>
    <cellStyle name="Output" xfId="46" xr:uid="{00000000-0005-0000-0000-000031000000}"/>
    <cellStyle name="SPMDE" xfId="47" xr:uid="{00000000-0005-0000-0000-000032000000}"/>
    <cellStyle name="Title" xfId="48" xr:uid="{00000000-0005-0000-0000-000033000000}"/>
    <cellStyle name="Total" xfId="49" xr:uid="{00000000-0005-0000-0000-000034000000}"/>
    <cellStyle name="Warning Text" xfId="50" xr:uid="{00000000-0005-0000-0000-000035000000}"/>
    <cellStyle name="一般" xfId="0" builtinId="0"/>
    <cellStyle name="一般 110" xfId="109" xr:uid="{ACD8A4D9-AC1C-475C-B15C-3D7B91E84F05}"/>
    <cellStyle name="一般 2" xfId="51" xr:uid="{00000000-0005-0000-0000-000037000000}"/>
    <cellStyle name="一般 2 2" xfId="52" xr:uid="{00000000-0005-0000-0000-000038000000}"/>
    <cellStyle name="一般 3" xfId="53" xr:uid="{00000000-0005-0000-0000-000039000000}"/>
    <cellStyle name="一般 3 2" xfId="54" xr:uid="{00000000-0005-0000-0000-00003A000000}"/>
    <cellStyle name="一般 4" xfId="55" xr:uid="{00000000-0005-0000-0000-00003B000000}"/>
    <cellStyle name="一般 4 3" xfId="89" xr:uid="{00000000-0005-0000-0000-00003C000000}"/>
    <cellStyle name="一般 5" xfId="56" xr:uid="{00000000-0005-0000-0000-00003D000000}"/>
    <cellStyle name="一般 6" xfId="57" xr:uid="{00000000-0005-0000-0000-00003E000000}"/>
    <cellStyle name="一般 7" xfId="58" xr:uid="{00000000-0005-0000-0000-00003F000000}"/>
    <cellStyle name="一般 7 2" xfId="59" xr:uid="{00000000-0005-0000-0000-000040000000}"/>
    <cellStyle name="一般 8" xfId="86" xr:uid="{00000000-0005-0000-0000-000041000000}"/>
    <cellStyle name="一般 8 3 2 2" xfId="88" xr:uid="{00000000-0005-0000-0000-000042000000}"/>
    <cellStyle name="一般 8 3 2 2 2" xfId="90" xr:uid="{00000000-0005-0000-0000-000043000000}"/>
    <cellStyle name="一般 8 3 2 2 2 2" xfId="91" xr:uid="{00000000-0005-0000-0000-000044000000}"/>
    <cellStyle name="一般 8 3 2 2 2 3" xfId="92" xr:uid="{00000000-0005-0000-0000-000045000000}"/>
    <cellStyle name="一般 8 3 2 2 2 3 2" xfId="93" xr:uid="{00000000-0005-0000-0000-000046000000}"/>
    <cellStyle name="一般 8 3 2 2 2 3 2 2" xfId="94" xr:uid="{00000000-0005-0000-0000-000047000000}"/>
    <cellStyle name="一般 8 3 2 2 2 3 2 3" xfId="95" xr:uid="{00000000-0005-0000-0000-000048000000}"/>
    <cellStyle name="一般 8 3 2 2 2 3 2 3 2" xfId="99" xr:uid="{00000000-0005-0000-0000-000049000000}"/>
    <cellStyle name="一般 8 3 2 2 2 3 2 4" xfId="96" xr:uid="{00000000-0005-0000-0000-00004A000000}"/>
    <cellStyle name="一般 8 3 2 2 2 3 2 5" xfId="98" xr:uid="{00000000-0005-0000-0000-00004B000000}"/>
    <cellStyle name="一般 8 3 2 2 2 3 2 6" xfId="100" xr:uid="{00000000-0005-0000-0000-00004C000000}"/>
    <cellStyle name="一般 8 3 2 2 2 3 3" xfId="106" xr:uid="{EF46E88F-9B31-44D7-877E-C93B6EB73FB9}"/>
    <cellStyle name="一般 9" xfId="102" xr:uid="{18E09677-5E52-4018-97CF-5083068EBC65}"/>
    <cellStyle name="一般_FXWGD" xfId="60" xr:uid="{00000000-0005-0000-0000-00004D000000}"/>
    <cellStyle name="一般_OP" xfId="61" xr:uid="{00000000-0005-0000-0000-00004E000000}"/>
    <cellStyle name="一般_OP 2" xfId="62" xr:uid="{00000000-0005-0000-0000-00004F000000}"/>
    <cellStyle name="一般_OP_1 2" xfId="108" xr:uid="{526705DE-ABA1-45F8-B1CD-B3592317E1EB}"/>
    <cellStyle name="一般_OP_2 2" xfId="107" xr:uid="{51BA6FA9-EA97-43D4-9754-639658D35B5F}"/>
    <cellStyle name="一般_P_DATA" xfId="110" xr:uid="{37E01385-4F2D-42A5-9A07-C16FA77CB494}"/>
    <cellStyle name="一般_PDATA" xfId="63" xr:uid="{00000000-0005-0000-0000-000052000000}"/>
    <cellStyle name="一般_工作表1" xfId="64" xr:uid="{00000000-0005-0000-0000-000055000000}"/>
    <cellStyle name="一般_我用的-年齡計算函數e" xfId="65" xr:uid="{00000000-0005-0000-0000-000056000000}"/>
    <cellStyle name="一般_我用的-年齡計算函數e 2" xfId="66" xr:uid="{00000000-0005-0000-0000-000057000000}"/>
    <cellStyle name="一般_宣告利率更新" xfId="67" xr:uid="{00000000-0005-0000-0000-000058000000}"/>
    <cellStyle name="一般_頁面" xfId="68" xr:uid="{00000000-0005-0000-0000-000059000000}"/>
    <cellStyle name="一般_揭露" xfId="69" xr:uid="{00000000-0005-0000-0000-00005A000000}"/>
    <cellStyle name="一般_揭露_1" xfId="70" xr:uid="{00000000-0005-0000-0000-00005B000000}"/>
    <cellStyle name="一般_揭露_2" xfId="71" xr:uid="{00000000-0005-0000-0000-00005C000000}"/>
    <cellStyle name="千分位" xfId="72" builtinId="3"/>
    <cellStyle name="千分位 2" xfId="73" xr:uid="{00000000-0005-0000-0000-00005E000000}"/>
    <cellStyle name="千分位 2 2" xfId="74" xr:uid="{00000000-0005-0000-0000-00005F000000}"/>
    <cellStyle name="千分位 2 3" xfId="75" xr:uid="{00000000-0005-0000-0000-000060000000}"/>
    <cellStyle name="千分位 3" xfId="104" xr:uid="{6F2021DE-D28A-4AC9-96EA-216723146979}"/>
    <cellStyle name="千分位[0]" xfId="76" builtinId="6"/>
    <cellStyle name="千分位[0] 2" xfId="77" xr:uid="{00000000-0005-0000-0000-000062000000}"/>
    <cellStyle name="千分位[0] 2 2" xfId="78" xr:uid="{00000000-0005-0000-0000-000063000000}"/>
    <cellStyle name="千分位[0] 3" xfId="103" xr:uid="{5072C811-E640-4911-BB7B-CBB7A0FF25F0}"/>
    <cellStyle name="好_ANZIB 書面分析報告_20150519_壽險_Edit" xfId="79" xr:uid="{00000000-0005-0000-0000-000064000000}"/>
    <cellStyle name="超連結" xfId="80" builtinId="8"/>
    <cellStyle name="超連結 2" xfId="81" xr:uid="{00000000-0005-0000-0000-000066000000}"/>
    <cellStyle name="樣式 1" xfId="82" xr:uid="{00000000-0005-0000-0000-000067000000}"/>
    <cellStyle name="壞_ANZIB 書面分析報告_20150519_壽險_Edit" xfId="83" xr:uid="{00000000-0005-0000-0000-000068000000}"/>
  </cellStyles>
  <dxfs count="31">
    <dxf>
      <font>
        <color theme="0"/>
      </font>
      <fill>
        <patternFill>
          <bgColor theme="0"/>
        </patternFill>
      </fill>
      <border>
        <left/>
        <right/>
        <top/>
        <bottom/>
        <vertical/>
        <horizontal/>
      </border>
    </dxf>
    <dxf>
      <font>
        <b/>
        <i val="0"/>
        <condense val="0"/>
        <extend val="0"/>
        <color indexed="12"/>
      </font>
    </dxf>
    <dxf>
      <font>
        <color theme="0"/>
      </font>
      <fill>
        <patternFill>
          <bgColor theme="0"/>
        </patternFill>
      </fill>
      <border>
        <left/>
        <right/>
        <top/>
        <bottom/>
        <vertical/>
        <horizontal/>
      </border>
    </dxf>
    <dxf>
      <font>
        <color theme="0"/>
      </font>
      <fill>
        <patternFill>
          <fgColor indexed="64"/>
          <bgColor theme="0"/>
        </patternFill>
      </fill>
      <border>
        <left/>
        <right/>
        <top/>
        <bottom/>
      </border>
    </dxf>
    <dxf>
      <font>
        <strike val="0"/>
        <color theme="0"/>
      </font>
      <fill>
        <patternFill>
          <bgColor theme="0"/>
        </patternFill>
      </fill>
      <border>
        <left/>
        <right/>
        <top/>
        <bottom/>
        <vertical/>
        <horizontal/>
      </border>
    </dxf>
    <dxf>
      <font>
        <strike val="0"/>
      </font>
      <fill>
        <patternFill>
          <bgColor rgb="FFFF0000"/>
        </patternFill>
      </fill>
    </dxf>
    <dxf>
      <font>
        <b/>
        <i val="0"/>
        <strike/>
        <condense val="0"/>
        <extend val="0"/>
        <color indexed="9"/>
      </font>
      <fill>
        <patternFill>
          <bgColor indexed="10"/>
        </patternFill>
      </fill>
    </dxf>
    <dxf>
      <fill>
        <patternFill>
          <bgColor rgb="FFFF0000"/>
        </patternFill>
      </fill>
    </dxf>
    <dxf>
      <font>
        <b/>
        <i val="0"/>
        <strike/>
        <condense val="0"/>
        <extend val="0"/>
        <color indexed="9"/>
      </font>
      <fill>
        <patternFill>
          <bgColor indexed="10"/>
        </patternFill>
      </fill>
    </dxf>
    <dxf>
      <fill>
        <patternFill>
          <bgColor indexed="10"/>
        </patternFill>
      </fill>
    </dxf>
    <dxf>
      <fill>
        <patternFill>
          <bgColor indexed="10"/>
        </patternFill>
      </fill>
    </dxf>
    <dxf>
      <fill>
        <patternFill>
          <bgColor indexed="10"/>
        </patternFill>
      </fill>
    </dxf>
    <dxf>
      <font>
        <b/>
        <i val="0"/>
        <strike/>
        <condense val="0"/>
        <extend val="0"/>
        <color indexed="9"/>
      </font>
      <fill>
        <patternFill>
          <bgColor indexed="10"/>
        </patternFill>
      </fill>
    </dxf>
    <dxf>
      <font>
        <color theme="0"/>
      </font>
      <fill>
        <patternFill patternType="solid">
          <bgColor theme="0"/>
        </patternFill>
      </fill>
      <border>
        <left/>
        <right/>
        <top/>
        <bottom/>
      </border>
    </dxf>
    <dxf>
      <font>
        <color theme="0"/>
      </font>
      <fill>
        <patternFill>
          <bgColor theme="0"/>
        </patternFill>
      </fill>
      <border>
        <left/>
        <right/>
        <top/>
        <bottom/>
        <vertical/>
        <horizontal/>
      </border>
    </dxf>
    <dxf>
      <font>
        <color theme="0"/>
      </font>
      <fill>
        <patternFill>
          <fgColor indexed="64"/>
          <bgColor theme="0"/>
        </patternFill>
      </fill>
      <border>
        <left/>
        <right/>
        <bottom/>
      </border>
    </dxf>
    <dxf>
      <font>
        <color theme="0"/>
      </font>
      <fill>
        <patternFill>
          <fgColor indexed="64"/>
          <bgColor theme="0"/>
        </patternFill>
      </fill>
      <border>
        <left/>
        <right/>
      </border>
    </dxf>
    <dxf>
      <font>
        <condense val="0"/>
        <extend val="0"/>
        <color indexed="9"/>
      </font>
      <fill>
        <patternFill>
          <bgColor indexed="9"/>
        </patternFill>
      </fill>
      <border>
        <left/>
        <right/>
        <top/>
        <bottom/>
      </border>
    </dxf>
    <dxf>
      <font>
        <b/>
        <i val="0"/>
        <strike/>
        <condense val="0"/>
        <extend val="0"/>
        <color indexed="9"/>
      </font>
      <fill>
        <patternFill>
          <bgColor indexed="10"/>
        </patternFill>
      </fill>
    </dxf>
    <dxf>
      <font>
        <b/>
        <i val="0"/>
        <strike/>
        <condense val="0"/>
        <extend val="0"/>
        <color indexed="9"/>
      </font>
      <fill>
        <patternFill>
          <bgColor indexed="10"/>
        </patternFill>
      </fill>
    </dxf>
    <dxf>
      <fill>
        <patternFill>
          <bgColor indexed="10"/>
        </patternFill>
      </fill>
    </dxf>
    <dxf>
      <font>
        <b/>
        <i val="0"/>
        <strike/>
        <condense val="0"/>
        <extend val="0"/>
        <color indexed="9"/>
      </font>
      <fill>
        <patternFill>
          <bgColor indexed="10"/>
        </patternFill>
      </fill>
    </dxf>
    <dxf>
      <font>
        <b/>
        <i val="0"/>
        <strike/>
        <condense val="0"/>
        <extend val="0"/>
        <color indexed="9"/>
      </font>
      <fill>
        <patternFill>
          <bgColor indexed="10"/>
        </patternFill>
      </fill>
    </dxf>
    <dxf>
      <fill>
        <patternFill>
          <bgColor indexed="10"/>
        </patternFill>
      </fill>
    </dxf>
    <dxf>
      <fill>
        <patternFill>
          <bgColor indexed="10"/>
        </patternFill>
      </fill>
    </dxf>
    <dxf>
      <font>
        <condense val="0"/>
        <extend val="0"/>
        <color indexed="12"/>
      </font>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s>
  <tableStyles count="0" defaultTableStyle="TableStyleMedium9" defaultPivotStyle="PivotStyleLight16"/>
  <colors>
    <mruColors>
      <color rgb="FFFFFFCC"/>
      <color rgb="FFFFFF99"/>
      <color rgb="FF0000FF"/>
      <color rgb="FFF7E5B3"/>
      <color rgb="FFFFCC99"/>
      <color rgb="FFFFCC66"/>
      <color rgb="FFF3D685"/>
      <color rgb="FFFFFF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R1727"/>
  <sheetViews>
    <sheetView topLeftCell="XFD1048576" workbookViewId="0"/>
  </sheetViews>
  <sheetFormatPr baseColWidth="10" defaultColWidth="0" defaultRowHeight="16.5" customHeight="1" zeroHeight="1"/>
  <cols>
    <col min="1" max="9" width="9.3984375" hidden="1" customWidth="1"/>
    <col min="10" max="10" width="12.19921875" hidden="1" customWidth="1"/>
    <col min="11" max="14" width="9.3984375" hidden="1" customWidth="1"/>
    <col min="15" max="15" width="12.3984375" hidden="1" customWidth="1"/>
    <col min="16" max="21" width="9.3984375" hidden="1" customWidth="1"/>
    <col min="22" max="22" width="16" hidden="1" customWidth="1"/>
    <col min="23" max="23" width="12" hidden="1" customWidth="1"/>
    <col min="24" max="128" width="9.3984375" hidden="1" customWidth="1"/>
    <col min="129" max="133" width="10.3984375" hidden="1" customWidth="1"/>
    <col min="134" max="134" width="17.3984375" hidden="1" customWidth="1"/>
    <col min="135" max="138" width="9.3984375" hidden="1" customWidth="1"/>
    <col min="139" max="139" width="12.796875" style="109" hidden="1" customWidth="1"/>
    <col min="140" max="140" width="18" hidden="1" customWidth="1"/>
    <col min="141" max="141" width="17.796875" hidden="1" customWidth="1"/>
    <col min="142" max="246" width="9.3984375" hidden="1" customWidth="1"/>
    <col min="247" max="249" width="10.3984375" hidden="1" customWidth="1"/>
    <col min="250" max="250" width="20.19921875" hidden="1" customWidth="1"/>
    <col min="251" max="252" width="10.3984375" hidden="1" customWidth="1"/>
    <col min="253" max="16384" width="9.3984375" hidden="1"/>
  </cols>
  <sheetData>
    <row r="1" spans="1:251" s="215" customFormat="1" ht="16.5" hidden="1" customHeight="1">
      <c r="A1" s="213" t="s">
        <v>317</v>
      </c>
      <c r="B1" s="213">
        <v>1051130</v>
      </c>
      <c r="C1" s="213"/>
      <c r="D1" s="213"/>
      <c r="E1" s="213"/>
      <c r="F1" s="213"/>
      <c r="G1" s="213"/>
      <c r="H1" s="213"/>
      <c r="I1" s="213"/>
      <c r="J1" s="214" t="str">
        <f>B1&amp;TEXT(F1,"00")&amp;TEXT(H1,"00")</f>
        <v>10511300000</v>
      </c>
      <c r="K1" s="213"/>
      <c r="M1"/>
      <c r="N1"/>
      <c r="O1" s="682" t="str">
        <f>M1&amp;TEXT(N1,"00")</f>
        <v>00</v>
      </c>
      <c r="P1"/>
      <c r="R1" s="213" t="s">
        <v>318</v>
      </c>
      <c r="S1" s="213"/>
      <c r="T1" s="213"/>
      <c r="U1" s="213"/>
      <c r="V1" s="214" t="str">
        <f>S1&amp;TEXT(T1,"00")&amp;TEXT(U1,"00")</f>
        <v>0000</v>
      </c>
      <c r="W1" s="213"/>
      <c r="X1" s="213"/>
      <c r="Y1" s="213"/>
      <c r="Z1" s="213"/>
      <c r="AA1" s="213"/>
      <c r="AB1" s="213"/>
      <c r="AC1" s="213"/>
      <c r="AD1" s="213"/>
      <c r="AE1" s="213"/>
      <c r="AF1" s="213"/>
      <c r="AG1" s="213"/>
      <c r="AH1" s="213"/>
      <c r="AI1" s="213"/>
      <c r="AJ1" s="213"/>
      <c r="AK1" s="213"/>
      <c r="AL1" s="213"/>
      <c r="AM1" s="213"/>
      <c r="AN1" s="213"/>
      <c r="AO1" s="213"/>
      <c r="AP1" s="213"/>
      <c r="AQ1" s="213"/>
      <c r="AR1" s="213"/>
      <c r="AS1" s="213"/>
      <c r="AT1" s="213"/>
      <c r="AU1" s="213"/>
      <c r="AV1" s="213"/>
      <c r="AW1" s="213"/>
      <c r="AX1" s="213"/>
      <c r="AY1" s="213"/>
      <c r="AZ1" s="213"/>
      <c r="BA1" s="213"/>
      <c r="BB1" s="213"/>
      <c r="BC1" s="213"/>
      <c r="BD1" s="213"/>
      <c r="BE1" s="213"/>
      <c r="BF1" s="213"/>
      <c r="BG1" s="213"/>
      <c r="BH1" s="213"/>
      <c r="BI1" s="213"/>
      <c r="BJ1" s="213"/>
      <c r="BK1" s="213"/>
      <c r="BL1" s="213"/>
      <c r="BM1" s="213"/>
      <c r="BN1" s="213"/>
      <c r="BO1" s="213"/>
      <c r="BP1" s="213"/>
      <c r="BQ1" s="213"/>
      <c r="BR1" s="213"/>
      <c r="BS1" s="213"/>
      <c r="BT1" s="213"/>
      <c r="BU1" s="213"/>
      <c r="BV1" s="213"/>
      <c r="BW1" s="213"/>
      <c r="BX1" s="213"/>
      <c r="BY1" s="213"/>
      <c r="BZ1" s="213"/>
      <c r="CA1" s="213"/>
      <c r="CB1" s="213"/>
      <c r="CC1" s="213"/>
      <c r="CD1" s="213"/>
      <c r="CE1" s="213"/>
      <c r="CF1" s="213"/>
      <c r="CG1" s="213"/>
      <c r="CH1" s="213"/>
      <c r="CI1" s="213"/>
      <c r="CJ1" s="213"/>
      <c r="CK1" s="213"/>
      <c r="CL1" s="213"/>
      <c r="CM1" s="213"/>
      <c r="CN1" s="213"/>
      <c r="CO1" s="213"/>
      <c r="CP1" s="213"/>
      <c r="CQ1" s="213"/>
      <c r="CR1" s="213"/>
      <c r="CS1" s="213"/>
      <c r="CT1" s="213"/>
      <c r="CU1" s="213"/>
      <c r="CV1" s="213"/>
      <c r="CW1" s="213"/>
      <c r="CX1" s="213"/>
      <c r="CY1" s="213"/>
      <c r="CZ1" s="213"/>
      <c r="DA1" s="213"/>
      <c r="DB1" s="213"/>
      <c r="DC1" s="213"/>
      <c r="DD1" s="213"/>
      <c r="DE1" s="213"/>
      <c r="DF1" s="213"/>
      <c r="DG1" s="213"/>
      <c r="DH1" s="213"/>
      <c r="DI1" s="213"/>
      <c r="DJ1" s="213"/>
      <c r="DK1" s="213"/>
      <c r="DL1" s="213"/>
      <c r="DM1" s="213"/>
      <c r="DN1" s="213"/>
      <c r="DO1" s="213"/>
      <c r="DP1" s="213"/>
      <c r="DQ1" s="213"/>
      <c r="DR1" s="213"/>
      <c r="DS1" s="213"/>
      <c r="DT1" s="213"/>
      <c r="DU1" s="213"/>
      <c r="DV1" s="213"/>
      <c r="DW1" s="213"/>
      <c r="DX1" s="213"/>
      <c r="DY1" s="213"/>
      <c r="DZ1" s="213"/>
      <c r="EA1" s="213"/>
      <c r="EB1" s="213"/>
      <c r="EC1" s="213"/>
      <c r="EE1" s="215" t="s">
        <v>314</v>
      </c>
      <c r="EI1" s="216" t="str">
        <f>EF1&amp;TEXT(EG1,"00")&amp;TEXT(EH1,"00")</f>
        <v>0000</v>
      </c>
    </row>
    <row r="2" spans="1:251" ht="16.5" hidden="1" customHeight="1">
      <c r="A2" s="69" t="s">
        <v>76</v>
      </c>
      <c r="B2" s="69" t="s">
        <v>77</v>
      </c>
      <c r="C2" s="69" t="s">
        <v>446</v>
      </c>
      <c r="D2" s="69" t="s">
        <v>447</v>
      </c>
      <c r="E2" s="69" t="s">
        <v>448</v>
      </c>
      <c r="F2" s="69" t="s">
        <v>78</v>
      </c>
      <c r="G2" s="69" t="s">
        <v>449</v>
      </c>
      <c r="H2" s="69" t="s">
        <v>79</v>
      </c>
      <c r="I2" s="69" t="s">
        <v>591</v>
      </c>
      <c r="J2" s="214" t="str">
        <f t="shared" ref="J2:J65" si="0">B2&amp;TEXT(F2,"00")&amp;TEXT(H2,"00")</f>
        <v>商品代號性別年齡</v>
      </c>
      <c r="K2" s="69" t="s">
        <v>592</v>
      </c>
      <c r="M2" s="681" t="s">
        <v>77</v>
      </c>
      <c r="N2" s="681" t="s">
        <v>1358</v>
      </c>
      <c r="O2" s="682" t="str">
        <f t="shared" ref="O2:O47" si="1">M2&amp;TEXT(N2,"00")</f>
        <v>商品代號累計給付年度</v>
      </c>
      <c r="P2" s="681" t="s">
        <v>1359</v>
      </c>
      <c r="R2" s="69" t="s">
        <v>76</v>
      </c>
      <c r="S2" s="69" t="s">
        <v>77</v>
      </c>
      <c r="T2" s="69" t="s">
        <v>78</v>
      </c>
      <c r="U2" s="69" t="s">
        <v>79</v>
      </c>
      <c r="V2" s="214" t="str">
        <f t="shared" ref="V2" si="2">S2&amp;TEXT(T2,"00")&amp;TEXT(U2,"00")</f>
        <v>商品代號性別年齡</v>
      </c>
      <c r="W2" s="69" t="s">
        <v>679</v>
      </c>
      <c r="X2" s="69" t="s">
        <v>680</v>
      </c>
      <c r="Y2" s="69" t="s">
        <v>681</v>
      </c>
      <c r="Z2" s="69" t="s">
        <v>682</v>
      </c>
      <c r="AA2" s="69" t="s">
        <v>683</v>
      </c>
      <c r="AB2" s="69" t="s">
        <v>684</v>
      </c>
      <c r="AC2" s="69" t="s">
        <v>685</v>
      </c>
      <c r="AD2" s="69" t="s">
        <v>686</v>
      </c>
      <c r="AE2" s="69" t="s">
        <v>687</v>
      </c>
      <c r="AF2" s="69" t="s">
        <v>688</v>
      </c>
      <c r="AG2" s="69" t="s">
        <v>689</v>
      </c>
      <c r="AH2" s="69" t="s">
        <v>690</v>
      </c>
      <c r="AI2" s="69" t="s">
        <v>691</v>
      </c>
      <c r="AJ2" s="69" t="s">
        <v>692</v>
      </c>
      <c r="AK2" s="69" t="s">
        <v>693</v>
      </c>
      <c r="AL2" s="69" t="s">
        <v>694</v>
      </c>
      <c r="AM2" s="69" t="s">
        <v>695</v>
      </c>
      <c r="AN2" s="69" t="s">
        <v>696</v>
      </c>
      <c r="AO2" s="69" t="s">
        <v>697</v>
      </c>
      <c r="AP2" s="69" t="s">
        <v>698</v>
      </c>
      <c r="AQ2" s="69" t="s">
        <v>699</v>
      </c>
      <c r="AR2" s="69" t="s">
        <v>700</v>
      </c>
      <c r="AS2" s="69" t="s">
        <v>701</v>
      </c>
      <c r="AT2" s="69" t="s">
        <v>702</v>
      </c>
      <c r="AU2" s="69" t="s">
        <v>703</v>
      </c>
      <c r="AV2" s="69" t="s">
        <v>704</v>
      </c>
      <c r="AW2" s="69" t="s">
        <v>705</v>
      </c>
      <c r="AX2" s="69" t="s">
        <v>706</v>
      </c>
      <c r="AY2" s="69" t="s">
        <v>707</v>
      </c>
      <c r="AZ2" s="69" t="s">
        <v>708</v>
      </c>
      <c r="BA2" s="69" t="s">
        <v>709</v>
      </c>
      <c r="BB2" s="69" t="s">
        <v>710</v>
      </c>
      <c r="BC2" s="69" t="s">
        <v>711</v>
      </c>
      <c r="BD2" s="69" t="s">
        <v>712</v>
      </c>
      <c r="BE2" s="69" t="s">
        <v>713</v>
      </c>
      <c r="BF2" s="69" t="s">
        <v>714</v>
      </c>
      <c r="BG2" s="69" t="s">
        <v>715</v>
      </c>
      <c r="BH2" s="69" t="s">
        <v>716</v>
      </c>
      <c r="BI2" s="69" t="s">
        <v>717</v>
      </c>
      <c r="BJ2" s="69" t="s">
        <v>718</v>
      </c>
      <c r="BK2" s="69" t="s">
        <v>719</v>
      </c>
      <c r="BL2" s="69" t="s">
        <v>720</v>
      </c>
      <c r="BM2" s="69" t="s">
        <v>721</v>
      </c>
      <c r="BN2" s="69" t="s">
        <v>722</v>
      </c>
      <c r="BO2" s="69" t="s">
        <v>723</v>
      </c>
      <c r="BP2" s="69" t="s">
        <v>724</v>
      </c>
      <c r="BQ2" s="69" t="s">
        <v>725</v>
      </c>
      <c r="BR2" s="69" t="s">
        <v>726</v>
      </c>
      <c r="BS2" s="69" t="s">
        <v>727</v>
      </c>
      <c r="BT2" s="69" t="s">
        <v>728</v>
      </c>
      <c r="BU2" s="69" t="s">
        <v>729</v>
      </c>
      <c r="BV2" s="69" t="s">
        <v>730</v>
      </c>
      <c r="BW2" s="69" t="s">
        <v>731</v>
      </c>
      <c r="BX2" s="69" t="s">
        <v>732</v>
      </c>
      <c r="BY2" s="69" t="s">
        <v>733</v>
      </c>
      <c r="BZ2" s="69" t="s">
        <v>734</v>
      </c>
      <c r="CA2" s="69" t="s">
        <v>735</v>
      </c>
      <c r="CB2" s="69" t="s">
        <v>736</v>
      </c>
      <c r="CC2" s="69" t="s">
        <v>737</v>
      </c>
      <c r="CD2" s="69" t="s">
        <v>738</v>
      </c>
      <c r="CE2" s="69" t="s">
        <v>739</v>
      </c>
      <c r="CF2" s="69" t="s">
        <v>740</v>
      </c>
      <c r="CG2" s="69" t="s">
        <v>741</v>
      </c>
      <c r="CH2" s="69" t="s">
        <v>742</v>
      </c>
      <c r="CI2" s="69" t="s">
        <v>743</v>
      </c>
      <c r="CJ2" s="69" t="s">
        <v>744</v>
      </c>
      <c r="CK2" s="69" t="s">
        <v>745</v>
      </c>
      <c r="CL2" s="69" t="s">
        <v>746</v>
      </c>
      <c r="CM2" s="69" t="s">
        <v>747</v>
      </c>
      <c r="CN2" s="69" t="s">
        <v>748</v>
      </c>
      <c r="CO2" s="69" t="s">
        <v>749</v>
      </c>
      <c r="CP2" s="69" t="s">
        <v>750</v>
      </c>
      <c r="CQ2" s="69" t="s">
        <v>751</v>
      </c>
      <c r="CR2" s="69" t="s">
        <v>752</v>
      </c>
      <c r="CS2" s="69" t="s">
        <v>753</v>
      </c>
      <c r="CT2" s="69" t="s">
        <v>754</v>
      </c>
      <c r="CU2" s="69" t="s">
        <v>755</v>
      </c>
      <c r="CV2" s="69" t="s">
        <v>756</v>
      </c>
      <c r="CW2" s="69" t="s">
        <v>757</v>
      </c>
      <c r="CX2" s="69" t="s">
        <v>758</v>
      </c>
      <c r="CY2" s="69" t="s">
        <v>759</v>
      </c>
      <c r="CZ2" s="69" t="s">
        <v>760</v>
      </c>
      <c r="DA2" s="69" t="s">
        <v>761</v>
      </c>
      <c r="DB2" s="69" t="s">
        <v>762</v>
      </c>
      <c r="DC2" s="69" t="s">
        <v>763</v>
      </c>
      <c r="DD2" s="69" t="s">
        <v>764</v>
      </c>
      <c r="DE2" s="69" t="s">
        <v>765</v>
      </c>
      <c r="DF2" s="69" t="s">
        <v>766</v>
      </c>
      <c r="DG2" s="69" t="s">
        <v>767</v>
      </c>
      <c r="DH2" s="69" t="s">
        <v>768</v>
      </c>
      <c r="DI2" s="69" t="s">
        <v>769</v>
      </c>
      <c r="DJ2" s="69" t="s">
        <v>770</v>
      </c>
      <c r="DK2" s="69" t="s">
        <v>771</v>
      </c>
      <c r="DL2" s="69" t="s">
        <v>772</v>
      </c>
      <c r="DM2" s="69" t="s">
        <v>773</v>
      </c>
      <c r="DN2" s="69" t="s">
        <v>774</v>
      </c>
      <c r="DO2" s="69" t="s">
        <v>775</v>
      </c>
      <c r="DP2" s="69" t="s">
        <v>776</v>
      </c>
      <c r="DQ2" s="69" t="s">
        <v>777</v>
      </c>
      <c r="DR2" s="69" t="s">
        <v>778</v>
      </c>
      <c r="DS2" s="69" t="s">
        <v>779</v>
      </c>
      <c r="DT2" s="69" t="s">
        <v>780</v>
      </c>
      <c r="DU2" s="69" t="s">
        <v>781</v>
      </c>
      <c r="DV2" s="69" t="s">
        <v>782</v>
      </c>
      <c r="DW2" s="69" t="s">
        <v>783</v>
      </c>
      <c r="DX2" s="69" t="s">
        <v>784</v>
      </c>
      <c r="DY2" s="69" t="s">
        <v>785</v>
      </c>
      <c r="DZ2" s="69" t="s">
        <v>786</v>
      </c>
      <c r="EA2" s="69" t="s">
        <v>787</v>
      </c>
      <c r="EB2" s="69" t="s">
        <v>788</v>
      </c>
      <c r="EC2" s="69" t="s">
        <v>789</v>
      </c>
      <c r="EE2" s="69" t="s">
        <v>76</v>
      </c>
      <c r="EF2" s="69" t="s">
        <v>77</v>
      </c>
      <c r="EG2" s="69" t="s">
        <v>78</v>
      </c>
      <c r="EH2" s="69" t="s">
        <v>79</v>
      </c>
      <c r="EI2" s="216"/>
      <c r="EJ2" s="69"/>
      <c r="EK2" s="69"/>
      <c r="EL2" s="69"/>
      <c r="EM2" s="69"/>
      <c r="EN2" s="69"/>
      <c r="EO2" s="69"/>
      <c r="EP2" s="69"/>
      <c r="EQ2" s="69"/>
      <c r="ER2" s="69"/>
      <c r="ES2" s="69"/>
      <c r="ET2" s="69"/>
      <c r="EU2" s="69"/>
      <c r="EV2" s="69"/>
      <c r="EW2" s="69"/>
      <c r="EX2" s="69"/>
      <c r="EY2" s="69"/>
      <c r="EZ2" s="69"/>
      <c r="FA2" s="69"/>
      <c r="FB2" s="69"/>
      <c r="FC2" s="69"/>
      <c r="FD2" s="69"/>
      <c r="FE2" s="69"/>
      <c r="FF2" s="69"/>
      <c r="FG2" s="69"/>
      <c r="FH2" s="69"/>
      <c r="FI2" s="69"/>
      <c r="FJ2" s="69"/>
      <c r="FK2" s="69"/>
      <c r="FL2" s="69"/>
      <c r="FM2" s="69"/>
      <c r="FN2" s="69"/>
      <c r="FO2" s="69"/>
      <c r="FP2" s="69"/>
      <c r="FQ2" s="69"/>
      <c r="FR2" s="69"/>
      <c r="FS2" s="69"/>
      <c r="FT2" s="69"/>
      <c r="FU2" s="69"/>
      <c r="FV2" s="69"/>
      <c r="FW2" s="69"/>
      <c r="FX2" s="69"/>
      <c r="FY2" s="69"/>
      <c r="FZ2" s="69"/>
      <c r="GA2" s="69"/>
      <c r="GB2" s="69"/>
      <c r="GC2" s="69"/>
      <c r="GD2" s="69"/>
      <c r="GE2" s="69"/>
      <c r="GF2" s="69"/>
      <c r="GG2" s="69"/>
      <c r="GH2" s="69"/>
      <c r="GI2" s="69"/>
      <c r="GJ2" s="69"/>
      <c r="GK2" s="69"/>
      <c r="GL2" s="69"/>
      <c r="GM2" s="69"/>
      <c r="GN2" s="69"/>
      <c r="GO2" s="69"/>
      <c r="GP2" s="69"/>
      <c r="GQ2" s="69"/>
      <c r="GR2" s="69"/>
      <c r="GS2" s="69"/>
      <c r="GT2" s="69"/>
      <c r="GU2" s="69"/>
      <c r="GV2" s="69"/>
      <c r="GW2" s="69"/>
      <c r="GX2" s="69"/>
      <c r="GY2" s="69"/>
      <c r="GZ2" s="69"/>
      <c r="HA2" s="69"/>
      <c r="HB2" s="69"/>
      <c r="HC2" s="69"/>
      <c r="HD2" s="69"/>
      <c r="HE2" s="69"/>
      <c r="HF2" s="69"/>
      <c r="HG2" s="69"/>
      <c r="HH2" s="69"/>
      <c r="HI2" s="69"/>
      <c r="HJ2" s="69"/>
      <c r="HK2" s="69"/>
      <c r="HL2" s="69"/>
      <c r="HM2" s="69"/>
      <c r="HN2" s="69"/>
      <c r="HO2" s="69"/>
      <c r="HP2" s="69"/>
      <c r="HQ2" s="69"/>
      <c r="HR2" s="69"/>
      <c r="HS2" s="69"/>
      <c r="HT2" s="69"/>
      <c r="HU2" s="69"/>
      <c r="HV2" s="69"/>
      <c r="HW2" s="69"/>
      <c r="HX2" s="69"/>
      <c r="HY2" s="69"/>
      <c r="HZ2" s="69"/>
      <c r="IA2" s="69"/>
      <c r="IB2" s="69"/>
      <c r="IC2" s="69"/>
      <c r="ID2" s="69"/>
      <c r="IE2" s="69"/>
      <c r="IF2" s="69"/>
      <c r="IG2" s="69"/>
      <c r="IH2" s="69"/>
      <c r="II2" s="69"/>
      <c r="IJ2" s="69"/>
      <c r="IK2" s="69"/>
      <c r="IL2" s="69"/>
      <c r="IM2" s="69"/>
      <c r="IN2" s="69"/>
      <c r="IO2" s="69"/>
      <c r="IP2" s="69"/>
      <c r="IQ2" s="97"/>
    </row>
    <row r="3" spans="1:251" ht="16.5" hidden="1" customHeight="1">
      <c r="A3" s="95" t="s">
        <v>450</v>
      </c>
      <c r="B3" t="s">
        <v>1363</v>
      </c>
      <c r="C3" t="s">
        <v>450</v>
      </c>
      <c r="E3" t="s">
        <v>450</v>
      </c>
      <c r="F3" t="s">
        <v>1368</v>
      </c>
      <c r="G3" s="654"/>
      <c r="H3" s="654">
        <v>15</v>
      </c>
      <c r="J3" s="214" t="str">
        <f t="shared" si="0"/>
        <v>LTT100115</v>
      </c>
      <c r="K3">
        <v>22030</v>
      </c>
      <c r="M3" t="s">
        <v>1363</v>
      </c>
      <c r="N3">
        <v>1</v>
      </c>
      <c r="O3" s="682" t="str">
        <f t="shared" si="1"/>
        <v>LTT1001</v>
      </c>
      <c r="P3">
        <v>20000</v>
      </c>
      <c r="R3" s="95" t="s">
        <v>450</v>
      </c>
      <c r="U3" s="654"/>
      <c r="V3" s="214"/>
      <c r="EE3" s="95" t="s">
        <v>450</v>
      </c>
      <c r="EF3" s="110"/>
      <c r="EG3" s="110"/>
      <c r="EH3" s="110"/>
      <c r="EI3" s="216"/>
      <c r="EJ3" s="110"/>
      <c r="EK3" s="110"/>
      <c r="EL3" s="110"/>
      <c r="EM3" s="110"/>
      <c r="EN3" s="110"/>
      <c r="EO3" s="110"/>
      <c r="EP3" s="110"/>
      <c r="EQ3" s="110"/>
      <c r="ER3" s="110"/>
      <c r="ES3" s="110"/>
      <c r="ET3" s="110"/>
      <c r="EU3" s="110"/>
      <c r="EV3" s="110"/>
      <c r="EW3" s="110"/>
      <c r="EX3" s="110"/>
      <c r="EY3" s="110"/>
      <c r="EZ3" s="110"/>
      <c r="FA3" s="110"/>
      <c r="FB3" s="110"/>
      <c r="FC3" s="110"/>
      <c r="FD3" s="110"/>
      <c r="FE3" s="110"/>
      <c r="FF3" s="110"/>
      <c r="FG3" s="110"/>
      <c r="FH3" s="110"/>
      <c r="FI3" s="110"/>
      <c r="FJ3" s="110"/>
      <c r="FK3" s="110"/>
      <c r="FL3" s="110"/>
      <c r="FM3" s="110"/>
      <c r="FN3" s="110"/>
      <c r="FO3" s="110"/>
      <c r="FP3" s="110"/>
      <c r="FQ3" s="110"/>
      <c r="FR3" s="110"/>
      <c r="FS3" s="110"/>
      <c r="FT3" s="110"/>
      <c r="FU3" s="110"/>
      <c r="FV3" s="110"/>
      <c r="FW3" s="110"/>
      <c r="FX3" s="110"/>
      <c r="FY3" s="110"/>
      <c r="FZ3" s="110"/>
      <c r="GA3" s="110"/>
      <c r="GB3" s="110"/>
      <c r="GC3" s="110"/>
      <c r="GD3" s="110"/>
      <c r="GE3" s="110"/>
      <c r="GF3" s="110"/>
      <c r="GG3" s="110"/>
      <c r="GH3" s="110"/>
      <c r="GI3" s="110"/>
      <c r="GJ3" s="110"/>
      <c r="GK3" s="110"/>
      <c r="GL3" s="110"/>
      <c r="GM3" s="110"/>
      <c r="GN3" s="110"/>
      <c r="GO3" s="110"/>
      <c r="GP3" s="110"/>
      <c r="GQ3" s="110"/>
      <c r="GR3" s="110"/>
      <c r="GS3" s="110"/>
      <c r="GT3" s="110"/>
      <c r="GU3" s="110"/>
      <c r="GV3" s="110"/>
      <c r="GW3" s="110"/>
      <c r="GX3" s="110"/>
      <c r="GY3" s="110"/>
      <c r="GZ3" s="110"/>
      <c r="HA3" s="110"/>
      <c r="HB3" s="110"/>
      <c r="HC3" s="110"/>
      <c r="HD3" s="110"/>
      <c r="HE3" s="110"/>
      <c r="HF3" s="110"/>
      <c r="HG3" s="110"/>
      <c r="HH3" s="110"/>
      <c r="HI3" s="110"/>
      <c r="HJ3" s="110"/>
      <c r="HK3" s="110"/>
      <c r="HL3" s="110"/>
      <c r="HM3" s="110"/>
      <c r="HN3" s="110"/>
      <c r="HO3" s="110"/>
      <c r="HP3" s="110"/>
      <c r="HQ3" s="110"/>
      <c r="HR3" s="110"/>
      <c r="HS3" s="110"/>
      <c r="HT3" s="110"/>
      <c r="HU3" s="110"/>
      <c r="HV3" s="110"/>
      <c r="HW3" s="110"/>
      <c r="HX3" s="110"/>
      <c r="HY3" s="110"/>
      <c r="HZ3" s="110"/>
      <c r="IA3" s="110"/>
      <c r="IB3" s="110"/>
      <c r="IC3" s="110"/>
      <c r="ID3" s="110"/>
      <c r="IE3" s="110"/>
      <c r="IF3" s="110"/>
      <c r="IG3" s="110"/>
      <c r="IH3" s="110"/>
      <c r="II3" s="110"/>
      <c r="IJ3" s="110"/>
      <c r="IK3" s="110"/>
      <c r="IL3" s="110"/>
      <c r="IM3" s="110"/>
      <c r="IN3" s="110"/>
      <c r="IO3" s="110"/>
      <c r="IP3" s="110"/>
      <c r="IQ3" s="70"/>
    </row>
    <row r="4" spans="1:251" ht="16.5" hidden="1" customHeight="1">
      <c r="A4" s="95" t="s">
        <v>450</v>
      </c>
      <c r="B4" t="s">
        <v>1363</v>
      </c>
      <c r="C4" t="s">
        <v>450</v>
      </c>
      <c r="E4" t="s">
        <v>450</v>
      </c>
      <c r="F4" t="s">
        <v>1368</v>
      </c>
      <c r="G4" s="654"/>
      <c r="H4">
        <v>16</v>
      </c>
      <c r="J4" s="214" t="str">
        <f t="shared" si="0"/>
        <v>LTT100116</v>
      </c>
      <c r="K4">
        <v>22330</v>
      </c>
      <c r="M4" t="s">
        <v>1363</v>
      </c>
      <c r="N4">
        <v>2</v>
      </c>
      <c r="O4" s="682" t="str">
        <f t="shared" si="1"/>
        <v>LTT1002</v>
      </c>
      <c r="P4">
        <v>20400</v>
      </c>
      <c r="R4" s="95" t="s">
        <v>450</v>
      </c>
      <c r="V4" s="214"/>
      <c r="EE4" s="95" t="s">
        <v>450</v>
      </c>
      <c r="EF4" s="110"/>
      <c r="EG4" s="110"/>
      <c r="EH4" s="110"/>
      <c r="EI4" s="216"/>
      <c r="EJ4" s="110"/>
      <c r="EK4" s="110"/>
      <c r="EL4" s="110"/>
      <c r="EM4" s="110"/>
      <c r="EN4" s="110"/>
      <c r="EO4" s="110"/>
      <c r="EP4" s="110"/>
      <c r="EQ4" s="110"/>
      <c r="ER4" s="110"/>
      <c r="ES4" s="110"/>
      <c r="ET4" s="110"/>
      <c r="EU4" s="110"/>
      <c r="EV4" s="110"/>
      <c r="EW4" s="110"/>
      <c r="EX4" s="110"/>
      <c r="EY4" s="110"/>
      <c r="EZ4" s="110"/>
      <c r="FA4" s="110"/>
      <c r="FB4" s="110"/>
      <c r="FC4" s="110"/>
      <c r="FD4" s="110"/>
      <c r="FE4" s="110"/>
      <c r="FF4" s="110"/>
      <c r="FG4" s="110"/>
      <c r="FH4" s="110"/>
      <c r="FI4" s="110"/>
      <c r="FJ4" s="110"/>
      <c r="FK4" s="110"/>
      <c r="FL4" s="110"/>
      <c r="FM4" s="110"/>
      <c r="FN4" s="110"/>
      <c r="FO4" s="110"/>
      <c r="FP4" s="110"/>
      <c r="FQ4" s="110"/>
      <c r="FR4" s="110"/>
      <c r="FS4" s="110"/>
      <c r="FT4" s="110"/>
      <c r="FU4" s="110"/>
      <c r="FV4" s="110"/>
      <c r="FW4" s="110"/>
      <c r="FX4" s="110"/>
      <c r="FY4" s="110"/>
      <c r="FZ4" s="110"/>
      <c r="GA4" s="110"/>
      <c r="GB4" s="110"/>
      <c r="GC4" s="110"/>
      <c r="GD4" s="110"/>
      <c r="GE4" s="110"/>
      <c r="GF4" s="110"/>
      <c r="GG4" s="110"/>
      <c r="GH4" s="110"/>
      <c r="GI4" s="110"/>
      <c r="GJ4" s="110"/>
      <c r="GK4" s="110"/>
      <c r="GL4" s="110"/>
      <c r="GM4" s="110"/>
      <c r="GN4" s="110"/>
      <c r="GO4" s="110"/>
      <c r="GP4" s="110"/>
      <c r="GQ4" s="110"/>
      <c r="GR4" s="110"/>
      <c r="GS4" s="110"/>
      <c r="GT4" s="110"/>
      <c r="GU4" s="110"/>
      <c r="GV4" s="110"/>
      <c r="GW4" s="110"/>
      <c r="GX4" s="110"/>
      <c r="GY4" s="110"/>
      <c r="GZ4" s="110"/>
      <c r="HA4" s="110"/>
      <c r="HB4" s="110"/>
      <c r="HC4" s="110"/>
      <c r="HD4" s="110"/>
      <c r="HE4" s="110"/>
      <c r="HF4" s="110"/>
      <c r="HG4" s="110"/>
      <c r="HH4" s="110"/>
      <c r="HI4" s="110"/>
      <c r="HJ4" s="110"/>
      <c r="HK4" s="110"/>
      <c r="HL4" s="110"/>
      <c r="HM4" s="110"/>
      <c r="HN4" s="110"/>
      <c r="HO4" s="110"/>
      <c r="HP4" s="110"/>
      <c r="HQ4" s="110"/>
      <c r="HR4" s="110"/>
      <c r="HS4" s="110"/>
      <c r="HT4" s="110"/>
      <c r="HU4" s="110"/>
      <c r="HV4" s="110"/>
      <c r="HW4" s="110"/>
      <c r="HX4" s="110"/>
      <c r="HY4" s="110"/>
      <c r="HZ4" s="110"/>
      <c r="IA4" s="110"/>
      <c r="IB4" s="110"/>
      <c r="IC4" s="110"/>
      <c r="ID4" s="110"/>
      <c r="IE4" s="110"/>
      <c r="IF4" s="110"/>
      <c r="IG4" s="110"/>
      <c r="IH4" s="110"/>
      <c r="II4" s="110"/>
      <c r="IJ4" s="110"/>
      <c r="IK4" s="110"/>
      <c r="IL4" s="110"/>
      <c r="IM4" s="110"/>
      <c r="IN4" s="110"/>
      <c r="IO4" s="110"/>
      <c r="IP4" s="110"/>
      <c r="IQ4" s="70"/>
    </row>
    <row r="5" spans="1:251" ht="16.5" hidden="1" customHeight="1">
      <c r="A5" s="95" t="s">
        <v>450</v>
      </c>
      <c r="B5" t="s">
        <v>1363</v>
      </c>
      <c r="C5" t="s">
        <v>450</v>
      </c>
      <c r="E5" t="s">
        <v>450</v>
      </c>
      <c r="F5" t="s">
        <v>1368</v>
      </c>
      <c r="G5" s="654"/>
      <c r="H5">
        <v>17</v>
      </c>
      <c r="J5" s="214" t="str">
        <f t="shared" si="0"/>
        <v>LTT100117</v>
      </c>
      <c r="K5">
        <v>22690</v>
      </c>
      <c r="M5" t="s">
        <v>1363</v>
      </c>
      <c r="N5">
        <v>3</v>
      </c>
      <c r="O5" s="682" t="str">
        <f t="shared" si="1"/>
        <v>LTT1003</v>
      </c>
      <c r="P5">
        <v>20800</v>
      </c>
      <c r="R5" s="95" t="s">
        <v>450</v>
      </c>
      <c r="V5" s="214"/>
      <c r="EE5" s="95" t="s">
        <v>450</v>
      </c>
      <c r="EF5" s="110"/>
      <c r="EG5" s="110"/>
      <c r="EH5" s="110"/>
      <c r="EI5" s="216"/>
      <c r="EJ5" s="110"/>
      <c r="EK5" s="110"/>
      <c r="EL5" s="110"/>
      <c r="EM5" s="110"/>
      <c r="EN5" s="110"/>
      <c r="EO5" s="110"/>
      <c r="EP5" s="110"/>
      <c r="EQ5" s="110"/>
      <c r="ER5" s="110"/>
      <c r="ES5" s="110"/>
      <c r="ET5" s="110"/>
      <c r="EU5" s="110"/>
      <c r="EV5" s="110"/>
      <c r="EW5" s="110"/>
      <c r="EX5" s="110"/>
      <c r="EY5" s="110"/>
      <c r="EZ5" s="110"/>
      <c r="FA5" s="110"/>
      <c r="FB5" s="110"/>
      <c r="FC5" s="110"/>
      <c r="FD5" s="110"/>
      <c r="FE5" s="110"/>
      <c r="FF5" s="110"/>
      <c r="FG5" s="110"/>
      <c r="FH5" s="110"/>
      <c r="FI5" s="110"/>
      <c r="FJ5" s="110"/>
      <c r="FK5" s="110"/>
      <c r="FL5" s="110"/>
      <c r="FM5" s="110"/>
      <c r="FN5" s="110"/>
      <c r="FO5" s="110"/>
      <c r="FP5" s="110"/>
      <c r="FQ5" s="110"/>
      <c r="FR5" s="110"/>
      <c r="FS5" s="110"/>
      <c r="FT5" s="110"/>
      <c r="FU5" s="110"/>
      <c r="FV5" s="110"/>
      <c r="FW5" s="110"/>
      <c r="FX5" s="110"/>
      <c r="FY5" s="110"/>
      <c r="FZ5" s="110"/>
      <c r="GA5" s="110"/>
      <c r="GB5" s="110"/>
      <c r="GC5" s="110"/>
      <c r="GD5" s="110"/>
      <c r="GE5" s="110"/>
      <c r="GF5" s="110"/>
      <c r="GG5" s="110"/>
      <c r="GH5" s="110"/>
      <c r="GI5" s="110"/>
      <c r="GJ5" s="110"/>
      <c r="GK5" s="110"/>
      <c r="GL5" s="110"/>
      <c r="GM5" s="110"/>
      <c r="GN5" s="110"/>
      <c r="GO5" s="110"/>
      <c r="GP5" s="110"/>
      <c r="GQ5" s="110"/>
      <c r="GR5" s="110"/>
      <c r="GS5" s="110"/>
      <c r="GT5" s="110"/>
      <c r="GU5" s="110"/>
      <c r="GV5" s="110"/>
      <c r="GW5" s="110"/>
      <c r="GX5" s="110"/>
      <c r="GY5" s="110"/>
      <c r="GZ5" s="110"/>
      <c r="HA5" s="110"/>
      <c r="HB5" s="110"/>
      <c r="HC5" s="110"/>
      <c r="HD5" s="110"/>
      <c r="HE5" s="110"/>
      <c r="HF5" s="110"/>
      <c r="HG5" s="110"/>
      <c r="HH5" s="110"/>
      <c r="HI5" s="110"/>
      <c r="HJ5" s="110"/>
      <c r="HK5" s="110"/>
      <c r="HL5" s="110"/>
      <c r="HM5" s="110"/>
      <c r="HN5" s="110"/>
      <c r="HO5" s="110"/>
      <c r="HP5" s="110"/>
      <c r="HQ5" s="110"/>
      <c r="HR5" s="110"/>
      <c r="HS5" s="110"/>
      <c r="HT5" s="110"/>
      <c r="HU5" s="110"/>
      <c r="HV5" s="110"/>
      <c r="HW5" s="110"/>
      <c r="HX5" s="110"/>
      <c r="HY5" s="110"/>
      <c r="HZ5" s="110"/>
      <c r="IA5" s="110"/>
      <c r="IB5" s="110"/>
      <c r="IC5" s="110"/>
      <c r="ID5" s="110"/>
      <c r="IE5" s="110"/>
      <c r="IF5" s="110"/>
      <c r="IG5" s="110"/>
      <c r="IH5" s="110"/>
      <c r="II5" s="110"/>
      <c r="IJ5" s="110"/>
      <c r="IK5" s="110"/>
      <c r="IL5" s="110"/>
      <c r="IM5" s="110"/>
      <c r="IN5" s="110"/>
      <c r="IO5" s="110"/>
      <c r="IP5" s="110"/>
      <c r="IQ5" s="70"/>
    </row>
    <row r="6" spans="1:251" ht="16.5" hidden="1" customHeight="1">
      <c r="A6" s="95" t="s">
        <v>450</v>
      </c>
      <c r="B6" t="s">
        <v>1363</v>
      </c>
      <c r="C6" t="s">
        <v>450</v>
      </c>
      <c r="E6" t="s">
        <v>450</v>
      </c>
      <c r="F6" t="s">
        <v>1368</v>
      </c>
      <c r="G6" s="654"/>
      <c r="H6">
        <v>18</v>
      </c>
      <c r="J6" s="214" t="str">
        <f t="shared" si="0"/>
        <v>LTT100118</v>
      </c>
      <c r="K6">
        <v>23030</v>
      </c>
      <c r="M6" t="s">
        <v>1363</v>
      </c>
      <c r="N6">
        <v>4</v>
      </c>
      <c r="O6" s="682" t="str">
        <f t="shared" si="1"/>
        <v>LTT1004</v>
      </c>
      <c r="P6">
        <v>21200</v>
      </c>
      <c r="R6" s="95" t="s">
        <v>450</v>
      </c>
      <c r="V6" s="214"/>
      <c r="EE6" s="95" t="s">
        <v>450</v>
      </c>
      <c r="EF6" s="110"/>
      <c r="EG6" s="110"/>
      <c r="EH6" s="110"/>
      <c r="EI6" s="216"/>
      <c r="EJ6" s="110"/>
      <c r="EK6" s="110"/>
      <c r="EL6" s="110"/>
      <c r="EM6" s="110"/>
      <c r="EN6" s="110"/>
      <c r="EO6" s="110"/>
      <c r="EP6" s="110"/>
      <c r="EQ6" s="110"/>
      <c r="ER6" s="110"/>
      <c r="ES6" s="110"/>
      <c r="ET6" s="110"/>
      <c r="EU6" s="110"/>
      <c r="EV6" s="110"/>
      <c r="EW6" s="110"/>
      <c r="EX6" s="110"/>
      <c r="EY6" s="110"/>
      <c r="EZ6" s="110"/>
      <c r="FA6" s="110"/>
      <c r="FB6" s="110"/>
      <c r="FC6" s="110"/>
      <c r="FD6" s="110"/>
      <c r="FE6" s="110"/>
      <c r="FF6" s="110"/>
      <c r="FG6" s="110"/>
      <c r="FH6" s="110"/>
      <c r="FI6" s="110"/>
      <c r="FJ6" s="110"/>
      <c r="FK6" s="110"/>
      <c r="FL6" s="110"/>
      <c r="FM6" s="110"/>
      <c r="FN6" s="110"/>
      <c r="FO6" s="110"/>
      <c r="FP6" s="110"/>
      <c r="FQ6" s="110"/>
      <c r="FR6" s="110"/>
      <c r="FS6" s="110"/>
      <c r="FT6" s="110"/>
      <c r="FU6" s="110"/>
      <c r="FV6" s="110"/>
      <c r="FW6" s="110"/>
      <c r="FX6" s="110"/>
      <c r="FY6" s="110"/>
      <c r="FZ6" s="110"/>
      <c r="GA6" s="110"/>
      <c r="GB6" s="110"/>
      <c r="GC6" s="110"/>
      <c r="GD6" s="110"/>
      <c r="GE6" s="110"/>
      <c r="GF6" s="110"/>
      <c r="GG6" s="110"/>
      <c r="GH6" s="110"/>
      <c r="GI6" s="110"/>
      <c r="GJ6" s="110"/>
      <c r="GK6" s="110"/>
      <c r="GL6" s="110"/>
      <c r="GM6" s="110"/>
      <c r="GN6" s="110"/>
      <c r="GO6" s="110"/>
      <c r="GP6" s="110"/>
      <c r="GQ6" s="110"/>
      <c r="GR6" s="110"/>
      <c r="GS6" s="110"/>
      <c r="GT6" s="110"/>
      <c r="GU6" s="110"/>
      <c r="GV6" s="110"/>
      <c r="GW6" s="110"/>
      <c r="GX6" s="110"/>
      <c r="GY6" s="110"/>
      <c r="GZ6" s="110"/>
      <c r="HA6" s="110"/>
      <c r="HB6" s="110"/>
      <c r="HC6" s="110"/>
      <c r="HD6" s="110"/>
      <c r="HE6" s="110"/>
      <c r="HF6" s="110"/>
      <c r="HG6" s="110"/>
      <c r="HH6" s="110"/>
      <c r="HI6" s="110"/>
      <c r="HJ6" s="110"/>
      <c r="HK6" s="110"/>
      <c r="HL6" s="110"/>
      <c r="HM6" s="110"/>
      <c r="HN6" s="110"/>
      <c r="HO6" s="110"/>
      <c r="HP6" s="110"/>
      <c r="HQ6" s="110"/>
      <c r="HR6" s="110"/>
      <c r="HS6" s="110"/>
      <c r="HT6" s="110"/>
      <c r="HU6" s="110"/>
      <c r="HV6" s="110"/>
      <c r="HW6" s="110"/>
      <c r="HX6" s="110"/>
      <c r="HY6" s="110"/>
      <c r="HZ6" s="110"/>
      <c r="IA6" s="110"/>
      <c r="IB6" s="110"/>
      <c r="IC6" s="110"/>
      <c r="ID6" s="110"/>
      <c r="IE6" s="110"/>
      <c r="IF6" s="110"/>
      <c r="IG6" s="110"/>
      <c r="IH6" s="110"/>
      <c r="II6" s="110"/>
      <c r="IJ6" s="110"/>
      <c r="IK6" s="110"/>
      <c r="IL6" s="110"/>
      <c r="IM6" s="110"/>
      <c r="IN6" s="110"/>
      <c r="IO6" s="110"/>
      <c r="IP6" s="110"/>
      <c r="IQ6" s="70"/>
    </row>
    <row r="7" spans="1:251" ht="16.5" hidden="1" customHeight="1">
      <c r="A7" s="95" t="s">
        <v>450</v>
      </c>
      <c r="B7" t="s">
        <v>1363</v>
      </c>
      <c r="C7" t="s">
        <v>450</v>
      </c>
      <c r="E7" t="s">
        <v>450</v>
      </c>
      <c r="F7" t="s">
        <v>1368</v>
      </c>
      <c r="G7" s="654"/>
      <c r="H7">
        <v>19</v>
      </c>
      <c r="J7" s="214" t="str">
        <f t="shared" si="0"/>
        <v>LTT100119</v>
      </c>
      <c r="K7">
        <v>23410</v>
      </c>
      <c r="M7" t="s">
        <v>1363</v>
      </c>
      <c r="N7">
        <v>5</v>
      </c>
      <c r="O7" s="682" t="str">
        <f t="shared" si="1"/>
        <v>LTT1005</v>
      </c>
      <c r="P7">
        <v>21600</v>
      </c>
      <c r="R7" s="95" t="s">
        <v>450</v>
      </c>
      <c r="V7" s="214"/>
      <c r="EE7" s="95" t="s">
        <v>450</v>
      </c>
      <c r="EF7" s="110"/>
      <c r="EG7" s="110"/>
      <c r="EH7" s="110"/>
      <c r="EI7" s="216"/>
      <c r="EJ7" s="110"/>
      <c r="EK7" s="110"/>
      <c r="EL7" s="110"/>
      <c r="EM7" s="110"/>
      <c r="EN7" s="110"/>
      <c r="EO7" s="110"/>
      <c r="EP7" s="110"/>
      <c r="EQ7" s="110"/>
      <c r="ER7" s="110"/>
      <c r="ES7" s="110"/>
      <c r="ET7" s="110"/>
      <c r="EU7" s="110"/>
      <c r="EV7" s="110"/>
      <c r="EW7" s="110"/>
      <c r="EX7" s="110"/>
      <c r="EY7" s="110"/>
      <c r="EZ7" s="110"/>
      <c r="FA7" s="110"/>
      <c r="FB7" s="110"/>
      <c r="FC7" s="110"/>
      <c r="FD7" s="110"/>
      <c r="FE7" s="110"/>
      <c r="FF7" s="110"/>
      <c r="FG7" s="110"/>
      <c r="FH7" s="110"/>
      <c r="FI7" s="110"/>
      <c r="FJ7" s="110"/>
      <c r="FK7" s="110"/>
      <c r="FL7" s="110"/>
      <c r="FM7" s="110"/>
      <c r="FN7" s="110"/>
      <c r="FO7" s="110"/>
      <c r="FP7" s="110"/>
      <c r="FQ7" s="110"/>
      <c r="FR7" s="110"/>
      <c r="FS7" s="110"/>
      <c r="FT7" s="110"/>
      <c r="FU7" s="110"/>
      <c r="FV7" s="110"/>
      <c r="FW7" s="110"/>
      <c r="FX7" s="110"/>
      <c r="FY7" s="110"/>
      <c r="FZ7" s="110"/>
      <c r="GA7" s="110"/>
      <c r="GB7" s="110"/>
      <c r="GC7" s="110"/>
      <c r="GD7" s="110"/>
      <c r="GE7" s="110"/>
      <c r="GF7" s="110"/>
      <c r="GG7" s="110"/>
      <c r="GH7" s="110"/>
      <c r="GI7" s="110"/>
      <c r="GJ7" s="110"/>
      <c r="GK7" s="110"/>
      <c r="GL7" s="110"/>
      <c r="GM7" s="110"/>
      <c r="GN7" s="110"/>
      <c r="GO7" s="110"/>
      <c r="GP7" s="110"/>
      <c r="GQ7" s="110"/>
      <c r="GR7" s="110"/>
      <c r="GS7" s="110"/>
      <c r="GT7" s="110"/>
      <c r="GU7" s="110"/>
      <c r="GV7" s="110"/>
      <c r="GW7" s="110"/>
      <c r="GX7" s="110"/>
      <c r="GY7" s="110"/>
      <c r="GZ7" s="110"/>
      <c r="HA7" s="110"/>
      <c r="HB7" s="110"/>
      <c r="HC7" s="110"/>
      <c r="HD7" s="110"/>
      <c r="HE7" s="110"/>
      <c r="HF7" s="110"/>
      <c r="HG7" s="110"/>
      <c r="HH7" s="110"/>
      <c r="HI7" s="110"/>
      <c r="HJ7" s="110"/>
      <c r="HK7" s="110"/>
      <c r="HL7" s="110"/>
      <c r="HM7" s="110"/>
      <c r="HN7" s="110"/>
      <c r="HO7" s="110"/>
      <c r="HP7" s="110"/>
      <c r="HQ7" s="110"/>
      <c r="HR7" s="110"/>
      <c r="HS7" s="110"/>
      <c r="HT7" s="110"/>
      <c r="HU7" s="110"/>
      <c r="HV7" s="110"/>
      <c r="HW7" s="110"/>
      <c r="HX7" s="110"/>
      <c r="HY7" s="110"/>
      <c r="HZ7" s="110"/>
      <c r="IA7" s="110"/>
      <c r="IB7" s="110"/>
      <c r="IC7" s="110"/>
      <c r="ID7" s="110"/>
      <c r="IE7" s="110"/>
      <c r="IF7" s="110"/>
      <c r="IG7" s="110"/>
      <c r="IH7" s="110"/>
      <c r="II7" s="110"/>
      <c r="IJ7" s="110"/>
      <c r="IK7" s="110"/>
      <c r="IL7" s="110"/>
      <c r="IM7" s="110"/>
      <c r="IN7" s="110"/>
      <c r="IO7" s="110"/>
      <c r="IP7" s="110"/>
      <c r="IQ7" s="70"/>
    </row>
    <row r="8" spans="1:251" ht="16.5" hidden="1" customHeight="1">
      <c r="A8" s="95" t="s">
        <v>450</v>
      </c>
      <c r="B8" t="s">
        <v>1363</v>
      </c>
      <c r="C8" t="s">
        <v>450</v>
      </c>
      <c r="E8" t="s">
        <v>450</v>
      </c>
      <c r="F8" t="s">
        <v>1368</v>
      </c>
      <c r="G8" s="654"/>
      <c r="H8">
        <v>20</v>
      </c>
      <c r="J8" s="214" t="str">
        <f t="shared" si="0"/>
        <v>LTT100120</v>
      </c>
      <c r="K8">
        <v>23800</v>
      </c>
      <c r="M8" t="s">
        <v>1363</v>
      </c>
      <c r="N8">
        <v>6</v>
      </c>
      <c r="O8" s="682" t="str">
        <f t="shared" si="1"/>
        <v>LTT1006</v>
      </c>
      <c r="P8">
        <v>22000</v>
      </c>
      <c r="R8" s="95" t="s">
        <v>450</v>
      </c>
      <c r="V8" s="214"/>
      <c r="EE8" s="95" t="s">
        <v>450</v>
      </c>
      <c r="EF8" s="110"/>
      <c r="EG8" s="110"/>
      <c r="EH8" s="110"/>
      <c r="EI8" s="216"/>
      <c r="EJ8" s="110"/>
      <c r="EK8" s="110"/>
      <c r="EL8" s="110"/>
      <c r="EM8" s="110"/>
      <c r="EN8" s="110"/>
      <c r="EO8" s="110"/>
      <c r="EP8" s="110"/>
      <c r="EQ8" s="110"/>
      <c r="ER8" s="110"/>
      <c r="ES8" s="110"/>
      <c r="ET8" s="110"/>
      <c r="EU8" s="110"/>
      <c r="EV8" s="110"/>
      <c r="EW8" s="110"/>
      <c r="EX8" s="110"/>
      <c r="EY8" s="110"/>
      <c r="EZ8" s="110"/>
      <c r="FA8" s="110"/>
      <c r="FB8" s="110"/>
      <c r="FC8" s="110"/>
      <c r="FD8" s="110"/>
      <c r="FE8" s="110"/>
      <c r="FF8" s="110"/>
      <c r="FG8" s="110"/>
      <c r="FH8" s="110"/>
      <c r="FI8" s="110"/>
      <c r="FJ8" s="110"/>
      <c r="FK8" s="110"/>
      <c r="FL8" s="110"/>
      <c r="FM8" s="110"/>
      <c r="FN8" s="110"/>
      <c r="FO8" s="110"/>
      <c r="FP8" s="110"/>
      <c r="FQ8" s="110"/>
      <c r="FR8" s="110"/>
      <c r="FS8" s="110"/>
      <c r="FT8" s="110"/>
      <c r="FU8" s="110"/>
      <c r="FV8" s="110"/>
      <c r="FW8" s="110"/>
      <c r="FX8" s="110"/>
      <c r="FY8" s="110"/>
      <c r="FZ8" s="110"/>
      <c r="GA8" s="110"/>
      <c r="GB8" s="110"/>
      <c r="GC8" s="110"/>
      <c r="GD8" s="110"/>
      <c r="GE8" s="110"/>
      <c r="GF8" s="110"/>
      <c r="GG8" s="110"/>
      <c r="GH8" s="110"/>
      <c r="GI8" s="110"/>
      <c r="GJ8" s="110"/>
      <c r="GK8" s="110"/>
      <c r="GL8" s="110"/>
      <c r="GM8" s="110"/>
      <c r="GN8" s="110"/>
      <c r="GO8" s="110"/>
      <c r="GP8" s="110"/>
      <c r="GQ8" s="110"/>
      <c r="GR8" s="110"/>
      <c r="GS8" s="110"/>
      <c r="GT8" s="110"/>
      <c r="GU8" s="110"/>
      <c r="GV8" s="110"/>
      <c r="GW8" s="110"/>
      <c r="GX8" s="110"/>
      <c r="GY8" s="110"/>
      <c r="GZ8" s="110"/>
      <c r="HA8" s="110"/>
      <c r="HB8" s="110"/>
      <c r="HC8" s="110"/>
      <c r="HD8" s="110"/>
      <c r="HE8" s="110"/>
      <c r="HF8" s="110"/>
      <c r="HG8" s="110"/>
      <c r="HH8" s="110"/>
      <c r="HI8" s="110"/>
      <c r="HJ8" s="110"/>
      <c r="HK8" s="110"/>
      <c r="HL8" s="110"/>
      <c r="HM8" s="110"/>
      <c r="HN8" s="110"/>
      <c r="HO8" s="110"/>
      <c r="HP8" s="110"/>
      <c r="HQ8" s="110"/>
      <c r="HR8" s="110"/>
      <c r="HS8" s="110"/>
      <c r="HT8" s="110"/>
      <c r="HU8" s="110"/>
      <c r="HV8" s="110"/>
      <c r="HW8" s="110"/>
      <c r="HX8" s="110"/>
      <c r="HY8" s="110"/>
      <c r="HZ8" s="110"/>
      <c r="IA8" s="110"/>
      <c r="IB8" s="110"/>
      <c r="IC8" s="110"/>
      <c r="ID8" s="110"/>
      <c r="IE8" s="110"/>
      <c r="IF8" s="110"/>
      <c r="IG8" s="110"/>
      <c r="IH8" s="110"/>
      <c r="II8" s="110"/>
      <c r="IJ8" s="110"/>
      <c r="IK8" s="110"/>
      <c r="IL8" s="110"/>
      <c r="IM8" s="110"/>
      <c r="IN8" s="110"/>
      <c r="IO8" s="110"/>
      <c r="IP8" s="110"/>
      <c r="IQ8" s="70"/>
    </row>
    <row r="9" spans="1:251" ht="16.5" hidden="1" customHeight="1">
      <c r="A9" s="95" t="s">
        <v>450</v>
      </c>
      <c r="B9" t="s">
        <v>1363</v>
      </c>
      <c r="C9" t="s">
        <v>450</v>
      </c>
      <c r="E9" t="s">
        <v>450</v>
      </c>
      <c r="F9" t="s">
        <v>1368</v>
      </c>
      <c r="G9" s="654"/>
      <c r="H9">
        <v>21</v>
      </c>
      <c r="J9" s="214" t="str">
        <f t="shared" si="0"/>
        <v>LTT100121</v>
      </c>
      <c r="K9">
        <v>24160</v>
      </c>
      <c r="M9" t="s">
        <v>1363</v>
      </c>
      <c r="N9">
        <v>7</v>
      </c>
      <c r="O9" s="682" t="str">
        <f t="shared" si="1"/>
        <v>LTT1007</v>
      </c>
      <c r="P9">
        <v>22400</v>
      </c>
      <c r="R9" s="95" t="s">
        <v>450</v>
      </c>
      <c r="V9" s="214"/>
      <c r="EE9" s="95" t="s">
        <v>450</v>
      </c>
      <c r="EF9" s="110"/>
      <c r="EG9" s="110"/>
      <c r="EH9" s="110"/>
      <c r="EI9" s="216"/>
      <c r="EJ9" s="110"/>
      <c r="EK9" s="110"/>
      <c r="EL9" s="110"/>
      <c r="EM9" s="110"/>
      <c r="EN9" s="110"/>
      <c r="EO9" s="110"/>
      <c r="EP9" s="110"/>
      <c r="EQ9" s="110"/>
      <c r="ER9" s="110"/>
      <c r="ES9" s="110"/>
      <c r="ET9" s="110"/>
      <c r="EU9" s="110"/>
      <c r="EV9" s="110"/>
      <c r="EW9" s="110"/>
      <c r="EX9" s="110"/>
      <c r="EY9" s="110"/>
      <c r="EZ9" s="110"/>
      <c r="FA9" s="110"/>
      <c r="FB9" s="110"/>
      <c r="FC9" s="110"/>
      <c r="FD9" s="110"/>
      <c r="FE9" s="110"/>
      <c r="FF9" s="110"/>
      <c r="FG9" s="110"/>
      <c r="FH9" s="110"/>
      <c r="FI9" s="110"/>
      <c r="FJ9" s="110"/>
      <c r="FK9" s="110"/>
      <c r="FL9" s="110"/>
      <c r="FM9" s="110"/>
      <c r="FN9" s="110"/>
      <c r="FO9" s="110"/>
      <c r="FP9" s="110"/>
      <c r="FQ9" s="110"/>
      <c r="FR9" s="110"/>
      <c r="FS9" s="110"/>
      <c r="FT9" s="110"/>
      <c r="FU9" s="110"/>
      <c r="FV9" s="110"/>
      <c r="FW9" s="110"/>
      <c r="FX9" s="110"/>
      <c r="FY9" s="110"/>
      <c r="FZ9" s="110"/>
      <c r="GA9" s="110"/>
      <c r="GB9" s="110"/>
      <c r="GC9" s="110"/>
      <c r="GD9" s="110"/>
      <c r="GE9" s="110"/>
      <c r="GF9" s="110"/>
      <c r="GG9" s="110"/>
      <c r="GH9" s="110"/>
      <c r="GI9" s="110"/>
      <c r="GJ9" s="110"/>
      <c r="GK9" s="110"/>
      <c r="GL9" s="110"/>
      <c r="GM9" s="110"/>
      <c r="GN9" s="110"/>
      <c r="GO9" s="110"/>
      <c r="GP9" s="110"/>
      <c r="GQ9" s="110"/>
      <c r="GR9" s="110"/>
      <c r="GS9" s="110"/>
      <c r="GT9" s="110"/>
      <c r="GU9" s="110"/>
      <c r="GV9" s="110"/>
      <c r="GW9" s="110"/>
      <c r="GX9" s="110"/>
      <c r="GY9" s="110"/>
      <c r="GZ9" s="110"/>
      <c r="HA9" s="110"/>
      <c r="HB9" s="110"/>
      <c r="HC9" s="110"/>
      <c r="HD9" s="110"/>
      <c r="HE9" s="110"/>
      <c r="HF9" s="110"/>
      <c r="HG9" s="110"/>
      <c r="HH9" s="110"/>
      <c r="HI9" s="110"/>
      <c r="HJ9" s="110"/>
      <c r="HK9" s="110"/>
      <c r="HL9" s="110"/>
      <c r="HM9" s="110"/>
      <c r="HN9" s="110"/>
      <c r="HO9" s="110"/>
      <c r="HP9" s="110"/>
      <c r="HQ9" s="110"/>
      <c r="HR9" s="110"/>
      <c r="HS9" s="110"/>
      <c r="HT9" s="110"/>
      <c r="HU9" s="110"/>
      <c r="HV9" s="110"/>
      <c r="HW9" s="110"/>
      <c r="HX9" s="110"/>
      <c r="HY9" s="110"/>
      <c r="HZ9" s="110"/>
      <c r="IA9" s="110"/>
      <c r="IB9" s="110"/>
      <c r="IC9" s="110"/>
      <c r="ID9" s="110"/>
      <c r="IE9" s="110"/>
      <c r="IF9" s="110"/>
      <c r="IG9" s="110"/>
      <c r="IH9" s="110"/>
      <c r="II9" s="110"/>
      <c r="IJ9" s="110"/>
      <c r="IK9" s="110"/>
      <c r="IL9" s="110"/>
      <c r="IM9" s="110"/>
      <c r="IN9" s="110"/>
      <c r="IO9" s="110"/>
      <c r="IP9" s="110"/>
      <c r="IQ9" s="70"/>
    </row>
    <row r="10" spans="1:251" ht="16.5" hidden="1" customHeight="1">
      <c r="A10" s="95" t="s">
        <v>450</v>
      </c>
      <c r="B10" t="s">
        <v>1363</v>
      </c>
      <c r="C10" t="s">
        <v>450</v>
      </c>
      <c r="E10" t="s">
        <v>450</v>
      </c>
      <c r="F10" t="s">
        <v>1368</v>
      </c>
      <c r="G10" s="654"/>
      <c r="H10">
        <v>22</v>
      </c>
      <c r="J10" s="214" t="str">
        <f t="shared" si="0"/>
        <v>LTT100122</v>
      </c>
      <c r="K10">
        <v>24560</v>
      </c>
      <c r="M10" t="s">
        <v>1363</v>
      </c>
      <c r="N10">
        <v>8</v>
      </c>
      <c r="O10" s="682" t="str">
        <f t="shared" si="1"/>
        <v>LTT1008</v>
      </c>
      <c r="P10">
        <v>22800</v>
      </c>
      <c r="R10" s="95" t="s">
        <v>450</v>
      </c>
      <c r="V10" s="214"/>
      <c r="EE10" s="95" t="s">
        <v>450</v>
      </c>
      <c r="EF10" s="110"/>
      <c r="EG10" s="110"/>
      <c r="EH10" s="110"/>
      <c r="EI10" s="216"/>
      <c r="EJ10" s="110"/>
      <c r="EK10" s="110"/>
      <c r="EL10" s="110"/>
      <c r="EM10" s="110"/>
      <c r="EN10" s="110"/>
      <c r="EO10" s="110"/>
      <c r="EP10" s="110"/>
      <c r="EQ10" s="110"/>
      <c r="ER10" s="110"/>
      <c r="ES10" s="110"/>
      <c r="ET10" s="110"/>
      <c r="EU10" s="110"/>
      <c r="EV10" s="110"/>
      <c r="EW10" s="110"/>
      <c r="EX10" s="110"/>
      <c r="EY10" s="110"/>
      <c r="EZ10" s="110"/>
      <c r="FA10" s="110"/>
      <c r="FB10" s="110"/>
      <c r="FC10" s="110"/>
      <c r="FD10" s="110"/>
      <c r="FE10" s="110"/>
      <c r="FF10" s="110"/>
      <c r="FG10" s="110"/>
      <c r="FH10" s="110"/>
      <c r="FI10" s="110"/>
      <c r="FJ10" s="110"/>
      <c r="FK10" s="110"/>
      <c r="FL10" s="110"/>
      <c r="FM10" s="110"/>
      <c r="FN10" s="110"/>
      <c r="FO10" s="110"/>
      <c r="FP10" s="110"/>
      <c r="FQ10" s="110"/>
      <c r="FR10" s="110"/>
      <c r="FS10" s="110"/>
      <c r="FT10" s="110"/>
      <c r="FU10" s="110"/>
      <c r="FV10" s="110"/>
      <c r="FW10" s="110"/>
      <c r="FX10" s="110"/>
      <c r="FY10" s="110"/>
      <c r="FZ10" s="110"/>
      <c r="GA10" s="110"/>
      <c r="GB10" s="110"/>
      <c r="GC10" s="110"/>
      <c r="GD10" s="110"/>
      <c r="GE10" s="110"/>
      <c r="GF10" s="110"/>
      <c r="GG10" s="110"/>
      <c r="GH10" s="110"/>
      <c r="GI10" s="110"/>
      <c r="GJ10" s="110"/>
      <c r="GK10" s="110"/>
      <c r="GL10" s="110"/>
      <c r="GM10" s="110"/>
      <c r="GN10" s="110"/>
      <c r="GO10" s="110"/>
      <c r="GP10" s="110"/>
      <c r="GQ10" s="110"/>
      <c r="GR10" s="110"/>
      <c r="GS10" s="110"/>
      <c r="GT10" s="110"/>
      <c r="GU10" s="110"/>
      <c r="GV10" s="110"/>
      <c r="GW10" s="110"/>
      <c r="GX10" s="110"/>
      <c r="GY10" s="110"/>
      <c r="GZ10" s="110"/>
      <c r="HA10" s="110"/>
      <c r="HB10" s="110"/>
      <c r="HC10" s="110"/>
      <c r="HD10" s="110"/>
      <c r="HE10" s="110"/>
      <c r="HF10" s="110"/>
      <c r="HG10" s="110"/>
      <c r="HH10" s="110"/>
      <c r="HI10" s="110"/>
      <c r="HJ10" s="110"/>
      <c r="HK10" s="110"/>
      <c r="HL10" s="110"/>
      <c r="HM10" s="110"/>
      <c r="HN10" s="110"/>
      <c r="HO10" s="110"/>
      <c r="HP10" s="110"/>
      <c r="HQ10" s="110"/>
      <c r="HR10" s="110"/>
      <c r="HS10" s="110"/>
      <c r="HT10" s="110"/>
      <c r="HU10" s="110"/>
      <c r="HV10" s="110"/>
      <c r="HW10" s="110"/>
      <c r="HX10" s="110"/>
      <c r="HY10" s="110"/>
      <c r="HZ10" s="110"/>
      <c r="IA10" s="110"/>
      <c r="IB10" s="110"/>
      <c r="IC10" s="110"/>
      <c r="ID10" s="110"/>
      <c r="IE10" s="110"/>
      <c r="IF10" s="110"/>
      <c r="IG10" s="110"/>
      <c r="IH10" s="110"/>
      <c r="II10" s="110"/>
      <c r="IJ10" s="110"/>
      <c r="IK10" s="110"/>
      <c r="IL10" s="110"/>
      <c r="IM10" s="110"/>
      <c r="IN10" s="110"/>
      <c r="IO10" s="110"/>
      <c r="IP10" s="110"/>
      <c r="IQ10" s="70"/>
    </row>
    <row r="11" spans="1:251" ht="16.5" hidden="1" customHeight="1">
      <c r="A11" s="95" t="s">
        <v>450</v>
      </c>
      <c r="B11" t="s">
        <v>1363</v>
      </c>
      <c r="C11" t="s">
        <v>450</v>
      </c>
      <c r="E11" t="s">
        <v>450</v>
      </c>
      <c r="F11" t="s">
        <v>1368</v>
      </c>
      <c r="G11" s="654"/>
      <c r="H11">
        <v>23</v>
      </c>
      <c r="J11" s="214" t="str">
        <f t="shared" si="0"/>
        <v>LTT100123</v>
      </c>
      <c r="K11">
        <v>24940</v>
      </c>
      <c r="M11" t="s">
        <v>1363</v>
      </c>
      <c r="N11">
        <v>9</v>
      </c>
      <c r="O11" s="682" t="str">
        <f t="shared" si="1"/>
        <v>LTT1009</v>
      </c>
      <c r="P11">
        <v>23200</v>
      </c>
      <c r="R11" s="95" t="s">
        <v>450</v>
      </c>
      <c r="V11" s="214"/>
      <c r="EE11" s="95" t="s">
        <v>450</v>
      </c>
      <c r="EF11" s="110"/>
      <c r="EG11" s="110"/>
      <c r="EH11" s="110"/>
      <c r="EI11" s="216"/>
      <c r="EJ11" s="110"/>
      <c r="EK11" s="110"/>
      <c r="EL11" s="110"/>
      <c r="EM11" s="110"/>
      <c r="EN11" s="110"/>
      <c r="EO11" s="110"/>
      <c r="EP11" s="110"/>
      <c r="EQ11" s="110"/>
      <c r="ER11" s="110"/>
      <c r="ES11" s="110"/>
      <c r="ET11" s="110"/>
      <c r="EU11" s="110"/>
      <c r="EV11" s="110"/>
      <c r="EW11" s="110"/>
      <c r="EX11" s="110"/>
      <c r="EY11" s="110"/>
      <c r="EZ11" s="110"/>
      <c r="FA11" s="110"/>
      <c r="FB11" s="110"/>
      <c r="FC11" s="110"/>
      <c r="FD11" s="110"/>
      <c r="FE11" s="110"/>
      <c r="FF11" s="110"/>
      <c r="FG11" s="110"/>
      <c r="FH11" s="110"/>
      <c r="FI11" s="110"/>
      <c r="FJ11" s="110"/>
      <c r="FK11" s="110"/>
      <c r="FL11" s="110"/>
      <c r="FM11" s="110"/>
      <c r="FN11" s="110"/>
      <c r="FO11" s="110"/>
      <c r="FP11" s="110"/>
      <c r="FQ11" s="110"/>
      <c r="FR11" s="110"/>
      <c r="FS11" s="110"/>
      <c r="FT11" s="110"/>
      <c r="FU11" s="110"/>
      <c r="FV11" s="110"/>
      <c r="FW11" s="110"/>
      <c r="FX11" s="110"/>
      <c r="FY11" s="110"/>
      <c r="FZ11" s="110"/>
      <c r="GA11" s="110"/>
      <c r="GB11" s="110"/>
      <c r="GC11" s="110"/>
      <c r="GD11" s="110"/>
      <c r="GE11" s="110"/>
      <c r="GF11" s="110"/>
      <c r="GG11" s="110"/>
      <c r="GH11" s="110"/>
      <c r="GI11" s="110"/>
      <c r="GJ11" s="110"/>
      <c r="GK11" s="110"/>
      <c r="GL11" s="110"/>
      <c r="GM11" s="110"/>
      <c r="GN11" s="110"/>
      <c r="GO11" s="110"/>
      <c r="GP11" s="110"/>
      <c r="GQ11" s="110"/>
      <c r="GR11" s="110"/>
      <c r="GS11" s="110"/>
      <c r="GT11" s="110"/>
      <c r="GU11" s="110"/>
      <c r="GV11" s="110"/>
      <c r="GW11" s="110"/>
      <c r="GX11" s="110"/>
      <c r="GY11" s="110"/>
      <c r="GZ11" s="110"/>
      <c r="HA11" s="110"/>
      <c r="HB11" s="110"/>
      <c r="HC11" s="110"/>
      <c r="HD11" s="110"/>
      <c r="HE11" s="110"/>
      <c r="HF11" s="110"/>
      <c r="HG11" s="110"/>
      <c r="HH11" s="110"/>
      <c r="HI11" s="110"/>
      <c r="HJ11" s="110"/>
      <c r="HK11" s="110"/>
      <c r="HL11" s="110"/>
      <c r="HM11" s="110"/>
      <c r="HN11" s="110"/>
      <c r="HO11" s="110"/>
      <c r="HP11" s="110"/>
      <c r="HQ11" s="110"/>
      <c r="HR11" s="110"/>
      <c r="HS11" s="110"/>
      <c r="HT11" s="110"/>
      <c r="HU11" s="110"/>
      <c r="HV11" s="110"/>
      <c r="HW11" s="110"/>
      <c r="HX11" s="110"/>
      <c r="HY11" s="110"/>
      <c r="HZ11" s="110"/>
      <c r="IA11" s="110"/>
      <c r="IB11" s="110"/>
      <c r="IC11" s="110"/>
      <c r="ID11" s="110"/>
      <c r="IE11" s="110"/>
      <c r="IF11" s="110"/>
      <c r="IG11" s="110"/>
      <c r="IH11" s="110"/>
      <c r="II11" s="110"/>
      <c r="IJ11" s="110"/>
      <c r="IK11" s="110"/>
      <c r="IL11" s="110"/>
      <c r="IM11" s="110"/>
      <c r="IN11" s="110"/>
      <c r="IO11" s="110"/>
      <c r="IP11" s="110"/>
      <c r="IQ11" s="70"/>
    </row>
    <row r="12" spans="1:251" ht="16.5" hidden="1" customHeight="1">
      <c r="A12" s="95" t="s">
        <v>450</v>
      </c>
      <c r="B12" t="s">
        <v>1363</v>
      </c>
      <c r="C12" t="s">
        <v>450</v>
      </c>
      <c r="E12" t="s">
        <v>450</v>
      </c>
      <c r="F12" t="s">
        <v>1368</v>
      </c>
      <c r="G12" s="654"/>
      <c r="H12">
        <v>24</v>
      </c>
      <c r="J12" s="214" t="str">
        <f t="shared" si="0"/>
        <v>LTT100124</v>
      </c>
      <c r="K12">
        <v>25320</v>
      </c>
      <c r="M12" t="s">
        <v>1363</v>
      </c>
      <c r="N12">
        <v>10</v>
      </c>
      <c r="O12" s="682" t="str">
        <f t="shared" si="1"/>
        <v>LTT1010</v>
      </c>
      <c r="P12">
        <v>23600</v>
      </c>
      <c r="R12" s="95" t="s">
        <v>450</v>
      </c>
      <c r="V12" s="214"/>
      <c r="EE12" s="95" t="s">
        <v>450</v>
      </c>
      <c r="EF12" s="110"/>
      <c r="EG12" s="110"/>
      <c r="EH12" s="110"/>
      <c r="EI12" s="216"/>
      <c r="EJ12" s="110"/>
      <c r="EK12" s="110"/>
      <c r="EL12" s="110"/>
      <c r="EM12" s="110"/>
      <c r="EN12" s="110"/>
      <c r="EO12" s="110"/>
      <c r="EP12" s="110"/>
      <c r="EQ12" s="110"/>
      <c r="ER12" s="110"/>
      <c r="ES12" s="110"/>
      <c r="ET12" s="110"/>
      <c r="EU12" s="110"/>
      <c r="EV12" s="110"/>
      <c r="EW12" s="110"/>
      <c r="EX12" s="110"/>
      <c r="EY12" s="110"/>
      <c r="EZ12" s="110"/>
      <c r="FA12" s="110"/>
      <c r="FB12" s="110"/>
      <c r="FC12" s="110"/>
      <c r="FD12" s="110"/>
      <c r="FE12" s="110"/>
      <c r="FF12" s="110"/>
      <c r="FG12" s="110"/>
      <c r="FH12" s="110"/>
      <c r="FI12" s="110"/>
      <c r="FJ12" s="110"/>
      <c r="FK12" s="110"/>
      <c r="FL12" s="110"/>
      <c r="FM12" s="110"/>
      <c r="FN12" s="110"/>
      <c r="FO12" s="110"/>
      <c r="FP12" s="110"/>
      <c r="FQ12" s="110"/>
      <c r="FR12" s="110"/>
      <c r="FS12" s="110"/>
      <c r="FT12" s="110"/>
      <c r="FU12" s="110"/>
      <c r="FV12" s="110"/>
      <c r="FW12" s="110"/>
      <c r="FX12" s="110"/>
      <c r="FY12" s="110"/>
      <c r="FZ12" s="110"/>
      <c r="GA12" s="110"/>
      <c r="GB12" s="110"/>
      <c r="GC12" s="110"/>
      <c r="GD12" s="110"/>
      <c r="GE12" s="110"/>
      <c r="GF12" s="110"/>
      <c r="GG12" s="110"/>
      <c r="GH12" s="110"/>
      <c r="GI12" s="110"/>
      <c r="GJ12" s="110"/>
      <c r="GK12" s="110"/>
      <c r="GL12" s="110"/>
      <c r="GM12" s="110"/>
      <c r="GN12" s="110"/>
      <c r="GO12" s="110"/>
      <c r="GP12" s="110"/>
      <c r="GQ12" s="110"/>
      <c r="GR12" s="110"/>
      <c r="GS12" s="110"/>
      <c r="GT12" s="110"/>
      <c r="GU12" s="110"/>
      <c r="GV12" s="110"/>
      <c r="GW12" s="110"/>
      <c r="GX12" s="110"/>
      <c r="GY12" s="110"/>
      <c r="GZ12" s="110"/>
      <c r="HA12" s="110"/>
      <c r="HB12" s="110"/>
      <c r="HC12" s="110"/>
      <c r="HD12" s="110"/>
      <c r="HE12" s="110"/>
      <c r="HF12" s="110"/>
      <c r="HG12" s="110"/>
      <c r="HH12" s="110"/>
      <c r="HI12" s="110"/>
      <c r="HJ12" s="110"/>
      <c r="HK12" s="110"/>
      <c r="HL12" s="110"/>
      <c r="HM12" s="110"/>
      <c r="HN12" s="110"/>
      <c r="HO12" s="110"/>
      <c r="HP12" s="110"/>
      <c r="HQ12" s="110"/>
      <c r="HR12" s="110"/>
      <c r="HS12" s="110"/>
      <c r="HT12" s="110"/>
      <c r="HU12" s="110"/>
      <c r="HV12" s="110"/>
      <c r="HW12" s="110"/>
      <c r="HX12" s="110"/>
      <c r="HY12" s="110"/>
      <c r="HZ12" s="110"/>
      <c r="IA12" s="110"/>
      <c r="IB12" s="110"/>
      <c r="IC12" s="110"/>
      <c r="ID12" s="110"/>
      <c r="IE12" s="110"/>
      <c r="IF12" s="110"/>
      <c r="IG12" s="110"/>
      <c r="IH12" s="110"/>
      <c r="II12" s="110"/>
      <c r="IJ12" s="110"/>
      <c r="IK12" s="110"/>
      <c r="IL12" s="110"/>
      <c r="IM12" s="110"/>
      <c r="IN12" s="110"/>
      <c r="IO12" s="110"/>
      <c r="IP12" s="110"/>
      <c r="IQ12" s="70"/>
    </row>
    <row r="13" spans="1:251" ht="16.5" hidden="1" customHeight="1">
      <c r="A13" s="95" t="s">
        <v>450</v>
      </c>
      <c r="B13" t="s">
        <v>1363</v>
      </c>
      <c r="C13" t="s">
        <v>450</v>
      </c>
      <c r="E13" t="s">
        <v>450</v>
      </c>
      <c r="F13" t="s">
        <v>1368</v>
      </c>
      <c r="G13" s="654"/>
      <c r="H13">
        <v>25</v>
      </c>
      <c r="J13" s="214" t="str">
        <f t="shared" si="0"/>
        <v>LTT100125</v>
      </c>
      <c r="K13">
        <v>25750</v>
      </c>
      <c r="M13" t="s">
        <v>1363</v>
      </c>
      <c r="N13">
        <v>11</v>
      </c>
      <c r="O13" s="682" t="str">
        <f t="shared" si="1"/>
        <v>LTT1011</v>
      </c>
      <c r="P13">
        <v>24000</v>
      </c>
      <c r="R13" s="95" t="s">
        <v>450</v>
      </c>
      <c r="V13" s="214"/>
      <c r="EE13" s="95" t="s">
        <v>450</v>
      </c>
      <c r="EF13" s="110"/>
      <c r="EG13" s="110"/>
      <c r="EH13" s="110"/>
      <c r="EI13" s="216"/>
      <c r="EJ13" s="110"/>
      <c r="EK13" s="110"/>
      <c r="EL13" s="110"/>
      <c r="EM13" s="110"/>
      <c r="EN13" s="110"/>
      <c r="EO13" s="110"/>
      <c r="EP13" s="110"/>
      <c r="EQ13" s="110"/>
      <c r="ER13" s="110"/>
      <c r="ES13" s="110"/>
      <c r="ET13" s="110"/>
      <c r="EU13" s="110"/>
      <c r="EV13" s="110"/>
      <c r="EW13" s="110"/>
      <c r="EX13" s="110"/>
      <c r="EY13" s="110"/>
      <c r="EZ13" s="110"/>
      <c r="FA13" s="110"/>
      <c r="FB13" s="110"/>
      <c r="FC13" s="110"/>
      <c r="FD13" s="110"/>
      <c r="FE13" s="110"/>
      <c r="FF13" s="110"/>
      <c r="FG13" s="110"/>
      <c r="FH13" s="110"/>
      <c r="FI13" s="110"/>
      <c r="FJ13" s="110"/>
      <c r="FK13" s="110"/>
      <c r="FL13" s="110"/>
      <c r="FM13" s="110"/>
      <c r="FN13" s="110"/>
      <c r="FO13" s="110"/>
      <c r="FP13" s="110"/>
      <c r="FQ13" s="110"/>
      <c r="FR13" s="110"/>
      <c r="FS13" s="110"/>
      <c r="FT13" s="110"/>
      <c r="FU13" s="110"/>
      <c r="FV13" s="110"/>
      <c r="FW13" s="110"/>
      <c r="FX13" s="110"/>
      <c r="FY13" s="110"/>
      <c r="FZ13" s="110"/>
      <c r="GA13" s="110"/>
      <c r="GB13" s="110"/>
      <c r="GC13" s="110"/>
      <c r="GD13" s="110"/>
      <c r="GE13" s="110"/>
      <c r="GF13" s="110"/>
      <c r="GG13" s="110"/>
      <c r="GH13" s="110"/>
      <c r="GI13" s="110"/>
      <c r="GJ13" s="110"/>
      <c r="GK13" s="110"/>
      <c r="GL13" s="110"/>
      <c r="GM13" s="110"/>
      <c r="GN13" s="110"/>
      <c r="GO13" s="110"/>
      <c r="GP13" s="110"/>
      <c r="GQ13" s="110"/>
      <c r="GR13" s="110"/>
      <c r="GS13" s="110"/>
      <c r="GT13" s="110"/>
      <c r="GU13" s="110"/>
      <c r="GV13" s="110"/>
      <c r="GW13" s="110"/>
      <c r="GX13" s="110"/>
      <c r="GY13" s="110"/>
      <c r="GZ13" s="110"/>
      <c r="HA13" s="110"/>
      <c r="HB13" s="110"/>
      <c r="HC13" s="110"/>
      <c r="HD13" s="110"/>
      <c r="HE13" s="110"/>
      <c r="HF13" s="110"/>
      <c r="HG13" s="110"/>
      <c r="HH13" s="110"/>
      <c r="HI13" s="110"/>
      <c r="HJ13" s="110"/>
      <c r="HK13" s="110"/>
      <c r="HL13" s="110"/>
      <c r="HM13" s="110"/>
      <c r="HN13" s="110"/>
      <c r="HO13" s="110"/>
      <c r="HP13" s="110"/>
      <c r="HQ13" s="110"/>
      <c r="HR13" s="110"/>
      <c r="HS13" s="110"/>
      <c r="HT13" s="110"/>
      <c r="HU13" s="110"/>
      <c r="HV13" s="110"/>
      <c r="HW13" s="110"/>
      <c r="HX13" s="110"/>
      <c r="HY13" s="110"/>
      <c r="HZ13" s="110"/>
      <c r="IA13" s="110"/>
      <c r="IB13" s="110"/>
      <c r="IC13" s="110"/>
      <c r="ID13" s="110"/>
      <c r="IE13" s="110"/>
      <c r="IF13" s="110"/>
      <c r="IG13" s="110"/>
      <c r="IH13" s="110"/>
      <c r="II13" s="110"/>
      <c r="IJ13" s="110"/>
      <c r="IK13" s="110"/>
      <c r="IL13" s="110"/>
      <c r="IM13" s="110"/>
      <c r="IN13" s="110"/>
      <c r="IO13" s="110"/>
      <c r="IP13" s="110"/>
      <c r="IQ13" s="70"/>
    </row>
    <row r="14" spans="1:251" ht="16.5" hidden="1" customHeight="1">
      <c r="A14" s="95" t="s">
        <v>450</v>
      </c>
      <c r="B14" t="s">
        <v>1363</v>
      </c>
      <c r="C14" t="s">
        <v>450</v>
      </c>
      <c r="E14" t="s">
        <v>450</v>
      </c>
      <c r="F14" t="s">
        <v>1368</v>
      </c>
      <c r="G14" s="654"/>
      <c r="H14">
        <v>26</v>
      </c>
      <c r="J14" s="214" t="str">
        <f t="shared" si="0"/>
        <v>LTT100126</v>
      </c>
      <c r="K14">
        <v>26150</v>
      </c>
      <c r="M14" t="s">
        <v>1363</v>
      </c>
      <c r="N14">
        <v>12</v>
      </c>
      <c r="O14" s="682" t="str">
        <f t="shared" si="1"/>
        <v>LTT1012</v>
      </c>
      <c r="P14">
        <v>24400</v>
      </c>
      <c r="R14" s="95" t="s">
        <v>450</v>
      </c>
      <c r="V14" s="214"/>
      <c r="EE14" s="95" t="s">
        <v>450</v>
      </c>
      <c r="EF14" s="110"/>
      <c r="EG14" s="110"/>
      <c r="EH14" s="110"/>
      <c r="EI14" s="216"/>
      <c r="EJ14" s="110"/>
      <c r="EK14" s="110"/>
      <c r="EL14" s="110"/>
      <c r="EM14" s="110"/>
      <c r="EN14" s="110"/>
      <c r="EO14" s="110"/>
      <c r="EP14" s="110"/>
      <c r="EQ14" s="110"/>
      <c r="ER14" s="110"/>
      <c r="ES14" s="110"/>
      <c r="ET14" s="110"/>
      <c r="EU14" s="110"/>
      <c r="EV14" s="110"/>
      <c r="EW14" s="110"/>
      <c r="EX14" s="110"/>
      <c r="EY14" s="110"/>
      <c r="EZ14" s="110"/>
      <c r="FA14" s="110"/>
      <c r="FB14" s="110"/>
      <c r="FC14" s="110"/>
      <c r="FD14" s="110"/>
      <c r="FE14" s="110"/>
      <c r="FF14" s="110"/>
      <c r="FG14" s="110"/>
      <c r="FH14" s="110"/>
      <c r="FI14" s="110"/>
      <c r="FJ14" s="110"/>
      <c r="FK14" s="110"/>
      <c r="FL14" s="110"/>
      <c r="FM14" s="110"/>
      <c r="FN14" s="110"/>
      <c r="FO14" s="110"/>
      <c r="FP14" s="110"/>
      <c r="FQ14" s="110"/>
      <c r="FR14" s="110"/>
      <c r="FS14" s="110"/>
      <c r="FT14" s="110"/>
      <c r="FU14" s="110"/>
      <c r="FV14" s="110"/>
      <c r="FW14" s="110"/>
      <c r="FX14" s="110"/>
      <c r="FY14" s="110"/>
      <c r="FZ14" s="110"/>
      <c r="GA14" s="110"/>
      <c r="GB14" s="110"/>
      <c r="GC14" s="110"/>
      <c r="GD14" s="110"/>
      <c r="GE14" s="110"/>
      <c r="GF14" s="110"/>
      <c r="GG14" s="110"/>
      <c r="GH14" s="110"/>
      <c r="GI14" s="110"/>
      <c r="GJ14" s="110"/>
      <c r="GK14" s="110"/>
      <c r="GL14" s="110"/>
      <c r="GM14" s="110"/>
      <c r="GN14" s="110"/>
      <c r="GO14" s="110"/>
      <c r="GP14" s="110"/>
      <c r="GQ14" s="110"/>
      <c r="GR14" s="110"/>
      <c r="GS14" s="110"/>
      <c r="GT14" s="110"/>
      <c r="GU14" s="110"/>
      <c r="GV14" s="110"/>
      <c r="GW14" s="110"/>
      <c r="GX14" s="110"/>
      <c r="GY14" s="110"/>
      <c r="GZ14" s="110"/>
      <c r="HA14" s="110"/>
      <c r="HB14" s="110"/>
      <c r="HC14" s="110"/>
      <c r="HD14" s="110"/>
      <c r="HE14" s="110"/>
      <c r="HF14" s="110"/>
      <c r="HG14" s="110"/>
      <c r="HH14" s="110"/>
      <c r="HI14" s="110"/>
      <c r="HJ14" s="110"/>
      <c r="HK14" s="110"/>
      <c r="HL14" s="110"/>
      <c r="HM14" s="110"/>
      <c r="HN14" s="110"/>
      <c r="HO14" s="110"/>
      <c r="HP14" s="110"/>
      <c r="HQ14" s="110"/>
      <c r="HR14" s="110"/>
      <c r="HS14" s="110"/>
      <c r="HT14" s="110"/>
      <c r="HU14" s="110"/>
      <c r="HV14" s="110"/>
      <c r="HW14" s="110"/>
      <c r="HX14" s="110"/>
      <c r="HY14" s="110"/>
      <c r="HZ14" s="110"/>
      <c r="IA14" s="110"/>
      <c r="IB14" s="110"/>
      <c r="IC14" s="110"/>
      <c r="ID14" s="110"/>
      <c r="IE14" s="110"/>
      <c r="IF14" s="110"/>
      <c r="IG14" s="110"/>
      <c r="IH14" s="110"/>
      <c r="II14" s="110"/>
      <c r="IJ14" s="110"/>
      <c r="IK14" s="110"/>
      <c r="IL14" s="110"/>
      <c r="IM14" s="110"/>
      <c r="IN14" s="110"/>
      <c r="IO14" s="110"/>
      <c r="IP14" s="110"/>
      <c r="IQ14" s="70"/>
    </row>
    <row r="15" spans="1:251" ht="16.5" hidden="1" customHeight="1">
      <c r="A15" s="95" t="s">
        <v>450</v>
      </c>
      <c r="B15" t="s">
        <v>1363</v>
      </c>
      <c r="C15" t="s">
        <v>450</v>
      </c>
      <c r="E15" t="s">
        <v>450</v>
      </c>
      <c r="F15" t="s">
        <v>1368</v>
      </c>
      <c r="G15" s="654"/>
      <c r="H15">
        <v>27</v>
      </c>
      <c r="J15" s="214" t="str">
        <f t="shared" si="0"/>
        <v>LTT100127</v>
      </c>
      <c r="K15">
        <v>26600</v>
      </c>
      <c r="M15" t="s">
        <v>1363</v>
      </c>
      <c r="N15">
        <v>13</v>
      </c>
      <c r="O15" s="682" t="str">
        <f t="shared" si="1"/>
        <v>LTT1013</v>
      </c>
      <c r="P15">
        <v>24800</v>
      </c>
      <c r="R15" s="95" t="s">
        <v>450</v>
      </c>
      <c r="V15" s="214"/>
      <c r="EE15" s="95" t="s">
        <v>450</v>
      </c>
      <c r="EF15" s="110"/>
      <c r="EG15" s="110"/>
      <c r="EH15" s="110"/>
      <c r="EI15" s="216"/>
      <c r="EJ15" s="110"/>
      <c r="EK15" s="110"/>
      <c r="EL15" s="110"/>
      <c r="EM15" s="110"/>
      <c r="EN15" s="110"/>
      <c r="EO15" s="110"/>
      <c r="EP15" s="110"/>
      <c r="EQ15" s="110"/>
      <c r="ER15" s="110"/>
      <c r="ES15" s="110"/>
      <c r="ET15" s="110"/>
      <c r="EU15" s="110"/>
      <c r="EV15" s="110"/>
      <c r="EW15" s="110"/>
      <c r="EX15" s="110"/>
      <c r="EY15" s="110"/>
      <c r="EZ15" s="110"/>
      <c r="FA15" s="110"/>
      <c r="FB15" s="110"/>
      <c r="FC15" s="110"/>
      <c r="FD15" s="110"/>
      <c r="FE15" s="110"/>
      <c r="FF15" s="110"/>
      <c r="FG15" s="110"/>
      <c r="FH15" s="110"/>
      <c r="FI15" s="110"/>
      <c r="FJ15" s="110"/>
      <c r="FK15" s="110"/>
      <c r="FL15" s="110"/>
      <c r="FM15" s="110"/>
      <c r="FN15" s="110"/>
      <c r="FO15" s="110"/>
      <c r="FP15" s="110"/>
      <c r="FQ15" s="110"/>
      <c r="FR15" s="110"/>
      <c r="FS15" s="110"/>
      <c r="FT15" s="110"/>
      <c r="FU15" s="110"/>
      <c r="FV15" s="110"/>
      <c r="FW15" s="110"/>
      <c r="FX15" s="110"/>
      <c r="FY15" s="110"/>
      <c r="FZ15" s="110"/>
      <c r="GA15" s="110"/>
      <c r="GB15" s="110"/>
      <c r="GC15" s="110"/>
      <c r="GD15" s="110"/>
      <c r="GE15" s="110"/>
      <c r="GF15" s="110"/>
      <c r="GG15" s="110"/>
      <c r="GH15" s="110"/>
      <c r="GI15" s="110"/>
      <c r="GJ15" s="110"/>
      <c r="GK15" s="110"/>
      <c r="GL15" s="110"/>
      <c r="GM15" s="110"/>
      <c r="GN15" s="110"/>
      <c r="GO15" s="110"/>
      <c r="GP15" s="110"/>
      <c r="GQ15" s="110"/>
      <c r="GR15" s="110"/>
      <c r="GS15" s="110"/>
      <c r="GT15" s="110"/>
      <c r="GU15" s="110"/>
      <c r="GV15" s="110"/>
      <c r="GW15" s="110"/>
      <c r="GX15" s="110"/>
      <c r="GY15" s="110"/>
      <c r="GZ15" s="110"/>
      <c r="HA15" s="110"/>
      <c r="HB15" s="110"/>
      <c r="HC15" s="110"/>
      <c r="HD15" s="110"/>
      <c r="HE15" s="110"/>
      <c r="HF15" s="110"/>
      <c r="HG15" s="110"/>
      <c r="HH15" s="110"/>
      <c r="HI15" s="110"/>
      <c r="HJ15" s="110"/>
      <c r="HK15" s="110"/>
      <c r="HL15" s="110"/>
      <c r="HM15" s="110"/>
      <c r="HN15" s="110"/>
      <c r="HO15" s="110"/>
      <c r="HP15" s="110"/>
      <c r="HQ15" s="110"/>
      <c r="HR15" s="110"/>
      <c r="HS15" s="110"/>
      <c r="HT15" s="110"/>
      <c r="HU15" s="110"/>
      <c r="HV15" s="110"/>
      <c r="HW15" s="110"/>
      <c r="HX15" s="110"/>
      <c r="HY15" s="110"/>
      <c r="HZ15" s="110"/>
      <c r="IA15" s="110"/>
      <c r="IB15" s="110"/>
      <c r="IC15" s="110"/>
      <c r="ID15" s="110"/>
      <c r="IE15" s="110"/>
      <c r="IF15" s="110"/>
      <c r="IG15" s="110"/>
      <c r="IH15" s="110"/>
      <c r="II15" s="110"/>
      <c r="IJ15" s="110"/>
      <c r="IK15" s="110"/>
      <c r="IL15" s="110"/>
      <c r="IM15" s="110"/>
      <c r="IN15" s="110"/>
      <c r="IO15" s="110"/>
      <c r="IP15" s="110"/>
      <c r="IQ15" s="70"/>
    </row>
    <row r="16" spans="1:251" ht="16.5" hidden="1" customHeight="1">
      <c r="A16" s="95" t="s">
        <v>450</v>
      </c>
      <c r="B16" t="s">
        <v>1363</v>
      </c>
      <c r="C16" t="s">
        <v>450</v>
      </c>
      <c r="E16" t="s">
        <v>450</v>
      </c>
      <c r="F16" t="s">
        <v>1368</v>
      </c>
      <c r="G16" s="654"/>
      <c r="H16">
        <v>28</v>
      </c>
      <c r="J16" s="214" t="str">
        <f t="shared" si="0"/>
        <v>LTT100128</v>
      </c>
      <c r="K16">
        <v>27030</v>
      </c>
      <c r="M16" t="s">
        <v>1363</v>
      </c>
      <c r="N16">
        <v>14</v>
      </c>
      <c r="O16" s="682" t="str">
        <f t="shared" si="1"/>
        <v>LTT1014</v>
      </c>
      <c r="P16">
        <v>25200</v>
      </c>
      <c r="R16" s="95" t="s">
        <v>450</v>
      </c>
      <c r="V16" s="214"/>
      <c r="EE16" s="95" t="s">
        <v>450</v>
      </c>
      <c r="EF16" s="110"/>
      <c r="EG16" s="110"/>
      <c r="EH16" s="110"/>
      <c r="EI16" s="216"/>
      <c r="EJ16" s="110"/>
      <c r="EK16" s="110"/>
      <c r="EL16" s="110"/>
      <c r="EM16" s="110"/>
      <c r="EN16" s="110"/>
      <c r="EO16" s="110"/>
      <c r="EP16" s="110"/>
      <c r="EQ16" s="110"/>
      <c r="ER16" s="110"/>
      <c r="ES16" s="110"/>
      <c r="ET16" s="110"/>
      <c r="EU16" s="110"/>
      <c r="EV16" s="110"/>
      <c r="EW16" s="110"/>
      <c r="EX16" s="110"/>
      <c r="EY16" s="110"/>
      <c r="EZ16" s="110"/>
      <c r="FA16" s="110"/>
      <c r="FB16" s="110"/>
      <c r="FC16" s="110"/>
      <c r="FD16" s="110"/>
      <c r="FE16" s="110"/>
      <c r="FF16" s="110"/>
      <c r="FG16" s="110"/>
      <c r="FH16" s="110"/>
      <c r="FI16" s="110"/>
      <c r="FJ16" s="110"/>
      <c r="FK16" s="110"/>
      <c r="FL16" s="110"/>
      <c r="FM16" s="110"/>
      <c r="FN16" s="110"/>
      <c r="FO16" s="110"/>
      <c r="FP16" s="110"/>
      <c r="FQ16" s="110"/>
      <c r="FR16" s="110"/>
      <c r="FS16" s="110"/>
      <c r="FT16" s="110"/>
      <c r="FU16" s="110"/>
      <c r="FV16" s="110"/>
      <c r="FW16" s="110"/>
      <c r="FX16" s="110"/>
      <c r="FY16" s="110"/>
      <c r="FZ16" s="110"/>
      <c r="GA16" s="110"/>
      <c r="GB16" s="110"/>
      <c r="GC16" s="110"/>
      <c r="GD16" s="110"/>
      <c r="GE16" s="110"/>
      <c r="GF16" s="110"/>
      <c r="GG16" s="110"/>
      <c r="GH16" s="110"/>
      <c r="GI16" s="110"/>
      <c r="GJ16" s="110"/>
      <c r="GK16" s="110"/>
      <c r="GL16" s="110"/>
      <c r="GM16" s="110"/>
      <c r="GN16" s="110"/>
      <c r="GO16" s="110"/>
      <c r="GP16" s="110"/>
      <c r="GQ16" s="110"/>
      <c r="GR16" s="110"/>
      <c r="GS16" s="110"/>
      <c r="GT16" s="110"/>
      <c r="GU16" s="110"/>
      <c r="GV16" s="110"/>
      <c r="GW16" s="110"/>
      <c r="GX16" s="110"/>
      <c r="GY16" s="110"/>
      <c r="GZ16" s="110"/>
      <c r="HA16" s="110"/>
      <c r="HB16" s="110"/>
      <c r="HC16" s="110"/>
      <c r="HD16" s="110"/>
      <c r="HE16" s="110"/>
      <c r="HF16" s="110"/>
      <c r="HG16" s="110"/>
      <c r="HH16" s="110"/>
      <c r="HI16" s="110"/>
      <c r="HJ16" s="110"/>
      <c r="HK16" s="110"/>
      <c r="HL16" s="110"/>
      <c r="HM16" s="110"/>
      <c r="HN16" s="110"/>
      <c r="HO16" s="110"/>
      <c r="HP16" s="110"/>
      <c r="HQ16" s="110"/>
      <c r="HR16" s="110"/>
      <c r="HS16" s="110"/>
      <c r="HT16" s="110"/>
      <c r="HU16" s="110"/>
      <c r="HV16" s="110"/>
      <c r="HW16" s="110"/>
      <c r="HX16" s="110"/>
      <c r="HY16" s="110"/>
      <c r="HZ16" s="110"/>
      <c r="IA16" s="110"/>
      <c r="IB16" s="110"/>
      <c r="IC16" s="110"/>
      <c r="ID16" s="110"/>
      <c r="IE16" s="110"/>
      <c r="IF16" s="110"/>
      <c r="IG16" s="110"/>
      <c r="IH16" s="110"/>
      <c r="II16" s="110"/>
      <c r="IJ16" s="110"/>
      <c r="IK16" s="110"/>
      <c r="IL16" s="110"/>
      <c r="IM16" s="110"/>
      <c r="IN16" s="110"/>
      <c r="IO16" s="110"/>
      <c r="IP16" s="110"/>
      <c r="IQ16" s="70"/>
    </row>
    <row r="17" spans="1:251" ht="16.5" hidden="1" customHeight="1">
      <c r="A17" s="95" t="s">
        <v>450</v>
      </c>
      <c r="B17" t="s">
        <v>1363</v>
      </c>
      <c r="C17" t="s">
        <v>450</v>
      </c>
      <c r="E17" t="s">
        <v>450</v>
      </c>
      <c r="F17" t="s">
        <v>1368</v>
      </c>
      <c r="G17" s="654"/>
      <c r="H17">
        <v>29</v>
      </c>
      <c r="J17" s="214" t="str">
        <f t="shared" si="0"/>
        <v>LTT100129</v>
      </c>
      <c r="K17">
        <v>27540</v>
      </c>
      <c r="M17" t="s">
        <v>1363</v>
      </c>
      <c r="N17">
        <v>15</v>
      </c>
      <c r="O17" s="682" t="str">
        <f t="shared" si="1"/>
        <v>LTT1015</v>
      </c>
      <c r="P17">
        <v>25600</v>
      </c>
      <c r="R17" s="95" t="s">
        <v>450</v>
      </c>
      <c r="V17" s="214"/>
      <c r="EE17" s="95" t="s">
        <v>450</v>
      </c>
      <c r="EF17" s="110"/>
      <c r="EG17" s="110"/>
      <c r="EH17" s="110"/>
      <c r="EI17" s="216"/>
      <c r="EJ17" s="110"/>
      <c r="EK17" s="110"/>
      <c r="EL17" s="110"/>
      <c r="EM17" s="110"/>
      <c r="EN17" s="110"/>
      <c r="EO17" s="110"/>
      <c r="EP17" s="110"/>
      <c r="EQ17" s="110"/>
      <c r="ER17" s="110"/>
      <c r="ES17" s="110"/>
      <c r="ET17" s="110"/>
      <c r="EU17" s="110"/>
      <c r="EV17" s="110"/>
      <c r="EW17" s="110"/>
      <c r="EX17" s="110"/>
      <c r="EY17" s="110"/>
      <c r="EZ17" s="110"/>
      <c r="FA17" s="110"/>
      <c r="FB17" s="110"/>
      <c r="FC17" s="110"/>
      <c r="FD17" s="110"/>
      <c r="FE17" s="110"/>
      <c r="FF17" s="110"/>
      <c r="FG17" s="110"/>
      <c r="FH17" s="110"/>
      <c r="FI17" s="110"/>
      <c r="FJ17" s="110"/>
      <c r="FK17" s="110"/>
      <c r="FL17" s="110"/>
      <c r="FM17" s="110"/>
      <c r="FN17" s="110"/>
      <c r="FO17" s="110"/>
      <c r="FP17" s="110"/>
      <c r="FQ17" s="110"/>
      <c r="FR17" s="110"/>
      <c r="FS17" s="110"/>
      <c r="FT17" s="110"/>
      <c r="FU17" s="110"/>
      <c r="FV17" s="110"/>
      <c r="FW17" s="110"/>
      <c r="FX17" s="110"/>
      <c r="FY17" s="110"/>
      <c r="FZ17" s="110"/>
      <c r="GA17" s="110"/>
      <c r="GB17" s="110"/>
      <c r="GC17" s="110"/>
      <c r="GD17" s="110"/>
      <c r="GE17" s="110"/>
      <c r="GF17" s="110"/>
      <c r="GG17" s="110"/>
      <c r="GH17" s="110"/>
      <c r="GI17" s="110"/>
      <c r="GJ17" s="110"/>
      <c r="GK17" s="110"/>
      <c r="GL17" s="110"/>
      <c r="GM17" s="110"/>
      <c r="GN17" s="110"/>
      <c r="GO17" s="110"/>
      <c r="GP17" s="110"/>
      <c r="GQ17" s="110"/>
      <c r="GR17" s="110"/>
      <c r="GS17" s="110"/>
      <c r="GT17" s="110"/>
      <c r="GU17" s="110"/>
      <c r="GV17" s="110"/>
      <c r="GW17" s="110"/>
      <c r="GX17" s="110"/>
      <c r="GY17" s="110"/>
      <c r="GZ17" s="110"/>
      <c r="HA17" s="110"/>
      <c r="HB17" s="110"/>
      <c r="HC17" s="110"/>
      <c r="HD17" s="110"/>
      <c r="HE17" s="110"/>
      <c r="HF17" s="110"/>
      <c r="HG17" s="110"/>
      <c r="HH17" s="110"/>
      <c r="HI17" s="110"/>
      <c r="HJ17" s="110"/>
      <c r="HK17" s="110"/>
      <c r="HL17" s="110"/>
      <c r="HM17" s="110"/>
      <c r="HN17" s="110"/>
      <c r="HO17" s="110"/>
      <c r="HP17" s="110"/>
      <c r="HQ17" s="110"/>
      <c r="HR17" s="110"/>
      <c r="HS17" s="110"/>
      <c r="HT17" s="110"/>
      <c r="HU17" s="110"/>
      <c r="HV17" s="110"/>
      <c r="HW17" s="110"/>
      <c r="HX17" s="110"/>
      <c r="HY17" s="110"/>
      <c r="HZ17" s="110"/>
      <c r="IA17" s="110"/>
      <c r="IB17" s="110"/>
      <c r="IC17" s="110"/>
      <c r="ID17" s="110"/>
      <c r="IE17" s="110"/>
      <c r="IF17" s="110"/>
      <c r="IG17" s="110"/>
      <c r="IH17" s="110"/>
      <c r="II17" s="110"/>
      <c r="IJ17" s="110"/>
      <c r="IK17" s="110"/>
      <c r="IL17" s="110"/>
      <c r="IM17" s="110"/>
      <c r="IN17" s="110"/>
      <c r="IO17" s="110"/>
      <c r="IP17" s="110"/>
      <c r="IQ17" s="70"/>
    </row>
    <row r="18" spans="1:251" ht="16.5" hidden="1" customHeight="1">
      <c r="A18" s="95" t="s">
        <v>450</v>
      </c>
      <c r="B18" t="s">
        <v>1363</v>
      </c>
      <c r="C18" t="s">
        <v>450</v>
      </c>
      <c r="E18" t="s">
        <v>450</v>
      </c>
      <c r="F18" t="s">
        <v>1368</v>
      </c>
      <c r="G18" s="654"/>
      <c r="H18">
        <v>30</v>
      </c>
      <c r="J18" s="214" t="str">
        <f t="shared" si="0"/>
        <v>LTT100130</v>
      </c>
      <c r="K18">
        <v>27990</v>
      </c>
      <c r="M18" t="s">
        <v>1364</v>
      </c>
      <c r="N18">
        <v>1</v>
      </c>
      <c r="O18" s="682" t="str">
        <f t="shared" si="1"/>
        <v>LTT2001</v>
      </c>
      <c r="P18">
        <v>20000</v>
      </c>
      <c r="R18" s="95" t="s">
        <v>450</v>
      </c>
      <c r="V18" s="214"/>
      <c r="EE18" s="95" t="s">
        <v>450</v>
      </c>
      <c r="EF18" s="110"/>
      <c r="EG18" s="110"/>
      <c r="EH18" s="110"/>
      <c r="EI18" s="216"/>
      <c r="EJ18" s="110"/>
      <c r="EK18" s="110"/>
      <c r="EL18" s="110"/>
      <c r="EM18" s="110"/>
      <c r="EN18" s="110"/>
      <c r="EO18" s="110"/>
      <c r="EP18" s="110"/>
      <c r="EQ18" s="110"/>
      <c r="ER18" s="110"/>
      <c r="ES18" s="110"/>
      <c r="ET18" s="110"/>
      <c r="EU18" s="110"/>
      <c r="EV18" s="110"/>
      <c r="EW18" s="110"/>
      <c r="EX18" s="110"/>
      <c r="EY18" s="110"/>
      <c r="EZ18" s="110"/>
      <c r="FA18" s="110"/>
      <c r="FB18" s="110"/>
      <c r="FC18" s="110"/>
      <c r="FD18" s="110"/>
      <c r="FE18" s="110"/>
      <c r="FF18" s="110"/>
      <c r="FG18" s="110"/>
      <c r="FH18" s="110"/>
      <c r="FI18" s="110"/>
      <c r="FJ18" s="110"/>
      <c r="FK18" s="110"/>
      <c r="FL18" s="110"/>
      <c r="FM18" s="110"/>
      <c r="FN18" s="110"/>
      <c r="FO18" s="110"/>
      <c r="FP18" s="110"/>
      <c r="FQ18" s="110"/>
      <c r="FR18" s="110"/>
      <c r="FS18" s="110"/>
      <c r="FT18" s="110"/>
      <c r="FU18" s="110"/>
      <c r="FV18" s="110"/>
      <c r="FW18" s="110"/>
      <c r="FX18" s="110"/>
      <c r="FY18" s="110"/>
      <c r="FZ18" s="110"/>
      <c r="GA18" s="110"/>
      <c r="GB18" s="110"/>
      <c r="GC18" s="110"/>
      <c r="GD18" s="110"/>
      <c r="GE18" s="110"/>
      <c r="GF18" s="110"/>
      <c r="GG18" s="110"/>
      <c r="GH18" s="110"/>
      <c r="GI18" s="110"/>
      <c r="GJ18" s="110"/>
      <c r="GK18" s="110"/>
      <c r="GL18" s="110"/>
      <c r="GM18" s="110"/>
      <c r="GN18" s="110"/>
      <c r="GO18" s="110"/>
      <c r="GP18" s="110"/>
      <c r="GQ18" s="110"/>
      <c r="GR18" s="110"/>
      <c r="GS18" s="110"/>
      <c r="GT18" s="110"/>
      <c r="GU18" s="110"/>
      <c r="GV18" s="110"/>
      <c r="GW18" s="110"/>
      <c r="GX18" s="110"/>
      <c r="GY18" s="110"/>
      <c r="GZ18" s="110"/>
      <c r="HA18" s="110"/>
      <c r="HB18" s="110"/>
      <c r="HC18" s="110"/>
      <c r="HD18" s="110"/>
      <c r="HE18" s="110"/>
      <c r="HF18" s="110"/>
      <c r="HG18" s="110"/>
      <c r="HH18" s="110"/>
      <c r="HI18" s="110"/>
      <c r="HJ18" s="110"/>
      <c r="HK18" s="110"/>
      <c r="HL18" s="110"/>
      <c r="HM18" s="110"/>
      <c r="HN18" s="110"/>
      <c r="HO18" s="110"/>
      <c r="HP18" s="110"/>
      <c r="HQ18" s="110"/>
      <c r="HR18" s="110"/>
      <c r="HS18" s="110"/>
      <c r="HT18" s="110"/>
      <c r="HU18" s="110"/>
      <c r="HV18" s="110"/>
      <c r="HW18" s="110"/>
      <c r="HX18" s="110"/>
      <c r="HY18" s="110"/>
      <c r="HZ18" s="110"/>
      <c r="IA18" s="110"/>
      <c r="IB18" s="110"/>
      <c r="IC18" s="110"/>
      <c r="ID18" s="110"/>
      <c r="IE18" s="110"/>
      <c r="IF18" s="110"/>
      <c r="IG18" s="110"/>
      <c r="IH18" s="110"/>
      <c r="II18" s="110"/>
      <c r="IJ18" s="110"/>
      <c r="IK18" s="110"/>
      <c r="IL18" s="110"/>
      <c r="IM18" s="110"/>
      <c r="IN18" s="110"/>
      <c r="IO18" s="110"/>
      <c r="IP18" s="110"/>
      <c r="IQ18" s="70"/>
    </row>
    <row r="19" spans="1:251" ht="16.5" hidden="1" customHeight="1">
      <c r="A19" s="95" t="s">
        <v>450</v>
      </c>
      <c r="B19" t="s">
        <v>1363</v>
      </c>
      <c r="C19" t="s">
        <v>450</v>
      </c>
      <c r="E19" t="s">
        <v>450</v>
      </c>
      <c r="F19" t="s">
        <v>1368</v>
      </c>
      <c r="G19" s="654"/>
      <c r="H19">
        <v>31</v>
      </c>
      <c r="J19" s="214" t="str">
        <f t="shared" si="0"/>
        <v>LTT100131</v>
      </c>
      <c r="K19">
        <v>28480</v>
      </c>
      <c r="M19" t="s">
        <v>1364</v>
      </c>
      <c r="N19">
        <v>2</v>
      </c>
      <c r="O19" s="682" t="str">
        <f t="shared" si="1"/>
        <v>LTT2002</v>
      </c>
      <c r="P19">
        <v>20400</v>
      </c>
      <c r="R19" s="95" t="s">
        <v>450</v>
      </c>
      <c r="V19" s="214"/>
      <c r="EE19" s="95" t="s">
        <v>450</v>
      </c>
      <c r="EF19" s="110"/>
      <c r="EG19" s="110"/>
      <c r="EH19" s="110"/>
      <c r="EI19" s="216"/>
      <c r="EJ19" s="110"/>
      <c r="EK19" s="110"/>
      <c r="EL19" s="110"/>
      <c r="EM19" s="110"/>
      <c r="EN19" s="110"/>
      <c r="EO19" s="110"/>
      <c r="EP19" s="110"/>
      <c r="EQ19" s="110"/>
      <c r="ER19" s="110"/>
      <c r="ES19" s="110"/>
      <c r="ET19" s="110"/>
      <c r="EU19" s="110"/>
      <c r="EV19" s="110"/>
      <c r="EW19" s="110"/>
      <c r="EX19" s="110"/>
      <c r="EY19" s="110"/>
      <c r="EZ19" s="110"/>
      <c r="FA19" s="110"/>
      <c r="FB19" s="110"/>
      <c r="FC19" s="110"/>
      <c r="FD19" s="110"/>
      <c r="FE19" s="110"/>
      <c r="FF19" s="110"/>
      <c r="FG19" s="110"/>
      <c r="FH19" s="110"/>
      <c r="FI19" s="110"/>
      <c r="FJ19" s="110"/>
      <c r="FK19" s="110"/>
      <c r="FL19" s="110"/>
      <c r="FM19" s="110"/>
      <c r="FN19" s="110"/>
      <c r="FO19" s="110"/>
      <c r="FP19" s="110"/>
      <c r="FQ19" s="110"/>
      <c r="FR19" s="110"/>
      <c r="FS19" s="110"/>
      <c r="FT19" s="110"/>
      <c r="FU19" s="110"/>
      <c r="FV19" s="110"/>
      <c r="FW19" s="110"/>
      <c r="FX19" s="110"/>
      <c r="FY19" s="110"/>
      <c r="FZ19" s="110"/>
      <c r="GA19" s="110"/>
      <c r="GB19" s="110"/>
      <c r="GC19" s="110"/>
      <c r="GD19" s="110"/>
      <c r="GE19" s="110"/>
      <c r="GF19" s="110"/>
      <c r="GG19" s="110"/>
      <c r="GH19" s="110"/>
      <c r="GI19" s="110"/>
      <c r="GJ19" s="110"/>
      <c r="GK19" s="110"/>
      <c r="GL19" s="110"/>
      <c r="GM19" s="110"/>
      <c r="GN19" s="110"/>
      <c r="GO19" s="110"/>
      <c r="GP19" s="110"/>
      <c r="GQ19" s="110"/>
      <c r="GR19" s="110"/>
      <c r="GS19" s="110"/>
      <c r="GT19" s="110"/>
      <c r="GU19" s="110"/>
      <c r="GV19" s="110"/>
      <c r="GW19" s="110"/>
      <c r="GX19" s="110"/>
      <c r="GY19" s="110"/>
      <c r="GZ19" s="110"/>
      <c r="HA19" s="110"/>
      <c r="HB19" s="110"/>
      <c r="HC19" s="110"/>
      <c r="HD19" s="110"/>
      <c r="HE19" s="110"/>
      <c r="HF19" s="110"/>
      <c r="HG19" s="110"/>
      <c r="HH19" s="110"/>
      <c r="HI19" s="110"/>
      <c r="HJ19" s="110"/>
      <c r="HK19" s="110"/>
      <c r="HL19" s="110"/>
      <c r="HM19" s="110"/>
      <c r="HN19" s="110"/>
      <c r="HO19" s="110"/>
      <c r="HP19" s="110"/>
      <c r="HQ19" s="110"/>
      <c r="HR19" s="110"/>
      <c r="HS19" s="110"/>
      <c r="HT19" s="110"/>
      <c r="HU19" s="110"/>
      <c r="HV19" s="110"/>
      <c r="HW19" s="110"/>
      <c r="HX19" s="110"/>
      <c r="HY19" s="110"/>
      <c r="HZ19" s="110"/>
      <c r="IA19" s="110"/>
      <c r="IB19" s="110"/>
      <c r="IC19" s="110"/>
      <c r="ID19" s="110"/>
      <c r="IE19" s="110"/>
      <c r="IF19" s="110"/>
      <c r="IG19" s="110"/>
      <c r="IH19" s="110"/>
      <c r="II19" s="110"/>
      <c r="IJ19" s="110"/>
      <c r="IK19" s="110"/>
      <c r="IL19" s="110"/>
      <c r="IM19" s="110"/>
      <c r="IN19" s="110"/>
      <c r="IO19" s="110"/>
      <c r="IP19" s="110"/>
      <c r="IQ19" s="70"/>
    </row>
    <row r="20" spans="1:251" ht="16.5" hidden="1" customHeight="1">
      <c r="A20" s="95" t="s">
        <v>450</v>
      </c>
      <c r="B20" t="s">
        <v>1363</v>
      </c>
      <c r="C20" t="s">
        <v>450</v>
      </c>
      <c r="E20" t="s">
        <v>450</v>
      </c>
      <c r="F20" t="s">
        <v>1368</v>
      </c>
      <c r="G20" s="654"/>
      <c r="H20">
        <v>32</v>
      </c>
      <c r="J20" s="214" t="str">
        <f t="shared" si="0"/>
        <v>LTT100132</v>
      </c>
      <c r="K20">
        <v>28920</v>
      </c>
      <c r="M20" t="s">
        <v>1364</v>
      </c>
      <c r="N20">
        <v>3</v>
      </c>
      <c r="O20" s="682" t="str">
        <f t="shared" si="1"/>
        <v>LTT2003</v>
      </c>
      <c r="P20">
        <v>20800</v>
      </c>
      <c r="R20" s="95" t="s">
        <v>450</v>
      </c>
      <c r="V20" s="214"/>
      <c r="EE20" s="95" t="s">
        <v>450</v>
      </c>
      <c r="EF20" s="110"/>
      <c r="EG20" s="110"/>
      <c r="EH20" s="110"/>
      <c r="EI20" s="216"/>
      <c r="EJ20" s="110"/>
      <c r="EK20" s="110"/>
      <c r="EL20" s="110"/>
      <c r="EM20" s="110"/>
      <c r="EN20" s="110"/>
      <c r="EO20" s="110"/>
      <c r="EP20" s="110"/>
      <c r="EQ20" s="110"/>
      <c r="ER20" s="110"/>
      <c r="ES20" s="110"/>
      <c r="ET20" s="110"/>
      <c r="EU20" s="110"/>
      <c r="EV20" s="110"/>
      <c r="EW20" s="110"/>
      <c r="EX20" s="110"/>
      <c r="EY20" s="110"/>
      <c r="EZ20" s="110"/>
      <c r="FA20" s="110"/>
      <c r="FB20" s="110"/>
      <c r="FC20" s="110"/>
      <c r="FD20" s="110"/>
      <c r="FE20" s="110"/>
      <c r="FF20" s="110"/>
      <c r="FG20" s="110"/>
      <c r="FH20" s="110"/>
      <c r="FI20" s="110"/>
      <c r="FJ20" s="110"/>
      <c r="FK20" s="110"/>
      <c r="FL20" s="110"/>
      <c r="FM20" s="110"/>
      <c r="FN20" s="110"/>
      <c r="FO20" s="110"/>
      <c r="FP20" s="110"/>
      <c r="FQ20" s="110"/>
      <c r="FR20" s="110"/>
      <c r="FS20" s="110"/>
      <c r="FT20" s="110"/>
      <c r="FU20" s="110"/>
      <c r="FV20" s="110"/>
      <c r="FW20" s="110"/>
      <c r="FX20" s="110"/>
      <c r="FY20" s="110"/>
      <c r="FZ20" s="110"/>
      <c r="GA20" s="110"/>
      <c r="GB20" s="110"/>
      <c r="GC20" s="110"/>
      <c r="GD20" s="110"/>
      <c r="GE20" s="110"/>
      <c r="GF20" s="110"/>
      <c r="GG20" s="110"/>
      <c r="GH20" s="110"/>
      <c r="GI20" s="110"/>
      <c r="GJ20" s="110"/>
      <c r="GK20" s="110"/>
      <c r="GL20" s="110"/>
      <c r="GM20" s="110"/>
      <c r="GN20" s="110"/>
      <c r="GO20" s="110"/>
      <c r="GP20" s="110"/>
      <c r="GQ20" s="110"/>
      <c r="GR20" s="110"/>
      <c r="GS20" s="110"/>
      <c r="GT20" s="110"/>
      <c r="GU20" s="110"/>
      <c r="GV20" s="110"/>
      <c r="GW20" s="110"/>
      <c r="GX20" s="110"/>
      <c r="GY20" s="110"/>
      <c r="GZ20" s="110"/>
      <c r="HA20" s="110"/>
      <c r="HB20" s="110"/>
      <c r="HC20" s="110"/>
      <c r="HD20" s="110"/>
      <c r="HE20" s="110"/>
      <c r="HF20" s="110"/>
      <c r="HG20" s="110"/>
      <c r="HH20" s="110"/>
      <c r="HI20" s="110"/>
      <c r="HJ20" s="110"/>
      <c r="HK20" s="110"/>
      <c r="HL20" s="110"/>
      <c r="HM20" s="110"/>
      <c r="HN20" s="110"/>
      <c r="HO20" s="110"/>
      <c r="HP20" s="110"/>
      <c r="HQ20" s="110"/>
      <c r="HR20" s="110"/>
      <c r="HS20" s="110"/>
      <c r="HT20" s="110"/>
      <c r="HU20" s="110"/>
      <c r="HV20" s="110"/>
      <c r="HW20" s="110"/>
      <c r="HX20" s="110"/>
      <c r="HY20" s="110"/>
      <c r="HZ20" s="110"/>
      <c r="IA20" s="110"/>
      <c r="IB20" s="110"/>
      <c r="IC20" s="110"/>
      <c r="ID20" s="110"/>
      <c r="IE20" s="110"/>
      <c r="IF20" s="110"/>
      <c r="IG20" s="110"/>
      <c r="IH20" s="110"/>
      <c r="II20" s="110"/>
      <c r="IJ20" s="110"/>
      <c r="IK20" s="110"/>
      <c r="IL20" s="110"/>
      <c r="IM20" s="110"/>
      <c r="IN20" s="110"/>
      <c r="IO20" s="110"/>
      <c r="IP20" s="110"/>
      <c r="IQ20" s="70"/>
    </row>
    <row r="21" spans="1:251" ht="16.5" hidden="1" customHeight="1">
      <c r="A21" s="95" t="s">
        <v>450</v>
      </c>
      <c r="B21" t="s">
        <v>1363</v>
      </c>
      <c r="C21" t="s">
        <v>450</v>
      </c>
      <c r="E21" t="s">
        <v>450</v>
      </c>
      <c r="F21" t="s">
        <v>1368</v>
      </c>
      <c r="G21" s="654"/>
      <c r="H21">
        <v>33</v>
      </c>
      <c r="J21" s="214" t="str">
        <f t="shared" si="0"/>
        <v>LTT100133</v>
      </c>
      <c r="K21">
        <v>29440</v>
      </c>
      <c r="M21" t="s">
        <v>1364</v>
      </c>
      <c r="N21">
        <v>4</v>
      </c>
      <c r="O21" s="682" t="str">
        <f t="shared" si="1"/>
        <v>LTT2004</v>
      </c>
      <c r="P21">
        <v>21200</v>
      </c>
      <c r="R21" s="95" t="s">
        <v>450</v>
      </c>
      <c r="V21" s="214"/>
      <c r="EE21" s="95" t="s">
        <v>450</v>
      </c>
      <c r="EF21" s="110"/>
      <c r="EG21" s="110"/>
      <c r="EH21" s="110"/>
      <c r="EI21" s="216"/>
      <c r="EJ21" s="110"/>
      <c r="EK21" s="110"/>
      <c r="EL21" s="110"/>
      <c r="EM21" s="110"/>
      <c r="EN21" s="110"/>
      <c r="EO21" s="110"/>
      <c r="EP21" s="110"/>
      <c r="EQ21" s="110"/>
      <c r="ER21" s="110"/>
      <c r="ES21" s="110"/>
      <c r="ET21" s="110"/>
      <c r="EU21" s="110"/>
      <c r="EV21" s="110"/>
      <c r="EW21" s="110"/>
      <c r="EX21" s="110"/>
      <c r="EY21" s="110"/>
      <c r="EZ21" s="110"/>
      <c r="FA21" s="110"/>
      <c r="FB21" s="110"/>
      <c r="FC21" s="110"/>
      <c r="FD21" s="110"/>
      <c r="FE21" s="110"/>
      <c r="FF21" s="110"/>
      <c r="FG21" s="110"/>
      <c r="FH21" s="110"/>
      <c r="FI21" s="110"/>
      <c r="FJ21" s="110"/>
      <c r="FK21" s="110"/>
      <c r="FL21" s="110"/>
      <c r="FM21" s="110"/>
      <c r="FN21" s="110"/>
      <c r="FO21" s="110"/>
      <c r="FP21" s="110"/>
      <c r="FQ21" s="110"/>
      <c r="FR21" s="110"/>
      <c r="FS21" s="110"/>
      <c r="FT21" s="110"/>
      <c r="FU21" s="110"/>
      <c r="FV21" s="110"/>
      <c r="FW21" s="110"/>
      <c r="FX21" s="110"/>
      <c r="FY21" s="110"/>
      <c r="FZ21" s="110"/>
      <c r="GA21" s="110"/>
      <c r="GB21" s="110"/>
      <c r="GC21" s="110"/>
      <c r="GD21" s="110"/>
      <c r="GE21" s="110"/>
      <c r="GF21" s="110"/>
      <c r="GG21" s="110"/>
      <c r="GH21" s="110"/>
      <c r="GI21" s="110"/>
      <c r="GJ21" s="110"/>
      <c r="GK21" s="110"/>
      <c r="GL21" s="110"/>
      <c r="GM21" s="110"/>
      <c r="GN21" s="110"/>
      <c r="GO21" s="110"/>
      <c r="GP21" s="110"/>
      <c r="GQ21" s="110"/>
      <c r="GR21" s="110"/>
      <c r="GS21" s="110"/>
      <c r="GT21" s="110"/>
      <c r="GU21" s="110"/>
      <c r="GV21" s="110"/>
      <c r="GW21" s="110"/>
      <c r="GX21" s="110"/>
      <c r="GY21" s="110"/>
      <c r="GZ21" s="110"/>
      <c r="HA21" s="110"/>
      <c r="HB21" s="110"/>
      <c r="HC21" s="110"/>
      <c r="HD21" s="110"/>
      <c r="HE21" s="110"/>
      <c r="HF21" s="110"/>
      <c r="HG21" s="110"/>
      <c r="HH21" s="110"/>
      <c r="HI21" s="110"/>
      <c r="HJ21" s="110"/>
      <c r="HK21" s="110"/>
      <c r="HL21" s="110"/>
      <c r="HM21" s="110"/>
      <c r="HN21" s="110"/>
      <c r="HO21" s="110"/>
      <c r="HP21" s="110"/>
      <c r="HQ21" s="110"/>
      <c r="HR21" s="110"/>
      <c r="HS21" s="110"/>
      <c r="HT21" s="110"/>
      <c r="HU21" s="110"/>
      <c r="HV21" s="110"/>
      <c r="HW21" s="110"/>
      <c r="HX21" s="110"/>
      <c r="HY21" s="110"/>
      <c r="HZ21" s="110"/>
      <c r="IA21" s="110"/>
      <c r="IB21" s="110"/>
      <c r="IC21" s="110"/>
      <c r="ID21" s="110"/>
      <c r="IE21" s="110"/>
      <c r="IF21" s="110"/>
      <c r="IG21" s="110"/>
      <c r="IH21" s="110"/>
      <c r="II21" s="110"/>
      <c r="IJ21" s="110"/>
      <c r="IK21" s="110"/>
      <c r="IL21" s="110"/>
      <c r="IM21" s="110"/>
      <c r="IN21" s="110"/>
      <c r="IO21" s="110"/>
      <c r="IP21" s="110"/>
      <c r="IQ21" s="70"/>
    </row>
    <row r="22" spans="1:251" ht="16.5" hidden="1" customHeight="1">
      <c r="A22" s="95" t="s">
        <v>450</v>
      </c>
      <c r="B22" t="s">
        <v>1363</v>
      </c>
      <c r="C22" t="s">
        <v>450</v>
      </c>
      <c r="E22" t="s">
        <v>450</v>
      </c>
      <c r="F22" t="s">
        <v>1368</v>
      </c>
      <c r="G22" s="654"/>
      <c r="H22">
        <v>34</v>
      </c>
      <c r="J22" s="214" t="str">
        <f t="shared" si="0"/>
        <v>LTT100134</v>
      </c>
      <c r="K22">
        <v>29970</v>
      </c>
      <c r="M22" t="s">
        <v>1364</v>
      </c>
      <c r="N22">
        <v>5</v>
      </c>
      <c r="O22" s="682" t="str">
        <f t="shared" si="1"/>
        <v>LTT2005</v>
      </c>
      <c r="P22">
        <v>21600</v>
      </c>
      <c r="R22" s="95" t="s">
        <v>450</v>
      </c>
      <c r="V22" s="214"/>
      <c r="EE22" s="95" t="s">
        <v>450</v>
      </c>
      <c r="EF22" s="110"/>
      <c r="EG22" s="110"/>
      <c r="EH22" s="110"/>
      <c r="EI22" s="216"/>
      <c r="EJ22" s="110"/>
      <c r="EK22" s="110"/>
      <c r="EL22" s="110"/>
      <c r="EM22" s="110"/>
      <c r="EN22" s="110"/>
      <c r="EO22" s="110"/>
      <c r="EP22" s="110"/>
      <c r="EQ22" s="110"/>
      <c r="ER22" s="110"/>
      <c r="ES22" s="110"/>
      <c r="ET22" s="110"/>
      <c r="EU22" s="110"/>
      <c r="EV22" s="110"/>
      <c r="EW22" s="110"/>
      <c r="EX22" s="110"/>
      <c r="EY22" s="110"/>
      <c r="EZ22" s="110"/>
      <c r="FA22" s="110"/>
      <c r="FB22" s="110"/>
      <c r="FC22" s="110"/>
      <c r="FD22" s="110"/>
      <c r="FE22" s="110"/>
      <c r="FF22" s="110"/>
      <c r="FG22" s="110"/>
      <c r="FH22" s="110"/>
      <c r="FI22" s="110"/>
      <c r="FJ22" s="110"/>
      <c r="FK22" s="110"/>
      <c r="FL22" s="110"/>
      <c r="FM22" s="110"/>
      <c r="FN22" s="110"/>
      <c r="FO22" s="110"/>
      <c r="FP22" s="110"/>
      <c r="FQ22" s="110"/>
      <c r="FR22" s="110"/>
      <c r="FS22" s="110"/>
      <c r="FT22" s="110"/>
      <c r="FU22" s="110"/>
      <c r="FV22" s="110"/>
      <c r="FW22" s="110"/>
      <c r="FX22" s="110"/>
      <c r="FY22" s="110"/>
      <c r="FZ22" s="110"/>
      <c r="GA22" s="110"/>
      <c r="GB22" s="110"/>
      <c r="GC22" s="110"/>
      <c r="GD22" s="110"/>
      <c r="GE22" s="110"/>
      <c r="GF22" s="110"/>
      <c r="GG22" s="110"/>
      <c r="GH22" s="110"/>
      <c r="GI22" s="110"/>
      <c r="GJ22" s="110"/>
      <c r="GK22" s="110"/>
      <c r="GL22" s="110"/>
      <c r="GM22" s="110"/>
      <c r="GN22" s="110"/>
      <c r="GO22" s="110"/>
      <c r="GP22" s="110"/>
      <c r="GQ22" s="110"/>
      <c r="GR22" s="110"/>
      <c r="GS22" s="110"/>
      <c r="GT22" s="110"/>
      <c r="GU22" s="110"/>
      <c r="GV22" s="110"/>
      <c r="GW22" s="110"/>
      <c r="GX22" s="110"/>
      <c r="GY22" s="110"/>
      <c r="GZ22" s="110"/>
      <c r="HA22" s="110"/>
      <c r="HB22" s="110"/>
      <c r="HC22" s="110"/>
      <c r="HD22" s="110"/>
      <c r="HE22" s="110"/>
      <c r="HF22" s="110"/>
      <c r="HG22" s="110"/>
      <c r="HH22" s="110"/>
      <c r="HI22" s="110"/>
      <c r="HJ22" s="110"/>
      <c r="HK22" s="110"/>
      <c r="HL22" s="110"/>
      <c r="HM22" s="110"/>
      <c r="HN22" s="110"/>
      <c r="HO22" s="110"/>
      <c r="HP22" s="110"/>
      <c r="HQ22" s="110"/>
      <c r="HR22" s="110"/>
      <c r="HS22" s="110"/>
      <c r="HT22" s="110"/>
      <c r="HU22" s="110"/>
      <c r="HV22" s="110"/>
      <c r="HW22" s="110"/>
      <c r="HX22" s="110"/>
      <c r="HY22" s="110"/>
      <c r="HZ22" s="110"/>
      <c r="IA22" s="110"/>
      <c r="IB22" s="110"/>
      <c r="IC22" s="110"/>
      <c r="ID22" s="110"/>
      <c r="IE22" s="110"/>
      <c r="IF22" s="110"/>
      <c r="IG22" s="110"/>
      <c r="IH22" s="110"/>
      <c r="II22" s="110"/>
      <c r="IJ22" s="110"/>
      <c r="IK22" s="110"/>
      <c r="IL22" s="110"/>
      <c r="IM22" s="110"/>
      <c r="IN22" s="110"/>
      <c r="IO22" s="110"/>
      <c r="IP22" s="110"/>
      <c r="IQ22" s="70"/>
    </row>
    <row r="23" spans="1:251" ht="16.5" hidden="1" customHeight="1">
      <c r="A23" s="95" t="s">
        <v>450</v>
      </c>
      <c r="B23" t="s">
        <v>1363</v>
      </c>
      <c r="C23" t="s">
        <v>450</v>
      </c>
      <c r="E23" t="s">
        <v>450</v>
      </c>
      <c r="F23" t="s">
        <v>1368</v>
      </c>
      <c r="G23" s="654"/>
      <c r="H23">
        <v>35</v>
      </c>
      <c r="J23" s="214" t="str">
        <f t="shared" si="0"/>
        <v>LTT100135</v>
      </c>
      <c r="K23">
        <v>30460</v>
      </c>
      <c r="M23" t="s">
        <v>1364</v>
      </c>
      <c r="N23">
        <v>6</v>
      </c>
      <c r="O23" s="682" t="str">
        <f t="shared" si="1"/>
        <v>LTT2006</v>
      </c>
      <c r="P23">
        <v>22000</v>
      </c>
      <c r="R23" s="95" t="s">
        <v>450</v>
      </c>
      <c r="V23" s="214"/>
      <c r="EE23" s="95" t="s">
        <v>450</v>
      </c>
      <c r="EF23" s="110"/>
      <c r="EG23" s="110"/>
      <c r="EH23" s="110"/>
      <c r="EI23" s="216"/>
      <c r="EJ23" s="110"/>
      <c r="EK23" s="110"/>
      <c r="EL23" s="110"/>
      <c r="EM23" s="110"/>
      <c r="EN23" s="110"/>
      <c r="EO23" s="110"/>
      <c r="EP23" s="110"/>
      <c r="EQ23" s="110"/>
      <c r="ER23" s="110"/>
      <c r="ES23" s="110"/>
      <c r="ET23" s="110"/>
      <c r="EU23" s="110"/>
      <c r="EV23" s="110"/>
      <c r="EW23" s="110"/>
      <c r="EX23" s="110"/>
      <c r="EY23" s="110"/>
      <c r="EZ23" s="110"/>
      <c r="FA23" s="110"/>
      <c r="FB23" s="110"/>
      <c r="FC23" s="110"/>
      <c r="FD23" s="110"/>
      <c r="FE23" s="110"/>
      <c r="FF23" s="110"/>
      <c r="FG23" s="110"/>
      <c r="FH23" s="110"/>
      <c r="FI23" s="110"/>
      <c r="FJ23" s="110"/>
      <c r="FK23" s="110"/>
      <c r="FL23" s="110"/>
      <c r="FM23" s="110"/>
      <c r="FN23" s="110"/>
      <c r="FO23" s="110"/>
      <c r="FP23" s="110"/>
      <c r="FQ23" s="110"/>
      <c r="FR23" s="110"/>
      <c r="FS23" s="110"/>
      <c r="FT23" s="110"/>
      <c r="FU23" s="110"/>
      <c r="FV23" s="110"/>
      <c r="FW23" s="110"/>
      <c r="FX23" s="110"/>
      <c r="FY23" s="110"/>
      <c r="FZ23" s="110"/>
      <c r="GA23" s="110"/>
      <c r="GB23" s="110"/>
      <c r="GC23" s="110"/>
      <c r="GD23" s="110"/>
      <c r="GE23" s="110"/>
      <c r="GF23" s="110"/>
      <c r="GG23" s="110"/>
      <c r="GH23" s="110"/>
      <c r="GI23" s="110"/>
      <c r="GJ23" s="110"/>
      <c r="GK23" s="110"/>
      <c r="GL23" s="110"/>
      <c r="GM23" s="110"/>
      <c r="GN23" s="110"/>
      <c r="GO23" s="110"/>
      <c r="GP23" s="110"/>
      <c r="GQ23" s="110"/>
      <c r="GR23" s="110"/>
      <c r="GS23" s="110"/>
      <c r="GT23" s="110"/>
      <c r="GU23" s="110"/>
      <c r="GV23" s="110"/>
      <c r="GW23" s="110"/>
      <c r="GX23" s="110"/>
      <c r="GY23" s="110"/>
      <c r="GZ23" s="110"/>
      <c r="HA23" s="110"/>
      <c r="HB23" s="110"/>
      <c r="HC23" s="110"/>
      <c r="HD23" s="110"/>
      <c r="HE23" s="110"/>
      <c r="HF23" s="110"/>
      <c r="HG23" s="110"/>
      <c r="HH23" s="110"/>
      <c r="HI23" s="110"/>
      <c r="HJ23" s="110"/>
      <c r="HK23" s="110"/>
      <c r="HL23" s="110"/>
      <c r="HM23" s="110"/>
      <c r="HN23" s="110"/>
      <c r="HO23" s="110"/>
      <c r="HP23" s="110"/>
      <c r="HQ23" s="110"/>
      <c r="HR23" s="110"/>
      <c r="HS23" s="110"/>
      <c r="HT23" s="110"/>
      <c r="HU23" s="110"/>
      <c r="HV23" s="110"/>
      <c r="HW23" s="110"/>
      <c r="HX23" s="110"/>
      <c r="HY23" s="110"/>
      <c r="HZ23" s="110"/>
      <c r="IA23" s="110"/>
      <c r="IB23" s="110"/>
      <c r="IC23" s="110"/>
      <c r="ID23" s="110"/>
      <c r="IE23" s="110"/>
      <c r="IF23" s="110"/>
      <c r="IG23" s="110"/>
      <c r="IH23" s="110"/>
      <c r="II23" s="110"/>
      <c r="IJ23" s="110"/>
      <c r="IK23" s="110"/>
      <c r="IL23" s="110"/>
      <c r="IM23" s="110"/>
      <c r="IN23" s="110"/>
      <c r="IO23" s="110"/>
      <c r="IP23" s="110"/>
      <c r="IQ23" s="70"/>
    </row>
    <row r="24" spans="1:251" ht="16.5" hidden="1" customHeight="1">
      <c r="A24" s="95" t="s">
        <v>450</v>
      </c>
      <c r="B24" t="s">
        <v>1363</v>
      </c>
      <c r="C24" t="s">
        <v>450</v>
      </c>
      <c r="E24" t="s">
        <v>450</v>
      </c>
      <c r="F24" t="s">
        <v>1368</v>
      </c>
      <c r="G24" s="654"/>
      <c r="H24">
        <v>36</v>
      </c>
      <c r="J24" s="214" t="str">
        <f t="shared" si="0"/>
        <v>LTT100136</v>
      </c>
      <c r="K24">
        <v>30950</v>
      </c>
      <c r="M24" t="s">
        <v>1364</v>
      </c>
      <c r="N24">
        <v>7</v>
      </c>
      <c r="O24" s="682" t="str">
        <f t="shared" si="1"/>
        <v>LTT2007</v>
      </c>
      <c r="P24">
        <v>22400</v>
      </c>
      <c r="R24" s="95" t="s">
        <v>450</v>
      </c>
      <c r="V24" s="214"/>
      <c r="EE24" s="95" t="s">
        <v>450</v>
      </c>
      <c r="EF24" s="110"/>
      <c r="EG24" s="110"/>
      <c r="EH24" s="110"/>
      <c r="EI24" s="216"/>
      <c r="EJ24" s="110"/>
      <c r="EK24" s="110"/>
      <c r="EL24" s="110"/>
      <c r="EM24" s="110"/>
      <c r="EN24" s="110"/>
      <c r="EO24" s="110"/>
      <c r="EP24" s="110"/>
      <c r="EQ24" s="110"/>
      <c r="ER24" s="110"/>
      <c r="ES24" s="110"/>
      <c r="ET24" s="110"/>
      <c r="EU24" s="110"/>
      <c r="EV24" s="110"/>
      <c r="EW24" s="110"/>
      <c r="EX24" s="110"/>
      <c r="EY24" s="110"/>
      <c r="EZ24" s="110"/>
      <c r="FA24" s="110"/>
      <c r="FB24" s="110"/>
      <c r="FC24" s="110"/>
      <c r="FD24" s="110"/>
      <c r="FE24" s="110"/>
      <c r="FF24" s="110"/>
      <c r="FG24" s="110"/>
      <c r="FH24" s="110"/>
      <c r="FI24" s="110"/>
      <c r="FJ24" s="110"/>
      <c r="FK24" s="110"/>
      <c r="FL24" s="110"/>
      <c r="FM24" s="110"/>
      <c r="FN24" s="110"/>
      <c r="FO24" s="110"/>
      <c r="FP24" s="110"/>
      <c r="FQ24" s="110"/>
      <c r="FR24" s="110"/>
      <c r="FS24" s="110"/>
      <c r="FT24" s="110"/>
      <c r="FU24" s="110"/>
      <c r="FV24" s="110"/>
      <c r="FW24" s="110"/>
      <c r="FX24" s="110"/>
      <c r="FY24" s="110"/>
      <c r="FZ24" s="110"/>
      <c r="GA24" s="110"/>
      <c r="GB24" s="110"/>
      <c r="GC24" s="110"/>
      <c r="GD24" s="110"/>
      <c r="GE24" s="110"/>
      <c r="GF24" s="110"/>
      <c r="GG24" s="110"/>
      <c r="GH24" s="110"/>
      <c r="GI24" s="110"/>
      <c r="GJ24" s="110"/>
      <c r="GK24" s="110"/>
      <c r="GL24" s="110"/>
      <c r="GM24" s="110"/>
      <c r="GN24" s="110"/>
      <c r="GO24" s="110"/>
      <c r="GP24" s="110"/>
      <c r="GQ24" s="110"/>
      <c r="GR24" s="110"/>
      <c r="GS24" s="110"/>
      <c r="GT24" s="110"/>
      <c r="GU24" s="110"/>
      <c r="GV24" s="110"/>
      <c r="GW24" s="110"/>
      <c r="GX24" s="110"/>
      <c r="GY24" s="110"/>
      <c r="GZ24" s="110"/>
      <c r="HA24" s="110"/>
      <c r="HB24" s="110"/>
      <c r="HC24" s="110"/>
      <c r="HD24" s="110"/>
      <c r="HE24" s="110"/>
      <c r="HF24" s="110"/>
      <c r="HG24" s="110"/>
      <c r="HH24" s="110"/>
      <c r="HI24" s="110"/>
      <c r="HJ24" s="110"/>
      <c r="HK24" s="110"/>
      <c r="HL24" s="110"/>
      <c r="HM24" s="110"/>
      <c r="HN24" s="110"/>
      <c r="HO24" s="110"/>
      <c r="HP24" s="110"/>
      <c r="HQ24" s="110"/>
      <c r="HR24" s="110"/>
      <c r="HS24" s="110"/>
      <c r="HT24" s="110"/>
      <c r="HU24" s="110"/>
      <c r="HV24" s="110"/>
      <c r="HW24" s="110"/>
      <c r="HX24" s="110"/>
      <c r="HY24" s="110"/>
      <c r="HZ24" s="110"/>
      <c r="IA24" s="110"/>
      <c r="IB24" s="110"/>
      <c r="IC24" s="110"/>
      <c r="ID24" s="110"/>
      <c r="IE24" s="110"/>
      <c r="IF24" s="110"/>
      <c r="IG24" s="110"/>
      <c r="IH24" s="110"/>
      <c r="II24" s="110"/>
      <c r="IJ24" s="110"/>
      <c r="IK24" s="110"/>
      <c r="IL24" s="110"/>
      <c r="IM24" s="110"/>
      <c r="IN24" s="110"/>
      <c r="IO24" s="110"/>
      <c r="IP24" s="110"/>
      <c r="IQ24" s="70"/>
    </row>
    <row r="25" spans="1:251" ht="16.5" hidden="1" customHeight="1">
      <c r="A25" s="95" t="s">
        <v>450</v>
      </c>
      <c r="B25" t="s">
        <v>1363</v>
      </c>
      <c r="C25" t="s">
        <v>450</v>
      </c>
      <c r="E25" t="s">
        <v>450</v>
      </c>
      <c r="F25" t="s">
        <v>1368</v>
      </c>
      <c r="G25" s="654"/>
      <c r="H25">
        <v>37</v>
      </c>
      <c r="J25" s="214" t="str">
        <f t="shared" si="0"/>
        <v>LTT100137</v>
      </c>
      <c r="K25">
        <v>31450</v>
      </c>
      <c r="M25" t="s">
        <v>1364</v>
      </c>
      <c r="N25">
        <v>8</v>
      </c>
      <c r="O25" s="682" t="str">
        <f t="shared" si="1"/>
        <v>LTT2008</v>
      </c>
      <c r="P25">
        <v>22800</v>
      </c>
      <c r="R25" s="95" t="s">
        <v>450</v>
      </c>
      <c r="V25" s="214"/>
      <c r="EE25" s="95" t="s">
        <v>450</v>
      </c>
      <c r="EF25" s="110"/>
      <c r="EG25" s="110"/>
      <c r="EH25" s="110"/>
      <c r="EI25" s="216"/>
      <c r="EJ25" s="110"/>
      <c r="EK25" s="110"/>
      <c r="EL25" s="110"/>
      <c r="EM25" s="110"/>
      <c r="EN25" s="110"/>
      <c r="EO25" s="110"/>
      <c r="EP25" s="110"/>
      <c r="EQ25" s="110"/>
      <c r="ER25" s="110"/>
      <c r="ES25" s="110"/>
      <c r="ET25" s="110"/>
      <c r="EU25" s="110"/>
      <c r="EV25" s="110"/>
      <c r="EW25" s="110"/>
      <c r="EX25" s="110"/>
      <c r="EY25" s="110"/>
      <c r="EZ25" s="110"/>
      <c r="FA25" s="110"/>
      <c r="FB25" s="110"/>
      <c r="FC25" s="110"/>
      <c r="FD25" s="110"/>
      <c r="FE25" s="110"/>
      <c r="FF25" s="110"/>
      <c r="FG25" s="110"/>
      <c r="FH25" s="110"/>
      <c r="FI25" s="110"/>
      <c r="FJ25" s="110"/>
      <c r="FK25" s="110"/>
      <c r="FL25" s="110"/>
      <c r="FM25" s="110"/>
      <c r="FN25" s="110"/>
      <c r="FO25" s="110"/>
      <c r="FP25" s="110"/>
      <c r="FQ25" s="110"/>
      <c r="FR25" s="110"/>
      <c r="FS25" s="110"/>
      <c r="FT25" s="110"/>
      <c r="FU25" s="110"/>
      <c r="FV25" s="110"/>
      <c r="FW25" s="110"/>
      <c r="FX25" s="110"/>
      <c r="FY25" s="110"/>
      <c r="FZ25" s="110"/>
      <c r="GA25" s="110"/>
      <c r="GB25" s="110"/>
      <c r="GC25" s="110"/>
      <c r="GD25" s="110"/>
      <c r="GE25" s="110"/>
      <c r="GF25" s="110"/>
      <c r="GG25" s="110"/>
      <c r="GH25" s="110"/>
      <c r="GI25" s="110"/>
      <c r="GJ25" s="110"/>
      <c r="GK25" s="110"/>
      <c r="GL25" s="110"/>
      <c r="GM25" s="110"/>
      <c r="GN25" s="110"/>
      <c r="GO25" s="110"/>
      <c r="GP25" s="110"/>
      <c r="GQ25" s="110"/>
      <c r="GR25" s="110"/>
      <c r="GS25" s="110"/>
      <c r="GT25" s="110"/>
      <c r="GU25" s="110"/>
      <c r="GV25" s="110"/>
      <c r="GW25" s="110"/>
      <c r="GX25" s="110"/>
      <c r="GY25" s="110"/>
      <c r="GZ25" s="110"/>
      <c r="HA25" s="110"/>
      <c r="HB25" s="110"/>
      <c r="HC25" s="110"/>
      <c r="HD25" s="110"/>
      <c r="HE25" s="110"/>
      <c r="HF25" s="110"/>
      <c r="HG25" s="110"/>
      <c r="HH25" s="110"/>
      <c r="HI25" s="110"/>
      <c r="HJ25" s="110"/>
      <c r="HK25" s="110"/>
      <c r="HL25" s="110"/>
      <c r="HM25" s="110"/>
      <c r="HN25" s="110"/>
      <c r="HO25" s="110"/>
      <c r="HP25" s="110"/>
      <c r="HQ25" s="110"/>
      <c r="HR25" s="110"/>
      <c r="HS25" s="110"/>
      <c r="HT25" s="110"/>
      <c r="HU25" s="110"/>
      <c r="HV25" s="110"/>
      <c r="HW25" s="110"/>
      <c r="HX25" s="110"/>
      <c r="HY25" s="110"/>
      <c r="HZ25" s="110"/>
      <c r="IA25" s="110"/>
      <c r="IB25" s="110"/>
      <c r="IC25" s="110"/>
      <c r="ID25" s="110"/>
      <c r="IE25" s="110"/>
      <c r="IF25" s="110"/>
      <c r="IG25" s="110"/>
      <c r="IH25" s="110"/>
      <c r="II25" s="110"/>
      <c r="IJ25" s="110"/>
      <c r="IK25" s="110"/>
      <c r="IL25" s="110"/>
      <c r="IM25" s="110"/>
      <c r="IN25" s="110"/>
      <c r="IO25" s="110"/>
      <c r="IP25" s="110"/>
      <c r="IQ25" s="70"/>
    </row>
    <row r="26" spans="1:251" ht="16.5" hidden="1" customHeight="1">
      <c r="A26" s="95" t="s">
        <v>450</v>
      </c>
      <c r="B26" t="s">
        <v>1363</v>
      </c>
      <c r="C26" t="s">
        <v>450</v>
      </c>
      <c r="E26" t="s">
        <v>450</v>
      </c>
      <c r="F26" t="s">
        <v>1368</v>
      </c>
      <c r="G26" s="654"/>
      <c r="H26">
        <v>38</v>
      </c>
      <c r="J26" s="214" t="str">
        <f t="shared" si="0"/>
        <v>LTT100138</v>
      </c>
      <c r="K26">
        <v>31970</v>
      </c>
      <c r="M26" t="s">
        <v>1364</v>
      </c>
      <c r="N26">
        <v>9</v>
      </c>
      <c r="O26" s="682" t="str">
        <f t="shared" si="1"/>
        <v>LTT2009</v>
      </c>
      <c r="P26">
        <v>23200</v>
      </c>
      <c r="R26" s="95" t="s">
        <v>450</v>
      </c>
      <c r="V26" s="214"/>
      <c r="EE26" s="95" t="s">
        <v>450</v>
      </c>
      <c r="EF26" s="110"/>
      <c r="EG26" s="110"/>
      <c r="EH26" s="110"/>
      <c r="EI26" s="216"/>
      <c r="EJ26" s="110"/>
      <c r="EK26" s="110"/>
      <c r="EL26" s="110"/>
      <c r="EM26" s="110"/>
      <c r="EN26" s="110"/>
      <c r="EO26" s="110"/>
      <c r="EP26" s="110"/>
      <c r="EQ26" s="110"/>
      <c r="ER26" s="110"/>
      <c r="ES26" s="110"/>
      <c r="ET26" s="110"/>
      <c r="EU26" s="110"/>
      <c r="EV26" s="110"/>
      <c r="EW26" s="110"/>
      <c r="EX26" s="110"/>
      <c r="EY26" s="110"/>
      <c r="EZ26" s="110"/>
      <c r="FA26" s="110"/>
      <c r="FB26" s="110"/>
      <c r="FC26" s="110"/>
      <c r="FD26" s="110"/>
      <c r="FE26" s="110"/>
      <c r="FF26" s="110"/>
      <c r="FG26" s="110"/>
      <c r="FH26" s="110"/>
      <c r="FI26" s="110"/>
      <c r="FJ26" s="110"/>
      <c r="FK26" s="110"/>
      <c r="FL26" s="110"/>
      <c r="FM26" s="110"/>
      <c r="FN26" s="110"/>
      <c r="FO26" s="110"/>
      <c r="FP26" s="110"/>
      <c r="FQ26" s="110"/>
      <c r="FR26" s="110"/>
      <c r="FS26" s="110"/>
      <c r="FT26" s="110"/>
      <c r="FU26" s="110"/>
      <c r="FV26" s="110"/>
      <c r="FW26" s="110"/>
      <c r="FX26" s="110"/>
      <c r="FY26" s="110"/>
      <c r="FZ26" s="110"/>
      <c r="GA26" s="110"/>
      <c r="GB26" s="110"/>
      <c r="GC26" s="110"/>
      <c r="GD26" s="110"/>
      <c r="GE26" s="110"/>
      <c r="GF26" s="110"/>
      <c r="GG26" s="110"/>
      <c r="GH26" s="110"/>
      <c r="GI26" s="110"/>
      <c r="GJ26" s="110"/>
      <c r="GK26" s="110"/>
      <c r="GL26" s="110"/>
      <c r="GM26" s="110"/>
      <c r="GN26" s="110"/>
      <c r="GO26" s="110"/>
      <c r="GP26" s="110"/>
      <c r="GQ26" s="110"/>
      <c r="GR26" s="110"/>
      <c r="GS26" s="110"/>
      <c r="GT26" s="110"/>
      <c r="GU26" s="110"/>
      <c r="GV26" s="110"/>
      <c r="GW26" s="110"/>
      <c r="GX26" s="110"/>
      <c r="GY26" s="110"/>
      <c r="GZ26" s="110"/>
      <c r="HA26" s="110"/>
      <c r="HB26" s="110"/>
      <c r="HC26" s="110"/>
      <c r="HD26" s="110"/>
      <c r="HE26" s="110"/>
      <c r="HF26" s="110"/>
      <c r="HG26" s="110"/>
      <c r="HH26" s="110"/>
      <c r="HI26" s="110"/>
      <c r="HJ26" s="110"/>
      <c r="HK26" s="110"/>
      <c r="HL26" s="110"/>
      <c r="HM26" s="110"/>
      <c r="HN26" s="110"/>
      <c r="HO26" s="110"/>
      <c r="HP26" s="110"/>
      <c r="HQ26" s="110"/>
      <c r="HR26" s="110"/>
      <c r="HS26" s="110"/>
      <c r="HT26" s="110"/>
      <c r="HU26" s="110"/>
      <c r="HV26" s="110"/>
      <c r="HW26" s="110"/>
      <c r="HX26" s="110"/>
      <c r="HY26" s="110"/>
      <c r="HZ26" s="110"/>
      <c r="IA26" s="110"/>
      <c r="IB26" s="110"/>
      <c r="IC26" s="110"/>
      <c r="ID26" s="110"/>
      <c r="IE26" s="110"/>
      <c r="IF26" s="110"/>
      <c r="IG26" s="110"/>
      <c r="IH26" s="110"/>
      <c r="II26" s="110"/>
      <c r="IJ26" s="110"/>
      <c r="IK26" s="110"/>
      <c r="IL26" s="110"/>
      <c r="IM26" s="110"/>
      <c r="IN26" s="110"/>
      <c r="IO26" s="110"/>
      <c r="IP26" s="110"/>
      <c r="IQ26" s="70"/>
    </row>
    <row r="27" spans="1:251" ht="16.5" hidden="1" customHeight="1">
      <c r="A27" s="95" t="s">
        <v>450</v>
      </c>
      <c r="B27" t="s">
        <v>1363</v>
      </c>
      <c r="C27" t="s">
        <v>450</v>
      </c>
      <c r="E27" t="s">
        <v>450</v>
      </c>
      <c r="F27" t="s">
        <v>1368</v>
      </c>
      <c r="G27" s="654"/>
      <c r="H27">
        <v>39</v>
      </c>
      <c r="J27" s="214" t="str">
        <f t="shared" si="0"/>
        <v>LTT100139</v>
      </c>
      <c r="K27">
        <v>32520</v>
      </c>
      <c r="M27" t="s">
        <v>1364</v>
      </c>
      <c r="N27">
        <v>10</v>
      </c>
      <c r="O27" s="682" t="str">
        <f t="shared" si="1"/>
        <v>LTT2010</v>
      </c>
      <c r="P27">
        <v>23600</v>
      </c>
      <c r="R27" s="95" t="s">
        <v>450</v>
      </c>
      <c r="V27" s="214"/>
      <c r="EE27" s="95" t="s">
        <v>450</v>
      </c>
      <c r="EF27" s="110"/>
      <c r="EG27" s="110"/>
      <c r="EH27" s="110"/>
      <c r="EI27" s="216"/>
      <c r="EJ27" s="110"/>
      <c r="EK27" s="110"/>
      <c r="EL27" s="110"/>
      <c r="EM27" s="110"/>
      <c r="EN27" s="110"/>
      <c r="EO27" s="110"/>
      <c r="EP27" s="110"/>
      <c r="EQ27" s="110"/>
      <c r="ER27" s="110"/>
      <c r="ES27" s="110"/>
      <c r="ET27" s="110"/>
      <c r="EU27" s="110"/>
      <c r="EV27" s="110"/>
      <c r="EW27" s="110"/>
      <c r="EX27" s="110"/>
      <c r="EY27" s="110"/>
      <c r="EZ27" s="110"/>
      <c r="FA27" s="110"/>
      <c r="FB27" s="110"/>
      <c r="FC27" s="110"/>
      <c r="FD27" s="110"/>
      <c r="FE27" s="110"/>
      <c r="FF27" s="110"/>
      <c r="FG27" s="110"/>
      <c r="FH27" s="110"/>
      <c r="FI27" s="110"/>
      <c r="FJ27" s="110"/>
      <c r="FK27" s="110"/>
      <c r="FL27" s="110"/>
      <c r="FM27" s="110"/>
      <c r="FN27" s="110"/>
      <c r="FO27" s="110"/>
      <c r="FP27" s="110"/>
      <c r="FQ27" s="110"/>
      <c r="FR27" s="110"/>
      <c r="FS27" s="110"/>
      <c r="FT27" s="110"/>
      <c r="FU27" s="110"/>
      <c r="FV27" s="110"/>
      <c r="FW27" s="110"/>
      <c r="FX27" s="110"/>
      <c r="FY27" s="110"/>
      <c r="FZ27" s="110"/>
      <c r="GA27" s="110"/>
      <c r="GB27" s="110"/>
      <c r="GC27" s="110"/>
      <c r="GD27" s="110"/>
      <c r="GE27" s="110"/>
      <c r="GF27" s="110"/>
      <c r="GG27" s="110"/>
      <c r="GH27" s="110"/>
      <c r="GI27" s="110"/>
      <c r="GJ27" s="110"/>
      <c r="GK27" s="110"/>
      <c r="GL27" s="110"/>
      <c r="GM27" s="110"/>
      <c r="GN27" s="110"/>
      <c r="GO27" s="110"/>
      <c r="GP27" s="110"/>
      <c r="GQ27" s="110"/>
      <c r="GR27" s="110"/>
      <c r="GS27" s="110"/>
      <c r="GT27" s="110"/>
      <c r="GU27" s="110"/>
      <c r="GV27" s="110"/>
      <c r="GW27" s="110"/>
      <c r="GX27" s="110"/>
      <c r="GY27" s="110"/>
      <c r="GZ27" s="110"/>
      <c r="HA27" s="110"/>
      <c r="HB27" s="110"/>
      <c r="HC27" s="110"/>
      <c r="HD27" s="110"/>
      <c r="HE27" s="110"/>
      <c r="HF27" s="110"/>
      <c r="HG27" s="110"/>
      <c r="HH27" s="110"/>
      <c r="HI27" s="110"/>
      <c r="HJ27" s="110"/>
      <c r="HK27" s="110"/>
      <c r="HL27" s="110"/>
      <c r="HM27" s="110"/>
      <c r="HN27" s="110"/>
      <c r="HO27" s="110"/>
      <c r="HP27" s="110"/>
      <c r="HQ27" s="110"/>
      <c r="HR27" s="110"/>
      <c r="HS27" s="110"/>
      <c r="HT27" s="110"/>
      <c r="HU27" s="110"/>
      <c r="HV27" s="110"/>
      <c r="HW27" s="110"/>
      <c r="HX27" s="110"/>
      <c r="HY27" s="110"/>
      <c r="HZ27" s="110"/>
      <c r="IA27" s="110"/>
      <c r="IB27" s="110"/>
      <c r="IC27" s="110"/>
      <c r="ID27" s="110"/>
      <c r="IE27" s="110"/>
      <c r="IF27" s="110"/>
      <c r="IG27" s="110"/>
      <c r="IH27" s="110"/>
      <c r="II27" s="110"/>
      <c r="IJ27" s="110"/>
      <c r="IK27" s="110"/>
      <c r="IL27" s="110"/>
      <c r="IM27" s="110"/>
      <c r="IN27" s="110"/>
      <c r="IO27" s="110"/>
      <c r="IP27" s="110"/>
      <c r="IQ27" s="70"/>
    </row>
    <row r="28" spans="1:251" ht="16.5" hidden="1" customHeight="1">
      <c r="A28" s="95" t="s">
        <v>450</v>
      </c>
      <c r="B28" t="s">
        <v>1363</v>
      </c>
      <c r="C28" t="s">
        <v>450</v>
      </c>
      <c r="E28" t="s">
        <v>450</v>
      </c>
      <c r="F28" t="s">
        <v>1368</v>
      </c>
      <c r="G28" s="654"/>
      <c r="H28">
        <v>40</v>
      </c>
      <c r="J28" s="214" t="str">
        <f t="shared" si="0"/>
        <v>LTT100140</v>
      </c>
      <c r="K28">
        <v>33030</v>
      </c>
      <c r="M28" t="s">
        <v>1364</v>
      </c>
      <c r="N28">
        <v>11</v>
      </c>
      <c r="O28" s="682" t="str">
        <f t="shared" si="1"/>
        <v>LTT2011</v>
      </c>
      <c r="P28">
        <v>24000</v>
      </c>
      <c r="R28" s="95" t="s">
        <v>450</v>
      </c>
      <c r="V28" s="214"/>
      <c r="EE28" s="95" t="s">
        <v>450</v>
      </c>
      <c r="EF28" s="110"/>
      <c r="EG28" s="110"/>
      <c r="EH28" s="110"/>
      <c r="EI28" s="216"/>
      <c r="EJ28" s="110"/>
      <c r="EK28" s="110"/>
      <c r="EL28" s="110"/>
      <c r="EM28" s="110"/>
      <c r="EN28" s="110"/>
      <c r="EO28" s="110"/>
      <c r="EP28" s="110"/>
      <c r="EQ28" s="110"/>
      <c r="ER28" s="110"/>
      <c r="ES28" s="110"/>
      <c r="ET28" s="110"/>
      <c r="EU28" s="110"/>
      <c r="EV28" s="110"/>
      <c r="EW28" s="110"/>
      <c r="EX28" s="110"/>
      <c r="EY28" s="110"/>
      <c r="EZ28" s="110"/>
      <c r="FA28" s="110"/>
      <c r="FB28" s="110"/>
      <c r="FC28" s="110"/>
      <c r="FD28" s="110"/>
      <c r="FE28" s="110"/>
      <c r="FF28" s="110"/>
      <c r="FG28" s="110"/>
      <c r="FH28" s="110"/>
      <c r="FI28" s="110"/>
      <c r="FJ28" s="110"/>
      <c r="FK28" s="110"/>
      <c r="FL28" s="110"/>
      <c r="FM28" s="110"/>
      <c r="FN28" s="110"/>
      <c r="FO28" s="110"/>
      <c r="FP28" s="110"/>
      <c r="FQ28" s="110"/>
      <c r="FR28" s="110"/>
      <c r="FS28" s="110"/>
      <c r="FT28" s="110"/>
      <c r="FU28" s="110"/>
      <c r="FV28" s="110"/>
      <c r="FW28" s="110"/>
      <c r="FX28" s="110"/>
      <c r="FY28" s="110"/>
      <c r="FZ28" s="110"/>
      <c r="GA28" s="110"/>
      <c r="GB28" s="110"/>
      <c r="GC28" s="110"/>
      <c r="GD28" s="110"/>
      <c r="GE28" s="110"/>
      <c r="GF28" s="110"/>
      <c r="GG28" s="110"/>
      <c r="GH28" s="110"/>
      <c r="GI28" s="110"/>
      <c r="GJ28" s="110"/>
      <c r="GK28" s="110"/>
      <c r="GL28" s="110"/>
      <c r="GM28" s="110"/>
      <c r="GN28" s="110"/>
      <c r="GO28" s="110"/>
      <c r="GP28" s="110"/>
      <c r="GQ28" s="110"/>
      <c r="GR28" s="110"/>
      <c r="GS28" s="110"/>
      <c r="GT28" s="110"/>
      <c r="GU28" s="110"/>
      <c r="GV28" s="110"/>
      <c r="GW28" s="110"/>
      <c r="GX28" s="110"/>
      <c r="GY28" s="110"/>
      <c r="GZ28" s="110"/>
      <c r="HA28" s="110"/>
      <c r="HB28" s="110"/>
      <c r="HC28" s="110"/>
      <c r="HD28" s="110"/>
      <c r="HE28" s="110"/>
      <c r="HF28" s="110"/>
      <c r="HG28" s="110"/>
      <c r="HH28" s="110"/>
      <c r="HI28" s="110"/>
      <c r="HJ28" s="110"/>
      <c r="HK28" s="110"/>
      <c r="HL28" s="110"/>
      <c r="HM28" s="110"/>
      <c r="HN28" s="110"/>
      <c r="HO28" s="110"/>
      <c r="HP28" s="110"/>
      <c r="HQ28" s="110"/>
      <c r="HR28" s="110"/>
      <c r="HS28" s="110"/>
      <c r="HT28" s="110"/>
      <c r="HU28" s="110"/>
      <c r="HV28" s="110"/>
      <c r="HW28" s="110"/>
      <c r="HX28" s="110"/>
      <c r="HY28" s="110"/>
      <c r="HZ28" s="110"/>
      <c r="IA28" s="110"/>
      <c r="IB28" s="110"/>
      <c r="IC28" s="110"/>
      <c r="ID28" s="110"/>
      <c r="IE28" s="110"/>
      <c r="IF28" s="110"/>
      <c r="IG28" s="110"/>
      <c r="IH28" s="110"/>
      <c r="II28" s="110"/>
      <c r="IJ28" s="110"/>
      <c r="IK28" s="110"/>
      <c r="IL28" s="110"/>
      <c r="IM28" s="110"/>
      <c r="IN28" s="110"/>
      <c r="IO28" s="110"/>
      <c r="IP28" s="110"/>
      <c r="IQ28" s="70"/>
    </row>
    <row r="29" spans="1:251" ht="16.5" hidden="1" customHeight="1">
      <c r="A29" s="95" t="s">
        <v>450</v>
      </c>
      <c r="B29" t="s">
        <v>1363</v>
      </c>
      <c r="C29" t="s">
        <v>450</v>
      </c>
      <c r="E29" t="s">
        <v>450</v>
      </c>
      <c r="F29" t="s">
        <v>1368</v>
      </c>
      <c r="G29" s="654"/>
      <c r="H29">
        <v>41</v>
      </c>
      <c r="J29" s="214" t="str">
        <f t="shared" si="0"/>
        <v>LTT100141</v>
      </c>
      <c r="K29">
        <v>33640</v>
      </c>
      <c r="M29" t="s">
        <v>1364</v>
      </c>
      <c r="N29">
        <v>12</v>
      </c>
      <c r="O29" s="682" t="str">
        <f t="shared" si="1"/>
        <v>LTT2012</v>
      </c>
      <c r="P29">
        <v>24400</v>
      </c>
      <c r="R29" s="95" t="s">
        <v>450</v>
      </c>
      <c r="V29" s="214"/>
      <c r="EE29" s="95" t="s">
        <v>450</v>
      </c>
      <c r="EF29" s="110"/>
      <c r="EG29" s="110"/>
      <c r="EH29" s="110"/>
      <c r="EI29" s="216"/>
      <c r="EJ29" s="110"/>
      <c r="EK29" s="110"/>
      <c r="EL29" s="110"/>
      <c r="EM29" s="110"/>
      <c r="EN29" s="110"/>
      <c r="EO29" s="110"/>
      <c r="EP29" s="110"/>
      <c r="EQ29" s="110"/>
      <c r="ER29" s="110"/>
      <c r="ES29" s="110"/>
      <c r="ET29" s="110"/>
      <c r="EU29" s="110"/>
      <c r="EV29" s="110"/>
      <c r="EW29" s="110"/>
      <c r="EX29" s="110"/>
      <c r="EY29" s="110"/>
      <c r="EZ29" s="110"/>
      <c r="FA29" s="110"/>
      <c r="FB29" s="110"/>
      <c r="FC29" s="110"/>
      <c r="FD29" s="110"/>
      <c r="FE29" s="110"/>
      <c r="FF29" s="110"/>
      <c r="FG29" s="110"/>
      <c r="FH29" s="110"/>
      <c r="FI29" s="110"/>
      <c r="FJ29" s="110"/>
      <c r="FK29" s="110"/>
      <c r="FL29" s="110"/>
      <c r="FM29" s="110"/>
      <c r="FN29" s="110"/>
      <c r="FO29" s="110"/>
      <c r="FP29" s="110"/>
      <c r="FQ29" s="110"/>
      <c r="FR29" s="110"/>
      <c r="FS29" s="110"/>
      <c r="FT29" s="110"/>
      <c r="FU29" s="110"/>
      <c r="FV29" s="110"/>
      <c r="FW29" s="110"/>
      <c r="FX29" s="110"/>
      <c r="FY29" s="110"/>
      <c r="FZ29" s="110"/>
      <c r="GA29" s="110"/>
      <c r="GB29" s="110"/>
      <c r="GC29" s="110"/>
      <c r="GD29" s="110"/>
      <c r="GE29" s="110"/>
      <c r="GF29" s="110"/>
      <c r="GG29" s="110"/>
      <c r="GH29" s="110"/>
      <c r="GI29" s="110"/>
      <c r="GJ29" s="110"/>
      <c r="GK29" s="110"/>
      <c r="GL29" s="110"/>
      <c r="GM29" s="110"/>
      <c r="GN29" s="110"/>
      <c r="GO29" s="110"/>
      <c r="GP29" s="110"/>
      <c r="GQ29" s="110"/>
      <c r="GR29" s="110"/>
      <c r="GS29" s="110"/>
      <c r="GT29" s="110"/>
      <c r="GU29" s="110"/>
      <c r="GV29" s="110"/>
      <c r="GW29" s="110"/>
      <c r="GX29" s="110"/>
      <c r="GY29" s="110"/>
      <c r="GZ29" s="110"/>
      <c r="HA29" s="110"/>
      <c r="HB29" s="110"/>
      <c r="HC29" s="110"/>
      <c r="HD29" s="110"/>
      <c r="HE29" s="110"/>
      <c r="HF29" s="110"/>
      <c r="HG29" s="110"/>
      <c r="HH29" s="110"/>
      <c r="HI29" s="110"/>
      <c r="HJ29" s="110"/>
      <c r="HK29" s="110"/>
      <c r="HL29" s="110"/>
      <c r="HM29" s="110"/>
      <c r="HN29" s="110"/>
      <c r="HO29" s="110"/>
      <c r="HP29" s="110"/>
      <c r="HQ29" s="110"/>
      <c r="HR29" s="110"/>
      <c r="HS29" s="110"/>
      <c r="HT29" s="110"/>
      <c r="HU29" s="110"/>
      <c r="HV29" s="110"/>
      <c r="HW29" s="110"/>
      <c r="HX29" s="110"/>
      <c r="HY29" s="110"/>
      <c r="HZ29" s="110"/>
      <c r="IA29" s="110"/>
      <c r="IB29" s="110"/>
      <c r="IC29" s="110"/>
      <c r="ID29" s="110"/>
      <c r="IE29" s="110"/>
      <c r="IF29" s="110"/>
      <c r="IG29" s="110"/>
      <c r="IH29" s="110"/>
      <c r="II29" s="110"/>
      <c r="IJ29" s="110"/>
      <c r="IK29" s="110"/>
      <c r="IL29" s="110"/>
      <c r="IM29" s="110"/>
      <c r="IN29" s="110"/>
      <c r="IO29" s="110"/>
      <c r="IP29" s="110"/>
      <c r="IQ29" s="70"/>
    </row>
    <row r="30" spans="1:251" ht="16.5" hidden="1" customHeight="1">
      <c r="A30" s="95" t="s">
        <v>450</v>
      </c>
      <c r="B30" t="s">
        <v>1363</v>
      </c>
      <c r="C30" t="s">
        <v>450</v>
      </c>
      <c r="E30" t="s">
        <v>450</v>
      </c>
      <c r="F30" t="s">
        <v>1368</v>
      </c>
      <c r="G30" s="654"/>
      <c r="H30">
        <v>42</v>
      </c>
      <c r="J30" s="214" t="str">
        <f t="shared" si="0"/>
        <v>LTT100142</v>
      </c>
      <c r="K30">
        <v>34250</v>
      </c>
      <c r="M30" t="s">
        <v>1364</v>
      </c>
      <c r="N30">
        <v>13</v>
      </c>
      <c r="O30" s="682" t="str">
        <f t="shared" si="1"/>
        <v>LTT2013</v>
      </c>
      <c r="P30">
        <v>24800</v>
      </c>
      <c r="R30" s="95" t="s">
        <v>450</v>
      </c>
      <c r="V30" s="214"/>
      <c r="EE30" s="95" t="s">
        <v>450</v>
      </c>
      <c r="EF30" s="110"/>
      <c r="EG30" s="110"/>
      <c r="EH30" s="110"/>
      <c r="EI30" s="216"/>
      <c r="EJ30" s="110"/>
      <c r="EK30" s="110"/>
      <c r="EL30" s="110"/>
      <c r="EM30" s="110"/>
      <c r="EN30" s="110"/>
      <c r="EO30" s="110"/>
      <c r="EP30" s="110"/>
      <c r="EQ30" s="110"/>
      <c r="ER30" s="110"/>
      <c r="ES30" s="110"/>
      <c r="ET30" s="110"/>
      <c r="EU30" s="110"/>
      <c r="EV30" s="110"/>
      <c r="EW30" s="110"/>
      <c r="EX30" s="110"/>
      <c r="EY30" s="110"/>
      <c r="EZ30" s="110"/>
      <c r="FA30" s="110"/>
      <c r="FB30" s="110"/>
      <c r="FC30" s="110"/>
      <c r="FD30" s="110"/>
      <c r="FE30" s="110"/>
      <c r="FF30" s="110"/>
      <c r="FG30" s="110"/>
      <c r="FH30" s="110"/>
      <c r="FI30" s="110"/>
      <c r="FJ30" s="110"/>
      <c r="FK30" s="110"/>
      <c r="FL30" s="110"/>
      <c r="FM30" s="110"/>
      <c r="FN30" s="110"/>
      <c r="FO30" s="110"/>
      <c r="FP30" s="110"/>
      <c r="FQ30" s="110"/>
      <c r="FR30" s="110"/>
      <c r="FS30" s="110"/>
      <c r="FT30" s="110"/>
      <c r="FU30" s="110"/>
      <c r="FV30" s="110"/>
      <c r="FW30" s="110"/>
      <c r="FX30" s="110"/>
      <c r="FY30" s="110"/>
      <c r="FZ30" s="110"/>
      <c r="GA30" s="110"/>
      <c r="GB30" s="110"/>
      <c r="GC30" s="110"/>
      <c r="GD30" s="110"/>
      <c r="GE30" s="110"/>
      <c r="GF30" s="110"/>
      <c r="GG30" s="110"/>
      <c r="GH30" s="110"/>
      <c r="GI30" s="110"/>
      <c r="GJ30" s="110"/>
      <c r="GK30" s="110"/>
      <c r="GL30" s="110"/>
      <c r="GM30" s="110"/>
      <c r="GN30" s="110"/>
      <c r="GO30" s="110"/>
      <c r="GP30" s="110"/>
      <c r="GQ30" s="110"/>
      <c r="GR30" s="110"/>
      <c r="GS30" s="110"/>
      <c r="GT30" s="110"/>
      <c r="GU30" s="110"/>
      <c r="GV30" s="110"/>
      <c r="GW30" s="110"/>
      <c r="GX30" s="110"/>
      <c r="GY30" s="110"/>
      <c r="GZ30" s="110"/>
      <c r="HA30" s="110"/>
      <c r="HB30" s="110"/>
      <c r="HC30" s="110"/>
      <c r="HD30" s="110"/>
      <c r="HE30" s="110"/>
      <c r="HF30" s="110"/>
      <c r="HG30" s="110"/>
      <c r="HH30" s="110"/>
      <c r="HI30" s="110"/>
      <c r="HJ30" s="110"/>
      <c r="HK30" s="110"/>
      <c r="HL30" s="110"/>
      <c r="HM30" s="110"/>
      <c r="HN30" s="110"/>
      <c r="HO30" s="110"/>
      <c r="HP30" s="110"/>
      <c r="HQ30" s="110"/>
      <c r="HR30" s="110"/>
      <c r="HS30" s="110"/>
      <c r="HT30" s="110"/>
      <c r="HU30" s="110"/>
      <c r="HV30" s="110"/>
      <c r="HW30" s="110"/>
      <c r="HX30" s="110"/>
      <c r="HY30" s="110"/>
      <c r="HZ30" s="110"/>
      <c r="IA30" s="110"/>
      <c r="IB30" s="110"/>
      <c r="IC30" s="110"/>
      <c r="ID30" s="110"/>
      <c r="IE30" s="110"/>
      <c r="IF30" s="110"/>
      <c r="IG30" s="110"/>
      <c r="IH30" s="110"/>
      <c r="II30" s="110"/>
      <c r="IJ30" s="110"/>
      <c r="IK30" s="110"/>
      <c r="IL30" s="110"/>
      <c r="IM30" s="110"/>
      <c r="IN30" s="110"/>
      <c r="IO30" s="110"/>
      <c r="IP30" s="110"/>
      <c r="IQ30" s="70"/>
    </row>
    <row r="31" spans="1:251" ht="16.5" hidden="1" customHeight="1">
      <c r="A31" s="95" t="s">
        <v>450</v>
      </c>
      <c r="B31" t="s">
        <v>1363</v>
      </c>
      <c r="C31" t="s">
        <v>450</v>
      </c>
      <c r="E31" t="s">
        <v>450</v>
      </c>
      <c r="F31" t="s">
        <v>1368</v>
      </c>
      <c r="G31" s="654"/>
      <c r="H31">
        <v>43</v>
      </c>
      <c r="J31" s="214" t="str">
        <f t="shared" si="0"/>
        <v>LTT100143</v>
      </c>
      <c r="K31">
        <v>34880</v>
      </c>
      <c r="M31" t="s">
        <v>1364</v>
      </c>
      <c r="N31">
        <v>14</v>
      </c>
      <c r="O31" s="682" t="str">
        <f t="shared" si="1"/>
        <v>LTT2014</v>
      </c>
      <c r="P31">
        <v>25200</v>
      </c>
      <c r="R31" s="95" t="s">
        <v>450</v>
      </c>
      <c r="V31" s="214"/>
      <c r="EE31" s="95" t="s">
        <v>450</v>
      </c>
      <c r="EF31" s="110"/>
      <c r="EG31" s="110"/>
      <c r="EH31" s="110"/>
      <c r="EI31" s="216"/>
      <c r="EJ31" s="110"/>
      <c r="EK31" s="110"/>
      <c r="EL31" s="110"/>
      <c r="EM31" s="110"/>
      <c r="EN31" s="110"/>
      <c r="EO31" s="110"/>
      <c r="EP31" s="110"/>
      <c r="EQ31" s="110"/>
      <c r="ER31" s="110"/>
      <c r="ES31" s="110"/>
      <c r="ET31" s="110"/>
      <c r="EU31" s="110"/>
      <c r="EV31" s="110"/>
      <c r="EW31" s="110"/>
      <c r="EX31" s="110"/>
      <c r="EY31" s="110"/>
      <c r="EZ31" s="110"/>
      <c r="FA31" s="110"/>
      <c r="FB31" s="110"/>
      <c r="FC31" s="110"/>
      <c r="FD31" s="110"/>
      <c r="FE31" s="110"/>
      <c r="FF31" s="110"/>
      <c r="FG31" s="110"/>
      <c r="FH31" s="110"/>
      <c r="FI31" s="110"/>
      <c r="FJ31" s="110"/>
      <c r="FK31" s="110"/>
      <c r="FL31" s="110"/>
      <c r="FM31" s="110"/>
      <c r="FN31" s="110"/>
      <c r="FO31" s="110"/>
      <c r="FP31" s="110"/>
      <c r="FQ31" s="110"/>
      <c r="FR31" s="110"/>
      <c r="FS31" s="110"/>
      <c r="FT31" s="110"/>
      <c r="FU31" s="110"/>
      <c r="FV31" s="110"/>
      <c r="FW31" s="110"/>
      <c r="FX31" s="110"/>
      <c r="FY31" s="110"/>
      <c r="FZ31" s="110"/>
      <c r="GA31" s="110"/>
      <c r="GB31" s="110"/>
      <c r="GC31" s="110"/>
      <c r="GD31" s="110"/>
      <c r="GE31" s="110"/>
      <c r="GF31" s="110"/>
      <c r="GG31" s="110"/>
      <c r="GH31" s="110"/>
      <c r="GI31" s="110"/>
      <c r="GJ31" s="110"/>
      <c r="GK31" s="110"/>
      <c r="GL31" s="110"/>
      <c r="GM31" s="110"/>
      <c r="GN31" s="110"/>
      <c r="GO31" s="110"/>
      <c r="GP31" s="110"/>
      <c r="GQ31" s="110"/>
      <c r="GR31" s="110"/>
      <c r="GS31" s="110"/>
      <c r="GT31" s="110"/>
      <c r="GU31" s="110"/>
      <c r="GV31" s="110"/>
      <c r="GW31" s="110"/>
      <c r="GX31" s="110"/>
      <c r="GY31" s="110"/>
      <c r="GZ31" s="110"/>
      <c r="HA31" s="110"/>
      <c r="HB31" s="110"/>
      <c r="HC31" s="110"/>
      <c r="HD31" s="110"/>
      <c r="HE31" s="110"/>
      <c r="HF31" s="110"/>
      <c r="HG31" s="110"/>
      <c r="HH31" s="110"/>
      <c r="HI31" s="110"/>
      <c r="HJ31" s="110"/>
      <c r="HK31" s="110"/>
      <c r="HL31" s="110"/>
      <c r="HM31" s="110"/>
      <c r="HN31" s="110"/>
      <c r="HO31" s="110"/>
      <c r="HP31" s="110"/>
      <c r="HQ31" s="110"/>
      <c r="HR31" s="110"/>
      <c r="HS31" s="110"/>
      <c r="HT31" s="110"/>
      <c r="HU31" s="110"/>
      <c r="HV31" s="110"/>
      <c r="HW31" s="110"/>
      <c r="HX31" s="110"/>
      <c r="HY31" s="110"/>
      <c r="HZ31" s="110"/>
      <c r="IA31" s="110"/>
      <c r="IB31" s="110"/>
      <c r="IC31" s="110"/>
      <c r="ID31" s="110"/>
      <c r="IE31" s="110"/>
      <c r="IF31" s="110"/>
      <c r="IG31" s="110"/>
      <c r="IH31" s="110"/>
      <c r="II31" s="110"/>
      <c r="IJ31" s="110"/>
      <c r="IK31" s="110"/>
      <c r="IL31" s="110"/>
      <c r="IM31" s="110"/>
      <c r="IN31" s="110"/>
      <c r="IO31" s="110"/>
      <c r="IP31" s="110"/>
      <c r="IQ31" s="70"/>
    </row>
    <row r="32" spans="1:251" ht="16.5" hidden="1" customHeight="1">
      <c r="A32" s="95" t="s">
        <v>450</v>
      </c>
      <c r="B32" t="s">
        <v>1363</v>
      </c>
      <c r="C32" t="s">
        <v>450</v>
      </c>
      <c r="E32" t="s">
        <v>450</v>
      </c>
      <c r="F32" t="s">
        <v>1368</v>
      </c>
      <c r="G32" s="654"/>
      <c r="H32">
        <v>44</v>
      </c>
      <c r="J32" s="214" t="str">
        <f t="shared" si="0"/>
        <v>LTT100144</v>
      </c>
      <c r="K32">
        <v>35580</v>
      </c>
      <c r="M32" t="s">
        <v>1364</v>
      </c>
      <c r="N32">
        <v>15</v>
      </c>
      <c r="O32" s="682" t="str">
        <f t="shared" si="1"/>
        <v>LTT2015</v>
      </c>
      <c r="P32">
        <v>25600</v>
      </c>
      <c r="R32" s="95" t="s">
        <v>450</v>
      </c>
      <c r="V32" s="214"/>
      <c r="EE32" s="95" t="s">
        <v>450</v>
      </c>
      <c r="EF32" s="110"/>
      <c r="EG32" s="110"/>
      <c r="EH32" s="110"/>
      <c r="EI32" s="216"/>
      <c r="EJ32" s="110"/>
      <c r="EK32" s="110"/>
      <c r="EL32" s="110"/>
      <c r="EM32" s="110"/>
      <c r="EN32" s="110"/>
      <c r="EO32" s="110"/>
      <c r="EP32" s="110"/>
      <c r="EQ32" s="110"/>
      <c r="ER32" s="110"/>
      <c r="ES32" s="110"/>
      <c r="ET32" s="110"/>
      <c r="EU32" s="110"/>
      <c r="EV32" s="110"/>
      <c r="EW32" s="110"/>
      <c r="EX32" s="110"/>
      <c r="EY32" s="110"/>
      <c r="EZ32" s="110"/>
      <c r="FA32" s="110"/>
      <c r="FB32" s="110"/>
      <c r="FC32" s="110"/>
      <c r="FD32" s="110"/>
      <c r="FE32" s="110"/>
      <c r="FF32" s="110"/>
      <c r="FG32" s="110"/>
      <c r="FH32" s="110"/>
      <c r="FI32" s="110"/>
      <c r="FJ32" s="110"/>
      <c r="FK32" s="110"/>
      <c r="FL32" s="110"/>
      <c r="FM32" s="110"/>
      <c r="FN32" s="110"/>
      <c r="FO32" s="110"/>
      <c r="FP32" s="110"/>
      <c r="FQ32" s="110"/>
      <c r="FR32" s="110"/>
      <c r="FS32" s="110"/>
      <c r="FT32" s="110"/>
      <c r="FU32" s="110"/>
      <c r="FV32" s="110"/>
      <c r="FW32" s="110"/>
      <c r="FX32" s="110"/>
      <c r="FY32" s="110"/>
      <c r="FZ32" s="110"/>
      <c r="GA32" s="110"/>
      <c r="GB32" s="110"/>
      <c r="GC32" s="110"/>
      <c r="GD32" s="110"/>
      <c r="GE32" s="110"/>
      <c r="GF32" s="110"/>
      <c r="GG32" s="110"/>
      <c r="GH32" s="110"/>
      <c r="GI32" s="110"/>
      <c r="GJ32" s="110"/>
      <c r="GK32" s="110"/>
      <c r="GL32" s="110"/>
      <c r="GM32" s="110"/>
      <c r="GN32" s="110"/>
      <c r="GO32" s="110"/>
      <c r="GP32" s="110"/>
      <c r="GQ32" s="110"/>
      <c r="GR32" s="110"/>
      <c r="GS32" s="110"/>
      <c r="GT32" s="110"/>
      <c r="GU32" s="110"/>
      <c r="GV32" s="110"/>
      <c r="GW32" s="110"/>
      <c r="GX32" s="110"/>
      <c r="GY32" s="110"/>
      <c r="GZ32" s="110"/>
      <c r="HA32" s="110"/>
      <c r="HB32" s="110"/>
      <c r="HC32" s="110"/>
      <c r="HD32" s="110"/>
      <c r="HE32" s="110"/>
      <c r="HF32" s="110"/>
      <c r="HG32" s="110"/>
      <c r="HH32" s="110"/>
      <c r="HI32" s="110"/>
      <c r="HJ32" s="110"/>
      <c r="HK32" s="110"/>
      <c r="HL32" s="110"/>
      <c r="HM32" s="110"/>
      <c r="HN32" s="110"/>
      <c r="HO32" s="110"/>
      <c r="HP32" s="110"/>
      <c r="HQ32" s="110"/>
      <c r="HR32" s="110"/>
      <c r="HS32" s="110"/>
      <c r="HT32" s="110"/>
      <c r="HU32" s="110"/>
      <c r="HV32" s="110"/>
      <c r="HW32" s="110"/>
      <c r="HX32" s="110"/>
      <c r="HY32" s="110"/>
      <c r="HZ32" s="110"/>
      <c r="IA32" s="110"/>
      <c r="IB32" s="110"/>
      <c r="IC32" s="110"/>
      <c r="ID32" s="110"/>
      <c r="IE32" s="110"/>
      <c r="IF32" s="110"/>
      <c r="IG32" s="110"/>
      <c r="IH32" s="110"/>
      <c r="II32" s="110"/>
      <c r="IJ32" s="110"/>
      <c r="IK32" s="110"/>
      <c r="IL32" s="110"/>
      <c r="IM32" s="110"/>
      <c r="IN32" s="110"/>
      <c r="IO32" s="110"/>
      <c r="IP32" s="110"/>
      <c r="IQ32" s="70"/>
    </row>
    <row r="33" spans="1:251" ht="16.5" hidden="1" customHeight="1">
      <c r="A33" s="95" t="s">
        <v>450</v>
      </c>
      <c r="B33" t="s">
        <v>1363</v>
      </c>
      <c r="C33" t="s">
        <v>450</v>
      </c>
      <c r="E33" t="s">
        <v>450</v>
      </c>
      <c r="F33" t="s">
        <v>1368</v>
      </c>
      <c r="G33" s="654"/>
      <c r="H33">
        <v>45</v>
      </c>
      <c r="J33" s="214" t="str">
        <f t="shared" si="0"/>
        <v>LTT100145</v>
      </c>
      <c r="K33">
        <v>36250</v>
      </c>
      <c r="M33" t="s">
        <v>1362</v>
      </c>
      <c r="N33">
        <v>1</v>
      </c>
      <c r="O33" s="682" t="str">
        <f t="shared" si="1"/>
        <v>LTT3001</v>
      </c>
      <c r="P33">
        <v>20000</v>
      </c>
      <c r="R33" s="95" t="s">
        <v>450</v>
      </c>
      <c r="V33" s="214"/>
      <c r="EE33" s="95" t="s">
        <v>450</v>
      </c>
      <c r="EF33" s="110"/>
      <c r="EG33" s="110"/>
      <c r="EH33" s="110"/>
      <c r="EI33" s="216"/>
      <c r="EJ33" s="110"/>
      <c r="EK33" s="110"/>
      <c r="EL33" s="110"/>
      <c r="EM33" s="110"/>
      <c r="EN33" s="110"/>
      <c r="EO33" s="110"/>
      <c r="EP33" s="110"/>
      <c r="EQ33" s="110"/>
      <c r="ER33" s="110"/>
      <c r="ES33" s="110"/>
      <c r="ET33" s="110"/>
      <c r="EU33" s="110"/>
      <c r="EV33" s="110"/>
      <c r="EW33" s="110"/>
      <c r="EX33" s="110"/>
      <c r="EY33" s="110"/>
      <c r="EZ33" s="110"/>
      <c r="FA33" s="110"/>
      <c r="FB33" s="110"/>
      <c r="FC33" s="110"/>
      <c r="FD33" s="110"/>
      <c r="FE33" s="110"/>
      <c r="FF33" s="110"/>
      <c r="FG33" s="110"/>
      <c r="FH33" s="110"/>
      <c r="FI33" s="110"/>
      <c r="FJ33" s="110"/>
      <c r="FK33" s="110"/>
      <c r="FL33" s="110"/>
      <c r="FM33" s="110"/>
      <c r="FN33" s="110"/>
      <c r="FO33" s="110"/>
      <c r="FP33" s="110"/>
      <c r="FQ33" s="110"/>
      <c r="FR33" s="110"/>
      <c r="FS33" s="110"/>
      <c r="FT33" s="110"/>
      <c r="FU33" s="110"/>
      <c r="FV33" s="110"/>
      <c r="FW33" s="110"/>
      <c r="FX33" s="110"/>
      <c r="FY33" s="110"/>
      <c r="FZ33" s="110"/>
      <c r="GA33" s="110"/>
      <c r="GB33" s="110"/>
      <c r="GC33" s="110"/>
      <c r="GD33" s="110"/>
      <c r="GE33" s="110"/>
      <c r="GF33" s="110"/>
      <c r="GG33" s="110"/>
      <c r="GH33" s="110"/>
      <c r="GI33" s="110"/>
      <c r="GJ33" s="110"/>
      <c r="GK33" s="110"/>
      <c r="GL33" s="110"/>
      <c r="GM33" s="110"/>
      <c r="GN33" s="110"/>
      <c r="GO33" s="110"/>
      <c r="GP33" s="110"/>
      <c r="GQ33" s="110"/>
      <c r="GR33" s="110"/>
      <c r="GS33" s="110"/>
      <c r="GT33" s="110"/>
      <c r="GU33" s="110"/>
      <c r="GV33" s="110"/>
      <c r="GW33" s="110"/>
      <c r="GX33" s="110"/>
      <c r="GY33" s="110"/>
      <c r="GZ33" s="110"/>
      <c r="HA33" s="110"/>
      <c r="HB33" s="110"/>
      <c r="HC33" s="110"/>
      <c r="HD33" s="110"/>
      <c r="HE33" s="110"/>
      <c r="HF33" s="110"/>
      <c r="HG33" s="110"/>
      <c r="HH33" s="110"/>
      <c r="HI33" s="110"/>
      <c r="HJ33" s="110"/>
      <c r="HK33" s="110"/>
      <c r="HL33" s="110"/>
      <c r="HM33" s="110"/>
      <c r="HN33" s="110"/>
      <c r="HO33" s="110"/>
      <c r="HP33" s="110"/>
      <c r="HQ33" s="110"/>
      <c r="HR33" s="110"/>
      <c r="HS33" s="110"/>
      <c r="HT33" s="110"/>
      <c r="HU33" s="110"/>
      <c r="HV33" s="110"/>
      <c r="HW33" s="110"/>
      <c r="HX33" s="110"/>
      <c r="HY33" s="110"/>
      <c r="HZ33" s="110"/>
      <c r="IA33" s="110"/>
      <c r="IB33" s="110"/>
      <c r="IC33" s="110"/>
      <c r="ID33" s="110"/>
      <c r="IE33" s="110"/>
      <c r="IF33" s="110"/>
      <c r="IG33" s="110"/>
      <c r="IH33" s="110"/>
      <c r="II33" s="110"/>
      <c r="IJ33" s="110"/>
      <c r="IK33" s="110"/>
      <c r="IL33" s="110"/>
      <c r="IM33" s="110"/>
      <c r="IN33" s="110"/>
      <c r="IO33" s="110"/>
      <c r="IP33" s="110"/>
      <c r="IQ33" s="70"/>
    </row>
    <row r="34" spans="1:251" ht="16.5" hidden="1" customHeight="1">
      <c r="A34" s="95" t="s">
        <v>450</v>
      </c>
      <c r="B34" t="s">
        <v>1363</v>
      </c>
      <c r="C34" t="s">
        <v>450</v>
      </c>
      <c r="E34" t="s">
        <v>450</v>
      </c>
      <c r="F34" t="s">
        <v>1368</v>
      </c>
      <c r="G34" s="654"/>
      <c r="H34">
        <v>46</v>
      </c>
      <c r="J34" s="214" t="str">
        <f t="shared" si="0"/>
        <v>LTT100146</v>
      </c>
      <c r="K34">
        <v>36950</v>
      </c>
      <c r="M34" t="s">
        <v>1362</v>
      </c>
      <c r="N34">
        <v>2</v>
      </c>
      <c r="O34" s="682" t="str">
        <f t="shared" si="1"/>
        <v>LTT3002</v>
      </c>
      <c r="P34">
        <v>20400</v>
      </c>
      <c r="R34" s="95" t="s">
        <v>450</v>
      </c>
      <c r="V34" s="214"/>
      <c r="EE34" s="95" t="s">
        <v>450</v>
      </c>
      <c r="EF34" s="110"/>
      <c r="EG34" s="110"/>
      <c r="EH34" s="110"/>
      <c r="EI34" s="216"/>
      <c r="EJ34" s="110"/>
      <c r="EK34" s="110"/>
      <c r="EL34" s="110"/>
      <c r="EM34" s="110"/>
      <c r="EN34" s="110"/>
      <c r="EO34" s="110"/>
      <c r="EP34" s="110"/>
      <c r="EQ34" s="110"/>
      <c r="ER34" s="110"/>
      <c r="ES34" s="110"/>
      <c r="ET34" s="110"/>
      <c r="EU34" s="110"/>
      <c r="EV34" s="110"/>
      <c r="EW34" s="110"/>
      <c r="EX34" s="110"/>
      <c r="EY34" s="110"/>
      <c r="EZ34" s="110"/>
      <c r="FA34" s="110"/>
      <c r="FB34" s="110"/>
      <c r="FC34" s="110"/>
      <c r="FD34" s="110"/>
      <c r="FE34" s="110"/>
      <c r="FF34" s="110"/>
      <c r="FG34" s="110"/>
      <c r="FH34" s="110"/>
      <c r="FI34" s="110"/>
      <c r="FJ34" s="110"/>
      <c r="FK34" s="110"/>
      <c r="FL34" s="110"/>
      <c r="FM34" s="110"/>
      <c r="FN34" s="110"/>
      <c r="FO34" s="110"/>
      <c r="FP34" s="110"/>
      <c r="FQ34" s="110"/>
      <c r="FR34" s="110"/>
      <c r="FS34" s="110"/>
      <c r="FT34" s="110"/>
      <c r="FU34" s="110"/>
      <c r="FV34" s="110"/>
      <c r="FW34" s="110"/>
      <c r="FX34" s="110"/>
      <c r="FY34" s="110"/>
      <c r="FZ34" s="110"/>
      <c r="GA34" s="110"/>
      <c r="GB34" s="110"/>
      <c r="GC34" s="110"/>
      <c r="GD34" s="110"/>
      <c r="GE34" s="110"/>
      <c r="GF34" s="110"/>
      <c r="GG34" s="110"/>
      <c r="GH34" s="110"/>
      <c r="GI34" s="110"/>
      <c r="GJ34" s="110"/>
      <c r="GK34" s="110"/>
      <c r="GL34" s="110"/>
      <c r="GM34" s="110"/>
      <c r="GN34" s="110"/>
      <c r="GO34" s="110"/>
      <c r="GP34" s="110"/>
      <c r="GQ34" s="110"/>
      <c r="GR34" s="110"/>
      <c r="GS34" s="110"/>
      <c r="GT34" s="110"/>
      <c r="GU34" s="110"/>
      <c r="GV34" s="110"/>
      <c r="GW34" s="110"/>
      <c r="GX34" s="110"/>
      <c r="GY34" s="110"/>
      <c r="GZ34" s="110"/>
      <c r="HA34" s="110"/>
      <c r="HB34" s="110"/>
      <c r="HC34" s="110"/>
      <c r="HD34" s="110"/>
      <c r="HE34" s="110"/>
      <c r="HF34" s="110"/>
      <c r="HG34" s="110"/>
      <c r="HH34" s="110"/>
      <c r="HI34" s="110"/>
      <c r="HJ34" s="110"/>
      <c r="HK34" s="110"/>
      <c r="HL34" s="110"/>
      <c r="HM34" s="110"/>
      <c r="HN34" s="110"/>
      <c r="HO34" s="110"/>
      <c r="HP34" s="110"/>
      <c r="HQ34" s="110"/>
      <c r="HR34" s="110"/>
      <c r="HS34" s="110"/>
      <c r="HT34" s="110"/>
      <c r="HU34" s="110"/>
      <c r="HV34" s="110"/>
      <c r="HW34" s="110"/>
      <c r="HX34" s="110"/>
      <c r="HY34" s="110"/>
      <c r="HZ34" s="110"/>
      <c r="IA34" s="110"/>
      <c r="IB34" s="110"/>
      <c r="IC34" s="110"/>
      <c r="ID34" s="110"/>
      <c r="IE34" s="110"/>
      <c r="IF34" s="110"/>
      <c r="IG34" s="110"/>
      <c r="IH34" s="110"/>
      <c r="II34" s="110"/>
      <c r="IJ34" s="110"/>
      <c r="IK34" s="110"/>
      <c r="IL34" s="110"/>
      <c r="IM34" s="110"/>
      <c r="IN34" s="110"/>
      <c r="IO34" s="110"/>
      <c r="IP34" s="110"/>
      <c r="IQ34" s="70"/>
    </row>
    <row r="35" spans="1:251" ht="16.5" hidden="1" customHeight="1">
      <c r="A35" s="95" t="s">
        <v>450</v>
      </c>
      <c r="B35" t="s">
        <v>1363</v>
      </c>
      <c r="C35" t="s">
        <v>450</v>
      </c>
      <c r="E35" t="s">
        <v>450</v>
      </c>
      <c r="F35" t="s">
        <v>1368</v>
      </c>
      <c r="G35" s="654"/>
      <c r="H35">
        <v>47</v>
      </c>
      <c r="J35" s="214" t="str">
        <f t="shared" si="0"/>
        <v>LTT100147</v>
      </c>
      <c r="K35">
        <v>37680</v>
      </c>
      <c r="M35" t="s">
        <v>1362</v>
      </c>
      <c r="N35">
        <v>3</v>
      </c>
      <c r="O35" s="682" t="str">
        <f t="shared" si="1"/>
        <v>LTT3003</v>
      </c>
      <c r="P35">
        <v>20800</v>
      </c>
      <c r="R35" s="95" t="s">
        <v>450</v>
      </c>
      <c r="V35" s="214"/>
      <c r="EE35" s="95" t="s">
        <v>450</v>
      </c>
      <c r="EF35" s="110"/>
      <c r="EG35" s="110"/>
      <c r="EH35" s="110"/>
      <c r="EI35" s="216"/>
      <c r="EJ35" s="110"/>
      <c r="EK35" s="110"/>
      <c r="EL35" s="110"/>
      <c r="EM35" s="110"/>
      <c r="EN35" s="110"/>
      <c r="EO35" s="110"/>
      <c r="EP35" s="110"/>
      <c r="EQ35" s="110"/>
      <c r="ER35" s="110"/>
      <c r="ES35" s="110"/>
      <c r="ET35" s="110"/>
      <c r="EU35" s="110"/>
      <c r="EV35" s="110"/>
      <c r="EW35" s="110"/>
      <c r="EX35" s="110"/>
      <c r="EY35" s="110"/>
      <c r="EZ35" s="110"/>
      <c r="FA35" s="110"/>
      <c r="FB35" s="110"/>
      <c r="FC35" s="110"/>
      <c r="FD35" s="110"/>
      <c r="FE35" s="110"/>
      <c r="FF35" s="110"/>
      <c r="FG35" s="110"/>
      <c r="FH35" s="110"/>
      <c r="FI35" s="110"/>
      <c r="FJ35" s="110"/>
      <c r="FK35" s="110"/>
      <c r="FL35" s="110"/>
      <c r="FM35" s="110"/>
      <c r="FN35" s="110"/>
      <c r="FO35" s="110"/>
      <c r="FP35" s="110"/>
      <c r="FQ35" s="110"/>
      <c r="FR35" s="110"/>
      <c r="FS35" s="110"/>
      <c r="FT35" s="110"/>
      <c r="FU35" s="110"/>
      <c r="FV35" s="110"/>
      <c r="FW35" s="110"/>
      <c r="FX35" s="110"/>
      <c r="FY35" s="110"/>
      <c r="FZ35" s="110"/>
      <c r="GA35" s="110"/>
      <c r="GB35" s="110"/>
      <c r="GC35" s="110"/>
      <c r="GD35" s="110"/>
      <c r="GE35" s="110"/>
      <c r="GF35" s="110"/>
      <c r="GG35" s="110"/>
      <c r="GH35" s="110"/>
      <c r="GI35" s="110"/>
      <c r="GJ35" s="110"/>
      <c r="GK35" s="110"/>
      <c r="GL35" s="110"/>
      <c r="GM35" s="110"/>
      <c r="GN35" s="110"/>
      <c r="GO35" s="110"/>
      <c r="GP35" s="110"/>
      <c r="GQ35" s="110"/>
      <c r="GR35" s="110"/>
      <c r="GS35" s="110"/>
      <c r="GT35" s="110"/>
      <c r="GU35" s="110"/>
      <c r="GV35" s="110"/>
      <c r="GW35" s="110"/>
      <c r="GX35" s="110"/>
      <c r="GY35" s="110"/>
      <c r="GZ35" s="110"/>
      <c r="HA35" s="110"/>
      <c r="HB35" s="110"/>
      <c r="HC35" s="110"/>
      <c r="HD35" s="110"/>
      <c r="HE35" s="110"/>
      <c r="HF35" s="110"/>
      <c r="HG35" s="110"/>
      <c r="HH35" s="110"/>
      <c r="HI35" s="110"/>
      <c r="HJ35" s="110"/>
      <c r="HK35" s="110"/>
      <c r="HL35" s="110"/>
      <c r="HM35" s="110"/>
      <c r="HN35" s="110"/>
      <c r="HO35" s="110"/>
      <c r="HP35" s="110"/>
      <c r="HQ35" s="110"/>
      <c r="HR35" s="110"/>
      <c r="HS35" s="110"/>
      <c r="HT35" s="110"/>
      <c r="HU35" s="110"/>
      <c r="HV35" s="110"/>
      <c r="HW35" s="110"/>
      <c r="HX35" s="110"/>
      <c r="HY35" s="110"/>
      <c r="HZ35" s="110"/>
      <c r="IA35" s="110"/>
      <c r="IB35" s="110"/>
      <c r="IC35" s="110"/>
      <c r="ID35" s="110"/>
      <c r="IE35" s="110"/>
      <c r="IF35" s="110"/>
      <c r="IG35" s="110"/>
      <c r="IH35" s="110"/>
      <c r="II35" s="110"/>
      <c r="IJ35" s="110"/>
      <c r="IK35" s="110"/>
      <c r="IL35" s="110"/>
      <c r="IM35" s="110"/>
      <c r="IN35" s="110"/>
      <c r="IO35" s="110"/>
      <c r="IP35" s="110"/>
      <c r="IQ35" s="70"/>
    </row>
    <row r="36" spans="1:251" ht="16.5" hidden="1" customHeight="1">
      <c r="A36" s="95" t="s">
        <v>450</v>
      </c>
      <c r="B36" t="s">
        <v>1363</v>
      </c>
      <c r="C36" t="s">
        <v>450</v>
      </c>
      <c r="E36" t="s">
        <v>450</v>
      </c>
      <c r="F36" t="s">
        <v>1368</v>
      </c>
      <c r="G36" s="654"/>
      <c r="H36">
        <v>48</v>
      </c>
      <c r="J36" s="214" t="str">
        <f t="shared" si="0"/>
        <v>LTT100148</v>
      </c>
      <c r="K36">
        <v>38450</v>
      </c>
      <c r="M36" t="s">
        <v>1362</v>
      </c>
      <c r="N36">
        <v>4</v>
      </c>
      <c r="O36" s="682" t="str">
        <f t="shared" si="1"/>
        <v>LTT3004</v>
      </c>
      <c r="P36">
        <v>21200</v>
      </c>
      <c r="R36" s="95" t="s">
        <v>450</v>
      </c>
      <c r="V36" s="214"/>
      <c r="EE36" s="95" t="s">
        <v>450</v>
      </c>
      <c r="EF36" s="110"/>
      <c r="EG36" s="110"/>
      <c r="EH36" s="110"/>
      <c r="EI36" s="216"/>
      <c r="EJ36" s="110"/>
      <c r="EK36" s="110"/>
      <c r="EL36" s="110"/>
      <c r="EM36" s="110"/>
      <c r="EN36" s="110"/>
      <c r="EO36" s="110"/>
      <c r="EP36" s="110"/>
      <c r="EQ36" s="110"/>
      <c r="ER36" s="110"/>
      <c r="ES36" s="110"/>
      <c r="ET36" s="110"/>
      <c r="EU36" s="110"/>
      <c r="EV36" s="110"/>
      <c r="EW36" s="110"/>
      <c r="EX36" s="110"/>
      <c r="EY36" s="110"/>
      <c r="EZ36" s="110"/>
      <c r="FA36" s="110"/>
      <c r="FB36" s="110"/>
      <c r="FC36" s="110"/>
      <c r="FD36" s="110"/>
      <c r="FE36" s="110"/>
      <c r="FF36" s="110"/>
      <c r="FG36" s="110"/>
      <c r="FH36" s="110"/>
      <c r="FI36" s="110"/>
      <c r="FJ36" s="110"/>
      <c r="FK36" s="110"/>
      <c r="FL36" s="110"/>
      <c r="FM36" s="110"/>
      <c r="FN36" s="110"/>
      <c r="FO36" s="110"/>
      <c r="FP36" s="110"/>
      <c r="FQ36" s="110"/>
      <c r="FR36" s="110"/>
      <c r="FS36" s="110"/>
      <c r="FT36" s="110"/>
      <c r="FU36" s="110"/>
      <c r="FV36" s="110"/>
      <c r="FW36" s="110"/>
      <c r="FX36" s="110"/>
      <c r="FY36" s="110"/>
      <c r="FZ36" s="110"/>
      <c r="GA36" s="110"/>
      <c r="GB36" s="110"/>
      <c r="GC36" s="110"/>
      <c r="GD36" s="110"/>
      <c r="GE36" s="110"/>
      <c r="GF36" s="110"/>
      <c r="GG36" s="110"/>
      <c r="GH36" s="110"/>
      <c r="GI36" s="110"/>
      <c r="GJ36" s="110"/>
      <c r="GK36" s="110"/>
      <c r="GL36" s="110"/>
      <c r="GM36" s="110"/>
      <c r="GN36" s="110"/>
      <c r="GO36" s="110"/>
      <c r="GP36" s="110"/>
      <c r="GQ36" s="110"/>
      <c r="GR36" s="110"/>
      <c r="GS36" s="110"/>
      <c r="GT36" s="110"/>
      <c r="GU36" s="110"/>
      <c r="GV36" s="110"/>
      <c r="GW36" s="110"/>
      <c r="GX36" s="110"/>
      <c r="GY36" s="110"/>
      <c r="GZ36" s="110"/>
      <c r="HA36" s="110"/>
      <c r="HB36" s="110"/>
      <c r="HC36" s="110"/>
      <c r="HD36" s="110"/>
      <c r="HE36" s="110"/>
      <c r="HF36" s="110"/>
      <c r="HG36" s="110"/>
      <c r="HH36" s="110"/>
      <c r="HI36" s="110"/>
      <c r="HJ36" s="110"/>
      <c r="HK36" s="110"/>
      <c r="HL36" s="110"/>
      <c r="HM36" s="110"/>
      <c r="HN36" s="110"/>
      <c r="HO36" s="110"/>
      <c r="HP36" s="110"/>
      <c r="HQ36" s="110"/>
      <c r="HR36" s="110"/>
      <c r="HS36" s="110"/>
      <c r="HT36" s="110"/>
      <c r="HU36" s="110"/>
      <c r="HV36" s="110"/>
      <c r="HW36" s="110"/>
      <c r="HX36" s="110"/>
      <c r="HY36" s="110"/>
      <c r="HZ36" s="110"/>
      <c r="IA36" s="110"/>
      <c r="IB36" s="110"/>
      <c r="IC36" s="110"/>
      <c r="ID36" s="110"/>
      <c r="IE36" s="110"/>
      <c r="IF36" s="110"/>
      <c r="IG36" s="110"/>
      <c r="IH36" s="110"/>
      <c r="II36" s="110"/>
      <c r="IJ36" s="110"/>
      <c r="IK36" s="110"/>
      <c r="IL36" s="110"/>
      <c r="IM36" s="110"/>
      <c r="IN36" s="110"/>
      <c r="IO36" s="110"/>
      <c r="IP36" s="110"/>
      <c r="IQ36" s="70"/>
    </row>
    <row r="37" spans="1:251" ht="16.5" hidden="1" customHeight="1">
      <c r="A37" s="95" t="s">
        <v>450</v>
      </c>
      <c r="B37" t="s">
        <v>1363</v>
      </c>
      <c r="C37" t="s">
        <v>450</v>
      </c>
      <c r="E37" t="s">
        <v>450</v>
      </c>
      <c r="F37" t="s">
        <v>1368</v>
      </c>
      <c r="G37" s="654"/>
      <c r="H37">
        <v>49</v>
      </c>
      <c r="J37" s="214" t="str">
        <f t="shared" si="0"/>
        <v>LTT100149</v>
      </c>
      <c r="K37">
        <v>39230</v>
      </c>
      <c r="M37" t="s">
        <v>1362</v>
      </c>
      <c r="N37">
        <v>5</v>
      </c>
      <c r="O37" s="682" t="str">
        <f t="shared" si="1"/>
        <v>LTT3005</v>
      </c>
      <c r="P37">
        <v>21600</v>
      </c>
      <c r="R37" s="95" t="s">
        <v>450</v>
      </c>
      <c r="V37" s="214"/>
      <c r="EE37" s="95" t="s">
        <v>450</v>
      </c>
      <c r="EF37" s="110"/>
      <c r="EG37" s="110"/>
      <c r="EH37" s="110"/>
      <c r="EI37" s="216"/>
      <c r="EJ37" s="110"/>
      <c r="EK37" s="110"/>
      <c r="EL37" s="110"/>
      <c r="EM37" s="110"/>
      <c r="EN37" s="110"/>
      <c r="EO37" s="110"/>
      <c r="EP37" s="110"/>
      <c r="EQ37" s="110"/>
      <c r="ER37" s="110"/>
      <c r="ES37" s="110"/>
      <c r="ET37" s="110"/>
      <c r="EU37" s="110"/>
      <c r="EV37" s="110"/>
      <c r="EW37" s="110"/>
      <c r="EX37" s="110"/>
      <c r="EY37" s="110"/>
      <c r="EZ37" s="110"/>
      <c r="FA37" s="110"/>
      <c r="FB37" s="110"/>
      <c r="FC37" s="110"/>
      <c r="FD37" s="110"/>
      <c r="FE37" s="110"/>
      <c r="FF37" s="110"/>
      <c r="FG37" s="110"/>
      <c r="FH37" s="110"/>
      <c r="FI37" s="110"/>
      <c r="FJ37" s="110"/>
      <c r="FK37" s="110"/>
      <c r="FL37" s="110"/>
      <c r="FM37" s="110"/>
      <c r="FN37" s="110"/>
      <c r="FO37" s="110"/>
      <c r="FP37" s="110"/>
      <c r="FQ37" s="110"/>
      <c r="FR37" s="110"/>
      <c r="FS37" s="110"/>
      <c r="FT37" s="110"/>
      <c r="FU37" s="110"/>
      <c r="FV37" s="110"/>
      <c r="FW37" s="110"/>
      <c r="FX37" s="110"/>
      <c r="FY37" s="110"/>
      <c r="FZ37" s="110"/>
      <c r="GA37" s="110"/>
      <c r="GB37" s="110"/>
      <c r="GC37" s="110"/>
      <c r="GD37" s="110"/>
      <c r="GE37" s="110"/>
      <c r="GF37" s="110"/>
      <c r="GG37" s="110"/>
      <c r="GH37" s="110"/>
      <c r="GI37" s="110"/>
      <c r="GJ37" s="110"/>
      <c r="GK37" s="110"/>
      <c r="GL37" s="110"/>
      <c r="GM37" s="110"/>
      <c r="GN37" s="110"/>
      <c r="GO37" s="110"/>
      <c r="GP37" s="110"/>
      <c r="GQ37" s="110"/>
      <c r="GR37" s="110"/>
      <c r="GS37" s="110"/>
      <c r="GT37" s="110"/>
      <c r="GU37" s="110"/>
      <c r="GV37" s="110"/>
      <c r="GW37" s="110"/>
      <c r="GX37" s="110"/>
      <c r="GY37" s="110"/>
      <c r="GZ37" s="110"/>
      <c r="HA37" s="110"/>
      <c r="HB37" s="110"/>
      <c r="HC37" s="110"/>
      <c r="HD37" s="110"/>
      <c r="HE37" s="110"/>
      <c r="HF37" s="110"/>
      <c r="HG37" s="110"/>
      <c r="HH37" s="110"/>
      <c r="HI37" s="110"/>
      <c r="HJ37" s="110"/>
      <c r="HK37" s="110"/>
      <c r="HL37" s="110"/>
      <c r="HM37" s="110"/>
      <c r="HN37" s="110"/>
      <c r="HO37" s="110"/>
      <c r="HP37" s="110"/>
      <c r="HQ37" s="110"/>
      <c r="HR37" s="110"/>
      <c r="HS37" s="110"/>
      <c r="HT37" s="110"/>
      <c r="HU37" s="110"/>
      <c r="HV37" s="110"/>
      <c r="HW37" s="110"/>
      <c r="HX37" s="110"/>
      <c r="HY37" s="110"/>
      <c r="HZ37" s="110"/>
      <c r="IA37" s="110"/>
      <c r="IB37" s="110"/>
      <c r="IC37" s="110"/>
      <c r="ID37" s="110"/>
      <c r="IE37" s="110"/>
      <c r="IF37" s="110"/>
      <c r="IG37" s="110"/>
      <c r="IH37" s="110"/>
      <c r="II37" s="110"/>
      <c r="IJ37" s="110"/>
      <c r="IK37" s="110"/>
      <c r="IL37" s="110"/>
      <c r="IM37" s="110"/>
      <c r="IN37" s="110"/>
      <c r="IO37" s="110"/>
      <c r="IP37" s="110"/>
      <c r="IQ37" s="70"/>
    </row>
    <row r="38" spans="1:251" ht="16.5" hidden="1" customHeight="1">
      <c r="A38" s="95" t="s">
        <v>450</v>
      </c>
      <c r="B38" t="s">
        <v>1363</v>
      </c>
      <c r="C38" t="s">
        <v>450</v>
      </c>
      <c r="E38" t="s">
        <v>450</v>
      </c>
      <c r="F38" t="s">
        <v>1368</v>
      </c>
      <c r="G38" s="654"/>
      <c r="H38">
        <v>50</v>
      </c>
      <c r="J38" s="214" t="str">
        <f t="shared" si="0"/>
        <v>LTT100150</v>
      </c>
      <c r="K38">
        <v>40010</v>
      </c>
      <c r="M38" t="s">
        <v>1362</v>
      </c>
      <c r="N38">
        <v>6</v>
      </c>
      <c r="O38" s="682" t="str">
        <f t="shared" si="1"/>
        <v>LTT3006</v>
      </c>
      <c r="P38">
        <v>22000</v>
      </c>
      <c r="R38" s="95" t="s">
        <v>450</v>
      </c>
      <c r="V38" s="214"/>
      <c r="EE38" s="95" t="s">
        <v>450</v>
      </c>
      <c r="EF38" s="110"/>
      <c r="EG38" s="110"/>
      <c r="EH38" s="110"/>
      <c r="EI38" s="216"/>
      <c r="EJ38" s="110"/>
      <c r="EK38" s="110"/>
      <c r="EL38" s="110"/>
      <c r="EM38" s="110"/>
      <c r="EN38" s="110"/>
      <c r="EO38" s="110"/>
      <c r="EP38" s="110"/>
      <c r="EQ38" s="110"/>
      <c r="ER38" s="110"/>
      <c r="ES38" s="110"/>
      <c r="ET38" s="110"/>
      <c r="EU38" s="110"/>
      <c r="EV38" s="110"/>
      <c r="EW38" s="110"/>
      <c r="EX38" s="110"/>
      <c r="EY38" s="110"/>
      <c r="EZ38" s="110"/>
      <c r="FA38" s="110"/>
      <c r="FB38" s="110"/>
      <c r="FC38" s="110"/>
      <c r="FD38" s="110"/>
      <c r="FE38" s="110"/>
      <c r="FF38" s="110"/>
      <c r="FG38" s="110"/>
      <c r="FH38" s="110"/>
      <c r="FI38" s="110"/>
      <c r="FJ38" s="110"/>
      <c r="FK38" s="110"/>
      <c r="FL38" s="110"/>
      <c r="FM38" s="110"/>
      <c r="FN38" s="110"/>
      <c r="FO38" s="110"/>
      <c r="FP38" s="110"/>
      <c r="FQ38" s="110"/>
      <c r="FR38" s="110"/>
      <c r="FS38" s="110"/>
      <c r="FT38" s="110"/>
      <c r="FU38" s="110"/>
      <c r="FV38" s="110"/>
      <c r="FW38" s="110"/>
      <c r="FX38" s="110"/>
      <c r="FY38" s="110"/>
      <c r="FZ38" s="110"/>
      <c r="GA38" s="110"/>
      <c r="GB38" s="110"/>
      <c r="GC38" s="110"/>
      <c r="GD38" s="110"/>
      <c r="GE38" s="110"/>
      <c r="GF38" s="110"/>
      <c r="GG38" s="110"/>
      <c r="GH38" s="110"/>
      <c r="GI38" s="110"/>
      <c r="GJ38" s="110"/>
      <c r="GK38" s="110"/>
      <c r="GL38" s="110"/>
      <c r="GM38" s="110"/>
      <c r="GN38" s="110"/>
      <c r="GO38" s="110"/>
      <c r="GP38" s="110"/>
      <c r="GQ38" s="110"/>
      <c r="GR38" s="110"/>
      <c r="GS38" s="110"/>
      <c r="GT38" s="110"/>
      <c r="GU38" s="110"/>
      <c r="GV38" s="110"/>
      <c r="GW38" s="110"/>
      <c r="GX38" s="110"/>
      <c r="GY38" s="110"/>
      <c r="GZ38" s="110"/>
      <c r="HA38" s="110"/>
      <c r="HB38" s="110"/>
      <c r="HC38" s="110"/>
      <c r="HD38" s="110"/>
      <c r="HE38" s="110"/>
      <c r="HF38" s="110"/>
      <c r="HG38" s="110"/>
      <c r="HH38" s="110"/>
      <c r="HI38" s="110"/>
      <c r="HJ38" s="110"/>
      <c r="HK38" s="110"/>
      <c r="HL38" s="110"/>
      <c r="HM38" s="110"/>
      <c r="HN38" s="110"/>
      <c r="HO38" s="110"/>
      <c r="HP38" s="110"/>
      <c r="HQ38" s="110"/>
      <c r="HR38" s="110"/>
      <c r="HS38" s="110"/>
      <c r="HT38" s="110"/>
      <c r="HU38" s="110"/>
      <c r="HV38" s="110"/>
      <c r="HW38" s="110"/>
      <c r="HX38" s="110"/>
      <c r="HY38" s="110"/>
      <c r="HZ38" s="110"/>
      <c r="IA38" s="110"/>
      <c r="IB38" s="110"/>
      <c r="IC38" s="110"/>
      <c r="ID38" s="110"/>
      <c r="IE38" s="110"/>
      <c r="IF38" s="110"/>
      <c r="IG38" s="110"/>
      <c r="IH38" s="110"/>
      <c r="II38" s="110"/>
      <c r="IJ38" s="110"/>
      <c r="IK38" s="110"/>
      <c r="IL38" s="110"/>
      <c r="IM38" s="110"/>
      <c r="IN38" s="110"/>
      <c r="IO38" s="110"/>
      <c r="IP38" s="110"/>
      <c r="IQ38" s="70"/>
    </row>
    <row r="39" spans="1:251" ht="16.5" hidden="1" customHeight="1">
      <c r="A39" s="95" t="s">
        <v>450</v>
      </c>
      <c r="B39" t="s">
        <v>1363</v>
      </c>
      <c r="C39" t="s">
        <v>450</v>
      </c>
      <c r="E39" t="s">
        <v>450</v>
      </c>
      <c r="F39" t="s">
        <v>1368</v>
      </c>
      <c r="G39" s="654"/>
      <c r="H39">
        <v>51</v>
      </c>
      <c r="J39" s="214" t="str">
        <f t="shared" si="0"/>
        <v>LTT100151</v>
      </c>
      <c r="K39">
        <v>40750</v>
      </c>
      <c r="M39" t="s">
        <v>1362</v>
      </c>
      <c r="N39">
        <v>7</v>
      </c>
      <c r="O39" s="682" t="str">
        <f t="shared" si="1"/>
        <v>LTT3007</v>
      </c>
      <c r="P39">
        <v>22400</v>
      </c>
      <c r="R39" s="95" t="s">
        <v>450</v>
      </c>
      <c r="V39" s="214"/>
      <c r="EE39" s="95" t="s">
        <v>450</v>
      </c>
      <c r="EF39" s="110"/>
      <c r="EG39" s="110"/>
      <c r="EH39" s="110"/>
      <c r="EI39" s="216"/>
      <c r="EJ39" s="110"/>
      <c r="EK39" s="110"/>
      <c r="EL39" s="110"/>
      <c r="EM39" s="110"/>
      <c r="EN39" s="110"/>
      <c r="EO39" s="110"/>
      <c r="EP39" s="110"/>
      <c r="EQ39" s="110"/>
      <c r="ER39" s="110"/>
      <c r="ES39" s="110"/>
      <c r="ET39" s="110"/>
      <c r="EU39" s="110"/>
      <c r="EV39" s="110"/>
      <c r="EW39" s="110"/>
      <c r="EX39" s="110"/>
      <c r="EY39" s="110"/>
      <c r="EZ39" s="110"/>
      <c r="FA39" s="110"/>
      <c r="FB39" s="110"/>
      <c r="FC39" s="110"/>
      <c r="FD39" s="110"/>
      <c r="FE39" s="110"/>
      <c r="FF39" s="110"/>
      <c r="FG39" s="110"/>
      <c r="FH39" s="110"/>
      <c r="FI39" s="110"/>
      <c r="FJ39" s="110"/>
      <c r="FK39" s="110"/>
      <c r="FL39" s="110"/>
      <c r="FM39" s="110"/>
      <c r="FN39" s="110"/>
      <c r="FO39" s="110"/>
      <c r="FP39" s="110"/>
      <c r="FQ39" s="110"/>
      <c r="FR39" s="110"/>
      <c r="FS39" s="110"/>
      <c r="FT39" s="110"/>
      <c r="FU39" s="110"/>
      <c r="FV39" s="110"/>
      <c r="FW39" s="110"/>
      <c r="FX39" s="110"/>
      <c r="FY39" s="110"/>
      <c r="FZ39" s="110"/>
      <c r="GA39" s="110"/>
      <c r="GB39" s="110"/>
      <c r="GC39" s="110"/>
      <c r="GD39" s="110"/>
      <c r="GE39" s="110"/>
      <c r="GF39" s="110"/>
      <c r="GG39" s="110"/>
      <c r="GH39" s="110"/>
      <c r="GI39" s="110"/>
      <c r="GJ39" s="110"/>
      <c r="GK39" s="110"/>
      <c r="GL39" s="110"/>
      <c r="GM39" s="110"/>
      <c r="GN39" s="110"/>
      <c r="GO39" s="110"/>
      <c r="GP39" s="110"/>
      <c r="GQ39" s="110"/>
      <c r="GR39" s="110"/>
      <c r="GS39" s="110"/>
      <c r="GT39" s="110"/>
      <c r="GU39" s="110"/>
      <c r="GV39" s="110"/>
      <c r="GW39" s="110"/>
      <c r="GX39" s="110"/>
      <c r="GY39" s="110"/>
      <c r="GZ39" s="110"/>
      <c r="HA39" s="110"/>
      <c r="HB39" s="110"/>
      <c r="HC39" s="110"/>
      <c r="HD39" s="110"/>
      <c r="HE39" s="110"/>
      <c r="HF39" s="110"/>
      <c r="HG39" s="110"/>
      <c r="HH39" s="110"/>
      <c r="HI39" s="110"/>
      <c r="HJ39" s="110"/>
      <c r="HK39" s="110"/>
      <c r="HL39" s="110"/>
      <c r="HM39" s="110"/>
      <c r="HN39" s="110"/>
      <c r="HO39" s="110"/>
      <c r="HP39" s="110"/>
      <c r="HQ39" s="110"/>
      <c r="HR39" s="110"/>
      <c r="HS39" s="110"/>
      <c r="HT39" s="110"/>
      <c r="HU39" s="110"/>
      <c r="HV39" s="110"/>
      <c r="HW39" s="110"/>
      <c r="HX39" s="110"/>
      <c r="HY39" s="110"/>
      <c r="HZ39" s="110"/>
      <c r="IA39" s="110"/>
      <c r="IB39" s="110"/>
      <c r="IC39" s="110"/>
      <c r="ID39" s="110"/>
      <c r="IE39" s="110"/>
      <c r="IF39" s="110"/>
      <c r="IG39" s="110"/>
      <c r="IH39" s="110"/>
      <c r="II39" s="110"/>
      <c r="IJ39" s="110"/>
      <c r="IK39" s="110"/>
      <c r="IL39" s="110"/>
      <c r="IM39" s="110"/>
      <c r="IN39" s="110"/>
      <c r="IO39" s="110"/>
      <c r="IP39" s="110"/>
      <c r="IQ39" s="70"/>
    </row>
    <row r="40" spans="1:251" ht="16.5" hidden="1" customHeight="1">
      <c r="A40" s="95" t="s">
        <v>450</v>
      </c>
      <c r="B40" t="s">
        <v>1363</v>
      </c>
      <c r="C40" t="s">
        <v>450</v>
      </c>
      <c r="E40" t="s">
        <v>450</v>
      </c>
      <c r="F40" t="s">
        <v>1368</v>
      </c>
      <c r="G40" s="654"/>
      <c r="H40">
        <v>52</v>
      </c>
      <c r="J40" s="214" t="str">
        <f t="shared" si="0"/>
        <v>LTT100152</v>
      </c>
      <c r="K40">
        <v>41580</v>
      </c>
      <c r="M40" t="s">
        <v>1362</v>
      </c>
      <c r="N40">
        <v>8</v>
      </c>
      <c r="O40" s="682" t="str">
        <f t="shared" si="1"/>
        <v>LTT3008</v>
      </c>
      <c r="P40">
        <v>22800</v>
      </c>
      <c r="R40" s="95" t="s">
        <v>450</v>
      </c>
      <c r="V40" s="214"/>
      <c r="EE40" s="95" t="s">
        <v>450</v>
      </c>
      <c r="EF40" s="110"/>
      <c r="EG40" s="110"/>
      <c r="EH40" s="110"/>
      <c r="EI40" s="216"/>
      <c r="EJ40" s="110"/>
      <c r="EK40" s="110"/>
      <c r="EL40" s="110"/>
      <c r="EM40" s="110"/>
      <c r="EN40" s="110"/>
      <c r="EO40" s="110"/>
      <c r="EP40" s="110"/>
      <c r="EQ40" s="110"/>
      <c r="ER40" s="110"/>
      <c r="ES40" s="110"/>
      <c r="ET40" s="110"/>
      <c r="EU40" s="110"/>
      <c r="EV40" s="110"/>
      <c r="EW40" s="110"/>
      <c r="EX40" s="110"/>
      <c r="EY40" s="110"/>
      <c r="EZ40" s="110"/>
      <c r="FA40" s="110"/>
      <c r="FB40" s="110"/>
      <c r="FC40" s="110"/>
      <c r="FD40" s="110"/>
      <c r="FE40" s="110"/>
      <c r="FF40" s="110"/>
      <c r="FG40" s="110"/>
      <c r="FH40" s="110"/>
      <c r="FI40" s="110"/>
      <c r="FJ40" s="110"/>
      <c r="FK40" s="110"/>
      <c r="FL40" s="110"/>
      <c r="FM40" s="110"/>
      <c r="FN40" s="110"/>
      <c r="FO40" s="110"/>
      <c r="FP40" s="110"/>
      <c r="FQ40" s="110"/>
      <c r="FR40" s="110"/>
      <c r="FS40" s="110"/>
      <c r="FT40" s="110"/>
      <c r="FU40" s="110"/>
      <c r="FV40" s="110"/>
      <c r="FW40" s="110"/>
      <c r="FX40" s="110"/>
      <c r="FY40" s="110"/>
      <c r="FZ40" s="110"/>
      <c r="GA40" s="110"/>
      <c r="GB40" s="110"/>
      <c r="GC40" s="110"/>
      <c r="GD40" s="110"/>
      <c r="GE40" s="110"/>
      <c r="GF40" s="110"/>
      <c r="GG40" s="110"/>
      <c r="GH40" s="110"/>
      <c r="GI40" s="110"/>
      <c r="GJ40" s="110"/>
      <c r="GK40" s="110"/>
      <c r="GL40" s="110"/>
      <c r="GM40" s="110"/>
      <c r="GN40" s="110"/>
      <c r="GO40" s="110"/>
      <c r="GP40" s="110"/>
      <c r="GQ40" s="110"/>
      <c r="GR40" s="110"/>
      <c r="GS40" s="110"/>
      <c r="GT40" s="110"/>
      <c r="GU40" s="110"/>
      <c r="GV40" s="110"/>
      <c r="GW40" s="110"/>
      <c r="GX40" s="110"/>
      <c r="GY40" s="110"/>
      <c r="GZ40" s="110"/>
      <c r="HA40" s="110"/>
      <c r="HB40" s="110"/>
      <c r="HC40" s="110"/>
      <c r="HD40" s="110"/>
      <c r="HE40" s="110"/>
      <c r="HF40" s="110"/>
      <c r="HG40" s="110"/>
      <c r="HH40" s="110"/>
      <c r="HI40" s="110"/>
      <c r="HJ40" s="110"/>
      <c r="HK40" s="110"/>
      <c r="HL40" s="110"/>
      <c r="HM40" s="110"/>
      <c r="HN40" s="110"/>
      <c r="HO40" s="110"/>
      <c r="HP40" s="110"/>
      <c r="HQ40" s="110"/>
      <c r="HR40" s="110"/>
      <c r="HS40" s="110"/>
      <c r="HT40" s="110"/>
      <c r="HU40" s="110"/>
      <c r="HV40" s="110"/>
      <c r="HW40" s="110"/>
      <c r="HX40" s="110"/>
      <c r="HY40" s="110"/>
      <c r="HZ40" s="110"/>
      <c r="IA40" s="110"/>
      <c r="IB40" s="110"/>
      <c r="IC40" s="110"/>
      <c r="ID40" s="110"/>
      <c r="IE40" s="110"/>
      <c r="IF40" s="110"/>
      <c r="IG40" s="110"/>
      <c r="IH40" s="110"/>
      <c r="II40" s="110"/>
      <c r="IJ40" s="110"/>
      <c r="IK40" s="110"/>
      <c r="IL40" s="110"/>
      <c r="IM40" s="110"/>
      <c r="IN40" s="110"/>
      <c r="IO40" s="110"/>
      <c r="IP40" s="110"/>
      <c r="IQ40" s="70"/>
    </row>
    <row r="41" spans="1:251" ht="16.5" hidden="1" customHeight="1">
      <c r="A41" s="95" t="s">
        <v>450</v>
      </c>
      <c r="B41" t="s">
        <v>1363</v>
      </c>
      <c r="C41" t="s">
        <v>450</v>
      </c>
      <c r="E41" t="s">
        <v>450</v>
      </c>
      <c r="F41" t="s">
        <v>1368</v>
      </c>
      <c r="G41" s="654"/>
      <c r="H41">
        <v>53</v>
      </c>
      <c r="J41" s="214" t="str">
        <f t="shared" si="0"/>
        <v>LTT100153</v>
      </c>
      <c r="K41">
        <v>42440</v>
      </c>
      <c r="M41" t="s">
        <v>1362</v>
      </c>
      <c r="N41">
        <v>9</v>
      </c>
      <c r="O41" s="682" t="str">
        <f t="shared" si="1"/>
        <v>LTT3009</v>
      </c>
      <c r="P41">
        <v>23200</v>
      </c>
      <c r="R41" s="95" t="s">
        <v>450</v>
      </c>
      <c r="V41" s="214"/>
      <c r="EE41" s="95" t="s">
        <v>450</v>
      </c>
      <c r="EF41" s="110"/>
      <c r="EG41" s="110"/>
      <c r="EH41" s="110"/>
      <c r="EI41" s="216"/>
      <c r="EJ41" s="110"/>
      <c r="EK41" s="110"/>
      <c r="EL41" s="110"/>
      <c r="EM41" s="110"/>
      <c r="EN41" s="110"/>
      <c r="EO41" s="110"/>
      <c r="EP41" s="110"/>
      <c r="EQ41" s="110"/>
      <c r="ER41" s="110"/>
      <c r="ES41" s="110"/>
      <c r="ET41" s="110"/>
      <c r="EU41" s="110"/>
      <c r="EV41" s="110"/>
      <c r="EW41" s="110"/>
      <c r="EX41" s="110"/>
      <c r="EY41" s="110"/>
      <c r="EZ41" s="110"/>
      <c r="FA41" s="110"/>
      <c r="FB41" s="110"/>
      <c r="FC41" s="110"/>
      <c r="FD41" s="110"/>
      <c r="FE41" s="110"/>
      <c r="FF41" s="110"/>
      <c r="FG41" s="110"/>
      <c r="FH41" s="110"/>
      <c r="FI41" s="110"/>
      <c r="FJ41" s="110"/>
      <c r="FK41" s="110"/>
      <c r="FL41" s="110"/>
      <c r="FM41" s="110"/>
      <c r="FN41" s="110"/>
      <c r="FO41" s="110"/>
      <c r="FP41" s="110"/>
      <c r="FQ41" s="110"/>
      <c r="FR41" s="110"/>
      <c r="FS41" s="110"/>
      <c r="FT41" s="110"/>
      <c r="FU41" s="110"/>
      <c r="FV41" s="110"/>
      <c r="FW41" s="110"/>
      <c r="FX41" s="110"/>
      <c r="FY41" s="110"/>
      <c r="FZ41" s="110"/>
      <c r="GA41" s="110"/>
      <c r="GB41" s="110"/>
      <c r="GC41" s="110"/>
      <c r="GD41" s="110"/>
      <c r="GE41" s="110"/>
      <c r="GF41" s="110"/>
      <c r="GG41" s="110"/>
      <c r="GH41" s="110"/>
      <c r="GI41" s="110"/>
      <c r="GJ41" s="110"/>
      <c r="GK41" s="110"/>
      <c r="GL41" s="110"/>
      <c r="GM41" s="110"/>
      <c r="GN41" s="110"/>
      <c r="GO41" s="110"/>
      <c r="GP41" s="110"/>
      <c r="GQ41" s="110"/>
      <c r="GR41" s="110"/>
      <c r="GS41" s="110"/>
      <c r="GT41" s="110"/>
      <c r="GU41" s="110"/>
      <c r="GV41" s="110"/>
      <c r="GW41" s="110"/>
      <c r="GX41" s="110"/>
      <c r="GY41" s="110"/>
      <c r="GZ41" s="110"/>
      <c r="HA41" s="110"/>
      <c r="HB41" s="110"/>
      <c r="HC41" s="110"/>
      <c r="HD41" s="110"/>
      <c r="HE41" s="110"/>
      <c r="HF41" s="110"/>
      <c r="HG41" s="110"/>
      <c r="HH41" s="110"/>
      <c r="HI41" s="110"/>
      <c r="HJ41" s="110"/>
      <c r="HK41" s="110"/>
      <c r="HL41" s="110"/>
      <c r="HM41" s="110"/>
      <c r="HN41" s="110"/>
      <c r="HO41" s="110"/>
      <c r="HP41" s="110"/>
      <c r="HQ41" s="110"/>
      <c r="HR41" s="110"/>
      <c r="HS41" s="110"/>
      <c r="HT41" s="110"/>
      <c r="HU41" s="110"/>
      <c r="HV41" s="110"/>
      <c r="HW41" s="110"/>
      <c r="HX41" s="110"/>
      <c r="HY41" s="110"/>
      <c r="HZ41" s="110"/>
      <c r="IA41" s="110"/>
      <c r="IB41" s="110"/>
      <c r="IC41" s="110"/>
      <c r="ID41" s="110"/>
      <c r="IE41" s="110"/>
      <c r="IF41" s="110"/>
      <c r="IG41" s="110"/>
      <c r="IH41" s="110"/>
      <c r="II41" s="110"/>
      <c r="IJ41" s="110"/>
      <c r="IK41" s="110"/>
      <c r="IL41" s="110"/>
      <c r="IM41" s="110"/>
      <c r="IN41" s="110"/>
      <c r="IO41" s="110"/>
      <c r="IP41" s="110"/>
      <c r="IQ41" s="70"/>
    </row>
    <row r="42" spans="1:251" ht="16.5" hidden="1" customHeight="1">
      <c r="A42" s="95" t="s">
        <v>450</v>
      </c>
      <c r="B42" t="s">
        <v>1363</v>
      </c>
      <c r="C42" t="s">
        <v>450</v>
      </c>
      <c r="E42" t="s">
        <v>450</v>
      </c>
      <c r="F42" t="s">
        <v>1368</v>
      </c>
      <c r="G42" s="654"/>
      <c r="H42">
        <v>54</v>
      </c>
      <c r="J42" s="214" t="str">
        <f t="shared" si="0"/>
        <v>LTT100154</v>
      </c>
      <c r="K42">
        <v>43320</v>
      </c>
      <c r="M42" t="s">
        <v>1362</v>
      </c>
      <c r="N42">
        <v>10</v>
      </c>
      <c r="O42" s="682" t="str">
        <f t="shared" si="1"/>
        <v>LTT3010</v>
      </c>
      <c r="P42">
        <v>23600</v>
      </c>
      <c r="R42" s="95" t="s">
        <v>450</v>
      </c>
      <c r="V42" s="214"/>
      <c r="EE42" s="95" t="s">
        <v>450</v>
      </c>
      <c r="EF42" s="110"/>
      <c r="EG42" s="110"/>
      <c r="EH42" s="110"/>
      <c r="EI42" s="216"/>
      <c r="EJ42" s="110"/>
      <c r="EK42" s="110"/>
      <c r="EL42" s="110"/>
      <c r="EM42" s="110"/>
      <c r="EN42" s="110"/>
      <c r="EO42" s="110"/>
      <c r="EP42" s="110"/>
      <c r="EQ42" s="110"/>
      <c r="ER42" s="110"/>
      <c r="ES42" s="110"/>
      <c r="ET42" s="110"/>
      <c r="EU42" s="110"/>
      <c r="EV42" s="110"/>
      <c r="EW42" s="110"/>
      <c r="EX42" s="110"/>
      <c r="EY42" s="110"/>
      <c r="EZ42" s="110"/>
      <c r="FA42" s="110"/>
      <c r="FB42" s="110"/>
      <c r="FC42" s="110"/>
      <c r="FD42" s="110"/>
      <c r="FE42" s="110"/>
      <c r="FF42" s="110"/>
      <c r="FG42" s="110"/>
      <c r="FH42" s="110"/>
      <c r="FI42" s="110"/>
      <c r="FJ42" s="110"/>
      <c r="FK42" s="110"/>
      <c r="FL42" s="110"/>
      <c r="FM42" s="110"/>
      <c r="FN42" s="110"/>
      <c r="FO42" s="110"/>
      <c r="FP42" s="110"/>
      <c r="FQ42" s="110"/>
      <c r="FR42" s="110"/>
      <c r="FS42" s="110"/>
      <c r="FT42" s="110"/>
      <c r="FU42" s="110"/>
      <c r="FV42" s="110"/>
      <c r="FW42" s="110"/>
      <c r="FX42" s="110"/>
      <c r="FY42" s="110"/>
      <c r="FZ42" s="110"/>
      <c r="GA42" s="110"/>
      <c r="GB42" s="110"/>
      <c r="GC42" s="110"/>
      <c r="GD42" s="110"/>
      <c r="GE42" s="110"/>
      <c r="GF42" s="110"/>
      <c r="GG42" s="110"/>
      <c r="GH42" s="110"/>
      <c r="GI42" s="110"/>
      <c r="GJ42" s="110"/>
      <c r="GK42" s="110"/>
      <c r="GL42" s="110"/>
      <c r="GM42" s="110"/>
      <c r="GN42" s="110"/>
      <c r="GO42" s="110"/>
      <c r="GP42" s="110"/>
      <c r="GQ42" s="110"/>
      <c r="GR42" s="110"/>
      <c r="GS42" s="110"/>
      <c r="GT42" s="110"/>
      <c r="GU42" s="110"/>
      <c r="GV42" s="110"/>
      <c r="GW42" s="110"/>
      <c r="GX42" s="110"/>
      <c r="GY42" s="110"/>
      <c r="GZ42" s="110"/>
      <c r="HA42" s="110"/>
      <c r="HB42" s="110"/>
      <c r="HC42" s="110"/>
      <c r="HD42" s="110"/>
      <c r="HE42" s="110"/>
      <c r="HF42" s="110"/>
      <c r="HG42" s="110"/>
      <c r="HH42" s="110"/>
      <c r="HI42" s="110"/>
      <c r="HJ42" s="110"/>
      <c r="HK42" s="110"/>
      <c r="HL42" s="110"/>
      <c r="HM42" s="110"/>
      <c r="HN42" s="110"/>
      <c r="HO42" s="110"/>
      <c r="HP42" s="110"/>
      <c r="HQ42" s="110"/>
      <c r="HR42" s="110"/>
      <c r="HS42" s="110"/>
      <c r="HT42" s="110"/>
      <c r="HU42" s="110"/>
      <c r="HV42" s="110"/>
      <c r="HW42" s="110"/>
      <c r="HX42" s="110"/>
      <c r="HY42" s="110"/>
      <c r="HZ42" s="110"/>
      <c r="IA42" s="110"/>
      <c r="IB42" s="110"/>
      <c r="IC42" s="110"/>
      <c r="ID42" s="110"/>
      <c r="IE42" s="110"/>
      <c r="IF42" s="110"/>
      <c r="IG42" s="110"/>
      <c r="IH42" s="110"/>
      <c r="II42" s="110"/>
      <c r="IJ42" s="110"/>
      <c r="IK42" s="110"/>
      <c r="IL42" s="110"/>
      <c r="IM42" s="110"/>
      <c r="IN42" s="110"/>
      <c r="IO42" s="110"/>
      <c r="IP42" s="110"/>
      <c r="IQ42" s="70"/>
    </row>
    <row r="43" spans="1:251" ht="16.5" hidden="1" customHeight="1">
      <c r="A43" s="95" t="s">
        <v>450</v>
      </c>
      <c r="B43" t="s">
        <v>1363</v>
      </c>
      <c r="C43" t="s">
        <v>450</v>
      </c>
      <c r="E43" t="s">
        <v>450</v>
      </c>
      <c r="F43" t="s">
        <v>1368</v>
      </c>
      <c r="G43" s="654"/>
      <c r="H43">
        <v>55</v>
      </c>
      <c r="J43" s="214" t="str">
        <f t="shared" si="0"/>
        <v>LTT100155</v>
      </c>
      <c r="K43">
        <v>44220</v>
      </c>
      <c r="M43" t="s">
        <v>1362</v>
      </c>
      <c r="N43">
        <v>11</v>
      </c>
      <c r="O43" s="682" t="str">
        <f t="shared" si="1"/>
        <v>LTT3011</v>
      </c>
      <c r="P43">
        <v>24000</v>
      </c>
      <c r="R43" s="95" t="s">
        <v>450</v>
      </c>
      <c r="V43" s="214"/>
      <c r="EE43" s="95" t="s">
        <v>450</v>
      </c>
      <c r="EF43" s="110"/>
      <c r="EG43" s="110"/>
      <c r="EH43" s="110"/>
      <c r="EI43" s="216"/>
      <c r="EJ43" s="110"/>
      <c r="EK43" s="110"/>
      <c r="EL43" s="110"/>
      <c r="EM43" s="110"/>
      <c r="EN43" s="110"/>
      <c r="EO43" s="110"/>
      <c r="EP43" s="110"/>
      <c r="EQ43" s="110"/>
      <c r="ER43" s="110"/>
      <c r="ES43" s="110"/>
      <c r="ET43" s="110"/>
      <c r="EU43" s="110"/>
      <c r="EV43" s="110"/>
      <c r="EW43" s="110"/>
      <c r="EX43" s="110"/>
      <c r="EY43" s="110"/>
      <c r="EZ43" s="110"/>
      <c r="FA43" s="110"/>
      <c r="FB43" s="110"/>
      <c r="FC43" s="110"/>
      <c r="FD43" s="110"/>
      <c r="FE43" s="110"/>
      <c r="FF43" s="110"/>
      <c r="FG43" s="110"/>
      <c r="FH43" s="110"/>
      <c r="FI43" s="110"/>
      <c r="FJ43" s="110"/>
      <c r="FK43" s="110"/>
      <c r="FL43" s="110"/>
      <c r="FM43" s="110"/>
      <c r="FN43" s="110"/>
      <c r="FO43" s="110"/>
      <c r="FP43" s="110"/>
      <c r="FQ43" s="110"/>
      <c r="FR43" s="110"/>
      <c r="FS43" s="110"/>
      <c r="FT43" s="110"/>
      <c r="FU43" s="110"/>
      <c r="FV43" s="110"/>
      <c r="FW43" s="110"/>
      <c r="FX43" s="110"/>
      <c r="FY43" s="110"/>
      <c r="FZ43" s="110"/>
      <c r="GA43" s="110"/>
      <c r="GB43" s="110"/>
      <c r="GC43" s="110"/>
      <c r="GD43" s="110"/>
      <c r="GE43" s="110"/>
      <c r="GF43" s="110"/>
      <c r="GG43" s="110"/>
      <c r="GH43" s="110"/>
      <c r="GI43" s="110"/>
      <c r="GJ43" s="110"/>
      <c r="GK43" s="110"/>
      <c r="GL43" s="110"/>
      <c r="GM43" s="110"/>
      <c r="GN43" s="110"/>
      <c r="GO43" s="110"/>
      <c r="GP43" s="110"/>
      <c r="GQ43" s="110"/>
      <c r="GR43" s="110"/>
      <c r="GS43" s="110"/>
      <c r="GT43" s="110"/>
      <c r="GU43" s="110"/>
      <c r="GV43" s="110"/>
      <c r="GW43" s="110"/>
      <c r="GX43" s="110"/>
      <c r="GY43" s="110"/>
      <c r="GZ43" s="110"/>
      <c r="HA43" s="110"/>
      <c r="HB43" s="110"/>
      <c r="HC43" s="110"/>
      <c r="HD43" s="110"/>
      <c r="HE43" s="110"/>
      <c r="HF43" s="110"/>
      <c r="HG43" s="110"/>
      <c r="HH43" s="110"/>
      <c r="HI43" s="110"/>
      <c r="HJ43" s="110"/>
      <c r="HK43" s="110"/>
      <c r="HL43" s="110"/>
      <c r="HM43" s="110"/>
      <c r="HN43" s="110"/>
      <c r="HO43" s="110"/>
      <c r="HP43" s="110"/>
      <c r="HQ43" s="110"/>
      <c r="HR43" s="110"/>
      <c r="HS43" s="110"/>
      <c r="HT43" s="110"/>
      <c r="HU43" s="110"/>
      <c r="HV43" s="110"/>
      <c r="HW43" s="110"/>
      <c r="HX43" s="110"/>
      <c r="HY43" s="110"/>
      <c r="HZ43" s="110"/>
      <c r="IA43" s="110"/>
      <c r="IB43" s="110"/>
      <c r="IC43" s="110"/>
      <c r="ID43" s="110"/>
      <c r="IE43" s="110"/>
      <c r="IF43" s="110"/>
      <c r="IG43" s="110"/>
      <c r="IH43" s="110"/>
      <c r="II43" s="110"/>
      <c r="IJ43" s="110"/>
      <c r="IK43" s="110"/>
      <c r="IL43" s="110"/>
      <c r="IM43" s="110"/>
      <c r="IN43" s="110"/>
      <c r="IO43" s="110"/>
      <c r="IP43" s="110"/>
      <c r="IQ43" s="70"/>
    </row>
    <row r="44" spans="1:251" ht="16.5" hidden="1" customHeight="1">
      <c r="A44" s="95" t="s">
        <v>450</v>
      </c>
      <c r="B44" t="s">
        <v>1363</v>
      </c>
      <c r="C44" t="s">
        <v>450</v>
      </c>
      <c r="E44" t="s">
        <v>450</v>
      </c>
      <c r="F44" t="s">
        <v>1368</v>
      </c>
      <c r="G44" s="654"/>
      <c r="H44">
        <v>56</v>
      </c>
      <c r="J44" s="214" t="str">
        <f t="shared" si="0"/>
        <v>LTT100156</v>
      </c>
      <c r="K44">
        <v>45100</v>
      </c>
      <c r="M44" t="s">
        <v>1362</v>
      </c>
      <c r="N44">
        <v>12</v>
      </c>
      <c r="O44" s="682" t="str">
        <f t="shared" si="1"/>
        <v>LTT3012</v>
      </c>
      <c r="P44">
        <v>24400</v>
      </c>
      <c r="R44" s="95" t="s">
        <v>450</v>
      </c>
      <c r="V44" s="214"/>
      <c r="EE44" s="95" t="s">
        <v>450</v>
      </c>
      <c r="EF44" s="110"/>
      <c r="EG44" s="110"/>
      <c r="EH44" s="110"/>
      <c r="EI44" s="216"/>
      <c r="EJ44" s="110"/>
      <c r="EK44" s="110"/>
      <c r="EL44" s="110"/>
      <c r="EM44" s="110"/>
      <c r="EN44" s="110"/>
      <c r="EO44" s="110"/>
      <c r="EP44" s="110"/>
      <c r="EQ44" s="110"/>
      <c r="ER44" s="110"/>
      <c r="ES44" s="110"/>
      <c r="ET44" s="110"/>
      <c r="EU44" s="110"/>
      <c r="EV44" s="110"/>
      <c r="EW44" s="110"/>
      <c r="EX44" s="110"/>
      <c r="EY44" s="110"/>
      <c r="EZ44" s="110"/>
      <c r="FA44" s="110"/>
      <c r="FB44" s="110"/>
      <c r="FC44" s="110"/>
      <c r="FD44" s="110"/>
      <c r="FE44" s="110"/>
      <c r="FF44" s="110"/>
      <c r="FG44" s="110"/>
      <c r="FH44" s="110"/>
      <c r="FI44" s="110"/>
      <c r="FJ44" s="110"/>
      <c r="FK44" s="110"/>
      <c r="FL44" s="110"/>
      <c r="FM44" s="110"/>
      <c r="FN44" s="110"/>
      <c r="FO44" s="110"/>
      <c r="FP44" s="110"/>
      <c r="FQ44" s="110"/>
      <c r="FR44" s="110"/>
      <c r="FS44" s="110"/>
      <c r="FT44" s="110"/>
      <c r="FU44" s="110"/>
      <c r="FV44" s="110"/>
      <c r="FW44" s="110"/>
      <c r="FX44" s="110"/>
      <c r="FY44" s="110"/>
      <c r="FZ44" s="110"/>
      <c r="GA44" s="110"/>
      <c r="GB44" s="110"/>
      <c r="GC44" s="110"/>
      <c r="GD44" s="110"/>
      <c r="GE44" s="110"/>
      <c r="GF44" s="110"/>
      <c r="GG44" s="110"/>
      <c r="GH44" s="110"/>
      <c r="GI44" s="110"/>
      <c r="GJ44" s="110"/>
      <c r="GK44" s="110"/>
      <c r="GL44" s="110"/>
      <c r="GM44" s="110"/>
      <c r="GN44" s="110"/>
      <c r="GO44" s="110"/>
      <c r="GP44" s="110"/>
      <c r="GQ44" s="110"/>
      <c r="GR44" s="110"/>
      <c r="GS44" s="110"/>
      <c r="GT44" s="110"/>
      <c r="GU44" s="110"/>
      <c r="GV44" s="110"/>
      <c r="GW44" s="110"/>
      <c r="GX44" s="110"/>
      <c r="GY44" s="110"/>
      <c r="GZ44" s="110"/>
      <c r="HA44" s="110"/>
      <c r="HB44" s="110"/>
      <c r="HC44" s="110"/>
      <c r="HD44" s="110"/>
      <c r="HE44" s="110"/>
      <c r="HF44" s="110"/>
      <c r="HG44" s="110"/>
      <c r="HH44" s="110"/>
      <c r="HI44" s="110"/>
      <c r="HJ44" s="110"/>
      <c r="HK44" s="110"/>
      <c r="HL44" s="110"/>
      <c r="HM44" s="110"/>
      <c r="HN44" s="110"/>
      <c r="HO44" s="110"/>
      <c r="HP44" s="110"/>
      <c r="HQ44" s="110"/>
      <c r="HR44" s="110"/>
      <c r="HS44" s="110"/>
      <c r="HT44" s="110"/>
      <c r="HU44" s="110"/>
      <c r="HV44" s="110"/>
      <c r="HW44" s="110"/>
      <c r="HX44" s="110"/>
      <c r="HY44" s="110"/>
      <c r="HZ44" s="110"/>
      <c r="IA44" s="110"/>
      <c r="IB44" s="110"/>
      <c r="IC44" s="110"/>
      <c r="ID44" s="110"/>
      <c r="IE44" s="110"/>
      <c r="IF44" s="110"/>
      <c r="IG44" s="110"/>
      <c r="IH44" s="110"/>
      <c r="II44" s="110"/>
      <c r="IJ44" s="110"/>
      <c r="IK44" s="110"/>
      <c r="IL44" s="110"/>
      <c r="IM44" s="110"/>
      <c r="IN44" s="110"/>
      <c r="IO44" s="110"/>
      <c r="IP44" s="110"/>
      <c r="IQ44" s="70"/>
    </row>
    <row r="45" spans="1:251" ht="16.5" hidden="1" customHeight="1">
      <c r="A45" s="95" t="s">
        <v>450</v>
      </c>
      <c r="B45" t="s">
        <v>1363</v>
      </c>
      <c r="C45" t="s">
        <v>450</v>
      </c>
      <c r="E45" t="s">
        <v>450</v>
      </c>
      <c r="F45" t="s">
        <v>1368</v>
      </c>
      <c r="G45" s="654"/>
      <c r="H45">
        <v>57</v>
      </c>
      <c r="J45" s="214" t="str">
        <f t="shared" si="0"/>
        <v>LTT100157</v>
      </c>
      <c r="K45">
        <v>46080</v>
      </c>
      <c r="M45" t="s">
        <v>1362</v>
      </c>
      <c r="N45">
        <v>13</v>
      </c>
      <c r="O45" s="682" t="str">
        <f t="shared" si="1"/>
        <v>LTT3013</v>
      </c>
      <c r="P45">
        <v>24800</v>
      </c>
      <c r="R45" s="95" t="s">
        <v>450</v>
      </c>
      <c r="V45" s="214"/>
      <c r="EE45" s="95" t="s">
        <v>450</v>
      </c>
      <c r="EF45" s="110"/>
      <c r="EG45" s="110"/>
      <c r="EH45" s="110"/>
      <c r="EI45" s="216"/>
      <c r="EJ45" s="110"/>
      <c r="EK45" s="110"/>
      <c r="EL45" s="110"/>
      <c r="EM45" s="110"/>
      <c r="EN45" s="110"/>
      <c r="EO45" s="110"/>
      <c r="EP45" s="110"/>
      <c r="EQ45" s="110"/>
      <c r="ER45" s="110"/>
      <c r="ES45" s="110"/>
      <c r="ET45" s="110"/>
      <c r="EU45" s="110"/>
      <c r="EV45" s="110"/>
      <c r="EW45" s="110"/>
      <c r="EX45" s="110"/>
      <c r="EY45" s="110"/>
      <c r="EZ45" s="110"/>
      <c r="FA45" s="110"/>
      <c r="FB45" s="110"/>
      <c r="FC45" s="110"/>
      <c r="FD45" s="110"/>
      <c r="FE45" s="110"/>
      <c r="FF45" s="110"/>
      <c r="FG45" s="110"/>
      <c r="FH45" s="110"/>
      <c r="FI45" s="110"/>
      <c r="FJ45" s="110"/>
      <c r="FK45" s="110"/>
      <c r="FL45" s="110"/>
      <c r="FM45" s="110"/>
      <c r="FN45" s="110"/>
      <c r="FO45" s="110"/>
      <c r="FP45" s="110"/>
      <c r="FQ45" s="110"/>
      <c r="FR45" s="110"/>
      <c r="FS45" s="110"/>
      <c r="FT45" s="110"/>
      <c r="FU45" s="110"/>
      <c r="FV45" s="110"/>
      <c r="FW45" s="110"/>
      <c r="FX45" s="110"/>
      <c r="FY45" s="110"/>
      <c r="FZ45" s="110"/>
      <c r="GA45" s="110"/>
      <c r="GB45" s="110"/>
      <c r="GC45" s="110"/>
      <c r="GD45" s="110"/>
      <c r="GE45" s="110"/>
      <c r="GF45" s="110"/>
      <c r="GG45" s="110"/>
      <c r="GH45" s="110"/>
      <c r="GI45" s="110"/>
      <c r="GJ45" s="110"/>
      <c r="GK45" s="110"/>
      <c r="GL45" s="110"/>
      <c r="GM45" s="110"/>
      <c r="GN45" s="110"/>
      <c r="GO45" s="110"/>
      <c r="GP45" s="110"/>
      <c r="GQ45" s="110"/>
      <c r="GR45" s="110"/>
      <c r="GS45" s="110"/>
      <c r="GT45" s="110"/>
      <c r="GU45" s="110"/>
      <c r="GV45" s="110"/>
      <c r="GW45" s="110"/>
      <c r="GX45" s="110"/>
      <c r="GY45" s="110"/>
      <c r="GZ45" s="110"/>
      <c r="HA45" s="110"/>
      <c r="HB45" s="110"/>
      <c r="HC45" s="110"/>
      <c r="HD45" s="110"/>
      <c r="HE45" s="110"/>
      <c r="HF45" s="110"/>
      <c r="HG45" s="110"/>
      <c r="HH45" s="110"/>
      <c r="HI45" s="110"/>
      <c r="HJ45" s="110"/>
      <c r="HK45" s="110"/>
      <c r="HL45" s="110"/>
      <c r="HM45" s="110"/>
      <c r="HN45" s="110"/>
      <c r="HO45" s="110"/>
      <c r="HP45" s="110"/>
      <c r="HQ45" s="110"/>
      <c r="HR45" s="110"/>
      <c r="HS45" s="110"/>
      <c r="HT45" s="110"/>
      <c r="HU45" s="110"/>
      <c r="HV45" s="110"/>
      <c r="HW45" s="110"/>
      <c r="HX45" s="110"/>
      <c r="HY45" s="110"/>
      <c r="HZ45" s="110"/>
      <c r="IA45" s="110"/>
      <c r="IB45" s="110"/>
      <c r="IC45" s="110"/>
      <c r="ID45" s="110"/>
      <c r="IE45" s="110"/>
      <c r="IF45" s="110"/>
      <c r="IG45" s="110"/>
      <c r="IH45" s="110"/>
      <c r="II45" s="110"/>
      <c r="IJ45" s="110"/>
      <c r="IK45" s="110"/>
      <c r="IL45" s="110"/>
      <c r="IM45" s="110"/>
      <c r="IN45" s="110"/>
      <c r="IO45" s="110"/>
      <c r="IP45" s="110"/>
      <c r="IQ45" s="70"/>
    </row>
    <row r="46" spans="1:251" ht="16.5" hidden="1" customHeight="1">
      <c r="A46" s="95" t="s">
        <v>450</v>
      </c>
      <c r="B46" t="s">
        <v>1363</v>
      </c>
      <c r="C46" t="s">
        <v>450</v>
      </c>
      <c r="E46" t="s">
        <v>450</v>
      </c>
      <c r="F46" t="s">
        <v>1368</v>
      </c>
      <c r="G46" s="654"/>
      <c r="H46">
        <v>58</v>
      </c>
      <c r="J46" s="214" t="str">
        <f t="shared" si="0"/>
        <v>LTT100158</v>
      </c>
      <c r="K46">
        <v>47130</v>
      </c>
      <c r="M46" t="s">
        <v>1362</v>
      </c>
      <c r="N46">
        <v>14</v>
      </c>
      <c r="O46" s="682" t="str">
        <f t="shared" si="1"/>
        <v>LTT3014</v>
      </c>
      <c r="P46">
        <v>25200</v>
      </c>
      <c r="R46" s="95" t="s">
        <v>450</v>
      </c>
      <c r="V46" s="214"/>
      <c r="EE46" s="95" t="s">
        <v>450</v>
      </c>
      <c r="EF46" s="110"/>
      <c r="EG46" s="110"/>
      <c r="EH46" s="110"/>
      <c r="EI46" s="216"/>
      <c r="EJ46" s="110"/>
      <c r="EK46" s="110"/>
      <c r="EL46" s="110"/>
      <c r="EM46" s="110"/>
      <c r="EN46" s="110"/>
      <c r="EO46" s="110"/>
      <c r="EP46" s="110"/>
      <c r="EQ46" s="110"/>
      <c r="ER46" s="110"/>
      <c r="ES46" s="110"/>
      <c r="ET46" s="110"/>
      <c r="EU46" s="110"/>
      <c r="EV46" s="110"/>
      <c r="EW46" s="110"/>
      <c r="EX46" s="110"/>
      <c r="EY46" s="110"/>
      <c r="EZ46" s="110"/>
      <c r="FA46" s="110"/>
      <c r="FB46" s="110"/>
      <c r="FC46" s="110"/>
      <c r="FD46" s="110"/>
      <c r="FE46" s="110"/>
      <c r="FF46" s="110"/>
      <c r="FG46" s="110"/>
      <c r="FH46" s="110"/>
      <c r="FI46" s="110"/>
      <c r="FJ46" s="110"/>
      <c r="FK46" s="110"/>
      <c r="FL46" s="110"/>
      <c r="FM46" s="110"/>
      <c r="FN46" s="110"/>
      <c r="FO46" s="110"/>
      <c r="FP46" s="110"/>
      <c r="FQ46" s="110"/>
      <c r="FR46" s="110"/>
      <c r="FS46" s="110"/>
      <c r="FT46" s="110"/>
      <c r="FU46" s="110"/>
      <c r="FV46" s="110"/>
      <c r="FW46" s="110"/>
      <c r="FX46" s="110"/>
      <c r="FY46" s="110"/>
      <c r="FZ46" s="110"/>
      <c r="GA46" s="110"/>
      <c r="GB46" s="110"/>
      <c r="GC46" s="110"/>
      <c r="GD46" s="110"/>
      <c r="GE46" s="110"/>
      <c r="GF46" s="110"/>
      <c r="GG46" s="110"/>
      <c r="GH46" s="110"/>
      <c r="GI46" s="110"/>
      <c r="GJ46" s="110"/>
      <c r="GK46" s="110"/>
      <c r="GL46" s="110"/>
      <c r="GM46" s="110"/>
      <c r="GN46" s="110"/>
      <c r="GO46" s="110"/>
      <c r="GP46" s="110"/>
      <c r="GQ46" s="110"/>
      <c r="GR46" s="110"/>
      <c r="GS46" s="110"/>
      <c r="GT46" s="110"/>
      <c r="GU46" s="110"/>
      <c r="GV46" s="110"/>
      <c r="GW46" s="110"/>
      <c r="GX46" s="110"/>
      <c r="GY46" s="110"/>
      <c r="GZ46" s="110"/>
      <c r="HA46" s="110"/>
      <c r="HB46" s="110"/>
      <c r="HC46" s="110"/>
      <c r="HD46" s="110"/>
      <c r="HE46" s="110"/>
      <c r="HF46" s="110"/>
      <c r="HG46" s="110"/>
      <c r="HH46" s="110"/>
      <c r="HI46" s="110"/>
      <c r="HJ46" s="110"/>
      <c r="HK46" s="110"/>
      <c r="HL46" s="110"/>
      <c r="HM46" s="110"/>
      <c r="HN46" s="110"/>
      <c r="HO46" s="110"/>
      <c r="HP46" s="110"/>
      <c r="HQ46" s="110"/>
      <c r="HR46" s="110"/>
      <c r="HS46" s="110"/>
      <c r="HT46" s="110"/>
      <c r="HU46" s="110"/>
      <c r="HV46" s="110"/>
      <c r="HW46" s="110"/>
      <c r="HX46" s="110"/>
      <c r="HY46" s="110"/>
      <c r="HZ46" s="110"/>
      <c r="IA46" s="110"/>
      <c r="IB46" s="110"/>
      <c r="IC46" s="110"/>
      <c r="ID46" s="110"/>
      <c r="IE46" s="110"/>
      <c r="IF46" s="110"/>
      <c r="IG46" s="110"/>
      <c r="IH46" s="110"/>
      <c r="II46" s="110"/>
      <c r="IJ46" s="110"/>
      <c r="IK46" s="110"/>
      <c r="IL46" s="110"/>
      <c r="IM46" s="110"/>
      <c r="IN46" s="110"/>
      <c r="IO46" s="110"/>
      <c r="IP46" s="110"/>
      <c r="IQ46" s="70"/>
    </row>
    <row r="47" spans="1:251" ht="16.5" hidden="1" customHeight="1">
      <c r="A47" s="95" t="s">
        <v>450</v>
      </c>
      <c r="B47" t="s">
        <v>1363</v>
      </c>
      <c r="C47" t="s">
        <v>450</v>
      </c>
      <c r="E47" t="s">
        <v>450</v>
      </c>
      <c r="F47" t="s">
        <v>1368</v>
      </c>
      <c r="G47" s="654"/>
      <c r="H47">
        <v>59</v>
      </c>
      <c r="J47" s="214" t="str">
        <f t="shared" si="0"/>
        <v>LTT100159</v>
      </c>
      <c r="K47">
        <v>48180</v>
      </c>
      <c r="M47" t="s">
        <v>1362</v>
      </c>
      <c r="N47">
        <v>15</v>
      </c>
      <c r="O47" s="682" t="str">
        <f t="shared" si="1"/>
        <v>LTT3015</v>
      </c>
      <c r="P47">
        <v>25600</v>
      </c>
      <c r="R47" s="95" t="s">
        <v>450</v>
      </c>
      <c r="V47" s="214"/>
      <c r="EE47" s="95" t="s">
        <v>450</v>
      </c>
      <c r="EF47" s="110"/>
      <c r="EG47" s="110"/>
      <c r="EH47" s="110"/>
      <c r="EI47" s="216"/>
      <c r="EJ47" s="110"/>
      <c r="EK47" s="110"/>
      <c r="EL47" s="110"/>
      <c r="EM47" s="110"/>
      <c r="EN47" s="110"/>
      <c r="EO47" s="110"/>
      <c r="EP47" s="110"/>
      <c r="EQ47" s="110"/>
      <c r="ER47" s="110"/>
      <c r="ES47" s="110"/>
      <c r="ET47" s="110"/>
      <c r="EU47" s="110"/>
      <c r="EV47" s="110"/>
      <c r="EW47" s="110"/>
      <c r="EX47" s="110"/>
      <c r="EY47" s="110"/>
      <c r="EZ47" s="110"/>
      <c r="FA47" s="110"/>
      <c r="FB47" s="110"/>
      <c r="FC47" s="110"/>
      <c r="FD47" s="110"/>
      <c r="FE47" s="110"/>
      <c r="FF47" s="110"/>
      <c r="FG47" s="110"/>
      <c r="FH47" s="110"/>
      <c r="FI47" s="110"/>
      <c r="FJ47" s="110"/>
      <c r="FK47" s="110"/>
      <c r="FL47" s="110"/>
      <c r="FM47" s="110"/>
      <c r="FN47" s="110"/>
      <c r="FO47" s="110"/>
      <c r="FP47" s="110"/>
      <c r="FQ47" s="110"/>
      <c r="FR47" s="110"/>
      <c r="FS47" s="110"/>
      <c r="FT47" s="110"/>
      <c r="FU47" s="110"/>
      <c r="FV47" s="110"/>
      <c r="FW47" s="110"/>
      <c r="FX47" s="110"/>
      <c r="FY47" s="110"/>
      <c r="FZ47" s="110"/>
      <c r="GA47" s="110"/>
      <c r="GB47" s="110"/>
      <c r="GC47" s="110"/>
      <c r="GD47" s="110"/>
      <c r="GE47" s="110"/>
      <c r="GF47" s="110"/>
      <c r="GG47" s="110"/>
      <c r="GH47" s="110"/>
      <c r="GI47" s="110"/>
      <c r="GJ47" s="110"/>
      <c r="GK47" s="110"/>
      <c r="GL47" s="110"/>
      <c r="GM47" s="110"/>
      <c r="GN47" s="110"/>
      <c r="GO47" s="110"/>
      <c r="GP47" s="110"/>
      <c r="GQ47" s="110"/>
      <c r="GR47" s="110"/>
      <c r="GS47" s="110"/>
      <c r="GT47" s="110"/>
      <c r="GU47" s="110"/>
      <c r="GV47" s="110"/>
      <c r="GW47" s="110"/>
      <c r="GX47" s="110"/>
      <c r="GY47" s="110"/>
      <c r="GZ47" s="110"/>
      <c r="HA47" s="110"/>
      <c r="HB47" s="110"/>
      <c r="HC47" s="110"/>
      <c r="HD47" s="110"/>
      <c r="HE47" s="110"/>
      <c r="HF47" s="110"/>
      <c r="HG47" s="110"/>
      <c r="HH47" s="110"/>
      <c r="HI47" s="110"/>
      <c r="HJ47" s="110"/>
      <c r="HK47" s="110"/>
      <c r="HL47" s="110"/>
      <c r="HM47" s="110"/>
      <c r="HN47" s="110"/>
      <c r="HO47" s="110"/>
      <c r="HP47" s="110"/>
      <c r="HQ47" s="110"/>
      <c r="HR47" s="110"/>
      <c r="HS47" s="110"/>
      <c r="HT47" s="110"/>
      <c r="HU47" s="110"/>
      <c r="HV47" s="110"/>
      <c r="HW47" s="110"/>
      <c r="HX47" s="110"/>
      <c r="HY47" s="110"/>
      <c r="HZ47" s="110"/>
      <c r="IA47" s="110"/>
      <c r="IB47" s="110"/>
      <c r="IC47" s="110"/>
      <c r="ID47" s="110"/>
      <c r="IE47" s="110"/>
      <c r="IF47" s="110"/>
      <c r="IG47" s="110"/>
      <c r="IH47" s="110"/>
      <c r="II47" s="110"/>
      <c r="IJ47" s="110"/>
      <c r="IK47" s="110"/>
      <c r="IL47" s="110"/>
      <c r="IM47" s="110"/>
      <c r="IN47" s="110"/>
      <c r="IO47" s="110"/>
      <c r="IP47" s="110"/>
      <c r="IQ47" s="70"/>
    </row>
    <row r="48" spans="1:251" ht="16.5" hidden="1" customHeight="1">
      <c r="A48" s="95" t="s">
        <v>450</v>
      </c>
      <c r="B48" t="s">
        <v>1363</v>
      </c>
      <c r="C48" t="s">
        <v>450</v>
      </c>
      <c r="E48" t="s">
        <v>450</v>
      </c>
      <c r="F48" t="s">
        <v>1368</v>
      </c>
      <c r="G48" s="654"/>
      <c r="H48">
        <v>60</v>
      </c>
      <c r="J48" s="214" t="str">
        <f t="shared" si="0"/>
        <v>LTT100160</v>
      </c>
      <c r="K48">
        <v>49210</v>
      </c>
      <c r="O48" s="682"/>
      <c r="R48" s="95" t="s">
        <v>450</v>
      </c>
      <c r="V48" s="214"/>
      <c r="EE48" s="95" t="s">
        <v>450</v>
      </c>
      <c r="EF48" s="110"/>
      <c r="EG48" s="110"/>
      <c r="EH48" s="110"/>
      <c r="EI48" s="216"/>
      <c r="EJ48" s="110"/>
      <c r="EK48" s="110"/>
      <c r="EL48" s="110"/>
      <c r="EM48" s="110"/>
      <c r="EN48" s="110"/>
      <c r="EO48" s="110"/>
      <c r="EP48" s="110"/>
      <c r="EQ48" s="110"/>
      <c r="ER48" s="110"/>
      <c r="ES48" s="110"/>
      <c r="ET48" s="110"/>
      <c r="EU48" s="110"/>
      <c r="EV48" s="110"/>
      <c r="EW48" s="110"/>
      <c r="EX48" s="110"/>
      <c r="EY48" s="110"/>
      <c r="EZ48" s="110"/>
      <c r="FA48" s="110"/>
      <c r="FB48" s="110"/>
      <c r="FC48" s="110"/>
      <c r="FD48" s="110"/>
      <c r="FE48" s="110"/>
      <c r="FF48" s="110"/>
      <c r="FG48" s="110"/>
      <c r="FH48" s="110"/>
      <c r="FI48" s="110"/>
      <c r="FJ48" s="110"/>
      <c r="FK48" s="110"/>
      <c r="FL48" s="110"/>
      <c r="FM48" s="110"/>
      <c r="FN48" s="110"/>
      <c r="FO48" s="110"/>
      <c r="FP48" s="110"/>
      <c r="FQ48" s="110"/>
      <c r="FR48" s="110"/>
      <c r="FS48" s="110"/>
      <c r="FT48" s="110"/>
      <c r="FU48" s="110"/>
      <c r="FV48" s="110"/>
      <c r="FW48" s="110"/>
      <c r="FX48" s="110"/>
      <c r="FY48" s="110"/>
      <c r="FZ48" s="110"/>
      <c r="GA48" s="110"/>
      <c r="GB48" s="110"/>
      <c r="GC48" s="110"/>
      <c r="GD48" s="110"/>
      <c r="GE48" s="110"/>
      <c r="GF48" s="110"/>
      <c r="GG48" s="110"/>
      <c r="GH48" s="110"/>
      <c r="GI48" s="110"/>
      <c r="GJ48" s="110"/>
      <c r="GK48" s="110"/>
      <c r="GL48" s="110"/>
      <c r="GM48" s="110"/>
      <c r="GN48" s="110"/>
      <c r="GO48" s="110"/>
      <c r="GP48" s="110"/>
      <c r="GQ48" s="110"/>
      <c r="GR48" s="110"/>
      <c r="GS48" s="110"/>
      <c r="GT48" s="110"/>
      <c r="GU48" s="110"/>
      <c r="GV48" s="110"/>
      <c r="GW48" s="110"/>
      <c r="GX48" s="110"/>
      <c r="GY48" s="110"/>
      <c r="GZ48" s="110"/>
      <c r="HA48" s="110"/>
      <c r="HB48" s="110"/>
      <c r="HC48" s="110"/>
      <c r="HD48" s="110"/>
      <c r="HE48" s="110"/>
      <c r="HF48" s="110"/>
      <c r="HG48" s="110"/>
      <c r="HH48" s="110"/>
      <c r="HI48" s="110"/>
      <c r="HJ48" s="110"/>
      <c r="HK48" s="110"/>
      <c r="HL48" s="110"/>
      <c r="HM48" s="110"/>
      <c r="HN48" s="110"/>
      <c r="HO48" s="110"/>
      <c r="HP48" s="110"/>
      <c r="HQ48" s="110"/>
      <c r="HR48" s="110"/>
      <c r="HS48" s="110"/>
      <c r="HT48" s="110"/>
      <c r="HU48" s="110"/>
      <c r="HV48" s="110"/>
      <c r="HW48" s="110"/>
      <c r="HX48" s="110"/>
      <c r="HY48" s="110"/>
      <c r="HZ48" s="110"/>
      <c r="IA48" s="110"/>
      <c r="IB48" s="110"/>
      <c r="IC48" s="110"/>
      <c r="ID48" s="110"/>
      <c r="IE48" s="110"/>
      <c r="IF48" s="110"/>
      <c r="IG48" s="110"/>
      <c r="IH48" s="110"/>
      <c r="II48" s="110"/>
      <c r="IJ48" s="110"/>
      <c r="IK48" s="110"/>
      <c r="IL48" s="110"/>
      <c r="IM48" s="110"/>
      <c r="IN48" s="110"/>
      <c r="IO48" s="110"/>
      <c r="IP48" s="110"/>
      <c r="IQ48" s="70"/>
    </row>
    <row r="49" spans="1:251" ht="16.5" hidden="1" customHeight="1">
      <c r="A49" s="95" t="s">
        <v>450</v>
      </c>
      <c r="B49" t="s">
        <v>1363</v>
      </c>
      <c r="C49" t="s">
        <v>450</v>
      </c>
      <c r="E49" t="s">
        <v>450</v>
      </c>
      <c r="F49" t="s">
        <v>1368</v>
      </c>
      <c r="G49" s="654"/>
      <c r="H49">
        <v>61</v>
      </c>
      <c r="J49" s="214" t="str">
        <f t="shared" si="0"/>
        <v>LTT100161</v>
      </c>
      <c r="K49">
        <v>50250</v>
      </c>
      <c r="O49" s="682"/>
      <c r="R49" s="95" t="s">
        <v>450</v>
      </c>
      <c r="V49" s="214"/>
      <c r="EE49" s="95" t="s">
        <v>450</v>
      </c>
      <c r="EF49" s="110"/>
      <c r="EG49" s="110"/>
      <c r="EH49" s="110"/>
      <c r="EI49" s="216"/>
      <c r="EJ49" s="110"/>
      <c r="EK49" s="110"/>
      <c r="EL49" s="110"/>
      <c r="EM49" s="110"/>
      <c r="EN49" s="110"/>
      <c r="EO49" s="110"/>
      <c r="EP49" s="110"/>
      <c r="EQ49" s="110"/>
      <c r="ER49" s="110"/>
      <c r="ES49" s="110"/>
      <c r="ET49" s="110"/>
      <c r="EU49" s="110"/>
      <c r="EV49" s="110"/>
      <c r="EW49" s="110"/>
      <c r="EX49" s="110"/>
      <c r="EY49" s="110"/>
      <c r="EZ49" s="110"/>
      <c r="FA49" s="110"/>
      <c r="FB49" s="110"/>
      <c r="FC49" s="110"/>
      <c r="FD49" s="110"/>
      <c r="FE49" s="110"/>
      <c r="FF49" s="110"/>
      <c r="FG49" s="110"/>
      <c r="FH49" s="110"/>
      <c r="FI49" s="110"/>
      <c r="FJ49" s="110"/>
      <c r="FK49" s="110"/>
      <c r="FL49" s="110"/>
      <c r="FM49" s="110"/>
      <c r="FN49" s="110"/>
      <c r="FO49" s="110"/>
      <c r="FP49" s="110"/>
      <c r="FQ49" s="110"/>
      <c r="FR49" s="110"/>
      <c r="FS49" s="110"/>
      <c r="FT49" s="110"/>
      <c r="FU49" s="110"/>
      <c r="FV49" s="110"/>
      <c r="FW49" s="110"/>
      <c r="FX49" s="110"/>
      <c r="FY49" s="110"/>
      <c r="FZ49" s="110"/>
      <c r="GA49" s="110"/>
      <c r="GB49" s="110"/>
      <c r="GC49" s="110"/>
      <c r="GD49" s="110"/>
      <c r="GE49" s="110"/>
      <c r="GF49" s="110"/>
      <c r="GG49" s="110"/>
      <c r="GH49" s="110"/>
      <c r="GI49" s="110"/>
      <c r="GJ49" s="110"/>
      <c r="GK49" s="110"/>
      <c r="GL49" s="110"/>
      <c r="GM49" s="110"/>
      <c r="GN49" s="110"/>
      <c r="GO49" s="110"/>
      <c r="GP49" s="110"/>
      <c r="GQ49" s="110"/>
      <c r="GR49" s="110"/>
      <c r="GS49" s="110"/>
      <c r="GT49" s="110"/>
      <c r="GU49" s="110"/>
      <c r="GV49" s="110"/>
      <c r="GW49" s="110"/>
      <c r="GX49" s="110"/>
      <c r="GY49" s="110"/>
      <c r="GZ49" s="110"/>
      <c r="HA49" s="110"/>
      <c r="HB49" s="110"/>
      <c r="HC49" s="110"/>
      <c r="HD49" s="110"/>
      <c r="HE49" s="110"/>
      <c r="HF49" s="110"/>
      <c r="HG49" s="110"/>
      <c r="HH49" s="110"/>
      <c r="HI49" s="110"/>
      <c r="HJ49" s="110"/>
      <c r="HK49" s="110"/>
      <c r="HL49" s="110"/>
      <c r="HM49" s="110"/>
      <c r="HN49" s="110"/>
      <c r="HO49" s="110"/>
      <c r="HP49" s="110"/>
      <c r="HQ49" s="110"/>
      <c r="HR49" s="110"/>
      <c r="HS49" s="110"/>
      <c r="HT49" s="110"/>
      <c r="HU49" s="110"/>
      <c r="HV49" s="110"/>
      <c r="HW49" s="110"/>
      <c r="HX49" s="110"/>
      <c r="HY49" s="110"/>
      <c r="HZ49" s="110"/>
      <c r="IA49" s="110"/>
      <c r="IB49" s="110"/>
      <c r="IC49" s="110"/>
      <c r="ID49" s="110"/>
      <c r="IE49" s="110"/>
      <c r="IF49" s="110"/>
      <c r="IG49" s="110"/>
      <c r="IH49" s="110"/>
      <c r="II49" s="110"/>
      <c r="IJ49" s="110"/>
      <c r="IK49" s="110"/>
      <c r="IL49" s="110"/>
      <c r="IM49" s="110"/>
      <c r="IN49" s="110"/>
      <c r="IO49" s="110"/>
      <c r="IP49" s="110"/>
      <c r="IQ49" s="70"/>
    </row>
    <row r="50" spans="1:251" ht="16.5" hidden="1" customHeight="1">
      <c r="A50" s="95" t="s">
        <v>450</v>
      </c>
      <c r="B50" t="s">
        <v>1363</v>
      </c>
      <c r="C50" t="s">
        <v>450</v>
      </c>
      <c r="E50" t="s">
        <v>450</v>
      </c>
      <c r="F50" t="s">
        <v>1368</v>
      </c>
      <c r="G50" s="654"/>
      <c r="H50">
        <v>62</v>
      </c>
      <c r="J50" s="214" t="str">
        <f t="shared" si="0"/>
        <v>LTT100162</v>
      </c>
      <c r="K50">
        <v>51390</v>
      </c>
      <c r="O50" s="682"/>
      <c r="R50" s="95" t="s">
        <v>450</v>
      </c>
      <c r="V50" s="214"/>
      <c r="EE50" s="95" t="s">
        <v>450</v>
      </c>
      <c r="EF50" s="110"/>
      <c r="EG50" s="110"/>
      <c r="EH50" s="110"/>
      <c r="EI50" s="216"/>
      <c r="EJ50" s="110"/>
      <c r="EK50" s="110"/>
      <c r="EL50" s="110"/>
      <c r="EM50" s="110"/>
      <c r="EN50" s="110"/>
      <c r="EO50" s="110"/>
      <c r="EP50" s="110"/>
      <c r="EQ50" s="110"/>
      <c r="ER50" s="110"/>
      <c r="ES50" s="110"/>
      <c r="ET50" s="110"/>
      <c r="EU50" s="110"/>
      <c r="EV50" s="110"/>
      <c r="EW50" s="110"/>
      <c r="EX50" s="110"/>
      <c r="EY50" s="110"/>
      <c r="EZ50" s="110"/>
      <c r="FA50" s="110"/>
      <c r="FB50" s="110"/>
      <c r="FC50" s="110"/>
      <c r="FD50" s="110"/>
      <c r="FE50" s="110"/>
      <c r="FF50" s="110"/>
      <c r="FG50" s="110"/>
      <c r="FH50" s="110"/>
      <c r="FI50" s="110"/>
      <c r="FJ50" s="110"/>
      <c r="FK50" s="110"/>
      <c r="FL50" s="110"/>
      <c r="FM50" s="110"/>
      <c r="FN50" s="110"/>
      <c r="FO50" s="110"/>
      <c r="FP50" s="110"/>
      <c r="FQ50" s="110"/>
      <c r="FR50" s="110"/>
      <c r="FS50" s="110"/>
      <c r="FT50" s="110"/>
      <c r="FU50" s="110"/>
      <c r="FV50" s="110"/>
      <c r="FW50" s="110"/>
      <c r="FX50" s="110"/>
      <c r="FY50" s="110"/>
      <c r="FZ50" s="110"/>
      <c r="GA50" s="110"/>
      <c r="GB50" s="110"/>
      <c r="GC50" s="110"/>
      <c r="GD50" s="110"/>
      <c r="GE50" s="110"/>
      <c r="GF50" s="110"/>
      <c r="GG50" s="110"/>
      <c r="GH50" s="110"/>
      <c r="GI50" s="110"/>
      <c r="GJ50" s="110"/>
      <c r="GK50" s="110"/>
      <c r="GL50" s="110"/>
      <c r="GM50" s="110"/>
      <c r="GN50" s="110"/>
      <c r="GO50" s="110"/>
      <c r="GP50" s="110"/>
      <c r="GQ50" s="110"/>
      <c r="GR50" s="110"/>
      <c r="GS50" s="110"/>
      <c r="GT50" s="110"/>
      <c r="GU50" s="110"/>
      <c r="GV50" s="110"/>
      <c r="GW50" s="110"/>
      <c r="GX50" s="110"/>
      <c r="GY50" s="110"/>
      <c r="GZ50" s="110"/>
      <c r="HA50" s="110"/>
      <c r="HB50" s="110"/>
      <c r="HC50" s="110"/>
      <c r="HD50" s="110"/>
      <c r="HE50" s="110"/>
      <c r="HF50" s="110"/>
      <c r="HG50" s="110"/>
      <c r="HH50" s="110"/>
      <c r="HI50" s="110"/>
      <c r="HJ50" s="110"/>
      <c r="HK50" s="110"/>
      <c r="HL50" s="110"/>
      <c r="HM50" s="110"/>
      <c r="HN50" s="110"/>
      <c r="HO50" s="110"/>
      <c r="HP50" s="110"/>
      <c r="HQ50" s="110"/>
      <c r="HR50" s="110"/>
      <c r="HS50" s="110"/>
      <c r="HT50" s="110"/>
      <c r="HU50" s="110"/>
      <c r="HV50" s="110"/>
      <c r="HW50" s="110"/>
      <c r="HX50" s="110"/>
      <c r="HY50" s="110"/>
      <c r="HZ50" s="110"/>
      <c r="IA50" s="110"/>
      <c r="IB50" s="110"/>
      <c r="IC50" s="110"/>
      <c r="ID50" s="110"/>
      <c r="IE50" s="110"/>
      <c r="IF50" s="110"/>
      <c r="IG50" s="110"/>
      <c r="IH50" s="110"/>
      <c r="II50" s="110"/>
      <c r="IJ50" s="110"/>
      <c r="IK50" s="110"/>
      <c r="IL50" s="110"/>
      <c r="IM50" s="110"/>
      <c r="IN50" s="110"/>
      <c r="IO50" s="110"/>
      <c r="IP50" s="110"/>
      <c r="IQ50" s="70"/>
    </row>
    <row r="51" spans="1:251" ht="16.5" hidden="1" customHeight="1">
      <c r="A51" s="95" t="s">
        <v>450</v>
      </c>
      <c r="B51" t="s">
        <v>1363</v>
      </c>
      <c r="C51" t="s">
        <v>450</v>
      </c>
      <c r="E51" t="s">
        <v>450</v>
      </c>
      <c r="F51" t="s">
        <v>1368</v>
      </c>
      <c r="G51" s="654"/>
      <c r="H51">
        <v>63</v>
      </c>
      <c r="J51" s="214" t="str">
        <f t="shared" si="0"/>
        <v>LTT100163</v>
      </c>
      <c r="K51">
        <v>52640</v>
      </c>
      <c r="R51" s="95" t="s">
        <v>450</v>
      </c>
      <c r="V51" s="214"/>
      <c r="EE51" s="95" t="s">
        <v>450</v>
      </c>
      <c r="EF51" s="110"/>
      <c r="EG51" s="110"/>
      <c r="EH51" s="110"/>
      <c r="EI51" s="216"/>
      <c r="EJ51" s="110"/>
      <c r="EK51" s="110"/>
      <c r="EL51" s="110"/>
      <c r="EM51" s="110"/>
      <c r="EN51" s="110"/>
      <c r="EO51" s="110"/>
      <c r="EP51" s="110"/>
      <c r="EQ51" s="110"/>
      <c r="ER51" s="110"/>
      <c r="ES51" s="110"/>
      <c r="ET51" s="110"/>
      <c r="EU51" s="110"/>
      <c r="EV51" s="110"/>
      <c r="EW51" s="110"/>
      <c r="EX51" s="110"/>
      <c r="EY51" s="110"/>
      <c r="EZ51" s="110"/>
      <c r="FA51" s="110"/>
      <c r="FB51" s="110"/>
      <c r="FC51" s="110"/>
      <c r="FD51" s="110"/>
      <c r="FE51" s="110"/>
      <c r="FF51" s="110"/>
      <c r="FG51" s="110"/>
      <c r="FH51" s="110"/>
      <c r="FI51" s="110"/>
      <c r="FJ51" s="110"/>
      <c r="FK51" s="110"/>
      <c r="FL51" s="110"/>
      <c r="FM51" s="110"/>
      <c r="FN51" s="110"/>
      <c r="FO51" s="110"/>
      <c r="FP51" s="110"/>
      <c r="FQ51" s="110"/>
      <c r="FR51" s="110"/>
      <c r="FS51" s="110"/>
      <c r="FT51" s="110"/>
      <c r="FU51" s="110"/>
      <c r="FV51" s="110"/>
      <c r="FW51" s="110"/>
      <c r="FX51" s="110"/>
      <c r="FY51" s="110"/>
      <c r="FZ51" s="110"/>
      <c r="GA51" s="110"/>
      <c r="GB51" s="110"/>
      <c r="GC51" s="110"/>
      <c r="GD51" s="110"/>
      <c r="GE51" s="110"/>
      <c r="GF51" s="110"/>
      <c r="GG51" s="110"/>
      <c r="GH51" s="110"/>
      <c r="GI51" s="110"/>
      <c r="GJ51" s="110"/>
      <c r="GK51" s="110"/>
      <c r="GL51" s="110"/>
      <c r="GM51" s="110"/>
      <c r="GN51" s="110"/>
      <c r="GO51" s="110"/>
      <c r="GP51" s="110"/>
      <c r="GQ51" s="110"/>
      <c r="GR51" s="110"/>
      <c r="GS51" s="110"/>
      <c r="GT51" s="110"/>
      <c r="GU51" s="110"/>
      <c r="GV51" s="110"/>
      <c r="GW51" s="110"/>
      <c r="GX51" s="110"/>
      <c r="GY51" s="110"/>
      <c r="GZ51" s="110"/>
      <c r="HA51" s="110"/>
      <c r="HB51" s="110"/>
      <c r="HC51" s="110"/>
      <c r="HD51" s="110"/>
      <c r="HE51" s="110"/>
      <c r="HF51" s="110"/>
      <c r="HG51" s="110"/>
      <c r="HH51" s="110"/>
      <c r="HI51" s="110"/>
      <c r="HJ51" s="110"/>
      <c r="HK51" s="110"/>
      <c r="HL51" s="110"/>
      <c r="HM51" s="110"/>
      <c r="HN51" s="110"/>
      <c r="HO51" s="110"/>
      <c r="HP51" s="110"/>
      <c r="HQ51" s="110"/>
      <c r="HR51" s="110"/>
      <c r="HS51" s="110"/>
      <c r="HT51" s="110"/>
      <c r="HU51" s="110"/>
      <c r="HV51" s="110"/>
      <c r="HW51" s="110"/>
      <c r="HX51" s="110"/>
      <c r="HY51" s="110"/>
      <c r="HZ51" s="110"/>
      <c r="IA51" s="110"/>
      <c r="IB51" s="110"/>
      <c r="IC51" s="110"/>
      <c r="ID51" s="110"/>
      <c r="IE51" s="110"/>
      <c r="IF51" s="110"/>
      <c r="IG51" s="110"/>
      <c r="IH51" s="110"/>
      <c r="II51" s="110"/>
      <c r="IJ51" s="110"/>
      <c r="IK51" s="110"/>
      <c r="IL51" s="110"/>
      <c r="IM51" s="110"/>
      <c r="IN51" s="110"/>
      <c r="IO51" s="110"/>
      <c r="IP51" s="110"/>
      <c r="IQ51" s="70"/>
    </row>
    <row r="52" spans="1:251" ht="16.5" hidden="1" customHeight="1">
      <c r="A52" s="95" t="s">
        <v>450</v>
      </c>
      <c r="B52" t="s">
        <v>1363</v>
      </c>
      <c r="C52" t="s">
        <v>450</v>
      </c>
      <c r="E52" t="s">
        <v>450</v>
      </c>
      <c r="F52" t="s">
        <v>1368</v>
      </c>
      <c r="G52" s="654"/>
      <c r="H52">
        <v>64</v>
      </c>
      <c r="J52" s="214" t="str">
        <f t="shared" si="0"/>
        <v>LTT100164</v>
      </c>
      <c r="K52">
        <v>53910</v>
      </c>
      <c r="R52" s="95" t="s">
        <v>450</v>
      </c>
      <c r="V52" s="214"/>
      <c r="EE52" s="95" t="s">
        <v>450</v>
      </c>
      <c r="EF52" s="110"/>
      <c r="EG52" s="110"/>
      <c r="EH52" s="110"/>
      <c r="EI52" s="216"/>
      <c r="EJ52" s="110"/>
      <c r="EK52" s="110"/>
      <c r="EL52" s="110"/>
      <c r="EM52" s="110"/>
      <c r="EN52" s="110"/>
      <c r="EO52" s="110"/>
      <c r="EP52" s="110"/>
      <c r="EQ52" s="110"/>
      <c r="ER52" s="110"/>
      <c r="ES52" s="110"/>
      <c r="ET52" s="110"/>
      <c r="EU52" s="110"/>
      <c r="EV52" s="110"/>
      <c r="EW52" s="110"/>
      <c r="EX52" s="110"/>
      <c r="EY52" s="110"/>
      <c r="EZ52" s="110"/>
      <c r="FA52" s="110"/>
      <c r="FB52" s="110"/>
      <c r="FC52" s="110"/>
      <c r="FD52" s="110"/>
      <c r="FE52" s="110"/>
      <c r="FF52" s="110"/>
      <c r="FG52" s="110"/>
      <c r="FH52" s="110"/>
      <c r="FI52" s="110"/>
      <c r="FJ52" s="110"/>
      <c r="FK52" s="110"/>
      <c r="FL52" s="110"/>
      <c r="FM52" s="110"/>
      <c r="FN52" s="110"/>
      <c r="FO52" s="110"/>
      <c r="FP52" s="110"/>
      <c r="FQ52" s="110"/>
      <c r="FR52" s="110"/>
      <c r="FS52" s="110"/>
      <c r="FT52" s="110"/>
      <c r="FU52" s="110"/>
      <c r="FV52" s="110"/>
      <c r="FW52" s="110"/>
      <c r="FX52" s="110"/>
      <c r="FY52" s="110"/>
      <c r="FZ52" s="110"/>
      <c r="GA52" s="110"/>
      <c r="GB52" s="110"/>
      <c r="GC52" s="110"/>
      <c r="GD52" s="110"/>
      <c r="GE52" s="110"/>
      <c r="GF52" s="110"/>
      <c r="GG52" s="110"/>
      <c r="GH52" s="110"/>
      <c r="GI52" s="110"/>
      <c r="GJ52" s="110"/>
      <c r="GK52" s="110"/>
      <c r="GL52" s="110"/>
      <c r="GM52" s="110"/>
      <c r="GN52" s="110"/>
      <c r="GO52" s="110"/>
      <c r="GP52" s="110"/>
      <c r="GQ52" s="110"/>
      <c r="GR52" s="110"/>
      <c r="GS52" s="110"/>
      <c r="GT52" s="110"/>
      <c r="GU52" s="110"/>
      <c r="GV52" s="110"/>
      <c r="GW52" s="110"/>
      <c r="GX52" s="110"/>
      <c r="GY52" s="110"/>
      <c r="GZ52" s="110"/>
      <c r="HA52" s="110"/>
      <c r="HB52" s="110"/>
      <c r="HC52" s="110"/>
      <c r="HD52" s="110"/>
      <c r="HE52" s="110"/>
      <c r="HF52" s="110"/>
      <c r="HG52" s="110"/>
      <c r="HH52" s="110"/>
      <c r="HI52" s="110"/>
      <c r="HJ52" s="110"/>
      <c r="HK52" s="110"/>
      <c r="HL52" s="110"/>
      <c r="HM52" s="110"/>
      <c r="HN52" s="110"/>
      <c r="HO52" s="110"/>
      <c r="HP52" s="110"/>
      <c r="HQ52" s="110"/>
      <c r="HR52" s="110"/>
      <c r="HS52" s="110"/>
      <c r="HT52" s="110"/>
      <c r="HU52" s="110"/>
      <c r="HV52" s="110"/>
      <c r="HW52" s="110"/>
      <c r="HX52" s="110"/>
      <c r="HY52" s="110"/>
      <c r="HZ52" s="110"/>
      <c r="IA52" s="110"/>
      <c r="IB52" s="110"/>
      <c r="IC52" s="110"/>
      <c r="ID52" s="110"/>
      <c r="IE52" s="110"/>
      <c r="IF52" s="110"/>
      <c r="IG52" s="110"/>
      <c r="IH52" s="110"/>
      <c r="II52" s="110"/>
      <c r="IJ52" s="110"/>
      <c r="IK52" s="110"/>
      <c r="IL52" s="110"/>
      <c r="IM52" s="110"/>
      <c r="IN52" s="110"/>
      <c r="IO52" s="110"/>
      <c r="IP52" s="110"/>
      <c r="IQ52" s="70"/>
    </row>
    <row r="53" spans="1:251" ht="16.5" hidden="1" customHeight="1">
      <c r="A53" s="95" t="s">
        <v>450</v>
      </c>
      <c r="B53" t="s">
        <v>1363</v>
      </c>
      <c r="C53" t="s">
        <v>450</v>
      </c>
      <c r="E53" t="s">
        <v>450</v>
      </c>
      <c r="F53" t="s">
        <v>1368</v>
      </c>
      <c r="G53" s="654"/>
      <c r="H53">
        <v>65</v>
      </c>
      <c r="J53" s="214" t="str">
        <f t="shared" si="0"/>
        <v>LTT100165</v>
      </c>
      <c r="K53">
        <v>55220</v>
      </c>
      <c r="R53" s="95" t="s">
        <v>450</v>
      </c>
      <c r="V53" s="214"/>
      <c r="EE53" s="95" t="s">
        <v>450</v>
      </c>
      <c r="EF53" s="110"/>
      <c r="EG53" s="110"/>
      <c r="EH53" s="110"/>
      <c r="EI53" s="216"/>
      <c r="EJ53" s="110"/>
      <c r="EK53" s="110"/>
      <c r="EL53" s="110"/>
      <c r="EM53" s="110"/>
      <c r="EN53" s="110"/>
      <c r="EO53" s="110"/>
      <c r="EP53" s="110"/>
      <c r="EQ53" s="110"/>
      <c r="ER53" s="110"/>
      <c r="ES53" s="110"/>
      <c r="ET53" s="110"/>
      <c r="EU53" s="110"/>
      <c r="EV53" s="110"/>
      <c r="EW53" s="110"/>
      <c r="EX53" s="110"/>
      <c r="EY53" s="110"/>
      <c r="EZ53" s="110"/>
      <c r="FA53" s="110"/>
      <c r="FB53" s="110"/>
      <c r="FC53" s="110"/>
      <c r="FD53" s="110"/>
      <c r="FE53" s="110"/>
      <c r="FF53" s="110"/>
      <c r="FG53" s="110"/>
      <c r="FH53" s="110"/>
      <c r="FI53" s="110"/>
      <c r="FJ53" s="110"/>
      <c r="FK53" s="110"/>
      <c r="FL53" s="110"/>
      <c r="FM53" s="110"/>
      <c r="FN53" s="110"/>
      <c r="FO53" s="110"/>
      <c r="FP53" s="110"/>
      <c r="FQ53" s="110"/>
      <c r="FR53" s="110"/>
      <c r="FS53" s="110"/>
      <c r="FT53" s="110"/>
      <c r="FU53" s="110"/>
      <c r="FV53" s="110"/>
      <c r="FW53" s="110"/>
      <c r="FX53" s="110"/>
      <c r="FY53" s="110"/>
      <c r="FZ53" s="110"/>
      <c r="GA53" s="110"/>
      <c r="GB53" s="110"/>
      <c r="GC53" s="110"/>
      <c r="GD53" s="110"/>
      <c r="GE53" s="110"/>
      <c r="GF53" s="110"/>
      <c r="GG53" s="110"/>
      <c r="GH53" s="110"/>
      <c r="GI53" s="110"/>
      <c r="GJ53" s="110"/>
      <c r="GK53" s="110"/>
      <c r="GL53" s="110"/>
      <c r="GM53" s="110"/>
      <c r="GN53" s="110"/>
      <c r="GO53" s="110"/>
      <c r="GP53" s="110"/>
      <c r="GQ53" s="110"/>
      <c r="GR53" s="110"/>
      <c r="GS53" s="110"/>
      <c r="GT53" s="110"/>
      <c r="GU53" s="110"/>
      <c r="GV53" s="110"/>
      <c r="GW53" s="110"/>
      <c r="GX53" s="110"/>
      <c r="GY53" s="110"/>
      <c r="GZ53" s="110"/>
      <c r="HA53" s="110"/>
      <c r="HB53" s="110"/>
      <c r="HC53" s="110"/>
      <c r="HD53" s="110"/>
      <c r="HE53" s="110"/>
      <c r="HF53" s="110"/>
      <c r="HG53" s="110"/>
      <c r="HH53" s="110"/>
      <c r="HI53" s="110"/>
      <c r="HJ53" s="110"/>
      <c r="HK53" s="110"/>
      <c r="HL53" s="110"/>
      <c r="HM53" s="110"/>
      <c r="HN53" s="110"/>
      <c r="HO53" s="110"/>
      <c r="HP53" s="110"/>
      <c r="HQ53" s="110"/>
      <c r="HR53" s="110"/>
      <c r="HS53" s="110"/>
      <c r="HT53" s="110"/>
      <c r="HU53" s="110"/>
      <c r="HV53" s="110"/>
      <c r="HW53" s="110"/>
      <c r="HX53" s="110"/>
      <c r="HY53" s="110"/>
      <c r="HZ53" s="110"/>
      <c r="IA53" s="110"/>
      <c r="IB53" s="110"/>
      <c r="IC53" s="110"/>
      <c r="ID53" s="110"/>
      <c r="IE53" s="110"/>
      <c r="IF53" s="110"/>
      <c r="IG53" s="110"/>
      <c r="IH53" s="110"/>
      <c r="II53" s="110"/>
      <c r="IJ53" s="110"/>
      <c r="IK53" s="110"/>
      <c r="IL53" s="110"/>
      <c r="IM53" s="110"/>
      <c r="IN53" s="110"/>
      <c r="IO53" s="110"/>
      <c r="IP53" s="110"/>
      <c r="IQ53" s="70"/>
    </row>
    <row r="54" spans="1:251" ht="16.5" hidden="1" customHeight="1">
      <c r="A54" s="95" t="s">
        <v>450</v>
      </c>
      <c r="B54" t="s">
        <v>1363</v>
      </c>
      <c r="C54" t="s">
        <v>450</v>
      </c>
      <c r="E54" t="s">
        <v>450</v>
      </c>
      <c r="F54" t="s">
        <v>1369</v>
      </c>
      <c r="G54" s="654"/>
      <c r="H54">
        <v>15</v>
      </c>
      <c r="J54" s="214" t="str">
        <f t="shared" si="0"/>
        <v>LTT100215</v>
      </c>
      <c r="K54">
        <v>30890</v>
      </c>
      <c r="R54" s="95" t="s">
        <v>450</v>
      </c>
      <c r="V54" s="214"/>
      <c r="EE54" s="95" t="s">
        <v>450</v>
      </c>
      <c r="EF54" s="110"/>
      <c r="EG54" s="110"/>
      <c r="EH54" s="110"/>
      <c r="EI54" s="216"/>
      <c r="EJ54" s="110"/>
      <c r="EK54" s="110"/>
      <c r="EL54" s="110"/>
      <c r="EM54" s="110"/>
      <c r="EN54" s="110"/>
      <c r="EO54" s="110"/>
      <c r="EP54" s="110"/>
      <c r="EQ54" s="110"/>
      <c r="ER54" s="110"/>
      <c r="ES54" s="110"/>
      <c r="ET54" s="110"/>
      <c r="EU54" s="110"/>
      <c r="EV54" s="110"/>
      <c r="EW54" s="110"/>
      <c r="EX54" s="110"/>
      <c r="EY54" s="110"/>
      <c r="EZ54" s="110"/>
      <c r="FA54" s="110"/>
      <c r="FB54" s="110"/>
      <c r="FC54" s="110"/>
      <c r="FD54" s="110"/>
      <c r="FE54" s="110"/>
      <c r="FF54" s="110"/>
      <c r="FG54" s="110"/>
      <c r="FH54" s="110"/>
      <c r="FI54" s="110"/>
      <c r="FJ54" s="110"/>
      <c r="FK54" s="110"/>
      <c r="FL54" s="110"/>
      <c r="FM54" s="110"/>
      <c r="FN54" s="110"/>
      <c r="FO54" s="110"/>
      <c r="FP54" s="110"/>
      <c r="FQ54" s="110"/>
      <c r="FR54" s="110"/>
      <c r="FS54" s="110"/>
      <c r="FT54" s="110"/>
      <c r="FU54" s="110"/>
      <c r="FV54" s="110"/>
      <c r="FW54" s="110"/>
      <c r="FX54" s="110"/>
      <c r="FY54" s="110"/>
      <c r="FZ54" s="110"/>
      <c r="GA54" s="110"/>
      <c r="GB54" s="110"/>
      <c r="GC54" s="110"/>
      <c r="GD54" s="110"/>
      <c r="GE54" s="110"/>
      <c r="GF54" s="110"/>
      <c r="GG54" s="110"/>
      <c r="GH54" s="110"/>
      <c r="GI54" s="110"/>
      <c r="GJ54" s="110"/>
      <c r="GK54" s="110"/>
      <c r="GL54" s="110"/>
      <c r="GM54" s="110"/>
      <c r="GN54" s="110"/>
      <c r="GO54" s="110"/>
      <c r="GP54" s="110"/>
      <c r="GQ54" s="110"/>
      <c r="GR54" s="110"/>
      <c r="GS54" s="110"/>
      <c r="GT54" s="110"/>
      <c r="GU54" s="110"/>
      <c r="GV54" s="110"/>
      <c r="GW54" s="110"/>
      <c r="GX54" s="110"/>
      <c r="GY54" s="110"/>
      <c r="GZ54" s="110"/>
      <c r="HA54" s="110"/>
      <c r="HB54" s="110"/>
      <c r="HC54" s="110"/>
      <c r="HD54" s="110"/>
      <c r="HE54" s="110"/>
      <c r="HF54" s="110"/>
      <c r="HG54" s="110"/>
      <c r="HH54" s="110"/>
      <c r="HI54" s="110"/>
      <c r="HJ54" s="110"/>
      <c r="HK54" s="110"/>
      <c r="HL54" s="110"/>
      <c r="HM54" s="110"/>
      <c r="HN54" s="110"/>
      <c r="HO54" s="110"/>
      <c r="HP54" s="110"/>
      <c r="HQ54" s="110"/>
      <c r="HR54" s="110"/>
      <c r="HS54" s="110"/>
      <c r="HT54" s="110"/>
      <c r="HU54" s="110"/>
      <c r="HV54" s="110"/>
      <c r="HW54" s="110"/>
      <c r="HX54" s="110"/>
      <c r="HY54" s="110"/>
      <c r="HZ54" s="110"/>
      <c r="IA54" s="110"/>
      <c r="IB54" s="110"/>
      <c r="IC54" s="110"/>
      <c r="ID54" s="110"/>
      <c r="IE54" s="110"/>
      <c r="IF54" s="110"/>
      <c r="IG54" s="110"/>
      <c r="IH54" s="110"/>
      <c r="II54" s="110"/>
      <c r="IJ54" s="110"/>
      <c r="IK54" s="110"/>
      <c r="IL54" s="110"/>
      <c r="IM54" s="110"/>
      <c r="IN54" s="110"/>
      <c r="IO54" s="110"/>
      <c r="IP54" s="110"/>
      <c r="IQ54" s="70"/>
    </row>
    <row r="55" spans="1:251" ht="16.5" hidden="1" customHeight="1">
      <c r="A55" s="95" t="s">
        <v>450</v>
      </c>
      <c r="B55" t="s">
        <v>1363</v>
      </c>
      <c r="C55" t="s">
        <v>450</v>
      </c>
      <c r="E55" t="s">
        <v>450</v>
      </c>
      <c r="F55" t="s">
        <v>1369</v>
      </c>
      <c r="G55" s="654"/>
      <c r="H55">
        <v>16</v>
      </c>
      <c r="J55" s="214" t="str">
        <f t="shared" si="0"/>
        <v>LTT100216</v>
      </c>
      <c r="K55">
        <v>31430</v>
      </c>
      <c r="R55" s="95" t="s">
        <v>450</v>
      </c>
      <c r="V55" s="214"/>
      <c r="EE55" s="95" t="s">
        <v>450</v>
      </c>
      <c r="EF55" s="110"/>
      <c r="EG55" s="110"/>
      <c r="EH55" s="110"/>
      <c r="EI55" s="216"/>
      <c r="EJ55" s="110"/>
      <c r="EK55" s="110"/>
      <c r="EL55" s="110"/>
      <c r="EM55" s="110"/>
      <c r="EN55" s="110"/>
      <c r="EO55" s="110"/>
      <c r="EP55" s="110"/>
      <c r="EQ55" s="110"/>
      <c r="ER55" s="110"/>
      <c r="ES55" s="110"/>
      <c r="ET55" s="110"/>
      <c r="EU55" s="110"/>
      <c r="EV55" s="110"/>
      <c r="EW55" s="110"/>
      <c r="EX55" s="110"/>
      <c r="EY55" s="110"/>
      <c r="EZ55" s="110"/>
      <c r="FA55" s="110"/>
      <c r="FB55" s="110"/>
      <c r="FC55" s="110"/>
      <c r="FD55" s="110"/>
      <c r="FE55" s="110"/>
      <c r="FF55" s="110"/>
      <c r="FG55" s="110"/>
      <c r="FH55" s="110"/>
      <c r="FI55" s="110"/>
      <c r="FJ55" s="110"/>
      <c r="FK55" s="110"/>
      <c r="FL55" s="110"/>
      <c r="FM55" s="110"/>
      <c r="FN55" s="110"/>
      <c r="FO55" s="110"/>
      <c r="FP55" s="110"/>
      <c r="FQ55" s="110"/>
      <c r="FR55" s="110"/>
      <c r="FS55" s="110"/>
      <c r="FT55" s="110"/>
      <c r="FU55" s="110"/>
      <c r="FV55" s="110"/>
      <c r="FW55" s="110"/>
      <c r="FX55" s="110"/>
      <c r="FY55" s="110"/>
      <c r="FZ55" s="110"/>
      <c r="GA55" s="110"/>
      <c r="GB55" s="110"/>
      <c r="GC55" s="110"/>
      <c r="GD55" s="110"/>
      <c r="GE55" s="110"/>
      <c r="GF55" s="110"/>
      <c r="GG55" s="110"/>
      <c r="GH55" s="110"/>
      <c r="GI55" s="110"/>
      <c r="GJ55" s="110"/>
      <c r="GK55" s="110"/>
      <c r="GL55" s="110"/>
      <c r="GM55" s="110"/>
      <c r="GN55" s="110"/>
      <c r="GO55" s="110"/>
      <c r="GP55" s="110"/>
      <c r="GQ55" s="110"/>
      <c r="GR55" s="110"/>
      <c r="GS55" s="110"/>
      <c r="GT55" s="110"/>
      <c r="GU55" s="110"/>
      <c r="GV55" s="110"/>
      <c r="GW55" s="110"/>
      <c r="GX55" s="110"/>
      <c r="GY55" s="110"/>
      <c r="GZ55" s="110"/>
      <c r="HA55" s="110"/>
      <c r="HB55" s="110"/>
      <c r="HC55" s="110"/>
      <c r="HD55" s="110"/>
      <c r="HE55" s="110"/>
      <c r="HF55" s="110"/>
      <c r="HG55" s="110"/>
      <c r="HH55" s="110"/>
      <c r="HI55" s="110"/>
      <c r="HJ55" s="110"/>
      <c r="HK55" s="110"/>
      <c r="HL55" s="110"/>
      <c r="HM55" s="110"/>
      <c r="HN55" s="110"/>
      <c r="HO55" s="110"/>
      <c r="HP55" s="110"/>
      <c r="HQ55" s="110"/>
      <c r="HR55" s="110"/>
      <c r="HS55" s="110"/>
      <c r="HT55" s="110"/>
      <c r="HU55" s="110"/>
      <c r="HV55" s="110"/>
      <c r="HW55" s="110"/>
      <c r="HX55" s="110"/>
      <c r="HY55" s="110"/>
      <c r="HZ55" s="110"/>
      <c r="IA55" s="110"/>
      <c r="IB55" s="110"/>
      <c r="IC55" s="110"/>
      <c r="ID55" s="110"/>
      <c r="IE55" s="110"/>
      <c r="IF55" s="110"/>
      <c r="IG55" s="110"/>
      <c r="IH55" s="110"/>
      <c r="II55" s="110"/>
      <c r="IJ55" s="110"/>
      <c r="IK55" s="110"/>
      <c r="IL55" s="110"/>
      <c r="IM55" s="110"/>
      <c r="IN55" s="110"/>
      <c r="IO55" s="110"/>
      <c r="IP55" s="110"/>
      <c r="IQ55" s="70"/>
    </row>
    <row r="56" spans="1:251" ht="16.5" hidden="1" customHeight="1">
      <c r="A56" s="95" t="s">
        <v>450</v>
      </c>
      <c r="B56" t="s">
        <v>1363</v>
      </c>
      <c r="C56" t="s">
        <v>450</v>
      </c>
      <c r="E56" t="s">
        <v>450</v>
      </c>
      <c r="F56" t="s">
        <v>1369</v>
      </c>
      <c r="G56" s="654"/>
      <c r="H56">
        <v>17</v>
      </c>
      <c r="J56" s="214" t="str">
        <f t="shared" si="0"/>
        <v>LTT100217</v>
      </c>
      <c r="K56">
        <v>31910</v>
      </c>
      <c r="R56" s="95" t="s">
        <v>450</v>
      </c>
      <c r="V56" s="214"/>
      <c r="EE56" s="95" t="s">
        <v>450</v>
      </c>
      <c r="EF56" s="110"/>
      <c r="EG56" s="110"/>
      <c r="EH56" s="110"/>
      <c r="EI56" s="216"/>
      <c r="EJ56" s="110"/>
      <c r="EK56" s="110"/>
      <c r="EL56" s="110"/>
      <c r="EM56" s="110"/>
      <c r="EN56" s="110"/>
      <c r="EO56" s="110"/>
      <c r="EP56" s="110"/>
      <c r="EQ56" s="110"/>
      <c r="ER56" s="110"/>
      <c r="ES56" s="110"/>
      <c r="ET56" s="110"/>
      <c r="EU56" s="110"/>
      <c r="EV56" s="110"/>
      <c r="EW56" s="110"/>
      <c r="EX56" s="110"/>
      <c r="EY56" s="110"/>
      <c r="EZ56" s="110"/>
      <c r="FA56" s="110"/>
      <c r="FB56" s="110"/>
      <c r="FC56" s="110"/>
      <c r="FD56" s="110"/>
      <c r="FE56" s="110"/>
      <c r="FF56" s="110"/>
      <c r="FG56" s="110"/>
      <c r="FH56" s="110"/>
      <c r="FI56" s="110"/>
      <c r="FJ56" s="110"/>
      <c r="FK56" s="110"/>
      <c r="FL56" s="110"/>
      <c r="FM56" s="110"/>
      <c r="FN56" s="110"/>
      <c r="FO56" s="110"/>
      <c r="FP56" s="110"/>
      <c r="FQ56" s="110"/>
      <c r="FR56" s="110"/>
      <c r="FS56" s="110"/>
      <c r="FT56" s="110"/>
      <c r="FU56" s="110"/>
      <c r="FV56" s="110"/>
      <c r="FW56" s="110"/>
      <c r="FX56" s="110"/>
      <c r="FY56" s="110"/>
      <c r="FZ56" s="110"/>
      <c r="GA56" s="110"/>
      <c r="GB56" s="110"/>
      <c r="GC56" s="110"/>
      <c r="GD56" s="110"/>
      <c r="GE56" s="110"/>
      <c r="GF56" s="110"/>
      <c r="GG56" s="110"/>
      <c r="GH56" s="110"/>
      <c r="GI56" s="110"/>
      <c r="GJ56" s="110"/>
      <c r="GK56" s="110"/>
      <c r="GL56" s="110"/>
      <c r="GM56" s="110"/>
      <c r="GN56" s="110"/>
      <c r="GO56" s="110"/>
      <c r="GP56" s="110"/>
      <c r="GQ56" s="110"/>
      <c r="GR56" s="110"/>
      <c r="GS56" s="110"/>
      <c r="GT56" s="110"/>
      <c r="GU56" s="110"/>
      <c r="GV56" s="110"/>
      <c r="GW56" s="110"/>
      <c r="GX56" s="110"/>
      <c r="GY56" s="110"/>
      <c r="GZ56" s="110"/>
      <c r="HA56" s="110"/>
      <c r="HB56" s="110"/>
      <c r="HC56" s="110"/>
      <c r="HD56" s="110"/>
      <c r="HE56" s="110"/>
      <c r="HF56" s="110"/>
      <c r="HG56" s="110"/>
      <c r="HH56" s="110"/>
      <c r="HI56" s="110"/>
      <c r="HJ56" s="110"/>
      <c r="HK56" s="110"/>
      <c r="HL56" s="110"/>
      <c r="HM56" s="110"/>
      <c r="HN56" s="110"/>
      <c r="HO56" s="110"/>
      <c r="HP56" s="110"/>
      <c r="HQ56" s="110"/>
      <c r="HR56" s="110"/>
      <c r="HS56" s="110"/>
      <c r="HT56" s="110"/>
      <c r="HU56" s="110"/>
      <c r="HV56" s="110"/>
      <c r="HW56" s="110"/>
      <c r="HX56" s="110"/>
      <c r="HY56" s="110"/>
      <c r="HZ56" s="110"/>
      <c r="IA56" s="110"/>
      <c r="IB56" s="110"/>
      <c r="IC56" s="110"/>
      <c r="ID56" s="110"/>
      <c r="IE56" s="110"/>
      <c r="IF56" s="110"/>
      <c r="IG56" s="110"/>
      <c r="IH56" s="110"/>
      <c r="II56" s="110"/>
      <c r="IJ56" s="110"/>
      <c r="IK56" s="110"/>
      <c r="IL56" s="110"/>
      <c r="IM56" s="110"/>
      <c r="IN56" s="110"/>
      <c r="IO56" s="110"/>
      <c r="IP56" s="110"/>
      <c r="IQ56" s="70"/>
    </row>
    <row r="57" spans="1:251" ht="16.5" hidden="1" customHeight="1">
      <c r="A57" s="95" t="s">
        <v>450</v>
      </c>
      <c r="B57" t="s">
        <v>1363</v>
      </c>
      <c r="C57" t="s">
        <v>450</v>
      </c>
      <c r="E57" t="s">
        <v>450</v>
      </c>
      <c r="F57" t="s">
        <v>1369</v>
      </c>
      <c r="G57" s="654"/>
      <c r="H57">
        <v>18</v>
      </c>
      <c r="J57" s="214" t="str">
        <f t="shared" si="0"/>
        <v>LTT100218</v>
      </c>
      <c r="K57">
        <v>32430</v>
      </c>
      <c r="R57" s="95" t="s">
        <v>450</v>
      </c>
      <c r="V57" s="214"/>
      <c r="EE57" s="95" t="s">
        <v>450</v>
      </c>
      <c r="EF57" s="110"/>
      <c r="EG57" s="110"/>
      <c r="EH57" s="110"/>
      <c r="EI57" s="216"/>
      <c r="EJ57" s="110"/>
      <c r="EK57" s="110"/>
      <c r="EL57" s="110"/>
      <c r="EM57" s="110"/>
      <c r="EN57" s="110"/>
      <c r="EO57" s="110"/>
      <c r="EP57" s="110"/>
      <c r="EQ57" s="110"/>
      <c r="ER57" s="110"/>
      <c r="ES57" s="110"/>
      <c r="ET57" s="110"/>
      <c r="EU57" s="110"/>
      <c r="EV57" s="110"/>
      <c r="EW57" s="110"/>
      <c r="EX57" s="110"/>
      <c r="EY57" s="110"/>
      <c r="EZ57" s="110"/>
      <c r="FA57" s="110"/>
      <c r="FB57" s="110"/>
      <c r="FC57" s="110"/>
      <c r="FD57" s="110"/>
      <c r="FE57" s="110"/>
      <c r="FF57" s="110"/>
      <c r="FG57" s="110"/>
      <c r="FH57" s="110"/>
      <c r="FI57" s="110"/>
      <c r="FJ57" s="110"/>
      <c r="FK57" s="110"/>
      <c r="FL57" s="110"/>
      <c r="FM57" s="110"/>
      <c r="FN57" s="110"/>
      <c r="FO57" s="110"/>
      <c r="FP57" s="110"/>
      <c r="FQ57" s="110"/>
      <c r="FR57" s="110"/>
      <c r="FS57" s="110"/>
      <c r="FT57" s="110"/>
      <c r="FU57" s="110"/>
      <c r="FV57" s="110"/>
      <c r="FW57" s="110"/>
      <c r="FX57" s="110"/>
      <c r="FY57" s="110"/>
      <c r="FZ57" s="110"/>
      <c r="GA57" s="110"/>
      <c r="GB57" s="110"/>
      <c r="GC57" s="110"/>
      <c r="GD57" s="110"/>
      <c r="GE57" s="110"/>
      <c r="GF57" s="110"/>
      <c r="GG57" s="110"/>
      <c r="GH57" s="110"/>
      <c r="GI57" s="110"/>
      <c r="GJ57" s="110"/>
      <c r="GK57" s="110"/>
      <c r="GL57" s="110"/>
      <c r="GM57" s="110"/>
      <c r="GN57" s="110"/>
      <c r="GO57" s="110"/>
      <c r="GP57" s="110"/>
      <c r="GQ57" s="110"/>
      <c r="GR57" s="110"/>
      <c r="GS57" s="110"/>
      <c r="GT57" s="110"/>
      <c r="GU57" s="110"/>
      <c r="GV57" s="110"/>
      <c r="GW57" s="110"/>
      <c r="GX57" s="110"/>
      <c r="GY57" s="110"/>
      <c r="GZ57" s="110"/>
      <c r="HA57" s="110"/>
      <c r="HB57" s="110"/>
      <c r="HC57" s="110"/>
      <c r="HD57" s="110"/>
      <c r="HE57" s="110"/>
      <c r="HF57" s="110"/>
      <c r="HG57" s="110"/>
      <c r="HH57" s="110"/>
      <c r="HI57" s="110"/>
      <c r="HJ57" s="110"/>
      <c r="HK57" s="110"/>
      <c r="HL57" s="110"/>
      <c r="HM57" s="110"/>
      <c r="HN57" s="110"/>
      <c r="HO57" s="110"/>
      <c r="HP57" s="110"/>
      <c r="HQ57" s="110"/>
      <c r="HR57" s="110"/>
      <c r="HS57" s="110"/>
      <c r="HT57" s="110"/>
      <c r="HU57" s="110"/>
      <c r="HV57" s="110"/>
      <c r="HW57" s="110"/>
      <c r="HX57" s="110"/>
      <c r="HY57" s="110"/>
      <c r="HZ57" s="110"/>
      <c r="IA57" s="110"/>
      <c r="IB57" s="110"/>
      <c r="IC57" s="110"/>
      <c r="ID57" s="110"/>
      <c r="IE57" s="110"/>
      <c r="IF57" s="110"/>
      <c r="IG57" s="110"/>
      <c r="IH57" s="110"/>
      <c r="II57" s="110"/>
      <c r="IJ57" s="110"/>
      <c r="IK57" s="110"/>
      <c r="IL57" s="110"/>
      <c r="IM57" s="110"/>
      <c r="IN57" s="110"/>
      <c r="IO57" s="110"/>
      <c r="IP57" s="110"/>
      <c r="IQ57" s="70"/>
    </row>
    <row r="58" spans="1:251" ht="16.5" hidden="1" customHeight="1">
      <c r="A58" s="95" t="s">
        <v>450</v>
      </c>
      <c r="B58" t="s">
        <v>1363</v>
      </c>
      <c r="C58" t="s">
        <v>450</v>
      </c>
      <c r="E58" t="s">
        <v>450</v>
      </c>
      <c r="F58" t="s">
        <v>1369</v>
      </c>
      <c r="G58" s="654"/>
      <c r="H58">
        <v>19</v>
      </c>
      <c r="J58" s="214" t="str">
        <f t="shared" si="0"/>
        <v>LTT100219</v>
      </c>
      <c r="K58">
        <v>32920</v>
      </c>
      <c r="R58" s="95" t="s">
        <v>450</v>
      </c>
      <c r="V58" s="214"/>
      <c r="EE58" s="95" t="s">
        <v>450</v>
      </c>
      <c r="EF58" s="110"/>
      <c r="EG58" s="110"/>
      <c r="EH58" s="110"/>
      <c r="EI58" s="216"/>
      <c r="EJ58" s="110"/>
      <c r="EK58" s="110"/>
      <c r="EL58" s="110"/>
      <c r="EM58" s="110"/>
      <c r="EN58" s="110"/>
      <c r="EO58" s="110"/>
      <c r="EP58" s="110"/>
      <c r="EQ58" s="110"/>
      <c r="ER58" s="110"/>
      <c r="ES58" s="110"/>
      <c r="ET58" s="110"/>
      <c r="EU58" s="110"/>
      <c r="EV58" s="110"/>
      <c r="EW58" s="110"/>
      <c r="EX58" s="110"/>
      <c r="EY58" s="110"/>
      <c r="EZ58" s="110"/>
      <c r="FA58" s="110"/>
      <c r="FB58" s="110"/>
      <c r="FC58" s="110"/>
      <c r="FD58" s="110"/>
      <c r="FE58" s="110"/>
      <c r="FF58" s="110"/>
      <c r="FG58" s="110"/>
      <c r="FH58" s="110"/>
      <c r="FI58" s="110"/>
      <c r="FJ58" s="110"/>
      <c r="FK58" s="110"/>
      <c r="FL58" s="110"/>
      <c r="FM58" s="110"/>
      <c r="FN58" s="110"/>
      <c r="FO58" s="110"/>
      <c r="FP58" s="110"/>
      <c r="FQ58" s="110"/>
      <c r="FR58" s="110"/>
      <c r="FS58" s="110"/>
      <c r="FT58" s="110"/>
      <c r="FU58" s="110"/>
      <c r="FV58" s="110"/>
      <c r="FW58" s="110"/>
      <c r="FX58" s="110"/>
      <c r="FY58" s="110"/>
      <c r="FZ58" s="110"/>
      <c r="GA58" s="110"/>
      <c r="GB58" s="110"/>
      <c r="GC58" s="110"/>
      <c r="GD58" s="110"/>
      <c r="GE58" s="110"/>
      <c r="GF58" s="110"/>
      <c r="GG58" s="110"/>
      <c r="GH58" s="110"/>
      <c r="GI58" s="110"/>
      <c r="GJ58" s="110"/>
      <c r="GK58" s="110"/>
      <c r="GL58" s="110"/>
      <c r="GM58" s="110"/>
      <c r="GN58" s="110"/>
      <c r="GO58" s="110"/>
      <c r="GP58" s="110"/>
      <c r="GQ58" s="110"/>
      <c r="GR58" s="110"/>
      <c r="GS58" s="110"/>
      <c r="GT58" s="110"/>
      <c r="GU58" s="110"/>
      <c r="GV58" s="110"/>
      <c r="GW58" s="110"/>
      <c r="GX58" s="110"/>
      <c r="GY58" s="110"/>
      <c r="GZ58" s="110"/>
      <c r="HA58" s="110"/>
      <c r="HB58" s="110"/>
      <c r="HC58" s="110"/>
      <c r="HD58" s="110"/>
      <c r="HE58" s="110"/>
      <c r="HF58" s="110"/>
      <c r="HG58" s="110"/>
      <c r="HH58" s="110"/>
      <c r="HI58" s="110"/>
      <c r="HJ58" s="110"/>
      <c r="HK58" s="110"/>
      <c r="HL58" s="110"/>
      <c r="HM58" s="110"/>
      <c r="HN58" s="110"/>
      <c r="HO58" s="110"/>
      <c r="HP58" s="110"/>
      <c r="HQ58" s="110"/>
      <c r="HR58" s="110"/>
      <c r="HS58" s="110"/>
      <c r="HT58" s="110"/>
      <c r="HU58" s="110"/>
      <c r="HV58" s="110"/>
      <c r="HW58" s="110"/>
      <c r="HX58" s="110"/>
      <c r="HY58" s="110"/>
      <c r="HZ58" s="110"/>
      <c r="IA58" s="110"/>
      <c r="IB58" s="110"/>
      <c r="IC58" s="110"/>
      <c r="ID58" s="110"/>
      <c r="IE58" s="110"/>
      <c r="IF58" s="110"/>
      <c r="IG58" s="110"/>
      <c r="IH58" s="110"/>
      <c r="II58" s="110"/>
      <c r="IJ58" s="110"/>
      <c r="IK58" s="110"/>
      <c r="IL58" s="110"/>
      <c r="IM58" s="110"/>
      <c r="IN58" s="110"/>
      <c r="IO58" s="110"/>
      <c r="IP58" s="110"/>
      <c r="IQ58" s="70"/>
    </row>
    <row r="59" spans="1:251" ht="16.5" hidden="1" customHeight="1">
      <c r="A59" s="95" t="s">
        <v>450</v>
      </c>
      <c r="B59" t="s">
        <v>1363</v>
      </c>
      <c r="C59" t="s">
        <v>450</v>
      </c>
      <c r="E59" t="s">
        <v>450</v>
      </c>
      <c r="F59" t="s">
        <v>1369</v>
      </c>
      <c r="G59" s="654"/>
      <c r="H59" s="654">
        <v>20</v>
      </c>
      <c r="J59" s="214" t="str">
        <f t="shared" si="0"/>
        <v>LTT100220</v>
      </c>
      <c r="K59">
        <v>33420</v>
      </c>
      <c r="R59" s="95" t="s">
        <v>450</v>
      </c>
      <c r="V59" s="214"/>
      <c r="EE59" s="95" t="s">
        <v>450</v>
      </c>
      <c r="EF59" s="110"/>
      <c r="EG59" s="110"/>
      <c r="EH59" s="110"/>
      <c r="EI59" s="216"/>
      <c r="EJ59" s="110"/>
      <c r="EK59" s="110"/>
      <c r="EL59" s="110"/>
      <c r="EM59" s="110"/>
      <c r="EN59" s="110"/>
      <c r="EO59" s="110"/>
      <c r="EP59" s="110"/>
      <c r="EQ59" s="110"/>
      <c r="ER59" s="110"/>
      <c r="ES59" s="110"/>
      <c r="ET59" s="110"/>
      <c r="EU59" s="110"/>
      <c r="EV59" s="110"/>
      <c r="EW59" s="110"/>
      <c r="EX59" s="110"/>
      <c r="EY59" s="110"/>
      <c r="EZ59" s="110"/>
      <c r="FA59" s="110"/>
      <c r="FB59" s="110"/>
      <c r="FC59" s="110"/>
      <c r="FD59" s="110"/>
      <c r="FE59" s="110"/>
      <c r="FF59" s="110"/>
      <c r="FG59" s="110"/>
      <c r="FH59" s="110"/>
      <c r="FI59" s="110"/>
      <c r="FJ59" s="110"/>
      <c r="FK59" s="110"/>
      <c r="FL59" s="110"/>
      <c r="FM59" s="110"/>
      <c r="FN59" s="110"/>
      <c r="FO59" s="110"/>
      <c r="FP59" s="110"/>
      <c r="FQ59" s="110"/>
      <c r="FR59" s="110"/>
      <c r="FS59" s="110"/>
      <c r="FT59" s="110"/>
      <c r="FU59" s="110"/>
      <c r="FV59" s="110"/>
      <c r="FW59" s="110"/>
      <c r="FX59" s="110"/>
      <c r="FY59" s="110"/>
      <c r="FZ59" s="110"/>
      <c r="GA59" s="110"/>
      <c r="GB59" s="110"/>
      <c r="GC59" s="110"/>
      <c r="GD59" s="110"/>
      <c r="GE59" s="110"/>
      <c r="GF59" s="110"/>
      <c r="GG59" s="110"/>
      <c r="GH59" s="110"/>
      <c r="GI59" s="110"/>
      <c r="GJ59" s="110"/>
      <c r="GK59" s="110"/>
      <c r="GL59" s="110"/>
      <c r="GM59" s="110"/>
      <c r="GN59" s="110"/>
      <c r="GO59" s="110"/>
      <c r="GP59" s="110"/>
      <c r="GQ59" s="110"/>
      <c r="GR59" s="110"/>
      <c r="GS59" s="110"/>
      <c r="GT59" s="110"/>
      <c r="GU59" s="110"/>
      <c r="GV59" s="110"/>
      <c r="GW59" s="110"/>
      <c r="GX59" s="110"/>
      <c r="GY59" s="110"/>
      <c r="GZ59" s="110"/>
      <c r="HA59" s="110"/>
      <c r="HB59" s="110"/>
      <c r="HC59" s="110"/>
      <c r="HD59" s="110"/>
      <c r="HE59" s="110"/>
      <c r="HF59" s="110"/>
      <c r="HG59" s="110"/>
      <c r="HH59" s="110"/>
      <c r="HI59" s="110"/>
      <c r="HJ59" s="110"/>
      <c r="HK59" s="110"/>
      <c r="HL59" s="110"/>
      <c r="HM59" s="110"/>
      <c r="HN59" s="110"/>
      <c r="HO59" s="110"/>
      <c r="HP59" s="110"/>
      <c r="HQ59" s="110"/>
      <c r="HR59" s="110"/>
      <c r="HS59" s="110"/>
      <c r="HT59" s="110"/>
      <c r="HU59" s="110"/>
      <c r="HV59" s="110"/>
      <c r="HW59" s="110"/>
      <c r="HX59" s="110"/>
      <c r="HY59" s="110"/>
      <c r="HZ59" s="110"/>
      <c r="IA59" s="110"/>
      <c r="IB59" s="110"/>
      <c r="IC59" s="110"/>
      <c r="ID59" s="110"/>
      <c r="IE59" s="110"/>
      <c r="IF59" s="110"/>
      <c r="IG59" s="110"/>
      <c r="IH59" s="110"/>
      <c r="II59" s="110"/>
      <c r="IJ59" s="110"/>
      <c r="IK59" s="110"/>
      <c r="IL59" s="110"/>
      <c r="IM59" s="110"/>
      <c r="IN59" s="110"/>
      <c r="IO59" s="110"/>
      <c r="IP59" s="110"/>
      <c r="IQ59" s="70"/>
    </row>
    <row r="60" spans="1:251" ht="16.5" hidden="1" customHeight="1">
      <c r="A60" s="95" t="s">
        <v>450</v>
      </c>
      <c r="B60" t="s">
        <v>1363</v>
      </c>
      <c r="C60" t="s">
        <v>450</v>
      </c>
      <c r="E60" t="s">
        <v>450</v>
      </c>
      <c r="F60" t="s">
        <v>1369</v>
      </c>
      <c r="G60" s="654"/>
      <c r="H60">
        <v>21</v>
      </c>
      <c r="J60" s="214" t="str">
        <f t="shared" si="0"/>
        <v>LTT100221</v>
      </c>
      <c r="K60">
        <v>33970</v>
      </c>
      <c r="R60" s="95" t="s">
        <v>450</v>
      </c>
      <c r="V60" s="214"/>
      <c r="EE60" s="95" t="s">
        <v>450</v>
      </c>
      <c r="EF60" s="110"/>
      <c r="EG60" s="110"/>
      <c r="EH60" s="110"/>
      <c r="EI60" s="216"/>
      <c r="EJ60" s="110"/>
      <c r="EK60" s="110"/>
      <c r="EL60" s="110"/>
      <c r="EM60" s="110"/>
      <c r="EN60" s="110"/>
      <c r="EO60" s="110"/>
      <c r="EP60" s="110"/>
      <c r="EQ60" s="110"/>
      <c r="ER60" s="110"/>
      <c r="ES60" s="110"/>
      <c r="ET60" s="110"/>
      <c r="EU60" s="110"/>
      <c r="EV60" s="110"/>
      <c r="EW60" s="110"/>
      <c r="EX60" s="110"/>
      <c r="EY60" s="110"/>
      <c r="EZ60" s="110"/>
      <c r="FA60" s="110"/>
      <c r="FB60" s="110"/>
      <c r="FC60" s="110"/>
      <c r="FD60" s="110"/>
      <c r="FE60" s="110"/>
      <c r="FF60" s="110"/>
      <c r="FG60" s="110"/>
      <c r="FH60" s="110"/>
      <c r="FI60" s="110"/>
      <c r="FJ60" s="110"/>
      <c r="FK60" s="110"/>
      <c r="FL60" s="110"/>
      <c r="FM60" s="110"/>
      <c r="FN60" s="110"/>
      <c r="FO60" s="110"/>
      <c r="FP60" s="110"/>
      <c r="FQ60" s="110"/>
      <c r="FR60" s="110"/>
      <c r="FS60" s="110"/>
      <c r="FT60" s="110"/>
      <c r="FU60" s="110"/>
      <c r="FV60" s="110"/>
      <c r="FW60" s="110"/>
      <c r="FX60" s="110"/>
      <c r="FY60" s="110"/>
      <c r="FZ60" s="110"/>
      <c r="GA60" s="110"/>
      <c r="GB60" s="110"/>
      <c r="GC60" s="110"/>
      <c r="GD60" s="110"/>
      <c r="GE60" s="110"/>
      <c r="GF60" s="110"/>
      <c r="GG60" s="110"/>
      <c r="GH60" s="110"/>
      <c r="GI60" s="110"/>
      <c r="GJ60" s="110"/>
      <c r="GK60" s="110"/>
      <c r="GL60" s="110"/>
      <c r="GM60" s="110"/>
      <c r="GN60" s="110"/>
      <c r="GO60" s="110"/>
      <c r="GP60" s="110"/>
      <c r="GQ60" s="110"/>
      <c r="GR60" s="110"/>
      <c r="GS60" s="110"/>
      <c r="GT60" s="110"/>
      <c r="GU60" s="110"/>
      <c r="GV60" s="110"/>
      <c r="GW60" s="110"/>
      <c r="GX60" s="110"/>
      <c r="GY60" s="110"/>
      <c r="GZ60" s="110"/>
      <c r="HA60" s="110"/>
      <c r="HB60" s="110"/>
      <c r="HC60" s="110"/>
      <c r="HD60" s="110"/>
      <c r="HE60" s="110"/>
      <c r="HF60" s="110"/>
      <c r="HG60" s="110"/>
      <c r="HH60" s="110"/>
      <c r="HI60" s="110"/>
      <c r="HJ60" s="110"/>
      <c r="HK60" s="110"/>
      <c r="HL60" s="110"/>
      <c r="HM60" s="110"/>
      <c r="HN60" s="110"/>
      <c r="HO60" s="110"/>
      <c r="HP60" s="110"/>
      <c r="HQ60" s="110"/>
      <c r="HR60" s="110"/>
      <c r="HS60" s="110"/>
      <c r="HT60" s="110"/>
      <c r="HU60" s="110"/>
      <c r="HV60" s="110"/>
      <c r="HW60" s="110"/>
      <c r="HX60" s="110"/>
      <c r="HY60" s="110"/>
      <c r="HZ60" s="110"/>
      <c r="IA60" s="110"/>
      <c r="IB60" s="110"/>
      <c r="IC60" s="110"/>
      <c r="ID60" s="110"/>
      <c r="IE60" s="110"/>
      <c r="IF60" s="110"/>
      <c r="IG60" s="110"/>
      <c r="IH60" s="110"/>
      <c r="II60" s="110"/>
      <c r="IJ60" s="110"/>
      <c r="IK60" s="110"/>
      <c r="IL60" s="110"/>
      <c r="IM60" s="110"/>
      <c r="IN60" s="110"/>
      <c r="IO60" s="110"/>
      <c r="IP60" s="110"/>
      <c r="IQ60" s="70"/>
    </row>
    <row r="61" spans="1:251" ht="16.5" hidden="1" customHeight="1">
      <c r="A61" s="95" t="s">
        <v>450</v>
      </c>
      <c r="B61" t="s">
        <v>1363</v>
      </c>
      <c r="C61" t="s">
        <v>450</v>
      </c>
      <c r="E61" t="s">
        <v>450</v>
      </c>
      <c r="F61" t="s">
        <v>1369</v>
      </c>
      <c r="G61" s="654"/>
      <c r="H61">
        <v>22</v>
      </c>
      <c r="J61" s="214" t="str">
        <f t="shared" si="0"/>
        <v>LTT100222</v>
      </c>
      <c r="K61">
        <v>34530</v>
      </c>
      <c r="R61" s="95" t="s">
        <v>450</v>
      </c>
      <c r="V61" s="214"/>
      <c r="EE61" s="95" t="s">
        <v>450</v>
      </c>
      <c r="EF61" s="110"/>
      <c r="EG61" s="110"/>
      <c r="EH61" s="110"/>
      <c r="EI61" s="216"/>
      <c r="EJ61" s="110"/>
      <c r="EK61" s="110"/>
      <c r="EL61" s="110"/>
      <c r="EM61" s="110"/>
      <c r="EN61" s="110"/>
      <c r="EO61" s="110"/>
      <c r="EP61" s="110"/>
      <c r="EQ61" s="110"/>
      <c r="ER61" s="110"/>
      <c r="ES61" s="110"/>
      <c r="ET61" s="110"/>
      <c r="EU61" s="110"/>
      <c r="EV61" s="110"/>
      <c r="EW61" s="110"/>
      <c r="EX61" s="110"/>
      <c r="EY61" s="110"/>
      <c r="EZ61" s="110"/>
      <c r="FA61" s="110"/>
      <c r="FB61" s="110"/>
      <c r="FC61" s="110"/>
      <c r="FD61" s="110"/>
      <c r="FE61" s="110"/>
      <c r="FF61" s="110"/>
      <c r="FG61" s="110"/>
      <c r="FH61" s="110"/>
      <c r="FI61" s="110"/>
      <c r="FJ61" s="110"/>
      <c r="FK61" s="110"/>
      <c r="FL61" s="110"/>
      <c r="FM61" s="110"/>
      <c r="FN61" s="110"/>
      <c r="FO61" s="110"/>
      <c r="FP61" s="110"/>
      <c r="FQ61" s="110"/>
      <c r="FR61" s="110"/>
      <c r="FS61" s="110"/>
      <c r="FT61" s="110"/>
      <c r="FU61" s="110"/>
      <c r="FV61" s="110"/>
      <c r="FW61" s="110"/>
      <c r="FX61" s="110"/>
      <c r="FY61" s="110"/>
      <c r="FZ61" s="110"/>
      <c r="GA61" s="110"/>
      <c r="GB61" s="110"/>
      <c r="GC61" s="110"/>
      <c r="GD61" s="110"/>
      <c r="GE61" s="110"/>
      <c r="GF61" s="110"/>
      <c r="GG61" s="110"/>
      <c r="GH61" s="110"/>
      <c r="GI61" s="110"/>
      <c r="GJ61" s="110"/>
      <c r="GK61" s="110"/>
      <c r="GL61" s="110"/>
      <c r="GM61" s="110"/>
      <c r="GN61" s="110"/>
      <c r="GO61" s="110"/>
      <c r="GP61" s="110"/>
      <c r="GQ61" s="110"/>
      <c r="GR61" s="110"/>
      <c r="GS61" s="110"/>
      <c r="GT61" s="110"/>
      <c r="GU61" s="110"/>
      <c r="GV61" s="110"/>
      <c r="GW61" s="110"/>
      <c r="GX61" s="110"/>
      <c r="GY61" s="110"/>
      <c r="GZ61" s="110"/>
      <c r="HA61" s="110"/>
      <c r="HB61" s="110"/>
      <c r="HC61" s="110"/>
      <c r="HD61" s="110"/>
      <c r="HE61" s="110"/>
      <c r="HF61" s="110"/>
      <c r="HG61" s="110"/>
      <c r="HH61" s="110"/>
      <c r="HI61" s="110"/>
      <c r="HJ61" s="110"/>
      <c r="HK61" s="110"/>
      <c r="HL61" s="110"/>
      <c r="HM61" s="110"/>
      <c r="HN61" s="110"/>
      <c r="HO61" s="110"/>
      <c r="HP61" s="110"/>
      <c r="HQ61" s="110"/>
      <c r="HR61" s="110"/>
      <c r="HS61" s="110"/>
      <c r="HT61" s="110"/>
      <c r="HU61" s="110"/>
      <c r="HV61" s="110"/>
      <c r="HW61" s="110"/>
      <c r="HX61" s="110"/>
      <c r="HY61" s="110"/>
      <c r="HZ61" s="110"/>
      <c r="IA61" s="110"/>
      <c r="IB61" s="110"/>
      <c r="IC61" s="110"/>
      <c r="ID61" s="110"/>
      <c r="IE61" s="110"/>
      <c r="IF61" s="110"/>
      <c r="IG61" s="110"/>
      <c r="IH61" s="110"/>
      <c r="II61" s="110"/>
      <c r="IJ61" s="110"/>
      <c r="IK61" s="110"/>
      <c r="IL61" s="110"/>
      <c r="IM61" s="110"/>
      <c r="IN61" s="110"/>
      <c r="IO61" s="110"/>
      <c r="IP61" s="110"/>
      <c r="IQ61" s="70"/>
    </row>
    <row r="62" spans="1:251" ht="16.5" hidden="1" customHeight="1">
      <c r="A62" s="95" t="s">
        <v>450</v>
      </c>
      <c r="B62" t="s">
        <v>1363</v>
      </c>
      <c r="C62" t="s">
        <v>450</v>
      </c>
      <c r="E62" t="s">
        <v>450</v>
      </c>
      <c r="F62" t="s">
        <v>1369</v>
      </c>
      <c r="G62" s="654"/>
      <c r="H62">
        <v>23</v>
      </c>
      <c r="J62" s="214" t="str">
        <f t="shared" si="0"/>
        <v>LTT100223</v>
      </c>
      <c r="K62">
        <v>35010</v>
      </c>
      <c r="R62" s="95" t="s">
        <v>450</v>
      </c>
      <c r="V62" s="214"/>
      <c r="EE62" s="95" t="s">
        <v>450</v>
      </c>
      <c r="EF62" s="110"/>
      <c r="EG62" s="110"/>
      <c r="EH62" s="110"/>
      <c r="EI62" s="216"/>
      <c r="EJ62" s="110"/>
      <c r="EK62" s="110"/>
      <c r="EL62" s="110"/>
      <c r="EM62" s="110"/>
      <c r="EN62" s="110"/>
      <c r="EO62" s="110"/>
      <c r="EP62" s="110"/>
      <c r="EQ62" s="110"/>
      <c r="ER62" s="110"/>
      <c r="ES62" s="110"/>
      <c r="ET62" s="110"/>
      <c r="EU62" s="110"/>
      <c r="EV62" s="110"/>
      <c r="EW62" s="110"/>
      <c r="EX62" s="110"/>
      <c r="EY62" s="110"/>
      <c r="EZ62" s="110"/>
      <c r="FA62" s="110"/>
      <c r="FB62" s="110"/>
      <c r="FC62" s="110"/>
      <c r="FD62" s="110"/>
      <c r="FE62" s="110"/>
      <c r="FF62" s="110"/>
      <c r="FG62" s="110"/>
      <c r="FH62" s="110"/>
      <c r="FI62" s="110"/>
      <c r="FJ62" s="110"/>
      <c r="FK62" s="110"/>
      <c r="FL62" s="110"/>
      <c r="FM62" s="110"/>
      <c r="FN62" s="110"/>
      <c r="FO62" s="110"/>
      <c r="FP62" s="110"/>
      <c r="FQ62" s="110"/>
      <c r="FR62" s="110"/>
      <c r="FS62" s="110"/>
      <c r="FT62" s="110"/>
      <c r="FU62" s="110"/>
      <c r="FV62" s="110"/>
      <c r="FW62" s="110"/>
      <c r="FX62" s="110"/>
      <c r="FY62" s="110"/>
      <c r="FZ62" s="110"/>
      <c r="GA62" s="110"/>
      <c r="GB62" s="110"/>
      <c r="GC62" s="110"/>
      <c r="GD62" s="110"/>
      <c r="GE62" s="110"/>
      <c r="GF62" s="110"/>
      <c r="GG62" s="110"/>
      <c r="GH62" s="110"/>
      <c r="GI62" s="110"/>
      <c r="GJ62" s="110"/>
      <c r="GK62" s="110"/>
      <c r="GL62" s="110"/>
      <c r="GM62" s="110"/>
      <c r="GN62" s="110"/>
      <c r="GO62" s="110"/>
      <c r="GP62" s="110"/>
      <c r="GQ62" s="110"/>
      <c r="GR62" s="110"/>
      <c r="GS62" s="110"/>
      <c r="GT62" s="110"/>
      <c r="GU62" s="110"/>
      <c r="GV62" s="110"/>
      <c r="GW62" s="110"/>
      <c r="GX62" s="110"/>
      <c r="GY62" s="110"/>
      <c r="GZ62" s="110"/>
      <c r="HA62" s="110"/>
      <c r="HB62" s="110"/>
      <c r="HC62" s="110"/>
      <c r="HD62" s="110"/>
      <c r="HE62" s="110"/>
      <c r="HF62" s="110"/>
      <c r="HG62" s="110"/>
      <c r="HH62" s="110"/>
      <c r="HI62" s="110"/>
      <c r="HJ62" s="110"/>
      <c r="HK62" s="110"/>
      <c r="HL62" s="110"/>
      <c r="HM62" s="110"/>
      <c r="HN62" s="110"/>
      <c r="HO62" s="110"/>
      <c r="HP62" s="110"/>
      <c r="HQ62" s="110"/>
      <c r="HR62" s="110"/>
      <c r="HS62" s="110"/>
      <c r="HT62" s="110"/>
      <c r="HU62" s="110"/>
      <c r="HV62" s="110"/>
      <c r="HW62" s="110"/>
      <c r="HX62" s="110"/>
      <c r="HY62" s="110"/>
      <c r="HZ62" s="110"/>
      <c r="IA62" s="110"/>
      <c r="IB62" s="110"/>
      <c r="IC62" s="110"/>
      <c r="ID62" s="110"/>
      <c r="IE62" s="110"/>
      <c r="IF62" s="110"/>
      <c r="IG62" s="110"/>
      <c r="IH62" s="110"/>
      <c r="II62" s="110"/>
      <c r="IJ62" s="110"/>
      <c r="IK62" s="110"/>
      <c r="IL62" s="110"/>
      <c r="IM62" s="110"/>
      <c r="IN62" s="110"/>
      <c r="IO62" s="110"/>
      <c r="IP62" s="110"/>
      <c r="IQ62" s="70"/>
    </row>
    <row r="63" spans="1:251" ht="16.5" hidden="1" customHeight="1">
      <c r="A63" s="95" t="s">
        <v>450</v>
      </c>
      <c r="B63" t="s">
        <v>1363</v>
      </c>
      <c r="C63" t="s">
        <v>450</v>
      </c>
      <c r="E63" t="s">
        <v>450</v>
      </c>
      <c r="F63" t="s">
        <v>1369</v>
      </c>
      <c r="G63" s="654"/>
      <c r="H63">
        <v>24</v>
      </c>
      <c r="J63" s="214" t="str">
        <f t="shared" si="0"/>
        <v>LTT100224</v>
      </c>
      <c r="K63">
        <v>35600</v>
      </c>
      <c r="R63" s="95" t="s">
        <v>450</v>
      </c>
      <c r="V63" s="214"/>
      <c r="EE63" s="95" t="s">
        <v>450</v>
      </c>
      <c r="EF63" s="110"/>
      <c r="EG63" s="110"/>
      <c r="EH63" s="110"/>
      <c r="EI63" s="216"/>
      <c r="EJ63" s="110"/>
      <c r="EK63" s="110"/>
      <c r="EL63" s="110"/>
      <c r="EM63" s="110"/>
      <c r="EN63" s="110"/>
      <c r="EO63" s="110"/>
      <c r="EP63" s="110"/>
      <c r="EQ63" s="110"/>
      <c r="ER63" s="110"/>
      <c r="ES63" s="110"/>
      <c r="ET63" s="110"/>
      <c r="EU63" s="110"/>
      <c r="EV63" s="110"/>
      <c r="EW63" s="110"/>
      <c r="EX63" s="110"/>
      <c r="EY63" s="110"/>
      <c r="EZ63" s="110"/>
      <c r="FA63" s="110"/>
      <c r="FB63" s="110"/>
      <c r="FC63" s="110"/>
      <c r="FD63" s="110"/>
      <c r="FE63" s="110"/>
      <c r="FF63" s="110"/>
      <c r="FG63" s="110"/>
      <c r="FH63" s="110"/>
      <c r="FI63" s="110"/>
      <c r="FJ63" s="110"/>
      <c r="FK63" s="110"/>
      <c r="FL63" s="110"/>
      <c r="FM63" s="110"/>
      <c r="FN63" s="110"/>
      <c r="FO63" s="110"/>
      <c r="FP63" s="110"/>
      <c r="FQ63" s="110"/>
      <c r="FR63" s="110"/>
      <c r="FS63" s="110"/>
      <c r="FT63" s="110"/>
      <c r="FU63" s="110"/>
      <c r="FV63" s="110"/>
      <c r="FW63" s="110"/>
      <c r="FX63" s="110"/>
      <c r="FY63" s="110"/>
      <c r="FZ63" s="110"/>
      <c r="GA63" s="110"/>
      <c r="GB63" s="110"/>
      <c r="GC63" s="110"/>
      <c r="GD63" s="110"/>
      <c r="GE63" s="110"/>
      <c r="GF63" s="110"/>
      <c r="GG63" s="110"/>
      <c r="GH63" s="110"/>
      <c r="GI63" s="110"/>
      <c r="GJ63" s="110"/>
      <c r="GK63" s="110"/>
      <c r="GL63" s="110"/>
      <c r="GM63" s="110"/>
      <c r="GN63" s="110"/>
      <c r="GO63" s="110"/>
      <c r="GP63" s="110"/>
      <c r="GQ63" s="110"/>
      <c r="GR63" s="110"/>
      <c r="GS63" s="110"/>
      <c r="GT63" s="110"/>
      <c r="GU63" s="110"/>
      <c r="GV63" s="110"/>
      <c r="GW63" s="110"/>
      <c r="GX63" s="110"/>
      <c r="GY63" s="110"/>
      <c r="GZ63" s="110"/>
      <c r="HA63" s="110"/>
      <c r="HB63" s="110"/>
      <c r="HC63" s="110"/>
      <c r="HD63" s="110"/>
      <c r="HE63" s="110"/>
      <c r="HF63" s="110"/>
      <c r="HG63" s="110"/>
      <c r="HH63" s="110"/>
      <c r="HI63" s="110"/>
      <c r="HJ63" s="110"/>
      <c r="HK63" s="110"/>
      <c r="HL63" s="110"/>
      <c r="HM63" s="110"/>
      <c r="HN63" s="110"/>
      <c r="HO63" s="110"/>
      <c r="HP63" s="110"/>
      <c r="HQ63" s="110"/>
      <c r="HR63" s="110"/>
      <c r="HS63" s="110"/>
      <c r="HT63" s="110"/>
      <c r="HU63" s="110"/>
      <c r="HV63" s="110"/>
      <c r="HW63" s="110"/>
      <c r="HX63" s="110"/>
      <c r="HY63" s="110"/>
      <c r="HZ63" s="110"/>
      <c r="IA63" s="110"/>
      <c r="IB63" s="110"/>
      <c r="IC63" s="110"/>
      <c r="ID63" s="110"/>
      <c r="IE63" s="110"/>
      <c r="IF63" s="110"/>
      <c r="IG63" s="110"/>
      <c r="IH63" s="110"/>
      <c r="II63" s="110"/>
      <c r="IJ63" s="110"/>
      <c r="IK63" s="110"/>
      <c r="IL63" s="110"/>
      <c r="IM63" s="110"/>
      <c r="IN63" s="110"/>
      <c r="IO63" s="110"/>
      <c r="IP63" s="110"/>
      <c r="IQ63" s="70"/>
    </row>
    <row r="64" spans="1:251" ht="16.5" hidden="1" customHeight="1">
      <c r="A64" s="95" t="s">
        <v>450</v>
      </c>
      <c r="B64" t="s">
        <v>1363</v>
      </c>
      <c r="C64" t="s">
        <v>450</v>
      </c>
      <c r="E64" t="s">
        <v>450</v>
      </c>
      <c r="F64" t="s">
        <v>1369</v>
      </c>
      <c r="G64" s="654"/>
      <c r="H64">
        <v>25</v>
      </c>
      <c r="J64" s="214" t="str">
        <f t="shared" si="0"/>
        <v>LTT100225</v>
      </c>
      <c r="K64">
        <v>36150</v>
      </c>
      <c r="R64" s="95" t="s">
        <v>450</v>
      </c>
      <c r="V64" s="214"/>
      <c r="EE64" s="95" t="s">
        <v>450</v>
      </c>
      <c r="EF64" s="110"/>
      <c r="EG64" s="110"/>
      <c r="EH64" s="110"/>
      <c r="EI64" s="216"/>
      <c r="EJ64" s="110"/>
      <c r="EK64" s="110"/>
      <c r="EL64" s="110"/>
      <c r="EM64" s="110"/>
      <c r="EN64" s="110"/>
      <c r="EO64" s="110"/>
      <c r="EP64" s="110"/>
      <c r="EQ64" s="110"/>
      <c r="ER64" s="110"/>
      <c r="ES64" s="110"/>
      <c r="ET64" s="110"/>
      <c r="EU64" s="110"/>
      <c r="EV64" s="110"/>
      <c r="EW64" s="110"/>
      <c r="EX64" s="110"/>
      <c r="EY64" s="110"/>
      <c r="EZ64" s="110"/>
      <c r="FA64" s="110"/>
      <c r="FB64" s="110"/>
      <c r="FC64" s="110"/>
      <c r="FD64" s="110"/>
      <c r="FE64" s="110"/>
      <c r="FF64" s="110"/>
      <c r="FG64" s="110"/>
      <c r="FH64" s="110"/>
      <c r="FI64" s="110"/>
      <c r="FJ64" s="110"/>
      <c r="FK64" s="110"/>
      <c r="FL64" s="110"/>
      <c r="FM64" s="110"/>
      <c r="FN64" s="110"/>
      <c r="FO64" s="110"/>
      <c r="FP64" s="110"/>
      <c r="FQ64" s="110"/>
      <c r="FR64" s="110"/>
      <c r="FS64" s="110"/>
      <c r="FT64" s="110"/>
      <c r="FU64" s="110"/>
      <c r="FV64" s="110"/>
      <c r="FW64" s="110"/>
      <c r="FX64" s="110"/>
      <c r="FY64" s="110"/>
      <c r="FZ64" s="110"/>
      <c r="GA64" s="110"/>
      <c r="GB64" s="110"/>
      <c r="GC64" s="110"/>
      <c r="GD64" s="110"/>
      <c r="GE64" s="110"/>
      <c r="GF64" s="110"/>
      <c r="GG64" s="110"/>
      <c r="GH64" s="110"/>
      <c r="GI64" s="110"/>
      <c r="GJ64" s="110"/>
      <c r="GK64" s="110"/>
      <c r="GL64" s="110"/>
      <c r="GM64" s="110"/>
      <c r="GN64" s="110"/>
      <c r="GO64" s="110"/>
      <c r="GP64" s="110"/>
      <c r="GQ64" s="110"/>
      <c r="GR64" s="110"/>
      <c r="GS64" s="110"/>
      <c r="GT64" s="110"/>
      <c r="GU64" s="110"/>
      <c r="GV64" s="110"/>
      <c r="GW64" s="110"/>
      <c r="GX64" s="110"/>
      <c r="GY64" s="110"/>
      <c r="GZ64" s="110"/>
      <c r="HA64" s="110"/>
      <c r="HB64" s="110"/>
      <c r="HC64" s="110"/>
      <c r="HD64" s="110"/>
      <c r="HE64" s="110"/>
      <c r="HF64" s="110"/>
      <c r="HG64" s="110"/>
      <c r="HH64" s="110"/>
      <c r="HI64" s="110"/>
      <c r="HJ64" s="110"/>
      <c r="HK64" s="110"/>
      <c r="HL64" s="110"/>
      <c r="HM64" s="110"/>
      <c r="HN64" s="110"/>
      <c r="HO64" s="110"/>
      <c r="HP64" s="110"/>
      <c r="HQ64" s="110"/>
      <c r="HR64" s="110"/>
      <c r="HS64" s="110"/>
      <c r="HT64" s="110"/>
      <c r="HU64" s="110"/>
      <c r="HV64" s="110"/>
      <c r="HW64" s="110"/>
      <c r="HX64" s="110"/>
      <c r="HY64" s="110"/>
      <c r="HZ64" s="110"/>
      <c r="IA64" s="110"/>
      <c r="IB64" s="110"/>
      <c r="IC64" s="110"/>
      <c r="ID64" s="110"/>
      <c r="IE64" s="110"/>
      <c r="IF64" s="110"/>
      <c r="IG64" s="110"/>
      <c r="IH64" s="110"/>
      <c r="II64" s="110"/>
      <c r="IJ64" s="110"/>
      <c r="IK64" s="110"/>
      <c r="IL64" s="110"/>
      <c r="IM64" s="110"/>
      <c r="IN64" s="110"/>
      <c r="IO64" s="110"/>
      <c r="IP64" s="110"/>
      <c r="IQ64" s="70"/>
    </row>
    <row r="65" spans="1:251" ht="16.5" hidden="1" customHeight="1">
      <c r="A65" s="95" t="s">
        <v>450</v>
      </c>
      <c r="B65" t="s">
        <v>1363</v>
      </c>
      <c r="C65" t="s">
        <v>450</v>
      </c>
      <c r="E65" t="s">
        <v>450</v>
      </c>
      <c r="F65" t="s">
        <v>1369</v>
      </c>
      <c r="G65" s="654"/>
      <c r="H65">
        <v>26</v>
      </c>
      <c r="J65" s="214" t="str">
        <f t="shared" si="0"/>
        <v>LTT100226</v>
      </c>
      <c r="K65">
        <v>36760</v>
      </c>
      <c r="R65" s="95" t="s">
        <v>450</v>
      </c>
      <c r="V65" s="214"/>
      <c r="EE65" s="95" t="s">
        <v>450</v>
      </c>
      <c r="EF65" s="110"/>
      <c r="EG65" s="110"/>
      <c r="EH65" s="110"/>
      <c r="EI65" s="216"/>
      <c r="EJ65" s="110"/>
      <c r="EK65" s="110"/>
      <c r="EL65" s="110"/>
      <c r="EM65" s="110"/>
      <c r="EN65" s="110"/>
      <c r="EO65" s="110"/>
      <c r="EP65" s="110"/>
      <c r="EQ65" s="110"/>
      <c r="ER65" s="110"/>
      <c r="ES65" s="110"/>
      <c r="ET65" s="110"/>
      <c r="EU65" s="110"/>
      <c r="EV65" s="110"/>
      <c r="EW65" s="110"/>
      <c r="EX65" s="110"/>
      <c r="EY65" s="110"/>
      <c r="EZ65" s="110"/>
      <c r="FA65" s="110"/>
      <c r="FB65" s="110"/>
      <c r="FC65" s="110"/>
      <c r="FD65" s="110"/>
      <c r="FE65" s="110"/>
      <c r="FF65" s="110"/>
      <c r="FG65" s="110"/>
      <c r="FH65" s="110"/>
      <c r="FI65" s="110"/>
      <c r="FJ65" s="110"/>
      <c r="FK65" s="110"/>
      <c r="FL65" s="110"/>
      <c r="FM65" s="110"/>
      <c r="FN65" s="110"/>
      <c r="FO65" s="110"/>
      <c r="FP65" s="110"/>
      <c r="FQ65" s="110"/>
      <c r="FR65" s="110"/>
      <c r="FS65" s="110"/>
      <c r="FT65" s="110"/>
      <c r="FU65" s="110"/>
      <c r="FV65" s="110"/>
      <c r="FW65" s="110"/>
      <c r="FX65" s="110"/>
      <c r="FY65" s="110"/>
      <c r="FZ65" s="110"/>
      <c r="GA65" s="110"/>
      <c r="GB65" s="110"/>
      <c r="GC65" s="110"/>
      <c r="GD65" s="110"/>
      <c r="GE65" s="110"/>
      <c r="GF65" s="110"/>
      <c r="GG65" s="110"/>
      <c r="GH65" s="110"/>
      <c r="GI65" s="110"/>
      <c r="GJ65" s="110"/>
      <c r="GK65" s="110"/>
      <c r="GL65" s="110"/>
      <c r="GM65" s="110"/>
      <c r="GN65" s="110"/>
      <c r="GO65" s="110"/>
      <c r="GP65" s="110"/>
      <c r="GQ65" s="110"/>
      <c r="GR65" s="110"/>
      <c r="GS65" s="110"/>
      <c r="GT65" s="110"/>
      <c r="GU65" s="110"/>
      <c r="GV65" s="110"/>
      <c r="GW65" s="110"/>
      <c r="GX65" s="110"/>
      <c r="GY65" s="110"/>
      <c r="GZ65" s="110"/>
      <c r="HA65" s="110"/>
      <c r="HB65" s="110"/>
      <c r="HC65" s="110"/>
      <c r="HD65" s="110"/>
      <c r="HE65" s="110"/>
      <c r="HF65" s="110"/>
      <c r="HG65" s="110"/>
      <c r="HH65" s="110"/>
      <c r="HI65" s="110"/>
      <c r="HJ65" s="110"/>
      <c r="HK65" s="110"/>
      <c r="HL65" s="110"/>
      <c r="HM65" s="110"/>
      <c r="HN65" s="110"/>
      <c r="HO65" s="110"/>
      <c r="HP65" s="110"/>
      <c r="HQ65" s="110"/>
      <c r="HR65" s="110"/>
      <c r="HS65" s="110"/>
      <c r="HT65" s="110"/>
      <c r="HU65" s="110"/>
      <c r="HV65" s="110"/>
      <c r="HW65" s="110"/>
      <c r="HX65" s="110"/>
      <c r="HY65" s="110"/>
      <c r="HZ65" s="110"/>
      <c r="IA65" s="110"/>
      <c r="IB65" s="110"/>
      <c r="IC65" s="110"/>
      <c r="ID65" s="110"/>
      <c r="IE65" s="110"/>
      <c r="IF65" s="110"/>
      <c r="IG65" s="110"/>
      <c r="IH65" s="110"/>
      <c r="II65" s="110"/>
      <c r="IJ65" s="110"/>
      <c r="IK65" s="110"/>
      <c r="IL65" s="110"/>
      <c r="IM65" s="110"/>
      <c r="IN65" s="110"/>
      <c r="IO65" s="110"/>
      <c r="IP65" s="110"/>
      <c r="IQ65" s="70"/>
    </row>
    <row r="66" spans="1:251" ht="16.5" hidden="1" customHeight="1">
      <c r="A66" s="95" t="s">
        <v>450</v>
      </c>
      <c r="B66" t="s">
        <v>1363</v>
      </c>
      <c r="C66" t="s">
        <v>450</v>
      </c>
      <c r="E66" t="s">
        <v>450</v>
      </c>
      <c r="F66" t="s">
        <v>1369</v>
      </c>
      <c r="G66" s="654"/>
      <c r="H66">
        <v>27</v>
      </c>
      <c r="J66" s="214" t="str">
        <f t="shared" ref="J66:J129" si="3">B66&amp;TEXT(F66,"00")&amp;TEXT(H66,"00")</f>
        <v>LTT100227</v>
      </c>
      <c r="K66">
        <v>37390</v>
      </c>
      <c r="R66" s="95" t="s">
        <v>450</v>
      </c>
      <c r="V66" s="214"/>
      <c r="EE66" s="95" t="s">
        <v>450</v>
      </c>
      <c r="EF66" s="110"/>
      <c r="EG66" s="110"/>
      <c r="EH66" s="110"/>
      <c r="EI66" s="216"/>
      <c r="EJ66" s="110"/>
      <c r="EK66" s="110"/>
      <c r="EL66" s="110"/>
      <c r="EM66" s="110"/>
      <c r="EN66" s="110"/>
      <c r="EO66" s="110"/>
      <c r="EP66" s="110"/>
      <c r="EQ66" s="110"/>
      <c r="ER66" s="110"/>
      <c r="ES66" s="110"/>
      <c r="ET66" s="110"/>
      <c r="EU66" s="110"/>
      <c r="EV66" s="110"/>
      <c r="EW66" s="110"/>
      <c r="EX66" s="110"/>
      <c r="EY66" s="110"/>
      <c r="EZ66" s="110"/>
      <c r="FA66" s="110"/>
      <c r="FB66" s="110"/>
      <c r="FC66" s="110"/>
      <c r="FD66" s="110"/>
      <c r="FE66" s="110"/>
      <c r="FF66" s="110"/>
      <c r="FG66" s="110"/>
      <c r="FH66" s="110"/>
      <c r="FI66" s="110"/>
      <c r="FJ66" s="110"/>
      <c r="FK66" s="110"/>
      <c r="FL66" s="110"/>
      <c r="FM66" s="110"/>
      <c r="FN66" s="110"/>
      <c r="FO66" s="110"/>
      <c r="FP66" s="110"/>
      <c r="FQ66" s="110"/>
      <c r="FR66" s="110"/>
      <c r="FS66" s="110"/>
      <c r="FT66" s="110"/>
      <c r="FU66" s="110"/>
      <c r="FV66" s="110"/>
      <c r="FW66" s="110"/>
      <c r="FX66" s="110"/>
      <c r="FY66" s="110"/>
      <c r="FZ66" s="110"/>
      <c r="GA66" s="110"/>
      <c r="GB66" s="110"/>
      <c r="GC66" s="110"/>
      <c r="GD66" s="110"/>
      <c r="GE66" s="110"/>
      <c r="GF66" s="110"/>
      <c r="GG66" s="110"/>
      <c r="GH66" s="110"/>
      <c r="GI66" s="110"/>
      <c r="GJ66" s="110"/>
      <c r="GK66" s="110"/>
      <c r="GL66" s="110"/>
      <c r="GM66" s="110"/>
      <c r="GN66" s="110"/>
      <c r="GO66" s="110"/>
      <c r="GP66" s="110"/>
      <c r="GQ66" s="110"/>
      <c r="GR66" s="110"/>
      <c r="GS66" s="110"/>
      <c r="GT66" s="110"/>
      <c r="GU66" s="110"/>
      <c r="GV66" s="110"/>
      <c r="GW66" s="110"/>
      <c r="GX66" s="110"/>
      <c r="GY66" s="110"/>
      <c r="GZ66" s="110"/>
      <c r="HA66" s="110"/>
      <c r="HB66" s="110"/>
      <c r="HC66" s="110"/>
      <c r="HD66" s="110"/>
      <c r="HE66" s="110"/>
      <c r="HF66" s="110"/>
      <c r="HG66" s="110"/>
      <c r="HH66" s="110"/>
      <c r="HI66" s="110"/>
      <c r="HJ66" s="110"/>
      <c r="HK66" s="110"/>
      <c r="HL66" s="110"/>
      <c r="HM66" s="110"/>
      <c r="HN66" s="110"/>
      <c r="HO66" s="110"/>
      <c r="HP66" s="110"/>
      <c r="HQ66" s="110"/>
      <c r="HR66" s="110"/>
      <c r="HS66" s="110"/>
      <c r="HT66" s="110"/>
      <c r="HU66" s="110"/>
      <c r="HV66" s="110"/>
      <c r="HW66" s="110"/>
      <c r="HX66" s="110"/>
      <c r="HY66" s="110"/>
      <c r="HZ66" s="110"/>
      <c r="IA66" s="110"/>
      <c r="IB66" s="110"/>
      <c r="IC66" s="110"/>
      <c r="ID66" s="110"/>
      <c r="IE66" s="110"/>
      <c r="IF66" s="110"/>
      <c r="IG66" s="110"/>
      <c r="IH66" s="110"/>
      <c r="II66" s="110"/>
      <c r="IJ66" s="110"/>
      <c r="IK66" s="110"/>
      <c r="IL66" s="110"/>
      <c r="IM66" s="110"/>
      <c r="IN66" s="110"/>
      <c r="IO66" s="110"/>
      <c r="IP66" s="110"/>
      <c r="IQ66" s="70"/>
    </row>
    <row r="67" spans="1:251" ht="16.5" hidden="1" customHeight="1">
      <c r="A67" s="95" t="s">
        <v>450</v>
      </c>
      <c r="B67" t="s">
        <v>1363</v>
      </c>
      <c r="C67" t="s">
        <v>450</v>
      </c>
      <c r="E67" t="s">
        <v>450</v>
      </c>
      <c r="F67" t="s">
        <v>1369</v>
      </c>
      <c r="G67" s="654"/>
      <c r="H67">
        <v>28</v>
      </c>
      <c r="J67" s="214" t="str">
        <f t="shared" si="3"/>
        <v>LTT100228</v>
      </c>
      <c r="K67">
        <v>37930</v>
      </c>
      <c r="R67" s="95" t="s">
        <v>450</v>
      </c>
      <c r="V67" s="214"/>
      <c r="EE67" s="95" t="s">
        <v>450</v>
      </c>
      <c r="EF67" s="110"/>
      <c r="EG67" s="110"/>
      <c r="EH67" s="110"/>
      <c r="EI67" s="216"/>
      <c r="EJ67" s="110"/>
      <c r="EK67" s="110"/>
      <c r="EL67" s="110"/>
      <c r="EM67" s="110"/>
      <c r="EN67" s="110"/>
      <c r="EO67" s="110"/>
      <c r="EP67" s="110"/>
      <c r="EQ67" s="110"/>
      <c r="ER67" s="110"/>
      <c r="ES67" s="110"/>
      <c r="ET67" s="110"/>
      <c r="EU67" s="110"/>
      <c r="EV67" s="110"/>
      <c r="EW67" s="110"/>
      <c r="EX67" s="110"/>
      <c r="EY67" s="110"/>
      <c r="EZ67" s="110"/>
      <c r="FA67" s="110"/>
      <c r="FB67" s="110"/>
      <c r="FC67" s="110"/>
      <c r="FD67" s="110"/>
      <c r="FE67" s="110"/>
      <c r="FF67" s="110"/>
      <c r="FG67" s="110"/>
      <c r="FH67" s="110"/>
      <c r="FI67" s="110"/>
      <c r="FJ67" s="110"/>
      <c r="FK67" s="110"/>
      <c r="FL67" s="110"/>
      <c r="FM67" s="110"/>
      <c r="FN67" s="110"/>
      <c r="FO67" s="110"/>
      <c r="FP67" s="110"/>
      <c r="FQ67" s="110"/>
      <c r="FR67" s="110"/>
      <c r="FS67" s="110"/>
      <c r="FT67" s="110"/>
      <c r="FU67" s="110"/>
      <c r="FV67" s="110"/>
      <c r="FW67" s="110"/>
      <c r="FX67" s="110"/>
      <c r="FY67" s="110"/>
      <c r="FZ67" s="110"/>
      <c r="GA67" s="110"/>
      <c r="GB67" s="110"/>
      <c r="GC67" s="110"/>
      <c r="GD67" s="110"/>
      <c r="GE67" s="110"/>
      <c r="GF67" s="110"/>
      <c r="GG67" s="110"/>
      <c r="GH67" s="110"/>
      <c r="GI67" s="110"/>
      <c r="GJ67" s="110"/>
      <c r="GK67" s="110"/>
      <c r="GL67" s="110"/>
      <c r="GM67" s="110"/>
      <c r="GN67" s="110"/>
      <c r="GO67" s="110"/>
      <c r="GP67" s="110"/>
      <c r="GQ67" s="110"/>
      <c r="GR67" s="110"/>
      <c r="GS67" s="110"/>
      <c r="GT67" s="110"/>
      <c r="GU67" s="110"/>
      <c r="GV67" s="110"/>
      <c r="GW67" s="110"/>
      <c r="GX67" s="110"/>
      <c r="GY67" s="110"/>
      <c r="GZ67" s="110"/>
      <c r="HA67" s="110"/>
      <c r="HB67" s="110"/>
      <c r="HC67" s="110"/>
      <c r="HD67" s="110"/>
      <c r="HE67" s="110"/>
      <c r="HF67" s="110"/>
      <c r="HG67" s="110"/>
      <c r="HH67" s="110"/>
      <c r="HI67" s="110"/>
      <c r="HJ67" s="110"/>
      <c r="HK67" s="110"/>
      <c r="HL67" s="110"/>
      <c r="HM67" s="110"/>
      <c r="HN67" s="110"/>
      <c r="HO67" s="110"/>
      <c r="HP67" s="110"/>
      <c r="HQ67" s="110"/>
      <c r="HR67" s="110"/>
      <c r="HS67" s="110"/>
      <c r="HT67" s="110"/>
      <c r="HU67" s="110"/>
      <c r="HV67" s="110"/>
      <c r="HW67" s="110"/>
      <c r="HX67" s="110"/>
      <c r="HY67" s="110"/>
      <c r="HZ67" s="110"/>
      <c r="IA67" s="110"/>
      <c r="IB67" s="110"/>
      <c r="IC67" s="110"/>
      <c r="ID67" s="110"/>
      <c r="IE67" s="110"/>
      <c r="IF67" s="110"/>
      <c r="IG67" s="110"/>
      <c r="IH67" s="110"/>
      <c r="II67" s="110"/>
      <c r="IJ67" s="110"/>
      <c r="IK67" s="110"/>
      <c r="IL67" s="110"/>
      <c r="IM67" s="110"/>
      <c r="IN67" s="110"/>
      <c r="IO67" s="110"/>
      <c r="IP67" s="110"/>
      <c r="IQ67" s="70"/>
    </row>
    <row r="68" spans="1:251" ht="16.5" hidden="1" customHeight="1">
      <c r="A68" s="95" t="s">
        <v>450</v>
      </c>
      <c r="B68" t="s">
        <v>1363</v>
      </c>
      <c r="C68" t="s">
        <v>450</v>
      </c>
      <c r="E68" t="s">
        <v>450</v>
      </c>
      <c r="F68" t="s">
        <v>1369</v>
      </c>
      <c r="G68" s="654"/>
      <c r="H68">
        <v>29</v>
      </c>
      <c r="J68" s="214" t="str">
        <f t="shared" si="3"/>
        <v>LTT100229</v>
      </c>
      <c r="K68">
        <v>38580</v>
      </c>
      <c r="R68" s="95" t="s">
        <v>450</v>
      </c>
      <c r="V68" s="214"/>
      <c r="EE68" s="95" t="s">
        <v>450</v>
      </c>
      <c r="EF68" s="110"/>
      <c r="EG68" s="110"/>
      <c r="EH68" s="110"/>
      <c r="EI68" s="216"/>
      <c r="EJ68" s="110"/>
      <c r="EK68" s="110"/>
      <c r="EL68" s="110"/>
      <c r="EM68" s="110"/>
      <c r="EN68" s="110"/>
      <c r="EO68" s="110"/>
      <c r="EP68" s="110"/>
      <c r="EQ68" s="110"/>
      <c r="ER68" s="110"/>
      <c r="ES68" s="110"/>
      <c r="ET68" s="110"/>
      <c r="EU68" s="110"/>
      <c r="EV68" s="110"/>
      <c r="EW68" s="110"/>
      <c r="EX68" s="110"/>
      <c r="EY68" s="110"/>
      <c r="EZ68" s="110"/>
      <c r="FA68" s="110"/>
      <c r="FB68" s="110"/>
      <c r="FC68" s="110"/>
      <c r="FD68" s="110"/>
      <c r="FE68" s="110"/>
      <c r="FF68" s="110"/>
      <c r="FG68" s="110"/>
      <c r="FH68" s="110"/>
      <c r="FI68" s="110"/>
      <c r="FJ68" s="110"/>
      <c r="FK68" s="110"/>
      <c r="FL68" s="110"/>
      <c r="FM68" s="110"/>
      <c r="FN68" s="110"/>
      <c r="FO68" s="110"/>
      <c r="FP68" s="110"/>
      <c r="FQ68" s="110"/>
      <c r="FR68" s="110"/>
      <c r="FS68" s="110"/>
      <c r="FT68" s="110"/>
      <c r="FU68" s="110"/>
      <c r="FV68" s="110"/>
      <c r="FW68" s="110"/>
      <c r="FX68" s="110"/>
      <c r="FY68" s="110"/>
      <c r="FZ68" s="110"/>
      <c r="GA68" s="110"/>
      <c r="GB68" s="110"/>
      <c r="GC68" s="110"/>
      <c r="GD68" s="110"/>
      <c r="GE68" s="110"/>
      <c r="GF68" s="110"/>
      <c r="GG68" s="110"/>
      <c r="GH68" s="110"/>
      <c r="GI68" s="110"/>
      <c r="GJ68" s="110"/>
      <c r="GK68" s="110"/>
      <c r="GL68" s="110"/>
      <c r="GM68" s="110"/>
      <c r="GN68" s="110"/>
      <c r="GO68" s="110"/>
      <c r="GP68" s="110"/>
      <c r="GQ68" s="110"/>
      <c r="GR68" s="110"/>
      <c r="GS68" s="110"/>
      <c r="GT68" s="110"/>
      <c r="GU68" s="110"/>
      <c r="GV68" s="110"/>
      <c r="GW68" s="110"/>
      <c r="GX68" s="110"/>
      <c r="GY68" s="110"/>
      <c r="GZ68" s="110"/>
      <c r="HA68" s="110"/>
      <c r="HB68" s="110"/>
      <c r="HC68" s="110"/>
      <c r="HD68" s="110"/>
      <c r="HE68" s="110"/>
      <c r="HF68" s="110"/>
      <c r="HG68" s="110"/>
      <c r="HH68" s="110"/>
      <c r="HI68" s="110"/>
      <c r="HJ68" s="110"/>
      <c r="HK68" s="110"/>
      <c r="HL68" s="110"/>
      <c r="HM68" s="110"/>
      <c r="HN68" s="110"/>
      <c r="HO68" s="110"/>
      <c r="HP68" s="110"/>
      <c r="HQ68" s="110"/>
      <c r="HR68" s="110"/>
      <c r="HS68" s="110"/>
      <c r="HT68" s="110"/>
      <c r="HU68" s="110"/>
      <c r="HV68" s="110"/>
      <c r="HW68" s="110"/>
      <c r="HX68" s="110"/>
      <c r="HY68" s="110"/>
      <c r="HZ68" s="110"/>
      <c r="IA68" s="110"/>
      <c r="IB68" s="110"/>
      <c r="IC68" s="110"/>
      <c r="ID68" s="110"/>
      <c r="IE68" s="110"/>
      <c r="IF68" s="110"/>
      <c r="IG68" s="110"/>
      <c r="IH68" s="110"/>
      <c r="II68" s="110"/>
      <c r="IJ68" s="110"/>
      <c r="IK68" s="110"/>
      <c r="IL68" s="110"/>
      <c r="IM68" s="110"/>
      <c r="IN68" s="110"/>
      <c r="IO68" s="110"/>
      <c r="IP68" s="110"/>
      <c r="IQ68" s="70"/>
    </row>
    <row r="69" spans="1:251" ht="16.5" hidden="1" customHeight="1">
      <c r="A69" s="95" t="s">
        <v>450</v>
      </c>
      <c r="B69" t="s">
        <v>1363</v>
      </c>
      <c r="C69" t="s">
        <v>450</v>
      </c>
      <c r="E69" t="s">
        <v>450</v>
      </c>
      <c r="F69" t="s">
        <v>1369</v>
      </c>
      <c r="G69" s="654"/>
      <c r="H69">
        <v>30</v>
      </c>
      <c r="J69" s="214" t="str">
        <f t="shared" si="3"/>
        <v>LTT100230</v>
      </c>
      <c r="K69">
        <v>39200</v>
      </c>
      <c r="R69" s="95" t="s">
        <v>450</v>
      </c>
      <c r="V69" s="214"/>
      <c r="EE69" s="95" t="s">
        <v>450</v>
      </c>
      <c r="EF69" s="110"/>
      <c r="EG69" s="110"/>
      <c r="EH69" s="110"/>
      <c r="EI69" s="216"/>
      <c r="EJ69" s="110"/>
      <c r="EK69" s="110"/>
      <c r="EL69" s="110"/>
      <c r="EM69" s="110"/>
      <c r="EN69" s="110"/>
      <c r="EO69" s="110"/>
      <c r="EP69" s="110"/>
      <c r="EQ69" s="110"/>
      <c r="ER69" s="110"/>
      <c r="ES69" s="110"/>
      <c r="ET69" s="110"/>
      <c r="EU69" s="110"/>
      <c r="EV69" s="110"/>
      <c r="EW69" s="110"/>
      <c r="EX69" s="110"/>
      <c r="EY69" s="110"/>
      <c r="EZ69" s="110"/>
      <c r="FA69" s="110"/>
      <c r="FB69" s="110"/>
      <c r="FC69" s="110"/>
      <c r="FD69" s="110"/>
      <c r="FE69" s="110"/>
      <c r="FF69" s="110"/>
      <c r="FG69" s="110"/>
      <c r="FH69" s="110"/>
      <c r="FI69" s="110"/>
      <c r="FJ69" s="110"/>
      <c r="FK69" s="110"/>
      <c r="FL69" s="110"/>
      <c r="FM69" s="110"/>
      <c r="FN69" s="110"/>
      <c r="FO69" s="110"/>
      <c r="FP69" s="110"/>
      <c r="FQ69" s="110"/>
      <c r="FR69" s="110"/>
      <c r="FS69" s="110"/>
      <c r="FT69" s="110"/>
      <c r="FU69" s="110"/>
      <c r="FV69" s="110"/>
      <c r="FW69" s="110"/>
      <c r="FX69" s="110"/>
      <c r="FY69" s="110"/>
      <c r="FZ69" s="110"/>
      <c r="GA69" s="110"/>
      <c r="GB69" s="110"/>
      <c r="GC69" s="110"/>
      <c r="GD69" s="110"/>
      <c r="GE69" s="110"/>
      <c r="GF69" s="110"/>
      <c r="GG69" s="110"/>
      <c r="GH69" s="110"/>
      <c r="GI69" s="110"/>
      <c r="GJ69" s="110"/>
      <c r="GK69" s="110"/>
      <c r="GL69" s="110"/>
      <c r="GM69" s="110"/>
      <c r="GN69" s="110"/>
      <c r="GO69" s="110"/>
      <c r="GP69" s="110"/>
      <c r="GQ69" s="110"/>
      <c r="GR69" s="110"/>
      <c r="GS69" s="110"/>
      <c r="GT69" s="110"/>
      <c r="GU69" s="110"/>
      <c r="GV69" s="110"/>
      <c r="GW69" s="110"/>
      <c r="GX69" s="110"/>
      <c r="GY69" s="110"/>
      <c r="GZ69" s="110"/>
      <c r="HA69" s="110"/>
      <c r="HB69" s="110"/>
      <c r="HC69" s="110"/>
      <c r="HD69" s="110"/>
      <c r="HE69" s="110"/>
      <c r="HF69" s="110"/>
      <c r="HG69" s="110"/>
      <c r="HH69" s="110"/>
      <c r="HI69" s="110"/>
      <c r="HJ69" s="110"/>
      <c r="HK69" s="110"/>
      <c r="HL69" s="110"/>
      <c r="HM69" s="110"/>
      <c r="HN69" s="110"/>
      <c r="HO69" s="110"/>
      <c r="HP69" s="110"/>
      <c r="HQ69" s="110"/>
      <c r="HR69" s="110"/>
      <c r="HS69" s="110"/>
      <c r="HT69" s="110"/>
      <c r="HU69" s="110"/>
      <c r="HV69" s="110"/>
      <c r="HW69" s="110"/>
      <c r="HX69" s="110"/>
      <c r="HY69" s="110"/>
      <c r="HZ69" s="110"/>
      <c r="IA69" s="110"/>
      <c r="IB69" s="110"/>
      <c r="IC69" s="110"/>
      <c r="ID69" s="110"/>
      <c r="IE69" s="110"/>
      <c r="IF69" s="110"/>
      <c r="IG69" s="110"/>
      <c r="IH69" s="110"/>
      <c r="II69" s="110"/>
      <c r="IJ69" s="110"/>
      <c r="IK69" s="110"/>
      <c r="IL69" s="110"/>
      <c r="IM69" s="110"/>
      <c r="IN69" s="110"/>
      <c r="IO69" s="110"/>
      <c r="IP69" s="110"/>
      <c r="IQ69" s="70"/>
    </row>
    <row r="70" spans="1:251" ht="16.5" hidden="1" customHeight="1">
      <c r="A70" s="95" t="s">
        <v>450</v>
      </c>
      <c r="B70" t="s">
        <v>1363</v>
      </c>
      <c r="C70" t="s">
        <v>450</v>
      </c>
      <c r="E70" t="s">
        <v>450</v>
      </c>
      <c r="F70" t="s">
        <v>1369</v>
      </c>
      <c r="G70" s="654"/>
      <c r="H70">
        <v>31</v>
      </c>
      <c r="J70" s="214" t="str">
        <f t="shared" si="3"/>
        <v>LTT100231</v>
      </c>
      <c r="K70">
        <v>39900</v>
      </c>
      <c r="R70" s="95" t="s">
        <v>450</v>
      </c>
      <c r="V70" s="214"/>
      <c r="EE70" s="95" t="s">
        <v>450</v>
      </c>
      <c r="EF70" s="110"/>
      <c r="EG70" s="110"/>
      <c r="EH70" s="110"/>
      <c r="EI70" s="216"/>
      <c r="EJ70" s="110"/>
      <c r="EK70" s="110"/>
      <c r="EL70" s="110"/>
      <c r="EM70" s="110"/>
      <c r="EN70" s="110"/>
      <c r="EO70" s="110"/>
      <c r="EP70" s="110"/>
      <c r="EQ70" s="110"/>
      <c r="ER70" s="110"/>
      <c r="ES70" s="110"/>
      <c r="ET70" s="110"/>
      <c r="EU70" s="110"/>
      <c r="EV70" s="110"/>
      <c r="EW70" s="110"/>
      <c r="EX70" s="110"/>
      <c r="EY70" s="110"/>
      <c r="EZ70" s="110"/>
      <c r="FA70" s="110"/>
      <c r="FB70" s="110"/>
      <c r="FC70" s="110"/>
      <c r="FD70" s="110"/>
      <c r="FE70" s="110"/>
      <c r="FF70" s="110"/>
      <c r="FG70" s="110"/>
      <c r="FH70" s="110"/>
      <c r="FI70" s="110"/>
      <c r="FJ70" s="110"/>
      <c r="FK70" s="110"/>
      <c r="FL70" s="110"/>
      <c r="FM70" s="110"/>
      <c r="FN70" s="110"/>
      <c r="FO70" s="110"/>
      <c r="FP70" s="110"/>
      <c r="FQ70" s="110"/>
      <c r="FR70" s="110"/>
      <c r="FS70" s="110"/>
      <c r="FT70" s="110"/>
      <c r="FU70" s="110"/>
      <c r="FV70" s="110"/>
      <c r="FW70" s="110"/>
      <c r="FX70" s="110"/>
      <c r="FY70" s="110"/>
      <c r="FZ70" s="110"/>
      <c r="GA70" s="110"/>
      <c r="GB70" s="110"/>
      <c r="GC70" s="110"/>
      <c r="GD70" s="110"/>
      <c r="GE70" s="110"/>
      <c r="GF70" s="110"/>
      <c r="GG70" s="110"/>
      <c r="GH70" s="110"/>
      <c r="GI70" s="110"/>
      <c r="GJ70" s="110"/>
      <c r="GK70" s="110"/>
      <c r="GL70" s="110"/>
      <c r="GM70" s="110"/>
      <c r="GN70" s="110"/>
      <c r="GO70" s="110"/>
      <c r="GP70" s="110"/>
      <c r="GQ70" s="110"/>
      <c r="GR70" s="110"/>
      <c r="GS70" s="110"/>
      <c r="GT70" s="110"/>
      <c r="GU70" s="110"/>
      <c r="GV70" s="110"/>
      <c r="GW70" s="110"/>
      <c r="GX70" s="110"/>
      <c r="GY70" s="110"/>
      <c r="GZ70" s="110"/>
      <c r="HA70" s="110"/>
      <c r="HB70" s="110"/>
      <c r="HC70" s="110"/>
      <c r="HD70" s="110"/>
      <c r="HE70" s="110"/>
      <c r="HF70" s="110"/>
      <c r="HG70" s="110"/>
      <c r="HH70" s="110"/>
      <c r="HI70" s="110"/>
      <c r="HJ70" s="110"/>
      <c r="HK70" s="110"/>
      <c r="HL70" s="110"/>
      <c r="HM70" s="110"/>
      <c r="HN70" s="110"/>
      <c r="HO70" s="110"/>
      <c r="HP70" s="110"/>
      <c r="HQ70" s="110"/>
      <c r="HR70" s="110"/>
      <c r="HS70" s="110"/>
      <c r="HT70" s="110"/>
      <c r="HU70" s="110"/>
      <c r="HV70" s="110"/>
      <c r="HW70" s="110"/>
      <c r="HX70" s="110"/>
      <c r="HY70" s="110"/>
      <c r="HZ70" s="110"/>
      <c r="IA70" s="110"/>
      <c r="IB70" s="110"/>
      <c r="IC70" s="110"/>
      <c r="ID70" s="110"/>
      <c r="IE70" s="110"/>
      <c r="IF70" s="110"/>
      <c r="IG70" s="110"/>
      <c r="IH70" s="110"/>
      <c r="II70" s="110"/>
      <c r="IJ70" s="110"/>
      <c r="IK70" s="110"/>
      <c r="IL70" s="110"/>
      <c r="IM70" s="110"/>
      <c r="IN70" s="110"/>
      <c r="IO70" s="110"/>
      <c r="IP70" s="110"/>
      <c r="IQ70" s="70"/>
    </row>
    <row r="71" spans="1:251" ht="16.5" hidden="1" customHeight="1">
      <c r="A71" s="95" t="s">
        <v>450</v>
      </c>
      <c r="B71" t="s">
        <v>1363</v>
      </c>
      <c r="C71" t="s">
        <v>450</v>
      </c>
      <c r="E71" t="s">
        <v>450</v>
      </c>
      <c r="F71" t="s">
        <v>1369</v>
      </c>
      <c r="G71" s="654"/>
      <c r="H71">
        <v>32</v>
      </c>
      <c r="J71" s="214" t="str">
        <f t="shared" si="3"/>
        <v>LTT100232</v>
      </c>
      <c r="K71">
        <v>40520</v>
      </c>
      <c r="R71" s="95" t="s">
        <v>450</v>
      </c>
      <c r="V71" s="214"/>
      <c r="EE71" s="95" t="s">
        <v>450</v>
      </c>
      <c r="EF71" s="110"/>
      <c r="EG71" s="110"/>
      <c r="EH71" s="110"/>
      <c r="EI71" s="216"/>
      <c r="EJ71" s="110"/>
      <c r="EK71" s="110"/>
      <c r="EL71" s="110"/>
      <c r="EM71" s="110"/>
      <c r="EN71" s="110"/>
      <c r="EO71" s="110"/>
      <c r="EP71" s="110"/>
      <c r="EQ71" s="110"/>
      <c r="ER71" s="110"/>
      <c r="ES71" s="110"/>
      <c r="ET71" s="110"/>
      <c r="EU71" s="110"/>
      <c r="EV71" s="110"/>
      <c r="EW71" s="110"/>
      <c r="EX71" s="110"/>
      <c r="EY71" s="110"/>
      <c r="EZ71" s="110"/>
      <c r="FA71" s="110"/>
      <c r="FB71" s="110"/>
      <c r="FC71" s="110"/>
      <c r="FD71" s="110"/>
      <c r="FE71" s="110"/>
      <c r="FF71" s="110"/>
      <c r="FG71" s="110"/>
      <c r="FH71" s="110"/>
      <c r="FI71" s="110"/>
      <c r="FJ71" s="110"/>
      <c r="FK71" s="110"/>
      <c r="FL71" s="110"/>
      <c r="FM71" s="110"/>
      <c r="FN71" s="110"/>
      <c r="FO71" s="110"/>
      <c r="FP71" s="110"/>
      <c r="FQ71" s="110"/>
      <c r="FR71" s="110"/>
      <c r="FS71" s="110"/>
      <c r="FT71" s="110"/>
      <c r="FU71" s="110"/>
      <c r="FV71" s="110"/>
      <c r="FW71" s="110"/>
      <c r="FX71" s="110"/>
      <c r="FY71" s="110"/>
      <c r="FZ71" s="110"/>
      <c r="GA71" s="110"/>
      <c r="GB71" s="110"/>
      <c r="GC71" s="110"/>
      <c r="GD71" s="110"/>
      <c r="GE71" s="110"/>
      <c r="GF71" s="110"/>
      <c r="GG71" s="110"/>
      <c r="GH71" s="110"/>
      <c r="GI71" s="110"/>
      <c r="GJ71" s="110"/>
      <c r="GK71" s="110"/>
      <c r="GL71" s="110"/>
      <c r="GM71" s="110"/>
      <c r="GN71" s="110"/>
      <c r="GO71" s="110"/>
      <c r="GP71" s="110"/>
      <c r="GQ71" s="110"/>
      <c r="GR71" s="110"/>
      <c r="GS71" s="110"/>
      <c r="GT71" s="110"/>
      <c r="GU71" s="110"/>
      <c r="GV71" s="110"/>
      <c r="GW71" s="110"/>
      <c r="GX71" s="110"/>
      <c r="GY71" s="110"/>
      <c r="GZ71" s="110"/>
      <c r="HA71" s="110"/>
      <c r="HB71" s="110"/>
      <c r="HC71" s="110"/>
      <c r="HD71" s="110"/>
      <c r="HE71" s="110"/>
      <c r="HF71" s="110"/>
      <c r="HG71" s="110"/>
      <c r="HH71" s="110"/>
      <c r="HI71" s="110"/>
      <c r="HJ71" s="110"/>
      <c r="HK71" s="110"/>
      <c r="HL71" s="110"/>
      <c r="HM71" s="110"/>
      <c r="HN71" s="110"/>
      <c r="HO71" s="110"/>
      <c r="HP71" s="110"/>
      <c r="HQ71" s="110"/>
      <c r="HR71" s="110"/>
      <c r="HS71" s="110"/>
      <c r="HT71" s="110"/>
      <c r="HU71" s="110"/>
      <c r="HV71" s="110"/>
      <c r="HW71" s="110"/>
      <c r="HX71" s="110"/>
      <c r="HY71" s="110"/>
      <c r="HZ71" s="110"/>
      <c r="IA71" s="110"/>
      <c r="IB71" s="110"/>
      <c r="IC71" s="110"/>
      <c r="ID71" s="110"/>
      <c r="IE71" s="110"/>
      <c r="IF71" s="110"/>
      <c r="IG71" s="110"/>
      <c r="IH71" s="110"/>
      <c r="II71" s="110"/>
      <c r="IJ71" s="110"/>
      <c r="IK71" s="110"/>
      <c r="IL71" s="110"/>
      <c r="IM71" s="110"/>
      <c r="IN71" s="110"/>
      <c r="IO71" s="110"/>
      <c r="IP71" s="110"/>
      <c r="IQ71" s="70"/>
    </row>
    <row r="72" spans="1:251" ht="16.5" hidden="1" customHeight="1">
      <c r="A72" s="95" t="s">
        <v>450</v>
      </c>
      <c r="B72" t="s">
        <v>1363</v>
      </c>
      <c r="C72" t="s">
        <v>450</v>
      </c>
      <c r="E72" t="s">
        <v>450</v>
      </c>
      <c r="F72" t="s">
        <v>1369</v>
      </c>
      <c r="G72" s="654"/>
      <c r="H72">
        <v>33</v>
      </c>
      <c r="J72" s="214" t="str">
        <f t="shared" si="3"/>
        <v>LTT100233</v>
      </c>
      <c r="K72">
        <v>41150</v>
      </c>
      <c r="R72" s="95" t="s">
        <v>450</v>
      </c>
      <c r="V72" s="214"/>
      <c r="EE72" s="95" t="s">
        <v>450</v>
      </c>
      <c r="EF72" s="110"/>
      <c r="EG72" s="110"/>
      <c r="EH72" s="110"/>
      <c r="EI72" s="216"/>
      <c r="EJ72" s="110"/>
      <c r="EK72" s="110"/>
      <c r="EL72" s="110"/>
      <c r="EM72" s="110"/>
      <c r="EN72" s="110"/>
      <c r="EO72" s="110"/>
      <c r="EP72" s="110"/>
      <c r="EQ72" s="110"/>
      <c r="ER72" s="110"/>
      <c r="ES72" s="110"/>
      <c r="ET72" s="110"/>
      <c r="EU72" s="110"/>
      <c r="EV72" s="110"/>
      <c r="EW72" s="110"/>
      <c r="EX72" s="110"/>
      <c r="EY72" s="110"/>
      <c r="EZ72" s="110"/>
      <c r="FA72" s="110"/>
      <c r="FB72" s="110"/>
      <c r="FC72" s="110"/>
      <c r="FD72" s="110"/>
      <c r="FE72" s="110"/>
      <c r="FF72" s="110"/>
      <c r="FG72" s="110"/>
      <c r="FH72" s="110"/>
      <c r="FI72" s="110"/>
      <c r="FJ72" s="110"/>
      <c r="FK72" s="110"/>
      <c r="FL72" s="110"/>
      <c r="FM72" s="110"/>
      <c r="FN72" s="110"/>
      <c r="FO72" s="110"/>
      <c r="FP72" s="110"/>
      <c r="FQ72" s="110"/>
      <c r="FR72" s="110"/>
      <c r="FS72" s="110"/>
      <c r="FT72" s="110"/>
      <c r="FU72" s="110"/>
      <c r="FV72" s="110"/>
      <c r="FW72" s="110"/>
      <c r="FX72" s="110"/>
      <c r="FY72" s="110"/>
      <c r="FZ72" s="110"/>
      <c r="GA72" s="110"/>
      <c r="GB72" s="110"/>
      <c r="GC72" s="110"/>
      <c r="GD72" s="110"/>
      <c r="GE72" s="110"/>
      <c r="GF72" s="110"/>
      <c r="GG72" s="110"/>
      <c r="GH72" s="110"/>
      <c r="GI72" s="110"/>
      <c r="GJ72" s="110"/>
      <c r="GK72" s="110"/>
      <c r="GL72" s="110"/>
      <c r="GM72" s="110"/>
      <c r="GN72" s="110"/>
      <c r="GO72" s="110"/>
      <c r="GP72" s="110"/>
      <c r="GQ72" s="110"/>
      <c r="GR72" s="110"/>
      <c r="GS72" s="110"/>
      <c r="GT72" s="110"/>
      <c r="GU72" s="110"/>
      <c r="GV72" s="110"/>
      <c r="GW72" s="110"/>
      <c r="GX72" s="110"/>
      <c r="GY72" s="110"/>
      <c r="GZ72" s="110"/>
      <c r="HA72" s="110"/>
      <c r="HB72" s="110"/>
      <c r="HC72" s="110"/>
      <c r="HD72" s="110"/>
      <c r="HE72" s="110"/>
      <c r="HF72" s="110"/>
      <c r="HG72" s="110"/>
      <c r="HH72" s="110"/>
      <c r="HI72" s="110"/>
      <c r="HJ72" s="110"/>
      <c r="HK72" s="110"/>
      <c r="HL72" s="110"/>
      <c r="HM72" s="110"/>
      <c r="HN72" s="110"/>
      <c r="HO72" s="110"/>
      <c r="HP72" s="110"/>
      <c r="HQ72" s="110"/>
      <c r="HR72" s="110"/>
      <c r="HS72" s="110"/>
      <c r="HT72" s="110"/>
      <c r="HU72" s="110"/>
      <c r="HV72" s="110"/>
      <c r="HW72" s="110"/>
      <c r="HX72" s="110"/>
      <c r="HY72" s="110"/>
      <c r="HZ72" s="110"/>
      <c r="IA72" s="110"/>
      <c r="IB72" s="110"/>
      <c r="IC72" s="110"/>
      <c r="ID72" s="110"/>
      <c r="IE72" s="110"/>
      <c r="IF72" s="110"/>
      <c r="IG72" s="110"/>
      <c r="IH72" s="110"/>
      <c r="II72" s="110"/>
      <c r="IJ72" s="110"/>
      <c r="IK72" s="110"/>
      <c r="IL72" s="110"/>
      <c r="IM72" s="110"/>
      <c r="IN72" s="110"/>
      <c r="IO72" s="110"/>
      <c r="IP72" s="110"/>
      <c r="IQ72" s="70"/>
    </row>
    <row r="73" spans="1:251" ht="16.5" hidden="1" customHeight="1">
      <c r="A73" s="95" t="s">
        <v>450</v>
      </c>
      <c r="B73" t="s">
        <v>1363</v>
      </c>
      <c r="C73" t="s">
        <v>450</v>
      </c>
      <c r="E73" t="s">
        <v>450</v>
      </c>
      <c r="F73" t="s">
        <v>1369</v>
      </c>
      <c r="G73" s="654"/>
      <c r="H73">
        <v>34</v>
      </c>
      <c r="J73" s="214" t="str">
        <f t="shared" si="3"/>
        <v>LTT100234</v>
      </c>
      <c r="K73">
        <v>41770</v>
      </c>
      <c r="R73" s="95" t="s">
        <v>450</v>
      </c>
      <c r="V73" s="214"/>
      <c r="EE73" s="95" t="s">
        <v>450</v>
      </c>
      <c r="EF73" s="110"/>
      <c r="EG73" s="110"/>
      <c r="EH73" s="110"/>
      <c r="EI73" s="216"/>
      <c r="EJ73" s="110"/>
      <c r="EK73" s="110"/>
      <c r="EL73" s="110"/>
      <c r="EM73" s="110"/>
      <c r="EN73" s="110"/>
      <c r="EO73" s="110"/>
      <c r="EP73" s="110"/>
      <c r="EQ73" s="110"/>
      <c r="ER73" s="110"/>
      <c r="ES73" s="110"/>
      <c r="ET73" s="110"/>
      <c r="EU73" s="110"/>
      <c r="EV73" s="110"/>
      <c r="EW73" s="110"/>
      <c r="EX73" s="110"/>
      <c r="EY73" s="110"/>
      <c r="EZ73" s="110"/>
      <c r="FA73" s="110"/>
      <c r="FB73" s="110"/>
      <c r="FC73" s="110"/>
      <c r="FD73" s="110"/>
      <c r="FE73" s="110"/>
      <c r="FF73" s="110"/>
      <c r="FG73" s="110"/>
      <c r="FH73" s="110"/>
      <c r="FI73" s="110"/>
      <c r="FJ73" s="110"/>
      <c r="FK73" s="110"/>
      <c r="FL73" s="110"/>
      <c r="FM73" s="110"/>
      <c r="FN73" s="110"/>
      <c r="FO73" s="110"/>
      <c r="FP73" s="110"/>
      <c r="FQ73" s="110"/>
      <c r="FR73" s="110"/>
      <c r="FS73" s="110"/>
      <c r="FT73" s="110"/>
      <c r="FU73" s="110"/>
      <c r="FV73" s="110"/>
      <c r="FW73" s="110"/>
      <c r="FX73" s="110"/>
      <c r="FY73" s="110"/>
      <c r="FZ73" s="110"/>
      <c r="GA73" s="110"/>
      <c r="GB73" s="110"/>
      <c r="GC73" s="110"/>
      <c r="GD73" s="110"/>
      <c r="GE73" s="110"/>
      <c r="GF73" s="110"/>
      <c r="GG73" s="110"/>
      <c r="GH73" s="110"/>
      <c r="GI73" s="110"/>
      <c r="GJ73" s="110"/>
      <c r="GK73" s="110"/>
      <c r="GL73" s="110"/>
      <c r="GM73" s="110"/>
      <c r="GN73" s="110"/>
      <c r="GO73" s="110"/>
      <c r="GP73" s="110"/>
      <c r="GQ73" s="110"/>
      <c r="GR73" s="110"/>
      <c r="GS73" s="110"/>
      <c r="GT73" s="110"/>
      <c r="GU73" s="110"/>
      <c r="GV73" s="110"/>
      <c r="GW73" s="110"/>
      <c r="GX73" s="110"/>
      <c r="GY73" s="110"/>
      <c r="GZ73" s="110"/>
      <c r="HA73" s="110"/>
      <c r="HB73" s="110"/>
      <c r="HC73" s="110"/>
      <c r="HD73" s="110"/>
      <c r="HE73" s="110"/>
      <c r="HF73" s="110"/>
      <c r="HG73" s="110"/>
      <c r="HH73" s="110"/>
      <c r="HI73" s="110"/>
      <c r="HJ73" s="110"/>
      <c r="HK73" s="110"/>
      <c r="HL73" s="110"/>
      <c r="HM73" s="110"/>
      <c r="HN73" s="110"/>
      <c r="HO73" s="110"/>
      <c r="HP73" s="110"/>
      <c r="HQ73" s="110"/>
      <c r="HR73" s="110"/>
      <c r="HS73" s="110"/>
      <c r="HT73" s="110"/>
      <c r="HU73" s="110"/>
      <c r="HV73" s="110"/>
      <c r="HW73" s="110"/>
      <c r="HX73" s="110"/>
      <c r="HY73" s="110"/>
      <c r="HZ73" s="110"/>
      <c r="IA73" s="110"/>
      <c r="IB73" s="110"/>
      <c r="IC73" s="110"/>
      <c r="ID73" s="110"/>
      <c r="IE73" s="110"/>
      <c r="IF73" s="110"/>
      <c r="IG73" s="110"/>
      <c r="IH73" s="110"/>
      <c r="II73" s="110"/>
      <c r="IJ73" s="110"/>
      <c r="IK73" s="110"/>
      <c r="IL73" s="110"/>
      <c r="IM73" s="110"/>
      <c r="IN73" s="110"/>
      <c r="IO73" s="110"/>
      <c r="IP73" s="110"/>
      <c r="IQ73" s="70"/>
    </row>
    <row r="74" spans="1:251" ht="16.5" hidden="1" customHeight="1">
      <c r="A74" s="95" t="s">
        <v>450</v>
      </c>
      <c r="B74" t="s">
        <v>1363</v>
      </c>
      <c r="C74" t="s">
        <v>450</v>
      </c>
      <c r="E74" t="s">
        <v>450</v>
      </c>
      <c r="F74" t="s">
        <v>1369</v>
      </c>
      <c r="G74" s="654"/>
      <c r="H74">
        <v>35</v>
      </c>
      <c r="J74" s="214" t="str">
        <f t="shared" si="3"/>
        <v>LTT100235</v>
      </c>
      <c r="K74">
        <v>42400</v>
      </c>
      <c r="R74" s="95" t="s">
        <v>450</v>
      </c>
      <c r="V74" s="214"/>
      <c r="EE74" s="95" t="s">
        <v>450</v>
      </c>
      <c r="EF74" s="110"/>
      <c r="EG74" s="110"/>
      <c r="EH74" s="110"/>
      <c r="EI74" s="216"/>
      <c r="EJ74" s="110"/>
      <c r="EK74" s="110"/>
      <c r="EL74" s="110"/>
      <c r="EM74" s="110"/>
      <c r="EN74" s="110"/>
      <c r="EO74" s="110"/>
      <c r="EP74" s="110"/>
      <c r="EQ74" s="110"/>
      <c r="ER74" s="110"/>
      <c r="ES74" s="110"/>
      <c r="ET74" s="110"/>
      <c r="EU74" s="110"/>
      <c r="EV74" s="110"/>
      <c r="EW74" s="110"/>
      <c r="EX74" s="110"/>
      <c r="EY74" s="110"/>
      <c r="EZ74" s="110"/>
      <c r="FA74" s="110"/>
      <c r="FB74" s="110"/>
      <c r="FC74" s="110"/>
      <c r="FD74" s="110"/>
      <c r="FE74" s="110"/>
      <c r="FF74" s="110"/>
      <c r="FG74" s="110"/>
      <c r="FH74" s="110"/>
      <c r="FI74" s="110"/>
      <c r="FJ74" s="110"/>
      <c r="FK74" s="110"/>
      <c r="FL74" s="110"/>
      <c r="FM74" s="110"/>
      <c r="FN74" s="110"/>
      <c r="FO74" s="110"/>
      <c r="FP74" s="110"/>
      <c r="FQ74" s="110"/>
      <c r="FR74" s="110"/>
      <c r="FS74" s="110"/>
      <c r="FT74" s="110"/>
      <c r="FU74" s="110"/>
      <c r="FV74" s="110"/>
      <c r="FW74" s="110"/>
      <c r="FX74" s="110"/>
      <c r="FY74" s="110"/>
      <c r="FZ74" s="110"/>
      <c r="GA74" s="110"/>
      <c r="GB74" s="110"/>
      <c r="GC74" s="110"/>
      <c r="GD74" s="110"/>
      <c r="GE74" s="110"/>
      <c r="GF74" s="110"/>
      <c r="GG74" s="110"/>
      <c r="GH74" s="110"/>
      <c r="GI74" s="110"/>
      <c r="GJ74" s="110"/>
      <c r="GK74" s="110"/>
      <c r="GL74" s="110"/>
      <c r="GM74" s="110"/>
      <c r="GN74" s="110"/>
      <c r="GO74" s="110"/>
      <c r="GP74" s="110"/>
      <c r="GQ74" s="110"/>
      <c r="GR74" s="110"/>
      <c r="GS74" s="110"/>
      <c r="GT74" s="110"/>
      <c r="GU74" s="110"/>
      <c r="GV74" s="110"/>
      <c r="GW74" s="110"/>
      <c r="GX74" s="110"/>
      <c r="GY74" s="110"/>
      <c r="GZ74" s="110"/>
      <c r="HA74" s="110"/>
      <c r="HB74" s="110"/>
      <c r="HC74" s="110"/>
      <c r="HD74" s="110"/>
      <c r="HE74" s="110"/>
      <c r="HF74" s="110"/>
      <c r="HG74" s="110"/>
      <c r="HH74" s="110"/>
      <c r="HI74" s="110"/>
      <c r="HJ74" s="110"/>
      <c r="HK74" s="110"/>
      <c r="HL74" s="110"/>
      <c r="HM74" s="110"/>
      <c r="HN74" s="110"/>
      <c r="HO74" s="110"/>
      <c r="HP74" s="110"/>
      <c r="HQ74" s="110"/>
      <c r="HR74" s="110"/>
      <c r="HS74" s="110"/>
      <c r="HT74" s="110"/>
      <c r="HU74" s="110"/>
      <c r="HV74" s="110"/>
      <c r="HW74" s="110"/>
      <c r="HX74" s="110"/>
      <c r="HY74" s="110"/>
      <c r="HZ74" s="110"/>
      <c r="IA74" s="110"/>
      <c r="IB74" s="110"/>
      <c r="IC74" s="110"/>
      <c r="ID74" s="110"/>
      <c r="IE74" s="110"/>
      <c r="IF74" s="110"/>
      <c r="IG74" s="110"/>
      <c r="IH74" s="110"/>
      <c r="II74" s="110"/>
      <c r="IJ74" s="110"/>
      <c r="IK74" s="110"/>
      <c r="IL74" s="110"/>
      <c r="IM74" s="110"/>
      <c r="IN74" s="110"/>
      <c r="IO74" s="110"/>
      <c r="IP74" s="110"/>
      <c r="IQ74" s="70"/>
    </row>
    <row r="75" spans="1:251" ht="16.5" hidden="1" customHeight="1">
      <c r="A75" s="95" t="s">
        <v>450</v>
      </c>
      <c r="B75" t="s">
        <v>1363</v>
      </c>
      <c r="C75" t="s">
        <v>450</v>
      </c>
      <c r="E75" t="s">
        <v>450</v>
      </c>
      <c r="F75" t="s">
        <v>1369</v>
      </c>
      <c r="G75" s="654"/>
      <c r="H75">
        <v>36</v>
      </c>
      <c r="J75" s="214" t="str">
        <f t="shared" si="3"/>
        <v>LTT100236</v>
      </c>
      <c r="K75">
        <v>43090</v>
      </c>
      <c r="R75" s="95" t="s">
        <v>450</v>
      </c>
      <c r="V75" s="214"/>
      <c r="EE75" s="95" t="s">
        <v>450</v>
      </c>
      <c r="EF75" s="110"/>
      <c r="EG75" s="110"/>
      <c r="EH75" s="110"/>
      <c r="EI75" s="216"/>
      <c r="EJ75" s="110"/>
      <c r="EK75" s="110"/>
      <c r="EL75" s="110"/>
      <c r="EM75" s="110"/>
      <c r="EN75" s="110"/>
      <c r="EO75" s="110"/>
      <c r="EP75" s="110"/>
      <c r="EQ75" s="110"/>
      <c r="ER75" s="110"/>
      <c r="ES75" s="110"/>
      <c r="ET75" s="110"/>
      <c r="EU75" s="110"/>
      <c r="EV75" s="110"/>
      <c r="EW75" s="110"/>
      <c r="EX75" s="110"/>
      <c r="EY75" s="110"/>
      <c r="EZ75" s="110"/>
      <c r="FA75" s="110"/>
      <c r="FB75" s="110"/>
      <c r="FC75" s="110"/>
      <c r="FD75" s="110"/>
      <c r="FE75" s="110"/>
      <c r="FF75" s="110"/>
      <c r="FG75" s="110"/>
      <c r="FH75" s="110"/>
      <c r="FI75" s="110"/>
      <c r="FJ75" s="110"/>
      <c r="FK75" s="110"/>
      <c r="FL75" s="110"/>
      <c r="FM75" s="110"/>
      <c r="FN75" s="110"/>
      <c r="FO75" s="110"/>
      <c r="FP75" s="110"/>
      <c r="FQ75" s="110"/>
      <c r="FR75" s="110"/>
      <c r="FS75" s="110"/>
      <c r="FT75" s="110"/>
      <c r="FU75" s="110"/>
      <c r="FV75" s="110"/>
      <c r="FW75" s="110"/>
      <c r="FX75" s="110"/>
      <c r="FY75" s="110"/>
      <c r="FZ75" s="110"/>
      <c r="GA75" s="110"/>
      <c r="GB75" s="110"/>
      <c r="GC75" s="110"/>
      <c r="GD75" s="110"/>
      <c r="GE75" s="110"/>
      <c r="GF75" s="110"/>
      <c r="GG75" s="110"/>
      <c r="GH75" s="110"/>
      <c r="GI75" s="110"/>
      <c r="GJ75" s="110"/>
      <c r="GK75" s="110"/>
      <c r="GL75" s="110"/>
      <c r="GM75" s="110"/>
      <c r="GN75" s="110"/>
      <c r="GO75" s="110"/>
      <c r="GP75" s="110"/>
      <c r="GQ75" s="110"/>
      <c r="GR75" s="110"/>
      <c r="GS75" s="110"/>
      <c r="GT75" s="110"/>
      <c r="GU75" s="110"/>
      <c r="GV75" s="110"/>
      <c r="GW75" s="110"/>
      <c r="GX75" s="110"/>
      <c r="GY75" s="110"/>
      <c r="GZ75" s="110"/>
      <c r="HA75" s="110"/>
      <c r="HB75" s="110"/>
      <c r="HC75" s="110"/>
      <c r="HD75" s="110"/>
      <c r="HE75" s="110"/>
      <c r="HF75" s="110"/>
      <c r="HG75" s="110"/>
      <c r="HH75" s="110"/>
      <c r="HI75" s="110"/>
      <c r="HJ75" s="110"/>
      <c r="HK75" s="110"/>
      <c r="HL75" s="110"/>
      <c r="HM75" s="110"/>
      <c r="HN75" s="110"/>
      <c r="HO75" s="110"/>
      <c r="HP75" s="110"/>
      <c r="HQ75" s="110"/>
      <c r="HR75" s="110"/>
      <c r="HS75" s="110"/>
      <c r="HT75" s="110"/>
      <c r="HU75" s="110"/>
      <c r="HV75" s="110"/>
      <c r="HW75" s="110"/>
      <c r="HX75" s="110"/>
      <c r="HY75" s="110"/>
      <c r="HZ75" s="110"/>
      <c r="IA75" s="110"/>
      <c r="IB75" s="110"/>
      <c r="IC75" s="110"/>
      <c r="ID75" s="110"/>
      <c r="IE75" s="110"/>
      <c r="IF75" s="110"/>
      <c r="IG75" s="110"/>
      <c r="IH75" s="110"/>
      <c r="II75" s="110"/>
      <c r="IJ75" s="110"/>
      <c r="IK75" s="110"/>
      <c r="IL75" s="110"/>
      <c r="IM75" s="110"/>
      <c r="IN75" s="110"/>
      <c r="IO75" s="110"/>
      <c r="IP75" s="110"/>
      <c r="IQ75" s="70"/>
    </row>
    <row r="76" spans="1:251" ht="16.5" hidden="1" customHeight="1">
      <c r="A76" s="95" t="s">
        <v>450</v>
      </c>
      <c r="B76" t="s">
        <v>1363</v>
      </c>
      <c r="C76" t="s">
        <v>450</v>
      </c>
      <c r="E76" t="s">
        <v>450</v>
      </c>
      <c r="F76" t="s">
        <v>1369</v>
      </c>
      <c r="G76" s="654"/>
      <c r="H76">
        <v>37</v>
      </c>
      <c r="J76" s="214" t="str">
        <f t="shared" si="3"/>
        <v>LTT100237</v>
      </c>
      <c r="K76">
        <v>43670</v>
      </c>
      <c r="R76" s="95" t="s">
        <v>450</v>
      </c>
      <c r="V76" s="214"/>
      <c r="EE76" s="95" t="s">
        <v>450</v>
      </c>
      <c r="EF76" s="110"/>
      <c r="EG76" s="110"/>
      <c r="EH76" s="110"/>
      <c r="EI76" s="216"/>
      <c r="EJ76" s="110"/>
      <c r="EK76" s="110"/>
      <c r="EL76" s="110"/>
      <c r="EM76" s="110"/>
      <c r="EN76" s="110"/>
      <c r="EO76" s="110"/>
      <c r="EP76" s="110"/>
      <c r="EQ76" s="110"/>
      <c r="ER76" s="110"/>
      <c r="ES76" s="110"/>
      <c r="ET76" s="110"/>
      <c r="EU76" s="110"/>
      <c r="EV76" s="110"/>
      <c r="EW76" s="110"/>
      <c r="EX76" s="110"/>
      <c r="EY76" s="110"/>
      <c r="EZ76" s="110"/>
      <c r="FA76" s="110"/>
      <c r="FB76" s="110"/>
      <c r="FC76" s="110"/>
      <c r="FD76" s="110"/>
      <c r="FE76" s="110"/>
      <c r="FF76" s="110"/>
      <c r="FG76" s="110"/>
      <c r="FH76" s="110"/>
      <c r="FI76" s="110"/>
      <c r="FJ76" s="110"/>
      <c r="FK76" s="110"/>
      <c r="FL76" s="110"/>
      <c r="FM76" s="110"/>
      <c r="FN76" s="110"/>
      <c r="FO76" s="110"/>
      <c r="FP76" s="110"/>
      <c r="FQ76" s="110"/>
      <c r="FR76" s="110"/>
      <c r="FS76" s="110"/>
      <c r="FT76" s="110"/>
      <c r="FU76" s="110"/>
      <c r="FV76" s="110"/>
      <c r="FW76" s="110"/>
      <c r="FX76" s="110"/>
      <c r="FY76" s="110"/>
      <c r="FZ76" s="110"/>
      <c r="GA76" s="110"/>
      <c r="GB76" s="110"/>
      <c r="GC76" s="110"/>
      <c r="GD76" s="110"/>
      <c r="GE76" s="110"/>
      <c r="GF76" s="110"/>
      <c r="GG76" s="110"/>
      <c r="GH76" s="110"/>
      <c r="GI76" s="110"/>
      <c r="GJ76" s="110"/>
      <c r="GK76" s="110"/>
      <c r="GL76" s="110"/>
      <c r="GM76" s="110"/>
      <c r="GN76" s="110"/>
      <c r="GO76" s="110"/>
      <c r="GP76" s="110"/>
      <c r="GQ76" s="110"/>
      <c r="GR76" s="110"/>
      <c r="GS76" s="110"/>
      <c r="GT76" s="110"/>
      <c r="GU76" s="110"/>
      <c r="GV76" s="110"/>
      <c r="GW76" s="110"/>
      <c r="GX76" s="110"/>
      <c r="GY76" s="110"/>
      <c r="GZ76" s="110"/>
      <c r="HA76" s="110"/>
      <c r="HB76" s="110"/>
      <c r="HC76" s="110"/>
      <c r="HD76" s="110"/>
      <c r="HE76" s="110"/>
      <c r="HF76" s="110"/>
      <c r="HG76" s="110"/>
      <c r="HH76" s="110"/>
      <c r="HI76" s="110"/>
      <c r="HJ76" s="110"/>
      <c r="HK76" s="110"/>
      <c r="HL76" s="110"/>
      <c r="HM76" s="110"/>
      <c r="HN76" s="110"/>
      <c r="HO76" s="110"/>
      <c r="HP76" s="110"/>
      <c r="HQ76" s="110"/>
      <c r="HR76" s="110"/>
      <c r="HS76" s="110"/>
      <c r="HT76" s="110"/>
      <c r="HU76" s="110"/>
      <c r="HV76" s="110"/>
      <c r="HW76" s="110"/>
      <c r="HX76" s="110"/>
      <c r="HY76" s="110"/>
      <c r="HZ76" s="110"/>
      <c r="IA76" s="110"/>
      <c r="IB76" s="110"/>
      <c r="IC76" s="110"/>
      <c r="ID76" s="110"/>
      <c r="IE76" s="110"/>
      <c r="IF76" s="110"/>
      <c r="IG76" s="110"/>
      <c r="IH76" s="110"/>
      <c r="II76" s="110"/>
      <c r="IJ76" s="110"/>
      <c r="IK76" s="110"/>
      <c r="IL76" s="110"/>
      <c r="IM76" s="110"/>
      <c r="IN76" s="110"/>
      <c r="IO76" s="110"/>
      <c r="IP76" s="110"/>
      <c r="IQ76" s="70"/>
    </row>
    <row r="77" spans="1:251" ht="16.5" hidden="1" customHeight="1">
      <c r="A77" s="95" t="s">
        <v>450</v>
      </c>
      <c r="B77" t="s">
        <v>1363</v>
      </c>
      <c r="C77" t="s">
        <v>450</v>
      </c>
      <c r="E77" t="s">
        <v>450</v>
      </c>
      <c r="F77" t="s">
        <v>1369</v>
      </c>
      <c r="G77" s="654"/>
      <c r="H77">
        <v>38</v>
      </c>
      <c r="J77" s="214" t="str">
        <f t="shared" si="3"/>
        <v>LTT100238</v>
      </c>
      <c r="K77">
        <v>44360</v>
      </c>
      <c r="R77" s="95" t="s">
        <v>450</v>
      </c>
      <c r="V77" s="214"/>
      <c r="EE77" s="95" t="s">
        <v>450</v>
      </c>
      <c r="EF77" s="110"/>
      <c r="EG77" s="110"/>
      <c r="EH77" s="110"/>
      <c r="EI77" s="216"/>
      <c r="EJ77" s="110"/>
      <c r="EK77" s="110"/>
      <c r="EL77" s="110"/>
      <c r="EM77" s="110"/>
      <c r="EN77" s="110"/>
      <c r="EO77" s="110"/>
      <c r="EP77" s="110"/>
      <c r="EQ77" s="110"/>
      <c r="ER77" s="110"/>
      <c r="ES77" s="110"/>
      <c r="ET77" s="110"/>
      <c r="EU77" s="110"/>
      <c r="EV77" s="110"/>
      <c r="EW77" s="110"/>
      <c r="EX77" s="110"/>
      <c r="EY77" s="110"/>
      <c r="EZ77" s="110"/>
      <c r="FA77" s="110"/>
      <c r="FB77" s="110"/>
      <c r="FC77" s="110"/>
      <c r="FD77" s="110"/>
      <c r="FE77" s="110"/>
      <c r="FF77" s="110"/>
      <c r="FG77" s="110"/>
      <c r="FH77" s="110"/>
      <c r="FI77" s="110"/>
      <c r="FJ77" s="110"/>
      <c r="FK77" s="110"/>
      <c r="FL77" s="110"/>
      <c r="FM77" s="110"/>
      <c r="FN77" s="110"/>
      <c r="FO77" s="110"/>
      <c r="FP77" s="110"/>
      <c r="FQ77" s="110"/>
      <c r="FR77" s="110"/>
      <c r="FS77" s="110"/>
      <c r="FT77" s="110"/>
      <c r="FU77" s="110"/>
      <c r="FV77" s="110"/>
      <c r="FW77" s="110"/>
      <c r="FX77" s="110"/>
      <c r="FY77" s="110"/>
      <c r="FZ77" s="110"/>
      <c r="GA77" s="110"/>
      <c r="GB77" s="110"/>
      <c r="GC77" s="110"/>
      <c r="GD77" s="110"/>
      <c r="GE77" s="110"/>
      <c r="GF77" s="110"/>
      <c r="GG77" s="110"/>
      <c r="GH77" s="110"/>
      <c r="GI77" s="110"/>
      <c r="GJ77" s="110"/>
      <c r="GK77" s="110"/>
      <c r="GL77" s="110"/>
      <c r="GM77" s="110"/>
      <c r="GN77" s="110"/>
      <c r="GO77" s="110"/>
      <c r="GP77" s="110"/>
      <c r="GQ77" s="110"/>
      <c r="GR77" s="110"/>
      <c r="GS77" s="110"/>
      <c r="GT77" s="110"/>
      <c r="GU77" s="110"/>
      <c r="GV77" s="110"/>
      <c r="GW77" s="110"/>
      <c r="GX77" s="110"/>
      <c r="GY77" s="110"/>
      <c r="GZ77" s="110"/>
      <c r="HA77" s="110"/>
      <c r="HB77" s="110"/>
      <c r="HC77" s="110"/>
      <c r="HD77" s="110"/>
      <c r="HE77" s="110"/>
      <c r="HF77" s="110"/>
      <c r="HG77" s="110"/>
      <c r="HH77" s="110"/>
      <c r="HI77" s="110"/>
      <c r="HJ77" s="110"/>
      <c r="HK77" s="110"/>
      <c r="HL77" s="110"/>
      <c r="HM77" s="110"/>
      <c r="HN77" s="110"/>
      <c r="HO77" s="110"/>
      <c r="HP77" s="110"/>
      <c r="HQ77" s="110"/>
      <c r="HR77" s="110"/>
      <c r="HS77" s="110"/>
      <c r="HT77" s="110"/>
      <c r="HU77" s="110"/>
      <c r="HV77" s="110"/>
      <c r="HW77" s="110"/>
      <c r="HX77" s="110"/>
      <c r="HY77" s="110"/>
      <c r="HZ77" s="110"/>
      <c r="IA77" s="110"/>
      <c r="IB77" s="110"/>
      <c r="IC77" s="110"/>
      <c r="ID77" s="110"/>
      <c r="IE77" s="110"/>
      <c r="IF77" s="110"/>
      <c r="IG77" s="110"/>
      <c r="IH77" s="110"/>
      <c r="II77" s="110"/>
      <c r="IJ77" s="110"/>
      <c r="IK77" s="110"/>
      <c r="IL77" s="110"/>
      <c r="IM77" s="110"/>
      <c r="IN77" s="110"/>
      <c r="IO77" s="110"/>
      <c r="IP77" s="110"/>
      <c r="IQ77" s="70"/>
    </row>
    <row r="78" spans="1:251" ht="16.5" hidden="1" customHeight="1">
      <c r="A78" s="95" t="s">
        <v>450</v>
      </c>
      <c r="B78" t="s">
        <v>1363</v>
      </c>
      <c r="C78" t="s">
        <v>450</v>
      </c>
      <c r="E78" t="s">
        <v>450</v>
      </c>
      <c r="F78" t="s">
        <v>1369</v>
      </c>
      <c r="G78" s="654"/>
      <c r="H78">
        <v>39</v>
      </c>
      <c r="J78" s="214" t="str">
        <f t="shared" si="3"/>
        <v>LTT100239</v>
      </c>
      <c r="K78">
        <v>45010</v>
      </c>
      <c r="R78" s="95" t="s">
        <v>450</v>
      </c>
      <c r="U78" s="654"/>
      <c r="V78" s="214"/>
      <c r="EE78" s="95" t="s">
        <v>450</v>
      </c>
      <c r="EF78" s="110"/>
      <c r="EG78" s="110"/>
      <c r="EH78" s="110"/>
      <c r="EI78" s="216"/>
      <c r="EJ78" s="110"/>
      <c r="EK78" s="110"/>
      <c r="EL78" s="110"/>
      <c r="EM78" s="110"/>
      <c r="EN78" s="110"/>
      <c r="EO78" s="110"/>
      <c r="EP78" s="110"/>
      <c r="EQ78" s="110"/>
      <c r="ER78" s="110"/>
      <c r="ES78" s="110"/>
      <c r="ET78" s="110"/>
      <c r="EU78" s="110"/>
      <c r="EV78" s="110"/>
      <c r="EW78" s="110"/>
      <c r="EX78" s="110"/>
      <c r="EY78" s="110"/>
      <c r="EZ78" s="110"/>
      <c r="FA78" s="110"/>
      <c r="FB78" s="110"/>
      <c r="FC78" s="110"/>
      <c r="FD78" s="110"/>
      <c r="FE78" s="110"/>
      <c r="FF78" s="110"/>
      <c r="FG78" s="110"/>
      <c r="FH78" s="110"/>
      <c r="FI78" s="110"/>
      <c r="FJ78" s="110"/>
      <c r="FK78" s="110"/>
      <c r="FL78" s="110"/>
      <c r="FM78" s="110"/>
      <c r="FN78" s="110"/>
      <c r="FO78" s="110"/>
      <c r="FP78" s="110"/>
      <c r="FQ78" s="110"/>
      <c r="FR78" s="110"/>
      <c r="FS78" s="110"/>
      <c r="FT78" s="110"/>
      <c r="FU78" s="110"/>
      <c r="FV78" s="110"/>
      <c r="FW78" s="110"/>
      <c r="FX78" s="110"/>
      <c r="FY78" s="110"/>
      <c r="FZ78" s="110"/>
      <c r="GA78" s="110"/>
      <c r="GB78" s="110"/>
      <c r="GC78" s="110"/>
      <c r="GD78" s="110"/>
      <c r="GE78" s="110"/>
      <c r="GF78" s="110"/>
      <c r="GG78" s="110"/>
      <c r="GH78" s="110"/>
      <c r="GI78" s="110"/>
      <c r="GJ78" s="110"/>
      <c r="GK78" s="110"/>
      <c r="GL78" s="110"/>
      <c r="GM78" s="110"/>
      <c r="GN78" s="110"/>
      <c r="GO78" s="110"/>
      <c r="GP78" s="110"/>
      <c r="GQ78" s="110"/>
      <c r="GR78" s="110"/>
      <c r="GS78" s="110"/>
      <c r="GT78" s="110"/>
      <c r="GU78" s="110"/>
      <c r="GV78" s="110"/>
      <c r="GW78" s="110"/>
      <c r="GX78" s="110"/>
      <c r="GY78" s="110"/>
      <c r="GZ78" s="110"/>
      <c r="HA78" s="110"/>
      <c r="HB78" s="110"/>
      <c r="HC78" s="110"/>
      <c r="HD78" s="110"/>
      <c r="HE78" s="110"/>
      <c r="HF78" s="110"/>
      <c r="HG78" s="110"/>
      <c r="HH78" s="110"/>
      <c r="HI78" s="110"/>
      <c r="HJ78" s="110"/>
      <c r="HK78" s="110"/>
      <c r="HL78" s="110"/>
      <c r="HM78" s="110"/>
      <c r="HN78" s="110"/>
      <c r="HO78" s="110"/>
      <c r="HP78" s="110"/>
      <c r="HQ78" s="110"/>
      <c r="HR78" s="110"/>
      <c r="HS78" s="110"/>
      <c r="HT78" s="110"/>
      <c r="HU78" s="110"/>
      <c r="HV78" s="110"/>
      <c r="HW78" s="110"/>
      <c r="HX78" s="110"/>
      <c r="HY78" s="110"/>
      <c r="HZ78" s="110"/>
      <c r="IA78" s="110"/>
      <c r="IB78" s="110"/>
      <c r="IC78" s="110"/>
      <c r="ID78" s="110"/>
      <c r="IE78" s="110"/>
      <c r="IF78" s="110"/>
      <c r="IG78" s="110"/>
      <c r="IH78" s="110"/>
      <c r="II78" s="110"/>
      <c r="IJ78" s="110"/>
      <c r="IK78" s="110"/>
      <c r="IL78" s="110"/>
      <c r="IM78" s="110"/>
      <c r="IN78" s="110"/>
      <c r="IO78" s="110"/>
      <c r="IP78" s="110"/>
      <c r="IQ78" s="70"/>
    </row>
    <row r="79" spans="1:251" ht="16.5" hidden="1" customHeight="1">
      <c r="A79" s="95" t="s">
        <v>450</v>
      </c>
      <c r="B79" t="s">
        <v>1363</v>
      </c>
      <c r="C79" t="s">
        <v>450</v>
      </c>
      <c r="E79" t="s">
        <v>450</v>
      </c>
      <c r="F79" t="s">
        <v>1369</v>
      </c>
      <c r="G79" s="654"/>
      <c r="H79">
        <v>40</v>
      </c>
      <c r="J79" s="214" t="str">
        <f t="shared" si="3"/>
        <v>LTT100240</v>
      </c>
      <c r="K79">
        <v>45700</v>
      </c>
      <c r="R79" s="95" t="s">
        <v>450</v>
      </c>
      <c r="V79" s="214"/>
      <c r="EE79" s="95" t="s">
        <v>450</v>
      </c>
      <c r="EF79" s="110"/>
      <c r="EG79" s="110"/>
      <c r="EH79" s="110"/>
      <c r="EI79" s="216"/>
      <c r="EJ79" s="110"/>
      <c r="EK79" s="110"/>
      <c r="EL79" s="110"/>
      <c r="EM79" s="110"/>
      <c r="EN79" s="110"/>
      <c r="EO79" s="110"/>
      <c r="EP79" s="110"/>
      <c r="EQ79" s="110"/>
      <c r="ER79" s="110"/>
      <c r="ES79" s="110"/>
      <c r="ET79" s="110"/>
      <c r="EU79" s="110"/>
      <c r="EV79" s="110"/>
      <c r="EW79" s="110"/>
      <c r="EX79" s="110"/>
      <c r="EY79" s="110"/>
      <c r="EZ79" s="110"/>
      <c r="FA79" s="110"/>
      <c r="FB79" s="110"/>
      <c r="FC79" s="110"/>
      <c r="FD79" s="110"/>
      <c r="FE79" s="110"/>
      <c r="FF79" s="110"/>
      <c r="FG79" s="110"/>
      <c r="FH79" s="110"/>
      <c r="FI79" s="110"/>
      <c r="FJ79" s="110"/>
      <c r="FK79" s="110"/>
      <c r="FL79" s="110"/>
      <c r="FM79" s="110"/>
      <c r="FN79" s="110"/>
      <c r="FO79" s="110"/>
      <c r="FP79" s="110"/>
      <c r="FQ79" s="110"/>
      <c r="FR79" s="110"/>
      <c r="FS79" s="110"/>
      <c r="FT79" s="110"/>
      <c r="FU79" s="110"/>
      <c r="FV79" s="110"/>
      <c r="FW79" s="110"/>
      <c r="FX79" s="110"/>
      <c r="FY79" s="110"/>
      <c r="FZ79" s="110"/>
      <c r="GA79" s="110"/>
      <c r="GB79" s="110"/>
      <c r="GC79" s="110"/>
      <c r="GD79" s="110"/>
      <c r="GE79" s="110"/>
      <c r="GF79" s="110"/>
      <c r="GG79" s="110"/>
      <c r="GH79" s="110"/>
      <c r="GI79" s="110"/>
      <c r="GJ79" s="110"/>
      <c r="GK79" s="110"/>
      <c r="GL79" s="110"/>
      <c r="GM79" s="110"/>
      <c r="GN79" s="110"/>
      <c r="GO79" s="110"/>
      <c r="GP79" s="110"/>
      <c r="GQ79" s="110"/>
      <c r="GR79" s="110"/>
      <c r="GS79" s="110"/>
      <c r="GT79" s="110"/>
      <c r="GU79" s="110"/>
      <c r="GV79" s="110"/>
      <c r="GW79" s="110"/>
      <c r="GX79" s="110"/>
      <c r="GY79" s="110"/>
      <c r="GZ79" s="110"/>
      <c r="HA79" s="110"/>
      <c r="HB79" s="110"/>
      <c r="HC79" s="110"/>
      <c r="HD79" s="110"/>
      <c r="HE79" s="110"/>
      <c r="HF79" s="110"/>
      <c r="HG79" s="110"/>
      <c r="HH79" s="110"/>
      <c r="HI79" s="110"/>
      <c r="HJ79" s="110"/>
      <c r="HK79" s="110"/>
      <c r="HL79" s="110"/>
      <c r="HM79" s="110"/>
      <c r="HN79" s="110"/>
      <c r="HO79" s="110"/>
      <c r="HP79" s="110"/>
      <c r="HQ79" s="110"/>
      <c r="HR79" s="110"/>
      <c r="HS79" s="110"/>
      <c r="HT79" s="110"/>
      <c r="HU79" s="110"/>
      <c r="HV79" s="110"/>
      <c r="HW79" s="110"/>
      <c r="HX79" s="110"/>
      <c r="HY79" s="110"/>
      <c r="HZ79" s="110"/>
      <c r="IA79" s="110"/>
      <c r="IB79" s="110"/>
      <c r="IC79" s="110"/>
      <c r="ID79" s="110"/>
      <c r="IE79" s="110"/>
      <c r="IF79" s="110"/>
      <c r="IG79" s="110"/>
      <c r="IH79" s="110"/>
      <c r="II79" s="110"/>
      <c r="IJ79" s="110"/>
      <c r="IK79" s="110"/>
      <c r="IL79" s="110"/>
      <c r="IM79" s="110"/>
      <c r="IN79" s="110"/>
      <c r="IO79" s="110"/>
      <c r="IP79" s="110"/>
      <c r="IQ79" s="70"/>
    </row>
    <row r="80" spans="1:251" ht="16.5" hidden="1" customHeight="1">
      <c r="A80" s="95" t="s">
        <v>450</v>
      </c>
      <c r="B80" t="s">
        <v>1363</v>
      </c>
      <c r="C80" t="s">
        <v>450</v>
      </c>
      <c r="E80" t="s">
        <v>450</v>
      </c>
      <c r="F80" t="s">
        <v>1369</v>
      </c>
      <c r="G80" s="654"/>
      <c r="H80">
        <v>41</v>
      </c>
      <c r="J80" s="214" t="str">
        <f t="shared" si="3"/>
        <v>LTT100241</v>
      </c>
      <c r="K80">
        <v>46550</v>
      </c>
      <c r="R80" s="95" t="s">
        <v>450</v>
      </c>
      <c r="V80" s="214"/>
      <c r="EE80" s="95" t="s">
        <v>450</v>
      </c>
      <c r="EF80" s="110"/>
      <c r="EG80" s="110"/>
      <c r="EH80" s="110"/>
      <c r="EI80" s="216"/>
      <c r="EJ80" s="110"/>
      <c r="EK80" s="110"/>
      <c r="EL80" s="110"/>
      <c r="EM80" s="110"/>
      <c r="EN80" s="110"/>
      <c r="EO80" s="110"/>
      <c r="EP80" s="110"/>
      <c r="EQ80" s="110"/>
      <c r="ER80" s="110"/>
      <c r="ES80" s="110"/>
      <c r="ET80" s="110"/>
      <c r="EU80" s="110"/>
      <c r="EV80" s="110"/>
      <c r="EW80" s="110"/>
      <c r="EX80" s="110"/>
      <c r="EY80" s="110"/>
      <c r="EZ80" s="110"/>
      <c r="FA80" s="110"/>
      <c r="FB80" s="110"/>
      <c r="FC80" s="110"/>
      <c r="FD80" s="110"/>
      <c r="FE80" s="110"/>
      <c r="FF80" s="110"/>
      <c r="FG80" s="110"/>
      <c r="FH80" s="110"/>
      <c r="FI80" s="110"/>
      <c r="FJ80" s="110"/>
      <c r="FK80" s="110"/>
      <c r="FL80" s="110"/>
      <c r="FM80" s="110"/>
      <c r="FN80" s="110"/>
      <c r="FO80" s="110"/>
      <c r="FP80" s="110"/>
      <c r="FQ80" s="110"/>
      <c r="FR80" s="110"/>
      <c r="FS80" s="110"/>
      <c r="FT80" s="110"/>
      <c r="FU80" s="110"/>
      <c r="FV80" s="110"/>
      <c r="FW80" s="110"/>
      <c r="FX80" s="110"/>
      <c r="FY80" s="110"/>
      <c r="FZ80" s="110"/>
      <c r="GA80" s="110"/>
      <c r="GB80" s="110"/>
      <c r="GC80" s="110"/>
      <c r="GD80" s="110"/>
      <c r="GE80" s="110"/>
      <c r="GF80" s="110"/>
      <c r="GG80" s="110"/>
      <c r="GH80" s="110"/>
      <c r="GI80" s="110"/>
      <c r="GJ80" s="110"/>
      <c r="GK80" s="110"/>
      <c r="GL80" s="110"/>
      <c r="GM80" s="110"/>
      <c r="GN80" s="110"/>
      <c r="GO80" s="110"/>
      <c r="GP80" s="110"/>
      <c r="GQ80" s="110"/>
      <c r="GR80" s="110"/>
      <c r="GS80" s="110"/>
      <c r="GT80" s="110"/>
      <c r="GU80" s="110"/>
      <c r="GV80" s="110"/>
      <c r="GW80" s="110"/>
      <c r="GX80" s="110"/>
      <c r="GY80" s="110"/>
      <c r="GZ80" s="110"/>
      <c r="HA80" s="110"/>
      <c r="HB80" s="110"/>
      <c r="HC80" s="110"/>
      <c r="HD80" s="110"/>
      <c r="HE80" s="110"/>
      <c r="HF80" s="110"/>
      <c r="HG80" s="110"/>
      <c r="HH80" s="110"/>
      <c r="HI80" s="110"/>
      <c r="HJ80" s="110"/>
      <c r="HK80" s="110"/>
      <c r="HL80" s="110"/>
      <c r="HM80" s="110"/>
      <c r="HN80" s="110"/>
      <c r="HO80" s="110"/>
      <c r="HP80" s="110"/>
      <c r="HQ80" s="110"/>
      <c r="HR80" s="110"/>
      <c r="HS80" s="110"/>
      <c r="HT80" s="110"/>
      <c r="HU80" s="110"/>
      <c r="HV80" s="110"/>
      <c r="HW80" s="110"/>
      <c r="HX80" s="110"/>
      <c r="HY80" s="110"/>
      <c r="HZ80" s="110"/>
      <c r="IA80" s="110"/>
      <c r="IB80" s="110"/>
      <c r="IC80" s="110"/>
      <c r="ID80" s="110"/>
      <c r="IE80" s="110"/>
      <c r="IF80" s="110"/>
      <c r="IG80" s="110"/>
      <c r="IH80" s="110"/>
      <c r="II80" s="110"/>
      <c r="IJ80" s="110"/>
      <c r="IK80" s="110"/>
      <c r="IL80" s="110"/>
      <c r="IM80" s="110"/>
      <c r="IN80" s="110"/>
      <c r="IO80" s="110"/>
      <c r="IP80" s="110"/>
      <c r="IQ80" s="70"/>
    </row>
    <row r="81" spans="1:251" ht="16.5" hidden="1" customHeight="1">
      <c r="A81" s="95" t="s">
        <v>450</v>
      </c>
      <c r="B81" t="s">
        <v>1363</v>
      </c>
      <c r="C81" t="s">
        <v>450</v>
      </c>
      <c r="E81" t="s">
        <v>450</v>
      </c>
      <c r="F81" t="s">
        <v>1369</v>
      </c>
      <c r="G81" s="654"/>
      <c r="H81">
        <v>42</v>
      </c>
      <c r="J81" s="214" t="str">
        <f t="shared" si="3"/>
        <v>LTT100242</v>
      </c>
      <c r="K81">
        <v>47370</v>
      </c>
      <c r="R81" s="95" t="s">
        <v>450</v>
      </c>
      <c r="V81" s="214"/>
      <c r="EE81" s="95" t="s">
        <v>450</v>
      </c>
      <c r="EF81" s="110"/>
      <c r="EG81" s="110"/>
      <c r="EH81" s="110"/>
      <c r="EI81" s="216"/>
      <c r="EJ81" s="110"/>
      <c r="EK81" s="110"/>
      <c r="EL81" s="110"/>
      <c r="EM81" s="110"/>
      <c r="EN81" s="110"/>
      <c r="EO81" s="110"/>
      <c r="EP81" s="110"/>
      <c r="EQ81" s="110"/>
      <c r="ER81" s="110"/>
      <c r="ES81" s="110"/>
      <c r="ET81" s="110"/>
      <c r="EU81" s="110"/>
      <c r="EV81" s="110"/>
      <c r="EW81" s="110"/>
      <c r="EX81" s="110"/>
      <c r="EY81" s="110"/>
      <c r="EZ81" s="110"/>
      <c r="FA81" s="110"/>
      <c r="FB81" s="110"/>
      <c r="FC81" s="110"/>
      <c r="FD81" s="110"/>
      <c r="FE81" s="110"/>
      <c r="FF81" s="110"/>
      <c r="FG81" s="110"/>
      <c r="FH81" s="110"/>
      <c r="FI81" s="110"/>
      <c r="FJ81" s="110"/>
      <c r="FK81" s="110"/>
      <c r="FL81" s="110"/>
      <c r="FM81" s="110"/>
      <c r="FN81" s="110"/>
      <c r="FO81" s="110"/>
      <c r="FP81" s="110"/>
      <c r="FQ81" s="110"/>
      <c r="FR81" s="110"/>
      <c r="FS81" s="110"/>
      <c r="FT81" s="110"/>
      <c r="FU81" s="110"/>
      <c r="FV81" s="110"/>
      <c r="FW81" s="110"/>
      <c r="FX81" s="110"/>
      <c r="FY81" s="110"/>
      <c r="FZ81" s="110"/>
      <c r="GA81" s="110"/>
      <c r="GB81" s="110"/>
      <c r="GC81" s="110"/>
      <c r="GD81" s="110"/>
      <c r="GE81" s="110"/>
      <c r="GF81" s="110"/>
      <c r="GG81" s="110"/>
      <c r="GH81" s="110"/>
      <c r="GI81" s="110"/>
      <c r="GJ81" s="110"/>
      <c r="GK81" s="110"/>
      <c r="GL81" s="110"/>
      <c r="GM81" s="110"/>
      <c r="GN81" s="110"/>
      <c r="GO81" s="110"/>
      <c r="GP81" s="110"/>
      <c r="GQ81" s="110"/>
      <c r="GR81" s="110"/>
      <c r="GS81" s="110"/>
      <c r="GT81" s="110"/>
      <c r="GU81" s="110"/>
      <c r="GV81" s="110"/>
      <c r="GW81" s="110"/>
      <c r="GX81" s="110"/>
      <c r="GY81" s="110"/>
      <c r="GZ81" s="110"/>
      <c r="HA81" s="110"/>
      <c r="HB81" s="110"/>
      <c r="HC81" s="110"/>
      <c r="HD81" s="110"/>
      <c r="HE81" s="110"/>
      <c r="HF81" s="110"/>
      <c r="HG81" s="110"/>
      <c r="HH81" s="110"/>
      <c r="HI81" s="110"/>
      <c r="HJ81" s="110"/>
      <c r="HK81" s="110"/>
      <c r="HL81" s="110"/>
      <c r="HM81" s="110"/>
      <c r="HN81" s="110"/>
      <c r="HO81" s="110"/>
      <c r="HP81" s="110"/>
      <c r="HQ81" s="110"/>
      <c r="HR81" s="110"/>
      <c r="HS81" s="110"/>
      <c r="HT81" s="110"/>
      <c r="HU81" s="110"/>
      <c r="HV81" s="110"/>
      <c r="HW81" s="110"/>
      <c r="HX81" s="110"/>
      <c r="HY81" s="110"/>
      <c r="HZ81" s="110"/>
      <c r="IA81" s="110"/>
      <c r="IB81" s="110"/>
      <c r="IC81" s="110"/>
      <c r="ID81" s="110"/>
      <c r="IE81" s="110"/>
      <c r="IF81" s="110"/>
      <c r="IG81" s="110"/>
      <c r="IH81" s="110"/>
      <c r="II81" s="110"/>
      <c r="IJ81" s="110"/>
      <c r="IK81" s="110"/>
      <c r="IL81" s="110"/>
      <c r="IM81" s="110"/>
      <c r="IN81" s="110"/>
      <c r="IO81" s="110"/>
      <c r="IP81" s="110"/>
      <c r="IQ81" s="70"/>
    </row>
    <row r="82" spans="1:251" ht="16.5" hidden="1" customHeight="1">
      <c r="A82" s="95" t="s">
        <v>450</v>
      </c>
      <c r="B82" t="s">
        <v>1363</v>
      </c>
      <c r="C82" t="s">
        <v>450</v>
      </c>
      <c r="E82" t="s">
        <v>450</v>
      </c>
      <c r="F82" t="s">
        <v>1369</v>
      </c>
      <c r="G82" s="654"/>
      <c r="H82">
        <v>43</v>
      </c>
      <c r="J82" s="214" t="str">
        <f t="shared" si="3"/>
        <v>LTT100243</v>
      </c>
      <c r="K82">
        <v>48240</v>
      </c>
      <c r="R82" s="95" t="s">
        <v>450</v>
      </c>
      <c r="V82" s="214"/>
      <c r="EE82" s="95" t="s">
        <v>450</v>
      </c>
      <c r="EF82" s="110"/>
      <c r="EG82" s="110"/>
      <c r="EH82" s="110"/>
      <c r="EI82" s="216"/>
      <c r="EJ82" s="110"/>
      <c r="EK82" s="110"/>
      <c r="EL82" s="110"/>
      <c r="EM82" s="110"/>
      <c r="EN82" s="110"/>
      <c r="EO82" s="110"/>
      <c r="EP82" s="110"/>
      <c r="EQ82" s="110"/>
      <c r="ER82" s="110"/>
      <c r="ES82" s="110"/>
      <c r="ET82" s="110"/>
      <c r="EU82" s="110"/>
      <c r="EV82" s="110"/>
      <c r="EW82" s="110"/>
      <c r="EX82" s="110"/>
      <c r="EY82" s="110"/>
      <c r="EZ82" s="110"/>
      <c r="FA82" s="110"/>
      <c r="FB82" s="110"/>
      <c r="FC82" s="110"/>
      <c r="FD82" s="110"/>
      <c r="FE82" s="110"/>
      <c r="FF82" s="110"/>
      <c r="FG82" s="110"/>
      <c r="FH82" s="110"/>
      <c r="FI82" s="110"/>
      <c r="FJ82" s="110"/>
      <c r="FK82" s="110"/>
      <c r="FL82" s="110"/>
      <c r="FM82" s="110"/>
      <c r="FN82" s="110"/>
      <c r="FO82" s="110"/>
      <c r="FP82" s="110"/>
      <c r="FQ82" s="110"/>
      <c r="FR82" s="110"/>
      <c r="FS82" s="110"/>
      <c r="FT82" s="110"/>
      <c r="FU82" s="110"/>
      <c r="FV82" s="110"/>
      <c r="FW82" s="110"/>
      <c r="FX82" s="110"/>
      <c r="FY82" s="110"/>
      <c r="FZ82" s="110"/>
      <c r="GA82" s="110"/>
      <c r="GB82" s="110"/>
      <c r="GC82" s="110"/>
      <c r="GD82" s="110"/>
      <c r="GE82" s="110"/>
      <c r="GF82" s="110"/>
      <c r="GG82" s="110"/>
      <c r="GH82" s="110"/>
      <c r="GI82" s="110"/>
      <c r="GJ82" s="110"/>
      <c r="GK82" s="110"/>
      <c r="GL82" s="110"/>
      <c r="GM82" s="110"/>
      <c r="GN82" s="110"/>
      <c r="GO82" s="110"/>
      <c r="GP82" s="110"/>
      <c r="GQ82" s="110"/>
      <c r="GR82" s="110"/>
      <c r="GS82" s="110"/>
      <c r="GT82" s="110"/>
      <c r="GU82" s="110"/>
      <c r="GV82" s="110"/>
      <c r="GW82" s="110"/>
      <c r="GX82" s="110"/>
      <c r="GY82" s="110"/>
      <c r="GZ82" s="110"/>
      <c r="HA82" s="110"/>
      <c r="HB82" s="110"/>
      <c r="HC82" s="110"/>
      <c r="HD82" s="110"/>
      <c r="HE82" s="110"/>
      <c r="HF82" s="110"/>
      <c r="HG82" s="110"/>
      <c r="HH82" s="110"/>
      <c r="HI82" s="110"/>
      <c r="HJ82" s="110"/>
      <c r="HK82" s="110"/>
      <c r="HL82" s="110"/>
      <c r="HM82" s="110"/>
      <c r="HN82" s="110"/>
      <c r="HO82" s="110"/>
      <c r="HP82" s="110"/>
      <c r="HQ82" s="110"/>
      <c r="HR82" s="110"/>
      <c r="HS82" s="110"/>
      <c r="HT82" s="110"/>
      <c r="HU82" s="110"/>
      <c r="HV82" s="110"/>
      <c r="HW82" s="110"/>
      <c r="HX82" s="110"/>
      <c r="HY82" s="110"/>
      <c r="HZ82" s="110"/>
      <c r="IA82" s="110"/>
      <c r="IB82" s="110"/>
      <c r="IC82" s="110"/>
      <c r="ID82" s="110"/>
      <c r="IE82" s="110"/>
      <c r="IF82" s="110"/>
      <c r="IG82" s="110"/>
      <c r="IH82" s="110"/>
      <c r="II82" s="110"/>
      <c r="IJ82" s="110"/>
      <c r="IK82" s="110"/>
      <c r="IL82" s="110"/>
      <c r="IM82" s="110"/>
      <c r="IN82" s="110"/>
      <c r="IO82" s="110"/>
      <c r="IP82" s="110"/>
      <c r="IQ82" s="70"/>
    </row>
    <row r="83" spans="1:251" ht="16.5" hidden="1" customHeight="1">
      <c r="A83" s="95" t="s">
        <v>450</v>
      </c>
      <c r="B83" t="s">
        <v>1363</v>
      </c>
      <c r="C83" t="s">
        <v>450</v>
      </c>
      <c r="E83" t="s">
        <v>450</v>
      </c>
      <c r="F83" t="s">
        <v>1369</v>
      </c>
      <c r="G83" s="654"/>
      <c r="H83">
        <v>44</v>
      </c>
      <c r="J83" s="214" t="str">
        <f t="shared" si="3"/>
        <v>LTT100244</v>
      </c>
      <c r="K83">
        <v>49120</v>
      </c>
      <c r="R83" s="95" t="s">
        <v>450</v>
      </c>
      <c r="V83" s="214"/>
      <c r="EE83" s="95" t="s">
        <v>450</v>
      </c>
      <c r="EF83" s="110"/>
      <c r="EG83" s="110"/>
      <c r="EH83" s="110"/>
      <c r="EI83" s="216"/>
      <c r="EJ83" s="110"/>
      <c r="EK83" s="110"/>
      <c r="EL83" s="110"/>
      <c r="EM83" s="110"/>
      <c r="EN83" s="110"/>
      <c r="EO83" s="110"/>
      <c r="EP83" s="110"/>
      <c r="EQ83" s="110"/>
      <c r="ER83" s="110"/>
      <c r="ES83" s="110"/>
      <c r="ET83" s="110"/>
      <c r="EU83" s="110"/>
      <c r="EV83" s="110"/>
      <c r="EW83" s="110"/>
      <c r="EX83" s="110"/>
      <c r="EY83" s="110"/>
      <c r="EZ83" s="110"/>
      <c r="FA83" s="110"/>
      <c r="FB83" s="110"/>
      <c r="FC83" s="110"/>
      <c r="FD83" s="110"/>
      <c r="FE83" s="110"/>
      <c r="FF83" s="110"/>
      <c r="FG83" s="110"/>
      <c r="FH83" s="110"/>
      <c r="FI83" s="110"/>
      <c r="FJ83" s="110"/>
      <c r="FK83" s="110"/>
      <c r="FL83" s="110"/>
      <c r="FM83" s="110"/>
      <c r="FN83" s="110"/>
      <c r="FO83" s="110"/>
      <c r="FP83" s="110"/>
      <c r="FQ83" s="110"/>
      <c r="FR83" s="110"/>
      <c r="FS83" s="110"/>
      <c r="FT83" s="110"/>
      <c r="FU83" s="110"/>
      <c r="FV83" s="110"/>
      <c r="FW83" s="110"/>
      <c r="FX83" s="110"/>
      <c r="FY83" s="110"/>
      <c r="FZ83" s="110"/>
      <c r="GA83" s="110"/>
      <c r="GB83" s="110"/>
      <c r="GC83" s="110"/>
      <c r="GD83" s="110"/>
      <c r="GE83" s="110"/>
      <c r="GF83" s="110"/>
      <c r="GG83" s="110"/>
      <c r="GH83" s="110"/>
      <c r="GI83" s="110"/>
      <c r="GJ83" s="110"/>
      <c r="GK83" s="110"/>
      <c r="GL83" s="110"/>
      <c r="GM83" s="110"/>
      <c r="GN83" s="110"/>
      <c r="GO83" s="110"/>
      <c r="GP83" s="110"/>
      <c r="GQ83" s="110"/>
      <c r="GR83" s="110"/>
      <c r="GS83" s="110"/>
      <c r="GT83" s="110"/>
      <c r="GU83" s="110"/>
      <c r="GV83" s="110"/>
      <c r="GW83" s="110"/>
      <c r="GX83" s="110"/>
      <c r="GY83" s="110"/>
      <c r="GZ83" s="110"/>
      <c r="HA83" s="110"/>
      <c r="HB83" s="110"/>
      <c r="HC83" s="110"/>
      <c r="HD83" s="110"/>
      <c r="HE83" s="110"/>
      <c r="HF83" s="110"/>
      <c r="HG83" s="110"/>
      <c r="HH83" s="110"/>
      <c r="HI83" s="110"/>
      <c r="HJ83" s="110"/>
      <c r="HK83" s="110"/>
      <c r="HL83" s="110"/>
      <c r="HM83" s="110"/>
      <c r="HN83" s="110"/>
      <c r="HO83" s="110"/>
      <c r="HP83" s="110"/>
      <c r="HQ83" s="110"/>
      <c r="HR83" s="110"/>
      <c r="HS83" s="110"/>
      <c r="HT83" s="110"/>
      <c r="HU83" s="110"/>
      <c r="HV83" s="110"/>
      <c r="HW83" s="110"/>
      <c r="HX83" s="110"/>
      <c r="HY83" s="110"/>
      <c r="HZ83" s="110"/>
      <c r="IA83" s="110"/>
      <c r="IB83" s="110"/>
      <c r="IC83" s="110"/>
      <c r="ID83" s="110"/>
      <c r="IE83" s="110"/>
      <c r="IF83" s="110"/>
      <c r="IG83" s="110"/>
      <c r="IH83" s="110"/>
      <c r="II83" s="110"/>
      <c r="IJ83" s="110"/>
      <c r="IK83" s="110"/>
      <c r="IL83" s="110"/>
      <c r="IM83" s="110"/>
      <c r="IN83" s="110"/>
      <c r="IO83" s="110"/>
      <c r="IP83" s="110"/>
      <c r="IQ83" s="70"/>
    </row>
    <row r="84" spans="1:251" ht="16.5" hidden="1" customHeight="1">
      <c r="A84" s="95" t="s">
        <v>450</v>
      </c>
      <c r="B84" t="s">
        <v>1363</v>
      </c>
      <c r="C84" t="s">
        <v>450</v>
      </c>
      <c r="E84" t="s">
        <v>450</v>
      </c>
      <c r="F84" t="s">
        <v>1369</v>
      </c>
      <c r="G84" s="654"/>
      <c r="H84">
        <v>45</v>
      </c>
      <c r="J84" s="214" t="str">
        <f t="shared" si="3"/>
        <v>LTT100245</v>
      </c>
      <c r="K84">
        <v>50030</v>
      </c>
      <c r="R84" s="95" t="s">
        <v>450</v>
      </c>
      <c r="V84" s="214"/>
      <c r="EE84" s="95" t="s">
        <v>450</v>
      </c>
      <c r="EF84" s="110"/>
      <c r="EG84" s="110"/>
      <c r="EH84" s="110"/>
      <c r="EI84" s="216"/>
      <c r="EJ84" s="110"/>
      <c r="EK84" s="110"/>
      <c r="EL84" s="110"/>
      <c r="EM84" s="110"/>
      <c r="EN84" s="110"/>
      <c r="EO84" s="110"/>
      <c r="EP84" s="110"/>
      <c r="EQ84" s="110"/>
      <c r="ER84" s="110"/>
      <c r="ES84" s="110"/>
      <c r="ET84" s="110"/>
      <c r="EU84" s="110"/>
      <c r="EV84" s="110"/>
      <c r="EW84" s="110"/>
      <c r="EX84" s="110"/>
      <c r="EY84" s="110"/>
      <c r="EZ84" s="110"/>
      <c r="FA84" s="110"/>
      <c r="FB84" s="110"/>
      <c r="FC84" s="110"/>
      <c r="FD84" s="110"/>
      <c r="FE84" s="110"/>
      <c r="FF84" s="110"/>
      <c r="FG84" s="110"/>
      <c r="FH84" s="110"/>
      <c r="FI84" s="110"/>
      <c r="FJ84" s="110"/>
      <c r="FK84" s="110"/>
      <c r="FL84" s="110"/>
      <c r="FM84" s="110"/>
      <c r="FN84" s="110"/>
      <c r="FO84" s="110"/>
      <c r="FP84" s="110"/>
      <c r="FQ84" s="110"/>
      <c r="FR84" s="110"/>
      <c r="FS84" s="110"/>
      <c r="FT84" s="110"/>
      <c r="FU84" s="110"/>
      <c r="FV84" s="110"/>
      <c r="FW84" s="110"/>
      <c r="FX84" s="110"/>
      <c r="FY84" s="110"/>
      <c r="FZ84" s="110"/>
      <c r="GA84" s="110"/>
      <c r="GB84" s="110"/>
      <c r="GC84" s="110"/>
      <c r="GD84" s="110"/>
      <c r="GE84" s="110"/>
      <c r="GF84" s="110"/>
      <c r="GG84" s="110"/>
      <c r="GH84" s="110"/>
      <c r="GI84" s="110"/>
      <c r="GJ84" s="110"/>
      <c r="GK84" s="110"/>
      <c r="GL84" s="110"/>
      <c r="GM84" s="110"/>
      <c r="GN84" s="110"/>
      <c r="GO84" s="110"/>
      <c r="GP84" s="110"/>
      <c r="GQ84" s="110"/>
      <c r="GR84" s="110"/>
      <c r="GS84" s="110"/>
      <c r="GT84" s="110"/>
      <c r="GU84" s="110"/>
      <c r="GV84" s="110"/>
      <c r="GW84" s="110"/>
      <c r="GX84" s="110"/>
      <c r="GY84" s="110"/>
      <c r="GZ84" s="110"/>
      <c r="HA84" s="110"/>
      <c r="HB84" s="110"/>
      <c r="HC84" s="110"/>
      <c r="HD84" s="110"/>
      <c r="HE84" s="110"/>
      <c r="HF84" s="110"/>
      <c r="HG84" s="110"/>
      <c r="HH84" s="110"/>
      <c r="HI84" s="110"/>
      <c r="HJ84" s="110"/>
      <c r="HK84" s="110"/>
      <c r="HL84" s="110"/>
      <c r="HM84" s="110"/>
      <c r="HN84" s="110"/>
      <c r="HO84" s="110"/>
      <c r="HP84" s="110"/>
      <c r="HQ84" s="110"/>
      <c r="HR84" s="110"/>
      <c r="HS84" s="110"/>
      <c r="HT84" s="110"/>
      <c r="HU84" s="110"/>
      <c r="HV84" s="110"/>
      <c r="HW84" s="110"/>
      <c r="HX84" s="110"/>
      <c r="HY84" s="110"/>
      <c r="HZ84" s="110"/>
      <c r="IA84" s="110"/>
      <c r="IB84" s="110"/>
      <c r="IC84" s="110"/>
      <c r="ID84" s="110"/>
      <c r="IE84" s="110"/>
      <c r="IF84" s="110"/>
      <c r="IG84" s="110"/>
      <c r="IH84" s="110"/>
      <c r="II84" s="110"/>
      <c r="IJ84" s="110"/>
      <c r="IK84" s="110"/>
      <c r="IL84" s="110"/>
      <c r="IM84" s="110"/>
      <c r="IN84" s="110"/>
      <c r="IO84" s="110"/>
      <c r="IP84" s="110"/>
      <c r="IQ84" s="70"/>
    </row>
    <row r="85" spans="1:251" ht="16.5" hidden="1" customHeight="1">
      <c r="A85" s="95" t="s">
        <v>450</v>
      </c>
      <c r="B85" t="s">
        <v>1363</v>
      </c>
      <c r="C85" t="s">
        <v>450</v>
      </c>
      <c r="E85" t="s">
        <v>450</v>
      </c>
      <c r="F85" t="s">
        <v>1369</v>
      </c>
      <c r="G85" s="654"/>
      <c r="H85">
        <v>46</v>
      </c>
      <c r="J85" s="214" t="str">
        <f t="shared" si="3"/>
        <v>LTT100246</v>
      </c>
      <c r="K85">
        <v>50910</v>
      </c>
      <c r="R85" s="95" t="s">
        <v>450</v>
      </c>
      <c r="V85" s="214"/>
      <c r="EE85" s="95" t="s">
        <v>450</v>
      </c>
      <c r="EF85" s="110"/>
      <c r="EG85" s="110"/>
      <c r="EH85" s="110"/>
      <c r="EI85" s="216"/>
      <c r="EJ85" s="110"/>
      <c r="EK85" s="110"/>
      <c r="EL85" s="110"/>
      <c r="EM85" s="110"/>
      <c r="EN85" s="110"/>
      <c r="EO85" s="110"/>
      <c r="EP85" s="110"/>
      <c r="EQ85" s="110"/>
      <c r="ER85" s="110"/>
      <c r="ES85" s="110"/>
      <c r="ET85" s="110"/>
      <c r="EU85" s="110"/>
      <c r="EV85" s="110"/>
      <c r="EW85" s="110"/>
      <c r="EX85" s="110"/>
      <c r="EY85" s="110"/>
      <c r="EZ85" s="110"/>
      <c r="FA85" s="110"/>
      <c r="FB85" s="110"/>
      <c r="FC85" s="110"/>
      <c r="FD85" s="110"/>
      <c r="FE85" s="110"/>
      <c r="FF85" s="110"/>
      <c r="FG85" s="110"/>
      <c r="FH85" s="110"/>
      <c r="FI85" s="110"/>
      <c r="FJ85" s="110"/>
      <c r="FK85" s="110"/>
      <c r="FL85" s="110"/>
      <c r="FM85" s="110"/>
      <c r="FN85" s="110"/>
      <c r="FO85" s="110"/>
      <c r="FP85" s="110"/>
      <c r="FQ85" s="110"/>
      <c r="FR85" s="110"/>
      <c r="FS85" s="110"/>
      <c r="FT85" s="110"/>
      <c r="FU85" s="110"/>
      <c r="FV85" s="110"/>
      <c r="FW85" s="110"/>
      <c r="FX85" s="110"/>
      <c r="FY85" s="110"/>
      <c r="FZ85" s="110"/>
      <c r="GA85" s="110"/>
      <c r="GB85" s="110"/>
      <c r="GC85" s="110"/>
      <c r="GD85" s="110"/>
      <c r="GE85" s="110"/>
      <c r="GF85" s="110"/>
      <c r="GG85" s="110"/>
      <c r="GH85" s="110"/>
      <c r="GI85" s="110"/>
      <c r="GJ85" s="110"/>
      <c r="GK85" s="110"/>
      <c r="GL85" s="110"/>
      <c r="GM85" s="110"/>
      <c r="GN85" s="110"/>
      <c r="GO85" s="110"/>
      <c r="GP85" s="110"/>
      <c r="GQ85" s="110"/>
      <c r="GR85" s="110"/>
      <c r="GS85" s="110"/>
      <c r="GT85" s="110"/>
      <c r="GU85" s="110"/>
      <c r="GV85" s="110"/>
      <c r="GW85" s="110"/>
      <c r="GX85" s="110"/>
      <c r="GY85" s="110"/>
      <c r="GZ85" s="110"/>
      <c r="HA85" s="110"/>
      <c r="HB85" s="110"/>
      <c r="HC85" s="110"/>
      <c r="HD85" s="110"/>
      <c r="HE85" s="110"/>
      <c r="HF85" s="110"/>
      <c r="HG85" s="110"/>
      <c r="HH85" s="110"/>
      <c r="HI85" s="110"/>
      <c r="HJ85" s="110"/>
      <c r="HK85" s="110"/>
      <c r="HL85" s="110"/>
      <c r="HM85" s="110"/>
      <c r="HN85" s="110"/>
      <c r="HO85" s="110"/>
      <c r="HP85" s="110"/>
      <c r="HQ85" s="110"/>
      <c r="HR85" s="110"/>
      <c r="HS85" s="110"/>
      <c r="HT85" s="110"/>
      <c r="HU85" s="110"/>
      <c r="HV85" s="110"/>
      <c r="HW85" s="110"/>
      <c r="HX85" s="110"/>
      <c r="HY85" s="110"/>
      <c r="HZ85" s="110"/>
      <c r="IA85" s="110"/>
      <c r="IB85" s="110"/>
      <c r="IC85" s="110"/>
      <c r="ID85" s="110"/>
      <c r="IE85" s="110"/>
      <c r="IF85" s="110"/>
      <c r="IG85" s="110"/>
      <c r="IH85" s="110"/>
      <c r="II85" s="110"/>
      <c r="IJ85" s="110"/>
      <c r="IK85" s="110"/>
      <c r="IL85" s="110"/>
      <c r="IM85" s="110"/>
      <c r="IN85" s="110"/>
      <c r="IO85" s="110"/>
      <c r="IP85" s="110"/>
      <c r="IQ85" s="70"/>
    </row>
    <row r="86" spans="1:251" ht="16.5" hidden="1" customHeight="1">
      <c r="A86" s="95" t="s">
        <v>450</v>
      </c>
      <c r="B86" t="s">
        <v>1363</v>
      </c>
      <c r="C86" t="s">
        <v>450</v>
      </c>
      <c r="E86" t="s">
        <v>450</v>
      </c>
      <c r="F86" t="s">
        <v>1369</v>
      </c>
      <c r="G86" s="654"/>
      <c r="H86">
        <v>47</v>
      </c>
      <c r="J86" s="214" t="str">
        <f t="shared" si="3"/>
        <v>LTT100247</v>
      </c>
      <c r="K86">
        <v>51880</v>
      </c>
      <c r="R86" s="95" t="s">
        <v>450</v>
      </c>
      <c r="V86" s="214"/>
      <c r="EE86" s="95" t="s">
        <v>450</v>
      </c>
      <c r="EF86" s="110"/>
      <c r="EG86" s="110"/>
      <c r="EH86" s="110"/>
      <c r="EI86" s="216"/>
      <c r="EJ86" s="110"/>
      <c r="EK86" s="110"/>
      <c r="EL86" s="110"/>
      <c r="EM86" s="110"/>
      <c r="EN86" s="110"/>
      <c r="EO86" s="110"/>
      <c r="EP86" s="110"/>
      <c r="EQ86" s="110"/>
      <c r="ER86" s="110"/>
      <c r="ES86" s="110"/>
      <c r="ET86" s="110"/>
      <c r="EU86" s="110"/>
      <c r="EV86" s="110"/>
      <c r="EW86" s="110"/>
      <c r="EX86" s="110"/>
      <c r="EY86" s="110"/>
      <c r="EZ86" s="110"/>
      <c r="FA86" s="110"/>
      <c r="FB86" s="110"/>
      <c r="FC86" s="110"/>
      <c r="FD86" s="110"/>
      <c r="FE86" s="110"/>
      <c r="FF86" s="110"/>
      <c r="FG86" s="110"/>
      <c r="FH86" s="110"/>
      <c r="FI86" s="110"/>
      <c r="FJ86" s="110"/>
      <c r="FK86" s="110"/>
      <c r="FL86" s="110"/>
      <c r="FM86" s="110"/>
      <c r="FN86" s="110"/>
      <c r="FO86" s="110"/>
      <c r="FP86" s="110"/>
      <c r="FQ86" s="110"/>
      <c r="FR86" s="110"/>
      <c r="FS86" s="110"/>
      <c r="FT86" s="110"/>
      <c r="FU86" s="110"/>
      <c r="FV86" s="110"/>
      <c r="FW86" s="110"/>
      <c r="FX86" s="110"/>
      <c r="FY86" s="110"/>
      <c r="FZ86" s="110"/>
      <c r="GA86" s="110"/>
      <c r="GB86" s="110"/>
      <c r="GC86" s="110"/>
      <c r="GD86" s="110"/>
      <c r="GE86" s="110"/>
      <c r="GF86" s="110"/>
      <c r="GG86" s="110"/>
      <c r="GH86" s="110"/>
      <c r="GI86" s="110"/>
      <c r="GJ86" s="110"/>
      <c r="GK86" s="110"/>
      <c r="GL86" s="110"/>
      <c r="GM86" s="110"/>
      <c r="GN86" s="110"/>
      <c r="GO86" s="110"/>
      <c r="GP86" s="110"/>
      <c r="GQ86" s="110"/>
      <c r="GR86" s="110"/>
      <c r="GS86" s="110"/>
      <c r="GT86" s="110"/>
      <c r="GU86" s="110"/>
      <c r="GV86" s="110"/>
      <c r="GW86" s="110"/>
      <c r="GX86" s="110"/>
      <c r="GY86" s="110"/>
      <c r="GZ86" s="110"/>
      <c r="HA86" s="110"/>
      <c r="HB86" s="110"/>
      <c r="HC86" s="110"/>
      <c r="HD86" s="110"/>
      <c r="HE86" s="110"/>
      <c r="HF86" s="110"/>
      <c r="HG86" s="110"/>
      <c r="HH86" s="110"/>
      <c r="HI86" s="110"/>
      <c r="HJ86" s="110"/>
      <c r="HK86" s="110"/>
      <c r="HL86" s="110"/>
      <c r="HM86" s="110"/>
      <c r="HN86" s="110"/>
      <c r="HO86" s="110"/>
      <c r="HP86" s="110"/>
      <c r="HQ86" s="110"/>
      <c r="HR86" s="110"/>
      <c r="HS86" s="110"/>
      <c r="HT86" s="110"/>
      <c r="HU86" s="110"/>
      <c r="HV86" s="110"/>
      <c r="HW86" s="110"/>
      <c r="HX86" s="110"/>
      <c r="HY86" s="110"/>
      <c r="HZ86" s="110"/>
      <c r="IA86" s="110"/>
      <c r="IB86" s="110"/>
      <c r="IC86" s="110"/>
      <c r="ID86" s="110"/>
      <c r="IE86" s="110"/>
      <c r="IF86" s="110"/>
      <c r="IG86" s="110"/>
      <c r="IH86" s="110"/>
      <c r="II86" s="110"/>
      <c r="IJ86" s="110"/>
      <c r="IK86" s="110"/>
      <c r="IL86" s="110"/>
      <c r="IM86" s="110"/>
      <c r="IN86" s="110"/>
      <c r="IO86" s="110"/>
      <c r="IP86" s="110"/>
      <c r="IQ86" s="70"/>
    </row>
    <row r="87" spans="1:251" ht="16.5" hidden="1" customHeight="1">
      <c r="A87" s="95" t="s">
        <v>450</v>
      </c>
      <c r="B87" t="s">
        <v>1363</v>
      </c>
      <c r="C87" t="s">
        <v>450</v>
      </c>
      <c r="E87" t="s">
        <v>450</v>
      </c>
      <c r="F87" t="s">
        <v>1369</v>
      </c>
      <c r="G87" s="654"/>
      <c r="H87">
        <v>48</v>
      </c>
      <c r="J87" s="214" t="str">
        <f t="shared" si="3"/>
        <v>LTT100248</v>
      </c>
      <c r="K87">
        <v>52810</v>
      </c>
      <c r="R87" s="95" t="s">
        <v>450</v>
      </c>
      <c r="V87" s="214"/>
      <c r="EE87" s="95" t="s">
        <v>450</v>
      </c>
      <c r="EF87" s="110"/>
      <c r="EG87" s="110"/>
      <c r="EH87" s="110"/>
      <c r="EI87" s="216"/>
      <c r="EJ87" s="110"/>
      <c r="EK87" s="110"/>
      <c r="EL87" s="110"/>
      <c r="EM87" s="110"/>
      <c r="EN87" s="110"/>
      <c r="EO87" s="110"/>
      <c r="EP87" s="110"/>
      <c r="EQ87" s="110"/>
      <c r="ER87" s="110"/>
      <c r="ES87" s="110"/>
      <c r="ET87" s="110"/>
      <c r="EU87" s="110"/>
      <c r="EV87" s="110"/>
      <c r="EW87" s="110"/>
      <c r="EX87" s="110"/>
      <c r="EY87" s="110"/>
      <c r="EZ87" s="110"/>
      <c r="FA87" s="110"/>
      <c r="FB87" s="110"/>
      <c r="FC87" s="110"/>
      <c r="FD87" s="110"/>
      <c r="FE87" s="110"/>
      <c r="FF87" s="110"/>
      <c r="FG87" s="110"/>
      <c r="FH87" s="110"/>
      <c r="FI87" s="110"/>
      <c r="FJ87" s="110"/>
      <c r="FK87" s="110"/>
      <c r="FL87" s="110"/>
      <c r="FM87" s="110"/>
      <c r="FN87" s="110"/>
      <c r="FO87" s="110"/>
      <c r="FP87" s="110"/>
      <c r="FQ87" s="110"/>
      <c r="FR87" s="110"/>
      <c r="FS87" s="110"/>
      <c r="FT87" s="110"/>
      <c r="FU87" s="110"/>
      <c r="FV87" s="110"/>
      <c r="FW87" s="110"/>
      <c r="FX87" s="110"/>
      <c r="FY87" s="110"/>
      <c r="FZ87" s="110"/>
      <c r="GA87" s="110"/>
      <c r="GB87" s="110"/>
      <c r="GC87" s="110"/>
      <c r="GD87" s="110"/>
      <c r="GE87" s="110"/>
      <c r="GF87" s="110"/>
      <c r="GG87" s="110"/>
      <c r="GH87" s="110"/>
      <c r="GI87" s="110"/>
      <c r="GJ87" s="110"/>
      <c r="GK87" s="110"/>
      <c r="GL87" s="110"/>
      <c r="GM87" s="110"/>
      <c r="GN87" s="110"/>
      <c r="GO87" s="110"/>
      <c r="GP87" s="110"/>
      <c r="GQ87" s="110"/>
      <c r="GR87" s="110"/>
      <c r="GS87" s="110"/>
      <c r="GT87" s="110"/>
      <c r="GU87" s="110"/>
      <c r="GV87" s="110"/>
      <c r="GW87" s="110"/>
      <c r="GX87" s="110"/>
      <c r="GY87" s="110"/>
      <c r="GZ87" s="110"/>
      <c r="HA87" s="110"/>
      <c r="HB87" s="110"/>
      <c r="HC87" s="110"/>
      <c r="HD87" s="110"/>
      <c r="HE87" s="110"/>
      <c r="HF87" s="110"/>
      <c r="HG87" s="110"/>
      <c r="HH87" s="110"/>
      <c r="HI87" s="110"/>
      <c r="HJ87" s="110"/>
      <c r="HK87" s="110"/>
      <c r="HL87" s="110"/>
      <c r="HM87" s="110"/>
      <c r="HN87" s="110"/>
      <c r="HO87" s="110"/>
      <c r="HP87" s="110"/>
      <c r="HQ87" s="110"/>
      <c r="HR87" s="110"/>
      <c r="HS87" s="110"/>
      <c r="HT87" s="110"/>
      <c r="HU87" s="110"/>
      <c r="HV87" s="110"/>
      <c r="HW87" s="110"/>
      <c r="HX87" s="110"/>
      <c r="HY87" s="110"/>
      <c r="HZ87" s="110"/>
      <c r="IA87" s="110"/>
      <c r="IB87" s="110"/>
      <c r="IC87" s="110"/>
      <c r="ID87" s="110"/>
      <c r="IE87" s="110"/>
      <c r="IF87" s="110"/>
      <c r="IG87" s="110"/>
      <c r="IH87" s="110"/>
      <c r="II87" s="110"/>
      <c r="IJ87" s="110"/>
      <c r="IK87" s="110"/>
      <c r="IL87" s="110"/>
      <c r="IM87" s="110"/>
      <c r="IN87" s="110"/>
      <c r="IO87" s="110"/>
      <c r="IP87" s="110"/>
      <c r="IQ87" s="70"/>
    </row>
    <row r="88" spans="1:251" ht="16.5" hidden="1" customHeight="1">
      <c r="A88" s="95" t="s">
        <v>450</v>
      </c>
      <c r="B88" t="s">
        <v>1363</v>
      </c>
      <c r="C88" t="s">
        <v>450</v>
      </c>
      <c r="E88" t="s">
        <v>450</v>
      </c>
      <c r="F88" t="s">
        <v>1369</v>
      </c>
      <c r="G88" s="654"/>
      <c r="H88">
        <v>49</v>
      </c>
      <c r="J88" s="214" t="str">
        <f t="shared" si="3"/>
        <v>LTT100249</v>
      </c>
      <c r="K88">
        <v>53760</v>
      </c>
      <c r="R88" s="95" t="s">
        <v>450</v>
      </c>
      <c r="V88" s="214"/>
      <c r="EE88" s="95" t="s">
        <v>450</v>
      </c>
      <c r="EF88" s="110"/>
      <c r="EG88" s="110"/>
      <c r="EH88" s="110"/>
      <c r="EI88" s="216"/>
      <c r="EJ88" s="110"/>
      <c r="EK88" s="110"/>
      <c r="EL88" s="110"/>
      <c r="EM88" s="110"/>
      <c r="EN88" s="110"/>
      <c r="EO88" s="110"/>
      <c r="EP88" s="110"/>
      <c r="EQ88" s="110"/>
      <c r="ER88" s="110"/>
      <c r="ES88" s="110"/>
      <c r="ET88" s="110"/>
      <c r="EU88" s="110"/>
      <c r="EV88" s="110"/>
      <c r="EW88" s="110"/>
      <c r="EX88" s="110"/>
      <c r="EY88" s="110"/>
      <c r="EZ88" s="110"/>
      <c r="FA88" s="110"/>
      <c r="FB88" s="110"/>
      <c r="FC88" s="110"/>
      <c r="FD88" s="110"/>
      <c r="FE88" s="110"/>
      <c r="FF88" s="110"/>
      <c r="FG88" s="110"/>
      <c r="FH88" s="110"/>
      <c r="FI88" s="110"/>
      <c r="FJ88" s="110"/>
      <c r="FK88" s="110"/>
      <c r="FL88" s="110"/>
      <c r="FM88" s="110"/>
      <c r="FN88" s="110"/>
      <c r="FO88" s="110"/>
      <c r="FP88" s="110"/>
      <c r="FQ88" s="110"/>
      <c r="FR88" s="110"/>
      <c r="FS88" s="110"/>
      <c r="FT88" s="110"/>
      <c r="FU88" s="110"/>
      <c r="FV88" s="110"/>
      <c r="FW88" s="110"/>
      <c r="FX88" s="110"/>
      <c r="FY88" s="110"/>
      <c r="FZ88" s="110"/>
      <c r="GA88" s="110"/>
      <c r="GB88" s="110"/>
      <c r="GC88" s="110"/>
      <c r="GD88" s="110"/>
      <c r="GE88" s="110"/>
      <c r="GF88" s="110"/>
      <c r="GG88" s="110"/>
      <c r="GH88" s="110"/>
      <c r="GI88" s="110"/>
      <c r="GJ88" s="110"/>
      <c r="GK88" s="110"/>
      <c r="GL88" s="110"/>
      <c r="GM88" s="110"/>
      <c r="GN88" s="110"/>
      <c r="GO88" s="110"/>
      <c r="GP88" s="110"/>
      <c r="GQ88" s="110"/>
      <c r="GR88" s="110"/>
      <c r="GS88" s="110"/>
      <c r="GT88" s="110"/>
      <c r="GU88" s="110"/>
      <c r="GV88" s="110"/>
      <c r="GW88" s="110"/>
      <c r="GX88" s="110"/>
      <c r="GY88" s="110"/>
      <c r="GZ88" s="110"/>
      <c r="HA88" s="110"/>
      <c r="HB88" s="110"/>
      <c r="HC88" s="110"/>
      <c r="HD88" s="110"/>
      <c r="HE88" s="110"/>
      <c r="HF88" s="110"/>
      <c r="HG88" s="110"/>
      <c r="HH88" s="110"/>
      <c r="HI88" s="110"/>
      <c r="HJ88" s="110"/>
      <c r="HK88" s="110"/>
      <c r="HL88" s="110"/>
      <c r="HM88" s="110"/>
      <c r="HN88" s="110"/>
      <c r="HO88" s="110"/>
      <c r="HP88" s="110"/>
      <c r="HQ88" s="110"/>
      <c r="HR88" s="110"/>
      <c r="HS88" s="110"/>
      <c r="HT88" s="110"/>
      <c r="HU88" s="110"/>
      <c r="HV88" s="110"/>
      <c r="HW88" s="110"/>
      <c r="HX88" s="110"/>
      <c r="HY88" s="110"/>
      <c r="HZ88" s="110"/>
      <c r="IA88" s="110"/>
      <c r="IB88" s="110"/>
      <c r="IC88" s="110"/>
      <c r="ID88" s="110"/>
      <c r="IE88" s="110"/>
      <c r="IF88" s="110"/>
      <c r="IG88" s="110"/>
      <c r="IH88" s="110"/>
      <c r="II88" s="110"/>
      <c r="IJ88" s="110"/>
      <c r="IK88" s="110"/>
      <c r="IL88" s="110"/>
      <c r="IM88" s="110"/>
      <c r="IN88" s="110"/>
      <c r="IO88" s="110"/>
      <c r="IP88" s="110"/>
      <c r="IQ88" s="70"/>
    </row>
    <row r="89" spans="1:251" ht="16.5" hidden="1" customHeight="1">
      <c r="A89" s="95" t="s">
        <v>450</v>
      </c>
      <c r="B89" t="s">
        <v>1363</v>
      </c>
      <c r="C89" t="s">
        <v>450</v>
      </c>
      <c r="E89" t="s">
        <v>450</v>
      </c>
      <c r="F89" t="s">
        <v>1369</v>
      </c>
      <c r="G89" s="654"/>
      <c r="H89">
        <v>50</v>
      </c>
      <c r="J89" s="214" t="str">
        <f t="shared" si="3"/>
        <v>LTT100250</v>
      </c>
      <c r="K89">
        <v>54770</v>
      </c>
      <c r="R89" s="95" t="s">
        <v>450</v>
      </c>
      <c r="V89" s="214"/>
      <c r="EE89" s="95" t="s">
        <v>450</v>
      </c>
      <c r="EF89" s="110"/>
      <c r="EG89" s="110"/>
      <c r="EH89" s="110"/>
      <c r="EI89" s="216"/>
      <c r="EJ89" s="110"/>
      <c r="EK89" s="110"/>
      <c r="EL89" s="110"/>
      <c r="EM89" s="110"/>
      <c r="EN89" s="110"/>
      <c r="EO89" s="110"/>
      <c r="EP89" s="110"/>
      <c r="EQ89" s="110"/>
      <c r="ER89" s="110"/>
      <c r="ES89" s="110"/>
      <c r="ET89" s="110"/>
      <c r="EU89" s="110"/>
      <c r="EV89" s="110"/>
      <c r="EW89" s="110"/>
      <c r="EX89" s="110"/>
      <c r="EY89" s="110"/>
      <c r="EZ89" s="110"/>
      <c r="FA89" s="110"/>
      <c r="FB89" s="110"/>
      <c r="FC89" s="110"/>
      <c r="FD89" s="110"/>
      <c r="FE89" s="110"/>
      <c r="FF89" s="110"/>
      <c r="FG89" s="110"/>
      <c r="FH89" s="110"/>
      <c r="FI89" s="110"/>
      <c r="FJ89" s="110"/>
      <c r="FK89" s="110"/>
      <c r="FL89" s="110"/>
      <c r="FM89" s="110"/>
      <c r="FN89" s="110"/>
      <c r="FO89" s="110"/>
      <c r="FP89" s="110"/>
      <c r="FQ89" s="110"/>
      <c r="FR89" s="110"/>
      <c r="FS89" s="110"/>
      <c r="FT89" s="110"/>
      <c r="FU89" s="110"/>
      <c r="FV89" s="110"/>
      <c r="FW89" s="110"/>
      <c r="FX89" s="110"/>
      <c r="FY89" s="110"/>
      <c r="FZ89" s="110"/>
      <c r="GA89" s="110"/>
      <c r="GB89" s="110"/>
      <c r="GC89" s="110"/>
      <c r="GD89" s="110"/>
      <c r="GE89" s="110"/>
      <c r="GF89" s="110"/>
      <c r="GG89" s="110"/>
      <c r="GH89" s="110"/>
      <c r="GI89" s="110"/>
      <c r="GJ89" s="110"/>
      <c r="GK89" s="110"/>
      <c r="GL89" s="110"/>
      <c r="GM89" s="110"/>
      <c r="GN89" s="110"/>
      <c r="GO89" s="110"/>
      <c r="GP89" s="110"/>
      <c r="GQ89" s="110"/>
      <c r="GR89" s="110"/>
      <c r="GS89" s="110"/>
      <c r="GT89" s="110"/>
      <c r="GU89" s="110"/>
      <c r="GV89" s="110"/>
      <c r="GW89" s="110"/>
      <c r="GX89" s="110"/>
      <c r="GY89" s="110"/>
      <c r="GZ89" s="110"/>
      <c r="HA89" s="110"/>
      <c r="HB89" s="110"/>
      <c r="HC89" s="110"/>
      <c r="HD89" s="110"/>
      <c r="HE89" s="110"/>
      <c r="HF89" s="110"/>
      <c r="HG89" s="110"/>
      <c r="HH89" s="110"/>
      <c r="HI89" s="110"/>
      <c r="HJ89" s="110"/>
      <c r="HK89" s="110"/>
      <c r="HL89" s="110"/>
      <c r="HM89" s="110"/>
      <c r="HN89" s="110"/>
      <c r="HO89" s="110"/>
      <c r="HP89" s="110"/>
      <c r="HQ89" s="110"/>
      <c r="HR89" s="110"/>
      <c r="HS89" s="110"/>
      <c r="HT89" s="110"/>
      <c r="HU89" s="110"/>
      <c r="HV89" s="110"/>
      <c r="HW89" s="110"/>
      <c r="HX89" s="110"/>
      <c r="HY89" s="110"/>
      <c r="HZ89" s="110"/>
      <c r="IA89" s="110"/>
      <c r="IB89" s="110"/>
      <c r="IC89" s="110"/>
      <c r="ID89" s="110"/>
      <c r="IE89" s="110"/>
      <c r="IF89" s="110"/>
      <c r="IG89" s="110"/>
      <c r="IH89" s="110"/>
      <c r="II89" s="110"/>
      <c r="IJ89" s="110"/>
      <c r="IK89" s="110"/>
      <c r="IL89" s="110"/>
      <c r="IM89" s="110"/>
      <c r="IN89" s="110"/>
      <c r="IO89" s="110"/>
      <c r="IP89" s="110"/>
      <c r="IQ89" s="70"/>
    </row>
    <row r="90" spans="1:251" ht="16.5" hidden="1" customHeight="1">
      <c r="A90" s="95" t="s">
        <v>450</v>
      </c>
      <c r="B90" t="s">
        <v>1363</v>
      </c>
      <c r="C90" t="s">
        <v>450</v>
      </c>
      <c r="E90" t="s">
        <v>450</v>
      </c>
      <c r="F90" t="s">
        <v>1369</v>
      </c>
      <c r="G90" s="654"/>
      <c r="H90">
        <v>51</v>
      </c>
      <c r="J90" s="214" t="str">
        <f t="shared" si="3"/>
        <v>LTT100251</v>
      </c>
      <c r="K90">
        <v>55830</v>
      </c>
      <c r="R90" s="95" t="s">
        <v>450</v>
      </c>
      <c r="V90" s="214"/>
      <c r="EE90" s="95" t="s">
        <v>450</v>
      </c>
      <c r="EF90" s="110"/>
      <c r="EG90" s="110"/>
      <c r="EH90" s="110"/>
      <c r="EI90" s="216"/>
      <c r="EJ90" s="110"/>
      <c r="EK90" s="110"/>
      <c r="EL90" s="110"/>
      <c r="EM90" s="110"/>
      <c r="EN90" s="110"/>
      <c r="EO90" s="110"/>
      <c r="EP90" s="110"/>
      <c r="EQ90" s="110"/>
      <c r="ER90" s="110"/>
      <c r="ES90" s="110"/>
      <c r="ET90" s="110"/>
      <c r="EU90" s="110"/>
      <c r="EV90" s="110"/>
      <c r="EW90" s="110"/>
      <c r="EX90" s="110"/>
      <c r="EY90" s="110"/>
      <c r="EZ90" s="110"/>
      <c r="FA90" s="110"/>
      <c r="FB90" s="110"/>
      <c r="FC90" s="110"/>
      <c r="FD90" s="110"/>
      <c r="FE90" s="110"/>
      <c r="FF90" s="110"/>
      <c r="FG90" s="110"/>
      <c r="FH90" s="110"/>
      <c r="FI90" s="110"/>
      <c r="FJ90" s="110"/>
      <c r="FK90" s="110"/>
      <c r="FL90" s="110"/>
      <c r="FM90" s="110"/>
      <c r="FN90" s="110"/>
      <c r="FO90" s="110"/>
      <c r="FP90" s="110"/>
      <c r="FQ90" s="110"/>
      <c r="FR90" s="110"/>
      <c r="FS90" s="110"/>
      <c r="FT90" s="110"/>
      <c r="FU90" s="110"/>
      <c r="FV90" s="110"/>
      <c r="FW90" s="110"/>
      <c r="FX90" s="110"/>
      <c r="FY90" s="110"/>
      <c r="FZ90" s="110"/>
      <c r="GA90" s="110"/>
      <c r="GB90" s="110"/>
      <c r="GC90" s="110"/>
      <c r="GD90" s="110"/>
      <c r="GE90" s="110"/>
      <c r="GF90" s="110"/>
      <c r="GG90" s="110"/>
      <c r="GH90" s="110"/>
      <c r="GI90" s="110"/>
      <c r="GJ90" s="110"/>
      <c r="GK90" s="110"/>
      <c r="GL90" s="110"/>
      <c r="GM90" s="110"/>
      <c r="GN90" s="110"/>
      <c r="GO90" s="110"/>
      <c r="GP90" s="110"/>
      <c r="GQ90" s="110"/>
      <c r="GR90" s="110"/>
      <c r="GS90" s="110"/>
      <c r="GT90" s="110"/>
      <c r="GU90" s="110"/>
      <c r="GV90" s="110"/>
      <c r="GW90" s="110"/>
      <c r="GX90" s="110"/>
      <c r="GY90" s="110"/>
      <c r="GZ90" s="110"/>
      <c r="HA90" s="110"/>
      <c r="HB90" s="110"/>
      <c r="HC90" s="110"/>
      <c r="HD90" s="110"/>
      <c r="HE90" s="110"/>
      <c r="HF90" s="110"/>
      <c r="HG90" s="110"/>
      <c r="HH90" s="110"/>
      <c r="HI90" s="110"/>
      <c r="HJ90" s="110"/>
      <c r="HK90" s="110"/>
      <c r="HL90" s="110"/>
      <c r="HM90" s="110"/>
      <c r="HN90" s="110"/>
      <c r="HO90" s="110"/>
      <c r="HP90" s="110"/>
      <c r="HQ90" s="110"/>
      <c r="HR90" s="110"/>
      <c r="HS90" s="110"/>
      <c r="HT90" s="110"/>
      <c r="HU90" s="110"/>
      <c r="HV90" s="110"/>
      <c r="HW90" s="110"/>
      <c r="HX90" s="110"/>
      <c r="HY90" s="110"/>
      <c r="HZ90" s="110"/>
      <c r="IA90" s="110"/>
      <c r="IB90" s="110"/>
      <c r="IC90" s="110"/>
      <c r="ID90" s="110"/>
      <c r="IE90" s="110"/>
      <c r="IF90" s="110"/>
      <c r="IG90" s="110"/>
      <c r="IH90" s="110"/>
      <c r="II90" s="110"/>
      <c r="IJ90" s="110"/>
      <c r="IK90" s="110"/>
      <c r="IL90" s="110"/>
      <c r="IM90" s="110"/>
      <c r="IN90" s="110"/>
      <c r="IO90" s="110"/>
      <c r="IP90" s="110"/>
      <c r="IQ90" s="70"/>
    </row>
    <row r="91" spans="1:251" ht="16.5" hidden="1" customHeight="1">
      <c r="A91" s="95" t="s">
        <v>450</v>
      </c>
      <c r="B91" t="s">
        <v>1363</v>
      </c>
      <c r="C91" t="s">
        <v>450</v>
      </c>
      <c r="E91" t="s">
        <v>450</v>
      </c>
      <c r="F91" t="s">
        <v>1369</v>
      </c>
      <c r="G91" s="654"/>
      <c r="H91">
        <v>52</v>
      </c>
      <c r="J91" s="214" t="str">
        <f t="shared" si="3"/>
        <v>LTT100252</v>
      </c>
      <c r="K91">
        <v>56900</v>
      </c>
      <c r="R91" s="95" t="s">
        <v>450</v>
      </c>
      <c r="V91" s="214"/>
      <c r="EE91" s="95" t="s">
        <v>450</v>
      </c>
      <c r="EF91" s="110"/>
      <c r="EG91" s="110"/>
      <c r="EH91" s="110"/>
      <c r="EI91" s="216"/>
      <c r="EJ91" s="110"/>
      <c r="EK91" s="110"/>
      <c r="EL91" s="110"/>
      <c r="EM91" s="110"/>
      <c r="EN91" s="110"/>
      <c r="EO91" s="110"/>
      <c r="EP91" s="110"/>
      <c r="EQ91" s="110"/>
      <c r="ER91" s="110"/>
      <c r="ES91" s="110"/>
      <c r="ET91" s="110"/>
      <c r="EU91" s="110"/>
      <c r="EV91" s="110"/>
      <c r="EW91" s="110"/>
      <c r="EX91" s="110"/>
      <c r="EY91" s="110"/>
      <c r="EZ91" s="110"/>
      <c r="FA91" s="110"/>
      <c r="FB91" s="110"/>
      <c r="FC91" s="110"/>
      <c r="FD91" s="110"/>
      <c r="FE91" s="110"/>
      <c r="FF91" s="110"/>
      <c r="FG91" s="110"/>
      <c r="FH91" s="110"/>
      <c r="FI91" s="110"/>
      <c r="FJ91" s="110"/>
      <c r="FK91" s="110"/>
      <c r="FL91" s="110"/>
      <c r="FM91" s="110"/>
      <c r="FN91" s="110"/>
      <c r="FO91" s="110"/>
      <c r="FP91" s="110"/>
      <c r="FQ91" s="110"/>
      <c r="FR91" s="110"/>
      <c r="FS91" s="110"/>
      <c r="FT91" s="110"/>
      <c r="FU91" s="110"/>
      <c r="FV91" s="110"/>
      <c r="FW91" s="110"/>
      <c r="FX91" s="110"/>
      <c r="FY91" s="110"/>
      <c r="FZ91" s="110"/>
      <c r="GA91" s="110"/>
      <c r="GB91" s="110"/>
      <c r="GC91" s="110"/>
      <c r="GD91" s="110"/>
      <c r="GE91" s="110"/>
      <c r="GF91" s="110"/>
      <c r="GG91" s="110"/>
      <c r="GH91" s="110"/>
      <c r="GI91" s="110"/>
      <c r="GJ91" s="110"/>
      <c r="GK91" s="110"/>
      <c r="GL91" s="110"/>
      <c r="GM91" s="110"/>
      <c r="GN91" s="110"/>
      <c r="GO91" s="110"/>
      <c r="GP91" s="110"/>
      <c r="GQ91" s="110"/>
      <c r="GR91" s="110"/>
      <c r="GS91" s="110"/>
      <c r="GT91" s="110"/>
      <c r="GU91" s="110"/>
      <c r="GV91" s="110"/>
      <c r="GW91" s="110"/>
      <c r="GX91" s="110"/>
      <c r="GY91" s="110"/>
      <c r="GZ91" s="110"/>
      <c r="HA91" s="110"/>
      <c r="HB91" s="110"/>
      <c r="HC91" s="110"/>
      <c r="HD91" s="110"/>
      <c r="HE91" s="110"/>
      <c r="HF91" s="110"/>
      <c r="HG91" s="110"/>
      <c r="HH91" s="110"/>
      <c r="HI91" s="110"/>
      <c r="HJ91" s="110"/>
      <c r="HK91" s="110"/>
      <c r="HL91" s="110"/>
      <c r="HM91" s="110"/>
      <c r="HN91" s="110"/>
      <c r="HO91" s="110"/>
      <c r="HP91" s="110"/>
      <c r="HQ91" s="110"/>
      <c r="HR91" s="110"/>
      <c r="HS91" s="110"/>
      <c r="HT91" s="110"/>
      <c r="HU91" s="110"/>
      <c r="HV91" s="110"/>
      <c r="HW91" s="110"/>
      <c r="HX91" s="110"/>
      <c r="HY91" s="110"/>
      <c r="HZ91" s="110"/>
      <c r="IA91" s="110"/>
      <c r="IB91" s="110"/>
      <c r="IC91" s="110"/>
      <c r="ID91" s="110"/>
      <c r="IE91" s="110"/>
      <c r="IF91" s="110"/>
      <c r="IG91" s="110"/>
      <c r="IH91" s="110"/>
      <c r="II91" s="110"/>
      <c r="IJ91" s="110"/>
      <c r="IK91" s="110"/>
      <c r="IL91" s="110"/>
      <c r="IM91" s="110"/>
      <c r="IN91" s="110"/>
      <c r="IO91" s="110"/>
      <c r="IP91" s="110"/>
      <c r="IQ91" s="70"/>
    </row>
    <row r="92" spans="1:251" ht="16.5" hidden="1" customHeight="1">
      <c r="A92" s="95" t="s">
        <v>450</v>
      </c>
      <c r="B92" t="s">
        <v>1363</v>
      </c>
      <c r="C92" t="s">
        <v>450</v>
      </c>
      <c r="E92" t="s">
        <v>450</v>
      </c>
      <c r="F92" t="s">
        <v>1369</v>
      </c>
      <c r="G92" s="654"/>
      <c r="H92">
        <v>53</v>
      </c>
      <c r="J92" s="214" t="str">
        <f t="shared" si="3"/>
        <v>LTT100253</v>
      </c>
      <c r="K92">
        <v>58010</v>
      </c>
      <c r="R92" s="95" t="s">
        <v>450</v>
      </c>
      <c r="V92" s="214"/>
      <c r="EE92" s="95" t="s">
        <v>450</v>
      </c>
      <c r="EF92" s="110"/>
      <c r="EG92" s="110"/>
      <c r="EH92" s="110"/>
      <c r="EI92" s="216"/>
      <c r="EJ92" s="110"/>
      <c r="EK92" s="110"/>
      <c r="EL92" s="110"/>
      <c r="EM92" s="110"/>
      <c r="EN92" s="110"/>
      <c r="EO92" s="110"/>
      <c r="EP92" s="110"/>
      <c r="EQ92" s="110"/>
      <c r="ER92" s="110"/>
      <c r="ES92" s="110"/>
      <c r="ET92" s="110"/>
      <c r="EU92" s="110"/>
      <c r="EV92" s="110"/>
      <c r="EW92" s="110"/>
      <c r="EX92" s="110"/>
      <c r="EY92" s="110"/>
      <c r="EZ92" s="110"/>
      <c r="FA92" s="110"/>
      <c r="FB92" s="110"/>
      <c r="FC92" s="110"/>
      <c r="FD92" s="110"/>
      <c r="FE92" s="110"/>
      <c r="FF92" s="110"/>
      <c r="FG92" s="110"/>
      <c r="FH92" s="110"/>
      <c r="FI92" s="110"/>
      <c r="FJ92" s="110"/>
      <c r="FK92" s="110"/>
      <c r="FL92" s="110"/>
      <c r="FM92" s="110"/>
      <c r="FN92" s="110"/>
      <c r="FO92" s="110"/>
      <c r="FP92" s="110"/>
      <c r="FQ92" s="110"/>
      <c r="FR92" s="110"/>
      <c r="FS92" s="110"/>
      <c r="FT92" s="110"/>
      <c r="FU92" s="110"/>
      <c r="FV92" s="110"/>
      <c r="FW92" s="110"/>
      <c r="FX92" s="110"/>
      <c r="FY92" s="110"/>
      <c r="FZ92" s="110"/>
      <c r="GA92" s="110"/>
      <c r="GB92" s="110"/>
      <c r="GC92" s="110"/>
      <c r="GD92" s="110"/>
      <c r="GE92" s="110"/>
      <c r="GF92" s="110"/>
      <c r="GG92" s="110"/>
      <c r="GH92" s="110"/>
      <c r="GI92" s="110"/>
      <c r="GJ92" s="110"/>
      <c r="GK92" s="110"/>
      <c r="GL92" s="110"/>
      <c r="GM92" s="110"/>
      <c r="GN92" s="110"/>
      <c r="GO92" s="110"/>
      <c r="GP92" s="110"/>
      <c r="GQ92" s="110"/>
      <c r="GR92" s="110"/>
      <c r="GS92" s="110"/>
      <c r="GT92" s="110"/>
      <c r="GU92" s="110"/>
      <c r="GV92" s="110"/>
      <c r="GW92" s="110"/>
      <c r="GX92" s="110"/>
      <c r="GY92" s="110"/>
      <c r="GZ92" s="110"/>
      <c r="HA92" s="110"/>
      <c r="HB92" s="110"/>
      <c r="HC92" s="110"/>
      <c r="HD92" s="110"/>
      <c r="HE92" s="110"/>
      <c r="HF92" s="110"/>
      <c r="HG92" s="110"/>
      <c r="HH92" s="110"/>
      <c r="HI92" s="110"/>
      <c r="HJ92" s="110"/>
      <c r="HK92" s="110"/>
      <c r="HL92" s="110"/>
      <c r="HM92" s="110"/>
      <c r="HN92" s="110"/>
      <c r="HO92" s="110"/>
      <c r="HP92" s="110"/>
      <c r="HQ92" s="110"/>
      <c r="HR92" s="110"/>
      <c r="HS92" s="110"/>
      <c r="HT92" s="110"/>
      <c r="HU92" s="110"/>
      <c r="HV92" s="110"/>
      <c r="HW92" s="110"/>
      <c r="HX92" s="110"/>
      <c r="HY92" s="110"/>
      <c r="HZ92" s="110"/>
      <c r="IA92" s="110"/>
      <c r="IB92" s="110"/>
      <c r="IC92" s="110"/>
      <c r="ID92" s="110"/>
      <c r="IE92" s="110"/>
      <c r="IF92" s="110"/>
      <c r="IG92" s="110"/>
      <c r="IH92" s="110"/>
      <c r="II92" s="110"/>
      <c r="IJ92" s="110"/>
      <c r="IK92" s="110"/>
      <c r="IL92" s="110"/>
      <c r="IM92" s="110"/>
      <c r="IN92" s="110"/>
      <c r="IO92" s="110"/>
      <c r="IP92" s="110"/>
      <c r="IQ92" s="70"/>
    </row>
    <row r="93" spans="1:251" ht="16.5" hidden="1" customHeight="1">
      <c r="A93" s="95" t="s">
        <v>450</v>
      </c>
      <c r="B93" t="s">
        <v>1363</v>
      </c>
      <c r="C93" t="s">
        <v>450</v>
      </c>
      <c r="E93" t="s">
        <v>450</v>
      </c>
      <c r="F93" t="s">
        <v>1369</v>
      </c>
      <c r="G93" s="654"/>
      <c r="H93">
        <v>54</v>
      </c>
      <c r="J93" s="214" t="str">
        <f t="shared" si="3"/>
        <v>LTT100254</v>
      </c>
      <c r="K93">
        <v>59150</v>
      </c>
      <c r="R93" s="95" t="s">
        <v>450</v>
      </c>
      <c r="V93" s="214"/>
      <c r="EE93" s="95" t="s">
        <v>450</v>
      </c>
      <c r="EF93" s="110"/>
      <c r="EG93" s="110"/>
      <c r="EH93" s="110"/>
      <c r="EI93" s="216"/>
      <c r="EJ93" s="110"/>
      <c r="EK93" s="110"/>
      <c r="EL93" s="110"/>
      <c r="EM93" s="110"/>
      <c r="EN93" s="110"/>
      <c r="EO93" s="110"/>
      <c r="EP93" s="110"/>
      <c r="EQ93" s="110"/>
      <c r="ER93" s="110"/>
      <c r="ES93" s="110"/>
      <c r="ET93" s="110"/>
      <c r="EU93" s="110"/>
      <c r="EV93" s="110"/>
      <c r="EW93" s="110"/>
      <c r="EX93" s="110"/>
      <c r="EY93" s="110"/>
      <c r="EZ93" s="110"/>
      <c r="FA93" s="110"/>
      <c r="FB93" s="110"/>
      <c r="FC93" s="110"/>
      <c r="FD93" s="110"/>
      <c r="FE93" s="110"/>
      <c r="FF93" s="110"/>
      <c r="FG93" s="110"/>
      <c r="FH93" s="110"/>
      <c r="FI93" s="110"/>
      <c r="FJ93" s="110"/>
      <c r="FK93" s="110"/>
      <c r="FL93" s="110"/>
      <c r="FM93" s="110"/>
      <c r="FN93" s="110"/>
      <c r="FO93" s="110"/>
      <c r="FP93" s="110"/>
      <c r="FQ93" s="110"/>
      <c r="FR93" s="110"/>
      <c r="FS93" s="110"/>
      <c r="FT93" s="110"/>
      <c r="FU93" s="110"/>
      <c r="FV93" s="110"/>
      <c r="FW93" s="110"/>
      <c r="FX93" s="110"/>
      <c r="FY93" s="110"/>
      <c r="FZ93" s="110"/>
      <c r="GA93" s="110"/>
      <c r="GB93" s="110"/>
      <c r="GC93" s="110"/>
      <c r="GD93" s="110"/>
      <c r="GE93" s="110"/>
      <c r="GF93" s="110"/>
      <c r="GG93" s="110"/>
      <c r="GH93" s="110"/>
      <c r="GI93" s="110"/>
      <c r="GJ93" s="110"/>
      <c r="GK93" s="110"/>
      <c r="GL93" s="110"/>
      <c r="GM93" s="110"/>
      <c r="GN93" s="110"/>
      <c r="GO93" s="110"/>
      <c r="GP93" s="110"/>
      <c r="GQ93" s="110"/>
      <c r="GR93" s="110"/>
      <c r="GS93" s="110"/>
      <c r="GT93" s="110"/>
      <c r="GU93" s="110"/>
      <c r="GV93" s="110"/>
      <c r="GW93" s="110"/>
      <c r="GX93" s="110"/>
      <c r="GY93" s="110"/>
      <c r="GZ93" s="110"/>
      <c r="HA93" s="110"/>
      <c r="HB93" s="110"/>
      <c r="HC93" s="110"/>
      <c r="HD93" s="110"/>
      <c r="HE93" s="110"/>
      <c r="HF93" s="110"/>
      <c r="HG93" s="110"/>
      <c r="HH93" s="110"/>
      <c r="HI93" s="110"/>
      <c r="HJ93" s="110"/>
      <c r="HK93" s="110"/>
      <c r="HL93" s="110"/>
      <c r="HM93" s="110"/>
      <c r="HN93" s="110"/>
      <c r="HO93" s="110"/>
      <c r="HP93" s="110"/>
      <c r="HQ93" s="110"/>
      <c r="HR93" s="110"/>
      <c r="HS93" s="110"/>
      <c r="HT93" s="110"/>
      <c r="HU93" s="110"/>
      <c r="HV93" s="110"/>
      <c r="HW93" s="110"/>
      <c r="HX93" s="110"/>
      <c r="HY93" s="110"/>
      <c r="HZ93" s="110"/>
      <c r="IA93" s="110"/>
      <c r="IB93" s="110"/>
      <c r="IC93" s="110"/>
      <c r="ID93" s="110"/>
      <c r="IE93" s="110"/>
      <c r="IF93" s="110"/>
      <c r="IG93" s="110"/>
      <c r="IH93" s="110"/>
      <c r="II93" s="110"/>
      <c r="IJ93" s="110"/>
      <c r="IK93" s="110"/>
      <c r="IL93" s="110"/>
      <c r="IM93" s="110"/>
      <c r="IN93" s="110"/>
      <c r="IO93" s="110"/>
      <c r="IP93" s="110"/>
      <c r="IQ93" s="70"/>
    </row>
    <row r="94" spans="1:251" ht="16.5" hidden="1" customHeight="1">
      <c r="A94" s="95" t="s">
        <v>450</v>
      </c>
      <c r="B94" t="s">
        <v>1363</v>
      </c>
      <c r="C94" t="s">
        <v>450</v>
      </c>
      <c r="E94" t="s">
        <v>450</v>
      </c>
      <c r="F94" t="s">
        <v>1369</v>
      </c>
      <c r="G94" s="654"/>
      <c r="H94">
        <v>55</v>
      </c>
      <c r="J94" s="214" t="str">
        <f t="shared" si="3"/>
        <v>LTT100255</v>
      </c>
      <c r="K94">
        <v>60320</v>
      </c>
      <c r="R94" s="95" t="s">
        <v>450</v>
      </c>
      <c r="V94" s="214"/>
      <c r="EE94" s="95" t="s">
        <v>450</v>
      </c>
      <c r="EF94" s="110"/>
      <c r="EG94" s="110"/>
      <c r="EH94" s="110"/>
      <c r="EI94" s="216"/>
      <c r="EJ94" s="110"/>
      <c r="EK94" s="110"/>
      <c r="EL94" s="110"/>
      <c r="EM94" s="110"/>
      <c r="EN94" s="110"/>
      <c r="EO94" s="110"/>
      <c r="EP94" s="110"/>
      <c r="EQ94" s="110"/>
      <c r="ER94" s="110"/>
      <c r="ES94" s="110"/>
      <c r="ET94" s="110"/>
      <c r="EU94" s="110"/>
      <c r="EV94" s="110"/>
      <c r="EW94" s="110"/>
      <c r="EX94" s="110"/>
      <c r="EY94" s="110"/>
      <c r="EZ94" s="110"/>
      <c r="FA94" s="110"/>
      <c r="FB94" s="110"/>
      <c r="FC94" s="110"/>
      <c r="FD94" s="110"/>
      <c r="FE94" s="110"/>
      <c r="FF94" s="110"/>
      <c r="FG94" s="110"/>
      <c r="FH94" s="110"/>
      <c r="FI94" s="110"/>
      <c r="FJ94" s="110"/>
      <c r="FK94" s="110"/>
      <c r="FL94" s="110"/>
      <c r="FM94" s="110"/>
      <c r="FN94" s="110"/>
      <c r="FO94" s="110"/>
      <c r="FP94" s="110"/>
      <c r="FQ94" s="110"/>
      <c r="FR94" s="110"/>
      <c r="FS94" s="110"/>
      <c r="FT94" s="110"/>
      <c r="FU94" s="110"/>
      <c r="FV94" s="110"/>
      <c r="FW94" s="110"/>
      <c r="FX94" s="110"/>
      <c r="FY94" s="110"/>
      <c r="FZ94" s="110"/>
      <c r="GA94" s="110"/>
      <c r="GB94" s="110"/>
      <c r="GC94" s="110"/>
      <c r="GD94" s="110"/>
      <c r="GE94" s="110"/>
      <c r="GF94" s="110"/>
      <c r="GG94" s="110"/>
      <c r="GH94" s="110"/>
      <c r="GI94" s="110"/>
      <c r="GJ94" s="110"/>
      <c r="GK94" s="110"/>
      <c r="GL94" s="110"/>
      <c r="GM94" s="110"/>
      <c r="GN94" s="110"/>
      <c r="GO94" s="110"/>
      <c r="GP94" s="110"/>
      <c r="GQ94" s="110"/>
      <c r="GR94" s="110"/>
      <c r="GS94" s="110"/>
      <c r="GT94" s="110"/>
      <c r="GU94" s="110"/>
      <c r="GV94" s="110"/>
      <c r="GW94" s="110"/>
      <c r="GX94" s="110"/>
      <c r="GY94" s="110"/>
      <c r="GZ94" s="110"/>
      <c r="HA94" s="110"/>
      <c r="HB94" s="110"/>
      <c r="HC94" s="110"/>
      <c r="HD94" s="110"/>
      <c r="HE94" s="110"/>
      <c r="HF94" s="110"/>
      <c r="HG94" s="110"/>
      <c r="HH94" s="110"/>
      <c r="HI94" s="110"/>
      <c r="HJ94" s="110"/>
      <c r="HK94" s="110"/>
      <c r="HL94" s="110"/>
      <c r="HM94" s="110"/>
      <c r="HN94" s="110"/>
      <c r="HO94" s="110"/>
      <c r="HP94" s="110"/>
      <c r="HQ94" s="110"/>
      <c r="HR94" s="110"/>
      <c r="HS94" s="110"/>
      <c r="HT94" s="110"/>
      <c r="HU94" s="110"/>
      <c r="HV94" s="110"/>
      <c r="HW94" s="110"/>
      <c r="HX94" s="110"/>
      <c r="HY94" s="110"/>
      <c r="HZ94" s="110"/>
      <c r="IA94" s="110"/>
      <c r="IB94" s="110"/>
      <c r="IC94" s="110"/>
      <c r="ID94" s="110"/>
      <c r="IE94" s="110"/>
      <c r="IF94" s="110"/>
      <c r="IG94" s="110"/>
      <c r="IH94" s="110"/>
      <c r="II94" s="110"/>
      <c r="IJ94" s="110"/>
      <c r="IK94" s="110"/>
      <c r="IL94" s="110"/>
      <c r="IM94" s="110"/>
      <c r="IN94" s="110"/>
      <c r="IO94" s="110"/>
      <c r="IP94" s="110"/>
      <c r="IQ94" s="70"/>
    </row>
    <row r="95" spans="1:251" ht="16.5" hidden="1" customHeight="1">
      <c r="A95" s="95" t="s">
        <v>450</v>
      </c>
      <c r="B95" t="s">
        <v>1363</v>
      </c>
      <c r="C95" t="s">
        <v>450</v>
      </c>
      <c r="E95" t="s">
        <v>450</v>
      </c>
      <c r="F95" t="s">
        <v>1369</v>
      </c>
      <c r="G95" s="654"/>
      <c r="H95">
        <v>56</v>
      </c>
      <c r="J95" s="214" t="str">
        <f t="shared" si="3"/>
        <v>LTT100256</v>
      </c>
      <c r="K95">
        <v>61540</v>
      </c>
      <c r="R95" s="95" t="s">
        <v>450</v>
      </c>
      <c r="V95" s="214"/>
      <c r="EE95" s="95" t="s">
        <v>450</v>
      </c>
      <c r="EF95" s="110"/>
      <c r="EG95" s="110"/>
      <c r="EH95" s="110"/>
      <c r="EI95" s="216"/>
      <c r="EJ95" s="110"/>
      <c r="EK95" s="110"/>
      <c r="EL95" s="110"/>
      <c r="EM95" s="110"/>
      <c r="EN95" s="110"/>
      <c r="EO95" s="110"/>
      <c r="EP95" s="110"/>
      <c r="EQ95" s="110"/>
      <c r="ER95" s="110"/>
      <c r="ES95" s="110"/>
      <c r="ET95" s="110"/>
      <c r="EU95" s="110"/>
      <c r="EV95" s="110"/>
      <c r="EW95" s="110"/>
      <c r="EX95" s="110"/>
      <c r="EY95" s="110"/>
      <c r="EZ95" s="110"/>
      <c r="FA95" s="110"/>
      <c r="FB95" s="110"/>
      <c r="FC95" s="110"/>
      <c r="FD95" s="110"/>
      <c r="FE95" s="110"/>
      <c r="FF95" s="110"/>
      <c r="FG95" s="110"/>
      <c r="FH95" s="110"/>
      <c r="FI95" s="110"/>
      <c r="FJ95" s="110"/>
      <c r="FK95" s="110"/>
      <c r="FL95" s="110"/>
      <c r="FM95" s="110"/>
      <c r="FN95" s="110"/>
      <c r="FO95" s="110"/>
      <c r="FP95" s="110"/>
      <c r="FQ95" s="110"/>
      <c r="FR95" s="110"/>
      <c r="FS95" s="110"/>
      <c r="FT95" s="110"/>
      <c r="FU95" s="110"/>
      <c r="FV95" s="110"/>
      <c r="FW95" s="110"/>
      <c r="FX95" s="110"/>
      <c r="FY95" s="110"/>
      <c r="FZ95" s="110"/>
      <c r="GA95" s="110"/>
      <c r="GB95" s="110"/>
      <c r="GC95" s="110"/>
      <c r="GD95" s="110"/>
      <c r="GE95" s="110"/>
      <c r="GF95" s="110"/>
      <c r="GG95" s="110"/>
      <c r="GH95" s="110"/>
      <c r="GI95" s="110"/>
      <c r="GJ95" s="110"/>
      <c r="GK95" s="110"/>
      <c r="GL95" s="110"/>
      <c r="GM95" s="110"/>
      <c r="GN95" s="110"/>
      <c r="GO95" s="110"/>
      <c r="GP95" s="110"/>
      <c r="GQ95" s="110"/>
      <c r="GR95" s="110"/>
      <c r="GS95" s="110"/>
      <c r="GT95" s="110"/>
      <c r="GU95" s="110"/>
      <c r="GV95" s="110"/>
      <c r="GW95" s="110"/>
      <c r="GX95" s="110"/>
      <c r="GY95" s="110"/>
      <c r="GZ95" s="110"/>
      <c r="HA95" s="110"/>
      <c r="HB95" s="110"/>
      <c r="HC95" s="110"/>
      <c r="HD95" s="110"/>
      <c r="HE95" s="110"/>
      <c r="HF95" s="110"/>
      <c r="HG95" s="110"/>
      <c r="HH95" s="110"/>
      <c r="HI95" s="110"/>
      <c r="HJ95" s="110"/>
      <c r="HK95" s="110"/>
      <c r="HL95" s="110"/>
      <c r="HM95" s="110"/>
      <c r="HN95" s="110"/>
      <c r="HO95" s="110"/>
      <c r="HP95" s="110"/>
      <c r="HQ95" s="110"/>
      <c r="HR95" s="110"/>
      <c r="HS95" s="110"/>
      <c r="HT95" s="110"/>
      <c r="HU95" s="110"/>
      <c r="HV95" s="110"/>
      <c r="HW95" s="110"/>
      <c r="HX95" s="110"/>
      <c r="HY95" s="110"/>
      <c r="HZ95" s="110"/>
      <c r="IA95" s="110"/>
      <c r="IB95" s="110"/>
      <c r="IC95" s="110"/>
      <c r="ID95" s="110"/>
      <c r="IE95" s="110"/>
      <c r="IF95" s="110"/>
      <c r="IG95" s="110"/>
      <c r="IH95" s="110"/>
      <c r="II95" s="110"/>
      <c r="IJ95" s="110"/>
      <c r="IK95" s="110"/>
      <c r="IL95" s="110"/>
      <c r="IM95" s="110"/>
      <c r="IN95" s="110"/>
      <c r="IO95" s="110"/>
      <c r="IP95" s="110"/>
      <c r="IQ95" s="70"/>
    </row>
    <row r="96" spans="1:251" ht="16.5" hidden="1" customHeight="1">
      <c r="A96" s="95" t="s">
        <v>450</v>
      </c>
      <c r="B96" t="s">
        <v>1363</v>
      </c>
      <c r="C96" t="s">
        <v>450</v>
      </c>
      <c r="E96" t="s">
        <v>450</v>
      </c>
      <c r="F96" t="s">
        <v>1369</v>
      </c>
      <c r="G96" s="654"/>
      <c r="H96">
        <v>57</v>
      </c>
      <c r="J96" s="214" t="str">
        <f t="shared" si="3"/>
        <v>LTT100257</v>
      </c>
      <c r="K96">
        <v>62800</v>
      </c>
      <c r="R96" s="95" t="s">
        <v>450</v>
      </c>
      <c r="V96" s="214"/>
      <c r="EE96" s="95" t="s">
        <v>450</v>
      </c>
      <c r="EF96" s="110"/>
      <c r="EG96" s="110"/>
      <c r="EH96" s="110"/>
      <c r="EI96" s="216"/>
      <c r="EJ96" s="110"/>
      <c r="EK96" s="110"/>
      <c r="EL96" s="110"/>
      <c r="EM96" s="110"/>
      <c r="EN96" s="110"/>
      <c r="EO96" s="110"/>
      <c r="EP96" s="110"/>
      <c r="EQ96" s="110"/>
      <c r="ER96" s="110"/>
      <c r="ES96" s="110"/>
      <c r="ET96" s="110"/>
      <c r="EU96" s="110"/>
      <c r="EV96" s="110"/>
      <c r="EW96" s="110"/>
      <c r="EX96" s="110"/>
      <c r="EY96" s="110"/>
      <c r="EZ96" s="110"/>
      <c r="FA96" s="110"/>
      <c r="FB96" s="110"/>
      <c r="FC96" s="110"/>
      <c r="FD96" s="110"/>
      <c r="FE96" s="110"/>
      <c r="FF96" s="110"/>
      <c r="FG96" s="110"/>
      <c r="FH96" s="110"/>
      <c r="FI96" s="110"/>
      <c r="FJ96" s="110"/>
      <c r="FK96" s="110"/>
      <c r="FL96" s="110"/>
      <c r="FM96" s="110"/>
      <c r="FN96" s="110"/>
      <c r="FO96" s="110"/>
      <c r="FP96" s="110"/>
      <c r="FQ96" s="110"/>
      <c r="FR96" s="110"/>
      <c r="FS96" s="110"/>
      <c r="FT96" s="110"/>
      <c r="FU96" s="110"/>
      <c r="FV96" s="110"/>
      <c r="FW96" s="110"/>
      <c r="FX96" s="110"/>
      <c r="FY96" s="110"/>
      <c r="FZ96" s="110"/>
      <c r="GA96" s="110"/>
      <c r="GB96" s="110"/>
      <c r="GC96" s="110"/>
      <c r="GD96" s="110"/>
      <c r="GE96" s="110"/>
      <c r="GF96" s="110"/>
      <c r="GG96" s="110"/>
      <c r="GH96" s="110"/>
      <c r="GI96" s="110"/>
      <c r="GJ96" s="110"/>
      <c r="GK96" s="110"/>
      <c r="GL96" s="110"/>
      <c r="GM96" s="110"/>
      <c r="GN96" s="110"/>
      <c r="GO96" s="110"/>
      <c r="GP96" s="110"/>
      <c r="GQ96" s="110"/>
      <c r="GR96" s="110"/>
      <c r="GS96" s="110"/>
      <c r="GT96" s="110"/>
      <c r="GU96" s="110"/>
      <c r="GV96" s="110"/>
      <c r="GW96" s="110"/>
      <c r="GX96" s="110"/>
      <c r="GY96" s="110"/>
      <c r="GZ96" s="110"/>
      <c r="HA96" s="110"/>
      <c r="HB96" s="110"/>
      <c r="HC96" s="110"/>
      <c r="HD96" s="110"/>
      <c r="HE96" s="110"/>
      <c r="HF96" s="110"/>
      <c r="HG96" s="110"/>
      <c r="HH96" s="110"/>
      <c r="HI96" s="110"/>
      <c r="HJ96" s="110"/>
      <c r="HK96" s="110"/>
      <c r="HL96" s="110"/>
      <c r="HM96" s="110"/>
      <c r="HN96" s="110"/>
      <c r="HO96" s="110"/>
      <c r="HP96" s="110"/>
      <c r="HQ96" s="110"/>
      <c r="HR96" s="110"/>
      <c r="HS96" s="110"/>
      <c r="HT96" s="110"/>
      <c r="HU96" s="110"/>
      <c r="HV96" s="110"/>
      <c r="HW96" s="110"/>
      <c r="HX96" s="110"/>
      <c r="HY96" s="110"/>
      <c r="HZ96" s="110"/>
      <c r="IA96" s="110"/>
      <c r="IB96" s="110"/>
      <c r="IC96" s="110"/>
      <c r="ID96" s="110"/>
      <c r="IE96" s="110"/>
      <c r="IF96" s="110"/>
      <c r="IG96" s="110"/>
      <c r="IH96" s="110"/>
      <c r="II96" s="110"/>
      <c r="IJ96" s="110"/>
      <c r="IK96" s="110"/>
      <c r="IL96" s="110"/>
      <c r="IM96" s="110"/>
      <c r="IN96" s="110"/>
      <c r="IO96" s="110"/>
      <c r="IP96" s="110"/>
      <c r="IQ96" s="70"/>
    </row>
    <row r="97" spans="1:251" ht="16.5" hidden="1" customHeight="1">
      <c r="A97" s="95" t="s">
        <v>450</v>
      </c>
      <c r="B97" t="s">
        <v>1363</v>
      </c>
      <c r="C97" t="s">
        <v>450</v>
      </c>
      <c r="E97" t="s">
        <v>450</v>
      </c>
      <c r="F97" t="s">
        <v>1369</v>
      </c>
      <c r="G97" s="654"/>
      <c r="H97">
        <v>58</v>
      </c>
      <c r="J97" s="214" t="str">
        <f t="shared" si="3"/>
        <v>LTT100258</v>
      </c>
      <c r="K97">
        <v>64130</v>
      </c>
      <c r="R97" s="95" t="s">
        <v>450</v>
      </c>
      <c r="V97" s="214"/>
      <c r="EE97" s="95" t="s">
        <v>450</v>
      </c>
      <c r="EF97" s="110"/>
      <c r="EG97" s="110"/>
      <c r="EH97" s="110"/>
      <c r="EI97" s="216"/>
      <c r="EJ97" s="110"/>
      <c r="EK97" s="110"/>
      <c r="EL97" s="110"/>
      <c r="EM97" s="110"/>
      <c r="EN97" s="110"/>
      <c r="EO97" s="110"/>
      <c r="EP97" s="110"/>
      <c r="EQ97" s="110"/>
      <c r="ER97" s="110"/>
      <c r="ES97" s="110"/>
      <c r="ET97" s="110"/>
      <c r="EU97" s="110"/>
      <c r="EV97" s="110"/>
      <c r="EW97" s="110"/>
      <c r="EX97" s="110"/>
      <c r="EY97" s="110"/>
      <c r="EZ97" s="110"/>
      <c r="FA97" s="110"/>
      <c r="FB97" s="110"/>
      <c r="FC97" s="110"/>
      <c r="FD97" s="110"/>
      <c r="FE97" s="110"/>
      <c r="FF97" s="110"/>
      <c r="FG97" s="110"/>
      <c r="FH97" s="110"/>
      <c r="FI97" s="110"/>
      <c r="FJ97" s="110"/>
      <c r="FK97" s="110"/>
      <c r="FL97" s="110"/>
      <c r="FM97" s="110"/>
      <c r="FN97" s="110"/>
      <c r="FO97" s="110"/>
      <c r="FP97" s="110"/>
      <c r="FQ97" s="110"/>
      <c r="FR97" s="110"/>
      <c r="FS97" s="110"/>
      <c r="FT97" s="110"/>
      <c r="FU97" s="110"/>
      <c r="FV97" s="110"/>
      <c r="FW97" s="110"/>
      <c r="FX97" s="110"/>
      <c r="FY97" s="110"/>
      <c r="FZ97" s="110"/>
      <c r="GA97" s="110"/>
      <c r="GB97" s="110"/>
      <c r="GC97" s="110"/>
      <c r="GD97" s="110"/>
      <c r="GE97" s="110"/>
      <c r="GF97" s="110"/>
      <c r="GG97" s="110"/>
      <c r="GH97" s="110"/>
      <c r="GI97" s="110"/>
      <c r="GJ97" s="110"/>
      <c r="GK97" s="110"/>
      <c r="GL97" s="110"/>
      <c r="GM97" s="110"/>
      <c r="GN97" s="110"/>
      <c r="GO97" s="110"/>
      <c r="GP97" s="110"/>
      <c r="GQ97" s="110"/>
      <c r="GR97" s="110"/>
      <c r="GS97" s="110"/>
      <c r="GT97" s="110"/>
      <c r="GU97" s="110"/>
      <c r="GV97" s="110"/>
      <c r="GW97" s="110"/>
      <c r="GX97" s="110"/>
      <c r="GY97" s="110"/>
      <c r="GZ97" s="110"/>
      <c r="HA97" s="110"/>
      <c r="HB97" s="110"/>
      <c r="HC97" s="110"/>
      <c r="HD97" s="110"/>
      <c r="HE97" s="110"/>
      <c r="HF97" s="110"/>
      <c r="HG97" s="110"/>
      <c r="HH97" s="110"/>
      <c r="HI97" s="110"/>
      <c r="HJ97" s="110"/>
      <c r="HK97" s="110"/>
      <c r="HL97" s="110"/>
      <c r="HM97" s="110"/>
      <c r="HN97" s="110"/>
      <c r="HO97" s="110"/>
      <c r="HP97" s="110"/>
      <c r="HQ97" s="110"/>
      <c r="HR97" s="110"/>
      <c r="HS97" s="110"/>
      <c r="HT97" s="110"/>
      <c r="HU97" s="110"/>
      <c r="HV97" s="110"/>
      <c r="HW97" s="110"/>
      <c r="HX97" s="110"/>
      <c r="HY97" s="110"/>
      <c r="HZ97" s="110"/>
      <c r="IA97" s="110"/>
      <c r="IB97" s="110"/>
      <c r="IC97" s="110"/>
      <c r="ID97" s="110"/>
      <c r="IE97" s="110"/>
      <c r="IF97" s="110"/>
      <c r="IG97" s="110"/>
      <c r="IH97" s="110"/>
      <c r="II97" s="110"/>
      <c r="IJ97" s="110"/>
      <c r="IK97" s="110"/>
      <c r="IL97" s="110"/>
      <c r="IM97" s="110"/>
      <c r="IN97" s="110"/>
      <c r="IO97" s="110"/>
      <c r="IP97" s="110"/>
      <c r="IQ97" s="70"/>
    </row>
    <row r="98" spans="1:251" ht="16.5" hidden="1" customHeight="1">
      <c r="A98" s="95" t="s">
        <v>450</v>
      </c>
      <c r="B98" t="s">
        <v>1363</v>
      </c>
      <c r="C98" t="s">
        <v>450</v>
      </c>
      <c r="E98" t="s">
        <v>450</v>
      </c>
      <c r="F98" t="s">
        <v>1369</v>
      </c>
      <c r="G98" s="654"/>
      <c r="H98">
        <v>59</v>
      </c>
      <c r="J98" s="214" t="str">
        <f t="shared" si="3"/>
        <v>LTT100259</v>
      </c>
      <c r="K98">
        <v>65500</v>
      </c>
      <c r="R98" s="95" t="s">
        <v>450</v>
      </c>
      <c r="V98" s="214"/>
      <c r="EE98" s="95" t="s">
        <v>450</v>
      </c>
      <c r="EF98" s="110"/>
      <c r="EG98" s="110"/>
      <c r="EH98" s="110"/>
      <c r="EI98" s="216"/>
      <c r="EJ98" s="110"/>
      <c r="EK98" s="110"/>
      <c r="EL98" s="110"/>
      <c r="EM98" s="110"/>
      <c r="EN98" s="110"/>
      <c r="EO98" s="110"/>
      <c r="EP98" s="110"/>
      <c r="EQ98" s="110"/>
      <c r="ER98" s="110"/>
      <c r="ES98" s="110"/>
      <c r="ET98" s="110"/>
      <c r="EU98" s="110"/>
      <c r="EV98" s="110"/>
      <c r="EW98" s="110"/>
      <c r="EX98" s="110"/>
      <c r="EY98" s="110"/>
      <c r="EZ98" s="110"/>
      <c r="FA98" s="110"/>
      <c r="FB98" s="110"/>
      <c r="FC98" s="110"/>
      <c r="FD98" s="110"/>
      <c r="FE98" s="110"/>
      <c r="FF98" s="110"/>
      <c r="FG98" s="110"/>
      <c r="FH98" s="110"/>
      <c r="FI98" s="110"/>
      <c r="FJ98" s="110"/>
      <c r="FK98" s="110"/>
      <c r="FL98" s="110"/>
      <c r="FM98" s="110"/>
      <c r="FN98" s="110"/>
      <c r="FO98" s="110"/>
      <c r="FP98" s="110"/>
      <c r="FQ98" s="110"/>
      <c r="FR98" s="110"/>
      <c r="FS98" s="110"/>
      <c r="FT98" s="110"/>
      <c r="FU98" s="110"/>
      <c r="FV98" s="110"/>
      <c r="FW98" s="110"/>
      <c r="FX98" s="110"/>
      <c r="FY98" s="110"/>
      <c r="FZ98" s="110"/>
      <c r="GA98" s="110"/>
      <c r="GB98" s="110"/>
      <c r="GC98" s="110"/>
      <c r="GD98" s="110"/>
      <c r="GE98" s="110"/>
      <c r="GF98" s="110"/>
      <c r="GG98" s="110"/>
      <c r="GH98" s="110"/>
      <c r="GI98" s="110"/>
      <c r="GJ98" s="110"/>
      <c r="GK98" s="110"/>
      <c r="GL98" s="110"/>
      <c r="GM98" s="110"/>
      <c r="GN98" s="110"/>
      <c r="GO98" s="110"/>
      <c r="GP98" s="110"/>
      <c r="GQ98" s="110"/>
      <c r="GR98" s="110"/>
      <c r="GS98" s="110"/>
      <c r="GT98" s="110"/>
      <c r="GU98" s="110"/>
      <c r="GV98" s="110"/>
      <c r="GW98" s="110"/>
      <c r="GX98" s="110"/>
      <c r="GY98" s="110"/>
      <c r="GZ98" s="110"/>
      <c r="HA98" s="110"/>
      <c r="HB98" s="110"/>
      <c r="HC98" s="110"/>
      <c r="HD98" s="110"/>
      <c r="HE98" s="110"/>
      <c r="HF98" s="110"/>
      <c r="HG98" s="110"/>
      <c r="HH98" s="110"/>
      <c r="HI98" s="110"/>
      <c r="HJ98" s="110"/>
      <c r="HK98" s="110"/>
      <c r="HL98" s="110"/>
      <c r="HM98" s="110"/>
      <c r="HN98" s="110"/>
      <c r="HO98" s="110"/>
      <c r="HP98" s="110"/>
      <c r="HQ98" s="110"/>
      <c r="HR98" s="110"/>
      <c r="HS98" s="110"/>
      <c r="HT98" s="110"/>
      <c r="HU98" s="110"/>
      <c r="HV98" s="110"/>
      <c r="HW98" s="110"/>
      <c r="HX98" s="110"/>
      <c r="HY98" s="110"/>
      <c r="HZ98" s="110"/>
      <c r="IA98" s="110"/>
      <c r="IB98" s="110"/>
      <c r="IC98" s="110"/>
      <c r="ID98" s="110"/>
      <c r="IE98" s="110"/>
      <c r="IF98" s="110"/>
      <c r="IG98" s="110"/>
      <c r="IH98" s="110"/>
      <c r="II98" s="110"/>
      <c r="IJ98" s="110"/>
      <c r="IK98" s="110"/>
      <c r="IL98" s="110"/>
      <c r="IM98" s="110"/>
      <c r="IN98" s="110"/>
      <c r="IO98" s="110"/>
      <c r="IP98" s="110"/>
      <c r="IQ98" s="70"/>
    </row>
    <row r="99" spans="1:251" ht="16.5" hidden="1" customHeight="1">
      <c r="A99" s="95" t="s">
        <v>450</v>
      </c>
      <c r="B99" t="s">
        <v>1363</v>
      </c>
      <c r="C99" t="s">
        <v>450</v>
      </c>
      <c r="E99" t="s">
        <v>450</v>
      </c>
      <c r="F99" t="s">
        <v>1369</v>
      </c>
      <c r="G99" s="654"/>
      <c r="H99">
        <v>60</v>
      </c>
      <c r="J99" s="214" t="str">
        <f t="shared" si="3"/>
        <v>LTT100260</v>
      </c>
      <c r="K99">
        <v>66890</v>
      </c>
      <c r="R99" s="95" t="s">
        <v>450</v>
      </c>
      <c r="V99" s="214"/>
      <c r="EE99" s="95" t="s">
        <v>450</v>
      </c>
      <c r="EF99" s="110"/>
      <c r="EG99" s="110"/>
      <c r="EH99" s="110"/>
      <c r="EI99" s="216"/>
      <c r="EJ99" s="110"/>
      <c r="EK99" s="110"/>
      <c r="EL99" s="110"/>
      <c r="EM99" s="110"/>
      <c r="EN99" s="110"/>
      <c r="EO99" s="110"/>
      <c r="EP99" s="110"/>
      <c r="EQ99" s="110"/>
      <c r="ER99" s="110"/>
      <c r="ES99" s="110"/>
      <c r="ET99" s="110"/>
      <c r="EU99" s="110"/>
      <c r="EV99" s="110"/>
      <c r="EW99" s="110"/>
      <c r="EX99" s="110"/>
      <c r="EY99" s="110"/>
      <c r="EZ99" s="110"/>
      <c r="FA99" s="110"/>
      <c r="FB99" s="110"/>
      <c r="FC99" s="110"/>
      <c r="FD99" s="110"/>
      <c r="FE99" s="110"/>
      <c r="FF99" s="110"/>
      <c r="FG99" s="110"/>
      <c r="FH99" s="110"/>
      <c r="FI99" s="110"/>
      <c r="FJ99" s="110"/>
      <c r="FK99" s="110"/>
      <c r="FL99" s="110"/>
      <c r="FM99" s="110"/>
      <c r="FN99" s="110"/>
      <c r="FO99" s="110"/>
      <c r="FP99" s="110"/>
      <c r="FQ99" s="110"/>
      <c r="FR99" s="110"/>
      <c r="FS99" s="110"/>
      <c r="FT99" s="110"/>
      <c r="FU99" s="110"/>
      <c r="FV99" s="110"/>
      <c r="FW99" s="110"/>
      <c r="FX99" s="110"/>
      <c r="FY99" s="110"/>
      <c r="FZ99" s="110"/>
      <c r="GA99" s="110"/>
      <c r="GB99" s="110"/>
      <c r="GC99" s="110"/>
      <c r="GD99" s="110"/>
      <c r="GE99" s="110"/>
      <c r="GF99" s="110"/>
      <c r="GG99" s="110"/>
      <c r="GH99" s="110"/>
      <c r="GI99" s="110"/>
      <c r="GJ99" s="110"/>
      <c r="GK99" s="110"/>
      <c r="GL99" s="110"/>
      <c r="GM99" s="110"/>
      <c r="GN99" s="110"/>
      <c r="GO99" s="110"/>
      <c r="GP99" s="110"/>
      <c r="GQ99" s="110"/>
      <c r="GR99" s="110"/>
      <c r="GS99" s="110"/>
      <c r="GT99" s="110"/>
      <c r="GU99" s="110"/>
      <c r="GV99" s="110"/>
      <c r="GW99" s="110"/>
      <c r="GX99" s="110"/>
      <c r="GY99" s="110"/>
      <c r="GZ99" s="110"/>
      <c r="HA99" s="110"/>
      <c r="HB99" s="110"/>
      <c r="HC99" s="110"/>
      <c r="HD99" s="110"/>
      <c r="HE99" s="110"/>
      <c r="HF99" s="110"/>
      <c r="HG99" s="110"/>
      <c r="HH99" s="110"/>
      <c r="HI99" s="110"/>
      <c r="HJ99" s="110"/>
      <c r="HK99" s="110"/>
      <c r="HL99" s="110"/>
      <c r="HM99" s="110"/>
      <c r="HN99" s="110"/>
      <c r="HO99" s="110"/>
      <c r="HP99" s="110"/>
      <c r="HQ99" s="110"/>
      <c r="HR99" s="110"/>
      <c r="HS99" s="110"/>
      <c r="HT99" s="110"/>
      <c r="HU99" s="110"/>
      <c r="HV99" s="110"/>
      <c r="HW99" s="110"/>
      <c r="HX99" s="110"/>
      <c r="HY99" s="110"/>
      <c r="HZ99" s="110"/>
      <c r="IA99" s="110"/>
      <c r="IB99" s="110"/>
      <c r="IC99" s="110"/>
      <c r="ID99" s="110"/>
      <c r="IE99" s="110"/>
      <c r="IF99" s="110"/>
      <c r="IG99" s="110"/>
      <c r="IH99" s="110"/>
      <c r="II99" s="110"/>
      <c r="IJ99" s="110"/>
      <c r="IK99" s="110"/>
      <c r="IL99" s="110"/>
      <c r="IM99" s="110"/>
      <c r="IN99" s="110"/>
      <c r="IO99" s="110"/>
      <c r="IP99" s="110"/>
      <c r="IQ99" s="70"/>
    </row>
    <row r="100" spans="1:251" ht="16.5" hidden="1" customHeight="1">
      <c r="A100" s="95" t="s">
        <v>450</v>
      </c>
      <c r="B100" t="s">
        <v>1363</v>
      </c>
      <c r="C100" t="s">
        <v>450</v>
      </c>
      <c r="E100" t="s">
        <v>450</v>
      </c>
      <c r="F100" t="s">
        <v>1369</v>
      </c>
      <c r="G100" s="654"/>
      <c r="H100">
        <v>61</v>
      </c>
      <c r="J100" s="214" t="str">
        <f t="shared" si="3"/>
        <v>LTT100261</v>
      </c>
      <c r="K100">
        <v>68390</v>
      </c>
      <c r="R100" s="95" t="s">
        <v>450</v>
      </c>
      <c r="V100" s="214"/>
      <c r="EE100" s="95" t="s">
        <v>450</v>
      </c>
      <c r="EF100" s="110"/>
      <c r="EG100" s="110"/>
      <c r="EH100" s="110"/>
      <c r="EI100" s="216"/>
      <c r="EJ100" s="110"/>
      <c r="EK100" s="110"/>
      <c r="EL100" s="110"/>
      <c r="EM100" s="110"/>
      <c r="EN100" s="110"/>
      <c r="EO100" s="110"/>
      <c r="EP100" s="110"/>
      <c r="EQ100" s="110"/>
      <c r="ER100" s="110"/>
      <c r="ES100" s="110"/>
      <c r="ET100" s="110"/>
      <c r="EU100" s="110"/>
      <c r="EV100" s="110"/>
      <c r="EW100" s="110"/>
      <c r="EX100" s="110"/>
      <c r="EY100" s="110"/>
      <c r="EZ100" s="110"/>
      <c r="FA100" s="110"/>
      <c r="FB100" s="110"/>
      <c r="FC100" s="110"/>
      <c r="FD100" s="110"/>
      <c r="FE100" s="110"/>
      <c r="FF100" s="110"/>
      <c r="FG100" s="110"/>
      <c r="FH100" s="110"/>
      <c r="FI100" s="110"/>
      <c r="FJ100" s="110"/>
      <c r="FK100" s="110"/>
      <c r="FL100" s="110"/>
      <c r="FM100" s="110"/>
      <c r="FN100" s="110"/>
      <c r="FO100" s="110"/>
      <c r="FP100" s="110"/>
      <c r="FQ100" s="110"/>
      <c r="FR100" s="110"/>
      <c r="FS100" s="110"/>
      <c r="FT100" s="110"/>
      <c r="FU100" s="110"/>
      <c r="FV100" s="110"/>
      <c r="FW100" s="110"/>
      <c r="FX100" s="110"/>
      <c r="FY100" s="110"/>
      <c r="FZ100" s="110"/>
      <c r="GA100" s="110"/>
      <c r="GB100" s="110"/>
      <c r="GC100" s="110"/>
      <c r="GD100" s="110"/>
      <c r="GE100" s="110"/>
      <c r="GF100" s="110"/>
      <c r="GG100" s="110"/>
      <c r="GH100" s="110"/>
      <c r="GI100" s="110"/>
      <c r="GJ100" s="110"/>
      <c r="GK100" s="110"/>
      <c r="GL100" s="110"/>
      <c r="GM100" s="110"/>
      <c r="GN100" s="110"/>
      <c r="GO100" s="110"/>
      <c r="GP100" s="110"/>
      <c r="GQ100" s="110"/>
      <c r="GR100" s="110"/>
      <c r="GS100" s="110"/>
      <c r="GT100" s="110"/>
      <c r="GU100" s="110"/>
      <c r="GV100" s="110"/>
      <c r="GW100" s="110"/>
      <c r="GX100" s="110"/>
      <c r="GY100" s="110"/>
      <c r="GZ100" s="110"/>
      <c r="HA100" s="110"/>
      <c r="HB100" s="110"/>
      <c r="HC100" s="110"/>
      <c r="HD100" s="110"/>
      <c r="HE100" s="110"/>
      <c r="HF100" s="110"/>
      <c r="HG100" s="110"/>
      <c r="HH100" s="110"/>
      <c r="HI100" s="110"/>
      <c r="HJ100" s="110"/>
      <c r="HK100" s="110"/>
      <c r="HL100" s="110"/>
      <c r="HM100" s="110"/>
      <c r="HN100" s="110"/>
      <c r="HO100" s="110"/>
      <c r="HP100" s="110"/>
      <c r="HQ100" s="110"/>
      <c r="HR100" s="110"/>
      <c r="HS100" s="110"/>
      <c r="HT100" s="110"/>
      <c r="HU100" s="110"/>
      <c r="HV100" s="110"/>
      <c r="HW100" s="110"/>
      <c r="HX100" s="110"/>
      <c r="HY100" s="110"/>
      <c r="HZ100" s="110"/>
      <c r="IA100" s="110"/>
      <c r="IB100" s="110"/>
      <c r="IC100" s="110"/>
      <c r="ID100" s="110"/>
      <c r="IE100" s="110"/>
      <c r="IF100" s="110"/>
      <c r="IG100" s="110"/>
      <c r="IH100" s="110"/>
      <c r="II100" s="110"/>
      <c r="IJ100" s="110"/>
      <c r="IK100" s="110"/>
      <c r="IL100" s="110"/>
      <c r="IM100" s="110"/>
      <c r="IN100" s="110"/>
      <c r="IO100" s="110"/>
      <c r="IP100" s="110"/>
      <c r="IQ100" s="70"/>
    </row>
    <row r="101" spans="1:251" ht="16.5" hidden="1" customHeight="1">
      <c r="A101" s="95" t="s">
        <v>450</v>
      </c>
      <c r="B101" t="s">
        <v>1363</v>
      </c>
      <c r="C101" t="s">
        <v>450</v>
      </c>
      <c r="E101" t="s">
        <v>450</v>
      </c>
      <c r="F101" t="s">
        <v>1369</v>
      </c>
      <c r="G101" s="654"/>
      <c r="H101">
        <v>62</v>
      </c>
      <c r="J101" s="214" t="str">
        <f t="shared" si="3"/>
        <v>LTT100262</v>
      </c>
      <c r="K101">
        <v>69990</v>
      </c>
      <c r="R101" s="95" t="s">
        <v>450</v>
      </c>
      <c r="V101" s="214"/>
      <c r="EE101" s="95" t="s">
        <v>450</v>
      </c>
      <c r="EF101" s="110"/>
      <c r="EG101" s="110"/>
      <c r="EH101" s="110"/>
      <c r="EI101" s="216"/>
      <c r="EJ101" s="110"/>
      <c r="EK101" s="110"/>
      <c r="EL101" s="110"/>
      <c r="EM101" s="110"/>
      <c r="EN101" s="110"/>
      <c r="EO101" s="110"/>
      <c r="EP101" s="110"/>
      <c r="EQ101" s="110"/>
      <c r="ER101" s="110"/>
      <c r="ES101" s="110"/>
      <c r="ET101" s="110"/>
      <c r="EU101" s="110"/>
      <c r="EV101" s="110"/>
      <c r="EW101" s="110"/>
      <c r="EX101" s="110"/>
      <c r="EY101" s="110"/>
      <c r="EZ101" s="110"/>
      <c r="FA101" s="110"/>
      <c r="FB101" s="110"/>
      <c r="FC101" s="110"/>
      <c r="FD101" s="110"/>
      <c r="FE101" s="110"/>
      <c r="FF101" s="110"/>
      <c r="FG101" s="110"/>
      <c r="FH101" s="110"/>
      <c r="FI101" s="110"/>
      <c r="FJ101" s="110"/>
      <c r="FK101" s="110"/>
      <c r="FL101" s="110"/>
      <c r="FM101" s="110"/>
      <c r="FN101" s="110"/>
      <c r="FO101" s="110"/>
      <c r="FP101" s="110"/>
      <c r="FQ101" s="110"/>
      <c r="FR101" s="110"/>
      <c r="FS101" s="110"/>
      <c r="FT101" s="110"/>
      <c r="FU101" s="110"/>
      <c r="FV101" s="110"/>
      <c r="FW101" s="110"/>
      <c r="FX101" s="110"/>
      <c r="FY101" s="110"/>
      <c r="FZ101" s="110"/>
      <c r="GA101" s="110"/>
      <c r="GB101" s="110"/>
      <c r="GC101" s="110"/>
      <c r="GD101" s="110"/>
      <c r="GE101" s="110"/>
      <c r="GF101" s="110"/>
      <c r="GG101" s="110"/>
      <c r="GH101" s="110"/>
      <c r="GI101" s="110"/>
      <c r="GJ101" s="110"/>
      <c r="GK101" s="110"/>
      <c r="GL101" s="110"/>
      <c r="GM101" s="110"/>
      <c r="GN101" s="110"/>
      <c r="GO101" s="110"/>
      <c r="GP101" s="110"/>
      <c r="GQ101" s="110"/>
      <c r="GR101" s="110"/>
      <c r="GS101" s="110"/>
      <c r="GT101" s="110"/>
      <c r="GU101" s="110"/>
      <c r="GV101" s="110"/>
      <c r="GW101" s="110"/>
      <c r="GX101" s="110"/>
      <c r="GY101" s="110"/>
      <c r="GZ101" s="110"/>
      <c r="HA101" s="110"/>
      <c r="HB101" s="110"/>
      <c r="HC101" s="110"/>
      <c r="HD101" s="110"/>
      <c r="HE101" s="110"/>
      <c r="HF101" s="110"/>
      <c r="HG101" s="110"/>
      <c r="HH101" s="110"/>
      <c r="HI101" s="110"/>
      <c r="HJ101" s="110"/>
      <c r="HK101" s="110"/>
      <c r="HL101" s="110"/>
      <c r="HM101" s="110"/>
      <c r="HN101" s="110"/>
      <c r="HO101" s="110"/>
      <c r="HP101" s="110"/>
      <c r="HQ101" s="110"/>
      <c r="HR101" s="110"/>
      <c r="HS101" s="110"/>
      <c r="HT101" s="110"/>
      <c r="HU101" s="110"/>
      <c r="HV101" s="110"/>
      <c r="HW101" s="110"/>
      <c r="HX101" s="110"/>
      <c r="HY101" s="110"/>
      <c r="HZ101" s="110"/>
      <c r="IA101" s="110"/>
      <c r="IB101" s="110"/>
      <c r="IC101" s="110"/>
      <c r="ID101" s="110"/>
      <c r="IE101" s="110"/>
      <c r="IF101" s="110"/>
      <c r="IG101" s="110"/>
      <c r="IH101" s="110"/>
      <c r="II101" s="110"/>
      <c r="IJ101" s="110"/>
      <c r="IK101" s="110"/>
      <c r="IL101" s="110"/>
      <c r="IM101" s="110"/>
      <c r="IN101" s="110"/>
      <c r="IO101" s="110"/>
      <c r="IP101" s="110"/>
      <c r="IQ101" s="70"/>
    </row>
    <row r="102" spans="1:251" ht="16.5" hidden="1" customHeight="1">
      <c r="A102" s="95" t="s">
        <v>450</v>
      </c>
      <c r="B102" t="s">
        <v>1363</v>
      </c>
      <c r="C102" t="s">
        <v>450</v>
      </c>
      <c r="E102" t="s">
        <v>450</v>
      </c>
      <c r="F102" t="s">
        <v>1369</v>
      </c>
      <c r="G102" s="654"/>
      <c r="H102">
        <v>63</v>
      </c>
      <c r="J102" s="214" t="str">
        <f t="shared" si="3"/>
        <v>LTT100263</v>
      </c>
      <c r="K102">
        <v>71730</v>
      </c>
      <c r="R102" s="95" t="s">
        <v>450</v>
      </c>
      <c r="V102" s="214"/>
      <c r="EE102" s="95" t="s">
        <v>450</v>
      </c>
      <c r="EF102" s="110"/>
      <c r="EG102" s="110"/>
      <c r="EH102" s="110"/>
      <c r="EI102" s="216"/>
      <c r="EJ102" s="110"/>
      <c r="EK102" s="110"/>
      <c r="EL102" s="110"/>
      <c r="EM102" s="110"/>
      <c r="EN102" s="110"/>
      <c r="EO102" s="110"/>
      <c r="EP102" s="110"/>
      <c r="EQ102" s="110"/>
      <c r="ER102" s="110"/>
      <c r="ES102" s="110"/>
      <c r="ET102" s="110"/>
      <c r="EU102" s="110"/>
      <c r="EV102" s="110"/>
      <c r="EW102" s="110"/>
      <c r="EX102" s="110"/>
      <c r="EY102" s="110"/>
      <c r="EZ102" s="110"/>
      <c r="FA102" s="110"/>
      <c r="FB102" s="110"/>
      <c r="FC102" s="110"/>
      <c r="FD102" s="110"/>
      <c r="FE102" s="110"/>
      <c r="FF102" s="110"/>
      <c r="FG102" s="110"/>
      <c r="FH102" s="110"/>
      <c r="FI102" s="110"/>
      <c r="FJ102" s="110"/>
      <c r="FK102" s="110"/>
      <c r="FL102" s="110"/>
      <c r="FM102" s="110"/>
      <c r="FN102" s="110"/>
      <c r="FO102" s="110"/>
      <c r="FP102" s="110"/>
      <c r="FQ102" s="110"/>
      <c r="FR102" s="110"/>
      <c r="FS102" s="110"/>
      <c r="FT102" s="110"/>
      <c r="FU102" s="110"/>
      <c r="FV102" s="110"/>
      <c r="FW102" s="110"/>
      <c r="FX102" s="110"/>
      <c r="FY102" s="110"/>
      <c r="FZ102" s="110"/>
      <c r="GA102" s="110"/>
      <c r="GB102" s="110"/>
      <c r="GC102" s="110"/>
      <c r="GD102" s="110"/>
      <c r="GE102" s="110"/>
      <c r="GF102" s="110"/>
      <c r="GG102" s="110"/>
      <c r="GH102" s="110"/>
      <c r="GI102" s="110"/>
      <c r="GJ102" s="110"/>
      <c r="GK102" s="110"/>
      <c r="GL102" s="110"/>
      <c r="GM102" s="110"/>
      <c r="GN102" s="110"/>
      <c r="GO102" s="110"/>
      <c r="GP102" s="110"/>
      <c r="GQ102" s="110"/>
      <c r="GR102" s="110"/>
      <c r="GS102" s="110"/>
      <c r="GT102" s="110"/>
      <c r="GU102" s="110"/>
      <c r="GV102" s="110"/>
      <c r="GW102" s="110"/>
      <c r="GX102" s="110"/>
      <c r="GY102" s="110"/>
      <c r="GZ102" s="110"/>
      <c r="HA102" s="110"/>
      <c r="HB102" s="110"/>
      <c r="HC102" s="110"/>
      <c r="HD102" s="110"/>
      <c r="HE102" s="110"/>
      <c r="HF102" s="110"/>
      <c r="HG102" s="110"/>
      <c r="HH102" s="110"/>
      <c r="HI102" s="110"/>
      <c r="HJ102" s="110"/>
      <c r="HK102" s="110"/>
      <c r="HL102" s="110"/>
      <c r="HM102" s="110"/>
      <c r="HN102" s="110"/>
      <c r="HO102" s="110"/>
      <c r="HP102" s="110"/>
      <c r="HQ102" s="110"/>
      <c r="HR102" s="110"/>
      <c r="HS102" s="110"/>
      <c r="HT102" s="110"/>
      <c r="HU102" s="110"/>
      <c r="HV102" s="110"/>
      <c r="HW102" s="110"/>
      <c r="HX102" s="110"/>
      <c r="HY102" s="110"/>
      <c r="HZ102" s="110"/>
      <c r="IA102" s="110"/>
      <c r="IB102" s="110"/>
      <c r="IC102" s="110"/>
      <c r="ID102" s="110"/>
      <c r="IE102" s="110"/>
      <c r="IF102" s="110"/>
      <c r="IG102" s="110"/>
      <c r="IH102" s="110"/>
      <c r="II102" s="110"/>
      <c r="IJ102" s="110"/>
      <c r="IK102" s="110"/>
      <c r="IL102" s="110"/>
      <c r="IM102" s="110"/>
      <c r="IN102" s="110"/>
      <c r="IO102" s="110"/>
      <c r="IP102" s="110"/>
      <c r="IQ102" s="70"/>
    </row>
    <row r="103" spans="1:251" ht="16.5" hidden="1" customHeight="1">
      <c r="A103" s="95" t="s">
        <v>450</v>
      </c>
      <c r="B103" t="s">
        <v>1363</v>
      </c>
      <c r="C103" t="s">
        <v>450</v>
      </c>
      <c r="E103" t="s">
        <v>450</v>
      </c>
      <c r="F103" t="s">
        <v>1369</v>
      </c>
      <c r="G103" s="654"/>
      <c r="H103">
        <v>64</v>
      </c>
      <c r="J103" s="214" t="str">
        <f t="shared" si="3"/>
        <v>LTT100264</v>
      </c>
      <c r="K103">
        <v>73510</v>
      </c>
      <c r="R103" s="95" t="s">
        <v>450</v>
      </c>
      <c r="V103" s="214"/>
      <c r="EE103" s="95" t="s">
        <v>450</v>
      </c>
      <c r="EF103" s="110"/>
      <c r="EG103" s="110"/>
      <c r="EH103" s="110"/>
      <c r="EI103" s="216"/>
      <c r="EJ103" s="110"/>
      <c r="EK103" s="110"/>
      <c r="EL103" s="110"/>
      <c r="EM103" s="110"/>
      <c r="EN103" s="110"/>
      <c r="EO103" s="110"/>
      <c r="EP103" s="110"/>
      <c r="EQ103" s="110"/>
      <c r="ER103" s="110"/>
      <c r="ES103" s="110"/>
      <c r="ET103" s="110"/>
      <c r="EU103" s="110"/>
      <c r="EV103" s="110"/>
      <c r="EW103" s="110"/>
      <c r="EX103" s="110"/>
      <c r="EY103" s="110"/>
      <c r="EZ103" s="110"/>
      <c r="FA103" s="110"/>
      <c r="FB103" s="110"/>
      <c r="FC103" s="110"/>
      <c r="FD103" s="110"/>
      <c r="FE103" s="110"/>
      <c r="FF103" s="110"/>
      <c r="FG103" s="110"/>
      <c r="FH103" s="110"/>
      <c r="FI103" s="110"/>
      <c r="FJ103" s="110"/>
      <c r="FK103" s="110"/>
      <c r="FL103" s="110"/>
      <c r="FM103" s="110"/>
      <c r="FN103" s="110"/>
      <c r="FO103" s="110"/>
      <c r="FP103" s="110"/>
      <c r="FQ103" s="110"/>
      <c r="FR103" s="110"/>
      <c r="FS103" s="110"/>
      <c r="FT103" s="110"/>
      <c r="FU103" s="110"/>
      <c r="FV103" s="110"/>
      <c r="FW103" s="110"/>
      <c r="FX103" s="110"/>
      <c r="FY103" s="110"/>
      <c r="FZ103" s="110"/>
      <c r="GA103" s="110"/>
      <c r="GB103" s="110"/>
      <c r="GC103" s="110"/>
      <c r="GD103" s="110"/>
      <c r="GE103" s="110"/>
      <c r="GF103" s="110"/>
      <c r="GG103" s="110"/>
      <c r="GH103" s="110"/>
      <c r="GI103" s="110"/>
      <c r="GJ103" s="110"/>
      <c r="GK103" s="110"/>
      <c r="GL103" s="110"/>
      <c r="GM103" s="110"/>
      <c r="GN103" s="110"/>
      <c r="GO103" s="110"/>
      <c r="GP103" s="110"/>
      <c r="GQ103" s="110"/>
      <c r="GR103" s="110"/>
      <c r="GS103" s="110"/>
      <c r="GT103" s="110"/>
      <c r="GU103" s="110"/>
      <c r="GV103" s="110"/>
      <c r="GW103" s="110"/>
      <c r="GX103" s="110"/>
      <c r="GY103" s="110"/>
      <c r="GZ103" s="110"/>
      <c r="HA103" s="110"/>
      <c r="HB103" s="110"/>
      <c r="HC103" s="110"/>
      <c r="HD103" s="110"/>
      <c r="HE103" s="110"/>
      <c r="HF103" s="110"/>
      <c r="HG103" s="110"/>
      <c r="HH103" s="110"/>
      <c r="HI103" s="110"/>
      <c r="HJ103" s="110"/>
      <c r="HK103" s="110"/>
      <c r="HL103" s="110"/>
      <c r="HM103" s="110"/>
      <c r="HN103" s="110"/>
      <c r="HO103" s="110"/>
      <c r="HP103" s="110"/>
      <c r="HQ103" s="110"/>
      <c r="HR103" s="110"/>
      <c r="HS103" s="110"/>
      <c r="HT103" s="110"/>
      <c r="HU103" s="110"/>
      <c r="HV103" s="110"/>
      <c r="HW103" s="110"/>
      <c r="HX103" s="110"/>
      <c r="HY103" s="110"/>
      <c r="HZ103" s="110"/>
      <c r="IA103" s="110"/>
      <c r="IB103" s="110"/>
      <c r="IC103" s="110"/>
      <c r="ID103" s="110"/>
      <c r="IE103" s="110"/>
      <c r="IF103" s="110"/>
      <c r="IG103" s="110"/>
      <c r="IH103" s="110"/>
      <c r="II103" s="110"/>
      <c r="IJ103" s="110"/>
      <c r="IK103" s="110"/>
      <c r="IL103" s="110"/>
      <c r="IM103" s="110"/>
      <c r="IN103" s="110"/>
      <c r="IO103" s="110"/>
      <c r="IP103" s="110"/>
      <c r="IQ103" s="70"/>
    </row>
    <row r="104" spans="1:251" ht="16.5" hidden="1" customHeight="1">
      <c r="A104" s="95" t="s">
        <v>450</v>
      </c>
      <c r="B104" t="s">
        <v>1363</v>
      </c>
      <c r="C104" t="s">
        <v>450</v>
      </c>
      <c r="E104" t="s">
        <v>450</v>
      </c>
      <c r="F104" t="s">
        <v>1369</v>
      </c>
      <c r="G104" s="654"/>
      <c r="H104">
        <v>65</v>
      </c>
      <c r="J104" s="214" t="str">
        <f t="shared" si="3"/>
        <v>LTT100265</v>
      </c>
      <c r="K104">
        <v>75330</v>
      </c>
      <c r="R104" s="95" t="s">
        <v>450</v>
      </c>
      <c r="V104" s="214"/>
      <c r="EE104" s="95" t="s">
        <v>450</v>
      </c>
      <c r="EF104" s="110"/>
      <c r="EG104" s="110"/>
      <c r="EH104" s="110"/>
      <c r="EI104" s="216"/>
      <c r="EJ104" s="110"/>
      <c r="EK104" s="110"/>
      <c r="EL104" s="110"/>
      <c r="EM104" s="110"/>
      <c r="EN104" s="110"/>
      <c r="EO104" s="110"/>
      <c r="EP104" s="110"/>
      <c r="EQ104" s="110"/>
      <c r="ER104" s="110"/>
      <c r="ES104" s="110"/>
      <c r="ET104" s="110"/>
      <c r="EU104" s="110"/>
      <c r="EV104" s="110"/>
      <c r="EW104" s="110"/>
      <c r="EX104" s="110"/>
      <c r="EY104" s="110"/>
      <c r="EZ104" s="110"/>
      <c r="FA104" s="110"/>
      <c r="FB104" s="110"/>
      <c r="FC104" s="110"/>
      <c r="FD104" s="110"/>
      <c r="FE104" s="110"/>
      <c r="FF104" s="110"/>
      <c r="FG104" s="110"/>
      <c r="FH104" s="110"/>
      <c r="FI104" s="110"/>
      <c r="FJ104" s="110"/>
      <c r="FK104" s="110"/>
      <c r="FL104" s="110"/>
      <c r="FM104" s="110"/>
      <c r="FN104" s="110"/>
      <c r="FO104" s="110"/>
      <c r="FP104" s="110"/>
      <c r="FQ104" s="110"/>
      <c r="FR104" s="110"/>
      <c r="FS104" s="110"/>
      <c r="FT104" s="110"/>
      <c r="FU104" s="110"/>
      <c r="FV104" s="110"/>
      <c r="FW104" s="110"/>
      <c r="FX104" s="110"/>
      <c r="FY104" s="110"/>
      <c r="FZ104" s="110"/>
      <c r="GA104" s="110"/>
      <c r="GB104" s="110"/>
      <c r="GC104" s="110"/>
      <c r="GD104" s="110"/>
      <c r="GE104" s="110"/>
      <c r="GF104" s="110"/>
      <c r="GG104" s="110"/>
      <c r="GH104" s="110"/>
      <c r="GI104" s="110"/>
      <c r="GJ104" s="110"/>
      <c r="GK104" s="110"/>
      <c r="GL104" s="110"/>
      <c r="GM104" s="110"/>
      <c r="GN104" s="110"/>
      <c r="GO104" s="110"/>
      <c r="GP104" s="110"/>
      <c r="GQ104" s="110"/>
      <c r="GR104" s="110"/>
      <c r="GS104" s="110"/>
      <c r="GT104" s="110"/>
      <c r="GU104" s="110"/>
      <c r="GV104" s="110"/>
      <c r="GW104" s="110"/>
      <c r="GX104" s="110"/>
      <c r="GY104" s="110"/>
      <c r="GZ104" s="110"/>
      <c r="HA104" s="110"/>
      <c r="HB104" s="110"/>
      <c r="HC104" s="110"/>
      <c r="HD104" s="110"/>
      <c r="HE104" s="110"/>
      <c r="HF104" s="110"/>
      <c r="HG104" s="110"/>
      <c r="HH104" s="110"/>
      <c r="HI104" s="110"/>
      <c r="HJ104" s="110"/>
      <c r="HK104" s="110"/>
      <c r="HL104" s="110"/>
      <c r="HM104" s="110"/>
      <c r="HN104" s="110"/>
      <c r="HO104" s="110"/>
      <c r="HP104" s="110"/>
      <c r="HQ104" s="110"/>
      <c r="HR104" s="110"/>
      <c r="HS104" s="110"/>
      <c r="HT104" s="110"/>
      <c r="HU104" s="110"/>
      <c r="HV104" s="110"/>
      <c r="HW104" s="110"/>
      <c r="HX104" s="110"/>
      <c r="HY104" s="110"/>
      <c r="HZ104" s="110"/>
      <c r="IA104" s="110"/>
      <c r="IB104" s="110"/>
      <c r="IC104" s="110"/>
      <c r="ID104" s="110"/>
      <c r="IE104" s="110"/>
      <c r="IF104" s="110"/>
      <c r="IG104" s="110"/>
      <c r="IH104" s="110"/>
      <c r="II104" s="110"/>
      <c r="IJ104" s="110"/>
      <c r="IK104" s="110"/>
      <c r="IL104" s="110"/>
      <c r="IM104" s="110"/>
      <c r="IN104" s="110"/>
      <c r="IO104" s="110"/>
      <c r="IP104" s="110"/>
      <c r="IQ104" s="70"/>
    </row>
    <row r="105" spans="1:251" ht="16.5" hidden="1" customHeight="1">
      <c r="A105" s="95" t="s">
        <v>450</v>
      </c>
      <c r="B105" t="s">
        <v>1364</v>
      </c>
      <c r="C105" t="s">
        <v>450</v>
      </c>
      <c r="E105" t="s">
        <v>450</v>
      </c>
      <c r="F105" t="s">
        <v>1368</v>
      </c>
      <c r="G105" s="654"/>
      <c r="H105">
        <v>15</v>
      </c>
      <c r="J105" s="214" t="str">
        <f t="shared" si="3"/>
        <v>LTT200115</v>
      </c>
      <c r="K105">
        <v>12210</v>
      </c>
      <c r="R105" s="95" t="s">
        <v>450</v>
      </c>
      <c r="V105" s="214"/>
      <c r="EE105" s="95" t="s">
        <v>450</v>
      </c>
      <c r="EF105" s="110"/>
      <c r="EG105" s="110"/>
      <c r="EH105" s="110"/>
      <c r="EI105" s="216"/>
      <c r="EJ105" s="110"/>
      <c r="EK105" s="110"/>
      <c r="EL105" s="110"/>
      <c r="EM105" s="110"/>
      <c r="EN105" s="110"/>
      <c r="EO105" s="110"/>
      <c r="EP105" s="110"/>
      <c r="EQ105" s="110"/>
      <c r="ER105" s="110"/>
      <c r="ES105" s="110"/>
      <c r="ET105" s="110"/>
      <c r="EU105" s="110"/>
      <c r="EV105" s="110"/>
      <c r="EW105" s="110"/>
      <c r="EX105" s="110"/>
      <c r="EY105" s="110"/>
      <c r="EZ105" s="110"/>
      <c r="FA105" s="110"/>
      <c r="FB105" s="110"/>
      <c r="FC105" s="110"/>
      <c r="FD105" s="110"/>
      <c r="FE105" s="110"/>
      <c r="FF105" s="110"/>
      <c r="FG105" s="110"/>
      <c r="FH105" s="110"/>
      <c r="FI105" s="110"/>
      <c r="FJ105" s="110"/>
      <c r="FK105" s="110"/>
      <c r="FL105" s="110"/>
      <c r="FM105" s="110"/>
      <c r="FN105" s="110"/>
      <c r="FO105" s="110"/>
      <c r="FP105" s="110"/>
      <c r="FQ105" s="110"/>
      <c r="FR105" s="110"/>
      <c r="FS105" s="110"/>
      <c r="FT105" s="110"/>
      <c r="FU105" s="110"/>
      <c r="FV105" s="110"/>
      <c r="FW105" s="110"/>
      <c r="FX105" s="110"/>
      <c r="FY105" s="110"/>
      <c r="FZ105" s="110"/>
      <c r="GA105" s="110"/>
      <c r="GB105" s="110"/>
      <c r="GC105" s="110"/>
      <c r="GD105" s="110"/>
      <c r="GE105" s="110"/>
      <c r="GF105" s="110"/>
      <c r="GG105" s="110"/>
      <c r="GH105" s="110"/>
      <c r="GI105" s="110"/>
      <c r="GJ105" s="110"/>
      <c r="GK105" s="110"/>
      <c r="GL105" s="110"/>
      <c r="GM105" s="110"/>
      <c r="GN105" s="110"/>
      <c r="GO105" s="110"/>
      <c r="GP105" s="110"/>
      <c r="GQ105" s="110"/>
      <c r="GR105" s="110"/>
      <c r="GS105" s="110"/>
      <c r="GT105" s="110"/>
      <c r="GU105" s="110"/>
      <c r="GV105" s="110"/>
      <c r="GW105" s="110"/>
      <c r="GX105" s="110"/>
      <c r="GY105" s="110"/>
      <c r="GZ105" s="110"/>
      <c r="HA105" s="110"/>
      <c r="HB105" s="110"/>
      <c r="HC105" s="110"/>
      <c r="HD105" s="110"/>
      <c r="HE105" s="110"/>
      <c r="HF105" s="110"/>
      <c r="HG105" s="110"/>
      <c r="HH105" s="110"/>
      <c r="HI105" s="110"/>
      <c r="HJ105" s="110"/>
      <c r="HK105" s="110"/>
      <c r="HL105" s="110"/>
      <c r="HM105" s="110"/>
      <c r="HN105" s="110"/>
      <c r="HO105" s="110"/>
      <c r="HP105" s="110"/>
      <c r="HQ105" s="110"/>
      <c r="HR105" s="110"/>
      <c r="HS105" s="110"/>
      <c r="HT105" s="110"/>
      <c r="HU105" s="110"/>
      <c r="HV105" s="110"/>
      <c r="HW105" s="110"/>
      <c r="HX105" s="110"/>
      <c r="HY105" s="110"/>
      <c r="HZ105" s="110"/>
      <c r="IA105" s="110"/>
      <c r="IB105" s="110"/>
      <c r="IC105" s="110"/>
      <c r="ID105" s="110"/>
      <c r="IE105" s="110"/>
      <c r="IF105" s="110"/>
      <c r="IG105" s="110"/>
      <c r="IH105" s="110"/>
      <c r="II105" s="110"/>
      <c r="IJ105" s="110"/>
      <c r="IK105" s="110"/>
      <c r="IL105" s="110"/>
      <c r="IM105" s="110"/>
      <c r="IN105" s="110"/>
      <c r="IO105" s="110"/>
      <c r="IP105" s="110"/>
      <c r="IQ105" s="70"/>
    </row>
    <row r="106" spans="1:251" ht="16.5" hidden="1" customHeight="1">
      <c r="A106" s="95" t="s">
        <v>450</v>
      </c>
      <c r="B106" t="s">
        <v>1364</v>
      </c>
      <c r="C106" t="s">
        <v>450</v>
      </c>
      <c r="E106" t="s">
        <v>450</v>
      </c>
      <c r="F106" t="s">
        <v>1368</v>
      </c>
      <c r="G106" s="654"/>
      <c r="H106">
        <v>16</v>
      </c>
      <c r="J106" s="214" t="str">
        <f t="shared" si="3"/>
        <v>LTT200116</v>
      </c>
      <c r="K106">
        <v>12380</v>
      </c>
      <c r="R106" s="95" t="s">
        <v>450</v>
      </c>
      <c r="V106" s="214"/>
      <c r="EE106" s="95" t="s">
        <v>450</v>
      </c>
      <c r="EF106" s="110"/>
      <c r="EG106" s="110"/>
      <c r="EH106" s="110"/>
      <c r="EI106" s="216"/>
      <c r="EJ106" s="110"/>
      <c r="EK106" s="110"/>
      <c r="EL106" s="110"/>
      <c r="EM106" s="110"/>
      <c r="EN106" s="110"/>
      <c r="EO106" s="110"/>
      <c r="EP106" s="110"/>
      <c r="EQ106" s="110"/>
      <c r="ER106" s="110"/>
      <c r="ES106" s="110"/>
      <c r="ET106" s="110"/>
      <c r="EU106" s="110"/>
      <c r="EV106" s="110"/>
      <c r="EW106" s="110"/>
      <c r="EX106" s="110"/>
      <c r="EY106" s="110"/>
      <c r="EZ106" s="110"/>
      <c r="FA106" s="110"/>
      <c r="FB106" s="110"/>
      <c r="FC106" s="110"/>
      <c r="FD106" s="110"/>
      <c r="FE106" s="110"/>
      <c r="FF106" s="110"/>
      <c r="FG106" s="110"/>
      <c r="FH106" s="110"/>
      <c r="FI106" s="110"/>
      <c r="FJ106" s="110"/>
      <c r="FK106" s="110"/>
      <c r="FL106" s="110"/>
      <c r="FM106" s="110"/>
      <c r="FN106" s="110"/>
      <c r="FO106" s="110"/>
      <c r="FP106" s="110"/>
      <c r="FQ106" s="110"/>
      <c r="FR106" s="110"/>
      <c r="FS106" s="110"/>
      <c r="FT106" s="110"/>
      <c r="FU106" s="110"/>
      <c r="FV106" s="110"/>
      <c r="FW106" s="110"/>
      <c r="FX106" s="110"/>
      <c r="FY106" s="110"/>
      <c r="FZ106" s="110"/>
      <c r="GA106" s="110"/>
      <c r="GB106" s="110"/>
      <c r="GC106" s="110"/>
      <c r="GD106" s="110"/>
      <c r="GE106" s="110"/>
      <c r="GF106" s="110"/>
      <c r="GG106" s="110"/>
      <c r="GH106" s="110"/>
      <c r="GI106" s="110"/>
      <c r="GJ106" s="110"/>
      <c r="GK106" s="110"/>
      <c r="GL106" s="110"/>
      <c r="GM106" s="110"/>
      <c r="GN106" s="110"/>
      <c r="GO106" s="110"/>
      <c r="GP106" s="110"/>
      <c r="GQ106" s="110"/>
      <c r="GR106" s="110"/>
      <c r="GS106" s="110"/>
      <c r="GT106" s="110"/>
      <c r="GU106" s="110"/>
      <c r="GV106" s="110"/>
      <c r="GW106" s="110"/>
      <c r="GX106" s="110"/>
      <c r="GY106" s="110"/>
      <c r="GZ106" s="110"/>
      <c r="HA106" s="110"/>
      <c r="HB106" s="110"/>
      <c r="HC106" s="110"/>
      <c r="HD106" s="110"/>
      <c r="HE106" s="110"/>
      <c r="HF106" s="110"/>
      <c r="HG106" s="110"/>
      <c r="HH106" s="110"/>
      <c r="HI106" s="110"/>
      <c r="HJ106" s="110"/>
      <c r="HK106" s="110"/>
      <c r="HL106" s="110"/>
      <c r="HM106" s="110"/>
      <c r="HN106" s="110"/>
      <c r="HO106" s="110"/>
      <c r="HP106" s="110"/>
      <c r="HQ106" s="110"/>
      <c r="HR106" s="110"/>
      <c r="HS106" s="110"/>
      <c r="HT106" s="110"/>
      <c r="HU106" s="110"/>
      <c r="HV106" s="110"/>
      <c r="HW106" s="110"/>
      <c r="HX106" s="110"/>
      <c r="HY106" s="110"/>
      <c r="HZ106" s="110"/>
      <c r="IA106" s="110"/>
      <c r="IB106" s="110"/>
      <c r="IC106" s="110"/>
      <c r="ID106" s="110"/>
      <c r="IE106" s="110"/>
      <c r="IF106" s="110"/>
      <c r="IG106" s="110"/>
      <c r="IH106" s="110"/>
      <c r="II106" s="110"/>
      <c r="IJ106" s="110"/>
      <c r="IK106" s="110"/>
      <c r="IL106" s="110"/>
      <c r="IM106" s="110"/>
      <c r="IN106" s="110"/>
      <c r="IO106" s="110"/>
      <c r="IP106" s="110"/>
      <c r="IQ106" s="70"/>
    </row>
    <row r="107" spans="1:251" ht="16.5" hidden="1" customHeight="1">
      <c r="A107" s="95" t="s">
        <v>450</v>
      </c>
      <c r="B107" t="s">
        <v>1364</v>
      </c>
      <c r="C107" t="s">
        <v>450</v>
      </c>
      <c r="E107" t="s">
        <v>450</v>
      </c>
      <c r="F107" t="s">
        <v>1368</v>
      </c>
      <c r="G107" s="654"/>
      <c r="H107">
        <v>17</v>
      </c>
      <c r="J107" s="214" t="str">
        <f t="shared" si="3"/>
        <v>LTT200117</v>
      </c>
      <c r="K107">
        <v>12550</v>
      </c>
      <c r="R107" s="95" t="s">
        <v>450</v>
      </c>
      <c r="V107" s="214"/>
      <c r="EE107" s="95" t="s">
        <v>450</v>
      </c>
      <c r="EF107" s="110"/>
      <c r="EG107" s="110"/>
      <c r="EH107" s="110"/>
      <c r="EI107" s="216"/>
      <c r="EJ107" s="110"/>
      <c r="EK107" s="110"/>
      <c r="EL107" s="110"/>
      <c r="EM107" s="110"/>
      <c r="EN107" s="110"/>
      <c r="EO107" s="110"/>
      <c r="EP107" s="110"/>
      <c r="EQ107" s="110"/>
      <c r="ER107" s="110"/>
      <c r="ES107" s="110"/>
      <c r="ET107" s="110"/>
      <c r="EU107" s="110"/>
      <c r="EV107" s="110"/>
      <c r="EW107" s="110"/>
      <c r="EX107" s="110"/>
      <c r="EY107" s="110"/>
      <c r="EZ107" s="110"/>
      <c r="FA107" s="110"/>
      <c r="FB107" s="110"/>
      <c r="FC107" s="110"/>
      <c r="FD107" s="110"/>
      <c r="FE107" s="110"/>
      <c r="FF107" s="110"/>
      <c r="FG107" s="110"/>
      <c r="FH107" s="110"/>
      <c r="FI107" s="110"/>
      <c r="FJ107" s="110"/>
      <c r="FK107" s="110"/>
      <c r="FL107" s="110"/>
      <c r="FM107" s="110"/>
      <c r="FN107" s="110"/>
      <c r="FO107" s="110"/>
      <c r="FP107" s="110"/>
      <c r="FQ107" s="110"/>
      <c r="FR107" s="110"/>
      <c r="FS107" s="110"/>
      <c r="FT107" s="110"/>
      <c r="FU107" s="110"/>
      <c r="FV107" s="110"/>
      <c r="FW107" s="110"/>
      <c r="FX107" s="110"/>
      <c r="FY107" s="110"/>
      <c r="FZ107" s="110"/>
      <c r="GA107" s="110"/>
      <c r="GB107" s="110"/>
      <c r="GC107" s="110"/>
      <c r="GD107" s="110"/>
      <c r="GE107" s="110"/>
      <c r="GF107" s="110"/>
      <c r="GG107" s="110"/>
      <c r="GH107" s="110"/>
      <c r="GI107" s="110"/>
      <c r="GJ107" s="110"/>
      <c r="GK107" s="110"/>
      <c r="GL107" s="110"/>
      <c r="GM107" s="110"/>
      <c r="GN107" s="110"/>
      <c r="GO107" s="110"/>
      <c r="GP107" s="110"/>
      <c r="GQ107" s="110"/>
      <c r="GR107" s="110"/>
      <c r="GS107" s="110"/>
      <c r="GT107" s="110"/>
      <c r="GU107" s="110"/>
      <c r="GV107" s="110"/>
      <c r="GW107" s="110"/>
      <c r="GX107" s="110"/>
      <c r="GY107" s="110"/>
      <c r="GZ107" s="110"/>
      <c r="HA107" s="110"/>
      <c r="HB107" s="110"/>
      <c r="HC107" s="110"/>
      <c r="HD107" s="110"/>
      <c r="HE107" s="110"/>
      <c r="HF107" s="110"/>
      <c r="HG107" s="110"/>
      <c r="HH107" s="110"/>
      <c r="HI107" s="110"/>
      <c r="HJ107" s="110"/>
      <c r="HK107" s="110"/>
      <c r="HL107" s="110"/>
      <c r="HM107" s="110"/>
      <c r="HN107" s="110"/>
      <c r="HO107" s="110"/>
      <c r="HP107" s="110"/>
      <c r="HQ107" s="110"/>
      <c r="HR107" s="110"/>
      <c r="HS107" s="110"/>
      <c r="HT107" s="110"/>
      <c r="HU107" s="110"/>
      <c r="HV107" s="110"/>
      <c r="HW107" s="110"/>
      <c r="HX107" s="110"/>
      <c r="HY107" s="110"/>
      <c r="HZ107" s="110"/>
      <c r="IA107" s="110"/>
      <c r="IB107" s="110"/>
      <c r="IC107" s="110"/>
      <c r="ID107" s="110"/>
      <c r="IE107" s="110"/>
      <c r="IF107" s="110"/>
      <c r="IG107" s="110"/>
      <c r="IH107" s="110"/>
      <c r="II107" s="110"/>
      <c r="IJ107" s="110"/>
      <c r="IK107" s="110"/>
      <c r="IL107" s="110"/>
      <c r="IM107" s="110"/>
      <c r="IN107" s="110"/>
      <c r="IO107" s="110"/>
      <c r="IP107" s="110"/>
      <c r="IQ107" s="70"/>
    </row>
    <row r="108" spans="1:251" ht="16.5" hidden="1" customHeight="1">
      <c r="A108" s="95" t="s">
        <v>450</v>
      </c>
      <c r="B108" t="s">
        <v>1364</v>
      </c>
      <c r="C108" t="s">
        <v>450</v>
      </c>
      <c r="E108" t="s">
        <v>450</v>
      </c>
      <c r="F108" t="s">
        <v>1368</v>
      </c>
      <c r="G108" s="654"/>
      <c r="H108">
        <v>18</v>
      </c>
      <c r="J108" s="214" t="str">
        <f t="shared" si="3"/>
        <v>LTT200118</v>
      </c>
      <c r="K108">
        <v>12720</v>
      </c>
      <c r="R108" s="95" t="s">
        <v>450</v>
      </c>
      <c r="V108" s="214"/>
      <c r="EE108" s="95" t="s">
        <v>450</v>
      </c>
      <c r="EF108" s="110"/>
      <c r="EG108" s="110"/>
      <c r="EH108" s="110"/>
      <c r="EI108" s="216"/>
      <c r="EJ108" s="110"/>
      <c r="EK108" s="110"/>
      <c r="EL108" s="110"/>
      <c r="EM108" s="110"/>
      <c r="EN108" s="110"/>
      <c r="EO108" s="110"/>
      <c r="EP108" s="110"/>
      <c r="EQ108" s="110"/>
      <c r="ER108" s="110"/>
      <c r="ES108" s="110"/>
      <c r="ET108" s="110"/>
      <c r="EU108" s="110"/>
      <c r="EV108" s="110"/>
      <c r="EW108" s="110"/>
      <c r="EX108" s="110"/>
      <c r="EY108" s="110"/>
      <c r="EZ108" s="110"/>
      <c r="FA108" s="110"/>
      <c r="FB108" s="110"/>
      <c r="FC108" s="110"/>
      <c r="FD108" s="110"/>
      <c r="FE108" s="110"/>
      <c r="FF108" s="110"/>
      <c r="FG108" s="110"/>
      <c r="FH108" s="110"/>
      <c r="FI108" s="110"/>
      <c r="FJ108" s="110"/>
      <c r="FK108" s="110"/>
      <c r="FL108" s="110"/>
      <c r="FM108" s="110"/>
      <c r="FN108" s="110"/>
      <c r="FO108" s="110"/>
      <c r="FP108" s="110"/>
      <c r="FQ108" s="110"/>
      <c r="FR108" s="110"/>
      <c r="FS108" s="110"/>
      <c r="FT108" s="110"/>
      <c r="FU108" s="110"/>
      <c r="FV108" s="110"/>
      <c r="FW108" s="110"/>
      <c r="FX108" s="110"/>
      <c r="FY108" s="110"/>
      <c r="FZ108" s="110"/>
      <c r="GA108" s="110"/>
      <c r="GB108" s="110"/>
      <c r="GC108" s="110"/>
      <c r="GD108" s="110"/>
      <c r="GE108" s="110"/>
      <c r="GF108" s="110"/>
      <c r="GG108" s="110"/>
      <c r="GH108" s="110"/>
      <c r="GI108" s="110"/>
      <c r="GJ108" s="110"/>
      <c r="GK108" s="110"/>
      <c r="GL108" s="110"/>
      <c r="GM108" s="110"/>
      <c r="GN108" s="110"/>
      <c r="GO108" s="110"/>
      <c r="GP108" s="110"/>
      <c r="GQ108" s="110"/>
      <c r="GR108" s="110"/>
      <c r="GS108" s="110"/>
      <c r="GT108" s="110"/>
      <c r="GU108" s="110"/>
      <c r="GV108" s="110"/>
      <c r="GW108" s="110"/>
      <c r="GX108" s="110"/>
      <c r="GY108" s="110"/>
      <c r="GZ108" s="110"/>
      <c r="HA108" s="110"/>
      <c r="HB108" s="110"/>
      <c r="HC108" s="110"/>
      <c r="HD108" s="110"/>
      <c r="HE108" s="110"/>
      <c r="HF108" s="110"/>
      <c r="HG108" s="110"/>
      <c r="HH108" s="110"/>
      <c r="HI108" s="110"/>
      <c r="HJ108" s="110"/>
      <c r="HK108" s="110"/>
      <c r="HL108" s="110"/>
      <c r="HM108" s="110"/>
      <c r="HN108" s="110"/>
      <c r="HO108" s="110"/>
      <c r="HP108" s="110"/>
      <c r="HQ108" s="110"/>
      <c r="HR108" s="110"/>
      <c r="HS108" s="110"/>
      <c r="HT108" s="110"/>
      <c r="HU108" s="110"/>
      <c r="HV108" s="110"/>
      <c r="HW108" s="110"/>
      <c r="HX108" s="110"/>
      <c r="HY108" s="110"/>
      <c r="HZ108" s="110"/>
      <c r="IA108" s="110"/>
      <c r="IB108" s="110"/>
      <c r="IC108" s="110"/>
      <c r="ID108" s="110"/>
      <c r="IE108" s="110"/>
      <c r="IF108" s="110"/>
      <c r="IG108" s="110"/>
      <c r="IH108" s="110"/>
      <c r="II108" s="110"/>
      <c r="IJ108" s="110"/>
      <c r="IK108" s="110"/>
      <c r="IL108" s="110"/>
      <c r="IM108" s="110"/>
      <c r="IN108" s="110"/>
      <c r="IO108" s="110"/>
      <c r="IP108" s="110"/>
      <c r="IQ108" s="70"/>
    </row>
    <row r="109" spans="1:251" ht="16.5" hidden="1" customHeight="1">
      <c r="A109" s="95" t="s">
        <v>450</v>
      </c>
      <c r="B109" t="s">
        <v>1364</v>
      </c>
      <c r="C109" t="s">
        <v>450</v>
      </c>
      <c r="E109" t="s">
        <v>450</v>
      </c>
      <c r="F109" t="s">
        <v>1368</v>
      </c>
      <c r="G109" s="654"/>
      <c r="H109">
        <v>19</v>
      </c>
      <c r="J109" s="214" t="str">
        <f t="shared" si="3"/>
        <v>LTT200119</v>
      </c>
      <c r="K109">
        <v>12890</v>
      </c>
      <c r="R109" s="95" t="s">
        <v>450</v>
      </c>
      <c r="V109" s="214"/>
      <c r="EE109" s="95" t="s">
        <v>450</v>
      </c>
      <c r="EF109" s="110"/>
      <c r="EG109" s="110"/>
      <c r="EH109" s="110"/>
      <c r="EI109" s="216"/>
      <c r="EJ109" s="110"/>
      <c r="EK109" s="110"/>
      <c r="EL109" s="110"/>
      <c r="EM109" s="110"/>
      <c r="EN109" s="110"/>
      <c r="EO109" s="110"/>
      <c r="EP109" s="110"/>
      <c r="EQ109" s="110"/>
      <c r="ER109" s="110"/>
      <c r="ES109" s="110"/>
      <c r="ET109" s="110"/>
      <c r="EU109" s="110"/>
      <c r="EV109" s="110"/>
      <c r="EW109" s="110"/>
      <c r="EX109" s="110"/>
      <c r="EY109" s="110"/>
      <c r="EZ109" s="110"/>
      <c r="FA109" s="110"/>
      <c r="FB109" s="110"/>
      <c r="FC109" s="110"/>
      <c r="FD109" s="110"/>
      <c r="FE109" s="110"/>
      <c r="FF109" s="110"/>
      <c r="FG109" s="110"/>
      <c r="FH109" s="110"/>
      <c r="FI109" s="110"/>
      <c r="FJ109" s="110"/>
      <c r="FK109" s="110"/>
      <c r="FL109" s="110"/>
      <c r="FM109" s="110"/>
      <c r="FN109" s="110"/>
      <c r="FO109" s="110"/>
      <c r="FP109" s="110"/>
      <c r="FQ109" s="110"/>
      <c r="FR109" s="110"/>
      <c r="FS109" s="110"/>
      <c r="FT109" s="110"/>
      <c r="FU109" s="110"/>
      <c r="FV109" s="110"/>
      <c r="FW109" s="110"/>
      <c r="FX109" s="110"/>
      <c r="FY109" s="110"/>
      <c r="FZ109" s="110"/>
      <c r="GA109" s="110"/>
      <c r="GB109" s="110"/>
      <c r="GC109" s="110"/>
      <c r="GD109" s="110"/>
      <c r="GE109" s="110"/>
      <c r="GF109" s="110"/>
      <c r="GG109" s="110"/>
      <c r="GH109" s="110"/>
      <c r="GI109" s="110"/>
      <c r="GJ109" s="110"/>
      <c r="GK109" s="110"/>
      <c r="GL109" s="110"/>
      <c r="GM109" s="110"/>
      <c r="GN109" s="110"/>
      <c r="GO109" s="110"/>
      <c r="GP109" s="110"/>
      <c r="GQ109" s="110"/>
      <c r="GR109" s="110"/>
      <c r="GS109" s="110"/>
      <c r="GT109" s="110"/>
      <c r="GU109" s="110"/>
      <c r="GV109" s="110"/>
      <c r="GW109" s="110"/>
      <c r="GX109" s="110"/>
      <c r="GY109" s="110"/>
      <c r="GZ109" s="110"/>
      <c r="HA109" s="110"/>
      <c r="HB109" s="110"/>
      <c r="HC109" s="110"/>
      <c r="HD109" s="110"/>
      <c r="HE109" s="110"/>
      <c r="HF109" s="110"/>
      <c r="HG109" s="110"/>
      <c r="HH109" s="110"/>
      <c r="HI109" s="110"/>
      <c r="HJ109" s="110"/>
      <c r="HK109" s="110"/>
      <c r="HL109" s="110"/>
      <c r="HM109" s="110"/>
      <c r="HN109" s="110"/>
      <c r="HO109" s="110"/>
      <c r="HP109" s="110"/>
      <c r="HQ109" s="110"/>
      <c r="HR109" s="110"/>
      <c r="HS109" s="110"/>
      <c r="HT109" s="110"/>
      <c r="HU109" s="110"/>
      <c r="HV109" s="110"/>
      <c r="HW109" s="110"/>
      <c r="HX109" s="110"/>
      <c r="HY109" s="110"/>
      <c r="HZ109" s="110"/>
      <c r="IA109" s="110"/>
      <c r="IB109" s="110"/>
      <c r="IC109" s="110"/>
      <c r="ID109" s="110"/>
      <c r="IE109" s="110"/>
      <c r="IF109" s="110"/>
      <c r="IG109" s="110"/>
      <c r="IH109" s="110"/>
      <c r="II109" s="110"/>
      <c r="IJ109" s="110"/>
      <c r="IK109" s="110"/>
      <c r="IL109" s="110"/>
      <c r="IM109" s="110"/>
      <c r="IN109" s="110"/>
      <c r="IO109" s="110"/>
      <c r="IP109" s="110"/>
      <c r="IQ109" s="70"/>
    </row>
    <row r="110" spans="1:251" ht="16.5" hidden="1" customHeight="1">
      <c r="A110" s="95" t="s">
        <v>450</v>
      </c>
      <c r="B110" t="s">
        <v>1364</v>
      </c>
      <c r="C110" t="s">
        <v>450</v>
      </c>
      <c r="E110" t="s">
        <v>450</v>
      </c>
      <c r="F110" t="s">
        <v>1368</v>
      </c>
      <c r="G110" s="654"/>
      <c r="H110">
        <v>20</v>
      </c>
      <c r="J110" s="214" t="str">
        <f t="shared" si="3"/>
        <v>LTT200120</v>
      </c>
      <c r="K110">
        <v>13110</v>
      </c>
      <c r="R110" s="95" t="s">
        <v>450</v>
      </c>
      <c r="V110" s="214"/>
      <c r="EE110" s="95" t="s">
        <v>450</v>
      </c>
      <c r="EF110" s="110"/>
      <c r="EG110" s="110"/>
      <c r="EH110" s="110"/>
      <c r="EI110" s="216"/>
      <c r="EJ110" s="110"/>
      <c r="EK110" s="110"/>
      <c r="EL110" s="110"/>
      <c r="EM110" s="110"/>
      <c r="EN110" s="110"/>
      <c r="EO110" s="110"/>
      <c r="EP110" s="110"/>
      <c r="EQ110" s="110"/>
      <c r="ER110" s="110"/>
      <c r="ES110" s="110"/>
      <c r="ET110" s="110"/>
      <c r="EU110" s="110"/>
      <c r="EV110" s="110"/>
      <c r="EW110" s="110"/>
      <c r="EX110" s="110"/>
      <c r="EY110" s="110"/>
      <c r="EZ110" s="110"/>
      <c r="FA110" s="110"/>
      <c r="FB110" s="110"/>
      <c r="FC110" s="110"/>
      <c r="FD110" s="110"/>
      <c r="FE110" s="110"/>
      <c r="FF110" s="110"/>
      <c r="FG110" s="110"/>
      <c r="FH110" s="110"/>
      <c r="FI110" s="110"/>
      <c r="FJ110" s="110"/>
      <c r="FK110" s="110"/>
      <c r="FL110" s="110"/>
      <c r="FM110" s="110"/>
      <c r="FN110" s="110"/>
      <c r="FO110" s="110"/>
      <c r="FP110" s="110"/>
      <c r="FQ110" s="110"/>
      <c r="FR110" s="110"/>
      <c r="FS110" s="110"/>
      <c r="FT110" s="110"/>
      <c r="FU110" s="110"/>
      <c r="FV110" s="110"/>
      <c r="FW110" s="110"/>
      <c r="FX110" s="110"/>
      <c r="FY110" s="110"/>
      <c r="FZ110" s="110"/>
      <c r="GA110" s="110"/>
      <c r="GB110" s="110"/>
      <c r="GC110" s="110"/>
      <c r="GD110" s="110"/>
      <c r="GE110" s="110"/>
      <c r="GF110" s="110"/>
      <c r="GG110" s="110"/>
      <c r="GH110" s="110"/>
      <c r="GI110" s="110"/>
      <c r="GJ110" s="110"/>
      <c r="GK110" s="110"/>
      <c r="GL110" s="110"/>
      <c r="GM110" s="110"/>
      <c r="GN110" s="110"/>
      <c r="GO110" s="110"/>
      <c r="GP110" s="110"/>
      <c r="GQ110" s="110"/>
      <c r="GR110" s="110"/>
      <c r="GS110" s="110"/>
      <c r="GT110" s="110"/>
      <c r="GU110" s="110"/>
      <c r="GV110" s="110"/>
      <c r="GW110" s="110"/>
      <c r="GX110" s="110"/>
      <c r="GY110" s="110"/>
      <c r="GZ110" s="110"/>
      <c r="HA110" s="110"/>
      <c r="HB110" s="110"/>
      <c r="HC110" s="110"/>
      <c r="HD110" s="110"/>
      <c r="HE110" s="110"/>
      <c r="HF110" s="110"/>
      <c r="HG110" s="110"/>
      <c r="HH110" s="110"/>
      <c r="HI110" s="110"/>
      <c r="HJ110" s="110"/>
      <c r="HK110" s="110"/>
      <c r="HL110" s="110"/>
      <c r="HM110" s="110"/>
      <c r="HN110" s="110"/>
      <c r="HO110" s="110"/>
      <c r="HP110" s="110"/>
      <c r="HQ110" s="110"/>
      <c r="HR110" s="110"/>
      <c r="HS110" s="110"/>
      <c r="HT110" s="110"/>
      <c r="HU110" s="110"/>
      <c r="HV110" s="110"/>
      <c r="HW110" s="110"/>
      <c r="HX110" s="110"/>
      <c r="HY110" s="110"/>
      <c r="HZ110" s="110"/>
      <c r="IA110" s="110"/>
      <c r="IB110" s="110"/>
      <c r="IC110" s="110"/>
      <c r="ID110" s="110"/>
      <c r="IE110" s="110"/>
      <c r="IF110" s="110"/>
      <c r="IG110" s="110"/>
      <c r="IH110" s="110"/>
      <c r="II110" s="110"/>
      <c r="IJ110" s="110"/>
      <c r="IK110" s="110"/>
      <c r="IL110" s="110"/>
      <c r="IM110" s="110"/>
      <c r="IN110" s="110"/>
      <c r="IO110" s="110"/>
      <c r="IP110" s="110"/>
      <c r="IQ110" s="70"/>
    </row>
    <row r="111" spans="1:251" ht="16.5" hidden="1" customHeight="1">
      <c r="A111" s="95" t="s">
        <v>450</v>
      </c>
      <c r="B111" t="s">
        <v>1364</v>
      </c>
      <c r="C111" t="s">
        <v>450</v>
      </c>
      <c r="E111" t="s">
        <v>450</v>
      </c>
      <c r="F111" t="s">
        <v>1368</v>
      </c>
      <c r="G111" s="654"/>
      <c r="H111">
        <v>21</v>
      </c>
      <c r="J111" s="214" t="str">
        <f t="shared" si="3"/>
        <v>LTT200121</v>
      </c>
      <c r="K111">
        <v>13270</v>
      </c>
      <c r="R111" s="95" t="s">
        <v>450</v>
      </c>
      <c r="V111" s="214"/>
      <c r="EE111" s="95" t="s">
        <v>450</v>
      </c>
      <c r="EF111" s="110"/>
      <c r="EG111" s="110"/>
      <c r="EH111" s="110"/>
      <c r="EI111" s="216"/>
      <c r="EJ111" s="110"/>
      <c r="EK111" s="110"/>
      <c r="EL111" s="110"/>
      <c r="EM111" s="110"/>
      <c r="EN111" s="110"/>
      <c r="EO111" s="110"/>
      <c r="EP111" s="110"/>
      <c r="EQ111" s="110"/>
      <c r="ER111" s="110"/>
      <c r="ES111" s="110"/>
      <c r="ET111" s="110"/>
      <c r="EU111" s="110"/>
      <c r="EV111" s="110"/>
      <c r="EW111" s="110"/>
      <c r="EX111" s="110"/>
      <c r="EY111" s="110"/>
      <c r="EZ111" s="110"/>
      <c r="FA111" s="110"/>
      <c r="FB111" s="110"/>
      <c r="FC111" s="110"/>
      <c r="FD111" s="110"/>
      <c r="FE111" s="110"/>
      <c r="FF111" s="110"/>
      <c r="FG111" s="110"/>
      <c r="FH111" s="110"/>
      <c r="FI111" s="110"/>
      <c r="FJ111" s="110"/>
      <c r="FK111" s="110"/>
      <c r="FL111" s="110"/>
      <c r="FM111" s="110"/>
      <c r="FN111" s="110"/>
      <c r="FO111" s="110"/>
      <c r="FP111" s="110"/>
      <c r="FQ111" s="110"/>
      <c r="FR111" s="110"/>
      <c r="FS111" s="110"/>
      <c r="FT111" s="110"/>
      <c r="FU111" s="110"/>
      <c r="FV111" s="110"/>
      <c r="FW111" s="110"/>
      <c r="FX111" s="110"/>
      <c r="FY111" s="110"/>
      <c r="FZ111" s="110"/>
      <c r="GA111" s="110"/>
      <c r="GB111" s="110"/>
      <c r="GC111" s="110"/>
      <c r="GD111" s="110"/>
      <c r="GE111" s="110"/>
      <c r="GF111" s="110"/>
      <c r="GG111" s="110"/>
      <c r="GH111" s="110"/>
      <c r="GI111" s="110"/>
      <c r="GJ111" s="110"/>
      <c r="GK111" s="110"/>
      <c r="GL111" s="110"/>
      <c r="GM111" s="110"/>
      <c r="GN111" s="110"/>
      <c r="GO111" s="110"/>
      <c r="GP111" s="110"/>
      <c r="GQ111" s="110"/>
      <c r="GR111" s="110"/>
      <c r="GS111" s="110"/>
      <c r="GT111" s="110"/>
      <c r="GU111" s="110"/>
      <c r="GV111" s="110"/>
      <c r="GW111" s="110"/>
      <c r="GX111" s="110"/>
      <c r="GY111" s="110"/>
      <c r="GZ111" s="110"/>
      <c r="HA111" s="110"/>
      <c r="HB111" s="110"/>
      <c r="HC111" s="110"/>
      <c r="HD111" s="110"/>
      <c r="HE111" s="110"/>
      <c r="HF111" s="110"/>
      <c r="HG111" s="110"/>
      <c r="HH111" s="110"/>
      <c r="HI111" s="110"/>
      <c r="HJ111" s="110"/>
      <c r="HK111" s="110"/>
      <c r="HL111" s="110"/>
      <c r="HM111" s="110"/>
      <c r="HN111" s="110"/>
      <c r="HO111" s="110"/>
      <c r="HP111" s="110"/>
      <c r="HQ111" s="110"/>
      <c r="HR111" s="110"/>
      <c r="HS111" s="110"/>
      <c r="HT111" s="110"/>
      <c r="HU111" s="110"/>
      <c r="HV111" s="110"/>
      <c r="HW111" s="110"/>
      <c r="HX111" s="110"/>
      <c r="HY111" s="110"/>
      <c r="HZ111" s="110"/>
      <c r="IA111" s="110"/>
      <c r="IB111" s="110"/>
      <c r="IC111" s="110"/>
      <c r="ID111" s="110"/>
      <c r="IE111" s="110"/>
      <c r="IF111" s="110"/>
      <c r="IG111" s="110"/>
      <c r="IH111" s="110"/>
      <c r="II111" s="110"/>
      <c r="IJ111" s="110"/>
      <c r="IK111" s="110"/>
      <c r="IL111" s="110"/>
      <c r="IM111" s="110"/>
      <c r="IN111" s="110"/>
      <c r="IO111" s="110"/>
      <c r="IP111" s="110"/>
      <c r="IQ111" s="70"/>
    </row>
    <row r="112" spans="1:251" ht="16.5" hidden="1" customHeight="1">
      <c r="A112" s="95" t="s">
        <v>450</v>
      </c>
      <c r="B112" t="s">
        <v>1364</v>
      </c>
      <c r="C112" t="s">
        <v>450</v>
      </c>
      <c r="E112" t="s">
        <v>450</v>
      </c>
      <c r="F112" t="s">
        <v>1368</v>
      </c>
      <c r="G112" s="654"/>
      <c r="H112">
        <v>22</v>
      </c>
      <c r="J112" s="214" t="str">
        <f t="shared" si="3"/>
        <v>LTT200122</v>
      </c>
      <c r="K112">
        <v>13450</v>
      </c>
      <c r="R112" s="95" t="s">
        <v>450</v>
      </c>
      <c r="V112" s="214"/>
      <c r="EE112" s="95" t="s">
        <v>450</v>
      </c>
      <c r="EF112" s="110"/>
      <c r="EG112" s="110"/>
      <c r="EH112" s="110"/>
      <c r="EI112" s="216"/>
      <c r="EJ112" s="110"/>
      <c r="EK112" s="110"/>
      <c r="EL112" s="110"/>
      <c r="EM112" s="110"/>
      <c r="EN112" s="110"/>
      <c r="EO112" s="110"/>
      <c r="EP112" s="110"/>
      <c r="EQ112" s="110"/>
      <c r="ER112" s="110"/>
      <c r="ES112" s="110"/>
      <c r="ET112" s="110"/>
      <c r="EU112" s="110"/>
      <c r="EV112" s="110"/>
      <c r="EW112" s="110"/>
      <c r="EX112" s="110"/>
      <c r="EY112" s="110"/>
      <c r="EZ112" s="110"/>
      <c r="FA112" s="110"/>
      <c r="FB112" s="110"/>
      <c r="FC112" s="110"/>
      <c r="FD112" s="110"/>
      <c r="FE112" s="110"/>
      <c r="FF112" s="110"/>
      <c r="FG112" s="110"/>
      <c r="FH112" s="110"/>
      <c r="FI112" s="110"/>
      <c r="FJ112" s="110"/>
      <c r="FK112" s="110"/>
      <c r="FL112" s="110"/>
      <c r="FM112" s="110"/>
      <c r="FN112" s="110"/>
      <c r="FO112" s="110"/>
      <c r="FP112" s="110"/>
      <c r="FQ112" s="110"/>
      <c r="FR112" s="110"/>
      <c r="FS112" s="110"/>
      <c r="FT112" s="110"/>
      <c r="FU112" s="110"/>
      <c r="FV112" s="110"/>
      <c r="FW112" s="110"/>
      <c r="FX112" s="110"/>
      <c r="FY112" s="110"/>
      <c r="FZ112" s="110"/>
      <c r="GA112" s="110"/>
      <c r="GB112" s="110"/>
      <c r="GC112" s="110"/>
      <c r="GD112" s="110"/>
      <c r="GE112" s="110"/>
      <c r="GF112" s="110"/>
      <c r="GG112" s="110"/>
      <c r="GH112" s="110"/>
      <c r="GI112" s="110"/>
      <c r="GJ112" s="110"/>
      <c r="GK112" s="110"/>
      <c r="GL112" s="110"/>
      <c r="GM112" s="110"/>
      <c r="GN112" s="110"/>
      <c r="GO112" s="110"/>
      <c r="GP112" s="110"/>
      <c r="GQ112" s="110"/>
      <c r="GR112" s="110"/>
      <c r="GS112" s="110"/>
      <c r="GT112" s="110"/>
      <c r="GU112" s="110"/>
      <c r="GV112" s="110"/>
      <c r="GW112" s="110"/>
      <c r="GX112" s="110"/>
      <c r="GY112" s="110"/>
      <c r="GZ112" s="110"/>
      <c r="HA112" s="110"/>
      <c r="HB112" s="110"/>
      <c r="HC112" s="110"/>
      <c r="HD112" s="110"/>
      <c r="HE112" s="110"/>
      <c r="HF112" s="110"/>
      <c r="HG112" s="110"/>
      <c r="HH112" s="110"/>
      <c r="HI112" s="110"/>
      <c r="HJ112" s="110"/>
      <c r="HK112" s="110"/>
      <c r="HL112" s="110"/>
      <c r="HM112" s="110"/>
      <c r="HN112" s="110"/>
      <c r="HO112" s="110"/>
      <c r="HP112" s="110"/>
      <c r="HQ112" s="110"/>
      <c r="HR112" s="110"/>
      <c r="HS112" s="110"/>
      <c r="HT112" s="110"/>
      <c r="HU112" s="110"/>
      <c r="HV112" s="110"/>
      <c r="HW112" s="110"/>
      <c r="HX112" s="110"/>
      <c r="HY112" s="110"/>
      <c r="HZ112" s="110"/>
      <c r="IA112" s="110"/>
      <c r="IB112" s="110"/>
      <c r="IC112" s="110"/>
      <c r="ID112" s="110"/>
      <c r="IE112" s="110"/>
      <c r="IF112" s="110"/>
      <c r="IG112" s="110"/>
      <c r="IH112" s="110"/>
      <c r="II112" s="110"/>
      <c r="IJ112" s="110"/>
      <c r="IK112" s="110"/>
      <c r="IL112" s="110"/>
      <c r="IM112" s="110"/>
      <c r="IN112" s="110"/>
      <c r="IO112" s="110"/>
      <c r="IP112" s="110"/>
      <c r="IQ112" s="70"/>
    </row>
    <row r="113" spans="1:251" ht="16.5" hidden="1" customHeight="1">
      <c r="A113" s="95" t="s">
        <v>450</v>
      </c>
      <c r="B113" t="s">
        <v>1364</v>
      </c>
      <c r="C113" t="s">
        <v>450</v>
      </c>
      <c r="E113" t="s">
        <v>450</v>
      </c>
      <c r="F113" t="s">
        <v>1368</v>
      </c>
      <c r="G113" s="654"/>
      <c r="H113">
        <v>23</v>
      </c>
      <c r="J113" s="214" t="str">
        <f t="shared" si="3"/>
        <v>LTT200123</v>
      </c>
      <c r="K113">
        <v>13670</v>
      </c>
      <c r="R113" s="95" t="s">
        <v>450</v>
      </c>
      <c r="V113" s="214"/>
      <c r="EE113" s="95" t="s">
        <v>450</v>
      </c>
      <c r="EF113" s="110"/>
      <c r="EG113" s="110"/>
      <c r="EH113" s="110"/>
      <c r="EI113" s="216"/>
      <c r="EJ113" s="110"/>
      <c r="EK113" s="110"/>
      <c r="EL113" s="110"/>
      <c r="EM113" s="110"/>
      <c r="EN113" s="110"/>
      <c r="EO113" s="110"/>
      <c r="EP113" s="110"/>
      <c r="EQ113" s="110"/>
      <c r="ER113" s="110"/>
      <c r="ES113" s="110"/>
      <c r="ET113" s="110"/>
      <c r="EU113" s="110"/>
      <c r="EV113" s="110"/>
      <c r="EW113" s="110"/>
      <c r="EX113" s="110"/>
      <c r="EY113" s="110"/>
      <c r="EZ113" s="110"/>
      <c r="FA113" s="110"/>
      <c r="FB113" s="110"/>
      <c r="FC113" s="110"/>
      <c r="FD113" s="110"/>
      <c r="FE113" s="110"/>
      <c r="FF113" s="110"/>
      <c r="FG113" s="110"/>
      <c r="FH113" s="110"/>
      <c r="FI113" s="110"/>
      <c r="FJ113" s="110"/>
      <c r="FK113" s="110"/>
      <c r="FL113" s="110"/>
      <c r="FM113" s="110"/>
      <c r="FN113" s="110"/>
      <c r="FO113" s="110"/>
      <c r="FP113" s="110"/>
      <c r="FQ113" s="110"/>
      <c r="FR113" s="110"/>
      <c r="FS113" s="110"/>
      <c r="FT113" s="110"/>
      <c r="FU113" s="110"/>
      <c r="FV113" s="110"/>
      <c r="FW113" s="110"/>
      <c r="FX113" s="110"/>
      <c r="FY113" s="110"/>
      <c r="FZ113" s="110"/>
      <c r="GA113" s="110"/>
      <c r="GB113" s="110"/>
      <c r="GC113" s="110"/>
      <c r="GD113" s="110"/>
      <c r="GE113" s="110"/>
      <c r="GF113" s="110"/>
      <c r="GG113" s="110"/>
      <c r="GH113" s="110"/>
      <c r="GI113" s="110"/>
      <c r="GJ113" s="110"/>
      <c r="GK113" s="110"/>
      <c r="GL113" s="110"/>
      <c r="GM113" s="110"/>
      <c r="GN113" s="110"/>
      <c r="GO113" s="110"/>
      <c r="GP113" s="110"/>
      <c r="GQ113" s="110"/>
      <c r="GR113" s="110"/>
      <c r="GS113" s="110"/>
      <c r="GT113" s="110"/>
      <c r="GU113" s="110"/>
      <c r="GV113" s="110"/>
      <c r="GW113" s="110"/>
      <c r="GX113" s="110"/>
      <c r="GY113" s="110"/>
      <c r="GZ113" s="110"/>
      <c r="HA113" s="110"/>
      <c r="HB113" s="110"/>
      <c r="HC113" s="110"/>
      <c r="HD113" s="110"/>
      <c r="HE113" s="110"/>
      <c r="HF113" s="110"/>
      <c r="HG113" s="110"/>
      <c r="HH113" s="110"/>
      <c r="HI113" s="110"/>
      <c r="HJ113" s="110"/>
      <c r="HK113" s="110"/>
      <c r="HL113" s="110"/>
      <c r="HM113" s="110"/>
      <c r="HN113" s="110"/>
      <c r="HO113" s="110"/>
      <c r="HP113" s="110"/>
      <c r="HQ113" s="110"/>
      <c r="HR113" s="110"/>
      <c r="HS113" s="110"/>
      <c r="HT113" s="110"/>
      <c r="HU113" s="110"/>
      <c r="HV113" s="110"/>
      <c r="HW113" s="110"/>
      <c r="HX113" s="110"/>
      <c r="HY113" s="110"/>
      <c r="HZ113" s="110"/>
      <c r="IA113" s="110"/>
      <c r="IB113" s="110"/>
      <c r="IC113" s="110"/>
      <c r="ID113" s="110"/>
      <c r="IE113" s="110"/>
      <c r="IF113" s="110"/>
      <c r="IG113" s="110"/>
      <c r="IH113" s="110"/>
      <c r="II113" s="110"/>
      <c r="IJ113" s="110"/>
      <c r="IK113" s="110"/>
      <c r="IL113" s="110"/>
      <c r="IM113" s="110"/>
      <c r="IN113" s="110"/>
      <c r="IO113" s="110"/>
      <c r="IP113" s="110"/>
      <c r="IQ113" s="70"/>
    </row>
    <row r="114" spans="1:251" ht="16.5" hidden="1" customHeight="1">
      <c r="A114" s="95" t="s">
        <v>450</v>
      </c>
      <c r="B114" t="s">
        <v>1364</v>
      </c>
      <c r="C114" t="s">
        <v>450</v>
      </c>
      <c r="E114" t="s">
        <v>450</v>
      </c>
      <c r="F114" t="s">
        <v>1368</v>
      </c>
      <c r="G114" s="654"/>
      <c r="H114">
        <v>24</v>
      </c>
      <c r="J114" s="214" t="str">
        <f t="shared" si="3"/>
        <v>LTT200124</v>
      </c>
      <c r="K114">
        <v>13850</v>
      </c>
      <c r="R114" s="95" t="s">
        <v>450</v>
      </c>
      <c r="V114" s="214"/>
      <c r="EE114" s="95" t="s">
        <v>450</v>
      </c>
      <c r="EF114" s="110"/>
      <c r="EG114" s="110"/>
      <c r="EH114" s="110"/>
      <c r="EI114" s="216"/>
      <c r="EJ114" s="110"/>
      <c r="EK114" s="110"/>
      <c r="EL114" s="110"/>
      <c r="EM114" s="110"/>
      <c r="EN114" s="110"/>
      <c r="EO114" s="110"/>
      <c r="EP114" s="110"/>
      <c r="EQ114" s="110"/>
      <c r="ER114" s="110"/>
      <c r="ES114" s="110"/>
      <c r="ET114" s="110"/>
      <c r="EU114" s="110"/>
      <c r="EV114" s="110"/>
      <c r="EW114" s="110"/>
      <c r="EX114" s="110"/>
      <c r="EY114" s="110"/>
      <c r="EZ114" s="110"/>
      <c r="FA114" s="110"/>
      <c r="FB114" s="110"/>
      <c r="FC114" s="110"/>
      <c r="FD114" s="110"/>
      <c r="FE114" s="110"/>
      <c r="FF114" s="110"/>
      <c r="FG114" s="110"/>
      <c r="FH114" s="110"/>
      <c r="FI114" s="110"/>
      <c r="FJ114" s="110"/>
      <c r="FK114" s="110"/>
      <c r="FL114" s="110"/>
      <c r="FM114" s="110"/>
      <c r="FN114" s="110"/>
      <c r="FO114" s="110"/>
      <c r="FP114" s="110"/>
      <c r="FQ114" s="110"/>
      <c r="FR114" s="110"/>
      <c r="FS114" s="110"/>
      <c r="FT114" s="110"/>
      <c r="FU114" s="110"/>
      <c r="FV114" s="110"/>
      <c r="FW114" s="110"/>
      <c r="FX114" s="110"/>
      <c r="FY114" s="110"/>
      <c r="FZ114" s="110"/>
      <c r="GA114" s="110"/>
      <c r="GB114" s="110"/>
      <c r="GC114" s="110"/>
      <c r="GD114" s="110"/>
      <c r="GE114" s="110"/>
      <c r="GF114" s="110"/>
      <c r="GG114" s="110"/>
      <c r="GH114" s="110"/>
      <c r="GI114" s="110"/>
      <c r="GJ114" s="110"/>
      <c r="GK114" s="110"/>
      <c r="GL114" s="110"/>
      <c r="GM114" s="110"/>
      <c r="GN114" s="110"/>
      <c r="GO114" s="110"/>
      <c r="GP114" s="110"/>
      <c r="GQ114" s="110"/>
      <c r="GR114" s="110"/>
      <c r="GS114" s="110"/>
      <c r="GT114" s="110"/>
      <c r="GU114" s="110"/>
      <c r="GV114" s="110"/>
      <c r="GW114" s="110"/>
      <c r="GX114" s="110"/>
      <c r="GY114" s="110"/>
      <c r="GZ114" s="110"/>
      <c r="HA114" s="110"/>
      <c r="HB114" s="110"/>
      <c r="HC114" s="110"/>
      <c r="HD114" s="110"/>
      <c r="HE114" s="110"/>
      <c r="HF114" s="110"/>
      <c r="HG114" s="110"/>
      <c r="HH114" s="110"/>
      <c r="HI114" s="110"/>
      <c r="HJ114" s="110"/>
      <c r="HK114" s="110"/>
      <c r="HL114" s="110"/>
      <c r="HM114" s="110"/>
      <c r="HN114" s="110"/>
      <c r="HO114" s="110"/>
      <c r="HP114" s="110"/>
      <c r="HQ114" s="110"/>
      <c r="HR114" s="110"/>
      <c r="HS114" s="110"/>
      <c r="HT114" s="110"/>
      <c r="HU114" s="110"/>
      <c r="HV114" s="110"/>
      <c r="HW114" s="110"/>
      <c r="HX114" s="110"/>
      <c r="HY114" s="110"/>
      <c r="HZ114" s="110"/>
      <c r="IA114" s="110"/>
      <c r="IB114" s="110"/>
      <c r="IC114" s="110"/>
      <c r="ID114" s="110"/>
      <c r="IE114" s="110"/>
      <c r="IF114" s="110"/>
      <c r="IG114" s="110"/>
      <c r="IH114" s="110"/>
      <c r="II114" s="110"/>
      <c r="IJ114" s="110"/>
      <c r="IK114" s="110"/>
      <c r="IL114" s="110"/>
      <c r="IM114" s="110"/>
      <c r="IN114" s="110"/>
      <c r="IO114" s="110"/>
      <c r="IP114" s="110"/>
      <c r="IQ114" s="70"/>
    </row>
    <row r="115" spans="1:251" ht="16.5" hidden="1" customHeight="1">
      <c r="A115" s="95" t="s">
        <v>450</v>
      </c>
      <c r="B115" t="s">
        <v>1364</v>
      </c>
      <c r="C115" t="s">
        <v>450</v>
      </c>
      <c r="E115" t="s">
        <v>450</v>
      </c>
      <c r="F115" t="s">
        <v>1368</v>
      </c>
      <c r="H115">
        <v>25</v>
      </c>
      <c r="J115" s="214" t="str">
        <f t="shared" si="3"/>
        <v>LTT200125</v>
      </c>
      <c r="K115">
        <v>14070</v>
      </c>
      <c r="R115" s="95" t="s">
        <v>450</v>
      </c>
      <c r="V115" s="214"/>
      <c r="EE115" s="95" t="s">
        <v>450</v>
      </c>
      <c r="EF115" s="110"/>
      <c r="EG115" s="110"/>
      <c r="EH115" s="110"/>
      <c r="EI115" s="216"/>
      <c r="EJ115" s="110"/>
      <c r="EK115" s="110"/>
      <c r="EL115" s="110"/>
      <c r="EM115" s="110"/>
      <c r="EN115" s="110"/>
      <c r="EO115" s="110"/>
      <c r="EP115" s="110"/>
      <c r="EQ115" s="110"/>
      <c r="ER115" s="110"/>
      <c r="ES115" s="110"/>
      <c r="ET115" s="110"/>
      <c r="EU115" s="110"/>
      <c r="EV115" s="110"/>
      <c r="EW115" s="110"/>
      <c r="EX115" s="110"/>
      <c r="EY115" s="110"/>
      <c r="EZ115" s="110"/>
      <c r="FA115" s="110"/>
      <c r="FB115" s="110"/>
      <c r="FC115" s="110"/>
      <c r="FD115" s="110"/>
      <c r="FE115" s="110"/>
      <c r="FF115" s="110"/>
      <c r="FG115" s="110"/>
      <c r="FH115" s="110"/>
      <c r="FI115" s="110"/>
      <c r="FJ115" s="110"/>
      <c r="FK115" s="110"/>
      <c r="FL115" s="110"/>
      <c r="FM115" s="110"/>
      <c r="FN115" s="110"/>
      <c r="FO115" s="110"/>
      <c r="FP115" s="110"/>
      <c r="FQ115" s="110"/>
      <c r="FR115" s="110"/>
      <c r="FS115" s="110"/>
      <c r="FT115" s="110"/>
      <c r="FU115" s="110"/>
      <c r="FV115" s="110"/>
      <c r="FW115" s="110"/>
      <c r="FX115" s="110"/>
      <c r="FY115" s="110"/>
      <c r="FZ115" s="110"/>
      <c r="GA115" s="110"/>
      <c r="GB115" s="110"/>
      <c r="GC115" s="110"/>
      <c r="GD115" s="110"/>
      <c r="GE115" s="110"/>
      <c r="GF115" s="110"/>
      <c r="GG115" s="110"/>
      <c r="GH115" s="110"/>
      <c r="GI115" s="110"/>
      <c r="GJ115" s="110"/>
      <c r="GK115" s="110"/>
      <c r="GL115" s="110"/>
      <c r="GM115" s="110"/>
      <c r="GN115" s="110"/>
      <c r="GO115" s="110"/>
      <c r="GP115" s="110"/>
      <c r="GQ115" s="110"/>
      <c r="GR115" s="110"/>
      <c r="GS115" s="110"/>
      <c r="GT115" s="110"/>
      <c r="GU115" s="110"/>
      <c r="GV115" s="110"/>
      <c r="GW115" s="110"/>
      <c r="GX115" s="110"/>
      <c r="GY115" s="110"/>
      <c r="GZ115" s="110"/>
      <c r="HA115" s="110"/>
      <c r="HB115" s="110"/>
      <c r="HC115" s="110"/>
      <c r="HD115" s="110"/>
      <c r="HE115" s="110"/>
      <c r="HF115" s="110"/>
      <c r="HG115" s="110"/>
      <c r="HH115" s="110"/>
      <c r="HI115" s="110"/>
      <c r="HJ115" s="110"/>
      <c r="HK115" s="110"/>
      <c r="HL115" s="110"/>
      <c r="HM115" s="110"/>
      <c r="HN115" s="110"/>
      <c r="HO115" s="110"/>
      <c r="HP115" s="110"/>
      <c r="HQ115" s="110"/>
      <c r="HR115" s="110"/>
      <c r="HS115" s="110"/>
      <c r="HT115" s="110"/>
      <c r="HU115" s="110"/>
      <c r="HV115" s="110"/>
      <c r="HW115" s="110"/>
      <c r="HX115" s="110"/>
      <c r="HY115" s="110"/>
      <c r="HZ115" s="110"/>
      <c r="IA115" s="110"/>
      <c r="IB115" s="110"/>
      <c r="IC115" s="110"/>
      <c r="ID115" s="110"/>
      <c r="IE115" s="110"/>
      <c r="IF115" s="110"/>
      <c r="IG115" s="110"/>
      <c r="IH115" s="110"/>
      <c r="II115" s="110"/>
      <c r="IJ115" s="110"/>
      <c r="IK115" s="110"/>
      <c r="IL115" s="110"/>
      <c r="IM115" s="110"/>
      <c r="IN115" s="110"/>
      <c r="IO115" s="110"/>
      <c r="IP115" s="110"/>
      <c r="IQ115" s="70"/>
    </row>
    <row r="116" spans="1:251" ht="16.5" hidden="1" customHeight="1">
      <c r="A116" s="95" t="s">
        <v>450</v>
      </c>
      <c r="B116" t="s">
        <v>1364</v>
      </c>
      <c r="C116" t="s">
        <v>450</v>
      </c>
      <c r="E116" t="s">
        <v>450</v>
      </c>
      <c r="F116" t="s">
        <v>1368</v>
      </c>
      <c r="H116">
        <v>26</v>
      </c>
      <c r="J116" s="214" t="str">
        <f t="shared" si="3"/>
        <v>LTT200126</v>
      </c>
      <c r="K116">
        <v>14230</v>
      </c>
      <c r="R116" s="95" t="s">
        <v>450</v>
      </c>
      <c r="V116" s="214"/>
      <c r="EE116" s="95" t="s">
        <v>450</v>
      </c>
      <c r="EF116" s="110"/>
      <c r="EG116" s="110"/>
      <c r="EH116" s="110"/>
      <c r="EI116" s="216"/>
      <c r="EJ116" s="110"/>
      <c r="EK116" s="110"/>
      <c r="EL116" s="110"/>
      <c r="EM116" s="110"/>
      <c r="EN116" s="110"/>
      <c r="EO116" s="110"/>
      <c r="EP116" s="110"/>
      <c r="EQ116" s="110"/>
      <c r="ER116" s="110"/>
      <c r="ES116" s="110"/>
      <c r="ET116" s="110"/>
      <c r="EU116" s="110"/>
      <c r="EV116" s="110"/>
      <c r="EW116" s="110"/>
      <c r="EX116" s="110"/>
      <c r="EY116" s="110"/>
      <c r="EZ116" s="110"/>
      <c r="FA116" s="110"/>
      <c r="FB116" s="110"/>
      <c r="FC116" s="110"/>
      <c r="FD116" s="110"/>
      <c r="FE116" s="110"/>
      <c r="FF116" s="110"/>
      <c r="FG116" s="110"/>
      <c r="FH116" s="110"/>
      <c r="FI116" s="110"/>
      <c r="FJ116" s="110"/>
      <c r="FK116" s="110"/>
      <c r="FL116" s="110"/>
      <c r="FM116" s="110"/>
      <c r="FN116" s="110"/>
      <c r="FO116" s="110"/>
      <c r="FP116" s="110"/>
      <c r="FQ116" s="110"/>
      <c r="FR116" s="110"/>
      <c r="FS116" s="110"/>
      <c r="FT116" s="110"/>
      <c r="FU116" s="110"/>
      <c r="FV116" s="110"/>
      <c r="FW116" s="110"/>
      <c r="FX116" s="110"/>
      <c r="FY116" s="110"/>
      <c r="FZ116" s="110"/>
      <c r="GA116" s="110"/>
      <c r="GB116" s="110"/>
      <c r="GC116" s="110"/>
      <c r="GD116" s="110"/>
      <c r="GE116" s="110"/>
      <c r="GF116" s="110"/>
      <c r="GG116" s="110"/>
      <c r="GH116" s="110"/>
      <c r="GI116" s="110"/>
      <c r="GJ116" s="110"/>
      <c r="GK116" s="110"/>
      <c r="GL116" s="110"/>
      <c r="GM116" s="110"/>
      <c r="GN116" s="110"/>
      <c r="GO116" s="110"/>
      <c r="GP116" s="110"/>
      <c r="GQ116" s="110"/>
      <c r="GR116" s="110"/>
      <c r="GS116" s="110"/>
      <c r="GT116" s="110"/>
      <c r="GU116" s="110"/>
      <c r="GV116" s="110"/>
      <c r="GW116" s="110"/>
      <c r="GX116" s="110"/>
      <c r="GY116" s="110"/>
      <c r="GZ116" s="110"/>
      <c r="HA116" s="110"/>
      <c r="HB116" s="110"/>
      <c r="HC116" s="110"/>
      <c r="HD116" s="110"/>
      <c r="HE116" s="110"/>
      <c r="HF116" s="110"/>
      <c r="HG116" s="110"/>
      <c r="HH116" s="110"/>
      <c r="HI116" s="110"/>
      <c r="HJ116" s="110"/>
      <c r="HK116" s="110"/>
      <c r="HL116" s="110"/>
      <c r="HM116" s="110"/>
      <c r="HN116" s="110"/>
      <c r="HO116" s="110"/>
      <c r="HP116" s="110"/>
      <c r="HQ116" s="110"/>
      <c r="HR116" s="110"/>
      <c r="HS116" s="110"/>
      <c r="HT116" s="110"/>
      <c r="HU116" s="110"/>
      <c r="HV116" s="110"/>
      <c r="HW116" s="110"/>
      <c r="HX116" s="110"/>
      <c r="HY116" s="110"/>
      <c r="HZ116" s="110"/>
      <c r="IA116" s="110"/>
      <c r="IB116" s="110"/>
      <c r="IC116" s="110"/>
      <c r="ID116" s="110"/>
      <c r="IE116" s="110"/>
      <c r="IF116" s="110"/>
      <c r="IG116" s="110"/>
      <c r="IH116" s="110"/>
      <c r="II116" s="110"/>
      <c r="IJ116" s="110"/>
      <c r="IK116" s="110"/>
      <c r="IL116" s="110"/>
      <c r="IM116" s="110"/>
      <c r="IN116" s="110"/>
      <c r="IO116" s="110"/>
      <c r="IP116" s="110"/>
      <c r="IQ116" s="70"/>
    </row>
    <row r="117" spans="1:251" ht="16.5" hidden="1" customHeight="1">
      <c r="A117" s="95" t="s">
        <v>450</v>
      </c>
      <c r="B117" t="s">
        <v>1364</v>
      </c>
      <c r="C117" t="s">
        <v>450</v>
      </c>
      <c r="E117" t="s">
        <v>450</v>
      </c>
      <c r="F117" t="s">
        <v>1368</v>
      </c>
      <c r="H117">
        <v>27</v>
      </c>
      <c r="J117" s="214" t="str">
        <f t="shared" si="3"/>
        <v>LTT200127</v>
      </c>
      <c r="K117">
        <v>14450</v>
      </c>
      <c r="R117" s="95" t="s">
        <v>450</v>
      </c>
      <c r="V117" s="214"/>
      <c r="EE117" s="95" t="s">
        <v>450</v>
      </c>
      <c r="EF117" s="110"/>
      <c r="EG117" s="110"/>
      <c r="EH117" s="110"/>
      <c r="EI117" s="216"/>
      <c r="EJ117" s="110"/>
      <c r="EK117" s="110"/>
      <c r="EL117" s="110"/>
      <c r="EM117" s="110"/>
      <c r="EN117" s="110"/>
      <c r="EO117" s="110"/>
      <c r="EP117" s="110"/>
      <c r="EQ117" s="110"/>
      <c r="ER117" s="110"/>
      <c r="ES117" s="110"/>
      <c r="ET117" s="110"/>
      <c r="EU117" s="110"/>
      <c r="EV117" s="110"/>
      <c r="EW117" s="110"/>
      <c r="EX117" s="110"/>
      <c r="EY117" s="110"/>
      <c r="EZ117" s="110"/>
      <c r="FA117" s="110"/>
      <c r="FB117" s="110"/>
      <c r="FC117" s="110"/>
      <c r="FD117" s="110"/>
      <c r="FE117" s="110"/>
      <c r="FF117" s="110"/>
      <c r="FG117" s="110"/>
      <c r="FH117" s="110"/>
      <c r="FI117" s="110"/>
      <c r="FJ117" s="110"/>
      <c r="FK117" s="110"/>
      <c r="FL117" s="110"/>
      <c r="FM117" s="110"/>
      <c r="FN117" s="110"/>
      <c r="FO117" s="110"/>
      <c r="FP117" s="110"/>
      <c r="FQ117" s="110"/>
      <c r="FR117" s="110"/>
      <c r="FS117" s="110"/>
      <c r="FT117" s="110"/>
      <c r="FU117" s="110"/>
      <c r="FV117" s="110"/>
      <c r="FW117" s="110"/>
      <c r="FX117" s="110"/>
      <c r="FY117" s="110"/>
      <c r="FZ117" s="110"/>
      <c r="GA117" s="110"/>
      <c r="GB117" s="110"/>
      <c r="GC117" s="110"/>
      <c r="GD117" s="110"/>
      <c r="GE117" s="110"/>
      <c r="GF117" s="110"/>
      <c r="GG117" s="110"/>
      <c r="GH117" s="110"/>
      <c r="GI117" s="110"/>
      <c r="GJ117" s="110"/>
      <c r="GK117" s="110"/>
      <c r="GL117" s="110"/>
      <c r="GM117" s="110"/>
      <c r="GN117" s="110"/>
      <c r="GO117" s="110"/>
      <c r="GP117" s="110"/>
      <c r="GQ117" s="110"/>
      <c r="GR117" s="110"/>
      <c r="GS117" s="110"/>
      <c r="GT117" s="110"/>
      <c r="GU117" s="110"/>
      <c r="GV117" s="110"/>
      <c r="GW117" s="110"/>
      <c r="GX117" s="110"/>
      <c r="GY117" s="110"/>
      <c r="GZ117" s="110"/>
      <c r="HA117" s="110"/>
      <c r="HB117" s="110"/>
      <c r="HC117" s="110"/>
      <c r="HD117" s="110"/>
      <c r="HE117" s="110"/>
      <c r="HF117" s="110"/>
      <c r="HG117" s="110"/>
      <c r="HH117" s="110"/>
      <c r="HI117" s="110"/>
      <c r="HJ117" s="110"/>
      <c r="HK117" s="110"/>
      <c r="HL117" s="110"/>
      <c r="HM117" s="110"/>
      <c r="HN117" s="110"/>
      <c r="HO117" s="110"/>
      <c r="HP117" s="110"/>
      <c r="HQ117" s="110"/>
      <c r="HR117" s="110"/>
      <c r="HS117" s="110"/>
      <c r="HT117" s="110"/>
      <c r="HU117" s="110"/>
      <c r="HV117" s="110"/>
      <c r="HW117" s="110"/>
      <c r="HX117" s="110"/>
      <c r="HY117" s="110"/>
      <c r="HZ117" s="110"/>
      <c r="IA117" s="110"/>
      <c r="IB117" s="110"/>
      <c r="IC117" s="110"/>
      <c r="ID117" s="110"/>
      <c r="IE117" s="110"/>
      <c r="IF117" s="110"/>
      <c r="IG117" s="110"/>
      <c r="IH117" s="110"/>
      <c r="II117" s="110"/>
      <c r="IJ117" s="110"/>
      <c r="IK117" s="110"/>
      <c r="IL117" s="110"/>
      <c r="IM117" s="110"/>
      <c r="IN117" s="110"/>
      <c r="IO117" s="110"/>
      <c r="IP117" s="110"/>
      <c r="IQ117" s="70"/>
    </row>
    <row r="118" spans="1:251" ht="16.5" hidden="1" customHeight="1">
      <c r="A118" s="95" t="s">
        <v>450</v>
      </c>
      <c r="B118" t="s">
        <v>1364</v>
      </c>
      <c r="C118" t="s">
        <v>450</v>
      </c>
      <c r="E118" t="s">
        <v>450</v>
      </c>
      <c r="F118" t="s">
        <v>1368</v>
      </c>
      <c r="H118">
        <v>28</v>
      </c>
      <c r="J118" s="214" t="str">
        <f t="shared" si="3"/>
        <v>LTT200128</v>
      </c>
      <c r="K118">
        <v>14680</v>
      </c>
      <c r="R118" s="95" t="s">
        <v>450</v>
      </c>
      <c r="V118" s="214"/>
      <c r="EE118" s="95" t="s">
        <v>450</v>
      </c>
      <c r="EF118" s="110"/>
      <c r="EG118" s="110"/>
      <c r="EH118" s="110"/>
      <c r="EI118" s="216"/>
      <c r="EJ118" s="110"/>
      <c r="EK118" s="110"/>
      <c r="EL118" s="110"/>
      <c r="EM118" s="110"/>
      <c r="EN118" s="110"/>
      <c r="EO118" s="110"/>
      <c r="EP118" s="110"/>
      <c r="EQ118" s="110"/>
      <c r="ER118" s="110"/>
      <c r="ES118" s="110"/>
      <c r="ET118" s="110"/>
      <c r="EU118" s="110"/>
      <c r="EV118" s="110"/>
      <c r="EW118" s="110"/>
      <c r="EX118" s="110"/>
      <c r="EY118" s="110"/>
      <c r="EZ118" s="110"/>
      <c r="FA118" s="110"/>
      <c r="FB118" s="110"/>
      <c r="FC118" s="110"/>
      <c r="FD118" s="110"/>
      <c r="FE118" s="110"/>
      <c r="FF118" s="110"/>
      <c r="FG118" s="110"/>
      <c r="FH118" s="110"/>
      <c r="FI118" s="110"/>
      <c r="FJ118" s="110"/>
      <c r="FK118" s="110"/>
      <c r="FL118" s="110"/>
      <c r="FM118" s="110"/>
      <c r="FN118" s="110"/>
      <c r="FO118" s="110"/>
      <c r="FP118" s="110"/>
      <c r="FQ118" s="110"/>
      <c r="FR118" s="110"/>
      <c r="FS118" s="110"/>
      <c r="FT118" s="110"/>
      <c r="FU118" s="110"/>
      <c r="FV118" s="110"/>
      <c r="FW118" s="110"/>
      <c r="FX118" s="110"/>
      <c r="FY118" s="110"/>
      <c r="FZ118" s="110"/>
      <c r="GA118" s="110"/>
      <c r="GB118" s="110"/>
      <c r="GC118" s="110"/>
      <c r="GD118" s="110"/>
      <c r="GE118" s="110"/>
      <c r="GF118" s="110"/>
      <c r="GG118" s="110"/>
      <c r="GH118" s="110"/>
      <c r="GI118" s="110"/>
      <c r="GJ118" s="110"/>
      <c r="GK118" s="110"/>
      <c r="GL118" s="110"/>
      <c r="GM118" s="110"/>
      <c r="GN118" s="110"/>
      <c r="GO118" s="110"/>
      <c r="GP118" s="110"/>
      <c r="GQ118" s="110"/>
      <c r="GR118" s="110"/>
      <c r="GS118" s="110"/>
      <c r="GT118" s="110"/>
      <c r="GU118" s="110"/>
      <c r="GV118" s="110"/>
      <c r="GW118" s="110"/>
      <c r="GX118" s="110"/>
      <c r="GY118" s="110"/>
      <c r="GZ118" s="110"/>
      <c r="HA118" s="110"/>
      <c r="HB118" s="110"/>
      <c r="HC118" s="110"/>
      <c r="HD118" s="110"/>
      <c r="HE118" s="110"/>
      <c r="HF118" s="110"/>
      <c r="HG118" s="110"/>
      <c r="HH118" s="110"/>
      <c r="HI118" s="110"/>
      <c r="HJ118" s="110"/>
      <c r="HK118" s="110"/>
      <c r="HL118" s="110"/>
      <c r="HM118" s="110"/>
      <c r="HN118" s="110"/>
      <c r="HO118" s="110"/>
      <c r="HP118" s="110"/>
      <c r="HQ118" s="110"/>
      <c r="HR118" s="110"/>
      <c r="HS118" s="110"/>
      <c r="HT118" s="110"/>
      <c r="HU118" s="110"/>
      <c r="HV118" s="110"/>
      <c r="HW118" s="110"/>
      <c r="HX118" s="110"/>
      <c r="HY118" s="110"/>
      <c r="HZ118" s="110"/>
      <c r="IA118" s="110"/>
      <c r="IB118" s="110"/>
      <c r="IC118" s="110"/>
      <c r="ID118" s="110"/>
      <c r="IE118" s="110"/>
      <c r="IF118" s="110"/>
      <c r="IG118" s="110"/>
      <c r="IH118" s="110"/>
      <c r="II118" s="110"/>
      <c r="IJ118" s="110"/>
      <c r="IK118" s="110"/>
      <c r="IL118" s="110"/>
      <c r="IM118" s="110"/>
      <c r="IN118" s="110"/>
      <c r="IO118" s="110"/>
      <c r="IP118" s="110"/>
      <c r="IQ118" s="70"/>
    </row>
    <row r="119" spans="1:251" ht="16.5" hidden="1" customHeight="1">
      <c r="A119" s="95" t="s">
        <v>450</v>
      </c>
      <c r="B119" t="s">
        <v>1364</v>
      </c>
      <c r="C119" t="s">
        <v>450</v>
      </c>
      <c r="E119" t="s">
        <v>450</v>
      </c>
      <c r="F119" t="s">
        <v>1368</v>
      </c>
      <c r="H119">
        <v>29</v>
      </c>
      <c r="J119" s="214" t="str">
        <f t="shared" si="3"/>
        <v>LTT200129</v>
      </c>
      <c r="K119">
        <v>14910</v>
      </c>
      <c r="R119" s="95" t="s">
        <v>450</v>
      </c>
      <c r="V119" s="214"/>
      <c r="EE119" s="95" t="s">
        <v>450</v>
      </c>
      <c r="EF119" s="110"/>
      <c r="EG119" s="110"/>
      <c r="EH119" s="110"/>
      <c r="EI119" s="216"/>
      <c r="EJ119" s="110"/>
      <c r="EK119" s="110"/>
      <c r="EL119" s="110"/>
      <c r="EM119" s="110"/>
      <c r="EN119" s="110"/>
      <c r="EO119" s="110"/>
      <c r="EP119" s="110"/>
      <c r="EQ119" s="110"/>
      <c r="ER119" s="110"/>
      <c r="ES119" s="110"/>
      <c r="ET119" s="110"/>
      <c r="EU119" s="110"/>
      <c r="EV119" s="110"/>
      <c r="EW119" s="110"/>
      <c r="EX119" s="110"/>
      <c r="EY119" s="110"/>
      <c r="EZ119" s="110"/>
      <c r="FA119" s="110"/>
      <c r="FB119" s="110"/>
      <c r="FC119" s="110"/>
      <c r="FD119" s="110"/>
      <c r="FE119" s="110"/>
      <c r="FF119" s="110"/>
      <c r="FG119" s="110"/>
      <c r="FH119" s="110"/>
      <c r="FI119" s="110"/>
      <c r="FJ119" s="110"/>
      <c r="FK119" s="110"/>
      <c r="FL119" s="110"/>
      <c r="FM119" s="110"/>
      <c r="FN119" s="110"/>
      <c r="FO119" s="110"/>
      <c r="FP119" s="110"/>
      <c r="FQ119" s="110"/>
      <c r="FR119" s="110"/>
      <c r="FS119" s="110"/>
      <c r="FT119" s="110"/>
      <c r="FU119" s="110"/>
      <c r="FV119" s="110"/>
      <c r="FW119" s="110"/>
      <c r="FX119" s="110"/>
      <c r="FY119" s="110"/>
      <c r="FZ119" s="110"/>
      <c r="GA119" s="110"/>
      <c r="GB119" s="110"/>
      <c r="GC119" s="110"/>
      <c r="GD119" s="110"/>
      <c r="GE119" s="110"/>
      <c r="GF119" s="110"/>
      <c r="GG119" s="110"/>
      <c r="GH119" s="110"/>
      <c r="GI119" s="110"/>
      <c r="GJ119" s="110"/>
      <c r="GK119" s="110"/>
      <c r="GL119" s="110"/>
      <c r="GM119" s="110"/>
      <c r="GN119" s="110"/>
      <c r="GO119" s="110"/>
      <c r="GP119" s="110"/>
      <c r="GQ119" s="110"/>
      <c r="GR119" s="110"/>
      <c r="GS119" s="110"/>
      <c r="GT119" s="110"/>
      <c r="GU119" s="110"/>
      <c r="GV119" s="110"/>
      <c r="GW119" s="110"/>
      <c r="GX119" s="110"/>
      <c r="GY119" s="110"/>
      <c r="GZ119" s="110"/>
      <c r="HA119" s="110"/>
      <c r="HB119" s="110"/>
      <c r="HC119" s="110"/>
      <c r="HD119" s="110"/>
      <c r="HE119" s="110"/>
      <c r="HF119" s="110"/>
      <c r="HG119" s="110"/>
      <c r="HH119" s="110"/>
      <c r="HI119" s="110"/>
      <c r="HJ119" s="110"/>
      <c r="HK119" s="110"/>
      <c r="HL119" s="110"/>
      <c r="HM119" s="110"/>
      <c r="HN119" s="110"/>
      <c r="HO119" s="110"/>
      <c r="HP119" s="110"/>
      <c r="HQ119" s="110"/>
      <c r="HR119" s="110"/>
      <c r="HS119" s="110"/>
      <c r="HT119" s="110"/>
      <c r="HU119" s="110"/>
      <c r="HV119" s="110"/>
      <c r="HW119" s="110"/>
      <c r="HX119" s="110"/>
      <c r="HY119" s="110"/>
      <c r="HZ119" s="110"/>
      <c r="IA119" s="110"/>
      <c r="IB119" s="110"/>
      <c r="IC119" s="110"/>
      <c r="ID119" s="110"/>
      <c r="IE119" s="110"/>
      <c r="IF119" s="110"/>
      <c r="IG119" s="110"/>
      <c r="IH119" s="110"/>
      <c r="II119" s="110"/>
      <c r="IJ119" s="110"/>
      <c r="IK119" s="110"/>
      <c r="IL119" s="110"/>
      <c r="IM119" s="110"/>
      <c r="IN119" s="110"/>
      <c r="IO119" s="110"/>
      <c r="IP119" s="110"/>
      <c r="IQ119" s="70"/>
    </row>
    <row r="120" spans="1:251" ht="16.5" hidden="1" customHeight="1">
      <c r="A120" s="95" t="s">
        <v>450</v>
      </c>
      <c r="B120" t="s">
        <v>1364</v>
      </c>
      <c r="C120" t="s">
        <v>450</v>
      </c>
      <c r="E120" t="s">
        <v>450</v>
      </c>
      <c r="F120" t="s">
        <v>1368</v>
      </c>
      <c r="H120">
        <v>30</v>
      </c>
      <c r="J120" s="214" t="str">
        <f t="shared" si="3"/>
        <v>LTT200130</v>
      </c>
      <c r="K120">
        <v>15140</v>
      </c>
      <c r="R120" s="95" t="s">
        <v>450</v>
      </c>
      <c r="V120" s="214"/>
      <c r="EE120" s="95" t="s">
        <v>450</v>
      </c>
      <c r="EF120" s="110"/>
      <c r="EG120" s="110"/>
      <c r="EH120" s="110"/>
      <c r="EI120" s="216"/>
      <c r="EJ120" s="110"/>
      <c r="EK120" s="110"/>
      <c r="EL120" s="110"/>
      <c r="EM120" s="110"/>
      <c r="EN120" s="110"/>
      <c r="EO120" s="110"/>
      <c r="EP120" s="110"/>
      <c r="EQ120" s="110"/>
      <c r="ER120" s="110"/>
      <c r="ES120" s="110"/>
      <c r="ET120" s="110"/>
      <c r="EU120" s="110"/>
      <c r="EV120" s="110"/>
      <c r="EW120" s="110"/>
      <c r="EX120" s="110"/>
      <c r="EY120" s="110"/>
      <c r="EZ120" s="110"/>
      <c r="FA120" s="110"/>
      <c r="FB120" s="110"/>
      <c r="FC120" s="110"/>
      <c r="FD120" s="110"/>
      <c r="FE120" s="110"/>
      <c r="FF120" s="110"/>
      <c r="FG120" s="110"/>
      <c r="FH120" s="110"/>
      <c r="FI120" s="110"/>
      <c r="FJ120" s="110"/>
      <c r="FK120" s="110"/>
      <c r="FL120" s="110"/>
      <c r="FM120" s="110"/>
      <c r="FN120" s="110"/>
      <c r="FO120" s="110"/>
      <c r="FP120" s="110"/>
      <c r="FQ120" s="110"/>
      <c r="FR120" s="110"/>
      <c r="FS120" s="110"/>
      <c r="FT120" s="110"/>
      <c r="FU120" s="110"/>
      <c r="FV120" s="110"/>
      <c r="FW120" s="110"/>
      <c r="FX120" s="110"/>
      <c r="FY120" s="110"/>
      <c r="FZ120" s="110"/>
      <c r="GA120" s="110"/>
      <c r="GB120" s="110"/>
      <c r="GC120" s="110"/>
      <c r="GD120" s="110"/>
      <c r="GE120" s="110"/>
      <c r="GF120" s="110"/>
      <c r="GG120" s="110"/>
      <c r="GH120" s="110"/>
      <c r="GI120" s="110"/>
      <c r="GJ120" s="110"/>
      <c r="GK120" s="110"/>
      <c r="GL120" s="110"/>
      <c r="GM120" s="110"/>
      <c r="GN120" s="110"/>
      <c r="GO120" s="110"/>
      <c r="GP120" s="110"/>
      <c r="GQ120" s="110"/>
      <c r="GR120" s="110"/>
      <c r="GS120" s="110"/>
      <c r="GT120" s="110"/>
      <c r="GU120" s="110"/>
      <c r="GV120" s="110"/>
      <c r="GW120" s="110"/>
      <c r="GX120" s="110"/>
      <c r="GY120" s="110"/>
      <c r="GZ120" s="110"/>
      <c r="HA120" s="110"/>
      <c r="HB120" s="110"/>
      <c r="HC120" s="110"/>
      <c r="HD120" s="110"/>
      <c r="HE120" s="110"/>
      <c r="HF120" s="110"/>
      <c r="HG120" s="110"/>
      <c r="HH120" s="110"/>
      <c r="HI120" s="110"/>
      <c r="HJ120" s="110"/>
      <c r="HK120" s="110"/>
      <c r="HL120" s="110"/>
      <c r="HM120" s="110"/>
      <c r="HN120" s="110"/>
      <c r="HO120" s="110"/>
      <c r="HP120" s="110"/>
      <c r="HQ120" s="110"/>
      <c r="HR120" s="110"/>
      <c r="HS120" s="110"/>
      <c r="HT120" s="110"/>
      <c r="HU120" s="110"/>
      <c r="HV120" s="110"/>
      <c r="HW120" s="110"/>
      <c r="HX120" s="110"/>
      <c r="HY120" s="110"/>
      <c r="HZ120" s="110"/>
      <c r="IA120" s="110"/>
      <c r="IB120" s="110"/>
      <c r="IC120" s="110"/>
      <c r="ID120" s="110"/>
      <c r="IE120" s="110"/>
      <c r="IF120" s="110"/>
      <c r="IG120" s="110"/>
      <c r="IH120" s="110"/>
      <c r="II120" s="110"/>
      <c r="IJ120" s="110"/>
      <c r="IK120" s="110"/>
      <c r="IL120" s="110"/>
      <c r="IM120" s="110"/>
      <c r="IN120" s="110"/>
      <c r="IO120" s="110"/>
      <c r="IP120" s="110"/>
      <c r="IQ120" s="70"/>
    </row>
    <row r="121" spans="1:251" ht="16.5" hidden="1" customHeight="1">
      <c r="A121" s="95" t="s">
        <v>450</v>
      </c>
      <c r="B121" t="s">
        <v>1364</v>
      </c>
      <c r="C121" t="s">
        <v>450</v>
      </c>
      <c r="E121" t="s">
        <v>450</v>
      </c>
      <c r="F121" t="s">
        <v>1368</v>
      </c>
      <c r="H121">
        <v>31</v>
      </c>
      <c r="J121" s="214" t="str">
        <f t="shared" si="3"/>
        <v>LTT200131</v>
      </c>
      <c r="K121">
        <v>15370</v>
      </c>
      <c r="R121" s="95" t="s">
        <v>450</v>
      </c>
      <c r="V121" s="214"/>
      <c r="EE121" s="95" t="s">
        <v>450</v>
      </c>
      <c r="EF121" s="110"/>
      <c r="EG121" s="110"/>
      <c r="EH121" s="110"/>
      <c r="EI121" s="216"/>
      <c r="EJ121" s="110"/>
      <c r="EK121" s="110"/>
      <c r="EL121" s="110"/>
      <c r="EM121" s="110"/>
      <c r="EN121" s="110"/>
      <c r="EO121" s="110"/>
      <c r="EP121" s="110"/>
      <c r="EQ121" s="110"/>
      <c r="ER121" s="110"/>
      <c r="ES121" s="110"/>
      <c r="ET121" s="110"/>
      <c r="EU121" s="110"/>
      <c r="EV121" s="110"/>
      <c r="EW121" s="110"/>
      <c r="EX121" s="110"/>
      <c r="EY121" s="110"/>
      <c r="EZ121" s="110"/>
      <c r="FA121" s="110"/>
      <c r="FB121" s="110"/>
      <c r="FC121" s="110"/>
      <c r="FD121" s="110"/>
      <c r="FE121" s="110"/>
      <c r="FF121" s="110"/>
      <c r="FG121" s="110"/>
      <c r="FH121" s="110"/>
      <c r="FI121" s="110"/>
      <c r="FJ121" s="110"/>
      <c r="FK121" s="110"/>
      <c r="FL121" s="110"/>
      <c r="FM121" s="110"/>
      <c r="FN121" s="110"/>
      <c r="FO121" s="110"/>
      <c r="FP121" s="110"/>
      <c r="FQ121" s="110"/>
      <c r="FR121" s="110"/>
      <c r="FS121" s="110"/>
      <c r="FT121" s="110"/>
      <c r="FU121" s="110"/>
      <c r="FV121" s="110"/>
      <c r="FW121" s="110"/>
      <c r="FX121" s="110"/>
      <c r="FY121" s="110"/>
      <c r="FZ121" s="110"/>
      <c r="GA121" s="110"/>
      <c r="GB121" s="110"/>
      <c r="GC121" s="110"/>
      <c r="GD121" s="110"/>
      <c r="GE121" s="110"/>
      <c r="GF121" s="110"/>
      <c r="GG121" s="110"/>
      <c r="GH121" s="110"/>
      <c r="GI121" s="110"/>
      <c r="GJ121" s="110"/>
      <c r="GK121" s="110"/>
      <c r="GL121" s="110"/>
      <c r="GM121" s="110"/>
      <c r="GN121" s="110"/>
      <c r="GO121" s="110"/>
      <c r="GP121" s="110"/>
      <c r="GQ121" s="110"/>
      <c r="GR121" s="110"/>
      <c r="GS121" s="110"/>
      <c r="GT121" s="110"/>
      <c r="GU121" s="110"/>
      <c r="GV121" s="110"/>
      <c r="GW121" s="110"/>
      <c r="GX121" s="110"/>
      <c r="GY121" s="110"/>
      <c r="GZ121" s="110"/>
      <c r="HA121" s="110"/>
      <c r="HB121" s="110"/>
      <c r="HC121" s="110"/>
      <c r="HD121" s="110"/>
      <c r="HE121" s="110"/>
      <c r="HF121" s="110"/>
      <c r="HG121" s="110"/>
      <c r="HH121" s="110"/>
      <c r="HI121" s="110"/>
      <c r="HJ121" s="110"/>
      <c r="HK121" s="110"/>
      <c r="HL121" s="110"/>
      <c r="HM121" s="110"/>
      <c r="HN121" s="110"/>
      <c r="HO121" s="110"/>
      <c r="HP121" s="110"/>
      <c r="HQ121" s="110"/>
      <c r="HR121" s="110"/>
      <c r="HS121" s="110"/>
      <c r="HT121" s="110"/>
      <c r="HU121" s="110"/>
      <c r="HV121" s="110"/>
      <c r="HW121" s="110"/>
      <c r="HX121" s="110"/>
      <c r="HY121" s="110"/>
      <c r="HZ121" s="110"/>
      <c r="IA121" s="110"/>
      <c r="IB121" s="110"/>
      <c r="IC121" s="110"/>
      <c r="ID121" s="110"/>
      <c r="IE121" s="110"/>
      <c r="IF121" s="110"/>
      <c r="IG121" s="110"/>
      <c r="IH121" s="110"/>
      <c r="II121" s="110"/>
      <c r="IJ121" s="110"/>
      <c r="IK121" s="110"/>
      <c r="IL121" s="110"/>
      <c r="IM121" s="110"/>
      <c r="IN121" s="110"/>
      <c r="IO121" s="110"/>
      <c r="IP121" s="110"/>
      <c r="IQ121" s="70"/>
    </row>
    <row r="122" spans="1:251" ht="16.5" hidden="1" customHeight="1">
      <c r="A122" s="95" t="s">
        <v>450</v>
      </c>
      <c r="B122" t="s">
        <v>1364</v>
      </c>
      <c r="C122" t="s">
        <v>450</v>
      </c>
      <c r="E122" t="s">
        <v>450</v>
      </c>
      <c r="F122" t="s">
        <v>1368</v>
      </c>
      <c r="H122">
        <v>32</v>
      </c>
      <c r="J122" s="214" t="str">
        <f t="shared" si="3"/>
        <v>LTT200132</v>
      </c>
      <c r="K122">
        <v>15600</v>
      </c>
      <c r="R122" s="95" t="s">
        <v>450</v>
      </c>
      <c r="V122" s="214"/>
      <c r="EE122" s="95" t="s">
        <v>450</v>
      </c>
      <c r="EF122" s="110"/>
      <c r="EG122" s="110"/>
      <c r="EH122" s="110"/>
      <c r="EI122" s="216"/>
      <c r="EJ122" s="110"/>
      <c r="EK122" s="110"/>
      <c r="EL122" s="110"/>
      <c r="EM122" s="110"/>
      <c r="EN122" s="110"/>
      <c r="EO122" s="110"/>
      <c r="EP122" s="110"/>
      <c r="EQ122" s="110"/>
      <c r="ER122" s="110"/>
      <c r="ES122" s="110"/>
      <c r="ET122" s="110"/>
      <c r="EU122" s="110"/>
      <c r="EV122" s="110"/>
      <c r="EW122" s="110"/>
      <c r="EX122" s="110"/>
      <c r="EY122" s="110"/>
      <c r="EZ122" s="110"/>
      <c r="FA122" s="110"/>
      <c r="FB122" s="110"/>
      <c r="FC122" s="110"/>
      <c r="FD122" s="110"/>
      <c r="FE122" s="110"/>
      <c r="FF122" s="110"/>
      <c r="FG122" s="110"/>
      <c r="FH122" s="110"/>
      <c r="FI122" s="110"/>
      <c r="FJ122" s="110"/>
      <c r="FK122" s="110"/>
      <c r="FL122" s="110"/>
      <c r="FM122" s="110"/>
      <c r="FN122" s="110"/>
      <c r="FO122" s="110"/>
      <c r="FP122" s="110"/>
      <c r="FQ122" s="110"/>
      <c r="FR122" s="110"/>
      <c r="FS122" s="110"/>
      <c r="FT122" s="110"/>
      <c r="FU122" s="110"/>
      <c r="FV122" s="110"/>
      <c r="FW122" s="110"/>
      <c r="FX122" s="110"/>
      <c r="FY122" s="110"/>
      <c r="FZ122" s="110"/>
      <c r="GA122" s="110"/>
      <c r="GB122" s="110"/>
      <c r="GC122" s="110"/>
      <c r="GD122" s="110"/>
      <c r="GE122" s="110"/>
      <c r="GF122" s="110"/>
      <c r="GG122" s="110"/>
      <c r="GH122" s="110"/>
      <c r="GI122" s="110"/>
      <c r="GJ122" s="110"/>
      <c r="GK122" s="110"/>
      <c r="GL122" s="110"/>
      <c r="GM122" s="110"/>
      <c r="GN122" s="110"/>
      <c r="GO122" s="110"/>
      <c r="GP122" s="110"/>
      <c r="GQ122" s="110"/>
      <c r="GR122" s="110"/>
      <c r="GS122" s="110"/>
      <c r="GT122" s="110"/>
      <c r="GU122" s="110"/>
      <c r="GV122" s="110"/>
      <c r="GW122" s="110"/>
      <c r="GX122" s="110"/>
      <c r="GY122" s="110"/>
      <c r="GZ122" s="110"/>
      <c r="HA122" s="110"/>
      <c r="HB122" s="110"/>
      <c r="HC122" s="110"/>
      <c r="HD122" s="110"/>
      <c r="HE122" s="110"/>
      <c r="HF122" s="110"/>
      <c r="HG122" s="110"/>
      <c r="HH122" s="110"/>
      <c r="HI122" s="110"/>
      <c r="HJ122" s="110"/>
      <c r="HK122" s="110"/>
      <c r="HL122" s="110"/>
      <c r="HM122" s="110"/>
      <c r="HN122" s="110"/>
      <c r="HO122" s="110"/>
      <c r="HP122" s="110"/>
      <c r="HQ122" s="110"/>
      <c r="HR122" s="110"/>
      <c r="HS122" s="110"/>
      <c r="HT122" s="110"/>
      <c r="HU122" s="110"/>
      <c r="HV122" s="110"/>
      <c r="HW122" s="110"/>
      <c r="HX122" s="110"/>
      <c r="HY122" s="110"/>
      <c r="HZ122" s="110"/>
      <c r="IA122" s="110"/>
      <c r="IB122" s="110"/>
      <c r="IC122" s="110"/>
      <c r="ID122" s="110"/>
      <c r="IE122" s="110"/>
      <c r="IF122" s="110"/>
      <c r="IG122" s="110"/>
      <c r="IH122" s="110"/>
      <c r="II122" s="110"/>
      <c r="IJ122" s="110"/>
      <c r="IK122" s="110"/>
      <c r="IL122" s="110"/>
      <c r="IM122" s="110"/>
      <c r="IN122" s="110"/>
      <c r="IO122" s="110"/>
      <c r="IP122" s="110"/>
      <c r="IQ122" s="70"/>
    </row>
    <row r="123" spans="1:251" ht="16.5" hidden="1" customHeight="1">
      <c r="A123" s="95" t="s">
        <v>450</v>
      </c>
      <c r="B123" t="s">
        <v>1364</v>
      </c>
      <c r="C123" t="s">
        <v>450</v>
      </c>
      <c r="E123" t="s">
        <v>450</v>
      </c>
      <c r="F123" t="s">
        <v>1368</v>
      </c>
      <c r="H123">
        <v>33</v>
      </c>
      <c r="J123" s="214" t="str">
        <f t="shared" si="3"/>
        <v>LTT200133</v>
      </c>
      <c r="K123">
        <v>15880</v>
      </c>
      <c r="R123" s="95" t="s">
        <v>450</v>
      </c>
      <c r="V123" s="214"/>
      <c r="EE123" s="95" t="s">
        <v>450</v>
      </c>
      <c r="EF123" s="110"/>
      <c r="EG123" s="110"/>
      <c r="EH123" s="110"/>
      <c r="EI123" s="216"/>
      <c r="EJ123" s="110"/>
      <c r="EK123" s="110"/>
      <c r="EL123" s="110"/>
      <c r="EM123" s="110"/>
      <c r="EN123" s="110"/>
      <c r="EO123" s="110"/>
      <c r="EP123" s="110"/>
      <c r="EQ123" s="110"/>
      <c r="ER123" s="110"/>
      <c r="ES123" s="110"/>
      <c r="ET123" s="110"/>
      <c r="EU123" s="110"/>
      <c r="EV123" s="110"/>
      <c r="EW123" s="110"/>
      <c r="EX123" s="110"/>
      <c r="EY123" s="110"/>
      <c r="EZ123" s="110"/>
      <c r="FA123" s="110"/>
      <c r="FB123" s="110"/>
      <c r="FC123" s="110"/>
      <c r="FD123" s="110"/>
      <c r="FE123" s="110"/>
      <c r="FF123" s="110"/>
      <c r="FG123" s="110"/>
      <c r="FH123" s="110"/>
      <c r="FI123" s="110"/>
      <c r="FJ123" s="110"/>
      <c r="FK123" s="110"/>
      <c r="FL123" s="110"/>
      <c r="FM123" s="110"/>
      <c r="FN123" s="110"/>
      <c r="FO123" s="110"/>
      <c r="FP123" s="110"/>
      <c r="FQ123" s="110"/>
      <c r="FR123" s="110"/>
      <c r="FS123" s="110"/>
      <c r="FT123" s="110"/>
      <c r="FU123" s="110"/>
      <c r="FV123" s="110"/>
      <c r="FW123" s="110"/>
      <c r="FX123" s="110"/>
      <c r="FY123" s="110"/>
      <c r="FZ123" s="110"/>
      <c r="GA123" s="110"/>
      <c r="GB123" s="110"/>
      <c r="GC123" s="110"/>
      <c r="GD123" s="110"/>
      <c r="GE123" s="110"/>
      <c r="GF123" s="110"/>
      <c r="GG123" s="110"/>
      <c r="GH123" s="110"/>
      <c r="GI123" s="110"/>
      <c r="GJ123" s="110"/>
      <c r="GK123" s="110"/>
      <c r="GL123" s="110"/>
      <c r="GM123" s="110"/>
      <c r="GN123" s="110"/>
      <c r="GO123" s="110"/>
      <c r="GP123" s="110"/>
      <c r="GQ123" s="110"/>
      <c r="GR123" s="110"/>
      <c r="GS123" s="110"/>
      <c r="GT123" s="110"/>
      <c r="GU123" s="110"/>
      <c r="GV123" s="110"/>
      <c r="GW123" s="110"/>
      <c r="GX123" s="110"/>
      <c r="GY123" s="110"/>
      <c r="GZ123" s="110"/>
      <c r="HA123" s="110"/>
      <c r="HB123" s="110"/>
      <c r="HC123" s="110"/>
      <c r="HD123" s="110"/>
      <c r="HE123" s="110"/>
      <c r="HF123" s="110"/>
      <c r="HG123" s="110"/>
      <c r="HH123" s="110"/>
      <c r="HI123" s="110"/>
      <c r="HJ123" s="110"/>
      <c r="HK123" s="110"/>
      <c r="HL123" s="110"/>
      <c r="HM123" s="110"/>
      <c r="HN123" s="110"/>
      <c r="HO123" s="110"/>
      <c r="HP123" s="110"/>
      <c r="HQ123" s="110"/>
      <c r="HR123" s="110"/>
      <c r="HS123" s="110"/>
      <c r="HT123" s="110"/>
      <c r="HU123" s="110"/>
      <c r="HV123" s="110"/>
      <c r="HW123" s="110"/>
      <c r="HX123" s="110"/>
      <c r="HY123" s="110"/>
      <c r="HZ123" s="110"/>
      <c r="IA123" s="110"/>
      <c r="IB123" s="110"/>
      <c r="IC123" s="110"/>
      <c r="ID123" s="110"/>
      <c r="IE123" s="110"/>
      <c r="IF123" s="110"/>
      <c r="IG123" s="110"/>
      <c r="IH123" s="110"/>
      <c r="II123" s="110"/>
      <c r="IJ123" s="110"/>
      <c r="IK123" s="110"/>
      <c r="IL123" s="110"/>
      <c r="IM123" s="110"/>
      <c r="IN123" s="110"/>
      <c r="IO123" s="110"/>
      <c r="IP123" s="110"/>
      <c r="IQ123" s="70"/>
    </row>
    <row r="124" spans="1:251" ht="16.5" hidden="1" customHeight="1">
      <c r="A124" s="95" t="s">
        <v>450</v>
      </c>
      <c r="B124" t="s">
        <v>1364</v>
      </c>
      <c r="C124" t="s">
        <v>450</v>
      </c>
      <c r="E124" t="s">
        <v>450</v>
      </c>
      <c r="F124" t="s">
        <v>1368</v>
      </c>
      <c r="H124">
        <v>34</v>
      </c>
      <c r="J124" s="214" t="str">
        <f t="shared" si="3"/>
        <v>LTT200134</v>
      </c>
      <c r="K124">
        <v>16100</v>
      </c>
      <c r="R124" s="95" t="s">
        <v>450</v>
      </c>
      <c r="V124" s="214"/>
      <c r="EE124" s="95" t="s">
        <v>450</v>
      </c>
      <c r="EF124" s="110"/>
      <c r="EG124" s="110"/>
      <c r="EH124" s="110"/>
      <c r="EI124" s="216"/>
      <c r="EJ124" s="110"/>
      <c r="EK124" s="110"/>
      <c r="EL124" s="110"/>
      <c r="EM124" s="110"/>
      <c r="EN124" s="110"/>
      <c r="EO124" s="110"/>
      <c r="EP124" s="110"/>
      <c r="EQ124" s="110"/>
      <c r="ER124" s="110"/>
      <c r="ES124" s="110"/>
      <c r="ET124" s="110"/>
      <c r="EU124" s="110"/>
      <c r="EV124" s="110"/>
      <c r="EW124" s="110"/>
      <c r="EX124" s="110"/>
      <c r="EY124" s="110"/>
      <c r="EZ124" s="110"/>
      <c r="FA124" s="110"/>
      <c r="FB124" s="110"/>
      <c r="FC124" s="110"/>
      <c r="FD124" s="110"/>
      <c r="FE124" s="110"/>
      <c r="FF124" s="110"/>
      <c r="FG124" s="110"/>
      <c r="FH124" s="110"/>
      <c r="FI124" s="110"/>
      <c r="FJ124" s="110"/>
      <c r="FK124" s="110"/>
      <c r="FL124" s="110"/>
      <c r="FM124" s="110"/>
      <c r="FN124" s="110"/>
      <c r="FO124" s="110"/>
      <c r="FP124" s="110"/>
      <c r="FQ124" s="110"/>
      <c r="FR124" s="110"/>
      <c r="FS124" s="110"/>
      <c r="FT124" s="110"/>
      <c r="FU124" s="110"/>
      <c r="FV124" s="110"/>
      <c r="FW124" s="110"/>
      <c r="FX124" s="110"/>
      <c r="FY124" s="110"/>
      <c r="FZ124" s="110"/>
      <c r="GA124" s="110"/>
      <c r="GB124" s="110"/>
      <c r="GC124" s="110"/>
      <c r="GD124" s="110"/>
      <c r="GE124" s="110"/>
      <c r="GF124" s="110"/>
      <c r="GG124" s="110"/>
      <c r="GH124" s="110"/>
      <c r="GI124" s="110"/>
      <c r="GJ124" s="110"/>
      <c r="GK124" s="110"/>
      <c r="GL124" s="110"/>
      <c r="GM124" s="110"/>
      <c r="GN124" s="110"/>
      <c r="GO124" s="110"/>
      <c r="GP124" s="110"/>
      <c r="GQ124" s="110"/>
      <c r="GR124" s="110"/>
      <c r="GS124" s="110"/>
      <c r="GT124" s="110"/>
      <c r="GU124" s="110"/>
      <c r="GV124" s="110"/>
      <c r="GW124" s="110"/>
      <c r="GX124" s="110"/>
      <c r="GY124" s="110"/>
      <c r="GZ124" s="110"/>
      <c r="HA124" s="110"/>
      <c r="HB124" s="110"/>
      <c r="HC124" s="110"/>
      <c r="HD124" s="110"/>
      <c r="HE124" s="110"/>
      <c r="HF124" s="110"/>
      <c r="HG124" s="110"/>
      <c r="HH124" s="110"/>
      <c r="HI124" s="110"/>
      <c r="HJ124" s="110"/>
      <c r="HK124" s="110"/>
      <c r="HL124" s="110"/>
      <c r="HM124" s="110"/>
      <c r="HN124" s="110"/>
      <c r="HO124" s="110"/>
      <c r="HP124" s="110"/>
      <c r="HQ124" s="110"/>
      <c r="HR124" s="110"/>
      <c r="HS124" s="110"/>
      <c r="HT124" s="110"/>
      <c r="HU124" s="110"/>
      <c r="HV124" s="110"/>
      <c r="HW124" s="110"/>
      <c r="HX124" s="110"/>
      <c r="HY124" s="110"/>
      <c r="HZ124" s="110"/>
      <c r="IA124" s="110"/>
      <c r="IB124" s="110"/>
      <c r="IC124" s="110"/>
      <c r="ID124" s="110"/>
      <c r="IE124" s="110"/>
      <c r="IF124" s="110"/>
      <c r="IG124" s="110"/>
      <c r="IH124" s="110"/>
      <c r="II124" s="110"/>
      <c r="IJ124" s="110"/>
      <c r="IK124" s="110"/>
      <c r="IL124" s="110"/>
      <c r="IM124" s="110"/>
      <c r="IN124" s="110"/>
      <c r="IO124" s="110"/>
      <c r="IP124" s="110"/>
      <c r="IQ124" s="70"/>
    </row>
    <row r="125" spans="1:251" ht="16.5" hidden="1" customHeight="1">
      <c r="A125" s="95" t="s">
        <v>450</v>
      </c>
      <c r="B125" t="s">
        <v>1364</v>
      </c>
      <c r="C125" t="s">
        <v>450</v>
      </c>
      <c r="E125" t="s">
        <v>450</v>
      </c>
      <c r="F125" t="s">
        <v>1368</v>
      </c>
      <c r="H125">
        <v>35</v>
      </c>
      <c r="J125" s="214" t="str">
        <f t="shared" si="3"/>
        <v>LTT200135</v>
      </c>
      <c r="K125">
        <v>16370</v>
      </c>
      <c r="R125" s="95" t="s">
        <v>450</v>
      </c>
      <c r="V125" s="214"/>
      <c r="EE125" s="95" t="s">
        <v>450</v>
      </c>
      <c r="EF125" s="110"/>
      <c r="EG125" s="110"/>
      <c r="EH125" s="110"/>
      <c r="EI125" s="216"/>
      <c r="EJ125" s="110"/>
      <c r="EK125" s="110"/>
      <c r="EL125" s="110"/>
      <c r="EM125" s="110"/>
      <c r="EN125" s="110"/>
      <c r="EO125" s="110"/>
      <c r="EP125" s="110"/>
      <c r="EQ125" s="110"/>
      <c r="ER125" s="110"/>
      <c r="ES125" s="110"/>
      <c r="ET125" s="110"/>
      <c r="EU125" s="110"/>
      <c r="EV125" s="110"/>
      <c r="EW125" s="110"/>
      <c r="EX125" s="110"/>
      <c r="EY125" s="110"/>
      <c r="EZ125" s="110"/>
      <c r="FA125" s="110"/>
      <c r="FB125" s="110"/>
      <c r="FC125" s="110"/>
      <c r="FD125" s="110"/>
      <c r="FE125" s="110"/>
      <c r="FF125" s="110"/>
      <c r="FG125" s="110"/>
      <c r="FH125" s="110"/>
      <c r="FI125" s="110"/>
      <c r="FJ125" s="110"/>
      <c r="FK125" s="110"/>
      <c r="FL125" s="110"/>
      <c r="FM125" s="110"/>
      <c r="FN125" s="110"/>
      <c r="FO125" s="110"/>
      <c r="FP125" s="110"/>
      <c r="FQ125" s="110"/>
      <c r="FR125" s="110"/>
      <c r="FS125" s="110"/>
      <c r="FT125" s="110"/>
      <c r="FU125" s="110"/>
      <c r="FV125" s="110"/>
      <c r="FW125" s="110"/>
      <c r="FX125" s="110"/>
      <c r="FY125" s="110"/>
      <c r="FZ125" s="110"/>
      <c r="GA125" s="110"/>
      <c r="GB125" s="110"/>
      <c r="GC125" s="110"/>
      <c r="GD125" s="110"/>
      <c r="GE125" s="110"/>
      <c r="GF125" s="110"/>
      <c r="GG125" s="110"/>
      <c r="GH125" s="110"/>
      <c r="GI125" s="110"/>
      <c r="GJ125" s="110"/>
      <c r="GK125" s="110"/>
      <c r="GL125" s="110"/>
      <c r="GM125" s="110"/>
      <c r="GN125" s="110"/>
      <c r="GO125" s="110"/>
      <c r="GP125" s="110"/>
      <c r="GQ125" s="110"/>
      <c r="GR125" s="110"/>
      <c r="GS125" s="110"/>
      <c r="GT125" s="110"/>
      <c r="GU125" s="110"/>
      <c r="GV125" s="110"/>
      <c r="GW125" s="110"/>
      <c r="GX125" s="110"/>
      <c r="GY125" s="110"/>
      <c r="GZ125" s="110"/>
      <c r="HA125" s="110"/>
      <c r="HB125" s="110"/>
      <c r="HC125" s="110"/>
      <c r="HD125" s="110"/>
      <c r="HE125" s="110"/>
      <c r="HF125" s="110"/>
      <c r="HG125" s="110"/>
      <c r="HH125" s="110"/>
      <c r="HI125" s="110"/>
      <c r="HJ125" s="110"/>
      <c r="HK125" s="110"/>
      <c r="HL125" s="110"/>
      <c r="HM125" s="110"/>
      <c r="HN125" s="110"/>
      <c r="HO125" s="110"/>
      <c r="HP125" s="110"/>
      <c r="HQ125" s="110"/>
      <c r="HR125" s="110"/>
      <c r="HS125" s="110"/>
      <c r="HT125" s="110"/>
      <c r="HU125" s="110"/>
      <c r="HV125" s="110"/>
      <c r="HW125" s="110"/>
      <c r="HX125" s="110"/>
      <c r="HY125" s="110"/>
      <c r="HZ125" s="110"/>
      <c r="IA125" s="110"/>
      <c r="IB125" s="110"/>
      <c r="IC125" s="110"/>
      <c r="ID125" s="110"/>
      <c r="IE125" s="110"/>
      <c r="IF125" s="110"/>
      <c r="IG125" s="110"/>
      <c r="IH125" s="110"/>
      <c r="II125" s="110"/>
      <c r="IJ125" s="110"/>
      <c r="IK125" s="110"/>
      <c r="IL125" s="110"/>
      <c r="IM125" s="110"/>
      <c r="IN125" s="110"/>
      <c r="IO125" s="110"/>
      <c r="IP125" s="110"/>
      <c r="IQ125" s="70"/>
    </row>
    <row r="126" spans="1:251" ht="16.5" hidden="1" customHeight="1">
      <c r="A126" s="95" t="s">
        <v>450</v>
      </c>
      <c r="B126" t="s">
        <v>1364</v>
      </c>
      <c r="C126" t="s">
        <v>450</v>
      </c>
      <c r="E126" t="s">
        <v>450</v>
      </c>
      <c r="F126" t="s">
        <v>1368</v>
      </c>
      <c r="H126">
        <v>36</v>
      </c>
      <c r="J126" s="214" t="str">
        <f t="shared" si="3"/>
        <v>LTT200136</v>
      </c>
      <c r="K126">
        <v>16660</v>
      </c>
      <c r="R126" s="95" t="s">
        <v>450</v>
      </c>
      <c r="V126" s="214"/>
      <c r="EE126" s="95" t="s">
        <v>450</v>
      </c>
      <c r="EF126" s="110"/>
      <c r="EG126" s="110"/>
      <c r="EH126" s="110"/>
      <c r="EI126" s="216"/>
      <c r="EJ126" s="110"/>
      <c r="EK126" s="110"/>
      <c r="EL126" s="110"/>
      <c r="EM126" s="110"/>
      <c r="EN126" s="110"/>
      <c r="EO126" s="110"/>
      <c r="EP126" s="110"/>
      <c r="EQ126" s="110"/>
      <c r="ER126" s="110"/>
      <c r="ES126" s="110"/>
      <c r="ET126" s="110"/>
      <c r="EU126" s="110"/>
      <c r="EV126" s="110"/>
      <c r="EW126" s="110"/>
      <c r="EX126" s="110"/>
      <c r="EY126" s="110"/>
      <c r="EZ126" s="110"/>
      <c r="FA126" s="110"/>
      <c r="FB126" s="110"/>
      <c r="FC126" s="110"/>
      <c r="FD126" s="110"/>
      <c r="FE126" s="110"/>
      <c r="FF126" s="110"/>
      <c r="FG126" s="110"/>
      <c r="FH126" s="110"/>
      <c r="FI126" s="110"/>
      <c r="FJ126" s="110"/>
      <c r="FK126" s="110"/>
      <c r="FL126" s="110"/>
      <c r="FM126" s="110"/>
      <c r="FN126" s="110"/>
      <c r="FO126" s="110"/>
      <c r="FP126" s="110"/>
      <c r="FQ126" s="110"/>
      <c r="FR126" s="110"/>
      <c r="FS126" s="110"/>
      <c r="FT126" s="110"/>
      <c r="FU126" s="110"/>
      <c r="FV126" s="110"/>
      <c r="FW126" s="110"/>
      <c r="FX126" s="110"/>
      <c r="FY126" s="110"/>
      <c r="FZ126" s="110"/>
      <c r="GA126" s="110"/>
      <c r="GB126" s="110"/>
      <c r="GC126" s="110"/>
      <c r="GD126" s="110"/>
      <c r="GE126" s="110"/>
      <c r="GF126" s="110"/>
      <c r="GG126" s="110"/>
      <c r="GH126" s="110"/>
      <c r="GI126" s="110"/>
      <c r="GJ126" s="110"/>
      <c r="GK126" s="110"/>
      <c r="GL126" s="110"/>
      <c r="GM126" s="110"/>
      <c r="GN126" s="110"/>
      <c r="GO126" s="110"/>
      <c r="GP126" s="110"/>
      <c r="GQ126" s="110"/>
      <c r="GR126" s="110"/>
      <c r="GS126" s="110"/>
      <c r="GT126" s="110"/>
      <c r="GU126" s="110"/>
      <c r="GV126" s="110"/>
      <c r="GW126" s="110"/>
      <c r="GX126" s="110"/>
      <c r="GY126" s="110"/>
      <c r="GZ126" s="110"/>
      <c r="HA126" s="110"/>
      <c r="HB126" s="110"/>
      <c r="HC126" s="110"/>
      <c r="HD126" s="110"/>
      <c r="HE126" s="110"/>
      <c r="HF126" s="110"/>
      <c r="HG126" s="110"/>
      <c r="HH126" s="110"/>
      <c r="HI126" s="110"/>
      <c r="HJ126" s="110"/>
      <c r="HK126" s="110"/>
      <c r="HL126" s="110"/>
      <c r="HM126" s="110"/>
      <c r="HN126" s="110"/>
      <c r="HO126" s="110"/>
      <c r="HP126" s="110"/>
      <c r="HQ126" s="110"/>
      <c r="HR126" s="110"/>
      <c r="HS126" s="110"/>
      <c r="HT126" s="110"/>
      <c r="HU126" s="110"/>
      <c r="HV126" s="110"/>
      <c r="HW126" s="110"/>
      <c r="HX126" s="110"/>
      <c r="HY126" s="110"/>
      <c r="HZ126" s="110"/>
      <c r="IA126" s="110"/>
      <c r="IB126" s="110"/>
      <c r="IC126" s="110"/>
      <c r="ID126" s="110"/>
      <c r="IE126" s="110"/>
      <c r="IF126" s="110"/>
      <c r="IG126" s="110"/>
      <c r="IH126" s="110"/>
      <c r="II126" s="110"/>
      <c r="IJ126" s="110"/>
      <c r="IK126" s="110"/>
      <c r="IL126" s="110"/>
      <c r="IM126" s="110"/>
      <c r="IN126" s="110"/>
      <c r="IO126" s="110"/>
      <c r="IP126" s="110"/>
      <c r="IQ126" s="70"/>
    </row>
    <row r="127" spans="1:251" ht="16.5" hidden="1" customHeight="1">
      <c r="A127" s="95" t="s">
        <v>450</v>
      </c>
      <c r="B127" t="s">
        <v>1364</v>
      </c>
      <c r="C127" t="s">
        <v>450</v>
      </c>
      <c r="E127" t="s">
        <v>450</v>
      </c>
      <c r="F127" t="s">
        <v>1368</v>
      </c>
      <c r="H127">
        <v>37</v>
      </c>
      <c r="J127" s="214" t="str">
        <f t="shared" si="3"/>
        <v>LTT200137</v>
      </c>
      <c r="K127">
        <v>16880</v>
      </c>
      <c r="R127" s="95" t="s">
        <v>450</v>
      </c>
      <c r="V127" s="214"/>
      <c r="EE127" s="95" t="s">
        <v>450</v>
      </c>
      <c r="EF127" s="110"/>
      <c r="EG127" s="110"/>
      <c r="EH127" s="110"/>
      <c r="EI127" s="216"/>
      <c r="EJ127" s="110"/>
      <c r="EK127" s="110"/>
      <c r="EL127" s="110"/>
      <c r="EM127" s="110"/>
      <c r="EN127" s="110"/>
      <c r="EO127" s="110"/>
      <c r="EP127" s="110"/>
      <c r="EQ127" s="110"/>
      <c r="ER127" s="110"/>
      <c r="ES127" s="110"/>
      <c r="ET127" s="110"/>
      <c r="EU127" s="110"/>
      <c r="EV127" s="110"/>
      <c r="EW127" s="110"/>
      <c r="EX127" s="110"/>
      <c r="EY127" s="110"/>
      <c r="EZ127" s="110"/>
      <c r="FA127" s="110"/>
      <c r="FB127" s="110"/>
      <c r="FC127" s="110"/>
      <c r="FD127" s="110"/>
      <c r="FE127" s="110"/>
      <c r="FF127" s="110"/>
      <c r="FG127" s="110"/>
      <c r="FH127" s="110"/>
      <c r="FI127" s="110"/>
      <c r="FJ127" s="110"/>
      <c r="FK127" s="110"/>
      <c r="FL127" s="110"/>
      <c r="FM127" s="110"/>
      <c r="FN127" s="110"/>
      <c r="FO127" s="110"/>
      <c r="FP127" s="110"/>
      <c r="FQ127" s="110"/>
      <c r="FR127" s="110"/>
      <c r="FS127" s="110"/>
      <c r="FT127" s="110"/>
      <c r="FU127" s="110"/>
      <c r="FV127" s="110"/>
      <c r="FW127" s="110"/>
      <c r="FX127" s="110"/>
      <c r="FY127" s="110"/>
      <c r="FZ127" s="110"/>
      <c r="GA127" s="110"/>
      <c r="GB127" s="110"/>
      <c r="GC127" s="110"/>
      <c r="GD127" s="110"/>
      <c r="GE127" s="110"/>
      <c r="GF127" s="110"/>
      <c r="GG127" s="110"/>
      <c r="GH127" s="110"/>
      <c r="GI127" s="110"/>
      <c r="GJ127" s="110"/>
      <c r="GK127" s="110"/>
      <c r="GL127" s="110"/>
      <c r="GM127" s="110"/>
      <c r="GN127" s="110"/>
      <c r="GO127" s="110"/>
      <c r="GP127" s="110"/>
      <c r="GQ127" s="110"/>
      <c r="GR127" s="110"/>
      <c r="GS127" s="110"/>
      <c r="GT127" s="110"/>
      <c r="GU127" s="110"/>
      <c r="GV127" s="110"/>
      <c r="GW127" s="110"/>
      <c r="GX127" s="110"/>
      <c r="GY127" s="110"/>
      <c r="GZ127" s="110"/>
      <c r="HA127" s="110"/>
      <c r="HB127" s="110"/>
      <c r="HC127" s="110"/>
      <c r="HD127" s="110"/>
      <c r="HE127" s="110"/>
      <c r="HF127" s="110"/>
      <c r="HG127" s="110"/>
      <c r="HH127" s="110"/>
      <c r="HI127" s="110"/>
      <c r="HJ127" s="110"/>
      <c r="HK127" s="110"/>
      <c r="HL127" s="110"/>
      <c r="HM127" s="110"/>
      <c r="HN127" s="110"/>
      <c r="HO127" s="110"/>
      <c r="HP127" s="110"/>
      <c r="HQ127" s="110"/>
      <c r="HR127" s="110"/>
      <c r="HS127" s="110"/>
      <c r="HT127" s="110"/>
      <c r="HU127" s="110"/>
      <c r="HV127" s="110"/>
      <c r="HW127" s="110"/>
      <c r="HX127" s="110"/>
      <c r="HY127" s="110"/>
      <c r="HZ127" s="110"/>
      <c r="IA127" s="110"/>
      <c r="IB127" s="110"/>
      <c r="IC127" s="110"/>
      <c r="ID127" s="110"/>
      <c r="IE127" s="110"/>
      <c r="IF127" s="110"/>
      <c r="IG127" s="110"/>
      <c r="IH127" s="110"/>
      <c r="II127" s="110"/>
      <c r="IJ127" s="110"/>
      <c r="IK127" s="110"/>
      <c r="IL127" s="110"/>
      <c r="IM127" s="110"/>
      <c r="IN127" s="110"/>
      <c r="IO127" s="110"/>
      <c r="IP127" s="110"/>
      <c r="IQ127" s="70"/>
    </row>
    <row r="128" spans="1:251" ht="16.5" hidden="1" customHeight="1">
      <c r="A128" s="95" t="s">
        <v>450</v>
      </c>
      <c r="B128" t="s">
        <v>1364</v>
      </c>
      <c r="C128" t="s">
        <v>450</v>
      </c>
      <c r="E128" t="s">
        <v>450</v>
      </c>
      <c r="F128" t="s">
        <v>1368</v>
      </c>
      <c r="H128">
        <v>38</v>
      </c>
      <c r="J128" s="214" t="str">
        <f t="shared" si="3"/>
        <v>LTT200138</v>
      </c>
      <c r="K128">
        <v>17160</v>
      </c>
      <c r="R128" s="95" t="s">
        <v>450</v>
      </c>
      <c r="V128" s="214"/>
      <c r="EE128" s="95" t="s">
        <v>450</v>
      </c>
      <c r="EF128" s="110"/>
      <c r="EG128" s="110"/>
      <c r="EH128" s="110"/>
      <c r="EI128" s="216"/>
      <c r="EJ128" s="110"/>
      <c r="EK128" s="110"/>
      <c r="EL128" s="110"/>
      <c r="EM128" s="110"/>
      <c r="EN128" s="110"/>
      <c r="EO128" s="110"/>
      <c r="EP128" s="110"/>
      <c r="EQ128" s="110"/>
      <c r="ER128" s="110"/>
      <c r="ES128" s="110"/>
      <c r="ET128" s="110"/>
      <c r="EU128" s="110"/>
      <c r="EV128" s="110"/>
      <c r="EW128" s="110"/>
      <c r="EX128" s="110"/>
      <c r="EY128" s="110"/>
      <c r="EZ128" s="110"/>
      <c r="FA128" s="110"/>
      <c r="FB128" s="110"/>
      <c r="FC128" s="110"/>
      <c r="FD128" s="110"/>
      <c r="FE128" s="110"/>
      <c r="FF128" s="110"/>
      <c r="FG128" s="110"/>
      <c r="FH128" s="110"/>
      <c r="FI128" s="110"/>
      <c r="FJ128" s="110"/>
      <c r="FK128" s="110"/>
      <c r="FL128" s="110"/>
      <c r="FM128" s="110"/>
      <c r="FN128" s="110"/>
      <c r="FO128" s="110"/>
      <c r="FP128" s="110"/>
      <c r="FQ128" s="110"/>
      <c r="FR128" s="110"/>
      <c r="FS128" s="110"/>
      <c r="FT128" s="110"/>
      <c r="FU128" s="110"/>
      <c r="FV128" s="110"/>
      <c r="FW128" s="110"/>
      <c r="FX128" s="110"/>
      <c r="FY128" s="110"/>
      <c r="FZ128" s="110"/>
      <c r="GA128" s="110"/>
      <c r="GB128" s="110"/>
      <c r="GC128" s="110"/>
      <c r="GD128" s="110"/>
      <c r="GE128" s="110"/>
      <c r="GF128" s="110"/>
      <c r="GG128" s="110"/>
      <c r="GH128" s="110"/>
      <c r="GI128" s="110"/>
      <c r="GJ128" s="110"/>
      <c r="GK128" s="110"/>
      <c r="GL128" s="110"/>
      <c r="GM128" s="110"/>
      <c r="GN128" s="110"/>
      <c r="GO128" s="110"/>
      <c r="GP128" s="110"/>
      <c r="GQ128" s="110"/>
      <c r="GR128" s="110"/>
      <c r="GS128" s="110"/>
      <c r="GT128" s="110"/>
      <c r="GU128" s="110"/>
      <c r="GV128" s="110"/>
      <c r="GW128" s="110"/>
      <c r="GX128" s="110"/>
      <c r="GY128" s="110"/>
      <c r="GZ128" s="110"/>
      <c r="HA128" s="110"/>
      <c r="HB128" s="110"/>
      <c r="HC128" s="110"/>
      <c r="HD128" s="110"/>
      <c r="HE128" s="110"/>
      <c r="HF128" s="110"/>
      <c r="HG128" s="110"/>
      <c r="HH128" s="110"/>
      <c r="HI128" s="110"/>
      <c r="HJ128" s="110"/>
      <c r="HK128" s="110"/>
      <c r="HL128" s="110"/>
      <c r="HM128" s="110"/>
      <c r="HN128" s="110"/>
      <c r="HO128" s="110"/>
      <c r="HP128" s="110"/>
      <c r="HQ128" s="110"/>
      <c r="HR128" s="110"/>
      <c r="HS128" s="110"/>
      <c r="HT128" s="110"/>
      <c r="HU128" s="110"/>
      <c r="HV128" s="110"/>
      <c r="HW128" s="110"/>
      <c r="HX128" s="110"/>
      <c r="HY128" s="110"/>
      <c r="HZ128" s="110"/>
      <c r="IA128" s="110"/>
      <c r="IB128" s="110"/>
      <c r="IC128" s="110"/>
      <c r="ID128" s="110"/>
      <c r="IE128" s="110"/>
      <c r="IF128" s="110"/>
      <c r="IG128" s="110"/>
      <c r="IH128" s="110"/>
      <c r="II128" s="110"/>
      <c r="IJ128" s="110"/>
      <c r="IK128" s="110"/>
      <c r="IL128" s="110"/>
      <c r="IM128" s="110"/>
      <c r="IN128" s="110"/>
      <c r="IO128" s="110"/>
      <c r="IP128" s="110"/>
      <c r="IQ128" s="70"/>
    </row>
    <row r="129" spans="1:251" ht="16.5" hidden="1" customHeight="1">
      <c r="A129" s="95" t="s">
        <v>450</v>
      </c>
      <c r="B129" t="s">
        <v>1364</v>
      </c>
      <c r="C129" t="s">
        <v>450</v>
      </c>
      <c r="E129" t="s">
        <v>450</v>
      </c>
      <c r="F129" t="s">
        <v>1368</v>
      </c>
      <c r="H129">
        <v>39</v>
      </c>
      <c r="J129" s="214" t="str">
        <f t="shared" si="3"/>
        <v>LTT200139</v>
      </c>
      <c r="K129">
        <v>17430</v>
      </c>
      <c r="R129" s="95" t="s">
        <v>450</v>
      </c>
      <c r="V129" s="214"/>
      <c r="EE129" s="95" t="s">
        <v>450</v>
      </c>
      <c r="EF129" s="110"/>
      <c r="EG129" s="110"/>
      <c r="EH129" s="110"/>
      <c r="EI129" s="216"/>
      <c r="EJ129" s="110"/>
      <c r="EK129" s="110"/>
      <c r="EL129" s="110"/>
      <c r="EM129" s="110"/>
      <c r="EN129" s="110"/>
      <c r="EO129" s="110"/>
      <c r="EP129" s="110"/>
      <c r="EQ129" s="110"/>
      <c r="ER129" s="110"/>
      <c r="ES129" s="110"/>
      <c r="ET129" s="110"/>
      <c r="EU129" s="110"/>
      <c r="EV129" s="110"/>
      <c r="EW129" s="110"/>
      <c r="EX129" s="110"/>
      <c r="EY129" s="110"/>
      <c r="EZ129" s="110"/>
      <c r="FA129" s="110"/>
      <c r="FB129" s="110"/>
      <c r="FC129" s="110"/>
      <c r="FD129" s="110"/>
      <c r="FE129" s="110"/>
      <c r="FF129" s="110"/>
      <c r="FG129" s="110"/>
      <c r="FH129" s="110"/>
      <c r="FI129" s="110"/>
      <c r="FJ129" s="110"/>
      <c r="FK129" s="110"/>
      <c r="FL129" s="110"/>
      <c r="FM129" s="110"/>
      <c r="FN129" s="110"/>
      <c r="FO129" s="110"/>
      <c r="FP129" s="110"/>
      <c r="FQ129" s="110"/>
      <c r="FR129" s="110"/>
      <c r="FS129" s="110"/>
      <c r="FT129" s="110"/>
      <c r="FU129" s="110"/>
      <c r="FV129" s="110"/>
      <c r="FW129" s="110"/>
      <c r="FX129" s="110"/>
      <c r="FY129" s="110"/>
      <c r="FZ129" s="110"/>
      <c r="GA129" s="110"/>
      <c r="GB129" s="110"/>
      <c r="GC129" s="110"/>
      <c r="GD129" s="110"/>
      <c r="GE129" s="110"/>
      <c r="GF129" s="110"/>
      <c r="GG129" s="110"/>
      <c r="GH129" s="110"/>
      <c r="GI129" s="110"/>
      <c r="GJ129" s="110"/>
      <c r="GK129" s="110"/>
      <c r="GL129" s="110"/>
      <c r="GM129" s="110"/>
      <c r="GN129" s="110"/>
      <c r="GO129" s="110"/>
      <c r="GP129" s="110"/>
      <c r="GQ129" s="110"/>
      <c r="GR129" s="110"/>
      <c r="GS129" s="110"/>
      <c r="GT129" s="110"/>
      <c r="GU129" s="110"/>
      <c r="GV129" s="110"/>
      <c r="GW129" s="110"/>
      <c r="GX129" s="110"/>
      <c r="GY129" s="110"/>
      <c r="GZ129" s="110"/>
      <c r="HA129" s="110"/>
      <c r="HB129" s="110"/>
      <c r="HC129" s="110"/>
      <c r="HD129" s="110"/>
      <c r="HE129" s="110"/>
      <c r="HF129" s="110"/>
      <c r="HG129" s="110"/>
      <c r="HH129" s="110"/>
      <c r="HI129" s="110"/>
      <c r="HJ129" s="110"/>
      <c r="HK129" s="110"/>
      <c r="HL129" s="110"/>
      <c r="HM129" s="110"/>
      <c r="HN129" s="110"/>
      <c r="HO129" s="110"/>
      <c r="HP129" s="110"/>
      <c r="HQ129" s="110"/>
      <c r="HR129" s="110"/>
      <c r="HS129" s="110"/>
      <c r="HT129" s="110"/>
      <c r="HU129" s="110"/>
      <c r="HV129" s="110"/>
      <c r="HW129" s="110"/>
      <c r="HX129" s="110"/>
      <c r="HY129" s="110"/>
      <c r="HZ129" s="110"/>
      <c r="IA129" s="110"/>
      <c r="IB129" s="110"/>
      <c r="IC129" s="110"/>
      <c r="ID129" s="110"/>
      <c r="IE129" s="110"/>
      <c r="IF129" s="110"/>
      <c r="IG129" s="110"/>
      <c r="IH129" s="110"/>
      <c r="II129" s="110"/>
      <c r="IJ129" s="110"/>
      <c r="IK129" s="110"/>
      <c r="IL129" s="110"/>
      <c r="IM129" s="110"/>
      <c r="IN129" s="110"/>
      <c r="IO129" s="110"/>
      <c r="IP129" s="110"/>
      <c r="IQ129" s="70"/>
    </row>
    <row r="130" spans="1:251" ht="16.5" hidden="1" customHeight="1">
      <c r="A130" s="95" t="s">
        <v>450</v>
      </c>
      <c r="B130" t="s">
        <v>1364</v>
      </c>
      <c r="C130" t="s">
        <v>450</v>
      </c>
      <c r="E130" t="s">
        <v>450</v>
      </c>
      <c r="F130" t="s">
        <v>1368</v>
      </c>
      <c r="H130">
        <v>40</v>
      </c>
      <c r="J130" s="214" t="str">
        <f t="shared" ref="J130:J193" si="4">B130&amp;TEXT(F130,"00")&amp;TEXT(H130,"00")</f>
        <v>LTT200140</v>
      </c>
      <c r="K130">
        <v>17700</v>
      </c>
      <c r="R130" s="95" t="s">
        <v>450</v>
      </c>
      <c r="V130" s="214"/>
      <c r="EE130" s="95" t="s">
        <v>450</v>
      </c>
      <c r="EF130" s="110"/>
      <c r="EG130" s="110"/>
      <c r="EH130" s="110"/>
      <c r="EI130" s="216"/>
      <c r="EJ130" s="110"/>
      <c r="EK130" s="110"/>
      <c r="EL130" s="110"/>
      <c r="EM130" s="110"/>
      <c r="EN130" s="110"/>
      <c r="EO130" s="110"/>
      <c r="EP130" s="110"/>
      <c r="EQ130" s="110"/>
      <c r="ER130" s="110"/>
      <c r="ES130" s="110"/>
      <c r="ET130" s="110"/>
      <c r="EU130" s="110"/>
      <c r="EV130" s="110"/>
      <c r="EW130" s="110"/>
      <c r="EX130" s="110"/>
      <c r="EY130" s="110"/>
      <c r="EZ130" s="110"/>
      <c r="FA130" s="110"/>
      <c r="FB130" s="110"/>
      <c r="FC130" s="110"/>
      <c r="FD130" s="110"/>
      <c r="FE130" s="110"/>
      <c r="FF130" s="110"/>
      <c r="FG130" s="110"/>
      <c r="FH130" s="110"/>
      <c r="FI130" s="110"/>
      <c r="FJ130" s="110"/>
      <c r="FK130" s="110"/>
      <c r="FL130" s="110"/>
      <c r="FM130" s="110"/>
      <c r="FN130" s="110"/>
      <c r="FO130" s="110"/>
      <c r="FP130" s="110"/>
      <c r="FQ130" s="110"/>
      <c r="FR130" s="110"/>
      <c r="FS130" s="110"/>
      <c r="FT130" s="110"/>
      <c r="FU130" s="110"/>
      <c r="FV130" s="110"/>
      <c r="FW130" s="110"/>
      <c r="FX130" s="110"/>
      <c r="FY130" s="110"/>
      <c r="FZ130" s="110"/>
      <c r="GA130" s="110"/>
      <c r="GB130" s="110"/>
      <c r="GC130" s="110"/>
      <c r="GD130" s="110"/>
      <c r="GE130" s="110"/>
      <c r="GF130" s="110"/>
      <c r="GG130" s="110"/>
      <c r="GH130" s="110"/>
      <c r="GI130" s="110"/>
      <c r="GJ130" s="110"/>
      <c r="GK130" s="110"/>
      <c r="GL130" s="110"/>
      <c r="GM130" s="110"/>
      <c r="GN130" s="110"/>
      <c r="GO130" s="110"/>
      <c r="GP130" s="110"/>
      <c r="GQ130" s="110"/>
      <c r="GR130" s="110"/>
      <c r="GS130" s="110"/>
      <c r="GT130" s="110"/>
      <c r="GU130" s="110"/>
      <c r="GV130" s="110"/>
      <c r="GW130" s="110"/>
      <c r="GX130" s="110"/>
      <c r="GY130" s="110"/>
      <c r="GZ130" s="110"/>
      <c r="HA130" s="110"/>
      <c r="HB130" s="110"/>
      <c r="HC130" s="110"/>
      <c r="HD130" s="110"/>
      <c r="HE130" s="110"/>
      <c r="HF130" s="110"/>
      <c r="HG130" s="110"/>
      <c r="HH130" s="110"/>
      <c r="HI130" s="110"/>
      <c r="HJ130" s="110"/>
      <c r="HK130" s="110"/>
      <c r="HL130" s="110"/>
      <c r="HM130" s="110"/>
      <c r="HN130" s="110"/>
      <c r="HO130" s="110"/>
      <c r="HP130" s="110"/>
      <c r="HQ130" s="110"/>
      <c r="HR130" s="110"/>
      <c r="HS130" s="110"/>
      <c r="HT130" s="110"/>
      <c r="HU130" s="110"/>
      <c r="HV130" s="110"/>
      <c r="HW130" s="110"/>
      <c r="HX130" s="110"/>
      <c r="HY130" s="110"/>
      <c r="HZ130" s="110"/>
      <c r="IA130" s="110"/>
      <c r="IB130" s="110"/>
      <c r="IC130" s="110"/>
      <c r="ID130" s="110"/>
      <c r="IE130" s="110"/>
      <c r="IF130" s="110"/>
      <c r="IG130" s="110"/>
      <c r="IH130" s="110"/>
      <c r="II130" s="110"/>
      <c r="IJ130" s="110"/>
      <c r="IK130" s="110"/>
      <c r="IL130" s="110"/>
      <c r="IM130" s="110"/>
      <c r="IN130" s="110"/>
      <c r="IO130" s="110"/>
      <c r="IP130" s="110"/>
      <c r="IQ130" s="70"/>
    </row>
    <row r="131" spans="1:251" ht="16.5" hidden="1" customHeight="1">
      <c r="A131" s="95" t="s">
        <v>450</v>
      </c>
      <c r="B131" t="s">
        <v>1364</v>
      </c>
      <c r="C131" t="s">
        <v>450</v>
      </c>
      <c r="E131" t="s">
        <v>450</v>
      </c>
      <c r="F131" t="s">
        <v>1368</v>
      </c>
      <c r="H131">
        <v>41</v>
      </c>
      <c r="J131" s="214" t="str">
        <f t="shared" si="4"/>
        <v>LTT200141</v>
      </c>
      <c r="K131">
        <v>18080</v>
      </c>
      <c r="R131" s="95" t="s">
        <v>450</v>
      </c>
      <c r="V131" s="214"/>
      <c r="EE131" s="95" t="s">
        <v>450</v>
      </c>
      <c r="EF131" s="110"/>
      <c r="EG131" s="110"/>
      <c r="EH131" s="110"/>
      <c r="EI131" s="216"/>
      <c r="EJ131" s="110"/>
      <c r="EK131" s="110"/>
      <c r="EL131" s="110"/>
      <c r="EM131" s="110"/>
      <c r="EN131" s="110"/>
      <c r="EO131" s="110"/>
      <c r="EP131" s="110"/>
      <c r="EQ131" s="110"/>
      <c r="ER131" s="110"/>
      <c r="ES131" s="110"/>
      <c r="ET131" s="110"/>
      <c r="EU131" s="110"/>
      <c r="EV131" s="110"/>
      <c r="EW131" s="110"/>
      <c r="EX131" s="110"/>
      <c r="EY131" s="110"/>
      <c r="EZ131" s="110"/>
      <c r="FA131" s="110"/>
      <c r="FB131" s="110"/>
      <c r="FC131" s="110"/>
      <c r="FD131" s="110"/>
      <c r="FE131" s="110"/>
      <c r="FF131" s="110"/>
      <c r="FG131" s="110"/>
      <c r="FH131" s="110"/>
      <c r="FI131" s="110"/>
      <c r="FJ131" s="110"/>
      <c r="FK131" s="110"/>
      <c r="FL131" s="110"/>
      <c r="FM131" s="110"/>
      <c r="FN131" s="110"/>
      <c r="FO131" s="110"/>
      <c r="FP131" s="110"/>
      <c r="FQ131" s="110"/>
      <c r="FR131" s="110"/>
      <c r="FS131" s="110"/>
      <c r="FT131" s="110"/>
      <c r="FU131" s="110"/>
      <c r="FV131" s="110"/>
      <c r="FW131" s="110"/>
      <c r="FX131" s="110"/>
      <c r="FY131" s="110"/>
      <c r="FZ131" s="110"/>
      <c r="GA131" s="110"/>
      <c r="GB131" s="110"/>
      <c r="GC131" s="110"/>
      <c r="GD131" s="110"/>
      <c r="GE131" s="110"/>
      <c r="GF131" s="110"/>
      <c r="GG131" s="110"/>
      <c r="GH131" s="110"/>
      <c r="GI131" s="110"/>
      <c r="GJ131" s="110"/>
      <c r="GK131" s="110"/>
      <c r="GL131" s="110"/>
      <c r="GM131" s="110"/>
      <c r="GN131" s="110"/>
      <c r="GO131" s="110"/>
      <c r="GP131" s="110"/>
      <c r="GQ131" s="110"/>
      <c r="GR131" s="110"/>
      <c r="GS131" s="110"/>
      <c r="GT131" s="110"/>
      <c r="GU131" s="110"/>
      <c r="GV131" s="110"/>
      <c r="GW131" s="110"/>
      <c r="GX131" s="110"/>
      <c r="GY131" s="110"/>
      <c r="GZ131" s="110"/>
      <c r="HA131" s="110"/>
      <c r="HB131" s="110"/>
      <c r="HC131" s="110"/>
      <c r="HD131" s="110"/>
      <c r="HE131" s="110"/>
      <c r="HF131" s="110"/>
      <c r="HG131" s="110"/>
      <c r="HH131" s="110"/>
      <c r="HI131" s="110"/>
      <c r="HJ131" s="110"/>
      <c r="HK131" s="110"/>
      <c r="HL131" s="110"/>
      <c r="HM131" s="110"/>
      <c r="HN131" s="110"/>
      <c r="HO131" s="110"/>
      <c r="HP131" s="110"/>
      <c r="HQ131" s="110"/>
      <c r="HR131" s="110"/>
      <c r="HS131" s="110"/>
      <c r="HT131" s="110"/>
      <c r="HU131" s="110"/>
      <c r="HV131" s="110"/>
      <c r="HW131" s="110"/>
      <c r="HX131" s="110"/>
      <c r="HY131" s="110"/>
      <c r="HZ131" s="110"/>
      <c r="IA131" s="110"/>
      <c r="IB131" s="110"/>
      <c r="IC131" s="110"/>
      <c r="ID131" s="110"/>
      <c r="IE131" s="110"/>
      <c r="IF131" s="110"/>
      <c r="IG131" s="110"/>
      <c r="IH131" s="110"/>
      <c r="II131" s="110"/>
      <c r="IJ131" s="110"/>
      <c r="IK131" s="110"/>
      <c r="IL131" s="110"/>
      <c r="IM131" s="110"/>
      <c r="IN131" s="110"/>
      <c r="IO131" s="110"/>
      <c r="IP131" s="110"/>
      <c r="IQ131" s="70"/>
    </row>
    <row r="132" spans="1:251" ht="16.5" hidden="1" customHeight="1">
      <c r="A132" s="95" t="s">
        <v>450</v>
      </c>
      <c r="B132" t="s">
        <v>1364</v>
      </c>
      <c r="C132" t="s">
        <v>450</v>
      </c>
      <c r="E132" t="s">
        <v>450</v>
      </c>
      <c r="F132" t="s">
        <v>1368</v>
      </c>
      <c r="H132">
        <v>42</v>
      </c>
      <c r="J132" s="214" t="str">
        <f t="shared" si="4"/>
        <v>LTT200142</v>
      </c>
      <c r="K132">
        <v>18420</v>
      </c>
      <c r="R132" s="95" t="s">
        <v>450</v>
      </c>
      <c r="V132" s="214"/>
      <c r="EE132" s="95" t="s">
        <v>450</v>
      </c>
      <c r="EF132" s="110"/>
      <c r="EG132" s="110"/>
      <c r="EH132" s="110"/>
      <c r="EI132" s="216"/>
      <c r="EJ132" s="110"/>
      <c r="EK132" s="110"/>
      <c r="EL132" s="110"/>
      <c r="EM132" s="110"/>
      <c r="EN132" s="110"/>
      <c r="EO132" s="110"/>
      <c r="EP132" s="110"/>
      <c r="EQ132" s="110"/>
      <c r="ER132" s="110"/>
      <c r="ES132" s="110"/>
      <c r="ET132" s="110"/>
      <c r="EU132" s="110"/>
      <c r="EV132" s="110"/>
      <c r="EW132" s="110"/>
      <c r="EX132" s="110"/>
      <c r="EY132" s="110"/>
      <c r="EZ132" s="110"/>
      <c r="FA132" s="110"/>
      <c r="FB132" s="110"/>
      <c r="FC132" s="110"/>
      <c r="FD132" s="110"/>
      <c r="FE132" s="110"/>
      <c r="FF132" s="110"/>
      <c r="FG132" s="110"/>
      <c r="FH132" s="110"/>
      <c r="FI132" s="110"/>
      <c r="FJ132" s="110"/>
      <c r="FK132" s="110"/>
      <c r="FL132" s="110"/>
      <c r="FM132" s="110"/>
      <c r="FN132" s="110"/>
      <c r="FO132" s="110"/>
      <c r="FP132" s="110"/>
      <c r="FQ132" s="110"/>
      <c r="FR132" s="110"/>
      <c r="FS132" s="110"/>
      <c r="FT132" s="110"/>
      <c r="FU132" s="110"/>
      <c r="FV132" s="110"/>
      <c r="FW132" s="110"/>
      <c r="FX132" s="110"/>
      <c r="FY132" s="110"/>
      <c r="FZ132" s="110"/>
      <c r="GA132" s="110"/>
      <c r="GB132" s="110"/>
      <c r="GC132" s="110"/>
      <c r="GD132" s="110"/>
      <c r="GE132" s="110"/>
      <c r="GF132" s="110"/>
      <c r="GG132" s="110"/>
      <c r="GH132" s="110"/>
      <c r="GI132" s="110"/>
      <c r="GJ132" s="110"/>
      <c r="GK132" s="110"/>
      <c r="GL132" s="110"/>
      <c r="GM132" s="110"/>
      <c r="GN132" s="110"/>
      <c r="GO132" s="110"/>
      <c r="GP132" s="110"/>
      <c r="GQ132" s="110"/>
      <c r="GR132" s="110"/>
      <c r="GS132" s="110"/>
      <c r="GT132" s="110"/>
      <c r="GU132" s="110"/>
      <c r="GV132" s="110"/>
      <c r="GW132" s="110"/>
      <c r="GX132" s="110"/>
      <c r="GY132" s="110"/>
      <c r="GZ132" s="110"/>
      <c r="HA132" s="110"/>
      <c r="HB132" s="110"/>
      <c r="HC132" s="110"/>
      <c r="HD132" s="110"/>
      <c r="HE132" s="110"/>
      <c r="HF132" s="110"/>
      <c r="HG132" s="110"/>
      <c r="HH132" s="110"/>
      <c r="HI132" s="110"/>
      <c r="HJ132" s="110"/>
      <c r="HK132" s="110"/>
      <c r="HL132" s="110"/>
      <c r="HM132" s="110"/>
      <c r="HN132" s="110"/>
      <c r="HO132" s="110"/>
      <c r="HP132" s="110"/>
      <c r="HQ132" s="110"/>
      <c r="HR132" s="110"/>
      <c r="HS132" s="110"/>
      <c r="HT132" s="110"/>
      <c r="HU132" s="110"/>
      <c r="HV132" s="110"/>
      <c r="HW132" s="110"/>
      <c r="HX132" s="110"/>
      <c r="HY132" s="110"/>
      <c r="HZ132" s="110"/>
      <c r="IA132" s="110"/>
      <c r="IB132" s="110"/>
      <c r="IC132" s="110"/>
      <c r="ID132" s="110"/>
      <c r="IE132" s="110"/>
      <c r="IF132" s="110"/>
      <c r="IG132" s="110"/>
      <c r="IH132" s="110"/>
      <c r="II132" s="110"/>
      <c r="IJ132" s="110"/>
      <c r="IK132" s="110"/>
      <c r="IL132" s="110"/>
      <c r="IM132" s="110"/>
      <c r="IN132" s="110"/>
      <c r="IO132" s="110"/>
      <c r="IP132" s="110"/>
      <c r="IQ132" s="70"/>
    </row>
    <row r="133" spans="1:251" ht="16.5" hidden="1" customHeight="1">
      <c r="A133" s="95" t="s">
        <v>450</v>
      </c>
      <c r="B133" t="s">
        <v>1364</v>
      </c>
      <c r="C133" t="s">
        <v>450</v>
      </c>
      <c r="E133" t="s">
        <v>450</v>
      </c>
      <c r="F133" t="s">
        <v>1368</v>
      </c>
      <c r="H133">
        <v>43</v>
      </c>
      <c r="J133" s="214" t="str">
        <f t="shared" si="4"/>
        <v>LTT200143</v>
      </c>
      <c r="K133">
        <v>18800</v>
      </c>
      <c r="R133" s="95" t="s">
        <v>450</v>
      </c>
      <c r="V133" s="214"/>
      <c r="EE133" s="95" t="s">
        <v>450</v>
      </c>
      <c r="EF133" s="110"/>
      <c r="EG133" s="110"/>
      <c r="EH133" s="110"/>
      <c r="EI133" s="216"/>
      <c r="EJ133" s="110"/>
      <c r="EK133" s="110"/>
      <c r="EL133" s="110"/>
      <c r="EM133" s="110"/>
      <c r="EN133" s="110"/>
      <c r="EO133" s="110"/>
      <c r="EP133" s="110"/>
      <c r="EQ133" s="110"/>
      <c r="ER133" s="110"/>
      <c r="ES133" s="110"/>
      <c r="ET133" s="110"/>
      <c r="EU133" s="110"/>
      <c r="EV133" s="110"/>
      <c r="EW133" s="110"/>
      <c r="EX133" s="110"/>
      <c r="EY133" s="110"/>
      <c r="EZ133" s="110"/>
      <c r="FA133" s="110"/>
      <c r="FB133" s="110"/>
      <c r="FC133" s="110"/>
      <c r="FD133" s="110"/>
      <c r="FE133" s="110"/>
      <c r="FF133" s="110"/>
      <c r="FG133" s="110"/>
      <c r="FH133" s="110"/>
      <c r="FI133" s="110"/>
      <c r="FJ133" s="110"/>
      <c r="FK133" s="110"/>
      <c r="FL133" s="110"/>
      <c r="FM133" s="110"/>
      <c r="FN133" s="110"/>
      <c r="FO133" s="110"/>
      <c r="FP133" s="110"/>
      <c r="FQ133" s="110"/>
      <c r="FR133" s="110"/>
      <c r="FS133" s="110"/>
      <c r="FT133" s="110"/>
      <c r="FU133" s="110"/>
      <c r="FV133" s="110"/>
      <c r="FW133" s="110"/>
      <c r="FX133" s="110"/>
      <c r="FY133" s="110"/>
      <c r="FZ133" s="110"/>
      <c r="GA133" s="110"/>
      <c r="GB133" s="110"/>
      <c r="GC133" s="110"/>
      <c r="GD133" s="110"/>
      <c r="GE133" s="110"/>
      <c r="GF133" s="110"/>
      <c r="GG133" s="110"/>
      <c r="GH133" s="110"/>
      <c r="GI133" s="110"/>
      <c r="GJ133" s="110"/>
      <c r="GK133" s="110"/>
      <c r="GL133" s="110"/>
      <c r="GM133" s="110"/>
      <c r="GN133" s="110"/>
      <c r="GO133" s="110"/>
      <c r="GP133" s="110"/>
      <c r="GQ133" s="110"/>
      <c r="GR133" s="110"/>
      <c r="GS133" s="110"/>
      <c r="GT133" s="110"/>
      <c r="GU133" s="110"/>
      <c r="GV133" s="110"/>
      <c r="GW133" s="110"/>
      <c r="GX133" s="110"/>
      <c r="GY133" s="110"/>
      <c r="GZ133" s="110"/>
      <c r="HA133" s="110"/>
      <c r="HB133" s="110"/>
      <c r="HC133" s="110"/>
      <c r="HD133" s="110"/>
      <c r="HE133" s="110"/>
      <c r="HF133" s="110"/>
      <c r="HG133" s="110"/>
      <c r="HH133" s="110"/>
      <c r="HI133" s="110"/>
      <c r="HJ133" s="110"/>
      <c r="HK133" s="110"/>
      <c r="HL133" s="110"/>
      <c r="HM133" s="110"/>
      <c r="HN133" s="110"/>
      <c r="HO133" s="110"/>
      <c r="HP133" s="110"/>
      <c r="HQ133" s="110"/>
      <c r="HR133" s="110"/>
      <c r="HS133" s="110"/>
      <c r="HT133" s="110"/>
      <c r="HU133" s="110"/>
      <c r="HV133" s="110"/>
      <c r="HW133" s="110"/>
      <c r="HX133" s="110"/>
      <c r="HY133" s="110"/>
      <c r="HZ133" s="110"/>
      <c r="IA133" s="110"/>
      <c r="IB133" s="110"/>
      <c r="IC133" s="110"/>
      <c r="ID133" s="110"/>
      <c r="IE133" s="110"/>
      <c r="IF133" s="110"/>
      <c r="IG133" s="110"/>
      <c r="IH133" s="110"/>
      <c r="II133" s="110"/>
      <c r="IJ133" s="110"/>
      <c r="IK133" s="110"/>
      <c r="IL133" s="110"/>
      <c r="IM133" s="110"/>
      <c r="IN133" s="110"/>
      <c r="IO133" s="110"/>
      <c r="IP133" s="110"/>
      <c r="IQ133" s="70"/>
    </row>
    <row r="134" spans="1:251" ht="16.5" hidden="1" customHeight="1">
      <c r="A134" s="95" t="s">
        <v>450</v>
      </c>
      <c r="B134" t="s">
        <v>1364</v>
      </c>
      <c r="C134" t="s">
        <v>450</v>
      </c>
      <c r="E134" t="s">
        <v>450</v>
      </c>
      <c r="F134" t="s">
        <v>1368</v>
      </c>
      <c r="H134">
        <v>44</v>
      </c>
      <c r="J134" s="214" t="str">
        <f t="shared" si="4"/>
        <v>LTT200144</v>
      </c>
      <c r="K134">
        <v>19180</v>
      </c>
      <c r="R134" s="95" t="s">
        <v>450</v>
      </c>
      <c r="V134" s="214"/>
      <c r="EE134" s="95" t="s">
        <v>450</v>
      </c>
      <c r="EF134" s="110"/>
      <c r="EG134" s="110"/>
      <c r="EH134" s="110"/>
      <c r="EI134" s="216"/>
      <c r="EJ134" s="110"/>
      <c r="EK134" s="110"/>
      <c r="EL134" s="110"/>
      <c r="EM134" s="110"/>
      <c r="EN134" s="110"/>
      <c r="EO134" s="110"/>
      <c r="EP134" s="110"/>
      <c r="EQ134" s="110"/>
      <c r="ER134" s="110"/>
      <c r="ES134" s="110"/>
      <c r="ET134" s="110"/>
      <c r="EU134" s="110"/>
      <c r="EV134" s="110"/>
      <c r="EW134" s="110"/>
      <c r="EX134" s="110"/>
      <c r="EY134" s="110"/>
      <c r="EZ134" s="110"/>
      <c r="FA134" s="110"/>
      <c r="FB134" s="110"/>
      <c r="FC134" s="110"/>
      <c r="FD134" s="110"/>
      <c r="FE134" s="110"/>
      <c r="FF134" s="110"/>
      <c r="FG134" s="110"/>
      <c r="FH134" s="110"/>
      <c r="FI134" s="110"/>
      <c r="FJ134" s="110"/>
      <c r="FK134" s="110"/>
      <c r="FL134" s="110"/>
      <c r="FM134" s="110"/>
      <c r="FN134" s="110"/>
      <c r="FO134" s="110"/>
      <c r="FP134" s="110"/>
      <c r="FQ134" s="110"/>
      <c r="FR134" s="110"/>
      <c r="FS134" s="110"/>
      <c r="FT134" s="110"/>
      <c r="FU134" s="110"/>
      <c r="FV134" s="110"/>
      <c r="FW134" s="110"/>
      <c r="FX134" s="110"/>
      <c r="FY134" s="110"/>
      <c r="FZ134" s="110"/>
      <c r="GA134" s="110"/>
      <c r="GB134" s="110"/>
      <c r="GC134" s="110"/>
      <c r="GD134" s="110"/>
      <c r="GE134" s="110"/>
      <c r="GF134" s="110"/>
      <c r="GG134" s="110"/>
      <c r="GH134" s="110"/>
      <c r="GI134" s="110"/>
      <c r="GJ134" s="110"/>
      <c r="GK134" s="110"/>
      <c r="GL134" s="110"/>
      <c r="GM134" s="110"/>
      <c r="GN134" s="110"/>
      <c r="GO134" s="110"/>
      <c r="GP134" s="110"/>
      <c r="GQ134" s="110"/>
      <c r="GR134" s="110"/>
      <c r="GS134" s="110"/>
      <c r="GT134" s="110"/>
      <c r="GU134" s="110"/>
      <c r="GV134" s="110"/>
      <c r="GW134" s="110"/>
      <c r="GX134" s="110"/>
      <c r="GY134" s="110"/>
      <c r="GZ134" s="110"/>
      <c r="HA134" s="110"/>
      <c r="HB134" s="110"/>
      <c r="HC134" s="110"/>
      <c r="HD134" s="110"/>
      <c r="HE134" s="110"/>
      <c r="HF134" s="110"/>
      <c r="HG134" s="110"/>
      <c r="HH134" s="110"/>
      <c r="HI134" s="110"/>
      <c r="HJ134" s="110"/>
      <c r="HK134" s="110"/>
      <c r="HL134" s="110"/>
      <c r="HM134" s="110"/>
      <c r="HN134" s="110"/>
      <c r="HO134" s="110"/>
      <c r="HP134" s="110"/>
      <c r="HQ134" s="110"/>
      <c r="HR134" s="110"/>
      <c r="HS134" s="110"/>
      <c r="HT134" s="110"/>
      <c r="HU134" s="110"/>
      <c r="HV134" s="110"/>
      <c r="HW134" s="110"/>
      <c r="HX134" s="110"/>
      <c r="HY134" s="110"/>
      <c r="HZ134" s="110"/>
      <c r="IA134" s="110"/>
      <c r="IB134" s="110"/>
      <c r="IC134" s="110"/>
      <c r="ID134" s="110"/>
      <c r="IE134" s="110"/>
      <c r="IF134" s="110"/>
      <c r="IG134" s="110"/>
      <c r="IH134" s="110"/>
      <c r="II134" s="110"/>
      <c r="IJ134" s="110"/>
      <c r="IK134" s="110"/>
      <c r="IL134" s="110"/>
      <c r="IM134" s="110"/>
      <c r="IN134" s="110"/>
      <c r="IO134" s="110"/>
      <c r="IP134" s="110"/>
      <c r="IQ134" s="70"/>
    </row>
    <row r="135" spans="1:251" ht="16.5" hidden="1" customHeight="1">
      <c r="A135" s="95" t="s">
        <v>450</v>
      </c>
      <c r="B135" t="s">
        <v>1364</v>
      </c>
      <c r="C135" t="s">
        <v>450</v>
      </c>
      <c r="E135" t="s">
        <v>450</v>
      </c>
      <c r="F135" t="s">
        <v>1368</v>
      </c>
      <c r="H135">
        <v>45</v>
      </c>
      <c r="J135" s="214" t="str">
        <f t="shared" si="4"/>
        <v>LTT200145</v>
      </c>
      <c r="K135">
        <v>19560</v>
      </c>
      <c r="R135" s="95" t="s">
        <v>450</v>
      </c>
      <c r="V135" s="214"/>
      <c r="EE135" s="95" t="s">
        <v>450</v>
      </c>
      <c r="EF135" s="110"/>
      <c r="EG135" s="110"/>
      <c r="EH135" s="110"/>
      <c r="EI135" s="216"/>
      <c r="EJ135" s="110"/>
      <c r="EK135" s="110"/>
      <c r="EL135" s="110"/>
      <c r="EM135" s="110"/>
      <c r="EN135" s="110"/>
      <c r="EO135" s="110"/>
      <c r="EP135" s="110"/>
      <c r="EQ135" s="110"/>
      <c r="ER135" s="110"/>
      <c r="ES135" s="110"/>
      <c r="ET135" s="110"/>
      <c r="EU135" s="110"/>
      <c r="EV135" s="110"/>
      <c r="EW135" s="110"/>
      <c r="EX135" s="110"/>
      <c r="EY135" s="110"/>
      <c r="EZ135" s="110"/>
      <c r="FA135" s="110"/>
      <c r="FB135" s="110"/>
      <c r="FC135" s="110"/>
      <c r="FD135" s="110"/>
      <c r="FE135" s="110"/>
      <c r="FF135" s="110"/>
      <c r="FG135" s="110"/>
      <c r="FH135" s="110"/>
      <c r="FI135" s="110"/>
      <c r="FJ135" s="110"/>
      <c r="FK135" s="110"/>
      <c r="FL135" s="110"/>
      <c r="FM135" s="110"/>
      <c r="FN135" s="110"/>
      <c r="FO135" s="110"/>
      <c r="FP135" s="110"/>
      <c r="FQ135" s="110"/>
      <c r="FR135" s="110"/>
      <c r="FS135" s="110"/>
      <c r="FT135" s="110"/>
      <c r="FU135" s="110"/>
      <c r="FV135" s="110"/>
      <c r="FW135" s="110"/>
      <c r="FX135" s="110"/>
      <c r="FY135" s="110"/>
      <c r="FZ135" s="110"/>
      <c r="GA135" s="110"/>
      <c r="GB135" s="110"/>
      <c r="GC135" s="110"/>
      <c r="GD135" s="110"/>
      <c r="GE135" s="110"/>
      <c r="GF135" s="110"/>
      <c r="GG135" s="110"/>
      <c r="GH135" s="110"/>
      <c r="GI135" s="110"/>
      <c r="GJ135" s="110"/>
      <c r="GK135" s="110"/>
      <c r="GL135" s="110"/>
      <c r="GM135" s="110"/>
      <c r="GN135" s="110"/>
      <c r="GO135" s="110"/>
      <c r="GP135" s="110"/>
      <c r="GQ135" s="110"/>
      <c r="GR135" s="110"/>
      <c r="GS135" s="110"/>
      <c r="GT135" s="110"/>
      <c r="GU135" s="110"/>
      <c r="GV135" s="110"/>
      <c r="GW135" s="110"/>
      <c r="GX135" s="110"/>
      <c r="GY135" s="110"/>
      <c r="GZ135" s="110"/>
      <c r="HA135" s="110"/>
      <c r="HB135" s="110"/>
      <c r="HC135" s="110"/>
      <c r="HD135" s="110"/>
      <c r="HE135" s="110"/>
      <c r="HF135" s="110"/>
      <c r="HG135" s="110"/>
      <c r="HH135" s="110"/>
      <c r="HI135" s="110"/>
      <c r="HJ135" s="110"/>
      <c r="HK135" s="110"/>
      <c r="HL135" s="110"/>
      <c r="HM135" s="110"/>
      <c r="HN135" s="110"/>
      <c r="HO135" s="110"/>
      <c r="HP135" s="110"/>
      <c r="HQ135" s="110"/>
      <c r="HR135" s="110"/>
      <c r="HS135" s="110"/>
      <c r="HT135" s="110"/>
      <c r="HU135" s="110"/>
      <c r="HV135" s="110"/>
      <c r="HW135" s="110"/>
      <c r="HX135" s="110"/>
      <c r="HY135" s="110"/>
      <c r="HZ135" s="110"/>
      <c r="IA135" s="110"/>
      <c r="IB135" s="110"/>
      <c r="IC135" s="110"/>
      <c r="ID135" s="110"/>
      <c r="IE135" s="110"/>
      <c r="IF135" s="110"/>
      <c r="IG135" s="110"/>
      <c r="IH135" s="110"/>
      <c r="II135" s="110"/>
      <c r="IJ135" s="110"/>
      <c r="IK135" s="110"/>
      <c r="IL135" s="110"/>
      <c r="IM135" s="110"/>
      <c r="IN135" s="110"/>
      <c r="IO135" s="110"/>
      <c r="IP135" s="110"/>
      <c r="IQ135" s="70"/>
    </row>
    <row r="136" spans="1:251" ht="16.5" hidden="1" customHeight="1">
      <c r="A136" s="95" t="s">
        <v>450</v>
      </c>
      <c r="B136" t="s">
        <v>1364</v>
      </c>
      <c r="C136" t="s">
        <v>450</v>
      </c>
      <c r="E136" t="s">
        <v>450</v>
      </c>
      <c r="F136" t="s">
        <v>1368</v>
      </c>
      <c r="H136">
        <v>46</v>
      </c>
      <c r="J136" s="214" t="str">
        <f t="shared" si="4"/>
        <v>LTT200146</v>
      </c>
      <c r="K136">
        <v>20000</v>
      </c>
      <c r="R136" s="95" t="s">
        <v>450</v>
      </c>
      <c r="V136" s="214"/>
      <c r="EE136" s="95" t="s">
        <v>450</v>
      </c>
      <c r="EF136" s="110"/>
      <c r="EG136" s="110"/>
      <c r="EH136" s="110"/>
      <c r="EI136" s="216"/>
      <c r="EJ136" s="110"/>
      <c r="EK136" s="110"/>
      <c r="EL136" s="110"/>
      <c r="EM136" s="110"/>
      <c r="EN136" s="110"/>
      <c r="EO136" s="110"/>
      <c r="EP136" s="110"/>
      <c r="EQ136" s="110"/>
      <c r="ER136" s="110"/>
      <c r="ES136" s="110"/>
      <c r="ET136" s="110"/>
      <c r="EU136" s="110"/>
      <c r="EV136" s="110"/>
      <c r="EW136" s="110"/>
      <c r="EX136" s="110"/>
      <c r="EY136" s="110"/>
      <c r="EZ136" s="110"/>
      <c r="FA136" s="110"/>
      <c r="FB136" s="110"/>
      <c r="FC136" s="110"/>
      <c r="FD136" s="110"/>
      <c r="FE136" s="110"/>
      <c r="FF136" s="110"/>
      <c r="FG136" s="110"/>
      <c r="FH136" s="110"/>
      <c r="FI136" s="110"/>
      <c r="FJ136" s="110"/>
      <c r="FK136" s="110"/>
      <c r="FL136" s="110"/>
      <c r="FM136" s="110"/>
      <c r="FN136" s="110"/>
      <c r="FO136" s="110"/>
      <c r="FP136" s="110"/>
      <c r="FQ136" s="110"/>
      <c r="FR136" s="110"/>
      <c r="FS136" s="110"/>
      <c r="FT136" s="110"/>
      <c r="FU136" s="110"/>
      <c r="FV136" s="110"/>
      <c r="FW136" s="110"/>
      <c r="FX136" s="110"/>
      <c r="FY136" s="110"/>
      <c r="FZ136" s="110"/>
      <c r="GA136" s="110"/>
      <c r="GB136" s="110"/>
      <c r="GC136" s="110"/>
      <c r="GD136" s="110"/>
      <c r="GE136" s="110"/>
      <c r="GF136" s="110"/>
      <c r="GG136" s="110"/>
      <c r="GH136" s="110"/>
      <c r="GI136" s="110"/>
      <c r="GJ136" s="110"/>
      <c r="GK136" s="110"/>
      <c r="GL136" s="110"/>
      <c r="GM136" s="110"/>
      <c r="GN136" s="110"/>
      <c r="GO136" s="110"/>
      <c r="GP136" s="110"/>
      <c r="GQ136" s="110"/>
      <c r="GR136" s="110"/>
      <c r="GS136" s="110"/>
      <c r="GT136" s="110"/>
      <c r="GU136" s="110"/>
      <c r="GV136" s="110"/>
      <c r="GW136" s="110"/>
      <c r="GX136" s="110"/>
      <c r="GY136" s="110"/>
      <c r="GZ136" s="110"/>
      <c r="HA136" s="110"/>
      <c r="HB136" s="110"/>
      <c r="HC136" s="110"/>
      <c r="HD136" s="110"/>
      <c r="HE136" s="110"/>
      <c r="HF136" s="110"/>
      <c r="HG136" s="110"/>
      <c r="HH136" s="110"/>
      <c r="HI136" s="110"/>
      <c r="HJ136" s="110"/>
      <c r="HK136" s="110"/>
      <c r="HL136" s="110"/>
      <c r="HM136" s="110"/>
      <c r="HN136" s="110"/>
      <c r="HO136" s="110"/>
      <c r="HP136" s="110"/>
      <c r="HQ136" s="110"/>
      <c r="HR136" s="110"/>
      <c r="HS136" s="110"/>
      <c r="HT136" s="110"/>
      <c r="HU136" s="110"/>
      <c r="HV136" s="110"/>
      <c r="HW136" s="110"/>
      <c r="HX136" s="110"/>
      <c r="HY136" s="110"/>
      <c r="HZ136" s="110"/>
      <c r="IA136" s="110"/>
      <c r="IB136" s="110"/>
      <c r="IC136" s="110"/>
      <c r="ID136" s="110"/>
      <c r="IE136" s="110"/>
      <c r="IF136" s="110"/>
      <c r="IG136" s="110"/>
      <c r="IH136" s="110"/>
      <c r="II136" s="110"/>
      <c r="IJ136" s="110"/>
      <c r="IK136" s="110"/>
      <c r="IL136" s="110"/>
      <c r="IM136" s="110"/>
      <c r="IN136" s="110"/>
      <c r="IO136" s="110"/>
      <c r="IP136" s="110"/>
      <c r="IQ136" s="70"/>
    </row>
    <row r="137" spans="1:251" ht="16.5" hidden="1" customHeight="1">
      <c r="A137" s="95" t="s">
        <v>450</v>
      </c>
      <c r="B137" t="s">
        <v>1364</v>
      </c>
      <c r="C137" t="s">
        <v>450</v>
      </c>
      <c r="E137" t="s">
        <v>450</v>
      </c>
      <c r="F137" t="s">
        <v>1368</v>
      </c>
      <c r="H137">
        <v>47</v>
      </c>
      <c r="J137" s="214" t="str">
        <f t="shared" si="4"/>
        <v>LTT200147</v>
      </c>
      <c r="K137">
        <v>20430</v>
      </c>
      <c r="R137" s="95" t="s">
        <v>450</v>
      </c>
      <c r="V137" s="214"/>
      <c r="EE137" s="95" t="s">
        <v>450</v>
      </c>
      <c r="EF137" s="110"/>
      <c r="EG137" s="110"/>
      <c r="EH137" s="110"/>
      <c r="EI137" s="216"/>
      <c r="EJ137" s="110"/>
      <c r="EK137" s="110"/>
      <c r="EL137" s="110"/>
      <c r="EM137" s="110"/>
      <c r="EN137" s="110"/>
      <c r="EO137" s="110"/>
      <c r="EP137" s="110"/>
      <c r="EQ137" s="110"/>
      <c r="ER137" s="110"/>
      <c r="ES137" s="110"/>
      <c r="ET137" s="110"/>
      <c r="EU137" s="110"/>
      <c r="EV137" s="110"/>
      <c r="EW137" s="110"/>
      <c r="EX137" s="110"/>
      <c r="EY137" s="110"/>
      <c r="EZ137" s="110"/>
      <c r="FA137" s="110"/>
      <c r="FB137" s="110"/>
      <c r="FC137" s="110"/>
      <c r="FD137" s="110"/>
      <c r="FE137" s="110"/>
      <c r="FF137" s="110"/>
      <c r="FG137" s="110"/>
      <c r="FH137" s="110"/>
      <c r="FI137" s="110"/>
      <c r="FJ137" s="110"/>
      <c r="FK137" s="110"/>
      <c r="FL137" s="110"/>
      <c r="FM137" s="110"/>
      <c r="FN137" s="110"/>
      <c r="FO137" s="110"/>
      <c r="FP137" s="110"/>
      <c r="FQ137" s="110"/>
      <c r="FR137" s="110"/>
      <c r="FS137" s="110"/>
      <c r="FT137" s="110"/>
      <c r="FU137" s="110"/>
      <c r="FV137" s="110"/>
      <c r="FW137" s="110"/>
      <c r="FX137" s="110"/>
      <c r="FY137" s="110"/>
      <c r="FZ137" s="110"/>
      <c r="GA137" s="110"/>
      <c r="GB137" s="110"/>
      <c r="GC137" s="110"/>
      <c r="GD137" s="110"/>
      <c r="GE137" s="110"/>
      <c r="GF137" s="110"/>
      <c r="GG137" s="110"/>
      <c r="GH137" s="110"/>
      <c r="GI137" s="110"/>
      <c r="GJ137" s="110"/>
      <c r="GK137" s="110"/>
      <c r="GL137" s="110"/>
      <c r="GM137" s="110"/>
      <c r="GN137" s="110"/>
      <c r="GO137" s="110"/>
      <c r="GP137" s="110"/>
      <c r="GQ137" s="110"/>
      <c r="GR137" s="110"/>
      <c r="GS137" s="110"/>
      <c r="GT137" s="110"/>
      <c r="GU137" s="110"/>
      <c r="GV137" s="110"/>
      <c r="GW137" s="110"/>
      <c r="GX137" s="110"/>
      <c r="GY137" s="110"/>
      <c r="GZ137" s="110"/>
      <c r="HA137" s="110"/>
      <c r="HB137" s="110"/>
      <c r="HC137" s="110"/>
      <c r="HD137" s="110"/>
      <c r="HE137" s="110"/>
      <c r="HF137" s="110"/>
      <c r="HG137" s="110"/>
      <c r="HH137" s="110"/>
      <c r="HI137" s="110"/>
      <c r="HJ137" s="110"/>
      <c r="HK137" s="110"/>
      <c r="HL137" s="110"/>
      <c r="HM137" s="110"/>
      <c r="HN137" s="110"/>
      <c r="HO137" s="110"/>
      <c r="HP137" s="110"/>
      <c r="HQ137" s="110"/>
      <c r="HR137" s="110"/>
      <c r="HS137" s="110"/>
      <c r="HT137" s="110"/>
      <c r="HU137" s="110"/>
      <c r="HV137" s="110"/>
      <c r="HW137" s="110"/>
      <c r="HX137" s="110"/>
      <c r="HY137" s="110"/>
      <c r="HZ137" s="110"/>
      <c r="IA137" s="110"/>
      <c r="IB137" s="110"/>
      <c r="IC137" s="110"/>
      <c r="ID137" s="110"/>
      <c r="IE137" s="110"/>
      <c r="IF137" s="110"/>
      <c r="IG137" s="110"/>
      <c r="IH137" s="110"/>
      <c r="II137" s="110"/>
      <c r="IJ137" s="110"/>
      <c r="IK137" s="110"/>
      <c r="IL137" s="110"/>
      <c r="IM137" s="110"/>
      <c r="IN137" s="110"/>
      <c r="IO137" s="110"/>
      <c r="IP137" s="110"/>
      <c r="IQ137" s="70"/>
    </row>
    <row r="138" spans="1:251" ht="16.5" hidden="1" customHeight="1">
      <c r="A138" s="95" t="s">
        <v>450</v>
      </c>
      <c r="B138" t="s">
        <v>1364</v>
      </c>
      <c r="C138" t="s">
        <v>450</v>
      </c>
      <c r="E138" t="s">
        <v>450</v>
      </c>
      <c r="F138" t="s">
        <v>1368</v>
      </c>
      <c r="H138">
        <v>48</v>
      </c>
      <c r="J138" s="214" t="str">
        <f t="shared" si="4"/>
        <v>LTT200148</v>
      </c>
      <c r="K138">
        <v>20920</v>
      </c>
      <c r="R138" s="95" t="s">
        <v>450</v>
      </c>
      <c r="V138" s="214"/>
      <c r="EE138" s="95" t="s">
        <v>450</v>
      </c>
      <c r="EF138" s="110"/>
      <c r="EG138" s="110"/>
      <c r="EH138" s="110"/>
      <c r="EI138" s="216"/>
      <c r="EJ138" s="110"/>
      <c r="EK138" s="110"/>
      <c r="EL138" s="110"/>
      <c r="EM138" s="110"/>
      <c r="EN138" s="110"/>
      <c r="EO138" s="110"/>
      <c r="EP138" s="110"/>
      <c r="EQ138" s="110"/>
      <c r="ER138" s="110"/>
      <c r="ES138" s="110"/>
      <c r="ET138" s="110"/>
      <c r="EU138" s="110"/>
      <c r="EV138" s="110"/>
      <c r="EW138" s="110"/>
      <c r="EX138" s="110"/>
      <c r="EY138" s="110"/>
      <c r="EZ138" s="110"/>
      <c r="FA138" s="110"/>
      <c r="FB138" s="110"/>
      <c r="FC138" s="110"/>
      <c r="FD138" s="110"/>
      <c r="FE138" s="110"/>
      <c r="FF138" s="110"/>
      <c r="FG138" s="110"/>
      <c r="FH138" s="110"/>
      <c r="FI138" s="110"/>
      <c r="FJ138" s="110"/>
      <c r="FK138" s="110"/>
      <c r="FL138" s="110"/>
      <c r="FM138" s="110"/>
      <c r="FN138" s="110"/>
      <c r="FO138" s="110"/>
      <c r="FP138" s="110"/>
      <c r="FQ138" s="110"/>
      <c r="FR138" s="110"/>
      <c r="FS138" s="110"/>
      <c r="FT138" s="110"/>
      <c r="FU138" s="110"/>
      <c r="FV138" s="110"/>
      <c r="FW138" s="110"/>
      <c r="FX138" s="110"/>
      <c r="FY138" s="110"/>
      <c r="FZ138" s="110"/>
      <c r="GA138" s="110"/>
      <c r="GB138" s="110"/>
      <c r="GC138" s="110"/>
      <c r="GD138" s="110"/>
      <c r="GE138" s="110"/>
      <c r="GF138" s="110"/>
      <c r="GG138" s="110"/>
      <c r="GH138" s="110"/>
      <c r="GI138" s="110"/>
      <c r="GJ138" s="110"/>
      <c r="GK138" s="110"/>
      <c r="GL138" s="110"/>
      <c r="GM138" s="110"/>
      <c r="GN138" s="110"/>
      <c r="GO138" s="110"/>
      <c r="GP138" s="110"/>
      <c r="GQ138" s="110"/>
      <c r="GR138" s="110"/>
      <c r="GS138" s="110"/>
      <c r="GT138" s="110"/>
      <c r="GU138" s="110"/>
      <c r="GV138" s="110"/>
      <c r="GW138" s="110"/>
      <c r="GX138" s="110"/>
      <c r="GY138" s="110"/>
      <c r="GZ138" s="110"/>
      <c r="HA138" s="110"/>
      <c r="HB138" s="110"/>
      <c r="HC138" s="110"/>
      <c r="HD138" s="110"/>
      <c r="HE138" s="110"/>
      <c r="HF138" s="110"/>
      <c r="HG138" s="110"/>
      <c r="HH138" s="110"/>
      <c r="HI138" s="110"/>
      <c r="HJ138" s="110"/>
      <c r="HK138" s="110"/>
      <c r="HL138" s="110"/>
      <c r="HM138" s="110"/>
      <c r="HN138" s="110"/>
      <c r="HO138" s="110"/>
      <c r="HP138" s="110"/>
      <c r="HQ138" s="110"/>
      <c r="HR138" s="110"/>
      <c r="HS138" s="110"/>
      <c r="HT138" s="110"/>
      <c r="HU138" s="110"/>
      <c r="HV138" s="110"/>
      <c r="HW138" s="110"/>
      <c r="HX138" s="110"/>
      <c r="HY138" s="110"/>
      <c r="HZ138" s="110"/>
      <c r="IA138" s="110"/>
      <c r="IB138" s="110"/>
      <c r="IC138" s="110"/>
      <c r="ID138" s="110"/>
      <c r="IE138" s="110"/>
      <c r="IF138" s="110"/>
      <c r="IG138" s="110"/>
      <c r="IH138" s="110"/>
      <c r="II138" s="110"/>
      <c r="IJ138" s="110"/>
      <c r="IK138" s="110"/>
      <c r="IL138" s="110"/>
      <c r="IM138" s="110"/>
      <c r="IN138" s="110"/>
      <c r="IO138" s="110"/>
      <c r="IP138" s="110"/>
      <c r="IQ138" s="70"/>
    </row>
    <row r="139" spans="1:251" ht="16.5" hidden="1" customHeight="1">
      <c r="A139" s="95" t="s">
        <v>450</v>
      </c>
      <c r="B139" t="s">
        <v>1364</v>
      </c>
      <c r="C139" t="s">
        <v>450</v>
      </c>
      <c r="E139" t="s">
        <v>450</v>
      </c>
      <c r="F139" t="s">
        <v>1368</v>
      </c>
      <c r="H139">
        <v>49</v>
      </c>
      <c r="J139" s="214" t="str">
        <f t="shared" si="4"/>
        <v>LTT200149</v>
      </c>
      <c r="K139">
        <v>21470</v>
      </c>
      <c r="R139" s="95" t="s">
        <v>450</v>
      </c>
      <c r="V139" s="214"/>
      <c r="EE139" s="95" t="s">
        <v>450</v>
      </c>
      <c r="EF139" s="110"/>
      <c r="EG139" s="110"/>
      <c r="EH139" s="110"/>
      <c r="EI139" s="216"/>
      <c r="EJ139" s="110"/>
      <c r="EK139" s="110"/>
      <c r="EL139" s="110"/>
      <c r="EM139" s="110"/>
      <c r="EN139" s="110"/>
      <c r="EO139" s="110"/>
      <c r="EP139" s="110"/>
      <c r="EQ139" s="110"/>
      <c r="ER139" s="110"/>
      <c r="ES139" s="110"/>
      <c r="ET139" s="110"/>
      <c r="EU139" s="110"/>
      <c r="EV139" s="110"/>
      <c r="EW139" s="110"/>
      <c r="EX139" s="110"/>
      <c r="EY139" s="110"/>
      <c r="EZ139" s="110"/>
      <c r="FA139" s="110"/>
      <c r="FB139" s="110"/>
      <c r="FC139" s="110"/>
      <c r="FD139" s="110"/>
      <c r="FE139" s="110"/>
      <c r="FF139" s="110"/>
      <c r="FG139" s="110"/>
      <c r="FH139" s="110"/>
      <c r="FI139" s="110"/>
      <c r="FJ139" s="110"/>
      <c r="FK139" s="110"/>
      <c r="FL139" s="110"/>
      <c r="FM139" s="110"/>
      <c r="FN139" s="110"/>
      <c r="FO139" s="110"/>
      <c r="FP139" s="110"/>
      <c r="FQ139" s="110"/>
      <c r="FR139" s="110"/>
      <c r="FS139" s="110"/>
      <c r="FT139" s="110"/>
      <c r="FU139" s="110"/>
      <c r="FV139" s="110"/>
      <c r="FW139" s="110"/>
      <c r="FX139" s="110"/>
      <c r="FY139" s="110"/>
      <c r="FZ139" s="110"/>
      <c r="GA139" s="110"/>
      <c r="GB139" s="110"/>
      <c r="GC139" s="110"/>
      <c r="GD139" s="110"/>
      <c r="GE139" s="110"/>
      <c r="GF139" s="110"/>
      <c r="GG139" s="110"/>
      <c r="GH139" s="110"/>
      <c r="GI139" s="110"/>
      <c r="GJ139" s="110"/>
      <c r="GK139" s="110"/>
      <c r="GL139" s="110"/>
      <c r="GM139" s="110"/>
      <c r="GN139" s="110"/>
      <c r="GO139" s="110"/>
      <c r="GP139" s="110"/>
      <c r="GQ139" s="110"/>
      <c r="GR139" s="110"/>
      <c r="GS139" s="110"/>
      <c r="GT139" s="110"/>
      <c r="GU139" s="110"/>
      <c r="GV139" s="110"/>
      <c r="GW139" s="110"/>
      <c r="GX139" s="110"/>
      <c r="GY139" s="110"/>
      <c r="GZ139" s="110"/>
      <c r="HA139" s="110"/>
      <c r="HB139" s="110"/>
      <c r="HC139" s="110"/>
      <c r="HD139" s="110"/>
      <c r="HE139" s="110"/>
      <c r="HF139" s="110"/>
      <c r="HG139" s="110"/>
      <c r="HH139" s="110"/>
      <c r="HI139" s="110"/>
      <c r="HJ139" s="110"/>
      <c r="HK139" s="110"/>
      <c r="HL139" s="110"/>
      <c r="HM139" s="110"/>
      <c r="HN139" s="110"/>
      <c r="HO139" s="110"/>
      <c r="HP139" s="110"/>
      <c r="HQ139" s="110"/>
      <c r="HR139" s="110"/>
      <c r="HS139" s="110"/>
      <c r="HT139" s="110"/>
      <c r="HU139" s="110"/>
      <c r="HV139" s="110"/>
      <c r="HW139" s="110"/>
      <c r="HX139" s="110"/>
      <c r="HY139" s="110"/>
      <c r="HZ139" s="110"/>
      <c r="IA139" s="110"/>
      <c r="IB139" s="110"/>
      <c r="IC139" s="110"/>
      <c r="ID139" s="110"/>
      <c r="IE139" s="110"/>
      <c r="IF139" s="110"/>
      <c r="IG139" s="110"/>
      <c r="IH139" s="110"/>
      <c r="II139" s="110"/>
      <c r="IJ139" s="110"/>
      <c r="IK139" s="110"/>
      <c r="IL139" s="110"/>
      <c r="IM139" s="110"/>
      <c r="IN139" s="110"/>
      <c r="IO139" s="110"/>
      <c r="IP139" s="110"/>
      <c r="IQ139" s="70"/>
    </row>
    <row r="140" spans="1:251" ht="16.5" hidden="1" customHeight="1">
      <c r="A140" s="95" t="s">
        <v>450</v>
      </c>
      <c r="B140" t="s">
        <v>1364</v>
      </c>
      <c r="C140" t="s">
        <v>450</v>
      </c>
      <c r="E140" t="s">
        <v>450</v>
      </c>
      <c r="F140" t="s">
        <v>1368</v>
      </c>
      <c r="H140">
        <v>50</v>
      </c>
      <c r="J140" s="214" t="str">
        <f t="shared" si="4"/>
        <v>LTT200150</v>
      </c>
      <c r="K140">
        <v>21960</v>
      </c>
      <c r="R140" s="95" t="s">
        <v>450</v>
      </c>
      <c r="V140" s="214"/>
      <c r="EE140" s="95" t="s">
        <v>450</v>
      </c>
      <c r="EF140" s="110"/>
      <c r="EG140" s="110"/>
      <c r="EH140" s="110"/>
      <c r="EI140" s="216"/>
      <c r="EJ140" s="110"/>
      <c r="EK140" s="110"/>
      <c r="EL140" s="110"/>
      <c r="EM140" s="110"/>
      <c r="EN140" s="110"/>
      <c r="EO140" s="110"/>
      <c r="EP140" s="110"/>
      <c r="EQ140" s="110"/>
      <c r="ER140" s="110"/>
      <c r="ES140" s="110"/>
      <c r="ET140" s="110"/>
      <c r="EU140" s="110"/>
      <c r="EV140" s="110"/>
      <c r="EW140" s="110"/>
      <c r="EX140" s="110"/>
      <c r="EY140" s="110"/>
      <c r="EZ140" s="110"/>
      <c r="FA140" s="110"/>
      <c r="FB140" s="110"/>
      <c r="FC140" s="110"/>
      <c r="FD140" s="110"/>
      <c r="FE140" s="110"/>
      <c r="FF140" s="110"/>
      <c r="FG140" s="110"/>
      <c r="FH140" s="110"/>
      <c r="FI140" s="110"/>
      <c r="FJ140" s="110"/>
      <c r="FK140" s="110"/>
      <c r="FL140" s="110"/>
      <c r="FM140" s="110"/>
      <c r="FN140" s="110"/>
      <c r="FO140" s="110"/>
      <c r="FP140" s="110"/>
      <c r="FQ140" s="110"/>
      <c r="FR140" s="110"/>
      <c r="FS140" s="110"/>
      <c r="FT140" s="110"/>
      <c r="FU140" s="110"/>
      <c r="FV140" s="110"/>
      <c r="FW140" s="110"/>
      <c r="FX140" s="110"/>
      <c r="FY140" s="110"/>
      <c r="FZ140" s="110"/>
      <c r="GA140" s="110"/>
      <c r="GB140" s="110"/>
      <c r="GC140" s="110"/>
      <c r="GD140" s="110"/>
      <c r="GE140" s="110"/>
      <c r="GF140" s="110"/>
      <c r="GG140" s="110"/>
      <c r="GH140" s="110"/>
      <c r="GI140" s="110"/>
      <c r="GJ140" s="110"/>
      <c r="GK140" s="110"/>
      <c r="GL140" s="110"/>
      <c r="GM140" s="110"/>
      <c r="GN140" s="110"/>
      <c r="GO140" s="110"/>
      <c r="GP140" s="110"/>
      <c r="GQ140" s="110"/>
      <c r="GR140" s="110"/>
      <c r="GS140" s="110"/>
      <c r="GT140" s="110"/>
      <c r="GU140" s="110"/>
      <c r="GV140" s="110"/>
      <c r="GW140" s="110"/>
      <c r="GX140" s="110"/>
      <c r="GY140" s="110"/>
      <c r="GZ140" s="110"/>
      <c r="HA140" s="110"/>
      <c r="HB140" s="110"/>
      <c r="HC140" s="110"/>
      <c r="HD140" s="110"/>
      <c r="HE140" s="110"/>
      <c r="HF140" s="110"/>
      <c r="HG140" s="110"/>
      <c r="HH140" s="110"/>
      <c r="HI140" s="110"/>
      <c r="HJ140" s="110"/>
      <c r="HK140" s="110"/>
      <c r="HL140" s="110"/>
      <c r="HM140" s="110"/>
      <c r="HN140" s="110"/>
      <c r="HO140" s="110"/>
      <c r="HP140" s="110"/>
      <c r="HQ140" s="110"/>
      <c r="HR140" s="110"/>
      <c r="HS140" s="110"/>
      <c r="HT140" s="110"/>
      <c r="HU140" s="110"/>
      <c r="HV140" s="110"/>
      <c r="HW140" s="110"/>
      <c r="HX140" s="110"/>
      <c r="HY140" s="110"/>
      <c r="HZ140" s="110"/>
      <c r="IA140" s="110"/>
      <c r="IB140" s="110"/>
      <c r="IC140" s="110"/>
      <c r="ID140" s="110"/>
      <c r="IE140" s="110"/>
      <c r="IF140" s="110"/>
      <c r="IG140" s="110"/>
      <c r="IH140" s="110"/>
      <c r="II140" s="110"/>
      <c r="IJ140" s="110"/>
      <c r="IK140" s="110"/>
      <c r="IL140" s="110"/>
      <c r="IM140" s="110"/>
      <c r="IN140" s="110"/>
      <c r="IO140" s="110"/>
      <c r="IP140" s="110"/>
      <c r="IQ140" s="70"/>
    </row>
    <row r="141" spans="1:251" ht="16.5" hidden="1" customHeight="1">
      <c r="A141" s="95" t="s">
        <v>450</v>
      </c>
      <c r="B141" t="s">
        <v>1364</v>
      </c>
      <c r="C141" t="s">
        <v>450</v>
      </c>
      <c r="E141" t="s">
        <v>450</v>
      </c>
      <c r="F141" t="s">
        <v>1368</v>
      </c>
      <c r="H141">
        <v>51</v>
      </c>
      <c r="J141" s="214" t="str">
        <f t="shared" si="4"/>
        <v>LTT200151</v>
      </c>
      <c r="K141">
        <v>22510</v>
      </c>
      <c r="R141" s="95" t="s">
        <v>450</v>
      </c>
      <c r="V141" s="214"/>
      <c r="EE141" s="95" t="s">
        <v>450</v>
      </c>
      <c r="EF141" s="110"/>
      <c r="EG141" s="110"/>
      <c r="EH141" s="110"/>
      <c r="EI141" s="216"/>
      <c r="EJ141" s="110"/>
      <c r="EK141" s="110"/>
      <c r="EL141" s="110"/>
      <c r="EM141" s="110"/>
      <c r="EN141" s="110"/>
      <c r="EO141" s="110"/>
      <c r="EP141" s="110"/>
      <c r="EQ141" s="110"/>
      <c r="ER141" s="110"/>
      <c r="ES141" s="110"/>
      <c r="ET141" s="110"/>
      <c r="EU141" s="110"/>
      <c r="EV141" s="110"/>
      <c r="EW141" s="110"/>
      <c r="EX141" s="110"/>
      <c r="EY141" s="110"/>
      <c r="EZ141" s="110"/>
      <c r="FA141" s="110"/>
      <c r="FB141" s="110"/>
      <c r="FC141" s="110"/>
      <c r="FD141" s="110"/>
      <c r="FE141" s="110"/>
      <c r="FF141" s="110"/>
      <c r="FG141" s="110"/>
      <c r="FH141" s="110"/>
      <c r="FI141" s="110"/>
      <c r="FJ141" s="110"/>
      <c r="FK141" s="110"/>
      <c r="FL141" s="110"/>
      <c r="FM141" s="110"/>
      <c r="FN141" s="110"/>
      <c r="FO141" s="110"/>
      <c r="FP141" s="110"/>
      <c r="FQ141" s="110"/>
      <c r="FR141" s="110"/>
      <c r="FS141" s="110"/>
      <c r="FT141" s="110"/>
      <c r="FU141" s="110"/>
      <c r="FV141" s="110"/>
      <c r="FW141" s="110"/>
      <c r="FX141" s="110"/>
      <c r="FY141" s="110"/>
      <c r="FZ141" s="110"/>
      <c r="GA141" s="110"/>
      <c r="GB141" s="110"/>
      <c r="GC141" s="110"/>
      <c r="GD141" s="110"/>
      <c r="GE141" s="110"/>
      <c r="GF141" s="110"/>
      <c r="GG141" s="110"/>
      <c r="GH141" s="110"/>
      <c r="GI141" s="110"/>
      <c r="GJ141" s="110"/>
      <c r="GK141" s="110"/>
      <c r="GL141" s="110"/>
      <c r="GM141" s="110"/>
      <c r="GN141" s="110"/>
      <c r="GO141" s="110"/>
      <c r="GP141" s="110"/>
      <c r="GQ141" s="110"/>
      <c r="GR141" s="110"/>
      <c r="GS141" s="110"/>
      <c r="GT141" s="110"/>
      <c r="GU141" s="110"/>
      <c r="GV141" s="110"/>
      <c r="GW141" s="110"/>
      <c r="GX141" s="110"/>
      <c r="GY141" s="110"/>
      <c r="GZ141" s="110"/>
      <c r="HA141" s="110"/>
      <c r="HB141" s="110"/>
      <c r="HC141" s="110"/>
      <c r="HD141" s="110"/>
      <c r="HE141" s="110"/>
      <c r="HF141" s="110"/>
      <c r="HG141" s="110"/>
      <c r="HH141" s="110"/>
      <c r="HI141" s="110"/>
      <c r="HJ141" s="110"/>
      <c r="HK141" s="110"/>
      <c r="HL141" s="110"/>
      <c r="HM141" s="110"/>
      <c r="HN141" s="110"/>
      <c r="HO141" s="110"/>
      <c r="HP141" s="110"/>
      <c r="HQ141" s="110"/>
      <c r="HR141" s="110"/>
      <c r="HS141" s="110"/>
      <c r="HT141" s="110"/>
      <c r="HU141" s="110"/>
      <c r="HV141" s="110"/>
      <c r="HW141" s="110"/>
      <c r="HX141" s="110"/>
      <c r="HY141" s="110"/>
      <c r="HZ141" s="110"/>
      <c r="IA141" s="110"/>
      <c r="IB141" s="110"/>
      <c r="IC141" s="110"/>
      <c r="ID141" s="110"/>
      <c r="IE141" s="110"/>
      <c r="IF141" s="110"/>
      <c r="IG141" s="110"/>
      <c r="IH141" s="110"/>
      <c r="II141" s="110"/>
      <c r="IJ141" s="110"/>
      <c r="IK141" s="110"/>
      <c r="IL141" s="110"/>
      <c r="IM141" s="110"/>
      <c r="IN141" s="110"/>
      <c r="IO141" s="110"/>
      <c r="IP141" s="110"/>
      <c r="IQ141" s="70"/>
    </row>
    <row r="142" spans="1:251" ht="16.5" hidden="1" customHeight="1">
      <c r="A142" s="95" t="s">
        <v>450</v>
      </c>
      <c r="B142" t="s">
        <v>1364</v>
      </c>
      <c r="C142" t="s">
        <v>450</v>
      </c>
      <c r="E142" t="s">
        <v>450</v>
      </c>
      <c r="F142" t="s">
        <v>1368</v>
      </c>
      <c r="H142">
        <v>52</v>
      </c>
      <c r="J142" s="214" t="str">
        <f t="shared" si="4"/>
        <v>LTT200152</v>
      </c>
      <c r="K142">
        <v>23050</v>
      </c>
      <c r="R142" s="95" t="s">
        <v>450</v>
      </c>
      <c r="V142" s="214"/>
      <c r="EE142" s="95" t="s">
        <v>450</v>
      </c>
      <c r="EF142" s="110"/>
      <c r="EG142" s="110"/>
      <c r="EH142" s="110"/>
      <c r="EI142" s="216"/>
      <c r="EJ142" s="110"/>
      <c r="EK142" s="110"/>
      <c r="EL142" s="110"/>
      <c r="EM142" s="110"/>
      <c r="EN142" s="110"/>
      <c r="EO142" s="110"/>
      <c r="EP142" s="110"/>
      <c r="EQ142" s="110"/>
      <c r="ER142" s="110"/>
      <c r="ES142" s="110"/>
      <c r="ET142" s="110"/>
      <c r="EU142" s="110"/>
      <c r="EV142" s="110"/>
      <c r="EW142" s="110"/>
      <c r="EX142" s="110"/>
      <c r="EY142" s="110"/>
      <c r="EZ142" s="110"/>
      <c r="FA142" s="110"/>
      <c r="FB142" s="110"/>
      <c r="FC142" s="110"/>
      <c r="FD142" s="110"/>
      <c r="FE142" s="110"/>
      <c r="FF142" s="110"/>
      <c r="FG142" s="110"/>
      <c r="FH142" s="110"/>
      <c r="FI142" s="110"/>
      <c r="FJ142" s="110"/>
      <c r="FK142" s="110"/>
      <c r="FL142" s="110"/>
      <c r="FM142" s="110"/>
      <c r="FN142" s="110"/>
      <c r="FO142" s="110"/>
      <c r="FP142" s="110"/>
      <c r="FQ142" s="110"/>
      <c r="FR142" s="110"/>
      <c r="FS142" s="110"/>
      <c r="FT142" s="110"/>
      <c r="FU142" s="110"/>
      <c r="FV142" s="110"/>
      <c r="FW142" s="110"/>
      <c r="FX142" s="110"/>
      <c r="FY142" s="110"/>
      <c r="FZ142" s="110"/>
      <c r="GA142" s="110"/>
      <c r="GB142" s="110"/>
      <c r="GC142" s="110"/>
      <c r="GD142" s="110"/>
      <c r="GE142" s="110"/>
      <c r="GF142" s="110"/>
      <c r="GG142" s="110"/>
      <c r="GH142" s="110"/>
      <c r="GI142" s="110"/>
      <c r="GJ142" s="110"/>
      <c r="GK142" s="110"/>
      <c r="GL142" s="110"/>
      <c r="GM142" s="110"/>
      <c r="GN142" s="110"/>
      <c r="GO142" s="110"/>
      <c r="GP142" s="110"/>
      <c r="GQ142" s="110"/>
      <c r="GR142" s="110"/>
      <c r="GS142" s="110"/>
      <c r="GT142" s="110"/>
      <c r="GU142" s="110"/>
      <c r="GV142" s="110"/>
      <c r="GW142" s="110"/>
      <c r="GX142" s="110"/>
      <c r="GY142" s="110"/>
      <c r="GZ142" s="110"/>
      <c r="HA142" s="110"/>
      <c r="HB142" s="110"/>
      <c r="HC142" s="110"/>
      <c r="HD142" s="110"/>
      <c r="HE142" s="110"/>
      <c r="HF142" s="110"/>
      <c r="HG142" s="110"/>
      <c r="HH142" s="110"/>
      <c r="HI142" s="110"/>
      <c r="HJ142" s="110"/>
      <c r="HK142" s="110"/>
      <c r="HL142" s="110"/>
      <c r="HM142" s="110"/>
      <c r="HN142" s="110"/>
      <c r="HO142" s="110"/>
      <c r="HP142" s="110"/>
      <c r="HQ142" s="110"/>
      <c r="HR142" s="110"/>
      <c r="HS142" s="110"/>
      <c r="HT142" s="110"/>
      <c r="HU142" s="110"/>
      <c r="HV142" s="110"/>
      <c r="HW142" s="110"/>
      <c r="HX142" s="110"/>
      <c r="HY142" s="110"/>
      <c r="HZ142" s="110"/>
      <c r="IA142" s="110"/>
      <c r="IB142" s="110"/>
      <c r="IC142" s="110"/>
      <c r="ID142" s="110"/>
      <c r="IE142" s="110"/>
      <c r="IF142" s="110"/>
      <c r="IG142" s="110"/>
      <c r="IH142" s="110"/>
      <c r="II142" s="110"/>
      <c r="IJ142" s="110"/>
      <c r="IK142" s="110"/>
      <c r="IL142" s="110"/>
      <c r="IM142" s="110"/>
      <c r="IN142" s="110"/>
      <c r="IO142" s="110"/>
      <c r="IP142" s="110"/>
      <c r="IQ142" s="70"/>
    </row>
    <row r="143" spans="1:251" ht="16.5" hidden="1" customHeight="1">
      <c r="A143" s="95" t="s">
        <v>450</v>
      </c>
      <c r="B143" t="s">
        <v>1364</v>
      </c>
      <c r="C143" t="s">
        <v>450</v>
      </c>
      <c r="E143" t="s">
        <v>450</v>
      </c>
      <c r="F143" t="s">
        <v>1368</v>
      </c>
      <c r="H143">
        <v>53</v>
      </c>
      <c r="J143" s="214" t="str">
        <f t="shared" si="4"/>
        <v>LTT200153</v>
      </c>
      <c r="K143">
        <v>23710</v>
      </c>
      <c r="R143" s="95" t="s">
        <v>450</v>
      </c>
      <c r="V143" s="214"/>
      <c r="EE143" s="95" t="s">
        <v>450</v>
      </c>
      <c r="EF143" s="110"/>
      <c r="EG143" s="110"/>
      <c r="EH143" s="110"/>
      <c r="EI143" s="216"/>
      <c r="EJ143" s="110"/>
      <c r="EK143" s="110"/>
      <c r="EL143" s="110"/>
      <c r="EM143" s="110"/>
      <c r="EN143" s="110"/>
      <c r="EO143" s="110"/>
      <c r="EP143" s="110"/>
      <c r="EQ143" s="110"/>
      <c r="ER143" s="110"/>
      <c r="ES143" s="110"/>
      <c r="ET143" s="110"/>
      <c r="EU143" s="110"/>
      <c r="EV143" s="110"/>
      <c r="EW143" s="110"/>
      <c r="EX143" s="110"/>
      <c r="EY143" s="110"/>
      <c r="EZ143" s="110"/>
      <c r="FA143" s="110"/>
      <c r="FB143" s="110"/>
      <c r="FC143" s="110"/>
      <c r="FD143" s="110"/>
      <c r="FE143" s="110"/>
      <c r="FF143" s="110"/>
      <c r="FG143" s="110"/>
      <c r="FH143" s="110"/>
      <c r="FI143" s="110"/>
      <c r="FJ143" s="110"/>
      <c r="FK143" s="110"/>
      <c r="FL143" s="110"/>
      <c r="FM143" s="110"/>
      <c r="FN143" s="110"/>
      <c r="FO143" s="110"/>
      <c r="FP143" s="110"/>
      <c r="FQ143" s="110"/>
      <c r="FR143" s="110"/>
      <c r="FS143" s="110"/>
      <c r="FT143" s="110"/>
      <c r="FU143" s="110"/>
      <c r="FV143" s="110"/>
      <c r="FW143" s="110"/>
      <c r="FX143" s="110"/>
      <c r="FY143" s="110"/>
      <c r="FZ143" s="110"/>
      <c r="GA143" s="110"/>
      <c r="GB143" s="110"/>
      <c r="GC143" s="110"/>
      <c r="GD143" s="110"/>
      <c r="GE143" s="110"/>
      <c r="GF143" s="110"/>
      <c r="GG143" s="110"/>
      <c r="GH143" s="110"/>
      <c r="GI143" s="110"/>
      <c r="GJ143" s="110"/>
      <c r="GK143" s="110"/>
      <c r="GL143" s="110"/>
      <c r="GM143" s="110"/>
      <c r="GN143" s="110"/>
      <c r="GO143" s="110"/>
      <c r="GP143" s="110"/>
      <c r="GQ143" s="110"/>
      <c r="GR143" s="110"/>
      <c r="GS143" s="110"/>
      <c r="GT143" s="110"/>
      <c r="GU143" s="110"/>
      <c r="GV143" s="110"/>
      <c r="GW143" s="110"/>
      <c r="GX143" s="110"/>
      <c r="GY143" s="110"/>
      <c r="GZ143" s="110"/>
      <c r="HA143" s="110"/>
      <c r="HB143" s="110"/>
      <c r="HC143" s="110"/>
      <c r="HD143" s="110"/>
      <c r="HE143" s="110"/>
      <c r="HF143" s="110"/>
      <c r="HG143" s="110"/>
      <c r="HH143" s="110"/>
      <c r="HI143" s="110"/>
      <c r="HJ143" s="110"/>
      <c r="HK143" s="110"/>
      <c r="HL143" s="110"/>
      <c r="HM143" s="110"/>
      <c r="HN143" s="110"/>
      <c r="HO143" s="110"/>
      <c r="HP143" s="110"/>
      <c r="HQ143" s="110"/>
      <c r="HR143" s="110"/>
      <c r="HS143" s="110"/>
      <c r="HT143" s="110"/>
      <c r="HU143" s="110"/>
      <c r="HV143" s="110"/>
      <c r="HW143" s="110"/>
      <c r="HX143" s="110"/>
      <c r="HY143" s="110"/>
      <c r="HZ143" s="110"/>
      <c r="IA143" s="110"/>
      <c r="IB143" s="110"/>
      <c r="IC143" s="110"/>
      <c r="ID143" s="110"/>
      <c r="IE143" s="110"/>
      <c r="IF143" s="110"/>
      <c r="IG143" s="110"/>
      <c r="IH143" s="110"/>
      <c r="II143" s="110"/>
      <c r="IJ143" s="110"/>
      <c r="IK143" s="110"/>
      <c r="IL143" s="110"/>
      <c r="IM143" s="110"/>
      <c r="IN143" s="110"/>
      <c r="IO143" s="110"/>
      <c r="IP143" s="110"/>
      <c r="IQ143" s="70"/>
    </row>
    <row r="144" spans="1:251" ht="16.5" hidden="1" customHeight="1">
      <c r="A144" s="95"/>
      <c r="B144" t="s">
        <v>1364</v>
      </c>
      <c r="C144" t="s">
        <v>450</v>
      </c>
      <c r="E144" t="s">
        <v>450</v>
      </c>
      <c r="F144" t="s">
        <v>1368</v>
      </c>
      <c r="H144">
        <v>54</v>
      </c>
      <c r="J144" s="214" t="str">
        <f t="shared" si="4"/>
        <v>LTT200154</v>
      </c>
      <c r="K144">
        <v>24360</v>
      </c>
      <c r="R144" s="95"/>
      <c r="V144" s="214"/>
      <c r="EE144" s="95"/>
      <c r="EF144" s="110"/>
      <c r="EG144" s="110"/>
      <c r="EH144" s="110"/>
      <c r="EI144" s="216"/>
      <c r="EJ144" s="110"/>
      <c r="EK144" s="110"/>
      <c r="EL144" s="110"/>
      <c r="EM144" s="110"/>
      <c r="EN144" s="110"/>
      <c r="EO144" s="110"/>
      <c r="EP144" s="110"/>
      <c r="EQ144" s="110"/>
      <c r="ER144" s="110"/>
      <c r="ES144" s="110"/>
      <c r="ET144" s="110"/>
      <c r="EU144" s="110"/>
      <c r="EV144" s="110"/>
      <c r="EW144" s="110"/>
      <c r="EX144" s="110"/>
      <c r="EY144" s="110"/>
      <c r="EZ144" s="110"/>
      <c r="FA144" s="110"/>
      <c r="FB144" s="110"/>
      <c r="FC144" s="110"/>
      <c r="FD144" s="110"/>
      <c r="FE144" s="110"/>
      <c r="FF144" s="110"/>
      <c r="FG144" s="110"/>
      <c r="FH144" s="110"/>
      <c r="FI144" s="110"/>
      <c r="FJ144" s="110"/>
      <c r="FK144" s="110"/>
      <c r="FL144" s="110"/>
      <c r="FM144" s="110"/>
      <c r="FN144" s="110"/>
      <c r="FO144" s="110"/>
      <c r="FP144" s="110"/>
      <c r="FQ144" s="110"/>
      <c r="FR144" s="110"/>
      <c r="FS144" s="110"/>
      <c r="FT144" s="110"/>
      <c r="FU144" s="110"/>
      <c r="FV144" s="110"/>
      <c r="FW144" s="110"/>
      <c r="FX144" s="110"/>
      <c r="FY144" s="110"/>
      <c r="FZ144" s="110"/>
      <c r="GA144" s="110"/>
      <c r="GB144" s="110"/>
      <c r="GC144" s="110"/>
      <c r="GD144" s="110"/>
      <c r="GE144" s="110"/>
      <c r="GF144" s="110"/>
      <c r="GG144" s="110"/>
      <c r="GH144" s="110"/>
      <c r="GI144" s="110"/>
      <c r="GJ144" s="110"/>
      <c r="GK144" s="110"/>
      <c r="GL144" s="110"/>
      <c r="GM144" s="110"/>
      <c r="GN144" s="110"/>
      <c r="GO144" s="110"/>
      <c r="GP144" s="110"/>
      <c r="GQ144" s="110"/>
      <c r="GR144" s="110"/>
      <c r="GS144" s="110"/>
      <c r="GT144" s="110"/>
      <c r="GU144" s="110"/>
      <c r="GV144" s="110"/>
      <c r="GW144" s="110"/>
      <c r="GX144" s="110"/>
      <c r="GY144" s="110"/>
      <c r="GZ144" s="110"/>
      <c r="HA144" s="110"/>
      <c r="HB144" s="110"/>
      <c r="HC144" s="110"/>
      <c r="HD144" s="110"/>
      <c r="HE144" s="110"/>
      <c r="HF144" s="110"/>
      <c r="HG144" s="110"/>
      <c r="HH144" s="110"/>
      <c r="HI144" s="110"/>
      <c r="HJ144" s="110"/>
      <c r="HK144" s="110"/>
      <c r="HL144" s="110"/>
      <c r="HM144" s="110"/>
      <c r="HN144" s="110"/>
      <c r="HO144" s="110"/>
      <c r="HP144" s="110"/>
      <c r="HQ144" s="110"/>
      <c r="HR144" s="110"/>
      <c r="HS144" s="110"/>
      <c r="HT144" s="110"/>
      <c r="HU144" s="110"/>
      <c r="HV144" s="110"/>
      <c r="HW144" s="110"/>
      <c r="HX144" s="110"/>
      <c r="HY144" s="110"/>
      <c r="HZ144" s="110"/>
      <c r="IA144" s="110"/>
      <c r="IB144" s="110"/>
      <c r="IC144" s="110"/>
      <c r="ID144" s="110"/>
      <c r="IE144" s="110"/>
      <c r="IF144" s="110"/>
      <c r="IG144" s="110"/>
      <c r="IH144" s="110"/>
      <c r="II144" s="110"/>
      <c r="IJ144" s="110"/>
      <c r="IK144" s="110"/>
      <c r="IL144" s="110"/>
      <c r="IM144" s="110"/>
      <c r="IN144" s="110"/>
      <c r="IO144" s="110"/>
      <c r="IP144" s="110"/>
      <c r="IQ144" s="70"/>
    </row>
    <row r="145" spans="1:251" ht="16.5" hidden="1" customHeight="1">
      <c r="A145" s="95"/>
      <c r="B145" t="s">
        <v>1364</v>
      </c>
      <c r="C145" t="s">
        <v>450</v>
      </c>
      <c r="E145" t="s">
        <v>450</v>
      </c>
      <c r="F145" t="s">
        <v>1368</v>
      </c>
      <c r="H145">
        <v>55</v>
      </c>
      <c r="J145" s="214" t="str">
        <f t="shared" si="4"/>
        <v>LTT200155</v>
      </c>
      <c r="K145">
        <v>25020</v>
      </c>
      <c r="R145" s="95"/>
      <c r="V145" s="214"/>
      <c r="EE145" s="95"/>
      <c r="EF145" s="110"/>
      <c r="EG145" s="110"/>
      <c r="EH145" s="110"/>
      <c r="EI145" s="216"/>
      <c r="EJ145" s="110"/>
      <c r="EK145" s="110"/>
      <c r="EL145" s="110"/>
      <c r="EM145" s="110"/>
      <c r="EN145" s="110"/>
      <c r="EO145" s="110"/>
      <c r="EP145" s="110"/>
      <c r="EQ145" s="110"/>
      <c r="ER145" s="110"/>
      <c r="ES145" s="110"/>
      <c r="ET145" s="110"/>
      <c r="EU145" s="110"/>
      <c r="EV145" s="110"/>
      <c r="EW145" s="110"/>
      <c r="EX145" s="110"/>
      <c r="EY145" s="110"/>
      <c r="EZ145" s="110"/>
      <c r="FA145" s="110"/>
      <c r="FB145" s="110"/>
      <c r="FC145" s="110"/>
      <c r="FD145" s="110"/>
      <c r="FE145" s="110"/>
      <c r="FF145" s="110"/>
      <c r="FG145" s="110"/>
      <c r="FH145" s="110"/>
      <c r="FI145" s="110"/>
      <c r="FJ145" s="110"/>
      <c r="FK145" s="110"/>
      <c r="FL145" s="110"/>
      <c r="FM145" s="110"/>
      <c r="FN145" s="110"/>
      <c r="FO145" s="110"/>
      <c r="FP145" s="110"/>
      <c r="FQ145" s="110"/>
      <c r="FR145" s="110"/>
      <c r="FS145" s="110"/>
      <c r="FT145" s="110"/>
      <c r="FU145" s="110"/>
      <c r="FV145" s="110"/>
      <c r="FW145" s="110"/>
      <c r="FX145" s="110"/>
      <c r="FY145" s="110"/>
      <c r="FZ145" s="110"/>
      <c r="GA145" s="110"/>
      <c r="GB145" s="110"/>
      <c r="GC145" s="110"/>
      <c r="GD145" s="110"/>
      <c r="GE145" s="110"/>
      <c r="GF145" s="110"/>
      <c r="GG145" s="110"/>
      <c r="GH145" s="110"/>
      <c r="GI145" s="110"/>
      <c r="GJ145" s="110"/>
      <c r="GK145" s="110"/>
      <c r="GL145" s="110"/>
      <c r="GM145" s="110"/>
      <c r="GN145" s="110"/>
      <c r="GO145" s="110"/>
      <c r="GP145" s="110"/>
      <c r="GQ145" s="110"/>
      <c r="GR145" s="110"/>
      <c r="GS145" s="110"/>
      <c r="GT145" s="110"/>
      <c r="GU145" s="110"/>
      <c r="GV145" s="110"/>
      <c r="GW145" s="110"/>
      <c r="GX145" s="110"/>
      <c r="GY145" s="110"/>
      <c r="GZ145" s="110"/>
      <c r="HA145" s="110"/>
      <c r="HB145" s="110"/>
      <c r="HC145" s="110"/>
      <c r="HD145" s="110"/>
      <c r="HE145" s="110"/>
      <c r="HF145" s="110"/>
      <c r="HG145" s="110"/>
      <c r="HH145" s="110"/>
      <c r="HI145" s="110"/>
      <c r="HJ145" s="110"/>
      <c r="HK145" s="110"/>
      <c r="HL145" s="110"/>
      <c r="HM145" s="110"/>
      <c r="HN145" s="110"/>
      <c r="HO145" s="110"/>
      <c r="HP145" s="110"/>
      <c r="HQ145" s="110"/>
      <c r="HR145" s="110"/>
      <c r="HS145" s="110"/>
      <c r="HT145" s="110"/>
      <c r="HU145" s="110"/>
      <c r="HV145" s="110"/>
      <c r="HW145" s="110"/>
      <c r="HX145" s="110"/>
      <c r="HY145" s="110"/>
      <c r="HZ145" s="110"/>
      <c r="IA145" s="110"/>
      <c r="IB145" s="110"/>
      <c r="IC145" s="110"/>
      <c r="ID145" s="110"/>
      <c r="IE145" s="110"/>
      <c r="IF145" s="110"/>
      <c r="IG145" s="110"/>
      <c r="IH145" s="110"/>
      <c r="II145" s="110"/>
      <c r="IJ145" s="110"/>
      <c r="IK145" s="110"/>
      <c r="IL145" s="110"/>
      <c r="IM145" s="110"/>
      <c r="IN145" s="110"/>
      <c r="IO145" s="110"/>
      <c r="IP145" s="110"/>
      <c r="IQ145" s="70"/>
    </row>
    <row r="146" spans="1:251" ht="16.5" hidden="1" customHeight="1">
      <c r="A146" s="95"/>
      <c r="B146" t="s">
        <v>1364</v>
      </c>
      <c r="C146" t="s">
        <v>450</v>
      </c>
      <c r="E146" t="s">
        <v>450</v>
      </c>
      <c r="F146" t="s">
        <v>1369</v>
      </c>
      <c r="H146">
        <v>15</v>
      </c>
      <c r="J146" s="214" t="str">
        <f t="shared" si="4"/>
        <v>LTT200215</v>
      </c>
      <c r="K146">
        <v>16250</v>
      </c>
      <c r="R146" s="95"/>
      <c r="V146" s="214"/>
      <c r="EE146" s="95"/>
      <c r="EF146" s="110"/>
      <c r="EG146" s="110"/>
      <c r="EH146" s="110"/>
      <c r="EI146" s="216"/>
      <c r="EJ146" s="110"/>
      <c r="EK146" s="110"/>
      <c r="EL146" s="110"/>
      <c r="EM146" s="110"/>
      <c r="EN146" s="110"/>
      <c r="EO146" s="110"/>
      <c r="EP146" s="110"/>
      <c r="EQ146" s="110"/>
      <c r="ER146" s="110"/>
      <c r="ES146" s="110"/>
      <c r="ET146" s="110"/>
      <c r="EU146" s="110"/>
      <c r="EV146" s="110"/>
      <c r="EW146" s="110"/>
      <c r="EX146" s="110"/>
      <c r="EY146" s="110"/>
      <c r="EZ146" s="110"/>
      <c r="FA146" s="110"/>
      <c r="FB146" s="110"/>
      <c r="FC146" s="110"/>
      <c r="FD146" s="110"/>
      <c r="FE146" s="110"/>
      <c r="FF146" s="110"/>
      <c r="FG146" s="110"/>
      <c r="FH146" s="110"/>
      <c r="FI146" s="110"/>
      <c r="FJ146" s="110"/>
      <c r="FK146" s="110"/>
      <c r="FL146" s="110"/>
      <c r="FM146" s="110"/>
      <c r="FN146" s="110"/>
      <c r="FO146" s="110"/>
      <c r="FP146" s="110"/>
      <c r="FQ146" s="110"/>
      <c r="FR146" s="110"/>
      <c r="FS146" s="110"/>
      <c r="FT146" s="110"/>
      <c r="FU146" s="110"/>
      <c r="FV146" s="110"/>
      <c r="FW146" s="110"/>
      <c r="FX146" s="110"/>
      <c r="FY146" s="110"/>
      <c r="FZ146" s="110"/>
      <c r="GA146" s="110"/>
      <c r="GB146" s="110"/>
      <c r="GC146" s="110"/>
      <c r="GD146" s="110"/>
      <c r="GE146" s="110"/>
      <c r="GF146" s="110"/>
      <c r="GG146" s="110"/>
      <c r="GH146" s="110"/>
      <c r="GI146" s="110"/>
      <c r="GJ146" s="110"/>
      <c r="GK146" s="110"/>
      <c r="GL146" s="110"/>
      <c r="GM146" s="110"/>
      <c r="GN146" s="110"/>
      <c r="GO146" s="110"/>
      <c r="GP146" s="110"/>
      <c r="GQ146" s="110"/>
      <c r="GR146" s="110"/>
      <c r="GS146" s="110"/>
      <c r="GT146" s="110"/>
      <c r="GU146" s="110"/>
      <c r="GV146" s="110"/>
      <c r="GW146" s="110"/>
      <c r="GX146" s="110"/>
      <c r="GY146" s="110"/>
      <c r="GZ146" s="110"/>
      <c r="HA146" s="110"/>
      <c r="HB146" s="110"/>
      <c r="HC146" s="110"/>
      <c r="HD146" s="110"/>
      <c r="HE146" s="110"/>
      <c r="HF146" s="110"/>
      <c r="HG146" s="110"/>
      <c r="HH146" s="110"/>
      <c r="HI146" s="110"/>
      <c r="HJ146" s="110"/>
      <c r="HK146" s="110"/>
      <c r="HL146" s="110"/>
      <c r="HM146" s="110"/>
      <c r="HN146" s="110"/>
      <c r="HO146" s="110"/>
      <c r="HP146" s="110"/>
      <c r="HQ146" s="110"/>
      <c r="HR146" s="110"/>
      <c r="HS146" s="110"/>
      <c r="HT146" s="110"/>
      <c r="HU146" s="110"/>
      <c r="HV146" s="110"/>
      <c r="HW146" s="110"/>
      <c r="HX146" s="110"/>
      <c r="HY146" s="110"/>
      <c r="HZ146" s="110"/>
      <c r="IA146" s="110"/>
      <c r="IB146" s="110"/>
      <c r="IC146" s="110"/>
      <c r="ID146" s="110"/>
      <c r="IE146" s="110"/>
      <c r="IF146" s="110"/>
      <c r="IG146" s="110"/>
      <c r="IH146" s="110"/>
      <c r="II146" s="110"/>
      <c r="IJ146" s="110"/>
      <c r="IK146" s="110"/>
      <c r="IL146" s="110"/>
      <c r="IM146" s="110"/>
      <c r="IN146" s="110"/>
      <c r="IO146" s="110"/>
      <c r="IP146" s="110"/>
      <c r="IQ146" s="70"/>
    </row>
    <row r="147" spans="1:251" ht="16.5" hidden="1" customHeight="1">
      <c r="A147" s="95"/>
      <c r="B147" t="s">
        <v>1364</v>
      </c>
      <c r="C147" t="s">
        <v>450</v>
      </c>
      <c r="E147" t="s">
        <v>450</v>
      </c>
      <c r="F147" t="s">
        <v>1369</v>
      </c>
      <c r="H147">
        <v>16</v>
      </c>
      <c r="J147" s="214" t="str">
        <f t="shared" si="4"/>
        <v>LTT200216</v>
      </c>
      <c r="K147">
        <v>16540</v>
      </c>
      <c r="R147" s="95"/>
      <c r="V147" s="214"/>
      <c r="EE147" s="95"/>
      <c r="EF147" s="110"/>
      <c r="EG147" s="110"/>
      <c r="EH147" s="110"/>
      <c r="EI147" s="216"/>
      <c r="EJ147" s="110"/>
      <c r="EK147" s="110"/>
      <c r="EL147" s="110"/>
      <c r="EM147" s="110"/>
      <c r="EN147" s="110"/>
      <c r="EO147" s="110"/>
      <c r="EP147" s="110"/>
      <c r="EQ147" s="110"/>
      <c r="ER147" s="110"/>
      <c r="ES147" s="110"/>
      <c r="ET147" s="110"/>
      <c r="EU147" s="110"/>
      <c r="EV147" s="110"/>
      <c r="EW147" s="110"/>
      <c r="EX147" s="110"/>
      <c r="EY147" s="110"/>
      <c r="EZ147" s="110"/>
      <c r="FA147" s="110"/>
      <c r="FB147" s="110"/>
      <c r="FC147" s="110"/>
      <c r="FD147" s="110"/>
      <c r="FE147" s="110"/>
      <c r="FF147" s="110"/>
      <c r="FG147" s="110"/>
      <c r="FH147" s="110"/>
      <c r="FI147" s="110"/>
      <c r="FJ147" s="110"/>
      <c r="FK147" s="110"/>
      <c r="FL147" s="110"/>
      <c r="FM147" s="110"/>
      <c r="FN147" s="110"/>
      <c r="FO147" s="110"/>
      <c r="FP147" s="110"/>
      <c r="FQ147" s="110"/>
      <c r="FR147" s="110"/>
      <c r="FS147" s="110"/>
      <c r="FT147" s="110"/>
      <c r="FU147" s="110"/>
      <c r="FV147" s="110"/>
      <c r="FW147" s="110"/>
      <c r="FX147" s="110"/>
      <c r="FY147" s="110"/>
      <c r="FZ147" s="110"/>
      <c r="GA147" s="110"/>
      <c r="GB147" s="110"/>
      <c r="GC147" s="110"/>
      <c r="GD147" s="110"/>
      <c r="GE147" s="110"/>
      <c r="GF147" s="110"/>
      <c r="GG147" s="110"/>
      <c r="GH147" s="110"/>
      <c r="GI147" s="110"/>
      <c r="GJ147" s="110"/>
      <c r="GK147" s="110"/>
      <c r="GL147" s="110"/>
      <c r="GM147" s="110"/>
      <c r="GN147" s="110"/>
      <c r="GO147" s="110"/>
      <c r="GP147" s="110"/>
      <c r="GQ147" s="110"/>
      <c r="GR147" s="110"/>
      <c r="GS147" s="110"/>
      <c r="GT147" s="110"/>
      <c r="GU147" s="110"/>
      <c r="GV147" s="110"/>
      <c r="GW147" s="110"/>
      <c r="GX147" s="110"/>
      <c r="GY147" s="110"/>
      <c r="GZ147" s="110"/>
      <c r="HA147" s="110"/>
      <c r="HB147" s="110"/>
      <c r="HC147" s="110"/>
      <c r="HD147" s="110"/>
      <c r="HE147" s="110"/>
      <c r="HF147" s="110"/>
      <c r="HG147" s="110"/>
      <c r="HH147" s="110"/>
      <c r="HI147" s="110"/>
      <c r="HJ147" s="110"/>
      <c r="HK147" s="110"/>
      <c r="HL147" s="110"/>
      <c r="HM147" s="110"/>
      <c r="HN147" s="110"/>
      <c r="HO147" s="110"/>
      <c r="HP147" s="110"/>
      <c r="HQ147" s="110"/>
      <c r="HR147" s="110"/>
      <c r="HS147" s="110"/>
      <c r="HT147" s="110"/>
      <c r="HU147" s="110"/>
      <c r="HV147" s="110"/>
      <c r="HW147" s="110"/>
      <c r="HX147" s="110"/>
      <c r="HY147" s="110"/>
      <c r="HZ147" s="110"/>
      <c r="IA147" s="110"/>
      <c r="IB147" s="110"/>
      <c r="IC147" s="110"/>
      <c r="ID147" s="110"/>
      <c r="IE147" s="110"/>
      <c r="IF147" s="110"/>
      <c r="IG147" s="110"/>
      <c r="IH147" s="110"/>
      <c r="II147" s="110"/>
      <c r="IJ147" s="110"/>
      <c r="IK147" s="110"/>
      <c r="IL147" s="110"/>
      <c r="IM147" s="110"/>
      <c r="IN147" s="110"/>
      <c r="IO147" s="110"/>
      <c r="IP147" s="110"/>
      <c r="IQ147" s="70"/>
    </row>
    <row r="148" spans="1:251" ht="16.5" hidden="1" customHeight="1">
      <c r="A148" s="95"/>
      <c r="B148" t="s">
        <v>1364</v>
      </c>
      <c r="C148" t="s">
        <v>450</v>
      </c>
      <c r="E148" t="s">
        <v>450</v>
      </c>
      <c r="F148" t="s">
        <v>1369</v>
      </c>
      <c r="H148">
        <v>17</v>
      </c>
      <c r="J148" s="214" t="str">
        <f t="shared" si="4"/>
        <v>LTT200217</v>
      </c>
      <c r="K148">
        <v>16760</v>
      </c>
      <c r="R148" s="95"/>
      <c r="V148" s="214"/>
      <c r="EE148" s="95"/>
      <c r="EF148" s="110"/>
      <c r="EG148" s="110"/>
      <c r="EH148" s="110"/>
      <c r="EI148" s="216"/>
      <c r="EJ148" s="110"/>
      <c r="EK148" s="110"/>
      <c r="EL148" s="110"/>
      <c r="EM148" s="110"/>
      <c r="EN148" s="110"/>
      <c r="EO148" s="110"/>
      <c r="EP148" s="110"/>
      <c r="EQ148" s="110"/>
      <c r="ER148" s="110"/>
      <c r="ES148" s="110"/>
      <c r="ET148" s="110"/>
      <c r="EU148" s="110"/>
      <c r="EV148" s="110"/>
      <c r="EW148" s="110"/>
      <c r="EX148" s="110"/>
      <c r="EY148" s="110"/>
      <c r="EZ148" s="110"/>
      <c r="FA148" s="110"/>
      <c r="FB148" s="110"/>
      <c r="FC148" s="110"/>
      <c r="FD148" s="110"/>
      <c r="FE148" s="110"/>
      <c r="FF148" s="110"/>
      <c r="FG148" s="110"/>
      <c r="FH148" s="110"/>
      <c r="FI148" s="110"/>
      <c r="FJ148" s="110"/>
      <c r="FK148" s="110"/>
      <c r="FL148" s="110"/>
      <c r="FM148" s="110"/>
      <c r="FN148" s="110"/>
      <c r="FO148" s="110"/>
      <c r="FP148" s="110"/>
      <c r="FQ148" s="110"/>
      <c r="FR148" s="110"/>
      <c r="FS148" s="110"/>
      <c r="FT148" s="110"/>
      <c r="FU148" s="110"/>
      <c r="FV148" s="110"/>
      <c r="FW148" s="110"/>
      <c r="FX148" s="110"/>
      <c r="FY148" s="110"/>
      <c r="FZ148" s="110"/>
      <c r="GA148" s="110"/>
      <c r="GB148" s="110"/>
      <c r="GC148" s="110"/>
      <c r="GD148" s="110"/>
      <c r="GE148" s="110"/>
      <c r="GF148" s="110"/>
      <c r="GG148" s="110"/>
      <c r="GH148" s="110"/>
      <c r="GI148" s="110"/>
      <c r="GJ148" s="110"/>
      <c r="GK148" s="110"/>
      <c r="GL148" s="110"/>
      <c r="GM148" s="110"/>
      <c r="GN148" s="110"/>
      <c r="GO148" s="110"/>
      <c r="GP148" s="110"/>
      <c r="GQ148" s="110"/>
      <c r="GR148" s="110"/>
      <c r="GS148" s="110"/>
      <c r="GT148" s="110"/>
      <c r="GU148" s="110"/>
      <c r="GV148" s="110"/>
      <c r="GW148" s="110"/>
      <c r="GX148" s="110"/>
      <c r="GY148" s="110"/>
      <c r="GZ148" s="110"/>
      <c r="HA148" s="110"/>
      <c r="HB148" s="110"/>
      <c r="HC148" s="110"/>
      <c r="HD148" s="110"/>
      <c r="HE148" s="110"/>
      <c r="HF148" s="110"/>
      <c r="HG148" s="110"/>
      <c r="HH148" s="110"/>
      <c r="HI148" s="110"/>
      <c r="HJ148" s="110"/>
      <c r="HK148" s="110"/>
      <c r="HL148" s="110"/>
      <c r="HM148" s="110"/>
      <c r="HN148" s="110"/>
      <c r="HO148" s="110"/>
      <c r="HP148" s="110"/>
      <c r="HQ148" s="110"/>
      <c r="HR148" s="110"/>
      <c r="HS148" s="110"/>
      <c r="HT148" s="110"/>
      <c r="HU148" s="110"/>
      <c r="HV148" s="110"/>
      <c r="HW148" s="110"/>
      <c r="HX148" s="110"/>
      <c r="HY148" s="110"/>
      <c r="HZ148" s="110"/>
      <c r="IA148" s="110"/>
      <c r="IB148" s="110"/>
      <c r="IC148" s="110"/>
      <c r="ID148" s="110"/>
      <c r="IE148" s="110"/>
      <c r="IF148" s="110"/>
      <c r="IG148" s="110"/>
      <c r="IH148" s="110"/>
      <c r="II148" s="110"/>
      <c r="IJ148" s="110"/>
      <c r="IK148" s="110"/>
      <c r="IL148" s="110"/>
      <c r="IM148" s="110"/>
      <c r="IN148" s="110"/>
      <c r="IO148" s="110"/>
      <c r="IP148" s="110"/>
      <c r="IQ148" s="70"/>
    </row>
    <row r="149" spans="1:251" ht="16.5" hidden="1" customHeight="1">
      <c r="A149" s="95"/>
      <c r="B149" t="s">
        <v>1364</v>
      </c>
      <c r="C149" t="s">
        <v>450</v>
      </c>
      <c r="E149" t="s">
        <v>450</v>
      </c>
      <c r="F149" t="s">
        <v>1369</v>
      </c>
      <c r="H149">
        <v>18</v>
      </c>
      <c r="J149" s="214" t="str">
        <f t="shared" si="4"/>
        <v>LTT200218</v>
      </c>
      <c r="K149">
        <v>17040</v>
      </c>
      <c r="R149" s="95"/>
      <c r="V149" s="214"/>
      <c r="EE149" s="95"/>
      <c r="EF149" s="110"/>
      <c r="EG149" s="110"/>
      <c r="EH149" s="110"/>
      <c r="EI149" s="216"/>
      <c r="EJ149" s="110"/>
      <c r="EK149" s="110"/>
      <c r="EL149" s="110"/>
      <c r="EM149" s="110"/>
      <c r="EN149" s="110"/>
      <c r="EO149" s="110"/>
      <c r="EP149" s="110"/>
      <c r="EQ149" s="110"/>
      <c r="ER149" s="110"/>
      <c r="ES149" s="110"/>
      <c r="ET149" s="110"/>
      <c r="EU149" s="110"/>
      <c r="EV149" s="110"/>
      <c r="EW149" s="110"/>
      <c r="EX149" s="110"/>
      <c r="EY149" s="110"/>
      <c r="EZ149" s="110"/>
      <c r="FA149" s="110"/>
      <c r="FB149" s="110"/>
      <c r="FC149" s="110"/>
      <c r="FD149" s="110"/>
      <c r="FE149" s="110"/>
      <c r="FF149" s="110"/>
      <c r="FG149" s="110"/>
      <c r="FH149" s="110"/>
      <c r="FI149" s="110"/>
      <c r="FJ149" s="110"/>
      <c r="FK149" s="110"/>
      <c r="FL149" s="110"/>
      <c r="FM149" s="110"/>
      <c r="FN149" s="110"/>
      <c r="FO149" s="110"/>
      <c r="FP149" s="110"/>
      <c r="FQ149" s="110"/>
      <c r="FR149" s="110"/>
      <c r="FS149" s="110"/>
      <c r="FT149" s="110"/>
      <c r="FU149" s="110"/>
      <c r="FV149" s="110"/>
      <c r="FW149" s="110"/>
      <c r="FX149" s="110"/>
      <c r="FY149" s="110"/>
      <c r="FZ149" s="110"/>
      <c r="GA149" s="110"/>
      <c r="GB149" s="110"/>
      <c r="GC149" s="110"/>
      <c r="GD149" s="110"/>
      <c r="GE149" s="110"/>
      <c r="GF149" s="110"/>
      <c r="GG149" s="110"/>
      <c r="GH149" s="110"/>
      <c r="GI149" s="110"/>
      <c r="GJ149" s="110"/>
      <c r="GK149" s="110"/>
      <c r="GL149" s="110"/>
      <c r="GM149" s="110"/>
      <c r="GN149" s="110"/>
      <c r="GO149" s="110"/>
      <c r="GP149" s="110"/>
      <c r="GQ149" s="110"/>
      <c r="GR149" s="110"/>
      <c r="GS149" s="110"/>
      <c r="GT149" s="110"/>
      <c r="GU149" s="110"/>
      <c r="GV149" s="110"/>
      <c r="GW149" s="110"/>
      <c r="GX149" s="110"/>
      <c r="GY149" s="110"/>
      <c r="GZ149" s="110"/>
      <c r="HA149" s="110"/>
      <c r="HB149" s="110"/>
      <c r="HC149" s="110"/>
      <c r="HD149" s="110"/>
      <c r="HE149" s="110"/>
      <c r="HF149" s="110"/>
      <c r="HG149" s="110"/>
      <c r="HH149" s="110"/>
      <c r="HI149" s="110"/>
      <c r="HJ149" s="110"/>
      <c r="HK149" s="110"/>
      <c r="HL149" s="110"/>
      <c r="HM149" s="110"/>
      <c r="HN149" s="110"/>
      <c r="HO149" s="110"/>
      <c r="HP149" s="110"/>
      <c r="HQ149" s="110"/>
      <c r="HR149" s="110"/>
      <c r="HS149" s="110"/>
      <c r="HT149" s="110"/>
      <c r="HU149" s="110"/>
      <c r="HV149" s="110"/>
      <c r="HW149" s="110"/>
      <c r="HX149" s="110"/>
      <c r="HY149" s="110"/>
      <c r="HZ149" s="110"/>
      <c r="IA149" s="110"/>
      <c r="IB149" s="110"/>
      <c r="IC149" s="110"/>
      <c r="ID149" s="110"/>
      <c r="IE149" s="110"/>
      <c r="IF149" s="110"/>
      <c r="IG149" s="110"/>
      <c r="IH149" s="110"/>
      <c r="II149" s="110"/>
      <c r="IJ149" s="110"/>
      <c r="IK149" s="110"/>
      <c r="IL149" s="110"/>
      <c r="IM149" s="110"/>
      <c r="IN149" s="110"/>
      <c r="IO149" s="110"/>
      <c r="IP149" s="110"/>
      <c r="IQ149" s="70"/>
    </row>
    <row r="150" spans="1:251" ht="16.5" hidden="1" customHeight="1">
      <c r="A150" s="95"/>
      <c r="B150" t="s">
        <v>1364</v>
      </c>
      <c r="C150" t="s">
        <v>450</v>
      </c>
      <c r="E150" t="s">
        <v>450</v>
      </c>
      <c r="F150" t="s">
        <v>1369</v>
      </c>
      <c r="H150">
        <v>19</v>
      </c>
      <c r="J150" s="214" t="str">
        <f t="shared" si="4"/>
        <v>LTT200219</v>
      </c>
      <c r="K150">
        <v>17320</v>
      </c>
      <c r="R150" s="95"/>
      <c r="V150" s="214"/>
      <c r="EE150" s="95"/>
      <c r="EF150" s="110"/>
      <c r="EG150" s="110"/>
      <c r="EH150" s="110"/>
      <c r="EI150" s="216"/>
      <c r="EJ150" s="110"/>
      <c r="EK150" s="110"/>
      <c r="EL150" s="110"/>
      <c r="EM150" s="110"/>
      <c r="EN150" s="110"/>
      <c r="EO150" s="110"/>
      <c r="EP150" s="110"/>
      <c r="EQ150" s="110"/>
      <c r="ER150" s="110"/>
      <c r="ES150" s="110"/>
      <c r="ET150" s="110"/>
      <c r="EU150" s="110"/>
      <c r="EV150" s="110"/>
      <c r="EW150" s="110"/>
      <c r="EX150" s="110"/>
      <c r="EY150" s="110"/>
      <c r="EZ150" s="110"/>
      <c r="FA150" s="110"/>
      <c r="FB150" s="110"/>
      <c r="FC150" s="110"/>
      <c r="FD150" s="110"/>
      <c r="FE150" s="110"/>
      <c r="FF150" s="110"/>
      <c r="FG150" s="110"/>
      <c r="FH150" s="110"/>
      <c r="FI150" s="110"/>
      <c r="FJ150" s="110"/>
      <c r="FK150" s="110"/>
      <c r="FL150" s="110"/>
      <c r="FM150" s="110"/>
      <c r="FN150" s="110"/>
      <c r="FO150" s="110"/>
      <c r="FP150" s="110"/>
      <c r="FQ150" s="110"/>
      <c r="FR150" s="110"/>
      <c r="FS150" s="110"/>
      <c r="FT150" s="110"/>
      <c r="FU150" s="110"/>
      <c r="FV150" s="110"/>
      <c r="FW150" s="110"/>
      <c r="FX150" s="110"/>
      <c r="FY150" s="110"/>
      <c r="FZ150" s="110"/>
      <c r="GA150" s="110"/>
      <c r="GB150" s="110"/>
      <c r="GC150" s="110"/>
      <c r="GD150" s="110"/>
      <c r="GE150" s="110"/>
      <c r="GF150" s="110"/>
      <c r="GG150" s="110"/>
      <c r="GH150" s="110"/>
      <c r="GI150" s="110"/>
      <c r="GJ150" s="110"/>
      <c r="GK150" s="110"/>
      <c r="GL150" s="110"/>
      <c r="GM150" s="110"/>
      <c r="GN150" s="110"/>
      <c r="GO150" s="110"/>
      <c r="GP150" s="110"/>
      <c r="GQ150" s="110"/>
      <c r="GR150" s="110"/>
      <c r="GS150" s="110"/>
      <c r="GT150" s="110"/>
      <c r="GU150" s="110"/>
      <c r="GV150" s="110"/>
      <c r="GW150" s="110"/>
      <c r="GX150" s="110"/>
      <c r="GY150" s="110"/>
      <c r="GZ150" s="110"/>
      <c r="HA150" s="110"/>
      <c r="HB150" s="110"/>
      <c r="HC150" s="110"/>
      <c r="HD150" s="110"/>
      <c r="HE150" s="110"/>
      <c r="HF150" s="110"/>
      <c r="HG150" s="110"/>
      <c r="HH150" s="110"/>
      <c r="HI150" s="110"/>
      <c r="HJ150" s="110"/>
      <c r="HK150" s="110"/>
      <c r="HL150" s="110"/>
      <c r="HM150" s="110"/>
      <c r="HN150" s="110"/>
      <c r="HO150" s="110"/>
      <c r="HP150" s="110"/>
      <c r="HQ150" s="110"/>
      <c r="HR150" s="110"/>
      <c r="HS150" s="110"/>
      <c r="HT150" s="110"/>
      <c r="HU150" s="110"/>
      <c r="HV150" s="110"/>
      <c r="HW150" s="110"/>
      <c r="HX150" s="110"/>
      <c r="HY150" s="110"/>
      <c r="HZ150" s="110"/>
      <c r="IA150" s="110"/>
      <c r="IB150" s="110"/>
      <c r="IC150" s="110"/>
      <c r="ID150" s="110"/>
      <c r="IE150" s="110"/>
      <c r="IF150" s="110"/>
      <c r="IG150" s="110"/>
      <c r="IH150" s="110"/>
      <c r="II150" s="110"/>
      <c r="IJ150" s="110"/>
      <c r="IK150" s="110"/>
      <c r="IL150" s="110"/>
      <c r="IM150" s="110"/>
      <c r="IN150" s="110"/>
      <c r="IO150" s="110"/>
      <c r="IP150" s="110"/>
      <c r="IQ150" s="70"/>
    </row>
    <row r="151" spans="1:251" ht="16.5" hidden="1" customHeight="1">
      <c r="A151" s="95"/>
      <c r="B151" t="s">
        <v>1364</v>
      </c>
      <c r="C151" t="s">
        <v>450</v>
      </c>
      <c r="E151" t="s">
        <v>450</v>
      </c>
      <c r="F151" t="s">
        <v>1369</v>
      </c>
      <c r="H151">
        <v>20</v>
      </c>
      <c r="J151" s="214" t="str">
        <f t="shared" si="4"/>
        <v>LTT200220</v>
      </c>
      <c r="K151">
        <v>17600</v>
      </c>
      <c r="R151" s="95"/>
      <c r="V151" s="214"/>
      <c r="EE151" s="95"/>
      <c r="EF151" s="110"/>
      <c r="EG151" s="110"/>
      <c r="EH151" s="110"/>
      <c r="EI151" s="216"/>
      <c r="EJ151" s="110"/>
      <c r="EK151" s="110"/>
      <c r="EL151" s="110"/>
      <c r="EM151" s="110"/>
      <c r="EN151" s="110"/>
      <c r="EO151" s="110"/>
      <c r="EP151" s="110"/>
      <c r="EQ151" s="110"/>
      <c r="ER151" s="110"/>
      <c r="ES151" s="110"/>
      <c r="ET151" s="110"/>
      <c r="EU151" s="110"/>
      <c r="EV151" s="110"/>
      <c r="EW151" s="110"/>
      <c r="EX151" s="110"/>
      <c r="EY151" s="110"/>
      <c r="EZ151" s="110"/>
      <c r="FA151" s="110"/>
      <c r="FB151" s="110"/>
      <c r="FC151" s="110"/>
      <c r="FD151" s="110"/>
      <c r="FE151" s="110"/>
      <c r="FF151" s="110"/>
      <c r="FG151" s="110"/>
      <c r="FH151" s="110"/>
      <c r="FI151" s="110"/>
      <c r="FJ151" s="110"/>
      <c r="FK151" s="110"/>
      <c r="FL151" s="110"/>
      <c r="FM151" s="110"/>
      <c r="FN151" s="110"/>
      <c r="FO151" s="110"/>
      <c r="FP151" s="110"/>
      <c r="FQ151" s="110"/>
      <c r="FR151" s="110"/>
      <c r="FS151" s="110"/>
      <c r="FT151" s="110"/>
      <c r="FU151" s="110"/>
      <c r="FV151" s="110"/>
      <c r="FW151" s="110"/>
      <c r="FX151" s="110"/>
      <c r="FY151" s="110"/>
      <c r="FZ151" s="110"/>
      <c r="GA151" s="110"/>
      <c r="GB151" s="110"/>
      <c r="GC151" s="110"/>
      <c r="GD151" s="110"/>
      <c r="GE151" s="110"/>
      <c r="GF151" s="110"/>
      <c r="GG151" s="110"/>
      <c r="GH151" s="110"/>
      <c r="GI151" s="110"/>
      <c r="GJ151" s="110"/>
      <c r="GK151" s="110"/>
      <c r="GL151" s="110"/>
      <c r="GM151" s="110"/>
      <c r="GN151" s="110"/>
      <c r="GO151" s="110"/>
      <c r="GP151" s="110"/>
      <c r="GQ151" s="110"/>
      <c r="GR151" s="110"/>
      <c r="GS151" s="110"/>
      <c r="GT151" s="110"/>
      <c r="GU151" s="110"/>
      <c r="GV151" s="110"/>
      <c r="GW151" s="110"/>
      <c r="GX151" s="110"/>
      <c r="GY151" s="110"/>
      <c r="GZ151" s="110"/>
      <c r="HA151" s="110"/>
      <c r="HB151" s="110"/>
      <c r="HC151" s="110"/>
      <c r="HD151" s="110"/>
      <c r="HE151" s="110"/>
      <c r="HF151" s="110"/>
      <c r="HG151" s="110"/>
      <c r="HH151" s="110"/>
      <c r="HI151" s="110"/>
      <c r="HJ151" s="110"/>
      <c r="HK151" s="110"/>
      <c r="HL151" s="110"/>
      <c r="HM151" s="110"/>
      <c r="HN151" s="110"/>
      <c r="HO151" s="110"/>
      <c r="HP151" s="110"/>
      <c r="HQ151" s="110"/>
      <c r="HR151" s="110"/>
      <c r="HS151" s="110"/>
      <c r="HT151" s="110"/>
      <c r="HU151" s="110"/>
      <c r="HV151" s="110"/>
      <c r="HW151" s="110"/>
      <c r="HX151" s="110"/>
      <c r="HY151" s="110"/>
      <c r="HZ151" s="110"/>
      <c r="IA151" s="110"/>
      <c r="IB151" s="110"/>
      <c r="IC151" s="110"/>
      <c r="ID151" s="110"/>
      <c r="IE151" s="110"/>
      <c r="IF151" s="110"/>
      <c r="IG151" s="110"/>
      <c r="IH151" s="110"/>
      <c r="II151" s="110"/>
      <c r="IJ151" s="110"/>
      <c r="IK151" s="110"/>
      <c r="IL151" s="110"/>
      <c r="IM151" s="110"/>
      <c r="IN151" s="110"/>
      <c r="IO151" s="110"/>
      <c r="IP151" s="110"/>
      <c r="IQ151" s="70"/>
    </row>
    <row r="152" spans="1:251" ht="16.5" hidden="1" customHeight="1">
      <c r="A152" s="95"/>
      <c r="B152" t="s">
        <v>1364</v>
      </c>
      <c r="C152" t="s">
        <v>450</v>
      </c>
      <c r="E152" t="s">
        <v>450</v>
      </c>
      <c r="F152" t="s">
        <v>1369</v>
      </c>
      <c r="H152">
        <v>21</v>
      </c>
      <c r="J152" s="214" t="str">
        <f t="shared" si="4"/>
        <v>LTT200221</v>
      </c>
      <c r="K152">
        <v>17870</v>
      </c>
      <c r="R152" s="95"/>
      <c r="V152" s="214"/>
      <c r="EE152" s="95"/>
      <c r="EF152" s="110"/>
      <c r="EG152" s="110"/>
      <c r="EH152" s="110"/>
      <c r="EI152" s="216"/>
      <c r="EJ152" s="110"/>
      <c r="EK152" s="110"/>
      <c r="EL152" s="110"/>
      <c r="EM152" s="110"/>
      <c r="EN152" s="110"/>
      <c r="EO152" s="110"/>
      <c r="EP152" s="110"/>
      <c r="EQ152" s="110"/>
      <c r="ER152" s="110"/>
      <c r="ES152" s="110"/>
      <c r="ET152" s="110"/>
      <c r="EU152" s="110"/>
      <c r="EV152" s="110"/>
      <c r="EW152" s="110"/>
      <c r="EX152" s="110"/>
      <c r="EY152" s="110"/>
      <c r="EZ152" s="110"/>
      <c r="FA152" s="110"/>
      <c r="FB152" s="110"/>
      <c r="FC152" s="110"/>
      <c r="FD152" s="110"/>
      <c r="FE152" s="110"/>
      <c r="FF152" s="110"/>
      <c r="FG152" s="110"/>
      <c r="FH152" s="110"/>
      <c r="FI152" s="110"/>
      <c r="FJ152" s="110"/>
      <c r="FK152" s="110"/>
      <c r="FL152" s="110"/>
      <c r="FM152" s="110"/>
      <c r="FN152" s="110"/>
      <c r="FO152" s="110"/>
      <c r="FP152" s="110"/>
      <c r="FQ152" s="110"/>
      <c r="FR152" s="110"/>
      <c r="FS152" s="110"/>
      <c r="FT152" s="110"/>
      <c r="FU152" s="110"/>
      <c r="FV152" s="110"/>
      <c r="FW152" s="110"/>
      <c r="FX152" s="110"/>
      <c r="FY152" s="110"/>
      <c r="FZ152" s="110"/>
      <c r="GA152" s="110"/>
      <c r="GB152" s="110"/>
      <c r="GC152" s="110"/>
      <c r="GD152" s="110"/>
      <c r="GE152" s="110"/>
      <c r="GF152" s="110"/>
      <c r="GG152" s="110"/>
      <c r="GH152" s="110"/>
      <c r="GI152" s="110"/>
      <c r="GJ152" s="110"/>
      <c r="GK152" s="110"/>
      <c r="GL152" s="110"/>
      <c r="GM152" s="110"/>
      <c r="GN152" s="110"/>
      <c r="GO152" s="110"/>
      <c r="GP152" s="110"/>
      <c r="GQ152" s="110"/>
      <c r="GR152" s="110"/>
      <c r="GS152" s="110"/>
      <c r="GT152" s="110"/>
      <c r="GU152" s="110"/>
      <c r="GV152" s="110"/>
      <c r="GW152" s="110"/>
      <c r="GX152" s="110"/>
      <c r="GY152" s="110"/>
      <c r="GZ152" s="110"/>
      <c r="HA152" s="110"/>
      <c r="HB152" s="110"/>
      <c r="HC152" s="110"/>
      <c r="HD152" s="110"/>
      <c r="HE152" s="110"/>
      <c r="HF152" s="110"/>
      <c r="HG152" s="110"/>
      <c r="HH152" s="110"/>
      <c r="HI152" s="110"/>
      <c r="HJ152" s="110"/>
      <c r="HK152" s="110"/>
      <c r="HL152" s="110"/>
      <c r="HM152" s="110"/>
      <c r="HN152" s="110"/>
      <c r="HO152" s="110"/>
      <c r="HP152" s="110"/>
      <c r="HQ152" s="110"/>
      <c r="HR152" s="110"/>
      <c r="HS152" s="110"/>
      <c r="HT152" s="110"/>
      <c r="HU152" s="110"/>
      <c r="HV152" s="110"/>
      <c r="HW152" s="110"/>
      <c r="HX152" s="110"/>
      <c r="HY152" s="110"/>
      <c r="HZ152" s="110"/>
      <c r="IA152" s="110"/>
      <c r="IB152" s="110"/>
      <c r="IC152" s="110"/>
      <c r="ID152" s="110"/>
      <c r="IE152" s="110"/>
      <c r="IF152" s="110"/>
      <c r="IG152" s="110"/>
      <c r="IH152" s="110"/>
      <c r="II152" s="110"/>
      <c r="IJ152" s="110"/>
      <c r="IK152" s="110"/>
      <c r="IL152" s="110"/>
      <c r="IM152" s="110"/>
      <c r="IN152" s="110"/>
      <c r="IO152" s="110"/>
      <c r="IP152" s="110"/>
      <c r="IQ152" s="70"/>
    </row>
    <row r="153" spans="1:251" ht="16.5" hidden="1" customHeight="1">
      <c r="A153" s="95"/>
      <c r="B153" t="s">
        <v>1364</v>
      </c>
      <c r="C153" t="s">
        <v>450</v>
      </c>
      <c r="E153" t="s">
        <v>450</v>
      </c>
      <c r="F153" t="s">
        <v>1369</v>
      </c>
      <c r="H153">
        <v>22</v>
      </c>
      <c r="J153" s="214" t="str">
        <f t="shared" si="4"/>
        <v>LTT200222</v>
      </c>
      <c r="K153">
        <v>18160</v>
      </c>
      <c r="R153" s="95"/>
      <c r="V153" s="214"/>
      <c r="EE153" s="95"/>
      <c r="EF153" s="110"/>
      <c r="EG153" s="110"/>
      <c r="EH153" s="110"/>
      <c r="EI153" s="216"/>
      <c r="EJ153" s="110"/>
      <c r="EK153" s="110"/>
      <c r="EL153" s="110"/>
      <c r="EM153" s="110"/>
      <c r="EN153" s="110"/>
      <c r="EO153" s="110"/>
      <c r="EP153" s="110"/>
      <c r="EQ153" s="110"/>
      <c r="ER153" s="110"/>
      <c r="ES153" s="110"/>
      <c r="ET153" s="110"/>
      <c r="EU153" s="110"/>
      <c r="EV153" s="110"/>
      <c r="EW153" s="110"/>
      <c r="EX153" s="110"/>
      <c r="EY153" s="110"/>
      <c r="EZ153" s="110"/>
      <c r="FA153" s="110"/>
      <c r="FB153" s="110"/>
      <c r="FC153" s="110"/>
      <c r="FD153" s="110"/>
      <c r="FE153" s="110"/>
      <c r="FF153" s="110"/>
      <c r="FG153" s="110"/>
      <c r="FH153" s="110"/>
      <c r="FI153" s="110"/>
      <c r="FJ153" s="110"/>
      <c r="FK153" s="110"/>
      <c r="FL153" s="110"/>
      <c r="FM153" s="110"/>
      <c r="FN153" s="110"/>
      <c r="FO153" s="110"/>
      <c r="FP153" s="110"/>
      <c r="FQ153" s="110"/>
      <c r="FR153" s="110"/>
      <c r="FS153" s="110"/>
      <c r="FT153" s="110"/>
      <c r="FU153" s="110"/>
      <c r="FV153" s="110"/>
      <c r="FW153" s="110"/>
      <c r="FX153" s="110"/>
      <c r="FY153" s="110"/>
      <c r="FZ153" s="110"/>
      <c r="GA153" s="110"/>
      <c r="GB153" s="110"/>
      <c r="GC153" s="110"/>
      <c r="GD153" s="110"/>
      <c r="GE153" s="110"/>
      <c r="GF153" s="110"/>
      <c r="GG153" s="110"/>
      <c r="GH153" s="110"/>
      <c r="GI153" s="110"/>
      <c r="GJ153" s="110"/>
      <c r="GK153" s="110"/>
      <c r="GL153" s="110"/>
      <c r="GM153" s="110"/>
      <c r="GN153" s="110"/>
      <c r="GO153" s="110"/>
      <c r="GP153" s="110"/>
      <c r="GQ153" s="110"/>
      <c r="GR153" s="110"/>
      <c r="GS153" s="110"/>
      <c r="GT153" s="110"/>
      <c r="GU153" s="110"/>
      <c r="GV153" s="110"/>
      <c r="GW153" s="110"/>
      <c r="GX153" s="110"/>
      <c r="GY153" s="110"/>
      <c r="GZ153" s="110"/>
      <c r="HA153" s="110"/>
      <c r="HB153" s="110"/>
      <c r="HC153" s="110"/>
      <c r="HD153" s="110"/>
      <c r="HE153" s="110"/>
      <c r="HF153" s="110"/>
      <c r="HG153" s="110"/>
      <c r="HH153" s="110"/>
      <c r="HI153" s="110"/>
      <c r="HJ153" s="110"/>
      <c r="HK153" s="110"/>
      <c r="HL153" s="110"/>
      <c r="HM153" s="110"/>
      <c r="HN153" s="110"/>
      <c r="HO153" s="110"/>
      <c r="HP153" s="110"/>
      <c r="HQ153" s="110"/>
      <c r="HR153" s="110"/>
      <c r="HS153" s="110"/>
      <c r="HT153" s="110"/>
      <c r="HU153" s="110"/>
      <c r="HV153" s="110"/>
      <c r="HW153" s="110"/>
      <c r="HX153" s="110"/>
      <c r="HY153" s="110"/>
      <c r="HZ153" s="110"/>
      <c r="IA153" s="110"/>
      <c r="IB153" s="110"/>
      <c r="IC153" s="110"/>
      <c r="ID153" s="110"/>
      <c r="IE153" s="110"/>
      <c r="IF153" s="110"/>
      <c r="IG153" s="110"/>
      <c r="IH153" s="110"/>
      <c r="II153" s="110"/>
      <c r="IJ153" s="110"/>
      <c r="IK153" s="110"/>
      <c r="IL153" s="110"/>
      <c r="IM153" s="110"/>
      <c r="IN153" s="110"/>
      <c r="IO153" s="110"/>
      <c r="IP153" s="110"/>
      <c r="IQ153" s="70"/>
    </row>
    <row r="154" spans="1:251" ht="16.5" hidden="1" customHeight="1">
      <c r="A154" s="95"/>
      <c r="B154" t="s">
        <v>1364</v>
      </c>
      <c r="C154" t="s">
        <v>450</v>
      </c>
      <c r="E154" t="s">
        <v>450</v>
      </c>
      <c r="F154" t="s">
        <v>1369</v>
      </c>
      <c r="H154">
        <v>23</v>
      </c>
      <c r="J154" s="214" t="str">
        <f t="shared" si="4"/>
        <v>LTT200223</v>
      </c>
      <c r="K154">
        <v>18430</v>
      </c>
      <c r="R154" s="95"/>
      <c r="V154" s="214"/>
      <c r="EE154" s="95"/>
      <c r="EF154" s="110"/>
      <c r="EG154" s="110"/>
      <c r="EH154" s="110"/>
      <c r="EI154" s="216"/>
      <c r="EJ154" s="110"/>
      <c r="EK154" s="110"/>
      <c r="EL154" s="110"/>
      <c r="EM154" s="110"/>
      <c r="EN154" s="110"/>
      <c r="EO154" s="110"/>
      <c r="EP154" s="110"/>
      <c r="EQ154" s="110"/>
      <c r="ER154" s="110"/>
      <c r="ES154" s="110"/>
      <c r="ET154" s="110"/>
      <c r="EU154" s="110"/>
      <c r="EV154" s="110"/>
      <c r="EW154" s="110"/>
      <c r="EX154" s="110"/>
      <c r="EY154" s="110"/>
      <c r="EZ154" s="110"/>
      <c r="FA154" s="110"/>
      <c r="FB154" s="110"/>
      <c r="FC154" s="110"/>
      <c r="FD154" s="110"/>
      <c r="FE154" s="110"/>
      <c r="FF154" s="110"/>
      <c r="FG154" s="110"/>
      <c r="FH154" s="110"/>
      <c r="FI154" s="110"/>
      <c r="FJ154" s="110"/>
      <c r="FK154" s="110"/>
      <c r="FL154" s="110"/>
      <c r="FM154" s="110"/>
      <c r="FN154" s="110"/>
      <c r="FO154" s="110"/>
      <c r="FP154" s="110"/>
      <c r="FQ154" s="110"/>
      <c r="FR154" s="110"/>
      <c r="FS154" s="110"/>
      <c r="FT154" s="110"/>
      <c r="FU154" s="110"/>
      <c r="FV154" s="110"/>
      <c r="FW154" s="110"/>
      <c r="FX154" s="110"/>
      <c r="FY154" s="110"/>
      <c r="FZ154" s="110"/>
      <c r="GA154" s="110"/>
      <c r="GB154" s="110"/>
      <c r="GC154" s="110"/>
      <c r="GD154" s="110"/>
      <c r="GE154" s="110"/>
      <c r="GF154" s="110"/>
      <c r="GG154" s="110"/>
      <c r="GH154" s="110"/>
      <c r="GI154" s="110"/>
      <c r="GJ154" s="110"/>
      <c r="GK154" s="110"/>
      <c r="GL154" s="110"/>
      <c r="GM154" s="110"/>
      <c r="GN154" s="110"/>
      <c r="GO154" s="110"/>
      <c r="GP154" s="110"/>
      <c r="GQ154" s="110"/>
      <c r="GR154" s="110"/>
      <c r="GS154" s="110"/>
      <c r="GT154" s="110"/>
      <c r="GU154" s="110"/>
      <c r="GV154" s="110"/>
      <c r="GW154" s="110"/>
      <c r="GX154" s="110"/>
      <c r="GY154" s="110"/>
      <c r="GZ154" s="110"/>
      <c r="HA154" s="110"/>
      <c r="HB154" s="110"/>
      <c r="HC154" s="110"/>
      <c r="HD154" s="110"/>
      <c r="HE154" s="110"/>
      <c r="HF154" s="110"/>
      <c r="HG154" s="110"/>
      <c r="HH154" s="110"/>
      <c r="HI154" s="110"/>
      <c r="HJ154" s="110"/>
      <c r="HK154" s="110"/>
      <c r="HL154" s="110"/>
      <c r="HM154" s="110"/>
      <c r="HN154" s="110"/>
      <c r="HO154" s="110"/>
      <c r="HP154" s="110"/>
      <c r="HQ154" s="110"/>
      <c r="HR154" s="110"/>
      <c r="HS154" s="110"/>
      <c r="HT154" s="110"/>
      <c r="HU154" s="110"/>
      <c r="HV154" s="110"/>
      <c r="HW154" s="110"/>
      <c r="HX154" s="110"/>
      <c r="HY154" s="110"/>
      <c r="HZ154" s="110"/>
      <c r="IA154" s="110"/>
      <c r="IB154" s="110"/>
      <c r="IC154" s="110"/>
      <c r="ID154" s="110"/>
      <c r="IE154" s="110"/>
      <c r="IF154" s="110"/>
      <c r="IG154" s="110"/>
      <c r="IH154" s="110"/>
      <c r="II154" s="110"/>
      <c r="IJ154" s="110"/>
      <c r="IK154" s="110"/>
      <c r="IL154" s="110"/>
      <c r="IM154" s="110"/>
      <c r="IN154" s="110"/>
      <c r="IO154" s="110"/>
      <c r="IP154" s="110"/>
      <c r="IQ154" s="70"/>
    </row>
    <row r="155" spans="1:251" ht="16.5" hidden="1" customHeight="1">
      <c r="A155" s="95"/>
      <c r="B155" t="s">
        <v>1364</v>
      </c>
      <c r="C155" t="s">
        <v>450</v>
      </c>
      <c r="E155" t="s">
        <v>450</v>
      </c>
      <c r="F155" t="s">
        <v>1369</v>
      </c>
      <c r="H155">
        <v>24</v>
      </c>
      <c r="J155" s="214" t="str">
        <f t="shared" si="4"/>
        <v>LTT200224</v>
      </c>
      <c r="K155">
        <v>18710</v>
      </c>
      <c r="R155" s="95"/>
      <c r="V155" s="214"/>
      <c r="EE155" s="95"/>
      <c r="EF155" s="110"/>
      <c r="EG155" s="110"/>
      <c r="EH155" s="110"/>
      <c r="EI155" s="216"/>
      <c r="EJ155" s="110"/>
      <c r="EK155" s="110"/>
      <c r="EL155" s="110"/>
      <c r="EM155" s="110"/>
      <c r="EN155" s="110"/>
      <c r="EO155" s="110"/>
      <c r="EP155" s="110"/>
      <c r="EQ155" s="110"/>
      <c r="ER155" s="110"/>
      <c r="ES155" s="110"/>
      <c r="ET155" s="110"/>
      <c r="EU155" s="110"/>
      <c r="EV155" s="110"/>
      <c r="EW155" s="110"/>
      <c r="EX155" s="110"/>
      <c r="EY155" s="110"/>
      <c r="EZ155" s="110"/>
      <c r="FA155" s="110"/>
      <c r="FB155" s="110"/>
      <c r="FC155" s="110"/>
      <c r="FD155" s="110"/>
      <c r="FE155" s="110"/>
      <c r="FF155" s="110"/>
      <c r="FG155" s="110"/>
      <c r="FH155" s="110"/>
      <c r="FI155" s="110"/>
      <c r="FJ155" s="110"/>
      <c r="FK155" s="110"/>
      <c r="FL155" s="110"/>
      <c r="FM155" s="110"/>
      <c r="FN155" s="110"/>
      <c r="FO155" s="110"/>
      <c r="FP155" s="110"/>
      <c r="FQ155" s="110"/>
      <c r="FR155" s="110"/>
      <c r="FS155" s="110"/>
      <c r="FT155" s="110"/>
      <c r="FU155" s="110"/>
      <c r="FV155" s="110"/>
      <c r="FW155" s="110"/>
      <c r="FX155" s="110"/>
      <c r="FY155" s="110"/>
      <c r="FZ155" s="110"/>
      <c r="GA155" s="110"/>
      <c r="GB155" s="110"/>
      <c r="GC155" s="110"/>
      <c r="GD155" s="110"/>
      <c r="GE155" s="110"/>
      <c r="GF155" s="110"/>
      <c r="GG155" s="110"/>
      <c r="GH155" s="110"/>
      <c r="GI155" s="110"/>
      <c r="GJ155" s="110"/>
      <c r="GK155" s="110"/>
      <c r="GL155" s="110"/>
      <c r="GM155" s="110"/>
      <c r="GN155" s="110"/>
      <c r="GO155" s="110"/>
      <c r="GP155" s="110"/>
      <c r="GQ155" s="110"/>
      <c r="GR155" s="110"/>
      <c r="GS155" s="110"/>
      <c r="GT155" s="110"/>
      <c r="GU155" s="110"/>
      <c r="GV155" s="110"/>
      <c r="GW155" s="110"/>
      <c r="GX155" s="110"/>
      <c r="GY155" s="110"/>
      <c r="GZ155" s="110"/>
      <c r="HA155" s="110"/>
      <c r="HB155" s="110"/>
      <c r="HC155" s="110"/>
      <c r="HD155" s="110"/>
      <c r="HE155" s="110"/>
      <c r="HF155" s="110"/>
      <c r="HG155" s="110"/>
      <c r="HH155" s="110"/>
      <c r="HI155" s="110"/>
      <c r="HJ155" s="110"/>
      <c r="HK155" s="110"/>
      <c r="HL155" s="110"/>
      <c r="HM155" s="110"/>
      <c r="HN155" s="110"/>
      <c r="HO155" s="110"/>
      <c r="HP155" s="110"/>
      <c r="HQ155" s="110"/>
      <c r="HR155" s="110"/>
      <c r="HS155" s="110"/>
      <c r="HT155" s="110"/>
      <c r="HU155" s="110"/>
      <c r="HV155" s="110"/>
      <c r="HW155" s="110"/>
      <c r="HX155" s="110"/>
      <c r="HY155" s="110"/>
      <c r="HZ155" s="110"/>
      <c r="IA155" s="110"/>
      <c r="IB155" s="110"/>
      <c r="IC155" s="110"/>
      <c r="ID155" s="110"/>
      <c r="IE155" s="110"/>
      <c r="IF155" s="110"/>
      <c r="IG155" s="110"/>
      <c r="IH155" s="110"/>
      <c r="II155" s="110"/>
      <c r="IJ155" s="110"/>
      <c r="IK155" s="110"/>
      <c r="IL155" s="110"/>
      <c r="IM155" s="110"/>
      <c r="IN155" s="110"/>
      <c r="IO155" s="110"/>
      <c r="IP155" s="110"/>
      <c r="IQ155" s="70"/>
    </row>
    <row r="156" spans="1:251" ht="16.5" hidden="1" customHeight="1">
      <c r="A156" s="95"/>
      <c r="B156" t="s">
        <v>1364</v>
      </c>
      <c r="C156" t="s">
        <v>450</v>
      </c>
      <c r="E156" t="s">
        <v>450</v>
      </c>
      <c r="F156" t="s">
        <v>1369</v>
      </c>
      <c r="H156">
        <v>25</v>
      </c>
      <c r="J156" s="214" t="str">
        <f t="shared" si="4"/>
        <v>LTT200225</v>
      </c>
      <c r="K156">
        <v>19030</v>
      </c>
      <c r="R156" s="95"/>
      <c r="V156" s="214"/>
      <c r="EE156" s="95"/>
      <c r="EF156" s="110"/>
      <c r="EG156" s="110"/>
      <c r="EH156" s="110"/>
      <c r="EI156" s="216"/>
      <c r="EJ156" s="110"/>
      <c r="EK156" s="110"/>
      <c r="EL156" s="110"/>
      <c r="EM156" s="110"/>
      <c r="EN156" s="110"/>
      <c r="EO156" s="110"/>
      <c r="EP156" s="110"/>
      <c r="EQ156" s="110"/>
      <c r="ER156" s="110"/>
      <c r="ES156" s="110"/>
      <c r="ET156" s="110"/>
      <c r="EU156" s="110"/>
      <c r="EV156" s="110"/>
      <c r="EW156" s="110"/>
      <c r="EX156" s="110"/>
      <c r="EY156" s="110"/>
      <c r="EZ156" s="110"/>
      <c r="FA156" s="110"/>
      <c r="FB156" s="110"/>
      <c r="FC156" s="110"/>
      <c r="FD156" s="110"/>
      <c r="FE156" s="110"/>
      <c r="FF156" s="110"/>
      <c r="FG156" s="110"/>
      <c r="FH156" s="110"/>
      <c r="FI156" s="110"/>
      <c r="FJ156" s="110"/>
      <c r="FK156" s="110"/>
      <c r="FL156" s="110"/>
      <c r="FM156" s="110"/>
      <c r="FN156" s="110"/>
      <c r="FO156" s="110"/>
      <c r="FP156" s="110"/>
      <c r="FQ156" s="110"/>
      <c r="FR156" s="110"/>
      <c r="FS156" s="110"/>
      <c r="FT156" s="110"/>
      <c r="FU156" s="110"/>
      <c r="FV156" s="110"/>
      <c r="FW156" s="110"/>
      <c r="FX156" s="110"/>
      <c r="FY156" s="110"/>
      <c r="FZ156" s="110"/>
      <c r="GA156" s="110"/>
      <c r="GB156" s="110"/>
      <c r="GC156" s="110"/>
      <c r="GD156" s="110"/>
      <c r="GE156" s="110"/>
      <c r="GF156" s="110"/>
      <c r="GG156" s="110"/>
      <c r="GH156" s="110"/>
      <c r="GI156" s="110"/>
      <c r="GJ156" s="110"/>
      <c r="GK156" s="110"/>
      <c r="GL156" s="110"/>
      <c r="GM156" s="110"/>
      <c r="GN156" s="110"/>
      <c r="GO156" s="110"/>
      <c r="GP156" s="110"/>
      <c r="GQ156" s="110"/>
      <c r="GR156" s="110"/>
      <c r="GS156" s="110"/>
      <c r="GT156" s="110"/>
      <c r="GU156" s="110"/>
      <c r="GV156" s="110"/>
      <c r="GW156" s="110"/>
      <c r="GX156" s="110"/>
      <c r="GY156" s="110"/>
      <c r="GZ156" s="110"/>
      <c r="HA156" s="110"/>
      <c r="HB156" s="110"/>
      <c r="HC156" s="110"/>
      <c r="HD156" s="110"/>
      <c r="HE156" s="110"/>
      <c r="HF156" s="110"/>
      <c r="HG156" s="110"/>
      <c r="HH156" s="110"/>
      <c r="HI156" s="110"/>
      <c r="HJ156" s="110"/>
      <c r="HK156" s="110"/>
      <c r="HL156" s="110"/>
      <c r="HM156" s="110"/>
      <c r="HN156" s="110"/>
      <c r="HO156" s="110"/>
      <c r="HP156" s="110"/>
      <c r="HQ156" s="110"/>
      <c r="HR156" s="110"/>
      <c r="HS156" s="110"/>
      <c r="HT156" s="110"/>
      <c r="HU156" s="110"/>
      <c r="HV156" s="110"/>
      <c r="HW156" s="110"/>
      <c r="HX156" s="110"/>
      <c r="HY156" s="110"/>
      <c r="HZ156" s="110"/>
      <c r="IA156" s="110"/>
      <c r="IB156" s="110"/>
      <c r="IC156" s="110"/>
      <c r="ID156" s="110"/>
      <c r="IE156" s="110"/>
      <c r="IF156" s="110"/>
      <c r="IG156" s="110"/>
      <c r="IH156" s="110"/>
      <c r="II156" s="110"/>
      <c r="IJ156" s="110"/>
      <c r="IK156" s="110"/>
      <c r="IL156" s="110"/>
      <c r="IM156" s="110"/>
      <c r="IN156" s="110"/>
      <c r="IO156" s="110"/>
      <c r="IP156" s="110"/>
      <c r="IQ156" s="70"/>
    </row>
    <row r="157" spans="1:251" ht="16.5" hidden="1" customHeight="1">
      <c r="A157" s="95"/>
      <c r="B157" t="s">
        <v>1364</v>
      </c>
      <c r="C157" t="s">
        <v>450</v>
      </c>
      <c r="E157" t="s">
        <v>450</v>
      </c>
      <c r="F157" t="s">
        <v>1369</v>
      </c>
      <c r="H157">
        <v>26</v>
      </c>
      <c r="J157" s="214" t="str">
        <f t="shared" si="4"/>
        <v>LTT200226</v>
      </c>
      <c r="K157">
        <v>19310</v>
      </c>
      <c r="R157" s="95"/>
      <c r="V157" s="214"/>
      <c r="EE157" s="95"/>
      <c r="EF157" s="110"/>
      <c r="EG157" s="110"/>
      <c r="EH157" s="110"/>
      <c r="EI157" s="216"/>
      <c r="EJ157" s="110"/>
      <c r="EK157" s="110"/>
      <c r="EL157" s="110"/>
      <c r="EM157" s="110"/>
      <c r="EN157" s="110"/>
      <c r="EO157" s="110"/>
      <c r="EP157" s="110"/>
      <c r="EQ157" s="110"/>
      <c r="ER157" s="110"/>
      <c r="ES157" s="110"/>
      <c r="ET157" s="110"/>
      <c r="EU157" s="110"/>
      <c r="EV157" s="110"/>
      <c r="EW157" s="110"/>
      <c r="EX157" s="110"/>
      <c r="EY157" s="110"/>
      <c r="EZ157" s="110"/>
      <c r="FA157" s="110"/>
      <c r="FB157" s="110"/>
      <c r="FC157" s="110"/>
      <c r="FD157" s="110"/>
      <c r="FE157" s="110"/>
      <c r="FF157" s="110"/>
      <c r="FG157" s="110"/>
      <c r="FH157" s="110"/>
      <c r="FI157" s="110"/>
      <c r="FJ157" s="110"/>
      <c r="FK157" s="110"/>
      <c r="FL157" s="110"/>
      <c r="FM157" s="110"/>
      <c r="FN157" s="110"/>
      <c r="FO157" s="110"/>
      <c r="FP157" s="110"/>
      <c r="FQ157" s="110"/>
      <c r="FR157" s="110"/>
      <c r="FS157" s="110"/>
      <c r="FT157" s="110"/>
      <c r="FU157" s="110"/>
      <c r="FV157" s="110"/>
      <c r="FW157" s="110"/>
      <c r="FX157" s="110"/>
      <c r="FY157" s="110"/>
      <c r="FZ157" s="110"/>
      <c r="GA157" s="110"/>
      <c r="GB157" s="110"/>
      <c r="GC157" s="110"/>
      <c r="GD157" s="110"/>
      <c r="GE157" s="110"/>
      <c r="GF157" s="110"/>
      <c r="GG157" s="110"/>
      <c r="GH157" s="110"/>
      <c r="GI157" s="110"/>
      <c r="GJ157" s="110"/>
      <c r="GK157" s="110"/>
      <c r="GL157" s="110"/>
      <c r="GM157" s="110"/>
      <c r="GN157" s="110"/>
      <c r="GO157" s="110"/>
      <c r="GP157" s="110"/>
      <c r="GQ157" s="110"/>
      <c r="GR157" s="110"/>
      <c r="GS157" s="110"/>
      <c r="GT157" s="110"/>
      <c r="GU157" s="110"/>
      <c r="GV157" s="110"/>
      <c r="GW157" s="110"/>
      <c r="GX157" s="110"/>
      <c r="GY157" s="110"/>
      <c r="GZ157" s="110"/>
      <c r="HA157" s="110"/>
      <c r="HB157" s="110"/>
      <c r="HC157" s="110"/>
      <c r="HD157" s="110"/>
      <c r="HE157" s="110"/>
      <c r="HF157" s="110"/>
      <c r="HG157" s="110"/>
      <c r="HH157" s="110"/>
      <c r="HI157" s="110"/>
      <c r="HJ157" s="110"/>
      <c r="HK157" s="110"/>
      <c r="HL157" s="110"/>
      <c r="HM157" s="110"/>
      <c r="HN157" s="110"/>
      <c r="HO157" s="110"/>
      <c r="HP157" s="110"/>
      <c r="HQ157" s="110"/>
      <c r="HR157" s="110"/>
      <c r="HS157" s="110"/>
      <c r="HT157" s="110"/>
      <c r="HU157" s="110"/>
      <c r="HV157" s="110"/>
      <c r="HW157" s="110"/>
      <c r="HX157" s="110"/>
      <c r="HY157" s="110"/>
      <c r="HZ157" s="110"/>
      <c r="IA157" s="110"/>
      <c r="IB157" s="110"/>
      <c r="IC157" s="110"/>
      <c r="ID157" s="110"/>
      <c r="IE157" s="110"/>
      <c r="IF157" s="110"/>
      <c r="IG157" s="110"/>
      <c r="IH157" s="110"/>
      <c r="II157" s="110"/>
      <c r="IJ157" s="110"/>
      <c r="IK157" s="110"/>
      <c r="IL157" s="110"/>
      <c r="IM157" s="110"/>
      <c r="IN157" s="110"/>
      <c r="IO157" s="110"/>
      <c r="IP157" s="110"/>
      <c r="IQ157" s="70"/>
    </row>
    <row r="158" spans="1:251" ht="16.5" hidden="1" customHeight="1">
      <c r="A158" s="95"/>
      <c r="B158" t="s">
        <v>1364</v>
      </c>
      <c r="C158" t="s">
        <v>450</v>
      </c>
      <c r="E158" t="s">
        <v>450</v>
      </c>
      <c r="F158" t="s">
        <v>1369</v>
      </c>
      <c r="H158">
        <v>27</v>
      </c>
      <c r="J158" s="214" t="str">
        <f t="shared" si="4"/>
        <v>LTT200227</v>
      </c>
      <c r="K158">
        <v>19630</v>
      </c>
      <c r="R158" s="95"/>
      <c r="V158" s="214"/>
      <c r="EE158" s="95"/>
      <c r="EF158" s="110"/>
      <c r="EG158" s="110"/>
      <c r="EH158" s="110"/>
      <c r="EI158" s="216"/>
      <c r="EJ158" s="110"/>
      <c r="EK158" s="110"/>
      <c r="EL158" s="110"/>
      <c r="EM158" s="110"/>
      <c r="EN158" s="110"/>
      <c r="EO158" s="110"/>
      <c r="EP158" s="110"/>
      <c r="EQ158" s="110"/>
      <c r="ER158" s="110"/>
      <c r="ES158" s="110"/>
      <c r="ET158" s="110"/>
      <c r="EU158" s="110"/>
      <c r="EV158" s="110"/>
      <c r="EW158" s="110"/>
      <c r="EX158" s="110"/>
      <c r="EY158" s="110"/>
      <c r="EZ158" s="110"/>
      <c r="FA158" s="110"/>
      <c r="FB158" s="110"/>
      <c r="FC158" s="110"/>
      <c r="FD158" s="110"/>
      <c r="FE158" s="110"/>
      <c r="FF158" s="110"/>
      <c r="FG158" s="110"/>
      <c r="FH158" s="110"/>
      <c r="FI158" s="110"/>
      <c r="FJ158" s="110"/>
      <c r="FK158" s="110"/>
      <c r="FL158" s="110"/>
      <c r="FM158" s="110"/>
      <c r="FN158" s="110"/>
      <c r="FO158" s="110"/>
      <c r="FP158" s="110"/>
      <c r="FQ158" s="110"/>
      <c r="FR158" s="110"/>
      <c r="FS158" s="110"/>
      <c r="FT158" s="110"/>
      <c r="FU158" s="110"/>
      <c r="FV158" s="110"/>
      <c r="FW158" s="110"/>
      <c r="FX158" s="110"/>
      <c r="FY158" s="110"/>
      <c r="FZ158" s="110"/>
      <c r="GA158" s="110"/>
      <c r="GB158" s="110"/>
      <c r="GC158" s="110"/>
      <c r="GD158" s="110"/>
      <c r="GE158" s="110"/>
      <c r="GF158" s="110"/>
      <c r="GG158" s="110"/>
      <c r="GH158" s="110"/>
      <c r="GI158" s="110"/>
      <c r="GJ158" s="110"/>
      <c r="GK158" s="110"/>
      <c r="GL158" s="110"/>
      <c r="GM158" s="110"/>
      <c r="GN158" s="110"/>
      <c r="GO158" s="110"/>
      <c r="GP158" s="110"/>
      <c r="GQ158" s="110"/>
      <c r="GR158" s="110"/>
      <c r="GS158" s="110"/>
      <c r="GT158" s="110"/>
      <c r="GU158" s="110"/>
      <c r="GV158" s="110"/>
      <c r="GW158" s="110"/>
      <c r="GX158" s="110"/>
      <c r="GY158" s="110"/>
      <c r="GZ158" s="110"/>
      <c r="HA158" s="110"/>
      <c r="HB158" s="110"/>
      <c r="HC158" s="110"/>
      <c r="HD158" s="110"/>
      <c r="HE158" s="110"/>
      <c r="HF158" s="110"/>
      <c r="HG158" s="110"/>
      <c r="HH158" s="110"/>
      <c r="HI158" s="110"/>
      <c r="HJ158" s="110"/>
      <c r="HK158" s="110"/>
      <c r="HL158" s="110"/>
      <c r="HM158" s="110"/>
      <c r="HN158" s="110"/>
      <c r="HO158" s="110"/>
      <c r="HP158" s="110"/>
      <c r="HQ158" s="110"/>
      <c r="HR158" s="110"/>
      <c r="HS158" s="110"/>
      <c r="HT158" s="110"/>
      <c r="HU158" s="110"/>
      <c r="HV158" s="110"/>
      <c r="HW158" s="110"/>
      <c r="HX158" s="110"/>
      <c r="HY158" s="110"/>
      <c r="HZ158" s="110"/>
      <c r="IA158" s="110"/>
      <c r="IB158" s="110"/>
      <c r="IC158" s="110"/>
      <c r="ID158" s="110"/>
      <c r="IE158" s="110"/>
      <c r="IF158" s="110"/>
      <c r="IG158" s="110"/>
      <c r="IH158" s="110"/>
      <c r="II158" s="110"/>
      <c r="IJ158" s="110"/>
      <c r="IK158" s="110"/>
      <c r="IL158" s="110"/>
      <c r="IM158" s="110"/>
      <c r="IN158" s="110"/>
      <c r="IO158" s="110"/>
      <c r="IP158" s="110"/>
      <c r="IQ158" s="70"/>
    </row>
    <row r="159" spans="1:251" ht="16.5" hidden="1" customHeight="1">
      <c r="A159" s="95"/>
      <c r="B159" t="s">
        <v>1364</v>
      </c>
      <c r="C159" t="s">
        <v>450</v>
      </c>
      <c r="E159" t="s">
        <v>450</v>
      </c>
      <c r="F159" t="s">
        <v>1369</v>
      </c>
      <c r="H159">
        <v>28</v>
      </c>
      <c r="J159" s="214" t="str">
        <f t="shared" si="4"/>
        <v>LTT200228</v>
      </c>
      <c r="K159">
        <v>19980</v>
      </c>
      <c r="R159" s="95"/>
      <c r="V159" s="214"/>
      <c r="EE159" s="95"/>
      <c r="EF159" s="110"/>
      <c r="EG159" s="110"/>
      <c r="EH159" s="110"/>
      <c r="EI159" s="216"/>
      <c r="EJ159" s="110"/>
      <c r="EK159" s="110"/>
      <c r="EL159" s="110"/>
      <c r="EM159" s="110"/>
      <c r="EN159" s="110"/>
      <c r="EO159" s="110"/>
      <c r="EP159" s="110"/>
      <c r="EQ159" s="110"/>
      <c r="ER159" s="110"/>
      <c r="ES159" s="110"/>
      <c r="ET159" s="110"/>
      <c r="EU159" s="110"/>
      <c r="EV159" s="110"/>
      <c r="EW159" s="110"/>
      <c r="EX159" s="110"/>
      <c r="EY159" s="110"/>
      <c r="EZ159" s="110"/>
      <c r="FA159" s="110"/>
      <c r="FB159" s="110"/>
      <c r="FC159" s="110"/>
      <c r="FD159" s="110"/>
      <c r="FE159" s="110"/>
      <c r="FF159" s="110"/>
      <c r="FG159" s="110"/>
      <c r="FH159" s="110"/>
      <c r="FI159" s="110"/>
      <c r="FJ159" s="110"/>
      <c r="FK159" s="110"/>
      <c r="FL159" s="110"/>
      <c r="FM159" s="110"/>
      <c r="FN159" s="110"/>
      <c r="FO159" s="110"/>
      <c r="FP159" s="110"/>
      <c r="FQ159" s="110"/>
      <c r="FR159" s="110"/>
      <c r="FS159" s="110"/>
      <c r="FT159" s="110"/>
      <c r="FU159" s="110"/>
      <c r="FV159" s="110"/>
      <c r="FW159" s="110"/>
      <c r="FX159" s="110"/>
      <c r="FY159" s="110"/>
      <c r="FZ159" s="110"/>
      <c r="GA159" s="110"/>
      <c r="GB159" s="110"/>
      <c r="GC159" s="110"/>
      <c r="GD159" s="110"/>
      <c r="GE159" s="110"/>
      <c r="GF159" s="110"/>
      <c r="GG159" s="110"/>
      <c r="GH159" s="110"/>
      <c r="GI159" s="110"/>
      <c r="GJ159" s="110"/>
      <c r="GK159" s="110"/>
      <c r="GL159" s="110"/>
      <c r="GM159" s="110"/>
      <c r="GN159" s="110"/>
      <c r="GO159" s="110"/>
      <c r="GP159" s="110"/>
      <c r="GQ159" s="110"/>
      <c r="GR159" s="110"/>
      <c r="GS159" s="110"/>
      <c r="GT159" s="110"/>
      <c r="GU159" s="110"/>
      <c r="GV159" s="110"/>
      <c r="GW159" s="110"/>
      <c r="GX159" s="110"/>
      <c r="GY159" s="110"/>
      <c r="GZ159" s="110"/>
      <c r="HA159" s="110"/>
      <c r="HB159" s="110"/>
      <c r="HC159" s="110"/>
      <c r="HD159" s="110"/>
      <c r="HE159" s="110"/>
      <c r="HF159" s="110"/>
      <c r="HG159" s="110"/>
      <c r="HH159" s="110"/>
      <c r="HI159" s="110"/>
      <c r="HJ159" s="110"/>
      <c r="HK159" s="110"/>
      <c r="HL159" s="110"/>
      <c r="HM159" s="110"/>
      <c r="HN159" s="110"/>
      <c r="HO159" s="110"/>
      <c r="HP159" s="110"/>
      <c r="HQ159" s="110"/>
      <c r="HR159" s="110"/>
      <c r="HS159" s="110"/>
      <c r="HT159" s="110"/>
      <c r="HU159" s="110"/>
      <c r="HV159" s="110"/>
      <c r="HW159" s="110"/>
      <c r="HX159" s="110"/>
      <c r="HY159" s="110"/>
      <c r="HZ159" s="110"/>
      <c r="IA159" s="110"/>
      <c r="IB159" s="110"/>
      <c r="IC159" s="110"/>
      <c r="ID159" s="110"/>
      <c r="IE159" s="110"/>
      <c r="IF159" s="110"/>
      <c r="IG159" s="110"/>
      <c r="IH159" s="110"/>
      <c r="II159" s="110"/>
      <c r="IJ159" s="110"/>
      <c r="IK159" s="110"/>
      <c r="IL159" s="110"/>
      <c r="IM159" s="110"/>
      <c r="IN159" s="110"/>
      <c r="IO159" s="110"/>
      <c r="IP159" s="110"/>
      <c r="IQ159" s="70"/>
    </row>
    <row r="160" spans="1:251" ht="16.5" hidden="1" customHeight="1">
      <c r="A160" s="95"/>
      <c r="B160" t="s">
        <v>1364</v>
      </c>
      <c r="C160" t="s">
        <v>450</v>
      </c>
      <c r="E160" t="s">
        <v>450</v>
      </c>
      <c r="F160" t="s">
        <v>1369</v>
      </c>
      <c r="H160">
        <v>29</v>
      </c>
      <c r="J160" s="214" t="str">
        <f t="shared" si="4"/>
        <v>LTT200229</v>
      </c>
      <c r="K160">
        <v>20320</v>
      </c>
      <c r="R160" s="95"/>
      <c r="V160" s="214"/>
      <c r="EE160" s="95"/>
      <c r="EF160" s="110"/>
      <c r="EG160" s="110"/>
      <c r="EH160" s="110"/>
      <c r="EI160" s="216"/>
      <c r="EJ160" s="110"/>
      <c r="EK160" s="110"/>
      <c r="EL160" s="110"/>
      <c r="EM160" s="110"/>
      <c r="EN160" s="110"/>
      <c r="EO160" s="110"/>
      <c r="EP160" s="110"/>
      <c r="EQ160" s="110"/>
      <c r="ER160" s="110"/>
      <c r="ES160" s="110"/>
      <c r="ET160" s="110"/>
      <c r="EU160" s="110"/>
      <c r="EV160" s="110"/>
      <c r="EW160" s="110"/>
      <c r="EX160" s="110"/>
      <c r="EY160" s="110"/>
      <c r="EZ160" s="110"/>
      <c r="FA160" s="110"/>
      <c r="FB160" s="110"/>
      <c r="FC160" s="110"/>
      <c r="FD160" s="110"/>
      <c r="FE160" s="110"/>
      <c r="FF160" s="110"/>
      <c r="FG160" s="110"/>
      <c r="FH160" s="110"/>
      <c r="FI160" s="110"/>
      <c r="FJ160" s="110"/>
      <c r="FK160" s="110"/>
      <c r="FL160" s="110"/>
      <c r="FM160" s="110"/>
      <c r="FN160" s="110"/>
      <c r="FO160" s="110"/>
      <c r="FP160" s="110"/>
      <c r="FQ160" s="110"/>
      <c r="FR160" s="110"/>
      <c r="FS160" s="110"/>
      <c r="FT160" s="110"/>
      <c r="FU160" s="110"/>
      <c r="FV160" s="110"/>
      <c r="FW160" s="110"/>
      <c r="FX160" s="110"/>
      <c r="FY160" s="110"/>
      <c r="FZ160" s="110"/>
      <c r="GA160" s="110"/>
      <c r="GB160" s="110"/>
      <c r="GC160" s="110"/>
      <c r="GD160" s="110"/>
      <c r="GE160" s="110"/>
      <c r="GF160" s="110"/>
      <c r="GG160" s="110"/>
      <c r="GH160" s="110"/>
      <c r="GI160" s="110"/>
      <c r="GJ160" s="110"/>
      <c r="GK160" s="110"/>
      <c r="GL160" s="110"/>
      <c r="GM160" s="110"/>
      <c r="GN160" s="110"/>
      <c r="GO160" s="110"/>
      <c r="GP160" s="110"/>
      <c r="GQ160" s="110"/>
      <c r="GR160" s="110"/>
      <c r="GS160" s="110"/>
      <c r="GT160" s="110"/>
      <c r="GU160" s="110"/>
      <c r="GV160" s="110"/>
      <c r="GW160" s="110"/>
      <c r="GX160" s="110"/>
      <c r="GY160" s="110"/>
      <c r="GZ160" s="110"/>
      <c r="HA160" s="110"/>
      <c r="HB160" s="110"/>
      <c r="HC160" s="110"/>
      <c r="HD160" s="110"/>
      <c r="HE160" s="110"/>
      <c r="HF160" s="110"/>
      <c r="HG160" s="110"/>
      <c r="HH160" s="110"/>
      <c r="HI160" s="110"/>
      <c r="HJ160" s="110"/>
      <c r="HK160" s="110"/>
      <c r="HL160" s="110"/>
      <c r="HM160" s="110"/>
      <c r="HN160" s="110"/>
      <c r="HO160" s="110"/>
      <c r="HP160" s="110"/>
      <c r="HQ160" s="110"/>
      <c r="HR160" s="110"/>
      <c r="HS160" s="110"/>
      <c r="HT160" s="110"/>
      <c r="HU160" s="110"/>
      <c r="HV160" s="110"/>
      <c r="HW160" s="110"/>
      <c r="HX160" s="110"/>
      <c r="HY160" s="110"/>
      <c r="HZ160" s="110"/>
      <c r="IA160" s="110"/>
      <c r="IB160" s="110"/>
      <c r="IC160" s="110"/>
      <c r="ID160" s="110"/>
      <c r="IE160" s="110"/>
      <c r="IF160" s="110"/>
      <c r="IG160" s="110"/>
      <c r="IH160" s="110"/>
      <c r="II160" s="110"/>
      <c r="IJ160" s="110"/>
      <c r="IK160" s="110"/>
      <c r="IL160" s="110"/>
      <c r="IM160" s="110"/>
      <c r="IN160" s="110"/>
      <c r="IO160" s="110"/>
      <c r="IP160" s="110"/>
      <c r="IQ160" s="70"/>
    </row>
    <row r="161" spans="1:251" ht="16.5" hidden="1" customHeight="1">
      <c r="A161" s="95"/>
      <c r="B161" t="s">
        <v>1364</v>
      </c>
      <c r="C161" t="s">
        <v>450</v>
      </c>
      <c r="E161" t="s">
        <v>450</v>
      </c>
      <c r="F161" t="s">
        <v>1369</v>
      </c>
      <c r="H161">
        <v>30</v>
      </c>
      <c r="J161" s="214" t="str">
        <f t="shared" si="4"/>
        <v>LTT200230</v>
      </c>
      <c r="K161">
        <v>20670</v>
      </c>
      <c r="R161" s="95"/>
      <c r="V161" s="214"/>
      <c r="EE161" s="95"/>
      <c r="EF161" s="110"/>
      <c r="EG161" s="110"/>
      <c r="EH161" s="110"/>
      <c r="EI161" s="216"/>
      <c r="EJ161" s="110"/>
      <c r="EK161" s="110"/>
      <c r="EL161" s="110"/>
      <c r="EM161" s="110"/>
      <c r="EN161" s="110"/>
      <c r="EO161" s="110"/>
      <c r="EP161" s="110"/>
      <c r="EQ161" s="110"/>
      <c r="ER161" s="110"/>
      <c r="ES161" s="110"/>
      <c r="ET161" s="110"/>
      <c r="EU161" s="110"/>
      <c r="EV161" s="110"/>
      <c r="EW161" s="110"/>
      <c r="EX161" s="110"/>
      <c r="EY161" s="110"/>
      <c r="EZ161" s="110"/>
      <c r="FA161" s="110"/>
      <c r="FB161" s="110"/>
      <c r="FC161" s="110"/>
      <c r="FD161" s="110"/>
      <c r="FE161" s="110"/>
      <c r="FF161" s="110"/>
      <c r="FG161" s="110"/>
      <c r="FH161" s="110"/>
      <c r="FI161" s="110"/>
      <c r="FJ161" s="110"/>
      <c r="FK161" s="110"/>
      <c r="FL161" s="110"/>
      <c r="FM161" s="110"/>
      <c r="FN161" s="110"/>
      <c r="FO161" s="110"/>
      <c r="FP161" s="110"/>
      <c r="FQ161" s="110"/>
      <c r="FR161" s="110"/>
      <c r="FS161" s="110"/>
      <c r="FT161" s="110"/>
      <c r="FU161" s="110"/>
      <c r="FV161" s="110"/>
      <c r="FW161" s="110"/>
      <c r="FX161" s="110"/>
      <c r="FY161" s="110"/>
      <c r="FZ161" s="110"/>
      <c r="GA161" s="110"/>
      <c r="GB161" s="110"/>
      <c r="GC161" s="110"/>
      <c r="GD161" s="110"/>
      <c r="GE161" s="110"/>
      <c r="GF161" s="110"/>
      <c r="GG161" s="110"/>
      <c r="GH161" s="110"/>
      <c r="GI161" s="110"/>
      <c r="GJ161" s="110"/>
      <c r="GK161" s="110"/>
      <c r="GL161" s="110"/>
      <c r="GM161" s="110"/>
      <c r="GN161" s="110"/>
      <c r="GO161" s="110"/>
      <c r="GP161" s="110"/>
      <c r="GQ161" s="110"/>
      <c r="GR161" s="110"/>
      <c r="GS161" s="110"/>
      <c r="GT161" s="110"/>
      <c r="GU161" s="110"/>
      <c r="GV161" s="110"/>
      <c r="GW161" s="110"/>
      <c r="GX161" s="110"/>
      <c r="GY161" s="110"/>
      <c r="GZ161" s="110"/>
      <c r="HA161" s="110"/>
      <c r="HB161" s="110"/>
      <c r="HC161" s="110"/>
      <c r="HD161" s="110"/>
      <c r="HE161" s="110"/>
      <c r="HF161" s="110"/>
      <c r="HG161" s="110"/>
      <c r="HH161" s="110"/>
      <c r="HI161" s="110"/>
      <c r="HJ161" s="110"/>
      <c r="HK161" s="110"/>
      <c r="HL161" s="110"/>
      <c r="HM161" s="110"/>
      <c r="HN161" s="110"/>
      <c r="HO161" s="110"/>
      <c r="HP161" s="110"/>
      <c r="HQ161" s="110"/>
      <c r="HR161" s="110"/>
      <c r="HS161" s="110"/>
      <c r="HT161" s="110"/>
      <c r="HU161" s="110"/>
      <c r="HV161" s="110"/>
      <c r="HW161" s="110"/>
      <c r="HX161" s="110"/>
      <c r="HY161" s="110"/>
      <c r="HZ161" s="110"/>
      <c r="IA161" s="110"/>
      <c r="IB161" s="110"/>
      <c r="IC161" s="110"/>
      <c r="ID161" s="110"/>
      <c r="IE161" s="110"/>
      <c r="IF161" s="110"/>
      <c r="IG161" s="110"/>
      <c r="IH161" s="110"/>
      <c r="II161" s="110"/>
      <c r="IJ161" s="110"/>
      <c r="IK161" s="110"/>
      <c r="IL161" s="110"/>
      <c r="IM161" s="110"/>
      <c r="IN161" s="110"/>
      <c r="IO161" s="110"/>
      <c r="IP161" s="110"/>
      <c r="IQ161" s="70"/>
    </row>
    <row r="162" spans="1:251" ht="16.5" hidden="1" customHeight="1">
      <c r="A162" s="95"/>
      <c r="B162" t="s">
        <v>1364</v>
      </c>
      <c r="C162" t="s">
        <v>450</v>
      </c>
      <c r="E162" t="s">
        <v>450</v>
      </c>
      <c r="F162" t="s">
        <v>1369</v>
      </c>
      <c r="H162">
        <v>31</v>
      </c>
      <c r="J162" s="214" t="str">
        <f t="shared" si="4"/>
        <v>LTT200231</v>
      </c>
      <c r="K162">
        <v>21020</v>
      </c>
      <c r="R162" s="95"/>
      <c r="V162" s="214"/>
      <c r="EE162" s="95"/>
      <c r="EF162" s="110"/>
      <c r="EG162" s="110"/>
      <c r="EH162" s="110"/>
      <c r="EI162" s="216"/>
      <c r="EJ162" s="110"/>
      <c r="EK162" s="110"/>
      <c r="EL162" s="110"/>
      <c r="EM162" s="110"/>
      <c r="EN162" s="110"/>
      <c r="EO162" s="110"/>
      <c r="EP162" s="110"/>
      <c r="EQ162" s="110"/>
      <c r="ER162" s="110"/>
      <c r="ES162" s="110"/>
      <c r="ET162" s="110"/>
      <c r="EU162" s="110"/>
      <c r="EV162" s="110"/>
      <c r="EW162" s="110"/>
      <c r="EX162" s="110"/>
      <c r="EY162" s="110"/>
      <c r="EZ162" s="110"/>
      <c r="FA162" s="110"/>
      <c r="FB162" s="110"/>
      <c r="FC162" s="110"/>
      <c r="FD162" s="110"/>
      <c r="FE162" s="110"/>
      <c r="FF162" s="110"/>
      <c r="FG162" s="110"/>
      <c r="FH162" s="110"/>
      <c r="FI162" s="110"/>
      <c r="FJ162" s="110"/>
      <c r="FK162" s="110"/>
      <c r="FL162" s="110"/>
      <c r="FM162" s="110"/>
      <c r="FN162" s="110"/>
      <c r="FO162" s="110"/>
      <c r="FP162" s="110"/>
      <c r="FQ162" s="110"/>
      <c r="FR162" s="110"/>
      <c r="FS162" s="110"/>
      <c r="FT162" s="110"/>
      <c r="FU162" s="110"/>
      <c r="FV162" s="110"/>
      <c r="FW162" s="110"/>
      <c r="FX162" s="110"/>
      <c r="FY162" s="110"/>
      <c r="FZ162" s="110"/>
      <c r="GA162" s="110"/>
      <c r="GB162" s="110"/>
      <c r="GC162" s="110"/>
      <c r="GD162" s="110"/>
      <c r="GE162" s="110"/>
      <c r="GF162" s="110"/>
      <c r="GG162" s="110"/>
      <c r="GH162" s="110"/>
      <c r="GI162" s="110"/>
      <c r="GJ162" s="110"/>
      <c r="GK162" s="110"/>
      <c r="GL162" s="110"/>
      <c r="GM162" s="110"/>
      <c r="GN162" s="110"/>
      <c r="GO162" s="110"/>
      <c r="GP162" s="110"/>
      <c r="GQ162" s="110"/>
      <c r="GR162" s="110"/>
      <c r="GS162" s="110"/>
      <c r="GT162" s="110"/>
      <c r="GU162" s="110"/>
      <c r="GV162" s="110"/>
      <c r="GW162" s="110"/>
      <c r="GX162" s="110"/>
      <c r="GY162" s="110"/>
      <c r="GZ162" s="110"/>
      <c r="HA162" s="110"/>
      <c r="HB162" s="110"/>
      <c r="HC162" s="110"/>
      <c r="HD162" s="110"/>
      <c r="HE162" s="110"/>
      <c r="HF162" s="110"/>
      <c r="HG162" s="110"/>
      <c r="HH162" s="110"/>
      <c r="HI162" s="110"/>
      <c r="HJ162" s="110"/>
      <c r="HK162" s="110"/>
      <c r="HL162" s="110"/>
      <c r="HM162" s="110"/>
      <c r="HN162" s="110"/>
      <c r="HO162" s="110"/>
      <c r="HP162" s="110"/>
      <c r="HQ162" s="110"/>
      <c r="HR162" s="110"/>
      <c r="HS162" s="110"/>
      <c r="HT162" s="110"/>
      <c r="HU162" s="110"/>
      <c r="HV162" s="110"/>
      <c r="HW162" s="110"/>
      <c r="HX162" s="110"/>
      <c r="HY162" s="110"/>
      <c r="HZ162" s="110"/>
      <c r="IA162" s="110"/>
      <c r="IB162" s="110"/>
      <c r="IC162" s="110"/>
      <c r="ID162" s="110"/>
      <c r="IE162" s="110"/>
      <c r="IF162" s="110"/>
      <c r="IG162" s="110"/>
      <c r="IH162" s="110"/>
      <c r="II162" s="110"/>
      <c r="IJ162" s="110"/>
      <c r="IK162" s="110"/>
      <c r="IL162" s="110"/>
      <c r="IM162" s="110"/>
      <c r="IN162" s="110"/>
      <c r="IO162" s="110"/>
      <c r="IP162" s="110"/>
      <c r="IQ162" s="70"/>
    </row>
    <row r="163" spans="1:251" ht="16.5" hidden="1" customHeight="1">
      <c r="A163" s="95"/>
      <c r="B163" t="s">
        <v>1364</v>
      </c>
      <c r="C163" t="s">
        <v>450</v>
      </c>
      <c r="E163" t="s">
        <v>450</v>
      </c>
      <c r="F163" t="s">
        <v>1369</v>
      </c>
      <c r="H163">
        <v>32</v>
      </c>
      <c r="J163" s="214" t="str">
        <f t="shared" si="4"/>
        <v>LTT200232</v>
      </c>
      <c r="K163">
        <v>21360</v>
      </c>
      <c r="R163" s="95"/>
      <c r="V163" s="214"/>
      <c r="EE163" s="95"/>
      <c r="EF163" s="110"/>
      <c r="EG163" s="110"/>
      <c r="EH163" s="110"/>
      <c r="EI163" s="216"/>
      <c r="EJ163" s="110"/>
      <c r="EK163" s="110"/>
      <c r="EL163" s="110"/>
      <c r="EM163" s="110"/>
      <c r="EN163" s="110"/>
      <c r="EO163" s="110"/>
      <c r="EP163" s="110"/>
      <c r="EQ163" s="110"/>
      <c r="ER163" s="110"/>
      <c r="ES163" s="110"/>
      <c r="ET163" s="110"/>
      <c r="EU163" s="110"/>
      <c r="EV163" s="110"/>
      <c r="EW163" s="110"/>
      <c r="EX163" s="110"/>
      <c r="EY163" s="110"/>
      <c r="EZ163" s="110"/>
      <c r="FA163" s="110"/>
      <c r="FB163" s="110"/>
      <c r="FC163" s="110"/>
      <c r="FD163" s="110"/>
      <c r="FE163" s="110"/>
      <c r="FF163" s="110"/>
      <c r="FG163" s="110"/>
      <c r="FH163" s="110"/>
      <c r="FI163" s="110"/>
      <c r="FJ163" s="110"/>
      <c r="FK163" s="110"/>
      <c r="FL163" s="110"/>
      <c r="FM163" s="110"/>
      <c r="FN163" s="110"/>
      <c r="FO163" s="110"/>
      <c r="FP163" s="110"/>
      <c r="FQ163" s="110"/>
      <c r="FR163" s="110"/>
      <c r="FS163" s="110"/>
      <c r="FT163" s="110"/>
      <c r="FU163" s="110"/>
      <c r="FV163" s="110"/>
      <c r="FW163" s="110"/>
      <c r="FX163" s="110"/>
      <c r="FY163" s="110"/>
      <c r="FZ163" s="110"/>
      <c r="GA163" s="110"/>
      <c r="GB163" s="110"/>
      <c r="GC163" s="110"/>
      <c r="GD163" s="110"/>
      <c r="GE163" s="110"/>
      <c r="GF163" s="110"/>
      <c r="GG163" s="110"/>
      <c r="GH163" s="110"/>
      <c r="GI163" s="110"/>
      <c r="GJ163" s="110"/>
      <c r="GK163" s="110"/>
      <c r="GL163" s="110"/>
      <c r="GM163" s="110"/>
      <c r="GN163" s="110"/>
      <c r="GO163" s="110"/>
      <c r="GP163" s="110"/>
      <c r="GQ163" s="110"/>
      <c r="GR163" s="110"/>
      <c r="GS163" s="110"/>
      <c r="GT163" s="110"/>
      <c r="GU163" s="110"/>
      <c r="GV163" s="110"/>
      <c r="GW163" s="110"/>
      <c r="GX163" s="110"/>
      <c r="GY163" s="110"/>
      <c r="GZ163" s="110"/>
      <c r="HA163" s="110"/>
      <c r="HB163" s="110"/>
      <c r="HC163" s="110"/>
      <c r="HD163" s="110"/>
      <c r="HE163" s="110"/>
      <c r="HF163" s="110"/>
      <c r="HG163" s="110"/>
      <c r="HH163" s="110"/>
      <c r="HI163" s="110"/>
      <c r="HJ163" s="110"/>
      <c r="HK163" s="110"/>
      <c r="HL163" s="110"/>
      <c r="HM163" s="110"/>
      <c r="HN163" s="110"/>
      <c r="HO163" s="110"/>
      <c r="HP163" s="110"/>
      <c r="HQ163" s="110"/>
      <c r="HR163" s="110"/>
      <c r="HS163" s="110"/>
      <c r="HT163" s="110"/>
      <c r="HU163" s="110"/>
      <c r="HV163" s="110"/>
      <c r="HW163" s="110"/>
      <c r="HX163" s="110"/>
      <c r="HY163" s="110"/>
      <c r="HZ163" s="110"/>
      <c r="IA163" s="110"/>
      <c r="IB163" s="110"/>
      <c r="IC163" s="110"/>
      <c r="ID163" s="110"/>
      <c r="IE163" s="110"/>
      <c r="IF163" s="110"/>
      <c r="IG163" s="110"/>
      <c r="IH163" s="110"/>
      <c r="II163" s="110"/>
      <c r="IJ163" s="110"/>
      <c r="IK163" s="110"/>
      <c r="IL163" s="110"/>
      <c r="IM163" s="110"/>
      <c r="IN163" s="110"/>
      <c r="IO163" s="110"/>
      <c r="IP163" s="110"/>
      <c r="IQ163" s="70"/>
    </row>
    <row r="164" spans="1:251" ht="16.5" hidden="1" customHeight="1">
      <c r="A164" s="648"/>
      <c r="B164" t="s">
        <v>1364</v>
      </c>
      <c r="C164" t="s">
        <v>450</v>
      </c>
      <c r="E164" t="s">
        <v>450</v>
      </c>
      <c r="F164" t="s">
        <v>1369</v>
      </c>
      <c r="H164">
        <v>33</v>
      </c>
      <c r="J164" s="214" t="str">
        <f t="shared" si="4"/>
        <v>LTT200233</v>
      </c>
      <c r="K164">
        <v>21690</v>
      </c>
      <c r="R164" s="648"/>
      <c r="V164" s="214"/>
      <c r="EE164" s="648"/>
      <c r="EF164" s="110"/>
      <c r="EG164" s="110"/>
      <c r="EH164" s="110"/>
      <c r="EI164" s="650"/>
      <c r="EJ164" s="110"/>
      <c r="EK164" s="110"/>
      <c r="EL164" s="110"/>
      <c r="EM164" s="110"/>
      <c r="EN164" s="110"/>
      <c r="EO164" s="110"/>
      <c r="EP164" s="110"/>
      <c r="EQ164" s="110"/>
      <c r="ER164" s="110"/>
      <c r="ES164" s="110"/>
      <c r="ET164" s="110"/>
      <c r="EU164" s="110"/>
      <c r="EV164" s="110"/>
      <c r="EW164" s="110"/>
      <c r="EX164" s="110"/>
      <c r="EY164" s="110"/>
      <c r="EZ164" s="110"/>
      <c r="FA164" s="110"/>
      <c r="FB164" s="110"/>
      <c r="FC164" s="110"/>
      <c r="FD164" s="110"/>
      <c r="FE164" s="110"/>
      <c r="FF164" s="110"/>
      <c r="FG164" s="110"/>
      <c r="FH164" s="110"/>
      <c r="FI164" s="110"/>
      <c r="FJ164" s="110"/>
      <c r="FK164" s="110"/>
      <c r="FL164" s="110"/>
      <c r="FM164" s="110"/>
      <c r="FN164" s="110"/>
      <c r="FO164" s="110"/>
      <c r="FP164" s="110"/>
      <c r="FQ164" s="110"/>
      <c r="FR164" s="110"/>
      <c r="FS164" s="110"/>
      <c r="FT164" s="110"/>
      <c r="FU164" s="110"/>
      <c r="FV164" s="110"/>
      <c r="FW164" s="110"/>
      <c r="FX164" s="110"/>
      <c r="FY164" s="110"/>
      <c r="FZ164" s="110"/>
      <c r="GA164" s="110"/>
      <c r="GB164" s="110"/>
      <c r="GC164" s="110"/>
      <c r="GD164" s="110"/>
      <c r="GE164" s="110"/>
      <c r="GF164" s="110"/>
      <c r="GG164" s="110"/>
      <c r="GH164" s="110"/>
      <c r="GI164" s="110"/>
      <c r="GJ164" s="110"/>
      <c r="GK164" s="110"/>
      <c r="GL164" s="110"/>
      <c r="GM164" s="110"/>
      <c r="GN164" s="110"/>
      <c r="GO164" s="110"/>
      <c r="GP164" s="110"/>
      <c r="GQ164" s="110"/>
      <c r="GR164" s="110"/>
      <c r="GS164" s="110"/>
      <c r="GT164" s="110"/>
      <c r="GU164" s="110"/>
      <c r="GV164" s="110"/>
      <c r="GW164" s="110"/>
      <c r="GX164" s="110"/>
      <c r="GY164" s="110"/>
      <c r="GZ164" s="110"/>
      <c r="HA164" s="110"/>
      <c r="HB164" s="110"/>
      <c r="HC164" s="110"/>
      <c r="HD164" s="110"/>
      <c r="HE164" s="110"/>
      <c r="HF164" s="110"/>
      <c r="HG164" s="110"/>
      <c r="HH164" s="110"/>
      <c r="HI164" s="110"/>
      <c r="HJ164" s="110"/>
      <c r="HK164" s="110"/>
      <c r="HL164" s="110"/>
      <c r="HM164" s="110"/>
      <c r="HN164" s="110"/>
      <c r="HO164" s="110"/>
      <c r="HP164" s="110"/>
      <c r="HQ164" s="110"/>
      <c r="HR164" s="110"/>
      <c r="HS164" s="110"/>
      <c r="HT164" s="110"/>
      <c r="HU164" s="110"/>
      <c r="HV164" s="110"/>
      <c r="HW164" s="110"/>
      <c r="HX164" s="110"/>
      <c r="HY164" s="110"/>
      <c r="HZ164" s="110"/>
      <c r="IA164" s="110"/>
      <c r="IB164" s="110"/>
      <c r="IC164" s="110"/>
      <c r="ID164" s="110"/>
      <c r="IE164" s="110"/>
      <c r="IF164" s="110"/>
      <c r="IG164" s="110"/>
      <c r="IH164" s="110"/>
      <c r="II164" s="110"/>
      <c r="IJ164" s="110"/>
      <c r="IK164" s="110"/>
      <c r="IL164" s="110"/>
      <c r="IM164" s="110"/>
      <c r="IN164" s="110"/>
      <c r="IO164" s="110"/>
      <c r="IP164" s="110"/>
      <c r="IQ164" s="653"/>
    </row>
    <row r="165" spans="1:251" ht="16.5" hidden="1" customHeight="1">
      <c r="A165" s="648"/>
      <c r="B165" t="s">
        <v>1364</v>
      </c>
      <c r="C165" t="s">
        <v>450</v>
      </c>
      <c r="E165" t="s">
        <v>450</v>
      </c>
      <c r="F165" t="s">
        <v>1369</v>
      </c>
      <c r="H165">
        <v>34</v>
      </c>
      <c r="J165" s="214" t="str">
        <f t="shared" si="4"/>
        <v>LTT200234</v>
      </c>
      <c r="K165">
        <v>22010</v>
      </c>
      <c r="R165" s="648"/>
      <c r="V165" s="214"/>
      <c r="EE165" s="648"/>
      <c r="EF165" s="110"/>
      <c r="EG165" s="110"/>
      <c r="EH165" s="110"/>
      <c r="EI165" s="650"/>
      <c r="EJ165" s="110"/>
      <c r="EK165" s="110"/>
      <c r="EL165" s="110"/>
      <c r="EM165" s="110"/>
      <c r="EN165" s="110"/>
      <c r="EO165" s="110"/>
      <c r="EP165" s="110"/>
      <c r="EQ165" s="110"/>
      <c r="ER165" s="110"/>
      <c r="ES165" s="110"/>
      <c r="ET165" s="110"/>
      <c r="EU165" s="110"/>
      <c r="EV165" s="110"/>
      <c r="EW165" s="110"/>
      <c r="EX165" s="110"/>
      <c r="EY165" s="110"/>
      <c r="EZ165" s="110"/>
      <c r="FA165" s="110"/>
      <c r="FB165" s="110"/>
      <c r="FC165" s="110"/>
      <c r="FD165" s="110"/>
      <c r="FE165" s="110"/>
      <c r="FF165" s="110"/>
      <c r="FG165" s="110"/>
      <c r="FH165" s="110"/>
      <c r="FI165" s="110"/>
      <c r="FJ165" s="110"/>
      <c r="FK165" s="110"/>
      <c r="FL165" s="110"/>
      <c r="FM165" s="110"/>
      <c r="FN165" s="110"/>
      <c r="FO165" s="110"/>
      <c r="FP165" s="110"/>
      <c r="FQ165" s="110"/>
      <c r="FR165" s="110"/>
      <c r="FS165" s="110"/>
      <c r="FT165" s="110"/>
      <c r="FU165" s="110"/>
      <c r="FV165" s="110"/>
      <c r="FW165" s="110"/>
      <c r="FX165" s="110"/>
      <c r="FY165" s="110"/>
      <c r="FZ165" s="110"/>
      <c r="GA165" s="110"/>
      <c r="GB165" s="110"/>
      <c r="GC165" s="110"/>
      <c r="GD165" s="110"/>
      <c r="GE165" s="110"/>
      <c r="GF165" s="110"/>
      <c r="GG165" s="110"/>
      <c r="GH165" s="110"/>
      <c r="GI165" s="110"/>
      <c r="GJ165" s="110"/>
      <c r="GK165" s="110"/>
      <c r="GL165" s="110"/>
      <c r="GM165" s="110"/>
      <c r="GN165" s="110"/>
      <c r="GO165" s="110"/>
      <c r="GP165" s="110"/>
      <c r="GQ165" s="110"/>
      <c r="GR165" s="110"/>
      <c r="GS165" s="110"/>
      <c r="GT165" s="110"/>
      <c r="GU165" s="110"/>
      <c r="GV165" s="110"/>
      <c r="GW165" s="110"/>
      <c r="GX165" s="110"/>
      <c r="GY165" s="110"/>
      <c r="GZ165" s="110"/>
      <c r="HA165" s="110"/>
      <c r="HB165" s="110"/>
      <c r="HC165" s="110"/>
      <c r="HD165" s="110"/>
      <c r="HE165" s="110"/>
      <c r="HF165" s="110"/>
      <c r="HG165" s="110"/>
      <c r="HH165" s="110"/>
      <c r="HI165" s="110"/>
      <c r="HJ165" s="110"/>
      <c r="HK165" s="110"/>
      <c r="HL165" s="110"/>
      <c r="HM165" s="110"/>
      <c r="HN165" s="110"/>
      <c r="HO165" s="110"/>
      <c r="HP165" s="110"/>
      <c r="HQ165" s="110"/>
      <c r="HR165" s="110"/>
      <c r="HS165" s="110"/>
      <c r="HT165" s="110"/>
      <c r="HU165" s="110"/>
      <c r="HV165" s="110"/>
      <c r="HW165" s="110"/>
      <c r="HX165" s="110"/>
      <c r="HY165" s="110"/>
      <c r="HZ165" s="110"/>
      <c r="IA165" s="110"/>
      <c r="IB165" s="110"/>
      <c r="IC165" s="110"/>
      <c r="ID165" s="110"/>
      <c r="IE165" s="110"/>
      <c r="IF165" s="110"/>
      <c r="IG165" s="110"/>
      <c r="IH165" s="110"/>
      <c r="II165" s="110"/>
      <c r="IJ165" s="110"/>
      <c r="IK165" s="110"/>
      <c r="IL165" s="110"/>
      <c r="IM165" s="110"/>
      <c r="IN165" s="110"/>
      <c r="IO165" s="110"/>
      <c r="IP165" s="110"/>
      <c r="IQ165" s="653"/>
    </row>
    <row r="166" spans="1:251" ht="16.5" hidden="1" customHeight="1">
      <c r="A166" s="648"/>
      <c r="B166" t="s">
        <v>1364</v>
      </c>
      <c r="C166" t="s">
        <v>450</v>
      </c>
      <c r="E166" t="s">
        <v>450</v>
      </c>
      <c r="F166" t="s">
        <v>1369</v>
      </c>
      <c r="H166">
        <v>35</v>
      </c>
      <c r="J166" s="214" t="str">
        <f t="shared" si="4"/>
        <v>LTT200235</v>
      </c>
      <c r="K166">
        <v>22390</v>
      </c>
      <c r="R166" s="648"/>
      <c r="V166" s="214"/>
      <c r="EE166" s="648"/>
      <c r="EF166" s="110"/>
      <c r="EG166" s="110"/>
      <c r="EH166" s="110"/>
      <c r="EI166" s="650"/>
      <c r="EJ166" s="110"/>
      <c r="EK166" s="110"/>
      <c r="EL166" s="110"/>
      <c r="EM166" s="110"/>
      <c r="EN166" s="110"/>
      <c r="EO166" s="110"/>
      <c r="EP166" s="110"/>
      <c r="EQ166" s="110"/>
      <c r="ER166" s="110"/>
      <c r="ES166" s="110"/>
      <c r="ET166" s="110"/>
      <c r="EU166" s="110"/>
      <c r="EV166" s="110"/>
      <c r="EW166" s="110"/>
      <c r="EX166" s="110"/>
      <c r="EY166" s="110"/>
      <c r="EZ166" s="110"/>
      <c r="FA166" s="110"/>
      <c r="FB166" s="110"/>
      <c r="FC166" s="110"/>
      <c r="FD166" s="110"/>
      <c r="FE166" s="110"/>
      <c r="FF166" s="110"/>
      <c r="FG166" s="110"/>
      <c r="FH166" s="110"/>
      <c r="FI166" s="110"/>
      <c r="FJ166" s="110"/>
      <c r="FK166" s="110"/>
      <c r="FL166" s="110"/>
      <c r="FM166" s="110"/>
      <c r="FN166" s="110"/>
      <c r="FO166" s="110"/>
      <c r="FP166" s="110"/>
      <c r="FQ166" s="110"/>
      <c r="FR166" s="110"/>
      <c r="FS166" s="110"/>
      <c r="FT166" s="110"/>
      <c r="FU166" s="110"/>
      <c r="FV166" s="110"/>
      <c r="FW166" s="110"/>
      <c r="FX166" s="110"/>
      <c r="FY166" s="110"/>
      <c r="FZ166" s="110"/>
      <c r="GA166" s="110"/>
      <c r="GB166" s="110"/>
      <c r="GC166" s="110"/>
      <c r="GD166" s="110"/>
      <c r="GE166" s="110"/>
      <c r="GF166" s="110"/>
      <c r="GG166" s="110"/>
      <c r="GH166" s="110"/>
      <c r="GI166" s="110"/>
      <c r="GJ166" s="110"/>
      <c r="GK166" s="110"/>
      <c r="GL166" s="110"/>
      <c r="GM166" s="110"/>
      <c r="GN166" s="110"/>
      <c r="GO166" s="110"/>
      <c r="GP166" s="110"/>
      <c r="GQ166" s="110"/>
      <c r="GR166" s="110"/>
      <c r="GS166" s="110"/>
      <c r="GT166" s="110"/>
      <c r="GU166" s="110"/>
      <c r="GV166" s="110"/>
      <c r="GW166" s="110"/>
      <c r="GX166" s="110"/>
      <c r="GY166" s="110"/>
      <c r="GZ166" s="110"/>
      <c r="HA166" s="110"/>
      <c r="HB166" s="110"/>
      <c r="HC166" s="110"/>
      <c r="HD166" s="110"/>
      <c r="HE166" s="110"/>
      <c r="HF166" s="110"/>
      <c r="HG166" s="110"/>
      <c r="HH166" s="110"/>
      <c r="HI166" s="110"/>
      <c r="HJ166" s="110"/>
      <c r="HK166" s="110"/>
      <c r="HL166" s="110"/>
      <c r="HM166" s="110"/>
      <c r="HN166" s="110"/>
      <c r="HO166" s="110"/>
      <c r="HP166" s="110"/>
      <c r="HQ166" s="110"/>
      <c r="HR166" s="110"/>
      <c r="HS166" s="110"/>
      <c r="HT166" s="110"/>
      <c r="HU166" s="110"/>
      <c r="HV166" s="110"/>
      <c r="HW166" s="110"/>
      <c r="HX166" s="110"/>
      <c r="HY166" s="110"/>
      <c r="HZ166" s="110"/>
      <c r="IA166" s="110"/>
      <c r="IB166" s="110"/>
      <c r="IC166" s="110"/>
      <c r="ID166" s="110"/>
      <c r="IE166" s="110"/>
      <c r="IF166" s="110"/>
      <c r="IG166" s="110"/>
      <c r="IH166" s="110"/>
      <c r="II166" s="110"/>
      <c r="IJ166" s="110"/>
      <c r="IK166" s="110"/>
      <c r="IL166" s="110"/>
      <c r="IM166" s="110"/>
      <c r="IN166" s="110"/>
      <c r="IO166" s="110"/>
      <c r="IP166" s="110"/>
      <c r="IQ166" s="653"/>
    </row>
    <row r="167" spans="1:251" ht="16.5" hidden="1" customHeight="1">
      <c r="A167" s="648"/>
      <c r="B167" t="s">
        <v>1364</v>
      </c>
      <c r="C167" t="s">
        <v>450</v>
      </c>
      <c r="E167" t="s">
        <v>450</v>
      </c>
      <c r="F167" t="s">
        <v>1369</v>
      </c>
      <c r="H167">
        <v>36</v>
      </c>
      <c r="J167" s="214" t="str">
        <f t="shared" si="4"/>
        <v>LTT200236</v>
      </c>
      <c r="K167">
        <v>22740</v>
      </c>
      <c r="R167" s="648"/>
      <c r="V167" s="214"/>
      <c r="EE167" s="648"/>
      <c r="EF167" s="110"/>
      <c r="EG167" s="110"/>
      <c r="EH167" s="110"/>
      <c r="EI167" s="650"/>
      <c r="EJ167" s="110"/>
      <c r="EK167" s="110"/>
      <c r="EL167" s="110"/>
      <c r="EM167" s="110"/>
      <c r="EN167" s="110"/>
      <c r="EO167" s="110"/>
      <c r="EP167" s="110"/>
      <c r="EQ167" s="110"/>
      <c r="ER167" s="110"/>
      <c r="ES167" s="110"/>
      <c r="ET167" s="110"/>
      <c r="EU167" s="110"/>
      <c r="EV167" s="110"/>
      <c r="EW167" s="110"/>
      <c r="EX167" s="110"/>
      <c r="EY167" s="110"/>
      <c r="EZ167" s="110"/>
      <c r="FA167" s="110"/>
      <c r="FB167" s="110"/>
      <c r="FC167" s="110"/>
      <c r="FD167" s="110"/>
      <c r="FE167" s="110"/>
      <c r="FF167" s="110"/>
      <c r="FG167" s="110"/>
      <c r="FH167" s="110"/>
      <c r="FI167" s="110"/>
      <c r="FJ167" s="110"/>
      <c r="FK167" s="110"/>
      <c r="FL167" s="110"/>
      <c r="FM167" s="110"/>
      <c r="FN167" s="110"/>
      <c r="FO167" s="110"/>
      <c r="FP167" s="110"/>
      <c r="FQ167" s="110"/>
      <c r="FR167" s="110"/>
      <c r="FS167" s="110"/>
      <c r="FT167" s="110"/>
      <c r="FU167" s="110"/>
      <c r="FV167" s="110"/>
      <c r="FW167" s="110"/>
      <c r="FX167" s="110"/>
      <c r="FY167" s="110"/>
      <c r="FZ167" s="110"/>
      <c r="GA167" s="110"/>
      <c r="GB167" s="110"/>
      <c r="GC167" s="110"/>
      <c r="GD167" s="110"/>
      <c r="GE167" s="110"/>
      <c r="GF167" s="110"/>
      <c r="GG167" s="110"/>
      <c r="GH167" s="110"/>
      <c r="GI167" s="110"/>
      <c r="GJ167" s="110"/>
      <c r="GK167" s="110"/>
      <c r="GL167" s="110"/>
      <c r="GM167" s="110"/>
      <c r="GN167" s="110"/>
      <c r="GO167" s="110"/>
      <c r="GP167" s="110"/>
      <c r="GQ167" s="110"/>
      <c r="GR167" s="110"/>
      <c r="GS167" s="110"/>
      <c r="GT167" s="110"/>
      <c r="GU167" s="110"/>
      <c r="GV167" s="110"/>
      <c r="GW167" s="110"/>
      <c r="GX167" s="110"/>
      <c r="GY167" s="110"/>
      <c r="GZ167" s="110"/>
      <c r="HA167" s="110"/>
      <c r="HB167" s="110"/>
      <c r="HC167" s="110"/>
      <c r="HD167" s="110"/>
      <c r="HE167" s="110"/>
      <c r="HF167" s="110"/>
      <c r="HG167" s="110"/>
      <c r="HH167" s="110"/>
      <c r="HI167" s="110"/>
      <c r="HJ167" s="110"/>
      <c r="HK167" s="110"/>
      <c r="HL167" s="110"/>
      <c r="HM167" s="110"/>
      <c r="HN167" s="110"/>
      <c r="HO167" s="110"/>
      <c r="HP167" s="110"/>
      <c r="HQ167" s="110"/>
      <c r="HR167" s="110"/>
      <c r="HS167" s="110"/>
      <c r="HT167" s="110"/>
      <c r="HU167" s="110"/>
      <c r="HV167" s="110"/>
      <c r="HW167" s="110"/>
      <c r="HX167" s="110"/>
      <c r="HY167" s="110"/>
      <c r="HZ167" s="110"/>
      <c r="IA167" s="110"/>
      <c r="IB167" s="110"/>
      <c r="IC167" s="110"/>
      <c r="ID167" s="110"/>
      <c r="IE167" s="110"/>
      <c r="IF167" s="110"/>
      <c r="IG167" s="110"/>
      <c r="IH167" s="110"/>
      <c r="II167" s="110"/>
      <c r="IJ167" s="110"/>
      <c r="IK167" s="110"/>
      <c r="IL167" s="110"/>
      <c r="IM167" s="110"/>
      <c r="IN167" s="110"/>
      <c r="IO167" s="110"/>
      <c r="IP167" s="110"/>
      <c r="IQ167" s="653"/>
    </row>
    <row r="168" spans="1:251" ht="16.5" hidden="1" customHeight="1">
      <c r="A168" s="648"/>
      <c r="B168" t="s">
        <v>1364</v>
      </c>
      <c r="C168" t="s">
        <v>450</v>
      </c>
      <c r="E168" t="s">
        <v>450</v>
      </c>
      <c r="F168" t="s">
        <v>1369</v>
      </c>
      <c r="H168">
        <v>37</v>
      </c>
      <c r="J168" s="214" t="str">
        <f t="shared" si="4"/>
        <v>LTT200237</v>
      </c>
      <c r="K168">
        <v>23070</v>
      </c>
      <c r="R168" s="648"/>
      <c r="V168" s="214"/>
      <c r="EE168" s="648"/>
      <c r="EF168" s="110"/>
      <c r="EG168" s="110"/>
      <c r="EH168" s="110"/>
      <c r="EI168" s="650"/>
      <c r="EJ168" s="110"/>
      <c r="EK168" s="110"/>
      <c r="EL168" s="110"/>
      <c r="EM168" s="110"/>
      <c r="EN168" s="110"/>
      <c r="EO168" s="110"/>
      <c r="EP168" s="110"/>
      <c r="EQ168" s="110"/>
      <c r="ER168" s="110"/>
      <c r="ES168" s="110"/>
      <c r="ET168" s="110"/>
      <c r="EU168" s="110"/>
      <c r="EV168" s="110"/>
      <c r="EW168" s="110"/>
      <c r="EX168" s="110"/>
      <c r="EY168" s="110"/>
      <c r="EZ168" s="110"/>
      <c r="FA168" s="110"/>
      <c r="FB168" s="110"/>
      <c r="FC168" s="110"/>
      <c r="FD168" s="110"/>
      <c r="FE168" s="110"/>
      <c r="FF168" s="110"/>
      <c r="FG168" s="110"/>
      <c r="FH168" s="110"/>
      <c r="FI168" s="110"/>
      <c r="FJ168" s="110"/>
      <c r="FK168" s="110"/>
      <c r="FL168" s="110"/>
      <c r="FM168" s="110"/>
      <c r="FN168" s="110"/>
      <c r="FO168" s="110"/>
      <c r="FP168" s="110"/>
      <c r="FQ168" s="110"/>
      <c r="FR168" s="110"/>
      <c r="FS168" s="110"/>
      <c r="FT168" s="110"/>
      <c r="FU168" s="110"/>
      <c r="FV168" s="110"/>
      <c r="FW168" s="110"/>
      <c r="FX168" s="110"/>
      <c r="FY168" s="110"/>
      <c r="FZ168" s="110"/>
      <c r="GA168" s="110"/>
      <c r="GB168" s="110"/>
      <c r="GC168" s="110"/>
      <c r="GD168" s="110"/>
      <c r="GE168" s="110"/>
      <c r="GF168" s="110"/>
      <c r="GG168" s="110"/>
      <c r="GH168" s="110"/>
      <c r="GI168" s="110"/>
      <c r="GJ168" s="110"/>
      <c r="GK168" s="110"/>
      <c r="GL168" s="110"/>
      <c r="GM168" s="110"/>
      <c r="GN168" s="110"/>
      <c r="GO168" s="110"/>
      <c r="GP168" s="110"/>
      <c r="GQ168" s="110"/>
      <c r="GR168" s="110"/>
      <c r="GS168" s="110"/>
      <c r="GT168" s="110"/>
      <c r="GU168" s="110"/>
      <c r="GV168" s="110"/>
      <c r="GW168" s="110"/>
      <c r="GX168" s="110"/>
      <c r="GY168" s="110"/>
      <c r="GZ168" s="110"/>
      <c r="HA168" s="110"/>
      <c r="HB168" s="110"/>
      <c r="HC168" s="110"/>
      <c r="HD168" s="110"/>
      <c r="HE168" s="110"/>
      <c r="HF168" s="110"/>
      <c r="HG168" s="110"/>
      <c r="HH168" s="110"/>
      <c r="HI168" s="110"/>
      <c r="HJ168" s="110"/>
      <c r="HK168" s="110"/>
      <c r="HL168" s="110"/>
      <c r="HM168" s="110"/>
      <c r="HN168" s="110"/>
      <c r="HO168" s="110"/>
      <c r="HP168" s="110"/>
      <c r="HQ168" s="110"/>
      <c r="HR168" s="110"/>
      <c r="HS168" s="110"/>
      <c r="HT168" s="110"/>
      <c r="HU168" s="110"/>
      <c r="HV168" s="110"/>
      <c r="HW168" s="110"/>
      <c r="HX168" s="110"/>
      <c r="HY168" s="110"/>
      <c r="HZ168" s="110"/>
      <c r="IA168" s="110"/>
      <c r="IB168" s="110"/>
      <c r="IC168" s="110"/>
      <c r="ID168" s="110"/>
      <c r="IE168" s="110"/>
      <c r="IF168" s="110"/>
      <c r="IG168" s="110"/>
      <c r="IH168" s="110"/>
      <c r="II168" s="110"/>
      <c r="IJ168" s="110"/>
      <c r="IK168" s="110"/>
      <c r="IL168" s="110"/>
      <c r="IM168" s="110"/>
      <c r="IN168" s="110"/>
      <c r="IO168" s="110"/>
      <c r="IP168" s="110"/>
      <c r="IQ168" s="653"/>
    </row>
    <row r="169" spans="1:251" ht="16.5" hidden="1" customHeight="1">
      <c r="A169" s="648"/>
      <c r="B169" t="s">
        <v>1364</v>
      </c>
      <c r="C169" t="s">
        <v>450</v>
      </c>
      <c r="E169" t="s">
        <v>450</v>
      </c>
      <c r="F169" t="s">
        <v>1369</v>
      </c>
      <c r="H169">
        <v>38</v>
      </c>
      <c r="J169" s="214" t="str">
        <f t="shared" si="4"/>
        <v>LTT200238</v>
      </c>
      <c r="K169">
        <v>23460</v>
      </c>
      <c r="R169" s="648"/>
      <c r="V169" s="214"/>
      <c r="EE169" s="648"/>
      <c r="EF169" s="110"/>
      <c r="EG169" s="110"/>
      <c r="EH169" s="110"/>
      <c r="EI169" s="650"/>
      <c r="EJ169" s="110"/>
      <c r="EK169" s="110"/>
      <c r="EL169" s="110"/>
      <c r="EM169" s="110"/>
      <c r="EN169" s="110"/>
      <c r="EO169" s="110"/>
      <c r="EP169" s="110"/>
      <c r="EQ169" s="110"/>
      <c r="ER169" s="110"/>
      <c r="ES169" s="110"/>
      <c r="ET169" s="110"/>
      <c r="EU169" s="110"/>
      <c r="EV169" s="110"/>
      <c r="EW169" s="110"/>
      <c r="EX169" s="110"/>
      <c r="EY169" s="110"/>
      <c r="EZ169" s="110"/>
      <c r="FA169" s="110"/>
      <c r="FB169" s="110"/>
      <c r="FC169" s="110"/>
      <c r="FD169" s="110"/>
      <c r="FE169" s="110"/>
      <c r="FF169" s="110"/>
      <c r="FG169" s="110"/>
      <c r="FH169" s="110"/>
      <c r="FI169" s="110"/>
      <c r="FJ169" s="110"/>
      <c r="FK169" s="110"/>
      <c r="FL169" s="110"/>
      <c r="FM169" s="110"/>
      <c r="FN169" s="110"/>
      <c r="FO169" s="110"/>
      <c r="FP169" s="110"/>
      <c r="FQ169" s="110"/>
      <c r="FR169" s="110"/>
      <c r="FS169" s="110"/>
      <c r="FT169" s="110"/>
      <c r="FU169" s="110"/>
      <c r="FV169" s="110"/>
      <c r="FW169" s="110"/>
      <c r="FX169" s="110"/>
      <c r="FY169" s="110"/>
      <c r="FZ169" s="110"/>
      <c r="GA169" s="110"/>
      <c r="GB169" s="110"/>
      <c r="GC169" s="110"/>
      <c r="GD169" s="110"/>
      <c r="GE169" s="110"/>
      <c r="GF169" s="110"/>
      <c r="GG169" s="110"/>
      <c r="GH169" s="110"/>
      <c r="GI169" s="110"/>
      <c r="GJ169" s="110"/>
      <c r="GK169" s="110"/>
      <c r="GL169" s="110"/>
      <c r="GM169" s="110"/>
      <c r="GN169" s="110"/>
      <c r="GO169" s="110"/>
      <c r="GP169" s="110"/>
      <c r="GQ169" s="110"/>
      <c r="GR169" s="110"/>
      <c r="GS169" s="110"/>
      <c r="GT169" s="110"/>
      <c r="GU169" s="110"/>
      <c r="GV169" s="110"/>
      <c r="GW169" s="110"/>
      <c r="GX169" s="110"/>
      <c r="GY169" s="110"/>
      <c r="GZ169" s="110"/>
      <c r="HA169" s="110"/>
      <c r="HB169" s="110"/>
      <c r="HC169" s="110"/>
      <c r="HD169" s="110"/>
      <c r="HE169" s="110"/>
      <c r="HF169" s="110"/>
      <c r="HG169" s="110"/>
      <c r="HH169" s="110"/>
      <c r="HI169" s="110"/>
      <c r="HJ169" s="110"/>
      <c r="HK169" s="110"/>
      <c r="HL169" s="110"/>
      <c r="HM169" s="110"/>
      <c r="HN169" s="110"/>
      <c r="HO169" s="110"/>
      <c r="HP169" s="110"/>
      <c r="HQ169" s="110"/>
      <c r="HR169" s="110"/>
      <c r="HS169" s="110"/>
      <c r="HT169" s="110"/>
      <c r="HU169" s="110"/>
      <c r="HV169" s="110"/>
      <c r="HW169" s="110"/>
      <c r="HX169" s="110"/>
      <c r="HY169" s="110"/>
      <c r="HZ169" s="110"/>
      <c r="IA169" s="110"/>
      <c r="IB169" s="110"/>
      <c r="IC169" s="110"/>
      <c r="ID169" s="110"/>
      <c r="IE169" s="110"/>
      <c r="IF169" s="110"/>
      <c r="IG169" s="110"/>
      <c r="IH169" s="110"/>
      <c r="II169" s="110"/>
      <c r="IJ169" s="110"/>
      <c r="IK169" s="110"/>
      <c r="IL169" s="110"/>
      <c r="IM169" s="110"/>
      <c r="IN169" s="110"/>
      <c r="IO169" s="110"/>
      <c r="IP169" s="110"/>
      <c r="IQ169" s="653"/>
    </row>
    <row r="170" spans="1:251" ht="16.5" hidden="1" customHeight="1">
      <c r="A170" s="648"/>
      <c r="B170" t="s">
        <v>1364</v>
      </c>
      <c r="C170" t="s">
        <v>450</v>
      </c>
      <c r="E170" t="s">
        <v>450</v>
      </c>
      <c r="F170" t="s">
        <v>1369</v>
      </c>
      <c r="H170">
        <v>39</v>
      </c>
      <c r="J170" s="214" t="str">
        <f t="shared" si="4"/>
        <v>LTT200239</v>
      </c>
      <c r="K170">
        <v>23790</v>
      </c>
      <c r="R170" s="648"/>
      <c r="V170" s="214"/>
      <c r="EE170" s="648"/>
      <c r="EF170" s="110"/>
      <c r="EG170" s="110"/>
      <c r="EH170" s="110"/>
      <c r="EI170" s="650"/>
      <c r="EJ170" s="110"/>
      <c r="EK170" s="110"/>
      <c r="EL170" s="110"/>
      <c r="EM170" s="110"/>
      <c r="EN170" s="110"/>
      <c r="EO170" s="110"/>
      <c r="EP170" s="110"/>
      <c r="EQ170" s="110"/>
      <c r="ER170" s="110"/>
      <c r="ES170" s="110"/>
      <c r="ET170" s="110"/>
      <c r="EU170" s="110"/>
      <c r="EV170" s="110"/>
      <c r="EW170" s="110"/>
      <c r="EX170" s="110"/>
      <c r="EY170" s="110"/>
      <c r="EZ170" s="110"/>
      <c r="FA170" s="110"/>
      <c r="FB170" s="110"/>
      <c r="FC170" s="110"/>
      <c r="FD170" s="110"/>
      <c r="FE170" s="110"/>
      <c r="FF170" s="110"/>
      <c r="FG170" s="110"/>
      <c r="FH170" s="110"/>
      <c r="FI170" s="110"/>
      <c r="FJ170" s="110"/>
      <c r="FK170" s="110"/>
      <c r="FL170" s="110"/>
      <c r="FM170" s="110"/>
      <c r="FN170" s="110"/>
      <c r="FO170" s="110"/>
      <c r="FP170" s="110"/>
      <c r="FQ170" s="110"/>
      <c r="FR170" s="110"/>
      <c r="FS170" s="110"/>
      <c r="FT170" s="110"/>
      <c r="FU170" s="110"/>
      <c r="FV170" s="110"/>
      <c r="FW170" s="110"/>
      <c r="FX170" s="110"/>
      <c r="FY170" s="110"/>
      <c r="FZ170" s="110"/>
      <c r="GA170" s="110"/>
      <c r="GB170" s="110"/>
      <c r="GC170" s="110"/>
      <c r="GD170" s="110"/>
      <c r="GE170" s="110"/>
      <c r="GF170" s="110"/>
      <c r="GG170" s="110"/>
      <c r="GH170" s="110"/>
      <c r="GI170" s="110"/>
      <c r="GJ170" s="110"/>
      <c r="GK170" s="110"/>
      <c r="GL170" s="110"/>
      <c r="GM170" s="110"/>
      <c r="GN170" s="110"/>
      <c r="GO170" s="110"/>
      <c r="GP170" s="110"/>
      <c r="GQ170" s="110"/>
      <c r="GR170" s="110"/>
      <c r="GS170" s="110"/>
      <c r="GT170" s="110"/>
      <c r="GU170" s="110"/>
      <c r="GV170" s="110"/>
      <c r="GW170" s="110"/>
      <c r="GX170" s="110"/>
      <c r="GY170" s="110"/>
      <c r="GZ170" s="110"/>
      <c r="HA170" s="110"/>
      <c r="HB170" s="110"/>
      <c r="HC170" s="110"/>
      <c r="HD170" s="110"/>
      <c r="HE170" s="110"/>
      <c r="HF170" s="110"/>
      <c r="HG170" s="110"/>
      <c r="HH170" s="110"/>
      <c r="HI170" s="110"/>
      <c r="HJ170" s="110"/>
      <c r="HK170" s="110"/>
      <c r="HL170" s="110"/>
      <c r="HM170" s="110"/>
      <c r="HN170" s="110"/>
      <c r="HO170" s="110"/>
      <c r="HP170" s="110"/>
      <c r="HQ170" s="110"/>
      <c r="HR170" s="110"/>
      <c r="HS170" s="110"/>
      <c r="HT170" s="110"/>
      <c r="HU170" s="110"/>
      <c r="HV170" s="110"/>
      <c r="HW170" s="110"/>
      <c r="HX170" s="110"/>
      <c r="HY170" s="110"/>
      <c r="HZ170" s="110"/>
      <c r="IA170" s="110"/>
      <c r="IB170" s="110"/>
      <c r="IC170" s="110"/>
      <c r="ID170" s="110"/>
      <c r="IE170" s="110"/>
      <c r="IF170" s="110"/>
      <c r="IG170" s="110"/>
      <c r="IH170" s="110"/>
      <c r="II170" s="110"/>
      <c r="IJ170" s="110"/>
      <c r="IK170" s="110"/>
      <c r="IL170" s="110"/>
      <c r="IM170" s="110"/>
      <c r="IN170" s="110"/>
      <c r="IO170" s="110"/>
      <c r="IP170" s="110"/>
      <c r="IQ170" s="653"/>
    </row>
    <row r="171" spans="1:251" ht="16.5" hidden="1" customHeight="1">
      <c r="A171" s="648"/>
      <c r="B171" t="s">
        <v>1364</v>
      </c>
      <c r="C171" t="s">
        <v>450</v>
      </c>
      <c r="E171" t="s">
        <v>450</v>
      </c>
      <c r="F171" t="s">
        <v>1369</v>
      </c>
      <c r="H171">
        <v>40</v>
      </c>
      <c r="J171" s="214" t="str">
        <f t="shared" si="4"/>
        <v>LTT200240</v>
      </c>
      <c r="K171">
        <v>24200</v>
      </c>
      <c r="R171" s="648"/>
      <c r="V171" s="214"/>
      <c r="EE171" s="648"/>
      <c r="EF171" s="110"/>
      <c r="EG171" s="110"/>
      <c r="EH171" s="110"/>
      <c r="EI171" s="650"/>
      <c r="EJ171" s="110"/>
      <c r="EK171" s="110"/>
      <c r="EL171" s="110"/>
      <c r="EM171" s="110"/>
      <c r="EN171" s="110"/>
      <c r="EO171" s="110"/>
      <c r="EP171" s="110"/>
      <c r="EQ171" s="110"/>
      <c r="ER171" s="110"/>
      <c r="ES171" s="110"/>
      <c r="ET171" s="110"/>
      <c r="EU171" s="110"/>
      <c r="EV171" s="110"/>
      <c r="EW171" s="110"/>
      <c r="EX171" s="110"/>
      <c r="EY171" s="110"/>
      <c r="EZ171" s="110"/>
      <c r="FA171" s="110"/>
      <c r="FB171" s="110"/>
      <c r="FC171" s="110"/>
      <c r="FD171" s="110"/>
      <c r="FE171" s="110"/>
      <c r="FF171" s="110"/>
      <c r="FG171" s="110"/>
      <c r="FH171" s="110"/>
      <c r="FI171" s="110"/>
      <c r="FJ171" s="110"/>
      <c r="FK171" s="110"/>
      <c r="FL171" s="110"/>
      <c r="FM171" s="110"/>
      <c r="FN171" s="110"/>
      <c r="FO171" s="110"/>
      <c r="FP171" s="110"/>
      <c r="FQ171" s="110"/>
      <c r="FR171" s="110"/>
      <c r="FS171" s="110"/>
      <c r="FT171" s="110"/>
      <c r="FU171" s="110"/>
      <c r="FV171" s="110"/>
      <c r="FW171" s="110"/>
      <c r="FX171" s="110"/>
      <c r="FY171" s="110"/>
      <c r="FZ171" s="110"/>
      <c r="GA171" s="110"/>
      <c r="GB171" s="110"/>
      <c r="GC171" s="110"/>
      <c r="GD171" s="110"/>
      <c r="GE171" s="110"/>
      <c r="GF171" s="110"/>
      <c r="GG171" s="110"/>
      <c r="GH171" s="110"/>
      <c r="GI171" s="110"/>
      <c r="GJ171" s="110"/>
      <c r="GK171" s="110"/>
      <c r="GL171" s="110"/>
      <c r="GM171" s="110"/>
      <c r="GN171" s="110"/>
      <c r="GO171" s="110"/>
      <c r="GP171" s="110"/>
      <c r="GQ171" s="110"/>
      <c r="GR171" s="110"/>
      <c r="GS171" s="110"/>
      <c r="GT171" s="110"/>
      <c r="GU171" s="110"/>
      <c r="GV171" s="110"/>
      <c r="GW171" s="110"/>
      <c r="GX171" s="110"/>
      <c r="GY171" s="110"/>
      <c r="GZ171" s="110"/>
      <c r="HA171" s="110"/>
      <c r="HB171" s="110"/>
      <c r="HC171" s="110"/>
      <c r="HD171" s="110"/>
      <c r="HE171" s="110"/>
      <c r="HF171" s="110"/>
      <c r="HG171" s="110"/>
      <c r="HH171" s="110"/>
      <c r="HI171" s="110"/>
      <c r="HJ171" s="110"/>
      <c r="HK171" s="110"/>
      <c r="HL171" s="110"/>
      <c r="HM171" s="110"/>
      <c r="HN171" s="110"/>
      <c r="HO171" s="110"/>
      <c r="HP171" s="110"/>
      <c r="HQ171" s="110"/>
      <c r="HR171" s="110"/>
      <c r="HS171" s="110"/>
      <c r="HT171" s="110"/>
      <c r="HU171" s="110"/>
      <c r="HV171" s="110"/>
      <c r="HW171" s="110"/>
      <c r="HX171" s="110"/>
      <c r="HY171" s="110"/>
      <c r="HZ171" s="110"/>
      <c r="IA171" s="110"/>
      <c r="IB171" s="110"/>
      <c r="IC171" s="110"/>
      <c r="ID171" s="110"/>
      <c r="IE171" s="110"/>
      <c r="IF171" s="110"/>
      <c r="IG171" s="110"/>
      <c r="IH171" s="110"/>
      <c r="II171" s="110"/>
      <c r="IJ171" s="110"/>
      <c r="IK171" s="110"/>
      <c r="IL171" s="110"/>
      <c r="IM171" s="110"/>
      <c r="IN171" s="110"/>
      <c r="IO171" s="110"/>
      <c r="IP171" s="110"/>
      <c r="IQ171" s="653"/>
    </row>
    <row r="172" spans="1:251" ht="16.5" hidden="1" customHeight="1">
      <c r="A172" s="648"/>
      <c r="B172" t="s">
        <v>1364</v>
      </c>
      <c r="C172" t="s">
        <v>450</v>
      </c>
      <c r="E172" t="s">
        <v>450</v>
      </c>
      <c r="F172" t="s">
        <v>1369</v>
      </c>
      <c r="H172">
        <v>41</v>
      </c>
      <c r="J172" s="214" t="str">
        <f t="shared" si="4"/>
        <v>LTT200241</v>
      </c>
      <c r="K172">
        <v>24650</v>
      </c>
      <c r="R172" s="648"/>
      <c r="V172" s="214"/>
      <c r="EE172" s="648"/>
      <c r="EF172" s="110"/>
      <c r="EG172" s="110"/>
      <c r="EH172" s="110"/>
      <c r="EI172" s="650"/>
      <c r="EJ172" s="110"/>
      <c r="EK172" s="110"/>
      <c r="EL172" s="110"/>
      <c r="EM172" s="110"/>
      <c r="EN172" s="110"/>
      <c r="EO172" s="110"/>
      <c r="EP172" s="110"/>
      <c r="EQ172" s="110"/>
      <c r="ER172" s="110"/>
      <c r="ES172" s="110"/>
      <c r="ET172" s="110"/>
      <c r="EU172" s="110"/>
      <c r="EV172" s="110"/>
      <c r="EW172" s="110"/>
      <c r="EX172" s="110"/>
      <c r="EY172" s="110"/>
      <c r="EZ172" s="110"/>
      <c r="FA172" s="110"/>
      <c r="FB172" s="110"/>
      <c r="FC172" s="110"/>
      <c r="FD172" s="110"/>
      <c r="FE172" s="110"/>
      <c r="FF172" s="110"/>
      <c r="FG172" s="110"/>
      <c r="FH172" s="110"/>
      <c r="FI172" s="110"/>
      <c r="FJ172" s="110"/>
      <c r="FK172" s="110"/>
      <c r="FL172" s="110"/>
      <c r="FM172" s="110"/>
      <c r="FN172" s="110"/>
      <c r="FO172" s="110"/>
      <c r="FP172" s="110"/>
      <c r="FQ172" s="110"/>
      <c r="FR172" s="110"/>
      <c r="FS172" s="110"/>
      <c r="FT172" s="110"/>
      <c r="FU172" s="110"/>
      <c r="FV172" s="110"/>
      <c r="FW172" s="110"/>
      <c r="FX172" s="110"/>
      <c r="FY172" s="110"/>
      <c r="FZ172" s="110"/>
      <c r="GA172" s="110"/>
      <c r="GB172" s="110"/>
      <c r="GC172" s="110"/>
      <c r="GD172" s="110"/>
      <c r="GE172" s="110"/>
      <c r="GF172" s="110"/>
      <c r="GG172" s="110"/>
      <c r="GH172" s="110"/>
      <c r="GI172" s="110"/>
      <c r="GJ172" s="110"/>
      <c r="GK172" s="110"/>
      <c r="GL172" s="110"/>
      <c r="GM172" s="110"/>
      <c r="GN172" s="110"/>
      <c r="GO172" s="110"/>
      <c r="GP172" s="110"/>
      <c r="GQ172" s="110"/>
      <c r="GR172" s="110"/>
      <c r="GS172" s="110"/>
      <c r="GT172" s="110"/>
      <c r="GU172" s="110"/>
      <c r="GV172" s="110"/>
      <c r="GW172" s="110"/>
      <c r="GX172" s="110"/>
      <c r="GY172" s="110"/>
      <c r="GZ172" s="110"/>
      <c r="HA172" s="110"/>
      <c r="HB172" s="110"/>
      <c r="HC172" s="110"/>
      <c r="HD172" s="110"/>
      <c r="HE172" s="110"/>
      <c r="HF172" s="110"/>
      <c r="HG172" s="110"/>
      <c r="HH172" s="110"/>
      <c r="HI172" s="110"/>
      <c r="HJ172" s="110"/>
      <c r="HK172" s="110"/>
      <c r="HL172" s="110"/>
      <c r="HM172" s="110"/>
      <c r="HN172" s="110"/>
      <c r="HO172" s="110"/>
      <c r="HP172" s="110"/>
      <c r="HQ172" s="110"/>
      <c r="HR172" s="110"/>
      <c r="HS172" s="110"/>
      <c r="HT172" s="110"/>
      <c r="HU172" s="110"/>
      <c r="HV172" s="110"/>
      <c r="HW172" s="110"/>
      <c r="HX172" s="110"/>
      <c r="HY172" s="110"/>
      <c r="HZ172" s="110"/>
      <c r="IA172" s="110"/>
      <c r="IB172" s="110"/>
      <c r="IC172" s="110"/>
      <c r="ID172" s="110"/>
      <c r="IE172" s="110"/>
      <c r="IF172" s="110"/>
      <c r="IG172" s="110"/>
      <c r="IH172" s="110"/>
      <c r="II172" s="110"/>
      <c r="IJ172" s="110"/>
      <c r="IK172" s="110"/>
      <c r="IL172" s="110"/>
      <c r="IM172" s="110"/>
      <c r="IN172" s="110"/>
      <c r="IO172" s="110"/>
      <c r="IP172" s="110"/>
      <c r="IQ172" s="653"/>
    </row>
    <row r="173" spans="1:251" ht="16.5" hidden="1" customHeight="1">
      <c r="A173" s="648"/>
      <c r="B173" t="s">
        <v>1364</v>
      </c>
      <c r="C173" t="s">
        <v>450</v>
      </c>
      <c r="E173" t="s">
        <v>450</v>
      </c>
      <c r="F173" t="s">
        <v>1369</v>
      </c>
      <c r="H173">
        <v>42</v>
      </c>
      <c r="J173" s="214" t="str">
        <f t="shared" si="4"/>
        <v>LTT200242</v>
      </c>
      <c r="K173">
        <v>25150</v>
      </c>
      <c r="R173" s="648"/>
      <c r="V173" s="214"/>
      <c r="EE173" s="648"/>
      <c r="EF173" s="110"/>
      <c r="EG173" s="110"/>
      <c r="EH173" s="110"/>
      <c r="EI173" s="650"/>
      <c r="EJ173" s="110"/>
      <c r="EK173" s="110"/>
      <c r="EL173" s="110"/>
      <c r="EM173" s="110"/>
      <c r="EN173" s="110"/>
      <c r="EO173" s="110"/>
      <c r="EP173" s="110"/>
      <c r="EQ173" s="110"/>
      <c r="ER173" s="110"/>
      <c r="ES173" s="110"/>
      <c r="ET173" s="110"/>
      <c r="EU173" s="110"/>
      <c r="EV173" s="110"/>
      <c r="EW173" s="110"/>
      <c r="EX173" s="110"/>
      <c r="EY173" s="110"/>
      <c r="EZ173" s="110"/>
      <c r="FA173" s="110"/>
      <c r="FB173" s="110"/>
      <c r="FC173" s="110"/>
      <c r="FD173" s="110"/>
      <c r="FE173" s="110"/>
      <c r="FF173" s="110"/>
      <c r="FG173" s="110"/>
      <c r="FH173" s="110"/>
      <c r="FI173" s="110"/>
      <c r="FJ173" s="110"/>
      <c r="FK173" s="110"/>
      <c r="FL173" s="110"/>
      <c r="FM173" s="110"/>
      <c r="FN173" s="110"/>
      <c r="FO173" s="110"/>
      <c r="FP173" s="110"/>
      <c r="FQ173" s="110"/>
      <c r="FR173" s="110"/>
      <c r="FS173" s="110"/>
      <c r="FT173" s="110"/>
      <c r="FU173" s="110"/>
      <c r="FV173" s="110"/>
      <c r="FW173" s="110"/>
      <c r="FX173" s="110"/>
      <c r="FY173" s="110"/>
      <c r="FZ173" s="110"/>
      <c r="GA173" s="110"/>
      <c r="GB173" s="110"/>
      <c r="GC173" s="110"/>
      <c r="GD173" s="110"/>
      <c r="GE173" s="110"/>
      <c r="GF173" s="110"/>
      <c r="GG173" s="110"/>
      <c r="GH173" s="110"/>
      <c r="GI173" s="110"/>
      <c r="GJ173" s="110"/>
      <c r="GK173" s="110"/>
      <c r="GL173" s="110"/>
      <c r="GM173" s="110"/>
      <c r="GN173" s="110"/>
      <c r="GO173" s="110"/>
      <c r="GP173" s="110"/>
      <c r="GQ173" s="110"/>
      <c r="GR173" s="110"/>
      <c r="GS173" s="110"/>
      <c r="GT173" s="110"/>
      <c r="GU173" s="110"/>
      <c r="GV173" s="110"/>
      <c r="GW173" s="110"/>
      <c r="GX173" s="110"/>
      <c r="GY173" s="110"/>
      <c r="GZ173" s="110"/>
      <c r="HA173" s="110"/>
      <c r="HB173" s="110"/>
      <c r="HC173" s="110"/>
      <c r="HD173" s="110"/>
      <c r="HE173" s="110"/>
      <c r="HF173" s="110"/>
      <c r="HG173" s="110"/>
      <c r="HH173" s="110"/>
      <c r="HI173" s="110"/>
      <c r="HJ173" s="110"/>
      <c r="HK173" s="110"/>
      <c r="HL173" s="110"/>
      <c r="HM173" s="110"/>
      <c r="HN173" s="110"/>
      <c r="HO173" s="110"/>
      <c r="HP173" s="110"/>
      <c r="HQ173" s="110"/>
      <c r="HR173" s="110"/>
      <c r="HS173" s="110"/>
      <c r="HT173" s="110"/>
      <c r="HU173" s="110"/>
      <c r="HV173" s="110"/>
      <c r="HW173" s="110"/>
      <c r="HX173" s="110"/>
      <c r="HY173" s="110"/>
      <c r="HZ173" s="110"/>
      <c r="IA173" s="110"/>
      <c r="IB173" s="110"/>
      <c r="IC173" s="110"/>
      <c r="ID173" s="110"/>
      <c r="IE173" s="110"/>
      <c r="IF173" s="110"/>
      <c r="IG173" s="110"/>
      <c r="IH173" s="110"/>
      <c r="II173" s="110"/>
      <c r="IJ173" s="110"/>
      <c r="IK173" s="110"/>
      <c r="IL173" s="110"/>
      <c r="IM173" s="110"/>
      <c r="IN173" s="110"/>
      <c r="IO173" s="110"/>
      <c r="IP173" s="110"/>
      <c r="IQ173" s="653"/>
    </row>
    <row r="174" spans="1:251" ht="16.5" hidden="1" customHeight="1">
      <c r="A174" s="648"/>
      <c r="B174" t="s">
        <v>1364</v>
      </c>
      <c r="C174" t="s">
        <v>450</v>
      </c>
      <c r="E174" t="s">
        <v>450</v>
      </c>
      <c r="F174" t="s">
        <v>1369</v>
      </c>
      <c r="H174">
        <v>43</v>
      </c>
      <c r="J174" s="214" t="str">
        <f t="shared" si="4"/>
        <v>LTT200243</v>
      </c>
      <c r="K174">
        <v>25650</v>
      </c>
      <c r="R174" s="648"/>
      <c r="V174" s="214"/>
      <c r="EE174" s="648"/>
      <c r="EF174" s="110"/>
      <c r="EG174" s="110"/>
      <c r="EH174" s="110"/>
      <c r="EI174" s="650"/>
      <c r="EJ174" s="110"/>
      <c r="EK174" s="110"/>
      <c r="EL174" s="110"/>
      <c r="EM174" s="110"/>
      <c r="EN174" s="110"/>
      <c r="EO174" s="110"/>
      <c r="EP174" s="110"/>
      <c r="EQ174" s="110"/>
      <c r="ER174" s="110"/>
      <c r="ES174" s="110"/>
      <c r="ET174" s="110"/>
      <c r="EU174" s="110"/>
      <c r="EV174" s="110"/>
      <c r="EW174" s="110"/>
      <c r="EX174" s="110"/>
      <c r="EY174" s="110"/>
      <c r="EZ174" s="110"/>
      <c r="FA174" s="110"/>
      <c r="FB174" s="110"/>
      <c r="FC174" s="110"/>
      <c r="FD174" s="110"/>
      <c r="FE174" s="110"/>
      <c r="FF174" s="110"/>
      <c r="FG174" s="110"/>
      <c r="FH174" s="110"/>
      <c r="FI174" s="110"/>
      <c r="FJ174" s="110"/>
      <c r="FK174" s="110"/>
      <c r="FL174" s="110"/>
      <c r="FM174" s="110"/>
      <c r="FN174" s="110"/>
      <c r="FO174" s="110"/>
      <c r="FP174" s="110"/>
      <c r="FQ174" s="110"/>
      <c r="FR174" s="110"/>
      <c r="FS174" s="110"/>
      <c r="FT174" s="110"/>
      <c r="FU174" s="110"/>
      <c r="FV174" s="110"/>
      <c r="FW174" s="110"/>
      <c r="FX174" s="110"/>
      <c r="FY174" s="110"/>
      <c r="FZ174" s="110"/>
      <c r="GA174" s="110"/>
      <c r="GB174" s="110"/>
      <c r="GC174" s="110"/>
      <c r="GD174" s="110"/>
      <c r="GE174" s="110"/>
      <c r="GF174" s="110"/>
      <c r="GG174" s="110"/>
      <c r="GH174" s="110"/>
      <c r="GI174" s="110"/>
      <c r="GJ174" s="110"/>
      <c r="GK174" s="110"/>
      <c r="GL174" s="110"/>
      <c r="GM174" s="110"/>
      <c r="GN174" s="110"/>
      <c r="GO174" s="110"/>
      <c r="GP174" s="110"/>
      <c r="GQ174" s="110"/>
      <c r="GR174" s="110"/>
      <c r="GS174" s="110"/>
      <c r="GT174" s="110"/>
      <c r="GU174" s="110"/>
      <c r="GV174" s="110"/>
      <c r="GW174" s="110"/>
      <c r="GX174" s="110"/>
      <c r="GY174" s="110"/>
      <c r="GZ174" s="110"/>
      <c r="HA174" s="110"/>
      <c r="HB174" s="110"/>
      <c r="HC174" s="110"/>
      <c r="HD174" s="110"/>
      <c r="HE174" s="110"/>
      <c r="HF174" s="110"/>
      <c r="HG174" s="110"/>
      <c r="HH174" s="110"/>
      <c r="HI174" s="110"/>
      <c r="HJ174" s="110"/>
      <c r="HK174" s="110"/>
      <c r="HL174" s="110"/>
      <c r="HM174" s="110"/>
      <c r="HN174" s="110"/>
      <c r="HO174" s="110"/>
      <c r="HP174" s="110"/>
      <c r="HQ174" s="110"/>
      <c r="HR174" s="110"/>
      <c r="HS174" s="110"/>
      <c r="HT174" s="110"/>
      <c r="HU174" s="110"/>
      <c r="HV174" s="110"/>
      <c r="HW174" s="110"/>
      <c r="HX174" s="110"/>
      <c r="HY174" s="110"/>
      <c r="HZ174" s="110"/>
      <c r="IA174" s="110"/>
      <c r="IB174" s="110"/>
      <c r="IC174" s="110"/>
      <c r="ID174" s="110"/>
      <c r="IE174" s="110"/>
      <c r="IF174" s="110"/>
      <c r="IG174" s="110"/>
      <c r="IH174" s="110"/>
      <c r="II174" s="110"/>
      <c r="IJ174" s="110"/>
      <c r="IK174" s="110"/>
      <c r="IL174" s="110"/>
      <c r="IM174" s="110"/>
      <c r="IN174" s="110"/>
      <c r="IO174" s="110"/>
      <c r="IP174" s="110"/>
      <c r="IQ174" s="653"/>
    </row>
    <row r="175" spans="1:251" ht="16.5" hidden="1" customHeight="1">
      <c r="A175" s="648"/>
      <c r="B175" t="s">
        <v>1364</v>
      </c>
      <c r="C175" t="s">
        <v>450</v>
      </c>
      <c r="E175" t="s">
        <v>450</v>
      </c>
      <c r="F175" t="s">
        <v>1369</v>
      </c>
      <c r="H175">
        <v>44</v>
      </c>
      <c r="J175" s="214" t="str">
        <f t="shared" si="4"/>
        <v>LTT200244</v>
      </c>
      <c r="K175">
        <v>26160</v>
      </c>
      <c r="R175" s="648"/>
      <c r="V175" s="214"/>
      <c r="EE175" s="648"/>
      <c r="EF175" s="110"/>
      <c r="EG175" s="110"/>
      <c r="EH175" s="110"/>
      <c r="EI175" s="650"/>
      <c r="EJ175" s="110"/>
      <c r="EK175" s="110"/>
      <c r="EL175" s="110"/>
      <c r="EM175" s="110"/>
      <c r="EN175" s="110"/>
      <c r="EO175" s="110"/>
      <c r="EP175" s="110"/>
      <c r="EQ175" s="110"/>
      <c r="ER175" s="110"/>
      <c r="ES175" s="110"/>
      <c r="ET175" s="110"/>
      <c r="EU175" s="110"/>
      <c r="EV175" s="110"/>
      <c r="EW175" s="110"/>
      <c r="EX175" s="110"/>
      <c r="EY175" s="110"/>
      <c r="EZ175" s="110"/>
      <c r="FA175" s="110"/>
      <c r="FB175" s="110"/>
      <c r="FC175" s="110"/>
      <c r="FD175" s="110"/>
      <c r="FE175" s="110"/>
      <c r="FF175" s="110"/>
      <c r="FG175" s="110"/>
      <c r="FH175" s="110"/>
      <c r="FI175" s="110"/>
      <c r="FJ175" s="110"/>
      <c r="FK175" s="110"/>
      <c r="FL175" s="110"/>
      <c r="FM175" s="110"/>
      <c r="FN175" s="110"/>
      <c r="FO175" s="110"/>
      <c r="FP175" s="110"/>
      <c r="FQ175" s="110"/>
      <c r="FR175" s="110"/>
      <c r="FS175" s="110"/>
      <c r="FT175" s="110"/>
      <c r="FU175" s="110"/>
      <c r="FV175" s="110"/>
      <c r="FW175" s="110"/>
      <c r="FX175" s="110"/>
      <c r="FY175" s="110"/>
      <c r="FZ175" s="110"/>
      <c r="GA175" s="110"/>
      <c r="GB175" s="110"/>
      <c r="GC175" s="110"/>
      <c r="GD175" s="110"/>
      <c r="GE175" s="110"/>
      <c r="GF175" s="110"/>
      <c r="GG175" s="110"/>
      <c r="GH175" s="110"/>
      <c r="GI175" s="110"/>
      <c r="GJ175" s="110"/>
      <c r="GK175" s="110"/>
      <c r="GL175" s="110"/>
      <c r="GM175" s="110"/>
      <c r="GN175" s="110"/>
      <c r="GO175" s="110"/>
      <c r="GP175" s="110"/>
      <c r="GQ175" s="110"/>
      <c r="GR175" s="110"/>
      <c r="GS175" s="110"/>
      <c r="GT175" s="110"/>
      <c r="GU175" s="110"/>
      <c r="GV175" s="110"/>
      <c r="GW175" s="110"/>
      <c r="GX175" s="110"/>
      <c r="GY175" s="110"/>
      <c r="GZ175" s="110"/>
      <c r="HA175" s="110"/>
      <c r="HB175" s="110"/>
      <c r="HC175" s="110"/>
      <c r="HD175" s="110"/>
      <c r="HE175" s="110"/>
      <c r="HF175" s="110"/>
      <c r="HG175" s="110"/>
      <c r="HH175" s="110"/>
      <c r="HI175" s="110"/>
      <c r="HJ175" s="110"/>
      <c r="HK175" s="110"/>
      <c r="HL175" s="110"/>
      <c r="HM175" s="110"/>
      <c r="HN175" s="110"/>
      <c r="HO175" s="110"/>
      <c r="HP175" s="110"/>
      <c r="HQ175" s="110"/>
      <c r="HR175" s="110"/>
      <c r="HS175" s="110"/>
      <c r="HT175" s="110"/>
      <c r="HU175" s="110"/>
      <c r="HV175" s="110"/>
      <c r="HW175" s="110"/>
      <c r="HX175" s="110"/>
      <c r="HY175" s="110"/>
      <c r="HZ175" s="110"/>
      <c r="IA175" s="110"/>
      <c r="IB175" s="110"/>
      <c r="IC175" s="110"/>
      <c r="ID175" s="110"/>
      <c r="IE175" s="110"/>
      <c r="IF175" s="110"/>
      <c r="IG175" s="110"/>
      <c r="IH175" s="110"/>
      <c r="II175" s="110"/>
      <c r="IJ175" s="110"/>
      <c r="IK175" s="110"/>
      <c r="IL175" s="110"/>
      <c r="IM175" s="110"/>
      <c r="IN175" s="110"/>
      <c r="IO175" s="110"/>
      <c r="IP175" s="110"/>
      <c r="IQ175" s="653"/>
    </row>
    <row r="176" spans="1:251" ht="16.5" hidden="1" customHeight="1">
      <c r="A176" s="648"/>
      <c r="B176" t="s">
        <v>1364</v>
      </c>
      <c r="C176" t="s">
        <v>450</v>
      </c>
      <c r="E176" t="s">
        <v>450</v>
      </c>
      <c r="F176" t="s">
        <v>1369</v>
      </c>
      <c r="H176">
        <v>45</v>
      </c>
      <c r="J176" s="214" t="str">
        <f t="shared" si="4"/>
        <v>LTT200245</v>
      </c>
      <c r="K176">
        <v>26660</v>
      </c>
      <c r="R176" s="648"/>
      <c r="V176" s="214"/>
      <c r="EE176" s="648"/>
      <c r="EF176" s="110"/>
      <c r="EG176" s="110"/>
      <c r="EH176" s="110"/>
      <c r="EI176" s="650"/>
      <c r="EJ176" s="110"/>
      <c r="EK176" s="110"/>
      <c r="EL176" s="110"/>
      <c r="EM176" s="110"/>
      <c r="EN176" s="110"/>
      <c r="EO176" s="110"/>
      <c r="EP176" s="110"/>
      <c r="EQ176" s="110"/>
      <c r="ER176" s="110"/>
      <c r="ES176" s="110"/>
      <c r="ET176" s="110"/>
      <c r="EU176" s="110"/>
      <c r="EV176" s="110"/>
      <c r="EW176" s="110"/>
      <c r="EX176" s="110"/>
      <c r="EY176" s="110"/>
      <c r="EZ176" s="110"/>
      <c r="FA176" s="110"/>
      <c r="FB176" s="110"/>
      <c r="FC176" s="110"/>
      <c r="FD176" s="110"/>
      <c r="FE176" s="110"/>
      <c r="FF176" s="110"/>
      <c r="FG176" s="110"/>
      <c r="FH176" s="110"/>
      <c r="FI176" s="110"/>
      <c r="FJ176" s="110"/>
      <c r="FK176" s="110"/>
      <c r="FL176" s="110"/>
      <c r="FM176" s="110"/>
      <c r="FN176" s="110"/>
      <c r="FO176" s="110"/>
      <c r="FP176" s="110"/>
      <c r="FQ176" s="110"/>
      <c r="FR176" s="110"/>
      <c r="FS176" s="110"/>
      <c r="FT176" s="110"/>
      <c r="FU176" s="110"/>
      <c r="FV176" s="110"/>
      <c r="FW176" s="110"/>
      <c r="FX176" s="110"/>
      <c r="FY176" s="110"/>
      <c r="FZ176" s="110"/>
      <c r="GA176" s="110"/>
      <c r="GB176" s="110"/>
      <c r="GC176" s="110"/>
      <c r="GD176" s="110"/>
      <c r="GE176" s="110"/>
      <c r="GF176" s="110"/>
      <c r="GG176" s="110"/>
      <c r="GH176" s="110"/>
      <c r="GI176" s="110"/>
      <c r="GJ176" s="110"/>
      <c r="GK176" s="110"/>
      <c r="GL176" s="110"/>
      <c r="GM176" s="110"/>
      <c r="GN176" s="110"/>
      <c r="GO176" s="110"/>
      <c r="GP176" s="110"/>
      <c r="GQ176" s="110"/>
      <c r="GR176" s="110"/>
      <c r="GS176" s="110"/>
      <c r="GT176" s="110"/>
      <c r="GU176" s="110"/>
      <c r="GV176" s="110"/>
      <c r="GW176" s="110"/>
      <c r="GX176" s="110"/>
      <c r="GY176" s="110"/>
      <c r="GZ176" s="110"/>
      <c r="HA176" s="110"/>
      <c r="HB176" s="110"/>
      <c r="HC176" s="110"/>
      <c r="HD176" s="110"/>
      <c r="HE176" s="110"/>
      <c r="HF176" s="110"/>
      <c r="HG176" s="110"/>
      <c r="HH176" s="110"/>
      <c r="HI176" s="110"/>
      <c r="HJ176" s="110"/>
      <c r="HK176" s="110"/>
      <c r="HL176" s="110"/>
      <c r="HM176" s="110"/>
      <c r="HN176" s="110"/>
      <c r="HO176" s="110"/>
      <c r="HP176" s="110"/>
      <c r="HQ176" s="110"/>
      <c r="HR176" s="110"/>
      <c r="HS176" s="110"/>
      <c r="HT176" s="110"/>
      <c r="HU176" s="110"/>
      <c r="HV176" s="110"/>
      <c r="HW176" s="110"/>
      <c r="HX176" s="110"/>
      <c r="HY176" s="110"/>
      <c r="HZ176" s="110"/>
      <c r="IA176" s="110"/>
      <c r="IB176" s="110"/>
      <c r="IC176" s="110"/>
      <c r="ID176" s="110"/>
      <c r="IE176" s="110"/>
      <c r="IF176" s="110"/>
      <c r="IG176" s="110"/>
      <c r="IH176" s="110"/>
      <c r="II176" s="110"/>
      <c r="IJ176" s="110"/>
      <c r="IK176" s="110"/>
      <c r="IL176" s="110"/>
      <c r="IM176" s="110"/>
      <c r="IN176" s="110"/>
      <c r="IO176" s="110"/>
      <c r="IP176" s="110"/>
      <c r="IQ176" s="653"/>
    </row>
    <row r="177" spans="1:251" ht="16.5" hidden="1" customHeight="1">
      <c r="A177" s="648"/>
      <c r="B177" t="s">
        <v>1364</v>
      </c>
      <c r="C177" t="s">
        <v>450</v>
      </c>
      <c r="E177" t="s">
        <v>450</v>
      </c>
      <c r="F177" t="s">
        <v>1369</v>
      </c>
      <c r="H177">
        <v>46</v>
      </c>
      <c r="J177" s="214" t="str">
        <f t="shared" si="4"/>
        <v>LTT200246</v>
      </c>
      <c r="K177">
        <v>27220</v>
      </c>
      <c r="R177" s="648"/>
      <c r="V177" s="214"/>
      <c r="EE177" s="648"/>
      <c r="EF177" s="110"/>
      <c r="EG177" s="110"/>
      <c r="EH177" s="110"/>
      <c r="EI177" s="650"/>
      <c r="EJ177" s="110"/>
      <c r="EK177" s="110"/>
      <c r="EL177" s="110"/>
      <c r="EM177" s="110"/>
      <c r="EN177" s="110"/>
      <c r="EO177" s="110"/>
      <c r="EP177" s="110"/>
      <c r="EQ177" s="110"/>
      <c r="ER177" s="110"/>
      <c r="ES177" s="110"/>
      <c r="ET177" s="110"/>
      <c r="EU177" s="110"/>
      <c r="EV177" s="110"/>
      <c r="EW177" s="110"/>
      <c r="EX177" s="110"/>
      <c r="EY177" s="110"/>
      <c r="EZ177" s="110"/>
      <c r="FA177" s="110"/>
      <c r="FB177" s="110"/>
      <c r="FC177" s="110"/>
      <c r="FD177" s="110"/>
      <c r="FE177" s="110"/>
      <c r="FF177" s="110"/>
      <c r="FG177" s="110"/>
      <c r="FH177" s="110"/>
      <c r="FI177" s="110"/>
      <c r="FJ177" s="110"/>
      <c r="FK177" s="110"/>
      <c r="FL177" s="110"/>
      <c r="FM177" s="110"/>
      <c r="FN177" s="110"/>
      <c r="FO177" s="110"/>
      <c r="FP177" s="110"/>
      <c r="FQ177" s="110"/>
      <c r="FR177" s="110"/>
      <c r="FS177" s="110"/>
      <c r="FT177" s="110"/>
      <c r="FU177" s="110"/>
      <c r="FV177" s="110"/>
      <c r="FW177" s="110"/>
      <c r="FX177" s="110"/>
      <c r="FY177" s="110"/>
      <c r="FZ177" s="110"/>
      <c r="GA177" s="110"/>
      <c r="GB177" s="110"/>
      <c r="GC177" s="110"/>
      <c r="GD177" s="110"/>
      <c r="GE177" s="110"/>
      <c r="GF177" s="110"/>
      <c r="GG177" s="110"/>
      <c r="GH177" s="110"/>
      <c r="GI177" s="110"/>
      <c r="GJ177" s="110"/>
      <c r="GK177" s="110"/>
      <c r="GL177" s="110"/>
      <c r="GM177" s="110"/>
      <c r="GN177" s="110"/>
      <c r="GO177" s="110"/>
      <c r="GP177" s="110"/>
      <c r="GQ177" s="110"/>
      <c r="GR177" s="110"/>
      <c r="GS177" s="110"/>
      <c r="GT177" s="110"/>
      <c r="GU177" s="110"/>
      <c r="GV177" s="110"/>
      <c r="GW177" s="110"/>
      <c r="GX177" s="110"/>
      <c r="GY177" s="110"/>
      <c r="GZ177" s="110"/>
      <c r="HA177" s="110"/>
      <c r="HB177" s="110"/>
      <c r="HC177" s="110"/>
      <c r="HD177" s="110"/>
      <c r="HE177" s="110"/>
      <c r="HF177" s="110"/>
      <c r="HG177" s="110"/>
      <c r="HH177" s="110"/>
      <c r="HI177" s="110"/>
      <c r="HJ177" s="110"/>
      <c r="HK177" s="110"/>
      <c r="HL177" s="110"/>
      <c r="HM177" s="110"/>
      <c r="HN177" s="110"/>
      <c r="HO177" s="110"/>
      <c r="HP177" s="110"/>
      <c r="HQ177" s="110"/>
      <c r="HR177" s="110"/>
      <c r="HS177" s="110"/>
      <c r="HT177" s="110"/>
      <c r="HU177" s="110"/>
      <c r="HV177" s="110"/>
      <c r="HW177" s="110"/>
      <c r="HX177" s="110"/>
      <c r="HY177" s="110"/>
      <c r="HZ177" s="110"/>
      <c r="IA177" s="110"/>
      <c r="IB177" s="110"/>
      <c r="IC177" s="110"/>
      <c r="ID177" s="110"/>
      <c r="IE177" s="110"/>
      <c r="IF177" s="110"/>
      <c r="IG177" s="110"/>
      <c r="IH177" s="110"/>
      <c r="II177" s="110"/>
      <c r="IJ177" s="110"/>
      <c r="IK177" s="110"/>
      <c r="IL177" s="110"/>
      <c r="IM177" s="110"/>
      <c r="IN177" s="110"/>
      <c r="IO177" s="110"/>
      <c r="IP177" s="110"/>
      <c r="IQ177" s="653"/>
    </row>
    <row r="178" spans="1:251" ht="16.5" hidden="1" customHeight="1">
      <c r="A178" s="648"/>
      <c r="B178" t="s">
        <v>1364</v>
      </c>
      <c r="C178" t="s">
        <v>450</v>
      </c>
      <c r="E178" t="s">
        <v>450</v>
      </c>
      <c r="F178" t="s">
        <v>1369</v>
      </c>
      <c r="H178">
        <v>47</v>
      </c>
      <c r="J178" s="214" t="str">
        <f t="shared" si="4"/>
        <v>LTT200247</v>
      </c>
      <c r="K178">
        <v>27770</v>
      </c>
      <c r="R178" s="648"/>
      <c r="V178" s="214"/>
      <c r="EE178" s="648"/>
      <c r="EF178" s="110"/>
      <c r="EG178" s="110"/>
      <c r="EH178" s="110"/>
      <c r="EI178" s="650"/>
      <c r="EJ178" s="110"/>
      <c r="EK178" s="110"/>
      <c r="EL178" s="110"/>
      <c r="EM178" s="110"/>
      <c r="EN178" s="110"/>
      <c r="EO178" s="110"/>
      <c r="EP178" s="110"/>
      <c r="EQ178" s="110"/>
      <c r="ER178" s="110"/>
      <c r="ES178" s="110"/>
      <c r="ET178" s="110"/>
      <c r="EU178" s="110"/>
      <c r="EV178" s="110"/>
      <c r="EW178" s="110"/>
      <c r="EX178" s="110"/>
      <c r="EY178" s="110"/>
      <c r="EZ178" s="110"/>
      <c r="FA178" s="110"/>
      <c r="FB178" s="110"/>
      <c r="FC178" s="110"/>
      <c r="FD178" s="110"/>
      <c r="FE178" s="110"/>
      <c r="FF178" s="110"/>
      <c r="FG178" s="110"/>
      <c r="FH178" s="110"/>
      <c r="FI178" s="110"/>
      <c r="FJ178" s="110"/>
      <c r="FK178" s="110"/>
      <c r="FL178" s="110"/>
      <c r="FM178" s="110"/>
      <c r="FN178" s="110"/>
      <c r="FO178" s="110"/>
      <c r="FP178" s="110"/>
      <c r="FQ178" s="110"/>
      <c r="FR178" s="110"/>
      <c r="FS178" s="110"/>
      <c r="FT178" s="110"/>
      <c r="FU178" s="110"/>
      <c r="FV178" s="110"/>
      <c r="FW178" s="110"/>
      <c r="FX178" s="110"/>
      <c r="FY178" s="110"/>
      <c r="FZ178" s="110"/>
      <c r="GA178" s="110"/>
      <c r="GB178" s="110"/>
      <c r="GC178" s="110"/>
      <c r="GD178" s="110"/>
      <c r="GE178" s="110"/>
      <c r="GF178" s="110"/>
      <c r="GG178" s="110"/>
      <c r="GH178" s="110"/>
      <c r="GI178" s="110"/>
      <c r="GJ178" s="110"/>
      <c r="GK178" s="110"/>
      <c r="GL178" s="110"/>
      <c r="GM178" s="110"/>
      <c r="GN178" s="110"/>
      <c r="GO178" s="110"/>
      <c r="GP178" s="110"/>
      <c r="GQ178" s="110"/>
      <c r="GR178" s="110"/>
      <c r="GS178" s="110"/>
      <c r="GT178" s="110"/>
      <c r="GU178" s="110"/>
      <c r="GV178" s="110"/>
      <c r="GW178" s="110"/>
      <c r="GX178" s="110"/>
      <c r="GY178" s="110"/>
      <c r="GZ178" s="110"/>
      <c r="HA178" s="110"/>
      <c r="HB178" s="110"/>
      <c r="HC178" s="110"/>
      <c r="HD178" s="110"/>
      <c r="HE178" s="110"/>
      <c r="HF178" s="110"/>
      <c r="HG178" s="110"/>
      <c r="HH178" s="110"/>
      <c r="HI178" s="110"/>
      <c r="HJ178" s="110"/>
      <c r="HK178" s="110"/>
      <c r="HL178" s="110"/>
      <c r="HM178" s="110"/>
      <c r="HN178" s="110"/>
      <c r="HO178" s="110"/>
      <c r="HP178" s="110"/>
      <c r="HQ178" s="110"/>
      <c r="HR178" s="110"/>
      <c r="HS178" s="110"/>
      <c r="HT178" s="110"/>
      <c r="HU178" s="110"/>
      <c r="HV178" s="110"/>
      <c r="HW178" s="110"/>
      <c r="HX178" s="110"/>
      <c r="HY178" s="110"/>
      <c r="HZ178" s="110"/>
      <c r="IA178" s="110"/>
      <c r="IB178" s="110"/>
      <c r="IC178" s="110"/>
      <c r="ID178" s="110"/>
      <c r="IE178" s="110"/>
      <c r="IF178" s="110"/>
      <c r="IG178" s="110"/>
      <c r="IH178" s="110"/>
      <c r="II178" s="110"/>
      <c r="IJ178" s="110"/>
      <c r="IK178" s="110"/>
      <c r="IL178" s="110"/>
      <c r="IM178" s="110"/>
      <c r="IN178" s="110"/>
      <c r="IO178" s="110"/>
      <c r="IP178" s="110"/>
      <c r="IQ178" s="653"/>
    </row>
    <row r="179" spans="1:251" ht="16.5" hidden="1" customHeight="1">
      <c r="A179" s="648"/>
      <c r="B179" t="s">
        <v>1364</v>
      </c>
      <c r="C179" t="s">
        <v>450</v>
      </c>
      <c r="E179" t="s">
        <v>450</v>
      </c>
      <c r="F179" t="s">
        <v>1369</v>
      </c>
      <c r="H179">
        <v>48</v>
      </c>
      <c r="J179" s="214" t="str">
        <f t="shared" si="4"/>
        <v>LTT200248</v>
      </c>
      <c r="K179">
        <v>28330</v>
      </c>
      <c r="R179" s="648"/>
      <c r="V179" s="214"/>
      <c r="EE179" s="648"/>
      <c r="EF179" s="110"/>
      <c r="EG179" s="110"/>
      <c r="EH179" s="110"/>
      <c r="EI179" s="650"/>
      <c r="EJ179" s="110"/>
      <c r="EK179" s="110"/>
      <c r="EL179" s="110"/>
      <c r="EM179" s="110"/>
      <c r="EN179" s="110"/>
      <c r="EO179" s="110"/>
      <c r="EP179" s="110"/>
      <c r="EQ179" s="110"/>
      <c r="ER179" s="110"/>
      <c r="ES179" s="110"/>
      <c r="ET179" s="110"/>
      <c r="EU179" s="110"/>
      <c r="EV179" s="110"/>
      <c r="EW179" s="110"/>
      <c r="EX179" s="110"/>
      <c r="EY179" s="110"/>
      <c r="EZ179" s="110"/>
      <c r="FA179" s="110"/>
      <c r="FB179" s="110"/>
      <c r="FC179" s="110"/>
      <c r="FD179" s="110"/>
      <c r="FE179" s="110"/>
      <c r="FF179" s="110"/>
      <c r="FG179" s="110"/>
      <c r="FH179" s="110"/>
      <c r="FI179" s="110"/>
      <c r="FJ179" s="110"/>
      <c r="FK179" s="110"/>
      <c r="FL179" s="110"/>
      <c r="FM179" s="110"/>
      <c r="FN179" s="110"/>
      <c r="FO179" s="110"/>
      <c r="FP179" s="110"/>
      <c r="FQ179" s="110"/>
      <c r="FR179" s="110"/>
      <c r="FS179" s="110"/>
      <c r="FT179" s="110"/>
      <c r="FU179" s="110"/>
      <c r="FV179" s="110"/>
      <c r="FW179" s="110"/>
      <c r="FX179" s="110"/>
      <c r="FY179" s="110"/>
      <c r="FZ179" s="110"/>
      <c r="GA179" s="110"/>
      <c r="GB179" s="110"/>
      <c r="GC179" s="110"/>
      <c r="GD179" s="110"/>
      <c r="GE179" s="110"/>
      <c r="GF179" s="110"/>
      <c r="GG179" s="110"/>
      <c r="GH179" s="110"/>
      <c r="GI179" s="110"/>
      <c r="GJ179" s="110"/>
      <c r="GK179" s="110"/>
      <c r="GL179" s="110"/>
      <c r="GM179" s="110"/>
      <c r="GN179" s="110"/>
      <c r="GO179" s="110"/>
      <c r="GP179" s="110"/>
      <c r="GQ179" s="110"/>
      <c r="GR179" s="110"/>
      <c r="GS179" s="110"/>
      <c r="GT179" s="110"/>
      <c r="GU179" s="110"/>
      <c r="GV179" s="110"/>
      <c r="GW179" s="110"/>
      <c r="GX179" s="110"/>
      <c r="GY179" s="110"/>
      <c r="GZ179" s="110"/>
      <c r="HA179" s="110"/>
      <c r="HB179" s="110"/>
      <c r="HC179" s="110"/>
      <c r="HD179" s="110"/>
      <c r="HE179" s="110"/>
      <c r="HF179" s="110"/>
      <c r="HG179" s="110"/>
      <c r="HH179" s="110"/>
      <c r="HI179" s="110"/>
      <c r="HJ179" s="110"/>
      <c r="HK179" s="110"/>
      <c r="HL179" s="110"/>
      <c r="HM179" s="110"/>
      <c r="HN179" s="110"/>
      <c r="HO179" s="110"/>
      <c r="HP179" s="110"/>
      <c r="HQ179" s="110"/>
      <c r="HR179" s="110"/>
      <c r="HS179" s="110"/>
      <c r="HT179" s="110"/>
      <c r="HU179" s="110"/>
      <c r="HV179" s="110"/>
      <c r="HW179" s="110"/>
      <c r="HX179" s="110"/>
      <c r="HY179" s="110"/>
      <c r="HZ179" s="110"/>
      <c r="IA179" s="110"/>
      <c r="IB179" s="110"/>
      <c r="IC179" s="110"/>
      <c r="ID179" s="110"/>
      <c r="IE179" s="110"/>
      <c r="IF179" s="110"/>
      <c r="IG179" s="110"/>
      <c r="IH179" s="110"/>
      <c r="II179" s="110"/>
      <c r="IJ179" s="110"/>
      <c r="IK179" s="110"/>
      <c r="IL179" s="110"/>
      <c r="IM179" s="110"/>
      <c r="IN179" s="110"/>
      <c r="IO179" s="110"/>
      <c r="IP179" s="110"/>
      <c r="IQ179" s="653"/>
    </row>
    <row r="180" spans="1:251" ht="16.5" hidden="1" customHeight="1">
      <c r="A180" s="648"/>
      <c r="B180" t="s">
        <v>1364</v>
      </c>
      <c r="C180" t="s">
        <v>450</v>
      </c>
      <c r="E180" t="s">
        <v>450</v>
      </c>
      <c r="F180" t="s">
        <v>1369</v>
      </c>
      <c r="H180">
        <v>49</v>
      </c>
      <c r="J180" s="214" t="str">
        <f t="shared" si="4"/>
        <v>LTT200249</v>
      </c>
      <c r="K180">
        <v>28950</v>
      </c>
      <c r="R180" s="648"/>
      <c r="V180" s="214"/>
      <c r="EE180" s="648"/>
      <c r="EF180" s="110"/>
      <c r="EG180" s="110"/>
      <c r="EH180" s="110"/>
      <c r="EI180" s="650"/>
      <c r="EJ180" s="110"/>
      <c r="EK180" s="110"/>
      <c r="EL180" s="110"/>
      <c r="EM180" s="110"/>
      <c r="EN180" s="110"/>
      <c r="EO180" s="110"/>
      <c r="EP180" s="110"/>
      <c r="EQ180" s="110"/>
      <c r="ER180" s="110"/>
      <c r="ES180" s="110"/>
      <c r="ET180" s="110"/>
      <c r="EU180" s="110"/>
      <c r="EV180" s="110"/>
      <c r="EW180" s="110"/>
      <c r="EX180" s="110"/>
      <c r="EY180" s="110"/>
      <c r="EZ180" s="110"/>
      <c r="FA180" s="110"/>
      <c r="FB180" s="110"/>
      <c r="FC180" s="110"/>
      <c r="FD180" s="110"/>
      <c r="FE180" s="110"/>
      <c r="FF180" s="110"/>
      <c r="FG180" s="110"/>
      <c r="FH180" s="110"/>
      <c r="FI180" s="110"/>
      <c r="FJ180" s="110"/>
      <c r="FK180" s="110"/>
      <c r="FL180" s="110"/>
      <c r="FM180" s="110"/>
      <c r="FN180" s="110"/>
      <c r="FO180" s="110"/>
      <c r="FP180" s="110"/>
      <c r="FQ180" s="110"/>
      <c r="FR180" s="110"/>
      <c r="FS180" s="110"/>
      <c r="FT180" s="110"/>
      <c r="FU180" s="110"/>
      <c r="FV180" s="110"/>
      <c r="FW180" s="110"/>
      <c r="FX180" s="110"/>
      <c r="FY180" s="110"/>
      <c r="FZ180" s="110"/>
      <c r="GA180" s="110"/>
      <c r="GB180" s="110"/>
      <c r="GC180" s="110"/>
      <c r="GD180" s="110"/>
      <c r="GE180" s="110"/>
      <c r="GF180" s="110"/>
      <c r="GG180" s="110"/>
      <c r="GH180" s="110"/>
      <c r="GI180" s="110"/>
      <c r="GJ180" s="110"/>
      <c r="GK180" s="110"/>
      <c r="GL180" s="110"/>
      <c r="GM180" s="110"/>
      <c r="GN180" s="110"/>
      <c r="GO180" s="110"/>
      <c r="GP180" s="110"/>
      <c r="GQ180" s="110"/>
      <c r="GR180" s="110"/>
      <c r="GS180" s="110"/>
      <c r="GT180" s="110"/>
      <c r="GU180" s="110"/>
      <c r="GV180" s="110"/>
      <c r="GW180" s="110"/>
      <c r="GX180" s="110"/>
      <c r="GY180" s="110"/>
      <c r="GZ180" s="110"/>
      <c r="HA180" s="110"/>
      <c r="HB180" s="110"/>
      <c r="HC180" s="110"/>
      <c r="HD180" s="110"/>
      <c r="HE180" s="110"/>
      <c r="HF180" s="110"/>
      <c r="HG180" s="110"/>
      <c r="HH180" s="110"/>
      <c r="HI180" s="110"/>
      <c r="HJ180" s="110"/>
      <c r="HK180" s="110"/>
      <c r="HL180" s="110"/>
      <c r="HM180" s="110"/>
      <c r="HN180" s="110"/>
      <c r="HO180" s="110"/>
      <c r="HP180" s="110"/>
      <c r="HQ180" s="110"/>
      <c r="HR180" s="110"/>
      <c r="HS180" s="110"/>
      <c r="HT180" s="110"/>
      <c r="HU180" s="110"/>
      <c r="HV180" s="110"/>
      <c r="HW180" s="110"/>
      <c r="HX180" s="110"/>
      <c r="HY180" s="110"/>
      <c r="HZ180" s="110"/>
      <c r="IA180" s="110"/>
      <c r="IB180" s="110"/>
      <c r="IC180" s="110"/>
      <c r="ID180" s="110"/>
      <c r="IE180" s="110"/>
      <c r="IF180" s="110"/>
      <c r="IG180" s="110"/>
      <c r="IH180" s="110"/>
      <c r="II180" s="110"/>
      <c r="IJ180" s="110"/>
      <c r="IK180" s="110"/>
      <c r="IL180" s="110"/>
      <c r="IM180" s="110"/>
      <c r="IN180" s="110"/>
      <c r="IO180" s="110"/>
      <c r="IP180" s="110"/>
      <c r="IQ180" s="653"/>
    </row>
    <row r="181" spans="1:251" ht="16.5" hidden="1" customHeight="1">
      <c r="A181" s="648"/>
      <c r="B181" t="s">
        <v>1364</v>
      </c>
      <c r="C181" t="s">
        <v>450</v>
      </c>
      <c r="E181" t="s">
        <v>450</v>
      </c>
      <c r="F181" t="s">
        <v>1369</v>
      </c>
      <c r="H181">
        <v>50</v>
      </c>
      <c r="J181" s="214" t="str">
        <f t="shared" si="4"/>
        <v>LTT200250</v>
      </c>
      <c r="K181">
        <v>29560</v>
      </c>
      <c r="R181" s="648"/>
      <c r="V181" s="214"/>
      <c r="EE181" s="648"/>
      <c r="EF181" s="110"/>
      <c r="EG181" s="110"/>
      <c r="EH181" s="110"/>
      <c r="EI181" s="650"/>
      <c r="EJ181" s="110"/>
      <c r="EK181" s="110"/>
      <c r="EL181" s="110"/>
      <c r="EM181" s="110"/>
      <c r="EN181" s="110"/>
      <c r="EO181" s="110"/>
      <c r="EP181" s="110"/>
      <c r="EQ181" s="110"/>
      <c r="ER181" s="110"/>
      <c r="ES181" s="110"/>
      <c r="ET181" s="110"/>
      <c r="EU181" s="110"/>
      <c r="EV181" s="110"/>
      <c r="EW181" s="110"/>
      <c r="EX181" s="110"/>
      <c r="EY181" s="110"/>
      <c r="EZ181" s="110"/>
      <c r="FA181" s="110"/>
      <c r="FB181" s="110"/>
      <c r="FC181" s="110"/>
      <c r="FD181" s="110"/>
      <c r="FE181" s="110"/>
      <c r="FF181" s="110"/>
      <c r="FG181" s="110"/>
      <c r="FH181" s="110"/>
      <c r="FI181" s="110"/>
      <c r="FJ181" s="110"/>
      <c r="FK181" s="110"/>
      <c r="FL181" s="110"/>
      <c r="FM181" s="110"/>
      <c r="FN181" s="110"/>
      <c r="FO181" s="110"/>
      <c r="FP181" s="110"/>
      <c r="FQ181" s="110"/>
      <c r="FR181" s="110"/>
      <c r="FS181" s="110"/>
      <c r="FT181" s="110"/>
      <c r="FU181" s="110"/>
      <c r="FV181" s="110"/>
      <c r="FW181" s="110"/>
      <c r="FX181" s="110"/>
      <c r="FY181" s="110"/>
      <c r="FZ181" s="110"/>
      <c r="GA181" s="110"/>
      <c r="GB181" s="110"/>
      <c r="GC181" s="110"/>
      <c r="GD181" s="110"/>
      <c r="GE181" s="110"/>
      <c r="GF181" s="110"/>
      <c r="GG181" s="110"/>
      <c r="GH181" s="110"/>
      <c r="GI181" s="110"/>
      <c r="GJ181" s="110"/>
      <c r="GK181" s="110"/>
      <c r="GL181" s="110"/>
      <c r="GM181" s="110"/>
      <c r="GN181" s="110"/>
      <c r="GO181" s="110"/>
      <c r="GP181" s="110"/>
      <c r="GQ181" s="110"/>
      <c r="GR181" s="110"/>
      <c r="GS181" s="110"/>
      <c r="GT181" s="110"/>
      <c r="GU181" s="110"/>
      <c r="GV181" s="110"/>
      <c r="GW181" s="110"/>
      <c r="GX181" s="110"/>
      <c r="GY181" s="110"/>
      <c r="GZ181" s="110"/>
      <c r="HA181" s="110"/>
      <c r="HB181" s="110"/>
      <c r="HC181" s="110"/>
      <c r="HD181" s="110"/>
      <c r="HE181" s="110"/>
      <c r="HF181" s="110"/>
      <c r="HG181" s="110"/>
      <c r="HH181" s="110"/>
      <c r="HI181" s="110"/>
      <c r="HJ181" s="110"/>
      <c r="HK181" s="110"/>
      <c r="HL181" s="110"/>
      <c r="HM181" s="110"/>
      <c r="HN181" s="110"/>
      <c r="HO181" s="110"/>
      <c r="HP181" s="110"/>
      <c r="HQ181" s="110"/>
      <c r="HR181" s="110"/>
      <c r="HS181" s="110"/>
      <c r="HT181" s="110"/>
      <c r="HU181" s="110"/>
      <c r="HV181" s="110"/>
      <c r="HW181" s="110"/>
      <c r="HX181" s="110"/>
      <c r="HY181" s="110"/>
      <c r="HZ181" s="110"/>
      <c r="IA181" s="110"/>
      <c r="IB181" s="110"/>
      <c r="IC181" s="110"/>
      <c r="ID181" s="110"/>
      <c r="IE181" s="110"/>
      <c r="IF181" s="110"/>
      <c r="IG181" s="110"/>
      <c r="IH181" s="110"/>
      <c r="II181" s="110"/>
      <c r="IJ181" s="110"/>
      <c r="IK181" s="110"/>
      <c r="IL181" s="110"/>
      <c r="IM181" s="110"/>
      <c r="IN181" s="110"/>
      <c r="IO181" s="110"/>
      <c r="IP181" s="110"/>
      <c r="IQ181" s="653"/>
    </row>
    <row r="182" spans="1:251" ht="16.5" hidden="1" customHeight="1">
      <c r="A182" s="648"/>
      <c r="B182" t="s">
        <v>1364</v>
      </c>
      <c r="C182" t="s">
        <v>450</v>
      </c>
      <c r="E182" t="s">
        <v>450</v>
      </c>
      <c r="F182" t="s">
        <v>1369</v>
      </c>
      <c r="H182">
        <v>51</v>
      </c>
      <c r="J182" s="214" t="str">
        <f t="shared" si="4"/>
        <v>LTT200251</v>
      </c>
      <c r="K182">
        <v>30230</v>
      </c>
      <c r="R182" s="648"/>
      <c r="V182" s="214"/>
      <c r="EE182" s="648"/>
      <c r="EF182" s="110"/>
      <c r="EG182" s="110"/>
      <c r="EH182" s="110"/>
      <c r="EI182" s="650"/>
      <c r="EJ182" s="110"/>
      <c r="EK182" s="110"/>
      <c r="EL182" s="110"/>
      <c r="EM182" s="110"/>
      <c r="EN182" s="110"/>
      <c r="EO182" s="110"/>
      <c r="EP182" s="110"/>
      <c r="EQ182" s="110"/>
      <c r="ER182" s="110"/>
      <c r="ES182" s="110"/>
      <c r="ET182" s="110"/>
      <c r="EU182" s="110"/>
      <c r="EV182" s="110"/>
      <c r="EW182" s="110"/>
      <c r="EX182" s="110"/>
      <c r="EY182" s="110"/>
      <c r="EZ182" s="110"/>
      <c r="FA182" s="110"/>
      <c r="FB182" s="110"/>
      <c r="FC182" s="110"/>
      <c r="FD182" s="110"/>
      <c r="FE182" s="110"/>
      <c r="FF182" s="110"/>
      <c r="FG182" s="110"/>
      <c r="FH182" s="110"/>
      <c r="FI182" s="110"/>
      <c r="FJ182" s="110"/>
      <c r="FK182" s="110"/>
      <c r="FL182" s="110"/>
      <c r="FM182" s="110"/>
      <c r="FN182" s="110"/>
      <c r="FO182" s="110"/>
      <c r="FP182" s="110"/>
      <c r="FQ182" s="110"/>
      <c r="FR182" s="110"/>
      <c r="FS182" s="110"/>
      <c r="FT182" s="110"/>
      <c r="FU182" s="110"/>
      <c r="FV182" s="110"/>
      <c r="FW182" s="110"/>
      <c r="FX182" s="110"/>
      <c r="FY182" s="110"/>
      <c r="FZ182" s="110"/>
      <c r="GA182" s="110"/>
      <c r="GB182" s="110"/>
      <c r="GC182" s="110"/>
      <c r="GD182" s="110"/>
      <c r="GE182" s="110"/>
      <c r="GF182" s="110"/>
      <c r="GG182" s="110"/>
      <c r="GH182" s="110"/>
      <c r="GI182" s="110"/>
      <c r="GJ182" s="110"/>
      <c r="GK182" s="110"/>
      <c r="GL182" s="110"/>
      <c r="GM182" s="110"/>
      <c r="GN182" s="110"/>
      <c r="GO182" s="110"/>
      <c r="GP182" s="110"/>
      <c r="GQ182" s="110"/>
      <c r="GR182" s="110"/>
      <c r="GS182" s="110"/>
      <c r="GT182" s="110"/>
      <c r="GU182" s="110"/>
      <c r="GV182" s="110"/>
      <c r="GW182" s="110"/>
      <c r="GX182" s="110"/>
      <c r="GY182" s="110"/>
      <c r="GZ182" s="110"/>
      <c r="HA182" s="110"/>
      <c r="HB182" s="110"/>
      <c r="HC182" s="110"/>
      <c r="HD182" s="110"/>
      <c r="HE182" s="110"/>
      <c r="HF182" s="110"/>
      <c r="HG182" s="110"/>
      <c r="HH182" s="110"/>
      <c r="HI182" s="110"/>
      <c r="HJ182" s="110"/>
      <c r="HK182" s="110"/>
      <c r="HL182" s="110"/>
      <c r="HM182" s="110"/>
      <c r="HN182" s="110"/>
      <c r="HO182" s="110"/>
      <c r="HP182" s="110"/>
      <c r="HQ182" s="110"/>
      <c r="HR182" s="110"/>
      <c r="HS182" s="110"/>
      <c r="HT182" s="110"/>
      <c r="HU182" s="110"/>
      <c r="HV182" s="110"/>
      <c r="HW182" s="110"/>
      <c r="HX182" s="110"/>
      <c r="HY182" s="110"/>
      <c r="HZ182" s="110"/>
      <c r="IA182" s="110"/>
      <c r="IB182" s="110"/>
      <c r="IC182" s="110"/>
      <c r="ID182" s="110"/>
      <c r="IE182" s="110"/>
      <c r="IF182" s="110"/>
      <c r="IG182" s="110"/>
      <c r="IH182" s="110"/>
      <c r="II182" s="110"/>
      <c r="IJ182" s="110"/>
      <c r="IK182" s="110"/>
      <c r="IL182" s="110"/>
      <c r="IM182" s="110"/>
      <c r="IN182" s="110"/>
      <c r="IO182" s="110"/>
      <c r="IP182" s="110"/>
      <c r="IQ182" s="653"/>
    </row>
    <row r="183" spans="1:251" ht="16.5" hidden="1" customHeight="1">
      <c r="A183" s="648"/>
      <c r="B183" t="s">
        <v>1364</v>
      </c>
      <c r="C183" t="s">
        <v>450</v>
      </c>
      <c r="E183" t="s">
        <v>450</v>
      </c>
      <c r="F183" t="s">
        <v>1369</v>
      </c>
      <c r="H183">
        <v>52</v>
      </c>
      <c r="J183" s="214" t="str">
        <f t="shared" si="4"/>
        <v>LTT200252</v>
      </c>
      <c r="K183">
        <v>30910</v>
      </c>
      <c r="R183" s="648"/>
      <c r="V183" s="214"/>
      <c r="EE183" s="648"/>
      <c r="EF183" s="110"/>
      <c r="EG183" s="110"/>
      <c r="EH183" s="110"/>
      <c r="EI183" s="650"/>
      <c r="EJ183" s="110"/>
      <c r="EK183" s="110"/>
      <c r="EL183" s="110"/>
      <c r="EM183" s="110"/>
      <c r="EN183" s="110"/>
      <c r="EO183" s="110"/>
      <c r="EP183" s="110"/>
      <c r="EQ183" s="110"/>
      <c r="ER183" s="110"/>
      <c r="ES183" s="110"/>
      <c r="ET183" s="110"/>
      <c r="EU183" s="110"/>
      <c r="EV183" s="110"/>
      <c r="EW183" s="110"/>
      <c r="EX183" s="110"/>
      <c r="EY183" s="110"/>
      <c r="EZ183" s="110"/>
      <c r="FA183" s="110"/>
      <c r="FB183" s="110"/>
      <c r="FC183" s="110"/>
      <c r="FD183" s="110"/>
      <c r="FE183" s="110"/>
      <c r="FF183" s="110"/>
      <c r="FG183" s="110"/>
      <c r="FH183" s="110"/>
      <c r="FI183" s="110"/>
      <c r="FJ183" s="110"/>
      <c r="FK183" s="110"/>
      <c r="FL183" s="110"/>
      <c r="FM183" s="110"/>
      <c r="FN183" s="110"/>
      <c r="FO183" s="110"/>
      <c r="FP183" s="110"/>
      <c r="FQ183" s="110"/>
      <c r="FR183" s="110"/>
      <c r="FS183" s="110"/>
      <c r="FT183" s="110"/>
      <c r="FU183" s="110"/>
      <c r="FV183" s="110"/>
      <c r="FW183" s="110"/>
      <c r="FX183" s="110"/>
      <c r="FY183" s="110"/>
      <c r="FZ183" s="110"/>
      <c r="GA183" s="110"/>
      <c r="GB183" s="110"/>
      <c r="GC183" s="110"/>
      <c r="GD183" s="110"/>
      <c r="GE183" s="110"/>
      <c r="GF183" s="110"/>
      <c r="GG183" s="110"/>
      <c r="GH183" s="110"/>
      <c r="GI183" s="110"/>
      <c r="GJ183" s="110"/>
      <c r="GK183" s="110"/>
      <c r="GL183" s="110"/>
      <c r="GM183" s="110"/>
      <c r="GN183" s="110"/>
      <c r="GO183" s="110"/>
      <c r="GP183" s="110"/>
      <c r="GQ183" s="110"/>
      <c r="GR183" s="110"/>
      <c r="GS183" s="110"/>
      <c r="GT183" s="110"/>
      <c r="GU183" s="110"/>
      <c r="GV183" s="110"/>
      <c r="GW183" s="110"/>
      <c r="GX183" s="110"/>
      <c r="GY183" s="110"/>
      <c r="GZ183" s="110"/>
      <c r="HA183" s="110"/>
      <c r="HB183" s="110"/>
      <c r="HC183" s="110"/>
      <c r="HD183" s="110"/>
      <c r="HE183" s="110"/>
      <c r="HF183" s="110"/>
      <c r="HG183" s="110"/>
      <c r="HH183" s="110"/>
      <c r="HI183" s="110"/>
      <c r="HJ183" s="110"/>
      <c r="HK183" s="110"/>
      <c r="HL183" s="110"/>
      <c r="HM183" s="110"/>
      <c r="HN183" s="110"/>
      <c r="HO183" s="110"/>
      <c r="HP183" s="110"/>
      <c r="HQ183" s="110"/>
      <c r="HR183" s="110"/>
      <c r="HS183" s="110"/>
      <c r="HT183" s="110"/>
      <c r="HU183" s="110"/>
      <c r="HV183" s="110"/>
      <c r="HW183" s="110"/>
      <c r="HX183" s="110"/>
      <c r="HY183" s="110"/>
      <c r="HZ183" s="110"/>
      <c r="IA183" s="110"/>
      <c r="IB183" s="110"/>
      <c r="IC183" s="110"/>
      <c r="ID183" s="110"/>
      <c r="IE183" s="110"/>
      <c r="IF183" s="110"/>
      <c r="IG183" s="110"/>
      <c r="IH183" s="110"/>
      <c r="II183" s="110"/>
      <c r="IJ183" s="110"/>
      <c r="IK183" s="110"/>
      <c r="IL183" s="110"/>
      <c r="IM183" s="110"/>
      <c r="IN183" s="110"/>
      <c r="IO183" s="110"/>
      <c r="IP183" s="110"/>
      <c r="IQ183" s="653"/>
    </row>
    <row r="184" spans="1:251" ht="16.5" hidden="1" customHeight="1">
      <c r="A184" s="648"/>
      <c r="B184" t="s">
        <v>1364</v>
      </c>
      <c r="C184" t="s">
        <v>450</v>
      </c>
      <c r="E184" t="s">
        <v>450</v>
      </c>
      <c r="F184" t="s">
        <v>1369</v>
      </c>
      <c r="H184">
        <v>53</v>
      </c>
      <c r="J184" s="214" t="str">
        <f t="shared" si="4"/>
        <v>LTT200253</v>
      </c>
      <c r="K184">
        <v>31680</v>
      </c>
      <c r="R184" s="648"/>
      <c r="V184" s="214"/>
      <c r="EE184" s="648"/>
      <c r="EF184" s="110"/>
      <c r="EG184" s="110"/>
      <c r="EH184" s="110"/>
      <c r="EI184" s="650"/>
      <c r="EJ184" s="110"/>
      <c r="EK184" s="110"/>
      <c r="EL184" s="110"/>
      <c r="EM184" s="110"/>
      <c r="EN184" s="110"/>
      <c r="EO184" s="110"/>
      <c r="EP184" s="110"/>
      <c r="EQ184" s="110"/>
      <c r="ER184" s="110"/>
      <c r="ES184" s="110"/>
      <c r="ET184" s="110"/>
      <c r="EU184" s="110"/>
      <c r="EV184" s="110"/>
      <c r="EW184" s="110"/>
      <c r="EX184" s="110"/>
      <c r="EY184" s="110"/>
      <c r="EZ184" s="110"/>
      <c r="FA184" s="110"/>
      <c r="FB184" s="110"/>
      <c r="FC184" s="110"/>
      <c r="FD184" s="110"/>
      <c r="FE184" s="110"/>
      <c r="FF184" s="110"/>
      <c r="FG184" s="110"/>
      <c r="FH184" s="110"/>
      <c r="FI184" s="110"/>
      <c r="FJ184" s="110"/>
      <c r="FK184" s="110"/>
      <c r="FL184" s="110"/>
      <c r="FM184" s="110"/>
      <c r="FN184" s="110"/>
      <c r="FO184" s="110"/>
      <c r="FP184" s="110"/>
      <c r="FQ184" s="110"/>
      <c r="FR184" s="110"/>
      <c r="FS184" s="110"/>
      <c r="FT184" s="110"/>
      <c r="FU184" s="110"/>
      <c r="FV184" s="110"/>
      <c r="FW184" s="110"/>
      <c r="FX184" s="110"/>
      <c r="FY184" s="110"/>
      <c r="FZ184" s="110"/>
      <c r="GA184" s="110"/>
      <c r="GB184" s="110"/>
      <c r="GC184" s="110"/>
      <c r="GD184" s="110"/>
      <c r="GE184" s="110"/>
      <c r="GF184" s="110"/>
      <c r="GG184" s="110"/>
      <c r="GH184" s="110"/>
      <c r="GI184" s="110"/>
      <c r="GJ184" s="110"/>
      <c r="GK184" s="110"/>
      <c r="GL184" s="110"/>
      <c r="GM184" s="110"/>
      <c r="GN184" s="110"/>
      <c r="GO184" s="110"/>
      <c r="GP184" s="110"/>
      <c r="GQ184" s="110"/>
      <c r="GR184" s="110"/>
      <c r="GS184" s="110"/>
      <c r="GT184" s="110"/>
      <c r="GU184" s="110"/>
      <c r="GV184" s="110"/>
      <c r="GW184" s="110"/>
      <c r="GX184" s="110"/>
      <c r="GY184" s="110"/>
      <c r="GZ184" s="110"/>
      <c r="HA184" s="110"/>
      <c r="HB184" s="110"/>
      <c r="HC184" s="110"/>
      <c r="HD184" s="110"/>
      <c r="HE184" s="110"/>
      <c r="HF184" s="110"/>
      <c r="HG184" s="110"/>
      <c r="HH184" s="110"/>
      <c r="HI184" s="110"/>
      <c r="HJ184" s="110"/>
      <c r="HK184" s="110"/>
      <c r="HL184" s="110"/>
      <c r="HM184" s="110"/>
      <c r="HN184" s="110"/>
      <c r="HO184" s="110"/>
      <c r="HP184" s="110"/>
      <c r="HQ184" s="110"/>
      <c r="HR184" s="110"/>
      <c r="HS184" s="110"/>
      <c r="HT184" s="110"/>
      <c r="HU184" s="110"/>
      <c r="HV184" s="110"/>
      <c r="HW184" s="110"/>
      <c r="HX184" s="110"/>
      <c r="HY184" s="110"/>
      <c r="HZ184" s="110"/>
      <c r="IA184" s="110"/>
      <c r="IB184" s="110"/>
      <c r="IC184" s="110"/>
      <c r="ID184" s="110"/>
      <c r="IE184" s="110"/>
      <c r="IF184" s="110"/>
      <c r="IG184" s="110"/>
      <c r="IH184" s="110"/>
      <c r="II184" s="110"/>
      <c r="IJ184" s="110"/>
      <c r="IK184" s="110"/>
      <c r="IL184" s="110"/>
      <c r="IM184" s="110"/>
      <c r="IN184" s="110"/>
      <c r="IO184" s="110"/>
      <c r="IP184" s="110"/>
      <c r="IQ184" s="653"/>
    </row>
    <row r="185" spans="1:251" ht="16.5" hidden="1" customHeight="1">
      <c r="A185" s="648"/>
      <c r="B185" t="s">
        <v>1364</v>
      </c>
      <c r="C185" t="s">
        <v>450</v>
      </c>
      <c r="E185" t="s">
        <v>450</v>
      </c>
      <c r="F185" t="s">
        <v>1369</v>
      </c>
      <c r="H185">
        <v>54</v>
      </c>
      <c r="J185" s="214" t="str">
        <f t="shared" si="4"/>
        <v>LTT200254</v>
      </c>
      <c r="K185">
        <v>32450</v>
      </c>
      <c r="R185" s="648"/>
      <c r="V185" s="214"/>
      <c r="EE185" s="648"/>
      <c r="EF185" s="110"/>
      <c r="EG185" s="110"/>
      <c r="EH185" s="110"/>
      <c r="EI185" s="650"/>
      <c r="EJ185" s="110"/>
      <c r="EK185" s="110"/>
      <c r="EL185" s="110"/>
      <c r="EM185" s="110"/>
      <c r="EN185" s="110"/>
      <c r="EO185" s="110"/>
      <c r="EP185" s="110"/>
      <c r="EQ185" s="110"/>
      <c r="ER185" s="110"/>
      <c r="ES185" s="110"/>
      <c r="ET185" s="110"/>
      <c r="EU185" s="110"/>
      <c r="EV185" s="110"/>
      <c r="EW185" s="110"/>
      <c r="EX185" s="110"/>
      <c r="EY185" s="110"/>
      <c r="EZ185" s="110"/>
      <c r="FA185" s="110"/>
      <c r="FB185" s="110"/>
      <c r="FC185" s="110"/>
      <c r="FD185" s="110"/>
      <c r="FE185" s="110"/>
      <c r="FF185" s="110"/>
      <c r="FG185" s="110"/>
      <c r="FH185" s="110"/>
      <c r="FI185" s="110"/>
      <c r="FJ185" s="110"/>
      <c r="FK185" s="110"/>
      <c r="FL185" s="110"/>
      <c r="FM185" s="110"/>
      <c r="FN185" s="110"/>
      <c r="FO185" s="110"/>
      <c r="FP185" s="110"/>
      <c r="FQ185" s="110"/>
      <c r="FR185" s="110"/>
      <c r="FS185" s="110"/>
      <c r="FT185" s="110"/>
      <c r="FU185" s="110"/>
      <c r="FV185" s="110"/>
      <c r="FW185" s="110"/>
      <c r="FX185" s="110"/>
      <c r="FY185" s="110"/>
      <c r="FZ185" s="110"/>
      <c r="GA185" s="110"/>
      <c r="GB185" s="110"/>
      <c r="GC185" s="110"/>
      <c r="GD185" s="110"/>
      <c r="GE185" s="110"/>
      <c r="GF185" s="110"/>
      <c r="GG185" s="110"/>
      <c r="GH185" s="110"/>
      <c r="GI185" s="110"/>
      <c r="GJ185" s="110"/>
      <c r="GK185" s="110"/>
      <c r="GL185" s="110"/>
      <c r="GM185" s="110"/>
      <c r="GN185" s="110"/>
      <c r="GO185" s="110"/>
      <c r="GP185" s="110"/>
      <c r="GQ185" s="110"/>
      <c r="GR185" s="110"/>
      <c r="GS185" s="110"/>
      <c r="GT185" s="110"/>
      <c r="GU185" s="110"/>
      <c r="GV185" s="110"/>
      <c r="GW185" s="110"/>
      <c r="GX185" s="110"/>
      <c r="GY185" s="110"/>
      <c r="GZ185" s="110"/>
      <c r="HA185" s="110"/>
      <c r="HB185" s="110"/>
      <c r="HC185" s="110"/>
      <c r="HD185" s="110"/>
      <c r="HE185" s="110"/>
      <c r="HF185" s="110"/>
      <c r="HG185" s="110"/>
      <c r="HH185" s="110"/>
      <c r="HI185" s="110"/>
      <c r="HJ185" s="110"/>
      <c r="HK185" s="110"/>
      <c r="HL185" s="110"/>
      <c r="HM185" s="110"/>
      <c r="HN185" s="110"/>
      <c r="HO185" s="110"/>
      <c r="HP185" s="110"/>
      <c r="HQ185" s="110"/>
      <c r="HR185" s="110"/>
      <c r="HS185" s="110"/>
      <c r="HT185" s="110"/>
      <c r="HU185" s="110"/>
      <c r="HV185" s="110"/>
      <c r="HW185" s="110"/>
      <c r="HX185" s="110"/>
      <c r="HY185" s="110"/>
      <c r="HZ185" s="110"/>
      <c r="IA185" s="110"/>
      <c r="IB185" s="110"/>
      <c r="IC185" s="110"/>
      <c r="ID185" s="110"/>
      <c r="IE185" s="110"/>
      <c r="IF185" s="110"/>
      <c r="IG185" s="110"/>
      <c r="IH185" s="110"/>
      <c r="II185" s="110"/>
      <c r="IJ185" s="110"/>
      <c r="IK185" s="110"/>
      <c r="IL185" s="110"/>
      <c r="IM185" s="110"/>
      <c r="IN185" s="110"/>
      <c r="IO185" s="110"/>
      <c r="IP185" s="110"/>
      <c r="IQ185" s="653"/>
    </row>
    <row r="186" spans="1:251" ht="16.5" hidden="1" customHeight="1">
      <c r="A186" s="648"/>
      <c r="B186" t="s">
        <v>1364</v>
      </c>
      <c r="C186" t="s">
        <v>450</v>
      </c>
      <c r="E186" t="s">
        <v>450</v>
      </c>
      <c r="F186" t="s">
        <v>1369</v>
      </c>
      <c r="H186">
        <v>55</v>
      </c>
      <c r="J186" s="214" t="str">
        <f t="shared" si="4"/>
        <v>LTT200255</v>
      </c>
      <c r="K186">
        <v>33280</v>
      </c>
      <c r="R186" s="648"/>
      <c r="V186" s="214"/>
      <c r="EE186" s="648"/>
      <c r="EF186" s="110"/>
      <c r="EG186" s="110"/>
      <c r="EH186" s="110"/>
      <c r="EI186" s="650"/>
      <c r="EJ186" s="110"/>
      <c r="EK186" s="110"/>
      <c r="EL186" s="110"/>
      <c r="EM186" s="110"/>
      <c r="EN186" s="110"/>
      <c r="EO186" s="110"/>
      <c r="EP186" s="110"/>
      <c r="EQ186" s="110"/>
      <c r="ER186" s="110"/>
      <c r="ES186" s="110"/>
      <c r="ET186" s="110"/>
      <c r="EU186" s="110"/>
      <c r="EV186" s="110"/>
      <c r="EW186" s="110"/>
      <c r="EX186" s="110"/>
      <c r="EY186" s="110"/>
      <c r="EZ186" s="110"/>
      <c r="FA186" s="110"/>
      <c r="FB186" s="110"/>
      <c r="FC186" s="110"/>
      <c r="FD186" s="110"/>
      <c r="FE186" s="110"/>
      <c r="FF186" s="110"/>
      <c r="FG186" s="110"/>
      <c r="FH186" s="110"/>
      <c r="FI186" s="110"/>
      <c r="FJ186" s="110"/>
      <c r="FK186" s="110"/>
      <c r="FL186" s="110"/>
      <c r="FM186" s="110"/>
      <c r="FN186" s="110"/>
      <c r="FO186" s="110"/>
      <c r="FP186" s="110"/>
      <c r="FQ186" s="110"/>
      <c r="FR186" s="110"/>
      <c r="FS186" s="110"/>
      <c r="FT186" s="110"/>
      <c r="FU186" s="110"/>
      <c r="FV186" s="110"/>
      <c r="FW186" s="110"/>
      <c r="FX186" s="110"/>
      <c r="FY186" s="110"/>
      <c r="FZ186" s="110"/>
      <c r="GA186" s="110"/>
      <c r="GB186" s="110"/>
      <c r="GC186" s="110"/>
      <c r="GD186" s="110"/>
      <c r="GE186" s="110"/>
      <c r="GF186" s="110"/>
      <c r="GG186" s="110"/>
      <c r="GH186" s="110"/>
      <c r="GI186" s="110"/>
      <c r="GJ186" s="110"/>
      <c r="GK186" s="110"/>
      <c r="GL186" s="110"/>
      <c r="GM186" s="110"/>
      <c r="GN186" s="110"/>
      <c r="GO186" s="110"/>
      <c r="GP186" s="110"/>
      <c r="GQ186" s="110"/>
      <c r="GR186" s="110"/>
      <c r="GS186" s="110"/>
      <c r="GT186" s="110"/>
      <c r="GU186" s="110"/>
      <c r="GV186" s="110"/>
      <c r="GW186" s="110"/>
      <c r="GX186" s="110"/>
      <c r="GY186" s="110"/>
      <c r="GZ186" s="110"/>
      <c r="HA186" s="110"/>
      <c r="HB186" s="110"/>
      <c r="HC186" s="110"/>
      <c r="HD186" s="110"/>
      <c r="HE186" s="110"/>
      <c r="HF186" s="110"/>
      <c r="HG186" s="110"/>
      <c r="HH186" s="110"/>
      <c r="HI186" s="110"/>
      <c r="HJ186" s="110"/>
      <c r="HK186" s="110"/>
      <c r="HL186" s="110"/>
      <c r="HM186" s="110"/>
      <c r="HN186" s="110"/>
      <c r="HO186" s="110"/>
      <c r="HP186" s="110"/>
      <c r="HQ186" s="110"/>
      <c r="HR186" s="110"/>
      <c r="HS186" s="110"/>
      <c r="HT186" s="110"/>
      <c r="HU186" s="110"/>
      <c r="HV186" s="110"/>
      <c r="HW186" s="110"/>
      <c r="HX186" s="110"/>
      <c r="HY186" s="110"/>
      <c r="HZ186" s="110"/>
      <c r="IA186" s="110"/>
      <c r="IB186" s="110"/>
      <c r="IC186" s="110"/>
      <c r="ID186" s="110"/>
      <c r="IE186" s="110"/>
      <c r="IF186" s="110"/>
      <c r="IG186" s="110"/>
      <c r="IH186" s="110"/>
      <c r="II186" s="110"/>
      <c r="IJ186" s="110"/>
      <c r="IK186" s="110"/>
      <c r="IL186" s="110"/>
      <c r="IM186" s="110"/>
      <c r="IN186" s="110"/>
      <c r="IO186" s="110"/>
      <c r="IP186" s="110"/>
      <c r="IQ186" s="653"/>
    </row>
    <row r="187" spans="1:251" ht="16.5" hidden="1" customHeight="1">
      <c r="A187" s="648"/>
      <c r="B187" t="s">
        <v>1362</v>
      </c>
      <c r="C187" t="s">
        <v>450</v>
      </c>
      <c r="E187" t="s">
        <v>450</v>
      </c>
      <c r="F187" t="s">
        <v>1368</v>
      </c>
      <c r="H187">
        <v>15</v>
      </c>
      <c r="J187" s="214" t="str">
        <f t="shared" si="4"/>
        <v>LTT300115</v>
      </c>
      <c r="K187">
        <v>8650</v>
      </c>
      <c r="R187" s="648"/>
      <c r="V187" s="214"/>
      <c r="EE187" s="648"/>
      <c r="EF187" s="110"/>
      <c r="EG187" s="110"/>
      <c r="EH187" s="110"/>
      <c r="EI187" s="650"/>
      <c r="EJ187" s="110"/>
      <c r="EK187" s="110"/>
      <c r="EL187" s="110"/>
      <c r="EM187" s="110"/>
      <c r="EN187" s="110"/>
      <c r="EO187" s="110"/>
      <c r="EP187" s="110"/>
      <c r="EQ187" s="110"/>
      <c r="ER187" s="110"/>
      <c r="ES187" s="110"/>
      <c r="ET187" s="110"/>
      <c r="EU187" s="110"/>
      <c r="EV187" s="110"/>
      <c r="EW187" s="110"/>
      <c r="EX187" s="110"/>
      <c r="EY187" s="110"/>
      <c r="EZ187" s="110"/>
      <c r="FA187" s="110"/>
      <c r="FB187" s="110"/>
      <c r="FC187" s="110"/>
      <c r="FD187" s="110"/>
      <c r="FE187" s="110"/>
      <c r="FF187" s="110"/>
      <c r="FG187" s="110"/>
      <c r="FH187" s="110"/>
      <c r="FI187" s="110"/>
      <c r="FJ187" s="110"/>
      <c r="FK187" s="110"/>
      <c r="FL187" s="110"/>
      <c r="FM187" s="110"/>
      <c r="FN187" s="110"/>
      <c r="FO187" s="110"/>
      <c r="FP187" s="110"/>
      <c r="FQ187" s="110"/>
      <c r="FR187" s="110"/>
      <c r="FS187" s="110"/>
      <c r="FT187" s="110"/>
      <c r="FU187" s="110"/>
      <c r="FV187" s="110"/>
      <c r="FW187" s="110"/>
      <c r="FX187" s="110"/>
      <c r="FY187" s="110"/>
      <c r="FZ187" s="110"/>
      <c r="GA187" s="110"/>
      <c r="GB187" s="110"/>
      <c r="GC187" s="110"/>
      <c r="GD187" s="110"/>
      <c r="GE187" s="110"/>
      <c r="GF187" s="110"/>
      <c r="GG187" s="110"/>
      <c r="GH187" s="110"/>
      <c r="GI187" s="110"/>
      <c r="GJ187" s="110"/>
      <c r="GK187" s="110"/>
      <c r="GL187" s="110"/>
      <c r="GM187" s="110"/>
      <c r="GN187" s="110"/>
      <c r="GO187" s="110"/>
      <c r="GP187" s="110"/>
      <c r="GQ187" s="110"/>
      <c r="GR187" s="110"/>
      <c r="GS187" s="110"/>
      <c r="GT187" s="110"/>
      <c r="GU187" s="110"/>
      <c r="GV187" s="110"/>
      <c r="GW187" s="110"/>
      <c r="GX187" s="110"/>
      <c r="GY187" s="110"/>
      <c r="GZ187" s="110"/>
      <c r="HA187" s="110"/>
      <c r="HB187" s="110"/>
      <c r="HC187" s="110"/>
      <c r="HD187" s="110"/>
      <c r="HE187" s="110"/>
      <c r="HF187" s="110"/>
      <c r="HG187" s="110"/>
      <c r="HH187" s="110"/>
      <c r="HI187" s="110"/>
      <c r="HJ187" s="110"/>
      <c r="HK187" s="110"/>
      <c r="HL187" s="110"/>
      <c r="HM187" s="110"/>
      <c r="HN187" s="110"/>
      <c r="HO187" s="110"/>
      <c r="HP187" s="110"/>
      <c r="HQ187" s="110"/>
      <c r="HR187" s="110"/>
      <c r="HS187" s="110"/>
      <c r="HT187" s="110"/>
      <c r="HU187" s="110"/>
      <c r="HV187" s="110"/>
      <c r="HW187" s="110"/>
      <c r="HX187" s="110"/>
      <c r="HY187" s="110"/>
      <c r="HZ187" s="110"/>
      <c r="IA187" s="110"/>
      <c r="IB187" s="110"/>
      <c r="IC187" s="110"/>
      <c r="ID187" s="110"/>
      <c r="IE187" s="110"/>
      <c r="IF187" s="110"/>
      <c r="IG187" s="110"/>
      <c r="IH187" s="110"/>
      <c r="II187" s="110"/>
      <c r="IJ187" s="110"/>
      <c r="IK187" s="110"/>
      <c r="IL187" s="110"/>
      <c r="IM187" s="110"/>
      <c r="IN187" s="110"/>
      <c r="IO187" s="110"/>
      <c r="IP187" s="110"/>
      <c r="IQ187" s="653"/>
    </row>
    <row r="188" spans="1:251" ht="16.5" hidden="1" customHeight="1">
      <c r="A188" s="648"/>
      <c r="B188" t="s">
        <v>1362</v>
      </c>
      <c r="C188" t="s">
        <v>450</v>
      </c>
      <c r="E188" t="s">
        <v>450</v>
      </c>
      <c r="F188" t="s">
        <v>1368</v>
      </c>
      <c r="H188">
        <v>16</v>
      </c>
      <c r="J188" s="214" t="str">
        <f t="shared" si="4"/>
        <v>LTT300116</v>
      </c>
      <c r="K188">
        <v>8770</v>
      </c>
      <c r="R188" s="648"/>
      <c r="V188" s="214"/>
      <c r="EE188" s="648"/>
      <c r="EF188" s="110"/>
      <c r="EG188" s="110"/>
      <c r="EH188" s="110"/>
      <c r="EI188" s="650"/>
      <c r="EJ188" s="110"/>
      <c r="EK188" s="110"/>
      <c r="EL188" s="110"/>
      <c r="EM188" s="110"/>
      <c r="EN188" s="110"/>
      <c r="EO188" s="110"/>
      <c r="EP188" s="110"/>
      <c r="EQ188" s="110"/>
      <c r="ER188" s="110"/>
      <c r="ES188" s="110"/>
      <c r="ET188" s="110"/>
      <c r="EU188" s="110"/>
      <c r="EV188" s="110"/>
      <c r="EW188" s="110"/>
      <c r="EX188" s="110"/>
      <c r="EY188" s="110"/>
      <c r="EZ188" s="110"/>
      <c r="FA188" s="110"/>
      <c r="FB188" s="110"/>
      <c r="FC188" s="110"/>
      <c r="FD188" s="110"/>
      <c r="FE188" s="110"/>
      <c r="FF188" s="110"/>
      <c r="FG188" s="110"/>
      <c r="FH188" s="110"/>
      <c r="FI188" s="110"/>
      <c r="FJ188" s="110"/>
      <c r="FK188" s="110"/>
      <c r="FL188" s="110"/>
      <c r="FM188" s="110"/>
      <c r="FN188" s="110"/>
      <c r="FO188" s="110"/>
      <c r="FP188" s="110"/>
      <c r="FQ188" s="110"/>
      <c r="FR188" s="110"/>
      <c r="FS188" s="110"/>
      <c r="FT188" s="110"/>
      <c r="FU188" s="110"/>
      <c r="FV188" s="110"/>
      <c r="FW188" s="110"/>
      <c r="FX188" s="110"/>
      <c r="FY188" s="110"/>
      <c r="FZ188" s="110"/>
      <c r="GA188" s="110"/>
      <c r="GB188" s="110"/>
      <c r="GC188" s="110"/>
      <c r="GD188" s="110"/>
      <c r="GE188" s="110"/>
      <c r="GF188" s="110"/>
      <c r="GG188" s="110"/>
      <c r="GH188" s="110"/>
      <c r="GI188" s="110"/>
      <c r="GJ188" s="110"/>
      <c r="GK188" s="110"/>
      <c r="GL188" s="110"/>
      <c r="GM188" s="110"/>
      <c r="GN188" s="110"/>
      <c r="GO188" s="110"/>
      <c r="GP188" s="110"/>
      <c r="GQ188" s="110"/>
      <c r="GR188" s="110"/>
      <c r="GS188" s="110"/>
      <c r="GT188" s="110"/>
      <c r="GU188" s="110"/>
      <c r="GV188" s="110"/>
      <c r="GW188" s="110"/>
      <c r="GX188" s="110"/>
      <c r="GY188" s="110"/>
      <c r="GZ188" s="110"/>
      <c r="HA188" s="110"/>
      <c r="HB188" s="110"/>
      <c r="HC188" s="110"/>
      <c r="HD188" s="110"/>
      <c r="HE188" s="110"/>
      <c r="HF188" s="110"/>
      <c r="HG188" s="110"/>
      <c r="HH188" s="110"/>
      <c r="HI188" s="110"/>
      <c r="HJ188" s="110"/>
      <c r="HK188" s="110"/>
      <c r="HL188" s="110"/>
      <c r="HM188" s="110"/>
      <c r="HN188" s="110"/>
      <c r="HO188" s="110"/>
      <c r="HP188" s="110"/>
      <c r="HQ188" s="110"/>
      <c r="HR188" s="110"/>
      <c r="HS188" s="110"/>
      <c r="HT188" s="110"/>
      <c r="HU188" s="110"/>
      <c r="HV188" s="110"/>
      <c r="HW188" s="110"/>
      <c r="HX188" s="110"/>
      <c r="HY188" s="110"/>
      <c r="HZ188" s="110"/>
      <c r="IA188" s="110"/>
      <c r="IB188" s="110"/>
      <c r="IC188" s="110"/>
      <c r="ID188" s="110"/>
      <c r="IE188" s="110"/>
      <c r="IF188" s="110"/>
      <c r="IG188" s="110"/>
      <c r="IH188" s="110"/>
      <c r="II188" s="110"/>
      <c r="IJ188" s="110"/>
      <c r="IK188" s="110"/>
      <c r="IL188" s="110"/>
      <c r="IM188" s="110"/>
      <c r="IN188" s="110"/>
      <c r="IO188" s="110"/>
      <c r="IP188" s="110"/>
      <c r="IQ188" s="653"/>
    </row>
    <row r="189" spans="1:251" ht="16.5" hidden="1" customHeight="1">
      <c r="A189" s="648"/>
      <c r="B189" t="s">
        <v>1362</v>
      </c>
      <c r="C189" t="s">
        <v>450</v>
      </c>
      <c r="E189" t="s">
        <v>450</v>
      </c>
      <c r="F189" t="s">
        <v>1368</v>
      </c>
      <c r="H189">
        <v>17</v>
      </c>
      <c r="J189" s="214" t="str">
        <f t="shared" si="4"/>
        <v>LTT300117</v>
      </c>
      <c r="K189">
        <v>8880</v>
      </c>
      <c r="R189" s="648"/>
      <c r="V189" s="214"/>
      <c r="EE189" s="648"/>
      <c r="EF189" s="110"/>
      <c r="EG189" s="110"/>
      <c r="EH189" s="110"/>
      <c r="EI189" s="650"/>
      <c r="EJ189" s="110"/>
      <c r="EK189" s="110"/>
      <c r="EL189" s="110"/>
      <c r="EM189" s="110"/>
      <c r="EN189" s="110"/>
      <c r="EO189" s="110"/>
      <c r="EP189" s="110"/>
      <c r="EQ189" s="110"/>
      <c r="ER189" s="110"/>
      <c r="ES189" s="110"/>
      <c r="ET189" s="110"/>
      <c r="EU189" s="110"/>
      <c r="EV189" s="110"/>
      <c r="EW189" s="110"/>
      <c r="EX189" s="110"/>
      <c r="EY189" s="110"/>
      <c r="EZ189" s="110"/>
      <c r="FA189" s="110"/>
      <c r="FB189" s="110"/>
      <c r="FC189" s="110"/>
      <c r="FD189" s="110"/>
      <c r="FE189" s="110"/>
      <c r="FF189" s="110"/>
      <c r="FG189" s="110"/>
      <c r="FH189" s="110"/>
      <c r="FI189" s="110"/>
      <c r="FJ189" s="110"/>
      <c r="FK189" s="110"/>
      <c r="FL189" s="110"/>
      <c r="FM189" s="110"/>
      <c r="FN189" s="110"/>
      <c r="FO189" s="110"/>
      <c r="FP189" s="110"/>
      <c r="FQ189" s="110"/>
      <c r="FR189" s="110"/>
      <c r="FS189" s="110"/>
      <c r="FT189" s="110"/>
      <c r="FU189" s="110"/>
      <c r="FV189" s="110"/>
      <c r="FW189" s="110"/>
      <c r="FX189" s="110"/>
      <c r="FY189" s="110"/>
      <c r="FZ189" s="110"/>
      <c r="GA189" s="110"/>
      <c r="GB189" s="110"/>
      <c r="GC189" s="110"/>
      <c r="GD189" s="110"/>
      <c r="GE189" s="110"/>
      <c r="GF189" s="110"/>
      <c r="GG189" s="110"/>
      <c r="GH189" s="110"/>
      <c r="GI189" s="110"/>
      <c r="GJ189" s="110"/>
      <c r="GK189" s="110"/>
      <c r="GL189" s="110"/>
      <c r="GM189" s="110"/>
      <c r="GN189" s="110"/>
      <c r="GO189" s="110"/>
      <c r="GP189" s="110"/>
      <c r="GQ189" s="110"/>
      <c r="GR189" s="110"/>
      <c r="GS189" s="110"/>
      <c r="GT189" s="110"/>
      <c r="GU189" s="110"/>
      <c r="GV189" s="110"/>
      <c r="GW189" s="110"/>
      <c r="GX189" s="110"/>
      <c r="GY189" s="110"/>
      <c r="GZ189" s="110"/>
      <c r="HA189" s="110"/>
      <c r="HB189" s="110"/>
      <c r="HC189" s="110"/>
      <c r="HD189" s="110"/>
      <c r="HE189" s="110"/>
      <c r="HF189" s="110"/>
      <c r="HG189" s="110"/>
      <c r="HH189" s="110"/>
      <c r="HI189" s="110"/>
      <c r="HJ189" s="110"/>
      <c r="HK189" s="110"/>
      <c r="HL189" s="110"/>
      <c r="HM189" s="110"/>
      <c r="HN189" s="110"/>
      <c r="HO189" s="110"/>
      <c r="HP189" s="110"/>
      <c r="HQ189" s="110"/>
      <c r="HR189" s="110"/>
      <c r="HS189" s="110"/>
      <c r="HT189" s="110"/>
      <c r="HU189" s="110"/>
      <c r="HV189" s="110"/>
      <c r="HW189" s="110"/>
      <c r="HX189" s="110"/>
      <c r="HY189" s="110"/>
      <c r="HZ189" s="110"/>
      <c r="IA189" s="110"/>
      <c r="IB189" s="110"/>
      <c r="IC189" s="110"/>
      <c r="ID189" s="110"/>
      <c r="IE189" s="110"/>
      <c r="IF189" s="110"/>
      <c r="IG189" s="110"/>
      <c r="IH189" s="110"/>
      <c r="II189" s="110"/>
      <c r="IJ189" s="110"/>
      <c r="IK189" s="110"/>
      <c r="IL189" s="110"/>
      <c r="IM189" s="110"/>
      <c r="IN189" s="110"/>
      <c r="IO189" s="110"/>
      <c r="IP189" s="110"/>
      <c r="IQ189" s="653"/>
    </row>
    <row r="190" spans="1:251" ht="16.5" hidden="1" customHeight="1">
      <c r="A190" s="648"/>
      <c r="B190" t="s">
        <v>1362</v>
      </c>
      <c r="C190" t="s">
        <v>450</v>
      </c>
      <c r="E190" t="s">
        <v>450</v>
      </c>
      <c r="F190" t="s">
        <v>1368</v>
      </c>
      <c r="H190">
        <v>18</v>
      </c>
      <c r="J190" s="214" t="str">
        <f t="shared" si="4"/>
        <v>LTT300118</v>
      </c>
      <c r="K190">
        <v>9050</v>
      </c>
      <c r="R190" s="648"/>
      <c r="V190" s="214"/>
      <c r="EE190" s="648"/>
      <c r="EF190" s="110"/>
      <c r="EG190" s="110"/>
      <c r="EH190" s="110"/>
      <c r="EI190" s="650"/>
      <c r="EJ190" s="110"/>
      <c r="EK190" s="110"/>
      <c r="EL190" s="110"/>
      <c r="EM190" s="110"/>
      <c r="EN190" s="110"/>
      <c r="EO190" s="110"/>
      <c r="EP190" s="110"/>
      <c r="EQ190" s="110"/>
      <c r="ER190" s="110"/>
      <c r="ES190" s="110"/>
      <c r="ET190" s="110"/>
      <c r="EU190" s="110"/>
      <c r="EV190" s="110"/>
      <c r="EW190" s="110"/>
      <c r="EX190" s="110"/>
      <c r="EY190" s="110"/>
      <c r="EZ190" s="110"/>
      <c r="FA190" s="110"/>
      <c r="FB190" s="110"/>
      <c r="FC190" s="110"/>
      <c r="FD190" s="110"/>
      <c r="FE190" s="110"/>
      <c r="FF190" s="110"/>
      <c r="FG190" s="110"/>
      <c r="FH190" s="110"/>
      <c r="FI190" s="110"/>
      <c r="FJ190" s="110"/>
      <c r="FK190" s="110"/>
      <c r="FL190" s="110"/>
      <c r="FM190" s="110"/>
      <c r="FN190" s="110"/>
      <c r="FO190" s="110"/>
      <c r="FP190" s="110"/>
      <c r="FQ190" s="110"/>
      <c r="FR190" s="110"/>
      <c r="FS190" s="110"/>
      <c r="FT190" s="110"/>
      <c r="FU190" s="110"/>
      <c r="FV190" s="110"/>
      <c r="FW190" s="110"/>
      <c r="FX190" s="110"/>
      <c r="FY190" s="110"/>
      <c r="FZ190" s="110"/>
      <c r="GA190" s="110"/>
      <c r="GB190" s="110"/>
      <c r="GC190" s="110"/>
      <c r="GD190" s="110"/>
      <c r="GE190" s="110"/>
      <c r="GF190" s="110"/>
      <c r="GG190" s="110"/>
      <c r="GH190" s="110"/>
      <c r="GI190" s="110"/>
      <c r="GJ190" s="110"/>
      <c r="GK190" s="110"/>
      <c r="GL190" s="110"/>
      <c r="GM190" s="110"/>
      <c r="GN190" s="110"/>
      <c r="GO190" s="110"/>
      <c r="GP190" s="110"/>
      <c r="GQ190" s="110"/>
      <c r="GR190" s="110"/>
      <c r="GS190" s="110"/>
      <c r="GT190" s="110"/>
      <c r="GU190" s="110"/>
      <c r="GV190" s="110"/>
      <c r="GW190" s="110"/>
      <c r="GX190" s="110"/>
      <c r="GY190" s="110"/>
      <c r="GZ190" s="110"/>
      <c r="HA190" s="110"/>
      <c r="HB190" s="110"/>
      <c r="HC190" s="110"/>
      <c r="HD190" s="110"/>
      <c r="HE190" s="110"/>
      <c r="HF190" s="110"/>
      <c r="HG190" s="110"/>
      <c r="HH190" s="110"/>
      <c r="HI190" s="110"/>
      <c r="HJ190" s="110"/>
      <c r="HK190" s="110"/>
      <c r="HL190" s="110"/>
      <c r="HM190" s="110"/>
      <c r="HN190" s="110"/>
      <c r="HO190" s="110"/>
      <c r="HP190" s="110"/>
      <c r="HQ190" s="110"/>
      <c r="HR190" s="110"/>
      <c r="HS190" s="110"/>
      <c r="HT190" s="110"/>
      <c r="HU190" s="110"/>
      <c r="HV190" s="110"/>
      <c r="HW190" s="110"/>
      <c r="HX190" s="110"/>
      <c r="HY190" s="110"/>
      <c r="HZ190" s="110"/>
      <c r="IA190" s="110"/>
      <c r="IB190" s="110"/>
      <c r="IC190" s="110"/>
      <c r="ID190" s="110"/>
      <c r="IE190" s="110"/>
      <c r="IF190" s="110"/>
      <c r="IG190" s="110"/>
      <c r="IH190" s="110"/>
      <c r="II190" s="110"/>
      <c r="IJ190" s="110"/>
      <c r="IK190" s="110"/>
      <c r="IL190" s="110"/>
      <c r="IM190" s="110"/>
      <c r="IN190" s="110"/>
      <c r="IO190" s="110"/>
      <c r="IP190" s="110"/>
      <c r="IQ190" s="653"/>
    </row>
    <row r="191" spans="1:251" ht="16.5" hidden="1" customHeight="1">
      <c r="A191" s="648"/>
      <c r="B191" t="s">
        <v>1362</v>
      </c>
      <c r="C191" t="s">
        <v>450</v>
      </c>
      <c r="E191" t="s">
        <v>450</v>
      </c>
      <c r="F191" t="s">
        <v>1368</v>
      </c>
      <c r="H191">
        <v>19</v>
      </c>
      <c r="J191" s="214" t="str">
        <f t="shared" si="4"/>
        <v>LTT300119</v>
      </c>
      <c r="K191">
        <v>9160</v>
      </c>
      <c r="R191" s="648"/>
      <c r="V191" s="214"/>
      <c r="EE191" s="648"/>
      <c r="EF191" s="110"/>
      <c r="EG191" s="110"/>
      <c r="EH191" s="110"/>
      <c r="EI191" s="650"/>
      <c r="EJ191" s="110"/>
      <c r="EK191" s="110"/>
      <c r="EL191" s="110"/>
      <c r="EM191" s="110"/>
      <c r="EN191" s="110"/>
      <c r="EO191" s="110"/>
      <c r="EP191" s="110"/>
      <c r="EQ191" s="110"/>
      <c r="ER191" s="110"/>
      <c r="ES191" s="110"/>
      <c r="ET191" s="110"/>
      <c r="EU191" s="110"/>
      <c r="EV191" s="110"/>
      <c r="EW191" s="110"/>
      <c r="EX191" s="110"/>
      <c r="EY191" s="110"/>
      <c r="EZ191" s="110"/>
      <c r="FA191" s="110"/>
      <c r="FB191" s="110"/>
      <c r="FC191" s="110"/>
      <c r="FD191" s="110"/>
      <c r="FE191" s="110"/>
      <c r="FF191" s="110"/>
      <c r="FG191" s="110"/>
      <c r="FH191" s="110"/>
      <c r="FI191" s="110"/>
      <c r="FJ191" s="110"/>
      <c r="FK191" s="110"/>
      <c r="FL191" s="110"/>
      <c r="FM191" s="110"/>
      <c r="FN191" s="110"/>
      <c r="FO191" s="110"/>
      <c r="FP191" s="110"/>
      <c r="FQ191" s="110"/>
      <c r="FR191" s="110"/>
      <c r="FS191" s="110"/>
      <c r="FT191" s="110"/>
      <c r="FU191" s="110"/>
      <c r="FV191" s="110"/>
      <c r="FW191" s="110"/>
      <c r="FX191" s="110"/>
      <c r="FY191" s="110"/>
      <c r="FZ191" s="110"/>
      <c r="GA191" s="110"/>
      <c r="GB191" s="110"/>
      <c r="GC191" s="110"/>
      <c r="GD191" s="110"/>
      <c r="GE191" s="110"/>
      <c r="GF191" s="110"/>
      <c r="GG191" s="110"/>
      <c r="GH191" s="110"/>
      <c r="GI191" s="110"/>
      <c r="GJ191" s="110"/>
      <c r="GK191" s="110"/>
      <c r="GL191" s="110"/>
      <c r="GM191" s="110"/>
      <c r="GN191" s="110"/>
      <c r="GO191" s="110"/>
      <c r="GP191" s="110"/>
      <c r="GQ191" s="110"/>
      <c r="GR191" s="110"/>
      <c r="GS191" s="110"/>
      <c r="GT191" s="110"/>
      <c r="GU191" s="110"/>
      <c r="GV191" s="110"/>
      <c r="GW191" s="110"/>
      <c r="GX191" s="110"/>
      <c r="GY191" s="110"/>
      <c r="GZ191" s="110"/>
      <c r="HA191" s="110"/>
      <c r="HB191" s="110"/>
      <c r="HC191" s="110"/>
      <c r="HD191" s="110"/>
      <c r="HE191" s="110"/>
      <c r="HF191" s="110"/>
      <c r="HG191" s="110"/>
      <c r="HH191" s="110"/>
      <c r="HI191" s="110"/>
      <c r="HJ191" s="110"/>
      <c r="HK191" s="110"/>
      <c r="HL191" s="110"/>
      <c r="HM191" s="110"/>
      <c r="HN191" s="110"/>
      <c r="HO191" s="110"/>
      <c r="HP191" s="110"/>
      <c r="HQ191" s="110"/>
      <c r="HR191" s="110"/>
      <c r="HS191" s="110"/>
      <c r="HT191" s="110"/>
      <c r="HU191" s="110"/>
      <c r="HV191" s="110"/>
      <c r="HW191" s="110"/>
      <c r="HX191" s="110"/>
      <c r="HY191" s="110"/>
      <c r="HZ191" s="110"/>
      <c r="IA191" s="110"/>
      <c r="IB191" s="110"/>
      <c r="IC191" s="110"/>
      <c r="ID191" s="110"/>
      <c r="IE191" s="110"/>
      <c r="IF191" s="110"/>
      <c r="IG191" s="110"/>
      <c r="IH191" s="110"/>
      <c r="II191" s="110"/>
      <c r="IJ191" s="110"/>
      <c r="IK191" s="110"/>
      <c r="IL191" s="110"/>
      <c r="IM191" s="110"/>
      <c r="IN191" s="110"/>
      <c r="IO191" s="110"/>
      <c r="IP191" s="110"/>
      <c r="IQ191" s="653"/>
    </row>
    <row r="192" spans="1:251" ht="16.5" hidden="1" customHeight="1">
      <c r="A192" s="648"/>
      <c r="B192" t="s">
        <v>1362</v>
      </c>
      <c r="C192" t="s">
        <v>450</v>
      </c>
      <c r="E192" t="s">
        <v>450</v>
      </c>
      <c r="F192" t="s">
        <v>1368</v>
      </c>
      <c r="H192">
        <v>20</v>
      </c>
      <c r="J192" s="214" t="str">
        <f t="shared" si="4"/>
        <v>LTT300120</v>
      </c>
      <c r="K192">
        <v>9320</v>
      </c>
      <c r="R192" s="648"/>
      <c r="V192" s="214"/>
      <c r="EE192" s="648"/>
      <c r="EF192" s="110"/>
      <c r="EG192" s="110"/>
      <c r="EH192" s="110"/>
      <c r="EI192" s="650"/>
      <c r="EJ192" s="110"/>
      <c r="EK192" s="110"/>
      <c r="EL192" s="110"/>
      <c r="EM192" s="110"/>
      <c r="EN192" s="110"/>
      <c r="EO192" s="110"/>
      <c r="EP192" s="110"/>
      <c r="EQ192" s="110"/>
      <c r="ER192" s="110"/>
      <c r="ES192" s="110"/>
      <c r="ET192" s="110"/>
      <c r="EU192" s="110"/>
      <c r="EV192" s="110"/>
      <c r="EW192" s="110"/>
      <c r="EX192" s="110"/>
      <c r="EY192" s="110"/>
      <c r="EZ192" s="110"/>
      <c r="FA192" s="110"/>
      <c r="FB192" s="110"/>
      <c r="FC192" s="110"/>
      <c r="FD192" s="110"/>
      <c r="FE192" s="110"/>
      <c r="FF192" s="110"/>
      <c r="FG192" s="110"/>
      <c r="FH192" s="110"/>
      <c r="FI192" s="110"/>
      <c r="FJ192" s="110"/>
      <c r="FK192" s="110"/>
      <c r="FL192" s="110"/>
      <c r="FM192" s="110"/>
      <c r="FN192" s="110"/>
      <c r="FO192" s="110"/>
      <c r="FP192" s="110"/>
      <c r="FQ192" s="110"/>
      <c r="FR192" s="110"/>
      <c r="FS192" s="110"/>
      <c r="FT192" s="110"/>
      <c r="FU192" s="110"/>
      <c r="FV192" s="110"/>
      <c r="FW192" s="110"/>
      <c r="FX192" s="110"/>
      <c r="FY192" s="110"/>
      <c r="FZ192" s="110"/>
      <c r="GA192" s="110"/>
      <c r="GB192" s="110"/>
      <c r="GC192" s="110"/>
      <c r="GD192" s="110"/>
      <c r="GE192" s="110"/>
      <c r="GF192" s="110"/>
      <c r="GG192" s="110"/>
      <c r="GH192" s="110"/>
      <c r="GI192" s="110"/>
      <c r="GJ192" s="110"/>
      <c r="GK192" s="110"/>
      <c r="GL192" s="110"/>
      <c r="GM192" s="110"/>
      <c r="GN192" s="110"/>
      <c r="GO192" s="110"/>
      <c r="GP192" s="110"/>
      <c r="GQ192" s="110"/>
      <c r="GR192" s="110"/>
      <c r="GS192" s="110"/>
      <c r="GT192" s="110"/>
      <c r="GU192" s="110"/>
      <c r="GV192" s="110"/>
      <c r="GW192" s="110"/>
      <c r="GX192" s="110"/>
      <c r="GY192" s="110"/>
      <c r="GZ192" s="110"/>
      <c r="HA192" s="110"/>
      <c r="HB192" s="110"/>
      <c r="HC192" s="110"/>
      <c r="HD192" s="110"/>
      <c r="HE192" s="110"/>
      <c r="HF192" s="110"/>
      <c r="HG192" s="110"/>
      <c r="HH192" s="110"/>
      <c r="HI192" s="110"/>
      <c r="HJ192" s="110"/>
      <c r="HK192" s="110"/>
      <c r="HL192" s="110"/>
      <c r="HM192" s="110"/>
      <c r="HN192" s="110"/>
      <c r="HO192" s="110"/>
      <c r="HP192" s="110"/>
      <c r="HQ192" s="110"/>
      <c r="HR192" s="110"/>
      <c r="HS192" s="110"/>
      <c r="HT192" s="110"/>
      <c r="HU192" s="110"/>
      <c r="HV192" s="110"/>
      <c r="HW192" s="110"/>
      <c r="HX192" s="110"/>
      <c r="HY192" s="110"/>
      <c r="HZ192" s="110"/>
      <c r="IA192" s="110"/>
      <c r="IB192" s="110"/>
      <c r="IC192" s="110"/>
      <c r="ID192" s="110"/>
      <c r="IE192" s="110"/>
      <c r="IF192" s="110"/>
      <c r="IG192" s="110"/>
      <c r="IH192" s="110"/>
      <c r="II192" s="110"/>
      <c r="IJ192" s="110"/>
      <c r="IK192" s="110"/>
      <c r="IL192" s="110"/>
      <c r="IM192" s="110"/>
      <c r="IN192" s="110"/>
      <c r="IO192" s="110"/>
      <c r="IP192" s="110"/>
      <c r="IQ192" s="653"/>
    </row>
    <row r="193" spans="1:251" ht="16.5" hidden="1" customHeight="1">
      <c r="A193" s="648"/>
      <c r="B193" t="s">
        <v>1362</v>
      </c>
      <c r="C193" t="s">
        <v>450</v>
      </c>
      <c r="E193" t="s">
        <v>450</v>
      </c>
      <c r="F193" t="s">
        <v>1368</v>
      </c>
      <c r="H193">
        <v>21</v>
      </c>
      <c r="J193" s="214" t="str">
        <f t="shared" si="4"/>
        <v>LTT300121</v>
      </c>
      <c r="K193">
        <v>9440</v>
      </c>
      <c r="R193" s="648"/>
      <c r="V193" s="214"/>
      <c r="EE193" s="648"/>
      <c r="EF193" s="110"/>
      <c r="EG193" s="110"/>
      <c r="EH193" s="110"/>
      <c r="EI193" s="650"/>
      <c r="EJ193" s="110"/>
      <c r="EK193" s="110"/>
      <c r="EL193" s="110"/>
      <c r="EM193" s="110"/>
      <c r="EN193" s="110"/>
      <c r="EO193" s="110"/>
      <c r="EP193" s="110"/>
      <c r="EQ193" s="110"/>
      <c r="ER193" s="110"/>
      <c r="ES193" s="110"/>
      <c r="ET193" s="110"/>
      <c r="EU193" s="110"/>
      <c r="EV193" s="110"/>
      <c r="EW193" s="110"/>
      <c r="EX193" s="110"/>
      <c r="EY193" s="110"/>
      <c r="EZ193" s="110"/>
      <c r="FA193" s="110"/>
      <c r="FB193" s="110"/>
      <c r="FC193" s="110"/>
      <c r="FD193" s="110"/>
      <c r="FE193" s="110"/>
      <c r="FF193" s="110"/>
      <c r="FG193" s="110"/>
      <c r="FH193" s="110"/>
      <c r="FI193" s="110"/>
      <c r="FJ193" s="110"/>
      <c r="FK193" s="110"/>
      <c r="FL193" s="110"/>
      <c r="FM193" s="110"/>
      <c r="FN193" s="110"/>
      <c r="FO193" s="110"/>
      <c r="FP193" s="110"/>
      <c r="FQ193" s="110"/>
      <c r="FR193" s="110"/>
      <c r="FS193" s="110"/>
      <c r="FT193" s="110"/>
      <c r="FU193" s="110"/>
      <c r="FV193" s="110"/>
      <c r="FW193" s="110"/>
      <c r="FX193" s="110"/>
      <c r="FY193" s="110"/>
      <c r="FZ193" s="110"/>
      <c r="GA193" s="110"/>
      <c r="GB193" s="110"/>
      <c r="GC193" s="110"/>
      <c r="GD193" s="110"/>
      <c r="GE193" s="110"/>
      <c r="GF193" s="110"/>
      <c r="GG193" s="110"/>
      <c r="GH193" s="110"/>
      <c r="GI193" s="110"/>
      <c r="GJ193" s="110"/>
      <c r="GK193" s="110"/>
      <c r="GL193" s="110"/>
      <c r="GM193" s="110"/>
      <c r="GN193" s="110"/>
      <c r="GO193" s="110"/>
      <c r="GP193" s="110"/>
      <c r="GQ193" s="110"/>
      <c r="GR193" s="110"/>
      <c r="GS193" s="110"/>
      <c r="GT193" s="110"/>
      <c r="GU193" s="110"/>
      <c r="GV193" s="110"/>
      <c r="GW193" s="110"/>
      <c r="GX193" s="110"/>
      <c r="GY193" s="110"/>
      <c r="GZ193" s="110"/>
      <c r="HA193" s="110"/>
      <c r="HB193" s="110"/>
      <c r="HC193" s="110"/>
      <c r="HD193" s="110"/>
      <c r="HE193" s="110"/>
      <c r="HF193" s="110"/>
      <c r="HG193" s="110"/>
      <c r="HH193" s="110"/>
      <c r="HI193" s="110"/>
      <c r="HJ193" s="110"/>
      <c r="HK193" s="110"/>
      <c r="HL193" s="110"/>
      <c r="HM193" s="110"/>
      <c r="HN193" s="110"/>
      <c r="HO193" s="110"/>
      <c r="HP193" s="110"/>
      <c r="HQ193" s="110"/>
      <c r="HR193" s="110"/>
      <c r="HS193" s="110"/>
      <c r="HT193" s="110"/>
      <c r="HU193" s="110"/>
      <c r="HV193" s="110"/>
      <c r="HW193" s="110"/>
      <c r="HX193" s="110"/>
      <c r="HY193" s="110"/>
      <c r="HZ193" s="110"/>
      <c r="IA193" s="110"/>
      <c r="IB193" s="110"/>
      <c r="IC193" s="110"/>
      <c r="ID193" s="110"/>
      <c r="IE193" s="110"/>
      <c r="IF193" s="110"/>
      <c r="IG193" s="110"/>
      <c r="IH193" s="110"/>
      <c r="II193" s="110"/>
      <c r="IJ193" s="110"/>
      <c r="IK193" s="110"/>
      <c r="IL193" s="110"/>
      <c r="IM193" s="110"/>
      <c r="IN193" s="110"/>
      <c r="IO193" s="110"/>
      <c r="IP193" s="110"/>
      <c r="IQ193" s="653"/>
    </row>
    <row r="194" spans="1:251" ht="16.5" hidden="1" customHeight="1">
      <c r="A194" s="648"/>
      <c r="B194" t="s">
        <v>1362</v>
      </c>
      <c r="C194" t="s">
        <v>450</v>
      </c>
      <c r="E194" t="s">
        <v>450</v>
      </c>
      <c r="F194" t="s">
        <v>1368</v>
      </c>
      <c r="H194">
        <v>22</v>
      </c>
      <c r="J194" s="214" t="str">
        <f t="shared" ref="J194:J248" si="5">B194&amp;TEXT(F194,"00")&amp;TEXT(H194,"00")</f>
        <v>LTT300122</v>
      </c>
      <c r="K194">
        <v>9610</v>
      </c>
      <c r="R194" s="648"/>
      <c r="V194" s="214"/>
      <c r="EE194" s="648"/>
      <c r="EF194" s="110"/>
      <c r="EG194" s="110"/>
      <c r="EH194" s="110"/>
      <c r="EI194" s="650"/>
      <c r="EJ194" s="110"/>
      <c r="EK194" s="110"/>
      <c r="EL194" s="110"/>
      <c r="EM194" s="110"/>
      <c r="EN194" s="110"/>
      <c r="EO194" s="110"/>
      <c r="EP194" s="110"/>
      <c r="EQ194" s="110"/>
      <c r="ER194" s="110"/>
      <c r="ES194" s="110"/>
      <c r="ET194" s="110"/>
      <c r="EU194" s="110"/>
      <c r="EV194" s="110"/>
      <c r="EW194" s="110"/>
      <c r="EX194" s="110"/>
      <c r="EY194" s="110"/>
      <c r="EZ194" s="110"/>
      <c r="FA194" s="110"/>
      <c r="FB194" s="110"/>
      <c r="FC194" s="110"/>
      <c r="FD194" s="110"/>
      <c r="FE194" s="110"/>
      <c r="FF194" s="110"/>
      <c r="FG194" s="110"/>
      <c r="FH194" s="110"/>
      <c r="FI194" s="110"/>
      <c r="FJ194" s="110"/>
      <c r="FK194" s="110"/>
      <c r="FL194" s="110"/>
      <c r="FM194" s="110"/>
      <c r="FN194" s="110"/>
      <c r="FO194" s="110"/>
      <c r="FP194" s="110"/>
      <c r="FQ194" s="110"/>
      <c r="FR194" s="110"/>
      <c r="FS194" s="110"/>
      <c r="FT194" s="110"/>
      <c r="FU194" s="110"/>
      <c r="FV194" s="110"/>
      <c r="FW194" s="110"/>
      <c r="FX194" s="110"/>
      <c r="FY194" s="110"/>
      <c r="FZ194" s="110"/>
      <c r="GA194" s="110"/>
      <c r="GB194" s="110"/>
      <c r="GC194" s="110"/>
      <c r="GD194" s="110"/>
      <c r="GE194" s="110"/>
      <c r="GF194" s="110"/>
      <c r="GG194" s="110"/>
      <c r="GH194" s="110"/>
      <c r="GI194" s="110"/>
      <c r="GJ194" s="110"/>
      <c r="GK194" s="110"/>
      <c r="GL194" s="110"/>
      <c r="GM194" s="110"/>
      <c r="GN194" s="110"/>
      <c r="GO194" s="110"/>
      <c r="GP194" s="110"/>
      <c r="GQ194" s="110"/>
      <c r="GR194" s="110"/>
      <c r="GS194" s="110"/>
      <c r="GT194" s="110"/>
      <c r="GU194" s="110"/>
      <c r="GV194" s="110"/>
      <c r="GW194" s="110"/>
      <c r="GX194" s="110"/>
      <c r="GY194" s="110"/>
      <c r="GZ194" s="110"/>
      <c r="HA194" s="110"/>
      <c r="HB194" s="110"/>
      <c r="HC194" s="110"/>
      <c r="HD194" s="110"/>
      <c r="HE194" s="110"/>
      <c r="HF194" s="110"/>
      <c r="HG194" s="110"/>
      <c r="HH194" s="110"/>
      <c r="HI194" s="110"/>
      <c r="HJ194" s="110"/>
      <c r="HK194" s="110"/>
      <c r="HL194" s="110"/>
      <c r="HM194" s="110"/>
      <c r="HN194" s="110"/>
      <c r="HO194" s="110"/>
      <c r="HP194" s="110"/>
      <c r="HQ194" s="110"/>
      <c r="HR194" s="110"/>
      <c r="HS194" s="110"/>
      <c r="HT194" s="110"/>
      <c r="HU194" s="110"/>
      <c r="HV194" s="110"/>
      <c r="HW194" s="110"/>
      <c r="HX194" s="110"/>
      <c r="HY194" s="110"/>
      <c r="HZ194" s="110"/>
      <c r="IA194" s="110"/>
      <c r="IB194" s="110"/>
      <c r="IC194" s="110"/>
      <c r="ID194" s="110"/>
      <c r="IE194" s="110"/>
      <c r="IF194" s="110"/>
      <c r="IG194" s="110"/>
      <c r="IH194" s="110"/>
      <c r="II194" s="110"/>
      <c r="IJ194" s="110"/>
      <c r="IK194" s="110"/>
      <c r="IL194" s="110"/>
      <c r="IM194" s="110"/>
      <c r="IN194" s="110"/>
      <c r="IO194" s="110"/>
      <c r="IP194" s="110"/>
      <c r="IQ194" s="653"/>
    </row>
    <row r="195" spans="1:251" ht="16.5" hidden="1" customHeight="1">
      <c r="A195" s="648"/>
      <c r="B195" t="s">
        <v>1362</v>
      </c>
      <c r="C195" t="s">
        <v>450</v>
      </c>
      <c r="E195" t="s">
        <v>450</v>
      </c>
      <c r="F195" t="s">
        <v>1368</v>
      </c>
      <c r="H195">
        <v>23</v>
      </c>
      <c r="J195" s="214" t="str">
        <f t="shared" si="5"/>
        <v>LTT300123</v>
      </c>
      <c r="K195">
        <v>9780</v>
      </c>
      <c r="R195" s="648"/>
      <c r="V195" s="214"/>
      <c r="EE195" s="648"/>
      <c r="EF195" s="110"/>
      <c r="EG195" s="110"/>
      <c r="EH195" s="110"/>
      <c r="EI195" s="650"/>
      <c r="EJ195" s="110"/>
      <c r="EK195" s="110"/>
      <c r="EL195" s="110"/>
      <c r="EM195" s="110"/>
      <c r="EN195" s="110"/>
      <c r="EO195" s="110"/>
      <c r="EP195" s="110"/>
      <c r="EQ195" s="110"/>
      <c r="ER195" s="110"/>
      <c r="ES195" s="110"/>
      <c r="ET195" s="110"/>
      <c r="EU195" s="110"/>
      <c r="EV195" s="110"/>
      <c r="EW195" s="110"/>
      <c r="EX195" s="110"/>
      <c r="EY195" s="110"/>
      <c r="EZ195" s="110"/>
      <c r="FA195" s="110"/>
      <c r="FB195" s="110"/>
      <c r="FC195" s="110"/>
      <c r="FD195" s="110"/>
      <c r="FE195" s="110"/>
      <c r="FF195" s="110"/>
      <c r="FG195" s="110"/>
      <c r="FH195" s="110"/>
      <c r="FI195" s="110"/>
      <c r="FJ195" s="110"/>
      <c r="FK195" s="110"/>
      <c r="FL195" s="110"/>
      <c r="FM195" s="110"/>
      <c r="FN195" s="110"/>
      <c r="FO195" s="110"/>
      <c r="FP195" s="110"/>
      <c r="FQ195" s="110"/>
      <c r="FR195" s="110"/>
      <c r="FS195" s="110"/>
      <c r="FT195" s="110"/>
      <c r="FU195" s="110"/>
      <c r="FV195" s="110"/>
      <c r="FW195" s="110"/>
      <c r="FX195" s="110"/>
      <c r="FY195" s="110"/>
      <c r="FZ195" s="110"/>
      <c r="GA195" s="110"/>
      <c r="GB195" s="110"/>
      <c r="GC195" s="110"/>
      <c r="GD195" s="110"/>
      <c r="GE195" s="110"/>
      <c r="GF195" s="110"/>
      <c r="GG195" s="110"/>
      <c r="GH195" s="110"/>
      <c r="GI195" s="110"/>
      <c r="GJ195" s="110"/>
      <c r="GK195" s="110"/>
      <c r="GL195" s="110"/>
      <c r="GM195" s="110"/>
      <c r="GN195" s="110"/>
      <c r="GO195" s="110"/>
      <c r="GP195" s="110"/>
      <c r="GQ195" s="110"/>
      <c r="GR195" s="110"/>
      <c r="GS195" s="110"/>
      <c r="GT195" s="110"/>
      <c r="GU195" s="110"/>
      <c r="GV195" s="110"/>
      <c r="GW195" s="110"/>
      <c r="GX195" s="110"/>
      <c r="GY195" s="110"/>
      <c r="GZ195" s="110"/>
      <c r="HA195" s="110"/>
      <c r="HB195" s="110"/>
      <c r="HC195" s="110"/>
      <c r="HD195" s="110"/>
      <c r="HE195" s="110"/>
      <c r="HF195" s="110"/>
      <c r="HG195" s="110"/>
      <c r="HH195" s="110"/>
      <c r="HI195" s="110"/>
      <c r="HJ195" s="110"/>
      <c r="HK195" s="110"/>
      <c r="HL195" s="110"/>
      <c r="HM195" s="110"/>
      <c r="HN195" s="110"/>
      <c r="HO195" s="110"/>
      <c r="HP195" s="110"/>
      <c r="HQ195" s="110"/>
      <c r="HR195" s="110"/>
      <c r="HS195" s="110"/>
      <c r="HT195" s="110"/>
      <c r="HU195" s="110"/>
      <c r="HV195" s="110"/>
      <c r="HW195" s="110"/>
      <c r="HX195" s="110"/>
      <c r="HY195" s="110"/>
      <c r="HZ195" s="110"/>
      <c r="IA195" s="110"/>
      <c r="IB195" s="110"/>
      <c r="IC195" s="110"/>
      <c r="ID195" s="110"/>
      <c r="IE195" s="110"/>
      <c r="IF195" s="110"/>
      <c r="IG195" s="110"/>
      <c r="IH195" s="110"/>
      <c r="II195" s="110"/>
      <c r="IJ195" s="110"/>
      <c r="IK195" s="110"/>
      <c r="IL195" s="110"/>
      <c r="IM195" s="110"/>
      <c r="IN195" s="110"/>
      <c r="IO195" s="110"/>
      <c r="IP195" s="110"/>
      <c r="IQ195" s="653"/>
    </row>
    <row r="196" spans="1:251" ht="16.5" hidden="1" customHeight="1">
      <c r="A196" s="648"/>
      <c r="B196" t="s">
        <v>1362</v>
      </c>
      <c r="C196" t="s">
        <v>450</v>
      </c>
      <c r="E196" t="s">
        <v>450</v>
      </c>
      <c r="F196" t="s">
        <v>1368</v>
      </c>
      <c r="H196">
        <v>24</v>
      </c>
      <c r="J196" s="214" t="str">
        <f t="shared" si="5"/>
        <v>LTT300124</v>
      </c>
      <c r="K196">
        <v>9940</v>
      </c>
      <c r="R196" s="648"/>
      <c r="V196" s="214"/>
      <c r="EE196" s="648"/>
      <c r="EF196" s="110"/>
      <c r="EG196" s="110"/>
      <c r="EH196" s="110"/>
      <c r="EI196" s="650"/>
      <c r="EJ196" s="110"/>
      <c r="EK196" s="110"/>
      <c r="EL196" s="110"/>
      <c r="EM196" s="110"/>
      <c r="EN196" s="110"/>
      <c r="EO196" s="110"/>
      <c r="EP196" s="110"/>
      <c r="EQ196" s="110"/>
      <c r="ER196" s="110"/>
      <c r="ES196" s="110"/>
      <c r="ET196" s="110"/>
      <c r="EU196" s="110"/>
      <c r="EV196" s="110"/>
      <c r="EW196" s="110"/>
      <c r="EX196" s="110"/>
      <c r="EY196" s="110"/>
      <c r="EZ196" s="110"/>
      <c r="FA196" s="110"/>
      <c r="FB196" s="110"/>
      <c r="FC196" s="110"/>
      <c r="FD196" s="110"/>
      <c r="FE196" s="110"/>
      <c r="FF196" s="110"/>
      <c r="FG196" s="110"/>
      <c r="FH196" s="110"/>
      <c r="FI196" s="110"/>
      <c r="FJ196" s="110"/>
      <c r="FK196" s="110"/>
      <c r="FL196" s="110"/>
      <c r="FM196" s="110"/>
      <c r="FN196" s="110"/>
      <c r="FO196" s="110"/>
      <c r="FP196" s="110"/>
      <c r="FQ196" s="110"/>
      <c r="FR196" s="110"/>
      <c r="FS196" s="110"/>
      <c r="FT196" s="110"/>
      <c r="FU196" s="110"/>
      <c r="FV196" s="110"/>
      <c r="FW196" s="110"/>
      <c r="FX196" s="110"/>
      <c r="FY196" s="110"/>
      <c r="FZ196" s="110"/>
      <c r="GA196" s="110"/>
      <c r="GB196" s="110"/>
      <c r="GC196" s="110"/>
      <c r="GD196" s="110"/>
      <c r="GE196" s="110"/>
      <c r="GF196" s="110"/>
      <c r="GG196" s="110"/>
      <c r="GH196" s="110"/>
      <c r="GI196" s="110"/>
      <c r="GJ196" s="110"/>
      <c r="GK196" s="110"/>
      <c r="GL196" s="110"/>
      <c r="GM196" s="110"/>
      <c r="GN196" s="110"/>
      <c r="GO196" s="110"/>
      <c r="GP196" s="110"/>
      <c r="GQ196" s="110"/>
      <c r="GR196" s="110"/>
      <c r="GS196" s="110"/>
      <c r="GT196" s="110"/>
      <c r="GU196" s="110"/>
      <c r="GV196" s="110"/>
      <c r="GW196" s="110"/>
      <c r="GX196" s="110"/>
      <c r="GY196" s="110"/>
      <c r="GZ196" s="110"/>
      <c r="HA196" s="110"/>
      <c r="HB196" s="110"/>
      <c r="HC196" s="110"/>
      <c r="HD196" s="110"/>
      <c r="HE196" s="110"/>
      <c r="HF196" s="110"/>
      <c r="HG196" s="110"/>
      <c r="HH196" s="110"/>
      <c r="HI196" s="110"/>
      <c r="HJ196" s="110"/>
      <c r="HK196" s="110"/>
      <c r="HL196" s="110"/>
      <c r="HM196" s="110"/>
      <c r="HN196" s="110"/>
      <c r="HO196" s="110"/>
      <c r="HP196" s="110"/>
      <c r="HQ196" s="110"/>
      <c r="HR196" s="110"/>
      <c r="HS196" s="110"/>
      <c r="HT196" s="110"/>
      <c r="HU196" s="110"/>
      <c r="HV196" s="110"/>
      <c r="HW196" s="110"/>
      <c r="HX196" s="110"/>
      <c r="HY196" s="110"/>
      <c r="HZ196" s="110"/>
      <c r="IA196" s="110"/>
      <c r="IB196" s="110"/>
      <c r="IC196" s="110"/>
      <c r="ID196" s="110"/>
      <c r="IE196" s="110"/>
      <c r="IF196" s="110"/>
      <c r="IG196" s="110"/>
      <c r="IH196" s="110"/>
      <c r="II196" s="110"/>
      <c r="IJ196" s="110"/>
      <c r="IK196" s="110"/>
      <c r="IL196" s="110"/>
      <c r="IM196" s="110"/>
      <c r="IN196" s="110"/>
      <c r="IO196" s="110"/>
      <c r="IP196" s="110"/>
      <c r="IQ196" s="653"/>
    </row>
    <row r="197" spans="1:251" ht="16.5" hidden="1" customHeight="1">
      <c r="A197" s="648"/>
      <c r="B197" t="s">
        <v>1362</v>
      </c>
      <c r="C197" t="s">
        <v>450</v>
      </c>
      <c r="E197" t="s">
        <v>450</v>
      </c>
      <c r="F197" t="s">
        <v>1368</v>
      </c>
      <c r="H197">
        <v>25</v>
      </c>
      <c r="J197" s="214" t="str">
        <f t="shared" si="5"/>
        <v>LTT300125</v>
      </c>
      <c r="K197">
        <v>10100</v>
      </c>
      <c r="R197" s="648"/>
      <c r="V197" s="214"/>
      <c r="EE197" s="648"/>
      <c r="EF197" s="110"/>
      <c r="EG197" s="110"/>
      <c r="EH197" s="110"/>
      <c r="EI197" s="650"/>
      <c r="EJ197" s="110"/>
      <c r="EK197" s="110"/>
      <c r="EL197" s="110"/>
      <c r="EM197" s="110"/>
      <c r="EN197" s="110"/>
      <c r="EO197" s="110"/>
      <c r="EP197" s="110"/>
      <c r="EQ197" s="110"/>
      <c r="ER197" s="110"/>
      <c r="ES197" s="110"/>
      <c r="ET197" s="110"/>
      <c r="EU197" s="110"/>
      <c r="EV197" s="110"/>
      <c r="EW197" s="110"/>
      <c r="EX197" s="110"/>
      <c r="EY197" s="110"/>
      <c r="EZ197" s="110"/>
      <c r="FA197" s="110"/>
      <c r="FB197" s="110"/>
      <c r="FC197" s="110"/>
      <c r="FD197" s="110"/>
      <c r="FE197" s="110"/>
      <c r="FF197" s="110"/>
      <c r="FG197" s="110"/>
      <c r="FH197" s="110"/>
      <c r="FI197" s="110"/>
      <c r="FJ197" s="110"/>
      <c r="FK197" s="110"/>
      <c r="FL197" s="110"/>
      <c r="FM197" s="110"/>
      <c r="FN197" s="110"/>
      <c r="FO197" s="110"/>
      <c r="FP197" s="110"/>
      <c r="FQ197" s="110"/>
      <c r="FR197" s="110"/>
      <c r="FS197" s="110"/>
      <c r="FT197" s="110"/>
      <c r="FU197" s="110"/>
      <c r="FV197" s="110"/>
      <c r="FW197" s="110"/>
      <c r="FX197" s="110"/>
      <c r="FY197" s="110"/>
      <c r="FZ197" s="110"/>
      <c r="GA197" s="110"/>
      <c r="GB197" s="110"/>
      <c r="GC197" s="110"/>
      <c r="GD197" s="110"/>
      <c r="GE197" s="110"/>
      <c r="GF197" s="110"/>
      <c r="GG197" s="110"/>
      <c r="GH197" s="110"/>
      <c r="GI197" s="110"/>
      <c r="GJ197" s="110"/>
      <c r="GK197" s="110"/>
      <c r="GL197" s="110"/>
      <c r="GM197" s="110"/>
      <c r="GN197" s="110"/>
      <c r="GO197" s="110"/>
      <c r="GP197" s="110"/>
      <c r="GQ197" s="110"/>
      <c r="GR197" s="110"/>
      <c r="GS197" s="110"/>
      <c r="GT197" s="110"/>
      <c r="GU197" s="110"/>
      <c r="GV197" s="110"/>
      <c r="GW197" s="110"/>
      <c r="GX197" s="110"/>
      <c r="GY197" s="110"/>
      <c r="GZ197" s="110"/>
      <c r="HA197" s="110"/>
      <c r="HB197" s="110"/>
      <c r="HC197" s="110"/>
      <c r="HD197" s="110"/>
      <c r="HE197" s="110"/>
      <c r="HF197" s="110"/>
      <c r="HG197" s="110"/>
      <c r="HH197" s="110"/>
      <c r="HI197" s="110"/>
      <c r="HJ197" s="110"/>
      <c r="HK197" s="110"/>
      <c r="HL197" s="110"/>
      <c r="HM197" s="110"/>
      <c r="HN197" s="110"/>
      <c r="HO197" s="110"/>
      <c r="HP197" s="110"/>
      <c r="HQ197" s="110"/>
      <c r="HR197" s="110"/>
      <c r="HS197" s="110"/>
      <c r="HT197" s="110"/>
      <c r="HU197" s="110"/>
      <c r="HV197" s="110"/>
      <c r="HW197" s="110"/>
      <c r="HX197" s="110"/>
      <c r="HY197" s="110"/>
      <c r="HZ197" s="110"/>
      <c r="IA197" s="110"/>
      <c r="IB197" s="110"/>
      <c r="IC197" s="110"/>
      <c r="ID197" s="110"/>
      <c r="IE197" s="110"/>
      <c r="IF197" s="110"/>
      <c r="IG197" s="110"/>
      <c r="IH197" s="110"/>
      <c r="II197" s="110"/>
      <c r="IJ197" s="110"/>
      <c r="IK197" s="110"/>
      <c r="IL197" s="110"/>
      <c r="IM197" s="110"/>
      <c r="IN197" s="110"/>
      <c r="IO197" s="110"/>
      <c r="IP197" s="110"/>
      <c r="IQ197" s="653"/>
    </row>
    <row r="198" spans="1:251" ht="16.5" hidden="1" customHeight="1">
      <c r="A198" s="648"/>
      <c r="B198" t="s">
        <v>1362</v>
      </c>
      <c r="C198" t="s">
        <v>450</v>
      </c>
      <c r="E198" t="s">
        <v>450</v>
      </c>
      <c r="F198" t="s">
        <v>1368</v>
      </c>
      <c r="H198">
        <v>26</v>
      </c>
      <c r="J198" s="214" t="str">
        <f t="shared" si="5"/>
        <v>LTT300126</v>
      </c>
      <c r="K198">
        <v>10260</v>
      </c>
      <c r="R198" s="648"/>
      <c r="V198" s="214"/>
      <c r="EE198" s="648"/>
      <c r="EF198" s="110"/>
      <c r="EG198" s="110"/>
      <c r="EH198" s="110"/>
      <c r="EI198" s="650"/>
      <c r="EJ198" s="110"/>
      <c r="EK198" s="110"/>
      <c r="EL198" s="110"/>
      <c r="EM198" s="110"/>
      <c r="EN198" s="110"/>
      <c r="EO198" s="110"/>
      <c r="EP198" s="110"/>
      <c r="EQ198" s="110"/>
      <c r="ER198" s="110"/>
      <c r="ES198" s="110"/>
      <c r="ET198" s="110"/>
      <c r="EU198" s="110"/>
      <c r="EV198" s="110"/>
      <c r="EW198" s="110"/>
      <c r="EX198" s="110"/>
      <c r="EY198" s="110"/>
      <c r="EZ198" s="110"/>
      <c r="FA198" s="110"/>
      <c r="FB198" s="110"/>
      <c r="FC198" s="110"/>
      <c r="FD198" s="110"/>
      <c r="FE198" s="110"/>
      <c r="FF198" s="110"/>
      <c r="FG198" s="110"/>
      <c r="FH198" s="110"/>
      <c r="FI198" s="110"/>
      <c r="FJ198" s="110"/>
      <c r="FK198" s="110"/>
      <c r="FL198" s="110"/>
      <c r="FM198" s="110"/>
      <c r="FN198" s="110"/>
      <c r="FO198" s="110"/>
      <c r="FP198" s="110"/>
      <c r="FQ198" s="110"/>
      <c r="FR198" s="110"/>
      <c r="FS198" s="110"/>
      <c r="FT198" s="110"/>
      <c r="FU198" s="110"/>
      <c r="FV198" s="110"/>
      <c r="FW198" s="110"/>
      <c r="FX198" s="110"/>
      <c r="FY198" s="110"/>
      <c r="FZ198" s="110"/>
      <c r="GA198" s="110"/>
      <c r="GB198" s="110"/>
      <c r="GC198" s="110"/>
      <c r="GD198" s="110"/>
      <c r="GE198" s="110"/>
      <c r="GF198" s="110"/>
      <c r="GG198" s="110"/>
      <c r="GH198" s="110"/>
      <c r="GI198" s="110"/>
      <c r="GJ198" s="110"/>
      <c r="GK198" s="110"/>
      <c r="GL198" s="110"/>
      <c r="GM198" s="110"/>
      <c r="GN198" s="110"/>
      <c r="GO198" s="110"/>
      <c r="GP198" s="110"/>
      <c r="GQ198" s="110"/>
      <c r="GR198" s="110"/>
      <c r="GS198" s="110"/>
      <c r="GT198" s="110"/>
      <c r="GU198" s="110"/>
      <c r="GV198" s="110"/>
      <c r="GW198" s="110"/>
      <c r="GX198" s="110"/>
      <c r="GY198" s="110"/>
      <c r="GZ198" s="110"/>
      <c r="HA198" s="110"/>
      <c r="HB198" s="110"/>
      <c r="HC198" s="110"/>
      <c r="HD198" s="110"/>
      <c r="HE198" s="110"/>
      <c r="HF198" s="110"/>
      <c r="HG198" s="110"/>
      <c r="HH198" s="110"/>
      <c r="HI198" s="110"/>
      <c r="HJ198" s="110"/>
      <c r="HK198" s="110"/>
      <c r="HL198" s="110"/>
      <c r="HM198" s="110"/>
      <c r="HN198" s="110"/>
      <c r="HO198" s="110"/>
      <c r="HP198" s="110"/>
      <c r="HQ198" s="110"/>
      <c r="HR198" s="110"/>
      <c r="HS198" s="110"/>
      <c r="HT198" s="110"/>
      <c r="HU198" s="110"/>
      <c r="HV198" s="110"/>
      <c r="HW198" s="110"/>
      <c r="HX198" s="110"/>
      <c r="HY198" s="110"/>
      <c r="HZ198" s="110"/>
      <c r="IA198" s="110"/>
      <c r="IB198" s="110"/>
      <c r="IC198" s="110"/>
      <c r="ID198" s="110"/>
      <c r="IE198" s="110"/>
      <c r="IF198" s="110"/>
      <c r="IG198" s="110"/>
      <c r="IH198" s="110"/>
      <c r="II198" s="110"/>
      <c r="IJ198" s="110"/>
      <c r="IK198" s="110"/>
      <c r="IL198" s="110"/>
      <c r="IM198" s="110"/>
      <c r="IN198" s="110"/>
      <c r="IO198" s="110"/>
      <c r="IP198" s="110"/>
      <c r="IQ198" s="653"/>
    </row>
    <row r="199" spans="1:251" ht="16.5" hidden="1" customHeight="1">
      <c r="A199" s="648"/>
      <c r="B199" t="s">
        <v>1362</v>
      </c>
      <c r="C199" t="s">
        <v>450</v>
      </c>
      <c r="E199" t="s">
        <v>450</v>
      </c>
      <c r="F199" t="s">
        <v>1368</v>
      </c>
      <c r="H199">
        <v>27</v>
      </c>
      <c r="J199" s="214" t="str">
        <f t="shared" si="5"/>
        <v>LTT300127</v>
      </c>
      <c r="K199">
        <v>10430</v>
      </c>
      <c r="R199" s="648"/>
      <c r="V199" s="214"/>
      <c r="EE199" s="648"/>
      <c r="EF199" s="110"/>
      <c r="EG199" s="110"/>
      <c r="EH199" s="110"/>
      <c r="EI199" s="650"/>
      <c r="EJ199" s="110"/>
      <c r="EK199" s="110"/>
      <c r="EL199" s="110"/>
      <c r="EM199" s="110"/>
      <c r="EN199" s="110"/>
      <c r="EO199" s="110"/>
      <c r="EP199" s="110"/>
      <c r="EQ199" s="110"/>
      <c r="ER199" s="110"/>
      <c r="ES199" s="110"/>
      <c r="ET199" s="110"/>
      <c r="EU199" s="110"/>
      <c r="EV199" s="110"/>
      <c r="EW199" s="110"/>
      <c r="EX199" s="110"/>
      <c r="EY199" s="110"/>
      <c r="EZ199" s="110"/>
      <c r="FA199" s="110"/>
      <c r="FB199" s="110"/>
      <c r="FC199" s="110"/>
      <c r="FD199" s="110"/>
      <c r="FE199" s="110"/>
      <c r="FF199" s="110"/>
      <c r="FG199" s="110"/>
      <c r="FH199" s="110"/>
      <c r="FI199" s="110"/>
      <c r="FJ199" s="110"/>
      <c r="FK199" s="110"/>
      <c r="FL199" s="110"/>
      <c r="FM199" s="110"/>
      <c r="FN199" s="110"/>
      <c r="FO199" s="110"/>
      <c r="FP199" s="110"/>
      <c r="FQ199" s="110"/>
      <c r="FR199" s="110"/>
      <c r="FS199" s="110"/>
      <c r="FT199" s="110"/>
      <c r="FU199" s="110"/>
      <c r="FV199" s="110"/>
      <c r="FW199" s="110"/>
      <c r="FX199" s="110"/>
      <c r="FY199" s="110"/>
      <c r="FZ199" s="110"/>
      <c r="GA199" s="110"/>
      <c r="GB199" s="110"/>
      <c r="GC199" s="110"/>
      <c r="GD199" s="110"/>
      <c r="GE199" s="110"/>
      <c r="GF199" s="110"/>
      <c r="GG199" s="110"/>
      <c r="GH199" s="110"/>
      <c r="GI199" s="110"/>
      <c r="GJ199" s="110"/>
      <c r="GK199" s="110"/>
      <c r="GL199" s="110"/>
      <c r="GM199" s="110"/>
      <c r="GN199" s="110"/>
      <c r="GO199" s="110"/>
      <c r="GP199" s="110"/>
      <c r="GQ199" s="110"/>
      <c r="GR199" s="110"/>
      <c r="GS199" s="110"/>
      <c r="GT199" s="110"/>
      <c r="GU199" s="110"/>
      <c r="GV199" s="110"/>
      <c r="GW199" s="110"/>
      <c r="GX199" s="110"/>
      <c r="GY199" s="110"/>
      <c r="GZ199" s="110"/>
      <c r="HA199" s="110"/>
      <c r="HB199" s="110"/>
      <c r="HC199" s="110"/>
      <c r="HD199" s="110"/>
      <c r="HE199" s="110"/>
      <c r="HF199" s="110"/>
      <c r="HG199" s="110"/>
      <c r="HH199" s="110"/>
      <c r="HI199" s="110"/>
      <c r="HJ199" s="110"/>
      <c r="HK199" s="110"/>
      <c r="HL199" s="110"/>
      <c r="HM199" s="110"/>
      <c r="HN199" s="110"/>
      <c r="HO199" s="110"/>
      <c r="HP199" s="110"/>
      <c r="HQ199" s="110"/>
      <c r="HR199" s="110"/>
      <c r="HS199" s="110"/>
      <c r="HT199" s="110"/>
      <c r="HU199" s="110"/>
      <c r="HV199" s="110"/>
      <c r="HW199" s="110"/>
      <c r="HX199" s="110"/>
      <c r="HY199" s="110"/>
      <c r="HZ199" s="110"/>
      <c r="IA199" s="110"/>
      <c r="IB199" s="110"/>
      <c r="IC199" s="110"/>
      <c r="ID199" s="110"/>
      <c r="IE199" s="110"/>
      <c r="IF199" s="110"/>
      <c r="IG199" s="110"/>
      <c r="IH199" s="110"/>
      <c r="II199" s="110"/>
      <c r="IJ199" s="110"/>
      <c r="IK199" s="110"/>
      <c r="IL199" s="110"/>
      <c r="IM199" s="110"/>
      <c r="IN199" s="110"/>
      <c r="IO199" s="110"/>
      <c r="IP199" s="110"/>
      <c r="IQ199" s="653"/>
    </row>
    <row r="200" spans="1:251" ht="16.5" hidden="1" customHeight="1">
      <c r="A200" s="648"/>
      <c r="B200" t="s">
        <v>1362</v>
      </c>
      <c r="C200" t="s">
        <v>450</v>
      </c>
      <c r="E200" t="s">
        <v>450</v>
      </c>
      <c r="F200" t="s">
        <v>1368</v>
      </c>
      <c r="H200">
        <v>28</v>
      </c>
      <c r="J200" s="214" t="str">
        <f t="shared" si="5"/>
        <v>LTT300128</v>
      </c>
      <c r="K200">
        <v>10600</v>
      </c>
      <c r="R200" s="648"/>
      <c r="V200" s="214"/>
      <c r="EE200" s="648"/>
      <c r="EF200" s="110"/>
      <c r="EG200" s="110"/>
      <c r="EH200" s="110"/>
      <c r="EI200" s="650"/>
      <c r="EJ200" s="110"/>
      <c r="EK200" s="110"/>
      <c r="EL200" s="110"/>
      <c r="EM200" s="110"/>
      <c r="EN200" s="110"/>
      <c r="EO200" s="110"/>
      <c r="EP200" s="110"/>
      <c r="EQ200" s="110"/>
      <c r="ER200" s="110"/>
      <c r="ES200" s="110"/>
      <c r="ET200" s="110"/>
      <c r="EU200" s="110"/>
      <c r="EV200" s="110"/>
      <c r="EW200" s="110"/>
      <c r="EX200" s="110"/>
      <c r="EY200" s="110"/>
      <c r="EZ200" s="110"/>
      <c r="FA200" s="110"/>
      <c r="FB200" s="110"/>
      <c r="FC200" s="110"/>
      <c r="FD200" s="110"/>
      <c r="FE200" s="110"/>
      <c r="FF200" s="110"/>
      <c r="FG200" s="110"/>
      <c r="FH200" s="110"/>
      <c r="FI200" s="110"/>
      <c r="FJ200" s="110"/>
      <c r="FK200" s="110"/>
      <c r="FL200" s="110"/>
      <c r="FM200" s="110"/>
      <c r="FN200" s="110"/>
      <c r="FO200" s="110"/>
      <c r="FP200" s="110"/>
      <c r="FQ200" s="110"/>
      <c r="FR200" s="110"/>
      <c r="FS200" s="110"/>
      <c r="FT200" s="110"/>
      <c r="FU200" s="110"/>
      <c r="FV200" s="110"/>
      <c r="FW200" s="110"/>
      <c r="FX200" s="110"/>
      <c r="FY200" s="110"/>
      <c r="FZ200" s="110"/>
      <c r="GA200" s="110"/>
      <c r="GB200" s="110"/>
      <c r="GC200" s="110"/>
      <c r="GD200" s="110"/>
      <c r="GE200" s="110"/>
      <c r="GF200" s="110"/>
      <c r="GG200" s="110"/>
      <c r="GH200" s="110"/>
      <c r="GI200" s="110"/>
      <c r="GJ200" s="110"/>
      <c r="GK200" s="110"/>
      <c r="GL200" s="110"/>
      <c r="GM200" s="110"/>
      <c r="GN200" s="110"/>
      <c r="GO200" s="110"/>
      <c r="GP200" s="110"/>
      <c r="GQ200" s="110"/>
      <c r="GR200" s="110"/>
      <c r="GS200" s="110"/>
      <c r="GT200" s="110"/>
      <c r="GU200" s="110"/>
      <c r="GV200" s="110"/>
      <c r="GW200" s="110"/>
      <c r="GX200" s="110"/>
      <c r="GY200" s="110"/>
      <c r="GZ200" s="110"/>
      <c r="HA200" s="110"/>
      <c r="HB200" s="110"/>
      <c r="HC200" s="110"/>
      <c r="HD200" s="110"/>
      <c r="HE200" s="110"/>
      <c r="HF200" s="110"/>
      <c r="HG200" s="110"/>
      <c r="HH200" s="110"/>
      <c r="HI200" s="110"/>
      <c r="HJ200" s="110"/>
      <c r="HK200" s="110"/>
      <c r="HL200" s="110"/>
      <c r="HM200" s="110"/>
      <c r="HN200" s="110"/>
      <c r="HO200" s="110"/>
      <c r="HP200" s="110"/>
      <c r="HQ200" s="110"/>
      <c r="HR200" s="110"/>
      <c r="HS200" s="110"/>
      <c r="HT200" s="110"/>
      <c r="HU200" s="110"/>
      <c r="HV200" s="110"/>
      <c r="HW200" s="110"/>
      <c r="HX200" s="110"/>
      <c r="HY200" s="110"/>
      <c r="HZ200" s="110"/>
      <c r="IA200" s="110"/>
      <c r="IB200" s="110"/>
      <c r="IC200" s="110"/>
      <c r="ID200" s="110"/>
      <c r="IE200" s="110"/>
      <c r="IF200" s="110"/>
      <c r="IG200" s="110"/>
      <c r="IH200" s="110"/>
      <c r="II200" s="110"/>
      <c r="IJ200" s="110"/>
      <c r="IK200" s="110"/>
      <c r="IL200" s="110"/>
      <c r="IM200" s="110"/>
      <c r="IN200" s="110"/>
      <c r="IO200" s="110"/>
      <c r="IP200" s="110"/>
      <c r="IQ200" s="653"/>
    </row>
    <row r="201" spans="1:251" ht="16.5" hidden="1" customHeight="1">
      <c r="A201" s="648"/>
      <c r="B201" t="s">
        <v>1362</v>
      </c>
      <c r="C201" t="s">
        <v>450</v>
      </c>
      <c r="E201" t="s">
        <v>450</v>
      </c>
      <c r="F201" t="s">
        <v>1368</v>
      </c>
      <c r="H201">
        <v>29</v>
      </c>
      <c r="J201" s="214" t="str">
        <f t="shared" si="5"/>
        <v>LTT300129</v>
      </c>
      <c r="K201">
        <v>10820</v>
      </c>
      <c r="R201" s="648"/>
      <c r="V201" s="214"/>
      <c r="EE201" s="648"/>
      <c r="EF201" s="110"/>
      <c r="EG201" s="110"/>
      <c r="EH201" s="110"/>
      <c r="EI201" s="650"/>
      <c r="EJ201" s="110"/>
      <c r="EK201" s="110"/>
      <c r="EL201" s="110"/>
      <c r="EM201" s="110"/>
      <c r="EN201" s="110"/>
      <c r="EO201" s="110"/>
      <c r="EP201" s="110"/>
      <c r="EQ201" s="110"/>
      <c r="ER201" s="110"/>
      <c r="ES201" s="110"/>
      <c r="ET201" s="110"/>
      <c r="EU201" s="110"/>
      <c r="EV201" s="110"/>
      <c r="EW201" s="110"/>
      <c r="EX201" s="110"/>
      <c r="EY201" s="110"/>
      <c r="EZ201" s="110"/>
      <c r="FA201" s="110"/>
      <c r="FB201" s="110"/>
      <c r="FC201" s="110"/>
      <c r="FD201" s="110"/>
      <c r="FE201" s="110"/>
      <c r="FF201" s="110"/>
      <c r="FG201" s="110"/>
      <c r="FH201" s="110"/>
      <c r="FI201" s="110"/>
      <c r="FJ201" s="110"/>
      <c r="FK201" s="110"/>
      <c r="FL201" s="110"/>
      <c r="FM201" s="110"/>
      <c r="FN201" s="110"/>
      <c r="FO201" s="110"/>
      <c r="FP201" s="110"/>
      <c r="FQ201" s="110"/>
      <c r="FR201" s="110"/>
      <c r="FS201" s="110"/>
      <c r="FT201" s="110"/>
      <c r="FU201" s="110"/>
      <c r="FV201" s="110"/>
      <c r="FW201" s="110"/>
      <c r="FX201" s="110"/>
      <c r="FY201" s="110"/>
      <c r="FZ201" s="110"/>
      <c r="GA201" s="110"/>
      <c r="GB201" s="110"/>
      <c r="GC201" s="110"/>
      <c r="GD201" s="110"/>
      <c r="GE201" s="110"/>
      <c r="GF201" s="110"/>
      <c r="GG201" s="110"/>
      <c r="GH201" s="110"/>
      <c r="GI201" s="110"/>
      <c r="GJ201" s="110"/>
      <c r="GK201" s="110"/>
      <c r="GL201" s="110"/>
      <c r="GM201" s="110"/>
      <c r="GN201" s="110"/>
      <c r="GO201" s="110"/>
      <c r="GP201" s="110"/>
      <c r="GQ201" s="110"/>
      <c r="GR201" s="110"/>
      <c r="GS201" s="110"/>
      <c r="GT201" s="110"/>
      <c r="GU201" s="110"/>
      <c r="GV201" s="110"/>
      <c r="GW201" s="110"/>
      <c r="GX201" s="110"/>
      <c r="GY201" s="110"/>
      <c r="GZ201" s="110"/>
      <c r="HA201" s="110"/>
      <c r="HB201" s="110"/>
      <c r="HC201" s="110"/>
      <c r="HD201" s="110"/>
      <c r="HE201" s="110"/>
      <c r="HF201" s="110"/>
      <c r="HG201" s="110"/>
      <c r="HH201" s="110"/>
      <c r="HI201" s="110"/>
      <c r="HJ201" s="110"/>
      <c r="HK201" s="110"/>
      <c r="HL201" s="110"/>
      <c r="HM201" s="110"/>
      <c r="HN201" s="110"/>
      <c r="HO201" s="110"/>
      <c r="HP201" s="110"/>
      <c r="HQ201" s="110"/>
      <c r="HR201" s="110"/>
      <c r="HS201" s="110"/>
      <c r="HT201" s="110"/>
      <c r="HU201" s="110"/>
      <c r="HV201" s="110"/>
      <c r="HW201" s="110"/>
      <c r="HX201" s="110"/>
      <c r="HY201" s="110"/>
      <c r="HZ201" s="110"/>
      <c r="IA201" s="110"/>
      <c r="IB201" s="110"/>
      <c r="IC201" s="110"/>
      <c r="ID201" s="110"/>
      <c r="IE201" s="110"/>
      <c r="IF201" s="110"/>
      <c r="IG201" s="110"/>
      <c r="IH201" s="110"/>
      <c r="II201" s="110"/>
      <c r="IJ201" s="110"/>
      <c r="IK201" s="110"/>
      <c r="IL201" s="110"/>
      <c r="IM201" s="110"/>
      <c r="IN201" s="110"/>
      <c r="IO201" s="110"/>
      <c r="IP201" s="110"/>
      <c r="IQ201" s="653"/>
    </row>
    <row r="202" spans="1:251" ht="16.5" hidden="1" customHeight="1">
      <c r="A202" s="648"/>
      <c r="B202" t="s">
        <v>1362</v>
      </c>
      <c r="C202" t="s">
        <v>450</v>
      </c>
      <c r="E202" t="s">
        <v>450</v>
      </c>
      <c r="F202" t="s">
        <v>1368</v>
      </c>
      <c r="H202">
        <v>30</v>
      </c>
      <c r="J202" s="214" t="str">
        <f t="shared" si="5"/>
        <v>LTT300130</v>
      </c>
      <c r="K202">
        <v>11000</v>
      </c>
      <c r="R202" s="648"/>
      <c r="V202" s="214"/>
      <c r="EE202" s="648"/>
      <c r="EF202" s="110"/>
      <c r="EG202" s="110"/>
      <c r="EH202" s="110"/>
      <c r="EI202" s="650"/>
      <c r="EJ202" s="110"/>
      <c r="EK202" s="110"/>
      <c r="EL202" s="110"/>
      <c r="EM202" s="110"/>
      <c r="EN202" s="110"/>
      <c r="EO202" s="110"/>
      <c r="EP202" s="110"/>
      <c r="EQ202" s="110"/>
      <c r="ER202" s="110"/>
      <c r="ES202" s="110"/>
      <c r="ET202" s="110"/>
      <c r="EU202" s="110"/>
      <c r="EV202" s="110"/>
      <c r="EW202" s="110"/>
      <c r="EX202" s="110"/>
      <c r="EY202" s="110"/>
      <c r="EZ202" s="110"/>
      <c r="FA202" s="110"/>
      <c r="FB202" s="110"/>
      <c r="FC202" s="110"/>
      <c r="FD202" s="110"/>
      <c r="FE202" s="110"/>
      <c r="FF202" s="110"/>
      <c r="FG202" s="110"/>
      <c r="FH202" s="110"/>
      <c r="FI202" s="110"/>
      <c r="FJ202" s="110"/>
      <c r="FK202" s="110"/>
      <c r="FL202" s="110"/>
      <c r="FM202" s="110"/>
      <c r="FN202" s="110"/>
      <c r="FO202" s="110"/>
      <c r="FP202" s="110"/>
      <c r="FQ202" s="110"/>
      <c r="FR202" s="110"/>
      <c r="FS202" s="110"/>
      <c r="FT202" s="110"/>
      <c r="FU202" s="110"/>
      <c r="FV202" s="110"/>
      <c r="FW202" s="110"/>
      <c r="FX202" s="110"/>
      <c r="FY202" s="110"/>
      <c r="FZ202" s="110"/>
      <c r="GA202" s="110"/>
      <c r="GB202" s="110"/>
      <c r="GC202" s="110"/>
      <c r="GD202" s="110"/>
      <c r="GE202" s="110"/>
      <c r="GF202" s="110"/>
      <c r="GG202" s="110"/>
      <c r="GH202" s="110"/>
      <c r="GI202" s="110"/>
      <c r="GJ202" s="110"/>
      <c r="GK202" s="110"/>
      <c r="GL202" s="110"/>
      <c r="GM202" s="110"/>
      <c r="GN202" s="110"/>
      <c r="GO202" s="110"/>
      <c r="GP202" s="110"/>
      <c r="GQ202" s="110"/>
      <c r="GR202" s="110"/>
      <c r="GS202" s="110"/>
      <c r="GT202" s="110"/>
      <c r="GU202" s="110"/>
      <c r="GV202" s="110"/>
      <c r="GW202" s="110"/>
      <c r="GX202" s="110"/>
      <c r="GY202" s="110"/>
      <c r="GZ202" s="110"/>
      <c r="HA202" s="110"/>
      <c r="HB202" s="110"/>
      <c r="HC202" s="110"/>
      <c r="HD202" s="110"/>
      <c r="HE202" s="110"/>
      <c r="HF202" s="110"/>
      <c r="HG202" s="110"/>
      <c r="HH202" s="110"/>
      <c r="HI202" s="110"/>
      <c r="HJ202" s="110"/>
      <c r="HK202" s="110"/>
      <c r="HL202" s="110"/>
      <c r="HM202" s="110"/>
      <c r="HN202" s="110"/>
      <c r="HO202" s="110"/>
      <c r="HP202" s="110"/>
      <c r="HQ202" s="110"/>
      <c r="HR202" s="110"/>
      <c r="HS202" s="110"/>
      <c r="HT202" s="110"/>
      <c r="HU202" s="110"/>
      <c r="HV202" s="110"/>
      <c r="HW202" s="110"/>
      <c r="HX202" s="110"/>
      <c r="HY202" s="110"/>
      <c r="HZ202" s="110"/>
      <c r="IA202" s="110"/>
      <c r="IB202" s="110"/>
      <c r="IC202" s="110"/>
      <c r="ID202" s="110"/>
      <c r="IE202" s="110"/>
      <c r="IF202" s="110"/>
      <c r="IG202" s="110"/>
      <c r="IH202" s="110"/>
      <c r="II202" s="110"/>
      <c r="IJ202" s="110"/>
      <c r="IK202" s="110"/>
      <c r="IL202" s="110"/>
      <c r="IM202" s="110"/>
      <c r="IN202" s="110"/>
      <c r="IO202" s="110"/>
      <c r="IP202" s="110"/>
      <c r="IQ202" s="653"/>
    </row>
    <row r="203" spans="1:251" ht="16.5" hidden="1" customHeight="1">
      <c r="A203" s="648"/>
      <c r="B203" t="s">
        <v>1362</v>
      </c>
      <c r="C203" t="s">
        <v>450</v>
      </c>
      <c r="E203" t="s">
        <v>450</v>
      </c>
      <c r="F203" t="s">
        <v>1368</v>
      </c>
      <c r="H203">
        <v>31</v>
      </c>
      <c r="J203" s="214" t="str">
        <f t="shared" si="5"/>
        <v>LTT300131</v>
      </c>
      <c r="K203">
        <v>11220</v>
      </c>
      <c r="R203" s="648"/>
      <c r="V203" s="214"/>
      <c r="EE203" s="648"/>
      <c r="EF203" s="110"/>
      <c r="EG203" s="110"/>
      <c r="EH203" s="110"/>
      <c r="EI203" s="650"/>
      <c r="EJ203" s="110"/>
      <c r="EK203" s="110"/>
      <c r="EL203" s="110"/>
      <c r="EM203" s="110"/>
      <c r="EN203" s="110"/>
      <c r="EO203" s="110"/>
      <c r="EP203" s="110"/>
      <c r="EQ203" s="110"/>
      <c r="ER203" s="110"/>
      <c r="ES203" s="110"/>
      <c r="ET203" s="110"/>
      <c r="EU203" s="110"/>
      <c r="EV203" s="110"/>
      <c r="EW203" s="110"/>
      <c r="EX203" s="110"/>
      <c r="EY203" s="110"/>
      <c r="EZ203" s="110"/>
      <c r="FA203" s="110"/>
      <c r="FB203" s="110"/>
      <c r="FC203" s="110"/>
      <c r="FD203" s="110"/>
      <c r="FE203" s="110"/>
      <c r="FF203" s="110"/>
      <c r="FG203" s="110"/>
      <c r="FH203" s="110"/>
      <c r="FI203" s="110"/>
      <c r="FJ203" s="110"/>
      <c r="FK203" s="110"/>
      <c r="FL203" s="110"/>
      <c r="FM203" s="110"/>
      <c r="FN203" s="110"/>
      <c r="FO203" s="110"/>
      <c r="FP203" s="110"/>
      <c r="FQ203" s="110"/>
      <c r="FR203" s="110"/>
      <c r="FS203" s="110"/>
      <c r="FT203" s="110"/>
      <c r="FU203" s="110"/>
      <c r="FV203" s="110"/>
      <c r="FW203" s="110"/>
      <c r="FX203" s="110"/>
      <c r="FY203" s="110"/>
      <c r="FZ203" s="110"/>
      <c r="GA203" s="110"/>
      <c r="GB203" s="110"/>
      <c r="GC203" s="110"/>
      <c r="GD203" s="110"/>
      <c r="GE203" s="110"/>
      <c r="GF203" s="110"/>
      <c r="GG203" s="110"/>
      <c r="GH203" s="110"/>
      <c r="GI203" s="110"/>
      <c r="GJ203" s="110"/>
      <c r="GK203" s="110"/>
      <c r="GL203" s="110"/>
      <c r="GM203" s="110"/>
      <c r="GN203" s="110"/>
      <c r="GO203" s="110"/>
      <c r="GP203" s="110"/>
      <c r="GQ203" s="110"/>
      <c r="GR203" s="110"/>
      <c r="GS203" s="110"/>
      <c r="GT203" s="110"/>
      <c r="GU203" s="110"/>
      <c r="GV203" s="110"/>
      <c r="GW203" s="110"/>
      <c r="GX203" s="110"/>
      <c r="GY203" s="110"/>
      <c r="GZ203" s="110"/>
      <c r="HA203" s="110"/>
      <c r="HB203" s="110"/>
      <c r="HC203" s="110"/>
      <c r="HD203" s="110"/>
      <c r="HE203" s="110"/>
      <c r="HF203" s="110"/>
      <c r="HG203" s="110"/>
      <c r="HH203" s="110"/>
      <c r="HI203" s="110"/>
      <c r="HJ203" s="110"/>
      <c r="HK203" s="110"/>
      <c r="HL203" s="110"/>
      <c r="HM203" s="110"/>
      <c r="HN203" s="110"/>
      <c r="HO203" s="110"/>
      <c r="HP203" s="110"/>
      <c r="HQ203" s="110"/>
      <c r="HR203" s="110"/>
      <c r="HS203" s="110"/>
      <c r="HT203" s="110"/>
      <c r="HU203" s="110"/>
      <c r="HV203" s="110"/>
      <c r="HW203" s="110"/>
      <c r="HX203" s="110"/>
      <c r="HY203" s="110"/>
      <c r="HZ203" s="110"/>
      <c r="IA203" s="110"/>
      <c r="IB203" s="110"/>
      <c r="IC203" s="110"/>
      <c r="ID203" s="110"/>
      <c r="IE203" s="110"/>
      <c r="IF203" s="110"/>
      <c r="IG203" s="110"/>
      <c r="IH203" s="110"/>
      <c r="II203" s="110"/>
      <c r="IJ203" s="110"/>
      <c r="IK203" s="110"/>
      <c r="IL203" s="110"/>
      <c r="IM203" s="110"/>
      <c r="IN203" s="110"/>
      <c r="IO203" s="110"/>
      <c r="IP203" s="110"/>
      <c r="IQ203" s="653"/>
    </row>
    <row r="204" spans="1:251" ht="16.5" hidden="1" customHeight="1">
      <c r="A204" s="648"/>
      <c r="B204" t="s">
        <v>1362</v>
      </c>
      <c r="C204" t="s">
        <v>450</v>
      </c>
      <c r="E204" t="s">
        <v>450</v>
      </c>
      <c r="F204" t="s">
        <v>1368</v>
      </c>
      <c r="H204">
        <v>32</v>
      </c>
      <c r="J204" s="214" t="str">
        <f t="shared" si="5"/>
        <v>LTT300132</v>
      </c>
      <c r="K204">
        <v>11440</v>
      </c>
      <c r="R204" s="648"/>
      <c r="V204" s="214"/>
      <c r="EE204" s="648"/>
      <c r="EF204" s="110"/>
      <c r="EG204" s="110"/>
      <c r="EH204" s="110"/>
      <c r="EI204" s="650"/>
      <c r="EJ204" s="110"/>
      <c r="EK204" s="110"/>
      <c r="EL204" s="110"/>
      <c r="EM204" s="110"/>
      <c r="EN204" s="110"/>
      <c r="EO204" s="110"/>
      <c r="EP204" s="110"/>
      <c r="EQ204" s="110"/>
      <c r="ER204" s="110"/>
      <c r="ES204" s="110"/>
      <c r="ET204" s="110"/>
      <c r="EU204" s="110"/>
      <c r="EV204" s="110"/>
      <c r="EW204" s="110"/>
      <c r="EX204" s="110"/>
      <c r="EY204" s="110"/>
      <c r="EZ204" s="110"/>
      <c r="FA204" s="110"/>
      <c r="FB204" s="110"/>
      <c r="FC204" s="110"/>
      <c r="FD204" s="110"/>
      <c r="FE204" s="110"/>
      <c r="FF204" s="110"/>
      <c r="FG204" s="110"/>
      <c r="FH204" s="110"/>
      <c r="FI204" s="110"/>
      <c r="FJ204" s="110"/>
      <c r="FK204" s="110"/>
      <c r="FL204" s="110"/>
      <c r="FM204" s="110"/>
      <c r="FN204" s="110"/>
      <c r="FO204" s="110"/>
      <c r="FP204" s="110"/>
      <c r="FQ204" s="110"/>
      <c r="FR204" s="110"/>
      <c r="FS204" s="110"/>
      <c r="FT204" s="110"/>
      <c r="FU204" s="110"/>
      <c r="FV204" s="110"/>
      <c r="FW204" s="110"/>
      <c r="FX204" s="110"/>
      <c r="FY204" s="110"/>
      <c r="FZ204" s="110"/>
      <c r="GA204" s="110"/>
      <c r="GB204" s="110"/>
      <c r="GC204" s="110"/>
      <c r="GD204" s="110"/>
      <c r="GE204" s="110"/>
      <c r="GF204" s="110"/>
      <c r="GG204" s="110"/>
      <c r="GH204" s="110"/>
      <c r="GI204" s="110"/>
      <c r="GJ204" s="110"/>
      <c r="GK204" s="110"/>
      <c r="GL204" s="110"/>
      <c r="GM204" s="110"/>
      <c r="GN204" s="110"/>
      <c r="GO204" s="110"/>
      <c r="GP204" s="110"/>
      <c r="GQ204" s="110"/>
      <c r="GR204" s="110"/>
      <c r="GS204" s="110"/>
      <c r="GT204" s="110"/>
      <c r="GU204" s="110"/>
      <c r="GV204" s="110"/>
      <c r="GW204" s="110"/>
      <c r="GX204" s="110"/>
      <c r="GY204" s="110"/>
      <c r="GZ204" s="110"/>
      <c r="HA204" s="110"/>
      <c r="HB204" s="110"/>
      <c r="HC204" s="110"/>
      <c r="HD204" s="110"/>
      <c r="HE204" s="110"/>
      <c r="HF204" s="110"/>
      <c r="HG204" s="110"/>
      <c r="HH204" s="110"/>
      <c r="HI204" s="110"/>
      <c r="HJ204" s="110"/>
      <c r="HK204" s="110"/>
      <c r="HL204" s="110"/>
      <c r="HM204" s="110"/>
      <c r="HN204" s="110"/>
      <c r="HO204" s="110"/>
      <c r="HP204" s="110"/>
      <c r="HQ204" s="110"/>
      <c r="HR204" s="110"/>
      <c r="HS204" s="110"/>
      <c r="HT204" s="110"/>
      <c r="HU204" s="110"/>
      <c r="HV204" s="110"/>
      <c r="HW204" s="110"/>
      <c r="HX204" s="110"/>
      <c r="HY204" s="110"/>
      <c r="HZ204" s="110"/>
      <c r="IA204" s="110"/>
      <c r="IB204" s="110"/>
      <c r="IC204" s="110"/>
      <c r="ID204" s="110"/>
      <c r="IE204" s="110"/>
      <c r="IF204" s="110"/>
      <c r="IG204" s="110"/>
      <c r="IH204" s="110"/>
      <c r="II204" s="110"/>
      <c r="IJ204" s="110"/>
      <c r="IK204" s="110"/>
      <c r="IL204" s="110"/>
      <c r="IM204" s="110"/>
      <c r="IN204" s="110"/>
      <c r="IO204" s="110"/>
      <c r="IP204" s="110"/>
      <c r="IQ204" s="653"/>
    </row>
    <row r="205" spans="1:251" ht="16.5" hidden="1" customHeight="1">
      <c r="A205" s="648"/>
      <c r="B205" t="s">
        <v>1362</v>
      </c>
      <c r="C205" t="s">
        <v>450</v>
      </c>
      <c r="E205" t="s">
        <v>450</v>
      </c>
      <c r="F205" t="s">
        <v>1368</v>
      </c>
      <c r="H205">
        <v>33</v>
      </c>
      <c r="J205" s="214" t="str">
        <f t="shared" si="5"/>
        <v>LTT300133</v>
      </c>
      <c r="K205">
        <v>11660</v>
      </c>
      <c r="R205" s="648"/>
      <c r="V205" s="214"/>
      <c r="EE205" s="648"/>
      <c r="EF205" s="110"/>
      <c r="EG205" s="110"/>
      <c r="EH205" s="110"/>
      <c r="EI205" s="650"/>
      <c r="EJ205" s="110"/>
      <c r="EK205" s="110"/>
      <c r="EL205" s="110"/>
      <c r="EM205" s="110"/>
      <c r="EN205" s="110"/>
      <c r="EO205" s="110"/>
      <c r="EP205" s="110"/>
      <c r="EQ205" s="110"/>
      <c r="ER205" s="110"/>
      <c r="ES205" s="110"/>
      <c r="ET205" s="110"/>
      <c r="EU205" s="110"/>
      <c r="EV205" s="110"/>
      <c r="EW205" s="110"/>
      <c r="EX205" s="110"/>
      <c r="EY205" s="110"/>
      <c r="EZ205" s="110"/>
      <c r="FA205" s="110"/>
      <c r="FB205" s="110"/>
      <c r="FC205" s="110"/>
      <c r="FD205" s="110"/>
      <c r="FE205" s="110"/>
      <c r="FF205" s="110"/>
      <c r="FG205" s="110"/>
      <c r="FH205" s="110"/>
      <c r="FI205" s="110"/>
      <c r="FJ205" s="110"/>
      <c r="FK205" s="110"/>
      <c r="FL205" s="110"/>
      <c r="FM205" s="110"/>
      <c r="FN205" s="110"/>
      <c r="FO205" s="110"/>
      <c r="FP205" s="110"/>
      <c r="FQ205" s="110"/>
      <c r="FR205" s="110"/>
      <c r="FS205" s="110"/>
      <c r="FT205" s="110"/>
      <c r="FU205" s="110"/>
      <c r="FV205" s="110"/>
      <c r="FW205" s="110"/>
      <c r="FX205" s="110"/>
      <c r="FY205" s="110"/>
      <c r="FZ205" s="110"/>
      <c r="GA205" s="110"/>
      <c r="GB205" s="110"/>
      <c r="GC205" s="110"/>
      <c r="GD205" s="110"/>
      <c r="GE205" s="110"/>
      <c r="GF205" s="110"/>
      <c r="GG205" s="110"/>
      <c r="GH205" s="110"/>
      <c r="GI205" s="110"/>
      <c r="GJ205" s="110"/>
      <c r="GK205" s="110"/>
      <c r="GL205" s="110"/>
      <c r="GM205" s="110"/>
      <c r="GN205" s="110"/>
      <c r="GO205" s="110"/>
      <c r="GP205" s="110"/>
      <c r="GQ205" s="110"/>
      <c r="GR205" s="110"/>
      <c r="GS205" s="110"/>
      <c r="GT205" s="110"/>
      <c r="GU205" s="110"/>
      <c r="GV205" s="110"/>
      <c r="GW205" s="110"/>
      <c r="GX205" s="110"/>
      <c r="GY205" s="110"/>
      <c r="GZ205" s="110"/>
      <c r="HA205" s="110"/>
      <c r="HB205" s="110"/>
      <c r="HC205" s="110"/>
      <c r="HD205" s="110"/>
      <c r="HE205" s="110"/>
      <c r="HF205" s="110"/>
      <c r="HG205" s="110"/>
      <c r="HH205" s="110"/>
      <c r="HI205" s="110"/>
      <c r="HJ205" s="110"/>
      <c r="HK205" s="110"/>
      <c r="HL205" s="110"/>
      <c r="HM205" s="110"/>
      <c r="HN205" s="110"/>
      <c r="HO205" s="110"/>
      <c r="HP205" s="110"/>
      <c r="HQ205" s="110"/>
      <c r="HR205" s="110"/>
      <c r="HS205" s="110"/>
      <c r="HT205" s="110"/>
      <c r="HU205" s="110"/>
      <c r="HV205" s="110"/>
      <c r="HW205" s="110"/>
      <c r="HX205" s="110"/>
      <c r="HY205" s="110"/>
      <c r="HZ205" s="110"/>
      <c r="IA205" s="110"/>
      <c r="IB205" s="110"/>
      <c r="IC205" s="110"/>
      <c r="ID205" s="110"/>
      <c r="IE205" s="110"/>
      <c r="IF205" s="110"/>
      <c r="IG205" s="110"/>
      <c r="IH205" s="110"/>
      <c r="II205" s="110"/>
      <c r="IJ205" s="110"/>
      <c r="IK205" s="110"/>
      <c r="IL205" s="110"/>
      <c r="IM205" s="110"/>
      <c r="IN205" s="110"/>
      <c r="IO205" s="110"/>
      <c r="IP205" s="110"/>
      <c r="IQ205" s="653"/>
    </row>
    <row r="206" spans="1:251" ht="16.5" hidden="1" customHeight="1">
      <c r="A206" s="648"/>
      <c r="B206" t="s">
        <v>1362</v>
      </c>
      <c r="C206" t="s">
        <v>450</v>
      </c>
      <c r="E206" t="s">
        <v>450</v>
      </c>
      <c r="F206" t="s">
        <v>1368</v>
      </c>
      <c r="H206">
        <v>34</v>
      </c>
      <c r="J206" s="214" t="str">
        <f t="shared" si="5"/>
        <v>LTT300134</v>
      </c>
      <c r="K206">
        <v>11880</v>
      </c>
      <c r="R206" s="648"/>
      <c r="V206" s="214"/>
      <c r="EE206" s="648"/>
      <c r="EF206" s="110"/>
      <c r="EG206" s="110"/>
      <c r="EH206" s="110"/>
      <c r="EI206" s="650"/>
      <c r="EJ206" s="110"/>
      <c r="EK206" s="110"/>
      <c r="EL206" s="110"/>
      <c r="EM206" s="110"/>
      <c r="EN206" s="110"/>
      <c r="EO206" s="110"/>
      <c r="EP206" s="110"/>
      <c r="EQ206" s="110"/>
      <c r="ER206" s="110"/>
      <c r="ES206" s="110"/>
      <c r="ET206" s="110"/>
      <c r="EU206" s="110"/>
      <c r="EV206" s="110"/>
      <c r="EW206" s="110"/>
      <c r="EX206" s="110"/>
      <c r="EY206" s="110"/>
      <c r="EZ206" s="110"/>
      <c r="FA206" s="110"/>
      <c r="FB206" s="110"/>
      <c r="FC206" s="110"/>
      <c r="FD206" s="110"/>
      <c r="FE206" s="110"/>
      <c r="FF206" s="110"/>
      <c r="FG206" s="110"/>
      <c r="FH206" s="110"/>
      <c r="FI206" s="110"/>
      <c r="FJ206" s="110"/>
      <c r="FK206" s="110"/>
      <c r="FL206" s="110"/>
      <c r="FM206" s="110"/>
      <c r="FN206" s="110"/>
      <c r="FO206" s="110"/>
      <c r="FP206" s="110"/>
      <c r="FQ206" s="110"/>
      <c r="FR206" s="110"/>
      <c r="FS206" s="110"/>
      <c r="FT206" s="110"/>
      <c r="FU206" s="110"/>
      <c r="FV206" s="110"/>
      <c r="FW206" s="110"/>
      <c r="FX206" s="110"/>
      <c r="FY206" s="110"/>
      <c r="FZ206" s="110"/>
      <c r="GA206" s="110"/>
      <c r="GB206" s="110"/>
      <c r="GC206" s="110"/>
      <c r="GD206" s="110"/>
      <c r="GE206" s="110"/>
      <c r="GF206" s="110"/>
      <c r="GG206" s="110"/>
      <c r="GH206" s="110"/>
      <c r="GI206" s="110"/>
      <c r="GJ206" s="110"/>
      <c r="GK206" s="110"/>
      <c r="GL206" s="110"/>
      <c r="GM206" s="110"/>
      <c r="GN206" s="110"/>
      <c r="GO206" s="110"/>
      <c r="GP206" s="110"/>
      <c r="GQ206" s="110"/>
      <c r="GR206" s="110"/>
      <c r="GS206" s="110"/>
      <c r="GT206" s="110"/>
      <c r="GU206" s="110"/>
      <c r="GV206" s="110"/>
      <c r="GW206" s="110"/>
      <c r="GX206" s="110"/>
      <c r="GY206" s="110"/>
      <c r="GZ206" s="110"/>
      <c r="HA206" s="110"/>
      <c r="HB206" s="110"/>
      <c r="HC206" s="110"/>
      <c r="HD206" s="110"/>
      <c r="HE206" s="110"/>
      <c r="HF206" s="110"/>
      <c r="HG206" s="110"/>
      <c r="HH206" s="110"/>
      <c r="HI206" s="110"/>
      <c r="HJ206" s="110"/>
      <c r="HK206" s="110"/>
      <c r="HL206" s="110"/>
      <c r="HM206" s="110"/>
      <c r="HN206" s="110"/>
      <c r="HO206" s="110"/>
      <c r="HP206" s="110"/>
      <c r="HQ206" s="110"/>
      <c r="HR206" s="110"/>
      <c r="HS206" s="110"/>
      <c r="HT206" s="110"/>
      <c r="HU206" s="110"/>
      <c r="HV206" s="110"/>
      <c r="HW206" s="110"/>
      <c r="HX206" s="110"/>
      <c r="HY206" s="110"/>
      <c r="HZ206" s="110"/>
      <c r="IA206" s="110"/>
      <c r="IB206" s="110"/>
      <c r="IC206" s="110"/>
      <c r="ID206" s="110"/>
      <c r="IE206" s="110"/>
      <c r="IF206" s="110"/>
      <c r="IG206" s="110"/>
      <c r="IH206" s="110"/>
      <c r="II206" s="110"/>
      <c r="IJ206" s="110"/>
      <c r="IK206" s="110"/>
      <c r="IL206" s="110"/>
      <c r="IM206" s="110"/>
      <c r="IN206" s="110"/>
      <c r="IO206" s="110"/>
      <c r="IP206" s="110"/>
      <c r="IQ206" s="653"/>
    </row>
    <row r="207" spans="1:251" ht="16.5" hidden="1" customHeight="1">
      <c r="A207" s="648"/>
      <c r="B207" t="s">
        <v>1362</v>
      </c>
      <c r="C207" t="s">
        <v>450</v>
      </c>
      <c r="E207" t="s">
        <v>450</v>
      </c>
      <c r="F207" t="s">
        <v>1368</v>
      </c>
      <c r="H207">
        <v>35</v>
      </c>
      <c r="J207" s="214" t="str">
        <f t="shared" si="5"/>
        <v>LTT300135</v>
      </c>
      <c r="K207">
        <v>12100</v>
      </c>
      <c r="R207" s="648"/>
      <c r="V207" s="214"/>
      <c r="EE207" s="648"/>
      <c r="EF207" s="110"/>
      <c r="EG207" s="110"/>
      <c r="EH207" s="110"/>
      <c r="EI207" s="650"/>
      <c r="EJ207" s="110"/>
      <c r="EK207" s="110"/>
      <c r="EL207" s="110"/>
      <c r="EM207" s="110"/>
      <c r="EN207" s="110"/>
      <c r="EO207" s="110"/>
      <c r="EP207" s="110"/>
      <c r="EQ207" s="110"/>
      <c r="ER207" s="110"/>
      <c r="ES207" s="110"/>
      <c r="ET207" s="110"/>
      <c r="EU207" s="110"/>
      <c r="EV207" s="110"/>
      <c r="EW207" s="110"/>
      <c r="EX207" s="110"/>
      <c r="EY207" s="110"/>
      <c r="EZ207" s="110"/>
      <c r="FA207" s="110"/>
      <c r="FB207" s="110"/>
      <c r="FC207" s="110"/>
      <c r="FD207" s="110"/>
      <c r="FE207" s="110"/>
      <c r="FF207" s="110"/>
      <c r="FG207" s="110"/>
      <c r="FH207" s="110"/>
      <c r="FI207" s="110"/>
      <c r="FJ207" s="110"/>
      <c r="FK207" s="110"/>
      <c r="FL207" s="110"/>
      <c r="FM207" s="110"/>
      <c r="FN207" s="110"/>
      <c r="FO207" s="110"/>
      <c r="FP207" s="110"/>
      <c r="FQ207" s="110"/>
      <c r="FR207" s="110"/>
      <c r="FS207" s="110"/>
      <c r="FT207" s="110"/>
      <c r="FU207" s="110"/>
      <c r="FV207" s="110"/>
      <c r="FW207" s="110"/>
      <c r="FX207" s="110"/>
      <c r="FY207" s="110"/>
      <c r="FZ207" s="110"/>
      <c r="GA207" s="110"/>
      <c r="GB207" s="110"/>
      <c r="GC207" s="110"/>
      <c r="GD207" s="110"/>
      <c r="GE207" s="110"/>
      <c r="GF207" s="110"/>
      <c r="GG207" s="110"/>
      <c r="GH207" s="110"/>
      <c r="GI207" s="110"/>
      <c r="GJ207" s="110"/>
      <c r="GK207" s="110"/>
      <c r="GL207" s="110"/>
      <c r="GM207" s="110"/>
      <c r="GN207" s="110"/>
      <c r="GO207" s="110"/>
      <c r="GP207" s="110"/>
      <c r="GQ207" s="110"/>
      <c r="GR207" s="110"/>
      <c r="GS207" s="110"/>
      <c r="GT207" s="110"/>
      <c r="GU207" s="110"/>
      <c r="GV207" s="110"/>
      <c r="GW207" s="110"/>
      <c r="GX207" s="110"/>
      <c r="GY207" s="110"/>
      <c r="GZ207" s="110"/>
      <c r="HA207" s="110"/>
      <c r="HB207" s="110"/>
      <c r="HC207" s="110"/>
      <c r="HD207" s="110"/>
      <c r="HE207" s="110"/>
      <c r="HF207" s="110"/>
      <c r="HG207" s="110"/>
      <c r="HH207" s="110"/>
      <c r="HI207" s="110"/>
      <c r="HJ207" s="110"/>
      <c r="HK207" s="110"/>
      <c r="HL207" s="110"/>
      <c r="HM207" s="110"/>
      <c r="HN207" s="110"/>
      <c r="HO207" s="110"/>
      <c r="HP207" s="110"/>
      <c r="HQ207" s="110"/>
      <c r="HR207" s="110"/>
      <c r="HS207" s="110"/>
      <c r="HT207" s="110"/>
      <c r="HU207" s="110"/>
      <c r="HV207" s="110"/>
      <c r="HW207" s="110"/>
      <c r="HX207" s="110"/>
      <c r="HY207" s="110"/>
      <c r="HZ207" s="110"/>
      <c r="IA207" s="110"/>
      <c r="IB207" s="110"/>
      <c r="IC207" s="110"/>
      <c r="ID207" s="110"/>
      <c r="IE207" s="110"/>
      <c r="IF207" s="110"/>
      <c r="IG207" s="110"/>
      <c r="IH207" s="110"/>
      <c r="II207" s="110"/>
      <c r="IJ207" s="110"/>
      <c r="IK207" s="110"/>
      <c r="IL207" s="110"/>
      <c r="IM207" s="110"/>
      <c r="IN207" s="110"/>
      <c r="IO207" s="110"/>
      <c r="IP207" s="110"/>
      <c r="IQ207" s="653"/>
    </row>
    <row r="208" spans="1:251" ht="16.5" hidden="1" customHeight="1">
      <c r="A208" s="648"/>
      <c r="B208" t="s">
        <v>1362</v>
      </c>
      <c r="C208" t="s">
        <v>450</v>
      </c>
      <c r="E208" t="s">
        <v>450</v>
      </c>
      <c r="F208" t="s">
        <v>1368</v>
      </c>
      <c r="H208">
        <v>36</v>
      </c>
      <c r="J208" s="214" t="str">
        <f t="shared" si="5"/>
        <v>LTT300136</v>
      </c>
      <c r="K208">
        <v>12370</v>
      </c>
      <c r="R208" s="648"/>
      <c r="V208" s="214"/>
      <c r="EE208" s="648"/>
      <c r="EF208" s="110"/>
      <c r="EG208" s="110"/>
      <c r="EH208" s="110"/>
      <c r="EI208" s="650"/>
      <c r="EJ208" s="110"/>
      <c r="EK208" s="110"/>
      <c r="EL208" s="110"/>
      <c r="EM208" s="110"/>
      <c r="EN208" s="110"/>
      <c r="EO208" s="110"/>
      <c r="EP208" s="110"/>
      <c r="EQ208" s="110"/>
      <c r="ER208" s="110"/>
      <c r="ES208" s="110"/>
      <c r="ET208" s="110"/>
      <c r="EU208" s="110"/>
      <c r="EV208" s="110"/>
      <c r="EW208" s="110"/>
      <c r="EX208" s="110"/>
      <c r="EY208" s="110"/>
      <c r="EZ208" s="110"/>
      <c r="FA208" s="110"/>
      <c r="FB208" s="110"/>
      <c r="FC208" s="110"/>
      <c r="FD208" s="110"/>
      <c r="FE208" s="110"/>
      <c r="FF208" s="110"/>
      <c r="FG208" s="110"/>
      <c r="FH208" s="110"/>
      <c r="FI208" s="110"/>
      <c r="FJ208" s="110"/>
      <c r="FK208" s="110"/>
      <c r="FL208" s="110"/>
      <c r="FM208" s="110"/>
      <c r="FN208" s="110"/>
      <c r="FO208" s="110"/>
      <c r="FP208" s="110"/>
      <c r="FQ208" s="110"/>
      <c r="FR208" s="110"/>
      <c r="FS208" s="110"/>
      <c r="FT208" s="110"/>
      <c r="FU208" s="110"/>
      <c r="FV208" s="110"/>
      <c r="FW208" s="110"/>
      <c r="FX208" s="110"/>
      <c r="FY208" s="110"/>
      <c r="FZ208" s="110"/>
      <c r="GA208" s="110"/>
      <c r="GB208" s="110"/>
      <c r="GC208" s="110"/>
      <c r="GD208" s="110"/>
      <c r="GE208" s="110"/>
      <c r="GF208" s="110"/>
      <c r="GG208" s="110"/>
      <c r="GH208" s="110"/>
      <c r="GI208" s="110"/>
      <c r="GJ208" s="110"/>
      <c r="GK208" s="110"/>
      <c r="GL208" s="110"/>
      <c r="GM208" s="110"/>
      <c r="GN208" s="110"/>
      <c r="GO208" s="110"/>
      <c r="GP208" s="110"/>
      <c r="GQ208" s="110"/>
      <c r="GR208" s="110"/>
      <c r="GS208" s="110"/>
      <c r="GT208" s="110"/>
      <c r="GU208" s="110"/>
      <c r="GV208" s="110"/>
      <c r="GW208" s="110"/>
      <c r="GX208" s="110"/>
      <c r="GY208" s="110"/>
      <c r="GZ208" s="110"/>
      <c r="HA208" s="110"/>
      <c r="HB208" s="110"/>
      <c r="HC208" s="110"/>
      <c r="HD208" s="110"/>
      <c r="HE208" s="110"/>
      <c r="HF208" s="110"/>
      <c r="HG208" s="110"/>
      <c r="HH208" s="110"/>
      <c r="HI208" s="110"/>
      <c r="HJ208" s="110"/>
      <c r="HK208" s="110"/>
      <c r="HL208" s="110"/>
      <c r="HM208" s="110"/>
      <c r="HN208" s="110"/>
      <c r="HO208" s="110"/>
      <c r="HP208" s="110"/>
      <c r="HQ208" s="110"/>
      <c r="HR208" s="110"/>
      <c r="HS208" s="110"/>
      <c r="HT208" s="110"/>
      <c r="HU208" s="110"/>
      <c r="HV208" s="110"/>
      <c r="HW208" s="110"/>
      <c r="HX208" s="110"/>
      <c r="HY208" s="110"/>
      <c r="HZ208" s="110"/>
      <c r="IA208" s="110"/>
      <c r="IB208" s="110"/>
      <c r="IC208" s="110"/>
      <c r="ID208" s="110"/>
      <c r="IE208" s="110"/>
      <c r="IF208" s="110"/>
      <c r="IG208" s="110"/>
      <c r="IH208" s="110"/>
      <c r="II208" s="110"/>
      <c r="IJ208" s="110"/>
      <c r="IK208" s="110"/>
      <c r="IL208" s="110"/>
      <c r="IM208" s="110"/>
      <c r="IN208" s="110"/>
      <c r="IO208" s="110"/>
      <c r="IP208" s="110"/>
      <c r="IQ208" s="653"/>
    </row>
    <row r="209" spans="1:251" ht="16.5" hidden="1" customHeight="1">
      <c r="A209" s="648"/>
      <c r="B209" t="s">
        <v>1362</v>
      </c>
      <c r="C209" t="s">
        <v>450</v>
      </c>
      <c r="E209" t="s">
        <v>450</v>
      </c>
      <c r="F209" t="s">
        <v>1368</v>
      </c>
      <c r="H209">
        <v>37</v>
      </c>
      <c r="J209" s="214" t="str">
        <f t="shared" si="5"/>
        <v>LTT300137</v>
      </c>
      <c r="K209">
        <v>12590</v>
      </c>
      <c r="R209" s="648"/>
      <c r="V209" s="214"/>
      <c r="EE209" s="648"/>
      <c r="EF209" s="110"/>
      <c r="EG209" s="110"/>
      <c r="EH209" s="110"/>
      <c r="EI209" s="650"/>
      <c r="EJ209" s="110"/>
      <c r="EK209" s="110"/>
      <c r="EL209" s="110"/>
      <c r="EM209" s="110"/>
      <c r="EN209" s="110"/>
      <c r="EO209" s="110"/>
      <c r="EP209" s="110"/>
      <c r="EQ209" s="110"/>
      <c r="ER209" s="110"/>
      <c r="ES209" s="110"/>
      <c r="ET209" s="110"/>
      <c r="EU209" s="110"/>
      <c r="EV209" s="110"/>
      <c r="EW209" s="110"/>
      <c r="EX209" s="110"/>
      <c r="EY209" s="110"/>
      <c r="EZ209" s="110"/>
      <c r="FA209" s="110"/>
      <c r="FB209" s="110"/>
      <c r="FC209" s="110"/>
      <c r="FD209" s="110"/>
      <c r="FE209" s="110"/>
      <c r="FF209" s="110"/>
      <c r="FG209" s="110"/>
      <c r="FH209" s="110"/>
      <c r="FI209" s="110"/>
      <c r="FJ209" s="110"/>
      <c r="FK209" s="110"/>
      <c r="FL209" s="110"/>
      <c r="FM209" s="110"/>
      <c r="FN209" s="110"/>
      <c r="FO209" s="110"/>
      <c r="FP209" s="110"/>
      <c r="FQ209" s="110"/>
      <c r="FR209" s="110"/>
      <c r="FS209" s="110"/>
      <c r="FT209" s="110"/>
      <c r="FU209" s="110"/>
      <c r="FV209" s="110"/>
      <c r="FW209" s="110"/>
      <c r="FX209" s="110"/>
      <c r="FY209" s="110"/>
      <c r="FZ209" s="110"/>
      <c r="GA209" s="110"/>
      <c r="GB209" s="110"/>
      <c r="GC209" s="110"/>
      <c r="GD209" s="110"/>
      <c r="GE209" s="110"/>
      <c r="GF209" s="110"/>
      <c r="GG209" s="110"/>
      <c r="GH209" s="110"/>
      <c r="GI209" s="110"/>
      <c r="GJ209" s="110"/>
      <c r="GK209" s="110"/>
      <c r="GL209" s="110"/>
      <c r="GM209" s="110"/>
      <c r="GN209" s="110"/>
      <c r="GO209" s="110"/>
      <c r="GP209" s="110"/>
      <c r="GQ209" s="110"/>
      <c r="GR209" s="110"/>
      <c r="GS209" s="110"/>
      <c r="GT209" s="110"/>
      <c r="GU209" s="110"/>
      <c r="GV209" s="110"/>
      <c r="GW209" s="110"/>
      <c r="GX209" s="110"/>
      <c r="GY209" s="110"/>
      <c r="GZ209" s="110"/>
      <c r="HA209" s="110"/>
      <c r="HB209" s="110"/>
      <c r="HC209" s="110"/>
      <c r="HD209" s="110"/>
      <c r="HE209" s="110"/>
      <c r="HF209" s="110"/>
      <c r="HG209" s="110"/>
      <c r="HH209" s="110"/>
      <c r="HI209" s="110"/>
      <c r="HJ209" s="110"/>
      <c r="HK209" s="110"/>
      <c r="HL209" s="110"/>
      <c r="HM209" s="110"/>
      <c r="HN209" s="110"/>
      <c r="HO209" s="110"/>
      <c r="HP209" s="110"/>
      <c r="HQ209" s="110"/>
      <c r="HR209" s="110"/>
      <c r="HS209" s="110"/>
      <c r="HT209" s="110"/>
      <c r="HU209" s="110"/>
      <c r="HV209" s="110"/>
      <c r="HW209" s="110"/>
      <c r="HX209" s="110"/>
      <c r="HY209" s="110"/>
      <c r="HZ209" s="110"/>
      <c r="IA209" s="110"/>
      <c r="IB209" s="110"/>
      <c r="IC209" s="110"/>
      <c r="ID209" s="110"/>
      <c r="IE209" s="110"/>
      <c r="IF209" s="110"/>
      <c r="IG209" s="110"/>
      <c r="IH209" s="110"/>
      <c r="II209" s="110"/>
      <c r="IJ209" s="110"/>
      <c r="IK209" s="110"/>
      <c r="IL209" s="110"/>
      <c r="IM209" s="110"/>
      <c r="IN209" s="110"/>
      <c r="IO209" s="110"/>
      <c r="IP209" s="110"/>
      <c r="IQ209" s="653"/>
    </row>
    <row r="210" spans="1:251" ht="16.5" hidden="1" customHeight="1">
      <c r="A210" s="648"/>
      <c r="B210" t="s">
        <v>1362</v>
      </c>
      <c r="C210" t="s">
        <v>450</v>
      </c>
      <c r="E210" t="s">
        <v>450</v>
      </c>
      <c r="F210" t="s">
        <v>1368</v>
      </c>
      <c r="H210">
        <v>38</v>
      </c>
      <c r="J210" s="214" t="str">
        <f t="shared" si="5"/>
        <v>LTT300138</v>
      </c>
      <c r="K210">
        <v>12860</v>
      </c>
      <c r="R210" s="648"/>
      <c r="V210" s="214"/>
      <c r="EE210" s="648"/>
      <c r="EF210" s="110"/>
      <c r="EG210" s="110"/>
      <c r="EH210" s="110"/>
      <c r="EI210" s="650"/>
      <c r="EJ210" s="110"/>
      <c r="EK210" s="110"/>
      <c r="EL210" s="110"/>
      <c r="EM210" s="110"/>
      <c r="EN210" s="110"/>
      <c r="EO210" s="110"/>
      <c r="EP210" s="110"/>
      <c r="EQ210" s="110"/>
      <c r="ER210" s="110"/>
      <c r="ES210" s="110"/>
      <c r="ET210" s="110"/>
      <c r="EU210" s="110"/>
      <c r="EV210" s="110"/>
      <c r="EW210" s="110"/>
      <c r="EX210" s="110"/>
      <c r="EY210" s="110"/>
      <c r="EZ210" s="110"/>
      <c r="FA210" s="110"/>
      <c r="FB210" s="110"/>
      <c r="FC210" s="110"/>
      <c r="FD210" s="110"/>
      <c r="FE210" s="110"/>
      <c r="FF210" s="110"/>
      <c r="FG210" s="110"/>
      <c r="FH210" s="110"/>
      <c r="FI210" s="110"/>
      <c r="FJ210" s="110"/>
      <c r="FK210" s="110"/>
      <c r="FL210" s="110"/>
      <c r="FM210" s="110"/>
      <c r="FN210" s="110"/>
      <c r="FO210" s="110"/>
      <c r="FP210" s="110"/>
      <c r="FQ210" s="110"/>
      <c r="FR210" s="110"/>
      <c r="FS210" s="110"/>
      <c r="FT210" s="110"/>
      <c r="FU210" s="110"/>
      <c r="FV210" s="110"/>
      <c r="FW210" s="110"/>
      <c r="FX210" s="110"/>
      <c r="FY210" s="110"/>
      <c r="FZ210" s="110"/>
      <c r="GA210" s="110"/>
      <c r="GB210" s="110"/>
      <c r="GC210" s="110"/>
      <c r="GD210" s="110"/>
      <c r="GE210" s="110"/>
      <c r="GF210" s="110"/>
      <c r="GG210" s="110"/>
      <c r="GH210" s="110"/>
      <c r="GI210" s="110"/>
      <c r="GJ210" s="110"/>
      <c r="GK210" s="110"/>
      <c r="GL210" s="110"/>
      <c r="GM210" s="110"/>
      <c r="GN210" s="110"/>
      <c r="GO210" s="110"/>
      <c r="GP210" s="110"/>
      <c r="GQ210" s="110"/>
      <c r="GR210" s="110"/>
      <c r="GS210" s="110"/>
      <c r="GT210" s="110"/>
      <c r="GU210" s="110"/>
      <c r="GV210" s="110"/>
      <c r="GW210" s="110"/>
      <c r="GX210" s="110"/>
      <c r="GY210" s="110"/>
      <c r="GZ210" s="110"/>
      <c r="HA210" s="110"/>
      <c r="HB210" s="110"/>
      <c r="HC210" s="110"/>
      <c r="HD210" s="110"/>
      <c r="HE210" s="110"/>
      <c r="HF210" s="110"/>
      <c r="HG210" s="110"/>
      <c r="HH210" s="110"/>
      <c r="HI210" s="110"/>
      <c r="HJ210" s="110"/>
      <c r="HK210" s="110"/>
      <c r="HL210" s="110"/>
      <c r="HM210" s="110"/>
      <c r="HN210" s="110"/>
      <c r="HO210" s="110"/>
      <c r="HP210" s="110"/>
      <c r="HQ210" s="110"/>
      <c r="HR210" s="110"/>
      <c r="HS210" s="110"/>
      <c r="HT210" s="110"/>
      <c r="HU210" s="110"/>
      <c r="HV210" s="110"/>
      <c r="HW210" s="110"/>
      <c r="HX210" s="110"/>
      <c r="HY210" s="110"/>
      <c r="HZ210" s="110"/>
      <c r="IA210" s="110"/>
      <c r="IB210" s="110"/>
      <c r="IC210" s="110"/>
      <c r="ID210" s="110"/>
      <c r="IE210" s="110"/>
      <c r="IF210" s="110"/>
      <c r="IG210" s="110"/>
      <c r="IH210" s="110"/>
      <c r="II210" s="110"/>
      <c r="IJ210" s="110"/>
      <c r="IK210" s="110"/>
      <c r="IL210" s="110"/>
      <c r="IM210" s="110"/>
      <c r="IN210" s="110"/>
      <c r="IO210" s="110"/>
      <c r="IP210" s="110"/>
      <c r="IQ210" s="653"/>
    </row>
    <row r="211" spans="1:251" ht="16.5" hidden="1" customHeight="1">
      <c r="A211" s="648"/>
      <c r="B211" t="s">
        <v>1362</v>
      </c>
      <c r="C211" t="s">
        <v>450</v>
      </c>
      <c r="E211" t="s">
        <v>450</v>
      </c>
      <c r="F211" t="s">
        <v>1368</v>
      </c>
      <c r="H211">
        <v>39</v>
      </c>
      <c r="J211" s="214" t="str">
        <f t="shared" si="5"/>
        <v>LTT300139</v>
      </c>
      <c r="K211">
        <v>13130</v>
      </c>
      <c r="R211" s="648"/>
      <c r="V211" s="214"/>
      <c r="EE211" s="648"/>
      <c r="EF211" s="110"/>
      <c r="EG211" s="110"/>
      <c r="EH211" s="110"/>
      <c r="EI211" s="650"/>
      <c r="EJ211" s="110"/>
      <c r="EK211" s="110"/>
      <c r="EL211" s="110"/>
      <c r="EM211" s="110"/>
      <c r="EN211" s="110"/>
      <c r="EO211" s="110"/>
      <c r="EP211" s="110"/>
      <c r="EQ211" s="110"/>
      <c r="ER211" s="110"/>
      <c r="ES211" s="110"/>
      <c r="ET211" s="110"/>
      <c r="EU211" s="110"/>
      <c r="EV211" s="110"/>
      <c r="EW211" s="110"/>
      <c r="EX211" s="110"/>
      <c r="EY211" s="110"/>
      <c r="EZ211" s="110"/>
      <c r="FA211" s="110"/>
      <c r="FB211" s="110"/>
      <c r="FC211" s="110"/>
      <c r="FD211" s="110"/>
      <c r="FE211" s="110"/>
      <c r="FF211" s="110"/>
      <c r="FG211" s="110"/>
      <c r="FH211" s="110"/>
      <c r="FI211" s="110"/>
      <c r="FJ211" s="110"/>
      <c r="FK211" s="110"/>
      <c r="FL211" s="110"/>
      <c r="FM211" s="110"/>
      <c r="FN211" s="110"/>
      <c r="FO211" s="110"/>
      <c r="FP211" s="110"/>
      <c r="FQ211" s="110"/>
      <c r="FR211" s="110"/>
      <c r="FS211" s="110"/>
      <c r="FT211" s="110"/>
      <c r="FU211" s="110"/>
      <c r="FV211" s="110"/>
      <c r="FW211" s="110"/>
      <c r="FX211" s="110"/>
      <c r="FY211" s="110"/>
      <c r="FZ211" s="110"/>
      <c r="GA211" s="110"/>
      <c r="GB211" s="110"/>
      <c r="GC211" s="110"/>
      <c r="GD211" s="110"/>
      <c r="GE211" s="110"/>
      <c r="GF211" s="110"/>
      <c r="GG211" s="110"/>
      <c r="GH211" s="110"/>
      <c r="GI211" s="110"/>
      <c r="GJ211" s="110"/>
      <c r="GK211" s="110"/>
      <c r="GL211" s="110"/>
      <c r="GM211" s="110"/>
      <c r="GN211" s="110"/>
      <c r="GO211" s="110"/>
      <c r="GP211" s="110"/>
      <c r="GQ211" s="110"/>
      <c r="GR211" s="110"/>
      <c r="GS211" s="110"/>
      <c r="GT211" s="110"/>
      <c r="GU211" s="110"/>
      <c r="GV211" s="110"/>
      <c r="GW211" s="110"/>
      <c r="GX211" s="110"/>
      <c r="GY211" s="110"/>
      <c r="GZ211" s="110"/>
      <c r="HA211" s="110"/>
      <c r="HB211" s="110"/>
      <c r="HC211" s="110"/>
      <c r="HD211" s="110"/>
      <c r="HE211" s="110"/>
      <c r="HF211" s="110"/>
      <c r="HG211" s="110"/>
      <c r="HH211" s="110"/>
      <c r="HI211" s="110"/>
      <c r="HJ211" s="110"/>
      <c r="HK211" s="110"/>
      <c r="HL211" s="110"/>
      <c r="HM211" s="110"/>
      <c r="HN211" s="110"/>
      <c r="HO211" s="110"/>
      <c r="HP211" s="110"/>
      <c r="HQ211" s="110"/>
      <c r="HR211" s="110"/>
      <c r="HS211" s="110"/>
      <c r="HT211" s="110"/>
      <c r="HU211" s="110"/>
      <c r="HV211" s="110"/>
      <c r="HW211" s="110"/>
      <c r="HX211" s="110"/>
      <c r="HY211" s="110"/>
      <c r="HZ211" s="110"/>
      <c r="IA211" s="110"/>
      <c r="IB211" s="110"/>
      <c r="IC211" s="110"/>
      <c r="ID211" s="110"/>
      <c r="IE211" s="110"/>
      <c r="IF211" s="110"/>
      <c r="IG211" s="110"/>
      <c r="IH211" s="110"/>
      <c r="II211" s="110"/>
      <c r="IJ211" s="110"/>
      <c r="IK211" s="110"/>
      <c r="IL211" s="110"/>
      <c r="IM211" s="110"/>
      <c r="IN211" s="110"/>
      <c r="IO211" s="110"/>
      <c r="IP211" s="110"/>
      <c r="IQ211" s="653"/>
    </row>
    <row r="212" spans="1:251" ht="16.5" hidden="1" customHeight="1">
      <c r="A212" s="648"/>
      <c r="B212" t="s">
        <v>1362</v>
      </c>
      <c r="C212" t="s">
        <v>450</v>
      </c>
      <c r="E212" t="s">
        <v>450</v>
      </c>
      <c r="F212" t="s">
        <v>1368</v>
      </c>
      <c r="H212">
        <v>40</v>
      </c>
      <c r="J212" s="214" t="str">
        <f t="shared" si="5"/>
        <v>LTT300140</v>
      </c>
      <c r="K212">
        <v>13400</v>
      </c>
      <c r="R212" s="648"/>
      <c r="V212" s="214"/>
      <c r="EE212" s="648"/>
      <c r="EF212" s="110"/>
      <c r="EG212" s="110"/>
      <c r="EH212" s="110"/>
      <c r="EI212" s="650"/>
      <c r="EJ212" s="110"/>
      <c r="EK212" s="110"/>
      <c r="EL212" s="110"/>
      <c r="EM212" s="110"/>
      <c r="EN212" s="110"/>
      <c r="EO212" s="110"/>
      <c r="EP212" s="110"/>
      <c r="EQ212" s="110"/>
      <c r="ER212" s="110"/>
      <c r="ES212" s="110"/>
      <c r="ET212" s="110"/>
      <c r="EU212" s="110"/>
      <c r="EV212" s="110"/>
      <c r="EW212" s="110"/>
      <c r="EX212" s="110"/>
      <c r="EY212" s="110"/>
      <c r="EZ212" s="110"/>
      <c r="FA212" s="110"/>
      <c r="FB212" s="110"/>
      <c r="FC212" s="110"/>
      <c r="FD212" s="110"/>
      <c r="FE212" s="110"/>
      <c r="FF212" s="110"/>
      <c r="FG212" s="110"/>
      <c r="FH212" s="110"/>
      <c r="FI212" s="110"/>
      <c r="FJ212" s="110"/>
      <c r="FK212" s="110"/>
      <c r="FL212" s="110"/>
      <c r="FM212" s="110"/>
      <c r="FN212" s="110"/>
      <c r="FO212" s="110"/>
      <c r="FP212" s="110"/>
      <c r="FQ212" s="110"/>
      <c r="FR212" s="110"/>
      <c r="FS212" s="110"/>
      <c r="FT212" s="110"/>
      <c r="FU212" s="110"/>
      <c r="FV212" s="110"/>
      <c r="FW212" s="110"/>
      <c r="FX212" s="110"/>
      <c r="FY212" s="110"/>
      <c r="FZ212" s="110"/>
      <c r="GA212" s="110"/>
      <c r="GB212" s="110"/>
      <c r="GC212" s="110"/>
      <c r="GD212" s="110"/>
      <c r="GE212" s="110"/>
      <c r="GF212" s="110"/>
      <c r="GG212" s="110"/>
      <c r="GH212" s="110"/>
      <c r="GI212" s="110"/>
      <c r="GJ212" s="110"/>
      <c r="GK212" s="110"/>
      <c r="GL212" s="110"/>
      <c r="GM212" s="110"/>
      <c r="GN212" s="110"/>
      <c r="GO212" s="110"/>
      <c r="GP212" s="110"/>
      <c r="GQ212" s="110"/>
      <c r="GR212" s="110"/>
      <c r="GS212" s="110"/>
      <c r="GT212" s="110"/>
      <c r="GU212" s="110"/>
      <c r="GV212" s="110"/>
      <c r="GW212" s="110"/>
      <c r="GX212" s="110"/>
      <c r="GY212" s="110"/>
      <c r="GZ212" s="110"/>
      <c r="HA212" s="110"/>
      <c r="HB212" s="110"/>
      <c r="HC212" s="110"/>
      <c r="HD212" s="110"/>
      <c r="HE212" s="110"/>
      <c r="HF212" s="110"/>
      <c r="HG212" s="110"/>
      <c r="HH212" s="110"/>
      <c r="HI212" s="110"/>
      <c r="HJ212" s="110"/>
      <c r="HK212" s="110"/>
      <c r="HL212" s="110"/>
      <c r="HM212" s="110"/>
      <c r="HN212" s="110"/>
      <c r="HO212" s="110"/>
      <c r="HP212" s="110"/>
      <c r="HQ212" s="110"/>
      <c r="HR212" s="110"/>
      <c r="HS212" s="110"/>
      <c r="HT212" s="110"/>
      <c r="HU212" s="110"/>
      <c r="HV212" s="110"/>
      <c r="HW212" s="110"/>
      <c r="HX212" s="110"/>
      <c r="HY212" s="110"/>
      <c r="HZ212" s="110"/>
      <c r="IA212" s="110"/>
      <c r="IB212" s="110"/>
      <c r="IC212" s="110"/>
      <c r="ID212" s="110"/>
      <c r="IE212" s="110"/>
      <c r="IF212" s="110"/>
      <c r="IG212" s="110"/>
      <c r="IH212" s="110"/>
      <c r="II212" s="110"/>
      <c r="IJ212" s="110"/>
      <c r="IK212" s="110"/>
      <c r="IL212" s="110"/>
      <c r="IM212" s="110"/>
      <c r="IN212" s="110"/>
      <c r="IO212" s="110"/>
      <c r="IP212" s="110"/>
      <c r="IQ212" s="653"/>
    </row>
    <row r="213" spans="1:251" ht="16.5" hidden="1" customHeight="1">
      <c r="A213" s="648"/>
      <c r="B213" t="s">
        <v>1362</v>
      </c>
      <c r="C213" t="s">
        <v>450</v>
      </c>
      <c r="E213" t="s">
        <v>450</v>
      </c>
      <c r="F213" t="s">
        <v>1368</v>
      </c>
      <c r="H213">
        <v>41</v>
      </c>
      <c r="J213" s="214" t="str">
        <f t="shared" si="5"/>
        <v>LTT300141</v>
      </c>
      <c r="K213">
        <v>13740</v>
      </c>
      <c r="R213" s="648"/>
      <c r="V213" s="214"/>
      <c r="EE213" s="648"/>
      <c r="EF213" s="110"/>
      <c r="EG213" s="110"/>
      <c r="EH213" s="110"/>
      <c r="EI213" s="650"/>
      <c r="EJ213" s="110"/>
      <c r="EK213" s="110"/>
      <c r="EL213" s="110"/>
      <c r="EM213" s="110"/>
      <c r="EN213" s="110"/>
      <c r="EO213" s="110"/>
      <c r="EP213" s="110"/>
      <c r="EQ213" s="110"/>
      <c r="ER213" s="110"/>
      <c r="ES213" s="110"/>
      <c r="ET213" s="110"/>
      <c r="EU213" s="110"/>
      <c r="EV213" s="110"/>
      <c r="EW213" s="110"/>
      <c r="EX213" s="110"/>
      <c r="EY213" s="110"/>
      <c r="EZ213" s="110"/>
      <c r="FA213" s="110"/>
      <c r="FB213" s="110"/>
      <c r="FC213" s="110"/>
      <c r="FD213" s="110"/>
      <c r="FE213" s="110"/>
      <c r="FF213" s="110"/>
      <c r="FG213" s="110"/>
      <c r="FH213" s="110"/>
      <c r="FI213" s="110"/>
      <c r="FJ213" s="110"/>
      <c r="FK213" s="110"/>
      <c r="FL213" s="110"/>
      <c r="FM213" s="110"/>
      <c r="FN213" s="110"/>
      <c r="FO213" s="110"/>
      <c r="FP213" s="110"/>
      <c r="FQ213" s="110"/>
      <c r="FR213" s="110"/>
      <c r="FS213" s="110"/>
      <c r="FT213" s="110"/>
      <c r="FU213" s="110"/>
      <c r="FV213" s="110"/>
      <c r="FW213" s="110"/>
      <c r="FX213" s="110"/>
      <c r="FY213" s="110"/>
      <c r="FZ213" s="110"/>
      <c r="GA213" s="110"/>
      <c r="GB213" s="110"/>
      <c r="GC213" s="110"/>
      <c r="GD213" s="110"/>
      <c r="GE213" s="110"/>
      <c r="GF213" s="110"/>
      <c r="GG213" s="110"/>
      <c r="GH213" s="110"/>
      <c r="GI213" s="110"/>
      <c r="GJ213" s="110"/>
      <c r="GK213" s="110"/>
      <c r="GL213" s="110"/>
      <c r="GM213" s="110"/>
      <c r="GN213" s="110"/>
      <c r="GO213" s="110"/>
      <c r="GP213" s="110"/>
      <c r="GQ213" s="110"/>
      <c r="GR213" s="110"/>
      <c r="GS213" s="110"/>
      <c r="GT213" s="110"/>
      <c r="GU213" s="110"/>
      <c r="GV213" s="110"/>
      <c r="GW213" s="110"/>
      <c r="GX213" s="110"/>
      <c r="GY213" s="110"/>
      <c r="GZ213" s="110"/>
      <c r="HA213" s="110"/>
      <c r="HB213" s="110"/>
      <c r="HC213" s="110"/>
      <c r="HD213" s="110"/>
      <c r="HE213" s="110"/>
      <c r="HF213" s="110"/>
      <c r="HG213" s="110"/>
      <c r="HH213" s="110"/>
      <c r="HI213" s="110"/>
      <c r="HJ213" s="110"/>
      <c r="HK213" s="110"/>
      <c r="HL213" s="110"/>
      <c r="HM213" s="110"/>
      <c r="HN213" s="110"/>
      <c r="HO213" s="110"/>
      <c r="HP213" s="110"/>
      <c r="HQ213" s="110"/>
      <c r="HR213" s="110"/>
      <c r="HS213" s="110"/>
      <c r="HT213" s="110"/>
      <c r="HU213" s="110"/>
      <c r="HV213" s="110"/>
      <c r="HW213" s="110"/>
      <c r="HX213" s="110"/>
      <c r="HY213" s="110"/>
      <c r="HZ213" s="110"/>
      <c r="IA213" s="110"/>
      <c r="IB213" s="110"/>
      <c r="IC213" s="110"/>
      <c r="ID213" s="110"/>
      <c r="IE213" s="110"/>
      <c r="IF213" s="110"/>
      <c r="IG213" s="110"/>
      <c r="IH213" s="110"/>
      <c r="II213" s="110"/>
      <c r="IJ213" s="110"/>
      <c r="IK213" s="110"/>
      <c r="IL213" s="110"/>
      <c r="IM213" s="110"/>
      <c r="IN213" s="110"/>
      <c r="IO213" s="110"/>
      <c r="IP213" s="110"/>
      <c r="IQ213" s="653"/>
    </row>
    <row r="214" spans="1:251" ht="16.5" hidden="1" customHeight="1">
      <c r="A214" s="648"/>
      <c r="B214" t="s">
        <v>1362</v>
      </c>
      <c r="C214" t="s">
        <v>450</v>
      </c>
      <c r="E214" t="s">
        <v>450</v>
      </c>
      <c r="F214" t="s">
        <v>1368</v>
      </c>
      <c r="H214">
        <v>42</v>
      </c>
      <c r="J214" s="214" t="str">
        <f t="shared" si="5"/>
        <v>LTT300142</v>
      </c>
      <c r="K214">
        <v>14060</v>
      </c>
      <c r="R214" s="648"/>
      <c r="V214" s="214"/>
      <c r="EE214" s="648"/>
      <c r="EF214" s="110"/>
      <c r="EG214" s="110"/>
      <c r="EH214" s="110"/>
      <c r="EI214" s="650"/>
      <c r="EJ214" s="110"/>
      <c r="EK214" s="110"/>
      <c r="EL214" s="110"/>
      <c r="EM214" s="110"/>
      <c r="EN214" s="110"/>
      <c r="EO214" s="110"/>
      <c r="EP214" s="110"/>
      <c r="EQ214" s="110"/>
      <c r="ER214" s="110"/>
      <c r="ES214" s="110"/>
      <c r="ET214" s="110"/>
      <c r="EU214" s="110"/>
      <c r="EV214" s="110"/>
      <c r="EW214" s="110"/>
      <c r="EX214" s="110"/>
      <c r="EY214" s="110"/>
      <c r="EZ214" s="110"/>
      <c r="FA214" s="110"/>
      <c r="FB214" s="110"/>
      <c r="FC214" s="110"/>
      <c r="FD214" s="110"/>
      <c r="FE214" s="110"/>
      <c r="FF214" s="110"/>
      <c r="FG214" s="110"/>
      <c r="FH214" s="110"/>
      <c r="FI214" s="110"/>
      <c r="FJ214" s="110"/>
      <c r="FK214" s="110"/>
      <c r="FL214" s="110"/>
      <c r="FM214" s="110"/>
      <c r="FN214" s="110"/>
      <c r="FO214" s="110"/>
      <c r="FP214" s="110"/>
      <c r="FQ214" s="110"/>
      <c r="FR214" s="110"/>
      <c r="FS214" s="110"/>
      <c r="FT214" s="110"/>
      <c r="FU214" s="110"/>
      <c r="FV214" s="110"/>
      <c r="FW214" s="110"/>
      <c r="FX214" s="110"/>
      <c r="FY214" s="110"/>
      <c r="FZ214" s="110"/>
      <c r="GA214" s="110"/>
      <c r="GB214" s="110"/>
      <c r="GC214" s="110"/>
      <c r="GD214" s="110"/>
      <c r="GE214" s="110"/>
      <c r="GF214" s="110"/>
      <c r="GG214" s="110"/>
      <c r="GH214" s="110"/>
      <c r="GI214" s="110"/>
      <c r="GJ214" s="110"/>
      <c r="GK214" s="110"/>
      <c r="GL214" s="110"/>
      <c r="GM214" s="110"/>
      <c r="GN214" s="110"/>
      <c r="GO214" s="110"/>
      <c r="GP214" s="110"/>
      <c r="GQ214" s="110"/>
      <c r="GR214" s="110"/>
      <c r="GS214" s="110"/>
      <c r="GT214" s="110"/>
      <c r="GU214" s="110"/>
      <c r="GV214" s="110"/>
      <c r="GW214" s="110"/>
      <c r="GX214" s="110"/>
      <c r="GY214" s="110"/>
      <c r="GZ214" s="110"/>
      <c r="HA214" s="110"/>
      <c r="HB214" s="110"/>
      <c r="HC214" s="110"/>
      <c r="HD214" s="110"/>
      <c r="HE214" s="110"/>
      <c r="HF214" s="110"/>
      <c r="HG214" s="110"/>
      <c r="HH214" s="110"/>
      <c r="HI214" s="110"/>
      <c r="HJ214" s="110"/>
      <c r="HK214" s="110"/>
      <c r="HL214" s="110"/>
      <c r="HM214" s="110"/>
      <c r="HN214" s="110"/>
      <c r="HO214" s="110"/>
      <c r="HP214" s="110"/>
      <c r="HQ214" s="110"/>
      <c r="HR214" s="110"/>
      <c r="HS214" s="110"/>
      <c r="HT214" s="110"/>
      <c r="HU214" s="110"/>
      <c r="HV214" s="110"/>
      <c r="HW214" s="110"/>
      <c r="HX214" s="110"/>
      <c r="HY214" s="110"/>
      <c r="HZ214" s="110"/>
      <c r="IA214" s="110"/>
      <c r="IB214" s="110"/>
      <c r="IC214" s="110"/>
      <c r="ID214" s="110"/>
      <c r="IE214" s="110"/>
      <c r="IF214" s="110"/>
      <c r="IG214" s="110"/>
      <c r="IH214" s="110"/>
      <c r="II214" s="110"/>
      <c r="IJ214" s="110"/>
      <c r="IK214" s="110"/>
      <c r="IL214" s="110"/>
      <c r="IM214" s="110"/>
      <c r="IN214" s="110"/>
      <c r="IO214" s="110"/>
      <c r="IP214" s="110"/>
      <c r="IQ214" s="653"/>
    </row>
    <row r="215" spans="1:251" ht="16.5" hidden="1" customHeight="1">
      <c r="A215" s="648"/>
      <c r="B215" t="s">
        <v>1362</v>
      </c>
      <c r="C215" t="s">
        <v>450</v>
      </c>
      <c r="E215" t="s">
        <v>450</v>
      </c>
      <c r="F215" t="s">
        <v>1368</v>
      </c>
      <c r="H215">
        <v>43</v>
      </c>
      <c r="J215" s="214" t="str">
        <f t="shared" si="5"/>
        <v>LTT300143</v>
      </c>
      <c r="K215">
        <v>14390</v>
      </c>
      <c r="R215" s="648"/>
      <c r="V215" s="214"/>
      <c r="EE215" s="648"/>
      <c r="EF215" s="110"/>
      <c r="EG215" s="110"/>
      <c r="EH215" s="110"/>
      <c r="EI215" s="650"/>
      <c r="EJ215" s="110"/>
      <c r="EK215" s="110"/>
      <c r="EL215" s="110"/>
      <c r="EM215" s="110"/>
      <c r="EN215" s="110"/>
      <c r="EO215" s="110"/>
      <c r="EP215" s="110"/>
      <c r="EQ215" s="110"/>
      <c r="ER215" s="110"/>
      <c r="ES215" s="110"/>
      <c r="ET215" s="110"/>
      <c r="EU215" s="110"/>
      <c r="EV215" s="110"/>
      <c r="EW215" s="110"/>
      <c r="EX215" s="110"/>
      <c r="EY215" s="110"/>
      <c r="EZ215" s="110"/>
      <c r="FA215" s="110"/>
      <c r="FB215" s="110"/>
      <c r="FC215" s="110"/>
      <c r="FD215" s="110"/>
      <c r="FE215" s="110"/>
      <c r="FF215" s="110"/>
      <c r="FG215" s="110"/>
      <c r="FH215" s="110"/>
      <c r="FI215" s="110"/>
      <c r="FJ215" s="110"/>
      <c r="FK215" s="110"/>
      <c r="FL215" s="110"/>
      <c r="FM215" s="110"/>
      <c r="FN215" s="110"/>
      <c r="FO215" s="110"/>
      <c r="FP215" s="110"/>
      <c r="FQ215" s="110"/>
      <c r="FR215" s="110"/>
      <c r="FS215" s="110"/>
      <c r="FT215" s="110"/>
      <c r="FU215" s="110"/>
      <c r="FV215" s="110"/>
      <c r="FW215" s="110"/>
      <c r="FX215" s="110"/>
      <c r="FY215" s="110"/>
      <c r="FZ215" s="110"/>
      <c r="GA215" s="110"/>
      <c r="GB215" s="110"/>
      <c r="GC215" s="110"/>
      <c r="GD215" s="110"/>
      <c r="GE215" s="110"/>
      <c r="GF215" s="110"/>
      <c r="GG215" s="110"/>
      <c r="GH215" s="110"/>
      <c r="GI215" s="110"/>
      <c r="GJ215" s="110"/>
      <c r="GK215" s="110"/>
      <c r="GL215" s="110"/>
      <c r="GM215" s="110"/>
      <c r="GN215" s="110"/>
      <c r="GO215" s="110"/>
      <c r="GP215" s="110"/>
      <c r="GQ215" s="110"/>
      <c r="GR215" s="110"/>
      <c r="GS215" s="110"/>
      <c r="GT215" s="110"/>
      <c r="GU215" s="110"/>
      <c r="GV215" s="110"/>
      <c r="GW215" s="110"/>
      <c r="GX215" s="110"/>
      <c r="GY215" s="110"/>
      <c r="GZ215" s="110"/>
      <c r="HA215" s="110"/>
      <c r="HB215" s="110"/>
      <c r="HC215" s="110"/>
      <c r="HD215" s="110"/>
      <c r="HE215" s="110"/>
      <c r="HF215" s="110"/>
      <c r="HG215" s="110"/>
      <c r="HH215" s="110"/>
      <c r="HI215" s="110"/>
      <c r="HJ215" s="110"/>
      <c r="HK215" s="110"/>
      <c r="HL215" s="110"/>
      <c r="HM215" s="110"/>
      <c r="HN215" s="110"/>
      <c r="HO215" s="110"/>
      <c r="HP215" s="110"/>
      <c r="HQ215" s="110"/>
      <c r="HR215" s="110"/>
      <c r="HS215" s="110"/>
      <c r="HT215" s="110"/>
      <c r="HU215" s="110"/>
      <c r="HV215" s="110"/>
      <c r="HW215" s="110"/>
      <c r="HX215" s="110"/>
      <c r="HY215" s="110"/>
      <c r="HZ215" s="110"/>
      <c r="IA215" s="110"/>
      <c r="IB215" s="110"/>
      <c r="IC215" s="110"/>
      <c r="ID215" s="110"/>
      <c r="IE215" s="110"/>
      <c r="IF215" s="110"/>
      <c r="IG215" s="110"/>
      <c r="IH215" s="110"/>
      <c r="II215" s="110"/>
      <c r="IJ215" s="110"/>
      <c r="IK215" s="110"/>
      <c r="IL215" s="110"/>
      <c r="IM215" s="110"/>
      <c r="IN215" s="110"/>
      <c r="IO215" s="110"/>
      <c r="IP215" s="110"/>
      <c r="IQ215" s="653"/>
    </row>
    <row r="216" spans="1:251" ht="16.5" hidden="1" customHeight="1">
      <c r="A216" s="648"/>
      <c r="B216" t="s">
        <v>1362</v>
      </c>
      <c r="C216" t="s">
        <v>450</v>
      </c>
      <c r="E216" t="s">
        <v>450</v>
      </c>
      <c r="F216" t="s">
        <v>1368</v>
      </c>
      <c r="H216">
        <v>44</v>
      </c>
      <c r="J216" s="214" t="str">
        <f t="shared" si="5"/>
        <v>LTT300144</v>
      </c>
      <c r="K216">
        <v>14780</v>
      </c>
      <c r="R216" s="648"/>
      <c r="V216" s="214"/>
      <c r="EE216" s="648"/>
      <c r="EF216" s="110"/>
      <c r="EG216" s="110"/>
      <c r="EH216" s="110"/>
      <c r="EI216" s="650"/>
      <c r="EJ216" s="110"/>
      <c r="EK216" s="110"/>
      <c r="EL216" s="110"/>
      <c r="EM216" s="110"/>
      <c r="EN216" s="110"/>
      <c r="EO216" s="110"/>
      <c r="EP216" s="110"/>
      <c r="EQ216" s="110"/>
      <c r="ER216" s="110"/>
      <c r="ES216" s="110"/>
      <c r="ET216" s="110"/>
      <c r="EU216" s="110"/>
      <c r="EV216" s="110"/>
      <c r="EW216" s="110"/>
      <c r="EX216" s="110"/>
      <c r="EY216" s="110"/>
      <c r="EZ216" s="110"/>
      <c r="FA216" s="110"/>
      <c r="FB216" s="110"/>
      <c r="FC216" s="110"/>
      <c r="FD216" s="110"/>
      <c r="FE216" s="110"/>
      <c r="FF216" s="110"/>
      <c r="FG216" s="110"/>
      <c r="FH216" s="110"/>
      <c r="FI216" s="110"/>
      <c r="FJ216" s="110"/>
      <c r="FK216" s="110"/>
      <c r="FL216" s="110"/>
      <c r="FM216" s="110"/>
      <c r="FN216" s="110"/>
      <c r="FO216" s="110"/>
      <c r="FP216" s="110"/>
      <c r="FQ216" s="110"/>
      <c r="FR216" s="110"/>
      <c r="FS216" s="110"/>
      <c r="FT216" s="110"/>
      <c r="FU216" s="110"/>
      <c r="FV216" s="110"/>
      <c r="FW216" s="110"/>
      <c r="FX216" s="110"/>
      <c r="FY216" s="110"/>
      <c r="FZ216" s="110"/>
      <c r="GA216" s="110"/>
      <c r="GB216" s="110"/>
      <c r="GC216" s="110"/>
      <c r="GD216" s="110"/>
      <c r="GE216" s="110"/>
      <c r="GF216" s="110"/>
      <c r="GG216" s="110"/>
      <c r="GH216" s="110"/>
      <c r="GI216" s="110"/>
      <c r="GJ216" s="110"/>
      <c r="GK216" s="110"/>
      <c r="GL216" s="110"/>
      <c r="GM216" s="110"/>
      <c r="GN216" s="110"/>
      <c r="GO216" s="110"/>
      <c r="GP216" s="110"/>
      <c r="GQ216" s="110"/>
      <c r="GR216" s="110"/>
      <c r="GS216" s="110"/>
      <c r="GT216" s="110"/>
      <c r="GU216" s="110"/>
      <c r="GV216" s="110"/>
      <c r="GW216" s="110"/>
      <c r="GX216" s="110"/>
      <c r="GY216" s="110"/>
      <c r="GZ216" s="110"/>
      <c r="HA216" s="110"/>
      <c r="HB216" s="110"/>
      <c r="HC216" s="110"/>
      <c r="HD216" s="110"/>
      <c r="HE216" s="110"/>
      <c r="HF216" s="110"/>
      <c r="HG216" s="110"/>
      <c r="HH216" s="110"/>
      <c r="HI216" s="110"/>
      <c r="HJ216" s="110"/>
      <c r="HK216" s="110"/>
      <c r="HL216" s="110"/>
      <c r="HM216" s="110"/>
      <c r="HN216" s="110"/>
      <c r="HO216" s="110"/>
      <c r="HP216" s="110"/>
      <c r="HQ216" s="110"/>
      <c r="HR216" s="110"/>
      <c r="HS216" s="110"/>
      <c r="HT216" s="110"/>
      <c r="HU216" s="110"/>
      <c r="HV216" s="110"/>
      <c r="HW216" s="110"/>
      <c r="HX216" s="110"/>
      <c r="HY216" s="110"/>
      <c r="HZ216" s="110"/>
      <c r="IA216" s="110"/>
      <c r="IB216" s="110"/>
      <c r="IC216" s="110"/>
      <c r="ID216" s="110"/>
      <c r="IE216" s="110"/>
      <c r="IF216" s="110"/>
      <c r="IG216" s="110"/>
      <c r="IH216" s="110"/>
      <c r="II216" s="110"/>
      <c r="IJ216" s="110"/>
      <c r="IK216" s="110"/>
      <c r="IL216" s="110"/>
      <c r="IM216" s="110"/>
      <c r="IN216" s="110"/>
      <c r="IO216" s="110"/>
      <c r="IP216" s="110"/>
      <c r="IQ216" s="653"/>
    </row>
    <row r="217" spans="1:251" ht="16.5" hidden="1" customHeight="1">
      <c r="A217" s="648"/>
      <c r="B217" t="s">
        <v>1362</v>
      </c>
      <c r="C217" t="s">
        <v>450</v>
      </c>
      <c r="E217" t="s">
        <v>450</v>
      </c>
      <c r="F217" t="s">
        <v>1368</v>
      </c>
      <c r="H217">
        <v>45</v>
      </c>
      <c r="J217" s="214" t="str">
        <f t="shared" si="5"/>
        <v>LTT300145</v>
      </c>
      <c r="K217">
        <v>15220</v>
      </c>
      <c r="R217" s="648"/>
      <c r="V217" s="214"/>
      <c r="EE217" s="648"/>
      <c r="EF217" s="110"/>
      <c r="EG217" s="110"/>
      <c r="EH217" s="110"/>
      <c r="EI217" s="650"/>
      <c r="EJ217" s="110"/>
      <c r="EK217" s="110"/>
      <c r="EL217" s="110"/>
      <c r="EM217" s="110"/>
      <c r="EN217" s="110"/>
      <c r="EO217" s="110"/>
      <c r="EP217" s="110"/>
      <c r="EQ217" s="110"/>
      <c r="ER217" s="110"/>
      <c r="ES217" s="110"/>
      <c r="ET217" s="110"/>
      <c r="EU217" s="110"/>
      <c r="EV217" s="110"/>
      <c r="EW217" s="110"/>
      <c r="EX217" s="110"/>
      <c r="EY217" s="110"/>
      <c r="EZ217" s="110"/>
      <c r="FA217" s="110"/>
      <c r="FB217" s="110"/>
      <c r="FC217" s="110"/>
      <c r="FD217" s="110"/>
      <c r="FE217" s="110"/>
      <c r="FF217" s="110"/>
      <c r="FG217" s="110"/>
      <c r="FH217" s="110"/>
      <c r="FI217" s="110"/>
      <c r="FJ217" s="110"/>
      <c r="FK217" s="110"/>
      <c r="FL217" s="110"/>
      <c r="FM217" s="110"/>
      <c r="FN217" s="110"/>
      <c r="FO217" s="110"/>
      <c r="FP217" s="110"/>
      <c r="FQ217" s="110"/>
      <c r="FR217" s="110"/>
      <c r="FS217" s="110"/>
      <c r="FT217" s="110"/>
      <c r="FU217" s="110"/>
      <c r="FV217" s="110"/>
      <c r="FW217" s="110"/>
      <c r="FX217" s="110"/>
      <c r="FY217" s="110"/>
      <c r="FZ217" s="110"/>
      <c r="GA217" s="110"/>
      <c r="GB217" s="110"/>
      <c r="GC217" s="110"/>
      <c r="GD217" s="110"/>
      <c r="GE217" s="110"/>
      <c r="GF217" s="110"/>
      <c r="GG217" s="110"/>
      <c r="GH217" s="110"/>
      <c r="GI217" s="110"/>
      <c r="GJ217" s="110"/>
      <c r="GK217" s="110"/>
      <c r="GL217" s="110"/>
      <c r="GM217" s="110"/>
      <c r="GN217" s="110"/>
      <c r="GO217" s="110"/>
      <c r="GP217" s="110"/>
      <c r="GQ217" s="110"/>
      <c r="GR217" s="110"/>
      <c r="GS217" s="110"/>
      <c r="GT217" s="110"/>
      <c r="GU217" s="110"/>
      <c r="GV217" s="110"/>
      <c r="GW217" s="110"/>
      <c r="GX217" s="110"/>
      <c r="GY217" s="110"/>
      <c r="GZ217" s="110"/>
      <c r="HA217" s="110"/>
      <c r="HB217" s="110"/>
      <c r="HC217" s="110"/>
      <c r="HD217" s="110"/>
      <c r="HE217" s="110"/>
      <c r="HF217" s="110"/>
      <c r="HG217" s="110"/>
      <c r="HH217" s="110"/>
      <c r="HI217" s="110"/>
      <c r="HJ217" s="110"/>
      <c r="HK217" s="110"/>
      <c r="HL217" s="110"/>
      <c r="HM217" s="110"/>
      <c r="HN217" s="110"/>
      <c r="HO217" s="110"/>
      <c r="HP217" s="110"/>
      <c r="HQ217" s="110"/>
      <c r="HR217" s="110"/>
      <c r="HS217" s="110"/>
      <c r="HT217" s="110"/>
      <c r="HU217" s="110"/>
      <c r="HV217" s="110"/>
      <c r="HW217" s="110"/>
      <c r="HX217" s="110"/>
      <c r="HY217" s="110"/>
      <c r="HZ217" s="110"/>
      <c r="IA217" s="110"/>
      <c r="IB217" s="110"/>
      <c r="IC217" s="110"/>
      <c r="ID217" s="110"/>
      <c r="IE217" s="110"/>
      <c r="IF217" s="110"/>
      <c r="IG217" s="110"/>
      <c r="IH217" s="110"/>
      <c r="II217" s="110"/>
      <c r="IJ217" s="110"/>
      <c r="IK217" s="110"/>
      <c r="IL217" s="110"/>
      <c r="IM217" s="110"/>
      <c r="IN217" s="110"/>
      <c r="IO217" s="110"/>
      <c r="IP217" s="110"/>
      <c r="IQ217" s="653"/>
    </row>
    <row r="218" spans="1:251" ht="16.5" hidden="1" customHeight="1">
      <c r="A218" s="648"/>
      <c r="B218" t="s">
        <v>1362</v>
      </c>
      <c r="C218" t="s">
        <v>450</v>
      </c>
      <c r="E218" t="s">
        <v>450</v>
      </c>
      <c r="F218" t="s">
        <v>1369</v>
      </c>
      <c r="H218">
        <v>15</v>
      </c>
      <c r="J218" s="214" t="str">
        <f t="shared" si="5"/>
        <v>LTT300215</v>
      </c>
      <c r="K218">
        <v>11440</v>
      </c>
      <c r="R218" s="648"/>
      <c r="V218" s="214"/>
      <c r="EE218" s="648"/>
      <c r="EF218" s="110"/>
      <c r="EG218" s="110"/>
      <c r="EH218" s="110"/>
      <c r="EI218" s="650"/>
      <c r="EJ218" s="110"/>
      <c r="EK218" s="110"/>
      <c r="EL218" s="110"/>
      <c r="EM218" s="110"/>
      <c r="EN218" s="110"/>
      <c r="EO218" s="110"/>
      <c r="EP218" s="110"/>
      <c r="EQ218" s="110"/>
      <c r="ER218" s="110"/>
      <c r="ES218" s="110"/>
      <c r="ET218" s="110"/>
      <c r="EU218" s="110"/>
      <c r="EV218" s="110"/>
      <c r="EW218" s="110"/>
      <c r="EX218" s="110"/>
      <c r="EY218" s="110"/>
      <c r="EZ218" s="110"/>
      <c r="FA218" s="110"/>
      <c r="FB218" s="110"/>
      <c r="FC218" s="110"/>
      <c r="FD218" s="110"/>
      <c r="FE218" s="110"/>
      <c r="FF218" s="110"/>
      <c r="FG218" s="110"/>
      <c r="FH218" s="110"/>
      <c r="FI218" s="110"/>
      <c r="FJ218" s="110"/>
      <c r="FK218" s="110"/>
      <c r="FL218" s="110"/>
      <c r="FM218" s="110"/>
      <c r="FN218" s="110"/>
      <c r="FO218" s="110"/>
      <c r="FP218" s="110"/>
      <c r="FQ218" s="110"/>
      <c r="FR218" s="110"/>
      <c r="FS218" s="110"/>
      <c r="FT218" s="110"/>
      <c r="FU218" s="110"/>
      <c r="FV218" s="110"/>
      <c r="FW218" s="110"/>
      <c r="FX218" s="110"/>
      <c r="FY218" s="110"/>
      <c r="FZ218" s="110"/>
      <c r="GA218" s="110"/>
      <c r="GB218" s="110"/>
      <c r="GC218" s="110"/>
      <c r="GD218" s="110"/>
      <c r="GE218" s="110"/>
      <c r="GF218" s="110"/>
      <c r="GG218" s="110"/>
      <c r="GH218" s="110"/>
      <c r="GI218" s="110"/>
      <c r="GJ218" s="110"/>
      <c r="GK218" s="110"/>
      <c r="GL218" s="110"/>
      <c r="GM218" s="110"/>
      <c r="GN218" s="110"/>
      <c r="GO218" s="110"/>
      <c r="GP218" s="110"/>
      <c r="GQ218" s="110"/>
      <c r="GR218" s="110"/>
      <c r="GS218" s="110"/>
      <c r="GT218" s="110"/>
      <c r="GU218" s="110"/>
      <c r="GV218" s="110"/>
      <c r="GW218" s="110"/>
      <c r="GX218" s="110"/>
      <c r="GY218" s="110"/>
      <c r="GZ218" s="110"/>
      <c r="HA218" s="110"/>
      <c r="HB218" s="110"/>
      <c r="HC218" s="110"/>
      <c r="HD218" s="110"/>
      <c r="HE218" s="110"/>
      <c r="HF218" s="110"/>
      <c r="HG218" s="110"/>
      <c r="HH218" s="110"/>
      <c r="HI218" s="110"/>
      <c r="HJ218" s="110"/>
      <c r="HK218" s="110"/>
      <c r="HL218" s="110"/>
      <c r="HM218" s="110"/>
      <c r="HN218" s="110"/>
      <c r="HO218" s="110"/>
      <c r="HP218" s="110"/>
      <c r="HQ218" s="110"/>
      <c r="HR218" s="110"/>
      <c r="HS218" s="110"/>
      <c r="HT218" s="110"/>
      <c r="HU218" s="110"/>
      <c r="HV218" s="110"/>
      <c r="HW218" s="110"/>
      <c r="HX218" s="110"/>
      <c r="HY218" s="110"/>
      <c r="HZ218" s="110"/>
      <c r="IA218" s="110"/>
      <c r="IB218" s="110"/>
      <c r="IC218" s="110"/>
      <c r="ID218" s="110"/>
      <c r="IE218" s="110"/>
      <c r="IF218" s="110"/>
      <c r="IG218" s="110"/>
      <c r="IH218" s="110"/>
      <c r="II218" s="110"/>
      <c r="IJ218" s="110"/>
      <c r="IK218" s="110"/>
      <c r="IL218" s="110"/>
      <c r="IM218" s="110"/>
      <c r="IN218" s="110"/>
      <c r="IO218" s="110"/>
      <c r="IP218" s="110"/>
      <c r="IQ218" s="653"/>
    </row>
    <row r="219" spans="1:251" ht="16.5" hidden="1" customHeight="1">
      <c r="A219" s="648"/>
      <c r="B219" t="s">
        <v>1362</v>
      </c>
      <c r="C219" t="s">
        <v>450</v>
      </c>
      <c r="E219" t="s">
        <v>450</v>
      </c>
      <c r="F219" t="s">
        <v>1369</v>
      </c>
      <c r="H219">
        <v>16</v>
      </c>
      <c r="J219" s="214" t="str">
        <f t="shared" si="5"/>
        <v>LTT300216</v>
      </c>
      <c r="K219">
        <v>11660</v>
      </c>
      <c r="R219" s="648"/>
      <c r="V219" s="214"/>
      <c r="EE219" s="648"/>
      <c r="EF219" s="110"/>
      <c r="EG219" s="110"/>
      <c r="EH219" s="110"/>
      <c r="EI219" s="650"/>
      <c r="EJ219" s="110"/>
      <c r="EK219" s="110"/>
      <c r="EL219" s="110"/>
      <c r="EM219" s="110"/>
      <c r="EN219" s="110"/>
      <c r="EO219" s="110"/>
      <c r="EP219" s="110"/>
      <c r="EQ219" s="110"/>
      <c r="ER219" s="110"/>
      <c r="ES219" s="110"/>
      <c r="ET219" s="110"/>
      <c r="EU219" s="110"/>
      <c r="EV219" s="110"/>
      <c r="EW219" s="110"/>
      <c r="EX219" s="110"/>
      <c r="EY219" s="110"/>
      <c r="EZ219" s="110"/>
      <c r="FA219" s="110"/>
      <c r="FB219" s="110"/>
      <c r="FC219" s="110"/>
      <c r="FD219" s="110"/>
      <c r="FE219" s="110"/>
      <c r="FF219" s="110"/>
      <c r="FG219" s="110"/>
      <c r="FH219" s="110"/>
      <c r="FI219" s="110"/>
      <c r="FJ219" s="110"/>
      <c r="FK219" s="110"/>
      <c r="FL219" s="110"/>
      <c r="FM219" s="110"/>
      <c r="FN219" s="110"/>
      <c r="FO219" s="110"/>
      <c r="FP219" s="110"/>
      <c r="FQ219" s="110"/>
      <c r="FR219" s="110"/>
      <c r="FS219" s="110"/>
      <c r="FT219" s="110"/>
      <c r="FU219" s="110"/>
      <c r="FV219" s="110"/>
      <c r="FW219" s="110"/>
      <c r="FX219" s="110"/>
      <c r="FY219" s="110"/>
      <c r="FZ219" s="110"/>
      <c r="GA219" s="110"/>
      <c r="GB219" s="110"/>
      <c r="GC219" s="110"/>
      <c r="GD219" s="110"/>
      <c r="GE219" s="110"/>
      <c r="GF219" s="110"/>
      <c r="GG219" s="110"/>
      <c r="GH219" s="110"/>
      <c r="GI219" s="110"/>
      <c r="GJ219" s="110"/>
      <c r="GK219" s="110"/>
      <c r="GL219" s="110"/>
      <c r="GM219" s="110"/>
      <c r="GN219" s="110"/>
      <c r="GO219" s="110"/>
      <c r="GP219" s="110"/>
      <c r="GQ219" s="110"/>
      <c r="GR219" s="110"/>
      <c r="GS219" s="110"/>
      <c r="GT219" s="110"/>
      <c r="GU219" s="110"/>
      <c r="GV219" s="110"/>
      <c r="GW219" s="110"/>
      <c r="GX219" s="110"/>
      <c r="GY219" s="110"/>
      <c r="GZ219" s="110"/>
      <c r="HA219" s="110"/>
      <c r="HB219" s="110"/>
      <c r="HC219" s="110"/>
      <c r="HD219" s="110"/>
      <c r="HE219" s="110"/>
      <c r="HF219" s="110"/>
      <c r="HG219" s="110"/>
      <c r="HH219" s="110"/>
      <c r="HI219" s="110"/>
      <c r="HJ219" s="110"/>
      <c r="HK219" s="110"/>
      <c r="HL219" s="110"/>
      <c r="HM219" s="110"/>
      <c r="HN219" s="110"/>
      <c r="HO219" s="110"/>
      <c r="HP219" s="110"/>
      <c r="HQ219" s="110"/>
      <c r="HR219" s="110"/>
      <c r="HS219" s="110"/>
      <c r="HT219" s="110"/>
      <c r="HU219" s="110"/>
      <c r="HV219" s="110"/>
      <c r="HW219" s="110"/>
      <c r="HX219" s="110"/>
      <c r="HY219" s="110"/>
      <c r="HZ219" s="110"/>
      <c r="IA219" s="110"/>
      <c r="IB219" s="110"/>
      <c r="IC219" s="110"/>
      <c r="ID219" s="110"/>
      <c r="IE219" s="110"/>
      <c r="IF219" s="110"/>
      <c r="IG219" s="110"/>
      <c r="IH219" s="110"/>
      <c r="II219" s="110"/>
      <c r="IJ219" s="110"/>
      <c r="IK219" s="110"/>
      <c r="IL219" s="110"/>
      <c r="IM219" s="110"/>
      <c r="IN219" s="110"/>
      <c r="IO219" s="110"/>
      <c r="IP219" s="110"/>
      <c r="IQ219" s="653"/>
    </row>
    <row r="220" spans="1:251" ht="16.5" hidden="1" customHeight="1">
      <c r="A220" s="648"/>
      <c r="B220" t="s">
        <v>1362</v>
      </c>
      <c r="C220" t="s">
        <v>450</v>
      </c>
      <c r="E220" t="s">
        <v>450</v>
      </c>
      <c r="F220" t="s">
        <v>1369</v>
      </c>
      <c r="H220">
        <v>17</v>
      </c>
      <c r="J220" s="214" t="str">
        <f t="shared" si="5"/>
        <v>LTT300217</v>
      </c>
      <c r="K220">
        <v>11860</v>
      </c>
      <c r="R220" s="648"/>
      <c r="V220" s="214"/>
      <c r="EE220" s="648"/>
      <c r="EF220" s="110"/>
      <c r="EG220" s="110"/>
      <c r="EH220" s="110"/>
      <c r="EI220" s="650"/>
      <c r="EJ220" s="110"/>
      <c r="EK220" s="110"/>
      <c r="EL220" s="110"/>
      <c r="EM220" s="110"/>
      <c r="EN220" s="110"/>
      <c r="EO220" s="110"/>
      <c r="EP220" s="110"/>
      <c r="EQ220" s="110"/>
      <c r="ER220" s="110"/>
      <c r="ES220" s="110"/>
      <c r="ET220" s="110"/>
      <c r="EU220" s="110"/>
      <c r="EV220" s="110"/>
      <c r="EW220" s="110"/>
      <c r="EX220" s="110"/>
      <c r="EY220" s="110"/>
      <c r="EZ220" s="110"/>
      <c r="FA220" s="110"/>
      <c r="FB220" s="110"/>
      <c r="FC220" s="110"/>
      <c r="FD220" s="110"/>
      <c r="FE220" s="110"/>
      <c r="FF220" s="110"/>
      <c r="FG220" s="110"/>
      <c r="FH220" s="110"/>
      <c r="FI220" s="110"/>
      <c r="FJ220" s="110"/>
      <c r="FK220" s="110"/>
      <c r="FL220" s="110"/>
      <c r="FM220" s="110"/>
      <c r="FN220" s="110"/>
      <c r="FO220" s="110"/>
      <c r="FP220" s="110"/>
      <c r="FQ220" s="110"/>
      <c r="FR220" s="110"/>
      <c r="FS220" s="110"/>
      <c r="FT220" s="110"/>
      <c r="FU220" s="110"/>
      <c r="FV220" s="110"/>
      <c r="FW220" s="110"/>
      <c r="FX220" s="110"/>
      <c r="FY220" s="110"/>
      <c r="FZ220" s="110"/>
      <c r="GA220" s="110"/>
      <c r="GB220" s="110"/>
      <c r="GC220" s="110"/>
      <c r="GD220" s="110"/>
      <c r="GE220" s="110"/>
      <c r="GF220" s="110"/>
      <c r="GG220" s="110"/>
      <c r="GH220" s="110"/>
      <c r="GI220" s="110"/>
      <c r="GJ220" s="110"/>
      <c r="GK220" s="110"/>
      <c r="GL220" s="110"/>
      <c r="GM220" s="110"/>
      <c r="GN220" s="110"/>
      <c r="GO220" s="110"/>
      <c r="GP220" s="110"/>
      <c r="GQ220" s="110"/>
      <c r="GR220" s="110"/>
      <c r="GS220" s="110"/>
      <c r="GT220" s="110"/>
      <c r="GU220" s="110"/>
      <c r="GV220" s="110"/>
      <c r="GW220" s="110"/>
      <c r="GX220" s="110"/>
      <c r="GY220" s="110"/>
      <c r="GZ220" s="110"/>
      <c r="HA220" s="110"/>
      <c r="HB220" s="110"/>
      <c r="HC220" s="110"/>
      <c r="HD220" s="110"/>
      <c r="HE220" s="110"/>
      <c r="HF220" s="110"/>
      <c r="HG220" s="110"/>
      <c r="HH220" s="110"/>
      <c r="HI220" s="110"/>
      <c r="HJ220" s="110"/>
      <c r="HK220" s="110"/>
      <c r="HL220" s="110"/>
      <c r="HM220" s="110"/>
      <c r="HN220" s="110"/>
      <c r="HO220" s="110"/>
      <c r="HP220" s="110"/>
      <c r="HQ220" s="110"/>
      <c r="HR220" s="110"/>
      <c r="HS220" s="110"/>
      <c r="HT220" s="110"/>
      <c r="HU220" s="110"/>
      <c r="HV220" s="110"/>
      <c r="HW220" s="110"/>
      <c r="HX220" s="110"/>
      <c r="HY220" s="110"/>
      <c r="HZ220" s="110"/>
      <c r="IA220" s="110"/>
      <c r="IB220" s="110"/>
      <c r="IC220" s="110"/>
      <c r="ID220" s="110"/>
      <c r="IE220" s="110"/>
      <c r="IF220" s="110"/>
      <c r="IG220" s="110"/>
      <c r="IH220" s="110"/>
      <c r="II220" s="110"/>
      <c r="IJ220" s="110"/>
      <c r="IK220" s="110"/>
      <c r="IL220" s="110"/>
      <c r="IM220" s="110"/>
      <c r="IN220" s="110"/>
      <c r="IO220" s="110"/>
      <c r="IP220" s="110"/>
      <c r="IQ220" s="653"/>
    </row>
    <row r="221" spans="1:251" ht="16.5" hidden="1" customHeight="1">
      <c r="A221" s="648"/>
      <c r="B221" t="s">
        <v>1362</v>
      </c>
      <c r="C221" t="s">
        <v>450</v>
      </c>
      <c r="E221" t="s">
        <v>450</v>
      </c>
      <c r="F221" t="s">
        <v>1369</v>
      </c>
      <c r="H221">
        <v>18</v>
      </c>
      <c r="J221" s="214" t="str">
        <f t="shared" si="5"/>
        <v>LTT300218</v>
      </c>
      <c r="K221">
        <v>12080</v>
      </c>
      <c r="R221" s="648"/>
      <c r="V221" s="214"/>
      <c r="EE221" s="648"/>
      <c r="EF221" s="110"/>
      <c r="EG221" s="110"/>
      <c r="EH221" s="110"/>
      <c r="EI221" s="650"/>
      <c r="EJ221" s="110"/>
      <c r="EK221" s="110"/>
      <c r="EL221" s="110"/>
      <c r="EM221" s="110"/>
      <c r="EN221" s="110"/>
      <c r="EO221" s="110"/>
      <c r="EP221" s="110"/>
      <c r="EQ221" s="110"/>
      <c r="ER221" s="110"/>
      <c r="ES221" s="110"/>
      <c r="ET221" s="110"/>
      <c r="EU221" s="110"/>
      <c r="EV221" s="110"/>
      <c r="EW221" s="110"/>
      <c r="EX221" s="110"/>
      <c r="EY221" s="110"/>
      <c r="EZ221" s="110"/>
      <c r="FA221" s="110"/>
      <c r="FB221" s="110"/>
      <c r="FC221" s="110"/>
      <c r="FD221" s="110"/>
      <c r="FE221" s="110"/>
      <c r="FF221" s="110"/>
      <c r="FG221" s="110"/>
      <c r="FH221" s="110"/>
      <c r="FI221" s="110"/>
      <c r="FJ221" s="110"/>
      <c r="FK221" s="110"/>
      <c r="FL221" s="110"/>
      <c r="FM221" s="110"/>
      <c r="FN221" s="110"/>
      <c r="FO221" s="110"/>
      <c r="FP221" s="110"/>
      <c r="FQ221" s="110"/>
      <c r="FR221" s="110"/>
      <c r="FS221" s="110"/>
      <c r="FT221" s="110"/>
      <c r="FU221" s="110"/>
      <c r="FV221" s="110"/>
      <c r="FW221" s="110"/>
      <c r="FX221" s="110"/>
      <c r="FY221" s="110"/>
      <c r="FZ221" s="110"/>
      <c r="GA221" s="110"/>
      <c r="GB221" s="110"/>
      <c r="GC221" s="110"/>
      <c r="GD221" s="110"/>
      <c r="GE221" s="110"/>
      <c r="GF221" s="110"/>
      <c r="GG221" s="110"/>
      <c r="GH221" s="110"/>
      <c r="GI221" s="110"/>
      <c r="GJ221" s="110"/>
      <c r="GK221" s="110"/>
      <c r="GL221" s="110"/>
      <c r="GM221" s="110"/>
      <c r="GN221" s="110"/>
      <c r="GO221" s="110"/>
      <c r="GP221" s="110"/>
      <c r="GQ221" s="110"/>
      <c r="GR221" s="110"/>
      <c r="GS221" s="110"/>
      <c r="GT221" s="110"/>
      <c r="GU221" s="110"/>
      <c r="GV221" s="110"/>
      <c r="GW221" s="110"/>
      <c r="GX221" s="110"/>
      <c r="GY221" s="110"/>
      <c r="GZ221" s="110"/>
      <c r="HA221" s="110"/>
      <c r="HB221" s="110"/>
      <c r="HC221" s="110"/>
      <c r="HD221" s="110"/>
      <c r="HE221" s="110"/>
      <c r="HF221" s="110"/>
      <c r="HG221" s="110"/>
      <c r="HH221" s="110"/>
      <c r="HI221" s="110"/>
      <c r="HJ221" s="110"/>
      <c r="HK221" s="110"/>
      <c r="HL221" s="110"/>
      <c r="HM221" s="110"/>
      <c r="HN221" s="110"/>
      <c r="HO221" s="110"/>
      <c r="HP221" s="110"/>
      <c r="HQ221" s="110"/>
      <c r="HR221" s="110"/>
      <c r="HS221" s="110"/>
      <c r="HT221" s="110"/>
      <c r="HU221" s="110"/>
      <c r="HV221" s="110"/>
      <c r="HW221" s="110"/>
      <c r="HX221" s="110"/>
      <c r="HY221" s="110"/>
      <c r="HZ221" s="110"/>
      <c r="IA221" s="110"/>
      <c r="IB221" s="110"/>
      <c r="IC221" s="110"/>
      <c r="ID221" s="110"/>
      <c r="IE221" s="110"/>
      <c r="IF221" s="110"/>
      <c r="IG221" s="110"/>
      <c r="IH221" s="110"/>
      <c r="II221" s="110"/>
      <c r="IJ221" s="110"/>
      <c r="IK221" s="110"/>
      <c r="IL221" s="110"/>
      <c r="IM221" s="110"/>
      <c r="IN221" s="110"/>
      <c r="IO221" s="110"/>
      <c r="IP221" s="110"/>
      <c r="IQ221" s="653"/>
    </row>
    <row r="222" spans="1:251" ht="16.5" hidden="1" customHeight="1">
      <c r="A222" s="648"/>
      <c r="B222" t="s">
        <v>1362</v>
      </c>
      <c r="C222" t="s">
        <v>450</v>
      </c>
      <c r="E222" t="s">
        <v>450</v>
      </c>
      <c r="F222" t="s">
        <v>1369</v>
      </c>
      <c r="H222">
        <v>19</v>
      </c>
      <c r="J222" s="214" t="str">
        <f t="shared" si="5"/>
        <v>LTT300219</v>
      </c>
      <c r="K222">
        <v>12300</v>
      </c>
      <c r="R222" s="648"/>
      <c r="V222" s="214"/>
      <c r="EE222" s="648"/>
      <c r="EF222" s="110"/>
      <c r="EG222" s="110"/>
      <c r="EH222" s="110"/>
      <c r="EI222" s="650"/>
      <c r="EJ222" s="110"/>
      <c r="EK222" s="110"/>
      <c r="EL222" s="110"/>
      <c r="EM222" s="110"/>
      <c r="EN222" s="110"/>
      <c r="EO222" s="110"/>
      <c r="EP222" s="110"/>
      <c r="EQ222" s="110"/>
      <c r="ER222" s="110"/>
      <c r="ES222" s="110"/>
      <c r="ET222" s="110"/>
      <c r="EU222" s="110"/>
      <c r="EV222" s="110"/>
      <c r="EW222" s="110"/>
      <c r="EX222" s="110"/>
      <c r="EY222" s="110"/>
      <c r="EZ222" s="110"/>
      <c r="FA222" s="110"/>
      <c r="FB222" s="110"/>
      <c r="FC222" s="110"/>
      <c r="FD222" s="110"/>
      <c r="FE222" s="110"/>
      <c r="FF222" s="110"/>
      <c r="FG222" s="110"/>
      <c r="FH222" s="110"/>
      <c r="FI222" s="110"/>
      <c r="FJ222" s="110"/>
      <c r="FK222" s="110"/>
      <c r="FL222" s="110"/>
      <c r="FM222" s="110"/>
      <c r="FN222" s="110"/>
      <c r="FO222" s="110"/>
      <c r="FP222" s="110"/>
      <c r="FQ222" s="110"/>
      <c r="FR222" s="110"/>
      <c r="FS222" s="110"/>
      <c r="FT222" s="110"/>
      <c r="FU222" s="110"/>
      <c r="FV222" s="110"/>
      <c r="FW222" s="110"/>
      <c r="FX222" s="110"/>
      <c r="FY222" s="110"/>
      <c r="FZ222" s="110"/>
      <c r="GA222" s="110"/>
      <c r="GB222" s="110"/>
      <c r="GC222" s="110"/>
      <c r="GD222" s="110"/>
      <c r="GE222" s="110"/>
      <c r="GF222" s="110"/>
      <c r="GG222" s="110"/>
      <c r="GH222" s="110"/>
      <c r="GI222" s="110"/>
      <c r="GJ222" s="110"/>
      <c r="GK222" s="110"/>
      <c r="GL222" s="110"/>
      <c r="GM222" s="110"/>
      <c r="GN222" s="110"/>
      <c r="GO222" s="110"/>
      <c r="GP222" s="110"/>
      <c r="GQ222" s="110"/>
      <c r="GR222" s="110"/>
      <c r="GS222" s="110"/>
      <c r="GT222" s="110"/>
      <c r="GU222" s="110"/>
      <c r="GV222" s="110"/>
      <c r="GW222" s="110"/>
      <c r="GX222" s="110"/>
      <c r="GY222" s="110"/>
      <c r="GZ222" s="110"/>
      <c r="HA222" s="110"/>
      <c r="HB222" s="110"/>
      <c r="HC222" s="110"/>
      <c r="HD222" s="110"/>
      <c r="HE222" s="110"/>
      <c r="HF222" s="110"/>
      <c r="HG222" s="110"/>
      <c r="HH222" s="110"/>
      <c r="HI222" s="110"/>
      <c r="HJ222" s="110"/>
      <c r="HK222" s="110"/>
      <c r="HL222" s="110"/>
      <c r="HM222" s="110"/>
      <c r="HN222" s="110"/>
      <c r="HO222" s="110"/>
      <c r="HP222" s="110"/>
      <c r="HQ222" s="110"/>
      <c r="HR222" s="110"/>
      <c r="HS222" s="110"/>
      <c r="HT222" s="110"/>
      <c r="HU222" s="110"/>
      <c r="HV222" s="110"/>
      <c r="HW222" s="110"/>
      <c r="HX222" s="110"/>
      <c r="HY222" s="110"/>
      <c r="HZ222" s="110"/>
      <c r="IA222" s="110"/>
      <c r="IB222" s="110"/>
      <c r="IC222" s="110"/>
      <c r="ID222" s="110"/>
      <c r="IE222" s="110"/>
      <c r="IF222" s="110"/>
      <c r="IG222" s="110"/>
      <c r="IH222" s="110"/>
      <c r="II222" s="110"/>
      <c r="IJ222" s="110"/>
      <c r="IK222" s="110"/>
      <c r="IL222" s="110"/>
      <c r="IM222" s="110"/>
      <c r="IN222" s="110"/>
      <c r="IO222" s="110"/>
      <c r="IP222" s="110"/>
      <c r="IQ222" s="653"/>
    </row>
    <row r="223" spans="1:251" ht="16.5" hidden="1" customHeight="1">
      <c r="A223" s="648"/>
      <c r="B223" t="s">
        <v>1362</v>
      </c>
      <c r="C223" t="s">
        <v>450</v>
      </c>
      <c r="E223" t="s">
        <v>450</v>
      </c>
      <c r="F223" t="s">
        <v>1369</v>
      </c>
      <c r="H223">
        <v>20</v>
      </c>
      <c r="J223" s="214" t="str">
        <f t="shared" si="5"/>
        <v>LTT300220</v>
      </c>
      <c r="K223">
        <v>12540</v>
      </c>
      <c r="R223" s="648"/>
      <c r="V223" s="214"/>
      <c r="EE223" s="648"/>
      <c r="EF223" s="110"/>
      <c r="EG223" s="110"/>
      <c r="EH223" s="110"/>
      <c r="EI223" s="650"/>
      <c r="EJ223" s="110"/>
      <c r="EK223" s="110"/>
      <c r="EL223" s="110"/>
      <c r="EM223" s="110"/>
      <c r="EN223" s="110"/>
      <c r="EO223" s="110"/>
      <c r="EP223" s="110"/>
      <c r="EQ223" s="110"/>
      <c r="ER223" s="110"/>
      <c r="ES223" s="110"/>
      <c r="ET223" s="110"/>
      <c r="EU223" s="110"/>
      <c r="EV223" s="110"/>
      <c r="EW223" s="110"/>
      <c r="EX223" s="110"/>
      <c r="EY223" s="110"/>
      <c r="EZ223" s="110"/>
      <c r="FA223" s="110"/>
      <c r="FB223" s="110"/>
      <c r="FC223" s="110"/>
      <c r="FD223" s="110"/>
      <c r="FE223" s="110"/>
      <c r="FF223" s="110"/>
      <c r="FG223" s="110"/>
      <c r="FH223" s="110"/>
      <c r="FI223" s="110"/>
      <c r="FJ223" s="110"/>
      <c r="FK223" s="110"/>
      <c r="FL223" s="110"/>
      <c r="FM223" s="110"/>
      <c r="FN223" s="110"/>
      <c r="FO223" s="110"/>
      <c r="FP223" s="110"/>
      <c r="FQ223" s="110"/>
      <c r="FR223" s="110"/>
      <c r="FS223" s="110"/>
      <c r="FT223" s="110"/>
      <c r="FU223" s="110"/>
      <c r="FV223" s="110"/>
      <c r="FW223" s="110"/>
      <c r="FX223" s="110"/>
      <c r="FY223" s="110"/>
      <c r="FZ223" s="110"/>
      <c r="GA223" s="110"/>
      <c r="GB223" s="110"/>
      <c r="GC223" s="110"/>
      <c r="GD223" s="110"/>
      <c r="GE223" s="110"/>
      <c r="GF223" s="110"/>
      <c r="GG223" s="110"/>
      <c r="GH223" s="110"/>
      <c r="GI223" s="110"/>
      <c r="GJ223" s="110"/>
      <c r="GK223" s="110"/>
      <c r="GL223" s="110"/>
      <c r="GM223" s="110"/>
      <c r="GN223" s="110"/>
      <c r="GO223" s="110"/>
      <c r="GP223" s="110"/>
      <c r="GQ223" s="110"/>
      <c r="GR223" s="110"/>
      <c r="GS223" s="110"/>
      <c r="GT223" s="110"/>
      <c r="GU223" s="110"/>
      <c r="GV223" s="110"/>
      <c r="GW223" s="110"/>
      <c r="GX223" s="110"/>
      <c r="GY223" s="110"/>
      <c r="GZ223" s="110"/>
      <c r="HA223" s="110"/>
      <c r="HB223" s="110"/>
      <c r="HC223" s="110"/>
      <c r="HD223" s="110"/>
      <c r="HE223" s="110"/>
      <c r="HF223" s="110"/>
      <c r="HG223" s="110"/>
      <c r="HH223" s="110"/>
      <c r="HI223" s="110"/>
      <c r="HJ223" s="110"/>
      <c r="HK223" s="110"/>
      <c r="HL223" s="110"/>
      <c r="HM223" s="110"/>
      <c r="HN223" s="110"/>
      <c r="HO223" s="110"/>
      <c r="HP223" s="110"/>
      <c r="HQ223" s="110"/>
      <c r="HR223" s="110"/>
      <c r="HS223" s="110"/>
      <c r="HT223" s="110"/>
      <c r="HU223" s="110"/>
      <c r="HV223" s="110"/>
      <c r="HW223" s="110"/>
      <c r="HX223" s="110"/>
      <c r="HY223" s="110"/>
      <c r="HZ223" s="110"/>
      <c r="IA223" s="110"/>
      <c r="IB223" s="110"/>
      <c r="IC223" s="110"/>
      <c r="ID223" s="110"/>
      <c r="IE223" s="110"/>
      <c r="IF223" s="110"/>
      <c r="IG223" s="110"/>
      <c r="IH223" s="110"/>
      <c r="II223" s="110"/>
      <c r="IJ223" s="110"/>
      <c r="IK223" s="110"/>
      <c r="IL223" s="110"/>
      <c r="IM223" s="110"/>
      <c r="IN223" s="110"/>
      <c r="IO223" s="110"/>
      <c r="IP223" s="110"/>
      <c r="IQ223" s="653"/>
    </row>
    <row r="224" spans="1:251" ht="16.5" hidden="1" customHeight="1">
      <c r="A224" s="648"/>
      <c r="B224" t="s">
        <v>1362</v>
      </c>
      <c r="C224" t="s">
        <v>450</v>
      </c>
      <c r="E224" t="s">
        <v>450</v>
      </c>
      <c r="F224" t="s">
        <v>1369</v>
      </c>
      <c r="H224">
        <v>21</v>
      </c>
      <c r="J224" s="214" t="str">
        <f t="shared" si="5"/>
        <v>LTT300221</v>
      </c>
      <c r="K224">
        <v>12770</v>
      </c>
      <c r="R224" s="648"/>
      <c r="V224" s="214"/>
      <c r="EE224" s="648"/>
      <c r="EF224" s="110"/>
      <c r="EG224" s="110"/>
      <c r="EH224" s="110"/>
      <c r="EI224" s="650"/>
      <c r="EJ224" s="110"/>
      <c r="EK224" s="110"/>
      <c r="EL224" s="110"/>
      <c r="EM224" s="110"/>
      <c r="EN224" s="110"/>
      <c r="EO224" s="110"/>
      <c r="EP224" s="110"/>
      <c r="EQ224" s="110"/>
      <c r="ER224" s="110"/>
      <c r="ES224" s="110"/>
      <c r="ET224" s="110"/>
      <c r="EU224" s="110"/>
      <c r="EV224" s="110"/>
      <c r="EW224" s="110"/>
      <c r="EX224" s="110"/>
      <c r="EY224" s="110"/>
      <c r="EZ224" s="110"/>
      <c r="FA224" s="110"/>
      <c r="FB224" s="110"/>
      <c r="FC224" s="110"/>
      <c r="FD224" s="110"/>
      <c r="FE224" s="110"/>
      <c r="FF224" s="110"/>
      <c r="FG224" s="110"/>
      <c r="FH224" s="110"/>
      <c r="FI224" s="110"/>
      <c r="FJ224" s="110"/>
      <c r="FK224" s="110"/>
      <c r="FL224" s="110"/>
      <c r="FM224" s="110"/>
      <c r="FN224" s="110"/>
      <c r="FO224" s="110"/>
      <c r="FP224" s="110"/>
      <c r="FQ224" s="110"/>
      <c r="FR224" s="110"/>
      <c r="FS224" s="110"/>
      <c r="FT224" s="110"/>
      <c r="FU224" s="110"/>
      <c r="FV224" s="110"/>
      <c r="FW224" s="110"/>
      <c r="FX224" s="110"/>
      <c r="FY224" s="110"/>
      <c r="FZ224" s="110"/>
      <c r="GA224" s="110"/>
      <c r="GB224" s="110"/>
      <c r="GC224" s="110"/>
      <c r="GD224" s="110"/>
      <c r="GE224" s="110"/>
      <c r="GF224" s="110"/>
      <c r="GG224" s="110"/>
      <c r="GH224" s="110"/>
      <c r="GI224" s="110"/>
      <c r="GJ224" s="110"/>
      <c r="GK224" s="110"/>
      <c r="GL224" s="110"/>
      <c r="GM224" s="110"/>
      <c r="GN224" s="110"/>
      <c r="GO224" s="110"/>
      <c r="GP224" s="110"/>
      <c r="GQ224" s="110"/>
      <c r="GR224" s="110"/>
      <c r="GS224" s="110"/>
      <c r="GT224" s="110"/>
      <c r="GU224" s="110"/>
      <c r="GV224" s="110"/>
      <c r="GW224" s="110"/>
      <c r="GX224" s="110"/>
      <c r="GY224" s="110"/>
      <c r="GZ224" s="110"/>
      <c r="HA224" s="110"/>
      <c r="HB224" s="110"/>
      <c r="HC224" s="110"/>
      <c r="HD224" s="110"/>
      <c r="HE224" s="110"/>
      <c r="HF224" s="110"/>
      <c r="HG224" s="110"/>
      <c r="HH224" s="110"/>
      <c r="HI224" s="110"/>
      <c r="HJ224" s="110"/>
      <c r="HK224" s="110"/>
      <c r="HL224" s="110"/>
      <c r="HM224" s="110"/>
      <c r="HN224" s="110"/>
      <c r="HO224" s="110"/>
      <c r="HP224" s="110"/>
      <c r="HQ224" s="110"/>
      <c r="HR224" s="110"/>
      <c r="HS224" s="110"/>
      <c r="HT224" s="110"/>
      <c r="HU224" s="110"/>
      <c r="HV224" s="110"/>
      <c r="HW224" s="110"/>
      <c r="HX224" s="110"/>
      <c r="HY224" s="110"/>
      <c r="HZ224" s="110"/>
      <c r="IA224" s="110"/>
      <c r="IB224" s="110"/>
      <c r="IC224" s="110"/>
      <c r="ID224" s="110"/>
      <c r="IE224" s="110"/>
      <c r="IF224" s="110"/>
      <c r="IG224" s="110"/>
      <c r="IH224" s="110"/>
      <c r="II224" s="110"/>
      <c r="IJ224" s="110"/>
      <c r="IK224" s="110"/>
      <c r="IL224" s="110"/>
      <c r="IM224" s="110"/>
      <c r="IN224" s="110"/>
      <c r="IO224" s="110"/>
      <c r="IP224" s="110"/>
      <c r="IQ224" s="653"/>
    </row>
    <row r="225" spans="1:251" ht="16.5" hidden="1" customHeight="1">
      <c r="A225" s="648"/>
      <c r="B225" t="s">
        <v>1362</v>
      </c>
      <c r="C225" t="s">
        <v>450</v>
      </c>
      <c r="E225" t="s">
        <v>450</v>
      </c>
      <c r="F225" t="s">
        <v>1369</v>
      </c>
      <c r="H225">
        <v>22</v>
      </c>
      <c r="J225" s="214" t="str">
        <f t="shared" si="5"/>
        <v>LTT300222</v>
      </c>
      <c r="K225">
        <v>13000</v>
      </c>
      <c r="R225" s="648"/>
      <c r="V225" s="214"/>
      <c r="EE225" s="648"/>
      <c r="EF225" s="110"/>
      <c r="EG225" s="110"/>
      <c r="EH225" s="110"/>
      <c r="EI225" s="650"/>
      <c r="EJ225" s="110"/>
      <c r="EK225" s="110"/>
      <c r="EL225" s="110"/>
      <c r="EM225" s="110"/>
      <c r="EN225" s="110"/>
      <c r="EO225" s="110"/>
      <c r="EP225" s="110"/>
      <c r="EQ225" s="110"/>
      <c r="ER225" s="110"/>
      <c r="ES225" s="110"/>
      <c r="ET225" s="110"/>
      <c r="EU225" s="110"/>
      <c r="EV225" s="110"/>
      <c r="EW225" s="110"/>
      <c r="EX225" s="110"/>
      <c r="EY225" s="110"/>
      <c r="EZ225" s="110"/>
      <c r="FA225" s="110"/>
      <c r="FB225" s="110"/>
      <c r="FC225" s="110"/>
      <c r="FD225" s="110"/>
      <c r="FE225" s="110"/>
      <c r="FF225" s="110"/>
      <c r="FG225" s="110"/>
      <c r="FH225" s="110"/>
      <c r="FI225" s="110"/>
      <c r="FJ225" s="110"/>
      <c r="FK225" s="110"/>
      <c r="FL225" s="110"/>
      <c r="FM225" s="110"/>
      <c r="FN225" s="110"/>
      <c r="FO225" s="110"/>
      <c r="FP225" s="110"/>
      <c r="FQ225" s="110"/>
      <c r="FR225" s="110"/>
      <c r="FS225" s="110"/>
      <c r="FT225" s="110"/>
      <c r="FU225" s="110"/>
      <c r="FV225" s="110"/>
      <c r="FW225" s="110"/>
      <c r="FX225" s="110"/>
      <c r="FY225" s="110"/>
      <c r="FZ225" s="110"/>
      <c r="GA225" s="110"/>
      <c r="GB225" s="110"/>
      <c r="GC225" s="110"/>
      <c r="GD225" s="110"/>
      <c r="GE225" s="110"/>
      <c r="GF225" s="110"/>
      <c r="GG225" s="110"/>
      <c r="GH225" s="110"/>
      <c r="GI225" s="110"/>
      <c r="GJ225" s="110"/>
      <c r="GK225" s="110"/>
      <c r="GL225" s="110"/>
      <c r="GM225" s="110"/>
      <c r="GN225" s="110"/>
      <c r="GO225" s="110"/>
      <c r="GP225" s="110"/>
      <c r="GQ225" s="110"/>
      <c r="GR225" s="110"/>
      <c r="GS225" s="110"/>
      <c r="GT225" s="110"/>
      <c r="GU225" s="110"/>
      <c r="GV225" s="110"/>
      <c r="GW225" s="110"/>
      <c r="GX225" s="110"/>
      <c r="GY225" s="110"/>
      <c r="GZ225" s="110"/>
      <c r="HA225" s="110"/>
      <c r="HB225" s="110"/>
      <c r="HC225" s="110"/>
      <c r="HD225" s="110"/>
      <c r="HE225" s="110"/>
      <c r="HF225" s="110"/>
      <c r="HG225" s="110"/>
      <c r="HH225" s="110"/>
      <c r="HI225" s="110"/>
      <c r="HJ225" s="110"/>
      <c r="HK225" s="110"/>
      <c r="HL225" s="110"/>
      <c r="HM225" s="110"/>
      <c r="HN225" s="110"/>
      <c r="HO225" s="110"/>
      <c r="HP225" s="110"/>
      <c r="HQ225" s="110"/>
      <c r="HR225" s="110"/>
      <c r="HS225" s="110"/>
      <c r="HT225" s="110"/>
      <c r="HU225" s="110"/>
      <c r="HV225" s="110"/>
      <c r="HW225" s="110"/>
      <c r="HX225" s="110"/>
      <c r="HY225" s="110"/>
      <c r="HZ225" s="110"/>
      <c r="IA225" s="110"/>
      <c r="IB225" s="110"/>
      <c r="IC225" s="110"/>
      <c r="ID225" s="110"/>
      <c r="IE225" s="110"/>
      <c r="IF225" s="110"/>
      <c r="IG225" s="110"/>
      <c r="IH225" s="110"/>
      <c r="II225" s="110"/>
      <c r="IJ225" s="110"/>
      <c r="IK225" s="110"/>
      <c r="IL225" s="110"/>
      <c r="IM225" s="110"/>
      <c r="IN225" s="110"/>
      <c r="IO225" s="110"/>
      <c r="IP225" s="110"/>
      <c r="IQ225" s="653"/>
    </row>
    <row r="226" spans="1:251" ht="16.5" hidden="1" customHeight="1">
      <c r="A226" s="648"/>
      <c r="B226" t="s">
        <v>1362</v>
      </c>
      <c r="C226" t="s">
        <v>450</v>
      </c>
      <c r="E226" t="s">
        <v>450</v>
      </c>
      <c r="F226" t="s">
        <v>1369</v>
      </c>
      <c r="H226">
        <v>23</v>
      </c>
      <c r="J226" s="214" t="str">
        <f t="shared" si="5"/>
        <v>LTT300223</v>
      </c>
      <c r="K226">
        <v>13240</v>
      </c>
      <c r="R226" s="648"/>
      <c r="V226" s="214"/>
      <c r="EE226" s="648"/>
      <c r="EF226" s="110"/>
      <c r="EG226" s="110"/>
      <c r="EH226" s="110"/>
      <c r="EI226" s="650"/>
      <c r="EJ226" s="110"/>
      <c r="EK226" s="110"/>
      <c r="EL226" s="110"/>
      <c r="EM226" s="110"/>
      <c r="EN226" s="110"/>
      <c r="EO226" s="110"/>
      <c r="EP226" s="110"/>
      <c r="EQ226" s="110"/>
      <c r="ER226" s="110"/>
      <c r="ES226" s="110"/>
      <c r="ET226" s="110"/>
      <c r="EU226" s="110"/>
      <c r="EV226" s="110"/>
      <c r="EW226" s="110"/>
      <c r="EX226" s="110"/>
      <c r="EY226" s="110"/>
      <c r="EZ226" s="110"/>
      <c r="FA226" s="110"/>
      <c r="FB226" s="110"/>
      <c r="FC226" s="110"/>
      <c r="FD226" s="110"/>
      <c r="FE226" s="110"/>
      <c r="FF226" s="110"/>
      <c r="FG226" s="110"/>
      <c r="FH226" s="110"/>
      <c r="FI226" s="110"/>
      <c r="FJ226" s="110"/>
      <c r="FK226" s="110"/>
      <c r="FL226" s="110"/>
      <c r="FM226" s="110"/>
      <c r="FN226" s="110"/>
      <c r="FO226" s="110"/>
      <c r="FP226" s="110"/>
      <c r="FQ226" s="110"/>
      <c r="FR226" s="110"/>
      <c r="FS226" s="110"/>
      <c r="FT226" s="110"/>
      <c r="FU226" s="110"/>
      <c r="FV226" s="110"/>
      <c r="FW226" s="110"/>
      <c r="FX226" s="110"/>
      <c r="FY226" s="110"/>
      <c r="FZ226" s="110"/>
      <c r="GA226" s="110"/>
      <c r="GB226" s="110"/>
      <c r="GC226" s="110"/>
      <c r="GD226" s="110"/>
      <c r="GE226" s="110"/>
      <c r="GF226" s="110"/>
      <c r="GG226" s="110"/>
      <c r="GH226" s="110"/>
      <c r="GI226" s="110"/>
      <c r="GJ226" s="110"/>
      <c r="GK226" s="110"/>
      <c r="GL226" s="110"/>
      <c r="GM226" s="110"/>
      <c r="GN226" s="110"/>
      <c r="GO226" s="110"/>
      <c r="GP226" s="110"/>
      <c r="GQ226" s="110"/>
      <c r="GR226" s="110"/>
      <c r="GS226" s="110"/>
      <c r="GT226" s="110"/>
      <c r="GU226" s="110"/>
      <c r="GV226" s="110"/>
      <c r="GW226" s="110"/>
      <c r="GX226" s="110"/>
      <c r="GY226" s="110"/>
      <c r="GZ226" s="110"/>
      <c r="HA226" s="110"/>
      <c r="HB226" s="110"/>
      <c r="HC226" s="110"/>
      <c r="HD226" s="110"/>
      <c r="HE226" s="110"/>
      <c r="HF226" s="110"/>
      <c r="HG226" s="110"/>
      <c r="HH226" s="110"/>
      <c r="HI226" s="110"/>
      <c r="HJ226" s="110"/>
      <c r="HK226" s="110"/>
      <c r="HL226" s="110"/>
      <c r="HM226" s="110"/>
      <c r="HN226" s="110"/>
      <c r="HO226" s="110"/>
      <c r="HP226" s="110"/>
      <c r="HQ226" s="110"/>
      <c r="HR226" s="110"/>
      <c r="HS226" s="110"/>
      <c r="HT226" s="110"/>
      <c r="HU226" s="110"/>
      <c r="HV226" s="110"/>
      <c r="HW226" s="110"/>
      <c r="HX226" s="110"/>
      <c r="HY226" s="110"/>
      <c r="HZ226" s="110"/>
      <c r="IA226" s="110"/>
      <c r="IB226" s="110"/>
      <c r="IC226" s="110"/>
      <c r="ID226" s="110"/>
      <c r="IE226" s="110"/>
      <c r="IF226" s="110"/>
      <c r="IG226" s="110"/>
      <c r="IH226" s="110"/>
      <c r="II226" s="110"/>
      <c r="IJ226" s="110"/>
      <c r="IK226" s="110"/>
      <c r="IL226" s="110"/>
      <c r="IM226" s="110"/>
      <c r="IN226" s="110"/>
      <c r="IO226" s="110"/>
      <c r="IP226" s="110"/>
      <c r="IQ226" s="653"/>
    </row>
    <row r="227" spans="1:251" ht="16.5" hidden="1" customHeight="1">
      <c r="A227" s="648"/>
      <c r="B227" t="s">
        <v>1362</v>
      </c>
      <c r="C227" t="s">
        <v>450</v>
      </c>
      <c r="E227" t="s">
        <v>450</v>
      </c>
      <c r="F227" t="s">
        <v>1369</v>
      </c>
      <c r="H227">
        <v>24</v>
      </c>
      <c r="J227" s="214" t="str">
        <f t="shared" si="5"/>
        <v>LTT300224</v>
      </c>
      <c r="K227">
        <v>13510</v>
      </c>
      <c r="R227" s="648"/>
      <c r="V227" s="214"/>
      <c r="EE227" s="648"/>
      <c r="EF227" s="110"/>
      <c r="EG227" s="110"/>
      <c r="EH227" s="110"/>
      <c r="EI227" s="650"/>
      <c r="EJ227" s="110"/>
      <c r="EK227" s="110"/>
      <c r="EL227" s="110"/>
      <c r="EM227" s="110"/>
      <c r="EN227" s="110"/>
      <c r="EO227" s="110"/>
      <c r="EP227" s="110"/>
      <c r="EQ227" s="110"/>
      <c r="ER227" s="110"/>
      <c r="ES227" s="110"/>
      <c r="ET227" s="110"/>
      <c r="EU227" s="110"/>
      <c r="EV227" s="110"/>
      <c r="EW227" s="110"/>
      <c r="EX227" s="110"/>
      <c r="EY227" s="110"/>
      <c r="EZ227" s="110"/>
      <c r="FA227" s="110"/>
      <c r="FB227" s="110"/>
      <c r="FC227" s="110"/>
      <c r="FD227" s="110"/>
      <c r="FE227" s="110"/>
      <c r="FF227" s="110"/>
      <c r="FG227" s="110"/>
      <c r="FH227" s="110"/>
      <c r="FI227" s="110"/>
      <c r="FJ227" s="110"/>
      <c r="FK227" s="110"/>
      <c r="FL227" s="110"/>
      <c r="FM227" s="110"/>
      <c r="FN227" s="110"/>
      <c r="FO227" s="110"/>
      <c r="FP227" s="110"/>
      <c r="FQ227" s="110"/>
      <c r="FR227" s="110"/>
      <c r="FS227" s="110"/>
      <c r="FT227" s="110"/>
      <c r="FU227" s="110"/>
      <c r="FV227" s="110"/>
      <c r="FW227" s="110"/>
      <c r="FX227" s="110"/>
      <c r="FY227" s="110"/>
      <c r="FZ227" s="110"/>
      <c r="GA227" s="110"/>
      <c r="GB227" s="110"/>
      <c r="GC227" s="110"/>
      <c r="GD227" s="110"/>
      <c r="GE227" s="110"/>
      <c r="GF227" s="110"/>
      <c r="GG227" s="110"/>
      <c r="GH227" s="110"/>
      <c r="GI227" s="110"/>
      <c r="GJ227" s="110"/>
      <c r="GK227" s="110"/>
      <c r="GL227" s="110"/>
      <c r="GM227" s="110"/>
      <c r="GN227" s="110"/>
      <c r="GO227" s="110"/>
      <c r="GP227" s="110"/>
      <c r="GQ227" s="110"/>
      <c r="GR227" s="110"/>
      <c r="GS227" s="110"/>
      <c r="GT227" s="110"/>
      <c r="GU227" s="110"/>
      <c r="GV227" s="110"/>
      <c r="GW227" s="110"/>
      <c r="GX227" s="110"/>
      <c r="GY227" s="110"/>
      <c r="GZ227" s="110"/>
      <c r="HA227" s="110"/>
      <c r="HB227" s="110"/>
      <c r="HC227" s="110"/>
      <c r="HD227" s="110"/>
      <c r="HE227" s="110"/>
      <c r="HF227" s="110"/>
      <c r="HG227" s="110"/>
      <c r="HH227" s="110"/>
      <c r="HI227" s="110"/>
      <c r="HJ227" s="110"/>
      <c r="HK227" s="110"/>
      <c r="HL227" s="110"/>
      <c r="HM227" s="110"/>
      <c r="HN227" s="110"/>
      <c r="HO227" s="110"/>
      <c r="HP227" s="110"/>
      <c r="HQ227" s="110"/>
      <c r="HR227" s="110"/>
      <c r="HS227" s="110"/>
      <c r="HT227" s="110"/>
      <c r="HU227" s="110"/>
      <c r="HV227" s="110"/>
      <c r="HW227" s="110"/>
      <c r="HX227" s="110"/>
      <c r="HY227" s="110"/>
      <c r="HZ227" s="110"/>
      <c r="IA227" s="110"/>
      <c r="IB227" s="110"/>
      <c r="IC227" s="110"/>
      <c r="ID227" s="110"/>
      <c r="IE227" s="110"/>
      <c r="IF227" s="110"/>
      <c r="IG227" s="110"/>
      <c r="IH227" s="110"/>
      <c r="II227" s="110"/>
      <c r="IJ227" s="110"/>
      <c r="IK227" s="110"/>
      <c r="IL227" s="110"/>
      <c r="IM227" s="110"/>
      <c r="IN227" s="110"/>
      <c r="IO227" s="110"/>
      <c r="IP227" s="110"/>
      <c r="IQ227" s="653"/>
    </row>
    <row r="228" spans="1:251" ht="16.5" hidden="1" customHeight="1">
      <c r="A228" s="648"/>
      <c r="B228" t="s">
        <v>1362</v>
      </c>
      <c r="C228" t="s">
        <v>450</v>
      </c>
      <c r="E228" t="s">
        <v>450</v>
      </c>
      <c r="F228" t="s">
        <v>1369</v>
      </c>
      <c r="H228">
        <v>25</v>
      </c>
      <c r="J228" s="214" t="str">
        <f t="shared" si="5"/>
        <v>LTT300225</v>
      </c>
      <c r="K228">
        <v>13760</v>
      </c>
      <c r="R228" s="648"/>
      <c r="V228" s="214"/>
      <c r="EE228" s="648"/>
      <c r="EF228" s="110"/>
      <c r="EG228" s="110"/>
      <c r="EH228" s="110"/>
      <c r="EI228" s="650"/>
      <c r="EJ228" s="110"/>
      <c r="EK228" s="110"/>
      <c r="EL228" s="110"/>
      <c r="EM228" s="110"/>
      <c r="EN228" s="110"/>
      <c r="EO228" s="110"/>
      <c r="EP228" s="110"/>
      <c r="EQ228" s="110"/>
      <c r="ER228" s="110"/>
      <c r="ES228" s="110"/>
      <c r="ET228" s="110"/>
      <c r="EU228" s="110"/>
      <c r="EV228" s="110"/>
      <c r="EW228" s="110"/>
      <c r="EX228" s="110"/>
      <c r="EY228" s="110"/>
      <c r="EZ228" s="110"/>
      <c r="FA228" s="110"/>
      <c r="FB228" s="110"/>
      <c r="FC228" s="110"/>
      <c r="FD228" s="110"/>
      <c r="FE228" s="110"/>
      <c r="FF228" s="110"/>
      <c r="FG228" s="110"/>
      <c r="FH228" s="110"/>
      <c r="FI228" s="110"/>
      <c r="FJ228" s="110"/>
      <c r="FK228" s="110"/>
      <c r="FL228" s="110"/>
      <c r="FM228" s="110"/>
      <c r="FN228" s="110"/>
      <c r="FO228" s="110"/>
      <c r="FP228" s="110"/>
      <c r="FQ228" s="110"/>
      <c r="FR228" s="110"/>
      <c r="FS228" s="110"/>
      <c r="FT228" s="110"/>
      <c r="FU228" s="110"/>
      <c r="FV228" s="110"/>
      <c r="FW228" s="110"/>
      <c r="FX228" s="110"/>
      <c r="FY228" s="110"/>
      <c r="FZ228" s="110"/>
      <c r="GA228" s="110"/>
      <c r="GB228" s="110"/>
      <c r="GC228" s="110"/>
      <c r="GD228" s="110"/>
      <c r="GE228" s="110"/>
      <c r="GF228" s="110"/>
      <c r="GG228" s="110"/>
      <c r="GH228" s="110"/>
      <c r="GI228" s="110"/>
      <c r="GJ228" s="110"/>
      <c r="GK228" s="110"/>
      <c r="GL228" s="110"/>
      <c r="GM228" s="110"/>
      <c r="GN228" s="110"/>
      <c r="GO228" s="110"/>
      <c r="GP228" s="110"/>
      <c r="GQ228" s="110"/>
      <c r="GR228" s="110"/>
      <c r="GS228" s="110"/>
      <c r="GT228" s="110"/>
      <c r="GU228" s="110"/>
      <c r="GV228" s="110"/>
      <c r="GW228" s="110"/>
      <c r="GX228" s="110"/>
      <c r="GY228" s="110"/>
      <c r="GZ228" s="110"/>
      <c r="HA228" s="110"/>
      <c r="HB228" s="110"/>
      <c r="HC228" s="110"/>
      <c r="HD228" s="110"/>
      <c r="HE228" s="110"/>
      <c r="HF228" s="110"/>
      <c r="HG228" s="110"/>
      <c r="HH228" s="110"/>
      <c r="HI228" s="110"/>
      <c r="HJ228" s="110"/>
      <c r="HK228" s="110"/>
      <c r="HL228" s="110"/>
      <c r="HM228" s="110"/>
      <c r="HN228" s="110"/>
      <c r="HO228" s="110"/>
      <c r="HP228" s="110"/>
      <c r="HQ228" s="110"/>
      <c r="HR228" s="110"/>
      <c r="HS228" s="110"/>
      <c r="HT228" s="110"/>
      <c r="HU228" s="110"/>
      <c r="HV228" s="110"/>
      <c r="HW228" s="110"/>
      <c r="HX228" s="110"/>
      <c r="HY228" s="110"/>
      <c r="HZ228" s="110"/>
      <c r="IA228" s="110"/>
      <c r="IB228" s="110"/>
      <c r="IC228" s="110"/>
      <c r="ID228" s="110"/>
      <c r="IE228" s="110"/>
      <c r="IF228" s="110"/>
      <c r="IG228" s="110"/>
      <c r="IH228" s="110"/>
      <c r="II228" s="110"/>
      <c r="IJ228" s="110"/>
      <c r="IK228" s="110"/>
      <c r="IL228" s="110"/>
      <c r="IM228" s="110"/>
      <c r="IN228" s="110"/>
      <c r="IO228" s="110"/>
      <c r="IP228" s="110"/>
      <c r="IQ228" s="653"/>
    </row>
    <row r="229" spans="1:251" ht="16.5" hidden="1" customHeight="1">
      <c r="A229" s="648"/>
      <c r="B229" t="s">
        <v>1362</v>
      </c>
      <c r="C229" t="s">
        <v>450</v>
      </c>
      <c r="E229" t="s">
        <v>450</v>
      </c>
      <c r="F229" t="s">
        <v>1369</v>
      </c>
      <c r="H229">
        <v>26</v>
      </c>
      <c r="J229" s="214" t="str">
        <f t="shared" si="5"/>
        <v>LTT300226</v>
      </c>
      <c r="K229">
        <v>14030</v>
      </c>
      <c r="R229" s="648"/>
      <c r="V229" s="214"/>
      <c r="EE229" s="648"/>
      <c r="EF229" s="110"/>
      <c r="EG229" s="110"/>
      <c r="EH229" s="110"/>
      <c r="EI229" s="650"/>
      <c r="EJ229" s="110"/>
      <c r="EK229" s="110"/>
      <c r="EL229" s="110"/>
      <c r="EM229" s="110"/>
      <c r="EN229" s="110"/>
      <c r="EO229" s="110"/>
      <c r="EP229" s="110"/>
      <c r="EQ229" s="110"/>
      <c r="ER229" s="110"/>
      <c r="ES229" s="110"/>
      <c r="ET229" s="110"/>
      <c r="EU229" s="110"/>
      <c r="EV229" s="110"/>
      <c r="EW229" s="110"/>
      <c r="EX229" s="110"/>
      <c r="EY229" s="110"/>
      <c r="EZ229" s="110"/>
      <c r="FA229" s="110"/>
      <c r="FB229" s="110"/>
      <c r="FC229" s="110"/>
      <c r="FD229" s="110"/>
      <c r="FE229" s="110"/>
      <c r="FF229" s="110"/>
      <c r="FG229" s="110"/>
      <c r="FH229" s="110"/>
      <c r="FI229" s="110"/>
      <c r="FJ229" s="110"/>
      <c r="FK229" s="110"/>
      <c r="FL229" s="110"/>
      <c r="FM229" s="110"/>
      <c r="FN229" s="110"/>
      <c r="FO229" s="110"/>
      <c r="FP229" s="110"/>
      <c r="FQ229" s="110"/>
      <c r="FR229" s="110"/>
      <c r="FS229" s="110"/>
      <c r="FT229" s="110"/>
      <c r="FU229" s="110"/>
      <c r="FV229" s="110"/>
      <c r="FW229" s="110"/>
      <c r="FX229" s="110"/>
      <c r="FY229" s="110"/>
      <c r="FZ229" s="110"/>
      <c r="GA229" s="110"/>
      <c r="GB229" s="110"/>
      <c r="GC229" s="110"/>
      <c r="GD229" s="110"/>
      <c r="GE229" s="110"/>
      <c r="GF229" s="110"/>
      <c r="GG229" s="110"/>
      <c r="GH229" s="110"/>
      <c r="GI229" s="110"/>
      <c r="GJ229" s="110"/>
      <c r="GK229" s="110"/>
      <c r="GL229" s="110"/>
      <c r="GM229" s="110"/>
      <c r="GN229" s="110"/>
      <c r="GO229" s="110"/>
      <c r="GP229" s="110"/>
      <c r="GQ229" s="110"/>
      <c r="GR229" s="110"/>
      <c r="GS229" s="110"/>
      <c r="GT229" s="110"/>
      <c r="GU229" s="110"/>
      <c r="GV229" s="110"/>
      <c r="GW229" s="110"/>
      <c r="GX229" s="110"/>
      <c r="GY229" s="110"/>
      <c r="GZ229" s="110"/>
      <c r="HA229" s="110"/>
      <c r="HB229" s="110"/>
      <c r="HC229" s="110"/>
      <c r="HD229" s="110"/>
      <c r="HE229" s="110"/>
      <c r="HF229" s="110"/>
      <c r="HG229" s="110"/>
      <c r="HH229" s="110"/>
      <c r="HI229" s="110"/>
      <c r="HJ229" s="110"/>
      <c r="HK229" s="110"/>
      <c r="HL229" s="110"/>
      <c r="HM229" s="110"/>
      <c r="HN229" s="110"/>
      <c r="HO229" s="110"/>
      <c r="HP229" s="110"/>
      <c r="HQ229" s="110"/>
      <c r="HR229" s="110"/>
      <c r="HS229" s="110"/>
      <c r="HT229" s="110"/>
      <c r="HU229" s="110"/>
      <c r="HV229" s="110"/>
      <c r="HW229" s="110"/>
      <c r="HX229" s="110"/>
      <c r="HY229" s="110"/>
      <c r="HZ229" s="110"/>
      <c r="IA229" s="110"/>
      <c r="IB229" s="110"/>
      <c r="IC229" s="110"/>
      <c r="ID229" s="110"/>
      <c r="IE229" s="110"/>
      <c r="IF229" s="110"/>
      <c r="IG229" s="110"/>
      <c r="IH229" s="110"/>
      <c r="II229" s="110"/>
      <c r="IJ229" s="110"/>
      <c r="IK229" s="110"/>
      <c r="IL229" s="110"/>
      <c r="IM229" s="110"/>
      <c r="IN229" s="110"/>
      <c r="IO229" s="110"/>
      <c r="IP229" s="110"/>
      <c r="IQ229" s="653"/>
    </row>
    <row r="230" spans="1:251" ht="16.5" hidden="1" customHeight="1">
      <c r="A230" s="648"/>
      <c r="B230" t="s">
        <v>1362</v>
      </c>
      <c r="C230" t="s">
        <v>450</v>
      </c>
      <c r="E230" t="s">
        <v>450</v>
      </c>
      <c r="F230" t="s">
        <v>1369</v>
      </c>
      <c r="H230">
        <v>27</v>
      </c>
      <c r="J230" s="214" t="str">
        <f t="shared" si="5"/>
        <v>LTT300227</v>
      </c>
      <c r="K230">
        <v>14300</v>
      </c>
      <c r="R230" s="648"/>
      <c r="V230" s="214"/>
      <c r="EE230" s="648"/>
      <c r="EF230" s="110"/>
      <c r="EG230" s="110"/>
      <c r="EH230" s="110"/>
      <c r="EI230" s="650"/>
      <c r="EJ230" s="110"/>
      <c r="EK230" s="110"/>
      <c r="EL230" s="110"/>
      <c r="EM230" s="110"/>
      <c r="EN230" s="110"/>
      <c r="EO230" s="110"/>
      <c r="EP230" s="110"/>
      <c r="EQ230" s="110"/>
      <c r="ER230" s="110"/>
      <c r="ES230" s="110"/>
      <c r="ET230" s="110"/>
      <c r="EU230" s="110"/>
      <c r="EV230" s="110"/>
      <c r="EW230" s="110"/>
      <c r="EX230" s="110"/>
      <c r="EY230" s="110"/>
      <c r="EZ230" s="110"/>
      <c r="FA230" s="110"/>
      <c r="FB230" s="110"/>
      <c r="FC230" s="110"/>
      <c r="FD230" s="110"/>
      <c r="FE230" s="110"/>
      <c r="FF230" s="110"/>
      <c r="FG230" s="110"/>
      <c r="FH230" s="110"/>
      <c r="FI230" s="110"/>
      <c r="FJ230" s="110"/>
      <c r="FK230" s="110"/>
      <c r="FL230" s="110"/>
      <c r="FM230" s="110"/>
      <c r="FN230" s="110"/>
      <c r="FO230" s="110"/>
      <c r="FP230" s="110"/>
      <c r="FQ230" s="110"/>
      <c r="FR230" s="110"/>
      <c r="FS230" s="110"/>
      <c r="FT230" s="110"/>
      <c r="FU230" s="110"/>
      <c r="FV230" s="110"/>
      <c r="FW230" s="110"/>
      <c r="FX230" s="110"/>
      <c r="FY230" s="110"/>
      <c r="FZ230" s="110"/>
      <c r="GA230" s="110"/>
      <c r="GB230" s="110"/>
      <c r="GC230" s="110"/>
      <c r="GD230" s="110"/>
      <c r="GE230" s="110"/>
      <c r="GF230" s="110"/>
      <c r="GG230" s="110"/>
      <c r="GH230" s="110"/>
      <c r="GI230" s="110"/>
      <c r="GJ230" s="110"/>
      <c r="GK230" s="110"/>
      <c r="GL230" s="110"/>
      <c r="GM230" s="110"/>
      <c r="GN230" s="110"/>
      <c r="GO230" s="110"/>
      <c r="GP230" s="110"/>
      <c r="GQ230" s="110"/>
      <c r="GR230" s="110"/>
      <c r="GS230" s="110"/>
      <c r="GT230" s="110"/>
      <c r="GU230" s="110"/>
      <c r="GV230" s="110"/>
      <c r="GW230" s="110"/>
      <c r="GX230" s="110"/>
      <c r="GY230" s="110"/>
      <c r="GZ230" s="110"/>
      <c r="HA230" s="110"/>
      <c r="HB230" s="110"/>
      <c r="HC230" s="110"/>
      <c r="HD230" s="110"/>
      <c r="HE230" s="110"/>
      <c r="HF230" s="110"/>
      <c r="HG230" s="110"/>
      <c r="HH230" s="110"/>
      <c r="HI230" s="110"/>
      <c r="HJ230" s="110"/>
      <c r="HK230" s="110"/>
      <c r="HL230" s="110"/>
      <c r="HM230" s="110"/>
      <c r="HN230" s="110"/>
      <c r="HO230" s="110"/>
      <c r="HP230" s="110"/>
      <c r="HQ230" s="110"/>
      <c r="HR230" s="110"/>
      <c r="HS230" s="110"/>
      <c r="HT230" s="110"/>
      <c r="HU230" s="110"/>
      <c r="HV230" s="110"/>
      <c r="HW230" s="110"/>
      <c r="HX230" s="110"/>
      <c r="HY230" s="110"/>
      <c r="HZ230" s="110"/>
      <c r="IA230" s="110"/>
      <c r="IB230" s="110"/>
      <c r="IC230" s="110"/>
      <c r="ID230" s="110"/>
      <c r="IE230" s="110"/>
      <c r="IF230" s="110"/>
      <c r="IG230" s="110"/>
      <c r="IH230" s="110"/>
      <c r="II230" s="110"/>
      <c r="IJ230" s="110"/>
      <c r="IK230" s="110"/>
      <c r="IL230" s="110"/>
      <c r="IM230" s="110"/>
      <c r="IN230" s="110"/>
      <c r="IO230" s="110"/>
      <c r="IP230" s="110"/>
      <c r="IQ230" s="653"/>
    </row>
    <row r="231" spans="1:251" ht="16.5" hidden="1" customHeight="1">
      <c r="A231" s="648"/>
      <c r="B231" t="s">
        <v>1362</v>
      </c>
      <c r="C231" t="s">
        <v>450</v>
      </c>
      <c r="E231" t="s">
        <v>450</v>
      </c>
      <c r="F231" t="s">
        <v>1369</v>
      </c>
      <c r="H231">
        <v>28</v>
      </c>
      <c r="J231" s="214" t="str">
        <f t="shared" si="5"/>
        <v>LTT300228</v>
      </c>
      <c r="K231">
        <v>14580</v>
      </c>
      <c r="R231" s="648"/>
      <c r="V231" s="214"/>
      <c r="EE231" s="648"/>
      <c r="EF231" s="110"/>
      <c r="EG231" s="110"/>
      <c r="EH231" s="110"/>
      <c r="EI231" s="650"/>
      <c r="EJ231" s="110"/>
      <c r="EK231" s="110"/>
      <c r="EL231" s="110"/>
      <c r="EM231" s="110"/>
      <c r="EN231" s="110"/>
      <c r="EO231" s="110"/>
      <c r="EP231" s="110"/>
      <c r="EQ231" s="110"/>
      <c r="ER231" s="110"/>
      <c r="ES231" s="110"/>
      <c r="ET231" s="110"/>
      <c r="EU231" s="110"/>
      <c r="EV231" s="110"/>
      <c r="EW231" s="110"/>
      <c r="EX231" s="110"/>
      <c r="EY231" s="110"/>
      <c r="EZ231" s="110"/>
      <c r="FA231" s="110"/>
      <c r="FB231" s="110"/>
      <c r="FC231" s="110"/>
      <c r="FD231" s="110"/>
      <c r="FE231" s="110"/>
      <c r="FF231" s="110"/>
      <c r="FG231" s="110"/>
      <c r="FH231" s="110"/>
      <c r="FI231" s="110"/>
      <c r="FJ231" s="110"/>
      <c r="FK231" s="110"/>
      <c r="FL231" s="110"/>
      <c r="FM231" s="110"/>
      <c r="FN231" s="110"/>
      <c r="FO231" s="110"/>
      <c r="FP231" s="110"/>
      <c r="FQ231" s="110"/>
      <c r="FR231" s="110"/>
      <c r="FS231" s="110"/>
      <c r="FT231" s="110"/>
      <c r="FU231" s="110"/>
      <c r="FV231" s="110"/>
      <c r="FW231" s="110"/>
      <c r="FX231" s="110"/>
      <c r="FY231" s="110"/>
      <c r="FZ231" s="110"/>
      <c r="GA231" s="110"/>
      <c r="GB231" s="110"/>
      <c r="GC231" s="110"/>
      <c r="GD231" s="110"/>
      <c r="GE231" s="110"/>
      <c r="GF231" s="110"/>
      <c r="GG231" s="110"/>
      <c r="GH231" s="110"/>
      <c r="GI231" s="110"/>
      <c r="GJ231" s="110"/>
      <c r="GK231" s="110"/>
      <c r="GL231" s="110"/>
      <c r="GM231" s="110"/>
      <c r="GN231" s="110"/>
      <c r="GO231" s="110"/>
      <c r="GP231" s="110"/>
      <c r="GQ231" s="110"/>
      <c r="GR231" s="110"/>
      <c r="GS231" s="110"/>
      <c r="GT231" s="110"/>
      <c r="GU231" s="110"/>
      <c r="GV231" s="110"/>
      <c r="GW231" s="110"/>
      <c r="GX231" s="110"/>
      <c r="GY231" s="110"/>
      <c r="GZ231" s="110"/>
      <c r="HA231" s="110"/>
      <c r="HB231" s="110"/>
      <c r="HC231" s="110"/>
      <c r="HD231" s="110"/>
      <c r="HE231" s="110"/>
      <c r="HF231" s="110"/>
      <c r="HG231" s="110"/>
      <c r="HH231" s="110"/>
      <c r="HI231" s="110"/>
      <c r="HJ231" s="110"/>
      <c r="HK231" s="110"/>
      <c r="HL231" s="110"/>
      <c r="HM231" s="110"/>
      <c r="HN231" s="110"/>
      <c r="HO231" s="110"/>
      <c r="HP231" s="110"/>
      <c r="HQ231" s="110"/>
      <c r="HR231" s="110"/>
      <c r="HS231" s="110"/>
      <c r="HT231" s="110"/>
      <c r="HU231" s="110"/>
      <c r="HV231" s="110"/>
      <c r="HW231" s="110"/>
      <c r="HX231" s="110"/>
      <c r="HY231" s="110"/>
      <c r="HZ231" s="110"/>
      <c r="IA231" s="110"/>
      <c r="IB231" s="110"/>
      <c r="IC231" s="110"/>
      <c r="ID231" s="110"/>
      <c r="IE231" s="110"/>
      <c r="IF231" s="110"/>
      <c r="IG231" s="110"/>
      <c r="IH231" s="110"/>
      <c r="II231" s="110"/>
      <c r="IJ231" s="110"/>
      <c r="IK231" s="110"/>
      <c r="IL231" s="110"/>
      <c r="IM231" s="110"/>
      <c r="IN231" s="110"/>
      <c r="IO231" s="110"/>
      <c r="IP231" s="110"/>
      <c r="IQ231" s="653"/>
    </row>
    <row r="232" spans="1:251" ht="16.5" hidden="1" customHeight="1">
      <c r="A232" s="648"/>
      <c r="B232" t="s">
        <v>1362</v>
      </c>
      <c r="C232" t="s">
        <v>450</v>
      </c>
      <c r="E232" t="s">
        <v>450</v>
      </c>
      <c r="F232" t="s">
        <v>1369</v>
      </c>
      <c r="H232">
        <v>29</v>
      </c>
      <c r="J232" s="214" t="str">
        <f t="shared" si="5"/>
        <v>LTT300229</v>
      </c>
      <c r="K232">
        <v>14880</v>
      </c>
      <c r="R232" s="648"/>
      <c r="V232" s="214"/>
      <c r="EE232" s="648"/>
      <c r="EF232" s="110"/>
      <c r="EG232" s="110"/>
      <c r="EH232" s="110"/>
      <c r="EI232" s="650"/>
      <c r="EJ232" s="110"/>
      <c r="EK232" s="110"/>
      <c r="EL232" s="110"/>
      <c r="EM232" s="110"/>
      <c r="EN232" s="110"/>
      <c r="EO232" s="110"/>
      <c r="EP232" s="110"/>
      <c r="EQ232" s="110"/>
      <c r="ER232" s="110"/>
      <c r="ES232" s="110"/>
      <c r="ET232" s="110"/>
      <c r="EU232" s="110"/>
      <c r="EV232" s="110"/>
      <c r="EW232" s="110"/>
      <c r="EX232" s="110"/>
      <c r="EY232" s="110"/>
      <c r="EZ232" s="110"/>
      <c r="FA232" s="110"/>
      <c r="FB232" s="110"/>
      <c r="FC232" s="110"/>
      <c r="FD232" s="110"/>
      <c r="FE232" s="110"/>
      <c r="FF232" s="110"/>
      <c r="FG232" s="110"/>
      <c r="FH232" s="110"/>
      <c r="FI232" s="110"/>
      <c r="FJ232" s="110"/>
      <c r="FK232" s="110"/>
      <c r="FL232" s="110"/>
      <c r="FM232" s="110"/>
      <c r="FN232" s="110"/>
      <c r="FO232" s="110"/>
      <c r="FP232" s="110"/>
      <c r="FQ232" s="110"/>
      <c r="FR232" s="110"/>
      <c r="FS232" s="110"/>
      <c r="FT232" s="110"/>
      <c r="FU232" s="110"/>
      <c r="FV232" s="110"/>
      <c r="FW232" s="110"/>
      <c r="FX232" s="110"/>
      <c r="FY232" s="110"/>
      <c r="FZ232" s="110"/>
      <c r="GA232" s="110"/>
      <c r="GB232" s="110"/>
      <c r="GC232" s="110"/>
      <c r="GD232" s="110"/>
      <c r="GE232" s="110"/>
      <c r="GF232" s="110"/>
      <c r="GG232" s="110"/>
      <c r="GH232" s="110"/>
      <c r="GI232" s="110"/>
      <c r="GJ232" s="110"/>
      <c r="GK232" s="110"/>
      <c r="GL232" s="110"/>
      <c r="GM232" s="110"/>
      <c r="GN232" s="110"/>
      <c r="GO232" s="110"/>
      <c r="GP232" s="110"/>
      <c r="GQ232" s="110"/>
      <c r="GR232" s="110"/>
      <c r="GS232" s="110"/>
      <c r="GT232" s="110"/>
      <c r="GU232" s="110"/>
      <c r="GV232" s="110"/>
      <c r="GW232" s="110"/>
      <c r="GX232" s="110"/>
      <c r="GY232" s="110"/>
      <c r="GZ232" s="110"/>
      <c r="HA232" s="110"/>
      <c r="HB232" s="110"/>
      <c r="HC232" s="110"/>
      <c r="HD232" s="110"/>
      <c r="HE232" s="110"/>
      <c r="HF232" s="110"/>
      <c r="HG232" s="110"/>
      <c r="HH232" s="110"/>
      <c r="HI232" s="110"/>
      <c r="HJ232" s="110"/>
      <c r="HK232" s="110"/>
      <c r="HL232" s="110"/>
      <c r="HM232" s="110"/>
      <c r="HN232" s="110"/>
      <c r="HO232" s="110"/>
      <c r="HP232" s="110"/>
      <c r="HQ232" s="110"/>
      <c r="HR232" s="110"/>
      <c r="HS232" s="110"/>
      <c r="HT232" s="110"/>
      <c r="HU232" s="110"/>
      <c r="HV232" s="110"/>
      <c r="HW232" s="110"/>
      <c r="HX232" s="110"/>
      <c r="HY232" s="110"/>
      <c r="HZ232" s="110"/>
      <c r="IA232" s="110"/>
      <c r="IB232" s="110"/>
      <c r="IC232" s="110"/>
      <c r="ID232" s="110"/>
      <c r="IE232" s="110"/>
      <c r="IF232" s="110"/>
      <c r="IG232" s="110"/>
      <c r="IH232" s="110"/>
      <c r="II232" s="110"/>
      <c r="IJ232" s="110"/>
      <c r="IK232" s="110"/>
      <c r="IL232" s="110"/>
      <c r="IM232" s="110"/>
      <c r="IN232" s="110"/>
      <c r="IO232" s="110"/>
      <c r="IP232" s="110"/>
      <c r="IQ232" s="653"/>
    </row>
    <row r="233" spans="1:251" ht="16.5" hidden="1" customHeight="1">
      <c r="A233" s="648"/>
      <c r="B233" t="s">
        <v>1362</v>
      </c>
      <c r="C233" t="s">
        <v>450</v>
      </c>
      <c r="E233" t="s">
        <v>450</v>
      </c>
      <c r="F233" t="s">
        <v>1369</v>
      </c>
      <c r="H233">
        <v>30</v>
      </c>
      <c r="J233" s="214" t="str">
        <f t="shared" si="5"/>
        <v>LTT300230</v>
      </c>
      <c r="K233">
        <v>15180</v>
      </c>
      <c r="R233" s="648"/>
      <c r="V233" s="214"/>
      <c r="EE233" s="648"/>
      <c r="EF233" s="110"/>
      <c r="EG233" s="110"/>
      <c r="EH233" s="110"/>
      <c r="EI233" s="650"/>
      <c r="EJ233" s="110"/>
      <c r="EK233" s="110"/>
      <c r="EL233" s="110"/>
      <c r="EM233" s="110"/>
      <c r="EN233" s="110"/>
      <c r="EO233" s="110"/>
      <c r="EP233" s="110"/>
      <c r="EQ233" s="110"/>
      <c r="ER233" s="110"/>
      <c r="ES233" s="110"/>
      <c r="ET233" s="110"/>
      <c r="EU233" s="110"/>
      <c r="EV233" s="110"/>
      <c r="EW233" s="110"/>
      <c r="EX233" s="110"/>
      <c r="EY233" s="110"/>
      <c r="EZ233" s="110"/>
      <c r="FA233" s="110"/>
      <c r="FB233" s="110"/>
      <c r="FC233" s="110"/>
      <c r="FD233" s="110"/>
      <c r="FE233" s="110"/>
      <c r="FF233" s="110"/>
      <c r="FG233" s="110"/>
      <c r="FH233" s="110"/>
      <c r="FI233" s="110"/>
      <c r="FJ233" s="110"/>
      <c r="FK233" s="110"/>
      <c r="FL233" s="110"/>
      <c r="FM233" s="110"/>
      <c r="FN233" s="110"/>
      <c r="FO233" s="110"/>
      <c r="FP233" s="110"/>
      <c r="FQ233" s="110"/>
      <c r="FR233" s="110"/>
      <c r="FS233" s="110"/>
      <c r="FT233" s="110"/>
      <c r="FU233" s="110"/>
      <c r="FV233" s="110"/>
      <c r="FW233" s="110"/>
      <c r="FX233" s="110"/>
      <c r="FY233" s="110"/>
      <c r="FZ233" s="110"/>
      <c r="GA233" s="110"/>
      <c r="GB233" s="110"/>
      <c r="GC233" s="110"/>
      <c r="GD233" s="110"/>
      <c r="GE233" s="110"/>
      <c r="GF233" s="110"/>
      <c r="GG233" s="110"/>
      <c r="GH233" s="110"/>
      <c r="GI233" s="110"/>
      <c r="GJ233" s="110"/>
      <c r="GK233" s="110"/>
      <c r="GL233" s="110"/>
      <c r="GM233" s="110"/>
      <c r="GN233" s="110"/>
      <c r="GO233" s="110"/>
      <c r="GP233" s="110"/>
      <c r="GQ233" s="110"/>
      <c r="GR233" s="110"/>
      <c r="GS233" s="110"/>
      <c r="GT233" s="110"/>
      <c r="GU233" s="110"/>
      <c r="GV233" s="110"/>
      <c r="GW233" s="110"/>
      <c r="GX233" s="110"/>
      <c r="GY233" s="110"/>
      <c r="GZ233" s="110"/>
      <c r="HA233" s="110"/>
      <c r="HB233" s="110"/>
      <c r="HC233" s="110"/>
      <c r="HD233" s="110"/>
      <c r="HE233" s="110"/>
      <c r="HF233" s="110"/>
      <c r="HG233" s="110"/>
      <c r="HH233" s="110"/>
      <c r="HI233" s="110"/>
      <c r="HJ233" s="110"/>
      <c r="HK233" s="110"/>
      <c r="HL233" s="110"/>
      <c r="HM233" s="110"/>
      <c r="HN233" s="110"/>
      <c r="HO233" s="110"/>
      <c r="HP233" s="110"/>
      <c r="HQ233" s="110"/>
      <c r="HR233" s="110"/>
      <c r="HS233" s="110"/>
      <c r="HT233" s="110"/>
      <c r="HU233" s="110"/>
      <c r="HV233" s="110"/>
      <c r="HW233" s="110"/>
      <c r="HX233" s="110"/>
      <c r="HY233" s="110"/>
      <c r="HZ233" s="110"/>
      <c r="IA233" s="110"/>
      <c r="IB233" s="110"/>
      <c r="IC233" s="110"/>
      <c r="ID233" s="110"/>
      <c r="IE233" s="110"/>
      <c r="IF233" s="110"/>
      <c r="IG233" s="110"/>
      <c r="IH233" s="110"/>
      <c r="II233" s="110"/>
      <c r="IJ233" s="110"/>
      <c r="IK233" s="110"/>
      <c r="IL233" s="110"/>
      <c r="IM233" s="110"/>
      <c r="IN233" s="110"/>
      <c r="IO233" s="110"/>
      <c r="IP233" s="110"/>
      <c r="IQ233" s="653"/>
    </row>
    <row r="234" spans="1:251" ht="16.5" hidden="1" customHeight="1">
      <c r="A234" s="648"/>
      <c r="B234" t="s">
        <v>1362</v>
      </c>
      <c r="C234" t="s">
        <v>450</v>
      </c>
      <c r="E234" t="s">
        <v>450</v>
      </c>
      <c r="F234" t="s">
        <v>1369</v>
      </c>
      <c r="H234">
        <v>31</v>
      </c>
      <c r="J234" s="214" t="str">
        <f t="shared" si="5"/>
        <v>LTT300231</v>
      </c>
      <c r="K234">
        <v>15480</v>
      </c>
      <c r="R234" s="648"/>
      <c r="V234" s="214"/>
      <c r="EE234" s="648"/>
      <c r="EF234" s="110"/>
      <c r="EG234" s="110"/>
      <c r="EH234" s="110"/>
      <c r="EI234" s="650"/>
      <c r="EJ234" s="110"/>
      <c r="EK234" s="110"/>
      <c r="EL234" s="110"/>
      <c r="EM234" s="110"/>
      <c r="EN234" s="110"/>
      <c r="EO234" s="110"/>
      <c r="EP234" s="110"/>
      <c r="EQ234" s="110"/>
      <c r="ER234" s="110"/>
      <c r="ES234" s="110"/>
      <c r="ET234" s="110"/>
      <c r="EU234" s="110"/>
      <c r="EV234" s="110"/>
      <c r="EW234" s="110"/>
      <c r="EX234" s="110"/>
      <c r="EY234" s="110"/>
      <c r="EZ234" s="110"/>
      <c r="FA234" s="110"/>
      <c r="FB234" s="110"/>
      <c r="FC234" s="110"/>
      <c r="FD234" s="110"/>
      <c r="FE234" s="110"/>
      <c r="FF234" s="110"/>
      <c r="FG234" s="110"/>
      <c r="FH234" s="110"/>
      <c r="FI234" s="110"/>
      <c r="FJ234" s="110"/>
      <c r="FK234" s="110"/>
      <c r="FL234" s="110"/>
      <c r="FM234" s="110"/>
      <c r="FN234" s="110"/>
      <c r="FO234" s="110"/>
      <c r="FP234" s="110"/>
      <c r="FQ234" s="110"/>
      <c r="FR234" s="110"/>
      <c r="FS234" s="110"/>
      <c r="FT234" s="110"/>
      <c r="FU234" s="110"/>
      <c r="FV234" s="110"/>
      <c r="FW234" s="110"/>
      <c r="FX234" s="110"/>
      <c r="FY234" s="110"/>
      <c r="FZ234" s="110"/>
      <c r="GA234" s="110"/>
      <c r="GB234" s="110"/>
      <c r="GC234" s="110"/>
      <c r="GD234" s="110"/>
      <c r="GE234" s="110"/>
      <c r="GF234" s="110"/>
      <c r="GG234" s="110"/>
      <c r="GH234" s="110"/>
      <c r="GI234" s="110"/>
      <c r="GJ234" s="110"/>
      <c r="GK234" s="110"/>
      <c r="GL234" s="110"/>
      <c r="GM234" s="110"/>
      <c r="GN234" s="110"/>
      <c r="GO234" s="110"/>
      <c r="GP234" s="110"/>
      <c r="GQ234" s="110"/>
      <c r="GR234" s="110"/>
      <c r="GS234" s="110"/>
      <c r="GT234" s="110"/>
      <c r="GU234" s="110"/>
      <c r="GV234" s="110"/>
      <c r="GW234" s="110"/>
      <c r="GX234" s="110"/>
      <c r="GY234" s="110"/>
      <c r="GZ234" s="110"/>
      <c r="HA234" s="110"/>
      <c r="HB234" s="110"/>
      <c r="HC234" s="110"/>
      <c r="HD234" s="110"/>
      <c r="HE234" s="110"/>
      <c r="HF234" s="110"/>
      <c r="HG234" s="110"/>
      <c r="HH234" s="110"/>
      <c r="HI234" s="110"/>
      <c r="HJ234" s="110"/>
      <c r="HK234" s="110"/>
      <c r="HL234" s="110"/>
      <c r="HM234" s="110"/>
      <c r="HN234" s="110"/>
      <c r="HO234" s="110"/>
      <c r="HP234" s="110"/>
      <c r="HQ234" s="110"/>
      <c r="HR234" s="110"/>
      <c r="HS234" s="110"/>
      <c r="HT234" s="110"/>
      <c r="HU234" s="110"/>
      <c r="HV234" s="110"/>
      <c r="HW234" s="110"/>
      <c r="HX234" s="110"/>
      <c r="HY234" s="110"/>
      <c r="HZ234" s="110"/>
      <c r="IA234" s="110"/>
      <c r="IB234" s="110"/>
      <c r="IC234" s="110"/>
      <c r="ID234" s="110"/>
      <c r="IE234" s="110"/>
      <c r="IF234" s="110"/>
      <c r="IG234" s="110"/>
      <c r="IH234" s="110"/>
      <c r="II234" s="110"/>
      <c r="IJ234" s="110"/>
      <c r="IK234" s="110"/>
      <c r="IL234" s="110"/>
      <c r="IM234" s="110"/>
      <c r="IN234" s="110"/>
      <c r="IO234" s="110"/>
      <c r="IP234" s="110"/>
      <c r="IQ234" s="653"/>
    </row>
    <row r="235" spans="1:251" ht="16.5" hidden="1" customHeight="1">
      <c r="A235" s="648"/>
      <c r="B235" t="s">
        <v>1362</v>
      </c>
      <c r="C235" t="s">
        <v>450</v>
      </c>
      <c r="E235" t="s">
        <v>450</v>
      </c>
      <c r="F235" t="s">
        <v>1369</v>
      </c>
      <c r="H235">
        <v>32</v>
      </c>
      <c r="J235" s="214" t="str">
        <f t="shared" si="5"/>
        <v>LTT300232</v>
      </c>
      <c r="K235">
        <v>15790</v>
      </c>
      <c r="R235" s="648"/>
      <c r="V235" s="214"/>
      <c r="EE235" s="648"/>
      <c r="EF235" s="110"/>
      <c r="EG235" s="110"/>
      <c r="EH235" s="110"/>
      <c r="EI235" s="650"/>
      <c r="EJ235" s="110"/>
      <c r="EK235" s="110"/>
      <c r="EL235" s="110"/>
      <c r="EM235" s="110"/>
      <c r="EN235" s="110"/>
      <c r="EO235" s="110"/>
      <c r="EP235" s="110"/>
      <c r="EQ235" s="110"/>
      <c r="ER235" s="110"/>
      <c r="ES235" s="110"/>
      <c r="ET235" s="110"/>
      <c r="EU235" s="110"/>
      <c r="EV235" s="110"/>
      <c r="EW235" s="110"/>
      <c r="EX235" s="110"/>
      <c r="EY235" s="110"/>
      <c r="EZ235" s="110"/>
      <c r="FA235" s="110"/>
      <c r="FB235" s="110"/>
      <c r="FC235" s="110"/>
      <c r="FD235" s="110"/>
      <c r="FE235" s="110"/>
      <c r="FF235" s="110"/>
      <c r="FG235" s="110"/>
      <c r="FH235" s="110"/>
      <c r="FI235" s="110"/>
      <c r="FJ235" s="110"/>
      <c r="FK235" s="110"/>
      <c r="FL235" s="110"/>
      <c r="FM235" s="110"/>
      <c r="FN235" s="110"/>
      <c r="FO235" s="110"/>
      <c r="FP235" s="110"/>
      <c r="FQ235" s="110"/>
      <c r="FR235" s="110"/>
      <c r="FS235" s="110"/>
      <c r="FT235" s="110"/>
      <c r="FU235" s="110"/>
      <c r="FV235" s="110"/>
      <c r="FW235" s="110"/>
      <c r="FX235" s="110"/>
      <c r="FY235" s="110"/>
      <c r="FZ235" s="110"/>
      <c r="GA235" s="110"/>
      <c r="GB235" s="110"/>
      <c r="GC235" s="110"/>
      <c r="GD235" s="110"/>
      <c r="GE235" s="110"/>
      <c r="GF235" s="110"/>
      <c r="GG235" s="110"/>
      <c r="GH235" s="110"/>
      <c r="GI235" s="110"/>
      <c r="GJ235" s="110"/>
      <c r="GK235" s="110"/>
      <c r="GL235" s="110"/>
      <c r="GM235" s="110"/>
      <c r="GN235" s="110"/>
      <c r="GO235" s="110"/>
      <c r="GP235" s="110"/>
      <c r="GQ235" s="110"/>
      <c r="GR235" s="110"/>
      <c r="GS235" s="110"/>
      <c r="GT235" s="110"/>
      <c r="GU235" s="110"/>
      <c r="GV235" s="110"/>
      <c r="GW235" s="110"/>
      <c r="GX235" s="110"/>
      <c r="GY235" s="110"/>
      <c r="GZ235" s="110"/>
      <c r="HA235" s="110"/>
      <c r="HB235" s="110"/>
      <c r="HC235" s="110"/>
      <c r="HD235" s="110"/>
      <c r="HE235" s="110"/>
      <c r="HF235" s="110"/>
      <c r="HG235" s="110"/>
      <c r="HH235" s="110"/>
      <c r="HI235" s="110"/>
      <c r="HJ235" s="110"/>
      <c r="HK235" s="110"/>
      <c r="HL235" s="110"/>
      <c r="HM235" s="110"/>
      <c r="HN235" s="110"/>
      <c r="HO235" s="110"/>
      <c r="HP235" s="110"/>
      <c r="HQ235" s="110"/>
      <c r="HR235" s="110"/>
      <c r="HS235" s="110"/>
      <c r="HT235" s="110"/>
      <c r="HU235" s="110"/>
      <c r="HV235" s="110"/>
      <c r="HW235" s="110"/>
      <c r="HX235" s="110"/>
      <c r="HY235" s="110"/>
      <c r="HZ235" s="110"/>
      <c r="IA235" s="110"/>
      <c r="IB235" s="110"/>
      <c r="IC235" s="110"/>
      <c r="ID235" s="110"/>
      <c r="IE235" s="110"/>
      <c r="IF235" s="110"/>
      <c r="IG235" s="110"/>
      <c r="IH235" s="110"/>
      <c r="II235" s="110"/>
      <c r="IJ235" s="110"/>
      <c r="IK235" s="110"/>
      <c r="IL235" s="110"/>
      <c r="IM235" s="110"/>
      <c r="IN235" s="110"/>
      <c r="IO235" s="110"/>
      <c r="IP235" s="110"/>
      <c r="IQ235" s="653"/>
    </row>
    <row r="236" spans="1:251" ht="16.5" hidden="1" customHeight="1">
      <c r="A236" s="648"/>
      <c r="B236" t="s">
        <v>1362</v>
      </c>
      <c r="C236" t="s">
        <v>450</v>
      </c>
      <c r="E236" t="s">
        <v>450</v>
      </c>
      <c r="F236" t="s">
        <v>1369</v>
      </c>
      <c r="H236">
        <v>33</v>
      </c>
      <c r="J236" s="214" t="str">
        <f t="shared" si="5"/>
        <v>LTT300233</v>
      </c>
      <c r="K236">
        <v>16090</v>
      </c>
      <c r="R236" s="648"/>
      <c r="V236" s="214"/>
      <c r="EE236" s="648"/>
      <c r="EF236" s="110"/>
      <c r="EG236" s="110"/>
      <c r="EH236" s="110"/>
      <c r="EI236" s="650"/>
      <c r="EJ236" s="110"/>
      <c r="EK236" s="110"/>
      <c r="EL236" s="110"/>
      <c r="EM236" s="110"/>
      <c r="EN236" s="110"/>
      <c r="EO236" s="110"/>
      <c r="EP236" s="110"/>
      <c r="EQ236" s="110"/>
      <c r="ER236" s="110"/>
      <c r="ES236" s="110"/>
      <c r="ET236" s="110"/>
      <c r="EU236" s="110"/>
      <c r="EV236" s="110"/>
      <c r="EW236" s="110"/>
      <c r="EX236" s="110"/>
      <c r="EY236" s="110"/>
      <c r="EZ236" s="110"/>
      <c r="FA236" s="110"/>
      <c r="FB236" s="110"/>
      <c r="FC236" s="110"/>
      <c r="FD236" s="110"/>
      <c r="FE236" s="110"/>
      <c r="FF236" s="110"/>
      <c r="FG236" s="110"/>
      <c r="FH236" s="110"/>
      <c r="FI236" s="110"/>
      <c r="FJ236" s="110"/>
      <c r="FK236" s="110"/>
      <c r="FL236" s="110"/>
      <c r="FM236" s="110"/>
      <c r="FN236" s="110"/>
      <c r="FO236" s="110"/>
      <c r="FP236" s="110"/>
      <c r="FQ236" s="110"/>
      <c r="FR236" s="110"/>
      <c r="FS236" s="110"/>
      <c r="FT236" s="110"/>
      <c r="FU236" s="110"/>
      <c r="FV236" s="110"/>
      <c r="FW236" s="110"/>
      <c r="FX236" s="110"/>
      <c r="FY236" s="110"/>
      <c r="FZ236" s="110"/>
      <c r="GA236" s="110"/>
      <c r="GB236" s="110"/>
      <c r="GC236" s="110"/>
      <c r="GD236" s="110"/>
      <c r="GE236" s="110"/>
      <c r="GF236" s="110"/>
      <c r="GG236" s="110"/>
      <c r="GH236" s="110"/>
      <c r="GI236" s="110"/>
      <c r="GJ236" s="110"/>
      <c r="GK236" s="110"/>
      <c r="GL236" s="110"/>
      <c r="GM236" s="110"/>
      <c r="GN236" s="110"/>
      <c r="GO236" s="110"/>
      <c r="GP236" s="110"/>
      <c r="GQ236" s="110"/>
      <c r="GR236" s="110"/>
      <c r="GS236" s="110"/>
      <c r="GT236" s="110"/>
      <c r="GU236" s="110"/>
      <c r="GV236" s="110"/>
      <c r="GW236" s="110"/>
      <c r="GX236" s="110"/>
      <c r="GY236" s="110"/>
      <c r="GZ236" s="110"/>
      <c r="HA236" s="110"/>
      <c r="HB236" s="110"/>
      <c r="HC236" s="110"/>
      <c r="HD236" s="110"/>
      <c r="HE236" s="110"/>
      <c r="HF236" s="110"/>
      <c r="HG236" s="110"/>
      <c r="HH236" s="110"/>
      <c r="HI236" s="110"/>
      <c r="HJ236" s="110"/>
      <c r="HK236" s="110"/>
      <c r="HL236" s="110"/>
      <c r="HM236" s="110"/>
      <c r="HN236" s="110"/>
      <c r="HO236" s="110"/>
      <c r="HP236" s="110"/>
      <c r="HQ236" s="110"/>
      <c r="HR236" s="110"/>
      <c r="HS236" s="110"/>
      <c r="HT236" s="110"/>
      <c r="HU236" s="110"/>
      <c r="HV236" s="110"/>
      <c r="HW236" s="110"/>
      <c r="HX236" s="110"/>
      <c r="HY236" s="110"/>
      <c r="HZ236" s="110"/>
      <c r="IA236" s="110"/>
      <c r="IB236" s="110"/>
      <c r="IC236" s="110"/>
      <c r="ID236" s="110"/>
      <c r="IE236" s="110"/>
      <c r="IF236" s="110"/>
      <c r="IG236" s="110"/>
      <c r="IH236" s="110"/>
      <c r="II236" s="110"/>
      <c r="IJ236" s="110"/>
      <c r="IK236" s="110"/>
      <c r="IL236" s="110"/>
      <c r="IM236" s="110"/>
      <c r="IN236" s="110"/>
      <c r="IO236" s="110"/>
      <c r="IP236" s="110"/>
      <c r="IQ236" s="653"/>
    </row>
    <row r="237" spans="1:251" ht="16.5" hidden="1" customHeight="1">
      <c r="A237" s="648"/>
      <c r="B237" t="s">
        <v>1362</v>
      </c>
      <c r="C237" t="s">
        <v>450</v>
      </c>
      <c r="E237" t="s">
        <v>450</v>
      </c>
      <c r="F237" t="s">
        <v>1369</v>
      </c>
      <c r="H237">
        <v>34</v>
      </c>
      <c r="J237" s="214" t="str">
        <f t="shared" si="5"/>
        <v>LTT300234</v>
      </c>
      <c r="K237">
        <v>16410</v>
      </c>
      <c r="R237" s="648"/>
      <c r="V237" s="214"/>
      <c r="EE237" s="648"/>
      <c r="EF237" s="110"/>
      <c r="EG237" s="110"/>
      <c r="EH237" s="110"/>
      <c r="EI237" s="650"/>
      <c r="EJ237" s="110"/>
      <c r="EK237" s="110"/>
      <c r="EL237" s="110"/>
      <c r="EM237" s="110"/>
      <c r="EN237" s="110"/>
      <c r="EO237" s="110"/>
      <c r="EP237" s="110"/>
      <c r="EQ237" s="110"/>
      <c r="ER237" s="110"/>
      <c r="ES237" s="110"/>
      <c r="ET237" s="110"/>
      <c r="EU237" s="110"/>
      <c r="EV237" s="110"/>
      <c r="EW237" s="110"/>
      <c r="EX237" s="110"/>
      <c r="EY237" s="110"/>
      <c r="EZ237" s="110"/>
      <c r="FA237" s="110"/>
      <c r="FB237" s="110"/>
      <c r="FC237" s="110"/>
      <c r="FD237" s="110"/>
      <c r="FE237" s="110"/>
      <c r="FF237" s="110"/>
      <c r="FG237" s="110"/>
      <c r="FH237" s="110"/>
      <c r="FI237" s="110"/>
      <c r="FJ237" s="110"/>
      <c r="FK237" s="110"/>
      <c r="FL237" s="110"/>
      <c r="FM237" s="110"/>
      <c r="FN237" s="110"/>
      <c r="FO237" s="110"/>
      <c r="FP237" s="110"/>
      <c r="FQ237" s="110"/>
      <c r="FR237" s="110"/>
      <c r="FS237" s="110"/>
      <c r="FT237" s="110"/>
      <c r="FU237" s="110"/>
      <c r="FV237" s="110"/>
      <c r="FW237" s="110"/>
      <c r="FX237" s="110"/>
      <c r="FY237" s="110"/>
      <c r="FZ237" s="110"/>
      <c r="GA237" s="110"/>
      <c r="GB237" s="110"/>
      <c r="GC237" s="110"/>
      <c r="GD237" s="110"/>
      <c r="GE237" s="110"/>
      <c r="GF237" s="110"/>
      <c r="GG237" s="110"/>
      <c r="GH237" s="110"/>
      <c r="GI237" s="110"/>
      <c r="GJ237" s="110"/>
      <c r="GK237" s="110"/>
      <c r="GL237" s="110"/>
      <c r="GM237" s="110"/>
      <c r="GN237" s="110"/>
      <c r="GO237" s="110"/>
      <c r="GP237" s="110"/>
      <c r="GQ237" s="110"/>
      <c r="GR237" s="110"/>
      <c r="GS237" s="110"/>
      <c r="GT237" s="110"/>
      <c r="GU237" s="110"/>
      <c r="GV237" s="110"/>
      <c r="GW237" s="110"/>
      <c r="GX237" s="110"/>
      <c r="GY237" s="110"/>
      <c r="GZ237" s="110"/>
      <c r="HA237" s="110"/>
      <c r="HB237" s="110"/>
      <c r="HC237" s="110"/>
      <c r="HD237" s="110"/>
      <c r="HE237" s="110"/>
      <c r="HF237" s="110"/>
      <c r="HG237" s="110"/>
      <c r="HH237" s="110"/>
      <c r="HI237" s="110"/>
      <c r="HJ237" s="110"/>
      <c r="HK237" s="110"/>
      <c r="HL237" s="110"/>
      <c r="HM237" s="110"/>
      <c r="HN237" s="110"/>
      <c r="HO237" s="110"/>
      <c r="HP237" s="110"/>
      <c r="HQ237" s="110"/>
      <c r="HR237" s="110"/>
      <c r="HS237" s="110"/>
      <c r="HT237" s="110"/>
      <c r="HU237" s="110"/>
      <c r="HV237" s="110"/>
      <c r="HW237" s="110"/>
      <c r="HX237" s="110"/>
      <c r="HY237" s="110"/>
      <c r="HZ237" s="110"/>
      <c r="IA237" s="110"/>
      <c r="IB237" s="110"/>
      <c r="IC237" s="110"/>
      <c r="ID237" s="110"/>
      <c r="IE237" s="110"/>
      <c r="IF237" s="110"/>
      <c r="IG237" s="110"/>
      <c r="IH237" s="110"/>
      <c r="II237" s="110"/>
      <c r="IJ237" s="110"/>
      <c r="IK237" s="110"/>
      <c r="IL237" s="110"/>
      <c r="IM237" s="110"/>
      <c r="IN237" s="110"/>
      <c r="IO237" s="110"/>
      <c r="IP237" s="110"/>
      <c r="IQ237" s="653"/>
    </row>
    <row r="238" spans="1:251" ht="16.5" hidden="1" customHeight="1">
      <c r="A238" s="648"/>
      <c r="B238" t="s">
        <v>1362</v>
      </c>
      <c r="C238" t="s">
        <v>450</v>
      </c>
      <c r="E238" t="s">
        <v>450</v>
      </c>
      <c r="F238" t="s">
        <v>1369</v>
      </c>
      <c r="H238">
        <v>35</v>
      </c>
      <c r="J238" s="214" t="str">
        <f t="shared" si="5"/>
        <v>LTT300235</v>
      </c>
      <c r="K238">
        <v>16720</v>
      </c>
      <c r="R238" s="648"/>
      <c r="V238" s="214"/>
      <c r="EE238" s="648"/>
      <c r="EF238" s="110"/>
      <c r="EG238" s="110"/>
      <c r="EH238" s="110"/>
      <c r="EI238" s="650"/>
      <c r="EJ238" s="110"/>
      <c r="EK238" s="110"/>
      <c r="EL238" s="110"/>
      <c r="EM238" s="110"/>
      <c r="EN238" s="110"/>
      <c r="EO238" s="110"/>
      <c r="EP238" s="110"/>
      <c r="EQ238" s="110"/>
      <c r="ER238" s="110"/>
      <c r="ES238" s="110"/>
      <c r="ET238" s="110"/>
      <c r="EU238" s="110"/>
      <c r="EV238" s="110"/>
      <c r="EW238" s="110"/>
      <c r="EX238" s="110"/>
      <c r="EY238" s="110"/>
      <c r="EZ238" s="110"/>
      <c r="FA238" s="110"/>
      <c r="FB238" s="110"/>
      <c r="FC238" s="110"/>
      <c r="FD238" s="110"/>
      <c r="FE238" s="110"/>
      <c r="FF238" s="110"/>
      <c r="FG238" s="110"/>
      <c r="FH238" s="110"/>
      <c r="FI238" s="110"/>
      <c r="FJ238" s="110"/>
      <c r="FK238" s="110"/>
      <c r="FL238" s="110"/>
      <c r="FM238" s="110"/>
      <c r="FN238" s="110"/>
      <c r="FO238" s="110"/>
      <c r="FP238" s="110"/>
      <c r="FQ238" s="110"/>
      <c r="FR238" s="110"/>
      <c r="FS238" s="110"/>
      <c r="FT238" s="110"/>
      <c r="FU238" s="110"/>
      <c r="FV238" s="110"/>
      <c r="FW238" s="110"/>
      <c r="FX238" s="110"/>
      <c r="FY238" s="110"/>
      <c r="FZ238" s="110"/>
      <c r="GA238" s="110"/>
      <c r="GB238" s="110"/>
      <c r="GC238" s="110"/>
      <c r="GD238" s="110"/>
      <c r="GE238" s="110"/>
      <c r="GF238" s="110"/>
      <c r="GG238" s="110"/>
      <c r="GH238" s="110"/>
      <c r="GI238" s="110"/>
      <c r="GJ238" s="110"/>
      <c r="GK238" s="110"/>
      <c r="GL238" s="110"/>
      <c r="GM238" s="110"/>
      <c r="GN238" s="110"/>
      <c r="GO238" s="110"/>
      <c r="GP238" s="110"/>
      <c r="GQ238" s="110"/>
      <c r="GR238" s="110"/>
      <c r="GS238" s="110"/>
      <c r="GT238" s="110"/>
      <c r="GU238" s="110"/>
      <c r="GV238" s="110"/>
      <c r="GW238" s="110"/>
      <c r="GX238" s="110"/>
      <c r="GY238" s="110"/>
      <c r="GZ238" s="110"/>
      <c r="HA238" s="110"/>
      <c r="HB238" s="110"/>
      <c r="HC238" s="110"/>
      <c r="HD238" s="110"/>
      <c r="HE238" s="110"/>
      <c r="HF238" s="110"/>
      <c r="HG238" s="110"/>
      <c r="HH238" s="110"/>
      <c r="HI238" s="110"/>
      <c r="HJ238" s="110"/>
      <c r="HK238" s="110"/>
      <c r="HL238" s="110"/>
      <c r="HM238" s="110"/>
      <c r="HN238" s="110"/>
      <c r="HO238" s="110"/>
      <c r="HP238" s="110"/>
      <c r="HQ238" s="110"/>
      <c r="HR238" s="110"/>
      <c r="HS238" s="110"/>
      <c r="HT238" s="110"/>
      <c r="HU238" s="110"/>
      <c r="HV238" s="110"/>
      <c r="HW238" s="110"/>
      <c r="HX238" s="110"/>
      <c r="HY238" s="110"/>
      <c r="HZ238" s="110"/>
      <c r="IA238" s="110"/>
      <c r="IB238" s="110"/>
      <c r="IC238" s="110"/>
      <c r="ID238" s="110"/>
      <c r="IE238" s="110"/>
      <c r="IF238" s="110"/>
      <c r="IG238" s="110"/>
      <c r="IH238" s="110"/>
      <c r="II238" s="110"/>
      <c r="IJ238" s="110"/>
      <c r="IK238" s="110"/>
      <c r="IL238" s="110"/>
      <c r="IM238" s="110"/>
      <c r="IN238" s="110"/>
      <c r="IO238" s="110"/>
      <c r="IP238" s="110"/>
      <c r="IQ238" s="653"/>
    </row>
    <row r="239" spans="1:251" ht="16.5" hidden="1" customHeight="1">
      <c r="A239" s="648"/>
      <c r="B239" t="s">
        <v>1362</v>
      </c>
      <c r="C239" t="s">
        <v>450</v>
      </c>
      <c r="E239" t="s">
        <v>450</v>
      </c>
      <c r="F239" t="s">
        <v>1369</v>
      </c>
      <c r="H239">
        <v>36</v>
      </c>
      <c r="J239" s="214" t="str">
        <f t="shared" si="5"/>
        <v>LTT300236</v>
      </c>
      <c r="K239">
        <v>17050</v>
      </c>
      <c r="R239" s="648"/>
      <c r="V239" s="214"/>
      <c r="EE239" s="648"/>
      <c r="EF239" s="110"/>
      <c r="EG239" s="110"/>
      <c r="EH239" s="110"/>
      <c r="EI239" s="650"/>
      <c r="EJ239" s="110"/>
      <c r="EK239" s="110"/>
      <c r="EL239" s="110"/>
      <c r="EM239" s="110"/>
      <c r="EN239" s="110"/>
      <c r="EO239" s="110"/>
      <c r="EP239" s="110"/>
      <c r="EQ239" s="110"/>
      <c r="ER239" s="110"/>
      <c r="ES239" s="110"/>
      <c r="ET239" s="110"/>
      <c r="EU239" s="110"/>
      <c r="EV239" s="110"/>
      <c r="EW239" s="110"/>
      <c r="EX239" s="110"/>
      <c r="EY239" s="110"/>
      <c r="EZ239" s="110"/>
      <c r="FA239" s="110"/>
      <c r="FB239" s="110"/>
      <c r="FC239" s="110"/>
      <c r="FD239" s="110"/>
      <c r="FE239" s="110"/>
      <c r="FF239" s="110"/>
      <c r="FG239" s="110"/>
      <c r="FH239" s="110"/>
      <c r="FI239" s="110"/>
      <c r="FJ239" s="110"/>
      <c r="FK239" s="110"/>
      <c r="FL239" s="110"/>
      <c r="FM239" s="110"/>
      <c r="FN239" s="110"/>
      <c r="FO239" s="110"/>
      <c r="FP239" s="110"/>
      <c r="FQ239" s="110"/>
      <c r="FR239" s="110"/>
      <c r="FS239" s="110"/>
      <c r="FT239" s="110"/>
      <c r="FU239" s="110"/>
      <c r="FV239" s="110"/>
      <c r="FW239" s="110"/>
      <c r="FX239" s="110"/>
      <c r="FY239" s="110"/>
      <c r="FZ239" s="110"/>
      <c r="GA239" s="110"/>
      <c r="GB239" s="110"/>
      <c r="GC239" s="110"/>
      <c r="GD239" s="110"/>
      <c r="GE239" s="110"/>
      <c r="GF239" s="110"/>
      <c r="GG239" s="110"/>
      <c r="GH239" s="110"/>
      <c r="GI239" s="110"/>
      <c r="GJ239" s="110"/>
      <c r="GK239" s="110"/>
      <c r="GL239" s="110"/>
      <c r="GM239" s="110"/>
      <c r="GN239" s="110"/>
      <c r="GO239" s="110"/>
      <c r="GP239" s="110"/>
      <c r="GQ239" s="110"/>
      <c r="GR239" s="110"/>
      <c r="GS239" s="110"/>
      <c r="GT239" s="110"/>
      <c r="GU239" s="110"/>
      <c r="GV239" s="110"/>
      <c r="GW239" s="110"/>
      <c r="GX239" s="110"/>
      <c r="GY239" s="110"/>
      <c r="GZ239" s="110"/>
      <c r="HA239" s="110"/>
      <c r="HB239" s="110"/>
      <c r="HC239" s="110"/>
      <c r="HD239" s="110"/>
      <c r="HE239" s="110"/>
      <c r="HF239" s="110"/>
      <c r="HG239" s="110"/>
      <c r="HH239" s="110"/>
      <c r="HI239" s="110"/>
      <c r="HJ239" s="110"/>
      <c r="HK239" s="110"/>
      <c r="HL239" s="110"/>
      <c r="HM239" s="110"/>
      <c r="HN239" s="110"/>
      <c r="HO239" s="110"/>
      <c r="HP239" s="110"/>
      <c r="HQ239" s="110"/>
      <c r="HR239" s="110"/>
      <c r="HS239" s="110"/>
      <c r="HT239" s="110"/>
      <c r="HU239" s="110"/>
      <c r="HV239" s="110"/>
      <c r="HW239" s="110"/>
      <c r="HX239" s="110"/>
      <c r="HY239" s="110"/>
      <c r="HZ239" s="110"/>
      <c r="IA239" s="110"/>
      <c r="IB239" s="110"/>
      <c r="IC239" s="110"/>
      <c r="ID239" s="110"/>
      <c r="IE239" s="110"/>
      <c r="IF239" s="110"/>
      <c r="IG239" s="110"/>
      <c r="IH239" s="110"/>
      <c r="II239" s="110"/>
      <c r="IJ239" s="110"/>
      <c r="IK239" s="110"/>
      <c r="IL239" s="110"/>
      <c r="IM239" s="110"/>
      <c r="IN239" s="110"/>
      <c r="IO239" s="110"/>
      <c r="IP239" s="110"/>
      <c r="IQ239" s="653"/>
    </row>
    <row r="240" spans="1:251" ht="16.5" hidden="1" customHeight="1">
      <c r="A240" s="648"/>
      <c r="B240" t="s">
        <v>1362</v>
      </c>
      <c r="C240" t="s">
        <v>450</v>
      </c>
      <c r="E240" t="s">
        <v>450</v>
      </c>
      <c r="F240" t="s">
        <v>1369</v>
      </c>
      <c r="H240">
        <v>37</v>
      </c>
      <c r="J240" s="214" t="str">
        <f t="shared" si="5"/>
        <v>LTT300237</v>
      </c>
      <c r="K240">
        <v>17380</v>
      </c>
      <c r="R240" s="648"/>
      <c r="V240" s="214"/>
      <c r="EE240" s="648"/>
      <c r="EF240" s="110"/>
      <c r="EG240" s="110"/>
      <c r="EH240" s="110"/>
      <c r="EI240" s="650"/>
      <c r="EJ240" s="110"/>
      <c r="EK240" s="110"/>
      <c r="EL240" s="110"/>
      <c r="EM240" s="110"/>
      <c r="EN240" s="110"/>
      <c r="EO240" s="110"/>
      <c r="EP240" s="110"/>
      <c r="EQ240" s="110"/>
      <c r="ER240" s="110"/>
      <c r="ES240" s="110"/>
      <c r="ET240" s="110"/>
      <c r="EU240" s="110"/>
      <c r="EV240" s="110"/>
      <c r="EW240" s="110"/>
      <c r="EX240" s="110"/>
      <c r="EY240" s="110"/>
      <c r="EZ240" s="110"/>
      <c r="FA240" s="110"/>
      <c r="FB240" s="110"/>
      <c r="FC240" s="110"/>
      <c r="FD240" s="110"/>
      <c r="FE240" s="110"/>
      <c r="FF240" s="110"/>
      <c r="FG240" s="110"/>
      <c r="FH240" s="110"/>
      <c r="FI240" s="110"/>
      <c r="FJ240" s="110"/>
      <c r="FK240" s="110"/>
      <c r="FL240" s="110"/>
      <c r="FM240" s="110"/>
      <c r="FN240" s="110"/>
      <c r="FO240" s="110"/>
      <c r="FP240" s="110"/>
      <c r="FQ240" s="110"/>
      <c r="FR240" s="110"/>
      <c r="FS240" s="110"/>
      <c r="FT240" s="110"/>
      <c r="FU240" s="110"/>
      <c r="FV240" s="110"/>
      <c r="FW240" s="110"/>
      <c r="FX240" s="110"/>
      <c r="FY240" s="110"/>
      <c r="FZ240" s="110"/>
      <c r="GA240" s="110"/>
      <c r="GB240" s="110"/>
      <c r="GC240" s="110"/>
      <c r="GD240" s="110"/>
      <c r="GE240" s="110"/>
      <c r="GF240" s="110"/>
      <c r="GG240" s="110"/>
      <c r="GH240" s="110"/>
      <c r="GI240" s="110"/>
      <c r="GJ240" s="110"/>
      <c r="GK240" s="110"/>
      <c r="GL240" s="110"/>
      <c r="GM240" s="110"/>
      <c r="GN240" s="110"/>
      <c r="GO240" s="110"/>
      <c r="GP240" s="110"/>
      <c r="GQ240" s="110"/>
      <c r="GR240" s="110"/>
      <c r="GS240" s="110"/>
      <c r="GT240" s="110"/>
      <c r="GU240" s="110"/>
      <c r="GV240" s="110"/>
      <c r="GW240" s="110"/>
      <c r="GX240" s="110"/>
      <c r="GY240" s="110"/>
      <c r="GZ240" s="110"/>
      <c r="HA240" s="110"/>
      <c r="HB240" s="110"/>
      <c r="HC240" s="110"/>
      <c r="HD240" s="110"/>
      <c r="HE240" s="110"/>
      <c r="HF240" s="110"/>
      <c r="HG240" s="110"/>
      <c r="HH240" s="110"/>
      <c r="HI240" s="110"/>
      <c r="HJ240" s="110"/>
      <c r="HK240" s="110"/>
      <c r="HL240" s="110"/>
      <c r="HM240" s="110"/>
      <c r="HN240" s="110"/>
      <c r="HO240" s="110"/>
      <c r="HP240" s="110"/>
      <c r="HQ240" s="110"/>
      <c r="HR240" s="110"/>
      <c r="HS240" s="110"/>
      <c r="HT240" s="110"/>
      <c r="HU240" s="110"/>
      <c r="HV240" s="110"/>
      <c r="HW240" s="110"/>
      <c r="HX240" s="110"/>
      <c r="HY240" s="110"/>
      <c r="HZ240" s="110"/>
      <c r="IA240" s="110"/>
      <c r="IB240" s="110"/>
      <c r="IC240" s="110"/>
      <c r="ID240" s="110"/>
      <c r="IE240" s="110"/>
      <c r="IF240" s="110"/>
      <c r="IG240" s="110"/>
      <c r="IH240" s="110"/>
      <c r="II240" s="110"/>
      <c r="IJ240" s="110"/>
      <c r="IK240" s="110"/>
      <c r="IL240" s="110"/>
      <c r="IM240" s="110"/>
      <c r="IN240" s="110"/>
      <c r="IO240" s="110"/>
      <c r="IP240" s="110"/>
      <c r="IQ240" s="653"/>
    </row>
    <row r="241" spans="1:251" ht="16.5" hidden="1" customHeight="1">
      <c r="A241" s="648"/>
      <c r="B241" t="s">
        <v>1362</v>
      </c>
      <c r="C241" t="s">
        <v>450</v>
      </c>
      <c r="E241" t="s">
        <v>450</v>
      </c>
      <c r="F241" t="s">
        <v>1369</v>
      </c>
      <c r="H241">
        <v>38</v>
      </c>
      <c r="J241" s="214" t="str">
        <f t="shared" si="5"/>
        <v>LTT300238</v>
      </c>
      <c r="K241">
        <v>17730</v>
      </c>
      <c r="R241" s="648"/>
      <c r="V241" s="214"/>
      <c r="EE241" s="648"/>
      <c r="EF241" s="110"/>
      <c r="EG241" s="110"/>
      <c r="EH241" s="110"/>
      <c r="EI241" s="650"/>
      <c r="EJ241" s="110"/>
      <c r="EK241" s="110"/>
      <c r="EL241" s="110"/>
      <c r="EM241" s="110"/>
      <c r="EN241" s="110"/>
      <c r="EO241" s="110"/>
      <c r="EP241" s="110"/>
      <c r="EQ241" s="110"/>
      <c r="ER241" s="110"/>
      <c r="ES241" s="110"/>
      <c r="ET241" s="110"/>
      <c r="EU241" s="110"/>
      <c r="EV241" s="110"/>
      <c r="EW241" s="110"/>
      <c r="EX241" s="110"/>
      <c r="EY241" s="110"/>
      <c r="EZ241" s="110"/>
      <c r="FA241" s="110"/>
      <c r="FB241" s="110"/>
      <c r="FC241" s="110"/>
      <c r="FD241" s="110"/>
      <c r="FE241" s="110"/>
      <c r="FF241" s="110"/>
      <c r="FG241" s="110"/>
      <c r="FH241" s="110"/>
      <c r="FI241" s="110"/>
      <c r="FJ241" s="110"/>
      <c r="FK241" s="110"/>
      <c r="FL241" s="110"/>
      <c r="FM241" s="110"/>
      <c r="FN241" s="110"/>
      <c r="FO241" s="110"/>
      <c r="FP241" s="110"/>
      <c r="FQ241" s="110"/>
      <c r="FR241" s="110"/>
      <c r="FS241" s="110"/>
      <c r="FT241" s="110"/>
      <c r="FU241" s="110"/>
      <c r="FV241" s="110"/>
      <c r="FW241" s="110"/>
      <c r="FX241" s="110"/>
      <c r="FY241" s="110"/>
      <c r="FZ241" s="110"/>
      <c r="GA241" s="110"/>
      <c r="GB241" s="110"/>
      <c r="GC241" s="110"/>
      <c r="GD241" s="110"/>
      <c r="GE241" s="110"/>
      <c r="GF241" s="110"/>
      <c r="GG241" s="110"/>
      <c r="GH241" s="110"/>
      <c r="GI241" s="110"/>
      <c r="GJ241" s="110"/>
      <c r="GK241" s="110"/>
      <c r="GL241" s="110"/>
      <c r="GM241" s="110"/>
      <c r="GN241" s="110"/>
      <c r="GO241" s="110"/>
      <c r="GP241" s="110"/>
      <c r="GQ241" s="110"/>
      <c r="GR241" s="110"/>
      <c r="GS241" s="110"/>
      <c r="GT241" s="110"/>
      <c r="GU241" s="110"/>
      <c r="GV241" s="110"/>
      <c r="GW241" s="110"/>
      <c r="GX241" s="110"/>
      <c r="GY241" s="110"/>
      <c r="GZ241" s="110"/>
      <c r="HA241" s="110"/>
      <c r="HB241" s="110"/>
      <c r="HC241" s="110"/>
      <c r="HD241" s="110"/>
      <c r="HE241" s="110"/>
      <c r="HF241" s="110"/>
      <c r="HG241" s="110"/>
      <c r="HH241" s="110"/>
      <c r="HI241" s="110"/>
      <c r="HJ241" s="110"/>
      <c r="HK241" s="110"/>
      <c r="HL241" s="110"/>
      <c r="HM241" s="110"/>
      <c r="HN241" s="110"/>
      <c r="HO241" s="110"/>
      <c r="HP241" s="110"/>
      <c r="HQ241" s="110"/>
      <c r="HR241" s="110"/>
      <c r="HS241" s="110"/>
      <c r="HT241" s="110"/>
      <c r="HU241" s="110"/>
      <c r="HV241" s="110"/>
      <c r="HW241" s="110"/>
      <c r="HX241" s="110"/>
      <c r="HY241" s="110"/>
      <c r="HZ241" s="110"/>
      <c r="IA241" s="110"/>
      <c r="IB241" s="110"/>
      <c r="IC241" s="110"/>
      <c r="ID241" s="110"/>
      <c r="IE241" s="110"/>
      <c r="IF241" s="110"/>
      <c r="IG241" s="110"/>
      <c r="IH241" s="110"/>
      <c r="II241" s="110"/>
      <c r="IJ241" s="110"/>
      <c r="IK241" s="110"/>
      <c r="IL241" s="110"/>
      <c r="IM241" s="110"/>
      <c r="IN241" s="110"/>
      <c r="IO241" s="110"/>
      <c r="IP241" s="110"/>
      <c r="IQ241" s="653"/>
    </row>
    <row r="242" spans="1:251" ht="16.5" hidden="1" customHeight="1">
      <c r="A242" s="648"/>
      <c r="B242" t="s">
        <v>1362</v>
      </c>
      <c r="C242" t="s">
        <v>450</v>
      </c>
      <c r="E242" t="s">
        <v>450</v>
      </c>
      <c r="F242" t="s">
        <v>1369</v>
      </c>
      <c r="H242">
        <v>39</v>
      </c>
      <c r="J242" s="214" t="str">
        <f t="shared" si="5"/>
        <v>LTT300239</v>
      </c>
      <c r="K242">
        <v>18070</v>
      </c>
      <c r="R242" s="648"/>
      <c r="V242" s="214"/>
      <c r="EE242" s="648"/>
      <c r="EF242" s="110"/>
      <c r="EG242" s="110"/>
      <c r="EH242" s="110"/>
      <c r="EI242" s="650"/>
      <c r="EJ242" s="110"/>
      <c r="EK242" s="110"/>
      <c r="EL242" s="110"/>
      <c r="EM242" s="110"/>
      <c r="EN242" s="110"/>
      <c r="EO242" s="110"/>
      <c r="EP242" s="110"/>
      <c r="EQ242" s="110"/>
      <c r="ER242" s="110"/>
      <c r="ES242" s="110"/>
      <c r="ET242" s="110"/>
      <c r="EU242" s="110"/>
      <c r="EV242" s="110"/>
      <c r="EW242" s="110"/>
      <c r="EX242" s="110"/>
      <c r="EY242" s="110"/>
      <c r="EZ242" s="110"/>
      <c r="FA242" s="110"/>
      <c r="FB242" s="110"/>
      <c r="FC242" s="110"/>
      <c r="FD242" s="110"/>
      <c r="FE242" s="110"/>
      <c r="FF242" s="110"/>
      <c r="FG242" s="110"/>
      <c r="FH242" s="110"/>
      <c r="FI242" s="110"/>
      <c r="FJ242" s="110"/>
      <c r="FK242" s="110"/>
      <c r="FL242" s="110"/>
      <c r="FM242" s="110"/>
      <c r="FN242" s="110"/>
      <c r="FO242" s="110"/>
      <c r="FP242" s="110"/>
      <c r="FQ242" s="110"/>
      <c r="FR242" s="110"/>
      <c r="FS242" s="110"/>
      <c r="FT242" s="110"/>
      <c r="FU242" s="110"/>
      <c r="FV242" s="110"/>
      <c r="FW242" s="110"/>
      <c r="FX242" s="110"/>
      <c r="FY242" s="110"/>
      <c r="FZ242" s="110"/>
      <c r="GA242" s="110"/>
      <c r="GB242" s="110"/>
      <c r="GC242" s="110"/>
      <c r="GD242" s="110"/>
      <c r="GE242" s="110"/>
      <c r="GF242" s="110"/>
      <c r="GG242" s="110"/>
      <c r="GH242" s="110"/>
      <c r="GI242" s="110"/>
      <c r="GJ242" s="110"/>
      <c r="GK242" s="110"/>
      <c r="GL242" s="110"/>
      <c r="GM242" s="110"/>
      <c r="GN242" s="110"/>
      <c r="GO242" s="110"/>
      <c r="GP242" s="110"/>
      <c r="GQ242" s="110"/>
      <c r="GR242" s="110"/>
      <c r="GS242" s="110"/>
      <c r="GT242" s="110"/>
      <c r="GU242" s="110"/>
      <c r="GV242" s="110"/>
      <c r="GW242" s="110"/>
      <c r="GX242" s="110"/>
      <c r="GY242" s="110"/>
      <c r="GZ242" s="110"/>
      <c r="HA242" s="110"/>
      <c r="HB242" s="110"/>
      <c r="HC242" s="110"/>
      <c r="HD242" s="110"/>
      <c r="HE242" s="110"/>
      <c r="HF242" s="110"/>
      <c r="HG242" s="110"/>
      <c r="HH242" s="110"/>
      <c r="HI242" s="110"/>
      <c r="HJ242" s="110"/>
      <c r="HK242" s="110"/>
      <c r="HL242" s="110"/>
      <c r="HM242" s="110"/>
      <c r="HN242" s="110"/>
      <c r="HO242" s="110"/>
      <c r="HP242" s="110"/>
      <c r="HQ242" s="110"/>
      <c r="HR242" s="110"/>
      <c r="HS242" s="110"/>
      <c r="HT242" s="110"/>
      <c r="HU242" s="110"/>
      <c r="HV242" s="110"/>
      <c r="HW242" s="110"/>
      <c r="HX242" s="110"/>
      <c r="HY242" s="110"/>
      <c r="HZ242" s="110"/>
      <c r="IA242" s="110"/>
      <c r="IB242" s="110"/>
      <c r="IC242" s="110"/>
      <c r="ID242" s="110"/>
      <c r="IE242" s="110"/>
      <c r="IF242" s="110"/>
      <c r="IG242" s="110"/>
      <c r="IH242" s="110"/>
      <c r="II242" s="110"/>
      <c r="IJ242" s="110"/>
      <c r="IK242" s="110"/>
      <c r="IL242" s="110"/>
      <c r="IM242" s="110"/>
      <c r="IN242" s="110"/>
      <c r="IO242" s="110"/>
      <c r="IP242" s="110"/>
      <c r="IQ242" s="653"/>
    </row>
    <row r="243" spans="1:251" ht="16.5" hidden="1" customHeight="1">
      <c r="A243" s="648"/>
      <c r="B243" t="s">
        <v>1362</v>
      </c>
      <c r="C243" t="s">
        <v>450</v>
      </c>
      <c r="E243" t="s">
        <v>450</v>
      </c>
      <c r="F243" t="s">
        <v>1369</v>
      </c>
      <c r="H243">
        <v>40</v>
      </c>
      <c r="J243" s="214" t="str">
        <f t="shared" si="5"/>
        <v>LTT300240</v>
      </c>
      <c r="K243">
        <v>18440</v>
      </c>
      <c r="R243" s="648"/>
      <c r="V243" s="214"/>
      <c r="EE243" s="648"/>
      <c r="EF243" s="110"/>
      <c r="EG243" s="110"/>
      <c r="EH243" s="110"/>
      <c r="EI243" s="650"/>
      <c r="EJ243" s="110"/>
      <c r="EK243" s="110"/>
      <c r="EL243" s="110"/>
      <c r="EM243" s="110"/>
      <c r="EN243" s="110"/>
      <c r="EO243" s="110"/>
      <c r="EP243" s="110"/>
      <c r="EQ243" s="110"/>
      <c r="ER243" s="110"/>
      <c r="ES243" s="110"/>
      <c r="ET243" s="110"/>
      <c r="EU243" s="110"/>
      <c r="EV243" s="110"/>
      <c r="EW243" s="110"/>
      <c r="EX243" s="110"/>
      <c r="EY243" s="110"/>
      <c r="EZ243" s="110"/>
      <c r="FA243" s="110"/>
      <c r="FB243" s="110"/>
      <c r="FC243" s="110"/>
      <c r="FD243" s="110"/>
      <c r="FE243" s="110"/>
      <c r="FF243" s="110"/>
      <c r="FG243" s="110"/>
      <c r="FH243" s="110"/>
      <c r="FI243" s="110"/>
      <c r="FJ243" s="110"/>
      <c r="FK243" s="110"/>
      <c r="FL243" s="110"/>
      <c r="FM243" s="110"/>
      <c r="FN243" s="110"/>
      <c r="FO243" s="110"/>
      <c r="FP243" s="110"/>
      <c r="FQ243" s="110"/>
      <c r="FR243" s="110"/>
      <c r="FS243" s="110"/>
      <c r="FT243" s="110"/>
      <c r="FU243" s="110"/>
      <c r="FV243" s="110"/>
      <c r="FW243" s="110"/>
      <c r="FX243" s="110"/>
      <c r="FY243" s="110"/>
      <c r="FZ243" s="110"/>
      <c r="GA243" s="110"/>
      <c r="GB243" s="110"/>
      <c r="GC243" s="110"/>
      <c r="GD243" s="110"/>
      <c r="GE243" s="110"/>
      <c r="GF243" s="110"/>
      <c r="GG243" s="110"/>
      <c r="GH243" s="110"/>
      <c r="GI243" s="110"/>
      <c r="GJ243" s="110"/>
      <c r="GK243" s="110"/>
      <c r="GL243" s="110"/>
      <c r="GM243" s="110"/>
      <c r="GN243" s="110"/>
      <c r="GO243" s="110"/>
      <c r="GP243" s="110"/>
      <c r="GQ243" s="110"/>
      <c r="GR243" s="110"/>
      <c r="GS243" s="110"/>
      <c r="GT243" s="110"/>
      <c r="GU243" s="110"/>
      <c r="GV243" s="110"/>
      <c r="GW243" s="110"/>
      <c r="GX243" s="110"/>
      <c r="GY243" s="110"/>
      <c r="GZ243" s="110"/>
      <c r="HA243" s="110"/>
      <c r="HB243" s="110"/>
      <c r="HC243" s="110"/>
      <c r="HD243" s="110"/>
      <c r="HE243" s="110"/>
      <c r="HF243" s="110"/>
      <c r="HG243" s="110"/>
      <c r="HH243" s="110"/>
      <c r="HI243" s="110"/>
      <c r="HJ243" s="110"/>
      <c r="HK243" s="110"/>
      <c r="HL243" s="110"/>
      <c r="HM243" s="110"/>
      <c r="HN243" s="110"/>
      <c r="HO243" s="110"/>
      <c r="HP243" s="110"/>
      <c r="HQ243" s="110"/>
      <c r="HR243" s="110"/>
      <c r="HS243" s="110"/>
      <c r="HT243" s="110"/>
      <c r="HU243" s="110"/>
      <c r="HV243" s="110"/>
      <c r="HW243" s="110"/>
      <c r="HX243" s="110"/>
      <c r="HY243" s="110"/>
      <c r="HZ243" s="110"/>
      <c r="IA243" s="110"/>
      <c r="IB243" s="110"/>
      <c r="IC243" s="110"/>
      <c r="ID243" s="110"/>
      <c r="IE243" s="110"/>
      <c r="IF243" s="110"/>
      <c r="IG243" s="110"/>
      <c r="IH243" s="110"/>
      <c r="II243" s="110"/>
      <c r="IJ243" s="110"/>
      <c r="IK243" s="110"/>
      <c r="IL243" s="110"/>
      <c r="IM243" s="110"/>
      <c r="IN243" s="110"/>
      <c r="IO243" s="110"/>
      <c r="IP243" s="110"/>
      <c r="IQ243" s="653"/>
    </row>
    <row r="244" spans="1:251" ht="16.5" hidden="1" customHeight="1">
      <c r="A244" s="648"/>
      <c r="B244" t="s">
        <v>1362</v>
      </c>
      <c r="C244" t="s">
        <v>450</v>
      </c>
      <c r="E244" t="s">
        <v>450</v>
      </c>
      <c r="F244" t="s">
        <v>1369</v>
      </c>
      <c r="H244">
        <v>41</v>
      </c>
      <c r="J244" s="214" t="str">
        <f t="shared" si="5"/>
        <v>LTT300241</v>
      </c>
      <c r="K244">
        <v>18830</v>
      </c>
      <c r="R244" s="648"/>
      <c r="V244" s="214"/>
      <c r="EE244" s="648"/>
      <c r="EF244" s="110"/>
      <c r="EG244" s="110"/>
      <c r="EH244" s="110"/>
      <c r="EI244" s="650"/>
      <c r="EJ244" s="110"/>
      <c r="EK244" s="110"/>
      <c r="EL244" s="110"/>
      <c r="EM244" s="110"/>
      <c r="EN244" s="110"/>
      <c r="EO244" s="110"/>
      <c r="EP244" s="110"/>
      <c r="EQ244" s="110"/>
      <c r="ER244" s="110"/>
      <c r="ES244" s="110"/>
      <c r="ET244" s="110"/>
      <c r="EU244" s="110"/>
      <c r="EV244" s="110"/>
      <c r="EW244" s="110"/>
      <c r="EX244" s="110"/>
      <c r="EY244" s="110"/>
      <c r="EZ244" s="110"/>
      <c r="FA244" s="110"/>
      <c r="FB244" s="110"/>
      <c r="FC244" s="110"/>
      <c r="FD244" s="110"/>
      <c r="FE244" s="110"/>
      <c r="FF244" s="110"/>
      <c r="FG244" s="110"/>
      <c r="FH244" s="110"/>
      <c r="FI244" s="110"/>
      <c r="FJ244" s="110"/>
      <c r="FK244" s="110"/>
      <c r="FL244" s="110"/>
      <c r="FM244" s="110"/>
      <c r="FN244" s="110"/>
      <c r="FO244" s="110"/>
      <c r="FP244" s="110"/>
      <c r="FQ244" s="110"/>
      <c r="FR244" s="110"/>
      <c r="FS244" s="110"/>
      <c r="FT244" s="110"/>
      <c r="FU244" s="110"/>
      <c r="FV244" s="110"/>
      <c r="FW244" s="110"/>
      <c r="FX244" s="110"/>
      <c r="FY244" s="110"/>
      <c r="FZ244" s="110"/>
      <c r="GA244" s="110"/>
      <c r="GB244" s="110"/>
      <c r="GC244" s="110"/>
      <c r="GD244" s="110"/>
      <c r="GE244" s="110"/>
      <c r="GF244" s="110"/>
      <c r="GG244" s="110"/>
      <c r="GH244" s="110"/>
      <c r="GI244" s="110"/>
      <c r="GJ244" s="110"/>
      <c r="GK244" s="110"/>
      <c r="GL244" s="110"/>
      <c r="GM244" s="110"/>
      <c r="GN244" s="110"/>
      <c r="GO244" s="110"/>
      <c r="GP244" s="110"/>
      <c r="GQ244" s="110"/>
      <c r="GR244" s="110"/>
      <c r="GS244" s="110"/>
      <c r="GT244" s="110"/>
      <c r="GU244" s="110"/>
      <c r="GV244" s="110"/>
      <c r="GW244" s="110"/>
      <c r="GX244" s="110"/>
      <c r="GY244" s="110"/>
      <c r="GZ244" s="110"/>
      <c r="HA244" s="110"/>
      <c r="HB244" s="110"/>
      <c r="HC244" s="110"/>
      <c r="HD244" s="110"/>
      <c r="HE244" s="110"/>
      <c r="HF244" s="110"/>
      <c r="HG244" s="110"/>
      <c r="HH244" s="110"/>
      <c r="HI244" s="110"/>
      <c r="HJ244" s="110"/>
      <c r="HK244" s="110"/>
      <c r="HL244" s="110"/>
      <c r="HM244" s="110"/>
      <c r="HN244" s="110"/>
      <c r="HO244" s="110"/>
      <c r="HP244" s="110"/>
      <c r="HQ244" s="110"/>
      <c r="HR244" s="110"/>
      <c r="HS244" s="110"/>
      <c r="HT244" s="110"/>
      <c r="HU244" s="110"/>
      <c r="HV244" s="110"/>
      <c r="HW244" s="110"/>
      <c r="HX244" s="110"/>
      <c r="HY244" s="110"/>
      <c r="HZ244" s="110"/>
      <c r="IA244" s="110"/>
      <c r="IB244" s="110"/>
      <c r="IC244" s="110"/>
      <c r="ID244" s="110"/>
      <c r="IE244" s="110"/>
      <c r="IF244" s="110"/>
      <c r="IG244" s="110"/>
      <c r="IH244" s="110"/>
      <c r="II244" s="110"/>
      <c r="IJ244" s="110"/>
      <c r="IK244" s="110"/>
      <c r="IL244" s="110"/>
      <c r="IM244" s="110"/>
      <c r="IN244" s="110"/>
      <c r="IO244" s="110"/>
      <c r="IP244" s="110"/>
      <c r="IQ244" s="653"/>
    </row>
    <row r="245" spans="1:251" ht="16.5" hidden="1" customHeight="1">
      <c r="A245" s="648"/>
      <c r="B245" t="s">
        <v>1362</v>
      </c>
      <c r="C245" t="s">
        <v>450</v>
      </c>
      <c r="E245" t="s">
        <v>450</v>
      </c>
      <c r="F245" t="s">
        <v>1369</v>
      </c>
      <c r="H245">
        <v>42</v>
      </c>
      <c r="J245" s="214" t="str">
        <f t="shared" si="5"/>
        <v>LTT300242</v>
      </c>
      <c r="K245">
        <v>19230</v>
      </c>
      <c r="R245" s="648"/>
      <c r="V245" s="214"/>
      <c r="EE245" s="648"/>
      <c r="EF245" s="110"/>
      <c r="EG245" s="110"/>
      <c r="EH245" s="110"/>
      <c r="EI245" s="650"/>
      <c r="EJ245" s="110"/>
      <c r="EK245" s="110"/>
      <c r="EL245" s="110"/>
      <c r="EM245" s="110"/>
      <c r="EN245" s="110"/>
      <c r="EO245" s="110"/>
      <c r="EP245" s="110"/>
      <c r="EQ245" s="110"/>
      <c r="ER245" s="110"/>
      <c r="ES245" s="110"/>
      <c r="ET245" s="110"/>
      <c r="EU245" s="110"/>
      <c r="EV245" s="110"/>
      <c r="EW245" s="110"/>
      <c r="EX245" s="110"/>
      <c r="EY245" s="110"/>
      <c r="EZ245" s="110"/>
      <c r="FA245" s="110"/>
      <c r="FB245" s="110"/>
      <c r="FC245" s="110"/>
      <c r="FD245" s="110"/>
      <c r="FE245" s="110"/>
      <c r="FF245" s="110"/>
      <c r="FG245" s="110"/>
      <c r="FH245" s="110"/>
      <c r="FI245" s="110"/>
      <c r="FJ245" s="110"/>
      <c r="FK245" s="110"/>
      <c r="FL245" s="110"/>
      <c r="FM245" s="110"/>
      <c r="FN245" s="110"/>
      <c r="FO245" s="110"/>
      <c r="FP245" s="110"/>
      <c r="FQ245" s="110"/>
      <c r="FR245" s="110"/>
      <c r="FS245" s="110"/>
      <c r="FT245" s="110"/>
      <c r="FU245" s="110"/>
      <c r="FV245" s="110"/>
      <c r="FW245" s="110"/>
      <c r="FX245" s="110"/>
      <c r="FY245" s="110"/>
      <c r="FZ245" s="110"/>
      <c r="GA245" s="110"/>
      <c r="GB245" s="110"/>
      <c r="GC245" s="110"/>
      <c r="GD245" s="110"/>
      <c r="GE245" s="110"/>
      <c r="GF245" s="110"/>
      <c r="GG245" s="110"/>
      <c r="GH245" s="110"/>
      <c r="GI245" s="110"/>
      <c r="GJ245" s="110"/>
      <c r="GK245" s="110"/>
      <c r="GL245" s="110"/>
      <c r="GM245" s="110"/>
      <c r="GN245" s="110"/>
      <c r="GO245" s="110"/>
      <c r="GP245" s="110"/>
      <c r="GQ245" s="110"/>
      <c r="GR245" s="110"/>
      <c r="GS245" s="110"/>
      <c r="GT245" s="110"/>
      <c r="GU245" s="110"/>
      <c r="GV245" s="110"/>
      <c r="GW245" s="110"/>
      <c r="GX245" s="110"/>
      <c r="GY245" s="110"/>
      <c r="GZ245" s="110"/>
      <c r="HA245" s="110"/>
      <c r="HB245" s="110"/>
      <c r="HC245" s="110"/>
      <c r="HD245" s="110"/>
      <c r="HE245" s="110"/>
      <c r="HF245" s="110"/>
      <c r="HG245" s="110"/>
      <c r="HH245" s="110"/>
      <c r="HI245" s="110"/>
      <c r="HJ245" s="110"/>
      <c r="HK245" s="110"/>
      <c r="HL245" s="110"/>
      <c r="HM245" s="110"/>
      <c r="HN245" s="110"/>
      <c r="HO245" s="110"/>
      <c r="HP245" s="110"/>
      <c r="HQ245" s="110"/>
      <c r="HR245" s="110"/>
      <c r="HS245" s="110"/>
      <c r="HT245" s="110"/>
      <c r="HU245" s="110"/>
      <c r="HV245" s="110"/>
      <c r="HW245" s="110"/>
      <c r="HX245" s="110"/>
      <c r="HY245" s="110"/>
      <c r="HZ245" s="110"/>
      <c r="IA245" s="110"/>
      <c r="IB245" s="110"/>
      <c r="IC245" s="110"/>
      <c r="ID245" s="110"/>
      <c r="IE245" s="110"/>
      <c r="IF245" s="110"/>
      <c r="IG245" s="110"/>
      <c r="IH245" s="110"/>
      <c r="II245" s="110"/>
      <c r="IJ245" s="110"/>
      <c r="IK245" s="110"/>
      <c r="IL245" s="110"/>
      <c r="IM245" s="110"/>
      <c r="IN245" s="110"/>
      <c r="IO245" s="110"/>
      <c r="IP245" s="110"/>
      <c r="IQ245" s="653"/>
    </row>
    <row r="246" spans="1:251" ht="16.5" hidden="1" customHeight="1">
      <c r="A246" s="648"/>
      <c r="B246" t="s">
        <v>1362</v>
      </c>
      <c r="C246" t="s">
        <v>450</v>
      </c>
      <c r="E246" t="s">
        <v>450</v>
      </c>
      <c r="F246" t="s">
        <v>1369</v>
      </c>
      <c r="H246">
        <v>43</v>
      </c>
      <c r="J246" s="214" t="str">
        <f t="shared" si="5"/>
        <v>LTT300243</v>
      </c>
      <c r="K246">
        <v>19670</v>
      </c>
      <c r="R246" s="648"/>
      <c r="V246" s="214"/>
      <c r="EE246" s="648"/>
      <c r="EF246" s="110"/>
      <c r="EG246" s="110"/>
      <c r="EH246" s="110"/>
      <c r="EI246" s="650"/>
      <c r="EJ246" s="110"/>
      <c r="EK246" s="110"/>
      <c r="EL246" s="110"/>
      <c r="EM246" s="110"/>
      <c r="EN246" s="110"/>
      <c r="EO246" s="110"/>
      <c r="EP246" s="110"/>
      <c r="EQ246" s="110"/>
      <c r="ER246" s="110"/>
      <c r="ES246" s="110"/>
      <c r="ET246" s="110"/>
      <c r="EU246" s="110"/>
      <c r="EV246" s="110"/>
      <c r="EW246" s="110"/>
      <c r="EX246" s="110"/>
      <c r="EY246" s="110"/>
      <c r="EZ246" s="110"/>
      <c r="FA246" s="110"/>
      <c r="FB246" s="110"/>
      <c r="FC246" s="110"/>
      <c r="FD246" s="110"/>
      <c r="FE246" s="110"/>
      <c r="FF246" s="110"/>
      <c r="FG246" s="110"/>
      <c r="FH246" s="110"/>
      <c r="FI246" s="110"/>
      <c r="FJ246" s="110"/>
      <c r="FK246" s="110"/>
      <c r="FL246" s="110"/>
      <c r="FM246" s="110"/>
      <c r="FN246" s="110"/>
      <c r="FO246" s="110"/>
      <c r="FP246" s="110"/>
      <c r="FQ246" s="110"/>
      <c r="FR246" s="110"/>
      <c r="FS246" s="110"/>
      <c r="FT246" s="110"/>
      <c r="FU246" s="110"/>
      <c r="FV246" s="110"/>
      <c r="FW246" s="110"/>
      <c r="FX246" s="110"/>
      <c r="FY246" s="110"/>
      <c r="FZ246" s="110"/>
      <c r="GA246" s="110"/>
      <c r="GB246" s="110"/>
      <c r="GC246" s="110"/>
      <c r="GD246" s="110"/>
      <c r="GE246" s="110"/>
      <c r="GF246" s="110"/>
      <c r="GG246" s="110"/>
      <c r="GH246" s="110"/>
      <c r="GI246" s="110"/>
      <c r="GJ246" s="110"/>
      <c r="GK246" s="110"/>
      <c r="GL246" s="110"/>
      <c r="GM246" s="110"/>
      <c r="GN246" s="110"/>
      <c r="GO246" s="110"/>
      <c r="GP246" s="110"/>
      <c r="GQ246" s="110"/>
      <c r="GR246" s="110"/>
      <c r="GS246" s="110"/>
      <c r="GT246" s="110"/>
      <c r="GU246" s="110"/>
      <c r="GV246" s="110"/>
      <c r="GW246" s="110"/>
      <c r="GX246" s="110"/>
      <c r="GY246" s="110"/>
      <c r="GZ246" s="110"/>
      <c r="HA246" s="110"/>
      <c r="HB246" s="110"/>
      <c r="HC246" s="110"/>
      <c r="HD246" s="110"/>
      <c r="HE246" s="110"/>
      <c r="HF246" s="110"/>
      <c r="HG246" s="110"/>
      <c r="HH246" s="110"/>
      <c r="HI246" s="110"/>
      <c r="HJ246" s="110"/>
      <c r="HK246" s="110"/>
      <c r="HL246" s="110"/>
      <c r="HM246" s="110"/>
      <c r="HN246" s="110"/>
      <c r="HO246" s="110"/>
      <c r="HP246" s="110"/>
      <c r="HQ246" s="110"/>
      <c r="HR246" s="110"/>
      <c r="HS246" s="110"/>
      <c r="HT246" s="110"/>
      <c r="HU246" s="110"/>
      <c r="HV246" s="110"/>
      <c r="HW246" s="110"/>
      <c r="HX246" s="110"/>
      <c r="HY246" s="110"/>
      <c r="HZ246" s="110"/>
      <c r="IA246" s="110"/>
      <c r="IB246" s="110"/>
      <c r="IC246" s="110"/>
      <c r="ID246" s="110"/>
      <c r="IE246" s="110"/>
      <c r="IF246" s="110"/>
      <c r="IG246" s="110"/>
      <c r="IH246" s="110"/>
      <c r="II246" s="110"/>
      <c r="IJ246" s="110"/>
      <c r="IK246" s="110"/>
      <c r="IL246" s="110"/>
      <c r="IM246" s="110"/>
      <c r="IN246" s="110"/>
      <c r="IO246" s="110"/>
      <c r="IP246" s="110"/>
      <c r="IQ246" s="653"/>
    </row>
    <row r="247" spans="1:251" ht="16.5" hidden="1" customHeight="1">
      <c r="A247" s="648"/>
      <c r="B247" t="s">
        <v>1362</v>
      </c>
      <c r="C247" t="s">
        <v>450</v>
      </c>
      <c r="E247" t="s">
        <v>450</v>
      </c>
      <c r="F247" t="s">
        <v>1369</v>
      </c>
      <c r="H247">
        <v>44</v>
      </c>
      <c r="J247" s="214" t="str">
        <f t="shared" si="5"/>
        <v>LTT300244</v>
      </c>
      <c r="K247">
        <v>20130</v>
      </c>
      <c r="R247" s="648"/>
      <c r="V247" s="214"/>
      <c r="EE247" s="648"/>
      <c r="EF247" s="110"/>
      <c r="EG247" s="110"/>
      <c r="EH247" s="110"/>
      <c r="EI247" s="650"/>
      <c r="EJ247" s="110"/>
      <c r="EK247" s="110"/>
      <c r="EL247" s="110"/>
      <c r="EM247" s="110"/>
      <c r="EN247" s="110"/>
      <c r="EO247" s="110"/>
      <c r="EP247" s="110"/>
      <c r="EQ247" s="110"/>
      <c r="ER247" s="110"/>
      <c r="ES247" s="110"/>
      <c r="ET247" s="110"/>
      <c r="EU247" s="110"/>
      <c r="EV247" s="110"/>
      <c r="EW247" s="110"/>
      <c r="EX247" s="110"/>
      <c r="EY247" s="110"/>
      <c r="EZ247" s="110"/>
      <c r="FA247" s="110"/>
      <c r="FB247" s="110"/>
      <c r="FC247" s="110"/>
      <c r="FD247" s="110"/>
      <c r="FE247" s="110"/>
      <c r="FF247" s="110"/>
      <c r="FG247" s="110"/>
      <c r="FH247" s="110"/>
      <c r="FI247" s="110"/>
      <c r="FJ247" s="110"/>
      <c r="FK247" s="110"/>
      <c r="FL247" s="110"/>
      <c r="FM247" s="110"/>
      <c r="FN247" s="110"/>
      <c r="FO247" s="110"/>
      <c r="FP247" s="110"/>
      <c r="FQ247" s="110"/>
      <c r="FR247" s="110"/>
      <c r="FS247" s="110"/>
      <c r="FT247" s="110"/>
      <c r="FU247" s="110"/>
      <c r="FV247" s="110"/>
      <c r="FW247" s="110"/>
      <c r="FX247" s="110"/>
      <c r="FY247" s="110"/>
      <c r="FZ247" s="110"/>
      <c r="GA247" s="110"/>
      <c r="GB247" s="110"/>
      <c r="GC247" s="110"/>
      <c r="GD247" s="110"/>
      <c r="GE247" s="110"/>
      <c r="GF247" s="110"/>
      <c r="GG247" s="110"/>
      <c r="GH247" s="110"/>
      <c r="GI247" s="110"/>
      <c r="GJ247" s="110"/>
      <c r="GK247" s="110"/>
      <c r="GL247" s="110"/>
      <c r="GM247" s="110"/>
      <c r="GN247" s="110"/>
      <c r="GO247" s="110"/>
      <c r="GP247" s="110"/>
      <c r="GQ247" s="110"/>
      <c r="GR247" s="110"/>
      <c r="GS247" s="110"/>
      <c r="GT247" s="110"/>
      <c r="GU247" s="110"/>
      <c r="GV247" s="110"/>
      <c r="GW247" s="110"/>
      <c r="GX247" s="110"/>
      <c r="GY247" s="110"/>
      <c r="GZ247" s="110"/>
      <c r="HA247" s="110"/>
      <c r="HB247" s="110"/>
      <c r="HC247" s="110"/>
      <c r="HD247" s="110"/>
      <c r="HE247" s="110"/>
      <c r="HF247" s="110"/>
      <c r="HG247" s="110"/>
      <c r="HH247" s="110"/>
      <c r="HI247" s="110"/>
      <c r="HJ247" s="110"/>
      <c r="HK247" s="110"/>
      <c r="HL247" s="110"/>
      <c r="HM247" s="110"/>
      <c r="HN247" s="110"/>
      <c r="HO247" s="110"/>
      <c r="HP247" s="110"/>
      <c r="HQ247" s="110"/>
      <c r="HR247" s="110"/>
      <c r="HS247" s="110"/>
      <c r="HT247" s="110"/>
      <c r="HU247" s="110"/>
      <c r="HV247" s="110"/>
      <c r="HW247" s="110"/>
      <c r="HX247" s="110"/>
      <c r="HY247" s="110"/>
      <c r="HZ247" s="110"/>
      <c r="IA247" s="110"/>
      <c r="IB247" s="110"/>
      <c r="IC247" s="110"/>
      <c r="ID247" s="110"/>
      <c r="IE247" s="110"/>
      <c r="IF247" s="110"/>
      <c r="IG247" s="110"/>
      <c r="IH247" s="110"/>
      <c r="II247" s="110"/>
      <c r="IJ247" s="110"/>
      <c r="IK247" s="110"/>
      <c r="IL247" s="110"/>
      <c r="IM247" s="110"/>
      <c r="IN247" s="110"/>
      <c r="IO247" s="110"/>
      <c r="IP247" s="110"/>
      <c r="IQ247" s="653"/>
    </row>
    <row r="248" spans="1:251" ht="16.5" hidden="1" customHeight="1">
      <c r="A248" s="648"/>
      <c r="B248" t="s">
        <v>1362</v>
      </c>
      <c r="C248" t="s">
        <v>450</v>
      </c>
      <c r="E248" t="s">
        <v>450</v>
      </c>
      <c r="F248" t="s">
        <v>1369</v>
      </c>
      <c r="H248">
        <v>45</v>
      </c>
      <c r="J248" s="214" t="str">
        <f t="shared" si="5"/>
        <v>LTT300245</v>
      </c>
      <c r="K248">
        <v>20610</v>
      </c>
      <c r="R248" s="648"/>
      <c r="V248" s="214"/>
      <c r="EE248" s="648"/>
      <c r="EF248" s="110"/>
      <c r="EG248" s="110"/>
      <c r="EH248" s="110"/>
      <c r="EI248" s="650"/>
      <c r="EJ248" s="110"/>
      <c r="EK248" s="110"/>
      <c r="EL248" s="110"/>
      <c r="EM248" s="110"/>
      <c r="EN248" s="110"/>
      <c r="EO248" s="110"/>
      <c r="EP248" s="110"/>
      <c r="EQ248" s="110"/>
      <c r="ER248" s="110"/>
      <c r="ES248" s="110"/>
      <c r="ET248" s="110"/>
      <c r="EU248" s="110"/>
      <c r="EV248" s="110"/>
      <c r="EW248" s="110"/>
      <c r="EX248" s="110"/>
      <c r="EY248" s="110"/>
      <c r="EZ248" s="110"/>
      <c r="FA248" s="110"/>
      <c r="FB248" s="110"/>
      <c r="FC248" s="110"/>
      <c r="FD248" s="110"/>
      <c r="FE248" s="110"/>
      <c r="FF248" s="110"/>
      <c r="FG248" s="110"/>
      <c r="FH248" s="110"/>
      <c r="FI248" s="110"/>
      <c r="FJ248" s="110"/>
      <c r="FK248" s="110"/>
      <c r="FL248" s="110"/>
      <c r="FM248" s="110"/>
      <c r="FN248" s="110"/>
      <c r="FO248" s="110"/>
      <c r="FP248" s="110"/>
      <c r="FQ248" s="110"/>
      <c r="FR248" s="110"/>
      <c r="FS248" s="110"/>
      <c r="FT248" s="110"/>
      <c r="FU248" s="110"/>
      <c r="FV248" s="110"/>
      <c r="FW248" s="110"/>
      <c r="FX248" s="110"/>
      <c r="FY248" s="110"/>
      <c r="FZ248" s="110"/>
      <c r="GA248" s="110"/>
      <c r="GB248" s="110"/>
      <c r="GC248" s="110"/>
      <c r="GD248" s="110"/>
      <c r="GE248" s="110"/>
      <c r="GF248" s="110"/>
      <c r="GG248" s="110"/>
      <c r="GH248" s="110"/>
      <c r="GI248" s="110"/>
      <c r="GJ248" s="110"/>
      <c r="GK248" s="110"/>
      <c r="GL248" s="110"/>
      <c r="GM248" s="110"/>
      <c r="GN248" s="110"/>
      <c r="GO248" s="110"/>
      <c r="GP248" s="110"/>
      <c r="GQ248" s="110"/>
      <c r="GR248" s="110"/>
      <c r="GS248" s="110"/>
      <c r="GT248" s="110"/>
      <c r="GU248" s="110"/>
      <c r="GV248" s="110"/>
      <c r="GW248" s="110"/>
      <c r="GX248" s="110"/>
      <c r="GY248" s="110"/>
      <c r="GZ248" s="110"/>
      <c r="HA248" s="110"/>
      <c r="HB248" s="110"/>
      <c r="HC248" s="110"/>
      <c r="HD248" s="110"/>
      <c r="HE248" s="110"/>
      <c r="HF248" s="110"/>
      <c r="HG248" s="110"/>
      <c r="HH248" s="110"/>
      <c r="HI248" s="110"/>
      <c r="HJ248" s="110"/>
      <c r="HK248" s="110"/>
      <c r="HL248" s="110"/>
      <c r="HM248" s="110"/>
      <c r="HN248" s="110"/>
      <c r="HO248" s="110"/>
      <c r="HP248" s="110"/>
      <c r="HQ248" s="110"/>
      <c r="HR248" s="110"/>
      <c r="HS248" s="110"/>
      <c r="HT248" s="110"/>
      <c r="HU248" s="110"/>
      <c r="HV248" s="110"/>
      <c r="HW248" s="110"/>
      <c r="HX248" s="110"/>
      <c r="HY248" s="110"/>
      <c r="HZ248" s="110"/>
      <c r="IA248" s="110"/>
      <c r="IB248" s="110"/>
      <c r="IC248" s="110"/>
      <c r="ID248" s="110"/>
      <c r="IE248" s="110"/>
      <c r="IF248" s="110"/>
      <c r="IG248" s="110"/>
      <c r="IH248" s="110"/>
      <c r="II248" s="110"/>
      <c r="IJ248" s="110"/>
      <c r="IK248" s="110"/>
      <c r="IL248" s="110"/>
      <c r="IM248" s="110"/>
      <c r="IN248" s="110"/>
      <c r="IO248" s="110"/>
      <c r="IP248" s="110"/>
      <c r="IQ248" s="653"/>
    </row>
    <row r="249" spans="1:251" ht="16.5" hidden="1" customHeight="1">
      <c r="A249" s="95"/>
      <c r="J249" s="214"/>
      <c r="R249" s="95"/>
      <c r="S249" s="95"/>
      <c r="T249" s="95"/>
      <c r="U249" s="70"/>
      <c r="V249" s="94"/>
      <c r="W249" s="70"/>
      <c r="X249" s="70"/>
      <c r="Y249" s="70"/>
      <c r="Z249" s="70"/>
      <c r="AA249" s="70"/>
      <c r="AB249" s="70"/>
      <c r="AC249" s="70"/>
      <c r="AD249" s="70"/>
      <c r="AE249" s="70"/>
      <c r="AF249" s="70"/>
      <c r="AG249" s="70"/>
      <c r="AH249" s="70"/>
      <c r="AI249" s="70"/>
      <c r="AJ249" s="70"/>
      <c r="AK249" s="70"/>
      <c r="AL249" s="70"/>
      <c r="AM249" s="70"/>
      <c r="AN249" s="70"/>
      <c r="AO249" s="70"/>
      <c r="AP249" s="70"/>
      <c r="AQ249" s="70"/>
      <c r="AR249" s="70"/>
      <c r="AS249" s="70"/>
      <c r="AT249" s="70"/>
      <c r="AU249" s="70"/>
      <c r="AV249" s="70"/>
      <c r="AW249" s="70"/>
      <c r="AX249" s="70"/>
      <c r="AY249" s="70"/>
      <c r="AZ249" s="70"/>
      <c r="BA249" s="70"/>
      <c r="BB249" s="70"/>
      <c r="BC249" s="70"/>
      <c r="BD249" s="70"/>
      <c r="BE249" s="70"/>
      <c r="BF249" s="70"/>
      <c r="BG249" s="70"/>
      <c r="BH249" s="70"/>
      <c r="BI249" s="70"/>
      <c r="BJ249" s="70"/>
      <c r="BK249" s="70"/>
      <c r="BL249" s="70"/>
      <c r="BM249" s="70"/>
      <c r="BN249" s="70"/>
      <c r="BO249" s="70"/>
      <c r="BP249" s="70"/>
      <c r="BQ249" s="70"/>
      <c r="BR249" s="70"/>
      <c r="BS249" s="70"/>
      <c r="BT249" s="70"/>
      <c r="BU249" s="70"/>
      <c r="BV249" s="70"/>
      <c r="BW249" s="70"/>
      <c r="BX249" s="70"/>
      <c r="BY249" s="70"/>
      <c r="BZ249" s="70"/>
      <c r="CA249" s="70"/>
      <c r="CB249" s="70"/>
      <c r="CC249" s="70"/>
      <c r="CD249" s="70"/>
      <c r="CE249" s="70"/>
      <c r="CF249" s="70"/>
      <c r="CG249" s="70"/>
      <c r="CH249" s="70"/>
      <c r="CI249" s="70"/>
      <c r="CJ249" s="70"/>
      <c r="CK249" s="70"/>
      <c r="CL249" s="70"/>
      <c r="CM249" s="70"/>
      <c r="CN249" s="70"/>
      <c r="CO249" s="70"/>
      <c r="CP249" s="70"/>
      <c r="CQ249" s="70"/>
      <c r="CR249" s="70"/>
      <c r="CS249" s="70"/>
      <c r="CT249" s="70"/>
      <c r="CU249" s="70"/>
      <c r="CV249" s="70"/>
      <c r="CW249" s="70"/>
      <c r="CX249" s="70"/>
      <c r="CY249" s="70"/>
      <c r="CZ249" s="70"/>
      <c r="DA249" s="70"/>
      <c r="DB249" s="70"/>
      <c r="DC249" s="70"/>
      <c r="DD249" s="70"/>
      <c r="DE249" s="70"/>
      <c r="DF249" s="70"/>
      <c r="DG249" s="70"/>
      <c r="DH249" s="70"/>
      <c r="DI249" s="70"/>
      <c r="DJ249" s="70"/>
      <c r="DK249" s="70"/>
      <c r="DL249" s="70"/>
      <c r="DM249" s="70"/>
      <c r="DN249" s="70"/>
      <c r="DO249" s="70"/>
      <c r="DP249" s="70"/>
      <c r="DQ249" s="70"/>
      <c r="DR249" s="70"/>
      <c r="DS249" s="70"/>
      <c r="DT249" s="70"/>
      <c r="DU249" s="70"/>
      <c r="DV249" s="70"/>
      <c r="DW249" s="70"/>
      <c r="DX249" s="70"/>
      <c r="DY249" s="70"/>
      <c r="DZ249" s="70"/>
      <c r="EA249" s="70"/>
      <c r="EB249" s="70"/>
      <c r="EC249" s="70"/>
      <c r="EE249" s="95"/>
      <c r="EF249" s="95"/>
      <c r="EG249" s="95"/>
      <c r="EH249" s="70"/>
      <c r="EI249" s="108"/>
      <c r="EJ249" s="70"/>
      <c r="EK249" s="70"/>
      <c r="EL249" s="70"/>
      <c r="EM249" s="70"/>
      <c r="EN249" s="70"/>
      <c r="EO249" s="70"/>
      <c r="EP249" s="70"/>
      <c r="EQ249" s="70"/>
      <c r="ER249" s="70"/>
      <c r="ES249" s="70"/>
      <c r="ET249" s="70"/>
      <c r="EU249" s="70"/>
      <c r="EV249" s="70"/>
      <c r="EW249" s="70"/>
      <c r="EX249" s="70"/>
      <c r="EY249" s="70"/>
      <c r="EZ249" s="70"/>
      <c r="FA249" s="70"/>
      <c r="FB249" s="70"/>
      <c r="FC249" s="70"/>
      <c r="FD249" s="70"/>
      <c r="FE249" s="70"/>
      <c r="FF249" s="70"/>
      <c r="FG249" s="70"/>
      <c r="FH249" s="70"/>
      <c r="FI249" s="70"/>
      <c r="FJ249" s="70"/>
      <c r="FK249" s="70"/>
      <c r="FL249" s="70"/>
      <c r="FM249" s="70"/>
      <c r="FN249" s="70"/>
      <c r="FO249" s="70"/>
      <c r="FP249" s="70"/>
      <c r="FQ249" s="70"/>
      <c r="FR249" s="70"/>
      <c r="FS249" s="70"/>
      <c r="FT249" s="70"/>
      <c r="FU249" s="70"/>
      <c r="FV249" s="70"/>
      <c r="FW249" s="70"/>
      <c r="FX249" s="70"/>
      <c r="FY249" s="70"/>
      <c r="FZ249" s="70"/>
      <c r="GA249" s="70"/>
      <c r="GB249" s="70"/>
      <c r="GC249" s="70"/>
      <c r="GD249" s="70"/>
      <c r="GE249" s="70"/>
      <c r="GF249" s="70"/>
      <c r="GG249" s="70"/>
      <c r="GH249" s="70"/>
      <c r="GI249" s="70"/>
      <c r="GJ249" s="70"/>
      <c r="GK249" s="70"/>
      <c r="GL249" s="70"/>
      <c r="GM249" s="70"/>
      <c r="GN249" s="70"/>
      <c r="GO249" s="70"/>
      <c r="GP249" s="70"/>
      <c r="GQ249" s="70"/>
      <c r="GR249" s="70"/>
      <c r="GS249" s="70"/>
      <c r="GT249" s="70"/>
      <c r="GU249" s="70"/>
      <c r="GV249" s="70"/>
      <c r="GW249" s="70"/>
      <c r="GX249" s="70"/>
      <c r="GY249" s="70"/>
      <c r="GZ249" s="70"/>
      <c r="HA249" s="70"/>
      <c r="HB249" s="70"/>
      <c r="HC249" s="70"/>
      <c r="HD249" s="70"/>
      <c r="HE249" s="70"/>
      <c r="HF249" s="70"/>
      <c r="HG249" s="70"/>
      <c r="HH249" s="70"/>
      <c r="HI249" s="70"/>
      <c r="HJ249" s="70"/>
      <c r="HK249" s="70"/>
      <c r="HL249" s="70"/>
      <c r="HM249" s="70"/>
      <c r="HN249" s="70"/>
      <c r="HO249" s="70"/>
      <c r="HP249" s="70"/>
      <c r="HQ249" s="70"/>
      <c r="HR249" s="70"/>
      <c r="HS249" s="70"/>
      <c r="HT249" s="70"/>
      <c r="HU249" s="70"/>
      <c r="HV249" s="70"/>
      <c r="HW249" s="70"/>
      <c r="HX249" s="70"/>
      <c r="HY249" s="70"/>
      <c r="HZ249" s="70"/>
      <c r="IA249" s="70"/>
      <c r="IB249" s="70"/>
      <c r="IC249" s="70"/>
      <c r="ID249" s="70"/>
      <c r="IE249" s="70"/>
      <c r="IF249" s="70"/>
      <c r="IG249" s="70"/>
      <c r="IH249" s="70"/>
      <c r="II249" s="70"/>
      <c r="IJ249" s="70"/>
      <c r="IK249" s="70"/>
      <c r="IL249" s="70"/>
      <c r="IM249" s="70"/>
      <c r="IN249" s="70"/>
      <c r="IO249" s="70"/>
      <c r="IP249" s="70"/>
      <c r="IQ249" s="70"/>
    </row>
    <row r="250" spans="1:251" ht="16.5" hidden="1" customHeight="1">
      <c r="A250" s="95"/>
      <c r="J250" s="214"/>
      <c r="R250" s="95"/>
      <c r="S250" s="95"/>
      <c r="T250" s="95"/>
      <c r="U250" s="70"/>
      <c r="V250" s="94"/>
      <c r="W250" s="70"/>
      <c r="X250" s="70"/>
      <c r="Y250" s="70"/>
      <c r="Z250" s="70"/>
      <c r="AA250" s="70"/>
      <c r="AB250" s="70"/>
      <c r="AC250" s="70"/>
      <c r="AD250" s="70"/>
      <c r="AE250" s="70"/>
      <c r="AF250" s="70"/>
      <c r="AG250" s="70"/>
      <c r="AH250" s="70"/>
      <c r="AI250" s="70"/>
      <c r="AJ250" s="70"/>
      <c r="AK250" s="70"/>
      <c r="AL250" s="70"/>
      <c r="AM250" s="70"/>
      <c r="AN250" s="70"/>
      <c r="AO250" s="70"/>
      <c r="AP250" s="70"/>
      <c r="AQ250" s="70"/>
      <c r="AR250" s="70"/>
      <c r="AS250" s="70"/>
      <c r="AT250" s="70"/>
      <c r="AU250" s="70"/>
      <c r="AV250" s="70"/>
      <c r="AW250" s="70"/>
      <c r="AX250" s="70"/>
      <c r="AY250" s="70"/>
      <c r="AZ250" s="70"/>
      <c r="BA250" s="70"/>
      <c r="BB250" s="70"/>
      <c r="BC250" s="70"/>
      <c r="BD250" s="70"/>
      <c r="BE250" s="70"/>
      <c r="BF250" s="70"/>
      <c r="BG250" s="70"/>
      <c r="BH250" s="70"/>
      <c r="BI250" s="70"/>
      <c r="BJ250" s="70"/>
      <c r="BK250" s="70"/>
      <c r="BL250" s="70"/>
      <c r="BM250" s="70"/>
      <c r="BN250" s="70"/>
      <c r="BO250" s="70"/>
      <c r="BP250" s="70"/>
      <c r="BQ250" s="70"/>
      <c r="BR250" s="70"/>
      <c r="BS250" s="70"/>
      <c r="BT250" s="70"/>
      <c r="BU250" s="70"/>
      <c r="BV250" s="70"/>
      <c r="BW250" s="70"/>
      <c r="BX250" s="70"/>
      <c r="BY250" s="70"/>
      <c r="BZ250" s="70"/>
      <c r="CA250" s="70"/>
      <c r="CB250" s="70"/>
      <c r="CC250" s="70"/>
      <c r="CD250" s="70"/>
      <c r="CE250" s="70"/>
      <c r="CF250" s="70"/>
      <c r="CG250" s="70"/>
      <c r="CH250" s="70"/>
      <c r="CI250" s="70"/>
      <c r="CJ250" s="70"/>
      <c r="CK250" s="70"/>
      <c r="CL250" s="70"/>
      <c r="CM250" s="70"/>
      <c r="CN250" s="70"/>
      <c r="CO250" s="70"/>
      <c r="CP250" s="70"/>
      <c r="CQ250" s="70"/>
      <c r="CR250" s="70"/>
      <c r="CS250" s="70"/>
      <c r="CT250" s="70"/>
      <c r="CU250" s="70"/>
      <c r="CV250" s="70"/>
      <c r="CW250" s="70"/>
      <c r="CX250" s="70"/>
      <c r="CY250" s="70"/>
      <c r="CZ250" s="70"/>
      <c r="DA250" s="70"/>
      <c r="DB250" s="70"/>
      <c r="DC250" s="70"/>
      <c r="DD250" s="70"/>
      <c r="DE250" s="70"/>
      <c r="DF250" s="70"/>
      <c r="DG250" s="70"/>
      <c r="DH250" s="70"/>
      <c r="DI250" s="70"/>
      <c r="DJ250" s="70"/>
      <c r="DK250" s="70"/>
      <c r="DL250" s="70"/>
      <c r="DM250" s="70"/>
      <c r="DN250" s="70"/>
      <c r="DO250" s="70"/>
      <c r="DP250" s="70"/>
      <c r="DQ250" s="70"/>
      <c r="DR250" s="70"/>
      <c r="DS250" s="70"/>
      <c r="DT250" s="70"/>
      <c r="DU250" s="70"/>
      <c r="DV250" s="70"/>
      <c r="DW250" s="70"/>
      <c r="DX250" s="70"/>
      <c r="DY250" s="70"/>
      <c r="DZ250" s="70"/>
      <c r="EA250" s="70"/>
      <c r="EB250" s="70"/>
      <c r="EC250" s="70"/>
      <c r="EE250" s="95"/>
      <c r="EF250" s="95"/>
      <c r="EG250" s="95"/>
      <c r="EH250" s="70"/>
      <c r="EI250" s="108"/>
      <c r="EJ250" s="70"/>
      <c r="EK250" s="70"/>
      <c r="EL250" s="70"/>
      <c r="EM250" s="70"/>
      <c r="EN250" s="70"/>
      <c r="EO250" s="70"/>
      <c r="EP250" s="70"/>
      <c r="EQ250" s="70"/>
      <c r="ER250" s="70"/>
      <c r="ES250" s="70"/>
      <c r="ET250" s="70"/>
      <c r="EU250" s="70"/>
      <c r="EV250" s="70"/>
      <c r="EW250" s="70"/>
      <c r="EX250" s="70"/>
      <c r="EY250" s="70"/>
      <c r="EZ250" s="70"/>
      <c r="FA250" s="70"/>
      <c r="FB250" s="70"/>
      <c r="FC250" s="70"/>
      <c r="FD250" s="70"/>
      <c r="FE250" s="70"/>
      <c r="FF250" s="70"/>
      <c r="FG250" s="70"/>
      <c r="FH250" s="70"/>
      <c r="FI250" s="70"/>
      <c r="FJ250" s="70"/>
      <c r="FK250" s="70"/>
      <c r="FL250" s="70"/>
      <c r="FM250" s="70"/>
      <c r="FN250" s="70"/>
      <c r="FO250" s="70"/>
      <c r="FP250" s="70"/>
      <c r="FQ250" s="70"/>
      <c r="FR250" s="70"/>
      <c r="FS250" s="70"/>
      <c r="FT250" s="70"/>
      <c r="FU250" s="70"/>
      <c r="FV250" s="70"/>
      <c r="FW250" s="70"/>
      <c r="FX250" s="70"/>
      <c r="FY250" s="70"/>
      <c r="FZ250" s="70"/>
      <c r="GA250" s="70"/>
      <c r="GB250" s="70"/>
      <c r="GC250" s="70"/>
      <c r="GD250" s="70"/>
      <c r="GE250" s="70"/>
      <c r="GF250" s="70"/>
      <c r="GG250" s="70"/>
      <c r="GH250" s="70"/>
      <c r="GI250" s="70"/>
      <c r="GJ250" s="70"/>
      <c r="GK250" s="70"/>
      <c r="GL250" s="70"/>
      <c r="GM250" s="70"/>
      <c r="GN250" s="70"/>
      <c r="GO250" s="70"/>
      <c r="GP250" s="70"/>
      <c r="GQ250" s="70"/>
      <c r="GR250" s="70"/>
      <c r="GS250" s="70"/>
      <c r="GT250" s="70"/>
      <c r="GU250" s="70"/>
      <c r="GV250" s="70"/>
      <c r="GW250" s="70"/>
      <c r="GX250" s="70"/>
      <c r="GY250" s="70"/>
      <c r="GZ250" s="70"/>
      <c r="HA250" s="70"/>
      <c r="HB250" s="70"/>
      <c r="HC250" s="70"/>
      <c r="HD250" s="70"/>
      <c r="HE250" s="70"/>
      <c r="HF250" s="70"/>
      <c r="HG250" s="70"/>
      <c r="HH250" s="70"/>
      <c r="HI250" s="70"/>
      <c r="HJ250" s="70"/>
      <c r="HK250" s="70"/>
      <c r="HL250" s="70"/>
      <c r="HM250" s="70"/>
      <c r="HN250" s="70"/>
      <c r="HO250" s="70"/>
      <c r="HP250" s="70"/>
      <c r="HQ250" s="70"/>
      <c r="HR250" s="70"/>
      <c r="HS250" s="70"/>
      <c r="HT250" s="70"/>
      <c r="HU250" s="70"/>
      <c r="HV250" s="70"/>
      <c r="HW250" s="70"/>
      <c r="HX250" s="70"/>
      <c r="HY250" s="70"/>
      <c r="HZ250" s="70"/>
      <c r="IA250" s="70"/>
      <c r="IB250" s="70"/>
      <c r="IC250" s="70"/>
      <c r="ID250" s="70"/>
      <c r="IE250" s="70"/>
      <c r="IF250" s="70"/>
      <c r="IG250" s="70"/>
      <c r="IH250" s="70"/>
      <c r="II250" s="70"/>
      <c r="IJ250" s="70"/>
      <c r="IK250" s="70"/>
      <c r="IL250" s="70"/>
      <c r="IM250" s="70"/>
      <c r="IN250" s="70"/>
      <c r="IO250" s="70"/>
      <c r="IP250" s="70"/>
      <c r="IQ250" s="70"/>
    </row>
    <row r="251" spans="1:251" s="215" customFormat="1" ht="16.5" hidden="1" customHeight="1">
      <c r="A251" s="95"/>
      <c r="B251"/>
      <c r="C251"/>
      <c r="D251"/>
      <c r="E251"/>
      <c r="F251"/>
      <c r="G251"/>
      <c r="H251"/>
      <c r="I251"/>
      <c r="J251" s="214"/>
      <c r="K251"/>
      <c r="R251" s="215" t="s">
        <v>381</v>
      </c>
      <c r="V251" s="214" t="str">
        <f t="shared" ref="V251" si="6">S251&amp;TEXT(T251,"00")&amp;TEXT(U251,"00")</f>
        <v>0000</v>
      </c>
      <c r="W251" s="217"/>
      <c r="X251" s="217"/>
      <c r="Y251" s="217"/>
      <c r="Z251" s="217"/>
      <c r="AA251" s="217"/>
      <c r="AB251" s="217"/>
      <c r="AC251" s="217"/>
      <c r="AD251" s="217"/>
      <c r="AE251" s="217"/>
      <c r="AF251" s="217"/>
      <c r="AG251" s="217"/>
      <c r="AH251" s="217"/>
      <c r="AI251" s="217"/>
      <c r="AJ251" s="217"/>
      <c r="AK251" s="217"/>
      <c r="AL251" s="217"/>
      <c r="AM251" s="217"/>
      <c r="AN251" s="217"/>
      <c r="AO251" s="217"/>
      <c r="AP251" s="217"/>
      <c r="AQ251" s="217"/>
      <c r="AR251" s="217"/>
      <c r="AS251" s="217"/>
      <c r="AT251" s="217"/>
      <c r="AU251" s="217"/>
      <c r="AV251" s="217"/>
      <c r="AW251" s="217"/>
      <c r="AX251" s="217"/>
      <c r="AY251" s="217"/>
      <c r="AZ251" s="217"/>
      <c r="BA251" s="217"/>
      <c r="BB251" s="217"/>
      <c r="BC251" s="217"/>
      <c r="BD251" s="217"/>
      <c r="BE251" s="217"/>
      <c r="BF251" s="217"/>
      <c r="BG251" s="217"/>
      <c r="BH251" s="217"/>
      <c r="BI251" s="217"/>
      <c r="BJ251" s="217"/>
      <c r="BK251" s="217"/>
      <c r="BL251" s="217"/>
      <c r="BM251" s="217"/>
      <c r="BN251" s="217"/>
      <c r="BO251" s="217"/>
      <c r="BP251" s="217"/>
      <c r="BQ251" s="217"/>
      <c r="BR251" s="217"/>
      <c r="BS251" s="217"/>
      <c r="BT251" s="217"/>
      <c r="BU251" s="217"/>
      <c r="BV251" s="217"/>
      <c r="BW251" s="217"/>
      <c r="BX251" s="217"/>
      <c r="BY251" s="217"/>
      <c r="BZ251" s="217"/>
      <c r="CA251" s="217"/>
      <c r="CB251" s="217"/>
      <c r="CC251" s="217"/>
      <c r="CD251" s="217"/>
      <c r="CE251" s="217"/>
      <c r="CF251" s="217"/>
      <c r="CG251" s="217"/>
      <c r="CH251" s="217"/>
      <c r="CI251" s="217"/>
      <c r="CJ251" s="217"/>
      <c r="CK251" s="217"/>
      <c r="CL251" s="217"/>
      <c r="CM251" s="217"/>
      <c r="CN251" s="217"/>
      <c r="CO251" s="217"/>
      <c r="CP251" s="217"/>
      <c r="CQ251" s="217"/>
      <c r="CR251" s="217"/>
      <c r="CS251" s="217"/>
      <c r="CT251" s="217"/>
      <c r="CU251" s="217"/>
      <c r="CV251" s="217"/>
      <c r="CW251" s="217"/>
      <c r="CX251" s="217"/>
      <c r="CY251" s="217"/>
      <c r="CZ251" s="217"/>
      <c r="DA251" s="217"/>
      <c r="DB251" s="217"/>
      <c r="DC251" s="217"/>
      <c r="DD251" s="217"/>
      <c r="DE251" s="217"/>
      <c r="DF251" s="217"/>
      <c r="DG251" s="217"/>
      <c r="DH251" s="217"/>
      <c r="DI251" s="217"/>
      <c r="DJ251" s="217"/>
      <c r="DK251" s="217"/>
      <c r="DL251" s="217"/>
      <c r="DM251" s="217"/>
      <c r="DN251" s="217"/>
      <c r="DO251" s="217"/>
      <c r="DP251" s="217"/>
      <c r="DQ251" s="217"/>
      <c r="DR251" s="217"/>
      <c r="DS251" s="217"/>
      <c r="DT251" s="217"/>
      <c r="DU251" s="217"/>
      <c r="DV251" s="217"/>
      <c r="DW251" s="217"/>
      <c r="DX251" s="217"/>
      <c r="DY251" s="217"/>
      <c r="DZ251" s="217"/>
      <c r="EA251" s="217"/>
      <c r="EB251" s="217"/>
      <c r="EC251" s="217"/>
      <c r="EE251" s="215" t="s">
        <v>323</v>
      </c>
      <c r="EI251" s="216" t="str">
        <f t="shared" ref="EI251:EI252" si="7">EF251&amp;TEXT(EG251,"00")&amp;TEXT(EH251,"00")</f>
        <v>0000</v>
      </c>
      <c r="EJ251" s="217"/>
      <c r="EK251" s="217"/>
      <c r="EL251" s="217"/>
      <c r="EM251" s="217"/>
      <c r="EN251" s="217"/>
      <c r="EO251" s="217"/>
      <c r="EP251" s="217"/>
      <c r="EQ251" s="217"/>
      <c r="ER251" s="217"/>
      <c r="ES251" s="217"/>
      <c r="ET251" s="217"/>
      <c r="EU251" s="217"/>
      <c r="EV251" s="217"/>
      <c r="EW251" s="217"/>
      <c r="EX251" s="217"/>
      <c r="EY251" s="217"/>
      <c r="EZ251" s="217"/>
      <c r="FA251" s="217"/>
      <c r="FB251" s="217"/>
      <c r="FC251" s="217"/>
      <c r="FD251" s="217"/>
      <c r="FE251" s="217"/>
      <c r="FF251" s="217"/>
      <c r="FG251" s="217"/>
      <c r="FH251" s="217"/>
      <c r="FI251" s="217"/>
      <c r="FJ251" s="217"/>
      <c r="FK251" s="217"/>
      <c r="FL251" s="217"/>
      <c r="FM251" s="217"/>
      <c r="FN251" s="217"/>
      <c r="FO251" s="217"/>
      <c r="FP251" s="217"/>
      <c r="FQ251" s="217"/>
      <c r="FR251" s="217"/>
      <c r="FS251" s="217"/>
      <c r="FT251" s="217"/>
      <c r="FU251" s="217"/>
      <c r="FV251" s="217"/>
      <c r="FW251" s="217"/>
      <c r="FX251" s="217"/>
      <c r="FY251" s="217"/>
      <c r="FZ251" s="217"/>
      <c r="GA251" s="217"/>
      <c r="GB251" s="217"/>
      <c r="GC251" s="217"/>
      <c r="GD251" s="217"/>
      <c r="GE251" s="217"/>
      <c r="GF251" s="217"/>
      <c r="GG251" s="217"/>
      <c r="GH251" s="217"/>
      <c r="GI251" s="217"/>
      <c r="GJ251" s="217"/>
      <c r="GK251" s="217"/>
      <c r="GL251" s="217"/>
      <c r="GM251" s="217"/>
      <c r="GN251" s="217"/>
      <c r="GO251" s="217"/>
      <c r="GP251" s="217"/>
      <c r="GQ251" s="217"/>
      <c r="GR251" s="217"/>
      <c r="GS251" s="217"/>
      <c r="GT251" s="217"/>
      <c r="GU251" s="217"/>
      <c r="GV251" s="217"/>
      <c r="GW251" s="217"/>
      <c r="GX251" s="217"/>
      <c r="GY251" s="217"/>
      <c r="GZ251" s="217"/>
      <c r="HA251" s="217"/>
      <c r="HB251" s="217"/>
      <c r="HC251" s="217"/>
      <c r="HD251" s="217"/>
      <c r="HE251" s="217"/>
      <c r="HF251" s="217"/>
      <c r="HG251" s="217"/>
      <c r="HH251" s="217"/>
      <c r="HI251" s="217"/>
      <c r="HJ251" s="217"/>
      <c r="HK251" s="217"/>
      <c r="HL251" s="217"/>
      <c r="HM251" s="217"/>
      <c r="HN251" s="217"/>
      <c r="HO251" s="217"/>
      <c r="HP251" s="217"/>
      <c r="HQ251" s="217"/>
      <c r="HR251" s="217"/>
      <c r="HS251" s="217"/>
      <c r="HT251" s="217"/>
      <c r="HU251" s="217"/>
      <c r="HV251" s="217"/>
      <c r="HW251" s="217"/>
      <c r="HX251" s="217"/>
      <c r="HY251" s="217"/>
      <c r="HZ251" s="217"/>
      <c r="IA251" s="217"/>
      <c r="IB251" s="217"/>
      <c r="IC251" s="217"/>
      <c r="ID251" s="217"/>
      <c r="IE251" s="217"/>
      <c r="IF251" s="217"/>
      <c r="IG251" s="217"/>
      <c r="IH251" s="217"/>
      <c r="II251" s="217"/>
      <c r="IJ251" s="217"/>
      <c r="IK251" s="217"/>
      <c r="IL251" s="217"/>
      <c r="IM251" s="217"/>
      <c r="IN251" s="217"/>
      <c r="IO251" s="217"/>
      <c r="IP251" s="217"/>
      <c r="IQ251" s="217"/>
    </row>
    <row r="252" spans="1:251" ht="16.5" hidden="1" customHeight="1">
      <c r="A252" s="95"/>
      <c r="J252" s="214"/>
      <c r="R252" s="69" t="s">
        <v>76</v>
      </c>
      <c r="S252" s="69" t="s">
        <v>77</v>
      </c>
      <c r="T252" s="69" t="s">
        <v>78</v>
      </c>
      <c r="U252" s="69" t="s">
        <v>79</v>
      </c>
      <c r="V252" s="214"/>
      <c r="W252" s="69"/>
      <c r="X252" s="69"/>
      <c r="Y252" s="69"/>
      <c r="Z252" s="69"/>
      <c r="AA252" s="69"/>
      <c r="AB252" s="69"/>
      <c r="AC252" s="69"/>
      <c r="AD252" s="69"/>
      <c r="AE252" s="69"/>
      <c r="AF252" s="69"/>
      <c r="AG252" s="69"/>
      <c r="AH252" s="69"/>
      <c r="AI252" s="69"/>
      <c r="AJ252" s="69"/>
      <c r="AK252" s="69"/>
      <c r="AL252" s="69"/>
      <c r="AM252" s="69"/>
      <c r="AN252" s="69"/>
      <c r="AO252" s="69"/>
      <c r="AP252" s="69"/>
      <c r="AQ252" s="69"/>
      <c r="AR252" s="69"/>
      <c r="AS252" s="69"/>
      <c r="AT252" s="69"/>
      <c r="AU252" s="69"/>
      <c r="AV252" s="69"/>
      <c r="AW252" s="69"/>
      <c r="AX252" s="69"/>
      <c r="AY252" s="69"/>
      <c r="AZ252" s="69"/>
      <c r="BA252" s="69"/>
      <c r="BB252" s="69"/>
      <c r="BC252" s="69"/>
      <c r="BD252" s="69"/>
      <c r="BE252" s="69"/>
      <c r="BF252" s="69"/>
      <c r="BG252" s="69"/>
      <c r="BH252" s="69"/>
      <c r="BI252" s="69"/>
      <c r="BJ252" s="69"/>
      <c r="BK252" s="69"/>
      <c r="BL252" s="69"/>
      <c r="BM252" s="69"/>
      <c r="BN252" s="69"/>
      <c r="BO252" s="69"/>
      <c r="BP252" s="69"/>
      <c r="BQ252" s="69"/>
      <c r="BR252" s="69"/>
      <c r="BS252" s="69"/>
      <c r="BT252" s="69"/>
      <c r="BU252" s="69"/>
      <c r="BV252" s="69"/>
      <c r="BW252" s="69"/>
      <c r="BX252" s="69"/>
      <c r="BY252" s="69"/>
      <c r="BZ252" s="69"/>
      <c r="CA252" s="69"/>
      <c r="CB252" s="69"/>
      <c r="CC252" s="69"/>
      <c r="CD252" s="69"/>
      <c r="CE252" s="69"/>
      <c r="CF252" s="69"/>
      <c r="CG252" s="69"/>
      <c r="CH252" s="69"/>
      <c r="CI252" s="69"/>
      <c r="CJ252" s="69"/>
      <c r="CK252" s="69"/>
      <c r="CL252" s="69"/>
      <c r="CM252" s="69"/>
      <c r="CN252" s="69"/>
      <c r="CO252" s="69"/>
      <c r="CP252" s="69"/>
      <c r="CQ252" s="69"/>
      <c r="CR252" s="69"/>
      <c r="CS252" s="69"/>
      <c r="CT252" s="69"/>
      <c r="CU252" s="69"/>
      <c r="CV252" s="69"/>
      <c r="CW252" s="69"/>
      <c r="CX252" s="69"/>
      <c r="CY252" s="69"/>
      <c r="CZ252" s="69"/>
      <c r="DA252" s="69"/>
      <c r="DB252" s="69"/>
      <c r="DC252" s="69"/>
      <c r="DD252" s="69"/>
      <c r="DE252" s="69"/>
      <c r="DF252" s="69"/>
      <c r="DG252" s="69"/>
      <c r="DH252" s="69"/>
      <c r="DI252" s="69"/>
      <c r="DJ252" s="69"/>
      <c r="DK252" s="69"/>
      <c r="DL252" s="69"/>
      <c r="DM252" s="69"/>
      <c r="DN252" s="69"/>
      <c r="DO252" s="69"/>
      <c r="DP252" s="69"/>
      <c r="DQ252" s="69"/>
      <c r="DR252" s="69"/>
      <c r="DS252" s="69"/>
      <c r="DT252" s="69"/>
      <c r="DU252" s="69"/>
      <c r="DV252" s="69"/>
      <c r="DW252" s="69"/>
      <c r="DX252" s="69"/>
      <c r="DY252" s="69"/>
      <c r="DZ252" s="69"/>
      <c r="EA252" s="69"/>
      <c r="EB252" s="69"/>
      <c r="EC252" s="69"/>
      <c r="EE252" s="69" t="s">
        <v>76</v>
      </c>
      <c r="EF252" s="69" t="s">
        <v>77</v>
      </c>
      <c r="EG252" s="69" t="s">
        <v>78</v>
      </c>
      <c r="EH252" s="69" t="s">
        <v>79</v>
      </c>
      <c r="EI252" s="216" t="str">
        <f t="shared" si="7"/>
        <v>商品代號性別年齡</v>
      </c>
      <c r="EJ252" s="69" t="s">
        <v>191</v>
      </c>
      <c r="EK252" s="69" t="s">
        <v>192</v>
      </c>
      <c r="EL252" s="69" t="s">
        <v>193</v>
      </c>
      <c r="EM252" s="69" t="s">
        <v>194</v>
      </c>
      <c r="EN252" s="69" t="s">
        <v>195</v>
      </c>
      <c r="EO252" s="69" t="s">
        <v>196</v>
      </c>
      <c r="EP252" s="69" t="s">
        <v>197</v>
      </c>
      <c r="EQ252" s="69" t="s">
        <v>198</v>
      </c>
      <c r="ER252" s="69" t="s">
        <v>199</v>
      </c>
      <c r="ES252" s="69" t="s">
        <v>200</v>
      </c>
      <c r="ET252" s="69" t="s">
        <v>201</v>
      </c>
      <c r="EU252" s="69" t="s">
        <v>202</v>
      </c>
      <c r="EV252" s="69" t="s">
        <v>203</v>
      </c>
      <c r="EW252" s="69" t="s">
        <v>204</v>
      </c>
      <c r="EX252" s="69" t="s">
        <v>205</v>
      </c>
      <c r="EY252" s="69" t="s">
        <v>206</v>
      </c>
      <c r="EZ252" s="69" t="s">
        <v>207</v>
      </c>
      <c r="FA252" s="69" t="s">
        <v>208</v>
      </c>
      <c r="FB252" s="69" t="s">
        <v>209</v>
      </c>
      <c r="FC252" s="69" t="s">
        <v>210</v>
      </c>
      <c r="FD252" s="69" t="s">
        <v>211</v>
      </c>
      <c r="FE252" s="69" t="s">
        <v>212</v>
      </c>
      <c r="FF252" s="69" t="s">
        <v>213</v>
      </c>
      <c r="FG252" s="69" t="s">
        <v>214</v>
      </c>
      <c r="FH252" s="69" t="s">
        <v>215</v>
      </c>
      <c r="FI252" s="69" t="s">
        <v>216</v>
      </c>
      <c r="FJ252" s="69" t="s">
        <v>217</v>
      </c>
      <c r="FK252" s="69" t="s">
        <v>218</v>
      </c>
      <c r="FL252" s="69" t="s">
        <v>219</v>
      </c>
      <c r="FM252" s="69" t="s">
        <v>220</v>
      </c>
      <c r="FN252" s="69" t="s">
        <v>221</v>
      </c>
      <c r="FO252" s="69" t="s">
        <v>222</v>
      </c>
      <c r="FP252" s="69" t="s">
        <v>223</v>
      </c>
      <c r="FQ252" s="69" t="s">
        <v>224</v>
      </c>
      <c r="FR252" s="69" t="s">
        <v>225</v>
      </c>
      <c r="FS252" s="69" t="s">
        <v>226</v>
      </c>
      <c r="FT252" s="69" t="s">
        <v>227</v>
      </c>
      <c r="FU252" s="69" t="s">
        <v>228</v>
      </c>
      <c r="FV252" s="69" t="s">
        <v>229</v>
      </c>
      <c r="FW252" s="69" t="s">
        <v>230</v>
      </c>
      <c r="FX252" s="69" t="s">
        <v>231</v>
      </c>
      <c r="FY252" s="69" t="s">
        <v>232</v>
      </c>
      <c r="FZ252" s="69" t="s">
        <v>233</v>
      </c>
      <c r="GA252" s="69" t="s">
        <v>234</v>
      </c>
      <c r="GB252" s="69" t="s">
        <v>235</v>
      </c>
      <c r="GC252" s="69" t="s">
        <v>236</v>
      </c>
      <c r="GD252" s="69" t="s">
        <v>237</v>
      </c>
      <c r="GE252" s="69" t="s">
        <v>238</v>
      </c>
      <c r="GF252" s="69" t="s">
        <v>239</v>
      </c>
      <c r="GG252" s="69" t="s">
        <v>240</v>
      </c>
      <c r="GH252" s="69" t="s">
        <v>241</v>
      </c>
      <c r="GI252" s="69" t="s">
        <v>242</v>
      </c>
      <c r="GJ252" s="69" t="s">
        <v>243</v>
      </c>
      <c r="GK252" s="69" t="s">
        <v>244</v>
      </c>
      <c r="GL252" s="69" t="s">
        <v>245</v>
      </c>
      <c r="GM252" s="69" t="s">
        <v>246</v>
      </c>
      <c r="GN252" s="69" t="s">
        <v>247</v>
      </c>
      <c r="GO252" s="69" t="s">
        <v>248</v>
      </c>
      <c r="GP252" s="69" t="s">
        <v>249</v>
      </c>
      <c r="GQ252" s="69" t="s">
        <v>250</v>
      </c>
      <c r="GR252" s="69" t="s">
        <v>251</v>
      </c>
      <c r="GS252" s="69" t="s">
        <v>252</v>
      </c>
      <c r="GT252" s="69" t="s">
        <v>253</v>
      </c>
      <c r="GU252" s="69" t="s">
        <v>254</v>
      </c>
      <c r="GV252" s="69" t="s">
        <v>255</v>
      </c>
      <c r="GW252" s="69" t="s">
        <v>256</v>
      </c>
      <c r="GX252" s="69" t="s">
        <v>257</v>
      </c>
      <c r="GY252" s="69" t="s">
        <v>258</v>
      </c>
      <c r="GZ252" s="69" t="s">
        <v>259</v>
      </c>
      <c r="HA252" s="69" t="s">
        <v>260</v>
      </c>
      <c r="HB252" s="69" t="s">
        <v>261</v>
      </c>
      <c r="HC252" s="69" t="s">
        <v>262</v>
      </c>
      <c r="HD252" s="69" t="s">
        <v>263</v>
      </c>
      <c r="HE252" s="69" t="s">
        <v>264</v>
      </c>
      <c r="HF252" s="69" t="s">
        <v>265</v>
      </c>
      <c r="HG252" s="69" t="s">
        <v>266</v>
      </c>
      <c r="HH252" s="69" t="s">
        <v>267</v>
      </c>
      <c r="HI252" s="69" t="s">
        <v>268</v>
      </c>
      <c r="HJ252" s="69" t="s">
        <v>269</v>
      </c>
      <c r="HK252" s="69" t="s">
        <v>270</v>
      </c>
      <c r="HL252" s="69" t="s">
        <v>271</v>
      </c>
      <c r="HM252" s="69" t="s">
        <v>272</v>
      </c>
      <c r="HN252" s="69" t="s">
        <v>273</v>
      </c>
      <c r="HO252" s="69" t="s">
        <v>274</v>
      </c>
      <c r="HP252" s="69" t="s">
        <v>275</v>
      </c>
      <c r="HQ252" s="69" t="s">
        <v>276</v>
      </c>
      <c r="HR252" s="69" t="s">
        <v>277</v>
      </c>
      <c r="HS252" s="69" t="s">
        <v>278</v>
      </c>
      <c r="HT252" s="69" t="s">
        <v>279</v>
      </c>
      <c r="HU252" s="69" t="s">
        <v>280</v>
      </c>
      <c r="HV252" s="69" t="s">
        <v>281</v>
      </c>
      <c r="HW252" s="69" t="s">
        <v>282</v>
      </c>
      <c r="HX252" s="69" t="s">
        <v>283</v>
      </c>
      <c r="HY252" s="69" t="s">
        <v>284</v>
      </c>
      <c r="HZ252" s="69" t="s">
        <v>285</v>
      </c>
      <c r="IA252" s="69" t="s">
        <v>286</v>
      </c>
      <c r="IB252" s="69" t="s">
        <v>287</v>
      </c>
      <c r="IC252" s="69" t="s">
        <v>288</v>
      </c>
      <c r="ID252" s="69" t="s">
        <v>289</v>
      </c>
      <c r="IE252" s="69" t="s">
        <v>290</v>
      </c>
      <c r="IF252" s="69" t="s">
        <v>291</v>
      </c>
      <c r="IG252" s="69" t="s">
        <v>292</v>
      </c>
      <c r="IH252" s="69" t="s">
        <v>293</v>
      </c>
      <c r="II252" s="69" t="s">
        <v>294</v>
      </c>
      <c r="IJ252" s="69" t="s">
        <v>295</v>
      </c>
      <c r="IK252" s="69" t="s">
        <v>296</v>
      </c>
      <c r="IL252" s="69" t="s">
        <v>297</v>
      </c>
      <c r="IM252" s="69" t="s">
        <v>298</v>
      </c>
      <c r="IN252" s="69" t="s">
        <v>299</v>
      </c>
      <c r="IO252" s="69" t="s">
        <v>300</v>
      </c>
      <c r="IP252" s="69" t="s">
        <v>301</v>
      </c>
      <c r="IQ252" s="70"/>
    </row>
    <row r="253" spans="1:251" ht="16.5" hidden="1" customHeight="1">
      <c r="A253" s="95"/>
      <c r="J253" s="214"/>
      <c r="R253" s="95"/>
      <c r="S253" s="95"/>
      <c r="T253" s="95"/>
      <c r="U253" s="70"/>
      <c r="V253" s="214"/>
      <c r="W253" s="70"/>
      <c r="X253" s="70"/>
      <c r="Y253" s="70"/>
      <c r="Z253" s="70"/>
      <c r="AA253" s="70"/>
      <c r="AB253" s="70"/>
      <c r="AC253" s="70"/>
      <c r="AD253" s="70"/>
      <c r="AE253" s="70"/>
      <c r="AF253" s="70"/>
      <c r="AG253" s="70"/>
      <c r="AH253" s="70"/>
      <c r="AI253" s="70"/>
      <c r="AJ253" s="70"/>
      <c r="AK253" s="70"/>
      <c r="AL253" s="70"/>
      <c r="AM253" s="70"/>
      <c r="AN253" s="70"/>
      <c r="AO253" s="70"/>
      <c r="AP253" s="70"/>
      <c r="AQ253" s="70"/>
      <c r="AR253" s="70"/>
      <c r="AS253" s="70"/>
      <c r="AT253" s="70"/>
      <c r="AU253" s="70"/>
      <c r="AV253" s="70"/>
      <c r="AW253" s="70"/>
      <c r="AX253" s="70"/>
      <c r="AY253" s="70"/>
      <c r="AZ253" s="70"/>
      <c r="BA253" s="70"/>
      <c r="BB253" s="70"/>
      <c r="BC253" s="70"/>
      <c r="BD253" s="70"/>
      <c r="BE253" s="70"/>
      <c r="BF253" s="70"/>
      <c r="BG253" s="70"/>
      <c r="BH253" s="70"/>
      <c r="BI253" s="70"/>
      <c r="BJ253" s="70"/>
      <c r="BK253" s="70"/>
      <c r="BL253" s="70"/>
      <c r="BM253" s="70"/>
      <c r="BN253" s="70"/>
      <c r="BO253" s="70"/>
      <c r="BP253" s="70"/>
      <c r="BQ253" s="70"/>
      <c r="BR253" s="70"/>
      <c r="BS253" s="70"/>
      <c r="BT253" s="70"/>
      <c r="BU253" s="70"/>
      <c r="BV253" s="70"/>
      <c r="BW253" s="70"/>
      <c r="BX253" s="70"/>
      <c r="BY253" s="70"/>
      <c r="BZ253" s="70"/>
      <c r="CA253" s="70"/>
      <c r="CB253" s="70"/>
      <c r="CC253" s="70"/>
      <c r="CD253" s="70"/>
      <c r="CE253" s="70"/>
      <c r="CF253" s="70"/>
      <c r="CG253" s="70"/>
      <c r="CH253" s="70"/>
      <c r="CI253" s="70"/>
      <c r="CJ253" s="70"/>
      <c r="CK253" s="70"/>
      <c r="CL253" s="70"/>
      <c r="CM253" s="70"/>
      <c r="CN253" s="70"/>
      <c r="CO253" s="70"/>
      <c r="CP253" s="70"/>
      <c r="CQ253" s="70"/>
      <c r="CR253" s="70"/>
      <c r="CS253" s="70"/>
      <c r="CT253" s="70"/>
      <c r="CU253" s="70"/>
      <c r="CV253" s="70"/>
      <c r="CW253" s="70"/>
      <c r="CX253" s="70"/>
      <c r="CY253" s="70"/>
      <c r="CZ253" s="70"/>
      <c r="DA253" s="70"/>
      <c r="DB253" s="70"/>
      <c r="DC253" s="70"/>
      <c r="DD253" s="70"/>
      <c r="DE253" s="70"/>
      <c r="DF253" s="70"/>
      <c r="DG253" s="70"/>
      <c r="DH253" s="70"/>
      <c r="DI253" s="70"/>
      <c r="DJ253" s="70"/>
      <c r="DK253" s="70"/>
      <c r="DL253" s="70"/>
      <c r="DM253" s="70"/>
      <c r="DN253" s="70"/>
      <c r="DO253" s="70"/>
      <c r="DP253" s="70"/>
      <c r="DQ253" s="70"/>
      <c r="DR253" s="70"/>
      <c r="DS253" s="70"/>
      <c r="DT253" s="70"/>
      <c r="DU253" s="70"/>
      <c r="DV253" s="70"/>
      <c r="DW253" s="70"/>
      <c r="DX253" s="70"/>
      <c r="DY253" s="70"/>
      <c r="DZ253" s="70"/>
      <c r="EA253" s="70"/>
      <c r="EB253" s="70"/>
      <c r="EC253" s="70"/>
      <c r="EE253" s="95" t="s">
        <v>450</v>
      </c>
      <c r="EF253" s="652"/>
      <c r="EG253" s="652"/>
      <c r="EH253" s="652"/>
      <c r="EI253" s="216"/>
      <c r="EJ253" s="663"/>
      <c r="EK253" s="663"/>
      <c r="EL253" s="663"/>
      <c r="EM253" s="663"/>
      <c r="EN253" s="663"/>
      <c r="EO253" s="663"/>
      <c r="EP253" s="663"/>
      <c r="EQ253" s="663"/>
      <c r="ER253" s="663"/>
      <c r="ES253" s="663"/>
      <c r="ET253" s="663"/>
      <c r="EU253" s="663"/>
      <c r="EV253" s="663"/>
      <c r="EW253" s="663"/>
      <c r="EX253" s="663"/>
      <c r="EY253" s="663"/>
      <c r="EZ253" s="663"/>
      <c r="FA253" s="663"/>
      <c r="FB253" s="663"/>
      <c r="FC253" s="663"/>
      <c r="FD253" s="663"/>
      <c r="FE253" s="663"/>
      <c r="FF253" s="663"/>
      <c r="FG253" s="663"/>
      <c r="FH253" s="663"/>
      <c r="FI253" s="663"/>
      <c r="FJ253" s="663"/>
      <c r="FK253" s="663"/>
      <c r="FL253" s="663"/>
      <c r="FM253" s="663"/>
      <c r="FN253" s="663"/>
      <c r="FO253" s="663"/>
      <c r="FP253" s="663"/>
      <c r="FQ253" s="663"/>
      <c r="FR253" s="663"/>
      <c r="FS253" s="663"/>
      <c r="FT253" s="663"/>
      <c r="FU253" s="663"/>
      <c r="FV253" s="663"/>
      <c r="FW253" s="663"/>
      <c r="FX253" s="663"/>
      <c r="FY253" s="663"/>
      <c r="FZ253" s="663"/>
      <c r="GA253" s="663"/>
      <c r="GB253" s="663"/>
      <c r="GC253" s="663"/>
      <c r="GD253" s="663"/>
      <c r="GE253" s="663"/>
      <c r="GF253" s="663"/>
      <c r="GG253" s="663"/>
      <c r="GH253" s="663"/>
      <c r="GI253" s="663"/>
      <c r="GJ253" s="663"/>
      <c r="GK253" s="663"/>
      <c r="GL253" s="663"/>
      <c r="GM253" s="663"/>
      <c r="GN253" s="663"/>
      <c r="GO253" s="663"/>
      <c r="GP253" s="663"/>
      <c r="GQ253" s="663"/>
      <c r="GR253" s="663"/>
      <c r="GS253" s="663"/>
      <c r="GT253" s="663"/>
      <c r="GU253" s="663"/>
      <c r="GV253" s="663"/>
      <c r="GW253" s="663"/>
      <c r="GX253" s="663"/>
      <c r="GY253" s="663"/>
      <c r="GZ253" s="663"/>
      <c r="HA253" s="663"/>
      <c r="HB253" s="663"/>
      <c r="HC253" s="663"/>
      <c r="HD253" s="663"/>
      <c r="HE253" s="663"/>
      <c r="HF253" s="663"/>
      <c r="HG253" s="663"/>
      <c r="HH253" s="663"/>
      <c r="HI253" s="663"/>
      <c r="HJ253" s="663"/>
      <c r="HK253" s="663"/>
      <c r="HL253" s="663"/>
      <c r="HM253" s="663"/>
      <c r="HN253" s="663"/>
      <c r="HO253" s="663"/>
      <c r="HP253" s="663"/>
      <c r="HQ253" s="663"/>
      <c r="HR253" s="663"/>
      <c r="HS253" s="663"/>
      <c r="HT253" s="663"/>
      <c r="HU253" s="663"/>
      <c r="HV253" s="663"/>
      <c r="HW253" s="663"/>
      <c r="HX253" s="663"/>
      <c r="HY253" s="663"/>
      <c r="HZ253" s="663"/>
      <c r="IA253" s="663"/>
      <c r="IB253" s="663"/>
      <c r="IC253" s="663"/>
      <c r="ID253" s="663"/>
      <c r="IE253" s="663"/>
      <c r="IF253" s="663"/>
      <c r="IG253" s="663"/>
      <c r="IH253" s="663"/>
      <c r="II253" s="663"/>
      <c r="IJ253" s="663"/>
      <c r="IK253" s="663"/>
      <c r="IL253" s="663"/>
      <c r="IM253" s="663"/>
      <c r="IN253" s="663"/>
      <c r="IO253" s="663"/>
      <c r="IP253" s="663"/>
      <c r="IQ253" s="70"/>
    </row>
    <row r="254" spans="1:251" ht="16.5" hidden="1" customHeight="1">
      <c r="A254" s="95"/>
      <c r="J254" s="214"/>
      <c r="R254" s="95"/>
      <c r="S254" s="95"/>
      <c r="T254" s="95"/>
      <c r="U254" s="70"/>
      <c r="V254" s="214"/>
      <c r="W254" s="70"/>
      <c r="X254" s="70"/>
      <c r="Y254" s="70"/>
      <c r="Z254" s="70"/>
      <c r="AA254" s="70"/>
      <c r="AB254" s="70"/>
      <c r="AC254" s="70"/>
      <c r="AD254" s="70"/>
      <c r="AE254" s="70"/>
      <c r="AF254" s="70"/>
      <c r="AG254" s="70"/>
      <c r="AH254" s="70"/>
      <c r="AI254" s="70"/>
      <c r="AJ254" s="70"/>
      <c r="AK254" s="70"/>
      <c r="AL254" s="70"/>
      <c r="AM254" s="70"/>
      <c r="AN254" s="70"/>
      <c r="AO254" s="70"/>
      <c r="AP254" s="70"/>
      <c r="AQ254" s="70"/>
      <c r="AR254" s="70"/>
      <c r="AS254" s="70"/>
      <c r="AT254" s="70"/>
      <c r="AU254" s="70"/>
      <c r="AV254" s="70"/>
      <c r="AW254" s="70"/>
      <c r="AX254" s="70"/>
      <c r="AY254" s="70"/>
      <c r="AZ254" s="70"/>
      <c r="BA254" s="70"/>
      <c r="BB254" s="70"/>
      <c r="BC254" s="70"/>
      <c r="BD254" s="70"/>
      <c r="BE254" s="70"/>
      <c r="BF254" s="70"/>
      <c r="BG254" s="70"/>
      <c r="BH254" s="70"/>
      <c r="BI254" s="70"/>
      <c r="BJ254" s="70"/>
      <c r="BK254" s="70"/>
      <c r="BL254" s="70"/>
      <c r="BM254" s="70"/>
      <c r="BN254" s="70"/>
      <c r="BO254" s="70"/>
      <c r="BP254" s="70"/>
      <c r="BQ254" s="70"/>
      <c r="BR254" s="70"/>
      <c r="BS254" s="70"/>
      <c r="BT254" s="70"/>
      <c r="BU254" s="70"/>
      <c r="BV254" s="70"/>
      <c r="BW254" s="70"/>
      <c r="BX254" s="70"/>
      <c r="BY254" s="70"/>
      <c r="BZ254" s="70"/>
      <c r="CA254" s="70"/>
      <c r="CB254" s="70"/>
      <c r="CC254" s="70"/>
      <c r="CD254" s="70"/>
      <c r="CE254" s="70"/>
      <c r="CF254" s="70"/>
      <c r="CG254" s="70"/>
      <c r="CH254" s="70"/>
      <c r="CI254" s="70"/>
      <c r="CJ254" s="70"/>
      <c r="CK254" s="70"/>
      <c r="CL254" s="70"/>
      <c r="CM254" s="70"/>
      <c r="CN254" s="70"/>
      <c r="CO254" s="70"/>
      <c r="CP254" s="70"/>
      <c r="CQ254" s="70"/>
      <c r="CR254" s="70"/>
      <c r="CS254" s="70"/>
      <c r="CT254" s="70"/>
      <c r="CU254" s="70"/>
      <c r="CV254" s="70"/>
      <c r="CW254" s="70"/>
      <c r="CX254" s="70"/>
      <c r="CY254" s="70"/>
      <c r="CZ254" s="70"/>
      <c r="DA254" s="70"/>
      <c r="DB254" s="70"/>
      <c r="DC254" s="70"/>
      <c r="DD254" s="70"/>
      <c r="DE254" s="70"/>
      <c r="DF254" s="70"/>
      <c r="DG254" s="70"/>
      <c r="DH254" s="70"/>
      <c r="DI254" s="70"/>
      <c r="DJ254" s="70"/>
      <c r="DK254" s="70"/>
      <c r="DL254" s="70"/>
      <c r="DM254" s="70"/>
      <c r="DN254" s="70"/>
      <c r="DO254" s="70"/>
      <c r="DP254" s="70"/>
      <c r="DQ254" s="70"/>
      <c r="DR254" s="70"/>
      <c r="DS254" s="70"/>
      <c r="DT254" s="70"/>
      <c r="DU254" s="70"/>
      <c r="DV254" s="70"/>
      <c r="DW254" s="70"/>
      <c r="DX254" s="70"/>
      <c r="DY254" s="70"/>
      <c r="DZ254" s="70"/>
      <c r="EA254" s="70"/>
      <c r="EB254" s="70"/>
      <c r="EC254" s="70"/>
      <c r="EE254" s="95" t="s">
        <v>450</v>
      </c>
      <c r="EF254" s="652"/>
      <c r="EG254" s="652"/>
      <c r="EH254" s="652"/>
      <c r="EI254" s="216"/>
      <c r="EJ254" s="663"/>
      <c r="EK254" s="663"/>
      <c r="EL254" s="663"/>
      <c r="EM254" s="663"/>
      <c r="EN254" s="663"/>
      <c r="EO254" s="663"/>
      <c r="EP254" s="663"/>
      <c r="EQ254" s="663"/>
      <c r="ER254" s="663"/>
      <c r="ES254" s="663"/>
      <c r="ET254" s="663"/>
      <c r="EU254" s="663"/>
      <c r="EV254" s="663"/>
      <c r="EW254" s="663"/>
      <c r="EX254" s="663"/>
      <c r="EY254" s="663"/>
      <c r="EZ254" s="663"/>
      <c r="FA254" s="663"/>
      <c r="FB254" s="663"/>
      <c r="FC254" s="663"/>
      <c r="FD254" s="663"/>
      <c r="FE254" s="663"/>
      <c r="FF254" s="663"/>
      <c r="FG254" s="663"/>
      <c r="FH254" s="663"/>
      <c r="FI254" s="663"/>
      <c r="FJ254" s="663"/>
      <c r="FK254" s="663"/>
      <c r="FL254" s="663"/>
      <c r="FM254" s="663"/>
      <c r="FN254" s="663"/>
      <c r="FO254" s="663"/>
      <c r="FP254" s="663"/>
      <c r="FQ254" s="663"/>
      <c r="FR254" s="663"/>
      <c r="FS254" s="663"/>
      <c r="FT254" s="663"/>
      <c r="FU254" s="663"/>
      <c r="FV254" s="663"/>
      <c r="FW254" s="663"/>
      <c r="FX254" s="663"/>
      <c r="FY254" s="663"/>
      <c r="FZ254" s="663"/>
      <c r="GA254" s="663"/>
      <c r="GB254" s="663"/>
      <c r="GC254" s="663"/>
      <c r="GD254" s="663"/>
      <c r="GE254" s="663"/>
      <c r="GF254" s="663"/>
      <c r="GG254" s="663"/>
      <c r="GH254" s="663"/>
      <c r="GI254" s="663"/>
      <c r="GJ254" s="663"/>
      <c r="GK254" s="663"/>
      <c r="GL254" s="663"/>
      <c r="GM254" s="663"/>
      <c r="GN254" s="663"/>
      <c r="GO254" s="663"/>
      <c r="GP254" s="663"/>
      <c r="GQ254" s="663"/>
      <c r="GR254" s="663"/>
      <c r="GS254" s="663"/>
      <c r="GT254" s="663"/>
      <c r="GU254" s="663"/>
      <c r="GV254" s="663"/>
      <c r="GW254" s="663"/>
      <c r="GX254" s="663"/>
      <c r="GY254" s="663"/>
      <c r="GZ254" s="663"/>
      <c r="HA254" s="663"/>
      <c r="HB254" s="663"/>
      <c r="HC254" s="663"/>
      <c r="HD254" s="663"/>
      <c r="HE254" s="663"/>
      <c r="HF254" s="663"/>
      <c r="HG254" s="663"/>
      <c r="HH254" s="663"/>
      <c r="HI254" s="663"/>
      <c r="HJ254" s="663"/>
      <c r="HK254" s="663"/>
      <c r="HL254" s="663"/>
      <c r="HM254" s="663"/>
      <c r="HN254" s="663"/>
      <c r="HO254" s="663"/>
      <c r="HP254" s="663"/>
      <c r="HQ254" s="663"/>
      <c r="HR254" s="663"/>
      <c r="HS254" s="663"/>
      <c r="HT254" s="663"/>
      <c r="HU254" s="663"/>
      <c r="HV254" s="663"/>
      <c r="HW254" s="663"/>
      <c r="HX254" s="663"/>
      <c r="HY254" s="663"/>
      <c r="HZ254" s="663"/>
      <c r="IA254" s="663"/>
      <c r="IB254" s="663"/>
      <c r="IC254" s="663"/>
      <c r="ID254" s="663"/>
      <c r="IE254" s="663"/>
      <c r="IF254" s="663"/>
      <c r="IG254" s="663"/>
      <c r="IH254" s="663"/>
      <c r="II254" s="663"/>
      <c r="IJ254" s="663"/>
      <c r="IK254" s="663"/>
      <c r="IL254" s="663"/>
      <c r="IM254" s="663"/>
      <c r="IN254" s="663"/>
      <c r="IO254" s="663"/>
      <c r="IP254" s="663"/>
      <c r="IQ254" s="70"/>
    </row>
    <row r="255" spans="1:251" ht="16.5" hidden="1" customHeight="1">
      <c r="A255" s="95"/>
      <c r="J255" s="214"/>
      <c r="R255" s="95"/>
      <c r="S255" s="95"/>
      <c r="T255" s="95"/>
      <c r="U255" s="70"/>
      <c r="V255" s="214"/>
      <c r="W255" s="70"/>
      <c r="X255" s="70"/>
      <c r="Y255" s="70"/>
      <c r="Z255" s="70"/>
      <c r="AA255" s="70"/>
      <c r="AB255" s="70"/>
      <c r="AC255" s="70"/>
      <c r="AD255" s="70"/>
      <c r="AE255" s="70"/>
      <c r="AF255" s="70"/>
      <c r="AG255" s="70"/>
      <c r="AH255" s="70"/>
      <c r="AI255" s="70"/>
      <c r="AJ255" s="70"/>
      <c r="AK255" s="70"/>
      <c r="AL255" s="70"/>
      <c r="AM255" s="70"/>
      <c r="AN255" s="70"/>
      <c r="AO255" s="70"/>
      <c r="AP255" s="70"/>
      <c r="AQ255" s="70"/>
      <c r="AR255" s="70"/>
      <c r="AS255" s="70"/>
      <c r="AT255" s="70"/>
      <c r="AU255" s="70"/>
      <c r="AV255" s="70"/>
      <c r="AW255" s="70"/>
      <c r="AX255" s="70"/>
      <c r="AY255" s="70"/>
      <c r="AZ255" s="70"/>
      <c r="BA255" s="70"/>
      <c r="BB255" s="70"/>
      <c r="BC255" s="70"/>
      <c r="BD255" s="70"/>
      <c r="BE255" s="70"/>
      <c r="BF255" s="70"/>
      <c r="BG255" s="70"/>
      <c r="BH255" s="70"/>
      <c r="BI255" s="70"/>
      <c r="BJ255" s="70"/>
      <c r="BK255" s="70"/>
      <c r="BL255" s="70"/>
      <c r="BM255" s="70"/>
      <c r="BN255" s="70"/>
      <c r="BO255" s="70"/>
      <c r="BP255" s="70"/>
      <c r="BQ255" s="70"/>
      <c r="BR255" s="70"/>
      <c r="BS255" s="70"/>
      <c r="BT255" s="70"/>
      <c r="BU255" s="70"/>
      <c r="BV255" s="70"/>
      <c r="BW255" s="70"/>
      <c r="BX255" s="70"/>
      <c r="BY255" s="70"/>
      <c r="BZ255" s="70"/>
      <c r="CA255" s="70"/>
      <c r="CB255" s="70"/>
      <c r="CC255" s="70"/>
      <c r="CD255" s="70"/>
      <c r="CE255" s="70"/>
      <c r="CF255" s="70"/>
      <c r="CG255" s="70"/>
      <c r="CH255" s="70"/>
      <c r="CI255" s="70"/>
      <c r="CJ255" s="70"/>
      <c r="CK255" s="70"/>
      <c r="CL255" s="70"/>
      <c r="CM255" s="70"/>
      <c r="CN255" s="70"/>
      <c r="CO255" s="70"/>
      <c r="CP255" s="70"/>
      <c r="CQ255" s="70"/>
      <c r="CR255" s="70"/>
      <c r="CS255" s="70"/>
      <c r="CT255" s="70"/>
      <c r="CU255" s="70"/>
      <c r="CV255" s="70"/>
      <c r="CW255" s="70"/>
      <c r="CX255" s="70"/>
      <c r="CY255" s="70"/>
      <c r="CZ255" s="70"/>
      <c r="DA255" s="70"/>
      <c r="DB255" s="70"/>
      <c r="DC255" s="70"/>
      <c r="DD255" s="70"/>
      <c r="DE255" s="70"/>
      <c r="DF255" s="70"/>
      <c r="DG255" s="70"/>
      <c r="DH255" s="70"/>
      <c r="DI255" s="70"/>
      <c r="DJ255" s="70"/>
      <c r="DK255" s="70"/>
      <c r="DL255" s="70"/>
      <c r="DM255" s="70"/>
      <c r="DN255" s="70"/>
      <c r="DO255" s="70"/>
      <c r="DP255" s="70"/>
      <c r="DQ255" s="70"/>
      <c r="DR255" s="70"/>
      <c r="DS255" s="70"/>
      <c r="DT255" s="70"/>
      <c r="DU255" s="70"/>
      <c r="DV255" s="70"/>
      <c r="DW255" s="70"/>
      <c r="DX255" s="70"/>
      <c r="DY255" s="70"/>
      <c r="DZ255" s="70"/>
      <c r="EA255" s="70"/>
      <c r="EB255" s="70"/>
      <c r="EC255" s="70"/>
      <c r="EE255" s="95" t="s">
        <v>450</v>
      </c>
      <c r="EF255" s="652"/>
      <c r="EG255" s="652"/>
      <c r="EH255" s="652"/>
      <c r="EI255" s="216"/>
      <c r="EJ255" s="663"/>
      <c r="EK255" s="663"/>
      <c r="EL255" s="663"/>
      <c r="EM255" s="663"/>
      <c r="EN255" s="663"/>
      <c r="EO255" s="663"/>
      <c r="EP255" s="663"/>
      <c r="EQ255" s="663"/>
      <c r="ER255" s="663"/>
      <c r="ES255" s="663"/>
      <c r="ET255" s="663"/>
      <c r="EU255" s="663"/>
      <c r="EV255" s="663"/>
      <c r="EW255" s="663"/>
      <c r="EX255" s="663"/>
      <c r="EY255" s="663"/>
      <c r="EZ255" s="663"/>
      <c r="FA255" s="663"/>
      <c r="FB255" s="663"/>
      <c r="FC255" s="663"/>
      <c r="FD255" s="663"/>
      <c r="FE255" s="663"/>
      <c r="FF255" s="663"/>
      <c r="FG255" s="663"/>
      <c r="FH255" s="663"/>
      <c r="FI255" s="663"/>
      <c r="FJ255" s="663"/>
      <c r="FK255" s="663"/>
      <c r="FL255" s="663"/>
      <c r="FM255" s="663"/>
      <c r="FN255" s="663"/>
      <c r="FO255" s="663"/>
      <c r="FP255" s="663"/>
      <c r="FQ255" s="663"/>
      <c r="FR255" s="663"/>
      <c r="FS255" s="663"/>
      <c r="FT255" s="663"/>
      <c r="FU255" s="663"/>
      <c r="FV255" s="663"/>
      <c r="FW255" s="663"/>
      <c r="FX255" s="663"/>
      <c r="FY255" s="663"/>
      <c r="FZ255" s="663"/>
      <c r="GA255" s="663"/>
      <c r="GB255" s="663"/>
      <c r="GC255" s="663"/>
      <c r="GD255" s="663"/>
      <c r="GE255" s="663"/>
      <c r="GF255" s="663"/>
      <c r="GG255" s="663"/>
      <c r="GH255" s="663"/>
      <c r="GI255" s="663"/>
      <c r="GJ255" s="663"/>
      <c r="GK255" s="663"/>
      <c r="GL255" s="663"/>
      <c r="GM255" s="663"/>
      <c r="GN255" s="663"/>
      <c r="GO255" s="663"/>
      <c r="GP255" s="663"/>
      <c r="GQ255" s="663"/>
      <c r="GR255" s="663"/>
      <c r="GS255" s="663"/>
      <c r="GT255" s="663"/>
      <c r="GU255" s="663"/>
      <c r="GV255" s="663"/>
      <c r="GW255" s="663"/>
      <c r="GX255" s="663"/>
      <c r="GY255" s="663"/>
      <c r="GZ255" s="663"/>
      <c r="HA255" s="663"/>
      <c r="HB255" s="663"/>
      <c r="HC255" s="663"/>
      <c r="HD255" s="663"/>
      <c r="HE255" s="663"/>
      <c r="HF255" s="663"/>
      <c r="HG255" s="663"/>
      <c r="HH255" s="663"/>
      <c r="HI255" s="663"/>
      <c r="HJ255" s="663"/>
      <c r="HK255" s="663"/>
      <c r="HL255" s="663"/>
      <c r="HM255" s="663"/>
      <c r="HN255" s="663"/>
      <c r="HO255" s="663"/>
      <c r="HP255" s="663"/>
      <c r="HQ255" s="663"/>
      <c r="HR255" s="663"/>
      <c r="HS255" s="663"/>
      <c r="HT255" s="663"/>
      <c r="HU255" s="663"/>
      <c r="HV255" s="663"/>
      <c r="HW255" s="663"/>
      <c r="HX255" s="663"/>
      <c r="HY255" s="663"/>
      <c r="HZ255" s="663"/>
      <c r="IA255" s="663"/>
      <c r="IB255" s="663"/>
      <c r="IC255" s="663"/>
      <c r="ID255" s="663"/>
      <c r="IE255" s="663"/>
      <c r="IF255" s="663"/>
      <c r="IG255" s="663"/>
      <c r="IH255" s="663"/>
      <c r="II255" s="663"/>
      <c r="IJ255" s="663"/>
      <c r="IK255" s="663"/>
      <c r="IL255" s="663"/>
      <c r="IM255" s="663"/>
      <c r="IN255" s="663"/>
      <c r="IO255" s="663"/>
      <c r="IP255" s="663"/>
      <c r="IQ255" s="70"/>
    </row>
    <row r="256" spans="1:251" ht="16.5" hidden="1" customHeight="1">
      <c r="A256" s="95"/>
      <c r="J256" s="214"/>
      <c r="R256" s="95"/>
      <c r="S256" s="95"/>
      <c r="T256" s="95"/>
      <c r="U256" s="70"/>
      <c r="V256" s="214"/>
      <c r="W256" s="70"/>
      <c r="X256" s="70"/>
      <c r="Y256" s="70"/>
      <c r="Z256" s="70"/>
      <c r="AA256" s="70"/>
      <c r="AB256" s="70"/>
      <c r="AC256" s="70"/>
      <c r="AD256" s="70"/>
      <c r="AE256" s="70"/>
      <c r="AF256" s="70"/>
      <c r="AG256" s="70"/>
      <c r="AH256" s="70"/>
      <c r="AI256" s="70"/>
      <c r="AJ256" s="70"/>
      <c r="AK256" s="70"/>
      <c r="AL256" s="70"/>
      <c r="AM256" s="70"/>
      <c r="AN256" s="70"/>
      <c r="AO256" s="70"/>
      <c r="AP256" s="70"/>
      <c r="AQ256" s="70"/>
      <c r="AR256" s="70"/>
      <c r="AS256" s="70"/>
      <c r="AT256" s="70"/>
      <c r="AU256" s="70"/>
      <c r="AV256" s="70"/>
      <c r="AW256" s="70"/>
      <c r="AX256" s="70"/>
      <c r="AY256" s="70"/>
      <c r="AZ256" s="70"/>
      <c r="BA256" s="70"/>
      <c r="BB256" s="70"/>
      <c r="BC256" s="70"/>
      <c r="BD256" s="70"/>
      <c r="BE256" s="70"/>
      <c r="BF256" s="70"/>
      <c r="BG256" s="70"/>
      <c r="BH256" s="70"/>
      <c r="BI256" s="70"/>
      <c r="BJ256" s="70"/>
      <c r="BK256" s="70"/>
      <c r="BL256" s="70"/>
      <c r="BM256" s="70"/>
      <c r="BN256" s="70"/>
      <c r="BO256" s="70"/>
      <c r="BP256" s="70"/>
      <c r="BQ256" s="70"/>
      <c r="BR256" s="70"/>
      <c r="BS256" s="70"/>
      <c r="BT256" s="70"/>
      <c r="BU256" s="70"/>
      <c r="BV256" s="70"/>
      <c r="BW256" s="70"/>
      <c r="BX256" s="70"/>
      <c r="BY256" s="70"/>
      <c r="BZ256" s="70"/>
      <c r="CA256" s="70"/>
      <c r="CB256" s="70"/>
      <c r="CC256" s="70"/>
      <c r="CD256" s="70"/>
      <c r="CE256" s="70"/>
      <c r="CF256" s="70"/>
      <c r="CG256" s="70"/>
      <c r="CH256" s="70"/>
      <c r="CI256" s="70"/>
      <c r="CJ256" s="70"/>
      <c r="CK256" s="70"/>
      <c r="CL256" s="70"/>
      <c r="CM256" s="70"/>
      <c r="CN256" s="70"/>
      <c r="CO256" s="70"/>
      <c r="CP256" s="70"/>
      <c r="CQ256" s="70"/>
      <c r="CR256" s="70"/>
      <c r="CS256" s="70"/>
      <c r="CT256" s="70"/>
      <c r="CU256" s="70"/>
      <c r="CV256" s="70"/>
      <c r="CW256" s="70"/>
      <c r="CX256" s="70"/>
      <c r="CY256" s="70"/>
      <c r="CZ256" s="70"/>
      <c r="DA256" s="70"/>
      <c r="DB256" s="70"/>
      <c r="DC256" s="70"/>
      <c r="DD256" s="70"/>
      <c r="DE256" s="70"/>
      <c r="DF256" s="70"/>
      <c r="DG256" s="70"/>
      <c r="DH256" s="70"/>
      <c r="DI256" s="70"/>
      <c r="DJ256" s="70"/>
      <c r="DK256" s="70"/>
      <c r="DL256" s="70"/>
      <c r="DM256" s="70"/>
      <c r="DN256" s="70"/>
      <c r="DO256" s="70"/>
      <c r="DP256" s="70"/>
      <c r="DQ256" s="70"/>
      <c r="DR256" s="70"/>
      <c r="DS256" s="70"/>
      <c r="DT256" s="70"/>
      <c r="DU256" s="70"/>
      <c r="DV256" s="70"/>
      <c r="DW256" s="70"/>
      <c r="DX256" s="70"/>
      <c r="DY256" s="70"/>
      <c r="DZ256" s="70"/>
      <c r="EA256" s="70"/>
      <c r="EB256" s="70"/>
      <c r="EC256" s="70"/>
      <c r="EE256" s="95" t="s">
        <v>450</v>
      </c>
      <c r="EF256" s="652"/>
      <c r="EG256" s="652"/>
      <c r="EH256" s="652"/>
      <c r="EI256" s="216"/>
      <c r="EJ256" s="663"/>
      <c r="EK256" s="663"/>
      <c r="EL256" s="663"/>
      <c r="EM256" s="663"/>
      <c r="EN256" s="663"/>
      <c r="EO256" s="663"/>
      <c r="EP256" s="663"/>
      <c r="EQ256" s="663"/>
      <c r="ER256" s="663"/>
      <c r="ES256" s="663"/>
      <c r="ET256" s="663"/>
      <c r="EU256" s="663"/>
      <c r="EV256" s="663"/>
      <c r="EW256" s="663"/>
      <c r="EX256" s="663"/>
      <c r="EY256" s="663"/>
      <c r="EZ256" s="663"/>
      <c r="FA256" s="663"/>
      <c r="FB256" s="663"/>
      <c r="FC256" s="663"/>
      <c r="FD256" s="663"/>
      <c r="FE256" s="663"/>
      <c r="FF256" s="663"/>
      <c r="FG256" s="663"/>
      <c r="FH256" s="663"/>
      <c r="FI256" s="663"/>
      <c r="FJ256" s="663"/>
      <c r="FK256" s="663"/>
      <c r="FL256" s="663"/>
      <c r="FM256" s="663"/>
      <c r="FN256" s="663"/>
      <c r="FO256" s="663"/>
      <c r="FP256" s="663"/>
      <c r="FQ256" s="663"/>
      <c r="FR256" s="663"/>
      <c r="FS256" s="663"/>
      <c r="FT256" s="663"/>
      <c r="FU256" s="663"/>
      <c r="FV256" s="663"/>
      <c r="FW256" s="663"/>
      <c r="FX256" s="663"/>
      <c r="FY256" s="663"/>
      <c r="FZ256" s="663"/>
      <c r="GA256" s="663"/>
      <c r="GB256" s="663"/>
      <c r="GC256" s="663"/>
      <c r="GD256" s="663"/>
      <c r="GE256" s="663"/>
      <c r="GF256" s="663"/>
      <c r="GG256" s="663"/>
      <c r="GH256" s="663"/>
      <c r="GI256" s="663"/>
      <c r="GJ256" s="663"/>
      <c r="GK256" s="663"/>
      <c r="GL256" s="663"/>
      <c r="GM256" s="663"/>
      <c r="GN256" s="663"/>
      <c r="GO256" s="663"/>
      <c r="GP256" s="663"/>
      <c r="GQ256" s="663"/>
      <c r="GR256" s="663"/>
      <c r="GS256" s="663"/>
      <c r="GT256" s="663"/>
      <c r="GU256" s="663"/>
      <c r="GV256" s="663"/>
      <c r="GW256" s="663"/>
      <c r="GX256" s="663"/>
      <c r="GY256" s="663"/>
      <c r="GZ256" s="663"/>
      <c r="HA256" s="663"/>
      <c r="HB256" s="663"/>
      <c r="HC256" s="663"/>
      <c r="HD256" s="663"/>
      <c r="HE256" s="663"/>
      <c r="HF256" s="663"/>
      <c r="HG256" s="663"/>
      <c r="HH256" s="663"/>
      <c r="HI256" s="663"/>
      <c r="HJ256" s="663"/>
      <c r="HK256" s="663"/>
      <c r="HL256" s="663"/>
      <c r="HM256" s="663"/>
      <c r="HN256" s="663"/>
      <c r="HO256" s="663"/>
      <c r="HP256" s="663"/>
      <c r="HQ256" s="663"/>
      <c r="HR256" s="663"/>
      <c r="HS256" s="663"/>
      <c r="HT256" s="663"/>
      <c r="HU256" s="663"/>
      <c r="HV256" s="663"/>
      <c r="HW256" s="663"/>
      <c r="HX256" s="663"/>
      <c r="HY256" s="663"/>
      <c r="HZ256" s="663"/>
      <c r="IA256" s="663"/>
      <c r="IB256" s="663"/>
      <c r="IC256" s="663"/>
      <c r="ID256" s="663"/>
      <c r="IE256" s="663"/>
      <c r="IF256" s="663"/>
      <c r="IG256" s="663"/>
      <c r="IH256" s="663"/>
      <c r="II256" s="663"/>
      <c r="IJ256" s="663"/>
      <c r="IK256" s="663"/>
      <c r="IL256" s="663"/>
      <c r="IM256" s="663"/>
      <c r="IN256" s="663"/>
      <c r="IO256" s="663"/>
      <c r="IP256" s="663"/>
      <c r="IQ256" s="70"/>
    </row>
    <row r="257" spans="1:251" ht="16.5" hidden="1" customHeight="1">
      <c r="A257" s="95"/>
      <c r="J257" s="214"/>
      <c r="R257" s="95"/>
      <c r="S257" s="95"/>
      <c r="T257" s="95"/>
      <c r="U257" s="70"/>
      <c r="V257" s="214"/>
      <c r="W257" s="70"/>
      <c r="X257" s="70"/>
      <c r="Y257" s="70"/>
      <c r="Z257" s="70"/>
      <c r="AA257" s="70"/>
      <c r="AB257" s="70"/>
      <c r="AC257" s="70"/>
      <c r="AD257" s="70"/>
      <c r="AE257" s="70"/>
      <c r="AF257" s="70"/>
      <c r="AG257" s="70"/>
      <c r="AH257" s="70"/>
      <c r="AI257" s="70"/>
      <c r="AJ257" s="70"/>
      <c r="AK257" s="70"/>
      <c r="AL257" s="70"/>
      <c r="AM257" s="70"/>
      <c r="AN257" s="70"/>
      <c r="AO257" s="70"/>
      <c r="AP257" s="70"/>
      <c r="AQ257" s="70"/>
      <c r="AR257" s="70"/>
      <c r="AS257" s="70"/>
      <c r="AT257" s="70"/>
      <c r="AU257" s="70"/>
      <c r="AV257" s="70"/>
      <c r="AW257" s="70"/>
      <c r="AX257" s="70"/>
      <c r="AY257" s="70"/>
      <c r="AZ257" s="70"/>
      <c r="BA257" s="70"/>
      <c r="BB257" s="70"/>
      <c r="BC257" s="70"/>
      <c r="BD257" s="70"/>
      <c r="BE257" s="70"/>
      <c r="BF257" s="70"/>
      <c r="BG257" s="70"/>
      <c r="BH257" s="70"/>
      <c r="BI257" s="70"/>
      <c r="BJ257" s="70"/>
      <c r="BK257" s="70"/>
      <c r="BL257" s="70"/>
      <c r="BM257" s="70"/>
      <c r="BN257" s="70"/>
      <c r="BO257" s="70"/>
      <c r="BP257" s="70"/>
      <c r="BQ257" s="70"/>
      <c r="BR257" s="70"/>
      <c r="BS257" s="70"/>
      <c r="BT257" s="70"/>
      <c r="BU257" s="70"/>
      <c r="BV257" s="70"/>
      <c r="BW257" s="70"/>
      <c r="BX257" s="70"/>
      <c r="BY257" s="70"/>
      <c r="BZ257" s="70"/>
      <c r="CA257" s="70"/>
      <c r="CB257" s="70"/>
      <c r="CC257" s="70"/>
      <c r="CD257" s="70"/>
      <c r="CE257" s="70"/>
      <c r="CF257" s="70"/>
      <c r="CG257" s="70"/>
      <c r="CH257" s="70"/>
      <c r="CI257" s="70"/>
      <c r="CJ257" s="70"/>
      <c r="CK257" s="70"/>
      <c r="CL257" s="70"/>
      <c r="CM257" s="70"/>
      <c r="CN257" s="70"/>
      <c r="CO257" s="70"/>
      <c r="CP257" s="70"/>
      <c r="CQ257" s="70"/>
      <c r="CR257" s="70"/>
      <c r="CS257" s="70"/>
      <c r="CT257" s="70"/>
      <c r="CU257" s="70"/>
      <c r="CV257" s="70"/>
      <c r="CW257" s="70"/>
      <c r="CX257" s="70"/>
      <c r="CY257" s="70"/>
      <c r="CZ257" s="70"/>
      <c r="DA257" s="70"/>
      <c r="DB257" s="70"/>
      <c r="DC257" s="70"/>
      <c r="DD257" s="70"/>
      <c r="DE257" s="70"/>
      <c r="DF257" s="70"/>
      <c r="DG257" s="70"/>
      <c r="DH257" s="70"/>
      <c r="DI257" s="70"/>
      <c r="DJ257" s="70"/>
      <c r="DK257" s="70"/>
      <c r="DL257" s="70"/>
      <c r="DM257" s="70"/>
      <c r="DN257" s="70"/>
      <c r="DO257" s="70"/>
      <c r="DP257" s="70"/>
      <c r="DQ257" s="70"/>
      <c r="DR257" s="70"/>
      <c r="DS257" s="70"/>
      <c r="DT257" s="70"/>
      <c r="DU257" s="70"/>
      <c r="DV257" s="70"/>
      <c r="DW257" s="70"/>
      <c r="DX257" s="70"/>
      <c r="DY257" s="70"/>
      <c r="DZ257" s="70"/>
      <c r="EA257" s="70"/>
      <c r="EB257" s="70"/>
      <c r="EC257" s="70"/>
      <c r="EE257" s="95" t="s">
        <v>450</v>
      </c>
      <c r="EF257" s="652"/>
      <c r="EG257" s="652"/>
      <c r="EH257" s="652"/>
      <c r="EI257" s="216"/>
      <c r="EJ257" s="663"/>
      <c r="EK257" s="663"/>
      <c r="EL257" s="663"/>
      <c r="EM257" s="663"/>
      <c r="EN257" s="663"/>
      <c r="EO257" s="663"/>
      <c r="EP257" s="663"/>
      <c r="EQ257" s="663"/>
      <c r="ER257" s="663"/>
      <c r="ES257" s="663"/>
      <c r="ET257" s="663"/>
      <c r="EU257" s="663"/>
      <c r="EV257" s="663"/>
      <c r="EW257" s="663"/>
      <c r="EX257" s="663"/>
      <c r="EY257" s="663"/>
      <c r="EZ257" s="663"/>
      <c r="FA257" s="663"/>
      <c r="FB257" s="663"/>
      <c r="FC257" s="663"/>
      <c r="FD257" s="663"/>
      <c r="FE257" s="663"/>
      <c r="FF257" s="663"/>
      <c r="FG257" s="663"/>
      <c r="FH257" s="663"/>
      <c r="FI257" s="663"/>
      <c r="FJ257" s="663"/>
      <c r="FK257" s="663"/>
      <c r="FL257" s="663"/>
      <c r="FM257" s="663"/>
      <c r="FN257" s="663"/>
      <c r="FO257" s="663"/>
      <c r="FP257" s="663"/>
      <c r="FQ257" s="663"/>
      <c r="FR257" s="663"/>
      <c r="FS257" s="663"/>
      <c r="FT257" s="663"/>
      <c r="FU257" s="663"/>
      <c r="FV257" s="663"/>
      <c r="FW257" s="663"/>
      <c r="FX257" s="663"/>
      <c r="FY257" s="663"/>
      <c r="FZ257" s="663"/>
      <c r="GA257" s="663"/>
      <c r="GB257" s="663"/>
      <c r="GC257" s="663"/>
      <c r="GD257" s="663"/>
      <c r="GE257" s="663"/>
      <c r="GF257" s="663"/>
      <c r="GG257" s="663"/>
      <c r="GH257" s="663"/>
      <c r="GI257" s="663"/>
      <c r="GJ257" s="663"/>
      <c r="GK257" s="663"/>
      <c r="GL257" s="663"/>
      <c r="GM257" s="663"/>
      <c r="GN257" s="663"/>
      <c r="GO257" s="663"/>
      <c r="GP257" s="663"/>
      <c r="GQ257" s="663"/>
      <c r="GR257" s="663"/>
      <c r="GS257" s="663"/>
      <c r="GT257" s="663"/>
      <c r="GU257" s="663"/>
      <c r="GV257" s="663"/>
      <c r="GW257" s="663"/>
      <c r="GX257" s="663"/>
      <c r="GY257" s="663"/>
      <c r="GZ257" s="663"/>
      <c r="HA257" s="663"/>
      <c r="HB257" s="663"/>
      <c r="HC257" s="663"/>
      <c r="HD257" s="663"/>
      <c r="HE257" s="663"/>
      <c r="HF257" s="663"/>
      <c r="HG257" s="663"/>
      <c r="HH257" s="663"/>
      <c r="HI257" s="663"/>
      <c r="HJ257" s="663"/>
      <c r="HK257" s="663"/>
      <c r="HL257" s="663"/>
      <c r="HM257" s="663"/>
      <c r="HN257" s="663"/>
      <c r="HO257" s="663"/>
      <c r="HP257" s="663"/>
      <c r="HQ257" s="663"/>
      <c r="HR257" s="663"/>
      <c r="HS257" s="663"/>
      <c r="HT257" s="663"/>
      <c r="HU257" s="663"/>
      <c r="HV257" s="663"/>
      <c r="HW257" s="663"/>
      <c r="HX257" s="663"/>
      <c r="HY257" s="663"/>
      <c r="HZ257" s="663"/>
      <c r="IA257" s="663"/>
      <c r="IB257" s="663"/>
      <c r="IC257" s="663"/>
      <c r="ID257" s="663"/>
      <c r="IE257" s="663"/>
      <c r="IF257" s="663"/>
      <c r="IG257" s="663"/>
      <c r="IH257" s="663"/>
      <c r="II257" s="663"/>
      <c r="IJ257" s="663"/>
      <c r="IK257" s="663"/>
      <c r="IL257" s="663"/>
      <c r="IM257" s="663"/>
      <c r="IN257" s="663"/>
      <c r="IO257" s="663"/>
      <c r="IP257" s="663"/>
      <c r="IQ257" s="70"/>
    </row>
    <row r="258" spans="1:251" ht="16.5" hidden="1" customHeight="1">
      <c r="A258" s="95"/>
      <c r="J258" s="214"/>
      <c r="R258" s="95"/>
      <c r="S258" s="95"/>
      <c r="T258" s="95"/>
      <c r="U258" s="70"/>
      <c r="V258" s="214"/>
      <c r="W258" s="70"/>
      <c r="X258" s="70"/>
      <c r="Y258" s="70"/>
      <c r="Z258" s="70"/>
      <c r="AA258" s="70"/>
      <c r="AB258" s="70"/>
      <c r="AC258" s="70"/>
      <c r="AD258" s="70"/>
      <c r="AE258" s="70"/>
      <c r="AF258" s="70"/>
      <c r="AG258" s="70"/>
      <c r="AH258" s="70"/>
      <c r="AI258" s="70"/>
      <c r="AJ258" s="70"/>
      <c r="AK258" s="70"/>
      <c r="AL258" s="70"/>
      <c r="AM258" s="70"/>
      <c r="AN258" s="70"/>
      <c r="AO258" s="70"/>
      <c r="AP258" s="70"/>
      <c r="AQ258" s="70"/>
      <c r="AR258" s="70"/>
      <c r="AS258" s="70"/>
      <c r="AT258" s="70"/>
      <c r="AU258" s="70"/>
      <c r="AV258" s="70"/>
      <c r="AW258" s="70"/>
      <c r="AX258" s="70"/>
      <c r="AY258" s="70"/>
      <c r="AZ258" s="70"/>
      <c r="BA258" s="70"/>
      <c r="BB258" s="70"/>
      <c r="BC258" s="70"/>
      <c r="BD258" s="70"/>
      <c r="BE258" s="70"/>
      <c r="BF258" s="70"/>
      <c r="BG258" s="70"/>
      <c r="BH258" s="70"/>
      <c r="BI258" s="70"/>
      <c r="BJ258" s="70"/>
      <c r="BK258" s="70"/>
      <c r="BL258" s="70"/>
      <c r="BM258" s="70"/>
      <c r="BN258" s="70"/>
      <c r="BO258" s="70"/>
      <c r="BP258" s="70"/>
      <c r="BQ258" s="70"/>
      <c r="BR258" s="70"/>
      <c r="BS258" s="70"/>
      <c r="BT258" s="70"/>
      <c r="BU258" s="70"/>
      <c r="BV258" s="70"/>
      <c r="BW258" s="70"/>
      <c r="BX258" s="70"/>
      <c r="BY258" s="70"/>
      <c r="BZ258" s="70"/>
      <c r="CA258" s="70"/>
      <c r="CB258" s="70"/>
      <c r="CC258" s="70"/>
      <c r="CD258" s="70"/>
      <c r="CE258" s="70"/>
      <c r="CF258" s="70"/>
      <c r="CG258" s="70"/>
      <c r="CH258" s="70"/>
      <c r="CI258" s="70"/>
      <c r="CJ258" s="70"/>
      <c r="CK258" s="70"/>
      <c r="CL258" s="70"/>
      <c r="CM258" s="70"/>
      <c r="CN258" s="70"/>
      <c r="CO258" s="70"/>
      <c r="CP258" s="70"/>
      <c r="CQ258" s="70"/>
      <c r="CR258" s="70"/>
      <c r="CS258" s="70"/>
      <c r="CT258" s="70"/>
      <c r="CU258" s="70"/>
      <c r="CV258" s="70"/>
      <c r="CW258" s="70"/>
      <c r="CX258" s="70"/>
      <c r="CY258" s="70"/>
      <c r="CZ258" s="70"/>
      <c r="DA258" s="70"/>
      <c r="DB258" s="70"/>
      <c r="DC258" s="70"/>
      <c r="DD258" s="70"/>
      <c r="DE258" s="70"/>
      <c r="DF258" s="70"/>
      <c r="DG258" s="70"/>
      <c r="DH258" s="70"/>
      <c r="DI258" s="70"/>
      <c r="DJ258" s="70"/>
      <c r="DK258" s="70"/>
      <c r="DL258" s="70"/>
      <c r="DM258" s="70"/>
      <c r="DN258" s="70"/>
      <c r="DO258" s="70"/>
      <c r="DP258" s="70"/>
      <c r="DQ258" s="70"/>
      <c r="DR258" s="70"/>
      <c r="DS258" s="70"/>
      <c r="DT258" s="70"/>
      <c r="DU258" s="70"/>
      <c r="DV258" s="70"/>
      <c r="DW258" s="70"/>
      <c r="DX258" s="70"/>
      <c r="DY258" s="70"/>
      <c r="DZ258" s="70"/>
      <c r="EA258" s="70"/>
      <c r="EB258" s="70"/>
      <c r="EC258" s="70"/>
      <c r="EE258" s="95" t="s">
        <v>450</v>
      </c>
      <c r="EF258" s="652"/>
      <c r="EG258" s="652"/>
      <c r="EH258" s="652"/>
      <c r="EI258" s="216"/>
      <c r="EJ258" s="663"/>
      <c r="EK258" s="663"/>
      <c r="EL258" s="663"/>
      <c r="EM258" s="663"/>
      <c r="EN258" s="663"/>
      <c r="EO258" s="663"/>
      <c r="EP258" s="663"/>
      <c r="EQ258" s="663"/>
      <c r="ER258" s="663"/>
      <c r="ES258" s="663"/>
      <c r="ET258" s="663"/>
      <c r="EU258" s="663"/>
      <c r="EV258" s="663"/>
      <c r="EW258" s="663"/>
      <c r="EX258" s="663"/>
      <c r="EY258" s="663"/>
      <c r="EZ258" s="663"/>
      <c r="FA258" s="663"/>
      <c r="FB258" s="663"/>
      <c r="FC258" s="663"/>
      <c r="FD258" s="663"/>
      <c r="FE258" s="663"/>
      <c r="FF258" s="663"/>
      <c r="FG258" s="663"/>
      <c r="FH258" s="663"/>
      <c r="FI258" s="663"/>
      <c r="FJ258" s="663"/>
      <c r="FK258" s="663"/>
      <c r="FL258" s="663"/>
      <c r="FM258" s="663"/>
      <c r="FN258" s="663"/>
      <c r="FO258" s="663"/>
      <c r="FP258" s="663"/>
      <c r="FQ258" s="663"/>
      <c r="FR258" s="663"/>
      <c r="FS258" s="663"/>
      <c r="FT258" s="663"/>
      <c r="FU258" s="663"/>
      <c r="FV258" s="663"/>
      <c r="FW258" s="663"/>
      <c r="FX258" s="663"/>
      <c r="FY258" s="663"/>
      <c r="FZ258" s="663"/>
      <c r="GA258" s="663"/>
      <c r="GB258" s="663"/>
      <c r="GC258" s="663"/>
      <c r="GD258" s="663"/>
      <c r="GE258" s="663"/>
      <c r="GF258" s="663"/>
      <c r="GG258" s="663"/>
      <c r="GH258" s="663"/>
      <c r="GI258" s="663"/>
      <c r="GJ258" s="663"/>
      <c r="GK258" s="663"/>
      <c r="GL258" s="663"/>
      <c r="GM258" s="663"/>
      <c r="GN258" s="663"/>
      <c r="GO258" s="663"/>
      <c r="GP258" s="663"/>
      <c r="GQ258" s="663"/>
      <c r="GR258" s="663"/>
      <c r="GS258" s="663"/>
      <c r="GT258" s="663"/>
      <c r="GU258" s="663"/>
      <c r="GV258" s="663"/>
      <c r="GW258" s="663"/>
      <c r="GX258" s="663"/>
      <c r="GY258" s="663"/>
      <c r="GZ258" s="663"/>
      <c r="HA258" s="663"/>
      <c r="HB258" s="663"/>
      <c r="HC258" s="663"/>
      <c r="HD258" s="663"/>
      <c r="HE258" s="663"/>
      <c r="HF258" s="663"/>
      <c r="HG258" s="663"/>
      <c r="HH258" s="663"/>
      <c r="HI258" s="663"/>
      <c r="HJ258" s="663"/>
      <c r="HK258" s="663"/>
      <c r="HL258" s="663"/>
      <c r="HM258" s="663"/>
      <c r="HN258" s="663"/>
      <c r="HO258" s="663"/>
      <c r="HP258" s="663"/>
      <c r="HQ258" s="663"/>
      <c r="HR258" s="663"/>
      <c r="HS258" s="663"/>
      <c r="HT258" s="663"/>
      <c r="HU258" s="663"/>
      <c r="HV258" s="663"/>
      <c r="HW258" s="663"/>
      <c r="HX258" s="663"/>
      <c r="HY258" s="663"/>
      <c r="HZ258" s="663"/>
      <c r="IA258" s="663"/>
      <c r="IB258" s="663"/>
      <c r="IC258" s="663"/>
      <c r="ID258" s="663"/>
      <c r="IE258" s="663"/>
      <c r="IF258" s="663"/>
      <c r="IG258" s="663"/>
      <c r="IH258" s="663"/>
      <c r="II258" s="663"/>
      <c r="IJ258" s="663"/>
      <c r="IK258" s="663"/>
      <c r="IL258" s="663"/>
      <c r="IM258" s="663"/>
      <c r="IN258" s="663"/>
      <c r="IO258" s="663"/>
      <c r="IP258" s="663"/>
      <c r="IQ258" s="70"/>
    </row>
    <row r="259" spans="1:251" ht="16.5" hidden="1" customHeight="1">
      <c r="J259" s="214"/>
      <c r="R259" s="95"/>
      <c r="S259" s="95"/>
      <c r="T259" s="95"/>
      <c r="U259" s="70"/>
      <c r="V259" s="214"/>
      <c r="W259" s="70"/>
      <c r="X259" s="70"/>
      <c r="Y259" s="70"/>
      <c r="Z259" s="70"/>
      <c r="AA259" s="70"/>
      <c r="AB259" s="70"/>
      <c r="AC259" s="70"/>
      <c r="AD259" s="70"/>
      <c r="AE259" s="70"/>
      <c r="AF259" s="70"/>
      <c r="AG259" s="70"/>
      <c r="AH259" s="70"/>
      <c r="AI259" s="70"/>
      <c r="AJ259" s="70"/>
      <c r="AK259" s="70"/>
      <c r="AL259" s="70"/>
      <c r="AM259" s="70"/>
      <c r="AN259" s="70"/>
      <c r="AO259" s="70"/>
      <c r="AP259" s="70"/>
      <c r="AQ259" s="70"/>
      <c r="AR259" s="70"/>
      <c r="AS259" s="70"/>
      <c r="AT259" s="70"/>
      <c r="AU259" s="70"/>
      <c r="AV259" s="70"/>
      <c r="AW259" s="70"/>
      <c r="AX259" s="70"/>
      <c r="AY259" s="70"/>
      <c r="AZ259" s="70"/>
      <c r="BA259" s="70"/>
      <c r="BB259" s="70"/>
      <c r="BC259" s="70"/>
      <c r="BD259" s="70"/>
      <c r="BE259" s="70"/>
      <c r="BF259" s="70"/>
      <c r="BG259" s="70"/>
      <c r="BH259" s="70"/>
      <c r="BI259" s="70"/>
      <c r="BJ259" s="70"/>
      <c r="BK259" s="70"/>
      <c r="BL259" s="70"/>
      <c r="BM259" s="70"/>
      <c r="BN259" s="70"/>
      <c r="BO259" s="70"/>
      <c r="BP259" s="70"/>
      <c r="BQ259" s="70"/>
      <c r="BR259" s="70"/>
      <c r="BS259" s="70"/>
      <c r="BT259" s="70"/>
      <c r="BU259" s="70"/>
      <c r="BV259" s="70"/>
      <c r="BW259" s="70"/>
      <c r="BX259" s="70"/>
      <c r="BY259" s="70"/>
      <c r="BZ259" s="70"/>
      <c r="CA259" s="70"/>
      <c r="CB259" s="70"/>
      <c r="CC259" s="70"/>
      <c r="CD259" s="70"/>
      <c r="CE259" s="70"/>
      <c r="CF259" s="70"/>
      <c r="CG259" s="70"/>
      <c r="CH259" s="70"/>
      <c r="CI259" s="70"/>
      <c r="CJ259" s="70"/>
      <c r="CK259" s="70"/>
      <c r="CL259" s="70"/>
      <c r="CM259" s="70"/>
      <c r="CN259" s="70"/>
      <c r="CO259" s="70"/>
      <c r="CP259" s="70"/>
      <c r="CQ259" s="70"/>
      <c r="CR259" s="70"/>
      <c r="CS259" s="70"/>
      <c r="CT259" s="70"/>
      <c r="CU259" s="70"/>
      <c r="CV259" s="70"/>
      <c r="CW259" s="70"/>
      <c r="CX259" s="70"/>
      <c r="CY259" s="70"/>
      <c r="CZ259" s="70"/>
      <c r="DA259" s="70"/>
      <c r="DB259" s="70"/>
      <c r="DC259" s="70"/>
      <c r="DD259" s="70"/>
      <c r="DE259" s="70"/>
      <c r="DF259" s="70"/>
      <c r="DG259" s="70"/>
      <c r="DH259" s="70"/>
      <c r="DI259" s="70"/>
      <c r="DJ259" s="70"/>
      <c r="DK259" s="70"/>
      <c r="DL259" s="70"/>
      <c r="DM259" s="70"/>
      <c r="DN259" s="70"/>
      <c r="DO259" s="70"/>
      <c r="DP259" s="70"/>
      <c r="DQ259" s="70"/>
      <c r="DR259" s="70"/>
      <c r="DS259" s="70"/>
      <c r="DT259" s="70"/>
      <c r="DU259" s="70"/>
      <c r="DV259" s="70"/>
      <c r="DW259" s="70"/>
      <c r="DX259" s="70"/>
      <c r="DY259" s="70"/>
      <c r="DZ259" s="70"/>
      <c r="EA259" s="70"/>
      <c r="EB259" s="70"/>
      <c r="EC259" s="70"/>
      <c r="EE259" s="95" t="s">
        <v>450</v>
      </c>
      <c r="EF259" s="652"/>
      <c r="EG259" s="652"/>
      <c r="EH259" s="652"/>
      <c r="EI259" s="216"/>
      <c r="EJ259" s="663"/>
      <c r="EK259" s="663"/>
      <c r="EL259" s="663"/>
      <c r="EM259" s="663"/>
      <c r="EN259" s="663"/>
      <c r="EO259" s="663"/>
      <c r="EP259" s="663"/>
      <c r="EQ259" s="663"/>
      <c r="ER259" s="663"/>
      <c r="ES259" s="663"/>
      <c r="ET259" s="663"/>
      <c r="EU259" s="663"/>
      <c r="EV259" s="663"/>
      <c r="EW259" s="663"/>
      <c r="EX259" s="663"/>
      <c r="EY259" s="663"/>
      <c r="EZ259" s="663"/>
      <c r="FA259" s="663"/>
      <c r="FB259" s="663"/>
      <c r="FC259" s="663"/>
      <c r="FD259" s="663"/>
      <c r="FE259" s="663"/>
      <c r="FF259" s="663"/>
      <c r="FG259" s="663"/>
      <c r="FH259" s="663"/>
      <c r="FI259" s="663"/>
      <c r="FJ259" s="663"/>
      <c r="FK259" s="663"/>
      <c r="FL259" s="663"/>
      <c r="FM259" s="663"/>
      <c r="FN259" s="663"/>
      <c r="FO259" s="663"/>
      <c r="FP259" s="663"/>
      <c r="FQ259" s="663"/>
      <c r="FR259" s="663"/>
      <c r="FS259" s="663"/>
      <c r="FT259" s="663"/>
      <c r="FU259" s="663"/>
      <c r="FV259" s="663"/>
      <c r="FW259" s="663"/>
      <c r="FX259" s="663"/>
      <c r="FY259" s="663"/>
      <c r="FZ259" s="663"/>
      <c r="GA259" s="663"/>
      <c r="GB259" s="663"/>
      <c r="GC259" s="663"/>
      <c r="GD259" s="663"/>
      <c r="GE259" s="663"/>
      <c r="GF259" s="663"/>
      <c r="GG259" s="663"/>
      <c r="GH259" s="663"/>
      <c r="GI259" s="663"/>
      <c r="GJ259" s="663"/>
      <c r="GK259" s="663"/>
      <c r="GL259" s="663"/>
      <c r="GM259" s="663"/>
      <c r="GN259" s="663"/>
      <c r="GO259" s="663"/>
      <c r="GP259" s="663"/>
      <c r="GQ259" s="663"/>
      <c r="GR259" s="663"/>
      <c r="GS259" s="663"/>
      <c r="GT259" s="663"/>
      <c r="GU259" s="663"/>
      <c r="GV259" s="663"/>
      <c r="GW259" s="663"/>
      <c r="GX259" s="663"/>
      <c r="GY259" s="663"/>
      <c r="GZ259" s="663"/>
      <c r="HA259" s="663"/>
      <c r="HB259" s="663"/>
      <c r="HC259" s="663"/>
      <c r="HD259" s="663"/>
      <c r="HE259" s="663"/>
      <c r="HF259" s="663"/>
      <c r="HG259" s="663"/>
      <c r="HH259" s="663"/>
      <c r="HI259" s="663"/>
      <c r="HJ259" s="663"/>
      <c r="HK259" s="663"/>
      <c r="HL259" s="663"/>
      <c r="HM259" s="663"/>
      <c r="HN259" s="663"/>
      <c r="HO259" s="663"/>
      <c r="HP259" s="663"/>
      <c r="HQ259" s="663"/>
      <c r="HR259" s="663"/>
      <c r="HS259" s="663"/>
      <c r="HT259" s="663"/>
      <c r="HU259" s="663"/>
      <c r="HV259" s="663"/>
      <c r="HW259" s="663"/>
      <c r="HX259" s="663"/>
      <c r="HY259" s="663"/>
      <c r="HZ259" s="663"/>
      <c r="IA259" s="663"/>
      <c r="IB259" s="663"/>
      <c r="IC259" s="663"/>
      <c r="ID259" s="663"/>
      <c r="IE259" s="663"/>
      <c r="IF259" s="663"/>
      <c r="IG259" s="663"/>
      <c r="IH259" s="663"/>
      <c r="II259" s="663"/>
      <c r="IJ259" s="663"/>
      <c r="IK259" s="663"/>
      <c r="IL259" s="663"/>
      <c r="IM259" s="663"/>
      <c r="IN259" s="663"/>
      <c r="IO259" s="663"/>
      <c r="IP259" s="663"/>
      <c r="IQ259" s="70"/>
    </row>
    <row r="260" spans="1:251" ht="16.5" hidden="1" customHeight="1">
      <c r="J260" s="214"/>
      <c r="R260" s="95"/>
      <c r="S260" s="95"/>
      <c r="T260" s="95"/>
      <c r="U260" s="70"/>
      <c r="V260" s="214"/>
      <c r="W260" s="70"/>
      <c r="X260" s="70"/>
      <c r="Y260" s="70"/>
      <c r="Z260" s="70"/>
      <c r="AA260" s="70"/>
      <c r="AB260" s="70"/>
      <c r="AC260" s="70"/>
      <c r="AD260" s="70"/>
      <c r="AE260" s="70"/>
      <c r="AF260" s="70"/>
      <c r="AG260" s="70"/>
      <c r="AH260" s="70"/>
      <c r="AI260" s="70"/>
      <c r="AJ260" s="70"/>
      <c r="AK260" s="70"/>
      <c r="AL260" s="70"/>
      <c r="AM260" s="70"/>
      <c r="AN260" s="70"/>
      <c r="AO260" s="70"/>
      <c r="AP260" s="70"/>
      <c r="AQ260" s="70"/>
      <c r="AR260" s="70"/>
      <c r="AS260" s="70"/>
      <c r="AT260" s="70"/>
      <c r="AU260" s="70"/>
      <c r="AV260" s="70"/>
      <c r="AW260" s="70"/>
      <c r="AX260" s="70"/>
      <c r="AY260" s="70"/>
      <c r="AZ260" s="70"/>
      <c r="BA260" s="70"/>
      <c r="BB260" s="70"/>
      <c r="BC260" s="70"/>
      <c r="BD260" s="70"/>
      <c r="BE260" s="70"/>
      <c r="BF260" s="70"/>
      <c r="BG260" s="70"/>
      <c r="BH260" s="70"/>
      <c r="BI260" s="70"/>
      <c r="BJ260" s="70"/>
      <c r="BK260" s="70"/>
      <c r="BL260" s="70"/>
      <c r="BM260" s="70"/>
      <c r="BN260" s="70"/>
      <c r="BO260" s="70"/>
      <c r="BP260" s="70"/>
      <c r="BQ260" s="70"/>
      <c r="BR260" s="70"/>
      <c r="BS260" s="70"/>
      <c r="BT260" s="70"/>
      <c r="BU260" s="70"/>
      <c r="BV260" s="70"/>
      <c r="BW260" s="70"/>
      <c r="BX260" s="70"/>
      <c r="BY260" s="70"/>
      <c r="BZ260" s="70"/>
      <c r="CA260" s="70"/>
      <c r="CB260" s="70"/>
      <c r="CC260" s="70"/>
      <c r="CD260" s="70"/>
      <c r="CE260" s="70"/>
      <c r="CF260" s="70"/>
      <c r="CG260" s="70"/>
      <c r="CH260" s="70"/>
      <c r="CI260" s="70"/>
      <c r="CJ260" s="70"/>
      <c r="CK260" s="70"/>
      <c r="CL260" s="70"/>
      <c r="CM260" s="70"/>
      <c r="CN260" s="70"/>
      <c r="CO260" s="70"/>
      <c r="CP260" s="70"/>
      <c r="CQ260" s="70"/>
      <c r="CR260" s="70"/>
      <c r="CS260" s="70"/>
      <c r="CT260" s="70"/>
      <c r="CU260" s="70"/>
      <c r="CV260" s="70"/>
      <c r="CW260" s="70"/>
      <c r="CX260" s="70"/>
      <c r="CY260" s="70"/>
      <c r="CZ260" s="70"/>
      <c r="DA260" s="70"/>
      <c r="DB260" s="70"/>
      <c r="DC260" s="70"/>
      <c r="DD260" s="70"/>
      <c r="DE260" s="70"/>
      <c r="DF260" s="70"/>
      <c r="DG260" s="70"/>
      <c r="DH260" s="70"/>
      <c r="DI260" s="70"/>
      <c r="DJ260" s="70"/>
      <c r="DK260" s="70"/>
      <c r="DL260" s="70"/>
      <c r="DM260" s="70"/>
      <c r="DN260" s="70"/>
      <c r="DO260" s="70"/>
      <c r="DP260" s="70"/>
      <c r="DQ260" s="70"/>
      <c r="DR260" s="70"/>
      <c r="DS260" s="70"/>
      <c r="DT260" s="70"/>
      <c r="DU260" s="70"/>
      <c r="DV260" s="70"/>
      <c r="DW260" s="70"/>
      <c r="DX260" s="70"/>
      <c r="DY260" s="70"/>
      <c r="DZ260" s="70"/>
      <c r="EA260" s="70"/>
      <c r="EB260" s="70"/>
      <c r="EC260" s="70"/>
      <c r="EE260" s="95" t="s">
        <v>450</v>
      </c>
      <c r="EF260" s="652"/>
      <c r="EG260" s="652"/>
      <c r="EH260" s="652"/>
      <c r="EI260" s="216"/>
      <c r="EJ260" s="663"/>
      <c r="EK260" s="663"/>
      <c r="EL260" s="663"/>
      <c r="EM260" s="663"/>
      <c r="EN260" s="663"/>
      <c r="EO260" s="663"/>
      <c r="EP260" s="663"/>
      <c r="EQ260" s="663"/>
      <c r="ER260" s="663"/>
      <c r="ES260" s="663"/>
      <c r="ET260" s="663"/>
      <c r="EU260" s="663"/>
      <c r="EV260" s="663"/>
      <c r="EW260" s="663"/>
      <c r="EX260" s="663"/>
      <c r="EY260" s="663"/>
      <c r="EZ260" s="663"/>
      <c r="FA260" s="663"/>
      <c r="FB260" s="663"/>
      <c r="FC260" s="663"/>
      <c r="FD260" s="663"/>
      <c r="FE260" s="663"/>
      <c r="FF260" s="663"/>
      <c r="FG260" s="663"/>
      <c r="FH260" s="663"/>
      <c r="FI260" s="663"/>
      <c r="FJ260" s="663"/>
      <c r="FK260" s="663"/>
      <c r="FL260" s="663"/>
      <c r="FM260" s="663"/>
      <c r="FN260" s="663"/>
      <c r="FO260" s="663"/>
      <c r="FP260" s="663"/>
      <c r="FQ260" s="663"/>
      <c r="FR260" s="663"/>
      <c r="FS260" s="663"/>
      <c r="FT260" s="663"/>
      <c r="FU260" s="663"/>
      <c r="FV260" s="663"/>
      <c r="FW260" s="663"/>
      <c r="FX260" s="663"/>
      <c r="FY260" s="663"/>
      <c r="FZ260" s="663"/>
      <c r="GA260" s="663"/>
      <c r="GB260" s="663"/>
      <c r="GC260" s="663"/>
      <c r="GD260" s="663"/>
      <c r="GE260" s="663"/>
      <c r="GF260" s="663"/>
      <c r="GG260" s="663"/>
      <c r="GH260" s="663"/>
      <c r="GI260" s="663"/>
      <c r="GJ260" s="663"/>
      <c r="GK260" s="663"/>
      <c r="GL260" s="663"/>
      <c r="GM260" s="663"/>
      <c r="GN260" s="663"/>
      <c r="GO260" s="663"/>
      <c r="GP260" s="663"/>
      <c r="GQ260" s="663"/>
      <c r="GR260" s="663"/>
      <c r="GS260" s="663"/>
      <c r="GT260" s="663"/>
      <c r="GU260" s="663"/>
      <c r="GV260" s="663"/>
      <c r="GW260" s="663"/>
      <c r="GX260" s="663"/>
      <c r="GY260" s="663"/>
      <c r="GZ260" s="663"/>
      <c r="HA260" s="663"/>
      <c r="HB260" s="663"/>
      <c r="HC260" s="663"/>
      <c r="HD260" s="663"/>
      <c r="HE260" s="663"/>
      <c r="HF260" s="663"/>
      <c r="HG260" s="663"/>
      <c r="HH260" s="663"/>
      <c r="HI260" s="663"/>
      <c r="HJ260" s="663"/>
      <c r="HK260" s="663"/>
      <c r="HL260" s="663"/>
      <c r="HM260" s="663"/>
      <c r="HN260" s="663"/>
      <c r="HO260" s="663"/>
      <c r="HP260" s="663"/>
      <c r="HQ260" s="663"/>
      <c r="HR260" s="663"/>
      <c r="HS260" s="663"/>
      <c r="HT260" s="663"/>
      <c r="HU260" s="663"/>
      <c r="HV260" s="663"/>
      <c r="HW260" s="663"/>
      <c r="HX260" s="663"/>
      <c r="HY260" s="663"/>
      <c r="HZ260" s="663"/>
      <c r="IA260" s="663"/>
      <c r="IB260" s="663"/>
      <c r="IC260" s="663"/>
      <c r="ID260" s="663"/>
      <c r="IE260" s="663"/>
      <c r="IF260" s="663"/>
      <c r="IG260" s="663"/>
      <c r="IH260" s="663"/>
      <c r="II260" s="663"/>
      <c r="IJ260" s="663"/>
      <c r="IK260" s="663"/>
      <c r="IL260" s="663"/>
      <c r="IM260" s="663"/>
      <c r="IN260" s="663"/>
      <c r="IO260" s="663"/>
      <c r="IP260" s="663"/>
      <c r="IQ260" s="70"/>
    </row>
    <row r="261" spans="1:251" ht="16.5" hidden="1" customHeight="1">
      <c r="J261" s="214"/>
      <c r="R261" s="95"/>
      <c r="S261" s="95"/>
      <c r="T261" s="95"/>
      <c r="U261" s="70"/>
      <c r="V261" s="214"/>
      <c r="W261" s="70"/>
      <c r="X261" s="70"/>
      <c r="Y261" s="70"/>
      <c r="Z261" s="70"/>
      <c r="AA261" s="70"/>
      <c r="AB261" s="70"/>
      <c r="AC261" s="70"/>
      <c r="AD261" s="70"/>
      <c r="AE261" s="70"/>
      <c r="AF261" s="70"/>
      <c r="AG261" s="70"/>
      <c r="AH261" s="70"/>
      <c r="AI261" s="70"/>
      <c r="AJ261" s="70"/>
      <c r="AK261" s="70"/>
      <c r="AL261" s="70"/>
      <c r="AM261" s="70"/>
      <c r="AN261" s="70"/>
      <c r="AO261" s="70"/>
      <c r="AP261" s="70"/>
      <c r="AQ261" s="70"/>
      <c r="AR261" s="70"/>
      <c r="AS261" s="70"/>
      <c r="AT261" s="70"/>
      <c r="AU261" s="70"/>
      <c r="AV261" s="70"/>
      <c r="AW261" s="70"/>
      <c r="AX261" s="70"/>
      <c r="AY261" s="70"/>
      <c r="AZ261" s="70"/>
      <c r="BA261" s="70"/>
      <c r="BB261" s="70"/>
      <c r="BC261" s="70"/>
      <c r="BD261" s="70"/>
      <c r="BE261" s="70"/>
      <c r="BF261" s="70"/>
      <c r="BG261" s="70"/>
      <c r="BH261" s="70"/>
      <c r="BI261" s="70"/>
      <c r="BJ261" s="70"/>
      <c r="BK261" s="70"/>
      <c r="BL261" s="70"/>
      <c r="BM261" s="70"/>
      <c r="BN261" s="70"/>
      <c r="BO261" s="70"/>
      <c r="BP261" s="70"/>
      <c r="BQ261" s="70"/>
      <c r="BR261" s="70"/>
      <c r="BS261" s="70"/>
      <c r="BT261" s="70"/>
      <c r="BU261" s="70"/>
      <c r="BV261" s="70"/>
      <c r="BW261" s="70"/>
      <c r="BX261" s="70"/>
      <c r="BY261" s="70"/>
      <c r="BZ261" s="70"/>
      <c r="CA261" s="70"/>
      <c r="CB261" s="70"/>
      <c r="CC261" s="70"/>
      <c r="CD261" s="70"/>
      <c r="CE261" s="70"/>
      <c r="CF261" s="70"/>
      <c r="CG261" s="70"/>
      <c r="CH261" s="70"/>
      <c r="CI261" s="70"/>
      <c r="CJ261" s="70"/>
      <c r="CK261" s="70"/>
      <c r="CL261" s="70"/>
      <c r="CM261" s="70"/>
      <c r="CN261" s="70"/>
      <c r="CO261" s="70"/>
      <c r="CP261" s="70"/>
      <c r="CQ261" s="70"/>
      <c r="CR261" s="70"/>
      <c r="CS261" s="70"/>
      <c r="CT261" s="70"/>
      <c r="CU261" s="70"/>
      <c r="CV261" s="70"/>
      <c r="CW261" s="70"/>
      <c r="CX261" s="70"/>
      <c r="CY261" s="70"/>
      <c r="CZ261" s="70"/>
      <c r="DA261" s="70"/>
      <c r="DB261" s="70"/>
      <c r="DC261" s="70"/>
      <c r="DD261" s="70"/>
      <c r="DE261" s="70"/>
      <c r="DF261" s="70"/>
      <c r="DG261" s="70"/>
      <c r="DH261" s="70"/>
      <c r="DI261" s="70"/>
      <c r="DJ261" s="70"/>
      <c r="DK261" s="70"/>
      <c r="DL261" s="70"/>
      <c r="DM261" s="70"/>
      <c r="DN261" s="70"/>
      <c r="DO261" s="70"/>
      <c r="DP261" s="70"/>
      <c r="DQ261" s="70"/>
      <c r="DR261" s="70"/>
      <c r="DS261" s="70"/>
      <c r="DT261" s="70"/>
      <c r="DU261" s="70"/>
      <c r="DV261" s="70"/>
      <c r="DW261" s="70"/>
      <c r="DX261" s="70"/>
      <c r="DY261" s="70"/>
      <c r="DZ261" s="70"/>
      <c r="EA261" s="70"/>
      <c r="EB261" s="70"/>
      <c r="EC261" s="70"/>
      <c r="EE261" s="95" t="s">
        <v>450</v>
      </c>
      <c r="EF261" s="652"/>
      <c r="EG261" s="652"/>
      <c r="EH261" s="652"/>
      <c r="EI261" s="216"/>
      <c r="EJ261" s="663"/>
      <c r="EK261" s="663"/>
      <c r="EL261" s="663"/>
      <c r="EM261" s="663"/>
      <c r="EN261" s="663"/>
      <c r="EO261" s="663"/>
      <c r="EP261" s="663"/>
      <c r="EQ261" s="663"/>
      <c r="ER261" s="663"/>
      <c r="ES261" s="663"/>
      <c r="ET261" s="663"/>
      <c r="EU261" s="663"/>
      <c r="EV261" s="663"/>
      <c r="EW261" s="663"/>
      <c r="EX261" s="663"/>
      <c r="EY261" s="663"/>
      <c r="EZ261" s="663"/>
      <c r="FA261" s="663"/>
      <c r="FB261" s="663"/>
      <c r="FC261" s="663"/>
      <c r="FD261" s="663"/>
      <c r="FE261" s="663"/>
      <c r="FF261" s="663"/>
      <c r="FG261" s="663"/>
      <c r="FH261" s="663"/>
      <c r="FI261" s="663"/>
      <c r="FJ261" s="663"/>
      <c r="FK261" s="663"/>
      <c r="FL261" s="663"/>
      <c r="FM261" s="663"/>
      <c r="FN261" s="663"/>
      <c r="FO261" s="663"/>
      <c r="FP261" s="663"/>
      <c r="FQ261" s="663"/>
      <c r="FR261" s="663"/>
      <c r="FS261" s="663"/>
      <c r="FT261" s="663"/>
      <c r="FU261" s="663"/>
      <c r="FV261" s="663"/>
      <c r="FW261" s="663"/>
      <c r="FX261" s="663"/>
      <c r="FY261" s="663"/>
      <c r="FZ261" s="663"/>
      <c r="GA261" s="663"/>
      <c r="GB261" s="663"/>
      <c r="GC261" s="663"/>
      <c r="GD261" s="663"/>
      <c r="GE261" s="663"/>
      <c r="GF261" s="663"/>
      <c r="GG261" s="663"/>
      <c r="GH261" s="663"/>
      <c r="GI261" s="663"/>
      <c r="GJ261" s="663"/>
      <c r="GK261" s="663"/>
      <c r="GL261" s="663"/>
      <c r="GM261" s="663"/>
      <c r="GN261" s="663"/>
      <c r="GO261" s="663"/>
      <c r="GP261" s="663"/>
      <c r="GQ261" s="663"/>
      <c r="GR261" s="663"/>
      <c r="GS261" s="663"/>
      <c r="GT261" s="663"/>
      <c r="GU261" s="663"/>
      <c r="GV261" s="663"/>
      <c r="GW261" s="663"/>
      <c r="GX261" s="663"/>
      <c r="GY261" s="663"/>
      <c r="GZ261" s="663"/>
      <c r="HA261" s="663"/>
      <c r="HB261" s="663"/>
      <c r="HC261" s="663"/>
      <c r="HD261" s="663"/>
      <c r="HE261" s="663"/>
      <c r="HF261" s="663"/>
      <c r="HG261" s="663"/>
      <c r="HH261" s="663"/>
      <c r="HI261" s="663"/>
      <c r="HJ261" s="663"/>
      <c r="HK261" s="663"/>
      <c r="HL261" s="663"/>
      <c r="HM261" s="663"/>
      <c r="HN261" s="663"/>
      <c r="HO261" s="663"/>
      <c r="HP261" s="663"/>
      <c r="HQ261" s="663"/>
      <c r="HR261" s="663"/>
      <c r="HS261" s="663"/>
      <c r="HT261" s="663"/>
      <c r="HU261" s="663"/>
      <c r="HV261" s="663"/>
      <c r="HW261" s="663"/>
      <c r="HX261" s="663"/>
      <c r="HY261" s="663"/>
      <c r="HZ261" s="663"/>
      <c r="IA261" s="663"/>
      <c r="IB261" s="663"/>
      <c r="IC261" s="663"/>
      <c r="ID261" s="663"/>
      <c r="IE261" s="663"/>
      <c r="IF261" s="663"/>
      <c r="IG261" s="663"/>
      <c r="IH261" s="663"/>
      <c r="II261" s="663"/>
      <c r="IJ261" s="663"/>
      <c r="IK261" s="663"/>
      <c r="IL261" s="663"/>
      <c r="IM261" s="663"/>
      <c r="IN261" s="663"/>
      <c r="IO261" s="663"/>
      <c r="IP261" s="663"/>
      <c r="IQ261" s="70"/>
    </row>
    <row r="262" spans="1:251" ht="16.5" hidden="1" customHeight="1">
      <c r="J262" s="214"/>
      <c r="R262" s="95"/>
      <c r="S262" s="95"/>
      <c r="T262" s="95"/>
      <c r="U262" s="70"/>
      <c r="V262" s="214"/>
      <c r="W262" s="70"/>
      <c r="X262" s="70"/>
      <c r="Y262" s="70"/>
      <c r="Z262" s="70"/>
      <c r="AA262" s="70"/>
      <c r="AB262" s="70"/>
      <c r="AC262" s="70"/>
      <c r="AD262" s="70"/>
      <c r="AE262" s="70"/>
      <c r="AF262" s="70"/>
      <c r="AG262" s="70"/>
      <c r="AH262" s="70"/>
      <c r="AI262" s="70"/>
      <c r="AJ262" s="70"/>
      <c r="AK262" s="70"/>
      <c r="AL262" s="70"/>
      <c r="AM262" s="70"/>
      <c r="AN262" s="70"/>
      <c r="AO262" s="70"/>
      <c r="AP262" s="70"/>
      <c r="AQ262" s="70"/>
      <c r="AR262" s="70"/>
      <c r="AS262" s="70"/>
      <c r="AT262" s="70"/>
      <c r="AU262" s="70"/>
      <c r="AV262" s="70"/>
      <c r="AW262" s="70"/>
      <c r="AX262" s="70"/>
      <c r="AY262" s="70"/>
      <c r="AZ262" s="70"/>
      <c r="BA262" s="70"/>
      <c r="BB262" s="70"/>
      <c r="BC262" s="70"/>
      <c r="BD262" s="70"/>
      <c r="BE262" s="70"/>
      <c r="BF262" s="70"/>
      <c r="BG262" s="70"/>
      <c r="BH262" s="70"/>
      <c r="BI262" s="70"/>
      <c r="BJ262" s="70"/>
      <c r="BK262" s="70"/>
      <c r="BL262" s="70"/>
      <c r="BM262" s="70"/>
      <c r="BN262" s="70"/>
      <c r="BO262" s="70"/>
      <c r="BP262" s="70"/>
      <c r="BQ262" s="70"/>
      <c r="BR262" s="70"/>
      <c r="BS262" s="70"/>
      <c r="BT262" s="70"/>
      <c r="BU262" s="70"/>
      <c r="BV262" s="70"/>
      <c r="BW262" s="70"/>
      <c r="BX262" s="70"/>
      <c r="BY262" s="70"/>
      <c r="BZ262" s="70"/>
      <c r="CA262" s="70"/>
      <c r="CB262" s="70"/>
      <c r="CC262" s="70"/>
      <c r="CD262" s="70"/>
      <c r="CE262" s="70"/>
      <c r="CF262" s="70"/>
      <c r="CG262" s="70"/>
      <c r="CH262" s="70"/>
      <c r="CI262" s="70"/>
      <c r="CJ262" s="70"/>
      <c r="CK262" s="70"/>
      <c r="CL262" s="70"/>
      <c r="CM262" s="70"/>
      <c r="CN262" s="70"/>
      <c r="CO262" s="70"/>
      <c r="CP262" s="70"/>
      <c r="CQ262" s="70"/>
      <c r="CR262" s="70"/>
      <c r="CS262" s="70"/>
      <c r="CT262" s="70"/>
      <c r="CU262" s="70"/>
      <c r="CV262" s="70"/>
      <c r="CW262" s="70"/>
      <c r="CX262" s="70"/>
      <c r="CY262" s="70"/>
      <c r="CZ262" s="70"/>
      <c r="DA262" s="70"/>
      <c r="DB262" s="70"/>
      <c r="DC262" s="70"/>
      <c r="DD262" s="70"/>
      <c r="DE262" s="70"/>
      <c r="DF262" s="70"/>
      <c r="DG262" s="70"/>
      <c r="DH262" s="70"/>
      <c r="DI262" s="70"/>
      <c r="DJ262" s="70"/>
      <c r="DK262" s="70"/>
      <c r="DL262" s="70"/>
      <c r="DM262" s="70"/>
      <c r="DN262" s="70"/>
      <c r="DO262" s="70"/>
      <c r="DP262" s="70"/>
      <c r="DQ262" s="70"/>
      <c r="DR262" s="70"/>
      <c r="DS262" s="70"/>
      <c r="DT262" s="70"/>
      <c r="DU262" s="70"/>
      <c r="DV262" s="70"/>
      <c r="DW262" s="70"/>
      <c r="DX262" s="70"/>
      <c r="DY262" s="70"/>
      <c r="DZ262" s="70"/>
      <c r="EA262" s="70"/>
      <c r="EB262" s="70"/>
      <c r="EC262" s="70"/>
      <c r="EE262" s="95" t="s">
        <v>450</v>
      </c>
      <c r="EF262" s="652"/>
      <c r="EG262" s="652"/>
      <c r="EH262" s="652"/>
      <c r="EI262" s="216"/>
      <c r="EJ262" s="663"/>
      <c r="EK262" s="663"/>
      <c r="EL262" s="663"/>
      <c r="EM262" s="663"/>
      <c r="EN262" s="663"/>
      <c r="EO262" s="663"/>
      <c r="EP262" s="663"/>
      <c r="EQ262" s="663"/>
      <c r="ER262" s="663"/>
      <c r="ES262" s="663"/>
      <c r="ET262" s="663"/>
      <c r="EU262" s="663"/>
      <c r="EV262" s="663"/>
      <c r="EW262" s="663"/>
      <c r="EX262" s="663"/>
      <c r="EY262" s="663"/>
      <c r="EZ262" s="663"/>
      <c r="FA262" s="663"/>
      <c r="FB262" s="663"/>
      <c r="FC262" s="663"/>
      <c r="FD262" s="663"/>
      <c r="FE262" s="663"/>
      <c r="FF262" s="663"/>
      <c r="FG262" s="663"/>
      <c r="FH262" s="663"/>
      <c r="FI262" s="663"/>
      <c r="FJ262" s="663"/>
      <c r="FK262" s="663"/>
      <c r="FL262" s="663"/>
      <c r="FM262" s="663"/>
      <c r="FN262" s="663"/>
      <c r="FO262" s="663"/>
      <c r="FP262" s="663"/>
      <c r="FQ262" s="663"/>
      <c r="FR262" s="663"/>
      <c r="FS262" s="663"/>
      <c r="FT262" s="663"/>
      <c r="FU262" s="663"/>
      <c r="FV262" s="663"/>
      <c r="FW262" s="663"/>
      <c r="FX262" s="663"/>
      <c r="FY262" s="663"/>
      <c r="FZ262" s="663"/>
      <c r="GA262" s="663"/>
      <c r="GB262" s="663"/>
      <c r="GC262" s="663"/>
      <c r="GD262" s="663"/>
      <c r="GE262" s="663"/>
      <c r="GF262" s="663"/>
      <c r="GG262" s="663"/>
      <c r="GH262" s="663"/>
      <c r="GI262" s="663"/>
      <c r="GJ262" s="663"/>
      <c r="GK262" s="663"/>
      <c r="GL262" s="663"/>
      <c r="GM262" s="663"/>
      <c r="GN262" s="663"/>
      <c r="GO262" s="663"/>
      <c r="GP262" s="663"/>
      <c r="GQ262" s="663"/>
      <c r="GR262" s="663"/>
      <c r="GS262" s="663"/>
      <c r="GT262" s="663"/>
      <c r="GU262" s="663"/>
      <c r="GV262" s="663"/>
      <c r="GW262" s="663"/>
      <c r="GX262" s="663"/>
      <c r="GY262" s="663"/>
      <c r="GZ262" s="663"/>
      <c r="HA262" s="663"/>
      <c r="HB262" s="663"/>
      <c r="HC262" s="663"/>
      <c r="HD262" s="663"/>
      <c r="HE262" s="663"/>
      <c r="HF262" s="663"/>
      <c r="HG262" s="663"/>
      <c r="HH262" s="663"/>
      <c r="HI262" s="663"/>
      <c r="HJ262" s="663"/>
      <c r="HK262" s="663"/>
      <c r="HL262" s="663"/>
      <c r="HM262" s="663"/>
      <c r="HN262" s="663"/>
      <c r="HO262" s="663"/>
      <c r="HP262" s="663"/>
      <c r="HQ262" s="663"/>
      <c r="HR262" s="663"/>
      <c r="HS262" s="663"/>
      <c r="HT262" s="663"/>
      <c r="HU262" s="663"/>
      <c r="HV262" s="663"/>
      <c r="HW262" s="663"/>
      <c r="HX262" s="663"/>
      <c r="HY262" s="663"/>
      <c r="HZ262" s="663"/>
      <c r="IA262" s="663"/>
      <c r="IB262" s="663"/>
      <c r="IC262" s="663"/>
      <c r="ID262" s="663"/>
      <c r="IE262" s="663"/>
      <c r="IF262" s="663"/>
      <c r="IG262" s="663"/>
      <c r="IH262" s="663"/>
      <c r="II262" s="663"/>
      <c r="IJ262" s="663"/>
      <c r="IK262" s="663"/>
      <c r="IL262" s="663"/>
      <c r="IM262" s="663"/>
      <c r="IN262" s="663"/>
      <c r="IO262" s="663"/>
      <c r="IP262" s="663"/>
      <c r="IQ262" s="70"/>
    </row>
    <row r="263" spans="1:251" ht="16.5" hidden="1" customHeight="1">
      <c r="J263" s="214"/>
      <c r="R263" s="95"/>
      <c r="S263" s="95"/>
      <c r="T263" s="95"/>
      <c r="U263" s="70"/>
      <c r="V263" s="214"/>
      <c r="W263" s="70"/>
      <c r="X263" s="70"/>
      <c r="Y263" s="70"/>
      <c r="Z263" s="70"/>
      <c r="AA263" s="70"/>
      <c r="AB263" s="70"/>
      <c r="AC263" s="70"/>
      <c r="AD263" s="70"/>
      <c r="AE263" s="70"/>
      <c r="AF263" s="70"/>
      <c r="AG263" s="70"/>
      <c r="AH263" s="70"/>
      <c r="AI263" s="70"/>
      <c r="AJ263" s="70"/>
      <c r="AK263" s="70"/>
      <c r="AL263" s="70"/>
      <c r="AM263" s="70"/>
      <c r="AN263" s="70"/>
      <c r="AO263" s="70"/>
      <c r="AP263" s="70"/>
      <c r="AQ263" s="70"/>
      <c r="AR263" s="70"/>
      <c r="AS263" s="70"/>
      <c r="AT263" s="70"/>
      <c r="AU263" s="70"/>
      <c r="AV263" s="70"/>
      <c r="AW263" s="70"/>
      <c r="AX263" s="70"/>
      <c r="AY263" s="70"/>
      <c r="AZ263" s="70"/>
      <c r="BA263" s="70"/>
      <c r="BB263" s="70"/>
      <c r="BC263" s="70"/>
      <c r="BD263" s="70"/>
      <c r="BE263" s="70"/>
      <c r="BF263" s="70"/>
      <c r="BG263" s="70"/>
      <c r="BH263" s="70"/>
      <c r="BI263" s="70"/>
      <c r="BJ263" s="70"/>
      <c r="BK263" s="70"/>
      <c r="BL263" s="70"/>
      <c r="BM263" s="70"/>
      <c r="BN263" s="70"/>
      <c r="BO263" s="70"/>
      <c r="BP263" s="70"/>
      <c r="BQ263" s="70"/>
      <c r="BR263" s="70"/>
      <c r="BS263" s="70"/>
      <c r="BT263" s="70"/>
      <c r="BU263" s="70"/>
      <c r="BV263" s="70"/>
      <c r="BW263" s="70"/>
      <c r="BX263" s="70"/>
      <c r="BY263" s="70"/>
      <c r="BZ263" s="70"/>
      <c r="CA263" s="70"/>
      <c r="CB263" s="70"/>
      <c r="CC263" s="70"/>
      <c r="CD263" s="70"/>
      <c r="CE263" s="70"/>
      <c r="CF263" s="70"/>
      <c r="CG263" s="70"/>
      <c r="CH263" s="70"/>
      <c r="CI263" s="70"/>
      <c r="CJ263" s="70"/>
      <c r="CK263" s="70"/>
      <c r="CL263" s="70"/>
      <c r="CM263" s="70"/>
      <c r="CN263" s="70"/>
      <c r="CO263" s="70"/>
      <c r="CP263" s="70"/>
      <c r="CQ263" s="70"/>
      <c r="CR263" s="70"/>
      <c r="CS263" s="70"/>
      <c r="CT263" s="70"/>
      <c r="CU263" s="70"/>
      <c r="CV263" s="70"/>
      <c r="CW263" s="70"/>
      <c r="CX263" s="70"/>
      <c r="CY263" s="70"/>
      <c r="CZ263" s="70"/>
      <c r="DA263" s="70"/>
      <c r="DB263" s="70"/>
      <c r="DC263" s="70"/>
      <c r="DD263" s="70"/>
      <c r="DE263" s="70"/>
      <c r="DF263" s="70"/>
      <c r="DG263" s="70"/>
      <c r="DH263" s="70"/>
      <c r="DI263" s="70"/>
      <c r="DJ263" s="70"/>
      <c r="DK263" s="70"/>
      <c r="DL263" s="70"/>
      <c r="DM263" s="70"/>
      <c r="DN263" s="70"/>
      <c r="DO263" s="70"/>
      <c r="DP263" s="70"/>
      <c r="DQ263" s="70"/>
      <c r="DR263" s="70"/>
      <c r="DS263" s="70"/>
      <c r="DT263" s="70"/>
      <c r="DU263" s="70"/>
      <c r="DV263" s="70"/>
      <c r="DW263" s="70"/>
      <c r="DX263" s="70"/>
      <c r="DY263" s="70"/>
      <c r="DZ263" s="70"/>
      <c r="EA263" s="70"/>
      <c r="EB263" s="70"/>
      <c r="EC263" s="70"/>
      <c r="EE263" s="95" t="s">
        <v>450</v>
      </c>
      <c r="EF263" s="652"/>
      <c r="EG263" s="652"/>
      <c r="EH263" s="652"/>
      <c r="EI263" s="216"/>
      <c r="EJ263" s="663"/>
      <c r="EK263" s="663"/>
      <c r="EL263" s="663"/>
      <c r="EM263" s="663"/>
      <c r="EN263" s="663"/>
      <c r="EO263" s="663"/>
      <c r="EP263" s="663"/>
      <c r="EQ263" s="663"/>
      <c r="ER263" s="663"/>
      <c r="ES263" s="663"/>
      <c r="ET263" s="663"/>
      <c r="EU263" s="663"/>
      <c r="EV263" s="663"/>
      <c r="EW263" s="663"/>
      <c r="EX263" s="663"/>
      <c r="EY263" s="663"/>
      <c r="EZ263" s="663"/>
      <c r="FA263" s="663"/>
      <c r="FB263" s="663"/>
      <c r="FC263" s="663"/>
      <c r="FD263" s="663"/>
      <c r="FE263" s="663"/>
      <c r="FF263" s="663"/>
      <c r="FG263" s="663"/>
      <c r="FH263" s="663"/>
      <c r="FI263" s="663"/>
      <c r="FJ263" s="663"/>
      <c r="FK263" s="663"/>
      <c r="FL263" s="663"/>
      <c r="FM263" s="663"/>
      <c r="FN263" s="663"/>
      <c r="FO263" s="663"/>
      <c r="FP263" s="663"/>
      <c r="FQ263" s="663"/>
      <c r="FR263" s="663"/>
      <c r="FS263" s="663"/>
      <c r="FT263" s="663"/>
      <c r="FU263" s="663"/>
      <c r="FV263" s="663"/>
      <c r="FW263" s="663"/>
      <c r="FX263" s="663"/>
      <c r="FY263" s="663"/>
      <c r="FZ263" s="663"/>
      <c r="GA263" s="663"/>
      <c r="GB263" s="663"/>
      <c r="GC263" s="663"/>
      <c r="GD263" s="663"/>
      <c r="GE263" s="663"/>
      <c r="GF263" s="663"/>
      <c r="GG263" s="663"/>
      <c r="GH263" s="663"/>
      <c r="GI263" s="663"/>
      <c r="GJ263" s="663"/>
      <c r="GK263" s="663"/>
      <c r="GL263" s="663"/>
      <c r="GM263" s="663"/>
      <c r="GN263" s="663"/>
      <c r="GO263" s="663"/>
      <c r="GP263" s="663"/>
      <c r="GQ263" s="663"/>
      <c r="GR263" s="663"/>
      <c r="GS263" s="663"/>
      <c r="GT263" s="663"/>
      <c r="GU263" s="663"/>
      <c r="GV263" s="663"/>
      <c r="GW263" s="663"/>
      <c r="GX263" s="663"/>
      <c r="GY263" s="663"/>
      <c r="GZ263" s="663"/>
      <c r="HA263" s="663"/>
      <c r="HB263" s="663"/>
      <c r="HC263" s="663"/>
      <c r="HD263" s="663"/>
      <c r="HE263" s="663"/>
      <c r="HF263" s="663"/>
      <c r="HG263" s="663"/>
      <c r="HH263" s="663"/>
      <c r="HI263" s="663"/>
      <c r="HJ263" s="663"/>
      <c r="HK263" s="663"/>
      <c r="HL263" s="663"/>
      <c r="HM263" s="663"/>
      <c r="HN263" s="663"/>
      <c r="HO263" s="663"/>
      <c r="HP263" s="663"/>
      <c r="HQ263" s="663"/>
      <c r="HR263" s="663"/>
      <c r="HS263" s="663"/>
      <c r="HT263" s="663"/>
      <c r="HU263" s="663"/>
      <c r="HV263" s="663"/>
      <c r="HW263" s="663"/>
      <c r="HX263" s="663"/>
      <c r="HY263" s="663"/>
      <c r="HZ263" s="663"/>
      <c r="IA263" s="663"/>
      <c r="IB263" s="663"/>
      <c r="IC263" s="663"/>
      <c r="ID263" s="663"/>
      <c r="IE263" s="663"/>
      <c r="IF263" s="663"/>
      <c r="IG263" s="663"/>
      <c r="IH263" s="663"/>
      <c r="II263" s="663"/>
      <c r="IJ263" s="663"/>
      <c r="IK263" s="663"/>
      <c r="IL263" s="663"/>
      <c r="IM263" s="663"/>
      <c r="IN263" s="663"/>
      <c r="IO263" s="663"/>
      <c r="IP263" s="663"/>
      <c r="IQ263" s="70"/>
    </row>
    <row r="264" spans="1:251" ht="16.5" hidden="1" customHeight="1">
      <c r="J264" s="214"/>
      <c r="R264" s="95"/>
      <c r="S264" s="95"/>
      <c r="T264" s="95"/>
      <c r="U264" s="70"/>
      <c r="V264" s="214"/>
      <c r="W264" s="70"/>
      <c r="X264" s="70"/>
      <c r="Y264" s="70"/>
      <c r="Z264" s="70"/>
      <c r="AA264" s="70"/>
      <c r="AB264" s="70"/>
      <c r="AC264" s="70"/>
      <c r="AD264" s="70"/>
      <c r="AE264" s="70"/>
      <c r="AF264" s="70"/>
      <c r="AG264" s="70"/>
      <c r="AH264" s="70"/>
      <c r="AI264" s="70"/>
      <c r="AJ264" s="70"/>
      <c r="AK264" s="70"/>
      <c r="AL264" s="70"/>
      <c r="AM264" s="70"/>
      <c r="AN264" s="70"/>
      <c r="AO264" s="70"/>
      <c r="AP264" s="70"/>
      <c r="AQ264" s="70"/>
      <c r="AR264" s="70"/>
      <c r="AS264" s="70"/>
      <c r="AT264" s="70"/>
      <c r="AU264" s="70"/>
      <c r="AV264" s="70"/>
      <c r="AW264" s="70"/>
      <c r="AX264" s="70"/>
      <c r="AY264" s="70"/>
      <c r="AZ264" s="70"/>
      <c r="BA264" s="70"/>
      <c r="BB264" s="70"/>
      <c r="BC264" s="70"/>
      <c r="BD264" s="70"/>
      <c r="BE264" s="70"/>
      <c r="BF264" s="70"/>
      <c r="BG264" s="70"/>
      <c r="BH264" s="70"/>
      <c r="BI264" s="70"/>
      <c r="BJ264" s="70"/>
      <c r="BK264" s="70"/>
      <c r="BL264" s="70"/>
      <c r="BM264" s="70"/>
      <c r="BN264" s="70"/>
      <c r="BO264" s="70"/>
      <c r="BP264" s="70"/>
      <c r="BQ264" s="70"/>
      <c r="BR264" s="70"/>
      <c r="BS264" s="70"/>
      <c r="BT264" s="70"/>
      <c r="BU264" s="70"/>
      <c r="BV264" s="70"/>
      <c r="BW264" s="70"/>
      <c r="BX264" s="70"/>
      <c r="BY264" s="70"/>
      <c r="BZ264" s="70"/>
      <c r="CA264" s="70"/>
      <c r="CB264" s="70"/>
      <c r="CC264" s="70"/>
      <c r="CD264" s="70"/>
      <c r="CE264" s="70"/>
      <c r="CF264" s="70"/>
      <c r="CG264" s="70"/>
      <c r="CH264" s="70"/>
      <c r="CI264" s="70"/>
      <c r="CJ264" s="70"/>
      <c r="CK264" s="70"/>
      <c r="CL264" s="70"/>
      <c r="CM264" s="70"/>
      <c r="CN264" s="70"/>
      <c r="CO264" s="70"/>
      <c r="CP264" s="70"/>
      <c r="CQ264" s="70"/>
      <c r="CR264" s="70"/>
      <c r="CS264" s="70"/>
      <c r="CT264" s="70"/>
      <c r="CU264" s="70"/>
      <c r="CV264" s="70"/>
      <c r="CW264" s="70"/>
      <c r="CX264" s="70"/>
      <c r="CY264" s="70"/>
      <c r="CZ264" s="70"/>
      <c r="DA264" s="70"/>
      <c r="DB264" s="70"/>
      <c r="DC264" s="70"/>
      <c r="DD264" s="70"/>
      <c r="DE264" s="70"/>
      <c r="DF264" s="70"/>
      <c r="DG264" s="70"/>
      <c r="DH264" s="70"/>
      <c r="DI264" s="70"/>
      <c r="DJ264" s="70"/>
      <c r="DK264" s="70"/>
      <c r="DL264" s="70"/>
      <c r="DM264" s="70"/>
      <c r="DN264" s="70"/>
      <c r="DO264" s="70"/>
      <c r="DP264" s="70"/>
      <c r="DQ264" s="70"/>
      <c r="DR264" s="70"/>
      <c r="DS264" s="70"/>
      <c r="DT264" s="70"/>
      <c r="DU264" s="70"/>
      <c r="DV264" s="70"/>
      <c r="DW264" s="70"/>
      <c r="DX264" s="70"/>
      <c r="DY264" s="70"/>
      <c r="DZ264" s="70"/>
      <c r="EA264" s="70"/>
      <c r="EB264" s="70"/>
      <c r="EC264" s="70"/>
      <c r="EE264" s="95" t="s">
        <v>450</v>
      </c>
      <c r="EF264" s="652"/>
      <c r="EG264" s="652"/>
      <c r="EH264" s="652"/>
      <c r="EI264" s="216"/>
      <c r="EJ264" s="663"/>
      <c r="EK264" s="663"/>
      <c r="EL264" s="663"/>
      <c r="EM264" s="663"/>
      <c r="EN264" s="663"/>
      <c r="EO264" s="663"/>
      <c r="EP264" s="663"/>
      <c r="EQ264" s="663"/>
      <c r="ER264" s="663"/>
      <c r="ES264" s="663"/>
      <c r="ET264" s="663"/>
      <c r="EU264" s="663"/>
      <c r="EV264" s="663"/>
      <c r="EW264" s="663"/>
      <c r="EX264" s="663"/>
      <c r="EY264" s="663"/>
      <c r="EZ264" s="663"/>
      <c r="FA264" s="663"/>
      <c r="FB264" s="663"/>
      <c r="FC264" s="663"/>
      <c r="FD264" s="663"/>
      <c r="FE264" s="663"/>
      <c r="FF264" s="663"/>
      <c r="FG264" s="663"/>
      <c r="FH264" s="663"/>
      <c r="FI264" s="663"/>
      <c r="FJ264" s="663"/>
      <c r="FK264" s="663"/>
      <c r="FL264" s="663"/>
      <c r="FM264" s="663"/>
      <c r="FN264" s="663"/>
      <c r="FO264" s="663"/>
      <c r="FP264" s="663"/>
      <c r="FQ264" s="663"/>
      <c r="FR264" s="663"/>
      <c r="FS264" s="663"/>
      <c r="FT264" s="663"/>
      <c r="FU264" s="663"/>
      <c r="FV264" s="663"/>
      <c r="FW264" s="663"/>
      <c r="FX264" s="663"/>
      <c r="FY264" s="663"/>
      <c r="FZ264" s="663"/>
      <c r="GA264" s="663"/>
      <c r="GB264" s="663"/>
      <c r="GC264" s="663"/>
      <c r="GD264" s="663"/>
      <c r="GE264" s="663"/>
      <c r="GF264" s="663"/>
      <c r="GG264" s="663"/>
      <c r="GH264" s="663"/>
      <c r="GI264" s="663"/>
      <c r="GJ264" s="663"/>
      <c r="GK264" s="663"/>
      <c r="GL264" s="663"/>
      <c r="GM264" s="663"/>
      <c r="GN264" s="663"/>
      <c r="GO264" s="663"/>
      <c r="GP264" s="663"/>
      <c r="GQ264" s="663"/>
      <c r="GR264" s="663"/>
      <c r="GS264" s="663"/>
      <c r="GT264" s="663"/>
      <c r="GU264" s="663"/>
      <c r="GV264" s="663"/>
      <c r="GW264" s="663"/>
      <c r="GX264" s="663"/>
      <c r="GY264" s="663"/>
      <c r="GZ264" s="663"/>
      <c r="HA264" s="663"/>
      <c r="HB264" s="663"/>
      <c r="HC264" s="663"/>
      <c r="HD264" s="663"/>
      <c r="HE264" s="663"/>
      <c r="HF264" s="663"/>
      <c r="HG264" s="663"/>
      <c r="HH264" s="663"/>
      <c r="HI264" s="663"/>
      <c r="HJ264" s="663"/>
      <c r="HK264" s="663"/>
      <c r="HL264" s="663"/>
      <c r="HM264" s="663"/>
      <c r="HN264" s="663"/>
      <c r="HO264" s="663"/>
      <c r="HP264" s="663"/>
      <c r="HQ264" s="663"/>
      <c r="HR264" s="663"/>
      <c r="HS264" s="663"/>
      <c r="HT264" s="663"/>
      <c r="HU264" s="663"/>
      <c r="HV264" s="663"/>
      <c r="HW264" s="663"/>
      <c r="HX264" s="663"/>
      <c r="HY264" s="663"/>
      <c r="HZ264" s="663"/>
      <c r="IA264" s="663"/>
      <c r="IB264" s="663"/>
      <c r="IC264" s="663"/>
      <c r="ID264" s="663"/>
      <c r="IE264" s="663"/>
      <c r="IF264" s="663"/>
      <c r="IG264" s="663"/>
      <c r="IH264" s="663"/>
      <c r="II264" s="663"/>
      <c r="IJ264" s="663"/>
      <c r="IK264" s="663"/>
      <c r="IL264" s="663"/>
      <c r="IM264" s="663"/>
      <c r="IN264" s="663"/>
      <c r="IO264" s="663"/>
      <c r="IP264" s="663"/>
      <c r="IQ264" s="70"/>
    </row>
    <row r="265" spans="1:251" ht="16.5" hidden="1" customHeight="1">
      <c r="J265" s="214"/>
      <c r="R265" s="95"/>
      <c r="S265" s="95"/>
      <c r="T265" s="95"/>
      <c r="U265" s="70"/>
      <c r="V265" s="214"/>
      <c r="W265" s="70"/>
      <c r="X265" s="70"/>
      <c r="Y265" s="70"/>
      <c r="Z265" s="70"/>
      <c r="AA265" s="70"/>
      <c r="AB265" s="70"/>
      <c r="AC265" s="70"/>
      <c r="AD265" s="70"/>
      <c r="AE265" s="70"/>
      <c r="AF265" s="70"/>
      <c r="AG265" s="70"/>
      <c r="AH265" s="70"/>
      <c r="AI265" s="70"/>
      <c r="AJ265" s="70"/>
      <c r="AK265" s="70"/>
      <c r="AL265" s="70"/>
      <c r="AM265" s="70"/>
      <c r="AN265" s="70"/>
      <c r="AO265" s="70"/>
      <c r="AP265" s="70"/>
      <c r="AQ265" s="70"/>
      <c r="AR265" s="70"/>
      <c r="AS265" s="70"/>
      <c r="AT265" s="70"/>
      <c r="AU265" s="70"/>
      <c r="AV265" s="70"/>
      <c r="AW265" s="70"/>
      <c r="AX265" s="70"/>
      <c r="AY265" s="70"/>
      <c r="AZ265" s="70"/>
      <c r="BA265" s="70"/>
      <c r="BB265" s="70"/>
      <c r="BC265" s="70"/>
      <c r="BD265" s="70"/>
      <c r="BE265" s="70"/>
      <c r="BF265" s="70"/>
      <c r="BG265" s="70"/>
      <c r="BH265" s="70"/>
      <c r="BI265" s="70"/>
      <c r="BJ265" s="70"/>
      <c r="BK265" s="70"/>
      <c r="BL265" s="70"/>
      <c r="BM265" s="70"/>
      <c r="BN265" s="70"/>
      <c r="BO265" s="70"/>
      <c r="BP265" s="70"/>
      <c r="BQ265" s="70"/>
      <c r="BR265" s="70"/>
      <c r="BS265" s="70"/>
      <c r="BT265" s="70"/>
      <c r="BU265" s="70"/>
      <c r="BV265" s="70"/>
      <c r="BW265" s="70"/>
      <c r="BX265" s="70"/>
      <c r="BY265" s="70"/>
      <c r="BZ265" s="70"/>
      <c r="CA265" s="70"/>
      <c r="CB265" s="70"/>
      <c r="CC265" s="70"/>
      <c r="CD265" s="70"/>
      <c r="CE265" s="70"/>
      <c r="CF265" s="70"/>
      <c r="CG265" s="70"/>
      <c r="CH265" s="70"/>
      <c r="CI265" s="70"/>
      <c r="CJ265" s="70"/>
      <c r="CK265" s="70"/>
      <c r="CL265" s="70"/>
      <c r="CM265" s="70"/>
      <c r="CN265" s="70"/>
      <c r="CO265" s="70"/>
      <c r="CP265" s="70"/>
      <c r="CQ265" s="70"/>
      <c r="CR265" s="70"/>
      <c r="CS265" s="70"/>
      <c r="CT265" s="70"/>
      <c r="CU265" s="70"/>
      <c r="CV265" s="70"/>
      <c r="CW265" s="70"/>
      <c r="CX265" s="70"/>
      <c r="CY265" s="70"/>
      <c r="CZ265" s="70"/>
      <c r="DA265" s="70"/>
      <c r="DB265" s="70"/>
      <c r="DC265" s="70"/>
      <c r="DD265" s="70"/>
      <c r="DE265" s="70"/>
      <c r="DF265" s="70"/>
      <c r="DG265" s="70"/>
      <c r="DH265" s="70"/>
      <c r="DI265" s="70"/>
      <c r="DJ265" s="70"/>
      <c r="DK265" s="70"/>
      <c r="DL265" s="70"/>
      <c r="DM265" s="70"/>
      <c r="DN265" s="70"/>
      <c r="DO265" s="70"/>
      <c r="DP265" s="70"/>
      <c r="DQ265" s="70"/>
      <c r="DR265" s="70"/>
      <c r="DS265" s="70"/>
      <c r="DT265" s="70"/>
      <c r="DU265" s="70"/>
      <c r="DV265" s="70"/>
      <c r="DW265" s="70"/>
      <c r="DX265" s="70"/>
      <c r="DY265" s="70"/>
      <c r="DZ265" s="70"/>
      <c r="EA265" s="70"/>
      <c r="EB265" s="70"/>
      <c r="EC265" s="70"/>
      <c r="EE265" s="95" t="s">
        <v>450</v>
      </c>
      <c r="EF265" s="652"/>
      <c r="EG265" s="652"/>
      <c r="EH265" s="652"/>
      <c r="EI265" s="216"/>
      <c r="EJ265" s="663"/>
      <c r="EK265" s="663"/>
      <c r="EL265" s="663"/>
      <c r="EM265" s="663"/>
      <c r="EN265" s="663"/>
      <c r="EO265" s="663"/>
      <c r="EP265" s="663"/>
      <c r="EQ265" s="663"/>
      <c r="ER265" s="663"/>
      <c r="ES265" s="663"/>
      <c r="ET265" s="663"/>
      <c r="EU265" s="663"/>
      <c r="EV265" s="663"/>
      <c r="EW265" s="663"/>
      <c r="EX265" s="663"/>
      <c r="EY265" s="663"/>
      <c r="EZ265" s="663"/>
      <c r="FA265" s="663"/>
      <c r="FB265" s="663"/>
      <c r="FC265" s="663"/>
      <c r="FD265" s="663"/>
      <c r="FE265" s="663"/>
      <c r="FF265" s="663"/>
      <c r="FG265" s="663"/>
      <c r="FH265" s="663"/>
      <c r="FI265" s="663"/>
      <c r="FJ265" s="663"/>
      <c r="FK265" s="663"/>
      <c r="FL265" s="663"/>
      <c r="FM265" s="663"/>
      <c r="FN265" s="663"/>
      <c r="FO265" s="663"/>
      <c r="FP265" s="663"/>
      <c r="FQ265" s="663"/>
      <c r="FR265" s="663"/>
      <c r="FS265" s="663"/>
      <c r="FT265" s="663"/>
      <c r="FU265" s="663"/>
      <c r="FV265" s="663"/>
      <c r="FW265" s="663"/>
      <c r="FX265" s="663"/>
      <c r="FY265" s="663"/>
      <c r="FZ265" s="663"/>
      <c r="GA265" s="663"/>
      <c r="GB265" s="663"/>
      <c r="GC265" s="663"/>
      <c r="GD265" s="663"/>
      <c r="GE265" s="663"/>
      <c r="GF265" s="663"/>
      <c r="GG265" s="663"/>
      <c r="GH265" s="663"/>
      <c r="GI265" s="663"/>
      <c r="GJ265" s="663"/>
      <c r="GK265" s="663"/>
      <c r="GL265" s="663"/>
      <c r="GM265" s="663"/>
      <c r="GN265" s="663"/>
      <c r="GO265" s="663"/>
      <c r="GP265" s="663"/>
      <c r="GQ265" s="663"/>
      <c r="GR265" s="663"/>
      <c r="GS265" s="663"/>
      <c r="GT265" s="663"/>
      <c r="GU265" s="663"/>
      <c r="GV265" s="663"/>
      <c r="GW265" s="663"/>
      <c r="GX265" s="663"/>
      <c r="GY265" s="663"/>
      <c r="GZ265" s="663"/>
      <c r="HA265" s="663"/>
      <c r="HB265" s="663"/>
      <c r="HC265" s="663"/>
      <c r="HD265" s="663"/>
      <c r="HE265" s="663"/>
      <c r="HF265" s="663"/>
      <c r="HG265" s="663"/>
      <c r="HH265" s="663"/>
      <c r="HI265" s="663"/>
      <c r="HJ265" s="663"/>
      <c r="HK265" s="663"/>
      <c r="HL265" s="663"/>
      <c r="HM265" s="663"/>
      <c r="HN265" s="663"/>
      <c r="HO265" s="663"/>
      <c r="HP265" s="663"/>
      <c r="HQ265" s="663"/>
      <c r="HR265" s="663"/>
      <c r="HS265" s="663"/>
      <c r="HT265" s="663"/>
      <c r="HU265" s="663"/>
      <c r="HV265" s="663"/>
      <c r="HW265" s="663"/>
      <c r="HX265" s="663"/>
      <c r="HY265" s="663"/>
      <c r="HZ265" s="663"/>
      <c r="IA265" s="663"/>
      <c r="IB265" s="663"/>
      <c r="IC265" s="663"/>
      <c r="ID265" s="663"/>
      <c r="IE265" s="663"/>
      <c r="IF265" s="663"/>
      <c r="IG265" s="663"/>
      <c r="IH265" s="663"/>
      <c r="II265" s="663"/>
      <c r="IJ265" s="663"/>
      <c r="IK265" s="663"/>
      <c r="IL265" s="663"/>
      <c r="IM265" s="663"/>
      <c r="IN265" s="663"/>
      <c r="IO265" s="663"/>
      <c r="IP265" s="663"/>
      <c r="IQ265" s="70"/>
    </row>
    <row r="266" spans="1:251" ht="16.5" hidden="1" customHeight="1">
      <c r="J266" s="214"/>
      <c r="R266" s="95"/>
      <c r="S266" s="95"/>
      <c r="T266" s="95"/>
      <c r="U266" s="70"/>
      <c r="V266" s="214"/>
      <c r="W266" s="70"/>
      <c r="X266" s="70"/>
      <c r="Y266" s="70"/>
      <c r="Z266" s="70"/>
      <c r="AA266" s="70"/>
      <c r="AB266" s="70"/>
      <c r="AC266" s="70"/>
      <c r="AD266" s="70"/>
      <c r="AE266" s="70"/>
      <c r="AF266" s="70"/>
      <c r="AG266" s="70"/>
      <c r="AH266" s="70"/>
      <c r="AI266" s="70"/>
      <c r="AJ266" s="70"/>
      <c r="AK266" s="70"/>
      <c r="AL266" s="70"/>
      <c r="AM266" s="70"/>
      <c r="AN266" s="70"/>
      <c r="AO266" s="70"/>
      <c r="AP266" s="70"/>
      <c r="AQ266" s="70"/>
      <c r="AR266" s="70"/>
      <c r="AS266" s="70"/>
      <c r="AT266" s="70"/>
      <c r="AU266" s="70"/>
      <c r="AV266" s="70"/>
      <c r="AW266" s="70"/>
      <c r="AX266" s="70"/>
      <c r="AY266" s="70"/>
      <c r="AZ266" s="70"/>
      <c r="BA266" s="70"/>
      <c r="BB266" s="70"/>
      <c r="BC266" s="70"/>
      <c r="BD266" s="70"/>
      <c r="BE266" s="70"/>
      <c r="BF266" s="70"/>
      <c r="BG266" s="70"/>
      <c r="BH266" s="70"/>
      <c r="BI266" s="70"/>
      <c r="BJ266" s="70"/>
      <c r="BK266" s="70"/>
      <c r="BL266" s="70"/>
      <c r="BM266" s="70"/>
      <c r="BN266" s="70"/>
      <c r="BO266" s="70"/>
      <c r="BP266" s="70"/>
      <c r="BQ266" s="70"/>
      <c r="BR266" s="70"/>
      <c r="BS266" s="70"/>
      <c r="BT266" s="70"/>
      <c r="BU266" s="70"/>
      <c r="BV266" s="70"/>
      <c r="BW266" s="70"/>
      <c r="BX266" s="70"/>
      <c r="BY266" s="70"/>
      <c r="BZ266" s="70"/>
      <c r="CA266" s="70"/>
      <c r="CB266" s="70"/>
      <c r="CC266" s="70"/>
      <c r="CD266" s="70"/>
      <c r="CE266" s="70"/>
      <c r="CF266" s="70"/>
      <c r="CG266" s="70"/>
      <c r="CH266" s="70"/>
      <c r="CI266" s="70"/>
      <c r="CJ266" s="70"/>
      <c r="CK266" s="70"/>
      <c r="CL266" s="70"/>
      <c r="CM266" s="70"/>
      <c r="CN266" s="70"/>
      <c r="CO266" s="70"/>
      <c r="CP266" s="70"/>
      <c r="CQ266" s="70"/>
      <c r="CR266" s="70"/>
      <c r="CS266" s="70"/>
      <c r="CT266" s="70"/>
      <c r="CU266" s="70"/>
      <c r="CV266" s="70"/>
      <c r="CW266" s="70"/>
      <c r="CX266" s="70"/>
      <c r="CY266" s="70"/>
      <c r="CZ266" s="70"/>
      <c r="DA266" s="70"/>
      <c r="DB266" s="70"/>
      <c r="DC266" s="70"/>
      <c r="DD266" s="70"/>
      <c r="DE266" s="70"/>
      <c r="DF266" s="70"/>
      <c r="DG266" s="70"/>
      <c r="DH266" s="70"/>
      <c r="DI266" s="70"/>
      <c r="DJ266" s="70"/>
      <c r="DK266" s="70"/>
      <c r="DL266" s="70"/>
      <c r="DM266" s="70"/>
      <c r="DN266" s="70"/>
      <c r="DO266" s="70"/>
      <c r="DP266" s="70"/>
      <c r="DQ266" s="70"/>
      <c r="DR266" s="70"/>
      <c r="DS266" s="70"/>
      <c r="DT266" s="70"/>
      <c r="DU266" s="70"/>
      <c r="DV266" s="70"/>
      <c r="DW266" s="70"/>
      <c r="DX266" s="70"/>
      <c r="DY266" s="70"/>
      <c r="DZ266" s="70"/>
      <c r="EA266" s="70"/>
      <c r="EB266" s="70"/>
      <c r="EC266" s="70"/>
      <c r="EE266" s="95" t="s">
        <v>450</v>
      </c>
      <c r="EF266" s="652"/>
      <c r="EG266" s="652"/>
      <c r="EH266" s="652"/>
      <c r="EI266" s="216"/>
      <c r="EJ266" s="663"/>
      <c r="EK266" s="663"/>
      <c r="EL266" s="663"/>
      <c r="EM266" s="663"/>
      <c r="EN266" s="663"/>
      <c r="EO266" s="663"/>
      <c r="EP266" s="663"/>
      <c r="EQ266" s="663"/>
      <c r="ER266" s="663"/>
      <c r="ES266" s="663"/>
      <c r="ET266" s="663"/>
      <c r="EU266" s="663"/>
      <c r="EV266" s="663"/>
      <c r="EW266" s="663"/>
      <c r="EX266" s="663"/>
      <c r="EY266" s="663"/>
      <c r="EZ266" s="663"/>
      <c r="FA266" s="663"/>
      <c r="FB266" s="663"/>
      <c r="FC266" s="663"/>
      <c r="FD266" s="663"/>
      <c r="FE266" s="663"/>
      <c r="FF266" s="663"/>
      <c r="FG266" s="663"/>
      <c r="FH266" s="663"/>
      <c r="FI266" s="663"/>
      <c r="FJ266" s="663"/>
      <c r="FK266" s="663"/>
      <c r="FL266" s="663"/>
      <c r="FM266" s="663"/>
      <c r="FN266" s="663"/>
      <c r="FO266" s="663"/>
      <c r="FP266" s="663"/>
      <c r="FQ266" s="663"/>
      <c r="FR266" s="663"/>
      <c r="FS266" s="663"/>
      <c r="FT266" s="663"/>
      <c r="FU266" s="663"/>
      <c r="FV266" s="663"/>
      <c r="FW266" s="663"/>
      <c r="FX266" s="663"/>
      <c r="FY266" s="663"/>
      <c r="FZ266" s="663"/>
      <c r="GA266" s="663"/>
      <c r="GB266" s="663"/>
      <c r="GC266" s="663"/>
      <c r="GD266" s="663"/>
      <c r="GE266" s="663"/>
      <c r="GF266" s="663"/>
      <c r="GG266" s="663"/>
      <c r="GH266" s="663"/>
      <c r="GI266" s="663"/>
      <c r="GJ266" s="663"/>
      <c r="GK266" s="663"/>
      <c r="GL266" s="663"/>
      <c r="GM266" s="663"/>
      <c r="GN266" s="663"/>
      <c r="GO266" s="663"/>
      <c r="GP266" s="663"/>
      <c r="GQ266" s="663"/>
      <c r="GR266" s="663"/>
      <c r="GS266" s="663"/>
      <c r="GT266" s="663"/>
      <c r="GU266" s="663"/>
      <c r="GV266" s="663"/>
      <c r="GW266" s="663"/>
      <c r="GX266" s="663"/>
      <c r="GY266" s="663"/>
      <c r="GZ266" s="663"/>
      <c r="HA266" s="663"/>
      <c r="HB266" s="663"/>
      <c r="HC266" s="663"/>
      <c r="HD266" s="663"/>
      <c r="HE266" s="663"/>
      <c r="HF266" s="663"/>
      <c r="HG266" s="663"/>
      <c r="HH266" s="663"/>
      <c r="HI266" s="663"/>
      <c r="HJ266" s="663"/>
      <c r="HK266" s="663"/>
      <c r="HL266" s="663"/>
      <c r="HM266" s="663"/>
      <c r="HN266" s="663"/>
      <c r="HO266" s="663"/>
      <c r="HP266" s="663"/>
      <c r="HQ266" s="663"/>
      <c r="HR266" s="663"/>
      <c r="HS266" s="663"/>
      <c r="HT266" s="663"/>
      <c r="HU266" s="663"/>
      <c r="HV266" s="663"/>
      <c r="HW266" s="663"/>
      <c r="HX266" s="663"/>
      <c r="HY266" s="663"/>
      <c r="HZ266" s="663"/>
      <c r="IA266" s="663"/>
      <c r="IB266" s="663"/>
      <c r="IC266" s="663"/>
      <c r="ID266" s="663"/>
      <c r="IE266" s="663"/>
      <c r="IF266" s="663"/>
      <c r="IG266" s="663"/>
      <c r="IH266" s="663"/>
      <c r="II266" s="663"/>
      <c r="IJ266" s="663"/>
      <c r="IK266" s="663"/>
      <c r="IL266" s="663"/>
      <c r="IM266" s="663"/>
      <c r="IN266" s="663"/>
      <c r="IO266" s="663"/>
      <c r="IP266" s="663"/>
      <c r="IQ266" s="70"/>
    </row>
    <row r="267" spans="1:251" ht="16.5" hidden="1" customHeight="1">
      <c r="J267" s="214"/>
      <c r="R267" s="95"/>
      <c r="S267" s="95"/>
      <c r="T267" s="95"/>
      <c r="U267" s="70"/>
      <c r="V267" s="214"/>
      <c r="W267" s="70"/>
      <c r="X267" s="70"/>
      <c r="Y267" s="70"/>
      <c r="Z267" s="70"/>
      <c r="AA267" s="70"/>
      <c r="AB267" s="70"/>
      <c r="AC267" s="70"/>
      <c r="AD267" s="70"/>
      <c r="AE267" s="70"/>
      <c r="AF267" s="70"/>
      <c r="AG267" s="70"/>
      <c r="AH267" s="70"/>
      <c r="AI267" s="70"/>
      <c r="AJ267" s="70"/>
      <c r="AK267" s="70"/>
      <c r="AL267" s="70"/>
      <c r="AM267" s="70"/>
      <c r="AN267" s="70"/>
      <c r="AO267" s="70"/>
      <c r="AP267" s="70"/>
      <c r="AQ267" s="70"/>
      <c r="AR267" s="70"/>
      <c r="AS267" s="70"/>
      <c r="AT267" s="70"/>
      <c r="AU267" s="70"/>
      <c r="AV267" s="70"/>
      <c r="AW267" s="70"/>
      <c r="AX267" s="70"/>
      <c r="AY267" s="70"/>
      <c r="AZ267" s="70"/>
      <c r="BA267" s="70"/>
      <c r="BB267" s="70"/>
      <c r="BC267" s="70"/>
      <c r="BD267" s="70"/>
      <c r="BE267" s="70"/>
      <c r="BF267" s="70"/>
      <c r="BG267" s="70"/>
      <c r="BH267" s="70"/>
      <c r="BI267" s="70"/>
      <c r="BJ267" s="70"/>
      <c r="BK267" s="70"/>
      <c r="BL267" s="70"/>
      <c r="BM267" s="70"/>
      <c r="BN267" s="70"/>
      <c r="BO267" s="70"/>
      <c r="BP267" s="70"/>
      <c r="BQ267" s="70"/>
      <c r="BR267" s="70"/>
      <c r="BS267" s="70"/>
      <c r="BT267" s="70"/>
      <c r="BU267" s="70"/>
      <c r="BV267" s="70"/>
      <c r="BW267" s="70"/>
      <c r="BX267" s="70"/>
      <c r="BY267" s="70"/>
      <c r="BZ267" s="70"/>
      <c r="CA267" s="70"/>
      <c r="CB267" s="70"/>
      <c r="CC267" s="70"/>
      <c r="CD267" s="70"/>
      <c r="CE267" s="70"/>
      <c r="CF267" s="70"/>
      <c r="CG267" s="70"/>
      <c r="CH267" s="70"/>
      <c r="CI267" s="70"/>
      <c r="CJ267" s="70"/>
      <c r="CK267" s="70"/>
      <c r="CL267" s="70"/>
      <c r="CM267" s="70"/>
      <c r="CN267" s="70"/>
      <c r="CO267" s="70"/>
      <c r="CP267" s="70"/>
      <c r="CQ267" s="70"/>
      <c r="CR267" s="70"/>
      <c r="CS267" s="70"/>
      <c r="CT267" s="70"/>
      <c r="CU267" s="70"/>
      <c r="CV267" s="70"/>
      <c r="CW267" s="70"/>
      <c r="CX267" s="70"/>
      <c r="CY267" s="70"/>
      <c r="CZ267" s="70"/>
      <c r="DA267" s="70"/>
      <c r="DB267" s="70"/>
      <c r="DC267" s="70"/>
      <c r="DD267" s="70"/>
      <c r="DE267" s="70"/>
      <c r="DF267" s="70"/>
      <c r="DG267" s="70"/>
      <c r="DH267" s="70"/>
      <c r="DI267" s="70"/>
      <c r="DJ267" s="70"/>
      <c r="DK267" s="70"/>
      <c r="DL267" s="70"/>
      <c r="DM267" s="70"/>
      <c r="DN267" s="70"/>
      <c r="DO267" s="70"/>
      <c r="DP267" s="70"/>
      <c r="DQ267" s="70"/>
      <c r="DR267" s="70"/>
      <c r="DS267" s="70"/>
      <c r="DT267" s="70"/>
      <c r="DU267" s="70"/>
      <c r="DV267" s="70"/>
      <c r="DW267" s="70"/>
      <c r="DX267" s="70"/>
      <c r="DY267" s="70"/>
      <c r="DZ267" s="70"/>
      <c r="EA267" s="70"/>
      <c r="EB267" s="70"/>
      <c r="EC267" s="70"/>
      <c r="EE267" s="95" t="s">
        <v>450</v>
      </c>
      <c r="EF267" s="652"/>
      <c r="EG267" s="652"/>
      <c r="EH267" s="652"/>
      <c r="EI267" s="216"/>
      <c r="EJ267" s="663"/>
      <c r="EK267" s="663"/>
      <c r="EL267" s="663"/>
      <c r="EM267" s="663"/>
      <c r="EN267" s="663"/>
      <c r="EO267" s="663"/>
      <c r="EP267" s="663"/>
      <c r="EQ267" s="663"/>
      <c r="ER267" s="663"/>
      <c r="ES267" s="663"/>
      <c r="ET267" s="663"/>
      <c r="EU267" s="663"/>
      <c r="EV267" s="663"/>
      <c r="EW267" s="663"/>
      <c r="EX267" s="663"/>
      <c r="EY267" s="663"/>
      <c r="EZ267" s="663"/>
      <c r="FA267" s="663"/>
      <c r="FB267" s="663"/>
      <c r="FC267" s="663"/>
      <c r="FD267" s="663"/>
      <c r="FE267" s="663"/>
      <c r="FF267" s="663"/>
      <c r="FG267" s="663"/>
      <c r="FH267" s="663"/>
      <c r="FI267" s="663"/>
      <c r="FJ267" s="663"/>
      <c r="FK267" s="663"/>
      <c r="FL267" s="663"/>
      <c r="FM267" s="663"/>
      <c r="FN267" s="663"/>
      <c r="FO267" s="663"/>
      <c r="FP267" s="663"/>
      <c r="FQ267" s="663"/>
      <c r="FR267" s="663"/>
      <c r="FS267" s="663"/>
      <c r="FT267" s="663"/>
      <c r="FU267" s="663"/>
      <c r="FV267" s="663"/>
      <c r="FW267" s="663"/>
      <c r="FX267" s="663"/>
      <c r="FY267" s="663"/>
      <c r="FZ267" s="663"/>
      <c r="GA267" s="663"/>
      <c r="GB267" s="663"/>
      <c r="GC267" s="663"/>
      <c r="GD267" s="663"/>
      <c r="GE267" s="663"/>
      <c r="GF267" s="663"/>
      <c r="GG267" s="663"/>
      <c r="GH267" s="663"/>
      <c r="GI267" s="663"/>
      <c r="GJ267" s="663"/>
      <c r="GK267" s="663"/>
      <c r="GL267" s="663"/>
      <c r="GM267" s="663"/>
      <c r="GN267" s="663"/>
      <c r="GO267" s="663"/>
      <c r="GP267" s="663"/>
      <c r="GQ267" s="663"/>
      <c r="GR267" s="663"/>
      <c r="GS267" s="663"/>
      <c r="GT267" s="663"/>
      <c r="GU267" s="663"/>
      <c r="GV267" s="663"/>
      <c r="GW267" s="663"/>
      <c r="GX267" s="663"/>
      <c r="GY267" s="663"/>
      <c r="GZ267" s="663"/>
      <c r="HA267" s="663"/>
      <c r="HB267" s="663"/>
      <c r="HC267" s="663"/>
      <c r="HD267" s="663"/>
      <c r="HE267" s="663"/>
      <c r="HF267" s="663"/>
      <c r="HG267" s="663"/>
      <c r="HH267" s="663"/>
      <c r="HI267" s="663"/>
      <c r="HJ267" s="663"/>
      <c r="HK267" s="663"/>
      <c r="HL267" s="663"/>
      <c r="HM267" s="663"/>
      <c r="HN267" s="663"/>
      <c r="HO267" s="663"/>
      <c r="HP267" s="663"/>
      <c r="HQ267" s="663"/>
      <c r="HR267" s="663"/>
      <c r="HS267" s="663"/>
      <c r="HT267" s="663"/>
      <c r="HU267" s="663"/>
      <c r="HV267" s="663"/>
      <c r="HW267" s="663"/>
      <c r="HX267" s="663"/>
      <c r="HY267" s="663"/>
      <c r="HZ267" s="663"/>
      <c r="IA267" s="663"/>
      <c r="IB267" s="663"/>
      <c r="IC267" s="663"/>
      <c r="ID267" s="663"/>
      <c r="IE267" s="663"/>
      <c r="IF267" s="663"/>
      <c r="IG267" s="663"/>
      <c r="IH267" s="663"/>
      <c r="II267" s="663"/>
      <c r="IJ267" s="663"/>
      <c r="IK267" s="663"/>
      <c r="IL267" s="663"/>
      <c r="IM267" s="663"/>
      <c r="IN267" s="663"/>
      <c r="IO267" s="663"/>
      <c r="IP267" s="663"/>
      <c r="IQ267" s="70"/>
    </row>
    <row r="268" spans="1:251" ht="16.5" hidden="1" customHeight="1">
      <c r="J268" s="214"/>
      <c r="R268" s="95"/>
      <c r="S268" s="95"/>
      <c r="T268" s="95"/>
      <c r="U268" s="70"/>
      <c r="V268" s="214"/>
      <c r="W268" s="70"/>
      <c r="X268" s="70"/>
      <c r="Y268" s="70"/>
      <c r="Z268" s="70"/>
      <c r="AA268" s="70"/>
      <c r="AB268" s="70"/>
      <c r="AC268" s="70"/>
      <c r="AD268" s="70"/>
      <c r="AE268" s="70"/>
      <c r="AF268" s="70"/>
      <c r="AG268" s="70"/>
      <c r="AH268" s="70"/>
      <c r="AI268" s="70"/>
      <c r="AJ268" s="70"/>
      <c r="AK268" s="70"/>
      <c r="AL268" s="70"/>
      <c r="AM268" s="70"/>
      <c r="AN268" s="70"/>
      <c r="AO268" s="70"/>
      <c r="AP268" s="70"/>
      <c r="AQ268" s="70"/>
      <c r="AR268" s="70"/>
      <c r="AS268" s="70"/>
      <c r="AT268" s="70"/>
      <c r="AU268" s="70"/>
      <c r="AV268" s="70"/>
      <c r="AW268" s="70"/>
      <c r="AX268" s="70"/>
      <c r="AY268" s="70"/>
      <c r="AZ268" s="70"/>
      <c r="BA268" s="70"/>
      <c r="BB268" s="70"/>
      <c r="BC268" s="70"/>
      <c r="BD268" s="70"/>
      <c r="BE268" s="70"/>
      <c r="BF268" s="70"/>
      <c r="BG268" s="70"/>
      <c r="BH268" s="70"/>
      <c r="BI268" s="70"/>
      <c r="BJ268" s="70"/>
      <c r="BK268" s="70"/>
      <c r="BL268" s="70"/>
      <c r="BM268" s="70"/>
      <c r="BN268" s="70"/>
      <c r="BO268" s="70"/>
      <c r="BP268" s="70"/>
      <c r="BQ268" s="70"/>
      <c r="BR268" s="70"/>
      <c r="BS268" s="70"/>
      <c r="BT268" s="70"/>
      <c r="BU268" s="70"/>
      <c r="BV268" s="70"/>
      <c r="BW268" s="70"/>
      <c r="BX268" s="70"/>
      <c r="BY268" s="70"/>
      <c r="BZ268" s="70"/>
      <c r="CA268" s="70"/>
      <c r="CB268" s="70"/>
      <c r="CC268" s="70"/>
      <c r="CD268" s="70"/>
      <c r="CE268" s="70"/>
      <c r="CF268" s="70"/>
      <c r="CG268" s="70"/>
      <c r="CH268" s="70"/>
      <c r="CI268" s="70"/>
      <c r="CJ268" s="70"/>
      <c r="CK268" s="70"/>
      <c r="CL268" s="70"/>
      <c r="CM268" s="70"/>
      <c r="CN268" s="70"/>
      <c r="CO268" s="70"/>
      <c r="CP268" s="70"/>
      <c r="CQ268" s="70"/>
      <c r="CR268" s="70"/>
      <c r="CS268" s="70"/>
      <c r="CT268" s="70"/>
      <c r="CU268" s="70"/>
      <c r="CV268" s="70"/>
      <c r="CW268" s="70"/>
      <c r="CX268" s="70"/>
      <c r="CY268" s="70"/>
      <c r="CZ268" s="70"/>
      <c r="DA268" s="70"/>
      <c r="DB268" s="70"/>
      <c r="DC268" s="70"/>
      <c r="DD268" s="70"/>
      <c r="DE268" s="70"/>
      <c r="DF268" s="70"/>
      <c r="DG268" s="70"/>
      <c r="DH268" s="70"/>
      <c r="DI268" s="70"/>
      <c r="DJ268" s="70"/>
      <c r="DK268" s="70"/>
      <c r="DL268" s="70"/>
      <c r="DM268" s="70"/>
      <c r="DN268" s="70"/>
      <c r="DO268" s="70"/>
      <c r="DP268" s="70"/>
      <c r="DQ268" s="70"/>
      <c r="DR268" s="70"/>
      <c r="DS268" s="70"/>
      <c r="DT268" s="70"/>
      <c r="DU268" s="70"/>
      <c r="DV268" s="70"/>
      <c r="DW268" s="70"/>
      <c r="DX268" s="70"/>
      <c r="DY268" s="70"/>
      <c r="DZ268" s="70"/>
      <c r="EA268" s="70"/>
      <c r="EB268" s="70"/>
      <c r="EC268" s="70"/>
      <c r="EE268" s="95" t="s">
        <v>450</v>
      </c>
      <c r="EF268" s="652"/>
      <c r="EG268" s="652"/>
      <c r="EH268" s="652"/>
      <c r="EI268" s="216"/>
      <c r="EJ268" s="663"/>
      <c r="EK268" s="663"/>
      <c r="EL268" s="663"/>
      <c r="EM268" s="663"/>
      <c r="EN268" s="663"/>
      <c r="EO268" s="663"/>
      <c r="EP268" s="663"/>
      <c r="EQ268" s="663"/>
      <c r="ER268" s="663"/>
      <c r="ES268" s="663"/>
      <c r="ET268" s="663"/>
      <c r="EU268" s="663"/>
      <c r="EV268" s="663"/>
      <c r="EW268" s="663"/>
      <c r="EX268" s="663"/>
      <c r="EY268" s="663"/>
      <c r="EZ268" s="663"/>
      <c r="FA268" s="663"/>
      <c r="FB268" s="663"/>
      <c r="FC268" s="663"/>
      <c r="FD268" s="663"/>
      <c r="FE268" s="663"/>
      <c r="FF268" s="663"/>
      <c r="FG268" s="663"/>
      <c r="FH268" s="663"/>
      <c r="FI268" s="663"/>
      <c r="FJ268" s="663"/>
      <c r="FK268" s="663"/>
      <c r="FL268" s="663"/>
      <c r="FM268" s="663"/>
      <c r="FN268" s="663"/>
      <c r="FO268" s="663"/>
      <c r="FP268" s="663"/>
      <c r="FQ268" s="663"/>
      <c r="FR268" s="663"/>
      <c r="FS268" s="663"/>
      <c r="FT268" s="663"/>
      <c r="FU268" s="663"/>
      <c r="FV268" s="663"/>
      <c r="FW268" s="663"/>
      <c r="FX268" s="663"/>
      <c r="FY268" s="663"/>
      <c r="FZ268" s="663"/>
      <c r="GA268" s="663"/>
      <c r="GB268" s="663"/>
      <c r="GC268" s="663"/>
      <c r="GD268" s="663"/>
      <c r="GE268" s="663"/>
      <c r="GF268" s="663"/>
      <c r="GG268" s="663"/>
      <c r="GH268" s="663"/>
      <c r="GI268" s="663"/>
      <c r="GJ268" s="663"/>
      <c r="GK268" s="663"/>
      <c r="GL268" s="663"/>
      <c r="GM268" s="663"/>
      <c r="GN268" s="663"/>
      <c r="GO268" s="663"/>
      <c r="GP268" s="663"/>
      <c r="GQ268" s="663"/>
      <c r="GR268" s="663"/>
      <c r="GS268" s="663"/>
      <c r="GT268" s="663"/>
      <c r="GU268" s="663"/>
      <c r="GV268" s="663"/>
      <c r="GW268" s="663"/>
      <c r="GX268" s="663"/>
      <c r="GY268" s="663"/>
      <c r="GZ268" s="663"/>
      <c r="HA268" s="663"/>
      <c r="HB268" s="663"/>
      <c r="HC268" s="663"/>
      <c r="HD268" s="663"/>
      <c r="HE268" s="663"/>
      <c r="HF268" s="663"/>
      <c r="HG268" s="663"/>
      <c r="HH268" s="663"/>
      <c r="HI268" s="663"/>
      <c r="HJ268" s="663"/>
      <c r="HK268" s="663"/>
      <c r="HL268" s="663"/>
      <c r="HM268" s="663"/>
      <c r="HN268" s="663"/>
      <c r="HO268" s="663"/>
      <c r="HP268" s="663"/>
      <c r="HQ268" s="663"/>
      <c r="HR268" s="663"/>
      <c r="HS268" s="663"/>
      <c r="HT268" s="663"/>
      <c r="HU268" s="663"/>
      <c r="HV268" s="663"/>
      <c r="HW268" s="663"/>
      <c r="HX268" s="663"/>
      <c r="HY268" s="663"/>
      <c r="HZ268" s="663"/>
      <c r="IA268" s="663"/>
      <c r="IB268" s="663"/>
      <c r="IC268" s="663"/>
      <c r="ID268" s="663"/>
      <c r="IE268" s="663"/>
      <c r="IF268" s="663"/>
      <c r="IG268" s="663"/>
      <c r="IH268" s="663"/>
      <c r="II268" s="663"/>
      <c r="IJ268" s="663"/>
      <c r="IK268" s="663"/>
      <c r="IL268" s="663"/>
      <c r="IM268" s="663"/>
      <c r="IN268" s="663"/>
      <c r="IO268" s="663"/>
      <c r="IP268" s="663"/>
      <c r="IQ268" s="70"/>
    </row>
    <row r="269" spans="1:251" ht="16.5" hidden="1" customHeight="1">
      <c r="J269" s="214"/>
      <c r="R269" s="95"/>
      <c r="S269" s="95"/>
      <c r="T269" s="95"/>
      <c r="U269" s="70"/>
      <c r="V269" s="214"/>
      <c r="W269" s="70"/>
      <c r="X269" s="70"/>
      <c r="Y269" s="70"/>
      <c r="Z269" s="70"/>
      <c r="AA269" s="70"/>
      <c r="AB269" s="70"/>
      <c r="AC269" s="70"/>
      <c r="AD269" s="70"/>
      <c r="AE269" s="70"/>
      <c r="AF269" s="70"/>
      <c r="AG269" s="70"/>
      <c r="AH269" s="70"/>
      <c r="AI269" s="70"/>
      <c r="AJ269" s="70"/>
      <c r="AK269" s="70"/>
      <c r="AL269" s="70"/>
      <c r="AM269" s="70"/>
      <c r="AN269" s="70"/>
      <c r="AO269" s="70"/>
      <c r="AP269" s="70"/>
      <c r="AQ269" s="70"/>
      <c r="AR269" s="70"/>
      <c r="AS269" s="70"/>
      <c r="AT269" s="70"/>
      <c r="AU269" s="70"/>
      <c r="AV269" s="70"/>
      <c r="AW269" s="70"/>
      <c r="AX269" s="70"/>
      <c r="AY269" s="70"/>
      <c r="AZ269" s="70"/>
      <c r="BA269" s="70"/>
      <c r="BB269" s="70"/>
      <c r="BC269" s="70"/>
      <c r="BD269" s="70"/>
      <c r="BE269" s="70"/>
      <c r="BF269" s="70"/>
      <c r="BG269" s="70"/>
      <c r="BH269" s="70"/>
      <c r="BI269" s="70"/>
      <c r="BJ269" s="70"/>
      <c r="BK269" s="70"/>
      <c r="BL269" s="70"/>
      <c r="BM269" s="70"/>
      <c r="BN269" s="70"/>
      <c r="BO269" s="70"/>
      <c r="BP269" s="70"/>
      <c r="BQ269" s="70"/>
      <c r="BR269" s="70"/>
      <c r="BS269" s="70"/>
      <c r="BT269" s="70"/>
      <c r="BU269" s="70"/>
      <c r="BV269" s="70"/>
      <c r="BW269" s="70"/>
      <c r="BX269" s="70"/>
      <c r="BY269" s="70"/>
      <c r="BZ269" s="70"/>
      <c r="CA269" s="70"/>
      <c r="CB269" s="70"/>
      <c r="CC269" s="70"/>
      <c r="CD269" s="70"/>
      <c r="CE269" s="70"/>
      <c r="CF269" s="70"/>
      <c r="CG269" s="70"/>
      <c r="CH269" s="70"/>
      <c r="CI269" s="70"/>
      <c r="CJ269" s="70"/>
      <c r="CK269" s="70"/>
      <c r="CL269" s="70"/>
      <c r="CM269" s="70"/>
      <c r="CN269" s="70"/>
      <c r="CO269" s="70"/>
      <c r="CP269" s="70"/>
      <c r="CQ269" s="70"/>
      <c r="CR269" s="70"/>
      <c r="CS269" s="70"/>
      <c r="CT269" s="70"/>
      <c r="CU269" s="70"/>
      <c r="CV269" s="70"/>
      <c r="CW269" s="70"/>
      <c r="CX269" s="70"/>
      <c r="CY269" s="70"/>
      <c r="CZ269" s="70"/>
      <c r="DA269" s="70"/>
      <c r="DB269" s="70"/>
      <c r="DC269" s="70"/>
      <c r="DD269" s="70"/>
      <c r="DE269" s="70"/>
      <c r="DF269" s="70"/>
      <c r="DG269" s="70"/>
      <c r="DH269" s="70"/>
      <c r="DI269" s="70"/>
      <c r="DJ269" s="70"/>
      <c r="DK269" s="70"/>
      <c r="DL269" s="70"/>
      <c r="DM269" s="70"/>
      <c r="DN269" s="70"/>
      <c r="DO269" s="70"/>
      <c r="DP269" s="70"/>
      <c r="DQ269" s="70"/>
      <c r="DR269" s="70"/>
      <c r="DS269" s="70"/>
      <c r="DT269" s="70"/>
      <c r="DU269" s="70"/>
      <c r="DV269" s="70"/>
      <c r="DW269" s="70"/>
      <c r="DX269" s="70"/>
      <c r="DY269" s="70"/>
      <c r="DZ269" s="70"/>
      <c r="EA269" s="70"/>
      <c r="EB269" s="70"/>
      <c r="EC269" s="70"/>
      <c r="EE269" s="95" t="s">
        <v>450</v>
      </c>
      <c r="EF269" s="652"/>
      <c r="EG269" s="652"/>
      <c r="EH269" s="652"/>
      <c r="EI269" s="216"/>
      <c r="EJ269" s="663"/>
      <c r="EK269" s="663"/>
      <c r="EL269" s="663"/>
      <c r="EM269" s="663"/>
      <c r="EN269" s="663"/>
      <c r="EO269" s="663"/>
      <c r="EP269" s="663"/>
      <c r="EQ269" s="663"/>
      <c r="ER269" s="663"/>
      <c r="ES269" s="663"/>
      <c r="ET269" s="663"/>
      <c r="EU269" s="663"/>
      <c r="EV269" s="663"/>
      <c r="EW269" s="663"/>
      <c r="EX269" s="663"/>
      <c r="EY269" s="663"/>
      <c r="EZ269" s="663"/>
      <c r="FA269" s="663"/>
      <c r="FB269" s="663"/>
      <c r="FC269" s="663"/>
      <c r="FD269" s="663"/>
      <c r="FE269" s="663"/>
      <c r="FF269" s="663"/>
      <c r="FG269" s="663"/>
      <c r="FH269" s="663"/>
      <c r="FI269" s="663"/>
      <c r="FJ269" s="663"/>
      <c r="FK269" s="663"/>
      <c r="FL269" s="663"/>
      <c r="FM269" s="663"/>
      <c r="FN269" s="663"/>
      <c r="FO269" s="663"/>
      <c r="FP269" s="663"/>
      <c r="FQ269" s="663"/>
      <c r="FR269" s="663"/>
      <c r="FS269" s="663"/>
      <c r="FT269" s="663"/>
      <c r="FU269" s="663"/>
      <c r="FV269" s="663"/>
      <c r="FW269" s="663"/>
      <c r="FX269" s="663"/>
      <c r="FY269" s="663"/>
      <c r="FZ269" s="663"/>
      <c r="GA269" s="663"/>
      <c r="GB269" s="663"/>
      <c r="GC269" s="663"/>
      <c r="GD269" s="663"/>
      <c r="GE269" s="663"/>
      <c r="GF269" s="663"/>
      <c r="GG269" s="663"/>
      <c r="GH269" s="663"/>
      <c r="GI269" s="663"/>
      <c r="GJ269" s="663"/>
      <c r="GK269" s="663"/>
      <c r="GL269" s="663"/>
      <c r="GM269" s="663"/>
      <c r="GN269" s="663"/>
      <c r="GO269" s="663"/>
      <c r="GP269" s="663"/>
      <c r="GQ269" s="663"/>
      <c r="GR269" s="663"/>
      <c r="GS269" s="663"/>
      <c r="GT269" s="663"/>
      <c r="GU269" s="663"/>
      <c r="GV269" s="663"/>
      <c r="GW269" s="663"/>
      <c r="GX269" s="663"/>
      <c r="GY269" s="663"/>
      <c r="GZ269" s="663"/>
      <c r="HA269" s="663"/>
      <c r="HB269" s="663"/>
      <c r="HC269" s="663"/>
      <c r="HD269" s="663"/>
      <c r="HE269" s="663"/>
      <c r="HF269" s="663"/>
      <c r="HG269" s="663"/>
      <c r="HH269" s="663"/>
      <c r="HI269" s="663"/>
      <c r="HJ269" s="663"/>
      <c r="HK269" s="663"/>
      <c r="HL269" s="663"/>
      <c r="HM269" s="663"/>
      <c r="HN269" s="663"/>
      <c r="HO269" s="663"/>
      <c r="HP269" s="663"/>
      <c r="HQ269" s="663"/>
      <c r="HR269" s="663"/>
      <c r="HS269" s="663"/>
      <c r="HT269" s="663"/>
      <c r="HU269" s="663"/>
      <c r="HV269" s="663"/>
      <c r="HW269" s="663"/>
      <c r="HX269" s="663"/>
      <c r="HY269" s="663"/>
      <c r="HZ269" s="663"/>
      <c r="IA269" s="663"/>
      <c r="IB269" s="663"/>
      <c r="IC269" s="663"/>
      <c r="ID269" s="663"/>
      <c r="IE269" s="663"/>
      <c r="IF269" s="663"/>
      <c r="IG269" s="663"/>
      <c r="IH269" s="663"/>
      <c r="II269" s="663"/>
      <c r="IJ269" s="663"/>
      <c r="IK269" s="663"/>
      <c r="IL269" s="663"/>
      <c r="IM269" s="663"/>
      <c r="IN269" s="663"/>
      <c r="IO269" s="663"/>
      <c r="IP269" s="663"/>
      <c r="IQ269" s="70"/>
    </row>
    <row r="270" spans="1:251" ht="16.5" hidden="1" customHeight="1">
      <c r="J270" s="214"/>
      <c r="R270" s="95"/>
      <c r="S270" s="95"/>
      <c r="T270" s="95"/>
      <c r="U270" s="70"/>
      <c r="V270" s="214"/>
      <c r="W270" s="70"/>
      <c r="X270" s="70"/>
      <c r="Y270" s="70"/>
      <c r="Z270" s="70"/>
      <c r="AA270" s="70"/>
      <c r="AB270" s="70"/>
      <c r="AC270" s="70"/>
      <c r="AD270" s="70"/>
      <c r="AE270" s="70"/>
      <c r="AF270" s="70"/>
      <c r="AG270" s="70"/>
      <c r="AH270" s="70"/>
      <c r="AI270" s="70"/>
      <c r="AJ270" s="70"/>
      <c r="AK270" s="70"/>
      <c r="AL270" s="70"/>
      <c r="AM270" s="70"/>
      <c r="AN270" s="70"/>
      <c r="AO270" s="70"/>
      <c r="AP270" s="70"/>
      <c r="AQ270" s="70"/>
      <c r="AR270" s="70"/>
      <c r="AS270" s="70"/>
      <c r="AT270" s="70"/>
      <c r="AU270" s="70"/>
      <c r="AV270" s="70"/>
      <c r="AW270" s="70"/>
      <c r="AX270" s="70"/>
      <c r="AY270" s="70"/>
      <c r="AZ270" s="70"/>
      <c r="BA270" s="70"/>
      <c r="BB270" s="70"/>
      <c r="BC270" s="70"/>
      <c r="BD270" s="70"/>
      <c r="BE270" s="70"/>
      <c r="BF270" s="70"/>
      <c r="BG270" s="70"/>
      <c r="BH270" s="70"/>
      <c r="BI270" s="70"/>
      <c r="BJ270" s="70"/>
      <c r="BK270" s="70"/>
      <c r="BL270" s="70"/>
      <c r="BM270" s="70"/>
      <c r="BN270" s="70"/>
      <c r="BO270" s="70"/>
      <c r="BP270" s="70"/>
      <c r="BQ270" s="70"/>
      <c r="BR270" s="70"/>
      <c r="BS270" s="70"/>
      <c r="BT270" s="70"/>
      <c r="BU270" s="70"/>
      <c r="BV270" s="70"/>
      <c r="BW270" s="70"/>
      <c r="BX270" s="70"/>
      <c r="BY270" s="70"/>
      <c r="BZ270" s="70"/>
      <c r="CA270" s="70"/>
      <c r="CB270" s="70"/>
      <c r="CC270" s="70"/>
      <c r="CD270" s="70"/>
      <c r="CE270" s="70"/>
      <c r="CF270" s="70"/>
      <c r="CG270" s="70"/>
      <c r="CH270" s="70"/>
      <c r="CI270" s="70"/>
      <c r="CJ270" s="70"/>
      <c r="CK270" s="70"/>
      <c r="CL270" s="70"/>
      <c r="CM270" s="70"/>
      <c r="CN270" s="70"/>
      <c r="CO270" s="70"/>
      <c r="CP270" s="70"/>
      <c r="CQ270" s="70"/>
      <c r="CR270" s="70"/>
      <c r="CS270" s="70"/>
      <c r="CT270" s="70"/>
      <c r="CU270" s="70"/>
      <c r="CV270" s="70"/>
      <c r="CW270" s="70"/>
      <c r="CX270" s="70"/>
      <c r="CY270" s="70"/>
      <c r="CZ270" s="70"/>
      <c r="DA270" s="70"/>
      <c r="DB270" s="70"/>
      <c r="DC270" s="70"/>
      <c r="DD270" s="70"/>
      <c r="DE270" s="70"/>
      <c r="DF270" s="70"/>
      <c r="DG270" s="70"/>
      <c r="DH270" s="70"/>
      <c r="DI270" s="70"/>
      <c r="DJ270" s="70"/>
      <c r="DK270" s="70"/>
      <c r="DL270" s="70"/>
      <c r="DM270" s="70"/>
      <c r="DN270" s="70"/>
      <c r="DO270" s="70"/>
      <c r="DP270" s="70"/>
      <c r="DQ270" s="70"/>
      <c r="DR270" s="70"/>
      <c r="DS270" s="70"/>
      <c r="DT270" s="70"/>
      <c r="DU270" s="70"/>
      <c r="DV270" s="70"/>
      <c r="DW270" s="70"/>
      <c r="DX270" s="70"/>
      <c r="DY270" s="70"/>
      <c r="DZ270" s="70"/>
      <c r="EA270" s="70"/>
      <c r="EB270" s="70"/>
      <c r="EC270" s="70"/>
      <c r="EE270" s="95" t="s">
        <v>450</v>
      </c>
      <c r="EF270" s="652"/>
      <c r="EG270" s="652"/>
      <c r="EH270" s="652"/>
      <c r="EI270" s="216"/>
      <c r="EJ270" s="663"/>
      <c r="EK270" s="663"/>
      <c r="EL270" s="663"/>
      <c r="EM270" s="663"/>
      <c r="EN270" s="663"/>
      <c r="EO270" s="663"/>
      <c r="EP270" s="663"/>
      <c r="EQ270" s="663"/>
      <c r="ER270" s="663"/>
      <c r="ES270" s="663"/>
      <c r="ET270" s="663"/>
      <c r="EU270" s="663"/>
      <c r="EV270" s="663"/>
      <c r="EW270" s="663"/>
      <c r="EX270" s="663"/>
      <c r="EY270" s="663"/>
      <c r="EZ270" s="663"/>
      <c r="FA270" s="663"/>
      <c r="FB270" s="663"/>
      <c r="FC270" s="663"/>
      <c r="FD270" s="663"/>
      <c r="FE270" s="663"/>
      <c r="FF270" s="663"/>
      <c r="FG270" s="663"/>
      <c r="FH270" s="663"/>
      <c r="FI270" s="663"/>
      <c r="FJ270" s="663"/>
      <c r="FK270" s="663"/>
      <c r="FL270" s="663"/>
      <c r="FM270" s="663"/>
      <c r="FN270" s="663"/>
      <c r="FO270" s="663"/>
      <c r="FP270" s="663"/>
      <c r="FQ270" s="663"/>
      <c r="FR270" s="663"/>
      <c r="FS270" s="663"/>
      <c r="FT270" s="663"/>
      <c r="FU270" s="663"/>
      <c r="FV270" s="663"/>
      <c r="FW270" s="663"/>
      <c r="FX270" s="663"/>
      <c r="FY270" s="663"/>
      <c r="FZ270" s="663"/>
      <c r="GA270" s="663"/>
      <c r="GB270" s="663"/>
      <c r="GC270" s="663"/>
      <c r="GD270" s="663"/>
      <c r="GE270" s="663"/>
      <c r="GF270" s="663"/>
      <c r="GG270" s="663"/>
      <c r="GH270" s="663"/>
      <c r="GI270" s="663"/>
      <c r="GJ270" s="663"/>
      <c r="GK270" s="663"/>
      <c r="GL270" s="663"/>
      <c r="GM270" s="663"/>
      <c r="GN270" s="663"/>
      <c r="GO270" s="663"/>
      <c r="GP270" s="663"/>
      <c r="GQ270" s="663"/>
      <c r="GR270" s="663"/>
      <c r="GS270" s="663"/>
      <c r="GT270" s="663"/>
      <c r="GU270" s="663"/>
      <c r="GV270" s="663"/>
      <c r="GW270" s="663"/>
      <c r="GX270" s="663"/>
      <c r="GY270" s="663"/>
      <c r="GZ270" s="663"/>
      <c r="HA270" s="663"/>
      <c r="HB270" s="663"/>
      <c r="HC270" s="663"/>
      <c r="HD270" s="663"/>
      <c r="HE270" s="663"/>
      <c r="HF270" s="663"/>
      <c r="HG270" s="663"/>
      <c r="HH270" s="663"/>
      <c r="HI270" s="663"/>
      <c r="HJ270" s="663"/>
      <c r="HK270" s="663"/>
      <c r="HL270" s="663"/>
      <c r="HM270" s="663"/>
      <c r="HN270" s="663"/>
      <c r="HO270" s="663"/>
      <c r="HP270" s="663"/>
      <c r="HQ270" s="663"/>
      <c r="HR270" s="663"/>
      <c r="HS270" s="663"/>
      <c r="HT270" s="663"/>
      <c r="HU270" s="663"/>
      <c r="HV270" s="663"/>
      <c r="HW270" s="663"/>
      <c r="HX270" s="663"/>
      <c r="HY270" s="663"/>
      <c r="HZ270" s="663"/>
      <c r="IA270" s="663"/>
      <c r="IB270" s="663"/>
      <c r="IC270" s="663"/>
      <c r="ID270" s="663"/>
      <c r="IE270" s="663"/>
      <c r="IF270" s="663"/>
      <c r="IG270" s="663"/>
      <c r="IH270" s="663"/>
      <c r="II270" s="663"/>
      <c r="IJ270" s="663"/>
      <c r="IK270" s="663"/>
      <c r="IL270" s="663"/>
      <c r="IM270" s="663"/>
      <c r="IN270" s="663"/>
      <c r="IO270" s="663"/>
      <c r="IP270" s="663"/>
      <c r="IQ270" s="70"/>
    </row>
    <row r="271" spans="1:251" ht="16.5" hidden="1" customHeight="1">
      <c r="J271" s="214"/>
      <c r="R271" s="95"/>
      <c r="S271" s="95"/>
      <c r="T271" s="95"/>
      <c r="U271" s="70"/>
      <c r="V271" s="214"/>
      <c r="W271" s="70"/>
      <c r="X271" s="70"/>
      <c r="Y271" s="70"/>
      <c r="Z271" s="70"/>
      <c r="AA271" s="70"/>
      <c r="AB271" s="70"/>
      <c r="AC271" s="70"/>
      <c r="AD271" s="70"/>
      <c r="AE271" s="70"/>
      <c r="AF271" s="70"/>
      <c r="AG271" s="70"/>
      <c r="AH271" s="70"/>
      <c r="AI271" s="70"/>
      <c r="AJ271" s="70"/>
      <c r="AK271" s="70"/>
      <c r="AL271" s="70"/>
      <c r="AM271" s="70"/>
      <c r="AN271" s="70"/>
      <c r="AO271" s="70"/>
      <c r="AP271" s="70"/>
      <c r="AQ271" s="70"/>
      <c r="AR271" s="70"/>
      <c r="AS271" s="70"/>
      <c r="AT271" s="70"/>
      <c r="AU271" s="70"/>
      <c r="AV271" s="70"/>
      <c r="AW271" s="70"/>
      <c r="AX271" s="70"/>
      <c r="AY271" s="70"/>
      <c r="AZ271" s="70"/>
      <c r="BA271" s="70"/>
      <c r="BB271" s="70"/>
      <c r="BC271" s="70"/>
      <c r="BD271" s="70"/>
      <c r="BE271" s="70"/>
      <c r="BF271" s="70"/>
      <c r="BG271" s="70"/>
      <c r="BH271" s="70"/>
      <c r="BI271" s="70"/>
      <c r="BJ271" s="70"/>
      <c r="BK271" s="70"/>
      <c r="BL271" s="70"/>
      <c r="BM271" s="70"/>
      <c r="BN271" s="70"/>
      <c r="BO271" s="70"/>
      <c r="BP271" s="70"/>
      <c r="BQ271" s="70"/>
      <c r="BR271" s="70"/>
      <c r="BS271" s="70"/>
      <c r="BT271" s="70"/>
      <c r="BU271" s="70"/>
      <c r="BV271" s="70"/>
      <c r="BW271" s="70"/>
      <c r="BX271" s="70"/>
      <c r="BY271" s="70"/>
      <c r="BZ271" s="70"/>
      <c r="CA271" s="70"/>
      <c r="CB271" s="70"/>
      <c r="CC271" s="70"/>
      <c r="CD271" s="70"/>
      <c r="CE271" s="70"/>
      <c r="CF271" s="70"/>
      <c r="CG271" s="70"/>
      <c r="CH271" s="70"/>
      <c r="CI271" s="70"/>
      <c r="CJ271" s="70"/>
      <c r="CK271" s="70"/>
      <c r="CL271" s="70"/>
      <c r="CM271" s="70"/>
      <c r="CN271" s="70"/>
      <c r="CO271" s="70"/>
      <c r="CP271" s="70"/>
      <c r="CQ271" s="70"/>
      <c r="CR271" s="70"/>
      <c r="CS271" s="70"/>
      <c r="CT271" s="70"/>
      <c r="CU271" s="70"/>
      <c r="CV271" s="70"/>
      <c r="CW271" s="70"/>
      <c r="CX271" s="70"/>
      <c r="CY271" s="70"/>
      <c r="CZ271" s="70"/>
      <c r="DA271" s="70"/>
      <c r="DB271" s="70"/>
      <c r="DC271" s="70"/>
      <c r="DD271" s="70"/>
      <c r="DE271" s="70"/>
      <c r="DF271" s="70"/>
      <c r="DG271" s="70"/>
      <c r="DH271" s="70"/>
      <c r="DI271" s="70"/>
      <c r="DJ271" s="70"/>
      <c r="DK271" s="70"/>
      <c r="DL271" s="70"/>
      <c r="DM271" s="70"/>
      <c r="DN271" s="70"/>
      <c r="DO271" s="70"/>
      <c r="DP271" s="70"/>
      <c r="DQ271" s="70"/>
      <c r="DR271" s="70"/>
      <c r="DS271" s="70"/>
      <c r="DT271" s="70"/>
      <c r="DU271" s="70"/>
      <c r="DV271" s="70"/>
      <c r="DW271" s="70"/>
      <c r="DX271" s="70"/>
      <c r="DY271" s="70"/>
      <c r="DZ271" s="70"/>
      <c r="EA271" s="70"/>
      <c r="EB271" s="70"/>
      <c r="EC271" s="70"/>
      <c r="EE271" s="95" t="s">
        <v>450</v>
      </c>
      <c r="EF271" s="652"/>
      <c r="EG271" s="652"/>
      <c r="EH271" s="652"/>
      <c r="EI271" s="216"/>
      <c r="EJ271" s="663"/>
      <c r="EK271" s="663"/>
      <c r="EL271" s="663"/>
      <c r="EM271" s="663"/>
      <c r="EN271" s="663"/>
      <c r="EO271" s="663"/>
      <c r="EP271" s="663"/>
      <c r="EQ271" s="663"/>
      <c r="ER271" s="663"/>
      <c r="ES271" s="663"/>
      <c r="ET271" s="663"/>
      <c r="EU271" s="663"/>
      <c r="EV271" s="663"/>
      <c r="EW271" s="663"/>
      <c r="EX271" s="663"/>
      <c r="EY271" s="663"/>
      <c r="EZ271" s="663"/>
      <c r="FA271" s="663"/>
      <c r="FB271" s="663"/>
      <c r="FC271" s="663"/>
      <c r="FD271" s="663"/>
      <c r="FE271" s="663"/>
      <c r="FF271" s="663"/>
      <c r="FG271" s="663"/>
      <c r="FH271" s="663"/>
      <c r="FI271" s="663"/>
      <c r="FJ271" s="663"/>
      <c r="FK271" s="663"/>
      <c r="FL271" s="663"/>
      <c r="FM271" s="663"/>
      <c r="FN271" s="663"/>
      <c r="FO271" s="663"/>
      <c r="FP271" s="663"/>
      <c r="FQ271" s="663"/>
      <c r="FR271" s="663"/>
      <c r="FS271" s="663"/>
      <c r="FT271" s="663"/>
      <c r="FU271" s="663"/>
      <c r="FV271" s="663"/>
      <c r="FW271" s="663"/>
      <c r="FX271" s="663"/>
      <c r="FY271" s="663"/>
      <c r="FZ271" s="663"/>
      <c r="GA271" s="663"/>
      <c r="GB271" s="663"/>
      <c r="GC271" s="663"/>
      <c r="GD271" s="663"/>
      <c r="GE271" s="663"/>
      <c r="GF271" s="663"/>
      <c r="GG271" s="663"/>
      <c r="GH271" s="663"/>
      <c r="GI271" s="663"/>
      <c r="GJ271" s="663"/>
      <c r="GK271" s="663"/>
      <c r="GL271" s="663"/>
      <c r="GM271" s="663"/>
      <c r="GN271" s="663"/>
      <c r="GO271" s="663"/>
      <c r="GP271" s="663"/>
      <c r="GQ271" s="663"/>
      <c r="GR271" s="663"/>
      <c r="GS271" s="663"/>
      <c r="GT271" s="663"/>
      <c r="GU271" s="663"/>
      <c r="GV271" s="663"/>
      <c r="GW271" s="663"/>
      <c r="GX271" s="663"/>
      <c r="GY271" s="663"/>
      <c r="GZ271" s="663"/>
      <c r="HA271" s="663"/>
      <c r="HB271" s="663"/>
      <c r="HC271" s="663"/>
      <c r="HD271" s="663"/>
      <c r="HE271" s="663"/>
      <c r="HF271" s="663"/>
      <c r="HG271" s="663"/>
      <c r="HH271" s="663"/>
      <c r="HI271" s="663"/>
      <c r="HJ271" s="663"/>
      <c r="HK271" s="663"/>
      <c r="HL271" s="663"/>
      <c r="HM271" s="663"/>
      <c r="HN271" s="663"/>
      <c r="HO271" s="663"/>
      <c r="HP271" s="663"/>
      <c r="HQ271" s="663"/>
      <c r="HR271" s="663"/>
      <c r="HS271" s="663"/>
      <c r="HT271" s="663"/>
      <c r="HU271" s="663"/>
      <c r="HV271" s="663"/>
      <c r="HW271" s="663"/>
      <c r="HX271" s="663"/>
      <c r="HY271" s="663"/>
      <c r="HZ271" s="663"/>
      <c r="IA271" s="663"/>
      <c r="IB271" s="663"/>
      <c r="IC271" s="663"/>
      <c r="ID271" s="663"/>
      <c r="IE271" s="663"/>
      <c r="IF271" s="663"/>
      <c r="IG271" s="663"/>
      <c r="IH271" s="663"/>
      <c r="II271" s="663"/>
      <c r="IJ271" s="663"/>
      <c r="IK271" s="663"/>
      <c r="IL271" s="663"/>
      <c r="IM271" s="663"/>
      <c r="IN271" s="663"/>
      <c r="IO271" s="663"/>
      <c r="IP271" s="663"/>
      <c r="IQ271" s="70"/>
    </row>
    <row r="272" spans="1:251" ht="16.5" hidden="1" customHeight="1">
      <c r="J272" s="214"/>
      <c r="R272" s="95"/>
      <c r="S272" s="95"/>
      <c r="T272" s="95"/>
      <c r="U272" s="70"/>
      <c r="V272" s="214"/>
      <c r="W272" s="70"/>
      <c r="X272" s="70"/>
      <c r="Y272" s="70"/>
      <c r="Z272" s="70"/>
      <c r="AA272" s="70"/>
      <c r="AB272" s="70"/>
      <c r="AC272" s="70"/>
      <c r="AD272" s="70"/>
      <c r="AE272" s="70"/>
      <c r="AF272" s="70"/>
      <c r="AG272" s="70"/>
      <c r="AH272" s="70"/>
      <c r="AI272" s="70"/>
      <c r="AJ272" s="70"/>
      <c r="AK272" s="70"/>
      <c r="AL272" s="70"/>
      <c r="AM272" s="70"/>
      <c r="AN272" s="70"/>
      <c r="AO272" s="70"/>
      <c r="AP272" s="70"/>
      <c r="AQ272" s="70"/>
      <c r="AR272" s="70"/>
      <c r="AS272" s="70"/>
      <c r="AT272" s="70"/>
      <c r="AU272" s="70"/>
      <c r="AV272" s="70"/>
      <c r="AW272" s="70"/>
      <c r="AX272" s="70"/>
      <c r="AY272" s="70"/>
      <c r="AZ272" s="70"/>
      <c r="BA272" s="70"/>
      <c r="BB272" s="70"/>
      <c r="BC272" s="70"/>
      <c r="BD272" s="70"/>
      <c r="BE272" s="70"/>
      <c r="BF272" s="70"/>
      <c r="BG272" s="70"/>
      <c r="BH272" s="70"/>
      <c r="BI272" s="70"/>
      <c r="BJ272" s="70"/>
      <c r="BK272" s="70"/>
      <c r="BL272" s="70"/>
      <c r="BM272" s="70"/>
      <c r="BN272" s="70"/>
      <c r="BO272" s="70"/>
      <c r="BP272" s="70"/>
      <c r="BQ272" s="70"/>
      <c r="BR272" s="70"/>
      <c r="BS272" s="70"/>
      <c r="BT272" s="70"/>
      <c r="BU272" s="70"/>
      <c r="BV272" s="70"/>
      <c r="BW272" s="70"/>
      <c r="BX272" s="70"/>
      <c r="BY272" s="70"/>
      <c r="BZ272" s="70"/>
      <c r="CA272" s="70"/>
      <c r="CB272" s="70"/>
      <c r="CC272" s="70"/>
      <c r="CD272" s="70"/>
      <c r="CE272" s="70"/>
      <c r="CF272" s="70"/>
      <c r="CG272" s="70"/>
      <c r="CH272" s="70"/>
      <c r="CI272" s="70"/>
      <c r="CJ272" s="70"/>
      <c r="CK272" s="70"/>
      <c r="CL272" s="70"/>
      <c r="CM272" s="70"/>
      <c r="CN272" s="70"/>
      <c r="CO272" s="70"/>
      <c r="CP272" s="70"/>
      <c r="CQ272" s="70"/>
      <c r="CR272" s="70"/>
      <c r="CS272" s="70"/>
      <c r="CT272" s="70"/>
      <c r="CU272" s="70"/>
      <c r="CV272" s="70"/>
      <c r="CW272" s="70"/>
      <c r="CX272" s="70"/>
      <c r="CY272" s="70"/>
      <c r="CZ272" s="70"/>
      <c r="DA272" s="70"/>
      <c r="DB272" s="70"/>
      <c r="DC272" s="70"/>
      <c r="DD272" s="70"/>
      <c r="DE272" s="70"/>
      <c r="DF272" s="70"/>
      <c r="DG272" s="70"/>
      <c r="DH272" s="70"/>
      <c r="DI272" s="70"/>
      <c r="DJ272" s="70"/>
      <c r="DK272" s="70"/>
      <c r="DL272" s="70"/>
      <c r="DM272" s="70"/>
      <c r="DN272" s="70"/>
      <c r="DO272" s="70"/>
      <c r="DP272" s="70"/>
      <c r="DQ272" s="70"/>
      <c r="DR272" s="70"/>
      <c r="DS272" s="70"/>
      <c r="DT272" s="70"/>
      <c r="DU272" s="70"/>
      <c r="DV272" s="70"/>
      <c r="DW272" s="70"/>
      <c r="DX272" s="70"/>
      <c r="DY272" s="70"/>
      <c r="DZ272" s="70"/>
      <c r="EA272" s="70"/>
      <c r="EB272" s="70"/>
      <c r="EC272" s="70"/>
      <c r="EE272" s="95" t="s">
        <v>450</v>
      </c>
      <c r="EF272" s="652"/>
      <c r="EG272" s="652"/>
      <c r="EH272" s="652"/>
      <c r="EI272" s="216"/>
      <c r="EJ272" s="663"/>
      <c r="EK272" s="663"/>
      <c r="EL272" s="663"/>
      <c r="EM272" s="663"/>
      <c r="EN272" s="663"/>
      <c r="EO272" s="663"/>
      <c r="EP272" s="663"/>
      <c r="EQ272" s="663"/>
      <c r="ER272" s="663"/>
      <c r="ES272" s="663"/>
      <c r="ET272" s="663"/>
      <c r="EU272" s="663"/>
      <c r="EV272" s="663"/>
      <c r="EW272" s="663"/>
      <c r="EX272" s="663"/>
      <c r="EY272" s="663"/>
      <c r="EZ272" s="663"/>
      <c r="FA272" s="663"/>
      <c r="FB272" s="663"/>
      <c r="FC272" s="663"/>
      <c r="FD272" s="663"/>
      <c r="FE272" s="663"/>
      <c r="FF272" s="663"/>
      <c r="FG272" s="663"/>
      <c r="FH272" s="663"/>
      <c r="FI272" s="663"/>
      <c r="FJ272" s="663"/>
      <c r="FK272" s="663"/>
      <c r="FL272" s="663"/>
      <c r="FM272" s="663"/>
      <c r="FN272" s="663"/>
      <c r="FO272" s="663"/>
      <c r="FP272" s="663"/>
      <c r="FQ272" s="663"/>
      <c r="FR272" s="663"/>
      <c r="FS272" s="663"/>
      <c r="FT272" s="663"/>
      <c r="FU272" s="663"/>
      <c r="FV272" s="663"/>
      <c r="FW272" s="663"/>
      <c r="FX272" s="663"/>
      <c r="FY272" s="663"/>
      <c r="FZ272" s="663"/>
      <c r="GA272" s="663"/>
      <c r="GB272" s="663"/>
      <c r="GC272" s="663"/>
      <c r="GD272" s="663"/>
      <c r="GE272" s="663"/>
      <c r="GF272" s="663"/>
      <c r="GG272" s="663"/>
      <c r="GH272" s="663"/>
      <c r="GI272" s="663"/>
      <c r="GJ272" s="663"/>
      <c r="GK272" s="663"/>
      <c r="GL272" s="663"/>
      <c r="GM272" s="663"/>
      <c r="GN272" s="663"/>
      <c r="GO272" s="663"/>
      <c r="GP272" s="663"/>
      <c r="GQ272" s="663"/>
      <c r="GR272" s="663"/>
      <c r="GS272" s="663"/>
      <c r="GT272" s="663"/>
      <c r="GU272" s="663"/>
      <c r="GV272" s="663"/>
      <c r="GW272" s="663"/>
      <c r="GX272" s="663"/>
      <c r="GY272" s="663"/>
      <c r="GZ272" s="663"/>
      <c r="HA272" s="663"/>
      <c r="HB272" s="663"/>
      <c r="HC272" s="663"/>
      <c r="HD272" s="663"/>
      <c r="HE272" s="663"/>
      <c r="HF272" s="663"/>
      <c r="HG272" s="663"/>
      <c r="HH272" s="663"/>
      <c r="HI272" s="663"/>
      <c r="HJ272" s="663"/>
      <c r="HK272" s="663"/>
      <c r="HL272" s="663"/>
      <c r="HM272" s="663"/>
      <c r="HN272" s="663"/>
      <c r="HO272" s="663"/>
      <c r="HP272" s="663"/>
      <c r="HQ272" s="663"/>
      <c r="HR272" s="663"/>
      <c r="HS272" s="663"/>
      <c r="HT272" s="663"/>
      <c r="HU272" s="663"/>
      <c r="HV272" s="663"/>
      <c r="HW272" s="663"/>
      <c r="HX272" s="663"/>
      <c r="HY272" s="663"/>
      <c r="HZ272" s="663"/>
      <c r="IA272" s="663"/>
      <c r="IB272" s="663"/>
      <c r="IC272" s="663"/>
      <c r="ID272" s="663"/>
      <c r="IE272" s="663"/>
      <c r="IF272" s="663"/>
      <c r="IG272" s="663"/>
      <c r="IH272" s="663"/>
      <c r="II272" s="663"/>
      <c r="IJ272" s="663"/>
      <c r="IK272" s="663"/>
      <c r="IL272" s="663"/>
      <c r="IM272" s="663"/>
      <c r="IN272" s="663"/>
      <c r="IO272" s="663"/>
      <c r="IP272" s="663"/>
      <c r="IQ272" s="70"/>
    </row>
    <row r="273" spans="10:251" ht="16.5" hidden="1" customHeight="1">
      <c r="J273" s="214"/>
      <c r="R273" s="95"/>
      <c r="S273" s="95"/>
      <c r="T273" s="95"/>
      <c r="U273" s="70"/>
      <c r="V273" s="214"/>
      <c r="W273" s="70"/>
      <c r="X273" s="70"/>
      <c r="Y273" s="70"/>
      <c r="Z273" s="70"/>
      <c r="AA273" s="70"/>
      <c r="AB273" s="70"/>
      <c r="AC273" s="70"/>
      <c r="AD273" s="70"/>
      <c r="AE273" s="70"/>
      <c r="AF273" s="70"/>
      <c r="AG273" s="70"/>
      <c r="AH273" s="70"/>
      <c r="AI273" s="70"/>
      <c r="AJ273" s="70"/>
      <c r="AK273" s="70"/>
      <c r="AL273" s="70"/>
      <c r="AM273" s="70"/>
      <c r="AN273" s="70"/>
      <c r="AO273" s="70"/>
      <c r="AP273" s="70"/>
      <c r="AQ273" s="70"/>
      <c r="AR273" s="70"/>
      <c r="AS273" s="70"/>
      <c r="AT273" s="70"/>
      <c r="AU273" s="70"/>
      <c r="AV273" s="70"/>
      <c r="AW273" s="70"/>
      <c r="AX273" s="70"/>
      <c r="AY273" s="70"/>
      <c r="AZ273" s="70"/>
      <c r="BA273" s="70"/>
      <c r="BB273" s="70"/>
      <c r="BC273" s="70"/>
      <c r="BD273" s="70"/>
      <c r="BE273" s="70"/>
      <c r="BF273" s="70"/>
      <c r="BG273" s="70"/>
      <c r="BH273" s="70"/>
      <c r="BI273" s="70"/>
      <c r="BJ273" s="70"/>
      <c r="BK273" s="70"/>
      <c r="BL273" s="70"/>
      <c r="BM273" s="70"/>
      <c r="BN273" s="70"/>
      <c r="BO273" s="70"/>
      <c r="BP273" s="70"/>
      <c r="BQ273" s="70"/>
      <c r="BR273" s="70"/>
      <c r="BS273" s="70"/>
      <c r="BT273" s="70"/>
      <c r="BU273" s="70"/>
      <c r="BV273" s="70"/>
      <c r="BW273" s="70"/>
      <c r="BX273" s="70"/>
      <c r="BY273" s="70"/>
      <c r="BZ273" s="70"/>
      <c r="CA273" s="70"/>
      <c r="CB273" s="70"/>
      <c r="CC273" s="70"/>
      <c r="CD273" s="70"/>
      <c r="CE273" s="70"/>
      <c r="CF273" s="70"/>
      <c r="CG273" s="70"/>
      <c r="CH273" s="70"/>
      <c r="CI273" s="70"/>
      <c r="CJ273" s="70"/>
      <c r="CK273" s="70"/>
      <c r="CL273" s="70"/>
      <c r="CM273" s="70"/>
      <c r="CN273" s="70"/>
      <c r="CO273" s="70"/>
      <c r="CP273" s="70"/>
      <c r="CQ273" s="70"/>
      <c r="CR273" s="70"/>
      <c r="CS273" s="70"/>
      <c r="CT273" s="70"/>
      <c r="CU273" s="70"/>
      <c r="CV273" s="70"/>
      <c r="CW273" s="70"/>
      <c r="CX273" s="70"/>
      <c r="CY273" s="70"/>
      <c r="CZ273" s="70"/>
      <c r="DA273" s="70"/>
      <c r="DB273" s="70"/>
      <c r="DC273" s="70"/>
      <c r="DD273" s="70"/>
      <c r="DE273" s="70"/>
      <c r="DF273" s="70"/>
      <c r="DG273" s="70"/>
      <c r="DH273" s="70"/>
      <c r="DI273" s="70"/>
      <c r="DJ273" s="70"/>
      <c r="DK273" s="70"/>
      <c r="DL273" s="70"/>
      <c r="DM273" s="70"/>
      <c r="DN273" s="70"/>
      <c r="DO273" s="70"/>
      <c r="DP273" s="70"/>
      <c r="DQ273" s="70"/>
      <c r="DR273" s="70"/>
      <c r="DS273" s="70"/>
      <c r="DT273" s="70"/>
      <c r="DU273" s="70"/>
      <c r="DV273" s="70"/>
      <c r="DW273" s="70"/>
      <c r="DX273" s="70"/>
      <c r="DY273" s="70"/>
      <c r="DZ273" s="70"/>
      <c r="EA273" s="70"/>
      <c r="EB273" s="70"/>
      <c r="EC273" s="70"/>
      <c r="EE273" s="95" t="s">
        <v>450</v>
      </c>
      <c r="EF273" s="652"/>
      <c r="EG273" s="652"/>
      <c r="EH273" s="652"/>
      <c r="EI273" s="216"/>
      <c r="EJ273" s="663"/>
      <c r="EK273" s="663"/>
      <c r="EL273" s="663"/>
      <c r="EM273" s="663"/>
      <c r="EN273" s="663"/>
      <c r="EO273" s="663"/>
      <c r="EP273" s="663"/>
      <c r="EQ273" s="663"/>
      <c r="ER273" s="663"/>
      <c r="ES273" s="663"/>
      <c r="ET273" s="663"/>
      <c r="EU273" s="663"/>
      <c r="EV273" s="663"/>
      <c r="EW273" s="663"/>
      <c r="EX273" s="663"/>
      <c r="EY273" s="663"/>
      <c r="EZ273" s="663"/>
      <c r="FA273" s="663"/>
      <c r="FB273" s="663"/>
      <c r="FC273" s="663"/>
      <c r="FD273" s="663"/>
      <c r="FE273" s="663"/>
      <c r="FF273" s="663"/>
      <c r="FG273" s="663"/>
      <c r="FH273" s="663"/>
      <c r="FI273" s="663"/>
      <c r="FJ273" s="663"/>
      <c r="FK273" s="663"/>
      <c r="FL273" s="663"/>
      <c r="FM273" s="663"/>
      <c r="FN273" s="663"/>
      <c r="FO273" s="663"/>
      <c r="FP273" s="663"/>
      <c r="FQ273" s="663"/>
      <c r="FR273" s="663"/>
      <c r="FS273" s="663"/>
      <c r="FT273" s="663"/>
      <c r="FU273" s="663"/>
      <c r="FV273" s="663"/>
      <c r="FW273" s="663"/>
      <c r="FX273" s="663"/>
      <c r="FY273" s="663"/>
      <c r="FZ273" s="663"/>
      <c r="GA273" s="663"/>
      <c r="GB273" s="663"/>
      <c r="GC273" s="663"/>
      <c r="GD273" s="663"/>
      <c r="GE273" s="663"/>
      <c r="GF273" s="663"/>
      <c r="GG273" s="663"/>
      <c r="GH273" s="663"/>
      <c r="GI273" s="663"/>
      <c r="GJ273" s="663"/>
      <c r="GK273" s="663"/>
      <c r="GL273" s="663"/>
      <c r="GM273" s="663"/>
      <c r="GN273" s="663"/>
      <c r="GO273" s="663"/>
      <c r="GP273" s="663"/>
      <c r="GQ273" s="663"/>
      <c r="GR273" s="663"/>
      <c r="GS273" s="663"/>
      <c r="GT273" s="663"/>
      <c r="GU273" s="663"/>
      <c r="GV273" s="663"/>
      <c r="GW273" s="663"/>
      <c r="GX273" s="663"/>
      <c r="GY273" s="663"/>
      <c r="GZ273" s="663"/>
      <c r="HA273" s="663"/>
      <c r="HB273" s="663"/>
      <c r="HC273" s="663"/>
      <c r="HD273" s="663"/>
      <c r="HE273" s="663"/>
      <c r="HF273" s="663"/>
      <c r="HG273" s="663"/>
      <c r="HH273" s="663"/>
      <c r="HI273" s="663"/>
      <c r="HJ273" s="663"/>
      <c r="HK273" s="663"/>
      <c r="HL273" s="663"/>
      <c r="HM273" s="663"/>
      <c r="HN273" s="663"/>
      <c r="HO273" s="663"/>
      <c r="HP273" s="663"/>
      <c r="HQ273" s="663"/>
      <c r="HR273" s="663"/>
      <c r="HS273" s="663"/>
      <c r="HT273" s="663"/>
      <c r="HU273" s="663"/>
      <c r="HV273" s="663"/>
      <c r="HW273" s="663"/>
      <c r="HX273" s="663"/>
      <c r="HY273" s="663"/>
      <c r="HZ273" s="663"/>
      <c r="IA273" s="663"/>
      <c r="IB273" s="663"/>
      <c r="IC273" s="663"/>
      <c r="ID273" s="663"/>
      <c r="IE273" s="663"/>
      <c r="IF273" s="663"/>
      <c r="IG273" s="663"/>
      <c r="IH273" s="663"/>
      <c r="II273" s="663"/>
      <c r="IJ273" s="663"/>
      <c r="IK273" s="663"/>
      <c r="IL273" s="663"/>
      <c r="IM273" s="663"/>
      <c r="IN273" s="663"/>
      <c r="IO273" s="663"/>
      <c r="IP273" s="663"/>
      <c r="IQ273" s="70"/>
    </row>
    <row r="274" spans="10:251" ht="16.5" hidden="1" customHeight="1">
      <c r="J274" s="214"/>
      <c r="R274" s="95"/>
      <c r="S274" s="95"/>
      <c r="T274" s="95"/>
      <c r="U274" s="70"/>
      <c r="V274" s="214"/>
      <c r="W274" s="70"/>
      <c r="X274" s="70"/>
      <c r="Y274" s="70"/>
      <c r="Z274" s="70"/>
      <c r="AA274" s="70"/>
      <c r="AB274" s="70"/>
      <c r="AC274" s="70"/>
      <c r="AD274" s="70"/>
      <c r="AE274" s="70"/>
      <c r="AF274" s="70"/>
      <c r="AG274" s="70"/>
      <c r="AH274" s="70"/>
      <c r="AI274" s="70"/>
      <c r="AJ274" s="70"/>
      <c r="AK274" s="70"/>
      <c r="AL274" s="70"/>
      <c r="AM274" s="70"/>
      <c r="AN274" s="70"/>
      <c r="AO274" s="70"/>
      <c r="AP274" s="70"/>
      <c r="AQ274" s="70"/>
      <c r="AR274" s="70"/>
      <c r="AS274" s="70"/>
      <c r="AT274" s="70"/>
      <c r="AU274" s="70"/>
      <c r="AV274" s="70"/>
      <c r="AW274" s="70"/>
      <c r="AX274" s="70"/>
      <c r="AY274" s="70"/>
      <c r="AZ274" s="70"/>
      <c r="BA274" s="70"/>
      <c r="BB274" s="70"/>
      <c r="BC274" s="70"/>
      <c r="BD274" s="70"/>
      <c r="BE274" s="70"/>
      <c r="BF274" s="70"/>
      <c r="BG274" s="70"/>
      <c r="BH274" s="70"/>
      <c r="BI274" s="70"/>
      <c r="BJ274" s="70"/>
      <c r="BK274" s="70"/>
      <c r="BL274" s="70"/>
      <c r="BM274" s="70"/>
      <c r="BN274" s="70"/>
      <c r="BO274" s="70"/>
      <c r="BP274" s="70"/>
      <c r="BQ274" s="70"/>
      <c r="BR274" s="70"/>
      <c r="BS274" s="70"/>
      <c r="BT274" s="70"/>
      <c r="BU274" s="70"/>
      <c r="BV274" s="70"/>
      <c r="BW274" s="70"/>
      <c r="BX274" s="70"/>
      <c r="BY274" s="70"/>
      <c r="BZ274" s="70"/>
      <c r="CA274" s="70"/>
      <c r="CB274" s="70"/>
      <c r="CC274" s="70"/>
      <c r="CD274" s="70"/>
      <c r="CE274" s="70"/>
      <c r="CF274" s="70"/>
      <c r="CG274" s="70"/>
      <c r="CH274" s="70"/>
      <c r="CI274" s="70"/>
      <c r="CJ274" s="70"/>
      <c r="CK274" s="70"/>
      <c r="CL274" s="70"/>
      <c r="CM274" s="70"/>
      <c r="CN274" s="70"/>
      <c r="CO274" s="70"/>
      <c r="CP274" s="70"/>
      <c r="CQ274" s="70"/>
      <c r="CR274" s="70"/>
      <c r="CS274" s="70"/>
      <c r="CT274" s="70"/>
      <c r="CU274" s="70"/>
      <c r="CV274" s="70"/>
      <c r="CW274" s="70"/>
      <c r="CX274" s="70"/>
      <c r="CY274" s="70"/>
      <c r="CZ274" s="70"/>
      <c r="DA274" s="70"/>
      <c r="DB274" s="70"/>
      <c r="DC274" s="70"/>
      <c r="DD274" s="70"/>
      <c r="DE274" s="70"/>
      <c r="DF274" s="70"/>
      <c r="DG274" s="70"/>
      <c r="DH274" s="70"/>
      <c r="DI274" s="70"/>
      <c r="DJ274" s="70"/>
      <c r="DK274" s="70"/>
      <c r="DL274" s="70"/>
      <c r="DM274" s="70"/>
      <c r="DN274" s="70"/>
      <c r="DO274" s="70"/>
      <c r="DP274" s="70"/>
      <c r="DQ274" s="70"/>
      <c r="DR274" s="70"/>
      <c r="DS274" s="70"/>
      <c r="DT274" s="70"/>
      <c r="DU274" s="70"/>
      <c r="DV274" s="70"/>
      <c r="DW274" s="70"/>
      <c r="DX274" s="70"/>
      <c r="DY274" s="70"/>
      <c r="DZ274" s="70"/>
      <c r="EA274" s="70"/>
      <c r="EB274" s="70"/>
      <c r="EC274" s="70"/>
      <c r="EE274" s="95" t="s">
        <v>450</v>
      </c>
      <c r="EF274" s="652"/>
      <c r="EG274" s="652"/>
      <c r="EH274" s="652"/>
      <c r="EI274" s="216"/>
      <c r="EJ274" s="663"/>
      <c r="EK274" s="663"/>
      <c r="EL274" s="663"/>
      <c r="EM274" s="663"/>
      <c r="EN274" s="663"/>
      <c r="EO274" s="663"/>
      <c r="EP274" s="663"/>
      <c r="EQ274" s="663"/>
      <c r="ER274" s="663"/>
      <c r="ES274" s="663"/>
      <c r="ET274" s="663"/>
      <c r="EU274" s="663"/>
      <c r="EV274" s="663"/>
      <c r="EW274" s="663"/>
      <c r="EX274" s="663"/>
      <c r="EY274" s="663"/>
      <c r="EZ274" s="663"/>
      <c r="FA274" s="663"/>
      <c r="FB274" s="663"/>
      <c r="FC274" s="663"/>
      <c r="FD274" s="663"/>
      <c r="FE274" s="663"/>
      <c r="FF274" s="663"/>
      <c r="FG274" s="663"/>
      <c r="FH274" s="663"/>
      <c r="FI274" s="663"/>
      <c r="FJ274" s="663"/>
      <c r="FK274" s="663"/>
      <c r="FL274" s="663"/>
      <c r="FM274" s="663"/>
      <c r="FN274" s="663"/>
      <c r="FO274" s="663"/>
      <c r="FP274" s="663"/>
      <c r="FQ274" s="663"/>
      <c r="FR274" s="663"/>
      <c r="FS274" s="663"/>
      <c r="FT274" s="663"/>
      <c r="FU274" s="663"/>
      <c r="FV274" s="663"/>
      <c r="FW274" s="663"/>
      <c r="FX274" s="663"/>
      <c r="FY274" s="663"/>
      <c r="FZ274" s="663"/>
      <c r="GA274" s="663"/>
      <c r="GB274" s="663"/>
      <c r="GC274" s="663"/>
      <c r="GD274" s="663"/>
      <c r="GE274" s="663"/>
      <c r="GF274" s="663"/>
      <c r="GG274" s="663"/>
      <c r="GH274" s="663"/>
      <c r="GI274" s="663"/>
      <c r="GJ274" s="663"/>
      <c r="GK274" s="663"/>
      <c r="GL274" s="663"/>
      <c r="GM274" s="663"/>
      <c r="GN274" s="663"/>
      <c r="GO274" s="663"/>
      <c r="GP274" s="663"/>
      <c r="GQ274" s="663"/>
      <c r="GR274" s="663"/>
      <c r="GS274" s="663"/>
      <c r="GT274" s="663"/>
      <c r="GU274" s="663"/>
      <c r="GV274" s="663"/>
      <c r="GW274" s="663"/>
      <c r="GX274" s="663"/>
      <c r="GY274" s="663"/>
      <c r="GZ274" s="663"/>
      <c r="HA274" s="663"/>
      <c r="HB274" s="663"/>
      <c r="HC274" s="663"/>
      <c r="HD274" s="663"/>
      <c r="HE274" s="663"/>
      <c r="HF274" s="663"/>
      <c r="HG274" s="663"/>
      <c r="HH274" s="663"/>
      <c r="HI274" s="663"/>
      <c r="HJ274" s="663"/>
      <c r="HK274" s="663"/>
      <c r="HL274" s="663"/>
      <c r="HM274" s="663"/>
      <c r="HN274" s="663"/>
      <c r="HO274" s="663"/>
      <c r="HP274" s="663"/>
      <c r="HQ274" s="663"/>
      <c r="HR274" s="663"/>
      <c r="HS274" s="663"/>
      <c r="HT274" s="663"/>
      <c r="HU274" s="663"/>
      <c r="HV274" s="663"/>
      <c r="HW274" s="663"/>
      <c r="HX274" s="663"/>
      <c r="HY274" s="663"/>
      <c r="HZ274" s="663"/>
      <c r="IA274" s="663"/>
      <c r="IB274" s="663"/>
      <c r="IC274" s="663"/>
      <c r="ID274" s="663"/>
      <c r="IE274" s="663"/>
      <c r="IF274" s="663"/>
      <c r="IG274" s="663"/>
      <c r="IH274" s="663"/>
      <c r="II274" s="663"/>
      <c r="IJ274" s="663"/>
      <c r="IK274" s="663"/>
      <c r="IL274" s="663"/>
      <c r="IM274" s="663"/>
      <c r="IN274" s="663"/>
      <c r="IO274" s="663"/>
      <c r="IP274" s="663"/>
      <c r="IQ274" s="70"/>
    </row>
    <row r="275" spans="10:251" ht="16.5" hidden="1" customHeight="1">
      <c r="J275" s="214"/>
      <c r="R275" s="95"/>
      <c r="S275" s="95"/>
      <c r="T275" s="95"/>
      <c r="U275" s="70"/>
      <c r="V275" s="214"/>
      <c r="W275" s="70"/>
      <c r="X275" s="70"/>
      <c r="Y275" s="70"/>
      <c r="Z275" s="70"/>
      <c r="AA275" s="70"/>
      <c r="AB275" s="70"/>
      <c r="AC275" s="70"/>
      <c r="AD275" s="70"/>
      <c r="AE275" s="70"/>
      <c r="AF275" s="70"/>
      <c r="AG275" s="70"/>
      <c r="AH275" s="70"/>
      <c r="AI275" s="70"/>
      <c r="AJ275" s="70"/>
      <c r="AK275" s="70"/>
      <c r="AL275" s="70"/>
      <c r="AM275" s="70"/>
      <c r="AN275" s="70"/>
      <c r="AO275" s="70"/>
      <c r="AP275" s="70"/>
      <c r="AQ275" s="70"/>
      <c r="AR275" s="70"/>
      <c r="AS275" s="70"/>
      <c r="AT275" s="70"/>
      <c r="AU275" s="70"/>
      <c r="AV275" s="70"/>
      <c r="AW275" s="70"/>
      <c r="AX275" s="70"/>
      <c r="AY275" s="70"/>
      <c r="AZ275" s="70"/>
      <c r="BA275" s="70"/>
      <c r="BB275" s="70"/>
      <c r="BC275" s="70"/>
      <c r="BD275" s="70"/>
      <c r="BE275" s="70"/>
      <c r="BF275" s="70"/>
      <c r="BG275" s="70"/>
      <c r="BH275" s="70"/>
      <c r="BI275" s="70"/>
      <c r="BJ275" s="70"/>
      <c r="BK275" s="70"/>
      <c r="BL275" s="70"/>
      <c r="BM275" s="70"/>
      <c r="BN275" s="70"/>
      <c r="BO275" s="70"/>
      <c r="BP275" s="70"/>
      <c r="BQ275" s="70"/>
      <c r="BR275" s="70"/>
      <c r="BS275" s="70"/>
      <c r="BT275" s="70"/>
      <c r="BU275" s="70"/>
      <c r="BV275" s="70"/>
      <c r="BW275" s="70"/>
      <c r="BX275" s="70"/>
      <c r="BY275" s="70"/>
      <c r="BZ275" s="70"/>
      <c r="CA275" s="70"/>
      <c r="CB275" s="70"/>
      <c r="CC275" s="70"/>
      <c r="CD275" s="70"/>
      <c r="CE275" s="70"/>
      <c r="CF275" s="70"/>
      <c r="CG275" s="70"/>
      <c r="CH275" s="70"/>
      <c r="CI275" s="70"/>
      <c r="CJ275" s="70"/>
      <c r="CK275" s="70"/>
      <c r="CL275" s="70"/>
      <c r="CM275" s="70"/>
      <c r="CN275" s="70"/>
      <c r="CO275" s="70"/>
      <c r="CP275" s="70"/>
      <c r="CQ275" s="70"/>
      <c r="CR275" s="70"/>
      <c r="CS275" s="70"/>
      <c r="CT275" s="70"/>
      <c r="CU275" s="70"/>
      <c r="CV275" s="70"/>
      <c r="CW275" s="70"/>
      <c r="CX275" s="70"/>
      <c r="CY275" s="70"/>
      <c r="CZ275" s="70"/>
      <c r="DA275" s="70"/>
      <c r="DB275" s="70"/>
      <c r="DC275" s="70"/>
      <c r="DD275" s="70"/>
      <c r="DE275" s="70"/>
      <c r="DF275" s="70"/>
      <c r="DG275" s="70"/>
      <c r="DH275" s="70"/>
      <c r="DI275" s="70"/>
      <c r="DJ275" s="70"/>
      <c r="DK275" s="70"/>
      <c r="DL275" s="70"/>
      <c r="DM275" s="70"/>
      <c r="DN275" s="70"/>
      <c r="DO275" s="70"/>
      <c r="DP275" s="70"/>
      <c r="DQ275" s="70"/>
      <c r="DR275" s="70"/>
      <c r="DS275" s="70"/>
      <c r="DT275" s="70"/>
      <c r="DU275" s="70"/>
      <c r="DV275" s="70"/>
      <c r="DW275" s="70"/>
      <c r="DX275" s="70"/>
      <c r="DY275" s="70"/>
      <c r="DZ275" s="70"/>
      <c r="EA275" s="70"/>
      <c r="EB275" s="70"/>
      <c r="EC275" s="70"/>
      <c r="EE275" s="95" t="s">
        <v>450</v>
      </c>
      <c r="EF275" s="652"/>
      <c r="EG275" s="652"/>
      <c r="EH275" s="652"/>
      <c r="EI275" s="216"/>
      <c r="EJ275" s="663"/>
      <c r="EK275" s="663"/>
      <c r="EL275" s="663"/>
      <c r="EM275" s="663"/>
      <c r="EN275" s="663"/>
      <c r="EO275" s="663"/>
      <c r="EP275" s="663"/>
      <c r="EQ275" s="663"/>
      <c r="ER275" s="663"/>
      <c r="ES275" s="663"/>
      <c r="ET275" s="663"/>
      <c r="EU275" s="663"/>
      <c r="EV275" s="663"/>
      <c r="EW275" s="663"/>
      <c r="EX275" s="663"/>
      <c r="EY275" s="663"/>
      <c r="EZ275" s="663"/>
      <c r="FA275" s="663"/>
      <c r="FB275" s="663"/>
      <c r="FC275" s="663"/>
      <c r="FD275" s="663"/>
      <c r="FE275" s="663"/>
      <c r="FF275" s="663"/>
      <c r="FG275" s="663"/>
      <c r="FH275" s="663"/>
      <c r="FI275" s="663"/>
      <c r="FJ275" s="663"/>
      <c r="FK275" s="663"/>
      <c r="FL275" s="663"/>
      <c r="FM275" s="663"/>
      <c r="FN275" s="663"/>
      <c r="FO275" s="663"/>
      <c r="FP275" s="663"/>
      <c r="FQ275" s="663"/>
      <c r="FR275" s="663"/>
      <c r="FS275" s="663"/>
      <c r="FT275" s="663"/>
      <c r="FU275" s="663"/>
      <c r="FV275" s="663"/>
      <c r="FW275" s="663"/>
      <c r="FX275" s="663"/>
      <c r="FY275" s="663"/>
      <c r="FZ275" s="663"/>
      <c r="GA275" s="663"/>
      <c r="GB275" s="663"/>
      <c r="GC275" s="663"/>
      <c r="GD275" s="663"/>
      <c r="GE275" s="663"/>
      <c r="GF275" s="663"/>
      <c r="GG275" s="663"/>
      <c r="GH275" s="663"/>
      <c r="GI275" s="663"/>
      <c r="GJ275" s="663"/>
      <c r="GK275" s="663"/>
      <c r="GL275" s="663"/>
      <c r="GM275" s="663"/>
      <c r="GN275" s="663"/>
      <c r="GO275" s="663"/>
      <c r="GP275" s="663"/>
      <c r="GQ275" s="663"/>
      <c r="GR275" s="663"/>
      <c r="GS275" s="663"/>
      <c r="GT275" s="663"/>
      <c r="GU275" s="663"/>
      <c r="GV275" s="663"/>
      <c r="GW275" s="663"/>
      <c r="GX275" s="663"/>
      <c r="GY275" s="663"/>
      <c r="GZ275" s="663"/>
      <c r="HA275" s="663"/>
      <c r="HB275" s="663"/>
      <c r="HC275" s="663"/>
      <c r="HD275" s="663"/>
      <c r="HE275" s="663"/>
      <c r="HF275" s="663"/>
      <c r="HG275" s="663"/>
      <c r="HH275" s="663"/>
      <c r="HI275" s="663"/>
      <c r="HJ275" s="663"/>
      <c r="HK275" s="663"/>
      <c r="HL275" s="663"/>
      <c r="HM275" s="663"/>
      <c r="HN275" s="663"/>
      <c r="HO275" s="663"/>
      <c r="HP275" s="663"/>
      <c r="HQ275" s="663"/>
      <c r="HR275" s="663"/>
      <c r="HS275" s="663"/>
      <c r="HT275" s="663"/>
      <c r="HU275" s="663"/>
      <c r="HV275" s="663"/>
      <c r="HW275" s="663"/>
      <c r="HX275" s="663"/>
      <c r="HY275" s="663"/>
      <c r="HZ275" s="663"/>
      <c r="IA275" s="663"/>
      <c r="IB275" s="663"/>
      <c r="IC275" s="663"/>
      <c r="ID275" s="663"/>
      <c r="IE275" s="663"/>
      <c r="IF275" s="663"/>
      <c r="IG275" s="663"/>
      <c r="IH275" s="663"/>
      <c r="II275" s="663"/>
      <c r="IJ275" s="663"/>
      <c r="IK275" s="663"/>
      <c r="IL275" s="663"/>
      <c r="IM275" s="663"/>
      <c r="IN275" s="663"/>
      <c r="IO275" s="663"/>
      <c r="IP275" s="663"/>
    </row>
    <row r="276" spans="10:251" ht="16.5" hidden="1" customHeight="1">
      <c r="J276" s="214"/>
      <c r="R276" s="95"/>
      <c r="S276" s="95"/>
      <c r="T276" s="95"/>
      <c r="U276" s="70"/>
      <c r="V276" s="214"/>
      <c r="W276" s="70"/>
      <c r="X276" s="70"/>
      <c r="Y276" s="70"/>
      <c r="Z276" s="70"/>
      <c r="AA276" s="70"/>
      <c r="AB276" s="70"/>
      <c r="AC276" s="70"/>
      <c r="AD276" s="70"/>
      <c r="AE276" s="70"/>
      <c r="AF276" s="70"/>
      <c r="AG276" s="70"/>
      <c r="AH276" s="70"/>
      <c r="AI276" s="70"/>
      <c r="AJ276" s="70"/>
      <c r="AK276" s="70"/>
      <c r="AL276" s="70"/>
      <c r="AM276" s="70"/>
      <c r="AN276" s="70"/>
      <c r="AO276" s="70"/>
      <c r="AP276" s="70"/>
      <c r="AQ276" s="70"/>
      <c r="AR276" s="70"/>
      <c r="AS276" s="70"/>
      <c r="AT276" s="70"/>
      <c r="AU276" s="70"/>
      <c r="AV276" s="70"/>
      <c r="AW276" s="70"/>
      <c r="AX276" s="70"/>
      <c r="AY276" s="70"/>
      <c r="AZ276" s="70"/>
      <c r="BA276" s="70"/>
      <c r="BB276" s="70"/>
      <c r="BC276" s="70"/>
      <c r="BD276" s="70"/>
      <c r="BE276" s="70"/>
      <c r="BF276" s="70"/>
      <c r="BG276" s="70"/>
      <c r="BH276" s="70"/>
      <c r="BI276" s="70"/>
      <c r="BJ276" s="70"/>
      <c r="BK276" s="70"/>
      <c r="BL276" s="70"/>
      <c r="BM276" s="70"/>
      <c r="BN276" s="70"/>
      <c r="BO276" s="70"/>
      <c r="BP276" s="70"/>
      <c r="BQ276" s="70"/>
      <c r="BR276" s="70"/>
      <c r="BS276" s="70"/>
      <c r="BT276" s="70"/>
      <c r="BU276" s="70"/>
      <c r="BV276" s="70"/>
      <c r="BW276" s="70"/>
      <c r="BX276" s="70"/>
      <c r="BY276" s="70"/>
      <c r="BZ276" s="70"/>
      <c r="CA276" s="70"/>
      <c r="CB276" s="70"/>
      <c r="CC276" s="70"/>
      <c r="CD276" s="70"/>
      <c r="CE276" s="70"/>
      <c r="CF276" s="70"/>
      <c r="CG276" s="70"/>
      <c r="CH276" s="70"/>
      <c r="CI276" s="70"/>
      <c r="CJ276" s="70"/>
      <c r="CK276" s="70"/>
      <c r="CL276" s="70"/>
      <c r="CM276" s="70"/>
      <c r="CN276" s="70"/>
      <c r="CO276" s="70"/>
      <c r="CP276" s="70"/>
      <c r="CQ276" s="70"/>
      <c r="CR276" s="70"/>
      <c r="CS276" s="70"/>
      <c r="CT276" s="70"/>
      <c r="CU276" s="70"/>
      <c r="CV276" s="70"/>
      <c r="CW276" s="70"/>
      <c r="CX276" s="70"/>
      <c r="CY276" s="70"/>
      <c r="CZ276" s="70"/>
      <c r="DA276" s="70"/>
      <c r="DB276" s="70"/>
      <c r="DC276" s="70"/>
      <c r="DD276" s="70"/>
      <c r="DE276" s="70"/>
      <c r="DF276" s="70"/>
      <c r="DG276" s="70"/>
      <c r="DH276" s="70"/>
      <c r="DI276" s="70"/>
      <c r="DJ276" s="70"/>
      <c r="DK276" s="70"/>
      <c r="DL276" s="70"/>
      <c r="DM276" s="70"/>
      <c r="DN276" s="70"/>
      <c r="DO276" s="70"/>
      <c r="DP276" s="70"/>
      <c r="DQ276" s="70"/>
      <c r="DR276" s="70"/>
      <c r="DS276" s="70"/>
      <c r="DT276" s="70"/>
      <c r="DU276" s="70"/>
      <c r="DV276" s="70"/>
      <c r="DW276" s="70"/>
      <c r="DX276" s="70"/>
      <c r="DY276" s="70"/>
      <c r="DZ276" s="70"/>
      <c r="EA276" s="70"/>
      <c r="EB276" s="70"/>
      <c r="EC276" s="70"/>
      <c r="EE276" s="95" t="s">
        <v>450</v>
      </c>
      <c r="EF276" s="652"/>
      <c r="EG276" s="652"/>
      <c r="EH276" s="652"/>
      <c r="EI276" s="216"/>
      <c r="EJ276" s="663"/>
      <c r="EK276" s="663"/>
      <c r="EL276" s="663"/>
      <c r="EM276" s="663"/>
      <c r="EN276" s="663"/>
      <c r="EO276" s="663"/>
      <c r="EP276" s="663"/>
      <c r="EQ276" s="663"/>
      <c r="ER276" s="663"/>
      <c r="ES276" s="663"/>
      <c r="ET276" s="663"/>
      <c r="EU276" s="663"/>
      <c r="EV276" s="663"/>
      <c r="EW276" s="663"/>
      <c r="EX276" s="663"/>
      <c r="EY276" s="663"/>
      <c r="EZ276" s="663"/>
      <c r="FA276" s="663"/>
      <c r="FB276" s="663"/>
      <c r="FC276" s="663"/>
      <c r="FD276" s="663"/>
      <c r="FE276" s="663"/>
      <c r="FF276" s="663"/>
      <c r="FG276" s="663"/>
      <c r="FH276" s="663"/>
      <c r="FI276" s="663"/>
      <c r="FJ276" s="663"/>
      <c r="FK276" s="663"/>
      <c r="FL276" s="663"/>
      <c r="FM276" s="663"/>
      <c r="FN276" s="663"/>
      <c r="FO276" s="663"/>
      <c r="FP276" s="663"/>
      <c r="FQ276" s="663"/>
      <c r="FR276" s="663"/>
      <c r="FS276" s="663"/>
      <c r="FT276" s="663"/>
      <c r="FU276" s="663"/>
      <c r="FV276" s="663"/>
      <c r="FW276" s="663"/>
      <c r="FX276" s="663"/>
      <c r="FY276" s="663"/>
      <c r="FZ276" s="663"/>
      <c r="GA276" s="663"/>
      <c r="GB276" s="663"/>
      <c r="GC276" s="663"/>
      <c r="GD276" s="663"/>
      <c r="GE276" s="663"/>
      <c r="GF276" s="663"/>
      <c r="GG276" s="663"/>
      <c r="GH276" s="663"/>
      <c r="GI276" s="663"/>
      <c r="GJ276" s="663"/>
      <c r="GK276" s="663"/>
      <c r="GL276" s="663"/>
      <c r="GM276" s="663"/>
      <c r="GN276" s="663"/>
      <c r="GO276" s="663"/>
      <c r="GP276" s="663"/>
      <c r="GQ276" s="663"/>
      <c r="GR276" s="663"/>
      <c r="GS276" s="663"/>
      <c r="GT276" s="663"/>
      <c r="GU276" s="663"/>
      <c r="GV276" s="663"/>
      <c r="GW276" s="663"/>
      <c r="GX276" s="663"/>
      <c r="GY276" s="663"/>
      <c r="GZ276" s="663"/>
      <c r="HA276" s="663"/>
      <c r="HB276" s="663"/>
      <c r="HC276" s="663"/>
      <c r="HD276" s="663"/>
      <c r="HE276" s="663"/>
      <c r="HF276" s="663"/>
      <c r="HG276" s="663"/>
      <c r="HH276" s="663"/>
      <c r="HI276" s="663"/>
      <c r="HJ276" s="663"/>
      <c r="HK276" s="663"/>
      <c r="HL276" s="663"/>
      <c r="HM276" s="663"/>
      <c r="HN276" s="663"/>
      <c r="HO276" s="663"/>
      <c r="HP276" s="663"/>
      <c r="HQ276" s="663"/>
      <c r="HR276" s="663"/>
      <c r="HS276" s="663"/>
      <c r="HT276" s="663"/>
      <c r="HU276" s="663"/>
      <c r="HV276" s="663"/>
      <c r="HW276" s="663"/>
      <c r="HX276" s="663"/>
      <c r="HY276" s="663"/>
      <c r="HZ276" s="663"/>
      <c r="IA276" s="663"/>
      <c r="IB276" s="663"/>
      <c r="IC276" s="663"/>
      <c r="ID276" s="663"/>
      <c r="IE276" s="663"/>
      <c r="IF276" s="663"/>
      <c r="IG276" s="663"/>
      <c r="IH276" s="663"/>
      <c r="II276" s="663"/>
      <c r="IJ276" s="663"/>
      <c r="IK276" s="663"/>
      <c r="IL276" s="663"/>
      <c r="IM276" s="663"/>
      <c r="IN276" s="663"/>
      <c r="IO276" s="663"/>
      <c r="IP276" s="663"/>
    </row>
    <row r="277" spans="10:251" ht="16.5" hidden="1" customHeight="1">
      <c r="J277" s="214"/>
      <c r="R277" s="95"/>
      <c r="S277" s="95"/>
      <c r="T277" s="95"/>
      <c r="U277" s="70"/>
      <c r="V277" s="214"/>
      <c r="W277" s="70"/>
      <c r="X277" s="70"/>
      <c r="Y277" s="70"/>
      <c r="Z277" s="70"/>
      <c r="AA277" s="70"/>
      <c r="AB277" s="70"/>
      <c r="AC277" s="70"/>
      <c r="AD277" s="70"/>
      <c r="AE277" s="70"/>
      <c r="AF277" s="70"/>
      <c r="AG277" s="70"/>
      <c r="AH277" s="70"/>
      <c r="AI277" s="70"/>
      <c r="AJ277" s="70"/>
      <c r="AK277" s="70"/>
      <c r="AL277" s="70"/>
      <c r="AM277" s="70"/>
      <c r="AN277" s="70"/>
      <c r="AO277" s="70"/>
      <c r="AP277" s="70"/>
      <c r="AQ277" s="70"/>
      <c r="AR277" s="70"/>
      <c r="AS277" s="70"/>
      <c r="AT277" s="70"/>
      <c r="AU277" s="70"/>
      <c r="AV277" s="70"/>
      <c r="AW277" s="70"/>
      <c r="AX277" s="70"/>
      <c r="AY277" s="70"/>
      <c r="AZ277" s="70"/>
      <c r="BA277" s="70"/>
      <c r="BB277" s="70"/>
      <c r="BC277" s="70"/>
      <c r="BD277" s="70"/>
      <c r="BE277" s="70"/>
      <c r="BF277" s="70"/>
      <c r="BG277" s="70"/>
      <c r="BH277" s="70"/>
      <c r="BI277" s="70"/>
      <c r="BJ277" s="70"/>
      <c r="BK277" s="70"/>
      <c r="BL277" s="70"/>
      <c r="BM277" s="70"/>
      <c r="BN277" s="70"/>
      <c r="BO277" s="70"/>
      <c r="BP277" s="70"/>
      <c r="BQ277" s="70"/>
      <c r="BR277" s="70"/>
      <c r="BS277" s="70"/>
      <c r="BT277" s="70"/>
      <c r="BU277" s="70"/>
      <c r="BV277" s="70"/>
      <c r="BW277" s="70"/>
      <c r="BX277" s="70"/>
      <c r="BY277" s="70"/>
      <c r="BZ277" s="70"/>
      <c r="CA277" s="70"/>
      <c r="CB277" s="70"/>
      <c r="CC277" s="70"/>
      <c r="CD277" s="70"/>
      <c r="CE277" s="70"/>
      <c r="CF277" s="70"/>
      <c r="CG277" s="70"/>
      <c r="CH277" s="70"/>
      <c r="CI277" s="70"/>
      <c r="CJ277" s="70"/>
      <c r="CK277" s="70"/>
      <c r="CL277" s="70"/>
      <c r="CM277" s="70"/>
      <c r="CN277" s="70"/>
      <c r="CO277" s="70"/>
      <c r="CP277" s="70"/>
      <c r="CQ277" s="70"/>
      <c r="CR277" s="70"/>
      <c r="CS277" s="70"/>
      <c r="CT277" s="70"/>
      <c r="CU277" s="70"/>
      <c r="CV277" s="70"/>
      <c r="CW277" s="70"/>
      <c r="CX277" s="70"/>
      <c r="CY277" s="70"/>
      <c r="CZ277" s="70"/>
      <c r="DA277" s="70"/>
      <c r="DB277" s="70"/>
      <c r="DC277" s="70"/>
      <c r="DD277" s="70"/>
      <c r="DE277" s="70"/>
      <c r="DF277" s="70"/>
      <c r="DG277" s="70"/>
      <c r="DH277" s="70"/>
      <c r="DI277" s="70"/>
      <c r="DJ277" s="70"/>
      <c r="DK277" s="70"/>
      <c r="DL277" s="70"/>
      <c r="DM277" s="70"/>
      <c r="DN277" s="70"/>
      <c r="DO277" s="70"/>
      <c r="DP277" s="70"/>
      <c r="DQ277" s="70"/>
      <c r="DR277" s="70"/>
      <c r="DS277" s="70"/>
      <c r="DT277" s="70"/>
      <c r="DU277" s="70"/>
      <c r="DV277" s="70"/>
      <c r="DW277" s="70"/>
      <c r="DX277" s="70"/>
      <c r="DY277" s="70"/>
      <c r="DZ277" s="70"/>
      <c r="EA277" s="70"/>
      <c r="EB277" s="70"/>
      <c r="EC277" s="70"/>
      <c r="EE277" s="95" t="s">
        <v>450</v>
      </c>
      <c r="EF277" s="652"/>
      <c r="EG277" s="652"/>
      <c r="EH277" s="652"/>
      <c r="EI277" s="216"/>
      <c r="EJ277" s="663"/>
      <c r="EK277" s="663"/>
      <c r="EL277" s="663"/>
      <c r="EM277" s="663"/>
      <c r="EN277" s="663"/>
      <c r="EO277" s="663"/>
      <c r="EP277" s="663"/>
      <c r="EQ277" s="663"/>
      <c r="ER277" s="663"/>
      <c r="ES277" s="663"/>
      <c r="ET277" s="663"/>
      <c r="EU277" s="663"/>
      <c r="EV277" s="663"/>
      <c r="EW277" s="663"/>
      <c r="EX277" s="663"/>
      <c r="EY277" s="663"/>
      <c r="EZ277" s="663"/>
      <c r="FA277" s="663"/>
      <c r="FB277" s="663"/>
      <c r="FC277" s="663"/>
      <c r="FD277" s="663"/>
      <c r="FE277" s="663"/>
      <c r="FF277" s="663"/>
      <c r="FG277" s="663"/>
      <c r="FH277" s="663"/>
      <c r="FI277" s="663"/>
      <c r="FJ277" s="663"/>
      <c r="FK277" s="663"/>
      <c r="FL277" s="663"/>
      <c r="FM277" s="663"/>
      <c r="FN277" s="663"/>
      <c r="FO277" s="663"/>
      <c r="FP277" s="663"/>
      <c r="FQ277" s="663"/>
      <c r="FR277" s="663"/>
      <c r="FS277" s="663"/>
      <c r="FT277" s="663"/>
      <c r="FU277" s="663"/>
      <c r="FV277" s="663"/>
      <c r="FW277" s="663"/>
      <c r="FX277" s="663"/>
      <c r="FY277" s="663"/>
      <c r="FZ277" s="663"/>
      <c r="GA277" s="663"/>
      <c r="GB277" s="663"/>
      <c r="GC277" s="663"/>
      <c r="GD277" s="663"/>
      <c r="GE277" s="663"/>
      <c r="GF277" s="663"/>
      <c r="GG277" s="663"/>
      <c r="GH277" s="663"/>
      <c r="GI277" s="663"/>
      <c r="GJ277" s="663"/>
      <c r="GK277" s="663"/>
      <c r="GL277" s="663"/>
      <c r="GM277" s="663"/>
      <c r="GN277" s="663"/>
      <c r="GO277" s="663"/>
      <c r="GP277" s="663"/>
      <c r="GQ277" s="663"/>
      <c r="GR277" s="663"/>
      <c r="GS277" s="663"/>
      <c r="GT277" s="663"/>
      <c r="GU277" s="663"/>
      <c r="GV277" s="663"/>
      <c r="GW277" s="663"/>
      <c r="GX277" s="663"/>
      <c r="GY277" s="663"/>
      <c r="GZ277" s="663"/>
      <c r="HA277" s="663"/>
      <c r="HB277" s="663"/>
      <c r="HC277" s="663"/>
      <c r="HD277" s="663"/>
      <c r="HE277" s="663"/>
      <c r="HF277" s="663"/>
      <c r="HG277" s="663"/>
      <c r="HH277" s="663"/>
      <c r="HI277" s="663"/>
      <c r="HJ277" s="663"/>
      <c r="HK277" s="663"/>
      <c r="HL277" s="663"/>
      <c r="HM277" s="663"/>
      <c r="HN277" s="663"/>
      <c r="HO277" s="663"/>
      <c r="HP277" s="663"/>
      <c r="HQ277" s="663"/>
      <c r="HR277" s="663"/>
      <c r="HS277" s="663"/>
      <c r="HT277" s="663"/>
      <c r="HU277" s="663"/>
      <c r="HV277" s="663"/>
      <c r="HW277" s="663"/>
      <c r="HX277" s="663"/>
      <c r="HY277" s="663"/>
      <c r="HZ277" s="663"/>
      <c r="IA277" s="663"/>
      <c r="IB277" s="663"/>
      <c r="IC277" s="663"/>
      <c r="ID277" s="663"/>
      <c r="IE277" s="663"/>
      <c r="IF277" s="663"/>
      <c r="IG277" s="663"/>
      <c r="IH277" s="663"/>
      <c r="II277" s="663"/>
      <c r="IJ277" s="663"/>
      <c r="IK277" s="663"/>
      <c r="IL277" s="663"/>
      <c r="IM277" s="663"/>
      <c r="IN277" s="663"/>
      <c r="IO277" s="663"/>
      <c r="IP277" s="663"/>
    </row>
    <row r="278" spans="10:251" ht="16.5" hidden="1" customHeight="1">
      <c r="J278" s="214"/>
      <c r="R278" s="95"/>
      <c r="S278" s="95"/>
      <c r="T278" s="95"/>
      <c r="U278" s="70"/>
      <c r="V278" s="214"/>
      <c r="W278" s="70"/>
      <c r="X278" s="70"/>
      <c r="Y278" s="70"/>
      <c r="Z278" s="70"/>
      <c r="AA278" s="70"/>
      <c r="AB278" s="70"/>
      <c r="AC278" s="70"/>
      <c r="AD278" s="70"/>
      <c r="AE278" s="70"/>
      <c r="AF278" s="70"/>
      <c r="AG278" s="70"/>
      <c r="AH278" s="70"/>
      <c r="AI278" s="70"/>
      <c r="AJ278" s="70"/>
      <c r="AK278" s="70"/>
      <c r="AL278" s="70"/>
      <c r="AM278" s="70"/>
      <c r="AN278" s="70"/>
      <c r="AO278" s="70"/>
      <c r="AP278" s="70"/>
      <c r="AQ278" s="70"/>
      <c r="AR278" s="70"/>
      <c r="AS278" s="70"/>
      <c r="AT278" s="70"/>
      <c r="AU278" s="70"/>
      <c r="AV278" s="70"/>
      <c r="AW278" s="70"/>
      <c r="AX278" s="70"/>
      <c r="AY278" s="70"/>
      <c r="AZ278" s="70"/>
      <c r="BA278" s="70"/>
      <c r="BB278" s="70"/>
      <c r="BC278" s="70"/>
      <c r="BD278" s="70"/>
      <c r="BE278" s="70"/>
      <c r="BF278" s="70"/>
      <c r="BG278" s="70"/>
      <c r="BH278" s="70"/>
      <c r="BI278" s="70"/>
      <c r="BJ278" s="70"/>
      <c r="BK278" s="70"/>
      <c r="BL278" s="70"/>
      <c r="BM278" s="70"/>
      <c r="BN278" s="70"/>
      <c r="BO278" s="70"/>
      <c r="BP278" s="70"/>
      <c r="BQ278" s="70"/>
      <c r="BR278" s="70"/>
      <c r="BS278" s="70"/>
      <c r="BT278" s="70"/>
      <c r="BU278" s="70"/>
      <c r="BV278" s="70"/>
      <c r="BW278" s="70"/>
      <c r="BX278" s="70"/>
      <c r="BY278" s="70"/>
      <c r="BZ278" s="70"/>
      <c r="CA278" s="70"/>
      <c r="CB278" s="70"/>
      <c r="CC278" s="70"/>
      <c r="CD278" s="70"/>
      <c r="CE278" s="70"/>
      <c r="CF278" s="70"/>
      <c r="CG278" s="70"/>
      <c r="CH278" s="70"/>
      <c r="CI278" s="70"/>
      <c r="CJ278" s="70"/>
      <c r="CK278" s="70"/>
      <c r="CL278" s="70"/>
      <c r="CM278" s="70"/>
      <c r="CN278" s="70"/>
      <c r="CO278" s="70"/>
      <c r="CP278" s="70"/>
      <c r="CQ278" s="70"/>
      <c r="CR278" s="70"/>
      <c r="CS278" s="70"/>
      <c r="CT278" s="70"/>
      <c r="CU278" s="70"/>
      <c r="CV278" s="70"/>
      <c r="CW278" s="70"/>
      <c r="CX278" s="70"/>
      <c r="CY278" s="70"/>
      <c r="CZ278" s="70"/>
      <c r="DA278" s="70"/>
      <c r="DB278" s="70"/>
      <c r="DC278" s="70"/>
      <c r="DD278" s="70"/>
      <c r="DE278" s="70"/>
      <c r="DF278" s="70"/>
      <c r="DG278" s="70"/>
      <c r="DH278" s="70"/>
      <c r="DI278" s="70"/>
      <c r="DJ278" s="70"/>
      <c r="DK278" s="70"/>
      <c r="DL278" s="70"/>
      <c r="DM278" s="70"/>
      <c r="DN278" s="70"/>
      <c r="DO278" s="70"/>
      <c r="DP278" s="70"/>
      <c r="DQ278" s="70"/>
      <c r="DR278" s="70"/>
      <c r="DS278" s="70"/>
      <c r="DT278" s="70"/>
      <c r="DU278" s="70"/>
      <c r="DV278" s="70"/>
      <c r="DW278" s="70"/>
      <c r="DX278" s="70"/>
      <c r="DY278" s="70"/>
      <c r="DZ278" s="70"/>
      <c r="EA278" s="70"/>
      <c r="EB278" s="70"/>
      <c r="EC278" s="70"/>
      <c r="ED278" s="69"/>
      <c r="EE278" s="95" t="s">
        <v>450</v>
      </c>
      <c r="EF278" s="652"/>
      <c r="EG278" s="652"/>
      <c r="EH278" s="652"/>
      <c r="EI278" s="216"/>
      <c r="EJ278" s="663"/>
      <c r="EK278" s="663"/>
      <c r="EL278" s="663"/>
      <c r="EM278" s="663"/>
      <c r="EN278" s="663"/>
      <c r="EO278" s="663"/>
      <c r="EP278" s="663"/>
      <c r="EQ278" s="663"/>
      <c r="ER278" s="663"/>
      <c r="ES278" s="663"/>
      <c r="ET278" s="663"/>
      <c r="EU278" s="663"/>
      <c r="EV278" s="663"/>
      <c r="EW278" s="663"/>
      <c r="EX278" s="663"/>
      <c r="EY278" s="663"/>
      <c r="EZ278" s="663"/>
      <c r="FA278" s="663"/>
      <c r="FB278" s="663"/>
      <c r="FC278" s="663"/>
      <c r="FD278" s="663"/>
      <c r="FE278" s="663"/>
      <c r="FF278" s="663"/>
      <c r="FG278" s="663"/>
      <c r="FH278" s="663"/>
      <c r="FI278" s="663"/>
      <c r="FJ278" s="663"/>
      <c r="FK278" s="663"/>
      <c r="FL278" s="663"/>
      <c r="FM278" s="663"/>
      <c r="FN278" s="663"/>
      <c r="FO278" s="663"/>
      <c r="FP278" s="663"/>
      <c r="FQ278" s="663"/>
      <c r="FR278" s="663"/>
      <c r="FS278" s="663"/>
      <c r="FT278" s="663"/>
      <c r="FU278" s="663"/>
      <c r="FV278" s="663"/>
      <c r="FW278" s="663"/>
      <c r="FX278" s="663"/>
      <c r="FY278" s="663"/>
      <c r="FZ278" s="663"/>
      <c r="GA278" s="663"/>
      <c r="GB278" s="663"/>
      <c r="GC278" s="663"/>
      <c r="GD278" s="663"/>
      <c r="GE278" s="663"/>
      <c r="GF278" s="663"/>
      <c r="GG278" s="663"/>
      <c r="GH278" s="663"/>
      <c r="GI278" s="663"/>
      <c r="GJ278" s="663"/>
      <c r="GK278" s="663"/>
      <c r="GL278" s="663"/>
      <c r="GM278" s="663"/>
      <c r="GN278" s="663"/>
      <c r="GO278" s="663"/>
      <c r="GP278" s="663"/>
      <c r="GQ278" s="663"/>
      <c r="GR278" s="663"/>
      <c r="GS278" s="663"/>
      <c r="GT278" s="663"/>
      <c r="GU278" s="663"/>
      <c r="GV278" s="663"/>
      <c r="GW278" s="663"/>
      <c r="GX278" s="663"/>
      <c r="GY278" s="663"/>
      <c r="GZ278" s="663"/>
      <c r="HA278" s="663"/>
      <c r="HB278" s="663"/>
      <c r="HC278" s="663"/>
      <c r="HD278" s="663"/>
      <c r="HE278" s="663"/>
      <c r="HF278" s="663"/>
      <c r="HG278" s="663"/>
      <c r="HH278" s="663"/>
      <c r="HI278" s="663"/>
      <c r="HJ278" s="663"/>
      <c r="HK278" s="663"/>
      <c r="HL278" s="663"/>
      <c r="HM278" s="663"/>
      <c r="HN278" s="663"/>
      <c r="HO278" s="663"/>
      <c r="HP278" s="663"/>
      <c r="HQ278" s="663"/>
      <c r="HR278" s="663"/>
      <c r="HS278" s="663"/>
      <c r="HT278" s="663"/>
      <c r="HU278" s="663"/>
      <c r="HV278" s="663"/>
      <c r="HW278" s="663"/>
      <c r="HX278" s="663"/>
      <c r="HY278" s="663"/>
      <c r="HZ278" s="663"/>
      <c r="IA278" s="663"/>
      <c r="IB278" s="663"/>
      <c r="IC278" s="663"/>
      <c r="ID278" s="663"/>
      <c r="IE278" s="663"/>
      <c r="IF278" s="663"/>
      <c r="IG278" s="663"/>
      <c r="IH278" s="663"/>
      <c r="II278" s="663"/>
      <c r="IJ278" s="663"/>
      <c r="IK278" s="663"/>
      <c r="IL278" s="663"/>
      <c r="IM278" s="663"/>
      <c r="IN278" s="663"/>
      <c r="IO278" s="663"/>
      <c r="IP278" s="663"/>
      <c r="IQ278" s="69"/>
    </row>
    <row r="279" spans="10:251" ht="16.5" hidden="1" customHeight="1">
      <c r="J279" s="214"/>
      <c r="R279" s="95"/>
      <c r="S279" s="95"/>
      <c r="T279" s="95"/>
      <c r="U279" s="70"/>
      <c r="V279" s="214"/>
      <c r="W279" s="70"/>
      <c r="X279" s="70"/>
      <c r="Y279" s="70"/>
      <c r="Z279" s="70"/>
      <c r="AA279" s="70"/>
      <c r="AB279" s="70"/>
      <c r="AC279" s="70"/>
      <c r="AD279" s="70"/>
      <c r="AE279" s="70"/>
      <c r="AF279" s="70"/>
      <c r="AG279" s="70"/>
      <c r="AH279" s="70"/>
      <c r="AI279" s="70"/>
      <c r="AJ279" s="70"/>
      <c r="AK279" s="70"/>
      <c r="AL279" s="70"/>
      <c r="AM279" s="70"/>
      <c r="AN279" s="70"/>
      <c r="AO279" s="70"/>
      <c r="AP279" s="70"/>
      <c r="AQ279" s="70"/>
      <c r="AR279" s="70"/>
      <c r="AS279" s="70"/>
      <c r="AT279" s="70"/>
      <c r="AU279" s="70"/>
      <c r="AV279" s="70"/>
      <c r="AW279" s="70"/>
      <c r="AX279" s="70"/>
      <c r="AY279" s="70"/>
      <c r="AZ279" s="70"/>
      <c r="BA279" s="70"/>
      <c r="BB279" s="70"/>
      <c r="BC279" s="70"/>
      <c r="BD279" s="70"/>
      <c r="BE279" s="70"/>
      <c r="BF279" s="70"/>
      <c r="BG279" s="70"/>
      <c r="BH279" s="70"/>
      <c r="BI279" s="70"/>
      <c r="BJ279" s="70"/>
      <c r="BK279" s="70"/>
      <c r="BL279" s="70"/>
      <c r="BM279" s="70"/>
      <c r="BN279" s="70"/>
      <c r="BO279" s="70"/>
      <c r="BP279" s="70"/>
      <c r="BQ279" s="70"/>
      <c r="BR279" s="70"/>
      <c r="BS279" s="70"/>
      <c r="BT279" s="70"/>
      <c r="BU279" s="70"/>
      <c r="BV279" s="70"/>
      <c r="BW279" s="70"/>
      <c r="BX279" s="70"/>
      <c r="BY279" s="70"/>
      <c r="BZ279" s="70"/>
      <c r="CA279" s="70"/>
      <c r="CB279" s="70"/>
      <c r="CC279" s="70"/>
      <c r="CD279" s="70"/>
      <c r="CE279" s="70"/>
      <c r="CF279" s="70"/>
      <c r="CG279" s="70"/>
      <c r="CH279" s="70"/>
      <c r="CI279" s="70"/>
      <c r="CJ279" s="70"/>
      <c r="CK279" s="70"/>
      <c r="CL279" s="70"/>
      <c r="CM279" s="70"/>
      <c r="CN279" s="70"/>
      <c r="CO279" s="70"/>
      <c r="CP279" s="70"/>
      <c r="CQ279" s="70"/>
      <c r="CR279" s="70"/>
      <c r="CS279" s="70"/>
      <c r="CT279" s="70"/>
      <c r="CU279" s="70"/>
      <c r="CV279" s="70"/>
      <c r="CW279" s="70"/>
      <c r="CX279" s="70"/>
      <c r="CY279" s="70"/>
      <c r="CZ279" s="70"/>
      <c r="DA279" s="70"/>
      <c r="DB279" s="70"/>
      <c r="DC279" s="70"/>
      <c r="DD279" s="70"/>
      <c r="DE279" s="70"/>
      <c r="DF279" s="70"/>
      <c r="DG279" s="70"/>
      <c r="DH279" s="70"/>
      <c r="DI279" s="70"/>
      <c r="DJ279" s="70"/>
      <c r="DK279" s="70"/>
      <c r="DL279" s="70"/>
      <c r="DM279" s="70"/>
      <c r="DN279" s="70"/>
      <c r="DO279" s="70"/>
      <c r="DP279" s="70"/>
      <c r="DQ279" s="70"/>
      <c r="DR279" s="70"/>
      <c r="DS279" s="70"/>
      <c r="DT279" s="70"/>
      <c r="DU279" s="70"/>
      <c r="DV279" s="70"/>
      <c r="DW279" s="70"/>
      <c r="DX279" s="70"/>
      <c r="DY279" s="70"/>
      <c r="DZ279" s="70"/>
      <c r="EA279" s="70"/>
      <c r="EB279" s="70"/>
      <c r="EC279" s="70"/>
      <c r="ED279" s="70"/>
      <c r="EE279" s="95" t="s">
        <v>450</v>
      </c>
      <c r="EF279" s="652"/>
      <c r="EG279" s="652"/>
      <c r="EH279" s="652"/>
      <c r="EI279" s="216"/>
      <c r="EJ279" s="663"/>
      <c r="EK279" s="663"/>
      <c r="EL279" s="663"/>
      <c r="EM279" s="663"/>
      <c r="EN279" s="663"/>
      <c r="EO279" s="663"/>
      <c r="EP279" s="663"/>
      <c r="EQ279" s="663"/>
      <c r="ER279" s="663"/>
      <c r="ES279" s="663"/>
      <c r="ET279" s="663"/>
      <c r="EU279" s="663"/>
      <c r="EV279" s="663"/>
      <c r="EW279" s="663"/>
      <c r="EX279" s="663"/>
      <c r="EY279" s="663"/>
      <c r="EZ279" s="663"/>
      <c r="FA279" s="663"/>
      <c r="FB279" s="663"/>
      <c r="FC279" s="663"/>
      <c r="FD279" s="663"/>
      <c r="FE279" s="663"/>
      <c r="FF279" s="663"/>
      <c r="FG279" s="663"/>
      <c r="FH279" s="663"/>
      <c r="FI279" s="663"/>
      <c r="FJ279" s="663"/>
      <c r="FK279" s="663"/>
      <c r="FL279" s="663"/>
      <c r="FM279" s="663"/>
      <c r="FN279" s="663"/>
      <c r="FO279" s="663"/>
      <c r="FP279" s="663"/>
      <c r="FQ279" s="663"/>
      <c r="FR279" s="663"/>
      <c r="FS279" s="663"/>
      <c r="FT279" s="663"/>
      <c r="FU279" s="663"/>
      <c r="FV279" s="663"/>
      <c r="FW279" s="663"/>
      <c r="FX279" s="663"/>
      <c r="FY279" s="663"/>
      <c r="FZ279" s="663"/>
      <c r="GA279" s="663"/>
      <c r="GB279" s="663"/>
      <c r="GC279" s="663"/>
      <c r="GD279" s="663"/>
      <c r="GE279" s="663"/>
      <c r="GF279" s="663"/>
      <c r="GG279" s="663"/>
      <c r="GH279" s="663"/>
      <c r="GI279" s="663"/>
      <c r="GJ279" s="663"/>
      <c r="GK279" s="663"/>
      <c r="GL279" s="663"/>
      <c r="GM279" s="663"/>
      <c r="GN279" s="663"/>
      <c r="GO279" s="663"/>
      <c r="GP279" s="663"/>
      <c r="GQ279" s="663"/>
      <c r="GR279" s="663"/>
      <c r="GS279" s="663"/>
      <c r="GT279" s="663"/>
      <c r="GU279" s="663"/>
      <c r="GV279" s="663"/>
      <c r="GW279" s="663"/>
      <c r="GX279" s="663"/>
      <c r="GY279" s="663"/>
      <c r="GZ279" s="663"/>
      <c r="HA279" s="663"/>
      <c r="HB279" s="663"/>
      <c r="HC279" s="663"/>
      <c r="HD279" s="663"/>
      <c r="HE279" s="663"/>
      <c r="HF279" s="663"/>
      <c r="HG279" s="663"/>
      <c r="HH279" s="663"/>
      <c r="HI279" s="663"/>
      <c r="HJ279" s="663"/>
      <c r="HK279" s="663"/>
      <c r="HL279" s="663"/>
      <c r="HM279" s="663"/>
      <c r="HN279" s="663"/>
      <c r="HO279" s="663"/>
      <c r="HP279" s="663"/>
      <c r="HQ279" s="663"/>
      <c r="HR279" s="663"/>
      <c r="HS279" s="663"/>
      <c r="HT279" s="663"/>
      <c r="HU279" s="663"/>
      <c r="HV279" s="663"/>
      <c r="HW279" s="663"/>
      <c r="HX279" s="663"/>
      <c r="HY279" s="663"/>
      <c r="HZ279" s="663"/>
      <c r="IA279" s="663"/>
      <c r="IB279" s="663"/>
      <c r="IC279" s="663"/>
      <c r="ID279" s="663"/>
      <c r="IE279" s="663"/>
      <c r="IF279" s="663"/>
      <c r="IG279" s="663"/>
      <c r="IH279" s="663"/>
      <c r="II279" s="663"/>
      <c r="IJ279" s="663"/>
      <c r="IK279" s="663"/>
      <c r="IL279" s="663"/>
      <c r="IM279" s="663"/>
      <c r="IN279" s="663"/>
      <c r="IO279" s="663"/>
      <c r="IP279" s="663"/>
      <c r="IQ279" s="70"/>
    </row>
    <row r="280" spans="10:251" ht="16.5" hidden="1" customHeight="1">
      <c r="J280" s="214"/>
      <c r="R280" s="95"/>
      <c r="S280" s="95"/>
      <c r="T280" s="95"/>
      <c r="U280" s="70"/>
      <c r="V280" s="214"/>
      <c r="W280" s="70"/>
      <c r="X280" s="70"/>
      <c r="Y280" s="70"/>
      <c r="Z280" s="70"/>
      <c r="AA280" s="70"/>
      <c r="AB280" s="70"/>
      <c r="AC280" s="70"/>
      <c r="AD280" s="70"/>
      <c r="AE280" s="70"/>
      <c r="AF280" s="70"/>
      <c r="AG280" s="70"/>
      <c r="AH280" s="70"/>
      <c r="AI280" s="70"/>
      <c r="AJ280" s="70"/>
      <c r="AK280" s="70"/>
      <c r="AL280" s="70"/>
      <c r="AM280" s="70"/>
      <c r="AN280" s="70"/>
      <c r="AO280" s="70"/>
      <c r="AP280" s="70"/>
      <c r="AQ280" s="70"/>
      <c r="AR280" s="70"/>
      <c r="AS280" s="70"/>
      <c r="AT280" s="70"/>
      <c r="AU280" s="70"/>
      <c r="AV280" s="70"/>
      <c r="AW280" s="70"/>
      <c r="AX280" s="70"/>
      <c r="AY280" s="70"/>
      <c r="AZ280" s="70"/>
      <c r="BA280" s="70"/>
      <c r="BB280" s="70"/>
      <c r="BC280" s="70"/>
      <c r="BD280" s="70"/>
      <c r="BE280" s="70"/>
      <c r="BF280" s="70"/>
      <c r="BG280" s="70"/>
      <c r="BH280" s="70"/>
      <c r="BI280" s="70"/>
      <c r="BJ280" s="70"/>
      <c r="BK280" s="70"/>
      <c r="BL280" s="70"/>
      <c r="BM280" s="70"/>
      <c r="BN280" s="70"/>
      <c r="BO280" s="70"/>
      <c r="BP280" s="70"/>
      <c r="BQ280" s="70"/>
      <c r="BR280" s="70"/>
      <c r="BS280" s="70"/>
      <c r="BT280" s="70"/>
      <c r="BU280" s="70"/>
      <c r="BV280" s="70"/>
      <c r="BW280" s="70"/>
      <c r="BX280" s="70"/>
      <c r="BY280" s="70"/>
      <c r="BZ280" s="70"/>
      <c r="CA280" s="70"/>
      <c r="CB280" s="70"/>
      <c r="CC280" s="70"/>
      <c r="CD280" s="70"/>
      <c r="CE280" s="70"/>
      <c r="CF280" s="70"/>
      <c r="CG280" s="70"/>
      <c r="CH280" s="70"/>
      <c r="CI280" s="70"/>
      <c r="CJ280" s="70"/>
      <c r="CK280" s="70"/>
      <c r="CL280" s="70"/>
      <c r="CM280" s="70"/>
      <c r="CN280" s="70"/>
      <c r="CO280" s="70"/>
      <c r="CP280" s="70"/>
      <c r="CQ280" s="70"/>
      <c r="CR280" s="70"/>
      <c r="CS280" s="70"/>
      <c r="CT280" s="70"/>
      <c r="CU280" s="70"/>
      <c r="CV280" s="70"/>
      <c r="CW280" s="70"/>
      <c r="CX280" s="70"/>
      <c r="CY280" s="70"/>
      <c r="CZ280" s="70"/>
      <c r="DA280" s="70"/>
      <c r="DB280" s="70"/>
      <c r="DC280" s="70"/>
      <c r="DD280" s="70"/>
      <c r="DE280" s="70"/>
      <c r="DF280" s="70"/>
      <c r="DG280" s="70"/>
      <c r="DH280" s="70"/>
      <c r="DI280" s="70"/>
      <c r="DJ280" s="70"/>
      <c r="DK280" s="70"/>
      <c r="DL280" s="70"/>
      <c r="DM280" s="70"/>
      <c r="DN280" s="70"/>
      <c r="DO280" s="70"/>
      <c r="DP280" s="70"/>
      <c r="DQ280" s="70"/>
      <c r="DR280" s="70"/>
      <c r="DS280" s="70"/>
      <c r="DT280" s="70"/>
      <c r="DU280" s="70"/>
      <c r="DV280" s="70"/>
      <c r="DW280" s="70"/>
      <c r="DX280" s="70"/>
      <c r="DY280" s="70"/>
      <c r="DZ280" s="70"/>
      <c r="EA280" s="70"/>
      <c r="EB280" s="70"/>
      <c r="EC280" s="70"/>
      <c r="ED280" s="70"/>
      <c r="EE280" s="95" t="s">
        <v>450</v>
      </c>
      <c r="EF280" s="652"/>
      <c r="EG280" s="652"/>
      <c r="EH280" s="652"/>
      <c r="EI280" s="216"/>
      <c r="EJ280" s="663"/>
      <c r="EK280" s="663"/>
      <c r="EL280" s="663"/>
      <c r="EM280" s="663"/>
      <c r="EN280" s="663"/>
      <c r="EO280" s="663"/>
      <c r="EP280" s="663"/>
      <c r="EQ280" s="663"/>
      <c r="ER280" s="663"/>
      <c r="ES280" s="663"/>
      <c r="ET280" s="663"/>
      <c r="EU280" s="663"/>
      <c r="EV280" s="663"/>
      <c r="EW280" s="663"/>
      <c r="EX280" s="663"/>
      <c r="EY280" s="663"/>
      <c r="EZ280" s="663"/>
      <c r="FA280" s="663"/>
      <c r="FB280" s="663"/>
      <c r="FC280" s="663"/>
      <c r="FD280" s="663"/>
      <c r="FE280" s="663"/>
      <c r="FF280" s="663"/>
      <c r="FG280" s="663"/>
      <c r="FH280" s="663"/>
      <c r="FI280" s="663"/>
      <c r="FJ280" s="663"/>
      <c r="FK280" s="663"/>
      <c r="FL280" s="663"/>
      <c r="FM280" s="663"/>
      <c r="FN280" s="663"/>
      <c r="FO280" s="663"/>
      <c r="FP280" s="663"/>
      <c r="FQ280" s="663"/>
      <c r="FR280" s="663"/>
      <c r="FS280" s="663"/>
      <c r="FT280" s="663"/>
      <c r="FU280" s="663"/>
      <c r="FV280" s="663"/>
      <c r="FW280" s="663"/>
      <c r="FX280" s="663"/>
      <c r="FY280" s="663"/>
      <c r="FZ280" s="663"/>
      <c r="GA280" s="663"/>
      <c r="GB280" s="663"/>
      <c r="GC280" s="663"/>
      <c r="GD280" s="663"/>
      <c r="GE280" s="663"/>
      <c r="GF280" s="663"/>
      <c r="GG280" s="663"/>
      <c r="GH280" s="663"/>
      <c r="GI280" s="663"/>
      <c r="GJ280" s="663"/>
      <c r="GK280" s="663"/>
      <c r="GL280" s="663"/>
      <c r="GM280" s="663"/>
      <c r="GN280" s="663"/>
      <c r="GO280" s="663"/>
      <c r="GP280" s="663"/>
      <c r="GQ280" s="663"/>
      <c r="GR280" s="663"/>
      <c r="GS280" s="663"/>
      <c r="GT280" s="663"/>
      <c r="GU280" s="663"/>
      <c r="GV280" s="663"/>
      <c r="GW280" s="663"/>
      <c r="GX280" s="663"/>
      <c r="GY280" s="663"/>
      <c r="GZ280" s="663"/>
      <c r="HA280" s="663"/>
      <c r="HB280" s="663"/>
      <c r="HC280" s="663"/>
      <c r="HD280" s="663"/>
      <c r="HE280" s="663"/>
      <c r="HF280" s="663"/>
      <c r="HG280" s="663"/>
      <c r="HH280" s="663"/>
      <c r="HI280" s="663"/>
      <c r="HJ280" s="663"/>
      <c r="HK280" s="663"/>
      <c r="HL280" s="663"/>
      <c r="HM280" s="663"/>
      <c r="HN280" s="663"/>
      <c r="HO280" s="663"/>
      <c r="HP280" s="663"/>
      <c r="HQ280" s="663"/>
      <c r="HR280" s="663"/>
      <c r="HS280" s="663"/>
      <c r="HT280" s="663"/>
      <c r="HU280" s="663"/>
      <c r="HV280" s="663"/>
      <c r="HW280" s="663"/>
      <c r="HX280" s="663"/>
      <c r="HY280" s="663"/>
      <c r="HZ280" s="663"/>
      <c r="IA280" s="663"/>
      <c r="IB280" s="663"/>
      <c r="IC280" s="663"/>
      <c r="ID280" s="663"/>
      <c r="IE280" s="663"/>
      <c r="IF280" s="663"/>
      <c r="IG280" s="663"/>
      <c r="IH280" s="663"/>
      <c r="II280" s="663"/>
      <c r="IJ280" s="663"/>
      <c r="IK280" s="663"/>
      <c r="IL280" s="663"/>
      <c r="IM280" s="663"/>
      <c r="IN280" s="663"/>
      <c r="IO280" s="663"/>
      <c r="IP280" s="663"/>
      <c r="IQ280" s="70"/>
    </row>
    <row r="281" spans="10:251" ht="16.5" hidden="1" customHeight="1">
      <c r="J281" s="214"/>
      <c r="R281" s="95"/>
      <c r="S281" s="95"/>
      <c r="T281" s="95"/>
      <c r="U281" s="70"/>
      <c r="V281" s="214"/>
      <c r="W281" s="70"/>
      <c r="X281" s="70"/>
      <c r="Y281" s="70"/>
      <c r="Z281" s="70"/>
      <c r="AA281" s="70"/>
      <c r="AB281" s="70"/>
      <c r="AC281" s="70"/>
      <c r="AD281" s="70"/>
      <c r="AE281" s="70"/>
      <c r="AF281" s="70"/>
      <c r="AG281" s="70"/>
      <c r="AH281" s="70"/>
      <c r="AI281" s="70"/>
      <c r="AJ281" s="70"/>
      <c r="AK281" s="70"/>
      <c r="AL281" s="70"/>
      <c r="AM281" s="70"/>
      <c r="AN281" s="70"/>
      <c r="AO281" s="70"/>
      <c r="AP281" s="70"/>
      <c r="AQ281" s="70"/>
      <c r="AR281" s="70"/>
      <c r="AS281" s="70"/>
      <c r="AT281" s="70"/>
      <c r="AU281" s="70"/>
      <c r="AV281" s="70"/>
      <c r="AW281" s="70"/>
      <c r="AX281" s="70"/>
      <c r="AY281" s="70"/>
      <c r="AZ281" s="70"/>
      <c r="BA281" s="70"/>
      <c r="BB281" s="70"/>
      <c r="BC281" s="70"/>
      <c r="BD281" s="70"/>
      <c r="BE281" s="70"/>
      <c r="BF281" s="70"/>
      <c r="BG281" s="70"/>
      <c r="BH281" s="70"/>
      <c r="BI281" s="70"/>
      <c r="BJ281" s="70"/>
      <c r="BK281" s="70"/>
      <c r="BL281" s="70"/>
      <c r="BM281" s="70"/>
      <c r="BN281" s="70"/>
      <c r="BO281" s="70"/>
      <c r="BP281" s="70"/>
      <c r="BQ281" s="70"/>
      <c r="BR281" s="70"/>
      <c r="BS281" s="70"/>
      <c r="BT281" s="70"/>
      <c r="BU281" s="70"/>
      <c r="BV281" s="70"/>
      <c r="BW281" s="70"/>
      <c r="BX281" s="70"/>
      <c r="BY281" s="70"/>
      <c r="BZ281" s="70"/>
      <c r="CA281" s="70"/>
      <c r="CB281" s="70"/>
      <c r="CC281" s="70"/>
      <c r="CD281" s="70"/>
      <c r="CE281" s="70"/>
      <c r="CF281" s="70"/>
      <c r="CG281" s="70"/>
      <c r="CH281" s="70"/>
      <c r="CI281" s="70"/>
      <c r="CJ281" s="70"/>
      <c r="CK281" s="70"/>
      <c r="CL281" s="70"/>
      <c r="CM281" s="70"/>
      <c r="CN281" s="70"/>
      <c r="CO281" s="70"/>
      <c r="CP281" s="70"/>
      <c r="CQ281" s="70"/>
      <c r="CR281" s="70"/>
      <c r="CS281" s="70"/>
      <c r="CT281" s="70"/>
      <c r="CU281" s="70"/>
      <c r="CV281" s="70"/>
      <c r="CW281" s="70"/>
      <c r="CX281" s="70"/>
      <c r="CY281" s="70"/>
      <c r="CZ281" s="70"/>
      <c r="DA281" s="70"/>
      <c r="DB281" s="70"/>
      <c r="DC281" s="70"/>
      <c r="DD281" s="70"/>
      <c r="DE281" s="70"/>
      <c r="DF281" s="70"/>
      <c r="DG281" s="70"/>
      <c r="DH281" s="70"/>
      <c r="DI281" s="70"/>
      <c r="DJ281" s="70"/>
      <c r="DK281" s="70"/>
      <c r="DL281" s="70"/>
      <c r="DM281" s="70"/>
      <c r="DN281" s="70"/>
      <c r="DO281" s="70"/>
      <c r="DP281" s="70"/>
      <c r="DQ281" s="70"/>
      <c r="DR281" s="70"/>
      <c r="DS281" s="70"/>
      <c r="DT281" s="70"/>
      <c r="DU281" s="70"/>
      <c r="DV281" s="70"/>
      <c r="DW281" s="70"/>
      <c r="DX281" s="70"/>
      <c r="DY281" s="70"/>
      <c r="DZ281" s="70"/>
      <c r="EA281" s="70"/>
      <c r="EB281" s="70"/>
      <c r="EC281" s="70"/>
      <c r="ED281" s="70"/>
      <c r="EE281" s="95" t="s">
        <v>450</v>
      </c>
      <c r="EF281" s="652"/>
      <c r="EG281" s="652"/>
      <c r="EH281" s="652"/>
      <c r="EI281" s="216"/>
      <c r="EJ281" s="663"/>
      <c r="EK281" s="663"/>
      <c r="EL281" s="663"/>
      <c r="EM281" s="663"/>
      <c r="EN281" s="663"/>
      <c r="EO281" s="663"/>
      <c r="EP281" s="663"/>
      <c r="EQ281" s="663"/>
      <c r="ER281" s="663"/>
      <c r="ES281" s="663"/>
      <c r="ET281" s="663"/>
      <c r="EU281" s="663"/>
      <c r="EV281" s="663"/>
      <c r="EW281" s="663"/>
      <c r="EX281" s="663"/>
      <c r="EY281" s="663"/>
      <c r="EZ281" s="663"/>
      <c r="FA281" s="663"/>
      <c r="FB281" s="663"/>
      <c r="FC281" s="663"/>
      <c r="FD281" s="663"/>
      <c r="FE281" s="663"/>
      <c r="FF281" s="663"/>
      <c r="FG281" s="663"/>
      <c r="FH281" s="663"/>
      <c r="FI281" s="663"/>
      <c r="FJ281" s="663"/>
      <c r="FK281" s="663"/>
      <c r="FL281" s="663"/>
      <c r="FM281" s="663"/>
      <c r="FN281" s="663"/>
      <c r="FO281" s="663"/>
      <c r="FP281" s="663"/>
      <c r="FQ281" s="663"/>
      <c r="FR281" s="663"/>
      <c r="FS281" s="663"/>
      <c r="FT281" s="663"/>
      <c r="FU281" s="663"/>
      <c r="FV281" s="663"/>
      <c r="FW281" s="663"/>
      <c r="FX281" s="663"/>
      <c r="FY281" s="663"/>
      <c r="FZ281" s="663"/>
      <c r="GA281" s="663"/>
      <c r="GB281" s="663"/>
      <c r="GC281" s="663"/>
      <c r="GD281" s="663"/>
      <c r="GE281" s="663"/>
      <c r="GF281" s="663"/>
      <c r="GG281" s="663"/>
      <c r="GH281" s="663"/>
      <c r="GI281" s="663"/>
      <c r="GJ281" s="663"/>
      <c r="GK281" s="663"/>
      <c r="GL281" s="663"/>
      <c r="GM281" s="663"/>
      <c r="GN281" s="663"/>
      <c r="GO281" s="663"/>
      <c r="GP281" s="663"/>
      <c r="GQ281" s="663"/>
      <c r="GR281" s="663"/>
      <c r="GS281" s="663"/>
      <c r="GT281" s="663"/>
      <c r="GU281" s="663"/>
      <c r="GV281" s="663"/>
      <c r="GW281" s="663"/>
      <c r="GX281" s="663"/>
      <c r="GY281" s="663"/>
      <c r="GZ281" s="663"/>
      <c r="HA281" s="663"/>
      <c r="HB281" s="663"/>
      <c r="HC281" s="663"/>
      <c r="HD281" s="663"/>
      <c r="HE281" s="663"/>
      <c r="HF281" s="663"/>
      <c r="HG281" s="663"/>
      <c r="HH281" s="663"/>
      <c r="HI281" s="663"/>
      <c r="HJ281" s="663"/>
      <c r="HK281" s="663"/>
      <c r="HL281" s="663"/>
      <c r="HM281" s="663"/>
      <c r="HN281" s="663"/>
      <c r="HO281" s="663"/>
      <c r="HP281" s="663"/>
      <c r="HQ281" s="663"/>
      <c r="HR281" s="663"/>
      <c r="HS281" s="663"/>
      <c r="HT281" s="663"/>
      <c r="HU281" s="663"/>
      <c r="HV281" s="663"/>
      <c r="HW281" s="663"/>
      <c r="HX281" s="663"/>
      <c r="HY281" s="663"/>
      <c r="HZ281" s="663"/>
      <c r="IA281" s="663"/>
      <c r="IB281" s="663"/>
      <c r="IC281" s="663"/>
      <c r="ID281" s="663"/>
      <c r="IE281" s="663"/>
      <c r="IF281" s="663"/>
      <c r="IG281" s="663"/>
      <c r="IH281" s="663"/>
      <c r="II281" s="663"/>
      <c r="IJ281" s="663"/>
      <c r="IK281" s="663"/>
      <c r="IL281" s="663"/>
      <c r="IM281" s="663"/>
      <c r="IN281" s="663"/>
      <c r="IO281" s="663"/>
      <c r="IP281" s="663"/>
      <c r="IQ281" s="70"/>
    </row>
    <row r="282" spans="10:251" ht="16.5" hidden="1" customHeight="1">
      <c r="J282" s="214"/>
      <c r="R282" s="95"/>
      <c r="S282" s="95"/>
      <c r="T282" s="95"/>
      <c r="U282" s="70"/>
      <c r="V282" s="214"/>
      <c r="W282" s="70"/>
      <c r="X282" s="70"/>
      <c r="Y282" s="70"/>
      <c r="Z282" s="70"/>
      <c r="AA282" s="70"/>
      <c r="AB282" s="70"/>
      <c r="AC282" s="70"/>
      <c r="AD282" s="70"/>
      <c r="AE282" s="70"/>
      <c r="AF282" s="70"/>
      <c r="AG282" s="70"/>
      <c r="AH282" s="70"/>
      <c r="AI282" s="70"/>
      <c r="AJ282" s="70"/>
      <c r="AK282" s="70"/>
      <c r="AL282" s="70"/>
      <c r="AM282" s="70"/>
      <c r="AN282" s="70"/>
      <c r="AO282" s="70"/>
      <c r="AP282" s="70"/>
      <c r="AQ282" s="70"/>
      <c r="AR282" s="70"/>
      <c r="AS282" s="70"/>
      <c r="AT282" s="70"/>
      <c r="AU282" s="70"/>
      <c r="AV282" s="70"/>
      <c r="AW282" s="70"/>
      <c r="AX282" s="70"/>
      <c r="AY282" s="70"/>
      <c r="AZ282" s="70"/>
      <c r="BA282" s="70"/>
      <c r="BB282" s="70"/>
      <c r="BC282" s="70"/>
      <c r="BD282" s="70"/>
      <c r="BE282" s="70"/>
      <c r="BF282" s="70"/>
      <c r="BG282" s="70"/>
      <c r="BH282" s="70"/>
      <c r="BI282" s="70"/>
      <c r="BJ282" s="70"/>
      <c r="BK282" s="70"/>
      <c r="BL282" s="70"/>
      <c r="BM282" s="70"/>
      <c r="BN282" s="70"/>
      <c r="BO282" s="70"/>
      <c r="BP282" s="70"/>
      <c r="BQ282" s="70"/>
      <c r="BR282" s="70"/>
      <c r="BS282" s="70"/>
      <c r="BT282" s="70"/>
      <c r="BU282" s="70"/>
      <c r="BV282" s="70"/>
      <c r="BW282" s="70"/>
      <c r="BX282" s="70"/>
      <c r="BY282" s="70"/>
      <c r="BZ282" s="70"/>
      <c r="CA282" s="70"/>
      <c r="CB282" s="70"/>
      <c r="CC282" s="70"/>
      <c r="CD282" s="70"/>
      <c r="CE282" s="70"/>
      <c r="CF282" s="70"/>
      <c r="CG282" s="70"/>
      <c r="CH282" s="70"/>
      <c r="CI282" s="70"/>
      <c r="CJ282" s="70"/>
      <c r="CK282" s="70"/>
      <c r="CL282" s="70"/>
      <c r="CM282" s="70"/>
      <c r="CN282" s="70"/>
      <c r="CO282" s="70"/>
      <c r="CP282" s="70"/>
      <c r="CQ282" s="70"/>
      <c r="CR282" s="70"/>
      <c r="CS282" s="70"/>
      <c r="CT282" s="70"/>
      <c r="CU282" s="70"/>
      <c r="CV282" s="70"/>
      <c r="CW282" s="70"/>
      <c r="CX282" s="70"/>
      <c r="CY282" s="70"/>
      <c r="CZ282" s="70"/>
      <c r="DA282" s="70"/>
      <c r="DB282" s="70"/>
      <c r="DC282" s="70"/>
      <c r="DD282" s="70"/>
      <c r="DE282" s="70"/>
      <c r="DF282" s="70"/>
      <c r="DG282" s="70"/>
      <c r="DH282" s="70"/>
      <c r="DI282" s="70"/>
      <c r="DJ282" s="70"/>
      <c r="DK282" s="70"/>
      <c r="DL282" s="70"/>
      <c r="DM282" s="70"/>
      <c r="DN282" s="70"/>
      <c r="DO282" s="70"/>
      <c r="DP282" s="70"/>
      <c r="DQ282" s="70"/>
      <c r="DR282" s="70"/>
      <c r="DS282" s="70"/>
      <c r="DT282" s="70"/>
      <c r="DU282" s="70"/>
      <c r="DV282" s="70"/>
      <c r="DW282" s="70"/>
      <c r="DX282" s="70"/>
      <c r="DY282" s="70"/>
      <c r="DZ282" s="70"/>
      <c r="EA282" s="70"/>
      <c r="EB282" s="70"/>
      <c r="EC282" s="70"/>
      <c r="ED282" s="70"/>
      <c r="EE282" s="95" t="s">
        <v>450</v>
      </c>
      <c r="EF282" s="652"/>
      <c r="EG282" s="652"/>
      <c r="EH282" s="652"/>
      <c r="EI282" s="216"/>
      <c r="EJ282" s="663"/>
      <c r="EK282" s="663"/>
      <c r="EL282" s="663"/>
      <c r="EM282" s="663"/>
      <c r="EN282" s="663"/>
      <c r="EO282" s="663"/>
      <c r="EP282" s="663"/>
      <c r="EQ282" s="663"/>
      <c r="ER282" s="663"/>
      <c r="ES282" s="663"/>
      <c r="ET282" s="663"/>
      <c r="EU282" s="663"/>
      <c r="EV282" s="663"/>
      <c r="EW282" s="663"/>
      <c r="EX282" s="663"/>
      <c r="EY282" s="663"/>
      <c r="EZ282" s="663"/>
      <c r="FA282" s="663"/>
      <c r="FB282" s="663"/>
      <c r="FC282" s="663"/>
      <c r="FD282" s="663"/>
      <c r="FE282" s="663"/>
      <c r="FF282" s="663"/>
      <c r="FG282" s="663"/>
      <c r="FH282" s="663"/>
      <c r="FI282" s="663"/>
      <c r="FJ282" s="663"/>
      <c r="FK282" s="663"/>
      <c r="FL282" s="663"/>
      <c r="FM282" s="663"/>
      <c r="FN282" s="663"/>
      <c r="FO282" s="663"/>
      <c r="FP282" s="663"/>
      <c r="FQ282" s="663"/>
      <c r="FR282" s="663"/>
      <c r="FS282" s="663"/>
      <c r="FT282" s="663"/>
      <c r="FU282" s="663"/>
      <c r="FV282" s="663"/>
      <c r="FW282" s="663"/>
      <c r="FX282" s="663"/>
      <c r="FY282" s="663"/>
      <c r="FZ282" s="663"/>
      <c r="GA282" s="663"/>
      <c r="GB282" s="663"/>
      <c r="GC282" s="663"/>
      <c r="GD282" s="663"/>
      <c r="GE282" s="663"/>
      <c r="GF282" s="663"/>
      <c r="GG282" s="663"/>
      <c r="GH282" s="663"/>
      <c r="GI282" s="663"/>
      <c r="GJ282" s="663"/>
      <c r="GK282" s="663"/>
      <c r="GL282" s="663"/>
      <c r="GM282" s="663"/>
      <c r="GN282" s="663"/>
      <c r="GO282" s="663"/>
      <c r="GP282" s="663"/>
      <c r="GQ282" s="663"/>
      <c r="GR282" s="663"/>
      <c r="GS282" s="663"/>
      <c r="GT282" s="663"/>
      <c r="GU282" s="663"/>
      <c r="GV282" s="663"/>
      <c r="GW282" s="663"/>
      <c r="GX282" s="663"/>
      <c r="GY282" s="663"/>
      <c r="GZ282" s="663"/>
      <c r="HA282" s="663"/>
      <c r="HB282" s="663"/>
      <c r="HC282" s="663"/>
      <c r="HD282" s="663"/>
      <c r="HE282" s="663"/>
      <c r="HF282" s="663"/>
      <c r="HG282" s="663"/>
      <c r="HH282" s="663"/>
      <c r="HI282" s="663"/>
      <c r="HJ282" s="663"/>
      <c r="HK282" s="663"/>
      <c r="HL282" s="663"/>
      <c r="HM282" s="663"/>
      <c r="HN282" s="663"/>
      <c r="HO282" s="663"/>
      <c r="HP282" s="663"/>
      <c r="HQ282" s="663"/>
      <c r="HR282" s="663"/>
      <c r="HS282" s="663"/>
      <c r="HT282" s="663"/>
      <c r="HU282" s="663"/>
      <c r="HV282" s="663"/>
      <c r="HW282" s="663"/>
      <c r="HX282" s="663"/>
      <c r="HY282" s="663"/>
      <c r="HZ282" s="663"/>
      <c r="IA282" s="663"/>
      <c r="IB282" s="663"/>
      <c r="IC282" s="663"/>
      <c r="ID282" s="663"/>
      <c r="IE282" s="663"/>
      <c r="IF282" s="663"/>
      <c r="IG282" s="663"/>
      <c r="IH282" s="663"/>
      <c r="II282" s="663"/>
      <c r="IJ282" s="663"/>
      <c r="IK282" s="663"/>
      <c r="IL282" s="663"/>
      <c r="IM282" s="663"/>
      <c r="IN282" s="663"/>
      <c r="IO282" s="663"/>
      <c r="IP282" s="663"/>
      <c r="IQ282" s="70"/>
    </row>
    <row r="283" spans="10:251" ht="16.5" hidden="1" customHeight="1">
      <c r="J283" s="214"/>
      <c r="R283" s="95"/>
      <c r="S283" s="95"/>
      <c r="T283" s="95"/>
      <c r="U283" s="70"/>
      <c r="V283" s="214"/>
      <c r="W283" s="70"/>
      <c r="X283" s="70"/>
      <c r="Y283" s="70"/>
      <c r="Z283" s="70"/>
      <c r="AA283" s="70"/>
      <c r="AB283" s="70"/>
      <c r="AC283" s="70"/>
      <c r="AD283" s="70"/>
      <c r="AE283" s="70"/>
      <c r="AF283" s="70"/>
      <c r="AG283" s="70"/>
      <c r="AH283" s="70"/>
      <c r="AI283" s="70"/>
      <c r="AJ283" s="70"/>
      <c r="AK283" s="70"/>
      <c r="AL283" s="70"/>
      <c r="AM283" s="70"/>
      <c r="AN283" s="70"/>
      <c r="AO283" s="70"/>
      <c r="AP283" s="70"/>
      <c r="AQ283" s="70"/>
      <c r="AR283" s="70"/>
      <c r="AS283" s="70"/>
      <c r="AT283" s="70"/>
      <c r="AU283" s="70"/>
      <c r="AV283" s="70"/>
      <c r="AW283" s="70"/>
      <c r="AX283" s="70"/>
      <c r="AY283" s="70"/>
      <c r="AZ283" s="70"/>
      <c r="BA283" s="70"/>
      <c r="BB283" s="70"/>
      <c r="BC283" s="70"/>
      <c r="BD283" s="70"/>
      <c r="BE283" s="70"/>
      <c r="BF283" s="70"/>
      <c r="BG283" s="70"/>
      <c r="BH283" s="70"/>
      <c r="BI283" s="70"/>
      <c r="BJ283" s="70"/>
      <c r="BK283" s="70"/>
      <c r="BL283" s="70"/>
      <c r="BM283" s="70"/>
      <c r="BN283" s="70"/>
      <c r="BO283" s="70"/>
      <c r="BP283" s="70"/>
      <c r="BQ283" s="70"/>
      <c r="BR283" s="70"/>
      <c r="BS283" s="70"/>
      <c r="BT283" s="70"/>
      <c r="BU283" s="70"/>
      <c r="BV283" s="70"/>
      <c r="BW283" s="70"/>
      <c r="BX283" s="70"/>
      <c r="BY283" s="70"/>
      <c r="BZ283" s="70"/>
      <c r="CA283" s="70"/>
      <c r="CB283" s="70"/>
      <c r="CC283" s="70"/>
      <c r="CD283" s="70"/>
      <c r="CE283" s="70"/>
      <c r="CF283" s="70"/>
      <c r="CG283" s="70"/>
      <c r="CH283" s="70"/>
      <c r="CI283" s="70"/>
      <c r="CJ283" s="70"/>
      <c r="CK283" s="70"/>
      <c r="CL283" s="70"/>
      <c r="CM283" s="70"/>
      <c r="CN283" s="70"/>
      <c r="CO283" s="70"/>
      <c r="CP283" s="70"/>
      <c r="CQ283" s="70"/>
      <c r="CR283" s="70"/>
      <c r="CS283" s="70"/>
      <c r="CT283" s="70"/>
      <c r="CU283" s="70"/>
      <c r="CV283" s="70"/>
      <c r="CW283" s="70"/>
      <c r="CX283" s="70"/>
      <c r="CY283" s="70"/>
      <c r="CZ283" s="70"/>
      <c r="DA283" s="70"/>
      <c r="DB283" s="70"/>
      <c r="DC283" s="70"/>
      <c r="DD283" s="70"/>
      <c r="DE283" s="70"/>
      <c r="DF283" s="70"/>
      <c r="DG283" s="70"/>
      <c r="DH283" s="70"/>
      <c r="DI283" s="70"/>
      <c r="DJ283" s="70"/>
      <c r="DK283" s="70"/>
      <c r="DL283" s="70"/>
      <c r="DM283" s="70"/>
      <c r="DN283" s="70"/>
      <c r="DO283" s="70"/>
      <c r="DP283" s="70"/>
      <c r="DQ283" s="70"/>
      <c r="DR283" s="70"/>
      <c r="DS283" s="70"/>
      <c r="DT283" s="70"/>
      <c r="DU283" s="70"/>
      <c r="DV283" s="70"/>
      <c r="DW283" s="70"/>
      <c r="DX283" s="70"/>
      <c r="DY283" s="70"/>
      <c r="DZ283" s="70"/>
      <c r="EA283" s="70"/>
      <c r="EB283" s="70"/>
      <c r="EC283" s="70"/>
      <c r="ED283" s="70"/>
      <c r="EE283" s="95" t="s">
        <v>450</v>
      </c>
      <c r="EF283" s="652"/>
      <c r="EG283" s="652"/>
      <c r="EH283" s="652"/>
      <c r="EI283" s="216"/>
      <c r="EJ283" s="663"/>
      <c r="EK283" s="663"/>
      <c r="EL283" s="663"/>
      <c r="EM283" s="663"/>
      <c r="EN283" s="663"/>
      <c r="EO283" s="663"/>
      <c r="EP283" s="663"/>
      <c r="EQ283" s="663"/>
      <c r="ER283" s="663"/>
      <c r="ES283" s="663"/>
      <c r="ET283" s="663"/>
      <c r="EU283" s="663"/>
      <c r="EV283" s="663"/>
      <c r="EW283" s="663"/>
      <c r="EX283" s="663"/>
      <c r="EY283" s="663"/>
      <c r="EZ283" s="663"/>
      <c r="FA283" s="663"/>
      <c r="FB283" s="663"/>
      <c r="FC283" s="663"/>
      <c r="FD283" s="663"/>
      <c r="FE283" s="663"/>
      <c r="FF283" s="663"/>
      <c r="FG283" s="663"/>
      <c r="FH283" s="663"/>
      <c r="FI283" s="663"/>
      <c r="FJ283" s="663"/>
      <c r="FK283" s="663"/>
      <c r="FL283" s="663"/>
      <c r="FM283" s="663"/>
      <c r="FN283" s="663"/>
      <c r="FO283" s="663"/>
      <c r="FP283" s="663"/>
      <c r="FQ283" s="663"/>
      <c r="FR283" s="663"/>
      <c r="FS283" s="663"/>
      <c r="FT283" s="663"/>
      <c r="FU283" s="663"/>
      <c r="FV283" s="663"/>
      <c r="FW283" s="663"/>
      <c r="FX283" s="663"/>
      <c r="FY283" s="663"/>
      <c r="FZ283" s="663"/>
      <c r="GA283" s="663"/>
      <c r="GB283" s="663"/>
      <c r="GC283" s="663"/>
      <c r="GD283" s="663"/>
      <c r="GE283" s="663"/>
      <c r="GF283" s="663"/>
      <c r="GG283" s="663"/>
      <c r="GH283" s="663"/>
      <c r="GI283" s="663"/>
      <c r="GJ283" s="663"/>
      <c r="GK283" s="663"/>
      <c r="GL283" s="663"/>
      <c r="GM283" s="663"/>
      <c r="GN283" s="663"/>
      <c r="GO283" s="663"/>
      <c r="GP283" s="663"/>
      <c r="GQ283" s="663"/>
      <c r="GR283" s="663"/>
      <c r="GS283" s="663"/>
      <c r="GT283" s="663"/>
      <c r="GU283" s="663"/>
      <c r="GV283" s="663"/>
      <c r="GW283" s="663"/>
      <c r="GX283" s="663"/>
      <c r="GY283" s="663"/>
      <c r="GZ283" s="663"/>
      <c r="HA283" s="663"/>
      <c r="HB283" s="663"/>
      <c r="HC283" s="663"/>
      <c r="HD283" s="663"/>
      <c r="HE283" s="663"/>
      <c r="HF283" s="663"/>
      <c r="HG283" s="663"/>
      <c r="HH283" s="663"/>
      <c r="HI283" s="663"/>
      <c r="HJ283" s="663"/>
      <c r="HK283" s="663"/>
      <c r="HL283" s="663"/>
      <c r="HM283" s="663"/>
      <c r="HN283" s="663"/>
      <c r="HO283" s="663"/>
      <c r="HP283" s="663"/>
      <c r="HQ283" s="663"/>
      <c r="HR283" s="663"/>
      <c r="HS283" s="663"/>
      <c r="HT283" s="663"/>
      <c r="HU283" s="663"/>
      <c r="HV283" s="663"/>
      <c r="HW283" s="663"/>
      <c r="HX283" s="663"/>
      <c r="HY283" s="663"/>
      <c r="HZ283" s="663"/>
      <c r="IA283" s="663"/>
      <c r="IB283" s="663"/>
      <c r="IC283" s="663"/>
      <c r="ID283" s="663"/>
      <c r="IE283" s="663"/>
      <c r="IF283" s="663"/>
      <c r="IG283" s="663"/>
      <c r="IH283" s="663"/>
      <c r="II283" s="663"/>
      <c r="IJ283" s="663"/>
      <c r="IK283" s="663"/>
      <c r="IL283" s="663"/>
      <c r="IM283" s="663"/>
      <c r="IN283" s="663"/>
      <c r="IO283" s="663"/>
      <c r="IP283" s="663"/>
      <c r="IQ283" s="70"/>
    </row>
    <row r="284" spans="10:251" ht="16.5" hidden="1" customHeight="1">
      <c r="J284" s="214"/>
      <c r="R284" s="95"/>
      <c r="S284" s="95"/>
      <c r="T284" s="95"/>
      <c r="U284" s="70"/>
      <c r="V284" s="214"/>
      <c r="W284" s="70"/>
      <c r="X284" s="70"/>
      <c r="Y284" s="70"/>
      <c r="Z284" s="70"/>
      <c r="AA284" s="70"/>
      <c r="AB284" s="70"/>
      <c r="AC284" s="70"/>
      <c r="AD284" s="70"/>
      <c r="AE284" s="70"/>
      <c r="AF284" s="70"/>
      <c r="AG284" s="70"/>
      <c r="AH284" s="70"/>
      <c r="AI284" s="70"/>
      <c r="AJ284" s="70"/>
      <c r="AK284" s="70"/>
      <c r="AL284" s="70"/>
      <c r="AM284" s="70"/>
      <c r="AN284" s="70"/>
      <c r="AO284" s="70"/>
      <c r="AP284" s="70"/>
      <c r="AQ284" s="70"/>
      <c r="AR284" s="70"/>
      <c r="AS284" s="70"/>
      <c r="AT284" s="70"/>
      <c r="AU284" s="70"/>
      <c r="AV284" s="70"/>
      <c r="AW284" s="70"/>
      <c r="AX284" s="70"/>
      <c r="AY284" s="70"/>
      <c r="AZ284" s="70"/>
      <c r="BA284" s="70"/>
      <c r="BB284" s="70"/>
      <c r="BC284" s="70"/>
      <c r="BD284" s="70"/>
      <c r="BE284" s="70"/>
      <c r="BF284" s="70"/>
      <c r="BG284" s="70"/>
      <c r="BH284" s="70"/>
      <c r="BI284" s="70"/>
      <c r="BJ284" s="70"/>
      <c r="BK284" s="70"/>
      <c r="BL284" s="70"/>
      <c r="BM284" s="70"/>
      <c r="BN284" s="70"/>
      <c r="BO284" s="70"/>
      <c r="BP284" s="70"/>
      <c r="BQ284" s="70"/>
      <c r="BR284" s="70"/>
      <c r="BS284" s="70"/>
      <c r="BT284" s="70"/>
      <c r="BU284" s="70"/>
      <c r="BV284" s="70"/>
      <c r="BW284" s="70"/>
      <c r="BX284" s="70"/>
      <c r="BY284" s="70"/>
      <c r="BZ284" s="70"/>
      <c r="CA284" s="70"/>
      <c r="CB284" s="70"/>
      <c r="CC284" s="70"/>
      <c r="CD284" s="70"/>
      <c r="CE284" s="70"/>
      <c r="CF284" s="70"/>
      <c r="CG284" s="70"/>
      <c r="CH284" s="70"/>
      <c r="CI284" s="70"/>
      <c r="CJ284" s="70"/>
      <c r="CK284" s="70"/>
      <c r="CL284" s="70"/>
      <c r="CM284" s="70"/>
      <c r="CN284" s="70"/>
      <c r="CO284" s="70"/>
      <c r="CP284" s="70"/>
      <c r="CQ284" s="70"/>
      <c r="CR284" s="70"/>
      <c r="CS284" s="70"/>
      <c r="CT284" s="70"/>
      <c r="CU284" s="70"/>
      <c r="CV284" s="70"/>
      <c r="CW284" s="70"/>
      <c r="CX284" s="70"/>
      <c r="CY284" s="70"/>
      <c r="CZ284" s="70"/>
      <c r="DA284" s="70"/>
      <c r="DB284" s="70"/>
      <c r="DC284" s="70"/>
      <c r="DD284" s="70"/>
      <c r="DE284" s="70"/>
      <c r="DF284" s="70"/>
      <c r="DG284" s="70"/>
      <c r="DH284" s="70"/>
      <c r="DI284" s="70"/>
      <c r="DJ284" s="70"/>
      <c r="DK284" s="70"/>
      <c r="DL284" s="70"/>
      <c r="DM284" s="70"/>
      <c r="DN284" s="70"/>
      <c r="DO284" s="70"/>
      <c r="DP284" s="70"/>
      <c r="DQ284" s="70"/>
      <c r="DR284" s="70"/>
      <c r="DS284" s="70"/>
      <c r="DT284" s="70"/>
      <c r="DU284" s="70"/>
      <c r="DV284" s="70"/>
      <c r="DW284" s="70"/>
      <c r="DX284" s="70"/>
      <c r="DY284" s="70"/>
      <c r="DZ284" s="70"/>
      <c r="EA284" s="70"/>
      <c r="EB284" s="70"/>
      <c r="EC284" s="70"/>
      <c r="ED284" s="70"/>
      <c r="EE284" s="95" t="s">
        <v>450</v>
      </c>
      <c r="EF284" s="652"/>
      <c r="EG284" s="652"/>
      <c r="EH284" s="652"/>
      <c r="EI284" s="216"/>
      <c r="EJ284" s="663"/>
      <c r="EK284" s="663"/>
      <c r="EL284" s="663"/>
      <c r="EM284" s="663"/>
      <c r="EN284" s="663"/>
      <c r="EO284" s="663"/>
      <c r="EP284" s="663"/>
      <c r="EQ284" s="663"/>
      <c r="ER284" s="663"/>
      <c r="ES284" s="663"/>
      <c r="ET284" s="663"/>
      <c r="EU284" s="663"/>
      <c r="EV284" s="663"/>
      <c r="EW284" s="663"/>
      <c r="EX284" s="663"/>
      <c r="EY284" s="663"/>
      <c r="EZ284" s="663"/>
      <c r="FA284" s="663"/>
      <c r="FB284" s="663"/>
      <c r="FC284" s="663"/>
      <c r="FD284" s="663"/>
      <c r="FE284" s="663"/>
      <c r="FF284" s="663"/>
      <c r="FG284" s="663"/>
      <c r="FH284" s="663"/>
      <c r="FI284" s="663"/>
      <c r="FJ284" s="663"/>
      <c r="FK284" s="663"/>
      <c r="FL284" s="663"/>
      <c r="FM284" s="663"/>
      <c r="FN284" s="663"/>
      <c r="FO284" s="663"/>
      <c r="FP284" s="663"/>
      <c r="FQ284" s="663"/>
      <c r="FR284" s="663"/>
      <c r="FS284" s="663"/>
      <c r="FT284" s="663"/>
      <c r="FU284" s="663"/>
      <c r="FV284" s="663"/>
      <c r="FW284" s="663"/>
      <c r="FX284" s="663"/>
      <c r="FY284" s="663"/>
      <c r="FZ284" s="663"/>
      <c r="GA284" s="663"/>
      <c r="GB284" s="663"/>
      <c r="GC284" s="663"/>
      <c r="GD284" s="663"/>
      <c r="GE284" s="663"/>
      <c r="GF284" s="663"/>
      <c r="GG284" s="663"/>
      <c r="GH284" s="663"/>
      <c r="GI284" s="663"/>
      <c r="GJ284" s="663"/>
      <c r="GK284" s="663"/>
      <c r="GL284" s="663"/>
      <c r="GM284" s="663"/>
      <c r="GN284" s="663"/>
      <c r="GO284" s="663"/>
      <c r="GP284" s="663"/>
      <c r="GQ284" s="663"/>
      <c r="GR284" s="663"/>
      <c r="GS284" s="663"/>
      <c r="GT284" s="663"/>
      <c r="GU284" s="663"/>
      <c r="GV284" s="663"/>
      <c r="GW284" s="663"/>
      <c r="GX284" s="663"/>
      <c r="GY284" s="663"/>
      <c r="GZ284" s="663"/>
      <c r="HA284" s="663"/>
      <c r="HB284" s="663"/>
      <c r="HC284" s="663"/>
      <c r="HD284" s="663"/>
      <c r="HE284" s="663"/>
      <c r="HF284" s="663"/>
      <c r="HG284" s="663"/>
      <c r="HH284" s="663"/>
      <c r="HI284" s="663"/>
      <c r="HJ284" s="663"/>
      <c r="HK284" s="663"/>
      <c r="HL284" s="663"/>
      <c r="HM284" s="663"/>
      <c r="HN284" s="663"/>
      <c r="HO284" s="663"/>
      <c r="HP284" s="663"/>
      <c r="HQ284" s="663"/>
      <c r="HR284" s="663"/>
      <c r="HS284" s="663"/>
      <c r="HT284" s="663"/>
      <c r="HU284" s="663"/>
      <c r="HV284" s="663"/>
      <c r="HW284" s="663"/>
      <c r="HX284" s="663"/>
      <c r="HY284" s="663"/>
      <c r="HZ284" s="663"/>
      <c r="IA284" s="663"/>
      <c r="IB284" s="663"/>
      <c r="IC284" s="663"/>
      <c r="ID284" s="663"/>
      <c r="IE284" s="663"/>
      <c r="IF284" s="663"/>
      <c r="IG284" s="663"/>
      <c r="IH284" s="663"/>
      <c r="II284" s="663"/>
      <c r="IJ284" s="663"/>
      <c r="IK284" s="663"/>
      <c r="IL284" s="663"/>
      <c r="IM284" s="663"/>
      <c r="IN284" s="663"/>
      <c r="IO284" s="663"/>
      <c r="IP284" s="663"/>
      <c r="IQ284" s="70"/>
    </row>
    <row r="285" spans="10:251" ht="16.5" hidden="1" customHeight="1">
      <c r="J285" s="214"/>
      <c r="R285" s="95"/>
      <c r="S285" s="95"/>
      <c r="T285" s="95"/>
      <c r="U285" s="70"/>
      <c r="V285" s="214"/>
      <c r="W285" s="70"/>
      <c r="X285" s="70"/>
      <c r="Y285" s="70"/>
      <c r="Z285" s="70"/>
      <c r="AA285" s="70"/>
      <c r="AB285" s="70"/>
      <c r="AC285" s="70"/>
      <c r="AD285" s="70"/>
      <c r="AE285" s="70"/>
      <c r="AF285" s="70"/>
      <c r="AG285" s="70"/>
      <c r="AH285" s="70"/>
      <c r="AI285" s="70"/>
      <c r="AJ285" s="70"/>
      <c r="AK285" s="70"/>
      <c r="AL285" s="70"/>
      <c r="AM285" s="70"/>
      <c r="AN285" s="70"/>
      <c r="AO285" s="70"/>
      <c r="AP285" s="70"/>
      <c r="AQ285" s="70"/>
      <c r="AR285" s="70"/>
      <c r="AS285" s="70"/>
      <c r="AT285" s="70"/>
      <c r="AU285" s="70"/>
      <c r="AV285" s="70"/>
      <c r="AW285" s="70"/>
      <c r="AX285" s="70"/>
      <c r="AY285" s="70"/>
      <c r="AZ285" s="70"/>
      <c r="BA285" s="70"/>
      <c r="BB285" s="70"/>
      <c r="BC285" s="70"/>
      <c r="BD285" s="70"/>
      <c r="BE285" s="70"/>
      <c r="BF285" s="70"/>
      <c r="BG285" s="70"/>
      <c r="BH285" s="70"/>
      <c r="BI285" s="70"/>
      <c r="BJ285" s="70"/>
      <c r="BK285" s="70"/>
      <c r="BL285" s="70"/>
      <c r="BM285" s="70"/>
      <c r="BN285" s="70"/>
      <c r="BO285" s="70"/>
      <c r="BP285" s="70"/>
      <c r="BQ285" s="70"/>
      <c r="BR285" s="70"/>
      <c r="BS285" s="70"/>
      <c r="BT285" s="70"/>
      <c r="BU285" s="70"/>
      <c r="BV285" s="70"/>
      <c r="BW285" s="70"/>
      <c r="BX285" s="70"/>
      <c r="BY285" s="70"/>
      <c r="BZ285" s="70"/>
      <c r="CA285" s="70"/>
      <c r="CB285" s="70"/>
      <c r="CC285" s="70"/>
      <c r="CD285" s="70"/>
      <c r="CE285" s="70"/>
      <c r="CF285" s="70"/>
      <c r="CG285" s="70"/>
      <c r="CH285" s="70"/>
      <c r="CI285" s="70"/>
      <c r="CJ285" s="70"/>
      <c r="CK285" s="70"/>
      <c r="CL285" s="70"/>
      <c r="CM285" s="70"/>
      <c r="CN285" s="70"/>
      <c r="CO285" s="70"/>
      <c r="CP285" s="70"/>
      <c r="CQ285" s="70"/>
      <c r="CR285" s="70"/>
      <c r="CS285" s="70"/>
      <c r="CT285" s="70"/>
      <c r="CU285" s="70"/>
      <c r="CV285" s="70"/>
      <c r="CW285" s="70"/>
      <c r="CX285" s="70"/>
      <c r="CY285" s="70"/>
      <c r="CZ285" s="70"/>
      <c r="DA285" s="70"/>
      <c r="DB285" s="70"/>
      <c r="DC285" s="70"/>
      <c r="DD285" s="70"/>
      <c r="DE285" s="70"/>
      <c r="DF285" s="70"/>
      <c r="DG285" s="70"/>
      <c r="DH285" s="70"/>
      <c r="DI285" s="70"/>
      <c r="DJ285" s="70"/>
      <c r="DK285" s="70"/>
      <c r="DL285" s="70"/>
      <c r="DM285" s="70"/>
      <c r="DN285" s="70"/>
      <c r="DO285" s="70"/>
      <c r="DP285" s="70"/>
      <c r="DQ285" s="70"/>
      <c r="DR285" s="70"/>
      <c r="DS285" s="70"/>
      <c r="DT285" s="70"/>
      <c r="DU285" s="70"/>
      <c r="DV285" s="70"/>
      <c r="DW285" s="70"/>
      <c r="DX285" s="70"/>
      <c r="DY285" s="70"/>
      <c r="DZ285" s="70"/>
      <c r="EA285" s="70"/>
      <c r="EB285" s="70"/>
      <c r="EC285" s="70"/>
      <c r="ED285" s="70"/>
      <c r="EE285" s="95" t="s">
        <v>450</v>
      </c>
      <c r="EF285" s="652"/>
      <c r="EG285" s="652"/>
      <c r="EH285" s="652"/>
      <c r="EI285" s="216"/>
      <c r="EJ285" s="663"/>
      <c r="EK285" s="663"/>
      <c r="EL285" s="663"/>
      <c r="EM285" s="663"/>
      <c r="EN285" s="663"/>
      <c r="EO285" s="663"/>
      <c r="EP285" s="663"/>
      <c r="EQ285" s="663"/>
      <c r="ER285" s="663"/>
      <c r="ES285" s="663"/>
      <c r="ET285" s="663"/>
      <c r="EU285" s="663"/>
      <c r="EV285" s="663"/>
      <c r="EW285" s="663"/>
      <c r="EX285" s="663"/>
      <c r="EY285" s="663"/>
      <c r="EZ285" s="663"/>
      <c r="FA285" s="663"/>
      <c r="FB285" s="663"/>
      <c r="FC285" s="663"/>
      <c r="FD285" s="663"/>
      <c r="FE285" s="663"/>
      <c r="FF285" s="663"/>
      <c r="FG285" s="663"/>
      <c r="FH285" s="663"/>
      <c r="FI285" s="663"/>
      <c r="FJ285" s="663"/>
      <c r="FK285" s="663"/>
      <c r="FL285" s="663"/>
      <c r="FM285" s="663"/>
      <c r="FN285" s="663"/>
      <c r="FO285" s="663"/>
      <c r="FP285" s="663"/>
      <c r="FQ285" s="663"/>
      <c r="FR285" s="663"/>
      <c r="FS285" s="663"/>
      <c r="FT285" s="663"/>
      <c r="FU285" s="663"/>
      <c r="FV285" s="663"/>
      <c r="FW285" s="663"/>
      <c r="FX285" s="663"/>
      <c r="FY285" s="663"/>
      <c r="FZ285" s="663"/>
      <c r="GA285" s="663"/>
      <c r="GB285" s="663"/>
      <c r="GC285" s="663"/>
      <c r="GD285" s="663"/>
      <c r="GE285" s="663"/>
      <c r="GF285" s="663"/>
      <c r="GG285" s="663"/>
      <c r="GH285" s="663"/>
      <c r="GI285" s="663"/>
      <c r="GJ285" s="663"/>
      <c r="GK285" s="663"/>
      <c r="GL285" s="663"/>
      <c r="GM285" s="663"/>
      <c r="GN285" s="663"/>
      <c r="GO285" s="663"/>
      <c r="GP285" s="663"/>
      <c r="GQ285" s="663"/>
      <c r="GR285" s="663"/>
      <c r="GS285" s="663"/>
      <c r="GT285" s="663"/>
      <c r="GU285" s="663"/>
      <c r="GV285" s="663"/>
      <c r="GW285" s="663"/>
      <c r="GX285" s="663"/>
      <c r="GY285" s="663"/>
      <c r="GZ285" s="663"/>
      <c r="HA285" s="663"/>
      <c r="HB285" s="663"/>
      <c r="HC285" s="663"/>
      <c r="HD285" s="663"/>
      <c r="HE285" s="663"/>
      <c r="HF285" s="663"/>
      <c r="HG285" s="663"/>
      <c r="HH285" s="663"/>
      <c r="HI285" s="663"/>
      <c r="HJ285" s="663"/>
      <c r="HK285" s="663"/>
      <c r="HL285" s="663"/>
      <c r="HM285" s="663"/>
      <c r="HN285" s="663"/>
      <c r="HO285" s="663"/>
      <c r="HP285" s="663"/>
      <c r="HQ285" s="663"/>
      <c r="HR285" s="663"/>
      <c r="HS285" s="663"/>
      <c r="HT285" s="663"/>
      <c r="HU285" s="663"/>
      <c r="HV285" s="663"/>
      <c r="HW285" s="663"/>
      <c r="HX285" s="663"/>
      <c r="HY285" s="663"/>
      <c r="HZ285" s="663"/>
      <c r="IA285" s="663"/>
      <c r="IB285" s="663"/>
      <c r="IC285" s="663"/>
      <c r="ID285" s="663"/>
      <c r="IE285" s="663"/>
      <c r="IF285" s="663"/>
      <c r="IG285" s="663"/>
      <c r="IH285" s="663"/>
      <c r="II285" s="663"/>
      <c r="IJ285" s="663"/>
      <c r="IK285" s="663"/>
      <c r="IL285" s="663"/>
      <c r="IM285" s="663"/>
      <c r="IN285" s="663"/>
      <c r="IO285" s="663"/>
      <c r="IP285" s="663"/>
      <c r="IQ285" s="70"/>
    </row>
    <row r="286" spans="10:251" ht="16.5" hidden="1" customHeight="1">
      <c r="J286" s="214"/>
      <c r="R286" s="95"/>
      <c r="S286" s="95"/>
      <c r="T286" s="95"/>
      <c r="U286" s="70"/>
      <c r="V286" s="214"/>
      <c r="W286" s="70"/>
      <c r="X286" s="70"/>
      <c r="Y286" s="70"/>
      <c r="Z286" s="70"/>
      <c r="AA286" s="70"/>
      <c r="AB286" s="70"/>
      <c r="AC286" s="70"/>
      <c r="AD286" s="70"/>
      <c r="AE286" s="70"/>
      <c r="AF286" s="70"/>
      <c r="AG286" s="70"/>
      <c r="AH286" s="70"/>
      <c r="AI286" s="70"/>
      <c r="AJ286" s="70"/>
      <c r="AK286" s="70"/>
      <c r="AL286" s="70"/>
      <c r="AM286" s="70"/>
      <c r="AN286" s="70"/>
      <c r="AO286" s="70"/>
      <c r="AP286" s="70"/>
      <c r="AQ286" s="70"/>
      <c r="AR286" s="70"/>
      <c r="AS286" s="70"/>
      <c r="AT286" s="70"/>
      <c r="AU286" s="70"/>
      <c r="AV286" s="70"/>
      <c r="AW286" s="70"/>
      <c r="AX286" s="70"/>
      <c r="AY286" s="70"/>
      <c r="AZ286" s="70"/>
      <c r="BA286" s="70"/>
      <c r="BB286" s="70"/>
      <c r="BC286" s="70"/>
      <c r="BD286" s="70"/>
      <c r="BE286" s="70"/>
      <c r="BF286" s="70"/>
      <c r="BG286" s="70"/>
      <c r="BH286" s="70"/>
      <c r="BI286" s="70"/>
      <c r="BJ286" s="70"/>
      <c r="BK286" s="70"/>
      <c r="BL286" s="70"/>
      <c r="BM286" s="70"/>
      <c r="BN286" s="70"/>
      <c r="BO286" s="70"/>
      <c r="BP286" s="70"/>
      <c r="BQ286" s="70"/>
      <c r="BR286" s="70"/>
      <c r="BS286" s="70"/>
      <c r="BT286" s="70"/>
      <c r="BU286" s="70"/>
      <c r="BV286" s="70"/>
      <c r="BW286" s="70"/>
      <c r="BX286" s="70"/>
      <c r="BY286" s="70"/>
      <c r="BZ286" s="70"/>
      <c r="CA286" s="70"/>
      <c r="CB286" s="70"/>
      <c r="CC286" s="70"/>
      <c r="CD286" s="70"/>
      <c r="CE286" s="70"/>
      <c r="CF286" s="70"/>
      <c r="CG286" s="70"/>
      <c r="CH286" s="70"/>
      <c r="CI286" s="70"/>
      <c r="CJ286" s="70"/>
      <c r="CK286" s="70"/>
      <c r="CL286" s="70"/>
      <c r="CM286" s="70"/>
      <c r="CN286" s="70"/>
      <c r="CO286" s="70"/>
      <c r="CP286" s="70"/>
      <c r="CQ286" s="70"/>
      <c r="CR286" s="70"/>
      <c r="CS286" s="70"/>
      <c r="CT286" s="70"/>
      <c r="CU286" s="70"/>
      <c r="CV286" s="70"/>
      <c r="CW286" s="70"/>
      <c r="CX286" s="70"/>
      <c r="CY286" s="70"/>
      <c r="CZ286" s="70"/>
      <c r="DA286" s="70"/>
      <c r="DB286" s="70"/>
      <c r="DC286" s="70"/>
      <c r="DD286" s="70"/>
      <c r="DE286" s="70"/>
      <c r="DF286" s="70"/>
      <c r="DG286" s="70"/>
      <c r="DH286" s="70"/>
      <c r="DI286" s="70"/>
      <c r="DJ286" s="70"/>
      <c r="DK286" s="70"/>
      <c r="DL286" s="70"/>
      <c r="DM286" s="70"/>
      <c r="DN286" s="70"/>
      <c r="DO286" s="70"/>
      <c r="DP286" s="70"/>
      <c r="DQ286" s="70"/>
      <c r="DR286" s="70"/>
      <c r="DS286" s="70"/>
      <c r="DT286" s="70"/>
      <c r="DU286" s="70"/>
      <c r="DV286" s="70"/>
      <c r="DW286" s="70"/>
      <c r="DX286" s="70"/>
      <c r="DY286" s="70"/>
      <c r="DZ286" s="70"/>
      <c r="EA286" s="70"/>
      <c r="EB286" s="70"/>
      <c r="EC286" s="70"/>
      <c r="ED286" s="70"/>
      <c r="EE286" s="95" t="s">
        <v>450</v>
      </c>
      <c r="EF286" s="652"/>
      <c r="EG286" s="652"/>
      <c r="EH286" s="652"/>
      <c r="EI286" s="216"/>
      <c r="EJ286" s="663"/>
      <c r="EK286" s="663"/>
      <c r="EL286" s="663"/>
      <c r="EM286" s="663"/>
      <c r="EN286" s="663"/>
      <c r="EO286" s="663"/>
      <c r="EP286" s="663"/>
      <c r="EQ286" s="663"/>
      <c r="ER286" s="663"/>
      <c r="ES286" s="663"/>
      <c r="ET286" s="663"/>
      <c r="EU286" s="663"/>
      <c r="EV286" s="663"/>
      <c r="EW286" s="663"/>
      <c r="EX286" s="663"/>
      <c r="EY286" s="663"/>
      <c r="EZ286" s="663"/>
      <c r="FA286" s="663"/>
      <c r="FB286" s="663"/>
      <c r="FC286" s="663"/>
      <c r="FD286" s="663"/>
      <c r="FE286" s="663"/>
      <c r="FF286" s="663"/>
      <c r="FG286" s="663"/>
      <c r="FH286" s="663"/>
      <c r="FI286" s="663"/>
      <c r="FJ286" s="663"/>
      <c r="FK286" s="663"/>
      <c r="FL286" s="663"/>
      <c r="FM286" s="663"/>
      <c r="FN286" s="663"/>
      <c r="FO286" s="663"/>
      <c r="FP286" s="663"/>
      <c r="FQ286" s="663"/>
      <c r="FR286" s="663"/>
      <c r="FS286" s="663"/>
      <c r="FT286" s="663"/>
      <c r="FU286" s="663"/>
      <c r="FV286" s="663"/>
      <c r="FW286" s="663"/>
      <c r="FX286" s="663"/>
      <c r="FY286" s="663"/>
      <c r="FZ286" s="663"/>
      <c r="GA286" s="663"/>
      <c r="GB286" s="663"/>
      <c r="GC286" s="663"/>
      <c r="GD286" s="663"/>
      <c r="GE286" s="663"/>
      <c r="GF286" s="663"/>
      <c r="GG286" s="663"/>
      <c r="GH286" s="663"/>
      <c r="GI286" s="663"/>
      <c r="GJ286" s="663"/>
      <c r="GK286" s="663"/>
      <c r="GL286" s="663"/>
      <c r="GM286" s="663"/>
      <c r="GN286" s="663"/>
      <c r="GO286" s="663"/>
      <c r="GP286" s="663"/>
      <c r="GQ286" s="663"/>
      <c r="GR286" s="663"/>
      <c r="GS286" s="663"/>
      <c r="GT286" s="663"/>
      <c r="GU286" s="663"/>
      <c r="GV286" s="663"/>
      <c r="GW286" s="663"/>
      <c r="GX286" s="663"/>
      <c r="GY286" s="663"/>
      <c r="GZ286" s="663"/>
      <c r="HA286" s="663"/>
      <c r="HB286" s="663"/>
      <c r="HC286" s="663"/>
      <c r="HD286" s="663"/>
      <c r="HE286" s="663"/>
      <c r="HF286" s="663"/>
      <c r="HG286" s="663"/>
      <c r="HH286" s="663"/>
      <c r="HI286" s="663"/>
      <c r="HJ286" s="663"/>
      <c r="HK286" s="663"/>
      <c r="HL286" s="663"/>
      <c r="HM286" s="663"/>
      <c r="HN286" s="663"/>
      <c r="HO286" s="663"/>
      <c r="HP286" s="663"/>
      <c r="HQ286" s="663"/>
      <c r="HR286" s="663"/>
      <c r="HS286" s="663"/>
      <c r="HT286" s="663"/>
      <c r="HU286" s="663"/>
      <c r="HV286" s="663"/>
      <c r="HW286" s="663"/>
      <c r="HX286" s="663"/>
      <c r="HY286" s="663"/>
      <c r="HZ286" s="663"/>
      <c r="IA286" s="663"/>
      <c r="IB286" s="663"/>
      <c r="IC286" s="663"/>
      <c r="ID286" s="663"/>
      <c r="IE286" s="663"/>
      <c r="IF286" s="663"/>
      <c r="IG286" s="663"/>
      <c r="IH286" s="663"/>
      <c r="II286" s="663"/>
      <c r="IJ286" s="663"/>
      <c r="IK286" s="663"/>
      <c r="IL286" s="663"/>
      <c r="IM286" s="663"/>
      <c r="IN286" s="663"/>
      <c r="IO286" s="663"/>
      <c r="IP286" s="663"/>
      <c r="IQ286" s="70"/>
    </row>
    <row r="287" spans="10:251" ht="16.5" hidden="1" customHeight="1">
      <c r="J287" s="214"/>
      <c r="R287" s="95"/>
      <c r="S287" s="95"/>
      <c r="T287" s="95"/>
      <c r="U287" s="70"/>
      <c r="V287" s="214"/>
      <c r="W287" s="70"/>
      <c r="X287" s="70"/>
      <c r="Y287" s="70"/>
      <c r="Z287" s="70"/>
      <c r="AA287" s="70"/>
      <c r="AB287" s="70"/>
      <c r="AC287" s="70"/>
      <c r="AD287" s="70"/>
      <c r="AE287" s="70"/>
      <c r="AF287" s="70"/>
      <c r="AG287" s="70"/>
      <c r="AH287" s="70"/>
      <c r="AI287" s="70"/>
      <c r="AJ287" s="70"/>
      <c r="AK287" s="70"/>
      <c r="AL287" s="70"/>
      <c r="AM287" s="70"/>
      <c r="AN287" s="70"/>
      <c r="AO287" s="70"/>
      <c r="AP287" s="70"/>
      <c r="AQ287" s="70"/>
      <c r="AR287" s="70"/>
      <c r="AS287" s="70"/>
      <c r="AT287" s="70"/>
      <c r="AU287" s="70"/>
      <c r="AV287" s="70"/>
      <c r="AW287" s="70"/>
      <c r="AX287" s="70"/>
      <c r="AY287" s="70"/>
      <c r="AZ287" s="70"/>
      <c r="BA287" s="70"/>
      <c r="BB287" s="70"/>
      <c r="BC287" s="70"/>
      <c r="BD287" s="70"/>
      <c r="BE287" s="70"/>
      <c r="BF287" s="70"/>
      <c r="BG287" s="70"/>
      <c r="BH287" s="70"/>
      <c r="BI287" s="70"/>
      <c r="BJ287" s="70"/>
      <c r="BK287" s="70"/>
      <c r="BL287" s="70"/>
      <c r="BM287" s="70"/>
      <c r="BN287" s="70"/>
      <c r="BO287" s="70"/>
      <c r="BP287" s="70"/>
      <c r="BQ287" s="70"/>
      <c r="BR287" s="70"/>
      <c r="BS287" s="70"/>
      <c r="BT287" s="70"/>
      <c r="BU287" s="70"/>
      <c r="BV287" s="70"/>
      <c r="BW287" s="70"/>
      <c r="BX287" s="70"/>
      <c r="BY287" s="70"/>
      <c r="BZ287" s="70"/>
      <c r="CA287" s="70"/>
      <c r="CB287" s="70"/>
      <c r="CC287" s="70"/>
      <c r="CD287" s="70"/>
      <c r="CE287" s="70"/>
      <c r="CF287" s="70"/>
      <c r="CG287" s="70"/>
      <c r="CH287" s="70"/>
      <c r="CI287" s="70"/>
      <c r="CJ287" s="70"/>
      <c r="CK287" s="70"/>
      <c r="CL287" s="70"/>
      <c r="CM287" s="70"/>
      <c r="CN287" s="70"/>
      <c r="CO287" s="70"/>
      <c r="CP287" s="70"/>
      <c r="CQ287" s="70"/>
      <c r="CR287" s="70"/>
      <c r="CS287" s="70"/>
      <c r="CT287" s="70"/>
      <c r="CU287" s="70"/>
      <c r="CV287" s="70"/>
      <c r="CW287" s="70"/>
      <c r="CX287" s="70"/>
      <c r="CY287" s="70"/>
      <c r="CZ287" s="70"/>
      <c r="DA287" s="70"/>
      <c r="DB287" s="70"/>
      <c r="DC287" s="70"/>
      <c r="DD287" s="70"/>
      <c r="DE287" s="70"/>
      <c r="DF287" s="70"/>
      <c r="DG287" s="70"/>
      <c r="DH287" s="70"/>
      <c r="DI287" s="70"/>
      <c r="DJ287" s="70"/>
      <c r="DK287" s="70"/>
      <c r="DL287" s="70"/>
      <c r="DM287" s="70"/>
      <c r="DN287" s="70"/>
      <c r="DO287" s="70"/>
      <c r="DP287" s="70"/>
      <c r="DQ287" s="70"/>
      <c r="DR287" s="70"/>
      <c r="DS287" s="70"/>
      <c r="DT287" s="70"/>
      <c r="DU287" s="70"/>
      <c r="DV287" s="70"/>
      <c r="DW287" s="70"/>
      <c r="DX287" s="70"/>
      <c r="DY287" s="70"/>
      <c r="DZ287" s="70"/>
      <c r="EA287" s="70"/>
      <c r="EB287" s="70"/>
      <c r="EC287" s="70"/>
      <c r="ED287" s="70"/>
      <c r="EE287" s="95" t="s">
        <v>450</v>
      </c>
      <c r="EF287" s="652"/>
      <c r="EG287" s="652"/>
      <c r="EH287" s="652"/>
      <c r="EI287" s="216"/>
      <c r="EJ287" s="663"/>
      <c r="EK287" s="663"/>
      <c r="EL287" s="663"/>
      <c r="EM287" s="663"/>
      <c r="EN287" s="663"/>
      <c r="EO287" s="663"/>
      <c r="EP287" s="663"/>
      <c r="EQ287" s="663"/>
      <c r="ER287" s="663"/>
      <c r="ES287" s="663"/>
      <c r="ET287" s="663"/>
      <c r="EU287" s="663"/>
      <c r="EV287" s="663"/>
      <c r="EW287" s="663"/>
      <c r="EX287" s="663"/>
      <c r="EY287" s="663"/>
      <c r="EZ287" s="663"/>
      <c r="FA287" s="663"/>
      <c r="FB287" s="663"/>
      <c r="FC287" s="663"/>
      <c r="FD287" s="663"/>
      <c r="FE287" s="663"/>
      <c r="FF287" s="663"/>
      <c r="FG287" s="663"/>
      <c r="FH287" s="663"/>
      <c r="FI287" s="663"/>
      <c r="FJ287" s="663"/>
      <c r="FK287" s="663"/>
      <c r="FL287" s="663"/>
      <c r="FM287" s="663"/>
      <c r="FN287" s="663"/>
      <c r="FO287" s="663"/>
      <c r="FP287" s="663"/>
      <c r="FQ287" s="663"/>
      <c r="FR287" s="663"/>
      <c r="FS287" s="663"/>
      <c r="FT287" s="663"/>
      <c r="FU287" s="663"/>
      <c r="FV287" s="663"/>
      <c r="FW287" s="663"/>
      <c r="FX287" s="663"/>
      <c r="FY287" s="663"/>
      <c r="FZ287" s="663"/>
      <c r="GA287" s="663"/>
      <c r="GB287" s="663"/>
      <c r="GC287" s="663"/>
      <c r="GD287" s="663"/>
      <c r="GE287" s="663"/>
      <c r="GF287" s="663"/>
      <c r="GG287" s="663"/>
      <c r="GH287" s="663"/>
      <c r="GI287" s="663"/>
      <c r="GJ287" s="663"/>
      <c r="GK287" s="663"/>
      <c r="GL287" s="663"/>
      <c r="GM287" s="663"/>
      <c r="GN287" s="663"/>
      <c r="GO287" s="663"/>
      <c r="GP287" s="663"/>
      <c r="GQ287" s="663"/>
      <c r="GR287" s="663"/>
      <c r="GS287" s="663"/>
      <c r="GT287" s="663"/>
      <c r="GU287" s="663"/>
      <c r="GV287" s="663"/>
      <c r="GW287" s="663"/>
      <c r="GX287" s="663"/>
      <c r="GY287" s="663"/>
      <c r="GZ287" s="663"/>
      <c r="HA287" s="663"/>
      <c r="HB287" s="663"/>
      <c r="HC287" s="663"/>
      <c r="HD287" s="663"/>
      <c r="HE287" s="663"/>
      <c r="HF287" s="663"/>
      <c r="HG287" s="663"/>
      <c r="HH287" s="663"/>
      <c r="HI287" s="663"/>
      <c r="HJ287" s="663"/>
      <c r="HK287" s="663"/>
      <c r="HL287" s="663"/>
      <c r="HM287" s="663"/>
      <c r="HN287" s="663"/>
      <c r="HO287" s="663"/>
      <c r="HP287" s="663"/>
      <c r="HQ287" s="663"/>
      <c r="HR287" s="663"/>
      <c r="HS287" s="663"/>
      <c r="HT287" s="663"/>
      <c r="HU287" s="663"/>
      <c r="HV287" s="663"/>
      <c r="HW287" s="663"/>
      <c r="HX287" s="663"/>
      <c r="HY287" s="663"/>
      <c r="HZ287" s="663"/>
      <c r="IA287" s="663"/>
      <c r="IB287" s="663"/>
      <c r="IC287" s="663"/>
      <c r="ID287" s="663"/>
      <c r="IE287" s="663"/>
      <c r="IF287" s="663"/>
      <c r="IG287" s="663"/>
      <c r="IH287" s="663"/>
      <c r="II287" s="663"/>
      <c r="IJ287" s="663"/>
      <c r="IK287" s="663"/>
      <c r="IL287" s="663"/>
      <c r="IM287" s="663"/>
      <c r="IN287" s="663"/>
      <c r="IO287" s="663"/>
      <c r="IP287" s="663"/>
      <c r="IQ287" s="70"/>
    </row>
    <row r="288" spans="10:251" ht="16.5" hidden="1" customHeight="1">
      <c r="J288" s="214"/>
      <c r="R288" s="95"/>
      <c r="S288" s="95"/>
      <c r="T288" s="95"/>
      <c r="U288" s="70"/>
      <c r="V288" s="214"/>
      <c r="W288" s="70"/>
      <c r="X288" s="70"/>
      <c r="Y288" s="70"/>
      <c r="Z288" s="70"/>
      <c r="AA288" s="70"/>
      <c r="AB288" s="70"/>
      <c r="AC288" s="70"/>
      <c r="AD288" s="70"/>
      <c r="AE288" s="70"/>
      <c r="AF288" s="70"/>
      <c r="AG288" s="70"/>
      <c r="AH288" s="70"/>
      <c r="AI288" s="70"/>
      <c r="AJ288" s="70"/>
      <c r="AK288" s="70"/>
      <c r="AL288" s="70"/>
      <c r="AM288" s="70"/>
      <c r="AN288" s="70"/>
      <c r="AO288" s="70"/>
      <c r="AP288" s="70"/>
      <c r="AQ288" s="70"/>
      <c r="AR288" s="70"/>
      <c r="AS288" s="70"/>
      <c r="AT288" s="70"/>
      <c r="AU288" s="70"/>
      <c r="AV288" s="70"/>
      <c r="AW288" s="70"/>
      <c r="AX288" s="70"/>
      <c r="AY288" s="70"/>
      <c r="AZ288" s="70"/>
      <c r="BA288" s="70"/>
      <c r="BB288" s="70"/>
      <c r="BC288" s="70"/>
      <c r="BD288" s="70"/>
      <c r="BE288" s="70"/>
      <c r="BF288" s="70"/>
      <c r="BG288" s="70"/>
      <c r="BH288" s="70"/>
      <c r="BI288" s="70"/>
      <c r="BJ288" s="70"/>
      <c r="BK288" s="70"/>
      <c r="BL288" s="70"/>
      <c r="BM288" s="70"/>
      <c r="BN288" s="70"/>
      <c r="BO288" s="70"/>
      <c r="BP288" s="70"/>
      <c r="BQ288" s="70"/>
      <c r="BR288" s="70"/>
      <c r="BS288" s="70"/>
      <c r="BT288" s="70"/>
      <c r="BU288" s="70"/>
      <c r="BV288" s="70"/>
      <c r="BW288" s="70"/>
      <c r="BX288" s="70"/>
      <c r="BY288" s="70"/>
      <c r="BZ288" s="70"/>
      <c r="CA288" s="70"/>
      <c r="CB288" s="70"/>
      <c r="CC288" s="70"/>
      <c r="CD288" s="70"/>
      <c r="CE288" s="70"/>
      <c r="CF288" s="70"/>
      <c r="CG288" s="70"/>
      <c r="CH288" s="70"/>
      <c r="CI288" s="70"/>
      <c r="CJ288" s="70"/>
      <c r="CK288" s="70"/>
      <c r="CL288" s="70"/>
      <c r="CM288" s="70"/>
      <c r="CN288" s="70"/>
      <c r="CO288" s="70"/>
      <c r="CP288" s="70"/>
      <c r="CQ288" s="70"/>
      <c r="CR288" s="70"/>
      <c r="CS288" s="70"/>
      <c r="CT288" s="70"/>
      <c r="CU288" s="70"/>
      <c r="CV288" s="70"/>
      <c r="CW288" s="70"/>
      <c r="CX288" s="70"/>
      <c r="CY288" s="70"/>
      <c r="CZ288" s="70"/>
      <c r="DA288" s="70"/>
      <c r="DB288" s="70"/>
      <c r="DC288" s="70"/>
      <c r="DD288" s="70"/>
      <c r="DE288" s="70"/>
      <c r="DF288" s="70"/>
      <c r="DG288" s="70"/>
      <c r="DH288" s="70"/>
      <c r="DI288" s="70"/>
      <c r="DJ288" s="70"/>
      <c r="DK288" s="70"/>
      <c r="DL288" s="70"/>
      <c r="DM288" s="70"/>
      <c r="DN288" s="70"/>
      <c r="DO288" s="70"/>
      <c r="DP288" s="70"/>
      <c r="DQ288" s="70"/>
      <c r="DR288" s="70"/>
      <c r="DS288" s="70"/>
      <c r="DT288" s="70"/>
      <c r="DU288" s="70"/>
      <c r="DV288" s="70"/>
      <c r="DW288" s="70"/>
      <c r="DX288" s="70"/>
      <c r="DY288" s="70"/>
      <c r="DZ288" s="70"/>
      <c r="EA288" s="70"/>
      <c r="EB288" s="70"/>
      <c r="EC288" s="70"/>
      <c r="ED288" s="70"/>
      <c r="EE288" s="95" t="s">
        <v>450</v>
      </c>
      <c r="EF288" s="652"/>
      <c r="EG288" s="652"/>
      <c r="EH288" s="652"/>
      <c r="EI288" s="216"/>
      <c r="EJ288" s="663"/>
      <c r="EK288" s="663"/>
      <c r="EL288" s="663"/>
      <c r="EM288" s="663"/>
      <c r="EN288" s="663"/>
      <c r="EO288" s="663"/>
      <c r="EP288" s="663"/>
      <c r="EQ288" s="663"/>
      <c r="ER288" s="663"/>
      <c r="ES288" s="663"/>
      <c r="ET288" s="663"/>
      <c r="EU288" s="663"/>
      <c r="EV288" s="663"/>
      <c r="EW288" s="663"/>
      <c r="EX288" s="663"/>
      <c r="EY288" s="663"/>
      <c r="EZ288" s="663"/>
      <c r="FA288" s="663"/>
      <c r="FB288" s="663"/>
      <c r="FC288" s="663"/>
      <c r="FD288" s="663"/>
      <c r="FE288" s="663"/>
      <c r="FF288" s="663"/>
      <c r="FG288" s="663"/>
      <c r="FH288" s="663"/>
      <c r="FI288" s="663"/>
      <c r="FJ288" s="663"/>
      <c r="FK288" s="663"/>
      <c r="FL288" s="663"/>
      <c r="FM288" s="663"/>
      <c r="FN288" s="663"/>
      <c r="FO288" s="663"/>
      <c r="FP288" s="663"/>
      <c r="FQ288" s="663"/>
      <c r="FR288" s="663"/>
      <c r="FS288" s="663"/>
      <c r="FT288" s="663"/>
      <c r="FU288" s="663"/>
      <c r="FV288" s="663"/>
      <c r="FW288" s="663"/>
      <c r="FX288" s="663"/>
      <c r="FY288" s="663"/>
      <c r="FZ288" s="663"/>
      <c r="GA288" s="663"/>
      <c r="GB288" s="663"/>
      <c r="GC288" s="663"/>
      <c r="GD288" s="663"/>
      <c r="GE288" s="663"/>
      <c r="GF288" s="663"/>
      <c r="GG288" s="663"/>
      <c r="GH288" s="663"/>
      <c r="GI288" s="663"/>
      <c r="GJ288" s="663"/>
      <c r="GK288" s="663"/>
      <c r="GL288" s="663"/>
      <c r="GM288" s="663"/>
      <c r="GN288" s="663"/>
      <c r="GO288" s="663"/>
      <c r="GP288" s="663"/>
      <c r="GQ288" s="663"/>
      <c r="GR288" s="663"/>
      <c r="GS288" s="663"/>
      <c r="GT288" s="663"/>
      <c r="GU288" s="663"/>
      <c r="GV288" s="663"/>
      <c r="GW288" s="663"/>
      <c r="GX288" s="663"/>
      <c r="GY288" s="663"/>
      <c r="GZ288" s="663"/>
      <c r="HA288" s="663"/>
      <c r="HB288" s="663"/>
      <c r="HC288" s="663"/>
      <c r="HD288" s="663"/>
      <c r="HE288" s="663"/>
      <c r="HF288" s="663"/>
      <c r="HG288" s="663"/>
      <c r="HH288" s="663"/>
      <c r="HI288" s="663"/>
      <c r="HJ288" s="663"/>
      <c r="HK288" s="663"/>
      <c r="HL288" s="663"/>
      <c r="HM288" s="663"/>
      <c r="HN288" s="663"/>
      <c r="HO288" s="663"/>
      <c r="HP288" s="663"/>
      <c r="HQ288" s="663"/>
      <c r="HR288" s="663"/>
      <c r="HS288" s="663"/>
      <c r="HT288" s="663"/>
      <c r="HU288" s="663"/>
      <c r="HV288" s="663"/>
      <c r="HW288" s="663"/>
      <c r="HX288" s="663"/>
      <c r="HY288" s="663"/>
      <c r="HZ288" s="663"/>
      <c r="IA288" s="663"/>
      <c r="IB288" s="663"/>
      <c r="IC288" s="663"/>
      <c r="ID288" s="663"/>
      <c r="IE288" s="663"/>
      <c r="IF288" s="663"/>
      <c r="IG288" s="663"/>
      <c r="IH288" s="663"/>
      <c r="II288" s="663"/>
      <c r="IJ288" s="663"/>
      <c r="IK288" s="663"/>
      <c r="IL288" s="663"/>
      <c r="IM288" s="663"/>
      <c r="IN288" s="663"/>
      <c r="IO288" s="663"/>
      <c r="IP288" s="663"/>
      <c r="IQ288" s="70"/>
    </row>
    <row r="289" spans="10:251" ht="16.5" hidden="1" customHeight="1">
      <c r="J289" s="214"/>
      <c r="R289" s="95"/>
      <c r="S289" s="95"/>
      <c r="T289" s="95"/>
      <c r="U289" s="70"/>
      <c r="V289" s="214"/>
      <c r="W289" s="70"/>
      <c r="X289" s="70"/>
      <c r="Y289" s="70"/>
      <c r="Z289" s="70"/>
      <c r="AA289" s="70"/>
      <c r="AB289" s="70"/>
      <c r="AC289" s="70"/>
      <c r="AD289" s="70"/>
      <c r="AE289" s="70"/>
      <c r="AF289" s="70"/>
      <c r="AG289" s="70"/>
      <c r="AH289" s="70"/>
      <c r="AI289" s="70"/>
      <c r="AJ289" s="70"/>
      <c r="AK289" s="70"/>
      <c r="AL289" s="70"/>
      <c r="AM289" s="70"/>
      <c r="AN289" s="70"/>
      <c r="AO289" s="70"/>
      <c r="AP289" s="70"/>
      <c r="AQ289" s="70"/>
      <c r="AR289" s="70"/>
      <c r="AS289" s="70"/>
      <c r="AT289" s="70"/>
      <c r="AU289" s="70"/>
      <c r="AV289" s="70"/>
      <c r="AW289" s="70"/>
      <c r="AX289" s="70"/>
      <c r="AY289" s="70"/>
      <c r="AZ289" s="70"/>
      <c r="BA289" s="70"/>
      <c r="BB289" s="70"/>
      <c r="BC289" s="70"/>
      <c r="BD289" s="70"/>
      <c r="BE289" s="70"/>
      <c r="BF289" s="70"/>
      <c r="BG289" s="70"/>
      <c r="BH289" s="70"/>
      <c r="BI289" s="70"/>
      <c r="BJ289" s="70"/>
      <c r="BK289" s="70"/>
      <c r="BL289" s="70"/>
      <c r="BM289" s="70"/>
      <c r="BN289" s="70"/>
      <c r="BO289" s="70"/>
      <c r="BP289" s="70"/>
      <c r="BQ289" s="70"/>
      <c r="BR289" s="70"/>
      <c r="BS289" s="70"/>
      <c r="BT289" s="70"/>
      <c r="BU289" s="70"/>
      <c r="BV289" s="70"/>
      <c r="BW289" s="70"/>
      <c r="BX289" s="70"/>
      <c r="BY289" s="70"/>
      <c r="BZ289" s="70"/>
      <c r="CA289" s="70"/>
      <c r="CB289" s="70"/>
      <c r="CC289" s="70"/>
      <c r="CD289" s="70"/>
      <c r="CE289" s="70"/>
      <c r="CF289" s="70"/>
      <c r="CG289" s="70"/>
      <c r="CH289" s="70"/>
      <c r="CI289" s="70"/>
      <c r="CJ289" s="70"/>
      <c r="CK289" s="70"/>
      <c r="CL289" s="70"/>
      <c r="CM289" s="70"/>
      <c r="CN289" s="70"/>
      <c r="CO289" s="70"/>
      <c r="CP289" s="70"/>
      <c r="CQ289" s="70"/>
      <c r="CR289" s="70"/>
      <c r="CS289" s="70"/>
      <c r="CT289" s="70"/>
      <c r="CU289" s="70"/>
      <c r="CV289" s="70"/>
      <c r="CW289" s="70"/>
      <c r="CX289" s="70"/>
      <c r="CY289" s="70"/>
      <c r="CZ289" s="70"/>
      <c r="DA289" s="70"/>
      <c r="DB289" s="70"/>
      <c r="DC289" s="70"/>
      <c r="DD289" s="70"/>
      <c r="DE289" s="70"/>
      <c r="DF289" s="70"/>
      <c r="DG289" s="70"/>
      <c r="DH289" s="70"/>
      <c r="DI289" s="70"/>
      <c r="DJ289" s="70"/>
      <c r="DK289" s="70"/>
      <c r="DL289" s="70"/>
      <c r="DM289" s="70"/>
      <c r="DN289" s="70"/>
      <c r="DO289" s="70"/>
      <c r="DP289" s="70"/>
      <c r="DQ289" s="70"/>
      <c r="DR289" s="70"/>
      <c r="DS289" s="70"/>
      <c r="DT289" s="70"/>
      <c r="DU289" s="70"/>
      <c r="DV289" s="70"/>
      <c r="DW289" s="70"/>
      <c r="DX289" s="70"/>
      <c r="DY289" s="70"/>
      <c r="DZ289" s="70"/>
      <c r="EA289" s="70"/>
      <c r="EB289" s="70"/>
      <c r="EC289" s="70"/>
      <c r="ED289" s="70"/>
      <c r="EE289" s="95" t="s">
        <v>450</v>
      </c>
      <c r="EF289" s="652"/>
      <c r="EG289" s="652"/>
      <c r="EH289" s="652"/>
      <c r="EI289" s="216"/>
      <c r="EJ289" s="663"/>
      <c r="EK289" s="663"/>
      <c r="EL289" s="663"/>
      <c r="EM289" s="663"/>
      <c r="EN289" s="663"/>
      <c r="EO289" s="663"/>
      <c r="EP289" s="663"/>
      <c r="EQ289" s="663"/>
      <c r="ER289" s="663"/>
      <c r="ES289" s="663"/>
      <c r="ET289" s="663"/>
      <c r="EU289" s="663"/>
      <c r="EV289" s="663"/>
      <c r="EW289" s="663"/>
      <c r="EX289" s="663"/>
      <c r="EY289" s="663"/>
      <c r="EZ289" s="663"/>
      <c r="FA289" s="663"/>
      <c r="FB289" s="663"/>
      <c r="FC289" s="663"/>
      <c r="FD289" s="663"/>
      <c r="FE289" s="663"/>
      <c r="FF289" s="663"/>
      <c r="FG289" s="663"/>
      <c r="FH289" s="663"/>
      <c r="FI289" s="663"/>
      <c r="FJ289" s="663"/>
      <c r="FK289" s="663"/>
      <c r="FL289" s="663"/>
      <c r="FM289" s="663"/>
      <c r="FN289" s="663"/>
      <c r="FO289" s="663"/>
      <c r="FP289" s="663"/>
      <c r="FQ289" s="663"/>
      <c r="FR289" s="663"/>
      <c r="FS289" s="663"/>
      <c r="FT289" s="663"/>
      <c r="FU289" s="663"/>
      <c r="FV289" s="663"/>
      <c r="FW289" s="663"/>
      <c r="FX289" s="663"/>
      <c r="FY289" s="663"/>
      <c r="FZ289" s="663"/>
      <c r="GA289" s="663"/>
      <c r="GB289" s="663"/>
      <c r="GC289" s="663"/>
      <c r="GD289" s="663"/>
      <c r="GE289" s="663"/>
      <c r="GF289" s="663"/>
      <c r="GG289" s="663"/>
      <c r="GH289" s="663"/>
      <c r="GI289" s="663"/>
      <c r="GJ289" s="663"/>
      <c r="GK289" s="663"/>
      <c r="GL289" s="663"/>
      <c r="GM289" s="663"/>
      <c r="GN289" s="663"/>
      <c r="GO289" s="663"/>
      <c r="GP289" s="663"/>
      <c r="GQ289" s="663"/>
      <c r="GR289" s="663"/>
      <c r="GS289" s="663"/>
      <c r="GT289" s="663"/>
      <c r="GU289" s="663"/>
      <c r="GV289" s="663"/>
      <c r="GW289" s="663"/>
      <c r="GX289" s="663"/>
      <c r="GY289" s="663"/>
      <c r="GZ289" s="663"/>
      <c r="HA289" s="663"/>
      <c r="HB289" s="663"/>
      <c r="HC289" s="663"/>
      <c r="HD289" s="663"/>
      <c r="HE289" s="663"/>
      <c r="HF289" s="663"/>
      <c r="HG289" s="663"/>
      <c r="HH289" s="663"/>
      <c r="HI289" s="663"/>
      <c r="HJ289" s="663"/>
      <c r="HK289" s="663"/>
      <c r="HL289" s="663"/>
      <c r="HM289" s="663"/>
      <c r="HN289" s="663"/>
      <c r="HO289" s="663"/>
      <c r="HP289" s="663"/>
      <c r="HQ289" s="663"/>
      <c r="HR289" s="663"/>
      <c r="HS289" s="663"/>
      <c r="HT289" s="663"/>
      <c r="HU289" s="663"/>
      <c r="HV289" s="663"/>
      <c r="HW289" s="663"/>
      <c r="HX289" s="663"/>
      <c r="HY289" s="663"/>
      <c r="HZ289" s="663"/>
      <c r="IA289" s="663"/>
      <c r="IB289" s="663"/>
      <c r="IC289" s="663"/>
      <c r="ID289" s="663"/>
      <c r="IE289" s="663"/>
      <c r="IF289" s="663"/>
      <c r="IG289" s="663"/>
      <c r="IH289" s="663"/>
      <c r="II289" s="663"/>
      <c r="IJ289" s="663"/>
      <c r="IK289" s="663"/>
      <c r="IL289" s="663"/>
      <c r="IM289" s="663"/>
      <c r="IN289" s="663"/>
      <c r="IO289" s="663"/>
      <c r="IP289" s="663"/>
      <c r="IQ289" s="70"/>
    </row>
    <row r="290" spans="10:251" ht="16.5" hidden="1" customHeight="1">
      <c r="J290" s="214"/>
      <c r="R290" s="95"/>
      <c r="S290" s="95"/>
      <c r="T290" s="95"/>
      <c r="U290" s="70"/>
      <c r="V290" s="214"/>
      <c r="W290" s="70"/>
      <c r="X290" s="70"/>
      <c r="Y290" s="70"/>
      <c r="Z290" s="70"/>
      <c r="AA290" s="70"/>
      <c r="AB290" s="70"/>
      <c r="AC290" s="70"/>
      <c r="AD290" s="70"/>
      <c r="AE290" s="70"/>
      <c r="AF290" s="70"/>
      <c r="AG290" s="70"/>
      <c r="AH290" s="70"/>
      <c r="AI290" s="70"/>
      <c r="AJ290" s="70"/>
      <c r="AK290" s="70"/>
      <c r="AL290" s="70"/>
      <c r="AM290" s="70"/>
      <c r="AN290" s="70"/>
      <c r="AO290" s="70"/>
      <c r="AP290" s="70"/>
      <c r="AQ290" s="70"/>
      <c r="AR290" s="70"/>
      <c r="AS290" s="70"/>
      <c r="AT290" s="70"/>
      <c r="AU290" s="70"/>
      <c r="AV290" s="70"/>
      <c r="AW290" s="70"/>
      <c r="AX290" s="70"/>
      <c r="AY290" s="70"/>
      <c r="AZ290" s="70"/>
      <c r="BA290" s="70"/>
      <c r="BB290" s="70"/>
      <c r="BC290" s="70"/>
      <c r="BD290" s="70"/>
      <c r="BE290" s="70"/>
      <c r="BF290" s="70"/>
      <c r="BG290" s="70"/>
      <c r="BH290" s="70"/>
      <c r="BI290" s="70"/>
      <c r="BJ290" s="70"/>
      <c r="BK290" s="70"/>
      <c r="BL290" s="70"/>
      <c r="BM290" s="70"/>
      <c r="BN290" s="70"/>
      <c r="BO290" s="70"/>
      <c r="BP290" s="70"/>
      <c r="BQ290" s="70"/>
      <c r="BR290" s="70"/>
      <c r="BS290" s="70"/>
      <c r="BT290" s="70"/>
      <c r="BU290" s="70"/>
      <c r="BV290" s="70"/>
      <c r="BW290" s="70"/>
      <c r="BX290" s="70"/>
      <c r="BY290" s="70"/>
      <c r="BZ290" s="70"/>
      <c r="CA290" s="70"/>
      <c r="CB290" s="70"/>
      <c r="CC290" s="70"/>
      <c r="CD290" s="70"/>
      <c r="CE290" s="70"/>
      <c r="CF290" s="70"/>
      <c r="CG290" s="70"/>
      <c r="CH290" s="70"/>
      <c r="CI290" s="70"/>
      <c r="CJ290" s="70"/>
      <c r="CK290" s="70"/>
      <c r="CL290" s="70"/>
      <c r="CM290" s="70"/>
      <c r="CN290" s="70"/>
      <c r="CO290" s="70"/>
      <c r="CP290" s="70"/>
      <c r="CQ290" s="70"/>
      <c r="CR290" s="70"/>
      <c r="CS290" s="70"/>
      <c r="CT290" s="70"/>
      <c r="CU290" s="70"/>
      <c r="CV290" s="70"/>
      <c r="CW290" s="70"/>
      <c r="CX290" s="70"/>
      <c r="CY290" s="70"/>
      <c r="CZ290" s="70"/>
      <c r="DA290" s="70"/>
      <c r="DB290" s="70"/>
      <c r="DC290" s="70"/>
      <c r="DD290" s="70"/>
      <c r="DE290" s="70"/>
      <c r="DF290" s="70"/>
      <c r="DG290" s="70"/>
      <c r="DH290" s="70"/>
      <c r="DI290" s="70"/>
      <c r="DJ290" s="70"/>
      <c r="DK290" s="70"/>
      <c r="DL290" s="70"/>
      <c r="DM290" s="70"/>
      <c r="DN290" s="70"/>
      <c r="DO290" s="70"/>
      <c r="DP290" s="70"/>
      <c r="DQ290" s="70"/>
      <c r="DR290" s="70"/>
      <c r="DS290" s="70"/>
      <c r="DT290" s="70"/>
      <c r="DU290" s="70"/>
      <c r="DV290" s="70"/>
      <c r="DW290" s="70"/>
      <c r="DX290" s="70"/>
      <c r="DY290" s="70"/>
      <c r="DZ290" s="70"/>
      <c r="EA290" s="70"/>
      <c r="EB290" s="70"/>
      <c r="EC290" s="70"/>
      <c r="ED290" s="70"/>
      <c r="EE290" s="95" t="s">
        <v>450</v>
      </c>
      <c r="EF290" s="652"/>
      <c r="EG290" s="652"/>
      <c r="EH290" s="652"/>
      <c r="EI290" s="216"/>
      <c r="EJ290" s="663"/>
      <c r="EK290" s="663"/>
      <c r="EL290" s="663"/>
      <c r="EM290" s="663"/>
      <c r="EN290" s="663"/>
      <c r="EO290" s="663"/>
      <c r="EP290" s="663"/>
      <c r="EQ290" s="663"/>
      <c r="ER290" s="663"/>
      <c r="ES290" s="663"/>
      <c r="ET290" s="663"/>
      <c r="EU290" s="663"/>
      <c r="EV290" s="663"/>
      <c r="EW290" s="663"/>
      <c r="EX290" s="663"/>
      <c r="EY290" s="663"/>
      <c r="EZ290" s="663"/>
      <c r="FA290" s="663"/>
      <c r="FB290" s="663"/>
      <c r="FC290" s="663"/>
      <c r="FD290" s="663"/>
      <c r="FE290" s="663"/>
      <c r="FF290" s="663"/>
      <c r="FG290" s="663"/>
      <c r="FH290" s="663"/>
      <c r="FI290" s="663"/>
      <c r="FJ290" s="663"/>
      <c r="FK290" s="663"/>
      <c r="FL290" s="663"/>
      <c r="FM290" s="663"/>
      <c r="FN290" s="663"/>
      <c r="FO290" s="663"/>
      <c r="FP290" s="663"/>
      <c r="FQ290" s="663"/>
      <c r="FR290" s="663"/>
      <c r="FS290" s="663"/>
      <c r="FT290" s="663"/>
      <c r="FU290" s="663"/>
      <c r="FV290" s="663"/>
      <c r="FW290" s="663"/>
      <c r="FX290" s="663"/>
      <c r="FY290" s="663"/>
      <c r="FZ290" s="663"/>
      <c r="GA290" s="663"/>
      <c r="GB290" s="663"/>
      <c r="GC290" s="663"/>
      <c r="GD290" s="663"/>
      <c r="GE290" s="663"/>
      <c r="GF290" s="663"/>
      <c r="GG290" s="663"/>
      <c r="GH290" s="663"/>
      <c r="GI290" s="663"/>
      <c r="GJ290" s="663"/>
      <c r="GK290" s="663"/>
      <c r="GL290" s="663"/>
      <c r="GM290" s="663"/>
      <c r="GN290" s="663"/>
      <c r="GO290" s="663"/>
      <c r="GP290" s="663"/>
      <c r="GQ290" s="663"/>
      <c r="GR290" s="663"/>
      <c r="GS290" s="663"/>
      <c r="GT290" s="663"/>
      <c r="GU290" s="663"/>
      <c r="GV290" s="663"/>
      <c r="GW290" s="663"/>
      <c r="GX290" s="663"/>
      <c r="GY290" s="663"/>
      <c r="GZ290" s="663"/>
      <c r="HA290" s="663"/>
      <c r="HB290" s="663"/>
      <c r="HC290" s="663"/>
      <c r="HD290" s="663"/>
      <c r="HE290" s="663"/>
      <c r="HF290" s="663"/>
      <c r="HG290" s="663"/>
      <c r="HH290" s="663"/>
      <c r="HI290" s="663"/>
      <c r="HJ290" s="663"/>
      <c r="HK290" s="663"/>
      <c r="HL290" s="663"/>
      <c r="HM290" s="663"/>
      <c r="HN290" s="663"/>
      <c r="HO290" s="663"/>
      <c r="HP290" s="663"/>
      <c r="HQ290" s="663"/>
      <c r="HR290" s="663"/>
      <c r="HS290" s="663"/>
      <c r="HT290" s="663"/>
      <c r="HU290" s="663"/>
      <c r="HV290" s="663"/>
      <c r="HW290" s="663"/>
      <c r="HX290" s="663"/>
      <c r="HY290" s="663"/>
      <c r="HZ290" s="663"/>
      <c r="IA290" s="663"/>
      <c r="IB290" s="663"/>
      <c r="IC290" s="663"/>
      <c r="ID290" s="663"/>
      <c r="IE290" s="663"/>
      <c r="IF290" s="663"/>
      <c r="IG290" s="663"/>
      <c r="IH290" s="663"/>
      <c r="II290" s="663"/>
      <c r="IJ290" s="663"/>
      <c r="IK290" s="663"/>
      <c r="IL290" s="663"/>
      <c r="IM290" s="663"/>
      <c r="IN290" s="663"/>
      <c r="IO290" s="663"/>
      <c r="IP290" s="663"/>
      <c r="IQ290" s="70"/>
    </row>
    <row r="291" spans="10:251" ht="16.5" hidden="1" customHeight="1">
      <c r="J291" s="214"/>
      <c r="R291" s="95"/>
      <c r="S291" s="95"/>
      <c r="T291" s="95"/>
      <c r="U291" s="70"/>
      <c r="V291" s="214"/>
      <c r="W291" s="70"/>
      <c r="X291" s="70"/>
      <c r="Y291" s="70"/>
      <c r="Z291" s="70"/>
      <c r="AA291" s="70"/>
      <c r="AB291" s="70"/>
      <c r="AC291" s="70"/>
      <c r="AD291" s="70"/>
      <c r="AE291" s="70"/>
      <c r="AF291" s="70"/>
      <c r="AG291" s="70"/>
      <c r="AH291" s="70"/>
      <c r="AI291" s="70"/>
      <c r="AJ291" s="70"/>
      <c r="AK291" s="70"/>
      <c r="AL291" s="70"/>
      <c r="AM291" s="70"/>
      <c r="AN291" s="70"/>
      <c r="AO291" s="70"/>
      <c r="AP291" s="70"/>
      <c r="AQ291" s="70"/>
      <c r="AR291" s="70"/>
      <c r="AS291" s="70"/>
      <c r="AT291" s="70"/>
      <c r="AU291" s="70"/>
      <c r="AV291" s="70"/>
      <c r="AW291" s="70"/>
      <c r="AX291" s="70"/>
      <c r="AY291" s="70"/>
      <c r="AZ291" s="70"/>
      <c r="BA291" s="70"/>
      <c r="BB291" s="70"/>
      <c r="BC291" s="70"/>
      <c r="BD291" s="70"/>
      <c r="BE291" s="70"/>
      <c r="BF291" s="70"/>
      <c r="BG291" s="70"/>
      <c r="BH291" s="70"/>
      <c r="BI291" s="70"/>
      <c r="BJ291" s="70"/>
      <c r="BK291" s="70"/>
      <c r="BL291" s="70"/>
      <c r="BM291" s="70"/>
      <c r="BN291" s="70"/>
      <c r="BO291" s="70"/>
      <c r="BP291" s="70"/>
      <c r="BQ291" s="70"/>
      <c r="BR291" s="70"/>
      <c r="BS291" s="70"/>
      <c r="BT291" s="70"/>
      <c r="BU291" s="70"/>
      <c r="BV291" s="70"/>
      <c r="BW291" s="70"/>
      <c r="BX291" s="70"/>
      <c r="BY291" s="70"/>
      <c r="BZ291" s="70"/>
      <c r="CA291" s="70"/>
      <c r="CB291" s="70"/>
      <c r="CC291" s="70"/>
      <c r="CD291" s="70"/>
      <c r="CE291" s="70"/>
      <c r="CF291" s="70"/>
      <c r="CG291" s="70"/>
      <c r="CH291" s="70"/>
      <c r="CI291" s="70"/>
      <c r="CJ291" s="70"/>
      <c r="CK291" s="70"/>
      <c r="CL291" s="70"/>
      <c r="CM291" s="70"/>
      <c r="CN291" s="70"/>
      <c r="CO291" s="70"/>
      <c r="CP291" s="70"/>
      <c r="CQ291" s="70"/>
      <c r="CR291" s="70"/>
      <c r="CS291" s="70"/>
      <c r="CT291" s="70"/>
      <c r="CU291" s="70"/>
      <c r="CV291" s="70"/>
      <c r="CW291" s="70"/>
      <c r="CX291" s="70"/>
      <c r="CY291" s="70"/>
      <c r="CZ291" s="70"/>
      <c r="DA291" s="70"/>
      <c r="DB291" s="70"/>
      <c r="DC291" s="70"/>
      <c r="DD291" s="70"/>
      <c r="DE291" s="70"/>
      <c r="DF291" s="70"/>
      <c r="DG291" s="70"/>
      <c r="DH291" s="70"/>
      <c r="DI291" s="70"/>
      <c r="DJ291" s="70"/>
      <c r="DK291" s="70"/>
      <c r="DL291" s="70"/>
      <c r="DM291" s="70"/>
      <c r="DN291" s="70"/>
      <c r="DO291" s="70"/>
      <c r="DP291" s="70"/>
      <c r="DQ291" s="70"/>
      <c r="DR291" s="70"/>
      <c r="DS291" s="70"/>
      <c r="DT291" s="70"/>
      <c r="DU291" s="70"/>
      <c r="DV291" s="70"/>
      <c r="DW291" s="70"/>
      <c r="DX291" s="70"/>
      <c r="DY291" s="70"/>
      <c r="DZ291" s="70"/>
      <c r="EA291" s="70"/>
      <c r="EB291" s="70"/>
      <c r="EC291" s="70"/>
      <c r="ED291" s="70"/>
      <c r="EE291" s="95" t="s">
        <v>450</v>
      </c>
      <c r="EF291" s="652"/>
      <c r="EG291" s="652"/>
      <c r="EH291" s="652"/>
      <c r="EI291" s="216"/>
      <c r="EJ291" s="663"/>
      <c r="EK291" s="663"/>
      <c r="EL291" s="663"/>
      <c r="EM291" s="663"/>
      <c r="EN291" s="663"/>
      <c r="EO291" s="663"/>
      <c r="EP291" s="663"/>
      <c r="EQ291" s="663"/>
      <c r="ER291" s="663"/>
      <c r="ES291" s="663"/>
      <c r="ET291" s="663"/>
      <c r="EU291" s="663"/>
      <c r="EV291" s="663"/>
      <c r="EW291" s="663"/>
      <c r="EX291" s="663"/>
      <c r="EY291" s="663"/>
      <c r="EZ291" s="663"/>
      <c r="FA291" s="663"/>
      <c r="FB291" s="663"/>
      <c r="FC291" s="663"/>
      <c r="FD291" s="663"/>
      <c r="FE291" s="663"/>
      <c r="FF291" s="663"/>
      <c r="FG291" s="663"/>
      <c r="FH291" s="663"/>
      <c r="FI291" s="663"/>
      <c r="FJ291" s="663"/>
      <c r="FK291" s="663"/>
      <c r="FL291" s="663"/>
      <c r="FM291" s="663"/>
      <c r="FN291" s="663"/>
      <c r="FO291" s="663"/>
      <c r="FP291" s="663"/>
      <c r="FQ291" s="663"/>
      <c r="FR291" s="663"/>
      <c r="FS291" s="663"/>
      <c r="FT291" s="663"/>
      <c r="FU291" s="663"/>
      <c r="FV291" s="663"/>
      <c r="FW291" s="663"/>
      <c r="FX291" s="663"/>
      <c r="FY291" s="663"/>
      <c r="FZ291" s="663"/>
      <c r="GA291" s="663"/>
      <c r="GB291" s="663"/>
      <c r="GC291" s="663"/>
      <c r="GD291" s="663"/>
      <c r="GE291" s="663"/>
      <c r="GF291" s="663"/>
      <c r="GG291" s="663"/>
      <c r="GH291" s="663"/>
      <c r="GI291" s="663"/>
      <c r="GJ291" s="663"/>
      <c r="GK291" s="663"/>
      <c r="GL291" s="663"/>
      <c r="GM291" s="663"/>
      <c r="GN291" s="663"/>
      <c r="GO291" s="663"/>
      <c r="GP291" s="663"/>
      <c r="GQ291" s="663"/>
      <c r="GR291" s="663"/>
      <c r="GS291" s="663"/>
      <c r="GT291" s="663"/>
      <c r="GU291" s="663"/>
      <c r="GV291" s="663"/>
      <c r="GW291" s="663"/>
      <c r="GX291" s="663"/>
      <c r="GY291" s="663"/>
      <c r="GZ291" s="663"/>
      <c r="HA291" s="663"/>
      <c r="HB291" s="663"/>
      <c r="HC291" s="663"/>
      <c r="HD291" s="663"/>
      <c r="HE291" s="663"/>
      <c r="HF291" s="663"/>
      <c r="HG291" s="663"/>
      <c r="HH291" s="663"/>
      <c r="HI291" s="663"/>
      <c r="HJ291" s="663"/>
      <c r="HK291" s="663"/>
      <c r="HL291" s="663"/>
      <c r="HM291" s="663"/>
      <c r="HN291" s="663"/>
      <c r="HO291" s="663"/>
      <c r="HP291" s="663"/>
      <c r="HQ291" s="663"/>
      <c r="HR291" s="663"/>
      <c r="HS291" s="663"/>
      <c r="HT291" s="663"/>
      <c r="HU291" s="663"/>
      <c r="HV291" s="663"/>
      <c r="HW291" s="663"/>
      <c r="HX291" s="663"/>
      <c r="HY291" s="663"/>
      <c r="HZ291" s="663"/>
      <c r="IA291" s="663"/>
      <c r="IB291" s="663"/>
      <c r="IC291" s="663"/>
      <c r="ID291" s="663"/>
      <c r="IE291" s="663"/>
      <c r="IF291" s="663"/>
      <c r="IG291" s="663"/>
      <c r="IH291" s="663"/>
      <c r="II291" s="663"/>
      <c r="IJ291" s="663"/>
      <c r="IK291" s="663"/>
      <c r="IL291" s="663"/>
      <c r="IM291" s="663"/>
      <c r="IN291" s="663"/>
      <c r="IO291" s="663"/>
      <c r="IP291" s="663"/>
      <c r="IQ291" s="70"/>
    </row>
    <row r="292" spans="10:251" ht="16.5" hidden="1" customHeight="1">
      <c r="J292" s="214"/>
      <c r="R292" s="95"/>
      <c r="S292" s="95"/>
      <c r="T292" s="95"/>
      <c r="U292" s="70"/>
      <c r="V292" s="214"/>
      <c r="W292" s="70"/>
      <c r="X292" s="70"/>
      <c r="Y292" s="70"/>
      <c r="Z292" s="70"/>
      <c r="AA292" s="70"/>
      <c r="AB292" s="70"/>
      <c r="AC292" s="70"/>
      <c r="AD292" s="70"/>
      <c r="AE292" s="70"/>
      <c r="AF292" s="70"/>
      <c r="AG292" s="70"/>
      <c r="AH292" s="70"/>
      <c r="AI292" s="70"/>
      <c r="AJ292" s="70"/>
      <c r="AK292" s="70"/>
      <c r="AL292" s="70"/>
      <c r="AM292" s="70"/>
      <c r="AN292" s="70"/>
      <c r="AO292" s="70"/>
      <c r="AP292" s="70"/>
      <c r="AQ292" s="70"/>
      <c r="AR292" s="70"/>
      <c r="AS292" s="70"/>
      <c r="AT292" s="70"/>
      <c r="AU292" s="70"/>
      <c r="AV292" s="70"/>
      <c r="AW292" s="70"/>
      <c r="AX292" s="70"/>
      <c r="AY292" s="70"/>
      <c r="AZ292" s="70"/>
      <c r="BA292" s="70"/>
      <c r="BB292" s="70"/>
      <c r="BC292" s="70"/>
      <c r="BD292" s="70"/>
      <c r="BE292" s="70"/>
      <c r="BF292" s="70"/>
      <c r="BG292" s="70"/>
      <c r="BH292" s="70"/>
      <c r="BI292" s="70"/>
      <c r="BJ292" s="70"/>
      <c r="BK292" s="70"/>
      <c r="BL292" s="70"/>
      <c r="BM292" s="70"/>
      <c r="BN292" s="70"/>
      <c r="BO292" s="70"/>
      <c r="BP292" s="70"/>
      <c r="BQ292" s="70"/>
      <c r="BR292" s="70"/>
      <c r="BS292" s="70"/>
      <c r="BT292" s="70"/>
      <c r="BU292" s="70"/>
      <c r="BV292" s="70"/>
      <c r="BW292" s="70"/>
      <c r="BX292" s="70"/>
      <c r="BY292" s="70"/>
      <c r="BZ292" s="70"/>
      <c r="CA292" s="70"/>
      <c r="CB292" s="70"/>
      <c r="CC292" s="70"/>
      <c r="CD292" s="70"/>
      <c r="CE292" s="70"/>
      <c r="CF292" s="70"/>
      <c r="CG292" s="70"/>
      <c r="CH292" s="70"/>
      <c r="CI292" s="70"/>
      <c r="CJ292" s="70"/>
      <c r="CK292" s="70"/>
      <c r="CL292" s="70"/>
      <c r="CM292" s="70"/>
      <c r="CN292" s="70"/>
      <c r="CO292" s="70"/>
      <c r="CP292" s="70"/>
      <c r="CQ292" s="70"/>
      <c r="CR292" s="70"/>
      <c r="CS292" s="70"/>
      <c r="CT292" s="70"/>
      <c r="CU292" s="70"/>
      <c r="CV292" s="70"/>
      <c r="CW292" s="70"/>
      <c r="CX292" s="70"/>
      <c r="CY292" s="70"/>
      <c r="CZ292" s="70"/>
      <c r="DA292" s="70"/>
      <c r="DB292" s="70"/>
      <c r="DC292" s="70"/>
      <c r="DD292" s="70"/>
      <c r="DE292" s="70"/>
      <c r="DF292" s="70"/>
      <c r="DG292" s="70"/>
      <c r="DH292" s="70"/>
      <c r="DI292" s="70"/>
      <c r="DJ292" s="70"/>
      <c r="DK292" s="70"/>
      <c r="DL292" s="70"/>
      <c r="DM292" s="70"/>
      <c r="DN292" s="70"/>
      <c r="DO292" s="70"/>
      <c r="DP292" s="70"/>
      <c r="DQ292" s="70"/>
      <c r="DR292" s="70"/>
      <c r="DS292" s="70"/>
      <c r="DT292" s="70"/>
      <c r="DU292" s="70"/>
      <c r="DV292" s="70"/>
      <c r="DW292" s="70"/>
      <c r="DX292" s="70"/>
      <c r="DY292" s="70"/>
      <c r="DZ292" s="70"/>
      <c r="EA292" s="70"/>
      <c r="EB292" s="70"/>
      <c r="EC292" s="70"/>
      <c r="ED292" s="70"/>
      <c r="EE292" s="95" t="s">
        <v>450</v>
      </c>
      <c r="EF292" s="652"/>
      <c r="EG292" s="652"/>
      <c r="EH292" s="652"/>
      <c r="EI292" s="216"/>
      <c r="EJ292" s="663"/>
      <c r="EK292" s="663"/>
      <c r="EL292" s="663"/>
      <c r="EM292" s="663"/>
      <c r="EN292" s="663"/>
      <c r="EO292" s="663"/>
      <c r="EP292" s="663"/>
      <c r="EQ292" s="663"/>
      <c r="ER292" s="663"/>
      <c r="ES292" s="663"/>
      <c r="ET292" s="663"/>
      <c r="EU292" s="663"/>
      <c r="EV292" s="663"/>
      <c r="EW292" s="663"/>
      <c r="EX292" s="663"/>
      <c r="EY292" s="663"/>
      <c r="EZ292" s="663"/>
      <c r="FA292" s="663"/>
      <c r="FB292" s="663"/>
      <c r="FC292" s="663"/>
      <c r="FD292" s="663"/>
      <c r="FE292" s="663"/>
      <c r="FF292" s="663"/>
      <c r="FG292" s="663"/>
      <c r="FH292" s="663"/>
      <c r="FI292" s="663"/>
      <c r="FJ292" s="663"/>
      <c r="FK292" s="663"/>
      <c r="FL292" s="663"/>
      <c r="FM292" s="663"/>
      <c r="FN292" s="663"/>
      <c r="FO292" s="663"/>
      <c r="FP292" s="663"/>
      <c r="FQ292" s="663"/>
      <c r="FR292" s="663"/>
      <c r="FS292" s="663"/>
      <c r="FT292" s="663"/>
      <c r="FU292" s="663"/>
      <c r="FV292" s="663"/>
      <c r="FW292" s="663"/>
      <c r="FX292" s="663"/>
      <c r="FY292" s="663"/>
      <c r="FZ292" s="663"/>
      <c r="GA292" s="663"/>
      <c r="GB292" s="663"/>
      <c r="GC292" s="663"/>
      <c r="GD292" s="663"/>
      <c r="GE292" s="663"/>
      <c r="GF292" s="663"/>
      <c r="GG292" s="663"/>
      <c r="GH292" s="663"/>
      <c r="GI292" s="663"/>
      <c r="GJ292" s="663"/>
      <c r="GK292" s="663"/>
      <c r="GL292" s="663"/>
      <c r="GM292" s="663"/>
      <c r="GN292" s="663"/>
      <c r="GO292" s="663"/>
      <c r="GP292" s="663"/>
      <c r="GQ292" s="663"/>
      <c r="GR292" s="663"/>
      <c r="GS292" s="663"/>
      <c r="GT292" s="663"/>
      <c r="GU292" s="663"/>
      <c r="GV292" s="663"/>
      <c r="GW292" s="663"/>
      <c r="GX292" s="663"/>
      <c r="GY292" s="663"/>
      <c r="GZ292" s="663"/>
      <c r="HA292" s="663"/>
      <c r="HB292" s="663"/>
      <c r="HC292" s="663"/>
      <c r="HD292" s="663"/>
      <c r="HE292" s="663"/>
      <c r="HF292" s="663"/>
      <c r="HG292" s="663"/>
      <c r="HH292" s="663"/>
      <c r="HI292" s="663"/>
      <c r="HJ292" s="663"/>
      <c r="HK292" s="663"/>
      <c r="HL292" s="663"/>
      <c r="HM292" s="663"/>
      <c r="HN292" s="663"/>
      <c r="HO292" s="663"/>
      <c r="HP292" s="663"/>
      <c r="HQ292" s="663"/>
      <c r="HR292" s="663"/>
      <c r="HS292" s="663"/>
      <c r="HT292" s="663"/>
      <c r="HU292" s="663"/>
      <c r="HV292" s="663"/>
      <c r="HW292" s="663"/>
      <c r="HX292" s="663"/>
      <c r="HY292" s="663"/>
      <c r="HZ292" s="663"/>
      <c r="IA292" s="663"/>
      <c r="IB292" s="663"/>
      <c r="IC292" s="663"/>
      <c r="ID292" s="663"/>
      <c r="IE292" s="663"/>
      <c r="IF292" s="663"/>
      <c r="IG292" s="663"/>
      <c r="IH292" s="663"/>
      <c r="II292" s="663"/>
      <c r="IJ292" s="663"/>
      <c r="IK292" s="663"/>
      <c r="IL292" s="663"/>
      <c r="IM292" s="663"/>
      <c r="IN292" s="663"/>
      <c r="IO292" s="663"/>
      <c r="IP292" s="663"/>
      <c r="IQ292" s="70"/>
    </row>
    <row r="293" spans="10:251" ht="16.5" hidden="1" customHeight="1">
      <c r="J293" s="214"/>
      <c r="R293" s="95"/>
      <c r="S293" s="95"/>
      <c r="T293" s="95"/>
      <c r="U293" s="70"/>
      <c r="V293" s="214"/>
      <c r="W293" s="70"/>
      <c r="X293" s="70"/>
      <c r="Y293" s="70"/>
      <c r="Z293" s="70"/>
      <c r="AA293" s="70"/>
      <c r="AB293" s="70"/>
      <c r="AC293" s="70"/>
      <c r="AD293" s="70"/>
      <c r="AE293" s="70"/>
      <c r="AF293" s="70"/>
      <c r="AG293" s="70"/>
      <c r="AH293" s="70"/>
      <c r="AI293" s="70"/>
      <c r="AJ293" s="70"/>
      <c r="AK293" s="70"/>
      <c r="AL293" s="70"/>
      <c r="AM293" s="70"/>
      <c r="AN293" s="70"/>
      <c r="AO293" s="70"/>
      <c r="AP293" s="70"/>
      <c r="AQ293" s="70"/>
      <c r="AR293" s="70"/>
      <c r="AS293" s="70"/>
      <c r="AT293" s="70"/>
      <c r="AU293" s="70"/>
      <c r="AV293" s="70"/>
      <c r="AW293" s="70"/>
      <c r="AX293" s="70"/>
      <c r="AY293" s="70"/>
      <c r="AZ293" s="70"/>
      <c r="BA293" s="70"/>
      <c r="BB293" s="70"/>
      <c r="BC293" s="70"/>
      <c r="BD293" s="70"/>
      <c r="BE293" s="70"/>
      <c r="BF293" s="70"/>
      <c r="BG293" s="70"/>
      <c r="BH293" s="70"/>
      <c r="BI293" s="70"/>
      <c r="BJ293" s="70"/>
      <c r="BK293" s="70"/>
      <c r="BL293" s="70"/>
      <c r="BM293" s="70"/>
      <c r="BN293" s="70"/>
      <c r="BO293" s="70"/>
      <c r="BP293" s="70"/>
      <c r="BQ293" s="70"/>
      <c r="BR293" s="70"/>
      <c r="BS293" s="70"/>
      <c r="BT293" s="70"/>
      <c r="BU293" s="70"/>
      <c r="BV293" s="70"/>
      <c r="BW293" s="70"/>
      <c r="BX293" s="70"/>
      <c r="BY293" s="70"/>
      <c r="BZ293" s="70"/>
      <c r="CA293" s="70"/>
      <c r="CB293" s="70"/>
      <c r="CC293" s="70"/>
      <c r="CD293" s="70"/>
      <c r="CE293" s="70"/>
      <c r="CF293" s="70"/>
      <c r="CG293" s="70"/>
      <c r="CH293" s="70"/>
      <c r="CI293" s="70"/>
      <c r="CJ293" s="70"/>
      <c r="CK293" s="70"/>
      <c r="CL293" s="70"/>
      <c r="CM293" s="70"/>
      <c r="CN293" s="70"/>
      <c r="CO293" s="70"/>
      <c r="CP293" s="70"/>
      <c r="CQ293" s="70"/>
      <c r="CR293" s="70"/>
      <c r="CS293" s="70"/>
      <c r="CT293" s="70"/>
      <c r="CU293" s="70"/>
      <c r="CV293" s="70"/>
      <c r="CW293" s="70"/>
      <c r="CX293" s="70"/>
      <c r="CY293" s="70"/>
      <c r="CZ293" s="70"/>
      <c r="DA293" s="70"/>
      <c r="DB293" s="70"/>
      <c r="DC293" s="70"/>
      <c r="DD293" s="70"/>
      <c r="DE293" s="70"/>
      <c r="DF293" s="70"/>
      <c r="DG293" s="70"/>
      <c r="DH293" s="70"/>
      <c r="DI293" s="70"/>
      <c r="DJ293" s="70"/>
      <c r="DK293" s="70"/>
      <c r="DL293" s="70"/>
      <c r="DM293" s="70"/>
      <c r="DN293" s="70"/>
      <c r="DO293" s="70"/>
      <c r="DP293" s="70"/>
      <c r="DQ293" s="70"/>
      <c r="DR293" s="70"/>
      <c r="DS293" s="70"/>
      <c r="DT293" s="70"/>
      <c r="DU293" s="70"/>
      <c r="DV293" s="70"/>
      <c r="DW293" s="70"/>
      <c r="DX293" s="70"/>
      <c r="DY293" s="70"/>
      <c r="DZ293" s="70"/>
      <c r="EA293" s="70"/>
      <c r="EB293" s="70"/>
      <c r="EC293" s="70"/>
      <c r="ED293" s="70"/>
      <c r="EE293" s="95" t="s">
        <v>450</v>
      </c>
      <c r="EF293" s="652"/>
      <c r="EG293" s="652"/>
      <c r="EH293" s="652"/>
      <c r="EI293" s="216"/>
      <c r="EJ293" s="663"/>
      <c r="EK293" s="663"/>
      <c r="EL293" s="663"/>
      <c r="EM293" s="663"/>
      <c r="EN293" s="663"/>
      <c r="EO293" s="663"/>
      <c r="EP293" s="663"/>
      <c r="EQ293" s="663"/>
      <c r="ER293" s="663"/>
      <c r="ES293" s="663"/>
      <c r="ET293" s="663"/>
      <c r="EU293" s="663"/>
      <c r="EV293" s="663"/>
      <c r="EW293" s="663"/>
      <c r="EX293" s="663"/>
      <c r="EY293" s="663"/>
      <c r="EZ293" s="663"/>
      <c r="FA293" s="663"/>
      <c r="FB293" s="663"/>
      <c r="FC293" s="663"/>
      <c r="FD293" s="663"/>
      <c r="FE293" s="663"/>
      <c r="FF293" s="663"/>
      <c r="FG293" s="663"/>
      <c r="FH293" s="663"/>
      <c r="FI293" s="663"/>
      <c r="FJ293" s="663"/>
      <c r="FK293" s="663"/>
      <c r="FL293" s="663"/>
      <c r="FM293" s="663"/>
      <c r="FN293" s="663"/>
      <c r="FO293" s="663"/>
      <c r="FP293" s="663"/>
      <c r="FQ293" s="663"/>
      <c r="FR293" s="663"/>
      <c r="FS293" s="663"/>
      <c r="FT293" s="663"/>
      <c r="FU293" s="663"/>
      <c r="FV293" s="663"/>
      <c r="FW293" s="663"/>
      <c r="FX293" s="663"/>
      <c r="FY293" s="663"/>
      <c r="FZ293" s="663"/>
      <c r="GA293" s="663"/>
      <c r="GB293" s="663"/>
      <c r="GC293" s="663"/>
      <c r="GD293" s="663"/>
      <c r="GE293" s="663"/>
      <c r="GF293" s="663"/>
      <c r="GG293" s="663"/>
      <c r="GH293" s="663"/>
      <c r="GI293" s="663"/>
      <c r="GJ293" s="663"/>
      <c r="GK293" s="663"/>
      <c r="GL293" s="663"/>
      <c r="GM293" s="663"/>
      <c r="GN293" s="663"/>
      <c r="GO293" s="663"/>
      <c r="GP293" s="663"/>
      <c r="GQ293" s="663"/>
      <c r="GR293" s="663"/>
      <c r="GS293" s="663"/>
      <c r="GT293" s="663"/>
      <c r="GU293" s="663"/>
      <c r="GV293" s="663"/>
      <c r="GW293" s="663"/>
      <c r="GX293" s="663"/>
      <c r="GY293" s="663"/>
      <c r="GZ293" s="663"/>
      <c r="HA293" s="663"/>
      <c r="HB293" s="663"/>
      <c r="HC293" s="663"/>
      <c r="HD293" s="663"/>
      <c r="HE293" s="663"/>
      <c r="HF293" s="663"/>
      <c r="HG293" s="663"/>
      <c r="HH293" s="663"/>
      <c r="HI293" s="663"/>
      <c r="HJ293" s="663"/>
      <c r="HK293" s="663"/>
      <c r="HL293" s="663"/>
      <c r="HM293" s="663"/>
      <c r="HN293" s="663"/>
      <c r="HO293" s="663"/>
      <c r="HP293" s="663"/>
      <c r="HQ293" s="663"/>
      <c r="HR293" s="663"/>
      <c r="HS293" s="663"/>
      <c r="HT293" s="663"/>
      <c r="HU293" s="663"/>
      <c r="HV293" s="663"/>
      <c r="HW293" s="663"/>
      <c r="HX293" s="663"/>
      <c r="HY293" s="663"/>
      <c r="HZ293" s="663"/>
      <c r="IA293" s="663"/>
      <c r="IB293" s="663"/>
      <c r="IC293" s="663"/>
      <c r="ID293" s="663"/>
      <c r="IE293" s="663"/>
      <c r="IF293" s="663"/>
      <c r="IG293" s="663"/>
      <c r="IH293" s="663"/>
      <c r="II293" s="663"/>
      <c r="IJ293" s="663"/>
      <c r="IK293" s="663"/>
      <c r="IL293" s="663"/>
      <c r="IM293" s="663"/>
      <c r="IN293" s="663"/>
      <c r="IO293" s="663"/>
      <c r="IP293" s="663"/>
      <c r="IQ293" s="70"/>
    </row>
    <row r="294" spans="10:251" ht="16.5" hidden="1" customHeight="1">
      <c r="J294" s="214"/>
      <c r="R294" s="95"/>
      <c r="S294" s="95"/>
      <c r="T294" s="95"/>
      <c r="U294" s="70"/>
      <c r="V294" s="214"/>
      <c r="W294" s="70"/>
      <c r="X294" s="70"/>
      <c r="Y294" s="70"/>
      <c r="Z294" s="70"/>
      <c r="AA294" s="70"/>
      <c r="AB294" s="70"/>
      <c r="AC294" s="70"/>
      <c r="AD294" s="70"/>
      <c r="AE294" s="70"/>
      <c r="AF294" s="70"/>
      <c r="AG294" s="70"/>
      <c r="AH294" s="70"/>
      <c r="AI294" s="70"/>
      <c r="AJ294" s="70"/>
      <c r="AK294" s="70"/>
      <c r="AL294" s="70"/>
      <c r="AM294" s="70"/>
      <c r="AN294" s="70"/>
      <c r="AO294" s="70"/>
      <c r="AP294" s="70"/>
      <c r="AQ294" s="70"/>
      <c r="AR294" s="70"/>
      <c r="AS294" s="70"/>
      <c r="AT294" s="70"/>
      <c r="AU294" s="70"/>
      <c r="AV294" s="70"/>
      <c r="AW294" s="70"/>
      <c r="AX294" s="70"/>
      <c r="AY294" s="70"/>
      <c r="AZ294" s="70"/>
      <c r="BA294" s="70"/>
      <c r="BB294" s="70"/>
      <c r="BC294" s="70"/>
      <c r="BD294" s="70"/>
      <c r="BE294" s="70"/>
      <c r="BF294" s="70"/>
      <c r="BG294" s="70"/>
      <c r="BH294" s="70"/>
      <c r="BI294" s="70"/>
      <c r="BJ294" s="70"/>
      <c r="BK294" s="70"/>
      <c r="BL294" s="70"/>
      <c r="BM294" s="70"/>
      <c r="BN294" s="70"/>
      <c r="BO294" s="70"/>
      <c r="BP294" s="70"/>
      <c r="BQ294" s="70"/>
      <c r="BR294" s="70"/>
      <c r="BS294" s="70"/>
      <c r="BT294" s="70"/>
      <c r="BU294" s="70"/>
      <c r="BV294" s="70"/>
      <c r="BW294" s="70"/>
      <c r="BX294" s="70"/>
      <c r="BY294" s="70"/>
      <c r="BZ294" s="70"/>
      <c r="CA294" s="70"/>
      <c r="CB294" s="70"/>
      <c r="CC294" s="70"/>
      <c r="CD294" s="70"/>
      <c r="CE294" s="70"/>
      <c r="CF294" s="70"/>
      <c r="CG294" s="70"/>
      <c r="CH294" s="70"/>
      <c r="CI294" s="70"/>
      <c r="CJ294" s="70"/>
      <c r="CK294" s="70"/>
      <c r="CL294" s="70"/>
      <c r="CM294" s="70"/>
      <c r="CN294" s="70"/>
      <c r="CO294" s="70"/>
      <c r="CP294" s="70"/>
      <c r="CQ294" s="70"/>
      <c r="CR294" s="70"/>
      <c r="CS294" s="70"/>
      <c r="CT294" s="70"/>
      <c r="CU294" s="70"/>
      <c r="CV294" s="70"/>
      <c r="CW294" s="70"/>
      <c r="CX294" s="70"/>
      <c r="CY294" s="70"/>
      <c r="CZ294" s="70"/>
      <c r="DA294" s="70"/>
      <c r="DB294" s="70"/>
      <c r="DC294" s="70"/>
      <c r="DD294" s="70"/>
      <c r="DE294" s="70"/>
      <c r="DF294" s="70"/>
      <c r="DG294" s="70"/>
      <c r="DH294" s="70"/>
      <c r="DI294" s="70"/>
      <c r="DJ294" s="70"/>
      <c r="DK294" s="70"/>
      <c r="DL294" s="70"/>
      <c r="DM294" s="70"/>
      <c r="DN294" s="70"/>
      <c r="DO294" s="70"/>
      <c r="DP294" s="70"/>
      <c r="DQ294" s="70"/>
      <c r="DR294" s="70"/>
      <c r="DS294" s="70"/>
      <c r="DT294" s="70"/>
      <c r="DU294" s="70"/>
      <c r="DV294" s="70"/>
      <c r="DW294" s="70"/>
      <c r="DX294" s="70"/>
      <c r="DY294" s="70"/>
      <c r="DZ294" s="70"/>
      <c r="EA294" s="70"/>
      <c r="EB294" s="70"/>
      <c r="EC294" s="70"/>
      <c r="ED294" s="70"/>
      <c r="EE294" s="95" t="s">
        <v>450</v>
      </c>
      <c r="EF294" s="652"/>
      <c r="EG294" s="652"/>
      <c r="EH294" s="652"/>
      <c r="EI294" s="216"/>
      <c r="EJ294" s="663"/>
      <c r="EK294" s="663"/>
      <c r="EL294" s="663"/>
      <c r="EM294" s="663"/>
      <c r="EN294" s="663"/>
      <c r="EO294" s="663"/>
      <c r="EP294" s="663"/>
      <c r="EQ294" s="663"/>
      <c r="ER294" s="663"/>
      <c r="ES294" s="663"/>
      <c r="ET294" s="663"/>
      <c r="EU294" s="663"/>
      <c r="EV294" s="663"/>
      <c r="EW294" s="663"/>
      <c r="EX294" s="663"/>
      <c r="EY294" s="663"/>
      <c r="EZ294" s="663"/>
      <c r="FA294" s="663"/>
      <c r="FB294" s="663"/>
      <c r="FC294" s="663"/>
      <c r="FD294" s="663"/>
      <c r="FE294" s="663"/>
      <c r="FF294" s="663"/>
      <c r="FG294" s="663"/>
      <c r="FH294" s="663"/>
      <c r="FI294" s="663"/>
      <c r="FJ294" s="663"/>
      <c r="FK294" s="663"/>
      <c r="FL294" s="663"/>
      <c r="FM294" s="663"/>
      <c r="FN294" s="663"/>
      <c r="FO294" s="663"/>
      <c r="FP294" s="663"/>
      <c r="FQ294" s="663"/>
      <c r="FR294" s="663"/>
      <c r="FS294" s="663"/>
      <c r="FT294" s="663"/>
      <c r="FU294" s="663"/>
      <c r="FV294" s="663"/>
      <c r="FW294" s="663"/>
      <c r="FX294" s="663"/>
      <c r="FY294" s="663"/>
      <c r="FZ294" s="663"/>
      <c r="GA294" s="663"/>
      <c r="GB294" s="663"/>
      <c r="GC294" s="663"/>
      <c r="GD294" s="663"/>
      <c r="GE294" s="663"/>
      <c r="GF294" s="663"/>
      <c r="GG294" s="663"/>
      <c r="GH294" s="663"/>
      <c r="GI294" s="663"/>
      <c r="GJ294" s="663"/>
      <c r="GK294" s="663"/>
      <c r="GL294" s="663"/>
      <c r="GM294" s="663"/>
      <c r="GN294" s="663"/>
      <c r="GO294" s="663"/>
      <c r="GP294" s="663"/>
      <c r="GQ294" s="663"/>
      <c r="GR294" s="663"/>
      <c r="GS294" s="663"/>
      <c r="GT294" s="663"/>
      <c r="GU294" s="663"/>
      <c r="GV294" s="663"/>
      <c r="GW294" s="663"/>
      <c r="GX294" s="663"/>
      <c r="GY294" s="663"/>
      <c r="GZ294" s="663"/>
      <c r="HA294" s="663"/>
      <c r="HB294" s="663"/>
      <c r="HC294" s="663"/>
      <c r="HD294" s="663"/>
      <c r="HE294" s="663"/>
      <c r="HF294" s="663"/>
      <c r="HG294" s="663"/>
      <c r="HH294" s="663"/>
      <c r="HI294" s="663"/>
      <c r="HJ294" s="663"/>
      <c r="HK294" s="663"/>
      <c r="HL294" s="663"/>
      <c r="HM294" s="663"/>
      <c r="HN294" s="663"/>
      <c r="HO294" s="663"/>
      <c r="HP294" s="663"/>
      <c r="HQ294" s="663"/>
      <c r="HR294" s="663"/>
      <c r="HS294" s="663"/>
      <c r="HT294" s="663"/>
      <c r="HU294" s="663"/>
      <c r="HV294" s="663"/>
      <c r="HW294" s="663"/>
      <c r="HX294" s="663"/>
      <c r="HY294" s="663"/>
      <c r="HZ294" s="663"/>
      <c r="IA294" s="663"/>
      <c r="IB294" s="663"/>
      <c r="IC294" s="663"/>
      <c r="ID294" s="663"/>
      <c r="IE294" s="663"/>
      <c r="IF294" s="663"/>
      <c r="IG294" s="663"/>
      <c r="IH294" s="663"/>
      <c r="II294" s="663"/>
      <c r="IJ294" s="663"/>
      <c r="IK294" s="663"/>
      <c r="IL294" s="663"/>
      <c r="IM294" s="663"/>
      <c r="IN294" s="663"/>
      <c r="IO294" s="663"/>
      <c r="IP294" s="663"/>
      <c r="IQ294" s="70"/>
    </row>
    <row r="295" spans="10:251" ht="16.5" hidden="1" customHeight="1">
      <c r="J295" s="214"/>
      <c r="R295" s="95"/>
      <c r="S295" s="95"/>
      <c r="T295" s="95"/>
      <c r="U295" s="70"/>
      <c r="V295" s="214"/>
      <c r="W295" s="70"/>
      <c r="X295" s="70"/>
      <c r="Y295" s="70"/>
      <c r="Z295" s="70"/>
      <c r="AA295" s="70"/>
      <c r="AB295" s="70"/>
      <c r="AC295" s="70"/>
      <c r="AD295" s="70"/>
      <c r="AE295" s="70"/>
      <c r="AF295" s="70"/>
      <c r="AG295" s="70"/>
      <c r="AH295" s="70"/>
      <c r="AI295" s="70"/>
      <c r="AJ295" s="70"/>
      <c r="AK295" s="70"/>
      <c r="AL295" s="70"/>
      <c r="AM295" s="70"/>
      <c r="AN295" s="70"/>
      <c r="AO295" s="70"/>
      <c r="AP295" s="70"/>
      <c r="AQ295" s="70"/>
      <c r="AR295" s="70"/>
      <c r="AS295" s="70"/>
      <c r="AT295" s="70"/>
      <c r="AU295" s="70"/>
      <c r="AV295" s="70"/>
      <c r="AW295" s="70"/>
      <c r="AX295" s="70"/>
      <c r="AY295" s="70"/>
      <c r="AZ295" s="70"/>
      <c r="BA295" s="70"/>
      <c r="BB295" s="70"/>
      <c r="BC295" s="70"/>
      <c r="BD295" s="70"/>
      <c r="BE295" s="70"/>
      <c r="BF295" s="70"/>
      <c r="BG295" s="70"/>
      <c r="BH295" s="70"/>
      <c r="BI295" s="70"/>
      <c r="BJ295" s="70"/>
      <c r="BK295" s="70"/>
      <c r="BL295" s="70"/>
      <c r="BM295" s="70"/>
      <c r="BN295" s="70"/>
      <c r="BO295" s="70"/>
      <c r="BP295" s="70"/>
      <c r="BQ295" s="70"/>
      <c r="BR295" s="70"/>
      <c r="BS295" s="70"/>
      <c r="BT295" s="70"/>
      <c r="BU295" s="70"/>
      <c r="BV295" s="70"/>
      <c r="BW295" s="70"/>
      <c r="BX295" s="70"/>
      <c r="BY295" s="70"/>
      <c r="BZ295" s="70"/>
      <c r="CA295" s="70"/>
      <c r="CB295" s="70"/>
      <c r="CC295" s="70"/>
      <c r="CD295" s="70"/>
      <c r="CE295" s="70"/>
      <c r="CF295" s="70"/>
      <c r="CG295" s="70"/>
      <c r="CH295" s="70"/>
      <c r="CI295" s="70"/>
      <c r="CJ295" s="70"/>
      <c r="CK295" s="70"/>
      <c r="CL295" s="70"/>
      <c r="CM295" s="70"/>
      <c r="CN295" s="70"/>
      <c r="CO295" s="70"/>
      <c r="CP295" s="70"/>
      <c r="CQ295" s="70"/>
      <c r="CR295" s="70"/>
      <c r="CS295" s="70"/>
      <c r="CT295" s="70"/>
      <c r="CU295" s="70"/>
      <c r="CV295" s="70"/>
      <c r="CW295" s="70"/>
      <c r="CX295" s="70"/>
      <c r="CY295" s="70"/>
      <c r="CZ295" s="70"/>
      <c r="DA295" s="70"/>
      <c r="DB295" s="70"/>
      <c r="DC295" s="70"/>
      <c r="DD295" s="70"/>
      <c r="DE295" s="70"/>
      <c r="DF295" s="70"/>
      <c r="DG295" s="70"/>
      <c r="DH295" s="70"/>
      <c r="DI295" s="70"/>
      <c r="DJ295" s="70"/>
      <c r="DK295" s="70"/>
      <c r="DL295" s="70"/>
      <c r="DM295" s="70"/>
      <c r="DN295" s="70"/>
      <c r="DO295" s="70"/>
      <c r="DP295" s="70"/>
      <c r="DQ295" s="70"/>
      <c r="DR295" s="70"/>
      <c r="DS295" s="70"/>
      <c r="DT295" s="70"/>
      <c r="DU295" s="70"/>
      <c r="DV295" s="70"/>
      <c r="DW295" s="70"/>
      <c r="DX295" s="70"/>
      <c r="DY295" s="70"/>
      <c r="DZ295" s="70"/>
      <c r="EA295" s="70"/>
      <c r="EB295" s="70"/>
      <c r="EC295" s="70"/>
      <c r="ED295" s="70"/>
      <c r="EE295" s="95" t="s">
        <v>450</v>
      </c>
      <c r="EF295" s="652"/>
      <c r="EG295" s="652"/>
      <c r="EH295" s="652"/>
      <c r="EI295" s="216"/>
      <c r="EJ295" s="663"/>
      <c r="EK295" s="663"/>
      <c r="EL295" s="663"/>
      <c r="EM295" s="663"/>
      <c r="EN295" s="663"/>
      <c r="EO295" s="663"/>
      <c r="EP295" s="663"/>
      <c r="EQ295" s="663"/>
      <c r="ER295" s="663"/>
      <c r="ES295" s="663"/>
      <c r="ET295" s="663"/>
      <c r="EU295" s="663"/>
      <c r="EV295" s="663"/>
      <c r="EW295" s="663"/>
      <c r="EX295" s="663"/>
      <c r="EY295" s="663"/>
      <c r="EZ295" s="663"/>
      <c r="FA295" s="663"/>
      <c r="FB295" s="663"/>
      <c r="FC295" s="663"/>
      <c r="FD295" s="663"/>
      <c r="FE295" s="663"/>
      <c r="FF295" s="663"/>
      <c r="FG295" s="663"/>
      <c r="FH295" s="663"/>
      <c r="FI295" s="663"/>
      <c r="FJ295" s="663"/>
      <c r="FK295" s="663"/>
      <c r="FL295" s="663"/>
      <c r="FM295" s="663"/>
      <c r="FN295" s="663"/>
      <c r="FO295" s="663"/>
      <c r="FP295" s="663"/>
      <c r="FQ295" s="663"/>
      <c r="FR295" s="663"/>
      <c r="FS295" s="663"/>
      <c r="FT295" s="663"/>
      <c r="FU295" s="663"/>
      <c r="FV295" s="663"/>
      <c r="FW295" s="663"/>
      <c r="FX295" s="663"/>
      <c r="FY295" s="663"/>
      <c r="FZ295" s="663"/>
      <c r="GA295" s="663"/>
      <c r="GB295" s="663"/>
      <c r="GC295" s="663"/>
      <c r="GD295" s="663"/>
      <c r="GE295" s="663"/>
      <c r="GF295" s="663"/>
      <c r="GG295" s="663"/>
      <c r="GH295" s="663"/>
      <c r="GI295" s="663"/>
      <c r="GJ295" s="663"/>
      <c r="GK295" s="663"/>
      <c r="GL295" s="663"/>
      <c r="GM295" s="663"/>
      <c r="GN295" s="663"/>
      <c r="GO295" s="663"/>
      <c r="GP295" s="663"/>
      <c r="GQ295" s="663"/>
      <c r="GR295" s="663"/>
      <c r="GS295" s="663"/>
      <c r="GT295" s="663"/>
      <c r="GU295" s="663"/>
      <c r="GV295" s="663"/>
      <c r="GW295" s="663"/>
      <c r="GX295" s="663"/>
      <c r="GY295" s="663"/>
      <c r="GZ295" s="663"/>
      <c r="HA295" s="663"/>
      <c r="HB295" s="663"/>
      <c r="HC295" s="663"/>
      <c r="HD295" s="663"/>
      <c r="HE295" s="663"/>
      <c r="HF295" s="663"/>
      <c r="HG295" s="663"/>
      <c r="HH295" s="663"/>
      <c r="HI295" s="663"/>
      <c r="HJ295" s="663"/>
      <c r="HK295" s="663"/>
      <c r="HL295" s="663"/>
      <c r="HM295" s="663"/>
      <c r="HN295" s="663"/>
      <c r="HO295" s="663"/>
      <c r="HP295" s="663"/>
      <c r="HQ295" s="663"/>
      <c r="HR295" s="663"/>
      <c r="HS295" s="663"/>
      <c r="HT295" s="663"/>
      <c r="HU295" s="663"/>
      <c r="HV295" s="663"/>
      <c r="HW295" s="663"/>
      <c r="HX295" s="663"/>
      <c r="HY295" s="663"/>
      <c r="HZ295" s="663"/>
      <c r="IA295" s="663"/>
      <c r="IB295" s="663"/>
      <c r="IC295" s="663"/>
      <c r="ID295" s="663"/>
      <c r="IE295" s="663"/>
      <c r="IF295" s="663"/>
      <c r="IG295" s="663"/>
      <c r="IH295" s="663"/>
      <c r="II295" s="663"/>
      <c r="IJ295" s="663"/>
      <c r="IK295" s="663"/>
      <c r="IL295" s="663"/>
      <c r="IM295" s="663"/>
      <c r="IN295" s="663"/>
      <c r="IO295" s="663"/>
      <c r="IP295" s="663"/>
      <c r="IQ295" s="70"/>
    </row>
    <row r="296" spans="10:251" ht="16.5" hidden="1" customHeight="1">
      <c r="J296" s="214"/>
      <c r="R296" s="95"/>
      <c r="S296" s="95"/>
      <c r="T296" s="95"/>
      <c r="U296" s="70"/>
      <c r="V296" s="214"/>
      <c r="W296" s="70"/>
      <c r="X296" s="70"/>
      <c r="Y296" s="70"/>
      <c r="Z296" s="70"/>
      <c r="AA296" s="70"/>
      <c r="AB296" s="70"/>
      <c r="AC296" s="70"/>
      <c r="AD296" s="70"/>
      <c r="AE296" s="70"/>
      <c r="AF296" s="70"/>
      <c r="AG296" s="70"/>
      <c r="AH296" s="70"/>
      <c r="AI296" s="70"/>
      <c r="AJ296" s="70"/>
      <c r="AK296" s="70"/>
      <c r="AL296" s="70"/>
      <c r="AM296" s="70"/>
      <c r="AN296" s="70"/>
      <c r="AO296" s="70"/>
      <c r="AP296" s="70"/>
      <c r="AQ296" s="70"/>
      <c r="AR296" s="70"/>
      <c r="AS296" s="70"/>
      <c r="AT296" s="70"/>
      <c r="AU296" s="70"/>
      <c r="AV296" s="70"/>
      <c r="AW296" s="70"/>
      <c r="AX296" s="70"/>
      <c r="AY296" s="70"/>
      <c r="AZ296" s="70"/>
      <c r="BA296" s="70"/>
      <c r="BB296" s="70"/>
      <c r="BC296" s="70"/>
      <c r="BD296" s="70"/>
      <c r="BE296" s="70"/>
      <c r="BF296" s="70"/>
      <c r="BG296" s="70"/>
      <c r="BH296" s="70"/>
      <c r="BI296" s="70"/>
      <c r="BJ296" s="70"/>
      <c r="BK296" s="70"/>
      <c r="BL296" s="70"/>
      <c r="BM296" s="70"/>
      <c r="BN296" s="70"/>
      <c r="BO296" s="70"/>
      <c r="BP296" s="70"/>
      <c r="BQ296" s="70"/>
      <c r="BR296" s="70"/>
      <c r="BS296" s="70"/>
      <c r="BT296" s="70"/>
      <c r="BU296" s="70"/>
      <c r="BV296" s="70"/>
      <c r="BW296" s="70"/>
      <c r="BX296" s="70"/>
      <c r="BY296" s="70"/>
      <c r="BZ296" s="70"/>
      <c r="CA296" s="70"/>
      <c r="CB296" s="70"/>
      <c r="CC296" s="70"/>
      <c r="CD296" s="70"/>
      <c r="CE296" s="70"/>
      <c r="CF296" s="70"/>
      <c r="CG296" s="70"/>
      <c r="CH296" s="70"/>
      <c r="CI296" s="70"/>
      <c r="CJ296" s="70"/>
      <c r="CK296" s="70"/>
      <c r="CL296" s="70"/>
      <c r="CM296" s="70"/>
      <c r="CN296" s="70"/>
      <c r="CO296" s="70"/>
      <c r="CP296" s="70"/>
      <c r="CQ296" s="70"/>
      <c r="CR296" s="70"/>
      <c r="CS296" s="70"/>
      <c r="CT296" s="70"/>
      <c r="CU296" s="70"/>
      <c r="CV296" s="70"/>
      <c r="CW296" s="70"/>
      <c r="CX296" s="70"/>
      <c r="CY296" s="70"/>
      <c r="CZ296" s="70"/>
      <c r="DA296" s="70"/>
      <c r="DB296" s="70"/>
      <c r="DC296" s="70"/>
      <c r="DD296" s="70"/>
      <c r="DE296" s="70"/>
      <c r="DF296" s="70"/>
      <c r="DG296" s="70"/>
      <c r="DH296" s="70"/>
      <c r="DI296" s="70"/>
      <c r="DJ296" s="70"/>
      <c r="DK296" s="70"/>
      <c r="DL296" s="70"/>
      <c r="DM296" s="70"/>
      <c r="DN296" s="70"/>
      <c r="DO296" s="70"/>
      <c r="DP296" s="70"/>
      <c r="DQ296" s="70"/>
      <c r="DR296" s="70"/>
      <c r="DS296" s="70"/>
      <c r="DT296" s="70"/>
      <c r="DU296" s="70"/>
      <c r="DV296" s="70"/>
      <c r="DW296" s="70"/>
      <c r="DX296" s="70"/>
      <c r="DY296" s="70"/>
      <c r="DZ296" s="70"/>
      <c r="EA296" s="70"/>
      <c r="EB296" s="70"/>
      <c r="EC296" s="70"/>
      <c r="ED296" s="70"/>
      <c r="EE296" s="95" t="s">
        <v>450</v>
      </c>
      <c r="EF296" s="652"/>
      <c r="EG296" s="652"/>
      <c r="EH296" s="652"/>
      <c r="EI296" s="216"/>
      <c r="EJ296" s="663"/>
      <c r="EK296" s="663"/>
      <c r="EL296" s="663"/>
      <c r="EM296" s="663"/>
      <c r="EN296" s="663"/>
      <c r="EO296" s="663"/>
      <c r="EP296" s="663"/>
      <c r="EQ296" s="663"/>
      <c r="ER296" s="663"/>
      <c r="ES296" s="663"/>
      <c r="ET296" s="663"/>
      <c r="EU296" s="663"/>
      <c r="EV296" s="663"/>
      <c r="EW296" s="663"/>
      <c r="EX296" s="663"/>
      <c r="EY296" s="663"/>
      <c r="EZ296" s="663"/>
      <c r="FA296" s="663"/>
      <c r="FB296" s="663"/>
      <c r="FC296" s="663"/>
      <c r="FD296" s="663"/>
      <c r="FE296" s="663"/>
      <c r="FF296" s="663"/>
      <c r="FG296" s="663"/>
      <c r="FH296" s="663"/>
      <c r="FI296" s="663"/>
      <c r="FJ296" s="663"/>
      <c r="FK296" s="663"/>
      <c r="FL296" s="663"/>
      <c r="FM296" s="663"/>
      <c r="FN296" s="663"/>
      <c r="FO296" s="663"/>
      <c r="FP296" s="663"/>
      <c r="FQ296" s="663"/>
      <c r="FR296" s="663"/>
      <c r="FS296" s="663"/>
      <c r="FT296" s="663"/>
      <c r="FU296" s="663"/>
      <c r="FV296" s="663"/>
      <c r="FW296" s="663"/>
      <c r="FX296" s="663"/>
      <c r="FY296" s="663"/>
      <c r="FZ296" s="663"/>
      <c r="GA296" s="663"/>
      <c r="GB296" s="663"/>
      <c r="GC296" s="663"/>
      <c r="GD296" s="663"/>
      <c r="GE296" s="663"/>
      <c r="GF296" s="663"/>
      <c r="GG296" s="663"/>
      <c r="GH296" s="663"/>
      <c r="GI296" s="663"/>
      <c r="GJ296" s="663"/>
      <c r="GK296" s="663"/>
      <c r="GL296" s="663"/>
      <c r="GM296" s="663"/>
      <c r="GN296" s="663"/>
      <c r="GO296" s="663"/>
      <c r="GP296" s="663"/>
      <c r="GQ296" s="663"/>
      <c r="GR296" s="663"/>
      <c r="GS296" s="663"/>
      <c r="GT296" s="663"/>
      <c r="GU296" s="663"/>
      <c r="GV296" s="663"/>
      <c r="GW296" s="663"/>
      <c r="GX296" s="663"/>
      <c r="GY296" s="663"/>
      <c r="GZ296" s="663"/>
      <c r="HA296" s="663"/>
      <c r="HB296" s="663"/>
      <c r="HC296" s="663"/>
      <c r="HD296" s="663"/>
      <c r="HE296" s="663"/>
      <c r="HF296" s="663"/>
      <c r="HG296" s="663"/>
      <c r="HH296" s="663"/>
      <c r="HI296" s="663"/>
      <c r="HJ296" s="663"/>
      <c r="HK296" s="663"/>
      <c r="HL296" s="663"/>
      <c r="HM296" s="663"/>
      <c r="HN296" s="663"/>
      <c r="HO296" s="663"/>
      <c r="HP296" s="663"/>
      <c r="HQ296" s="663"/>
      <c r="HR296" s="663"/>
      <c r="HS296" s="663"/>
      <c r="HT296" s="663"/>
      <c r="HU296" s="663"/>
      <c r="HV296" s="663"/>
      <c r="HW296" s="663"/>
      <c r="HX296" s="663"/>
      <c r="HY296" s="663"/>
      <c r="HZ296" s="663"/>
      <c r="IA296" s="663"/>
      <c r="IB296" s="663"/>
      <c r="IC296" s="663"/>
      <c r="ID296" s="663"/>
      <c r="IE296" s="663"/>
      <c r="IF296" s="663"/>
      <c r="IG296" s="663"/>
      <c r="IH296" s="663"/>
      <c r="II296" s="663"/>
      <c r="IJ296" s="663"/>
      <c r="IK296" s="663"/>
      <c r="IL296" s="663"/>
      <c r="IM296" s="663"/>
      <c r="IN296" s="663"/>
      <c r="IO296" s="663"/>
      <c r="IP296" s="663"/>
      <c r="IQ296" s="70"/>
    </row>
    <row r="297" spans="10:251" ht="16.5" hidden="1" customHeight="1">
      <c r="J297" s="214"/>
      <c r="R297" s="95"/>
      <c r="S297" s="95"/>
      <c r="T297" s="95"/>
      <c r="U297" s="70"/>
      <c r="V297" s="214"/>
      <c r="W297" s="70"/>
      <c r="X297" s="70"/>
      <c r="Y297" s="70"/>
      <c r="Z297" s="70"/>
      <c r="AA297" s="70"/>
      <c r="AB297" s="70"/>
      <c r="AC297" s="70"/>
      <c r="AD297" s="70"/>
      <c r="AE297" s="70"/>
      <c r="AF297" s="70"/>
      <c r="AG297" s="70"/>
      <c r="AH297" s="70"/>
      <c r="AI297" s="70"/>
      <c r="AJ297" s="70"/>
      <c r="AK297" s="70"/>
      <c r="AL297" s="70"/>
      <c r="AM297" s="70"/>
      <c r="AN297" s="70"/>
      <c r="AO297" s="70"/>
      <c r="AP297" s="70"/>
      <c r="AQ297" s="70"/>
      <c r="AR297" s="70"/>
      <c r="AS297" s="70"/>
      <c r="AT297" s="70"/>
      <c r="AU297" s="70"/>
      <c r="AV297" s="70"/>
      <c r="AW297" s="70"/>
      <c r="AX297" s="70"/>
      <c r="AY297" s="70"/>
      <c r="AZ297" s="70"/>
      <c r="BA297" s="70"/>
      <c r="BB297" s="70"/>
      <c r="BC297" s="70"/>
      <c r="BD297" s="70"/>
      <c r="BE297" s="70"/>
      <c r="BF297" s="70"/>
      <c r="BG297" s="70"/>
      <c r="BH297" s="70"/>
      <c r="BI297" s="70"/>
      <c r="BJ297" s="70"/>
      <c r="BK297" s="70"/>
      <c r="BL297" s="70"/>
      <c r="BM297" s="70"/>
      <c r="BN297" s="70"/>
      <c r="BO297" s="70"/>
      <c r="BP297" s="70"/>
      <c r="BQ297" s="70"/>
      <c r="BR297" s="70"/>
      <c r="BS297" s="70"/>
      <c r="BT297" s="70"/>
      <c r="BU297" s="70"/>
      <c r="BV297" s="70"/>
      <c r="BW297" s="70"/>
      <c r="BX297" s="70"/>
      <c r="BY297" s="70"/>
      <c r="BZ297" s="70"/>
      <c r="CA297" s="70"/>
      <c r="CB297" s="70"/>
      <c r="CC297" s="70"/>
      <c r="CD297" s="70"/>
      <c r="CE297" s="70"/>
      <c r="CF297" s="70"/>
      <c r="CG297" s="70"/>
      <c r="CH297" s="70"/>
      <c r="CI297" s="70"/>
      <c r="CJ297" s="70"/>
      <c r="CK297" s="70"/>
      <c r="CL297" s="70"/>
      <c r="CM297" s="70"/>
      <c r="CN297" s="70"/>
      <c r="CO297" s="70"/>
      <c r="CP297" s="70"/>
      <c r="CQ297" s="70"/>
      <c r="CR297" s="70"/>
      <c r="CS297" s="70"/>
      <c r="CT297" s="70"/>
      <c r="CU297" s="70"/>
      <c r="CV297" s="70"/>
      <c r="CW297" s="70"/>
      <c r="CX297" s="70"/>
      <c r="CY297" s="70"/>
      <c r="CZ297" s="70"/>
      <c r="DA297" s="70"/>
      <c r="DB297" s="70"/>
      <c r="DC297" s="70"/>
      <c r="DD297" s="70"/>
      <c r="DE297" s="70"/>
      <c r="DF297" s="70"/>
      <c r="DG297" s="70"/>
      <c r="DH297" s="70"/>
      <c r="DI297" s="70"/>
      <c r="DJ297" s="70"/>
      <c r="DK297" s="70"/>
      <c r="DL297" s="70"/>
      <c r="DM297" s="70"/>
      <c r="DN297" s="70"/>
      <c r="DO297" s="70"/>
      <c r="DP297" s="70"/>
      <c r="DQ297" s="70"/>
      <c r="DR297" s="70"/>
      <c r="DS297" s="70"/>
      <c r="DT297" s="70"/>
      <c r="DU297" s="70"/>
      <c r="DV297" s="70"/>
      <c r="DW297" s="70"/>
      <c r="DX297" s="70"/>
      <c r="DY297" s="70"/>
      <c r="DZ297" s="70"/>
      <c r="EA297" s="70"/>
      <c r="EB297" s="70"/>
      <c r="EC297" s="70"/>
      <c r="ED297" s="70"/>
      <c r="EE297" s="95" t="s">
        <v>450</v>
      </c>
      <c r="EF297" s="652"/>
      <c r="EG297" s="652"/>
      <c r="EH297" s="652"/>
      <c r="EI297" s="216"/>
      <c r="EJ297" s="663"/>
      <c r="EK297" s="663"/>
      <c r="EL297" s="663"/>
      <c r="EM297" s="663"/>
      <c r="EN297" s="663"/>
      <c r="EO297" s="663"/>
      <c r="EP297" s="663"/>
      <c r="EQ297" s="663"/>
      <c r="ER297" s="663"/>
      <c r="ES297" s="663"/>
      <c r="ET297" s="663"/>
      <c r="EU297" s="663"/>
      <c r="EV297" s="663"/>
      <c r="EW297" s="663"/>
      <c r="EX297" s="663"/>
      <c r="EY297" s="663"/>
      <c r="EZ297" s="663"/>
      <c r="FA297" s="663"/>
      <c r="FB297" s="663"/>
      <c r="FC297" s="663"/>
      <c r="FD297" s="663"/>
      <c r="FE297" s="663"/>
      <c r="FF297" s="663"/>
      <c r="FG297" s="663"/>
      <c r="FH297" s="663"/>
      <c r="FI297" s="663"/>
      <c r="FJ297" s="663"/>
      <c r="FK297" s="663"/>
      <c r="FL297" s="663"/>
      <c r="FM297" s="663"/>
      <c r="FN297" s="663"/>
      <c r="FO297" s="663"/>
      <c r="FP297" s="663"/>
      <c r="FQ297" s="663"/>
      <c r="FR297" s="663"/>
      <c r="FS297" s="663"/>
      <c r="FT297" s="663"/>
      <c r="FU297" s="663"/>
      <c r="FV297" s="663"/>
      <c r="FW297" s="663"/>
      <c r="FX297" s="663"/>
      <c r="FY297" s="663"/>
      <c r="FZ297" s="663"/>
      <c r="GA297" s="663"/>
      <c r="GB297" s="663"/>
      <c r="GC297" s="663"/>
      <c r="GD297" s="663"/>
      <c r="GE297" s="663"/>
      <c r="GF297" s="663"/>
      <c r="GG297" s="663"/>
      <c r="GH297" s="663"/>
      <c r="GI297" s="663"/>
      <c r="GJ297" s="663"/>
      <c r="GK297" s="663"/>
      <c r="GL297" s="663"/>
      <c r="GM297" s="663"/>
      <c r="GN297" s="663"/>
      <c r="GO297" s="663"/>
      <c r="GP297" s="663"/>
      <c r="GQ297" s="663"/>
      <c r="GR297" s="663"/>
      <c r="GS297" s="663"/>
      <c r="GT297" s="663"/>
      <c r="GU297" s="663"/>
      <c r="GV297" s="663"/>
      <c r="GW297" s="663"/>
      <c r="GX297" s="663"/>
      <c r="GY297" s="663"/>
      <c r="GZ297" s="663"/>
      <c r="HA297" s="663"/>
      <c r="HB297" s="663"/>
      <c r="HC297" s="663"/>
      <c r="HD297" s="663"/>
      <c r="HE297" s="663"/>
      <c r="HF297" s="663"/>
      <c r="HG297" s="663"/>
      <c r="HH297" s="663"/>
      <c r="HI297" s="663"/>
      <c r="HJ297" s="663"/>
      <c r="HK297" s="663"/>
      <c r="HL297" s="663"/>
      <c r="HM297" s="663"/>
      <c r="HN297" s="663"/>
      <c r="HO297" s="663"/>
      <c r="HP297" s="663"/>
      <c r="HQ297" s="663"/>
      <c r="HR297" s="663"/>
      <c r="HS297" s="663"/>
      <c r="HT297" s="663"/>
      <c r="HU297" s="663"/>
      <c r="HV297" s="663"/>
      <c r="HW297" s="663"/>
      <c r="HX297" s="663"/>
      <c r="HY297" s="663"/>
      <c r="HZ297" s="663"/>
      <c r="IA297" s="663"/>
      <c r="IB297" s="663"/>
      <c r="IC297" s="663"/>
      <c r="ID297" s="663"/>
      <c r="IE297" s="663"/>
      <c r="IF297" s="663"/>
      <c r="IG297" s="663"/>
      <c r="IH297" s="663"/>
      <c r="II297" s="663"/>
      <c r="IJ297" s="663"/>
      <c r="IK297" s="663"/>
      <c r="IL297" s="663"/>
      <c r="IM297" s="663"/>
      <c r="IN297" s="663"/>
      <c r="IO297" s="663"/>
      <c r="IP297" s="663"/>
      <c r="IQ297" s="70"/>
    </row>
    <row r="298" spans="10:251" ht="16.5" hidden="1" customHeight="1">
      <c r="J298" s="214"/>
      <c r="R298" s="95"/>
      <c r="S298" s="95"/>
      <c r="T298" s="95"/>
      <c r="U298" s="70"/>
      <c r="V298" s="214"/>
      <c r="W298" s="70"/>
      <c r="X298" s="70"/>
      <c r="Y298" s="70"/>
      <c r="Z298" s="70"/>
      <c r="AA298" s="70"/>
      <c r="AB298" s="70"/>
      <c r="AC298" s="70"/>
      <c r="AD298" s="70"/>
      <c r="AE298" s="70"/>
      <c r="AF298" s="70"/>
      <c r="AG298" s="70"/>
      <c r="AH298" s="70"/>
      <c r="AI298" s="70"/>
      <c r="AJ298" s="70"/>
      <c r="AK298" s="70"/>
      <c r="AL298" s="70"/>
      <c r="AM298" s="70"/>
      <c r="AN298" s="70"/>
      <c r="AO298" s="70"/>
      <c r="AP298" s="70"/>
      <c r="AQ298" s="70"/>
      <c r="AR298" s="70"/>
      <c r="AS298" s="70"/>
      <c r="AT298" s="70"/>
      <c r="AU298" s="70"/>
      <c r="AV298" s="70"/>
      <c r="AW298" s="70"/>
      <c r="AX298" s="70"/>
      <c r="AY298" s="70"/>
      <c r="AZ298" s="70"/>
      <c r="BA298" s="70"/>
      <c r="BB298" s="70"/>
      <c r="BC298" s="70"/>
      <c r="BD298" s="70"/>
      <c r="BE298" s="70"/>
      <c r="BF298" s="70"/>
      <c r="BG298" s="70"/>
      <c r="BH298" s="70"/>
      <c r="BI298" s="70"/>
      <c r="BJ298" s="70"/>
      <c r="BK298" s="70"/>
      <c r="BL298" s="70"/>
      <c r="BM298" s="70"/>
      <c r="BN298" s="70"/>
      <c r="BO298" s="70"/>
      <c r="BP298" s="70"/>
      <c r="BQ298" s="70"/>
      <c r="BR298" s="70"/>
      <c r="BS298" s="70"/>
      <c r="BT298" s="70"/>
      <c r="BU298" s="70"/>
      <c r="BV298" s="70"/>
      <c r="BW298" s="70"/>
      <c r="BX298" s="70"/>
      <c r="BY298" s="70"/>
      <c r="BZ298" s="70"/>
      <c r="CA298" s="70"/>
      <c r="CB298" s="70"/>
      <c r="CC298" s="70"/>
      <c r="CD298" s="70"/>
      <c r="CE298" s="70"/>
      <c r="CF298" s="70"/>
      <c r="CG298" s="70"/>
      <c r="CH298" s="70"/>
      <c r="CI298" s="70"/>
      <c r="CJ298" s="70"/>
      <c r="CK298" s="70"/>
      <c r="CL298" s="70"/>
      <c r="CM298" s="70"/>
      <c r="CN298" s="70"/>
      <c r="CO298" s="70"/>
      <c r="CP298" s="70"/>
      <c r="CQ298" s="70"/>
      <c r="CR298" s="70"/>
      <c r="CS298" s="70"/>
      <c r="CT298" s="70"/>
      <c r="CU298" s="70"/>
      <c r="CV298" s="70"/>
      <c r="CW298" s="70"/>
      <c r="CX298" s="70"/>
      <c r="CY298" s="70"/>
      <c r="CZ298" s="70"/>
      <c r="DA298" s="70"/>
      <c r="DB298" s="70"/>
      <c r="DC298" s="70"/>
      <c r="DD298" s="70"/>
      <c r="DE298" s="70"/>
      <c r="DF298" s="70"/>
      <c r="DG298" s="70"/>
      <c r="DH298" s="70"/>
      <c r="DI298" s="70"/>
      <c r="DJ298" s="70"/>
      <c r="DK298" s="70"/>
      <c r="DL298" s="70"/>
      <c r="DM298" s="70"/>
      <c r="DN298" s="70"/>
      <c r="DO298" s="70"/>
      <c r="DP298" s="70"/>
      <c r="DQ298" s="70"/>
      <c r="DR298" s="70"/>
      <c r="DS298" s="70"/>
      <c r="DT298" s="70"/>
      <c r="DU298" s="70"/>
      <c r="DV298" s="70"/>
      <c r="DW298" s="70"/>
      <c r="DX298" s="70"/>
      <c r="DY298" s="70"/>
      <c r="DZ298" s="70"/>
      <c r="EA298" s="70"/>
      <c r="EB298" s="70"/>
      <c r="EC298" s="70"/>
      <c r="ED298" s="70"/>
      <c r="EE298" s="95" t="s">
        <v>450</v>
      </c>
      <c r="EF298" s="652"/>
      <c r="EG298" s="652"/>
      <c r="EH298" s="652"/>
      <c r="EI298" s="216"/>
      <c r="EJ298" s="663"/>
      <c r="EK298" s="663"/>
      <c r="EL298" s="663"/>
      <c r="EM298" s="663"/>
      <c r="EN298" s="663"/>
      <c r="EO298" s="663"/>
      <c r="EP298" s="663"/>
      <c r="EQ298" s="663"/>
      <c r="ER298" s="663"/>
      <c r="ES298" s="663"/>
      <c r="ET298" s="663"/>
      <c r="EU298" s="663"/>
      <c r="EV298" s="663"/>
      <c r="EW298" s="663"/>
      <c r="EX298" s="663"/>
      <c r="EY298" s="663"/>
      <c r="EZ298" s="663"/>
      <c r="FA298" s="663"/>
      <c r="FB298" s="663"/>
      <c r="FC298" s="663"/>
      <c r="FD298" s="663"/>
      <c r="FE298" s="663"/>
      <c r="FF298" s="663"/>
      <c r="FG298" s="663"/>
      <c r="FH298" s="663"/>
      <c r="FI298" s="663"/>
      <c r="FJ298" s="663"/>
      <c r="FK298" s="663"/>
      <c r="FL298" s="663"/>
      <c r="FM298" s="663"/>
      <c r="FN298" s="663"/>
      <c r="FO298" s="663"/>
      <c r="FP298" s="663"/>
      <c r="FQ298" s="663"/>
      <c r="FR298" s="663"/>
      <c r="FS298" s="663"/>
      <c r="FT298" s="663"/>
      <c r="FU298" s="663"/>
      <c r="FV298" s="663"/>
      <c r="FW298" s="663"/>
      <c r="FX298" s="663"/>
      <c r="FY298" s="663"/>
      <c r="FZ298" s="663"/>
      <c r="GA298" s="663"/>
      <c r="GB298" s="663"/>
      <c r="GC298" s="663"/>
      <c r="GD298" s="663"/>
      <c r="GE298" s="663"/>
      <c r="GF298" s="663"/>
      <c r="GG298" s="663"/>
      <c r="GH298" s="663"/>
      <c r="GI298" s="663"/>
      <c r="GJ298" s="663"/>
      <c r="GK298" s="663"/>
      <c r="GL298" s="663"/>
      <c r="GM298" s="663"/>
      <c r="GN298" s="663"/>
      <c r="GO298" s="663"/>
      <c r="GP298" s="663"/>
      <c r="GQ298" s="663"/>
      <c r="GR298" s="663"/>
      <c r="GS298" s="663"/>
      <c r="GT298" s="663"/>
      <c r="GU298" s="663"/>
      <c r="GV298" s="663"/>
      <c r="GW298" s="663"/>
      <c r="GX298" s="663"/>
      <c r="GY298" s="663"/>
      <c r="GZ298" s="663"/>
      <c r="HA298" s="663"/>
      <c r="HB298" s="663"/>
      <c r="HC298" s="663"/>
      <c r="HD298" s="663"/>
      <c r="HE298" s="663"/>
      <c r="HF298" s="663"/>
      <c r="HG298" s="663"/>
      <c r="HH298" s="663"/>
      <c r="HI298" s="663"/>
      <c r="HJ298" s="663"/>
      <c r="HK298" s="663"/>
      <c r="HL298" s="663"/>
      <c r="HM298" s="663"/>
      <c r="HN298" s="663"/>
      <c r="HO298" s="663"/>
      <c r="HP298" s="663"/>
      <c r="HQ298" s="663"/>
      <c r="HR298" s="663"/>
      <c r="HS298" s="663"/>
      <c r="HT298" s="663"/>
      <c r="HU298" s="663"/>
      <c r="HV298" s="663"/>
      <c r="HW298" s="663"/>
      <c r="HX298" s="663"/>
      <c r="HY298" s="663"/>
      <c r="HZ298" s="663"/>
      <c r="IA298" s="663"/>
      <c r="IB298" s="663"/>
      <c r="IC298" s="663"/>
      <c r="ID298" s="663"/>
      <c r="IE298" s="663"/>
      <c r="IF298" s="663"/>
      <c r="IG298" s="663"/>
      <c r="IH298" s="663"/>
      <c r="II298" s="663"/>
      <c r="IJ298" s="663"/>
      <c r="IK298" s="663"/>
      <c r="IL298" s="663"/>
      <c r="IM298" s="663"/>
      <c r="IN298" s="663"/>
      <c r="IO298" s="663"/>
      <c r="IP298" s="663"/>
      <c r="IQ298" s="70"/>
    </row>
    <row r="299" spans="10:251" ht="16.5" hidden="1" customHeight="1">
      <c r="J299" s="214"/>
      <c r="R299" s="95"/>
      <c r="S299" s="95"/>
      <c r="T299" s="95"/>
      <c r="U299" s="70"/>
      <c r="V299" s="214"/>
      <c r="W299" s="70"/>
      <c r="X299" s="70"/>
      <c r="Y299" s="70"/>
      <c r="Z299" s="70"/>
      <c r="AA299" s="70"/>
      <c r="AB299" s="70"/>
      <c r="AC299" s="70"/>
      <c r="AD299" s="70"/>
      <c r="AE299" s="70"/>
      <c r="AF299" s="70"/>
      <c r="AG299" s="70"/>
      <c r="AH299" s="70"/>
      <c r="AI299" s="70"/>
      <c r="AJ299" s="70"/>
      <c r="AK299" s="70"/>
      <c r="AL299" s="70"/>
      <c r="AM299" s="70"/>
      <c r="AN299" s="70"/>
      <c r="AO299" s="70"/>
      <c r="AP299" s="70"/>
      <c r="AQ299" s="70"/>
      <c r="AR299" s="70"/>
      <c r="AS299" s="70"/>
      <c r="AT299" s="70"/>
      <c r="AU299" s="70"/>
      <c r="AV299" s="70"/>
      <c r="AW299" s="70"/>
      <c r="AX299" s="70"/>
      <c r="AY299" s="70"/>
      <c r="AZ299" s="70"/>
      <c r="BA299" s="70"/>
      <c r="BB299" s="70"/>
      <c r="BC299" s="70"/>
      <c r="BD299" s="70"/>
      <c r="BE299" s="70"/>
      <c r="BF299" s="70"/>
      <c r="BG299" s="70"/>
      <c r="BH299" s="70"/>
      <c r="BI299" s="70"/>
      <c r="BJ299" s="70"/>
      <c r="BK299" s="70"/>
      <c r="BL299" s="70"/>
      <c r="BM299" s="70"/>
      <c r="BN299" s="70"/>
      <c r="BO299" s="70"/>
      <c r="BP299" s="70"/>
      <c r="BQ299" s="70"/>
      <c r="BR299" s="70"/>
      <c r="BS299" s="70"/>
      <c r="BT299" s="70"/>
      <c r="BU299" s="70"/>
      <c r="BV299" s="70"/>
      <c r="BW299" s="70"/>
      <c r="BX299" s="70"/>
      <c r="BY299" s="70"/>
      <c r="BZ299" s="70"/>
      <c r="CA299" s="70"/>
      <c r="CB299" s="70"/>
      <c r="CC299" s="70"/>
      <c r="CD299" s="70"/>
      <c r="CE299" s="70"/>
      <c r="CF299" s="70"/>
      <c r="CG299" s="70"/>
      <c r="CH299" s="70"/>
      <c r="CI299" s="70"/>
      <c r="CJ299" s="70"/>
      <c r="CK299" s="70"/>
      <c r="CL299" s="70"/>
      <c r="CM299" s="70"/>
      <c r="CN299" s="70"/>
      <c r="CO299" s="70"/>
      <c r="CP299" s="70"/>
      <c r="CQ299" s="70"/>
      <c r="CR299" s="70"/>
      <c r="CS299" s="70"/>
      <c r="CT299" s="70"/>
      <c r="CU299" s="70"/>
      <c r="CV299" s="70"/>
      <c r="CW299" s="70"/>
      <c r="CX299" s="70"/>
      <c r="CY299" s="70"/>
      <c r="CZ299" s="70"/>
      <c r="DA299" s="70"/>
      <c r="DB299" s="70"/>
      <c r="DC299" s="70"/>
      <c r="DD299" s="70"/>
      <c r="DE299" s="70"/>
      <c r="DF299" s="70"/>
      <c r="DG299" s="70"/>
      <c r="DH299" s="70"/>
      <c r="DI299" s="70"/>
      <c r="DJ299" s="70"/>
      <c r="DK299" s="70"/>
      <c r="DL299" s="70"/>
      <c r="DM299" s="70"/>
      <c r="DN299" s="70"/>
      <c r="DO299" s="70"/>
      <c r="DP299" s="70"/>
      <c r="DQ299" s="70"/>
      <c r="DR299" s="70"/>
      <c r="DS299" s="70"/>
      <c r="DT299" s="70"/>
      <c r="DU299" s="70"/>
      <c r="DV299" s="70"/>
      <c r="DW299" s="70"/>
      <c r="DX299" s="70"/>
      <c r="DY299" s="70"/>
      <c r="DZ299" s="70"/>
      <c r="EA299" s="70"/>
      <c r="EB299" s="70"/>
      <c r="EC299" s="70"/>
      <c r="ED299" s="70"/>
      <c r="EE299" s="95" t="s">
        <v>450</v>
      </c>
      <c r="EF299" s="652"/>
      <c r="EG299" s="652"/>
      <c r="EH299" s="652"/>
      <c r="EI299" s="216"/>
      <c r="EJ299" s="663"/>
      <c r="EK299" s="663"/>
      <c r="EL299" s="663"/>
      <c r="EM299" s="663"/>
      <c r="EN299" s="663"/>
      <c r="EO299" s="663"/>
      <c r="EP299" s="663"/>
      <c r="EQ299" s="663"/>
      <c r="ER299" s="663"/>
      <c r="ES299" s="663"/>
      <c r="ET299" s="663"/>
      <c r="EU299" s="663"/>
      <c r="EV299" s="663"/>
      <c r="EW299" s="663"/>
      <c r="EX299" s="663"/>
      <c r="EY299" s="663"/>
      <c r="EZ299" s="663"/>
      <c r="FA299" s="663"/>
      <c r="FB299" s="663"/>
      <c r="FC299" s="663"/>
      <c r="FD299" s="663"/>
      <c r="FE299" s="663"/>
      <c r="FF299" s="663"/>
      <c r="FG299" s="663"/>
      <c r="FH299" s="663"/>
      <c r="FI299" s="663"/>
      <c r="FJ299" s="663"/>
      <c r="FK299" s="663"/>
      <c r="FL299" s="663"/>
      <c r="FM299" s="663"/>
      <c r="FN299" s="663"/>
      <c r="FO299" s="663"/>
      <c r="FP299" s="663"/>
      <c r="FQ299" s="663"/>
      <c r="FR299" s="663"/>
      <c r="FS299" s="663"/>
      <c r="FT299" s="663"/>
      <c r="FU299" s="663"/>
      <c r="FV299" s="663"/>
      <c r="FW299" s="663"/>
      <c r="FX299" s="663"/>
      <c r="FY299" s="663"/>
      <c r="FZ299" s="663"/>
      <c r="GA299" s="663"/>
      <c r="GB299" s="663"/>
      <c r="GC299" s="663"/>
      <c r="GD299" s="663"/>
      <c r="GE299" s="663"/>
      <c r="GF299" s="663"/>
      <c r="GG299" s="663"/>
      <c r="GH299" s="663"/>
      <c r="GI299" s="663"/>
      <c r="GJ299" s="663"/>
      <c r="GK299" s="663"/>
      <c r="GL299" s="663"/>
      <c r="GM299" s="663"/>
      <c r="GN299" s="663"/>
      <c r="GO299" s="663"/>
      <c r="GP299" s="663"/>
      <c r="GQ299" s="663"/>
      <c r="GR299" s="663"/>
      <c r="GS299" s="663"/>
      <c r="GT299" s="663"/>
      <c r="GU299" s="663"/>
      <c r="GV299" s="663"/>
      <c r="GW299" s="663"/>
      <c r="GX299" s="663"/>
      <c r="GY299" s="663"/>
      <c r="GZ299" s="663"/>
      <c r="HA299" s="663"/>
      <c r="HB299" s="663"/>
      <c r="HC299" s="663"/>
      <c r="HD299" s="663"/>
      <c r="HE299" s="663"/>
      <c r="HF299" s="663"/>
      <c r="HG299" s="663"/>
      <c r="HH299" s="663"/>
      <c r="HI299" s="663"/>
      <c r="HJ299" s="663"/>
      <c r="HK299" s="663"/>
      <c r="HL299" s="663"/>
      <c r="HM299" s="663"/>
      <c r="HN299" s="663"/>
      <c r="HO299" s="663"/>
      <c r="HP299" s="663"/>
      <c r="HQ299" s="663"/>
      <c r="HR299" s="663"/>
      <c r="HS299" s="663"/>
      <c r="HT299" s="663"/>
      <c r="HU299" s="663"/>
      <c r="HV299" s="663"/>
      <c r="HW299" s="663"/>
      <c r="HX299" s="663"/>
      <c r="HY299" s="663"/>
      <c r="HZ299" s="663"/>
      <c r="IA299" s="663"/>
      <c r="IB299" s="663"/>
      <c r="IC299" s="663"/>
      <c r="ID299" s="663"/>
      <c r="IE299" s="663"/>
      <c r="IF299" s="663"/>
      <c r="IG299" s="663"/>
      <c r="IH299" s="663"/>
      <c r="II299" s="663"/>
      <c r="IJ299" s="663"/>
      <c r="IK299" s="663"/>
      <c r="IL299" s="663"/>
      <c r="IM299" s="663"/>
      <c r="IN299" s="663"/>
      <c r="IO299" s="663"/>
      <c r="IP299" s="663"/>
      <c r="IQ299" s="70"/>
    </row>
    <row r="300" spans="10:251" ht="16.5" hidden="1" customHeight="1">
      <c r="J300" s="214"/>
      <c r="R300" s="95"/>
      <c r="S300" s="95"/>
      <c r="T300" s="95"/>
      <c r="U300" s="70"/>
      <c r="V300" s="214"/>
      <c r="W300" s="70"/>
      <c r="X300" s="70"/>
      <c r="Y300" s="70"/>
      <c r="Z300" s="70"/>
      <c r="AA300" s="70"/>
      <c r="AB300" s="70"/>
      <c r="AC300" s="70"/>
      <c r="AD300" s="70"/>
      <c r="AE300" s="70"/>
      <c r="AF300" s="70"/>
      <c r="AG300" s="70"/>
      <c r="AH300" s="70"/>
      <c r="AI300" s="70"/>
      <c r="AJ300" s="70"/>
      <c r="AK300" s="70"/>
      <c r="AL300" s="70"/>
      <c r="AM300" s="70"/>
      <c r="AN300" s="70"/>
      <c r="AO300" s="70"/>
      <c r="AP300" s="70"/>
      <c r="AQ300" s="70"/>
      <c r="AR300" s="70"/>
      <c r="AS300" s="70"/>
      <c r="AT300" s="70"/>
      <c r="AU300" s="70"/>
      <c r="AV300" s="70"/>
      <c r="AW300" s="70"/>
      <c r="AX300" s="70"/>
      <c r="AY300" s="70"/>
      <c r="AZ300" s="70"/>
      <c r="BA300" s="70"/>
      <c r="BB300" s="70"/>
      <c r="BC300" s="70"/>
      <c r="BD300" s="70"/>
      <c r="BE300" s="70"/>
      <c r="BF300" s="70"/>
      <c r="BG300" s="70"/>
      <c r="BH300" s="70"/>
      <c r="BI300" s="70"/>
      <c r="BJ300" s="70"/>
      <c r="BK300" s="70"/>
      <c r="BL300" s="70"/>
      <c r="BM300" s="70"/>
      <c r="BN300" s="70"/>
      <c r="BO300" s="70"/>
      <c r="BP300" s="70"/>
      <c r="BQ300" s="70"/>
      <c r="BR300" s="70"/>
      <c r="BS300" s="70"/>
      <c r="BT300" s="70"/>
      <c r="BU300" s="70"/>
      <c r="BV300" s="70"/>
      <c r="BW300" s="70"/>
      <c r="BX300" s="70"/>
      <c r="BY300" s="70"/>
      <c r="BZ300" s="70"/>
      <c r="CA300" s="70"/>
      <c r="CB300" s="70"/>
      <c r="CC300" s="70"/>
      <c r="CD300" s="70"/>
      <c r="CE300" s="70"/>
      <c r="CF300" s="70"/>
      <c r="CG300" s="70"/>
      <c r="CH300" s="70"/>
      <c r="CI300" s="70"/>
      <c r="CJ300" s="70"/>
      <c r="CK300" s="70"/>
      <c r="CL300" s="70"/>
      <c r="CM300" s="70"/>
      <c r="CN300" s="70"/>
      <c r="CO300" s="70"/>
      <c r="CP300" s="70"/>
      <c r="CQ300" s="70"/>
      <c r="CR300" s="70"/>
      <c r="CS300" s="70"/>
      <c r="CT300" s="70"/>
      <c r="CU300" s="70"/>
      <c r="CV300" s="70"/>
      <c r="CW300" s="70"/>
      <c r="CX300" s="70"/>
      <c r="CY300" s="70"/>
      <c r="CZ300" s="70"/>
      <c r="DA300" s="70"/>
      <c r="DB300" s="70"/>
      <c r="DC300" s="70"/>
      <c r="DD300" s="70"/>
      <c r="DE300" s="70"/>
      <c r="DF300" s="70"/>
      <c r="DG300" s="70"/>
      <c r="DH300" s="70"/>
      <c r="DI300" s="70"/>
      <c r="DJ300" s="70"/>
      <c r="DK300" s="70"/>
      <c r="DL300" s="70"/>
      <c r="DM300" s="70"/>
      <c r="DN300" s="70"/>
      <c r="DO300" s="70"/>
      <c r="DP300" s="70"/>
      <c r="DQ300" s="70"/>
      <c r="DR300" s="70"/>
      <c r="DS300" s="70"/>
      <c r="DT300" s="70"/>
      <c r="DU300" s="70"/>
      <c r="DV300" s="70"/>
      <c r="DW300" s="70"/>
      <c r="DX300" s="70"/>
      <c r="DY300" s="70"/>
      <c r="DZ300" s="70"/>
      <c r="EA300" s="70"/>
      <c r="EB300" s="70"/>
      <c r="EC300" s="70"/>
      <c r="ED300" s="70"/>
      <c r="EE300" s="95" t="s">
        <v>450</v>
      </c>
      <c r="EF300" s="652"/>
      <c r="EG300" s="652"/>
      <c r="EH300" s="652"/>
      <c r="EI300" s="216"/>
      <c r="EJ300" s="663"/>
      <c r="EK300" s="663"/>
      <c r="EL300" s="663"/>
      <c r="EM300" s="663"/>
      <c r="EN300" s="663"/>
      <c r="EO300" s="663"/>
      <c r="EP300" s="663"/>
      <c r="EQ300" s="663"/>
      <c r="ER300" s="663"/>
      <c r="ES300" s="663"/>
      <c r="ET300" s="663"/>
      <c r="EU300" s="663"/>
      <c r="EV300" s="663"/>
      <c r="EW300" s="663"/>
      <c r="EX300" s="663"/>
      <c r="EY300" s="663"/>
      <c r="EZ300" s="663"/>
      <c r="FA300" s="663"/>
      <c r="FB300" s="663"/>
      <c r="FC300" s="663"/>
      <c r="FD300" s="663"/>
      <c r="FE300" s="663"/>
      <c r="FF300" s="663"/>
      <c r="FG300" s="663"/>
      <c r="FH300" s="663"/>
      <c r="FI300" s="663"/>
      <c r="FJ300" s="663"/>
      <c r="FK300" s="663"/>
      <c r="FL300" s="663"/>
      <c r="FM300" s="663"/>
      <c r="FN300" s="663"/>
      <c r="FO300" s="663"/>
      <c r="FP300" s="663"/>
      <c r="FQ300" s="663"/>
      <c r="FR300" s="663"/>
      <c r="FS300" s="663"/>
      <c r="FT300" s="663"/>
      <c r="FU300" s="663"/>
      <c r="FV300" s="663"/>
      <c r="FW300" s="663"/>
      <c r="FX300" s="663"/>
      <c r="FY300" s="663"/>
      <c r="FZ300" s="663"/>
      <c r="GA300" s="663"/>
      <c r="GB300" s="663"/>
      <c r="GC300" s="663"/>
      <c r="GD300" s="663"/>
      <c r="GE300" s="663"/>
      <c r="GF300" s="663"/>
      <c r="GG300" s="663"/>
      <c r="GH300" s="663"/>
      <c r="GI300" s="663"/>
      <c r="GJ300" s="663"/>
      <c r="GK300" s="663"/>
      <c r="GL300" s="663"/>
      <c r="GM300" s="663"/>
      <c r="GN300" s="663"/>
      <c r="GO300" s="663"/>
      <c r="GP300" s="663"/>
      <c r="GQ300" s="663"/>
      <c r="GR300" s="663"/>
      <c r="GS300" s="663"/>
      <c r="GT300" s="663"/>
      <c r="GU300" s="663"/>
      <c r="GV300" s="663"/>
      <c r="GW300" s="663"/>
      <c r="GX300" s="663"/>
      <c r="GY300" s="663"/>
      <c r="GZ300" s="663"/>
      <c r="HA300" s="663"/>
      <c r="HB300" s="663"/>
      <c r="HC300" s="663"/>
      <c r="HD300" s="663"/>
      <c r="HE300" s="663"/>
      <c r="HF300" s="663"/>
      <c r="HG300" s="663"/>
      <c r="HH300" s="663"/>
      <c r="HI300" s="663"/>
      <c r="HJ300" s="663"/>
      <c r="HK300" s="663"/>
      <c r="HL300" s="663"/>
      <c r="HM300" s="663"/>
      <c r="HN300" s="663"/>
      <c r="HO300" s="663"/>
      <c r="HP300" s="663"/>
      <c r="HQ300" s="663"/>
      <c r="HR300" s="663"/>
      <c r="HS300" s="663"/>
      <c r="HT300" s="663"/>
      <c r="HU300" s="663"/>
      <c r="HV300" s="663"/>
      <c r="HW300" s="663"/>
      <c r="HX300" s="663"/>
      <c r="HY300" s="663"/>
      <c r="HZ300" s="663"/>
      <c r="IA300" s="663"/>
      <c r="IB300" s="663"/>
      <c r="IC300" s="663"/>
      <c r="ID300" s="663"/>
      <c r="IE300" s="663"/>
      <c r="IF300" s="663"/>
      <c r="IG300" s="663"/>
      <c r="IH300" s="663"/>
      <c r="II300" s="663"/>
      <c r="IJ300" s="663"/>
      <c r="IK300" s="663"/>
      <c r="IL300" s="663"/>
      <c r="IM300" s="663"/>
      <c r="IN300" s="663"/>
      <c r="IO300" s="663"/>
      <c r="IP300" s="663"/>
      <c r="IQ300" s="70"/>
    </row>
    <row r="301" spans="10:251" ht="16.5" hidden="1" customHeight="1">
      <c r="J301" s="214"/>
      <c r="R301" s="95"/>
      <c r="S301" s="95"/>
      <c r="T301" s="95"/>
      <c r="U301" s="70"/>
      <c r="V301" s="214"/>
      <c r="W301" s="70"/>
      <c r="X301" s="70"/>
      <c r="Y301" s="70"/>
      <c r="Z301" s="70"/>
      <c r="AA301" s="70"/>
      <c r="AB301" s="70"/>
      <c r="AC301" s="70"/>
      <c r="AD301" s="70"/>
      <c r="AE301" s="70"/>
      <c r="AF301" s="70"/>
      <c r="AG301" s="70"/>
      <c r="AH301" s="70"/>
      <c r="AI301" s="70"/>
      <c r="AJ301" s="70"/>
      <c r="AK301" s="70"/>
      <c r="AL301" s="70"/>
      <c r="AM301" s="70"/>
      <c r="AN301" s="70"/>
      <c r="AO301" s="70"/>
      <c r="AP301" s="70"/>
      <c r="AQ301" s="70"/>
      <c r="AR301" s="70"/>
      <c r="AS301" s="70"/>
      <c r="AT301" s="70"/>
      <c r="AU301" s="70"/>
      <c r="AV301" s="70"/>
      <c r="AW301" s="70"/>
      <c r="AX301" s="70"/>
      <c r="AY301" s="70"/>
      <c r="AZ301" s="70"/>
      <c r="BA301" s="70"/>
      <c r="BB301" s="70"/>
      <c r="BC301" s="70"/>
      <c r="BD301" s="70"/>
      <c r="BE301" s="70"/>
      <c r="BF301" s="70"/>
      <c r="BG301" s="70"/>
      <c r="BH301" s="70"/>
      <c r="BI301" s="70"/>
      <c r="BJ301" s="70"/>
      <c r="BK301" s="70"/>
      <c r="BL301" s="70"/>
      <c r="BM301" s="70"/>
      <c r="BN301" s="70"/>
      <c r="BO301" s="70"/>
      <c r="BP301" s="70"/>
      <c r="BQ301" s="70"/>
      <c r="BR301" s="70"/>
      <c r="BS301" s="70"/>
      <c r="BT301" s="70"/>
      <c r="BU301" s="70"/>
      <c r="BV301" s="70"/>
      <c r="BW301" s="70"/>
      <c r="BX301" s="70"/>
      <c r="BY301" s="70"/>
      <c r="BZ301" s="70"/>
      <c r="CA301" s="70"/>
      <c r="CB301" s="70"/>
      <c r="CC301" s="70"/>
      <c r="CD301" s="70"/>
      <c r="CE301" s="70"/>
      <c r="CF301" s="70"/>
      <c r="CG301" s="70"/>
      <c r="CH301" s="70"/>
      <c r="CI301" s="70"/>
      <c r="CJ301" s="70"/>
      <c r="CK301" s="70"/>
      <c r="CL301" s="70"/>
      <c r="CM301" s="70"/>
      <c r="CN301" s="70"/>
      <c r="CO301" s="70"/>
      <c r="CP301" s="70"/>
      <c r="CQ301" s="70"/>
      <c r="CR301" s="70"/>
      <c r="CS301" s="70"/>
      <c r="CT301" s="70"/>
      <c r="CU301" s="70"/>
      <c r="CV301" s="70"/>
      <c r="CW301" s="70"/>
      <c r="CX301" s="70"/>
      <c r="CY301" s="70"/>
      <c r="CZ301" s="70"/>
      <c r="DA301" s="70"/>
      <c r="DB301" s="70"/>
      <c r="DC301" s="70"/>
      <c r="DD301" s="70"/>
      <c r="DE301" s="70"/>
      <c r="DF301" s="70"/>
      <c r="DG301" s="70"/>
      <c r="DH301" s="70"/>
      <c r="DI301" s="70"/>
      <c r="DJ301" s="70"/>
      <c r="DK301" s="70"/>
      <c r="DL301" s="70"/>
      <c r="DM301" s="70"/>
      <c r="DN301" s="70"/>
      <c r="DO301" s="70"/>
      <c r="DP301" s="70"/>
      <c r="DQ301" s="70"/>
      <c r="DR301" s="70"/>
      <c r="DS301" s="70"/>
      <c r="DT301" s="70"/>
      <c r="DU301" s="70"/>
      <c r="DV301" s="70"/>
      <c r="DW301" s="70"/>
      <c r="DX301" s="70"/>
      <c r="DY301" s="70"/>
      <c r="DZ301" s="70"/>
      <c r="EA301" s="70"/>
      <c r="EB301" s="70"/>
      <c r="EC301" s="70"/>
      <c r="ED301" s="70"/>
      <c r="EE301" s="95" t="s">
        <v>450</v>
      </c>
      <c r="EF301" s="652"/>
      <c r="EG301" s="652"/>
      <c r="EH301" s="652"/>
      <c r="EI301" s="216"/>
      <c r="EJ301" s="663"/>
      <c r="EK301" s="663"/>
      <c r="EL301" s="663"/>
      <c r="EM301" s="663"/>
      <c r="EN301" s="663"/>
      <c r="EO301" s="663"/>
      <c r="EP301" s="663"/>
      <c r="EQ301" s="663"/>
      <c r="ER301" s="663"/>
      <c r="ES301" s="663"/>
      <c r="ET301" s="663"/>
      <c r="EU301" s="663"/>
      <c r="EV301" s="663"/>
      <c r="EW301" s="663"/>
      <c r="EX301" s="663"/>
      <c r="EY301" s="663"/>
      <c r="EZ301" s="663"/>
      <c r="FA301" s="663"/>
      <c r="FB301" s="663"/>
      <c r="FC301" s="663"/>
      <c r="FD301" s="663"/>
      <c r="FE301" s="663"/>
      <c r="FF301" s="663"/>
      <c r="FG301" s="663"/>
      <c r="FH301" s="663"/>
      <c r="FI301" s="663"/>
      <c r="FJ301" s="663"/>
      <c r="FK301" s="663"/>
      <c r="FL301" s="663"/>
      <c r="FM301" s="663"/>
      <c r="FN301" s="663"/>
      <c r="FO301" s="663"/>
      <c r="FP301" s="663"/>
      <c r="FQ301" s="663"/>
      <c r="FR301" s="663"/>
      <c r="FS301" s="663"/>
      <c r="FT301" s="663"/>
      <c r="FU301" s="663"/>
      <c r="FV301" s="663"/>
      <c r="FW301" s="663"/>
      <c r="FX301" s="663"/>
      <c r="FY301" s="663"/>
      <c r="FZ301" s="663"/>
      <c r="GA301" s="663"/>
      <c r="GB301" s="663"/>
      <c r="GC301" s="663"/>
      <c r="GD301" s="663"/>
      <c r="GE301" s="663"/>
      <c r="GF301" s="663"/>
      <c r="GG301" s="663"/>
      <c r="GH301" s="663"/>
      <c r="GI301" s="663"/>
      <c r="GJ301" s="663"/>
      <c r="GK301" s="663"/>
      <c r="GL301" s="663"/>
      <c r="GM301" s="663"/>
      <c r="GN301" s="663"/>
      <c r="GO301" s="663"/>
      <c r="GP301" s="663"/>
      <c r="GQ301" s="663"/>
      <c r="GR301" s="663"/>
      <c r="GS301" s="663"/>
      <c r="GT301" s="663"/>
      <c r="GU301" s="663"/>
      <c r="GV301" s="663"/>
      <c r="GW301" s="663"/>
      <c r="GX301" s="663"/>
      <c r="GY301" s="663"/>
      <c r="GZ301" s="663"/>
      <c r="HA301" s="663"/>
      <c r="HB301" s="663"/>
      <c r="HC301" s="663"/>
      <c r="HD301" s="663"/>
      <c r="HE301" s="663"/>
      <c r="HF301" s="663"/>
      <c r="HG301" s="663"/>
      <c r="HH301" s="663"/>
      <c r="HI301" s="663"/>
      <c r="HJ301" s="663"/>
      <c r="HK301" s="663"/>
      <c r="HL301" s="663"/>
      <c r="HM301" s="663"/>
      <c r="HN301" s="663"/>
      <c r="HO301" s="663"/>
      <c r="HP301" s="663"/>
      <c r="HQ301" s="663"/>
      <c r="HR301" s="663"/>
      <c r="HS301" s="663"/>
      <c r="HT301" s="663"/>
      <c r="HU301" s="663"/>
      <c r="HV301" s="663"/>
      <c r="HW301" s="663"/>
      <c r="HX301" s="663"/>
      <c r="HY301" s="663"/>
      <c r="HZ301" s="663"/>
      <c r="IA301" s="663"/>
      <c r="IB301" s="663"/>
      <c r="IC301" s="663"/>
      <c r="ID301" s="663"/>
      <c r="IE301" s="663"/>
      <c r="IF301" s="663"/>
      <c r="IG301" s="663"/>
      <c r="IH301" s="663"/>
      <c r="II301" s="663"/>
      <c r="IJ301" s="663"/>
      <c r="IK301" s="663"/>
      <c r="IL301" s="663"/>
      <c r="IM301" s="663"/>
      <c r="IN301" s="663"/>
      <c r="IO301" s="663"/>
      <c r="IP301" s="663"/>
      <c r="IQ301" s="70"/>
    </row>
    <row r="302" spans="10:251" ht="16.5" hidden="1" customHeight="1">
      <c r="J302" s="214"/>
      <c r="R302" s="95"/>
      <c r="S302" s="95"/>
      <c r="T302" s="95"/>
      <c r="U302" s="70"/>
      <c r="V302" s="214"/>
      <c r="W302" s="70"/>
      <c r="X302" s="70"/>
      <c r="Y302" s="70"/>
      <c r="Z302" s="70"/>
      <c r="AA302" s="70"/>
      <c r="AB302" s="70"/>
      <c r="AC302" s="70"/>
      <c r="AD302" s="70"/>
      <c r="AE302" s="70"/>
      <c r="AF302" s="70"/>
      <c r="AG302" s="70"/>
      <c r="AH302" s="70"/>
      <c r="AI302" s="70"/>
      <c r="AJ302" s="70"/>
      <c r="AK302" s="70"/>
      <c r="AL302" s="70"/>
      <c r="AM302" s="70"/>
      <c r="AN302" s="70"/>
      <c r="AO302" s="70"/>
      <c r="AP302" s="70"/>
      <c r="AQ302" s="70"/>
      <c r="AR302" s="70"/>
      <c r="AS302" s="70"/>
      <c r="AT302" s="70"/>
      <c r="AU302" s="70"/>
      <c r="AV302" s="70"/>
      <c r="AW302" s="70"/>
      <c r="AX302" s="70"/>
      <c r="AY302" s="70"/>
      <c r="AZ302" s="70"/>
      <c r="BA302" s="70"/>
      <c r="BB302" s="70"/>
      <c r="BC302" s="70"/>
      <c r="BD302" s="70"/>
      <c r="BE302" s="70"/>
      <c r="BF302" s="70"/>
      <c r="BG302" s="70"/>
      <c r="BH302" s="70"/>
      <c r="BI302" s="70"/>
      <c r="BJ302" s="70"/>
      <c r="BK302" s="70"/>
      <c r="BL302" s="70"/>
      <c r="BM302" s="70"/>
      <c r="BN302" s="70"/>
      <c r="BO302" s="70"/>
      <c r="BP302" s="70"/>
      <c r="BQ302" s="70"/>
      <c r="BR302" s="70"/>
      <c r="BS302" s="70"/>
      <c r="BT302" s="70"/>
      <c r="BU302" s="70"/>
      <c r="BV302" s="70"/>
      <c r="BW302" s="70"/>
      <c r="BX302" s="70"/>
      <c r="BY302" s="70"/>
      <c r="BZ302" s="70"/>
      <c r="CA302" s="70"/>
      <c r="CB302" s="70"/>
      <c r="CC302" s="70"/>
      <c r="CD302" s="70"/>
      <c r="CE302" s="70"/>
      <c r="CF302" s="70"/>
      <c r="CG302" s="70"/>
      <c r="CH302" s="70"/>
      <c r="CI302" s="70"/>
      <c r="CJ302" s="70"/>
      <c r="CK302" s="70"/>
      <c r="CL302" s="70"/>
      <c r="CM302" s="70"/>
      <c r="CN302" s="70"/>
      <c r="CO302" s="70"/>
      <c r="CP302" s="70"/>
      <c r="CQ302" s="70"/>
      <c r="CR302" s="70"/>
      <c r="CS302" s="70"/>
      <c r="CT302" s="70"/>
      <c r="CU302" s="70"/>
      <c r="CV302" s="70"/>
      <c r="CW302" s="70"/>
      <c r="CX302" s="70"/>
      <c r="CY302" s="70"/>
      <c r="CZ302" s="70"/>
      <c r="DA302" s="70"/>
      <c r="DB302" s="70"/>
      <c r="DC302" s="70"/>
      <c r="DD302" s="70"/>
      <c r="DE302" s="70"/>
      <c r="DF302" s="70"/>
      <c r="DG302" s="70"/>
      <c r="DH302" s="70"/>
      <c r="DI302" s="70"/>
      <c r="DJ302" s="70"/>
      <c r="DK302" s="70"/>
      <c r="DL302" s="70"/>
      <c r="DM302" s="70"/>
      <c r="DN302" s="70"/>
      <c r="DO302" s="70"/>
      <c r="DP302" s="70"/>
      <c r="DQ302" s="70"/>
      <c r="DR302" s="70"/>
      <c r="DS302" s="70"/>
      <c r="DT302" s="70"/>
      <c r="DU302" s="70"/>
      <c r="DV302" s="70"/>
      <c r="DW302" s="70"/>
      <c r="DX302" s="70"/>
      <c r="DY302" s="70"/>
      <c r="DZ302" s="70"/>
      <c r="EA302" s="70"/>
      <c r="EB302" s="70"/>
      <c r="EC302" s="70"/>
      <c r="ED302" s="70"/>
      <c r="EE302" s="95" t="s">
        <v>450</v>
      </c>
      <c r="EF302" s="652"/>
      <c r="EG302" s="652"/>
      <c r="EH302" s="652"/>
      <c r="EI302" s="216"/>
      <c r="EJ302" s="663"/>
      <c r="EK302" s="663"/>
      <c r="EL302" s="663"/>
      <c r="EM302" s="663"/>
      <c r="EN302" s="663"/>
      <c r="EO302" s="663"/>
      <c r="EP302" s="663"/>
      <c r="EQ302" s="663"/>
      <c r="ER302" s="663"/>
      <c r="ES302" s="663"/>
      <c r="ET302" s="663"/>
      <c r="EU302" s="663"/>
      <c r="EV302" s="663"/>
      <c r="EW302" s="663"/>
      <c r="EX302" s="663"/>
      <c r="EY302" s="663"/>
      <c r="EZ302" s="663"/>
      <c r="FA302" s="663"/>
      <c r="FB302" s="663"/>
      <c r="FC302" s="663"/>
      <c r="FD302" s="663"/>
      <c r="FE302" s="663"/>
      <c r="FF302" s="663"/>
      <c r="FG302" s="663"/>
      <c r="FH302" s="663"/>
      <c r="FI302" s="663"/>
      <c r="FJ302" s="663"/>
      <c r="FK302" s="663"/>
      <c r="FL302" s="663"/>
      <c r="FM302" s="663"/>
      <c r="FN302" s="663"/>
      <c r="FO302" s="663"/>
      <c r="FP302" s="663"/>
      <c r="FQ302" s="663"/>
      <c r="FR302" s="663"/>
      <c r="FS302" s="663"/>
      <c r="FT302" s="663"/>
      <c r="FU302" s="663"/>
      <c r="FV302" s="663"/>
      <c r="FW302" s="663"/>
      <c r="FX302" s="663"/>
      <c r="FY302" s="663"/>
      <c r="FZ302" s="663"/>
      <c r="GA302" s="663"/>
      <c r="GB302" s="663"/>
      <c r="GC302" s="663"/>
      <c r="GD302" s="663"/>
      <c r="GE302" s="663"/>
      <c r="GF302" s="663"/>
      <c r="GG302" s="663"/>
      <c r="GH302" s="663"/>
      <c r="GI302" s="663"/>
      <c r="GJ302" s="663"/>
      <c r="GK302" s="663"/>
      <c r="GL302" s="663"/>
      <c r="GM302" s="663"/>
      <c r="GN302" s="663"/>
      <c r="GO302" s="663"/>
      <c r="GP302" s="663"/>
      <c r="GQ302" s="663"/>
      <c r="GR302" s="663"/>
      <c r="GS302" s="663"/>
      <c r="GT302" s="663"/>
      <c r="GU302" s="663"/>
      <c r="GV302" s="663"/>
      <c r="GW302" s="663"/>
      <c r="GX302" s="663"/>
      <c r="GY302" s="663"/>
      <c r="GZ302" s="663"/>
      <c r="HA302" s="663"/>
      <c r="HB302" s="663"/>
      <c r="HC302" s="663"/>
      <c r="HD302" s="663"/>
      <c r="HE302" s="663"/>
      <c r="HF302" s="663"/>
      <c r="HG302" s="663"/>
      <c r="HH302" s="663"/>
      <c r="HI302" s="663"/>
      <c r="HJ302" s="663"/>
      <c r="HK302" s="663"/>
      <c r="HL302" s="663"/>
      <c r="HM302" s="663"/>
      <c r="HN302" s="663"/>
      <c r="HO302" s="663"/>
      <c r="HP302" s="663"/>
      <c r="HQ302" s="663"/>
      <c r="HR302" s="663"/>
      <c r="HS302" s="663"/>
      <c r="HT302" s="663"/>
      <c r="HU302" s="663"/>
      <c r="HV302" s="663"/>
      <c r="HW302" s="663"/>
      <c r="HX302" s="663"/>
      <c r="HY302" s="663"/>
      <c r="HZ302" s="663"/>
      <c r="IA302" s="663"/>
      <c r="IB302" s="663"/>
      <c r="IC302" s="663"/>
      <c r="ID302" s="663"/>
      <c r="IE302" s="663"/>
      <c r="IF302" s="663"/>
      <c r="IG302" s="663"/>
      <c r="IH302" s="663"/>
      <c r="II302" s="663"/>
      <c r="IJ302" s="663"/>
      <c r="IK302" s="663"/>
      <c r="IL302" s="663"/>
      <c r="IM302" s="663"/>
      <c r="IN302" s="663"/>
      <c r="IO302" s="663"/>
      <c r="IP302" s="663"/>
      <c r="IQ302" s="70"/>
    </row>
    <row r="303" spans="10:251" ht="16.5" hidden="1" customHeight="1">
      <c r="J303" s="214"/>
      <c r="R303" s="95"/>
      <c r="S303" s="95"/>
      <c r="T303" s="95"/>
      <c r="U303" s="70"/>
      <c r="V303" s="214"/>
      <c r="W303" s="70"/>
      <c r="X303" s="70"/>
      <c r="Y303" s="70"/>
      <c r="Z303" s="70"/>
      <c r="AA303" s="70"/>
      <c r="AB303" s="70"/>
      <c r="AC303" s="70"/>
      <c r="AD303" s="70"/>
      <c r="AE303" s="70"/>
      <c r="AF303" s="70"/>
      <c r="AG303" s="70"/>
      <c r="AH303" s="70"/>
      <c r="AI303" s="70"/>
      <c r="AJ303" s="70"/>
      <c r="AK303" s="70"/>
      <c r="AL303" s="70"/>
      <c r="AM303" s="70"/>
      <c r="AN303" s="70"/>
      <c r="AO303" s="70"/>
      <c r="AP303" s="70"/>
      <c r="AQ303" s="70"/>
      <c r="AR303" s="70"/>
      <c r="AS303" s="70"/>
      <c r="AT303" s="70"/>
      <c r="AU303" s="70"/>
      <c r="AV303" s="70"/>
      <c r="AW303" s="70"/>
      <c r="AX303" s="70"/>
      <c r="AY303" s="70"/>
      <c r="AZ303" s="70"/>
      <c r="BA303" s="70"/>
      <c r="BB303" s="70"/>
      <c r="BC303" s="70"/>
      <c r="BD303" s="70"/>
      <c r="BE303" s="70"/>
      <c r="BF303" s="70"/>
      <c r="BG303" s="70"/>
      <c r="BH303" s="70"/>
      <c r="BI303" s="70"/>
      <c r="BJ303" s="70"/>
      <c r="BK303" s="70"/>
      <c r="BL303" s="70"/>
      <c r="BM303" s="70"/>
      <c r="BN303" s="70"/>
      <c r="BO303" s="70"/>
      <c r="BP303" s="70"/>
      <c r="BQ303" s="70"/>
      <c r="BR303" s="70"/>
      <c r="BS303" s="70"/>
      <c r="BT303" s="70"/>
      <c r="BU303" s="70"/>
      <c r="BV303" s="70"/>
      <c r="BW303" s="70"/>
      <c r="BX303" s="70"/>
      <c r="BY303" s="70"/>
      <c r="BZ303" s="70"/>
      <c r="CA303" s="70"/>
      <c r="CB303" s="70"/>
      <c r="CC303" s="70"/>
      <c r="CD303" s="70"/>
      <c r="CE303" s="70"/>
      <c r="CF303" s="70"/>
      <c r="CG303" s="70"/>
      <c r="CH303" s="70"/>
      <c r="CI303" s="70"/>
      <c r="CJ303" s="70"/>
      <c r="CK303" s="70"/>
      <c r="CL303" s="70"/>
      <c r="CM303" s="70"/>
      <c r="CN303" s="70"/>
      <c r="CO303" s="70"/>
      <c r="CP303" s="70"/>
      <c r="CQ303" s="70"/>
      <c r="CR303" s="70"/>
      <c r="CS303" s="70"/>
      <c r="CT303" s="70"/>
      <c r="CU303" s="70"/>
      <c r="CV303" s="70"/>
      <c r="CW303" s="70"/>
      <c r="CX303" s="70"/>
      <c r="CY303" s="70"/>
      <c r="CZ303" s="70"/>
      <c r="DA303" s="70"/>
      <c r="DB303" s="70"/>
      <c r="DC303" s="70"/>
      <c r="DD303" s="70"/>
      <c r="DE303" s="70"/>
      <c r="DF303" s="70"/>
      <c r="DG303" s="70"/>
      <c r="DH303" s="70"/>
      <c r="DI303" s="70"/>
      <c r="DJ303" s="70"/>
      <c r="DK303" s="70"/>
      <c r="DL303" s="70"/>
      <c r="DM303" s="70"/>
      <c r="DN303" s="70"/>
      <c r="DO303" s="70"/>
      <c r="DP303" s="70"/>
      <c r="DQ303" s="70"/>
      <c r="DR303" s="70"/>
      <c r="DS303" s="70"/>
      <c r="DT303" s="70"/>
      <c r="DU303" s="70"/>
      <c r="DV303" s="70"/>
      <c r="DW303" s="70"/>
      <c r="DX303" s="70"/>
      <c r="DY303" s="70"/>
      <c r="DZ303" s="70"/>
      <c r="EA303" s="70"/>
      <c r="EB303" s="70"/>
      <c r="EC303" s="70"/>
      <c r="ED303" s="70"/>
      <c r="EE303" s="95" t="s">
        <v>450</v>
      </c>
      <c r="EF303" s="652"/>
      <c r="EG303" s="652"/>
      <c r="EH303" s="652"/>
      <c r="EI303" s="216"/>
      <c r="EJ303" s="663"/>
      <c r="EK303" s="663"/>
      <c r="EL303" s="663"/>
      <c r="EM303" s="663"/>
      <c r="EN303" s="663"/>
      <c r="EO303" s="663"/>
      <c r="EP303" s="663"/>
      <c r="EQ303" s="663"/>
      <c r="ER303" s="663"/>
      <c r="ES303" s="663"/>
      <c r="ET303" s="663"/>
      <c r="EU303" s="663"/>
      <c r="EV303" s="663"/>
      <c r="EW303" s="663"/>
      <c r="EX303" s="663"/>
      <c r="EY303" s="663"/>
      <c r="EZ303" s="663"/>
      <c r="FA303" s="663"/>
      <c r="FB303" s="663"/>
      <c r="FC303" s="663"/>
      <c r="FD303" s="663"/>
      <c r="FE303" s="663"/>
      <c r="FF303" s="663"/>
      <c r="FG303" s="663"/>
      <c r="FH303" s="663"/>
      <c r="FI303" s="663"/>
      <c r="FJ303" s="663"/>
      <c r="FK303" s="663"/>
      <c r="FL303" s="663"/>
      <c r="FM303" s="663"/>
      <c r="FN303" s="663"/>
      <c r="FO303" s="663"/>
      <c r="FP303" s="663"/>
      <c r="FQ303" s="663"/>
      <c r="FR303" s="663"/>
      <c r="FS303" s="663"/>
      <c r="FT303" s="663"/>
      <c r="FU303" s="663"/>
      <c r="FV303" s="663"/>
      <c r="FW303" s="663"/>
      <c r="FX303" s="663"/>
      <c r="FY303" s="663"/>
      <c r="FZ303" s="663"/>
      <c r="GA303" s="663"/>
      <c r="GB303" s="663"/>
      <c r="GC303" s="663"/>
      <c r="GD303" s="663"/>
      <c r="GE303" s="663"/>
      <c r="GF303" s="663"/>
      <c r="GG303" s="663"/>
      <c r="GH303" s="663"/>
      <c r="GI303" s="663"/>
      <c r="GJ303" s="663"/>
      <c r="GK303" s="663"/>
      <c r="GL303" s="663"/>
      <c r="GM303" s="663"/>
      <c r="GN303" s="663"/>
      <c r="GO303" s="663"/>
      <c r="GP303" s="663"/>
      <c r="GQ303" s="663"/>
      <c r="GR303" s="663"/>
      <c r="GS303" s="663"/>
      <c r="GT303" s="663"/>
      <c r="GU303" s="663"/>
      <c r="GV303" s="663"/>
      <c r="GW303" s="663"/>
      <c r="GX303" s="663"/>
      <c r="GY303" s="663"/>
      <c r="GZ303" s="663"/>
      <c r="HA303" s="663"/>
      <c r="HB303" s="663"/>
      <c r="HC303" s="663"/>
      <c r="HD303" s="663"/>
      <c r="HE303" s="663"/>
      <c r="HF303" s="663"/>
      <c r="HG303" s="663"/>
      <c r="HH303" s="663"/>
      <c r="HI303" s="663"/>
      <c r="HJ303" s="663"/>
      <c r="HK303" s="663"/>
      <c r="HL303" s="663"/>
      <c r="HM303" s="663"/>
      <c r="HN303" s="663"/>
      <c r="HO303" s="663"/>
      <c r="HP303" s="663"/>
      <c r="HQ303" s="663"/>
      <c r="HR303" s="663"/>
      <c r="HS303" s="663"/>
      <c r="HT303" s="663"/>
      <c r="HU303" s="663"/>
      <c r="HV303" s="663"/>
      <c r="HW303" s="663"/>
      <c r="HX303" s="663"/>
      <c r="HY303" s="663"/>
      <c r="HZ303" s="663"/>
      <c r="IA303" s="663"/>
      <c r="IB303" s="663"/>
      <c r="IC303" s="663"/>
      <c r="ID303" s="663"/>
      <c r="IE303" s="663"/>
      <c r="IF303" s="663"/>
      <c r="IG303" s="663"/>
      <c r="IH303" s="663"/>
      <c r="II303" s="663"/>
      <c r="IJ303" s="663"/>
      <c r="IK303" s="663"/>
      <c r="IL303" s="663"/>
      <c r="IM303" s="663"/>
      <c r="IN303" s="663"/>
      <c r="IO303" s="663"/>
      <c r="IP303" s="663"/>
      <c r="IQ303" s="70"/>
    </row>
    <row r="304" spans="10:251" ht="16.5" hidden="1" customHeight="1">
      <c r="J304" s="214"/>
      <c r="R304" s="95"/>
      <c r="S304" s="95"/>
      <c r="T304" s="95"/>
      <c r="U304" s="70"/>
      <c r="V304" s="214"/>
      <c r="W304" s="70"/>
      <c r="X304" s="70"/>
      <c r="Y304" s="70"/>
      <c r="Z304" s="70"/>
      <c r="AA304" s="70"/>
      <c r="AB304" s="70"/>
      <c r="AC304" s="70"/>
      <c r="AD304" s="70"/>
      <c r="AE304" s="70"/>
      <c r="AF304" s="70"/>
      <c r="AG304" s="70"/>
      <c r="AH304" s="70"/>
      <c r="AI304" s="70"/>
      <c r="AJ304" s="70"/>
      <c r="AK304" s="70"/>
      <c r="AL304" s="70"/>
      <c r="AM304" s="70"/>
      <c r="AN304" s="70"/>
      <c r="AO304" s="70"/>
      <c r="AP304" s="70"/>
      <c r="AQ304" s="70"/>
      <c r="AR304" s="70"/>
      <c r="AS304" s="70"/>
      <c r="AT304" s="70"/>
      <c r="AU304" s="70"/>
      <c r="AV304" s="70"/>
      <c r="AW304" s="70"/>
      <c r="AX304" s="70"/>
      <c r="AY304" s="70"/>
      <c r="AZ304" s="70"/>
      <c r="BA304" s="70"/>
      <c r="BB304" s="70"/>
      <c r="BC304" s="70"/>
      <c r="BD304" s="70"/>
      <c r="BE304" s="70"/>
      <c r="BF304" s="70"/>
      <c r="BG304" s="70"/>
      <c r="BH304" s="70"/>
      <c r="BI304" s="70"/>
      <c r="BJ304" s="70"/>
      <c r="BK304" s="70"/>
      <c r="BL304" s="70"/>
      <c r="BM304" s="70"/>
      <c r="BN304" s="70"/>
      <c r="BO304" s="70"/>
      <c r="BP304" s="70"/>
      <c r="BQ304" s="70"/>
      <c r="BR304" s="70"/>
      <c r="BS304" s="70"/>
      <c r="BT304" s="70"/>
      <c r="BU304" s="70"/>
      <c r="BV304" s="70"/>
      <c r="BW304" s="70"/>
      <c r="BX304" s="70"/>
      <c r="BY304" s="70"/>
      <c r="BZ304" s="70"/>
      <c r="CA304" s="70"/>
      <c r="CB304" s="70"/>
      <c r="CC304" s="70"/>
      <c r="CD304" s="70"/>
      <c r="CE304" s="70"/>
      <c r="CF304" s="70"/>
      <c r="CG304" s="70"/>
      <c r="CH304" s="70"/>
      <c r="CI304" s="70"/>
      <c r="CJ304" s="70"/>
      <c r="CK304" s="70"/>
      <c r="CL304" s="70"/>
      <c r="CM304" s="70"/>
      <c r="CN304" s="70"/>
      <c r="CO304" s="70"/>
      <c r="CP304" s="70"/>
      <c r="CQ304" s="70"/>
      <c r="CR304" s="70"/>
      <c r="CS304" s="70"/>
      <c r="CT304" s="70"/>
      <c r="CU304" s="70"/>
      <c r="CV304" s="70"/>
      <c r="CW304" s="70"/>
      <c r="CX304" s="70"/>
      <c r="CY304" s="70"/>
      <c r="CZ304" s="70"/>
      <c r="DA304" s="70"/>
      <c r="DB304" s="70"/>
      <c r="DC304" s="70"/>
      <c r="DD304" s="70"/>
      <c r="DE304" s="70"/>
      <c r="DF304" s="70"/>
      <c r="DG304" s="70"/>
      <c r="DH304" s="70"/>
      <c r="DI304" s="70"/>
      <c r="DJ304" s="70"/>
      <c r="DK304" s="70"/>
      <c r="DL304" s="70"/>
      <c r="DM304" s="70"/>
      <c r="DN304" s="70"/>
      <c r="DO304" s="70"/>
      <c r="DP304" s="70"/>
      <c r="DQ304" s="70"/>
      <c r="DR304" s="70"/>
      <c r="DS304" s="70"/>
      <c r="DT304" s="70"/>
      <c r="DU304" s="70"/>
      <c r="DV304" s="70"/>
      <c r="DW304" s="70"/>
      <c r="DX304" s="70"/>
      <c r="DY304" s="70"/>
      <c r="DZ304" s="70"/>
      <c r="EA304" s="70"/>
      <c r="EB304" s="70"/>
      <c r="EC304" s="70"/>
      <c r="ED304" s="70"/>
      <c r="EE304" s="95" t="s">
        <v>450</v>
      </c>
      <c r="EF304" s="652"/>
      <c r="EG304" s="652"/>
      <c r="EH304" s="652"/>
      <c r="EI304" s="216"/>
      <c r="EJ304" s="663"/>
      <c r="EK304" s="663"/>
      <c r="EL304" s="663"/>
      <c r="EM304" s="663"/>
      <c r="EN304" s="663"/>
      <c r="EO304" s="663"/>
      <c r="EP304" s="663"/>
      <c r="EQ304" s="663"/>
      <c r="ER304" s="663"/>
      <c r="ES304" s="663"/>
      <c r="ET304" s="663"/>
      <c r="EU304" s="663"/>
      <c r="EV304" s="663"/>
      <c r="EW304" s="663"/>
      <c r="EX304" s="663"/>
      <c r="EY304" s="663"/>
      <c r="EZ304" s="663"/>
      <c r="FA304" s="663"/>
      <c r="FB304" s="663"/>
      <c r="FC304" s="663"/>
      <c r="FD304" s="663"/>
      <c r="FE304" s="663"/>
      <c r="FF304" s="663"/>
      <c r="FG304" s="663"/>
      <c r="FH304" s="663"/>
      <c r="FI304" s="663"/>
      <c r="FJ304" s="663"/>
      <c r="FK304" s="663"/>
      <c r="FL304" s="663"/>
      <c r="FM304" s="663"/>
      <c r="FN304" s="663"/>
      <c r="FO304" s="663"/>
      <c r="FP304" s="663"/>
      <c r="FQ304" s="663"/>
      <c r="FR304" s="663"/>
      <c r="FS304" s="663"/>
      <c r="FT304" s="663"/>
      <c r="FU304" s="663"/>
      <c r="FV304" s="663"/>
      <c r="FW304" s="663"/>
      <c r="FX304" s="663"/>
      <c r="FY304" s="663"/>
      <c r="FZ304" s="663"/>
      <c r="GA304" s="663"/>
      <c r="GB304" s="663"/>
      <c r="GC304" s="663"/>
      <c r="GD304" s="663"/>
      <c r="GE304" s="663"/>
      <c r="GF304" s="663"/>
      <c r="GG304" s="663"/>
      <c r="GH304" s="663"/>
      <c r="GI304" s="663"/>
      <c r="GJ304" s="663"/>
      <c r="GK304" s="663"/>
      <c r="GL304" s="663"/>
      <c r="GM304" s="663"/>
      <c r="GN304" s="663"/>
      <c r="GO304" s="663"/>
      <c r="GP304" s="663"/>
      <c r="GQ304" s="663"/>
      <c r="GR304" s="663"/>
      <c r="GS304" s="663"/>
      <c r="GT304" s="663"/>
      <c r="GU304" s="663"/>
      <c r="GV304" s="663"/>
      <c r="GW304" s="663"/>
      <c r="GX304" s="663"/>
      <c r="GY304" s="663"/>
      <c r="GZ304" s="663"/>
      <c r="HA304" s="663"/>
      <c r="HB304" s="663"/>
      <c r="HC304" s="663"/>
      <c r="HD304" s="663"/>
      <c r="HE304" s="663"/>
      <c r="HF304" s="663"/>
      <c r="HG304" s="663"/>
      <c r="HH304" s="663"/>
      <c r="HI304" s="663"/>
      <c r="HJ304" s="663"/>
      <c r="HK304" s="663"/>
      <c r="HL304" s="663"/>
      <c r="HM304" s="663"/>
      <c r="HN304" s="663"/>
      <c r="HO304" s="663"/>
      <c r="HP304" s="663"/>
      <c r="HQ304" s="663"/>
      <c r="HR304" s="663"/>
      <c r="HS304" s="663"/>
      <c r="HT304" s="663"/>
      <c r="HU304" s="663"/>
      <c r="HV304" s="663"/>
      <c r="HW304" s="663"/>
      <c r="HX304" s="663"/>
      <c r="HY304" s="663"/>
      <c r="HZ304" s="663"/>
      <c r="IA304" s="663"/>
      <c r="IB304" s="663"/>
      <c r="IC304" s="663"/>
      <c r="ID304" s="663"/>
      <c r="IE304" s="663"/>
      <c r="IF304" s="663"/>
      <c r="IG304" s="663"/>
      <c r="IH304" s="663"/>
      <c r="II304" s="663"/>
      <c r="IJ304" s="663"/>
      <c r="IK304" s="663"/>
      <c r="IL304" s="663"/>
      <c r="IM304" s="663"/>
      <c r="IN304" s="663"/>
      <c r="IO304" s="663"/>
      <c r="IP304" s="663"/>
      <c r="IQ304" s="70"/>
    </row>
    <row r="305" spans="10:251" ht="16.5" hidden="1" customHeight="1">
      <c r="J305" s="214"/>
      <c r="R305" s="95"/>
      <c r="S305" s="95"/>
      <c r="T305" s="95"/>
      <c r="U305" s="70"/>
      <c r="V305" s="214"/>
      <c r="W305" s="70"/>
      <c r="X305" s="70"/>
      <c r="Y305" s="70"/>
      <c r="Z305" s="70"/>
      <c r="AA305" s="70"/>
      <c r="AB305" s="70"/>
      <c r="AC305" s="70"/>
      <c r="AD305" s="70"/>
      <c r="AE305" s="70"/>
      <c r="AF305" s="70"/>
      <c r="AG305" s="70"/>
      <c r="AH305" s="70"/>
      <c r="AI305" s="70"/>
      <c r="AJ305" s="70"/>
      <c r="AK305" s="70"/>
      <c r="AL305" s="70"/>
      <c r="AM305" s="70"/>
      <c r="AN305" s="70"/>
      <c r="AO305" s="70"/>
      <c r="AP305" s="70"/>
      <c r="AQ305" s="70"/>
      <c r="AR305" s="70"/>
      <c r="AS305" s="70"/>
      <c r="AT305" s="70"/>
      <c r="AU305" s="70"/>
      <c r="AV305" s="70"/>
      <c r="AW305" s="70"/>
      <c r="AX305" s="70"/>
      <c r="AY305" s="70"/>
      <c r="AZ305" s="70"/>
      <c r="BA305" s="70"/>
      <c r="BB305" s="70"/>
      <c r="BC305" s="70"/>
      <c r="BD305" s="70"/>
      <c r="BE305" s="70"/>
      <c r="BF305" s="70"/>
      <c r="BG305" s="70"/>
      <c r="BH305" s="70"/>
      <c r="BI305" s="70"/>
      <c r="BJ305" s="70"/>
      <c r="BK305" s="70"/>
      <c r="BL305" s="70"/>
      <c r="BM305" s="70"/>
      <c r="BN305" s="70"/>
      <c r="BO305" s="70"/>
      <c r="BP305" s="70"/>
      <c r="BQ305" s="70"/>
      <c r="BR305" s="70"/>
      <c r="BS305" s="70"/>
      <c r="BT305" s="70"/>
      <c r="BU305" s="70"/>
      <c r="BV305" s="70"/>
      <c r="BW305" s="70"/>
      <c r="BX305" s="70"/>
      <c r="BY305" s="70"/>
      <c r="BZ305" s="70"/>
      <c r="CA305" s="70"/>
      <c r="CB305" s="70"/>
      <c r="CC305" s="70"/>
      <c r="CD305" s="70"/>
      <c r="CE305" s="70"/>
      <c r="CF305" s="70"/>
      <c r="CG305" s="70"/>
      <c r="CH305" s="70"/>
      <c r="CI305" s="70"/>
      <c r="CJ305" s="70"/>
      <c r="CK305" s="70"/>
      <c r="CL305" s="70"/>
      <c r="CM305" s="70"/>
      <c r="CN305" s="70"/>
      <c r="CO305" s="70"/>
      <c r="CP305" s="70"/>
      <c r="CQ305" s="70"/>
      <c r="CR305" s="70"/>
      <c r="CS305" s="70"/>
      <c r="CT305" s="70"/>
      <c r="CU305" s="70"/>
      <c r="CV305" s="70"/>
      <c r="CW305" s="70"/>
      <c r="CX305" s="70"/>
      <c r="CY305" s="70"/>
      <c r="CZ305" s="70"/>
      <c r="DA305" s="70"/>
      <c r="DB305" s="70"/>
      <c r="DC305" s="70"/>
      <c r="DD305" s="70"/>
      <c r="DE305" s="70"/>
      <c r="DF305" s="70"/>
      <c r="DG305" s="70"/>
      <c r="DH305" s="70"/>
      <c r="DI305" s="70"/>
      <c r="DJ305" s="70"/>
      <c r="DK305" s="70"/>
      <c r="DL305" s="70"/>
      <c r="DM305" s="70"/>
      <c r="DN305" s="70"/>
      <c r="DO305" s="70"/>
      <c r="DP305" s="70"/>
      <c r="DQ305" s="70"/>
      <c r="DR305" s="70"/>
      <c r="DS305" s="70"/>
      <c r="DT305" s="70"/>
      <c r="DU305" s="70"/>
      <c r="DV305" s="70"/>
      <c r="DW305" s="70"/>
      <c r="DX305" s="70"/>
      <c r="DY305" s="70"/>
      <c r="DZ305" s="70"/>
      <c r="EA305" s="70"/>
      <c r="EB305" s="70"/>
      <c r="EC305" s="70"/>
      <c r="ED305" s="70"/>
      <c r="EE305" s="95" t="s">
        <v>450</v>
      </c>
      <c r="EF305" s="652"/>
      <c r="EG305" s="652"/>
      <c r="EH305" s="652"/>
      <c r="EI305" s="216"/>
      <c r="EJ305" s="663"/>
      <c r="EK305" s="663"/>
      <c r="EL305" s="663"/>
      <c r="EM305" s="663"/>
      <c r="EN305" s="663"/>
      <c r="EO305" s="663"/>
      <c r="EP305" s="663"/>
      <c r="EQ305" s="663"/>
      <c r="ER305" s="663"/>
      <c r="ES305" s="663"/>
      <c r="ET305" s="663"/>
      <c r="EU305" s="663"/>
      <c r="EV305" s="663"/>
      <c r="EW305" s="663"/>
      <c r="EX305" s="663"/>
      <c r="EY305" s="663"/>
      <c r="EZ305" s="663"/>
      <c r="FA305" s="663"/>
      <c r="FB305" s="663"/>
      <c r="FC305" s="663"/>
      <c r="FD305" s="663"/>
      <c r="FE305" s="663"/>
      <c r="FF305" s="663"/>
      <c r="FG305" s="663"/>
      <c r="FH305" s="663"/>
      <c r="FI305" s="663"/>
      <c r="FJ305" s="663"/>
      <c r="FK305" s="663"/>
      <c r="FL305" s="663"/>
      <c r="FM305" s="663"/>
      <c r="FN305" s="663"/>
      <c r="FO305" s="663"/>
      <c r="FP305" s="663"/>
      <c r="FQ305" s="663"/>
      <c r="FR305" s="663"/>
      <c r="FS305" s="663"/>
      <c r="FT305" s="663"/>
      <c r="FU305" s="663"/>
      <c r="FV305" s="663"/>
      <c r="FW305" s="663"/>
      <c r="FX305" s="663"/>
      <c r="FY305" s="663"/>
      <c r="FZ305" s="663"/>
      <c r="GA305" s="663"/>
      <c r="GB305" s="663"/>
      <c r="GC305" s="663"/>
      <c r="GD305" s="663"/>
      <c r="GE305" s="663"/>
      <c r="GF305" s="663"/>
      <c r="GG305" s="663"/>
      <c r="GH305" s="663"/>
      <c r="GI305" s="663"/>
      <c r="GJ305" s="663"/>
      <c r="GK305" s="663"/>
      <c r="GL305" s="663"/>
      <c r="GM305" s="663"/>
      <c r="GN305" s="663"/>
      <c r="GO305" s="663"/>
      <c r="GP305" s="663"/>
      <c r="GQ305" s="663"/>
      <c r="GR305" s="663"/>
      <c r="GS305" s="663"/>
      <c r="GT305" s="663"/>
      <c r="GU305" s="663"/>
      <c r="GV305" s="663"/>
      <c r="GW305" s="663"/>
      <c r="GX305" s="663"/>
      <c r="GY305" s="663"/>
      <c r="GZ305" s="663"/>
      <c r="HA305" s="663"/>
      <c r="HB305" s="663"/>
      <c r="HC305" s="663"/>
      <c r="HD305" s="663"/>
      <c r="HE305" s="663"/>
      <c r="HF305" s="663"/>
      <c r="HG305" s="663"/>
      <c r="HH305" s="663"/>
      <c r="HI305" s="663"/>
      <c r="HJ305" s="663"/>
      <c r="HK305" s="663"/>
      <c r="HL305" s="663"/>
      <c r="HM305" s="663"/>
      <c r="HN305" s="663"/>
      <c r="HO305" s="663"/>
      <c r="HP305" s="663"/>
      <c r="HQ305" s="663"/>
      <c r="HR305" s="663"/>
      <c r="HS305" s="663"/>
      <c r="HT305" s="663"/>
      <c r="HU305" s="663"/>
      <c r="HV305" s="663"/>
      <c r="HW305" s="663"/>
      <c r="HX305" s="663"/>
      <c r="HY305" s="663"/>
      <c r="HZ305" s="663"/>
      <c r="IA305" s="663"/>
      <c r="IB305" s="663"/>
      <c r="IC305" s="663"/>
      <c r="ID305" s="663"/>
      <c r="IE305" s="663"/>
      <c r="IF305" s="663"/>
      <c r="IG305" s="663"/>
      <c r="IH305" s="663"/>
      <c r="II305" s="663"/>
      <c r="IJ305" s="663"/>
      <c r="IK305" s="663"/>
      <c r="IL305" s="663"/>
      <c r="IM305" s="663"/>
      <c r="IN305" s="663"/>
      <c r="IO305" s="663"/>
      <c r="IP305" s="663"/>
      <c r="IQ305" s="70"/>
    </row>
    <row r="306" spans="10:251" ht="16.5" hidden="1" customHeight="1">
      <c r="J306" s="214"/>
      <c r="R306" s="95"/>
      <c r="S306" s="95"/>
      <c r="T306" s="95"/>
      <c r="U306" s="70"/>
      <c r="V306" s="214"/>
      <c r="W306" s="70"/>
      <c r="X306" s="70"/>
      <c r="Y306" s="70"/>
      <c r="Z306" s="70"/>
      <c r="AA306" s="70"/>
      <c r="AB306" s="70"/>
      <c r="AC306" s="70"/>
      <c r="AD306" s="70"/>
      <c r="AE306" s="70"/>
      <c r="AF306" s="70"/>
      <c r="AG306" s="70"/>
      <c r="AH306" s="70"/>
      <c r="AI306" s="70"/>
      <c r="AJ306" s="70"/>
      <c r="AK306" s="70"/>
      <c r="AL306" s="70"/>
      <c r="AM306" s="70"/>
      <c r="AN306" s="70"/>
      <c r="AO306" s="70"/>
      <c r="AP306" s="70"/>
      <c r="AQ306" s="70"/>
      <c r="AR306" s="70"/>
      <c r="AS306" s="70"/>
      <c r="AT306" s="70"/>
      <c r="AU306" s="70"/>
      <c r="AV306" s="70"/>
      <c r="AW306" s="70"/>
      <c r="AX306" s="70"/>
      <c r="AY306" s="70"/>
      <c r="AZ306" s="70"/>
      <c r="BA306" s="70"/>
      <c r="BB306" s="70"/>
      <c r="BC306" s="70"/>
      <c r="BD306" s="70"/>
      <c r="BE306" s="70"/>
      <c r="BF306" s="70"/>
      <c r="BG306" s="70"/>
      <c r="BH306" s="70"/>
      <c r="BI306" s="70"/>
      <c r="BJ306" s="70"/>
      <c r="BK306" s="70"/>
      <c r="BL306" s="70"/>
      <c r="BM306" s="70"/>
      <c r="BN306" s="70"/>
      <c r="BO306" s="70"/>
      <c r="BP306" s="70"/>
      <c r="BQ306" s="70"/>
      <c r="BR306" s="70"/>
      <c r="BS306" s="70"/>
      <c r="BT306" s="70"/>
      <c r="BU306" s="70"/>
      <c r="BV306" s="70"/>
      <c r="BW306" s="70"/>
      <c r="BX306" s="70"/>
      <c r="BY306" s="70"/>
      <c r="BZ306" s="70"/>
      <c r="CA306" s="70"/>
      <c r="CB306" s="70"/>
      <c r="CC306" s="70"/>
      <c r="CD306" s="70"/>
      <c r="CE306" s="70"/>
      <c r="CF306" s="70"/>
      <c r="CG306" s="70"/>
      <c r="CH306" s="70"/>
      <c r="CI306" s="70"/>
      <c r="CJ306" s="70"/>
      <c r="CK306" s="70"/>
      <c r="CL306" s="70"/>
      <c r="CM306" s="70"/>
      <c r="CN306" s="70"/>
      <c r="CO306" s="70"/>
      <c r="CP306" s="70"/>
      <c r="CQ306" s="70"/>
      <c r="CR306" s="70"/>
      <c r="CS306" s="70"/>
      <c r="CT306" s="70"/>
      <c r="CU306" s="70"/>
      <c r="CV306" s="70"/>
      <c r="CW306" s="70"/>
      <c r="CX306" s="70"/>
      <c r="CY306" s="70"/>
      <c r="CZ306" s="70"/>
      <c r="DA306" s="70"/>
      <c r="DB306" s="70"/>
      <c r="DC306" s="70"/>
      <c r="DD306" s="70"/>
      <c r="DE306" s="70"/>
      <c r="DF306" s="70"/>
      <c r="DG306" s="70"/>
      <c r="DH306" s="70"/>
      <c r="DI306" s="70"/>
      <c r="DJ306" s="70"/>
      <c r="DK306" s="70"/>
      <c r="DL306" s="70"/>
      <c r="DM306" s="70"/>
      <c r="DN306" s="70"/>
      <c r="DO306" s="70"/>
      <c r="DP306" s="70"/>
      <c r="DQ306" s="70"/>
      <c r="DR306" s="70"/>
      <c r="DS306" s="70"/>
      <c r="DT306" s="70"/>
      <c r="DU306" s="70"/>
      <c r="DV306" s="70"/>
      <c r="DW306" s="70"/>
      <c r="DX306" s="70"/>
      <c r="DY306" s="70"/>
      <c r="DZ306" s="70"/>
      <c r="EA306" s="70"/>
      <c r="EB306" s="70"/>
      <c r="EC306" s="70"/>
      <c r="ED306" s="70"/>
      <c r="EE306" s="95" t="s">
        <v>450</v>
      </c>
      <c r="EF306" s="652"/>
      <c r="EG306" s="652"/>
      <c r="EH306" s="652"/>
      <c r="EI306" s="216"/>
      <c r="EJ306" s="663"/>
      <c r="EK306" s="663"/>
      <c r="EL306" s="663"/>
      <c r="EM306" s="663"/>
      <c r="EN306" s="663"/>
      <c r="EO306" s="663"/>
      <c r="EP306" s="663"/>
      <c r="EQ306" s="663"/>
      <c r="ER306" s="663"/>
      <c r="ES306" s="663"/>
      <c r="ET306" s="663"/>
      <c r="EU306" s="663"/>
      <c r="EV306" s="663"/>
      <c r="EW306" s="663"/>
      <c r="EX306" s="663"/>
      <c r="EY306" s="663"/>
      <c r="EZ306" s="663"/>
      <c r="FA306" s="663"/>
      <c r="FB306" s="663"/>
      <c r="FC306" s="663"/>
      <c r="FD306" s="663"/>
      <c r="FE306" s="663"/>
      <c r="FF306" s="663"/>
      <c r="FG306" s="663"/>
      <c r="FH306" s="663"/>
      <c r="FI306" s="663"/>
      <c r="FJ306" s="663"/>
      <c r="FK306" s="663"/>
      <c r="FL306" s="663"/>
      <c r="FM306" s="663"/>
      <c r="FN306" s="663"/>
      <c r="FO306" s="663"/>
      <c r="FP306" s="663"/>
      <c r="FQ306" s="663"/>
      <c r="FR306" s="663"/>
      <c r="FS306" s="663"/>
      <c r="FT306" s="663"/>
      <c r="FU306" s="663"/>
      <c r="FV306" s="663"/>
      <c r="FW306" s="663"/>
      <c r="FX306" s="663"/>
      <c r="FY306" s="663"/>
      <c r="FZ306" s="663"/>
      <c r="GA306" s="663"/>
      <c r="GB306" s="663"/>
      <c r="GC306" s="663"/>
      <c r="GD306" s="663"/>
      <c r="GE306" s="663"/>
      <c r="GF306" s="663"/>
      <c r="GG306" s="663"/>
      <c r="GH306" s="663"/>
      <c r="GI306" s="663"/>
      <c r="GJ306" s="663"/>
      <c r="GK306" s="663"/>
      <c r="GL306" s="663"/>
      <c r="GM306" s="663"/>
      <c r="GN306" s="663"/>
      <c r="GO306" s="663"/>
      <c r="GP306" s="663"/>
      <c r="GQ306" s="663"/>
      <c r="GR306" s="663"/>
      <c r="GS306" s="663"/>
      <c r="GT306" s="663"/>
      <c r="GU306" s="663"/>
      <c r="GV306" s="663"/>
      <c r="GW306" s="663"/>
      <c r="GX306" s="663"/>
      <c r="GY306" s="663"/>
      <c r="GZ306" s="663"/>
      <c r="HA306" s="663"/>
      <c r="HB306" s="663"/>
      <c r="HC306" s="663"/>
      <c r="HD306" s="663"/>
      <c r="HE306" s="663"/>
      <c r="HF306" s="663"/>
      <c r="HG306" s="663"/>
      <c r="HH306" s="663"/>
      <c r="HI306" s="663"/>
      <c r="HJ306" s="663"/>
      <c r="HK306" s="663"/>
      <c r="HL306" s="663"/>
      <c r="HM306" s="663"/>
      <c r="HN306" s="663"/>
      <c r="HO306" s="663"/>
      <c r="HP306" s="663"/>
      <c r="HQ306" s="663"/>
      <c r="HR306" s="663"/>
      <c r="HS306" s="663"/>
      <c r="HT306" s="663"/>
      <c r="HU306" s="663"/>
      <c r="HV306" s="663"/>
      <c r="HW306" s="663"/>
      <c r="HX306" s="663"/>
      <c r="HY306" s="663"/>
      <c r="HZ306" s="663"/>
      <c r="IA306" s="663"/>
      <c r="IB306" s="663"/>
      <c r="IC306" s="663"/>
      <c r="ID306" s="663"/>
      <c r="IE306" s="663"/>
      <c r="IF306" s="663"/>
      <c r="IG306" s="663"/>
      <c r="IH306" s="663"/>
      <c r="II306" s="663"/>
      <c r="IJ306" s="663"/>
      <c r="IK306" s="663"/>
      <c r="IL306" s="663"/>
      <c r="IM306" s="663"/>
      <c r="IN306" s="663"/>
      <c r="IO306" s="663"/>
      <c r="IP306" s="663"/>
      <c r="IQ306" s="70"/>
    </row>
    <row r="307" spans="10:251" ht="16.5" hidden="1" customHeight="1">
      <c r="J307" s="214"/>
      <c r="R307" s="95"/>
      <c r="S307" s="95"/>
      <c r="T307" s="95"/>
      <c r="U307" s="70"/>
      <c r="V307" s="214"/>
      <c r="W307" s="70"/>
      <c r="X307" s="70"/>
      <c r="Y307" s="70"/>
      <c r="Z307" s="70"/>
      <c r="AA307" s="70"/>
      <c r="AB307" s="70"/>
      <c r="AC307" s="70"/>
      <c r="AD307" s="70"/>
      <c r="AE307" s="70"/>
      <c r="AF307" s="70"/>
      <c r="AG307" s="70"/>
      <c r="AH307" s="70"/>
      <c r="AI307" s="70"/>
      <c r="AJ307" s="70"/>
      <c r="AK307" s="70"/>
      <c r="AL307" s="70"/>
      <c r="AM307" s="70"/>
      <c r="AN307" s="70"/>
      <c r="AO307" s="70"/>
      <c r="AP307" s="70"/>
      <c r="AQ307" s="70"/>
      <c r="AR307" s="70"/>
      <c r="AS307" s="70"/>
      <c r="AT307" s="70"/>
      <c r="AU307" s="70"/>
      <c r="AV307" s="70"/>
      <c r="AW307" s="70"/>
      <c r="AX307" s="70"/>
      <c r="AY307" s="70"/>
      <c r="AZ307" s="70"/>
      <c r="BA307" s="70"/>
      <c r="BB307" s="70"/>
      <c r="BC307" s="70"/>
      <c r="BD307" s="70"/>
      <c r="BE307" s="70"/>
      <c r="BF307" s="70"/>
      <c r="BG307" s="70"/>
      <c r="BH307" s="70"/>
      <c r="BI307" s="70"/>
      <c r="BJ307" s="70"/>
      <c r="BK307" s="70"/>
      <c r="BL307" s="70"/>
      <c r="BM307" s="70"/>
      <c r="BN307" s="70"/>
      <c r="BO307" s="70"/>
      <c r="BP307" s="70"/>
      <c r="BQ307" s="70"/>
      <c r="BR307" s="70"/>
      <c r="BS307" s="70"/>
      <c r="BT307" s="70"/>
      <c r="BU307" s="70"/>
      <c r="BV307" s="70"/>
      <c r="BW307" s="70"/>
      <c r="BX307" s="70"/>
      <c r="BY307" s="70"/>
      <c r="BZ307" s="70"/>
      <c r="CA307" s="70"/>
      <c r="CB307" s="70"/>
      <c r="CC307" s="70"/>
      <c r="CD307" s="70"/>
      <c r="CE307" s="70"/>
      <c r="CF307" s="70"/>
      <c r="CG307" s="70"/>
      <c r="CH307" s="70"/>
      <c r="CI307" s="70"/>
      <c r="CJ307" s="70"/>
      <c r="CK307" s="70"/>
      <c r="CL307" s="70"/>
      <c r="CM307" s="70"/>
      <c r="CN307" s="70"/>
      <c r="CO307" s="70"/>
      <c r="CP307" s="70"/>
      <c r="CQ307" s="70"/>
      <c r="CR307" s="70"/>
      <c r="CS307" s="70"/>
      <c r="CT307" s="70"/>
      <c r="CU307" s="70"/>
      <c r="CV307" s="70"/>
      <c r="CW307" s="70"/>
      <c r="CX307" s="70"/>
      <c r="CY307" s="70"/>
      <c r="CZ307" s="70"/>
      <c r="DA307" s="70"/>
      <c r="DB307" s="70"/>
      <c r="DC307" s="70"/>
      <c r="DD307" s="70"/>
      <c r="DE307" s="70"/>
      <c r="DF307" s="70"/>
      <c r="DG307" s="70"/>
      <c r="DH307" s="70"/>
      <c r="DI307" s="70"/>
      <c r="DJ307" s="70"/>
      <c r="DK307" s="70"/>
      <c r="DL307" s="70"/>
      <c r="DM307" s="70"/>
      <c r="DN307" s="70"/>
      <c r="DO307" s="70"/>
      <c r="DP307" s="70"/>
      <c r="DQ307" s="70"/>
      <c r="DR307" s="70"/>
      <c r="DS307" s="70"/>
      <c r="DT307" s="70"/>
      <c r="DU307" s="70"/>
      <c r="DV307" s="70"/>
      <c r="DW307" s="70"/>
      <c r="DX307" s="70"/>
      <c r="DY307" s="70"/>
      <c r="DZ307" s="70"/>
      <c r="EA307" s="70"/>
      <c r="EB307" s="70"/>
      <c r="EC307" s="70"/>
      <c r="ED307" s="70"/>
      <c r="EE307" s="95" t="s">
        <v>450</v>
      </c>
      <c r="EF307" s="652"/>
      <c r="EG307" s="652"/>
      <c r="EH307" s="652"/>
      <c r="EI307" s="216"/>
      <c r="EJ307" s="663"/>
      <c r="EK307" s="663"/>
      <c r="EL307" s="663"/>
      <c r="EM307" s="663"/>
      <c r="EN307" s="663"/>
      <c r="EO307" s="663"/>
      <c r="EP307" s="663"/>
      <c r="EQ307" s="663"/>
      <c r="ER307" s="663"/>
      <c r="ES307" s="663"/>
      <c r="ET307" s="663"/>
      <c r="EU307" s="663"/>
      <c r="EV307" s="663"/>
      <c r="EW307" s="663"/>
      <c r="EX307" s="663"/>
      <c r="EY307" s="663"/>
      <c r="EZ307" s="663"/>
      <c r="FA307" s="663"/>
      <c r="FB307" s="663"/>
      <c r="FC307" s="663"/>
      <c r="FD307" s="663"/>
      <c r="FE307" s="663"/>
      <c r="FF307" s="663"/>
      <c r="FG307" s="663"/>
      <c r="FH307" s="663"/>
      <c r="FI307" s="663"/>
      <c r="FJ307" s="663"/>
      <c r="FK307" s="663"/>
      <c r="FL307" s="663"/>
      <c r="FM307" s="663"/>
      <c r="FN307" s="663"/>
      <c r="FO307" s="663"/>
      <c r="FP307" s="663"/>
      <c r="FQ307" s="663"/>
      <c r="FR307" s="663"/>
      <c r="FS307" s="663"/>
      <c r="FT307" s="663"/>
      <c r="FU307" s="663"/>
      <c r="FV307" s="663"/>
      <c r="FW307" s="663"/>
      <c r="FX307" s="663"/>
      <c r="FY307" s="663"/>
      <c r="FZ307" s="663"/>
      <c r="GA307" s="663"/>
      <c r="GB307" s="663"/>
      <c r="GC307" s="663"/>
      <c r="GD307" s="663"/>
      <c r="GE307" s="663"/>
      <c r="GF307" s="663"/>
      <c r="GG307" s="663"/>
      <c r="GH307" s="663"/>
      <c r="GI307" s="663"/>
      <c r="GJ307" s="663"/>
      <c r="GK307" s="663"/>
      <c r="GL307" s="663"/>
      <c r="GM307" s="663"/>
      <c r="GN307" s="663"/>
      <c r="GO307" s="663"/>
      <c r="GP307" s="663"/>
      <c r="GQ307" s="663"/>
      <c r="GR307" s="663"/>
      <c r="GS307" s="663"/>
      <c r="GT307" s="663"/>
      <c r="GU307" s="663"/>
      <c r="GV307" s="663"/>
      <c r="GW307" s="663"/>
      <c r="GX307" s="663"/>
      <c r="GY307" s="663"/>
      <c r="GZ307" s="663"/>
      <c r="HA307" s="663"/>
      <c r="HB307" s="663"/>
      <c r="HC307" s="663"/>
      <c r="HD307" s="663"/>
      <c r="HE307" s="663"/>
      <c r="HF307" s="663"/>
      <c r="HG307" s="663"/>
      <c r="HH307" s="663"/>
      <c r="HI307" s="663"/>
      <c r="HJ307" s="663"/>
      <c r="HK307" s="663"/>
      <c r="HL307" s="663"/>
      <c r="HM307" s="663"/>
      <c r="HN307" s="663"/>
      <c r="HO307" s="663"/>
      <c r="HP307" s="663"/>
      <c r="HQ307" s="663"/>
      <c r="HR307" s="663"/>
      <c r="HS307" s="663"/>
      <c r="HT307" s="663"/>
      <c r="HU307" s="663"/>
      <c r="HV307" s="663"/>
      <c r="HW307" s="663"/>
      <c r="HX307" s="663"/>
      <c r="HY307" s="663"/>
      <c r="HZ307" s="663"/>
      <c r="IA307" s="663"/>
      <c r="IB307" s="663"/>
      <c r="IC307" s="663"/>
      <c r="ID307" s="663"/>
      <c r="IE307" s="663"/>
      <c r="IF307" s="663"/>
      <c r="IG307" s="663"/>
      <c r="IH307" s="663"/>
      <c r="II307" s="663"/>
      <c r="IJ307" s="663"/>
      <c r="IK307" s="663"/>
      <c r="IL307" s="663"/>
      <c r="IM307" s="663"/>
      <c r="IN307" s="663"/>
      <c r="IO307" s="663"/>
      <c r="IP307" s="663"/>
      <c r="IQ307" s="70"/>
    </row>
    <row r="308" spans="10:251" ht="16.5" hidden="1" customHeight="1">
      <c r="J308" s="214"/>
      <c r="R308" s="95"/>
      <c r="S308" s="95"/>
      <c r="T308" s="95"/>
      <c r="U308" s="70"/>
      <c r="V308" s="214"/>
      <c r="W308" s="70"/>
      <c r="X308" s="70"/>
      <c r="Y308" s="70"/>
      <c r="Z308" s="70"/>
      <c r="AA308" s="70"/>
      <c r="AB308" s="70"/>
      <c r="AC308" s="70"/>
      <c r="AD308" s="70"/>
      <c r="AE308" s="70"/>
      <c r="AF308" s="70"/>
      <c r="AG308" s="70"/>
      <c r="AH308" s="70"/>
      <c r="AI308" s="70"/>
      <c r="AJ308" s="70"/>
      <c r="AK308" s="70"/>
      <c r="AL308" s="70"/>
      <c r="AM308" s="70"/>
      <c r="AN308" s="70"/>
      <c r="AO308" s="70"/>
      <c r="AP308" s="70"/>
      <c r="AQ308" s="70"/>
      <c r="AR308" s="70"/>
      <c r="AS308" s="70"/>
      <c r="AT308" s="70"/>
      <c r="AU308" s="70"/>
      <c r="AV308" s="70"/>
      <c r="AW308" s="70"/>
      <c r="AX308" s="70"/>
      <c r="AY308" s="70"/>
      <c r="AZ308" s="70"/>
      <c r="BA308" s="70"/>
      <c r="BB308" s="70"/>
      <c r="BC308" s="70"/>
      <c r="BD308" s="70"/>
      <c r="BE308" s="70"/>
      <c r="BF308" s="70"/>
      <c r="BG308" s="70"/>
      <c r="BH308" s="70"/>
      <c r="BI308" s="70"/>
      <c r="BJ308" s="70"/>
      <c r="BK308" s="70"/>
      <c r="BL308" s="70"/>
      <c r="BM308" s="70"/>
      <c r="BN308" s="70"/>
      <c r="BO308" s="70"/>
      <c r="BP308" s="70"/>
      <c r="BQ308" s="70"/>
      <c r="BR308" s="70"/>
      <c r="BS308" s="70"/>
      <c r="BT308" s="70"/>
      <c r="BU308" s="70"/>
      <c r="BV308" s="70"/>
      <c r="BW308" s="70"/>
      <c r="BX308" s="70"/>
      <c r="BY308" s="70"/>
      <c r="BZ308" s="70"/>
      <c r="CA308" s="70"/>
      <c r="CB308" s="70"/>
      <c r="CC308" s="70"/>
      <c r="CD308" s="70"/>
      <c r="CE308" s="70"/>
      <c r="CF308" s="70"/>
      <c r="CG308" s="70"/>
      <c r="CH308" s="70"/>
      <c r="CI308" s="70"/>
      <c r="CJ308" s="70"/>
      <c r="CK308" s="70"/>
      <c r="CL308" s="70"/>
      <c r="CM308" s="70"/>
      <c r="CN308" s="70"/>
      <c r="CO308" s="70"/>
      <c r="CP308" s="70"/>
      <c r="CQ308" s="70"/>
      <c r="CR308" s="70"/>
      <c r="CS308" s="70"/>
      <c r="CT308" s="70"/>
      <c r="CU308" s="70"/>
      <c r="CV308" s="70"/>
      <c r="CW308" s="70"/>
      <c r="CX308" s="70"/>
      <c r="CY308" s="70"/>
      <c r="CZ308" s="70"/>
      <c r="DA308" s="70"/>
      <c r="DB308" s="70"/>
      <c r="DC308" s="70"/>
      <c r="DD308" s="70"/>
      <c r="DE308" s="70"/>
      <c r="DF308" s="70"/>
      <c r="DG308" s="70"/>
      <c r="DH308" s="70"/>
      <c r="DI308" s="70"/>
      <c r="DJ308" s="70"/>
      <c r="DK308" s="70"/>
      <c r="DL308" s="70"/>
      <c r="DM308" s="70"/>
      <c r="DN308" s="70"/>
      <c r="DO308" s="70"/>
      <c r="DP308" s="70"/>
      <c r="DQ308" s="70"/>
      <c r="DR308" s="70"/>
      <c r="DS308" s="70"/>
      <c r="DT308" s="70"/>
      <c r="DU308" s="70"/>
      <c r="DV308" s="70"/>
      <c r="DW308" s="70"/>
      <c r="DX308" s="70"/>
      <c r="DY308" s="70"/>
      <c r="DZ308" s="70"/>
      <c r="EA308" s="70"/>
      <c r="EB308" s="70"/>
      <c r="EC308" s="70"/>
      <c r="ED308" s="70"/>
      <c r="EE308" s="95" t="s">
        <v>450</v>
      </c>
      <c r="EF308" s="652"/>
      <c r="EG308" s="652"/>
      <c r="EH308" s="652"/>
      <c r="EI308" s="216"/>
      <c r="EJ308" s="663"/>
      <c r="EK308" s="663"/>
      <c r="EL308" s="663"/>
      <c r="EM308" s="663"/>
      <c r="EN308" s="663"/>
      <c r="EO308" s="663"/>
      <c r="EP308" s="663"/>
      <c r="EQ308" s="663"/>
      <c r="ER308" s="663"/>
      <c r="ES308" s="663"/>
      <c r="ET308" s="663"/>
      <c r="EU308" s="663"/>
      <c r="EV308" s="663"/>
      <c r="EW308" s="663"/>
      <c r="EX308" s="663"/>
      <c r="EY308" s="663"/>
      <c r="EZ308" s="663"/>
      <c r="FA308" s="663"/>
      <c r="FB308" s="663"/>
      <c r="FC308" s="663"/>
      <c r="FD308" s="663"/>
      <c r="FE308" s="663"/>
      <c r="FF308" s="663"/>
      <c r="FG308" s="663"/>
      <c r="FH308" s="663"/>
      <c r="FI308" s="663"/>
      <c r="FJ308" s="663"/>
      <c r="FK308" s="663"/>
      <c r="FL308" s="663"/>
      <c r="FM308" s="663"/>
      <c r="FN308" s="663"/>
      <c r="FO308" s="663"/>
      <c r="FP308" s="663"/>
      <c r="FQ308" s="663"/>
      <c r="FR308" s="663"/>
      <c r="FS308" s="663"/>
      <c r="FT308" s="663"/>
      <c r="FU308" s="663"/>
      <c r="FV308" s="663"/>
      <c r="FW308" s="663"/>
      <c r="FX308" s="663"/>
      <c r="FY308" s="663"/>
      <c r="FZ308" s="663"/>
      <c r="GA308" s="663"/>
      <c r="GB308" s="663"/>
      <c r="GC308" s="663"/>
      <c r="GD308" s="663"/>
      <c r="GE308" s="663"/>
      <c r="GF308" s="663"/>
      <c r="GG308" s="663"/>
      <c r="GH308" s="663"/>
      <c r="GI308" s="663"/>
      <c r="GJ308" s="663"/>
      <c r="GK308" s="663"/>
      <c r="GL308" s="663"/>
      <c r="GM308" s="663"/>
      <c r="GN308" s="663"/>
      <c r="GO308" s="663"/>
      <c r="GP308" s="663"/>
      <c r="GQ308" s="663"/>
      <c r="GR308" s="663"/>
      <c r="GS308" s="663"/>
      <c r="GT308" s="663"/>
      <c r="GU308" s="663"/>
      <c r="GV308" s="663"/>
      <c r="GW308" s="663"/>
      <c r="GX308" s="663"/>
      <c r="GY308" s="663"/>
      <c r="GZ308" s="663"/>
      <c r="HA308" s="663"/>
      <c r="HB308" s="663"/>
      <c r="HC308" s="663"/>
      <c r="HD308" s="663"/>
      <c r="HE308" s="663"/>
      <c r="HF308" s="663"/>
      <c r="HG308" s="663"/>
      <c r="HH308" s="663"/>
      <c r="HI308" s="663"/>
      <c r="HJ308" s="663"/>
      <c r="HK308" s="663"/>
      <c r="HL308" s="663"/>
      <c r="HM308" s="663"/>
      <c r="HN308" s="663"/>
      <c r="HO308" s="663"/>
      <c r="HP308" s="663"/>
      <c r="HQ308" s="663"/>
      <c r="HR308" s="663"/>
      <c r="HS308" s="663"/>
      <c r="HT308" s="663"/>
      <c r="HU308" s="663"/>
      <c r="HV308" s="663"/>
      <c r="HW308" s="663"/>
      <c r="HX308" s="663"/>
      <c r="HY308" s="663"/>
      <c r="HZ308" s="663"/>
      <c r="IA308" s="663"/>
      <c r="IB308" s="663"/>
      <c r="IC308" s="663"/>
      <c r="ID308" s="663"/>
      <c r="IE308" s="663"/>
      <c r="IF308" s="663"/>
      <c r="IG308" s="663"/>
      <c r="IH308" s="663"/>
      <c r="II308" s="663"/>
      <c r="IJ308" s="663"/>
      <c r="IK308" s="663"/>
      <c r="IL308" s="663"/>
      <c r="IM308" s="663"/>
      <c r="IN308" s="663"/>
      <c r="IO308" s="663"/>
      <c r="IP308" s="663"/>
      <c r="IQ308" s="70"/>
    </row>
    <row r="309" spans="10:251" ht="16.5" hidden="1" customHeight="1">
      <c r="J309" s="214"/>
      <c r="R309" s="95"/>
      <c r="S309" s="95"/>
      <c r="T309" s="95"/>
      <c r="U309" s="70"/>
      <c r="V309" s="214"/>
      <c r="W309" s="70"/>
      <c r="X309" s="70"/>
      <c r="Y309" s="70"/>
      <c r="Z309" s="70"/>
      <c r="AA309" s="70"/>
      <c r="AB309" s="70"/>
      <c r="AC309" s="70"/>
      <c r="AD309" s="70"/>
      <c r="AE309" s="70"/>
      <c r="AF309" s="70"/>
      <c r="AG309" s="70"/>
      <c r="AH309" s="70"/>
      <c r="AI309" s="70"/>
      <c r="AJ309" s="70"/>
      <c r="AK309" s="70"/>
      <c r="AL309" s="70"/>
      <c r="AM309" s="70"/>
      <c r="AN309" s="70"/>
      <c r="AO309" s="70"/>
      <c r="AP309" s="70"/>
      <c r="AQ309" s="70"/>
      <c r="AR309" s="70"/>
      <c r="AS309" s="70"/>
      <c r="AT309" s="70"/>
      <c r="AU309" s="70"/>
      <c r="AV309" s="70"/>
      <c r="AW309" s="70"/>
      <c r="AX309" s="70"/>
      <c r="AY309" s="70"/>
      <c r="AZ309" s="70"/>
      <c r="BA309" s="70"/>
      <c r="BB309" s="70"/>
      <c r="BC309" s="70"/>
      <c r="BD309" s="70"/>
      <c r="BE309" s="70"/>
      <c r="BF309" s="70"/>
      <c r="BG309" s="70"/>
      <c r="BH309" s="70"/>
      <c r="BI309" s="70"/>
      <c r="BJ309" s="70"/>
      <c r="BK309" s="70"/>
      <c r="BL309" s="70"/>
      <c r="BM309" s="70"/>
      <c r="BN309" s="70"/>
      <c r="BO309" s="70"/>
      <c r="BP309" s="70"/>
      <c r="BQ309" s="70"/>
      <c r="BR309" s="70"/>
      <c r="BS309" s="70"/>
      <c r="BT309" s="70"/>
      <c r="BU309" s="70"/>
      <c r="BV309" s="70"/>
      <c r="BW309" s="70"/>
      <c r="BX309" s="70"/>
      <c r="BY309" s="70"/>
      <c r="BZ309" s="70"/>
      <c r="CA309" s="70"/>
      <c r="CB309" s="70"/>
      <c r="CC309" s="70"/>
      <c r="CD309" s="70"/>
      <c r="CE309" s="70"/>
      <c r="CF309" s="70"/>
      <c r="CG309" s="70"/>
      <c r="CH309" s="70"/>
      <c r="CI309" s="70"/>
      <c r="CJ309" s="70"/>
      <c r="CK309" s="70"/>
      <c r="CL309" s="70"/>
      <c r="CM309" s="70"/>
      <c r="CN309" s="70"/>
      <c r="CO309" s="70"/>
      <c r="CP309" s="70"/>
      <c r="CQ309" s="70"/>
      <c r="CR309" s="70"/>
      <c r="CS309" s="70"/>
      <c r="CT309" s="70"/>
      <c r="CU309" s="70"/>
      <c r="CV309" s="70"/>
      <c r="CW309" s="70"/>
      <c r="CX309" s="70"/>
      <c r="CY309" s="70"/>
      <c r="CZ309" s="70"/>
      <c r="DA309" s="70"/>
      <c r="DB309" s="70"/>
      <c r="DC309" s="70"/>
      <c r="DD309" s="70"/>
      <c r="DE309" s="70"/>
      <c r="DF309" s="70"/>
      <c r="DG309" s="70"/>
      <c r="DH309" s="70"/>
      <c r="DI309" s="70"/>
      <c r="DJ309" s="70"/>
      <c r="DK309" s="70"/>
      <c r="DL309" s="70"/>
      <c r="DM309" s="70"/>
      <c r="DN309" s="70"/>
      <c r="DO309" s="70"/>
      <c r="DP309" s="70"/>
      <c r="DQ309" s="70"/>
      <c r="DR309" s="70"/>
      <c r="DS309" s="70"/>
      <c r="DT309" s="70"/>
      <c r="DU309" s="70"/>
      <c r="DV309" s="70"/>
      <c r="DW309" s="70"/>
      <c r="DX309" s="70"/>
      <c r="DY309" s="70"/>
      <c r="DZ309" s="70"/>
      <c r="EA309" s="70"/>
      <c r="EB309" s="70"/>
      <c r="EC309" s="70"/>
      <c r="ED309" s="70"/>
      <c r="EE309" s="95" t="s">
        <v>450</v>
      </c>
      <c r="EF309" s="652"/>
      <c r="EG309" s="652"/>
      <c r="EH309" s="652"/>
      <c r="EI309" s="216"/>
      <c r="EJ309" s="663"/>
      <c r="EK309" s="663"/>
      <c r="EL309" s="663"/>
      <c r="EM309" s="663"/>
      <c r="EN309" s="663"/>
      <c r="EO309" s="663"/>
      <c r="EP309" s="663"/>
      <c r="EQ309" s="663"/>
      <c r="ER309" s="663"/>
      <c r="ES309" s="663"/>
      <c r="ET309" s="663"/>
      <c r="EU309" s="663"/>
      <c r="EV309" s="663"/>
      <c r="EW309" s="663"/>
      <c r="EX309" s="663"/>
      <c r="EY309" s="663"/>
      <c r="EZ309" s="663"/>
      <c r="FA309" s="663"/>
      <c r="FB309" s="663"/>
      <c r="FC309" s="663"/>
      <c r="FD309" s="663"/>
      <c r="FE309" s="663"/>
      <c r="FF309" s="663"/>
      <c r="FG309" s="663"/>
      <c r="FH309" s="663"/>
      <c r="FI309" s="663"/>
      <c r="FJ309" s="663"/>
      <c r="FK309" s="663"/>
      <c r="FL309" s="663"/>
      <c r="FM309" s="663"/>
      <c r="FN309" s="663"/>
      <c r="FO309" s="663"/>
      <c r="FP309" s="663"/>
      <c r="FQ309" s="663"/>
      <c r="FR309" s="663"/>
      <c r="FS309" s="663"/>
      <c r="FT309" s="663"/>
      <c r="FU309" s="663"/>
      <c r="FV309" s="663"/>
      <c r="FW309" s="663"/>
      <c r="FX309" s="663"/>
      <c r="FY309" s="663"/>
      <c r="FZ309" s="663"/>
      <c r="GA309" s="663"/>
      <c r="GB309" s="663"/>
      <c r="GC309" s="663"/>
      <c r="GD309" s="663"/>
      <c r="GE309" s="663"/>
      <c r="GF309" s="663"/>
      <c r="GG309" s="663"/>
      <c r="GH309" s="663"/>
      <c r="GI309" s="663"/>
      <c r="GJ309" s="663"/>
      <c r="GK309" s="663"/>
      <c r="GL309" s="663"/>
      <c r="GM309" s="663"/>
      <c r="GN309" s="663"/>
      <c r="GO309" s="663"/>
      <c r="GP309" s="663"/>
      <c r="GQ309" s="663"/>
      <c r="GR309" s="663"/>
      <c r="GS309" s="663"/>
      <c r="GT309" s="663"/>
      <c r="GU309" s="663"/>
      <c r="GV309" s="663"/>
      <c r="GW309" s="663"/>
      <c r="GX309" s="663"/>
      <c r="GY309" s="663"/>
      <c r="GZ309" s="663"/>
      <c r="HA309" s="663"/>
      <c r="HB309" s="663"/>
      <c r="HC309" s="663"/>
      <c r="HD309" s="663"/>
      <c r="HE309" s="663"/>
      <c r="HF309" s="663"/>
      <c r="HG309" s="663"/>
      <c r="HH309" s="663"/>
      <c r="HI309" s="663"/>
      <c r="HJ309" s="663"/>
      <c r="HK309" s="663"/>
      <c r="HL309" s="663"/>
      <c r="HM309" s="663"/>
      <c r="HN309" s="663"/>
      <c r="HO309" s="663"/>
      <c r="HP309" s="663"/>
      <c r="HQ309" s="663"/>
      <c r="HR309" s="663"/>
      <c r="HS309" s="663"/>
      <c r="HT309" s="663"/>
      <c r="HU309" s="663"/>
      <c r="HV309" s="663"/>
      <c r="HW309" s="663"/>
      <c r="HX309" s="663"/>
      <c r="HY309" s="663"/>
      <c r="HZ309" s="663"/>
      <c r="IA309" s="663"/>
      <c r="IB309" s="663"/>
      <c r="IC309" s="663"/>
      <c r="ID309" s="663"/>
      <c r="IE309" s="663"/>
      <c r="IF309" s="663"/>
      <c r="IG309" s="663"/>
      <c r="IH309" s="663"/>
      <c r="II309" s="663"/>
      <c r="IJ309" s="663"/>
      <c r="IK309" s="663"/>
      <c r="IL309" s="663"/>
      <c r="IM309" s="663"/>
      <c r="IN309" s="663"/>
      <c r="IO309" s="663"/>
      <c r="IP309" s="663"/>
      <c r="IQ309" s="70"/>
    </row>
    <row r="310" spans="10:251" ht="16.5" hidden="1" customHeight="1">
      <c r="J310" s="214"/>
      <c r="R310" s="95"/>
      <c r="S310" s="95"/>
      <c r="T310" s="95"/>
      <c r="U310" s="70"/>
      <c r="V310" s="214"/>
      <c r="W310" s="70"/>
      <c r="X310" s="70"/>
      <c r="Y310" s="70"/>
      <c r="Z310" s="70"/>
      <c r="AA310" s="70"/>
      <c r="AB310" s="70"/>
      <c r="AC310" s="70"/>
      <c r="AD310" s="70"/>
      <c r="AE310" s="70"/>
      <c r="AF310" s="70"/>
      <c r="AG310" s="70"/>
      <c r="AH310" s="70"/>
      <c r="AI310" s="70"/>
      <c r="AJ310" s="70"/>
      <c r="AK310" s="70"/>
      <c r="AL310" s="70"/>
      <c r="AM310" s="70"/>
      <c r="AN310" s="70"/>
      <c r="AO310" s="70"/>
      <c r="AP310" s="70"/>
      <c r="AQ310" s="70"/>
      <c r="AR310" s="70"/>
      <c r="AS310" s="70"/>
      <c r="AT310" s="70"/>
      <c r="AU310" s="70"/>
      <c r="AV310" s="70"/>
      <c r="AW310" s="70"/>
      <c r="AX310" s="70"/>
      <c r="AY310" s="70"/>
      <c r="AZ310" s="70"/>
      <c r="BA310" s="70"/>
      <c r="BB310" s="70"/>
      <c r="BC310" s="70"/>
      <c r="BD310" s="70"/>
      <c r="BE310" s="70"/>
      <c r="BF310" s="70"/>
      <c r="BG310" s="70"/>
      <c r="BH310" s="70"/>
      <c r="BI310" s="70"/>
      <c r="BJ310" s="70"/>
      <c r="BK310" s="70"/>
      <c r="BL310" s="70"/>
      <c r="BM310" s="70"/>
      <c r="BN310" s="70"/>
      <c r="BO310" s="70"/>
      <c r="BP310" s="70"/>
      <c r="BQ310" s="70"/>
      <c r="BR310" s="70"/>
      <c r="BS310" s="70"/>
      <c r="BT310" s="70"/>
      <c r="BU310" s="70"/>
      <c r="BV310" s="70"/>
      <c r="BW310" s="70"/>
      <c r="BX310" s="70"/>
      <c r="BY310" s="70"/>
      <c r="BZ310" s="70"/>
      <c r="CA310" s="70"/>
      <c r="CB310" s="70"/>
      <c r="CC310" s="70"/>
      <c r="CD310" s="70"/>
      <c r="CE310" s="70"/>
      <c r="CF310" s="70"/>
      <c r="CG310" s="70"/>
      <c r="CH310" s="70"/>
      <c r="CI310" s="70"/>
      <c r="CJ310" s="70"/>
      <c r="CK310" s="70"/>
      <c r="CL310" s="70"/>
      <c r="CM310" s="70"/>
      <c r="CN310" s="70"/>
      <c r="CO310" s="70"/>
      <c r="CP310" s="70"/>
      <c r="CQ310" s="70"/>
      <c r="CR310" s="70"/>
      <c r="CS310" s="70"/>
      <c r="CT310" s="70"/>
      <c r="CU310" s="70"/>
      <c r="CV310" s="70"/>
      <c r="CW310" s="70"/>
      <c r="CX310" s="70"/>
      <c r="CY310" s="70"/>
      <c r="CZ310" s="70"/>
      <c r="DA310" s="70"/>
      <c r="DB310" s="70"/>
      <c r="DC310" s="70"/>
      <c r="DD310" s="70"/>
      <c r="DE310" s="70"/>
      <c r="DF310" s="70"/>
      <c r="DG310" s="70"/>
      <c r="DH310" s="70"/>
      <c r="DI310" s="70"/>
      <c r="DJ310" s="70"/>
      <c r="DK310" s="70"/>
      <c r="DL310" s="70"/>
      <c r="DM310" s="70"/>
      <c r="DN310" s="70"/>
      <c r="DO310" s="70"/>
      <c r="DP310" s="70"/>
      <c r="DQ310" s="70"/>
      <c r="DR310" s="70"/>
      <c r="DS310" s="70"/>
      <c r="DT310" s="70"/>
      <c r="DU310" s="70"/>
      <c r="DV310" s="70"/>
      <c r="DW310" s="70"/>
      <c r="DX310" s="70"/>
      <c r="DY310" s="70"/>
      <c r="DZ310" s="70"/>
      <c r="EA310" s="70"/>
      <c r="EB310" s="70"/>
      <c r="EC310" s="70"/>
      <c r="ED310" s="70"/>
      <c r="EE310" s="95" t="s">
        <v>450</v>
      </c>
      <c r="EF310" s="652"/>
      <c r="EG310" s="652"/>
      <c r="EH310" s="652"/>
      <c r="EI310" s="216"/>
      <c r="EJ310" s="663"/>
      <c r="EK310" s="663"/>
      <c r="EL310" s="663"/>
      <c r="EM310" s="663"/>
      <c r="EN310" s="663"/>
      <c r="EO310" s="663"/>
      <c r="EP310" s="663"/>
      <c r="EQ310" s="663"/>
      <c r="ER310" s="663"/>
      <c r="ES310" s="663"/>
      <c r="ET310" s="663"/>
      <c r="EU310" s="663"/>
      <c r="EV310" s="663"/>
      <c r="EW310" s="663"/>
      <c r="EX310" s="663"/>
      <c r="EY310" s="663"/>
      <c r="EZ310" s="663"/>
      <c r="FA310" s="663"/>
      <c r="FB310" s="663"/>
      <c r="FC310" s="663"/>
      <c r="FD310" s="663"/>
      <c r="FE310" s="663"/>
      <c r="FF310" s="663"/>
      <c r="FG310" s="663"/>
      <c r="FH310" s="663"/>
      <c r="FI310" s="663"/>
      <c r="FJ310" s="663"/>
      <c r="FK310" s="663"/>
      <c r="FL310" s="663"/>
      <c r="FM310" s="663"/>
      <c r="FN310" s="663"/>
      <c r="FO310" s="663"/>
      <c r="FP310" s="663"/>
      <c r="FQ310" s="663"/>
      <c r="FR310" s="663"/>
      <c r="FS310" s="663"/>
      <c r="FT310" s="663"/>
      <c r="FU310" s="663"/>
      <c r="FV310" s="663"/>
      <c r="FW310" s="663"/>
      <c r="FX310" s="663"/>
      <c r="FY310" s="663"/>
      <c r="FZ310" s="663"/>
      <c r="GA310" s="663"/>
      <c r="GB310" s="663"/>
      <c r="GC310" s="663"/>
      <c r="GD310" s="663"/>
      <c r="GE310" s="663"/>
      <c r="GF310" s="663"/>
      <c r="GG310" s="663"/>
      <c r="GH310" s="663"/>
      <c r="GI310" s="663"/>
      <c r="GJ310" s="663"/>
      <c r="GK310" s="663"/>
      <c r="GL310" s="663"/>
      <c r="GM310" s="663"/>
      <c r="GN310" s="663"/>
      <c r="GO310" s="663"/>
      <c r="GP310" s="663"/>
      <c r="GQ310" s="663"/>
      <c r="GR310" s="663"/>
      <c r="GS310" s="663"/>
      <c r="GT310" s="663"/>
      <c r="GU310" s="663"/>
      <c r="GV310" s="663"/>
      <c r="GW310" s="663"/>
      <c r="GX310" s="663"/>
      <c r="GY310" s="663"/>
      <c r="GZ310" s="663"/>
      <c r="HA310" s="663"/>
      <c r="HB310" s="663"/>
      <c r="HC310" s="663"/>
      <c r="HD310" s="663"/>
      <c r="HE310" s="663"/>
      <c r="HF310" s="663"/>
      <c r="HG310" s="663"/>
      <c r="HH310" s="663"/>
      <c r="HI310" s="663"/>
      <c r="HJ310" s="663"/>
      <c r="HK310" s="663"/>
      <c r="HL310" s="663"/>
      <c r="HM310" s="663"/>
      <c r="HN310" s="663"/>
      <c r="HO310" s="663"/>
      <c r="HP310" s="663"/>
      <c r="HQ310" s="663"/>
      <c r="HR310" s="663"/>
      <c r="HS310" s="663"/>
      <c r="HT310" s="663"/>
      <c r="HU310" s="663"/>
      <c r="HV310" s="663"/>
      <c r="HW310" s="663"/>
      <c r="HX310" s="663"/>
      <c r="HY310" s="663"/>
      <c r="HZ310" s="663"/>
      <c r="IA310" s="663"/>
      <c r="IB310" s="663"/>
      <c r="IC310" s="663"/>
      <c r="ID310" s="663"/>
      <c r="IE310" s="663"/>
      <c r="IF310" s="663"/>
      <c r="IG310" s="663"/>
      <c r="IH310" s="663"/>
      <c r="II310" s="663"/>
      <c r="IJ310" s="663"/>
      <c r="IK310" s="663"/>
      <c r="IL310" s="663"/>
      <c r="IM310" s="663"/>
      <c r="IN310" s="663"/>
      <c r="IO310" s="663"/>
      <c r="IP310" s="663"/>
      <c r="IQ310" s="70"/>
    </row>
    <row r="311" spans="10:251" ht="16.5" hidden="1" customHeight="1">
      <c r="J311" s="214"/>
      <c r="R311" s="95"/>
      <c r="S311" s="95"/>
      <c r="T311" s="95"/>
      <c r="U311" s="70"/>
      <c r="V311" s="214"/>
      <c r="W311" s="70"/>
      <c r="X311" s="70"/>
      <c r="Y311" s="70"/>
      <c r="Z311" s="70"/>
      <c r="AA311" s="70"/>
      <c r="AB311" s="70"/>
      <c r="AC311" s="70"/>
      <c r="AD311" s="70"/>
      <c r="AE311" s="70"/>
      <c r="AF311" s="70"/>
      <c r="AG311" s="70"/>
      <c r="AH311" s="70"/>
      <c r="AI311" s="70"/>
      <c r="AJ311" s="70"/>
      <c r="AK311" s="70"/>
      <c r="AL311" s="70"/>
      <c r="AM311" s="70"/>
      <c r="AN311" s="70"/>
      <c r="AO311" s="70"/>
      <c r="AP311" s="70"/>
      <c r="AQ311" s="70"/>
      <c r="AR311" s="70"/>
      <c r="AS311" s="70"/>
      <c r="AT311" s="70"/>
      <c r="AU311" s="70"/>
      <c r="AV311" s="70"/>
      <c r="AW311" s="70"/>
      <c r="AX311" s="70"/>
      <c r="AY311" s="70"/>
      <c r="AZ311" s="70"/>
      <c r="BA311" s="70"/>
      <c r="BB311" s="70"/>
      <c r="BC311" s="70"/>
      <c r="BD311" s="70"/>
      <c r="BE311" s="70"/>
      <c r="BF311" s="70"/>
      <c r="BG311" s="70"/>
      <c r="BH311" s="70"/>
      <c r="BI311" s="70"/>
      <c r="BJ311" s="70"/>
      <c r="BK311" s="70"/>
      <c r="BL311" s="70"/>
      <c r="BM311" s="70"/>
      <c r="BN311" s="70"/>
      <c r="BO311" s="70"/>
      <c r="BP311" s="70"/>
      <c r="BQ311" s="70"/>
      <c r="BR311" s="70"/>
      <c r="BS311" s="70"/>
      <c r="BT311" s="70"/>
      <c r="BU311" s="70"/>
      <c r="BV311" s="70"/>
      <c r="BW311" s="70"/>
      <c r="BX311" s="70"/>
      <c r="BY311" s="70"/>
      <c r="BZ311" s="70"/>
      <c r="CA311" s="70"/>
      <c r="CB311" s="70"/>
      <c r="CC311" s="70"/>
      <c r="CD311" s="70"/>
      <c r="CE311" s="70"/>
      <c r="CF311" s="70"/>
      <c r="CG311" s="70"/>
      <c r="CH311" s="70"/>
      <c r="CI311" s="70"/>
      <c r="CJ311" s="70"/>
      <c r="CK311" s="70"/>
      <c r="CL311" s="70"/>
      <c r="CM311" s="70"/>
      <c r="CN311" s="70"/>
      <c r="CO311" s="70"/>
      <c r="CP311" s="70"/>
      <c r="CQ311" s="70"/>
      <c r="CR311" s="70"/>
      <c r="CS311" s="70"/>
      <c r="CT311" s="70"/>
      <c r="CU311" s="70"/>
      <c r="CV311" s="70"/>
      <c r="CW311" s="70"/>
      <c r="CX311" s="70"/>
      <c r="CY311" s="70"/>
      <c r="CZ311" s="70"/>
      <c r="DA311" s="70"/>
      <c r="DB311" s="70"/>
      <c r="DC311" s="70"/>
      <c r="DD311" s="70"/>
      <c r="DE311" s="70"/>
      <c r="DF311" s="70"/>
      <c r="DG311" s="70"/>
      <c r="DH311" s="70"/>
      <c r="DI311" s="70"/>
      <c r="DJ311" s="70"/>
      <c r="DK311" s="70"/>
      <c r="DL311" s="70"/>
      <c r="DM311" s="70"/>
      <c r="DN311" s="70"/>
      <c r="DO311" s="70"/>
      <c r="DP311" s="70"/>
      <c r="DQ311" s="70"/>
      <c r="DR311" s="70"/>
      <c r="DS311" s="70"/>
      <c r="DT311" s="70"/>
      <c r="DU311" s="70"/>
      <c r="DV311" s="70"/>
      <c r="DW311" s="70"/>
      <c r="DX311" s="70"/>
      <c r="DY311" s="70"/>
      <c r="DZ311" s="70"/>
      <c r="EA311" s="70"/>
      <c r="EB311" s="70"/>
      <c r="EC311" s="70"/>
      <c r="ED311" s="70"/>
      <c r="EE311" s="95" t="s">
        <v>450</v>
      </c>
      <c r="EF311" s="652"/>
      <c r="EG311" s="652"/>
      <c r="EH311" s="652"/>
      <c r="EI311" s="216"/>
      <c r="EJ311" s="663"/>
      <c r="EK311" s="663"/>
      <c r="EL311" s="663"/>
      <c r="EM311" s="663"/>
      <c r="EN311" s="663"/>
      <c r="EO311" s="663"/>
      <c r="EP311" s="663"/>
      <c r="EQ311" s="663"/>
      <c r="ER311" s="663"/>
      <c r="ES311" s="663"/>
      <c r="ET311" s="663"/>
      <c r="EU311" s="663"/>
      <c r="EV311" s="663"/>
      <c r="EW311" s="663"/>
      <c r="EX311" s="663"/>
      <c r="EY311" s="663"/>
      <c r="EZ311" s="663"/>
      <c r="FA311" s="663"/>
      <c r="FB311" s="663"/>
      <c r="FC311" s="663"/>
      <c r="FD311" s="663"/>
      <c r="FE311" s="663"/>
      <c r="FF311" s="663"/>
      <c r="FG311" s="663"/>
      <c r="FH311" s="663"/>
      <c r="FI311" s="663"/>
      <c r="FJ311" s="663"/>
      <c r="FK311" s="663"/>
      <c r="FL311" s="663"/>
      <c r="FM311" s="663"/>
      <c r="FN311" s="663"/>
      <c r="FO311" s="663"/>
      <c r="FP311" s="663"/>
      <c r="FQ311" s="663"/>
      <c r="FR311" s="663"/>
      <c r="FS311" s="663"/>
      <c r="FT311" s="663"/>
      <c r="FU311" s="663"/>
      <c r="FV311" s="663"/>
      <c r="FW311" s="663"/>
      <c r="FX311" s="663"/>
      <c r="FY311" s="663"/>
      <c r="FZ311" s="663"/>
      <c r="GA311" s="663"/>
      <c r="GB311" s="663"/>
      <c r="GC311" s="663"/>
      <c r="GD311" s="663"/>
      <c r="GE311" s="663"/>
      <c r="GF311" s="663"/>
      <c r="GG311" s="663"/>
      <c r="GH311" s="663"/>
      <c r="GI311" s="663"/>
      <c r="GJ311" s="663"/>
      <c r="GK311" s="663"/>
      <c r="GL311" s="663"/>
      <c r="GM311" s="663"/>
      <c r="GN311" s="663"/>
      <c r="GO311" s="663"/>
      <c r="GP311" s="663"/>
      <c r="GQ311" s="663"/>
      <c r="GR311" s="663"/>
      <c r="GS311" s="663"/>
      <c r="GT311" s="663"/>
      <c r="GU311" s="663"/>
      <c r="GV311" s="663"/>
      <c r="GW311" s="663"/>
      <c r="GX311" s="663"/>
      <c r="GY311" s="663"/>
      <c r="GZ311" s="663"/>
      <c r="HA311" s="663"/>
      <c r="HB311" s="663"/>
      <c r="HC311" s="663"/>
      <c r="HD311" s="663"/>
      <c r="HE311" s="663"/>
      <c r="HF311" s="663"/>
      <c r="HG311" s="663"/>
      <c r="HH311" s="663"/>
      <c r="HI311" s="663"/>
      <c r="HJ311" s="663"/>
      <c r="HK311" s="663"/>
      <c r="HL311" s="663"/>
      <c r="HM311" s="663"/>
      <c r="HN311" s="663"/>
      <c r="HO311" s="663"/>
      <c r="HP311" s="663"/>
      <c r="HQ311" s="663"/>
      <c r="HR311" s="663"/>
      <c r="HS311" s="663"/>
      <c r="HT311" s="663"/>
      <c r="HU311" s="663"/>
      <c r="HV311" s="663"/>
      <c r="HW311" s="663"/>
      <c r="HX311" s="663"/>
      <c r="HY311" s="663"/>
      <c r="HZ311" s="663"/>
      <c r="IA311" s="663"/>
      <c r="IB311" s="663"/>
      <c r="IC311" s="663"/>
      <c r="ID311" s="663"/>
      <c r="IE311" s="663"/>
      <c r="IF311" s="663"/>
      <c r="IG311" s="663"/>
      <c r="IH311" s="663"/>
      <c r="II311" s="663"/>
      <c r="IJ311" s="663"/>
      <c r="IK311" s="663"/>
      <c r="IL311" s="663"/>
      <c r="IM311" s="663"/>
      <c r="IN311" s="663"/>
      <c r="IO311" s="663"/>
      <c r="IP311" s="663"/>
      <c r="IQ311" s="70"/>
    </row>
    <row r="312" spans="10:251" ht="16.5" hidden="1" customHeight="1">
      <c r="J312" s="214"/>
      <c r="R312" s="95"/>
      <c r="S312" s="95"/>
      <c r="T312" s="95"/>
      <c r="U312" s="70"/>
      <c r="V312" s="214"/>
      <c r="W312" s="70"/>
      <c r="X312" s="70"/>
      <c r="Y312" s="70"/>
      <c r="Z312" s="70"/>
      <c r="AA312" s="70"/>
      <c r="AB312" s="70"/>
      <c r="AC312" s="70"/>
      <c r="AD312" s="70"/>
      <c r="AE312" s="70"/>
      <c r="AF312" s="70"/>
      <c r="AG312" s="70"/>
      <c r="AH312" s="70"/>
      <c r="AI312" s="70"/>
      <c r="AJ312" s="70"/>
      <c r="AK312" s="70"/>
      <c r="AL312" s="70"/>
      <c r="AM312" s="70"/>
      <c r="AN312" s="70"/>
      <c r="AO312" s="70"/>
      <c r="AP312" s="70"/>
      <c r="AQ312" s="70"/>
      <c r="AR312" s="70"/>
      <c r="AS312" s="70"/>
      <c r="AT312" s="70"/>
      <c r="AU312" s="70"/>
      <c r="AV312" s="70"/>
      <c r="AW312" s="70"/>
      <c r="AX312" s="70"/>
      <c r="AY312" s="70"/>
      <c r="AZ312" s="70"/>
      <c r="BA312" s="70"/>
      <c r="BB312" s="70"/>
      <c r="BC312" s="70"/>
      <c r="BD312" s="70"/>
      <c r="BE312" s="70"/>
      <c r="BF312" s="70"/>
      <c r="BG312" s="70"/>
      <c r="BH312" s="70"/>
      <c r="BI312" s="70"/>
      <c r="BJ312" s="70"/>
      <c r="BK312" s="70"/>
      <c r="BL312" s="70"/>
      <c r="BM312" s="70"/>
      <c r="BN312" s="70"/>
      <c r="BO312" s="70"/>
      <c r="BP312" s="70"/>
      <c r="BQ312" s="70"/>
      <c r="BR312" s="70"/>
      <c r="BS312" s="70"/>
      <c r="BT312" s="70"/>
      <c r="BU312" s="70"/>
      <c r="BV312" s="70"/>
      <c r="BW312" s="70"/>
      <c r="BX312" s="70"/>
      <c r="BY312" s="70"/>
      <c r="BZ312" s="70"/>
      <c r="CA312" s="70"/>
      <c r="CB312" s="70"/>
      <c r="CC312" s="70"/>
      <c r="CD312" s="70"/>
      <c r="CE312" s="70"/>
      <c r="CF312" s="70"/>
      <c r="CG312" s="70"/>
      <c r="CH312" s="70"/>
      <c r="CI312" s="70"/>
      <c r="CJ312" s="70"/>
      <c r="CK312" s="70"/>
      <c r="CL312" s="70"/>
      <c r="CM312" s="70"/>
      <c r="CN312" s="70"/>
      <c r="CO312" s="70"/>
      <c r="CP312" s="70"/>
      <c r="CQ312" s="70"/>
      <c r="CR312" s="70"/>
      <c r="CS312" s="70"/>
      <c r="CT312" s="70"/>
      <c r="CU312" s="70"/>
      <c r="CV312" s="70"/>
      <c r="CW312" s="70"/>
      <c r="CX312" s="70"/>
      <c r="CY312" s="70"/>
      <c r="CZ312" s="70"/>
      <c r="DA312" s="70"/>
      <c r="DB312" s="70"/>
      <c r="DC312" s="70"/>
      <c r="DD312" s="70"/>
      <c r="DE312" s="70"/>
      <c r="DF312" s="70"/>
      <c r="DG312" s="70"/>
      <c r="DH312" s="70"/>
      <c r="DI312" s="70"/>
      <c r="DJ312" s="70"/>
      <c r="DK312" s="70"/>
      <c r="DL312" s="70"/>
      <c r="DM312" s="70"/>
      <c r="DN312" s="70"/>
      <c r="DO312" s="70"/>
      <c r="DP312" s="70"/>
      <c r="DQ312" s="70"/>
      <c r="DR312" s="70"/>
      <c r="DS312" s="70"/>
      <c r="DT312" s="70"/>
      <c r="DU312" s="70"/>
      <c r="DV312" s="70"/>
      <c r="DW312" s="70"/>
      <c r="DX312" s="70"/>
      <c r="DY312" s="70"/>
      <c r="DZ312" s="70"/>
      <c r="EA312" s="70"/>
      <c r="EB312" s="70"/>
      <c r="EC312" s="70"/>
      <c r="ED312" s="70"/>
      <c r="EE312" s="95" t="s">
        <v>450</v>
      </c>
      <c r="EF312" s="652"/>
      <c r="EG312" s="652"/>
      <c r="EH312" s="652"/>
      <c r="EI312" s="216"/>
      <c r="EJ312" s="663"/>
      <c r="EK312" s="663"/>
      <c r="EL312" s="663"/>
      <c r="EM312" s="663"/>
      <c r="EN312" s="663"/>
      <c r="EO312" s="663"/>
      <c r="EP312" s="663"/>
      <c r="EQ312" s="663"/>
      <c r="ER312" s="663"/>
      <c r="ES312" s="663"/>
      <c r="ET312" s="663"/>
      <c r="EU312" s="663"/>
      <c r="EV312" s="663"/>
      <c r="EW312" s="663"/>
      <c r="EX312" s="663"/>
      <c r="EY312" s="663"/>
      <c r="EZ312" s="663"/>
      <c r="FA312" s="663"/>
      <c r="FB312" s="663"/>
      <c r="FC312" s="663"/>
      <c r="FD312" s="663"/>
      <c r="FE312" s="663"/>
      <c r="FF312" s="663"/>
      <c r="FG312" s="663"/>
      <c r="FH312" s="663"/>
      <c r="FI312" s="663"/>
      <c r="FJ312" s="663"/>
      <c r="FK312" s="663"/>
      <c r="FL312" s="663"/>
      <c r="FM312" s="663"/>
      <c r="FN312" s="663"/>
      <c r="FO312" s="663"/>
      <c r="FP312" s="663"/>
      <c r="FQ312" s="663"/>
      <c r="FR312" s="663"/>
      <c r="FS312" s="663"/>
      <c r="FT312" s="663"/>
      <c r="FU312" s="663"/>
      <c r="FV312" s="663"/>
      <c r="FW312" s="663"/>
      <c r="FX312" s="663"/>
      <c r="FY312" s="663"/>
      <c r="FZ312" s="663"/>
      <c r="GA312" s="663"/>
      <c r="GB312" s="663"/>
      <c r="GC312" s="663"/>
      <c r="GD312" s="663"/>
      <c r="GE312" s="663"/>
      <c r="GF312" s="663"/>
      <c r="GG312" s="663"/>
      <c r="GH312" s="663"/>
      <c r="GI312" s="663"/>
      <c r="GJ312" s="663"/>
      <c r="GK312" s="663"/>
      <c r="GL312" s="663"/>
      <c r="GM312" s="663"/>
      <c r="GN312" s="663"/>
      <c r="GO312" s="663"/>
      <c r="GP312" s="663"/>
      <c r="GQ312" s="663"/>
      <c r="GR312" s="663"/>
      <c r="GS312" s="663"/>
      <c r="GT312" s="663"/>
      <c r="GU312" s="663"/>
      <c r="GV312" s="663"/>
      <c r="GW312" s="663"/>
      <c r="GX312" s="663"/>
      <c r="GY312" s="663"/>
      <c r="GZ312" s="663"/>
      <c r="HA312" s="663"/>
      <c r="HB312" s="663"/>
      <c r="HC312" s="663"/>
      <c r="HD312" s="663"/>
      <c r="HE312" s="663"/>
      <c r="HF312" s="663"/>
      <c r="HG312" s="663"/>
      <c r="HH312" s="663"/>
      <c r="HI312" s="663"/>
      <c r="HJ312" s="663"/>
      <c r="HK312" s="663"/>
      <c r="HL312" s="663"/>
      <c r="HM312" s="663"/>
      <c r="HN312" s="663"/>
      <c r="HO312" s="663"/>
      <c r="HP312" s="663"/>
      <c r="HQ312" s="663"/>
      <c r="HR312" s="663"/>
      <c r="HS312" s="663"/>
      <c r="HT312" s="663"/>
      <c r="HU312" s="663"/>
      <c r="HV312" s="663"/>
      <c r="HW312" s="663"/>
      <c r="HX312" s="663"/>
      <c r="HY312" s="663"/>
      <c r="HZ312" s="663"/>
      <c r="IA312" s="663"/>
      <c r="IB312" s="663"/>
      <c r="IC312" s="663"/>
      <c r="ID312" s="663"/>
      <c r="IE312" s="663"/>
      <c r="IF312" s="663"/>
      <c r="IG312" s="663"/>
      <c r="IH312" s="663"/>
      <c r="II312" s="663"/>
      <c r="IJ312" s="663"/>
      <c r="IK312" s="663"/>
      <c r="IL312" s="663"/>
      <c r="IM312" s="663"/>
      <c r="IN312" s="663"/>
      <c r="IO312" s="663"/>
      <c r="IP312" s="663"/>
      <c r="IQ312" s="70"/>
    </row>
    <row r="313" spans="10:251" ht="16.5" hidden="1" customHeight="1">
      <c r="J313" s="214"/>
      <c r="R313" s="95"/>
      <c r="S313" s="95"/>
      <c r="T313" s="95"/>
      <c r="U313" s="70"/>
      <c r="V313" s="214"/>
      <c r="W313" s="70"/>
      <c r="X313" s="70"/>
      <c r="Y313" s="70"/>
      <c r="Z313" s="70"/>
      <c r="AA313" s="70"/>
      <c r="AB313" s="70"/>
      <c r="AC313" s="70"/>
      <c r="AD313" s="70"/>
      <c r="AE313" s="70"/>
      <c r="AF313" s="70"/>
      <c r="AG313" s="70"/>
      <c r="AH313" s="70"/>
      <c r="AI313" s="70"/>
      <c r="AJ313" s="70"/>
      <c r="AK313" s="70"/>
      <c r="AL313" s="70"/>
      <c r="AM313" s="70"/>
      <c r="AN313" s="70"/>
      <c r="AO313" s="70"/>
      <c r="AP313" s="70"/>
      <c r="AQ313" s="70"/>
      <c r="AR313" s="70"/>
      <c r="AS313" s="70"/>
      <c r="AT313" s="70"/>
      <c r="AU313" s="70"/>
      <c r="AV313" s="70"/>
      <c r="AW313" s="70"/>
      <c r="AX313" s="70"/>
      <c r="AY313" s="70"/>
      <c r="AZ313" s="70"/>
      <c r="BA313" s="70"/>
      <c r="BB313" s="70"/>
      <c r="BC313" s="70"/>
      <c r="BD313" s="70"/>
      <c r="BE313" s="70"/>
      <c r="BF313" s="70"/>
      <c r="BG313" s="70"/>
      <c r="BH313" s="70"/>
      <c r="BI313" s="70"/>
      <c r="BJ313" s="70"/>
      <c r="BK313" s="70"/>
      <c r="BL313" s="70"/>
      <c r="BM313" s="70"/>
      <c r="BN313" s="70"/>
      <c r="BO313" s="70"/>
      <c r="BP313" s="70"/>
      <c r="BQ313" s="70"/>
      <c r="BR313" s="70"/>
      <c r="BS313" s="70"/>
      <c r="BT313" s="70"/>
      <c r="BU313" s="70"/>
      <c r="BV313" s="70"/>
      <c r="BW313" s="70"/>
      <c r="BX313" s="70"/>
      <c r="BY313" s="70"/>
      <c r="BZ313" s="70"/>
      <c r="CA313" s="70"/>
      <c r="CB313" s="70"/>
      <c r="CC313" s="70"/>
      <c r="CD313" s="70"/>
      <c r="CE313" s="70"/>
      <c r="CF313" s="70"/>
      <c r="CG313" s="70"/>
      <c r="CH313" s="70"/>
      <c r="CI313" s="70"/>
      <c r="CJ313" s="70"/>
      <c r="CK313" s="70"/>
      <c r="CL313" s="70"/>
      <c r="CM313" s="70"/>
      <c r="CN313" s="70"/>
      <c r="CO313" s="70"/>
      <c r="CP313" s="70"/>
      <c r="CQ313" s="70"/>
      <c r="CR313" s="70"/>
      <c r="CS313" s="70"/>
      <c r="CT313" s="70"/>
      <c r="CU313" s="70"/>
      <c r="CV313" s="70"/>
      <c r="CW313" s="70"/>
      <c r="CX313" s="70"/>
      <c r="CY313" s="70"/>
      <c r="CZ313" s="70"/>
      <c r="DA313" s="70"/>
      <c r="DB313" s="70"/>
      <c r="DC313" s="70"/>
      <c r="DD313" s="70"/>
      <c r="DE313" s="70"/>
      <c r="DF313" s="70"/>
      <c r="DG313" s="70"/>
      <c r="DH313" s="70"/>
      <c r="DI313" s="70"/>
      <c r="DJ313" s="70"/>
      <c r="DK313" s="70"/>
      <c r="DL313" s="70"/>
      <c r="DM313" s="70"/>
      <c r="DN313" s="70"/>
      <c r="DO313" s="70"/>
      <c r="DP313" s="70"/>
      <c r="DQ313" s="70"/>
      <c r="DR313" s="70"/>
      <c r="DS313" s="70"/>
      <c r="DT313" s="70"/>
      <c r="DU313" s="70"/>
      <c r="DV313" s="70"/>
      <c r="DW313" s="70"/>
      <c r="DX313" s="70"/>
      <c r="DY313" s="70"/>
      <c r="DZ313" s="70"/>
      <c r="EA313" s="70"/>
      <c r="EB313" s="70"/>
      <c r="EC313" s="70"/>
      <c r="ED313" s="70"/>
      <c r="EE313" s="95" t="s">
        <v>450</v>
      </c>
      <c r="EF313" s="652"/>
      <c r="EG313" s="652"/>
      <c r="EH313" s="652"/>
      <c r="EI313" s="216"/>
      <c r="EJ313" s="663"/>
      <c r="EK313" s="663"/>
      <c r="EL313" s="663"/>
      <c r="EM313" s="663"/>
      <c r="EN313" s="663"/>
      <c r="EO313" s="663"/>
      <c r="EP313" s="663"/>
      <c r="EQ313" s="663"/>
      <c r="ER313" s="663"/>
      <c r="ES313" s="663"/>
      <c r="ET313" s="663"/>
      <c r="EU313" s="663"/>
      <c r="EV313" s="663"/>
      <c r="EW313" s="663"/>
      <c r="EX313" s="663"/>
      <c r="EY313" s="663"/>
      <c r="EZ313" s="663"/>
      <c r="FA313" s="663"/>
      <c r="FB313" s="663"/>
      <c r="FC313" s="663"/>
      <c r="FD313" s="663"/>
      <c r="FE313" s="663"/>
      <c r="FF313" s="663"/>
      <c r="FG313" s="663"/>
      <c r="FH313" s="663"/>
      <c r="FI313" s="663"/>
      <c r="FJ313" s="663"/>
      <c r="FK313" s="663"/>
      <c r="FL313" s="663"/>
      <c r="FM313" s="663"/>
      <c r="FN313" s="663"/>
      <c r="FO313" s="663"/>
      <c r="FP313" s="663"/>
      <c r="FQ313" s="663"/>
      <c r="FR313" s="663"/>
      <c r="FS313" s="663"/>
      <c r="FT313" s="663"/>
      <c r="FU313" s="663"/>
      <c r="FV313" s="663"/>
      <c r="FW313" s="663"/>
      <c r="FX313" s="663"/>
      <c r="FY313" s="663"/>
      <c r="FZ313" s="663"/>
      <c r="GA313" s="663"/>
      <c r="GB313" s="663"/>
      <c r="GC313" s="663"/>
      <c r="GD313" s="663"/>
      <c r="GE313" s="663"/>
      <c r="GF313" s="663"/>
      <c r="GG313" s="663"/>
      <c r="GH313" s="663"/>
      <c r="GI313" s="663"/>
      <c r="GJ313" s="663"/>
      <c r="GK313" s="663"/>
      <c r="GL313" s="663"/>
      <c r="GM313" s="663"/>
      <c r="GN313" s="663"/>
      <c r="GO313" s="663"/>
      <c r="GP313" s="663"/>
      <c r="GQ313" s="663"/>
      <c r="GR313" s="663"/>
      <c r="GS313" s="663"/>
      <c r="GT313" s="663"/>
      <c r="GU313" s="663"/>
      <c r="GV313" s="663"/>
      <c r="GW313" s="663"/>
      <c r="GX313" s="663"/>
      <c r="GY313" s="663"/>
      <c r="GZ313" s="663"/>
      <c r="HA313" s="663"/>
      <c r="HB313" s="663"/>
      <c r="HC313" s="663"/>
      <c r="HD313" s="663"/>
      <c r="HE313" s="663"/>
      <c r="HF313" s="663"/>
      <c r="HG313" s="663"/>
      <c r="HH313" s="663"/>
      <c r="HI313" s="663"/>
      <c r="HJ313" s="663"/>
      <c r="HK313" s="663"/>
      <c r="HL313" s="663"/>
      <c r="HM313" s="663"/>
      <c r="HN313" s="663"/>
      <c r="HO313" s="663"/>
      <c r="HP313" s="663"/>
      <c r="HQ313" s="663"/>
      <c r="HR313" s="663"/>
      <c r="HS313" s="663"/>
      <c r="HT313" s="663"/>
      <c r="HU313" s="663"/>
      <c r="HV313" s="663"/>
      <c r="HW313" s="663"/>
      <c r="HX313" s="663"/>
      <c r="HY313" s="663"/>
      <c r="HZ313" s="663"/>
      <c r="IA313" s="663"/>
      <c r="IB313" s="663"/>
      <c r="IC313" s="663"/>
      <c r="ID313" s="663"/>
      <c r="IE313" s="663"/>
      <c r="IF313" s="663"/>
      <c r="IG313" s="663"/>
      <c r="IH313" s="663"/>
      <c r="II313" s="663"/>
      <c r="IJ313" s="663"/>
      <c r="IK313" s="663"/>
      <c r="IL313" s="663"/>
      <c r="IM313" s="663"/>
      <c r="IN313" s="663"/>
      <c r="IO313" s="663"/>
      <c r="IP313" s="663"/>
      <c r="IQ313" s="70"/>
    </row>
    <row r="314" spans="10:251" ht="16.5" hidden="1" customHeight="1">
      <c r="J314" s="214"/>
      <c r="R314" s="95"/>
      <c r="S314" s="95"/>
      <c r="T314" s="95"/>
      <c r="U314" s="70"/>
      <c r="V314" s="214"/>
      <c r="W314" s="70"/>
      <c r="X314" s="70"/>
      <c r="Y314" s="70"/>
      <c r="Z314" s="70"/>
      <c r="AA314" s="70"/>
      <c r="AB314" s="70"/>
      <c r="AC314" s="70"/>
      <c r="AD314" s="70"/>
      <c r="AE314" s="70"/>
      <c r="AF314" s="70"/>
      <c r="AG314" s="70"/>
      <c r="AH314" s="70"/>
      <c r="AI314" s="70"/>
      <c r="AJ314" s="70"/>
      <c r="AK314" s="70"/>
      <c r="AL314" s="70"/>
      <c r="AM314" s="70"/>
      <c r="AN314" s="70"/>
      <c r="AO314" s="70"/>
      <c r="AP314" s="70"/>
      <c r="AQ314" s="70"/>
      <c r="AR314" s="70"/>
      <c r="AS314" s="70"/>
      <c r="AT314" s="70"/>
      <c r="AU314" s="70"/>
      <c r="AV314" s="70"/>
      <c r="AW314" s="70"/>
      <c r="AX314" s="70"/>
      <c r="AY314" s="70"/>
      <c r="AZ314" s="70"/>
      <c r="BA314" s="70"/>
      <c r="BB314" s="70"/>
      <c r="BC314" s="70"/>
      <c r="BD314" s="70"/>
      <c r="BE314" s="70"/>
      <c r="BF314" s="70"/>
      <c r="BG314" s="70"/>
      <c r="BH314" s="70"/>
      <c r="BI314" s="70"/>
      <c r="BJ314" s="70"/>
      <c r="BK314" s="70"/>
      <c r="BL314" s="70"/>
      <c r="BM314" s="70"/>
      <c r="BN314" s="70"/>
      <c r="BO314" s="70"/>
      <c r="BP314" s="70"/>
      <c r="BQ314" s="70"/>
      <c r="BR314" s="70"/>
      <c r="BS314" s="70"/>
      <c r="BT314" s="70"/>
      <c r="BU314" s="70"/>
      <c r="BV314" s="70"/>
      <c r="BW314" s="70"/>
      <c r="BX314" s="70"/>
      <c r="BY314" s="70"/>
      <c r="BZ314" s="70"/>
      <c r="CA314" s="70"/>
      <c r="CB314" s="70"/>
      <c r="CC314" s="70"/>
      <c r="CD314" s="70"/>
      <c r="CE314" s="70"/>
      <c r="CF314" s="70"/>
      <c r="CG314" s="70"/>
      <c r="CH314" s="70"/>
      <c r="CI314" s="70"/>
      <c r="CJ314" s="70"/>
      <c r="CK314" s="70"/>
      <c r="CL314" s="70"/>
      <c r="CM314" s="70"/>
      <c r="CN314" s="70"/>
      <c r="CO314" s="70"/>
      <c r="CP314" s="70"/>
      <c r="CQ314" s="70"/>
      <c r="CR314" s="70"/>
      <c r="CS314" s="70"/>
      <c r="CT314" s="70"/>
      <c r="CU314" s="70"/>
      <c r="CV314" s="70"/>
      <c r="CW314" s="70"/>
      <c r="CX314" s="70"/>
      <c r="CY314" s="70"/>
      <c r="CZ314" s="70"/>
      <c r="DA314" s="70"/>
      <c r="DB314" s="70"/>
      <c r="DC314" s="70"/>
      <c r="DD314" s="70"/>
      <c r="DE314" s="70"/>
      <c r="DF314" s="70"/>
      <c r="DG314" s="70"/>
      <c r="DH314" s="70"/>
      <c r="DI314" s="70"/>
      <c r="DJ314" s="70"/>
      <c r="DK314" s="70"/>
      <c r="DL314" s="70"/>
      <c r="DM314" s="70"/>
      <c r="DN314" s="70"/>
      <c r="DO314" s="70"/>
      <c r="DP314" s="70"/>
      <c r="DQ314" s="70"/>
      <c r="DR314" s="70"/>
      <c r="DS314" s="70"/>
      <c r="DT314" s="70"/>
      <c r="DU314" s="70"/>
      <c r="DV314" s="70"/>
      <c r="DW314" s="70"/>
      <c r="DX314" s="70"/>
      <c r="DY314" s="70"/>
      <c r="DZ314" s="70"/>
      <c r="EA314" s="70"/>
      <c r="EB314" s="70"/>
      <c r="EC314" s="70"/>
      <c r="ED314" s="70"/>
      <c r="EE314" s="95" t="s">
        <v>450</v>
      </c>
      <c r="EF314" s="652"/>
      <c r="EG314" s="652"/>
      <c r="EH314" s="652"/>
      <c r="EI314" s="216"/>
      <c r="EJ314" s="663"/>
      <c r="EK314" s="663"/>
      <c r="EL314" s="663"/>
      <c r="EM314" s="663"/>
      <c r="EN314" s="663"/>
      <c r="EO314" s="663"/>
      <c r="EP314" s="663"/>
      <c r="EQ314" s="663"/>
      <c r="ER314" s="663"/>
      <c r="ES314" s="663"/>
      <c r="ET314" s="663"/>
      <c r="EU314" s="663"/>
      <c r="EV314" s="663"/>
      <c r="EW314" s="663"/>
      <c r="EX314" s="663"/>
      <c r="EY314" s="663"/>
      <c r="EZ314" s="663"/>
      <c r="FA314" s="663"/>
      <c r="FB314" s="663"/>
      <c r="FC314" s="663"/>
      <c r="FD314" s="663"/>
      <c r="FE314" s="663"/>
      <c r="FF314" s="663"/>
      <c r="FG314" s="663"/>
      <c r="FH314" s="663"/>
      <c r="FI314" s="663"/>
      <c r="FJ314" s="663"/>
      <c r="FK314" s="663"/>
      <c r="FL314" s="663"/>
      <c r="FM314" s="663"/>
      <c r="FN314" s="663"/>
      <c r="FO314" s="663"/>
      <c r="FP314" s="663"/>
      <c r="FQ314" s="663"/>
      <c r="FR314" s="663"/>
      <c r="FS314" s="663"/>
      <c r="FT314" s="663"/>
      <c r="FU314" s="663"/>
      <c r="FV314" s="663"/>
      <c r="FW314" s="663"/>
      <c r="FX314" s="663"/>
      <c r="FY314" s="663"/>
      <c r="FZ314" s="663"/>
      <c r="GA314" s="663"/>
      <c r="GB314" s="663"/>
      <c r="GC314" s="663"/>
      <c r="GD314" s="663"/>
      <c r="GE314" s="663"/>
      <c r="GF314" s="663"/>
      <c r="GG314" s="663"/>
      <c r="GH314" s="663"/>
      <c r="GI314" s="663"/>
      <c r="GJ314" s="663"/>
      <c r="GK314" s="663"/>
      <c r="GL314" s="663"/>
      <c r="GM314" s="663"/>
      <c r="GN314" s="663"/>
      <c r="GO314" s="663"/>
      <c r="GP314" s="663"/>
      <c r="GQ314" s="663"/>
      <c r="GR314" s="663"/>
      <c r="GS314" s="663"/>
      <c r="GT314" s="663"/>
      <c r="GU314" s="663"/>
      <c r="GV314" s="663"/>
      <c r="GW314" s="663"/>
      <c r="GX314" s="663"/>
      <c r="GY314" s="663"/>
      <c r="GZ314" s="663"/>
      <c r="HA314" s="663"/>
      <c r="HB314" s="663"/>
      <c r="HC314" s="663"/>
      <c r="HD314" s="663"/>
      <c r="HE314" s="663"/>
      <c r="HF314" s="663"/>
      <c r="HG314" s="663"/>
      <c r="HH314" s="663"/>
      <c r="HI314" s="663"/>
      <c r="HJ314" s="663"/>
      <c r="HK314" s="663"/>
      <c r="HL314" s="663"/>
      <c r="HM314" s="663"/>
      <c r="HN314" s="663"/>
      <c r="HO314" s="663"/>
      <c r="HP314" s="663"/>
      <c r="HQ314" s="663"/>
      <c r="HR314" s="663"/>
      <c r="HS314" s="663"/>
      <c r="HT314" s="663"/>
      <c r="HU314" s="663"/>
      <c r="HV314" s="663"/>
      <c r="HW314" s="663"/>
      <c r="HX314" s="663"/>
      <c r="HY314" s="663"/>
      <c r="HZ314" s="663"/>
      <c r="IA314" s="663"/>
      <c r="IB314" s="663"/>
      <c r="IC314" s="663"/>
      <c r="ID314" s="663"/>
      <c r="IE314" s="663"/>
      <c r="IF314" s="663"/>
      <c r="IG314" s="663"/>
      <c r="IH314" s="663"/>
      <c r="II314" s="663"/>
      <c r="IJ314" s="663"/>
      <c r="IK314" s="663"/>
      <c r="IL314" s="663"/>
      <c r="IM314" s="663"/>
      <c r="IN314" s="663"/>
      <c r="IO314" s="663"/>
      <c r="IP314" s="663"/>
      <c r="IQ314" s="70"/>
    </row>
    <row r="315" spans="10:251" ht="16.5" hidden="1" customHeight="1">
      <c r="J315" s="214"/>
      <c r="R315" s="95"/>
      <c r="S315" s="95"/>
      <c r="T315" s="95"/>
      <c r="U315" s="70"/>
      <c r="V315" s="214"/>
      <c r="W315" s="70"/>
      <c r="X315" s="70"/>
      <c r="Y315" s="70"/>
      <c r="Z315" s="70"/>
      <c r="AA315" s="70"/>
      <c r="AB315" s="70"/>
      <c r="AC315" s="70"/>
      <c r="AD315" s="70"/>
      <c r="AE315" s="70"/>
      <c r="AF315" s="70"/>
      <c r="AG315" s="70"/>
      <c r="AH315" s="70"/>
      <c r="AI315" s="70"/>
      <c r="AJ315" s="70"/>
      <c r="AK315" s="70"/>
      <c r="AL315" s="70"/>
      <c r="AM315" s="70"/>
      <c r="AN315" s="70"/>
      <c r="AO315" s="70"/>
      <c r="AP315" s="70"/>
      <c r="AQ315" s="70"/>
      <c r="AR315" s="70"/>
      <c r="AS315" s="70"/>
      <c r="AT315" s="70"/>
      <c r="AU315" s="70"/>
      <c r="AV315" s="70"/>
      <c r="AW315" s="70"/>
      <c r="AX315" s="70"/>
      <c r="AY315" s="70"/>
      <c r="AZ315" s="70"/>
      <c r="BA315" s="70"/>
      <c r="BB315" s="70"/>
      <c r="BC315" s="70"/>
      <c r="BD315" s="70"/>
      <c r="BE315" s="70"/>
      <c r="BF315" s="70"/>
      <c r="BG315" s="70"/>
      <c r="BH315" s="70"/>
      <c r="BI315" s="70"/>
      <c r="BJ315" s="70"/>
      <c r="BK315" s="70"/>
      <c r="BL315" s="70"/>
      <c r="BM315" s="70"/>
      <c r="BN315" s="70"/>
      <c r="BO315" s="70"/>
      <c r="BP315" s="70"/>
      <c r="BQ315" s="70"/>
      <c r="BR315" s="70"/>
      <c r="BS315" s="70"/>
      <c r="BT315" s="70"/>
      <c r="BU315" s="70"/>
      <c r="BV315" s="70"/>
      <c r="BW315" s="70"/>
      <c r="BX315" s="70"/>
      <c r="BY315" s="70"/>
      <c r="BZ315" s="70"/>
      <c r="CA315" s="70"/>
      <c r="CB315" s="70"/>
      <c r="CC315" s="70"/>
      <c r="CD315" s="70"/>
      <c r="CE315" s="70"/>
      <c r="CF315" s="70"/>
      <c r="CG315" s="70"/>
      <c r="CH315" s="70"/>
      <c r="CI315" s="70"/>
      <c r="CJ315" s="70"/>
      <c r="CK315" s="70"/>
      <c r="CL315" s="70"/>
      <c r="CM315" s="70"/>
      <c r="CN315" s="70"/>
      <c r="CO315" s="70"/>
      <c r="CP315" s="70"/>
      <c r="CQ315" s="70"/>
      <c r="CR315" s="70"/>
      <c r="CS315" s="70"/>
      <c r="CT315" s="70"/>
      <c r="CU315" s="70"/>
      <c r="CV315" s="70"/>
      <c r="CW315" s="70"/>
      <c r="CX315" s="70"/>
      <c r="CY315" s="70"/>
      <c r="CZ315" s="70"/>
      <c r="DA315" s="70"/>
      <c r="DB315" s="70"/>
      <c r="DC315" s="70"/>
      <c r="DD315" s="70"/>
      <c r="DE315" s="70"/>
      <c r="DF315" s="70"/>
      <c r="DG315" s="70"/>
      <c r="DH315" s="70"/>
      <c r="DI315" s="70"/>
      <c r="DJ315" s="70"/>
      <c r="DK315" s="70"/>
      <c r="DL315" s="70"/>
      <c r="DM315" s="70"/>
      <c r="DN315" s="70"/>
      <c r="DO315" s="70"/>
      <c r="DP315" s="70"/>
      <c r="DQ315" s="70"/>
      <c r="DR315" s="70"/>
      <c r="DS315" s="70"/>
      <c r="DT315" s="70"/>
      <c r="DU315" s="70"/>
      <c r="DV315" s="70"/>
      <c r="DW315" s="70"/>
      <c r="DX315" s="70"/>
      <c r="DY315" s="70"/>
      <c r="DZ315" s="70"/>
      <c r="EA315" s="70"/>
      <c r="EB315" s="70"/>
      <c r="EC315" s="70"/>
      <c r="ED315" s="70"/>
      <c r="EE315" s="95" t="s">
        <v>450</v>
      </c>
      <c r="EF315" s="652"/>
      <c r="EG315" s="652"/>
      <c r="EH315" s="652"/>
      <c r="EI315" s="216"/>
      <c r="EJ315" s="663"/>
      <c r="EK315" s="663"/>
      <c r="EL315" s="663"/>
      <c r="EM315" s="663"/>
      <c r="EN315" s="663"/>
      <c r="EO315" s="663"/>
      <c r="EP315" s="663"/>
      <c r="EQ315" s="663"/>
      <c r="ER315" s="663"/>
      <c r="ES315" s="663"/>
      <c r="ET315" s="663"/>
      <c r="EU315" s="663"/>
      <c r="EV315" s="663"/>
      <c r="EW315" s="663"/>
      <c r="EX315" s="663"/>
      <c r="EY315" s="663"/>
      <c r="EZ315" s="663"/>
      <c r="FA315" s="663"/>
      <c r="FB315" s="663"/>
      <c r="FC315" s="663"/>
      <c r="FD315" s="663"/>
      <c r="FE315" s="663"/>
      <c r="FF315" s="663"/>
      <c r="FG315" s="663"/>
      <c r="FH315" s="663"/>
      <c r="FI315" s="663"/>
      <c r="FJ315" s="663"/>
      <c r="FK315" s="663"/>
      <c r="FL315" s="663"/>
      <c r="FM315" s="663"/>
      <c r="FN315" s="663"/>
      <c r="FO315" s="663"/>
      <c r="FP315" s="663"/>
      <c r="FQ315" s="663"/>
      <c r="FR315" s="663"/>
      <c r="FS315" s="663"/>
      <c r="FT315" s="663"/>
      <c r="FU315" s="663"/>
      <c r="FV315" s="663"/>
      <c r="FW315" s="663"/>
      <c r="FX315" s="663"/>
      <c r="FY315" s="663"/>
      <c r="FZ315" s="663"/>
      <c r="GA315" s="663"/>
      <c r="GB315" s="663"/>
      <c r="GC315" s="663"/>
      <c r="GD315" s="663"/>
      <c r="GE315" s="663"/>
      <c r="GF315" s="663"/>
      <c r="GG315" s="663"/>
      <c r="GH315" s="663"/>
      <c r="GI315" s="663"/>
      <c r="GJ315" s="663"/>
      <c r="GK315" s="663"/>
      <c r="GL315" s="663"/>
      <c r="GM315" s="663"/>
      <c r="GN315" s="663"/>
      <c r="GO315" s="663"/>
      <c r="GP315" s="663"/>
      <c r="GQ315" s="663"/>
      <c r="GR315" s="663"/>
      <c r="GS315" s="663"/>
      <c r="GT315" s="663"/>
      <c r="GU315" s="663"/>
      <c r="GV315" s="663"/>
      <c r="GW315" s="663"/>
      <c r="GX315" s="663"/>
      <c r="GY315" s="663"/>
      <c r="GZ315" s="663"/>
      <c r="HA315" s="663"/>
      <c r="HB315" s="663"/>
      <c r="HC315" s="663"/>
      <c r="HD315" s="663"/>
      <c r="HE315" s="663"/>
      <c r="HF315" s="663"/>
      <c r="HG315" s="663"/>
      <c r="HH315" s="663"/>
      <c r="HI315" s="663"/>
      <c r="HJ315" s="663"/>
      <c r="HK315" s="663"/>
      <c r="HL315" s="663"/>
      <c r="HM315" s="663"/>
      <c r="HN315" s="663"/>
      <c r="HO315" s="663"/>
      <c r="HP315" s="663"/>
      <c r="HQ315" s="663"/>
      <c r="HR315" s="663"/>
      <c r="HS315" s="663"/>
      <c r="HT315" s="663"/>
      <c r="HU315" s="663"/>
      <c r="HV315" s="663"/>
      <c r="HW315" s="663"/>
      <c r="HX315" s="663"/>
      <c r="HY315" s="663"/>
      <c r="HZ315" s="663"/>
      <c r="IA315" s="663"/>
      <c r="IB315" s="663"/>
      <c r="IC315" s="663"/>
      <c r="ID315" s="663"/>
      <c r="IE315" s="663"/>
      <c r="IF315" s="663"/>
      <c r="IG315" s="663"/>
      <c r="IH315" s="663"/>
      <c r="II315" s="663"/>
      <c r="IJ315" s="663"/>
      <c r="IK315" s="663"/>
      <c r="IL315" s="663"/>
      <c r="IM315" s="663"/>
      <c r="IN315" s="663"/>
      <c r="IO315" s="663"/>
      <c r="IP315" s="663"/>
      <c r="IQ315" s="70"/>
    </row>
    <row r="316" spans="10:251" ht="16.5" hidden="1" customHeight="1">
      <c r="J316" s="214"/>
      <c r="R316" s="95"/>
      <c r="S316" s="95"/>
      <c r="T316" s="95"/>
      <c r="U316" s="70"/>
      <c r="V316" s="214"/>
      <c r="W316" s="70"/>
      <c r="X316" s="70"/>
      <c r="Y316" s="70"/>
      <c r="Z316" s="70"/>
      <c r="AA316" s="70"/>
      <c r="AB316" s="70"/>
      <c r="AC316" s="70"/>
      <c r="AD316" s="70"/>
      <c r="AE316" s="70"/>
      <c r="AF316" s="70"/>
      <c r="AG316" s="70"/>
      <c r="AH316" s="70"/>
      <c r="AI316" s="70"/>
      <c r="AJ316" s="70"/>
      <c r="AK316" s="70"/>
      <c r="AL316" s="70"/>
      <c r="AM316" s="70"/>
      <c r="AN316" s="70"/>
      <c r="AO316" s="70"/>
      <c r="AP316" s="70"/>
      <c r="AQ316" s="70"/>
      <c r="AR316" s="70"/>
      <c r="AS316" s="70"/>
      <c r="AT316" s="70"/>
      <c r="AU316" s="70"/>
      <c r="AV316" s="70"/>
      <c r="AW316" s="70"/>
      <c r="AX316" s="70"/>
      <c r="AY316" s="70"/>
      <c r="AZ316" s="70"/>
      <c r="BA316" s="70"/>
      <c r="BB316" s="70"/>
      <c r="BC316" s="70"/>
      <c r="BD316" s="70"/>
      <c r="BE316" s="70"/>
      <c r="BF316" s="70"/>
      <c r="BG316" s="70"/>
      <c r="BH316" s="70"/>
      <c r="BI316" s="70"/>
      <c r="BJ316" s="70"/>
      <c r="BK316" s="70"/>
      <c r="BL316" s="70"/>
      <c r="BM316" s="70"/>
      <c r="BN316" s="70"/>
      <c r="BO316" s="70"/>
      <c r="BP316" s="70"/>
      <c r="BQ316" s="70"/>
      <c r="BR316" s="70"/>
      <c r="BS316" s="70"/>
      <c r="BT316" s="70"/>
      <c r="BU316" s="70"/>
      <c r="BV316" s="70"/>
      <c r="BW316" s="70"/>
      <c r="BX316" s="70"/>
      <c r="BY316" s="70"/>
      <c r="BZ316" s="70"/>
      <c r="CA316" s="70"/>
      <c r="CB316" s="70"/>
      <c r="CC316" s="70"/>
      <c r="CD316" s="70"/>
      <c r="CE316" s="70"/>
      <c r="CF316" s="70"/>
      <c r="CG316" s="70"/>
      <c r="CH316" s="70"/>
      <c r="CI316" s="70"/>
      <c r="CJ316" s="70"/>
      <c r="CK316" s="70"/>
      <c r="CL316" s="70"/>
      <c r="CM316" s="70"/>
      <c r="CN316" s="70"/>
      <c r="CO316" s="70"/>
      <c r="CP316" s="70"/>
      <c r="CQ316" s="70"/>
      <c r="CR316" s="70"/>
      <c r="CS316" s="70"/>
      <c r="CT316" s="70"/>
      <c r="CU316" s="70"/>
      <c r="CV316" s="70"/>
      <c r="CW316" s="70"/>
      <c r="CX316" s="70"/>
      <c r="CY316" s="70"/>
      <c r="CZ316" s="70"/>
      <c r="DA316" s="70"/>
      <c r="DB316" s="70"/>
      <c r="DC316" s="70"/>
      <c r="DD316" s="70"/>
      <c r="DE316" s="70"/>
      <c r="DF316" s="70"/>
      <c r="DG316" s="70"/>
      <c r="DH316" s="70"/>
      <c r="DI316" s="70"/>
      <c r="DJ316" s="70"/>
      <c r="DK316" s="70"/>
      <c r="DL316" s="70"/>
      <c r="DM316" s="70"/>
      <c r="DN316" s="70"/>
      <c r="DO316" s="70"/>
      <c r="DP316" s="70"/>
      <c r="DQ316" s="70"/>
      <c r="DR316" s="70"/>
      <c r="DS316" s="70"/>
      <c r="DT316" s="70"/>
      <c r="DU316" s="70"/>
      <c r="DV316" s="70"/>
      <c r="DW316" s="70"/>
      <c r="DX316" s="70"/>
      <c r="DY316" s="70"/>
      <c r="DZ316" s="70"/>
      <c r="EA316" s="70"/>
      <c r="EB316" s="70"/>
      <c r="EC316" s="70"/>
      <c r="ED316" s="70"/>
      <c r="EE316" s="95" t="s">
        <v>450</v>
      </c>
      <c r="EF316" s="652"/>
      <c r="EG316" s="652"/>
      <c r="EH316" s="652"/>
      <c r="EI316" s="216"/>
      <c r="EJ316" s="663"/>
      <c r="EK316" s="663"/>
      <c r="EL316" s="663"/>
      <c r="EM316" s="663"/>
      <c r="EN316" s="663"/>
      <c r="EO316" s="663"/>
      <c r="EP316" s="663"/>
      <c r="EQ316" s="663"/>
      <c r="ER316" s="663"/>
      <c r="ES316" s="663"/>
      <c r="ET316" s="663"/>
      <c r="EU316" s="663"/>
      <c r="EV316" s="663"/>
      <c r="EW316" s="663"/>
      <c r="EX316" s="663"/>
      <c r="EY316" s="663"/>
      <c r="EZ316" s="663"/>
      <c r="FA316" s="663"/>
      <c r="FB316" s="663"/>
      <c r="FC316" s="663"/>
      <c r="FD316" s="663"/>
      <c r="FE316" s="663"/>
      <c r="FF316" s="663"/>
      <c r="FG316" s="663"/>
      <c r="FH316" s="663"/>
      <c r="FI316" s="663"/>
      <c r="FJ316" s="663"/>
      <c r="FK316" s="663"/>
      <c r="FL316" s="663"/>
      <c r="FM316" s="663"/>
      <c r="FN316" s="663"/>
      <c r="FO316" s="663"/>
      <c r="FP316" s="663"/>
      <c r="FQ316" s="663"/>
      <c r="FR316" s="663"/>
      <c r="FS316" s="663"/>
      <c r="FT316" s="663"/>
      <c r="FU316" s="663"/>
      <c r="FV316" s="663"/>
      <c r="FW316" s="663"/>
      <c r="FX316" s="663"/>
      <c r="FY316" s="663"/>
      <c r="FZ316" s="663"/>
      <c r="GA316" s="663"/>
      <c r="GB316" s="663"/>
      <c r="GC316" s="663"/>
      <c r="GD316" s="663"/>
      <c r="GE316" s="663"/>
      <c r="GF316" s="663"/>
      <c r="GG316" s="663"/>
      <c r="GH316" s="663"/>
      <c r="GI316" s="663"/>
      <c r="GJ316" s="663"/>
      <c r="GK316" s="663"/>
      <c r="GL316" s="663"/>
      <c r="GM316" s="663"/>
      <c r="GN316" s="663"/>
      <c r="GO316" s="663"/>
      <c r="GP316" s="663"/>
      <c r="GQ316" s="663"/>
      <c r="GR316" s="663"/>
      <c r="GS316" s="663"/>
      <c r="GT316" s="663"/>
      <c r="GU316" s="663"/>
      <c r="GV316" s="663"/>
      <c r="GW316" s="663"/>
      <c r="GX316" s="663"/>
      <c r="GY316" s="663"/>
      <c r="GZ316" s="663"/>
      <c r="HA316" s="663"/>
      <c r="HB316" s="663"/>
      <c r="HC316" s="663"/>
      <c r="HD316" s="663"/>
      <c r="HE316" s="663"/>
      <c r="HF316" s="663"/>
      <c r="HG316" s="663"/>
      <c r="HH316" s="663"/>
      <c r="HI316" s="663"/>
      <c r="HJ316" s="663"/>
      <c r="HK316" s="663"/>
      <c r="HL316" s="663"/>
      <c r="HM316" s="663"/>
      <c r="HN316" s="663"/>
      <c r="HO316" s="663"/>
      <c r="HP316" s="663"/>
      <c r="HQ316" s="663"/>
      <c r="HR316" s="663"/>
      <c r="HS316" s="663"/>
      <c r="HT316" s="663"/>
      <c r="HU316" s="663"/>
      <c r="HV316" s="663"/>
      <c r="HW316" s="663"/>
      <c r="HX316" s="663"/>
      <c r="HY316" s="663"/>
      <c r="HZ316" s="663"/>
      <c r="IA316" s="663"/>
      <c r="IB316" s="663"/>
      <c r="IC316" s="663"/>
      <c r="ID316" s="663"/>
      <c r="IE316" s="663"/>
      <c r="IF316" s="663"/>
      <c r="IG316" s="663"/>
      <c r="IH316" s="663"/>
      <c r="II316" s="663"/>
      <c r="IJ316" s="663"/>
      <c r="IK316" s="663"/>
      <c r="IL316" s="663"/>
      <c r="IM316" s="663"/>
      <c r="IN316" s="663"/>
      <c r="IO316" s="663"/>
      <c r="IP316" s="663"/>
      <c r="IQ316" s="70"/>
    </row>
    <row r="317" spans="10:251" ht="16.5" hidden="1" customHeight="1">
      <c r="J317" s="214"/>
      <c r="R317" s="95"/>
      <c r="S317" s="95"/>
      <c r="T317" s="95"/>
      <c r="U317" s="70"/>
      <c r="V317" s="214"/>
      <c r="W317" s="70"/>
      <c r="X317" s="70"/>
      <c r="Y317" s="70"/>
      <c r="Z317" s="70"/>
      <c r="AA317" s="70"/>
      <c r="AB317" s="70"/>
      <c r="AC317" s="70"/>
      <c r="AD317" s="70"/>
      <c r="AE317" s="70"/>
      <c r="AF317" s="70"/>
      <c r="AG317" s="70"/>
      <c r="AH317" s="70"/>
      <c r="AI317" s="70"/>
      <c r="AJ317" s="70"/>
      <c r="AK317" s="70"/>
      <c r="AL317" s="70"/>
      <c r="AM317" s="70"/>
      <c r="AN317" s="70"/>
      <c r="AO317" s="70"/>
      <c r="AP317" s="70"/>
      <c r="AQ317" s="70"/>
      <c r="AR317" s="70"/>
      <c r="AS317" s="70"/>
      <c r="AT317" s="70"/>
      <c r="AU317" s="70"/>
      <c r="AV317" s="70"/>
      <c r="AW317" s="70"/>
      <c r="AX317" s="70"/>
      <c r="AY317" s="70"/>
      <c r="AZ317" s="70"/>
      <c r="BA317" s="70"/>
      <c r="BB317" s="70"/>
      <c r="BC317" s="70"/>
      <c r="BD317" s="70"/>
      <c r="BE317" s="70"/>
      <c r="BF317" s="70"/>
      <c r="BG317" s="70"/>
      <c r="BH317" s="70"/>
      <c r="BI317" s="70"/>
      <c r="BJ317" s="70"/>
      <c r="BK317" s="70"/>
      <c r="BL317" s="70"/>
      <c r="BM317" s="70"/>
      <c r="BN317" s="70"/>
      <c r="BO317" s="70"/>
      <c r="BP317" s="70"/>
      <c r="BQ317" s="70"/>
      <c r="BR317" s="70"/>
      <c r="BS317" s="70"/>
      <c r="BT317" s="70"/>
      <c r="BU317" s="70"/>
      <c r="BV317" s="70"/>
      <c r="BW317" s="70"/>
      <c r="BX317" s="70"/>
      <c r="BY317" s="70"/>
      <c r="BZ317" s="70"/>
      <c r="CA317" s="70"/>
      <c r="CB317" s="70"/>
      <c r="CC317" s="70"/>
      <c r="CD317" s="70"/>
      <c r="CE317" s="70"/>
      <c r="CF317" s="70"/>
      <c r="CG317" s="70"/>
      <c r="CH317" s="70"/>
      <c r="CI317" s="70"/>
      <c r="CJ317" s="70"/>
      <c r="CK317" s="70"/>
      <c r="CL317" s="70"/>
      <c r="CM317" s="70"/>
      <c r="CN317" s="70"/>
      <c r="CO317" s="70"/>
      <c r="CP317" s="70"/>
      <c r="CQ317" s="70"/>
      <c r="CR317" s="70"/>
      <c r="CS317" s="70"/>
      <c r="CT317" s="70"/>
      <c r="CU317" s="70"/>
      <c r="CV317" s="70"/>
      <c r="CW317" s="70"/>
      <c r="CX317" s="70"/>
      <c r="CY317" s="70"/>
      <c r="CZ317" s="70"/>
      <c r="DA317" s="70"/>
      <c r="DB317" s="70"/>
      <c r="DC317" s="70"/>
      <c r="DD317" s="70"/>
      <c r="DE317" s="70"/>
      <c r="DF317" s="70"/>
      <c r="DG317" s="70"/>
      <c r="DH317" s="70"/>
      <c r="DI317" s="70"/>
      <c r="DJ317" s="70"/>
      <c r="DK317" s="70"/>
      <c r="DL317" s="70"/>
      <c r="DM317" s="70"/>
      <c r="DN317" s="70"/>
      <c r="DO317" s="70"/>
      <c r="DP317" s="70"/>
      <c r="DQ317" s="70"/>
      <c r="DR317" s="70"/>
      <c r="DS317" s="70"/>
      <c r="DT317" s="70"/>
      <c r="DU317" s="70"/>
      <c r="DV317" s="70"/>
      <c r="DW317" s="70"/>
      <c r="DX317" s="70"/>
      <c r="DY317" s="70"/>
      <c r="DZ317" s="70"/>
      <c r="EA317" s="70"/>
      <c r="EB317" s="70"/>
      <c r="EC317" s="70"/>
      <c r="ED317" s="70"/>
      <c r="EE317" s="95" t="s">
        <v>450</v>
      </c>
      <c r="EF317" s="652"/>
      <c r="EG317" s="652"/>
      <c r="EH317" s="652"/>
      <c r="EI317" s="216"/>
      <c r="EJ317" s="663"/>
      <c r="EK317" s="663"/>
      <c r="EL317" s="663"/>
      <c r="EM317" s="663"/>
      <c r="EN317" s="663"/>
      <c r="EO317" s="663"/>
      <c r="EP317" s="663"/>
      <c r="EQ317" s="663"/>
      <c r="ER317" s="663"/>
      <c r="ES317" s="663"/>
      <c r="ET317" s="663"/>
      <c r="EU317" s="663"/>
      <c r="EV317" s="663"/>
      <c r="EW317" s="663"/>
      <c r="EX317" s="663"/>
      <c r="EY317" s="663"/>
      <c r="EZ317" s="663"/>
      <c r="FA317" s="663"/>
      <c r="FB317" s="663"/>
      <c r="FC317" s="663"/>
      <c r="FD317" s="663"/>
      <c r="FE317" s="663"/>
      <c r="FF317" s="663"/>
      <c r="FG317" s="663"/>
      <c r="FH317" s="663"/>
      <c r="FI317" s="663"/>
      <c r="FJ317" s="663"/>
      <c r="FK317" s="663"/>
      <c r="FL317" s="663"/>
      <c r="FM317" s="663"/>
      <c r="FN317" s="663"/>
      <c r="FO317" s="663"/>
      <c r="FP317" s="663"/>
      <c r="FQ317" s="663"/>
      <c r="FR317" s="663"/>
      <c r="FS317" s="663"/>
      <c r="FT317" s="663"/>
      <c r="FU317" s="663"/>
      <c r="FV317" s="663"/>
      <c r="FW317" s="663"/>
      <c r="FX317" s="663"/>
      <c r="FY317" s="663"/>
      <c r="FZ317" s="663"/>
      <c r="GA317" s="663"/>
      <c r="GB317" s="663"/>
      <c r="GC317" s="663"/>
      <c r="GD317" s="663"/>
      <c r="GE317" s="663"/>
      <c r="GF317" s="663"/>
      <c r="GG317" s="663"/>
      <c r="GH317" s="663"/>
      <c r="GI317" s="663"/>
      <c r="GJ317" s="663"/>
      <c r="GK317" s="663"/>
      <c r="GL317" s="663"/>
      <c r="GM317" s="663"/>
      <c r="GN317" s="663"/>
      <c r="GO317" s="663"/>
      <c r="GP317" s="663"/>
      <c r="GQ317" s="663"/>
      <c r="GR317" s="663"/>
      <c r="GS317" s="663"/>
      <c r="GT317" s="663"/>
      <c r="GU317" s="663"/>
      <c r="GV317" s="663"/>
      <c r="GW317" s="663"/>
      <c r="GX317" s="663"/>
      <c r="GY317" s="663"/>
      <c r="GZ317" s="663"/>
      <c r="HA317" s="663"/>
      <c r="HB317" s="663"/>
      <c r="HC317" s="663"/>
      <c r="HD317" s="663"/>
      <c r="HE317" s="663"/>
      <c r="HF317" s="663"/>
      <c r="HG317" s="663"/>
      <c r="HH317" s="663"/>
      <c r="HI317" s="663"/>
      <c r="HJ317" s="663"/>
      <c r="HK317" s="663"/>
      <c r="HL317" s="663"/>
      <c r="HM317" s="663"/>
      <c r="HN317" s="663"/>
      <c r="HO317" s="663"/>
      <c r="HP317" s="663"/>
      <c r="HQ317" s="663"/>
      <c r="HR317" s="663"/>
      <c r="HS317" s="663"/>
      <c r="HT317" s="663"/>
      <c r="HU317" s="663"/>
      <c r="HV317" s="663"/>
      <c r="HW317" s="663"/>
      <c r="HX317" s="663"/>
      <c r="HY317" s="663"/>
      <c r="HZ317" s="663"/>
      <c r="IA317" s="663"/>
      <c r="IB317" s="663"/>
      <c r="IC317" s="663"/>
      <c r="ID317" s="663"/>
      <c r="IE317" s="663"/>
      <c r="IF317" s="663"/>
      <c r="IG317" s="663"/>
      <c r="IH317" s="663"/>
      <c r="II317" s="663"/>
      <c r="IJ317" s="663"/>
      <c r="IK317" s="663"/>
      <c r="IL317" s="663"/>
      <c r="IM317" s="663"/>
      <c r="IN317" s="663"/>
      <c r="IO317" s="663"/>
      <c r="IP317" s="663"/>
      <c r="IQ317" s="70"/>
    </row>
    <row r="318" spans="10:251" ht="16.5" hidden="1" customHeight="1">
      <c r="J318" s="214"/>
      <c r="R318" s="95"/>
      <c r="S318" s="95"/>
      <c r="T318" s="95"/>
      <c r="U318" s="70"/>
      <c r="V318" s="214"/>
      <c r="W318" s="70"/>
      <c r="X318" s="70"/>
      <c r="Y318" s="70"/>
      <c r="Z318" s="70"/>
      <c r="AA318" s="70"/>
      <c r="AB318" s="70"/>
      <c r="AC318" s="70"/>
      <c r="AD318" s="70"/>
      <c r="AE318" s="70"/>
      <c r="AF318" s="70"/>
      <c r="AG318" s="70"/>
      <c r="AH318" s="70"/>
      <c r="AI318" s="70"/>
      <c r="AJ318" s="70"/>
      <c r="AK318" s="70"/>
      <c r="AL318" s="70"/>
      <c r="AM318" s="70"/>
      <c r="AN318" s="70"/>
      <c r="AO318" s="70"/>
      <c r="AP318" s="70"/>
      <c r="AQ318" s="70"/>
      <c r="AR318" s="70"/>
      <c r="AS318" s="70"/>
      <c r="AT318" s="70"/>
      <c r="AU318" s="70"/>
      <c r="AV318" s="70"/>
      <c r="AW318" s="70"/>
      <c r="AX318" s="70"/>
      <c r="AY318" s="70"/>
      <c r="AZ318" s="70"/>
      <c r="BA318" s="70"/>
      <c r="BB318" s="70"/>
      <c r="BC318" s="70"/>
      <c r="BD318" s="70"/>
      <c r="BE318" s="70"/>
      <c r="BF318" s="70"/>
      <c r="BG318" s="70"/>
      <c r="BH318" s="70"/>
      <c r="BI318" s="70"/>
      <c r="BJ318" s="70"/>
      <c r="BK318" s="70"/>
      <c r="BL318" s="70"/>
      <c r="BM318" s="70"/>
      <c r="BN318" s="70"/>
      <c r="BO318" s="70"/>
      <c r="BP318" s="70"/>
      <c r="BQ318" s="70"/>
      <c r="BR318" s="70"/>
      <c r="BS318" s="70"/>
      <c r="BT318" s="70"/>
      <c r="BU318" s="70"/>
      <c r="BV318" s="70"/>
      <c r="BW318" s="70"/>
      <c r="BX318" s="70"/>
      <c r="BY318" s="70"/>
      <c r="BZ318" s="70"/>
      <c r="CA318" s="70"/>
      <c r="CB318" s="70"/>
      <c r="CC318" s="70"/>
      <c r="CD318" s="70"/>
      <c r="CE318" s="70"/>
      <c r="CF318" s="70"/>
      <c r="CG318" s="70"/>
      <c r="CH318" s="70"/>
      <c r="CI318" s="70"/>
      <c r="CJ318" s="70"/>
      <c r="CK318" s="70"/>
      <c r="CL318" s="70"/>
      <c r="CM318" s="70"/>
      <c r="CN318" s="70"/>
      <c r="CO318" s="70"/>
      <c r="CP318" s="70"/>
      <c r="CQ318" s="70"/>
      <c r="CR318" s="70"/>
      <c r="CS318" s="70"/>
      <c r="CT318" s="70"/>
      <c r="CU318" s="70"/>
      <c r="CV318" s="70"/>
      <c r="CW318" s="70"/>
      <c r="CX318" s="70"/>
      <c r="CY318" s="70"/>
      <c r="CZ318" s="70"/>
      <c r="DA318" s="70"/>
      <c r="DB318" s="70"/>
      <c r="DC318" s="70"/>
      <c r="DD318" s="70"/>
      <c r="DE318" s="70"/>
      <c r="DF318" s="70"/>
      <c r="DG318" s="70"/>
      <c r="DH318" s="70"/>
      <c r="DI318" s="70"/>
      <c r="DJ318" s="70"/>
      <c r="DK318" s="70"/>
      <c r="DL318" s="70"/>
      <c r="DM318" s="70"/>
      <c r="DN318" s="70"/>
      <c r="DO318" s="70"/>
      <c r="DP318" s="70"/>
      <c r="DQ318" s="70"/>
      <c r="DR318" s="70"/>
      <c r="DS318" s="70"/>
      <c r="DT318" s="70"/>
      <c r="DU318" s="70"/>
      <c r="DV318" s="70"/>
      <c r="DW318" s="70"/>
      <c r="DX318" s="70"/>
      <c r="DY318" s="70"/>
      <c r="DZ318" s="70"/>
      <c r="EA318" s="70"/>
      <c r="EB318" s="70"/>
      <c r="EC318" s="70"/>
      <c r="ED318" s="70"/>
      <c r="EE318" s="95" t="s">
        <v>450</v>
      </c>
      <c r="EF318" s="652"/>
      <c r="EG318" s="652"/>
      <c r="EH318" s="652"/>
      <c r="EI318" s="216"/>
      <c r="EJ318" s="663"/>
      <c r="EK318" s="663"/>
      <c r="EL318" s="663"/>
      <c r="EM318" s="663"/>
      <c r="EN318" s="663"/>
      <c r="EO318" s="663"/>
      <c r="EP318" s="663"/>
      <c r="EQ318" s="663"/>
      <c r="ER318" s="663"/>
      <c r="ES318" s="663"/>
      <c r="ET318" s="663"/>
      <c r="EU318" s="663"/>
      <c r="EV318" s="663"/>
      <c r="EW318" s="663"/>
      <c r="EX318" s="663"/>
      <c r="EY318" s="663"/>
      <c r="EZ318" s="663"/>
      <c r="FA318" s="663"/>
      <c r="FB318" s="663"/>
      <c r="FC318" s="663"/>
      <c r="FD318" s="663"/>
      <c r="FE318" s="663"/>
      <c r="FF318" s="663"/>
      <c r="FG318" s="663"/>
      <c r="FH318" s="663"/>
      <c r="FI318" s="663"/>
      <c r="FJ318" s="663"/>
      <c r="FK318" s="663"/>
      <c r="FL318" s="663"/>
      <c r="FM318" s="663"/>
      <c r="FN318" s="663"/>
      <c r="FO318" s="663"/>
      <c r="FP318" s="663"/>
      <c r="FQ318" s="663"/>
      <c r="FR318" s="663"/>
      <c r="FS318" s="663"/>
      <c r="FT318" s="663"/>
      <c r="FU318" s="663"/>
      <c r="FV318" s="663"/>
      <c r="FW318" s="663"/>
      <c r="FX318" s="663"/>
      <c r="FY318" s="663"/>
      <c r="FZ318" s="663"/>
      <c r="GA318" s="663"/>
      <c r="GB318" s="663"/>
      <c r="GC318" s="663"/>
      <c r="GD318" s="663"/>
      <c r="GE318" s="663"/>
      <c r="GF318" s="663"/>
      <c r="GG318" s="663"/>
      <c r="GH318" s="663"/>
      <c r="GI318" s="663"/>
      <c r="GJ318" s="663"/>
      <c r="GK318" s="663"/>
      <c r="GL318" s="663"/>
      <c r="GM318" s="663"/>
      <c r="GN318" s="663"/>
      <c r="GO318" s="663"/>
      <c r="GP318" s="663"/>
      <c r="GQ318" s="663"/>
      <c r="GR318" s="663"/>
      <c r="GS318" s="663"/>
      <c r="GT318" s="663"/>
      <c r="GU318" s="663"/>
      <c r="GV318" s="663"/>
      <c r="GW318" s="663"/>
      <c r="GX318" s="663"/>
      <c r="GY318" s="663"/>
      <c r="GZ318" s="663"/>
      <c r="HA318" s="663"/>
      <c r="HB318" s="663"/>
      <c r="HC318" s="663"/>
      <c r="HD318" s="663"/>
      <c r="HE318" s="663"/>
      <c r="HF318" s="663"/>
      <c r="HG318" s="663"/>
      <c r="HH318" s="663"/>
      <c r="HI318" s="663"/>
      <c r="HJ318" s="663"/>
      <c r="HK318" s="663"/>
      <c r="HL318" s="663"/>
      <c r="HM318" s="663"/>
      <c r="HN318" s="663"/>
      <c r="HO318" s="663"/>
      <c r="HP318" s="663"/>
      <c r="HQ318" s="663"/>
      <c r="HR318" s="663"/>
      <c r="HS318" s="663"/>
      <c r="HT318" s="663"/>
      <c r="HU318" s="663"/>
      <c r="HV318" s="663"/>
      <c r="HW318" s="663"/>
      <c r="HX318" s="663"/>
      <c r="HY318" s="663"/>
      <c r="HZ318" s="663"/>
      <c r="IA318" s="663"/>
      <c r="IB318" s="663"/>
      <c r="IC318" s="663"/>
      <c r="ID318" s="663"/>
      <c r="IE318" s="663"/>
      <c r="IF318" s="663"/>
      <c r="IG318" s="663"/>
      <c r="IH318" s="663"/>
      <c r="II318" s="663"/>
      <c r="IJ318" s="663"/>
      <c r="IK318" s="663"/>
      <c r="IL318" s="663"/>
      <c r="IM318" s="663"/>
      <c r="IN318" s="663"/>
      <c r="IO318" s="663"/>
      <c r="IP318" s="663"/>
      <c r="IQ318" s="70"/>
    </row>
    <row r="319" spans="10:251" ht="16.5" hidden="1" customHeight="1">
      <c r="J319" s="214"/>
      <c r="R319" s="95"/>
      <c r="S319" s="95"/>
      <c r="T319" s="95"/>
      <c r="U319" s="70"/>
      <c r="V319" s="214"/>
      <c r="W319" s="70"/>
      <c r="X319" s="70"/>
      <c r="Y319" s="70"/>
      <c r="Z319" s="70"/>
      <c r="AA319" s="70"/>
      <c r="AB319" s="70"/>
      <c r="AC319" s="70"/>
      <c r="AD319" s="70"/>
      <c r="AE319" s="70"/>
      <c r="AF319" s="70"/>
      <c r="AG319" s="70"/>
      <c r="AH319" s="70"/>
      <c r="AI319" s="70"/>
      <c r="AJ319" s="70"/>
      <c r="AK319" s="70"/>
      <c r="AL319" s="70"/>
      <c r="AM319" s="70"/>
      <c r="AN319" s="70"/>
      <c r="AO319" s="70"/>
      <c r="AP319" s="70"/>
      <c r="AQ319" s="70"/>
      <c r="AR319" s="70"/>
      <c r="AS319" s="70"/>
      <c r="AT319" s="70"/>
      <c r="AU319" s="70"/>
      <c r="AV319" s="70"/>
      <c r="AW319" s="70"/>
      <c r="AX319" s="70"/>
      <c r="AY319" s="70"/>
      <c r="AZ319" s="70"/>
      <c r="BA319" s="70"/>
      <c r="BB319" s="70"/>
      <c r="BC319" s="70"/>
      <c r="BD319" s="70"/>
      <c r="BE319" s="70"/>
      <c r="BF319" s="70"/>
      <c r="BG319" s="70"/>
      <c r="BH319" s="70"/>
      <c r="BI319" s="70"/>
      <c r="BJ319" s="70"/>
      <c r="BK319" s="70"/>
      <c r="BL319" s="70"/>
      <c r="BM319" s="70"/>
      <c r="BN319" s="70"/>
      <c r="BO319" s="70"/>
      <c r="BP319" s="70"/>
      <c r="BQ319" s="70"/>
      <c r="BR319" s="70"/>
      <c r="BS319" s="70"/>
      <c r="BT319" s="70"/>
      <c r="BU319" s="70"/>
      <c r="BV319" s="70"/>
      <c r="BW319" s="70"/>
      <c r="BX319" s="70"/>
      <c r="BY319" s="70"/>
      <c r="BZ319" s="70"/>
      <c r="CA319" s="70"/>
      <c r="CB319" s="70"/>
      <c r="CC319" s="70"/>
      <c r="CD319" s="70"/>
      <c r="CE319" s="70"/>
      <c r="CF319" s="70"/>
      <c r="CG319" s="70"/>
      <c r="CH319" s="70"/>
      <c r="CI319" s="70"/>
      <c r="CJ319" s="70"/>
      <c r="CK319" s="70"/>
      <c r="CL319" s="70"/>
      <c r="CM319" s="70"/>
      <c r="CN319" s="70"/>
      <c r="CO319" s="70"/>
      <c r="CP319" s="70"/>
      <c r="CQ319" s="70"/>
      <c r="CR319" s="70"/>
      <c r="CS319" s="70"/>
      <c r="CT319" s="70"/>
      <c r="CU319" s="70"/>
      <c r="CV319" s="70"/>
      <c r="CW319" s="70"/>
      <c r="CX319" s="70"/>
      <c r="CY319" s="70"/>
      <c r="CZ319" s="70"/>
      <c r="DA319" s="70"/>
      <c r="DB319" s="70"/>
      <c r="DC319" s="70"/>
      <c r="DD319" s="70"/>
      <c r="DE319" s="70"/>
      <c r="DF319" s="70"/>
      <c r="DG319" s="70"/>
      <c r="DH319" s="70"/>
      <c r="DI319" s="70"/>
      <c r="DJ319" s="70"/>
      <c r="DK319" s="70"/>
      <c r="DL319" s="70"/>
      <c r="DM319" s="70"/>
      <c r="DN319" s="70"/>
      <c r="DO319" s="70"/>
      <c r="DP319" s="70"/>
      <c r="DQ319" s="70"/>
      <c r="DR319" s="70"/>
      <c r="DS319" s="70"/>
      <c r="DT319" s="70"/>
      <c r="DU319" s="70"/>
      <c r="DV319" s="70"/>
      <c r="DW319" s="70"/>
      <c r="DX319" s="70"/>
      <c r="DY319" s="70"/>
      <c r="DZ319" s="70"/>
      <c r="EA319" s="70"/>
      <c r="EB319" s="70"/>
      <c r="EC319" s="70"/>
      <c r="ED319" s="70"/>
      <c r="EE319" s="95" t="s">
        <v>450</v>
      </c>
      <c r="EF319" s="652"/>
      <c r="EG319" s="652"/>
      <c r="EH319" s="652"/>
      <c r="EI319" s="216"/>
      <c r="EJ319" s="663"/>
      <c r="EK319" s="663"/>
      <c r="EL319" s="663"/>
      <c r="EM319" s="663"/>
      <c r="EN319" s="663"/>
      <c r="EO319" s="663"/>
      <c r="EP319" s="663"/>
      <c r="EQ319" s="663"/>
      <c r="ER319" s="663"/>
      <c r="ES319" s="663"/>
      <c r="ET319" s="663"/>
      <c r="EU319" s="663"/>
      <c r="EV319" s="663"/>
      <c r="EW319" s="663"/>
      <c r="EX319" s="663"/>
      <c r="EY319" s="663"/>
      <c r="EZ319" s="663"/>
      <c r="FA319" s="663"/>
      <c r="FB319" s="663"/>
      <c r="FC319" s="663"/>
      <c r="FD319" s="663"/>
      <c r="FE319" s="663"/>
      <c r="FF319" s="663"/>
      <c r="FG319" s="663"/>
      <c r="FH319" s="663"/>
      <c r="FI319" s="663"/>
      <c r="FJ319" s="663"/>
      <c r="FK319" s="663"/>
      <c r="FL319" s="663"/>
      <c r="FM319" s="663"/>
      <c r="FN319" s="663"/>
      <c r="FO319" s="663"/>
      <c r="FP319" s="663"/>
      <c r="FQ319" s="663"/>
      <c r="FR319" s="663"/>
      <c r="FS319" s="663"/>
      <c r="FT319" s="663"/>
      <c r="FU319" s="663"/>
      <c r="FV319" s="663"/>
      <c r="FW319" s="663"/>
      <c r="FX319" s="663"/>
      <c r="FY319" s="663"/>
      <c r="FZ319" s="663"/>
      <c r="GA319" s="663"/>
      <c r="GB319" s="663"/>
      <c r="GC319" s="663"/>
      <c r="GD319" s="663"/>
      <c r="GE319" s="663"/>
      <c r="GF319" s="663"/>
      <c r="GG319" s="663"/>
      <c r="GH319" s="663"/>
      <c r="GI319" s="663"/>
      <c r="GJ319" s="663"/>
      <c r="GK319" s="663"/>
      <c r="GL319" s="663"/>
      <c r="GM319" s="663"/>
      <c r="GN319" s="663"/>
      <c r="GO319" s="663"/>
      <c r="GP319" s="663"/>
      <c r="GQ319" s="663"/>
      <c r="GR319" s="663"/>
      <c r="GS319" s="663"/>
      <c r="GT319" s="663"/>
      <c r="GU319" s="663"/>
      <c r="GV319" s="663"/>
      <c r="GW319" s="663"/>
      <c r="GX319" s="663"/>
      <c r="GY319" s="663"/>
      <c r="GZ319" s="663"/>
      <c r="HA319" s="663"/>
      <c r="HB319" s="663"/>
      <c r="HC319" s="663"/>
      <c r="HD319" s="663"/>
      <c r="HE319" s="663"/>
      <c r="HF319" s="663"/>
      <c r="HG319" s="663"/>
      <c r="HH319" s="663"/>
      <c r="HI319" s="663"/>
      <c r="HJ319" s="663"/>
      <c r="HK319" s="663"/>
      <c r="HL319" s="663"/>
      <c r="HM319" s="663"/>
      <c r="HN319" s="663"/>
      <c r="HO319" s="663"/>
      <c r="HP319" s="663"/>
      <c r="HQ319" s="663"/>
      <c r="HR319" s="663"/>
      <c r="HS319" s="663"/>
      <c r="HT319" s="663"/>
      <c r="HU319" s="663"/>
      <c r="HV319" s="663"/>
      <c r="HW319" s="663"/>
      <c r="HX319" s="663"/>
      <c r="HY319" s="663"/>
      <c r="HZ319" s="663"/>
      <c r="IA319" s="663"/>
      <c r="IB319" s="663"/>
      <c r="IC319" s="663"/>
      <c r="ID319" s="663"/>
      <c r="IE319" s="663"/>
      <c r="IF319" s="663"/>
      <c r="IG319" s="663"/>
      <c r="IH319" s="663"/>
      <c r="II319" s="663"/>
      <c r="IJ319" s="663"/>
      <c r="IK319" s="663"/>
      <c r="IL319" s="663"/>
      <c r="IM319" s="663"/>
      <c r="IN319" s="663"/>
      <c r="IO319" s="663"/>
      <c r="IP319" s="663"/>
      <c r="IQ319" s="70"/>
    </row>
    <row r="320" spans="10:251" ht="16.5" hidden="1" customHeight="1">
      <c r="J320" s="214"/>
      <c r="R320" s="95"/>
      <c r="S320" s="95"/>
      <c r="T320" s="95"/>
      <c r="U320" s="70"/>
      <c r="V320" s="214"/>
      <c r="W320" s="70"/>
      <c r="X320" s="70"/>
      <c r="Y320" s="70"/>
      <c r="Z320" s="70"/>
      <c r="AA320" s="70"/>
      <c r="AB320" s="70"/>
      <c r="AC320" s="70"/>
      <c r="AD320" s="70"/>
      <c r="AE320" s="70"/>
      <c r="AF320" s="70"/>
      <c r="AG320" s="70"/>
      <c r="AH320" s="70"/>
      <c r="AI320" s="70"/>
      <c r="AJ320" s="70"/>
      <c r="AK320" s="70"/>
      <c r="AL320" s="70"/>
      <c r="AM320" s="70"/>
      <c r="AN320" s="70"/>
      <c r="AO320" s="70"/>
      <c r="AP320" s="70"/>
      <c r="AQ320" s="70"/>
      <c r="AR320" s="70"/>
      <c r="AS320" s="70"/>
      <c r="AT320" s="70"/>
      <c r="AU320" s="70"/>
      <c r="AV320" s="70"/>
      <c r="AW320" s="70"/>
      <c r="AX320" s="70"/>
      <c r="AY320" s="70"/>
      <c r="AZ320" s="70"/>
      <c r="BA320" s="70"/>
      <c r="BB320" s="70"/>
      <c r="BC320" s="70"/>
      <c r="BD320" s="70"/>
      <c r="BE320" s="70"/>
      <c r="BF320" s="70"/>
      <c r="BG320" s="70"/>
      <c r="BH320" s="70"/>
      <c r="BI320" s="70"/>
      <c r="BJ320" s="70"/>
      <c r="BK320" s="70"/>
      <c r="BL320" s="70"/>
      <c r="BM320" s="70"/>
      <c r="BN320" s="70"/>
      <c r="BO320" s="70"/>
      <c r="BP320" s="70"/>
      <c r="BQ320" s="70"/>
      <c r="BR320" s="70"/>
      <c r="BS320" s="70"/>
      <c r="BT320" s="70"/>
      <c r="BU320" s="70"/>
      <c r="BV320" s="70"/>
      <c r="BW320" s="70"/>
      <c r="BX320" s="70"/>
      <c r="BY320" s="70"/>
      <c r="BZ320" s="70"/>
      <c r="CA320" s="70"/>
      <c r="CB320" s="70"/>
      <c r="CC320" s="70"/>
      <c r="CD320" s="70"/>
      <c r="CE320" s="70"/>
      <c r="CF320" s="70"/>
      <c r="CG320" s="70"/>
      <c r="CH320" s="70"/>
      <c r="CI320" s="70"/>
      <c r="CJ320" s="70"/>
      <c r="CK320" s="70"/>
      <c r="CL320" s="70"/>
      <c r="CM320" s="70"/>
      <c r="CN320" s="70"/>
      <c r="CO320" s="70"/>
      <c r="CP320" s="70"/>
      <c r="CQ320" s="70"/>
      <c r="CR320" s="70"/>
      <c r="CS320" s="70"/>
      <c r="CT320" s="70"/>
      <c r="CU320" s="70"/>
      <c r="CV320" s="70"/>
      <c r="CW320" s="70"/>
      <c r="CX320" s="70"/>
      <c r="CY320" s="70"/>
      <c r="CZ320" s="70"/>
      <c r="DA320" s="70"/>
      <c r="DB320" s="70"/>
      <c r="DC320" s="70"/>
      <c r="DD320" s="70"/>
      <c r="DE320" s="70"/>
      <c r="DF320" s="70"/>
      <c r="DG320" s="70"/>
      <c r="DH320" s="70"/>
      <c r="DI320" s="70"/>
      <c r="DJ320" s="70"/>
      <c r="DK320" s="70"/>
      <c r="DL320" s="70"/>
      <c r="DM320" s="70"/>
      <c r="DN320" s="70"/>
      <c r="DO320" s="70"/>
      <c r="DP320" s="70"/>
      <c r="DQ320" s="70"/>
      <c r="DR320" s="70"/>
      <c r="DS320" s="70"/>
      <c r="DT320" s="70"/>
      <c r="DU320" s="70"/>
      <c r="DV320" s="70"/>
      <c r="DW320" s="70"/>
      <c r="DX320" s="70"/>
      <c r="DY320" s="70"/>
      <c r="DZ320" s="70"/>
      <c r="EA320" s="70"/>
      <c r="EB320" s="70"/>
      <c r="EC320" s="70"/>
      <c r="ED320" s="70"/>
      <c r="EE320" s="95" t="s">
        <v>450</v>
      </c>
      <c r="EF320" s="652"/>
      <c r="EG320" s="652"/>
      <c r="EH320" s="652"/>
      <c r="EI320" s="216"/>
      <c r="EJ320" s="663"/>
      <c r="EK320" s="663"/>
      <c r="EL320" s="663"/>
      <c r="EM320" s="663"/>
      <c r="EN320" s="663"/>
      <c r="EO320" s="663"/>
      <c r="EP320" s="663"/>
      <c r="EQ320" s="663"/>
      <c r="ER320" s="663"/>
      <c r="ES320" s="663"/>
      <c r="ET320" s="663"/>
      <c r="EU320" s="663"/>
      <c r="EV320" s="663"/>
      <c r="EW320" s="663"/>
      <c r="EX320" s="663"/>
      <c r="EY320" s="663"/>
      <c r="EZ320" s="663"/>
      <c r="FA320" s="663"/>
      <c r="FB320" s="663"/>
      <c r="FC320" s="663"/>
      <c r="FD320" s="663"/>
      <c r="FE320" s="663"/>
      <c r="FF320" s="663"/>
      <c r="FG320" s="663"/>
      <c r="FH320" s="663"/>
      <c r="FI320" s="663"/>
      <c r="FJ320" s="663"/>
      <c r="FK320" s="663"/>
      <c r="FL320" s="663"/>
      <c r="FM320" s="663"/>
      <c r="FN320" s="663"/>
      <c r="FO320" s="663"/>
      <c r="FP320" s="663"/>
      <c r="FQ320" s="663"/>
      <c r="FR320" s="663"/>
      <c r="FS320" s="663"/>
      <c r="FT320" s="663"/>
      <c r="FU320" s="663"/>
      <c r="FV320" s="663"/>
      <c r="FW320" s="663"/>
      <c r="FX320" s="663"/>
      <c r="FY320" s="663"/>
      <c r="FZ320" s="663"/>
      <c r="GA320" s="663"/>
      <c r="GB320" s="663"/>
      <c r="GC320" s="663"/>
      <c r="GD320" s="663"/>
      <c r="GE320" s="663"/>
      <c r="GF320" s="663"/>
      <c r="GG320" s="663"/>
      <c r="GH320" s="663"/>
      <c r="GI320" s="663"/>
      <c r="GJ320" s="663"/>
      <c r="GK320" s="663"/>
      <c r="GL320" s="663"/>
      <c r="GM320" s="663"/>
      <c r="GN320" s="663"/>
      <c r="GO320" s="663"/>
      <c r="GP320" s="663"/>
      <c r="GQ320" s="663"/>
      <c r="GR320" s="663"/>
      <c r="GS320" s="663"/>
      <c r="GT320" s="663"/>
      <c r="GU320" s="663"/>
      <c r="GV320" s="663"/>
      <c r="GW320" s="663"/>
      <c r="GX320" s="663"/>
      <c r="GY320" s="663"/>
      <c r="GZ320" s="663"/>
      <c r="HA320" s="663"/>
      <c r="HB320" s="663"/>
      <c r="HC320" s="663"/>
      <c r="HD320" s="663"/>
      <c r="HE320" s="663"/>
      <c r="HF320" s="663"/>
      <c r="HG320" s="663"/>
      <c r="HH320" s="663"/>
      <c r="HI320" s="663"/>
      <c r="HJ320" s="663"/>
      <c r="HK320" s="663"/>
      <c r="HL320" s="663"/>
      <c r="HM320" s="663"/>
      <c r="HN320" s="663"/>
      <c r="HO320" s="663"/>
      <c r="HP320" s="663"/>
      <c r="HQ320" s="663"/>
      <c r="HR320" s="663"/>
      <c r="HS320" s="663"/>
      <c r="HT320" s="663"/>
      <c r="HU320" s="663"/>
      <c r="HV320" s="663"/>
      <c r="HW320" s="663"/>
      <c r="HX320" s="663"/>
      <c r="HY320" s="663"/>
      <c r="HZ320" s="663"/>
      <c r="IA320" s="663"/>
      <c r="IB320" s="663"/>
      <c r="IC320" s="663"/>
      <c r="ID320" s="663"/>
      <c r="IE320" s="663"/>
      <c r="IF320" s="663"/>
      <c r="IG320" s="663"/>
      <c r="IH320" s="663"/>
      <c r="II320" s="663"/>
      <c r="IJ320" s="663"/>
      <c r="IK320" s="663"/>
      <c r="IL320" s="663"/>
      <c r="IM320" s="663"/>
      <c r="IN320" s="663"/>
      <c r="IO320" s="663"/>
      <c r="IP320" s="663"/>
      <c r="IQ320" s="70"/>
    </row>
    <row r="321" spans="10:251" ht="16.5" hidden="1" customHeight="1">
      <c r="J321" s="214"/>
      <c r="R321" s="95"/>
      <c r="S321" s="95"/>
      <c r="T321" s="95"/>
      <c r="U321" s="70"/>
      <c r="V321" s="214"/>
      <c r="W321" s="70"/>
      <c r="X321" s="70"/>
      <c r="Y321" s="70"/>
      <c r="Z321" s="70"/>
      <c r="AA321" s="70"/>
      <c r="AB321" s="70"/>
      <c r="AC321" s="70"/>
      <c r="AD321" s="70"/>
      <c r="AE321" s="70"/>
      <c r="AF321" s="70"/>
      <c r="AG321" s="70"/>
      <c r="AH321" s="70"/>
      <c r="AI321" s="70"/>
      <c r="AJ321" s="70"/>
      <c r="AK321" s="70"/>
      <c r="AL321" s="70"/>
      <c r="AM321" s="70"/>
      <c r="AN321" s="70"/>
      <c r="AO321" s="70"/>
      <c r="AP321" s="70"/>
      <c r="AQ321" s="70"/>
      <c r="AR321" s="70"/>
      <c r="AS321" s="70"/>
      <c r="AT321" s="70"/>
      <c r="AU321" s="70"/>
      <c r="AV321" s="70"/>
      <c r="AW321" s="70"/>
      <c r="AX321" s="70"/>
      <c r="AY321" s="70"/>
      <c r="AZ321" s="70"/>
      <c r="BA321" s="70"/>
      <c r="BB321" s="70"/>
      <c r="BC321" s="70"/>
      <c r="BD321" s="70"/>
      <c r="BE321" s="70"/>
      <c r="BF321" s="70"/>
      <c r="BG321" s="70"/>
      <c r="BH321" s="70"/>
      <c r="BI321" s="70"/>
      <c r="BJ321" s="70"/>
      <c r="BK321" s="70"/>
      <c r="BL321" s="70"/>
      <c r="BM321" s="70"/>
      <c r="BN321" s="70"/>
      <c r="BO321" s="70"/>
      <c r="BP321" s="70"/>
      <c r="BQ321" s="70"/>
      <c r="BR321" s="70"/>
      <c r="BS321" s="70"/>
      <c r="BT321" s="70"/>
      <c r="BU321" s="70"/>
      <c r="BV321" s="70"/>
      <c r="BW321" s="70"/>
      <c r="BX321" s="70"/>
      <c r="BY321" s="70"/>
      <c r="BZ321" s="70"/>
      <c r="CA321" s="70"/>
      <c r="CB321" s="70"/>
      <c r="CC321" s="70"/>
      <c r="CD321" s="70"/>
      <c r="CE321" s="70"/>
      <c r="CF321" s="70"/>
      <c r="CG321" s="70"/>
      <c r="CH321" s="70"/>
      <c r="CI321" s="70"/>
      <c r="CJ321" s="70"/>
      <c r="CK321" s="70"/>
      <c r="CL321" s="70"/>
      <c r="CM321" s="70"/>
      <c r="CN321" s="70"/>
      <c r="CO321" s="70"/>
      <c r="CP321" s="70"/>
      <c r="CQ321" s="70"/>
      <c r="CR321" s="70"/>
      <c r="CS321" s="70"/>
      <c r="CT321" s="70"/>
      <c r="CU321" s="70"/>
      <c r="CV321" s="70"/>
      <c r="CW321" s="70"/>
      <c r="CX321" s="70"/>
      <c r="CY321" s="70"/>
      <c r="CZ321" s="70"/>
      <c r="DA321" s="70"/>
      <c r="DB321" s="70"/>
      <c r="DC321" s="70"/>
      <c r="DD321" s="70"/>
      <c r="DE321" s="70"/>
      <c r="DF321" s="70"/>
      <c r="DG321" s="70"/>
      <c r="DH321" s="70"/>
      <c r="DI321" s="70"/>
      <c r="DJ321" s="70"/>
      <c r="DK321" s="70"/>
      <c r="DL321" s="70"/>
      <c r="DM321" s="70"/>
      <c r="DN321" s="70"/>
      <c r="DO321" s="70"/>
      <c r="DP321" s="70"/>
      <c r="DQ321" s="70"/>
      <c r="DR321" s="70"/>
      <c r="DS321" s="70"/>
      <c r="DT321" s="70"/>
      <c r="DU321" s="70"/>
      <c r="DV321" s="70"/>
      <c r="DW321" s="70"/>
      <c r="DX321" s="70"/>
      <c r="DY321" s="70"/>
      <c r="DZ321" s="70"/>
      <c r="EA321" s="70"/>
      <c r="EB321" s="70"/>
      <c r="EC321" s="70"/>
      <c r="ED321" s="70"/>
      <c r="EE321" s="95" t="s">
        <v>450</v>
      </c>
      <c r="EF321" s="652"/>
      <c r="EG321" s="652"/>
      <c r="EH321" s="652"/>
      <c r="EI321" s="216"/>
      <c r="EJ321" s="663"/>
      <c r="EK321" s="663"/>
      <c r="EL321" s="663"/>
      <c r="EM321" s="663"/>
      <c r="EN321" s="663"/>
      <c r="EO321" s="663"/>
      <c r="EP321" s="663"/>
      <c r="EQ321" s="663"/>
      <c r="ER321" s="663"/>
      <c r="ES321" s="663"/>
      <c r="ET321" s="663"/>
      <c r="EU321" s="663"/>
      <c r="EV321" s="663"/>
      <c r="EW321" s="663"/>
      <c r="EX321" s="663"/>
      <c r="EY321" s="663"/>
      <c r="EZ321" s="663"/>
      <c r="FA321" s="663"/>
      <c r="FB321" s="663"/>
      <c r="FC321" s="663"/>
      <c r="FD321" s="663"/>
      <c r="FE321" s="663"/>
      <c r="FF321" s="663"/>
      <c r="FG321" s="663"/>
      <c r="FH321" s="663"/>
      <c r="FI321" s="663"/>
      <c r="FJ321" s="663"/>
      <c r="FK321" s="663"/>
      <c r="FL321" s="663"/>
      <c r="FM321" s="663"/>
      <c r="FN321" s="663"/>
      <c r="FO321" s="663"/>
      <c r="FP321" s="663"/>
      <c r="FQ321" s="663"/>
      <c r="FR321" s="663"/>
      <c r="FS321" s="663"/>
      <c r="FT321" s="663"/>
      <c r="FU321" s="663"/>
      <c r="FV321" s="663"/>
      <c r="FW321" s="663"/>
      <c r="FX321" s="663"/>
      <c r="FY321" s="663"/>
      <c r="FZ321" s="663"/>
      <c r="GA321" s="663"/>
      <c r="GB321" s="663"/>
      <c r="GC321" s="663"/>
      <c r="GD321" s="663"/>
      <c r="GE321" s="663"/>
      <c r="GF321" s="663"/>
      <c r="GG321" s="663"/>
      <c r="GH321" s="663"/>
      <c r="GI321" s="663"/>
      <c r="GJ321" s="663"/>
      <c r="GK321" s="663"/>
      <c r="GL321" s="663"/>
      <c r="GM321" s="663"/>
      <c r="GN321" s="663"/>
      <c r="GO321" s="663"/>
      <c r="GP321" s="663"/>
      <c r="GQ321" s="663"/>
      <c r="GR321" s="663"/>
      <c r="GS321" s="663"/>
      <c r="GT321" s="663"/>
      <c r="GU321" s="663"/>
      <c r="GV321" s="663"/>
      <c r="GW321" s="663"/>
      <c r="GX321" s="663"/>
      <c r="GY321" s="663"/>
      <c r="GZ321" s="663"/>
      <c r="HA321" s="663"/>
      <c r="HB321" s="663"/>
      <c r="HC321" s="663"/>
      <c r="HD321" s="663"/>
      <c r="HE321" s="663"/>
      <c r="HF321" s="663"/>
      <c r="HG321" s="663"/>
      <c r="HH321" s="663"/>
      <c r="HI321" s="663"/>
      <c r="HJ321" s="663"/>
      <c r="HK321" s="663"/>
      <c r="HL321" s="663"/>
      <c r="HM321" s="663"/>
      <c r="HN321" s="663"/>
      <c r="HO321" s="663"/>
      <c r="HP321" s="663"/>
      <c r="HQ321" s="663"/>
      <c r="HR321" s="663"/>
      <c r="HS321" s="663"/>
      <c r="HT321" s="663"/>
      <c r="HU321" s="663"/>
      <c r="HV321" s="663"/>
      <c r="HW321" s="663"/>
      <c r="HX321" s="663"/>
      <c r="HY321" s="663"/>
      <c r="HZ321" s="663"/>
      <c r="IA321" s="663"/>
      <c r="IB321" s="663"/>
      <c r="IC321" s="663"/>
      <c r="ID321" s="663"/>
      <c r="IE321" s="663"/>
      <c r="IF321" s="663"/>
      <c r="IG321" s="663"/>
      <c r="IH321" s="663"/>
      <c r="II321" s="663"/>
      <c r="IJ321" s="663"/>
      <c r="IK321" s="663"/>
      <c r="IL321" s="663"/>
      <c r="IM321" s="663"/>
      <c r="IN321" s="663"/>
      <c r="IO321" s="663"/>
      <c r="IP321" s="663"/>
      <c r="IQ321" s="70"/>
    </row>
    <row r="322" spans="10:251" ht="16.5" hidden="1" customHeight="1">
      <c r="J322" s="214"/>
      <c r="R322" s="95"/>
      <c r="S322" s="95"/>
      <c r="T322" s="95"/>
      <c r="U322" s="70"/>
      <c r="V322" s="214"/>
      <c r="W322" s="70"/>
      <c r="X322" s="70"/>
      <c r="Y322" s="70"/>
      <c r="Z322" s="70"/>
      <c r="AA322" s="70"/>
      <c r="AB322" s="70"/>
      <c r="AC322" s="70"/>
      <c r="AD322" s="70"/>
      <c r="AE322" s="70"/>
      <c r="AF322" s="70"/>
      <c r="AG322" s="70"/>
      <c r="AH322" s="70"/>
      <c r="AI322" s="70"/>
      <c r="AJ322" s="70"/>
      <c r="AK322" s="70"/>
      <c r="AL322" s="70"/>
      <c r="AM322" s="70"/>
      <c r="AN322" s="70"/>
      <c r="AO322" s="70"/>
      <c r="AP322" s="70"/>
      <c r="AQ322" s="70"/>
      <c r="AR322" s="70"/>
      <c r="AS322" s="70"/>
      <c r="AT322" s="70"/>
      <c r="AU322" s="70"/>
      <c r="AV322" s="70"/>
      <c r="AW322" s="70"/>
      <c r="AX322" s="70"/>
      <c r="AY322" s="70"/>
      <c r="AZ322" s="70"/>
      <c r="BA322" s="70"/>
      <c r="BB322" s="70"/>
      <c r="BC322" s="70"/>
      <c r="BD322" s="70"/>
      <c r="BE322" s="70"/>
      <c r="BF322" s="70"/>
      <c r="BG322" s="70"/>
      <c r="BH322" s="70"/>
      <c r="BI322" s="70"/>
      <c r="BJ322" s="70"/>
      <c r="BK322" s="70"/>
      <c r="BL322" s="70"/>
      <c r="BM322" s="70"/>
      <c r="BN322" s="70"/>
      <c r="BO322" s="70"/>
      <c r="BP322" s="70"/>
      <c r="BQ322" s="70"/>
      <c r="BR322" s="70"/>
      <c r="BS322" s="70"/>
      <c r="BT322" s="70"/>
      <c r="BU322" s="70"/>
      <c r="BV322" s="70"/>
      <c r="BW322" s="70"/>
      <c r="BX322" s="70"/>
      <c r="BY322" s="70"/>
      <c r="BZ322" s="70"/>
      <c r="CA322" s="70"/>
      <c r="CB322" s="70"/>
      <c r="CC322" s="70"/>
      <c r="CD322" s="70"/>
      <c r="CE322" s="70"/>
      <c r="CF322" s="70"/>
      <c r="CG322" s="70"/>
      <c r="CH322" s="70"/>
      <c r="CI322" s="70"/>
      <c r="CJ322" s="70"/>
      <c r="CK322" s="70"/>
      <c r="CL322" s="70"/>
      <c r="CM322" s="70"/>
      <c r="CN322" s="70"/>
      <c r="CO322" s="70"/>
      <c r="CP322" s="70"/>
      <c r="CQ322" s="70"/>
      <c r="CR322" s="70"/>
      <c r="CS322" s="70"/>
      <c r="CT322" s="70"/>
      <c r="CU322" s="70"/>
      <c r="CV322" s="70"/>
      <c r="CW322" s="70"/>
      <c r="CX322" s="70"/>
      <c r="CY322" s="70"/>
      <c r="CZ322" s="70"/>
      <c r="DA322" s="70"/>
      <c r="DB322" s="70"/>
      <c r="DC322" s="70"/>
      <c r="DD322" s="70"/>
      <c r="DE322" s="70"/>
      <c r="DF322" s="70"/>
      <c r="DG322" s="70"/>
      <c r="DH322" s="70"/>
      <c r="DI322" s="70"/>
      <c r="DJ322" s="70"/>
      <c r="DK322" s="70"/>
      <c r="DL322" s="70"/>
      <c r="DM322" s="70"/>
      <c r="DN322" s="70"/>
      <c r="DO322" s="70"/>
      <c r="DP322" s="70"/>
      <c r="DQ322" s="70"/>
      <c r="DR322" s="70"/>
      <c r="DS322" s="70"/>
      <c r="DT322" s="70"/>
      <c r="DU322" s="70"/>
      <c r="DV322" s="70"/>
      <c r="DW322" s="70"/>
      <c r="DX322" s="70"/>
      <c r="DY322" s="70"/>
      <c r="DZ322" s="70"/>
      <c r="EA322" s="70"/>
      <c r="EB322" s="70"/>
      <c r="EC322" s="70"/>
      <c r="ED322" s="70"/>
      <c r="EE322" s="95" t="s">
        <v>450</v>
      </c>
      <c r="EF322" s="652"/>
      <c r="EG322" s="652"/>
      <c r="EH322" s="652"/>
      <c r="EI322" s="216"/>
      <c r="EJ322" s="663"/>
      <c r="EK322" s="663"/>
      <c r="EL322" s="663"/>
      <c r="EM322" s="663"/>
      <c r="EN322" s="663"/>
      <c r="EO322" s="663"/>
      <c r="EP322" s="663"/>
      <c r="EQ322" s="663"/>
      <c r="ER322" s="663"/>
      <c r="ES322" s="663"/>
      <c r="ET322" s="663"/>
      <c r="EU322" s="663"/>
      <c r="EV322" s="663"/>
      <c r="EW322" s="663"/>
      <c r="EX322" s="663"/>
      <c r="EY322" s="663"/>
      <c r="EZ322" s="663"/>
      <c r="FA322" s="663"/>
      <c r="FB322" s="663"/>
      <c r="FC322" s="663"/>
      <c r="FD322" s="663"/>
      <c r="FE322" s="663"/>
      <c r="FF322" s="663"/>
      <c r="FG322" s="663"/>
      <c r="FH322" s="663"/>
      <c r="FI322" s="663"/>
      <c r="FJ322" s="663"/>
      <c r="FK322" s="663"/>
      <c r="FL322" s="663"/>
      <c r="FM322" s="663"/>
      <c r="FN322" s="663"/>
      <c r="FO322" s="663"/>
      <c r="FP322" s="663"/>
      <c r="FQ322" s="663"/>
      <c r="FR322" s="663"/>
      <c r="FS322" s="663"/>
      <c r="FT322" s="663"/>
      <c r="FU322" s="663"/>
      <c r="FV322" s="663"/>
      <c r="FW322" s="663"/>
      <c r="FX322" s="663"/>
      <c r="FY322" s="663"/>
      <c r="FZ322" s="663"/>
      <c r="GA322" s="663"/>
      <c r="GB322" s="663"/>
      <c r="GC322" s="663"/>
      <c r="GD322" s="663"/>
      <c r="GE322" s="663"/>
      <c r="GF322" s="663"/>
      <c r="GG322" s="663"/>
      <c r="GH322" s="663"/>
      <c r="GI322" s="663"/>
      <c r="GJ322" s="663"/>
      <c r="GK322" s="663"/>
      <c r="GL322" s="663"/>
      <c r="GM322" s="663"/>
      <c r="GN322" s="663"/>
      <c r="GO322" s="663"/>
      <c r="GP322" s="663"/>
      <c r="GQ322" s="663"/>
      <c r="GR322" s="663"/>
      <c r="GS322" s="663"/>
      <c r="GT322" s="663"/>
      <c r="GU322" s="663"/>
      <c r="GV322" s="663"/>
      <c r="GW322" s="663"/>
      <c r="GX322" s="663"/>
      <c r="GY322" s="663"/>
      <c r="GZ322" s="663"/>
      <c r="HA322" s="663"/>
      <c r="HB322" s="663"/>
      <c r="HC322" s="663"/>
      <c r="HD322" s="663"/>
      <c r="HE322" s="663"/>
      <c r="HF322" s="663"/>
      <c r="HG322" s="663"/>
      <c r="HH322" s="663"/>
      <c r="HI322" s="663"/>
      <c r="HJ322" s="663"/>
      <c r="HK322" s="663"/>
      <c r="HL322" s="663"/>
      <c r="HM322" s="663"/>
      <c r="HN322" s="663"/>
      <c r="HO322" s="663"/>
      <c r="HP322" s="663"/>
      <c r="HQ322" s="663"/>
      <c r="HR322" s="663"/>
      <c r="HS322" s="663"/>
      <c r="HT322" s="663"/>
      <c r="HU322" s="663"/>
      <c r="HV322" s="663"/>
      <c r="HW322" s="663"/>
      <c r="HX322" s="663"/>
      <c r="HY322" s="663"/>
      <c r="HZ322" s="663"/>
      <c r="IA322" s="663"/>
      <c r="IB322" s="663"/>
      <c r="IC322" s="663"/>
      <c r="ID322" s="663"/>
      <c r="IE322" s="663"/>
      <c r="IF322" s="663"/>
      <c r="IG322" s="663"/>
      <c r="IH322" s="663"/>
      <c r="II322" s="663"/>
      <c r="IJ322" s="663"/>
      <c r="IK322" s="663"/>
      <c r="IL322" s="663"/>
      <c r="IM322" s="663"/>
      <c r="IN322" s="663"/>
      <c r="IO322" s="663"/>
      <c r="IP322" s="663"/>
      <c r="IQ322" s="70"/>
    </row>
    <row r="323" spans="10:251" ht="16.5" hidden="1" customHeight="1">
      <c r="J323" s="214"/>
      <c r="R323" s="95"/>
      <c r="S323" s="95"/>
      <c r="T323" s="95"/>
      <c r="U323" s="70"/>
      <c r="V323" s="214"/>
      <c r="W323" s="70"/>
      <c r="X323" s="70"/>
      <c r="Y323" s="70"/>
      <c r="Z323" s="70"/>
      <c r="AA323" s="70"/>
      <c r="AB323" s="70"/>
      <c r="AC323" s="70"/>
      <c r="AD323" s="70"/>
      <c r="AE323" s="70"/>
      <c r="AF323" s="70"/>
      <c r="AG323" s="70"/>
      <c r="AH323" s="70"/>
      <c r="AI323" s="70"/>
      <c r="AJ323" s="70"/>
      <c r="AK323" s="70"/>
      <c r="AL323" s="70"/>
      <c r="AM323" s="70"/>
      <c r="AN323" s="70"/>
      <c r="AO323" s="70"/>
      <c r="AP323" s="70"/>
      <c r="AQ323" s="70"/>
      <c r="AR323" s="70"/>
      <c r="AS323" s="70"/>
      <c r="AT323" s="70"/>
      <c r="AU323" s="70"/>
      <c r="AV323" s="70"/>
      <c r="AW323" s="70"/>
      <c r="AX323" s="70"/>
      <c r="AY323" s="70"/>
      <c r="AZ323" s="70"/>
      <c r="BA323" s="70"/>
      <c r="BB323" s="70"/>
      <c r="BC323" s="70"/>
      <c r="BD323" s="70"/>
      <c r="BE323" s="70"/>
      <c r="BF323" s="70"/>
      <c r="BG323" s="70"/>
      <c r="BH323" s="70"/>
      <c r="BI323" s="70"/>
      <c r="BJ323" s="70"/>
      <c r="BK323" s="70"/>
      <c r="BL323" s="70"/>
      <c r="BM323" s="70"/>
      <c r="BN323" s="70"/>
      <c r="BO323" s="70"/>
      <c r="BP323" s="70"/>
      <c r="BQ323" s="70"/>
      <c r="BR323" s="70"/>
      <c r="BS323" s="70"/>
      <c r="BT323" s="70"/>
      <c r="BU323" s="70"/>
      <c r="BV323" s="70"/>
      <c r="BW323" s="70"/>
      <c r="BX323" s="70"/>
      <c r="BY323" s="70"/>
      <c r="BZ323" s="70"/>
      <c r="CA323" s="70"/>
      <c r="CB323" s="70"/>
      <c r="CC323" s="70"/>
      <c r="CD323" s="70"/>
      <c r="CE323" s="70"/>
      <c r="CF323" s="70"/>
      <c r="CG323" s="70"/>
      <c r="CH323" s="70"/>
      <c r="CI323" s="70"/>
      <c r="CJ323" s="70"/>
      <c r="CK323" s="70"/>
      <c r="CL323" s="70"/>
      <c r="CM323" s="70"/>
      <c r="CN323" s="70"/>
      <c r="CO323" s="70"/>
      <c r="CP323" s="70"/>
      <c r="CQ323" s="70"/>
      <c r="CR323" s="70"/>
      <c r="CS323" s="70"/>
      <c r="CT323" s="70"/>
      <c r="CU323" s="70"/>
      <c r="CV323" s="70"/>
      <c r="CW323" s="70"/>
      <c r="CX323" s="70"/>
      <c r="CY323" s="70"/>
      <c r="CZ323" s="70"/>
      <c r="DA323" s="70"/>
      <c r="DB323" s="70"/>
      <c r="DC323" s="70"/>
      <c r="DD323" s="70"/>
      <c r="DE323" s="70"/>
      <c r="DF323" s="70"/>
      <c r="DG323" s="70"/>
      <c r="DH323" s="70"/>
      <c r="DI323" s="70"/>
      <c r="DJ323" s="70"/>
      <c r="DK323" s="70"/>
      <c r="DL323" s="70"/>
      <c r="DM323" s="70"/>
      <c r="DN323" s="70"/>
      <c r="DO323" s="70"/>
      <c r="DP323" s="70"/>
      <c r="DQ323" s="70"/>
      <c r="DR323" s="70"/>
      <c r="DS323" s="70"/>
      <c r="DT323" s="70"/>
      <c r="DU323" s="70"/>
      <c r="DV323" s="70"/>
      <c r="DW323" s="70"/>
      <c r="DX323" s="70"/>
      <c r="DY323" s="70"/>
      <c r="DZ323" s="70"/>
      <c r="EA323" s="70"/>
      <c r="EB323" s="70"/>
      <c r="EC323" s="70"/>
      <c r="ED323" s="70"/>
      <c r="EE323" s="95" t="s">
        <v>450</v>
      </c>
      <c r="EF323" s="652"/>
      <c r="EG323" s="652"/>
      <c r="EH323" s="652"/>
      <c r="EI323" s="216"/>
      <c r="EJ323" s="663"/>
      <c r="EK323" s="663"/>
      <c r="EL323" s="663"/>
      <c r="EM323" s="663"/>
      <c r="EN323" s="663"/>
      <c r="EO323" s="663"/>
      <c r="EP323" s="663"/>
      <c r="EQ323" s="663"/>
      <c r="ER323" s="663"/>
      <c r="ES323" s="663"/>
      <c r="ET323" s="663"/>
      <c r="EU323" s="663"/>
      <c r="EV323" s="663"/>
      <c r="EW323" s="663"/>
      <c r="EX323" s="663"/>
      <c r="EY323" s="663"/>
      <c r="EZ323" s="663"/>
      <c r="FA323" s="663"/>
      <c r="FB323" s="663"/>
      <c r="FC323" s="663"/>
      <c r="FD323" s="663"/>
      <c r="FE323" s="663"/>
      <c r="FF323" s="663"/>
      <c r="FG323" s="663"/>
      <c r="FH323" s="663"/>
      <c r="FI323" s="663"/>
      <c r="FJ323" s="663"/>
      <c r="FK323" s="663"/>
      <c r="FL323" s="663"/>
      <c r="FM323" s="663"/>
      <c r="FN323" s="663"/>
      <c r="FO323" s="663"/>
      <c r="FP323" s="663"/>
      <c r="FQ323" s="663"/>
      <c r="FR323" s="663"/>
      <c r="FS323" s="663"/>
      <c r="FT323" s="663"/>
      <c r="FU323" s="663"/>
      <c r="FV323" s="663"/>
      <c r="FW323" s="663"/>
      <c r="FX323" s="663"/>
      <c r="FY323" s="663"/>
      <c r="FZ323" s="663"/>
      <c r="GA323" s="663"/>
      <c r="GB323" s="663"/>
      <c r="GC323" s="663"/>
      <c r="GD323" s="663"/>
      <c r="GE323" s="663"/>
      <c r="GF323" s="663"/>
      <c r="GG323" s="663"/>
      <c r="GH323" s="663"/>
      <c r="GI323" s="663"/>
      <c r="GJ323" s="663"/>
      <c r="GK323" s="663"/>
      <c r="GL323" s="663"/>
      <c r="GM323" s="663"/>
      <c r="GN323" s="663"/>
      <c r="GO323" s="663"/>
      <c r="GP323" s="663"/>
      <c r="GQ323" s="663"/>
      <c r="GR323" s="663"/>
      <c r="GS323" s="663"/>
      <c r="GT323" s="663"/>
      <c r="GU323" s="663"/>
      <c r="GV323" s="663"/>
      <c r="GW323" s="663"/>
      <c r="GX323" s="663"/>
      <c r="GY323" s="663"/>
      <c r="GZ323" s="663"/>
      <c r="HA323" s="663"/>
      <c r="HB323" s="663"/>
      <c r="HC323" s="663"/>
      <c r="HD323" s="663"/>
      <c r="HE323" s="663"/>
      <c r="HF323" s="663"/>
      <c r="HG323" s="663"/>
      <c r="HH323" s="663"/>
      <c r="HI323" s="663"/>
      <c r="HJ323" s="663"/>
      <c r="HK323" s="663"/>
      <c r="HL323" s="663"/>
      <c r="HM323" s="663"/>
      <c r="HN323" s="663"/>
      <c r="HO323" s="663"/>
      <c r="HP323" s="663"/>
      <c r="HQ323" s="663"/>
      <c r="HR323" s="663"/>
      <c r="HS323" s="663"/>
      <c r="HT323" s="663"/>
      <c r="HU323" s="663"/>
      <c r="HV323" s="663"/>
      <c r="HW323" s="663"/>
      <c r="HX323" s="663"/>
      <c r="HY323" s="663"/>
      <c r="HZ323" s="663"/>
      <c r="IA323" s="663"/>
      <c r="IB323" s="663"/>
      <c r="IC323" s="663"/>
      <c r="ID323" s="663"/>
      <c r="IE323" s="663"/>
      <c r="IF323" s="663"/>
      <c r="IG323" s="663"/>
      <c r="IH323" s="663"/>
      <c r="II323" s="663"/>
      <c r="IJ323" s="663"/>
      <c r="IK323" s="663"/>
      <c r="IL323" s="663"/>
      <c r="IM323" s="663"/>
      <c r="IN323" s="663"/>
      <c r="IO323" s="663"/>
      <c r="IP323" s="663"/>
      <c r="IQ323" s="70"/>
    </row>
    <row r="324" spans="10:251" ht="16.5" hidden="1" customHeight="1">
      <c r="J324" s="214"/>
      <c r="R324" s="95"/>
      <c r="S324" s="95"/>
      <c r="T324" s="95"/>
      <c r="U324" s="70"/>
      <c r="V324" s="214"/>
      <c r="W324" s="70"/>
      <c r="X324" s="70"/>
      <c r="Y324" s="70"/>
      <c r="Z324" s="70"/>
      <c r="AA324" s="70"/>
      <c r="AB324" s="70"/>
      <c r="AC324" s="70"/>
      <c r="AD324" s="70"/>
      <c r="AE324" s="70"/>
      <c r="AF324" s="70"/>
      <c r="AG324" s="70"/>
      <c r="AH324" s="70"/>
      <c r="AI324" s="70"/>
      <c r="AJ324" s="70"/>
      <c r="AK324" s="70"/>
      <c r="AL324" s="70"/>
      <c r="AM324" s="70"/>
      <c r="AN324" s="70"/>
      <c r="AO324" s="70"/>
      <c r="AP324" s="70"/>
      <c r="AQ324" s="70"/>
      <c r="AR324" s="70"/>
      <c r="AS324" s="70"/>
      <c r="AT324" s="70"/>
      <c r="AU324" s="70"/>
      <c r="AV324" s="70"/>
      <c r="AW324" s="70"/>
      <c r="AX324" s="70"/>
      <c r="AY324" s="70"/>
      <c r="AZ324" s="70"/>
      <c r="BA324" s="70"/>
      <c r="BB324" s="70"/>
      <c r="BC324" s="70"/>
      <c r="BD324" s="70"/>
      <c r="BE324" s="70"/>
      <c r="BF324" s="70"/>
      <c r="BG324" s="70"/>
      <c r="BH324" s="70"/>
      <c r="BI324" s="70"/>
      <c r="BJ324" s="70"/>
      <c r="BK324" s="70"/>
      <c r="BL324" s="70"/>
      <c r="BM324" s="70"/>
      <c r="BN324" s="70"/>
      <c r="BO324" s="70"/>
      <c r="BP324" s="70"/>
      <c r="BQ324" s="70"/>
      <c r="BR324" s="70"/>
      <c r="BS324" s="70"/>
      <c r="BT324" s="70"/>
      <c r="BU324" s="70"/>
      <c r="BV324" s="70"/>
      <c r="BW324" s="70"/>
      <c r="BX324" s="70"/>
      <c r="BY324" s="70"/>
      <c r="BZ324" s="70"/>
      <c r="CA324" s="70"/>
      <c r="CB324" s="70"/>
      <c r="CC324" s="70"/>
      <c r="CD324" s="70"/>
      <c r="CE324" s="70"/>
      <c r="CF324" s="70"/>
      <c r="CG324" s="70"/>
      <c r="CH324" s="70"/>
      <c r="CI324" s="70"/>
      <c r="CJ324" s="70"/>
      <c r="CK324" s="70"/>
      <c r="CL324" s="70"/>
      <c r="CM324" s="70"/>
      <c r="CN324" s="70"/>
      <c r="CO324" s="70"/>
      <c r="CP324" s="70"/>
      <c r="CQ324" s="70"/>
      <c r="CR324" s="70"/>
      <c r="CS324" s="70"/>
      <c r="CT324" s="70"/>
      <c r="CU324" s="70"/>
      <c r="CV324" s="70"/>
      <c r="CW324" s="70"/>
      <c r="CX324" s="70"/>
      <c r="CY324" s="70"/>
      <c r="CZ324" s="70"/>
      <c r="DA324" s="70"/>
      <c r="DB324" s="70"/>
      <c r="DC324" s="70"/>
      <c r="DD324" s="70"/>
      <c r="DE324" s="70"/>
      <c r="DF324" s="70"/>
      <c r="DG324" s="70"/>
      <c r="DH324" s="70"/>
      <c r="DI324" s="70"/>
      <c r="DJ324" s="70"/>
      <c r="DK324" s="70"/>
      <c r="DL324" s="70"/>
      <c r="DM324" s="70"/>
      <c r="DN324" s="70"/>
      <c r="DO324" s="70"/>
      <c r="DP324" s="70"/>
      <c r="DQ324" s="70"/>
      <c r="DR324" s="70"/>
      <c r="DS324" s="70"/>
      <c r="DT324" s="70"/>
      <c r="DU324" s="70"/>
      <c r="DV324" s="70"/>
      <c r="DW324" s="70"/>
      <c r="DX324" s="70"/>
      <c r="DY324" s="70"/>
      <c r="DZ324" s="70"/>
      <c r="EA324" s="70"/>
      <c r="EB324" s="70"/>
      <c r="EC324" s="70"/>
      <c r="ED324" s="70"/>
      <c r="EE324" s="95" t="s">
        <v>450</v>
      </c>
      <c r="EF324" s="652"/>
      <c r="EG324" s="652"/>
      <c r="EH324" s="652"/>
      <c r="EI324" s="216"/>
      <c r="EJ324" s="663"/>
      <c r="EK324" s="663"/>
      <c r="EL324" s="663"/>
      <c r="EM324" s="663"/>
      <c r="EN324" s="663"/>
      <c r="EO324" s="663"/>
      <c r="EP324" s="663"/>
      <c r="EQ324" s="663"/>
      <c r="ER324" s="663"/>
      <c r="ES324" s="663"/>
      <c r="ET324" s="663"/>
      <c r="EU324" s="663"/>
      <c r="EV324" s="663"/>
      <c r="EW324" s="663"/>
      <c r="EX324" s="663"/>
      <c r="EY324" s="663"/>
      <c r="EZ324" s="663"/>
      <c r="FA324" s="663"/>
      <c r="FB324" s="663"/>
      <c r="FC324" s="663"/>
      <c r="FD324" s="663"/>
      <c r="FE324" s="663"/>
      <c r="FF324" s="663"/>
      <c r="FG324" s="663"/>
      <c r="FH324" s="663"/>
      <c r="FI324" s="663"/>
      <c r="FJ324" s="663"/>
      <c r="FK324" s="663"/>
      <c r="FL324" s="663"/>
      <c r="FM324" s="663"/>
      <c r="FN324" s="663"/>
      <c r="FO324" s="663"/>
      <c r="FP324" s="663"/>
      <c r="FQ324" s="663"/>
      <c r="FR324" s="663"/>
      <c r="FS324" s="663"/>
      <c r="FT324" s="663"/>
      <c r="FU324" s="663"/>
      <c r="FV324" s="663"/>
      <c r="FW324" s="663"/>
      <c r="FX324" s="663"/>
      <c r="FY324" s="663"/>
      <c r="FZ324" s="663"/>
      <c r="GA324" s="663"/>
      <c r="GB324" s="663"/>
      <c r="GC324" s="663"/>
      <c r="GD324" s="663"/>
      <c r="GE324" s="663"/>
      <c r="GF324" s="663"/>
      <c r="GG324" s="663"/>
      <c r="GH324" s="663"/>
      <c r="GI324" s="663"/>
      <c r="GJ324" s="663"/>
      <c r="GK324" s="663"/>
      <c r="GL324" s="663"/>
      <c r="GM324" s="663"/>
      <c r="GN324" s="663"/>
      <c r="GO324" s="663"/>
      <c r="GP324" s="663"/>
      <c r="GQ324" s="663"/>
      <c r="GR324" s="663"/>
      <c r="GS324" s="663"/>
      <c r="GT324" s="663"/>
      <c r="GU324" s="663"/>
      <c r="GV324" s="663"/>
      <c r="GW324" s="663"/>
      <c r="GX324" s="663"/>
      <c r="GY324" s="663"/>
      <c r="GZ324" s="663"/>
      <c r="HA324" s="663"/>
      <c r="HB324" s="663"/>
      <c r="HC324" s="663"/>
      <c r="HD324" s="663"/>
      <c r="HE324" s="663"/>
      <c r="HF324" s="663"/>
      <c r="HG324" s="663"/>
      <c r="HH324" s="663"/>
      <c r="HI324" s="663"/>
      <c r="HJ324" s="663"/>
      <c r="HK324" s="663"/>
      <c r="HL324" s="663"/>
      <c r="HM324" s="663"/>
      <c r="HN324" s="663"/>
      <c r="HO324" s="663"/>
      <c r="HP324" s="663"/>
      <c r="HQ324" s="663"/>
      <c r="HR324" s="663"/>
      <c r="HS324" s="663"/>
      <c r="HT324" s="663"/>
      <c r="HU324" s="663"/>
      <c r="HV324" s="663"/>
      <c r="HW324" s="663"/>
      <c r="HX324" s="663"/>
      <c r="HY324" s="663"/>
      <c r="HZ324" s="663"/>
      <c r="IA324" s="663"/>
      <c r="IB324" s="663"/>
      <c r="IC324" s="663"/>
      <c r="ID324" s="663"/>
      <c r="IE324" s="663"/>
      <c r="IF324" s="663"/>
      <c r="IG324" s="663"/>
      <c r="IH324" s="663"/>
      <c r="II324" s="663"/>
      <c r="IJ324" s="663"/>
      <c r="IK324" s="663"/>
      <c r="IL324" s="663"/>
      <c r="IM324" s="663"/>
      <c r="IN324" s="663"/>
      <c r="IO324" s="663"/>
      <c r="IP324" s="663"/>
      <c r="IQ324" s="70"/>
    </row>
    <row r="325" spans="10:251" ht="16.5" hidden="1" customHeight="1">
      <c r="J325" s="214"/>
      <c r="R325" s="95"/>
      <c r="S325" s="95"/>
      <c r="T325" s="95"/>
      <c r="U325" s="70"/>
      <c r="V325" s="214"/>
      <c r="W325" s="70"/>
      <c r="X325" s="70"/>
      <c r="Y325" s="70"/>
      <c r="Z325" s="70"/>
      <c r="AA325" s="70"/>
      <c r="AB325" s="70"/>
      <c r="AC325" s="70"/>
      <c r="AD325" s="70"/>
      <c r="AE325" s="70"/>
      <c r="AF325" s="70"/>
      <c r="AG325" s="70"/>
      <c r="AH325" s="70"/>
      <c r="AI325" s="70"/>
      <c r="AJ325" s="70"/>
      <c r="AK325" s="70"/>
      <c r="AL325" s="70"/>
      <c r="AM325" s="70"/>
      <c r="AN325" s="70"/>
      <c r="AO325" s="70"/>
      <c r="AP325" s="70"/>
      <c r="AQ325" s="70"/>
      <c r="AR325" s="70"/>
      <c r="AS325" s="70"/>
      <c r="AT325" s="70"/>
      <c r="AU325" s="70"/>
      <c r="AV325" s="70"/>
      <c r="AW325" s="70"/>
      <c r="AX325" s="70"/>
      <c r="AY325" s="70"/>
      <c r="AZ325" s="70"/>
      <c r="BA325" s="70"/>
      <c r="BB325" s="70"/>
      <c r="BC325" s="70"/>
      <c r="BD325" s="70"/>
      <c r="BE325" s="70"/>
      <c r="BF325" s="70"/>
      <c r="BG325" s="70"/>
      <c r="BH325" s="70"/>
      <c r="BI325" s="70"/>
      <c r="BJ325" s="70"/>
      <c r="BK325" s="70"/>
      <c r="BL325" s="70"/>
      <c r="BM325" s="70"/>
      <c r="BN325" s="70"/>
      <c r="BO325" s="70"/>
      <c r="BP325" s="70"/>
      <c r="BQ325" s="70"/>
      <c r="BR325" s="70"/>
      <c r="BS325" s="70"/>
      <c r="BT325" s="70"/>
      <c r="BU325" s="70"/>
      <c r="BV325" s="70"/>
      <c r="BW325" s="70"/>
      <c r="BX325" s="70"/>
      <c r="BY325" s="70"/>
      <c r="BZ325" s="70"/>
      <c r="CA325" s="70"/>
      <c r="CB325" s="70"/>
      <c r="CC325" s="70"/>
      <c r="CD325" s="70"/>
      <c r="CE325" s="70"/>
      <c r="CF325" s="70"/>
      <c r="CG325" s="70"/>
      <c r="CH325" s="70"/>
      <c r="CI325" s="70"/>
      <c r="CJ325" s="70"/>
      <c r="CK325" s="70"/>
      <c r="CL325" s="70"/>
      <c r="CM325" s="70"/>
      <c r="CN325" s="70"/>
      <c r="CO325" s="70"/>
      <c r="CP325" s="70"/>
      <c r="CQ325" s="70"/>
      <c r="CR325" s="70"/>
      <c r="CS325" s="70"/>
      <c r="CT325" s="70"/>
      <c r="CU325" s="70"/>
      <c r="CV325" s="70"/>
      <c r="CW325" s="70"/>
      <c r="CX325" s="70"/>
      <c r="CY325" s="70"/>
      <c r="CZ325" s="70"/>
      <c r="DA325" s="70"/>
      <c r="DB325" s="70"/>
      <c r="DC325" s="70"/>
      <c r="DD325" s="70"/>
      <c r="DE325" s="70"/>
      <c r="DF325" s="70"/>
      <c r="DG325" s="70"/>
      <c r="DH325" s="70"/>
      <c r="DI325" s="70"/>
      <c r="DJ325" s="70"/>
      <c r="DK325" s="70"/>
      <c r="DL325" s="70"/>
      <c r="DM325" s="70"/>
      <c r="DN325" s="70"/>
      <c r="DO325" s="70"/>
      <c r="DP325" s="70"/>
      <c r="DQ325" s="70"/>
      <c r="DR325" s="70"/>
      <c r="DS325" s="70"/>
      <c r="DT325" s="70"/>
      <c r="DU325" s="70"/>
      <c r="DV325" s="70"/>
      <c r="DW325" s="70"/>
      <c r="DX325" s="70"/>
      <c r="DY325" s="70"/>
      <c r="DZ325" s="70"/>
      <c r="EA325" s="70"/>
      <c r="EB325" s="70"/>
      <c r="EC325" s="70"/>
      <c r="ED325" s="70"/>
      <c r="EE325" s="95" t="s">
        <v>450</v>
      </c>
      <c r="EF325" s="652"/>
      <c r="EG325" s="652"/>
      <c r="EH325" s="652"/>
      <c r="EI325" s="216"/>
      <c r="EJ325" s="663"/>
      <c r="EK325" s="663"/>
      <c r="EL325" s="663"/>
      <c r="EM325" s="663"/>
      <c r="EN325" s="663"/>
      <c r="EO325" s="663"/>
      <c r="EP325" s="663"/>
      <c r="EQ325" s="663"/>
      <c r="ER325" s="663"/>
      <c r="ES325" s="663"/>
      <c r="ET325" s="663"/>
      <c r="EU325" s="663"/>
      <c r="EV325" s="663"/>
      <c r="EW325" s="663"/>
      <c r="EX325" s="663"/>
      <c r="EY325" s="663"/>
      <c r="EZ325" s="663"/>
      <c r="FA325" s="663"/>
      <c r="FB325" s="663"/>
      <c r="FC325" s="663"/>
      <c r="FD325" s="663"/>
      <c r="FE325" s="663"/>
      <c r="FF325" s="663"/>
      <c r="FG325" s="663"/>
      <c r="FH325" s="663"/>
      <c r="FI325" s="663"/>
      <c r="FJ325" s="663"/>
      <c r="FK325" s="663"/>
      <c r="FL325" s="663"/>
      <c r="FM325" s="663"/>
      <c r="FN325" s="663"/>
      <c r="FO325" s="663"/>
      <c r="FP325" s="663"/>
      <c r="FQ325" s="663"/>
      <c r="FR325" s="663"/>
      <c r="FS325" s="663"/>
      <c r="FT325" s="663"/>
      <c r="FU325" s="663"/>
      <c r="FV325" s="663"/>
      <c r="FW325" s="663"/>
      <c r="FX325" s="663"/>
      <c r="FY325" s="663"/>
      <c r="FZ325" s="663"/>
      <c r="GA325" s="663"/>
      <c r="GB325" s="663"/>
      <c r="GC325" s="663"/>
      <c r="GD325" s="663"/>
      <c r="GE325" s="663"/>
      <c r="GF325" s="663"/>
      <c r="GG325" s="663"/>
      <c r="GH325" s="663"/>
      <c r="GI325" s="663"/>
      <c r="GJ325" s="663"/>
      <c r="GK325" s="663"/>
      <c r="GL325" s="663"/>
      <c r="GM325" s="663"/>
      <c r="GN325" s="663"/>
      <c r="GO325" s="663"/>
      <c r="GP325" s="663"/>
      <c r="GQ325" s="663"/>
      <c r="GR325" s="663"/>
      <c r="GS325" s="663"/>
      <c r="GT325" s="663"/>
      <c r="GU325" s="663"/>
      <c r="GV325" s="663"/>
      <c r="GW325" s="663"/>
      <c r="GX325" s="663"/>
      <c r="GY325" s="663"/>
      <c r="GZ325" s="663"/>
      <c r="HA325" s="663"/>
      <c r="HB325" s="663"/>
      <c r="HC325" s="663"/>
      <c r="HD325" s="663"/>
      <c r="HE325" s="663"/>
      <c r="HF325" s="663"/>
      <c r="HG325" s="663"/>
      <c r="HH325" s="663"/>
      <c r="HI325" s="663"/>
      <c r="HJ325" s="663"/>
      <c r="HK325" s="663"/>
      <c r="HL325" s="663"/>
      <c r="HM325" s="663"/>
      <c r="HN325" s="663"/>
      <c r="HO325" s="663"/>
      <c r="HP325" s="663"/>
      <c r="HQ325" s="663"/>
      <c r="HR325" s="663"/>
      <c r="HS325" s="663"/>
      <c r="HT325" s="663"/>
      <c r="HU325" s="663"/>
      <c r="HV325" s="663"/>
      <c r="HW325" s="663"/>
      <c r="HX325" s="663"/>
      <c r="HY325" s="663"/>
      <c r="HZ325" s="663"/>
      <c r="IA325" s="663"/>
      <c r="IB325" s="663"/>
      <c r="IC325" s="663"/>
      <c r="ID325" s="663"/>
      <c r="IE325" s="663"/>
      <c r="IF325" s="663"/>
      <c r="IG325" s="663"/>
      <c r="IH325" s="663"/>
      <c r="II325" s="663"/>
      <c r="IJ325" s="663"/>
      <c r="IK325" s="663"/>
      <c r="IL325" s="663"/>
      <c r="IM325" s="663"/>
      <c r="IN325" s="663"/>
      <c r="IO325" s="663"/>
      <c r="IP325" s="663"/>
      <c r="IQ325" s="70"/>
    </row>
    <row r="326" spans="10:251" ht="16.5" hidden="1" customHeight="1">
      <c r="J326" s="214"/>
      <c r="R326" s="95"/>
      <c r="S326" s="95"/>
      <c r="T326" s="95"/>
      <c r="U326" s="70"/>
      <c r="V326" s="214"/>
      <c r="W326" s="70"/>
      <c r="X326" s="70"/>
      <c r="Y326" s="70"/>
      <c r="Z326" s="70"/>
      <c r="AA326" s="70"/>
      <c r="AB326" s="70"/>
      <c r="AC326" s="70"/>
      <c r="AD326" s="70"/>
      <c r="AE326" s="70"/>
      <c r="AF326" s="70"/>
      <c r="AG326" s="70"/>
      <c r="AH326" s="70"/>
      <c r="AI326" s="70"/>
      <c r="AJ326" s="70"/>
      <c r="AK326" s="70"/>
      <c r="AL326" s="70"/>
      <c r="AM326" s="70"/>
      <c r="AN326" s="70"/>
      <c r="AO326" s="70"/>
      <c r="AP326" s="70"/>
      <c r="AQ326" s="70"/>
      <c r="AR326" s="70"/>
      <c r="AS326" s="70"/>
      <c r="AT326" s="70"/>
      <c r="AU326" s="70"/>
      <c r="AV326" s="70"/>
      <c r="AW326" s="70"/>
      <c r="AX326" s="70"/>
      <c r="AY326" s="70"/>
      <c r="AZ326" s="70"/>
      <c r="BA326" s="70"/>
      <c r="BB326" s="70"/>
      <c r="BC326" s="70"/>
      <c r="BD326" s="70"/>
      <c r="BE326" s="70"/>
      <c r="BF326" s="70"/>
      <c r="BG326" s="70"/>
      <c r="BH326" s="70"/>
      <c r="BI326" s="70"/>
      <c r="BJ326" s="70"/>
      <c r="BK326" s="70"/>
      <c r="BL326" s="70"/>
      <c r="BM326" s="70"/>
      <c r="BN326" s="70"/>
      <c r="BO326" s="70"/>
      <c r="BP326" s="70"/>
      <c r="BQ326" s="70"/>
      <c r="BR326" s="70"/>
      <c r="BS326" s="70"/>
      <c r="BT326" s="70"/>
      <c r="BU326" s="70"/>
      <c r="BV326" s="70"/>
      <c r="BW326" s="70"/>
      <c r="BX326" s="70"/>
      <c r="BY326" s="70"/>
      <c r="BZ326" s="70"/>
      <c r="CA326" s="70"/>
      <c r="CB326" s="70"/>
      <c r="CC326" s="70"/>
      <c r="CD326" s="70"/>
      <c r="CE326" s="70"/>
      <c r="CF326" s="70"/>
      <c r="CG326" s="70"/>
      <c r="CH326" s="70"/>
      <c r="CI326" s="70"/>
      <c r="CJ326" s="70"/>
      <c r="CK326" s="70"/>
      <c r="CL326" s="70"/>
      <c r="CM326" s="70"/>
      <c r="CN326" s="70"/>
      <c r="CO326" s="70"/>
      <c r="CP326" s="70"/>
      <c r="CQ326" s="70"/>
      <c r="CR326" s="70"/>
      <c r="CS326" s="70"/>
      <c r="CT326" s="70"/>
      <c r="CU326" s="70"/>
      <c r="CV326" s="70"/>
      <c r="CW326" s="70"/>
      <c r="CX326" s="70"/>
      <c r="CY326" s="70"/>
      <c r="CZ326" s="70"/>
      <c r="DA326" s="70"/>
      <c r="DB326" s="70"/>
      <c r="DC326" s="70"/>
      <c r="DD326" s="70"/>
      <c r="DE326" s="70"/>
      <c r="DF326" s="70"/>
      <c r="DG326" s="70"/>
      <c r="DH326" s="70"/>
      <c r="DI326" s="70"/>
      <c r="DJ326" s="70"/>
      <c r="DK326" s="70"/>
      <c r="DL326" s="70"/>
      <c r="DM326" s="70"/>
      <c r="DN326" s="70"/>
      <c r="DO326" s="70"/>
      <c r="DP326" s="70"/>
      <c r="DQ326" s="70"/>
      <c r="DR326" s="70"/>
      <c r="DS326" s="70"/>
      <c r="DT326" s="70"/>
      <c r="DU326" s="70"/>
      <c r="DV326" s="70"/>
      <c r="DW326" s="70"/>
      <c r="DX326" s="70"/>
      <c r="DY326" s="70"/>
      <c r="DZ326" s="70"/>
      <c r="EA326" s="70"/>
      <c r="EB326" s="70"/>
      <c r="EC326" s="70"/>
      <c r="ED326" s="70"/>
      <c r="EE326" s="95" t="s">
        <v>450</v>
      </c>
      <c r="EF326" s="652"/>
      <c r="EG326" s="652"/>
      <c r="EH326" s="652"/>
      <c r="EI326" s="216"/>
      <c r="EJ326" s="663"/>
      <c r="EK326" s="663"/>
      <c r="EL326" s="663"/>
      <c r="EM326" s="663"/>
      <c r="EN326" s="663"/>
      <c r="EO326" s="663"/>
      <c r="EP326" s="663"/>
      <c r="EQ326" s="663"/>
      <c r="ER326" s="663"/>
      <c r="ES326" s="663"/>
      <c r="ET326" s="663"/>
      <c r="EU326" s="663"/>
      <c r="EV326" s="663"/>
      <c r="EW326" s="663"/>
      <c r="EX326" s="663"/>
      <c r="EY326" s="663"/>
      <c r="EZ326" s="663"/>
      <c r="FA326" s="663"/>
      <c r="FB326" s="663"/>
      <c r="FC326" s="663"/>
      <c r="FD326" s="663"/>
      <c r="FE326" s="663"/>
      <c r="FF326" s="663"/>
      <c r="FG326" s="663"/>
      <c r="FH326" s="663"/>
      <c r="FI326" s="663"/>
      <c r="FJ326" s="663"/>
      <c r="FK326" s="663"/>
      <c r="FL326" s="663"/>
      <c r="FM326" s="663"/>
      <c r="FN326" s="663"/>
      <c r="FO326" s="663"/>
      <c r="FP326" s="663"/>
      <c r="FQ326" s="663"/>
      <c r="FR326" s="663"/>
      <c r="FS326" s="663"/>
      <c r="FT326" s="663"/>
      <c r="FU326" s="663"/>
      <c r="FV326" s="663"/>
      <c r="FW326" s="663"/>
      <c r="FX326" s="663"/>
      <c r="FY326" s="663"/>
      <c r="FZ326" s="663"/>
      <c r="GA326" s="663"/>
      <c r="GB326" s="663"/>
      <c r="GC326" s="663"/>
      <c r="GD326" s="663"/>
      <c r="GE326" s="663"/>
      <c r="GF326" s="663"/>
      <c r="GG326" s="663"/>
      <c r="GH326" s="663"/>
      <c r="GI326" s="663"/>
      <c r="GJ326" s="663"/>
      <c r="GK326" s="663"/>
      <c r="GL326" s="663"/>
      <c r="GM326" s="663"/>
      <c r="GN326" s="663"/>
      <c r="GO326" s="663"/>
      <c r="GP326" s="663"/>
      <c r="GQ326" s="663"/>
      <c r="GR326" s="663"/>
      <c r="GS326" s="663"/>
      <c r="GT326" s="663"/>
      <c r="GU326" s="663"/>
      <c r="GV326" s="663"/>
      <c r="GW326" s="663"/>
      <c r="GX326" s="663"/>
      <c r="GY326" s="663"/>
      <c r="GZ326" s="663"/>
      <c r="HA326" s="663"/>
      <c r="HB326" s="663"/>
      <c r="HC326" s="663"/>
      <c r="HD326" s="663"/>
      <c r="HE326" s="663"/>
      <c r="HF326" s="663"/>
      <c r="HG326" s="663"/>
      <c r="HH326" s="663"/>
      <c r="HI326" s="663"/>
      <c r="HJ326" s="663"/>
      <c r="HK326" s="663"/>
      <c r="HL326" s="663"/>
      <c r="HM326" s="663"/>
      <c r="HN326" s="663"/>
      <c r="HO326" s="663"/>
      <c r="HP326" s="663"/>
      <c r="HQ326" s="663"/>
      <c r="HR326" s="663"/>
      <c r="HS326" s="663"/>
      <c r="HT326" s="663"/>
      <c r="HU326" s="663"/>
      <c r="HV326" s="663"/>
      <c r="HW326" s="663"/>
      <c r="HX326" s="663"/>
      <c r="HY326" s="663"/>
      <c r="HZ326" s="663"/>
      <c r="IA326" s="663"/>
      <c r="IB326" s="663"/>
      <c r="IC326" s="663"/>
      <c r="ID326" s="663"/>
      <c r="IE326" s="663"/>
      <c r="IF326" s="663"/>
      <c r="IG326" s="663"/>
      <c r="IH326" s="663"/>
      <c r="II326" s="663"/>
      <c r="IJ326" s="663"/>
      <c r="IK326" s="663"/>
      <c r="IL326" s="663"/>
      <c r="IM326" s="663"/>
      <c r="IN326" s="663"/>
      <c r="IO326" s="663"/>
      <c r="IP326" s="663"/>
      <c r="IQ326" s="70"/>
    </row>
    <row r="327" spans="10:251" ht="16.5" hidden="1" customHeight="1">
      <c r="J327" s="214"/>
      <c r="R327" s="95"/>
      <c r="S327" s="95"/>
      <c r="T327" s="95"/>
      <c r="U327" s="70"/>
      <c r="V327" s="214"/>
      <c r="W327" s="70"/>
      <c r="X327" s="70"/>
      <c r="Y327" s="70"/>
      <c r="Z327" s="70"/>
      <c r="AA327" s="70"/>
      <c r="AB327" s="70"/>
      <c r="AC327" s="70"/>
      <c r="AD327" s="70"/>
      <c r="AE327" s="70"/>
      <c r="AF327" s="70"/>
      <c r="AG327" s="70"/>
      <c r="AH327" s="70"/>
      <c r="AI327" s="70"/>
      <c r="AJ327" s="70"/>
      <c r="AK327" s="70"/>
      <c r="AL327" s="70"/>
      <c r="AM327" s="70"/>
      <c r="AN327" s="70"/>
      <c r="AO327" s="70"/>
      <c r="AP327" s="70"/>
      <c r="AQ327" s="70"/>
      <c r="AR327" s="70"/>
      <c r="AS327" s="70"/>
      <c r="AT327" s="70"/>
      <c r="AU327" s="70"/>
      <c r="AV327" s="70"/>
      <c r="AW327" s="70"/>
      <c r="AX327" s="70"/>
      <c r="AY327" s="70"/>
      <c r="AZ327" s="70"/>
      <c r="BA327" s="70"/>
      <c r="BB327" s="70"/>
      <c r="BC327" s="70"/>
      <c r="BD327" s="70"/>
      <c r="BE327" s="70"/>
      <c r="BF327" s="70"/>
      <c r="BG327" s="70"/>
      <c r="BH327" s="70"/>
      <c r="BI327" s="70"/>
      <c r="BJ327" s="70"/>
      <c r="BK327" s="70"/>
      <c r="BL327" s="70"/>
      <c r="BM327" s="70"/>
      <c r="BN327" s="70"/>
      <c r="BO327" s="70"/>
      <c r="BP327" s="70"/>
      <c r="BQ327" s="70"/>
      <c r="BR327" s="70"/>
      <c r="BS327" s="70"/>
      <c r="BT327" s="70"/>
      <c r="BU327" s="70"/>
      <c r="BV327" s="70"/>
      <c r="BW327" s="70"/>
      <c r="BX327" s="70"/>
      <c r="BY327" s="70"/>
      <c r="BZ327" s="70"/>
      <c r="CA327" s="70"/>
      <c r="CB327" s="70"/>
      <c r="CC327" s="70"/>
      <c r="CD327" s="70"/>
      <c r="CE327" s="70"/>
      <c r="CF327" s="70"/>
      <c r="CG327" s="70"/>
      <c r="CH327" s="70"/>
      <c r="CI327" s="70"/>
      <c r="CJ327" s="70"/>
      <c r="CK327" s="70"/>
      <c r="CL327" s="70"/>
      <c r="CM327" s="70"/>
      <c r="CN327" s="70"/>
      <c r="CO327" s="70"/>
      <c r="CP327" s="70"/>
      <c r="CQ327" s="70"/>
      <c r="CR327" s="70"/>
      <c r="CS327" s="70"/>
      <c r="CT327" s="70"/>
      <c r="CU327" s="70"/>
      <c r="CV327" s="70"/>
      <c r="CW327" s="70"/>
      <c r="CX327" s="70"/>
      <c r="CY327" s="70"/>
      <c r="CZ327" s="70"/>
      <c r="DA327" s="70"/>
      <c r="DB327" s="70"/>
      <c r="DC327" s="70"/>
      <c r="DD327" s="70"/>
      <c r="DE327" s="70"/>
      <c r="DF327" s="70"/>
      <c r="DG327" s="70"/>
      <c r="DH327" s="70"/>
      <c r="DI327" s="70"/>
      <c r="DJ327" s="70"/>
      <c r="DK327" s="70"/>
      <c r="DL327" s="70"/>
      <c r="DM327" s="70"/>
      <c r="DN327" s="70"/>
      <c r="DO327" s="70"/>
      <c r="DP327" s="70"/>
      <c r="DQ327" s="70"/>
      <c r="DR327" s="70"/>
      <c r="DS327" s="70"/>
      <c r="DT327" s="70"/>
      <c r="DU327" s="70"/>
      <c r="DV327" s="70"/>
      <c r="DW327" s="70"/>
      <c r="DX327" s="70"/>
      <c r="DY327" s="70"/>
      <c r="DZ327" s="70"/>
      <c r="EA327" s="70"/>
      <c r="EB327" s="70"/>
      <c r="EC327" s="70"/>
      <c r="ED327" s="70"/>
      <c r="EE327" s="95" t="s">
        <v>450</v>
      </c>
      <c r="EF327" s="652"/>
      <c r="EG327" s="652"/>
      <c r="EH327" s="652"/>
      <c r="EI327" s="216"/>
      <c r="EJ327" s="663"/>
      <c r="EK327" s="663"/>
      <c r="EL327" s="663"/>
      <c r="EM327" s="663"/>
      <c r="EN327" s="663"/>
      <c r="EO327" s="663"/>
      <c r="EP327" s="663"/>
      <c r="EQ327" s="663"/>
      <c r="ER327" s="663"/>
      <c r="ES327" s="663"/>
      <c r="ET327" s="663"/>
      <c r="EU327" s="663"/>
      <c r="EV327" s="663"/>
      <c r="EW327" s="663"/>
      <c r="EX327" s="663"/>
      <c r="EY327" s="663"/>
      <c r="EZ327" s="663"/>
      <c r="FA327" s="663"/>
      <c r="FB327" s="663"/>
      <c r="FC327" s="663"/>
      <c r="FD327" s="663"/>
      <c r="FE327" s="663"/>
      <c r="FF327" s="663"/>
      <c r="FG327" s="663"/>
      <c r="FH327" s="663"/>
      <c r="FI327" s="663"/>
      <c r="FJ327" s="663"/>
      <c r="FK327" s="663"/>
      <c r="FL327" s="663"/>
      <c r="FM327" s="663"/>
      <c r="FN327" s="663"/>
      <c r="FO327" s="663"/>
      <c r="FP327" s="663"/>
      <c r="FQ327" s="663"/>
      <c r="FR327" s="663"/>
      <c r="FS327" s="663"/>
      <c r="FT327" s="663"/>
      <c r="FU327" s="663"/>
      <c r="FV327" s="663"/>
      <c r="FW327" s="663"/>
      <c r="FX327" s="663"/>
      <c r="FY327" s="663"/>
      <c r="FZ327" s="663"/>
      <c r="GA327" s="663"/>
      <c r="GB327" s="663"/>
      <c r="GC327" s="663"/>
      <c r="GD327" s="663"/>
      <c r="GE327" s="663"/>
      <c r="GF327" s="663"/>
      <c r="GG327" s="663"/>
      <c r="GH327" s="663"/>
      <c r="GI327" s="663"/>
      <c r="GJ327" s="663"/>
      <c r="GK327" s="663"/>
      <c r="GL327" s="663"/>
      <c r="GM327" s="663"/>
      <c r="GN327" s="663"/>
      <c r="GO327" s="663"/>
      <c r="GP327" s="663"/>
      <c r="GQ327" s="663"/>
      <c r="GR327" s="663"/>
      <c r="GS327" s="663"/>
      <c r="GT327" s="663"/>
      <c r="GU327" s="663"/>
      <c r="GV327" s="663"/>
      <c r="GW327" s="663"/>
      <c r="GX327" s="663"/>
      <c r="GY327" s="663"/>
      <c r="GZ327" s="663"/>
      <c r="HA327" s="663"/>
      <c r="HB327" s="663"/>
      <c r="HC327" s="663"/>
      <c r="HD327" s="663"/>
      <c r="HE327" s="663"/>
      <c r="HF327" s="663"/>
      <c r="HG327" s="663"/>
      <c r="HH327" s="663"/>
      <c r="HI327" s="663"/>
      <c r="HJ327" s="663"/>
      <c r="HK327" s="663"/>
      <c r="HL327" s="663"/>
      <c r="HM327" s="663"/>
      <c r="HN327" s="663"/>
      <c r="HO327" s="663"/>
      <c r="HP327" s="663"/>
      <c r="HQ327" s="663"/>
      <c r="HR327" s="663"/>
      <c r="HS327" s="663"/>
      <c r="HT327" s="663"/>
      <c r="HU327" s="663"/>
      <c r="HV327" s="663"/>
      <c r="HW327" s="663"/>
      <c r="HX327" s="663"/>
      <c r="HY327" s="663"/>
      <c r="HZ327" s="663"/>
      <c r="IA327" s="663"/>
      <c r="IB327" s="663"/>
      <c r="IC327" s="663"/>
      <c r="ID327" s="663"/>
      <c r="IE327" s="663"/>
      <c r="IF327" s="663"/>
      <c r="IG327" s="663"/>
      <c r="IH327" s="663"/>
      <c r="II327" s="663"/>
      <c r="IJ327" s="663"/>
      <c r="IK327" s="663"/>
      <c r="IL327" s="663"/>
      <c r="IM327" s="663"/>
      <c r="IN327" s="663"/>
      <c r="IO327" s="663"/>
      <c r="IP327" s="663"/>
      <c r="IQ327" s="70"/>
    </row>
    <row r="328" spans="10:251" ht="16.5" hidden="1" customHeight="1">
      <c r="J328" s="214"/>
      <c r="R328" s="95"/>
      <c r="S328" s="95"/>
      <c r="T328" s="95"/>
      <c r="U328" s="70"/>
      <c r="V328" s="214"/>
      <c r="W328" s="70"/>
      <c r="X328" s="70"/>
      <c r="Y328" s="70"/>
      <c r="Z328" s="70"/>
      <c r="AA328" s="70"/>
      <c r="AB328" s="70"/>
      <c r="AC328" s="70"/>
      <c r="AD328" s="70"/>
      <c r="AE328" s="70"/>
      <c r="AF328" s="70"/>
      <c r="AG328" s="70"/>
      <c r="AH328" s="70"/>
      <c r="AI328" s="70"/>
      <c r="AJ328" s="70"/>
      <c r="AK328" s="70"/>
      <c r="AL328" s="70"/>
      <c r="AM328" s="70"/>
      <c r="AN328" s="70"/>
      <c r="AO328" s="70"/>
      <c r="AP328" s="70"/>
      <c r="AQ328" s="70"/>
      <c r="AR328" s="70"/>
      <c r="AS328" s="70"/>
      <c r="AT328" s="70"/>
      <c r="AU328" s="70"/>
      <c r="AV328" s="70"/>
      <c r="AW328" s="70"/>
      <c r="AX328" s="70"/>
      <c r="AY328" s="70"/>
      <c r="AZ328" s="70"/>
      <c r="BA328" s="70"/>
      <c r="BB328" s="70"/>
      <c r="BC328" s="70"/>
      <c r="BD328" s="70"/>
      <c r="BE328" s="70"/>
      <c r="BF328" s="70"/>
      <c r="BG328" s="70"/>
      <c r="BH328" s="70"/>
      <c r="BI328" s="70"/>
      <c r="BJ328" s="70"/>
      <c r="BK328" s="70"/>
      <c r="BL328" s="70"/>
      <c r="BM328" s="70"/>
      <c r="BN328" s="70"/>
      <c r="BO328" s="70"/>
      <c r="BP328" s="70"/>
      <c r="BQ328" s="70"/>
      <c r="BR328" s="70"/>
      <c r="BS328" s="70"/>
      <c r="BT328" s="70"/>
      <c r="BU328" s="70"/>
      <c r="BV328" s="70"/>
      <c r="BW328" s="70"/>
      <c r="BX328" s="70"/>
      <c r="BY328" s="70"/>
      <c r="BZ328" s="70"/>
      <c r="CA328" s="70"/>
      <c r="CB328" s="70"/>
      <c r="CC328" s="70"/>
      <c r="CD328" s="70"/>
      <c r="CE328" s="70"/>
      <c r="CF328" s="70"/>
      <c r="CG328" s="70"/>
      <c r="CH328" s="70"/>
      <c r="CI328" s="70"/>
      <c r="CJ328" s="70"/>
      <c r="CK328" s="70"/>
      <c r="CL328" s="70"/>
      <c r="CM328" s="70"/>
      <c r="CN328" s="70"/>
      <c r="CO328" s="70"/>
      <c r="CP328" s="70"/>
      <c r="CQ328" s="70"/>
      <c r="CR328" s="70"/>
      <c r="CS328" s="70"/>
      <c r="CT328" s="70"/>
      <c r="CU328" s="70"/>
      <c r="CV328" s="70"/>
      <c r="CW328" s="70"/>
      <c r="CX328" s="70"/>
      <c r="CY328" s="70"/>
      <c r="CZ328" s="70"/>
      <c r="DA328" s="70"/>
      <c r="DB328" s="70"/>
      <c r="DC328" s="70"/>
      <c r="DD328" s="70"/>
      <c r="DE328" s="70"/>
      <c r="DF328" s="70"/>
      <c r="DG328" s="70"/>
      <c r="DH328" s="70"/>
      <c r="DI328" s="70"/>
      <c r="DJ328" s="70"/>
      <c r="DK328" s="70"/>
      <c r="DL328" s="70"/>
      <c r="DM328" s="70"/>
      <c r="DN328" s="70"/>
      <c r="DO328" s="70"/>
      <c r="DP328" s="70"/>
      <c r="DQ328" s="70"/>
      <c r="DR328" s="70"/>
      <c r="DS328" s="70"/>
      <c r="DT328" s="70"/>
      <c r="DU328" s="70"/>
      <c r="DV328" s="70"/>
      <c r="DW328" s="70"/>
      <c r="DX328" s="70"/>
      <c r="DY328" s="70"/>
      <c r="DZ328" s="70"/>
      <c r="EA328" s="70"/>
      <c r="EB328" s="70"/>
      <c r="EC328" s="70"/>
      <c r="ED328" s="70"/>
      <c r="EE328" s="95" t="s">
        <v>450</v>
      </c>
      <c r="EF328" s="652"/>
      <c r="EG328" s="652"/>
      <c r="EH328" s="652"/>
      <c r="EI328" s="216"/>
      <c r="EJ328" s="663"/>
      <c r="EK328" s="663"/>
      <c r="EL328" s="663"/>
      <c r="EM328" s="663"/>
      <c r="EN328" s="663"/>
      <c r="EO328" s="663"/>
      <c r="EP328" s="663"/>
      <c r="EQ328" s="663"/>
      <c r="ER328" s="663"/>
      <c r="ES328" s="663"/>
      <c r="ET328" s="663"/>
      <c r="EU328" s="663"/>
      <c r="EV328" s="663"/>
      <c r="EW328" s="663"/>
      <c r="EX328" s="663"/>
      <c r="EY328" s="663"/>
      <c r="EZ328" s="663"/>
      <c r="FA328" s="663"/>
      <c r="FB328" s="663"/>
      <c r="FC328" s="663"/>
      <c r="FD328" s="663"/>
      <c r="FE328" s="663"/>
      <c r="FF328" s="663"/>
      <c r="FG328" s="663"/>
      <c r="FH328" s="663"/>
      <c r="FI328" s="663"/>
      <c r="FJ328" s="663"/>
      <c r="FK328" s="663"/>
      <c r="FL328" s="663"/>
      <c r="FM328" s="663"/>
      <c r="FN328" s="663"/>
      <c r="FO328" s="663"/>
      <c r="FP328" s="663"/>
      <c r="FQ328" s="663"/>
      <c r="FR328" s="663"/>
      <c r="FS328" s="663"/>
      <c r="FT328" s="663"/>
      <c r="FU328" s="663"/>
      <c r="FV328" s="663"/>
      <c r="FW328" s="663"/>
      <c r="FX328" s="663"/>
      <c r="FY328" s="663"/>
      <c r="FZ328" s="663"/>
      <c r="GA328" s="663"/>
      <c r="GB328" s="663"/>
      <c r="GC328" s="663"/>
      <c r="GD328" s="663"/>
      <c r="GE328" s="663"/>
      <c r="GF328" s="663"/>
      <c r="GG328" s="663"/>
      <c r="GH328" s="663"/>
      <c r="GI328" s="663"/>
      <c r="GJ328" s="663"/>
      <c r="GK328" s="663"/>
      <c r="GL328" s="663"/>
      <c r="GM328" s="663"/>
      <c r="GN328" s="663"/>
      <c r="GO328" s="663"/>
      <c r="GP328" s="663"/>
      <c r="GQ328" s="663"/>
      <c r="GR328" s="663"/>
      <c r="GS328" s="663"/>
      <c r="GT328" s="663"/>
      <c r="GU328" s="663"/>
      <c r="GV328" s="663"/>
      <c r="GW328" s="663"/>
      <c r="GX328" s="663"/>
      <c r="GY328" s="663"/>
      <c r="GZ328" s="663"/>
      <c r="HA328" s="663"/>
      <c r="HB328" s="663"/>
      <c r="HC328" s="663"/>
      <c r="HD328" s="663"/>
      <c r="HE328" s="663"/>
      <c r="HF328" s="663"/>
      <c r="HG328" s="663"/>
      <c r="HH328" s="663"/>
      <c r="HI328" s="663"/>
      <c r="HJ328" s="663"/>
      <c r="HK328" s="663"/>
      <c r="HL328" s="663"/>
      <c r="HM328" s="663"/>
      <c r="HN328" s="663"/>
      <c r="HO328" s="663"/>
      <c r="HP328" s="663"/>
      <c r="HQ328" s="663"/>
      <c r="HR328" s="663"/>
      <c r="HS328" s="663"/>
      <c r="HT328" s="663"/>
      <c r="HU328" s="663"/>
      <c r="HV328" s="663"/>
      <c r="HW328" s="663"/>
      <c r="HX328" s="663"/>
      <c r="HY328" s="663"/>
      <c r="HZ328" s="663"/>
      <c r="IA328" s="663"/>
      <c r="IB328" s="663"/>
      <c r="IC328" s="663"/>
      <c r="ID328" s="663"/>
      <c r="IE328" s="663"/>
      <c r="IF328" s="663"/>
      <c r="IG328" s="663"/>
      <c r="IH328" s="663"/>
      <c r="II328" s="663"/>
      <c r="IJ328" s="663"/>
      <c r="IK328" s="663"/>
      <c r="IL328" s="663"/>
      <c r="IM328" s="663"/>
      <c r="IN328" s="663"/>
      <c r="IO328" s="663"/>
      <c r="IP328" s="663"/>
      <c r="IQ328" s="70"/>
    </row>
    <row r="329" spans="10:251" ht="16.5" hidden="1" customHeight="1">
      <c r="J329" s="214"/>
      <c r="R329" s="95"/>
      <c r="S329" s="95"/>
      <c r="T329" s="95"/>
      <c r="U329" s="70"/>
      <c r="V329" s="214"/>
      <c r="W329" s="70"/>
      <c r="X329" s="70"/>
      <c r="Y329" s="70"/>
      <c r="Z329" s="70"/>
      <c r="AA329" s="70"/>
      <c r="AB329" s="70"/>
      <c r="AC329" s="70"/>
      <c r="AD329" s="70"/>
      <c r="AE329" s="70"/>
      <c r="AF329" s="70"/>
      <c r="AG329" s="70"/>
      <c r="AH329" s="70"/>
      <c r="AI329" s="70"/>
      <c r="AJ329" s="70"/>
      <c r="AK329" s="70"/>
      <c r="AL329" s="70"/>
      <c r="AM329" s="70"/>
      <c r="AN329" s="70"/>
      <c r="AO329" s="70"/>
      <c r="AP329" s="70"/>
      <c r="AQ329" s="70"/>
      <c r="AR329" s="70"/>
      <c r="AS329" s="70"/>
      <c r="AT329" s="70"/>
      <c r="AU329" s="70"/>
      <c r="AV329" s="70"/>
      <c r="AW329" s="70"/>
      <c r="AX329" s="70"/>
      <c r="AY329" s="70"/>
      <c r="AZ329" s="70"/>
      <c r="BA329" s="70"/>
      <c r="BB329" s="70"/>
      <c r="BC329" s="70"/>
      <c r="BD329" s="70"/>
      <c r="BE329" s="70"/>
      <c r="BF329" s="70"/>
      <c r="BG329" s="70"/>
      <c r="BH329" s="70"/>
      <c r="BI329" s="70"/>
      <c r="BJ329" s="70"/>
      <c r="BK329" s="70"/>
      <c r="BL329" s="70"/>
      <c r="BM329" s="70"/>
      <c r="BN329" s="70"/>
      <c r="BO329" s="70"/>
      <c r="BP329" s="70"/>
      <c r="BQ329" s="70"/>
      <c r="BR329" s="70"/>
      <c r="BS329" s="70"/>
      <c r="BT329" s="70"/>
      <c r="BU329" s="70"/>
      <c r="BV329" s="70"/>
      <c r="BW329" s="70"/>
      <c r="BX329" s="70"/>
      <c r="BY329" s="70"/>
      <c r="BZ329" s="70"/>
      <c r="CA329" s="70"/>
      <c r="CB329" s="70"/>
      <c r="CC329" s="70"/>
      <c r="CD329" s="70"/>
      <c r="CE329" s="70"/>
      <c r="CF329" s="70"/>
      <c r="CG329" s="70"/>
      <c r="CH329" s="70"/>
      <c r="CI329" s="70"/>
      <c r="CJ329" s="70"/>
      <c r="CK329" s="70"/>
      <c r="CL329" s="70"/>
      <c r="CM329" s="70"/>
      <c r="CN329" s="70"/>
      <c r="CO329" s="70"/>
      <c r="CP329" s="70"/>
      <c r="CQ329" s="70"/>
      <c r="CR329" s="70"/>
      <c r="CS329" s="70"/>
      <c r="CT329" s="70"/>
      <c r="CU329" s="70"/>
      <c r="CV329" s="70"/>
      <c r="CW329" s="70"/>
      <c r="CX329" s="70"/>
      <c r="CY329" s="70"/>
      <c r="CZ329" s="70"/>
      <c r="DA329" s="70"/>
      <c r="DB329" s="70"/>
      <c r="DC329" s="70"/>
      <c r="DD329" s="70"/>
      <c r="DE329" s="70"/>
      <c r="DF329" s="70"/>
      <c r="DG329" s="70"/>
      <c r="DH329" s="70"/>
      <c r="DI329" s="70"/>
      <c r="DJ329" s="70"/>
      <c r="DK329" s="70"/>
      <c r="DL329" s="70"/>
      <c r="DM329" s="70"/>
      <c r="DN329" s="70"/>
      <c r="DO329" s="70"/>
      <c r="DP329" s="70"/>
      <c r="DQ329" s="70"/>
      <c r="DR329" s="70"/>
      <c r="DS329" s="70"/>
      <c r="DT329" s="70"/>
      <c r="DU329" s="70"/>
      <c r="DV329" s="70"/>
      <c r="DW329" s="70"/>
      <c r="DX329" s="70"/>
      <c r="DY329" s="70"/>
      <c r="DZ329" s="70"/>
      <c r="EA329" s="70"/>
      <c r="EB329" s="70"/>
      <c r="EC329" s="70"/>
      <c r="ED329" s="70"/>
      <c r="EE329" s="95" t="s">
        <v>450</v>
      </c>
      <c r="EF329" s="652"/>
      <c r="EG329" s="652"/>
      <c r="EH329" s="652"/>
      <c r="EI329" s="216"/>
      <c r="EJ329" s="663"/>
      <c r="EK329" s="663"/>
      <c r="EL329" s="663"/>
      <c r="EM329" s="663"/>
      <c r="EN329" s="663"/>
      <c r="EO329" s="663"/>
      <c r="EP329" s="663"/>
      <c r="EQ329" s="663"/>
      <c r="ER329" s="663"/>
      <c r="ES329" s="663"/>
      <c r="ET329" s="663"/>
      <c r="EU329" s="663"/>
      <c r="EV329" s="663"/>
      <c r="EW329" s="663"/>
      <c r="EX329" s="663"/>
      <c r="EY329" s="663"/>
      <c r="EZ329" s="663"/>
      <c r="FA329" s="663"/>
      <c r="FB329" s="663"/>
      <c r="FC329" s="663"/>
      <c r="FD329" s="663"/>
      <c r="FE329" s="663"/>
      <c r="FF329" s="663"/>
      <c r="FG329" s="663"/>
      <c r="FH329" s="663"/>
      <c r="FI329" s="663"/>
      <c r="FJ329" s="663"/>
      <c r="FK329" s="663"/>
      <c r="FL329" s="663"/>
      <c r="FM329" s="663"/>
      <c r="FN329" s="663"/>
      <c r="FO329" s="663"/>
      <c r="FP329" s="663"/>
      <c r="FQ329" s="663"/>
      <c r="FR329" s="663"/>
      <c r="FS329" s="663"/>
      <c r="FT329" s="663"/>
      <c r="FU329" s="663"/>
      <c r="FV329" s="663"/>
      <c r="FW329" s="663"/>
      <c r="FX329" s="663"/>
      <c r="FY329" s="663"/>
      <c r="FZ329" s="663"/>
      <c r="GA329" s="663"/>
      <c r="GB329" s="663"/>
      <c r="GC329" s="663"/>
      <c r="GD329" s="663"/>
      <c r="GE329" s="663"/>
      <c r="GF329" s="663"/>
      <c r="GG329" s="663"/>
      <c r="GH329" s="663"/>
      <c r="GI329" s="663"/>
      <c r="GJ329" s="663"/>
      <c r="GK329" s="663"/>
      <c r="GL329" s="663"/>
      <c r="GM329" s="663"/>
      <c r="GN329" s="663"/>
      <c r="GO329" s="663"/>
      <c r="GP329" s="663"/>
      <c r="GQ329" s="663"/>
      <c r="GR329" s="663"/>
      <c r="GS329" s="663"/>
      <c r="GT329" s="663"/>
      <c r="GU329" s="663"/>
      <c r="GV329" s="663"/>
      <c r="GW329" s="663"/>
      <c r="GX329" s="663"/>
      <c r="GY329" s="663"/>
      <c r="GZ329" s="663"/>
      <c r="HA329" s="663"/>
      <c r="HB329" s="663"/>
      <c r="HC329" s="663"/>
      <c r="HD329" s="663"/>
      <c r="HE329" s="663"/>
      <c r="HF329" s="663"/>
      <c r="HG329" s="663"/>
      <c r="HH329" s="663"/>
      <c r="HI329" s="663"/>
      <c r="HJ329" s="663"/>
      <c r="HK329" s="663"/>
      <c r="HL329" s="663"/>
      <c r="HM329" s="663"/>
      <c r="HN329" s="663"/>
      <c r="HO329" s="663"/>
      <c r="HP329" s="663"/>
      <c r="HQ329" s="663"/>
      <c r="HR329" s="663"/>
      <c r="HS329" s="663"/>
      <c r="HT329" s="663"/>
      <c r="HU329" s="663"/>
      <c r="HV329" s="663"/>
      <c r="HW329" s="663"/>
      <c r="HX329" s="663"/>
      <c r="HY329" s="663"/>
      <c r="HZ329" s="663"/>
      <c r="IA329" s="663"/>
      <c r="IB329" s="663"/>
      <c r="IC329" s="663"/>
      <c r="ID329" s="663"/>
      <c r="IE329" s="663"/>
      <c r="IF329" s="663"/>
      <c r="IG329" s="663"/>
      <c r="IH329" s="663"/>
      <c r="II329" s="663"/>
      <c r="IJ329" s="663"/>
      <c r="IK329" s="663"/>
      <c r="IL329" s="663"/>
      <c r="IM329" s="663"/>
      <c r="IN329" s="663"/>
      <c r="IO329" s="663"/>
      <c r="IP329" s="663"/>
      <c r="IQ329" s="70"/>
    </row>
    <row r="330" spans="10:251" ht="16.5" hidden="1" customHeight="1">
      <c r="J330" s="214"/>
      <c r="R330" s="95"/>
      <c r="S330" s="95"/>
      <c r="T330" s="95"/>
      <c r="U330" s="70"/>
      <c r="V330" s="214"/>
      <c r="W330" s="70"/>
      <c r="X330" s="70"/>
      <c r="Y330" s="70"/>
      <c r="Z330" s="70"/>
      <c r="AA330" s="70"/>
      <c r="AB330" s="70"/>
      <c r="AC330" s="70"/>
      <c r="AD330" s="70"/>
      <c r="AE330" s="70"/>
      <c r="AF330" s="70"/>
      <c r="AG330" s="70"/>
      <c r="AH330" s="70"/>
      <c r="AI330" s="70"/>
      <c r="AJ330" s="70"/>
      <c r="AK330" s="70"/>
      <c r="AL330" s="70"/>
      <c r="AM330" s="70"/>
      <c r="AN330" s="70"/>
      <c r="AO330" s="70"/>
      <c r="AP330" s="70"/>
      <c r="AQ330" s="70"/>
      <c r="AR330" s="70"/>
      <c r="AS330" s="70"/>
      <c r="AT330" s="70"/>
      <c r="AU330" s="70"/>
      <c r="AV330" s="70"/>
      <c r="AW330" s="70"/>
      <c r="AX330" s="70"/>
      <c r="AY330" s="70"/>
      <c r="AZ330" s="70"/>
      <c r="BA330" s="70"/>
      <c r="BB330" s="70"/>
      <c r="BC330" s="70"/>
      <c r="BD330" s="70"/>
      <c r="BE330" s="70"/>
      <c r="BF330" s="70"/>
      <c r="BG330" s="70"/>
      <c r="BH330" s="70"/>
      <c r="BI330" s="70"/>
      <c r="BJ330" s="70"/>
      <c r="BK330" s="70"/>
      <c r="BL330" s="70"/>
      <c r="BM330" s="70"/>
      <c r="BN330" s="70"/>
      <c r="BO330" s="70"/>
      <c r="BP330" s="70"/>
      <c r="BQ330" s="70"/>
      <c r="BR330" s="70"/>
      <c r="BS330" s="70"/>
      <c r="BT330" s="70"/>
      <c r="BU330" s="70"/>
      <c r="BV330" s="70"/>
      <c r="BW330" s="70"/>
      <c r="BX330" s="70"/>
      <c r="BY330" s="70"/>
      <c r="BZ330" s="70"/>
      <c r="CA330" s="70"/>
      <c r="CB330" s="70"/>
      <c r="CC330" s="70"/>
      <c r="CD330" s="70"/>
      <c r="CE330" s="70"/>
      <c r="CF330" s="70"/>
      <c r="CG330" s="70"/>
      <c r="CH330" s="70"/>
      <c r="CI330" s="70"/>
      <c r="CJ330" s="70"/>
      <c r="CK330" s="70"/>
      <c r="CL330" s="70"/>
      <c r="CM330" s="70"/>
      <c r="CN330" s="70"/>
      <c r="CO330" s="70"/>
      <c r="CP330" s="70"/>
      <c r="CQ330" s="70"/>
      <c r="CR330" s="70"/>
      <c r="CS330" s="70"/>
      <c r="CT330" s="70"/>
      <c r="CU330" s="70"/>
      <c r="CV330" s="70"/>
      <c r="CW330" s="70"/>
      <c r="CX330" s="70"/>
      <c r="CY330" s="70"/>
      <c r="CZ330" s="70"/>
      <c r="DA330" s="70"/>
      <c r="DB330" s="70"/>
      <c r="DC330" s="70"/>
      <c r="DD330" s="70"/>
      <c r="DE330" s="70"/>
      <c r="DF330" s="70"/>
      <c r="DG330" s="70"/>
      <c r="DH330" s="70"/>
      <c r="DI330" s="70"/>
      <c r="DJ330" s="70"/>
      <c r="DK330" s="70"/>
      <c r="DL330" s="70"/>
      <c r="DM330" s="70"/>
      <c r="DN330" s="70"/>
      <c r="DO330" s="70"/>
      <c r="DP330" s="70"/>
      <c r="DQ330" s="70"/>
      <c r="DR330" s="70"/>
      <c r="DS330" s="70"/>
      <c r="DT330" s="70"/>
      <c r="DU330" s="70"/>
      <c r="DV330" s="70"/>
      <c r="DW330" s="70"/>
      <c r="DX330" s="70"/>
      <c r="DY330" s="70"/>
      <c r="DZ330" s="70"/>
      <c r="EA330" s="70"/>
      <c r="EB330" s="70"/>
      <c r="EC330" s="70"/>
      <c r="ED330" s="70"/>
      <c r="EE330" s="95" t="s">
        <v>450</v>
      </c>
      <c r="EF330" s="652"/>
      <c r="EG330" s="652"/>
      <c r="EH330" s="652"/>
      <c r="EI330" s="216"/>
      <c r="EJ330" s="663"/>
      <c r="EK330" s="663"/>
      <c r="EL330" s="663"/>
      <c r="EM330" s="663"/>
      <c r="EN330" s="663"/>
      <c r="EO330" s="663"/>
      <c r="EP330" s="663"/>
      <c r="EQ330" s="663"/>
      <c r="ER330" s="663"/>
      <c r="ES330" s="663"/>
      <c r="ET330" s="663"/>
      <c r="EU330" s="663"/>
      <c r="EV330" s="663"/>
      <c r="EW330" s="663"/>
      <c r="EX330" s="663"/>
      <c r="EY330" s="663"/>
      <c r="EZ330" s="663"/>
      <c r="FA330" s="663"/>
      <c r="FB330" s="663"/>
      <c r="FC330" s="663"/>
      <c r="FD330" s="663"/>
      <c r="FE330" s="663"/>
      <c r="FF330" s="663"/>
      <c r="FG330" s="663"/>
      <c r="FH330" s="663"/>
      <c r="FI330" s="663"/>
      <c r="FJ330" s="663"/>
      <c r="FK330" s="663"/>
      <c r="FL330" s="663"/>
      <c r="FM330" s="663"/>
      <c r="FN330" s="663"/>
      <c r="FO330" s="663"/>
      <c r="FP330" s="663"/>
      <c r="FQ330" s="663"/>
      <c r="FR330" s="663"/>
      <c r="FS330" s="663"/>
      <c r="FT330" s="663"/>
      <c r="FU330" s="663"/>
      <c r="FV330" s="663"/>
      <c r="FW330" s="663"/>
      <c r="FX330" s="663"/>
      <c r="FY330" s="663"/>
      <c r="FZ330" s="663"/>
      <c r="GA330" s="663"/>
      <c r="GB330" s="663"/>
      <c r="GC330" s="663"/>
      <c r="GD330" s="663"/>
      <c r="GE330" s="663"/>
      <c r="GF330" s="663"/>
      <c r="GG330" s="663"/>
      <c r="GH330" s="663"/>
      <c r="GI330" s="663"/>
      <c r="GJ330" s="663"/>
      <c r="GK330" s="663"/>
      <c r="GL330" s="663"/>
      <c r="GM330" s="663"/>
      <c r="GN330" s="663"/>
      <c r="GO330" s="663"/>
      <c r="GP330" s="663"/>
      <c r="GQ330" s="663"/>
      <c r="GR330" s="663"/>
      <c r="GS330" s="663"/>
      <c r="GT330" s="663"/>
      <c r="GU330" s="663"/>
      <c r="GV330" s="663"/>
      <c r="GW330" s="663"/>
      <c r="GX330" s="663"/>
      <c r="GY330" s="663"/>
      <c r="GZ330" s="663"/>
      <c r="HA330" s="663"/>
      <c r="HB330" s="663"/>
      <c r="HC330" s="663"/>
      <c r="HD330" s="663"/>
      <c r="HE330" s="663"/>
      <c r="HF330" s="663"/>
      <c r="HG330" s="663"/>
      <c r="HH330" s="663"/>
      <c r="HI330" s="663"/>
      <c r="HJ330" s="663"/>
      <c r="HK330" s="663"/>
      <c r="HL330" s="663"/>
      <c r="HM330" s="663"/>
      <c r="HN330" s="663"/>
      <c r="HO330" s="663"/>
      <c r="HP330" s="663"/>
      <c r="HQ330" s="663"/>
      <c r="HR330" s="663"/>
      <c r="HS330" s="663"/>
      <c r="HT330" s="663"/>
      <c r="HU330" s="663"/>
      <c r="HV330" s="663"/>
      <c r="HW330" s="663"/>
      <c r="HX330" s="663"/>
      <c r="HY330" s="663"/>
      <c r="HZ330" s="663"/>
      <c r="IA330" s="663"/>
      <c r="IB330" s="663"/>
      <c r="IC330" s="663"/>
      <c r="ID330" s="663"/>
      <c r="IE330" s="663"/>
      <c r="IF330" s="663"/>
      <c r="IG330" s="663"/>
      <c r="IH330" s="663"/>
      <c r="II330" s="663"/>
      <c r="IJ330" s="663"/>
      <c r="IK330" s="663"/>
      <c r="IL330" s="663"/>
      <c r="IM330" s="663"/>
      <c r="IN330" s="663"/>
      <c r="IO330" s="663"/>
      <c r="IP330" s="663"/>
      <c r="IQ330" s="70"/>
    </row>
    <row r="331" spans="10:251" ht="16.5" hidden="1" customHeight="1">
      <c r="J331" s="214"/>
      <c r="R331" s="95"/>
      <c r="S331" s="95"/>
      <c r="T331" s="95"/>
      <c r="U331" s="70"/>
      <c r="V331" s="214"/>
      <c r="W331" s="70"/>
      <c r="X331" s="70"/>
      <c r="Y331" s="70"/>
      <c r="Z331" s="70"/>
      <c r="AA331" s="70"/>
      <c r="AB331" s="70"/>
      <c r="AC331" s="70"/>
      <c r="AD331" s="70"/>
      <c r="AE331" s="70"/>
      <c r="AF331" s="70"/>
      <c r="AG331" s="70"/>
      <c r="AH331" s="70"/>
      <c r="AI331" s="70"/>
      <c r="AJ331" s="70"/>
      <c r="AK331" s="70"/>
      <c r="AL331" s="70"/>
      <c r="AM331" s="70"/>
      <c r="AN331" s="70"/>
      <c r="AO331" s="70"/>
      <c r="AP331" s="70"/>
      <c r="AQ331" s="70"/>
      <c r="AR331" s="70"/>
      <c r="AS331" s="70"/>
      <c r="AT331" s="70"/>
      <c r="AU331" s="70"/>
      <c r="AV331" s="70"/>
      <c r="AW331" s="70"/>
      <c r="AX331" s="70"/>
      <c r="AY331" s="70"/>
      <c r="AZ331" s="70"/>
      <c r="BA331" s="70"/>
      <c r="BB331" s="70"/>
      <c r="BC331" s="70"/>
      <c r="BD331" s="70"/>
      <c r="BE331" s="70"/>
      <c r="BF331" s="70"/>
      <c r="BG331" s="70"/>
      <c r="BH331" s="70"/>
      <c r="BI331" s="70"/>
      <c r="BJ331" s="70"/>
      <c r="BK331" s="70"/>
      <c r="BL331" s="70"/>
      <c r="BM331" s="70"/>
      <c r="BN331" s="70"/>
      <c r="BO331" s="70"/>
      <c r="BP331" s="70"/>
      <c r="BQ331" s="70"/>
      <c r="BR331" s="70"/>
      <c r="BS331" s="70"/>
      <c r="BT331" s="70"/>
      <c r="BU331" s="70"/>
      <c r="BV331" s="70"/>
      <c r="BW331" s="70"/>
      <c r="BX331" s="70"/>
      <c r="BY331" s="70"/>
      <c r="BZ331" s="70"/>
      <c r="CA331" s="70"/>
      <c r="CB331" s="70"/>
      <c r="CC331" s="70"/>
      <c r="CD331" s="70"/>
      <c r="CE331" s="70"/>
      <c r="CF331" s="70"/>
      <c r="CG331" s="70"/>
      <c r="CH331" s="70"/>
      <c r="CI331" s="70"/>
      <c r="CJ331" s="70"/>
      <c r="CK331" s="70"/>
      <c r="CL331" s="70"/>
      <c r="CM331" s="70"/>
      <c r="CN331" s="70"/>
      <c r="CO331" s="70"/>
      <c r="CP331" s="70"/>
      <c r="CQ331" s="70"/>
      <c r="CR331" s="70"/>
      <c r="CS331" s="70"/>
      <c r="CT331" s="70"/>
      <c r="CU331" s="70"/>
      <c r="CV331" s="70"/>
      <c r="CW331" s="70"/>
      <c r="CX331" s="70"/>
      <c r="CY331" s="70"/>
      <c r="CZ331" s="70"/>
      <c r="DA331" s="70"/>
      <c r="DB331" s="70"/>
      <c r="DC331" s="70"/>
      <c r="DD331" s="70"/>
      <c r="DE331" s="70"/>
      <c r="DF331" s="70"/>
      <c r="DG331" s="70"/>
      <c r="DH331" s="70"/>
      <c r="DI331" s="70"/>
      <c r="DJ331" s="70"/>
      <c r="DK331" s="70"/>
      <c r="DL331" s="70"/>
      <c r="DM331" s="70"/>
      <c r="DN331" s="70"/>
      <c r="DO331" s="70"/>
      <c r="DP331" s="70"/>
      <c r="DQ331" s="70"/>
      <c r="DR331" s="70"/>
      <c r="DS331" s="70"/>
      <c r="DT331" s="70"/>
      <c r="DU331" s="70"/>
      <c r="DV331" s="70"/>
      <c r="DW331" s="70"/>
      <c r="DX331" s="70"/>
      <c r="DY331" s="70"/>
      <c r="DZ331" s="70"/>
      <c r="EA331" s="70"/>
      <c r="EB331" s="70"/>
      <c r="EC331" s="70"/>
      <c r="ED331" s="70"/>
      <c r="EE331" s="95" t="s">
        <v>450</v>
      </c>
      <c r="EF331" s="652"/>
      <c r="EG331" s="652"/>
      <c r="EH331" s="652"/>
      <c r="EI331" s="216"/>
      <c r="EJ331" s="663"/>
      <c r="EK331" s="663"/>
      <c r="EL331" s="663"/>
      <c r="EM331" s="663"/>
      <c r="EN331" s="663"/>
      <c r="EO331" s="663"/>
      <c r="EP331" s="663"/>
      <c r="EQ331" s="663"/>
      <c r="ER331" s="663"/>
      <c r="ES331" s="663"/>
      <c r="ET331" s="663"/>
      <c r="EU331" s="663"/>
      <c r="EV331" s="663"/>
      <c r="EW331" s="663"/>
      <c r="EX331" s="663"/>
      <c r="EY331" s="663"/>
      <c r="EZ331" s="663"/>
      <c r="FA331" s="663"/>
      <c r="FB331" s="663"/>
      <c r="FC331" s="663"/>
      <c r="FD331" s="663"/>
      <c r="FE331" s="663"/>
      <c r="FF331" s="663"/>
      <c r="FG331" s="663"/>
      <c r="FH331" s="663"/>
      <c r="FI331" s="663"/>
      <c r="FJ331" s="663"/>
      <c r="FK331" s="663"/>
      <c r="FL331" s="663"/>
      <c r="FM331" s="663"/>
      <c r="FN331" s="663"/>
      <c r="FO331" s="663"/>
      <c r="FP331" s="663"/>
      <c r="FQ331" s="663"/>
      <c r="FR331" s="663"/>
      <c r="FS331" s="663"/>
      <c r="FT331" s="663"/>
      <c r="FU331" s="663"/>
      <c r="FV331" s="663"/>
      <c r="FW331" s="663"/>
      <c r="FX331" s="663"/>
      <c r="FY331" s="663"/>
      <c r="FZ331" s="663"/>
      <c r="GA331" s="663"/>
      <c r="GB331" s="663"/>
      <c r="GC331" s="663"/>
      <c r="GD331" s="663"/>
      <c r="GE331" s="663"/>
      <c r="GF331" s="663"/>
      <c r="GG331" s="663"/>
      <c r="GH331" s="663"/>
      <c r="GI331" s="663"/>
      <c r="GJ331" s="663"/>
      <c r="GK331" s="663"/>
      <c r="GL331" s="663"/>
      <c r="GM331" s="663"/>
      <c r="GN331" s="663"/>
      <c r="GO331" s="663"/>
      <c r="GP331" s="663"/>
      <c r="GQ331" s="663"/>
      <c r="GR331" s="663"/>
      <c r="GS331" s="663"/>
      <c r="GT331" s="663"/>
      <c r="GU331" s="663"/>
      <c r="GV331" s="663"/>
      <c r="GW331" s="663"/>
      <c r="GX331" s="663"/>
      <c r="GY331" s="663"/>
      <c r="GZ331" s="663"/>
      <c r="HA331" s="663"/>
      <c r="HB331" s="663"/>
      <c r="HC331" s="663"/>
      <c r="HD331" s="663"/>
      <c r="HE331" s="663"/>
      <c r="HF331" s="663"/>
      <c r="HG331" s="663"/>
      <c r="HH331" s="663"/>
      <c r="HI331" s="663"/>
      <c r="HJ331" s="663"/>
      <c r="HK331" s="663"/>
      <c r="HL331" s="663"/>
      <c r="HM331" s="663"/>
      <c r="HN331" s="663"/>
      <c r="HO331" s="663"/>
      <c r="HP331" s="663"/>
      <c r="HQ331" s="663"/>
      <c r="HR331" s="663"/>
      <c r="HS331" s="663"/>
      <c r="HT331" s="663"/>
      <c r="HU331" s="663"/>
      <c r="HV331" s="663"/>
      <c r="HW331" s="663"/>
      <c r="HX331" s="663"/>
      <c r="HY331" s="663"/>
      <c r="HZ331" s="663"/>
      <c r="IA331" s="663"/>
      <c r="IB331" s="663"/>
      <c r="IC331" s="663"/>
      <c r="ID331" s="663"/>
      <c r="IE331" s="663"/>
      <c r="IF331" s="663"/>
      <c r="IG331" s="663"/>
      <c r="IH331" s="663"/>
      <c r="II331" s="663"/>
      <c r="IJ331" s="663"/>
      <c r="IK331" s="663"/>
      <c r="IL331" s="663"/>
      <c r="IM331" s="663"/>
      <c r="IN331" s="663"/>
      <c r="IO331" s="663"/>
      <c r="IP331" s="663"/>
      <c r="IQ331" s="70"/>
    </row>
    <row r="332" spans="10:251" ht="16.5" hidden="1" customHeight="1">
      <c r="J332" s="214"/>
      <c r="R332" s="95"/>
      <c r="S332" s="95"/>
      <c r="T332" s="95"/>
      <c r="U332" s="70"/>
      <c r="V332" s="214"/>
      <c r="W332" s="70"/>
      <c r="X332" s="70"/>
      <c r="Y332" s="70"/>
      <c r="Z332" s="70"/>
      <c r="AA332" s="70"/>
      <c r="AB332" s="70"/>
      <c r="AC332" s="70"/>
      <c r="AD332" s="70"/>
      <c r="AE332" s="70"/>
      <c r="AF332" s="70"/>
      <c r="AG332" s="70"/>
      <c r="AH332" s="70"/>
      <c r="AI332" s="70"/>
      <c r="AJ332" s="70"/>
      <c r="AK332" s="70"/>
      <c r="AL332" s="70"/>
      <c r="AM332" s="70"/>
      <c r="AN332" s="70"/>
      <c r="AO332" s="70"/>
      <c r="AP332" s="70"/>
      <c r="AQ332" s="70"/>
      <c r="AR332" s="70"/>
      <c r="AS332" s="70"/>
      <c r="AT332" s="70"/>
      <c r="AU332" s="70"/>
      <c r="AV332" s="70"/>
      <c r="AW332" s="70"/>
      <c r="AX332" s="70"/>
      <c r="AY332" s="70"/>
      <c r="AZ332" s="70"/>
      <c r="BA332" s="70"/>
      <c r="BB332" s="70"/>
      <c r="BC332" s="70"/>
      <c r="BD332" s="70"/>
      <c r="BE332" s="70"/>
      <c r="BF332" s="70"/>
      <c r="BG332" s="70"/>
      <c r="BH332" s="70"/>
      <c r="BI332" s="70"/>
      <c r="BJ332" s="70"/>
      <c r="BK332" s="70"/>
      <c r="BL332" s="70"/>
      <c r="BM332" s="70"/>
      <c r="BN332" s="70"/>
      <c r="BO332" s="70"/>
      <c r="BP332" s="70"/>
      <c r="BQ332" s="70"/>
      <c r="BR332" s="70"/>
      <c r="BS332" s="70"/>
      <c r="BT332" s="70"/>
      <c r="BU332" s="70"/>
      <c r="BV332" s="70"/>
      <c r="BW332" s="70"/>
      <c r="BX332" s="70"/>
      <c r="BY332" s="70"/>
      <c r="BZ332" s="70"/>
      <c r="CA332" s="70"/>
      <c r="CB332" s="70"/>
      <c r="CC332" s="70"/>
      <c r="CD332" s="70"/>
      <c r="CE332" s="70"/>
      <c r="CF332" s="70"/>
      <c r="CG332" s="70"/>
      <c r="CH332" s="70"/>
      <c r="CI332" s="70"/>
      <c r="CJ332" s="70"/>
      <c r="CK332" s="70"/>
      <c r="CL332" s="70"/>
      <c r="CM332" s="70"/>
      <c r="CN332" s="70"/>
      <c r="CO332" s="70"/>
      <c r="CP332" s="70"/>
      <c r="CQ332" s="70"/>
      <c r="CR332" s="70"/>
      <c r="CS332" s="70"/>
      <c r="CT332" s="70"/>
      <c r="CU332" s="70"/>
      <c r="CV332" s="70"/>
      <c r="CW332" s="70"/>
      <c r="CX332" s="70"/>
      <c r="CY332" s="70"/>
      <c r="CZ332" s="70"/>
      <c r="DA332" s="70"/>
      <c r="DB332" s="70"/>
      <c r="DC332" s="70"/>
      <c r="DD332" s="70"/>
      <c r="DE332" s="70"/>
      <c r="DF332" s="70"/>
      <c r="DG332" s="70"/>
      <c r="DH332" s="70"/>
      <c r="DI332" s="70"/>
      <c r="DJ332" s="70"/>
      <c r="DK332" s="70"/>
      <c r="DL332" s="70"/>
      <c r="DM332" s="70"/>
      <c r="DN332" s="70"/>
      <c r="DO332" s="70"/>
      <c r="DP332" s="70"/>
      <c r="DQ332" s="70"/>
      <c r="DR332" s="70"/>
      <c r="DS332" s="70"/>
      <c r="DT332" s="70"/>
      <c r="DU332" s="70"/>
      <c r="DV332" s="70"/>
      <c r="DW332" s="70"/>
      <c r="DX332" s="70"/>
      <c r="DY332" s="70"/>
      <c r="DZ332" s="70"/>
      <c r="EA332" s="70"/>
      <c r="EB332" s="70"/>
      <c r="EC332" s="70"/>
      <c r="ED332" s="70"/>
      <c r="EE332" s="95" t="s">
        <v>450</v>
      </c>
      <c r="EF332" s="652"/>
      <c r="EG332" s="652"/>
      <c r="EH332" s="652"/>
      <c r="EI332" s="216"/>
      <c r="EJ332" s="663"/>
      <c r="EK332" s="663"/>
      <c r="EL332" s="663"/>
      <c r="EM332" s="663"/>
      <c r="EN332" s="663"/>
      <c r="EO332" s="663"/>
      <c r="EP332" s="663"/>
      <c r="EQ332" s="663"/>
      <c r="ER332" s="663"/>
      <c r="ES332" s="663"/>
      <c r="ET332" s="663"/>
      <c r="EU332" s="663"/>
      <c r="EV332" s="663"/>
      <c r="EW332" s="663"/>
      <c r="EX332" s="663"/>
      <c r="EY332" s="663"/>
      <c r="EZ332" s="663"/>
      <c r="FA332" s="663"/>
      <c r="FB332" s="663"/>
      <c r="FC332" s="663"/>
      <c r="FD332" s="663"/>
      <c r="FE332" s="663"/>
      <c r="FF332" s="663"/>
      <c r="FG332" s="663"/>
      <c r="FH332" s="663"/>
      <c r="FI332" s="663"/>
      <c r="FJ332" s="663"/>
      <c r="FK332" s="663"/>
      <c r="FL332" s="663"/>
      <c r="FM332" s="663"/>
      <c r="FN332" s="663"/>
      <c r="FO332" s="663"/>
      <c r="FP332" s="663"/>
      <c r="FQ332" s="663"/>
      <c r="FR332" s="663"/>
      <c r="FS332" s="663"/>
      <c r="FT332" s="663"/>
      <c r="FU332" s="663"/>
      <c r="FV332" s="663"/>
      <c r="FW332" s="663"/>
      <c r="FX332" s="663"/>
      <c r="FY332" s="663"/>
      <c r="FZ332" s="663"/>
      <c r="GA332" s="663"/>
      <c r="GB332" s="663"/>
      <c r="GC332" s="663"/>
      <c r="GD332" s="663"/>
      <c r="GE332" s="663"/>
      <c r="GF332" s="663"/>
      <c r="GG332" s="663"/>
      <c r="GH332" s="663"/>
      <c r="GI332" s="663"/>
      <c r="GJ332" s="663"/>
      <c r="GK332" s="663"/>
      <c r="GL332" s="663"/>
      <c r="GM332" s="663"/>
      <c r="GN332" s="663"/>
      <c r="GO332" s="663"/>
      <c r="GP332" s="663"/>
      <c r="GQ332" s="663"/>
      <c r="GR332" s="663"/>
      <c r="GS332" s="663"/>
      <c r="GT332" s="663"/>
      <c r="GU332" s="663"/>
      <c r="GV332" s="663"/>
      <c r="GW332" s="663"/>
      <c r="GX332" s="663"/>
      <c r="GY332" s="663"/>
      <c r="GZ332" s="663"/>
      <c r="HA332" s="663"/>
      <c r="HB332" s="663"/>
      <c r="HC332" s="663"/>
      <c r="HD332" s="663"/>
      <c r="HE332" s="663"/>
      <c r="HF332" s="663"/>
      <c r="HG332" s="663"/>
      <c r="HH332" s="663"/>
      <c r="HI332" s="663"/>
      <c r="HJ332" s="663"/>
      <c r="HK332" s="663"/>
      <c r="HL332" s="663"/>
      <c r="HM332" s="663"/>
      <c r="HN332" s="663"/>
      <c r="HO332" s="663"/>
      <c r="HP332" s="663"/>
      <c r="HQ332" s="663"/>
      <c r="HR332" s="663"/>
      <c r="HS332" s="663"/>
      <c r="HT332" s="663"/>
      <c r="HU332" s="663"/>
      <c r="HV332" s="663"/>
      <c r="HW332" s="663"/>
      <c r="HX332" s="663"/>
      <c r="HY332" s="663"/>
      <c r="HZ332" s="663"/>
      <c r="IA332" s="663"/>
      <c r="IB332" s="663"/>
      <c r="IC332" s="663"/>
      <c r="ID332" s="663"/>
      <c r="IE332" s="663"/>
      <c r="IF332" s="663"/>
      <c r="IG332" s="663"/>
      <c r="IH332" s="663"/>
      <c r="II332" s="663"/>
      <c r="IJ332" s="663"/>
      <c r="IK332" s="663"/>
      <c r="IL332" s="663"/>
      <c r="IM332" s="663"/>
      <c r="IN332" s="663"/>
      <c r="IO332" s="663"/>
      <c r="IP332" s="663"/>
      <c r="IQ332" s="70"/>
    </row>
    <row r="333" spans="10:251" ht="16.5" hidden="1" customHeight="1">
      <c r="J333" s="214"/>
      <c r="R333" s="95"/>
      <c r="S333" s="95"/>
      <c r="T333" s="95"/>
      <c r="U333" s="70"/>
      <c r="V333" s="214"/>
      <c r="W333" s="70"/>
      <c r="X333" s="70"/>
      <c r="Y333" s="70"/>
      <c r="Z333" s="70"/>
      <c r="AA333" s="70"/>
      <c r="AB333" s="70"/>
      <c r="AC333" s="70"/>
      <c r="AD333" s="70"/>
      <c r="AE333" s="70"/>
      <c r="AF333" s="70"/>
      <c r="AG333" s="70"/>
      <c r="AH333" s="70"/>
      <c r="AI333" s="70"/>
      <c r="AJ333" s="70"/>
      <c r="AK333" s="70"/>
      <c r="AL333" s="70"/>
      <c r="AM333" s="70"/>
      <c r="AN333" s="70"/>
      <c r="AO333" s="70"/>
      <c r="AP333" s="70"/>
      <c r="AQ333" s="70"/>
      <c r="AR333" s="70"/>
      <c r="AS333" s="70"/>
      <c r="AT333" s="70"/>
      <c r="AU333" s="70"/>
      <c r="AV333" s="70"/>
      <c r="AW333" s="70"/>
      <c r="AX333" s="70"/>
      <c r="AY333" s="70"/>
      <c r="AZ333" s="70"/>
      <c r="BA333" s="70"/>
      <c r="BB333" s="70"/>
      <c r="BC333" s="70"/>
      <c r="BD333" s="70"/>
      <c r="BE333" s="70"/>
      <c r="BF333" s="70"/>
      <c r="BG333" s="70"/>
      <c r="BH333" s="70"/>
      <c r="BI333" s="70"/>
      <c r="BJ333" s="70"/>
      <c r="BK333" s="70"/>
      <c r="BL333" s="70"/>
      <c r="BM333" s="70"/>
      <c r="BN333" s="70"/>
      <c r="BO333" s="70"/>
      <c r="BP333" s="70"/>
      <c r="BQ333" s="70"/>
      <c r="BR333" s="70"/>
      <c r="BS333" s="70"/>
      <c r="BT333" s="70"/>
      <c r="BU333" s="70"/>
      <c r="BV333" s="70"/>
      <c r="BW333" s="70"/>
      <c r="BX333" s="70"/>
      <c r="BY333" s="70"/>
      <c r="BZ333" s="70"/>
      <c r="CA333" s="70"/>
      <c r="CB333" s="70"/>
      <c r="CC333" s="70"/>
      <c r="CD333" s="70"/>
      <c r="CE333" s="70"/>
      <c r="CF333" s="70"/>
      <c r="CG333" s="70"/>
      <c r="CH333" s="70"/>
      <c r="CI333" s="70"/>
      <c r="CJ333" s="70"/>
      <c r="CK333" s="70"/>
      <c r="CL333" s="70"/>
      <c r="CM333" s="70"/>
      <c r="CN333" s="70"/>
      <c r="CO333" s="70"/>
      <c r="CP333" s="70"/>
      <c r="CQ333" s="70"/>
      <c r="CR333" s="70"/>
      <c r="CS333" s="70"/>
      <c r="CT333" s="70"/>
      <c r="CU333" s="70"/>
      <c r="CV333" s="70"/>
      <c r="CW333" s="70"/>
      <c r="CX333" s="70"/>
      <c r="CY333" s="70"/>
      <c r="CZ333" s="70"/>
      <c r="DA333" s="70"/>
      <c r="DB333" s="70"/>
      <c r="DC333" s="70"/>
      <c r="DD333" s="70"/>
      <c r="DE333" s="70"/>
      <c r="DF333" s="70"/>
      <c r="DG333" s="70"/>
      <c r="DH333" s="70"/>
      <c r="DI333" s="70"/>
      <c r="DJ333" s="70"/>
      <c r="DK333" s="70"/>
      <c r="DL333" s="70"/>
      <c r="DM333" s="70"/>
      <c r="DN333" s="70"/>
      <c r="DO333" s="70"/>
      <c r="DP333" s="70"/>
      <c r="DQ333" s="70"/>
      <c r="DR333" s="70"/>
      <c r="DS333" s="70"/>
      <c r="DT333" s="70"/>
      <c r="DU333" s="70"/>
      <c r="DV333" s="70"/>
      <c r="DW333" s="70"/>
      <c r="DX333" s="70"/>
      <c r="DY333" s="70"/>
      <c r="DZ333" s="70"/>
      <c r="EA333" s="70"/>
      <c r="EB333" s="70"/>
      <c r="EC333" s="70"/>
      <c r="ED333" s="70"/>
      <c r="EE333" s="95" t="s">
        <v>450</v>
      </c>
      <c r="EF333" s="652"/>
      <c r="EG333" s="652"/>
      <c r="EH333" s="652"/>
      <c r="EI333" s="216"/>
      <c r="EJ333" s="663"/>
      <c r="EK333" s="663"/>
      <c r="EL333" s="663"/>
      <c r="EM333" s="663"/>
      <c r="EN333" s="663"/>
      <c r="EO333" s="663"/>
      <c r="EP333" s="663"/>
      <c r="EQ333" s="663"/>
      <c r="ER333" s="663"/>
      <c r="ES333" s="663"/>
      <c r="ET333" s="663"/>
      <c r="EU333" s="663"/>
      <c r="EV333" s="663"/>
      <c r="EW333" s="663"/>
      <c r="EX333" s="663"/>
      <c r="EY333" s="663"/>
      <c r="EZ333" s="663"/>
      <c r="FA333" s="663"/>
      <c r="FB333" s="663"/>
      <c r="FC333" s="663"/>
      <c r="FD333" s="663"/>
      <c r="FE333" s="663"/>
      <c r="FF333" s="663"/>
      <c r="FG333" s="663"/>
      <c r="FH333" s="663"/>
      <c r="FI333" s="663"/>
      <c r="FJ333" s="663"/>
      <c r="FK333" s="663"/>
      <c r="FL333" s="663"/>
      <c r="FM333" s="663"/>
      <c r="FN333" s="663"/>
      <c r="FO333" s="663"/>
      <c r="FP333" s="663"/>
      <c r="FQ333" s="663"/>
      <c r="FR333" s="663"/>
      <c r="FS333" s="663"/>
      <c r="FT333" s="663"/>
      <c r="FU333" s="663"/>
      <c r="FV333" s="663"/>
      <c r="FW333" s="663"/>
      <c r="FX333" s="663"/>
      <c r="FY333" s="663"/>
      <c r="FZ333" s="663"/>
      <c r="GA333" s="663"/>
      <c r="GB333" s="663"/>
      <c r="GC333" s="663"/>
      <c r="GD333" s="663"/>
      <c r="GE333" s="663"/>
      <c r="GF333" s="663"/>
      <c r="GG333" s="663"/>
      <c r="GH333" s="663"/>
      <c r="GI333" s="663"/>
      <c r="GJ333" s="663"/>
      <c r="GK333" s="663"/>
      <c r="GL333" s="663"/>
      <c r="GM333" s="663"/>
      <c r="GN333" s="663"/>
      <c r="GO333" s="663"/>
      <c r="GP333" s="663"/>
      <c r="GQ333" s="663"/>
      <c r="GR333" s="663"/>
      <c r="GS333" s="663"/>
      <c r="GT333" s="663"/>
      <c r="GU333" s="663"/>
      <c r="GV333" s="663"/>
      <c r="GW333" s="663"/>
      <c r="GX333" s="663"/>
      <c r="GY333" s="663"/>
      <c r="GZ333" s="663"/>
      <c r="HA333" s="663"/>
      <c r="HB333" s="663"/>
      <c r="HC333" s="663"/>
      <c r="HD333" s="663"/>
      <c r="HE333" s="663"/>
      <c r="HF333" s="663"/>
      <c r="HG333" s="663"/>
      <c r="HH333" s="663"/>
      <c r="HI333" s="663"/>
      <c r="HJ333" s="663"/>
      <c r="HK333" s="663"/>
      <c r="HL333" s="663"/>
      <c r="HM333" s="663"/>
      <c r="HN333" s="663"/>
      <c r="HO333" s="663"/>
      <c r="HP333" s="663"/>
      <c r="HQ333" s="663"/>
      <c r="HR333" s="663"/>
      <c r="HS333" s="663"/>
      <c r="HT333" s="663"/>
      <c r="HU333" s="663"/>
      <c r="HV333" s="663"/>
      <c r="HW333" s="663"/>
      <c r="HX333" s="663"/>
      <c r="HY333" s="663"/>
      <c r="HZ333" s="663"/>
      <c r="IA333" s="663"/>
      <c r="IB333" s="663"/>
      <c r="IC333" s="663"/>
      <c r="ID333" s="663"/>
      <c r="IE333" s="663"/>
      <c r="IF333" s="663"/>
      <c r="IG333" s="663"/>
      <c r="IH333" s="663"/>
      <c r="II333" s="663"/>
      <c r="IJ333" s="663"/>
      <c r="IK333" s="663"/>
      <c r="IL333" s="663"/>
      <c r="IM333" s="663"/>
      <c r="IN333" s="663"/>
      <c r="IO333" s="663"/>
      <c r="IP333" s="663"/>
      <c r="IQ333" s="70"/>
    </row>
    <row r="334" spans="10:251" ht="16.5" hidden="1" customHeight="1">
      <c r="J334" s="214"/>
      <c r="R334" s="95"/>
      <c r="S334" s="95"/>
      <c r="T334" s="95"/>
      <c r="U334" s="70"/>
      <c r="V334" s="214"/>
      <c r="W334" s="70"/>
      <c r="X334" s="70"/>
      <c r="Y334" s="70"/>
      <c r="Z334" s="70"/>
      <c r="AA334" s="70"/>
      <c r="AB334" s="70"/>
      <c r="AC334" s="70"/>
      <c r="AD334" s="70"/>
      <c r="AE334" s="70"/>
      <c r="AF334" s="70"/>
      <c r="AG334" s="70"/>
      <c r="AH334" s="70"/>
      <c r="AI334" s="70"/>
      <c r="AJ334" s="70"/>
      <c r="AK334" s="70"/>
      <c r="AL334" s="70"/>
      <c r="AM334" s="70"/>
      <c r="AN334" s="70"/>
      <c r="AO334" s="70"/>
      <c r="AP334" s="70"/>
      <c r="AQ334" s="70"/>
      <c r="AR334" s="70"/>
      <c r="AS334" s="70"/>
      <c r="AT334" s="70"/>
      <c r="AU334" s="70"/>
      <c r="AV334" s="70"/>
      <c r="AW334" s="70"/>
      <c r="AX334" s="70"/>
      <c r="AY334" s="70"/>
      <c r="AZ334" s="70"/>
      <c r="BA334" s="70"/>
      <c r="BB334" s="70"/>
      <c r="BC334" s="70"/>
      <c r="BD334" s="70"/>
      <c r="BE334" s="70"/>
      <c r="BF334" s="70"/>
      <c r="BG334" s="70"/>
      <c r="BH334" s="70"/>
      <c r="BI334" s="70"/>
      <c r="BJ334" s="70"/>
      <c r="BK334" s="70"/>
      <c r="BL334" s="70"/>
      <c r="BM334" s="70"/>
      <c r="BN334" s="70"/>
      <c r="BO334" s="70"/>
      <c r="BP334" s="70"/>
      <c r="BQ334" s="70"/>
      <c r="BR334" s="70"/>
      <c r="BS334" s="70"/>
      <c r="BT334" s="70"/>
      <c r="BU334" s="70"/>
      <c r="BV334" s="70"/>
      <c r="BW334" s="70"/>
      <c r="BX334" s="70"/>
      <c r="BY334" s="70"/>
      <c r="BZ334" s="70"/>
      <c r="CA334" s="70"/>
      <c r="CB334" s="70"/>
      <c r="CC334" s="70"/>
      <c r="CD334" s="70"/>
      <c r="CE334" s="70"/>
      <c r="CF334" s="70"/>
      <c r="CG334" s="70"/>
      <c r="CH334" s="70"/>
      <c r="CI334" s="70"/>
      <c r="CJ334" s="70"/>
      <c r="CK334" s="70"/>
      <c r="CL334" s="70"/>
      <c r="CM334" s="70"/>
      <c r="CN334" s="70"/>
      <c r="CO334" s="70"/>
      <c r="CP334" s="70"/>
      <c r="CQ334" s="70"/>
      <c r="CR334" s="70"/>
      <c r="CS334" s="70"/>
      <c r="CT334" s="70"/>
      <c r="CU334" s="70"/>
      <c r="CV334" s="70"/>
      <c r="CW334" s="70"/>
      <c r="CX334" s="70"/>
      <c r="CY334" s="70"/>
      <c r="CZ334" s="70"/>
      <c r="DA334" s="70"/>
      <c r="DB334" s="70"/>
      <c r="DC334" s="70"/>
      <c r="DD334" s="70"/>
      <c r="DE334" s="70"/>
      <c r="DF334" s="70"/>
      <c r="DG334" s="70"/>
      <c r="DH334" s="70"/>
      <c r="DI334" s="70"/>
      <c r="DJ334" s="70"/>
      <c r="DK334" s="70"/>
      <c r="DL334" s="70"/>
      <c r="DM334" s="70"/>
      <c r="DN334" s="70"/>
      <c r="DO334" s="70"/>
      <c r="DP334" s="70"/>
      <c r="DQ334" s="70"/>
      <c r="DR334" s="70"/>
      <c r="DS334" s="70"/>
      <c r="DT334" s="70"/>
      <c r="DU334" s="70"/>
      <c r="DV334" s="70"/>
      <c r="DW334" s="70"/>
      <c r="DX334" s="70"/>
      <c r="DY334" s="70"/>
      <c r="DZ334" s="70"/>
      <c r="EA334" s="70"/>
      <c r="EB334" s="70"/>
      <c r="EC334" s="70"/>
      <c r="ED334" s="70"/>
      <c r="EE334" s="95" t="s">
        <v>450</v>
      </c>
      <c r="EF334" s="652"/>
      <c r="EG334" s="652"/>
      <c r="EH334" s="652"/>
      <c r="EI334" s="216"/>
      <c r="EJ334" s="663"/>
      <c r="EK334" s="663"/>
      <c r="EL334" s="663"/>
      <c r="EM334" s="663"/>
      <c r="EN334" s="663"/>
      <c r="EO334" s="663"/>
      <c r="EP334" s="663"/>
      <c r="EQ334" s="663"/>
      <c r="ER334" s="663"/>
      <c r="ES334" s="663"/>
      <c r="ET334" s="663"/>
      <c r="EU334" s="663"/>
      <c r="EV334" s="663"/>
      <c r="EW334" s="663"/>
      <c r="EX334" s="663"/>
      <c r="EY334" s="663"/>
      <c r="EZ334" s="663"/>
      <c r="FA334" s="663"/>
      <c r="FB334" s="663"/>
      <c r="FC334" s="663"/>
      <c r="FD334" s="663"/>
      <c r="FE334" s="663"/>
      <c r="FF334" s="663"/>
      <c r="FG334" s="663"/>
      <c r="FH334" s="663"/>
      <c r="FI334" s="663"/>
      <c r="FJ334" s="663"/>
      <c r="FK334" s="663"/>
      <c r="FL334" s="663"/>
      <c r="FM334" s="663"/>
      <c r="FN334" s="663"/>
      <c r="FO334" s="663"/>
      <c r="FP334" s="663"/>
      <c r="FQ334" s="663"/>
      <c r="FR334" s="663"/>
      <c r="FS334" s="663"/>
      <c r="FT334" s="663"/>
      <c r="FU334" s="663"/>
      <c r="FV334" s="663"/>
      <c r="FW334" s="663"/>
      <c r="FX334" s="663"/>
      <c r="FY334" s="663"/>
      <c r="FZ334" s="663"/>
      <c r="GA334" s="663"/>
      <c r="GB334" s="663"/>
      <c r="GC334" s="663"/>
      <c r="GD334" s="663"/>
      <c r="GE334" s="663"/>
      <c r="GF334" s="663"/>
      <c r="GG334" s="663"/>
      <c r="GH334" s="663"/>
      <c r="GI334" s="663"/>
      <c r="GJ334" s="663"/>
      <c r="GK334" s="663"/>
      <c r="GL334" s="663"/>
      <c r="GM334" s="663"/>
      <c r="GN334" s="663"/>
      <c r="GO334" s="663"/>
      <c r="GP334" s="663"/>
      <c r="GQ334" s="663"/>
      <c r="GR334" s="663"/>
      <c r="GS334" s="663"/>
      <c r="GT334" s="663"/>
      <c r="GU334" s="663"/>
      <c r="GV334" s="663"/>
      <c r="GW334" s="663"/>
      <c r="GX334" s="663"/>
      <c r="GY334" s="663"/>
      <c r="GZ334" s="663"/>
      <c r="HA334" s="663"/>
      <c r="HB334" s="663"/>
      <c r="HC334" s="663"/>
      <c r="HD334" s="663"/>
      <c r="HE334" s="663"/>
      <c r="HF334" s="663"/>
      <c r="HG334" s="663"/>
      <c r="HH334" s="663"/>
      <c r="HI334" s="663"/>
      <c r="HJ334" s="663"/>
      <c r="HK334" s="663"/>
      <c r="HL334" s="663"/>
      <c r="HM334" s="663"/>
      <c r="HN334" s="663"/>
      <c r="HO334" s="663"/>
      <c r="HP334" s="663"/>
      <c r="HQ334" s="663"/>
      <c r="HR334" s="663"/>
      <c r="HS334" s="663"/>
      <c r="HT334" s="663"/>
      <c r="HU334" s="663"/>
      <c r="HV334" s="663"/>
      <c r="HW334" s="663"/>
      <c r="HX334" s="663"/>
      <c r="HY334" s="663"/>
      <c r="HZ334" s="663"/>
      <c r="IA334" s="663"/>
      <c r="IB334" s="663"/>
      <c r="IC334" s="663"/>
      <c r="ID334" s="663"/>
      <c r="IE334" s="663"/>
      <c r="IF334" s="663"/>
      <c r="IG334" s="663"/>
      <c r="IH334" s="663"/>
      <c r="II334" s="663"/>
      <c r="IJ334" s="663"/>
      <c r="IK334" s="663"/>
      <c r="IL334" s="663"/>
      <c r="IM334" s="663"/>
      <c r="IN334" s="663"/>
      <c r="IO334" s="663"/>
      <c r="IP334" s="663"/>
      <c r="IQ334" s="70"/>
    </row>
    <row r="335" spans="10:251" ht="16.5" hidden="1" customHeight="1">
      <c r="J335" s="214"/>
      <c r="R335" s="95"/>
      <c r="S335" s="95"/>
      <c r="T335" s="95"/>
      <c r="U335" s="70"/>
      <c r="V335" s="214"/>
      <c r="W335" s="70"/>
      <c r="X335" s="70"/>
      <c r="Y335" s="70"/>
      <c r="Z335" s="70"/>
      <c r="AA335" s="70"/>
      <c r="AB335" s="70"/>
      <c r="AC335" s="70"/>
      <c r="AD335" s="70"/>
      <c r="AE335" s="70"/>
      <c r="AF335" s="70"/>
      <c r="AG335" s="70"/>
      <c r="AH335" s="70"/>
      <c r="AI335" s="70"/>
      <c r="AJ335" s="70"/>
      <c r="AK335" s="70"/>
      <c r="AL335" s="70"/>
      <c r="AM335" s="70"/>
      <c r="AN335" s="70"/>
      <c r="AO335" s="70"/>
      <c r="AP335" s="70"/>
      <c r="AQ335" s="70"/>
      <c r="AR335" s="70"/>
      <c r="AS335" s="70"/>
      <c r="AT335" s="70"/>
      <c r="AU335" s="70"/>
      <c r="AV335" s="70"/>
      <c r="AW335" s="70"/>
      <c r="AX335" s="70"/>
      <c r="AY335" s="70"/>
      <c r="AZ335" s="70"/>
      <c r="BA335" s="70"/>
      <c r="BB335" s="70"/>
      <c r="BC335" s="70"/>
      <c r="BD335" s="70"/>
      <c r="BE335" s="70"/>
      <c r="BF335" s="70"/>
      <c r="BG335" s="70"/>
      <c r="BH335" s="70"/>
      <c r="BI335" s="70"/>
      <c r="BJ335" s="70"/>
      <c r="BK335" s="70"/>
      <c r="BL335" s="70"/>
      <c r="BM335" s="70"/>
      <c r="BN335" s="70"/>
      <c r="BO335" s="70"/>
      <c r="BP335" s="70"/>
      <c r="BQ335" s="70"/>
      <c r="BR335" s="70"/>
      <c r="BS335" s="70"/>
      <c r="BT335" s="70"/>
      <c r="BU335" s="70"/>
      <c r="BV335" s="70"/>
      <c r="BW335" s="70"/>
      <c r="BX335" s="70"/>
      <c r="BY335" s="70"/>
      <c r="BZ335" s="70"/>
      <c r="CA335" s="70"/>
      <c r="CB335" s="70"/>
      <c r="CC335" s="70"/>
      <c r="CD335" s="70"/>
      <c r="CE335" s="70"/>
      <c r="CF335" s="70"/>
      <c r="CG335" s="70"/>
      <c r="CH335" s="70"/>
      <c r="CI335" s="70"/>
      <c r="CJ335" s="70"/>
      <c r="CK335" s="70"/>
      <c r="CL335" s="70"/>
      <c r="CM335" s="70"/>
      <c r="CN335" s="70"/>
      <c r="CO335" s="70"/>
      <c r="CP335" s="70"/>
      <c r="CQ335" s="70"/>
      <c r="CR335" s="70"/>
      <c r="CS335" s="70"/>
      <c r="CT335" s="70"/>
      <c r="CU335" s="70"/>
      <c r="CV335" s="70"/>
      <c r="CW335" s="70"/>
      <c r="CX335" s="70"/>
      <c r="CY335" s="70"/>
      <c r="CZ335" s="70"/>
      <c r="DA335" s="70"/>
      <c r="DB335" s="70"/>
      <c r="DC335" s="70"/>
      <c r="DD335" s="70"/>
      <c r="DE335" s="70"/>
      <c r="DF335" s="70"/>
      <c r="DG335" s="70"/>
      <c r="DH335" s="70"/>
      <c r="DI335" s="70"/>
      <c r="DJ335" s="70"/>
      <c r="DK335" s="70"/>
      <c r="DL335" s="70"/>
      <c r="DM335" s="70"/>
      <c r="DN335" s="70"/>
      <c r="DO335" s="70"/>
      <c r="DP335" s="70"/>
      <c r="DQ335" s="70"/>
      <c r="DR335" s="70"/>
      <c r="DS335" s="70"/>
      <c r="DT335" s="70"/>
      <c r="DU335" s="70"/>
      <c r="DV335" s="70"/>
      <c r="DW335" s="70"/>
      <c r="DX335" s="70"/>
      <c r="DY335" s="70"/>
      <c r="DZ335" s="70"/>
      <c r="EA335" s="70"/>
      <c r="EB335" s="70"/>
      <c r="EC335" s="70"/>
      <c r="ED335" s="70"/>
      <c r="EE335" s="95" t="s">
        <v>450</v>
      </c>
      <c r="EF335" s="651"/>
      <c r="EG335" s="651"/>
      <c r="EH335" s="651"/>
      <c r="EI335" s="216"/>
      <c r="EJ335" s="662"/>
      <c r="EK335" s="662"/>
      <c r="EL335" s="662"/>
      <c r="EM335" s="662"/>
      <c r="EN335" s="662"/>
      <c r="EO335" s="662"/>
      <c r="EP335" s="662"/>
      <c r="EQ335" s="662"/>
      <c r="ER335" s="662"/>
      <c r="ES335" s="662"/>
      <c r="ET335" s="662"/>
      <c r="EU335" s="662"/>
      <c r="EV335" s="662"/>
      <c r="EW335" s="662"/>
      <c r="EX335" s="662"/>
      <c r="EY335" s="662"/>
      <c r="EZ335" s="662"/>
      <c r="FA335" s="662"/>
      <c r="FB335" s="662"/>
      <c r="FC335" s="662"/>
      <c r="FD335" s="662"/>
      <c r="FE335" s="662"/>
      <c r="FF335" s="662"/>
      <c r="FG335" s="662"/>
      <c r="FH335" s="662"/>
      <c r="FI335" s="662"/>
      <c r="FJ335" s="662"/>
      <c r="FK335" s="662"/>
      <c r="FL335" s="662"/>
      <c r="FM335" s="662"/>
      <c r="FN335" s="662"/>
      <c r="FO335" s="662"/>
      <c r="FP335" s="662"/>
      <c r="FQ335" s="662"/>
      <c r="FR335" s="662"/>
      <c r="FS335" s="662"/>
      <c r="FT335" s="662"/>
      <c r="FU335" s="662"/>
      <c r="FV335" s="662"/>
      <c r="FW335" s="662"/>
      <c r="FX335" s="662"/>
      <c r="FY335" s="662"/>
      <c r="FZ335" s="662"/>
      <c r="GA335" s="662"/>
      <c r="GB335" s="662"/>
      <c r="GC335" s="662"/>
      <c r="GD335" s="662"/>
      <c r="GE335" s="662"/>
      <c r="GF335" s="662"/>
      <c r="GG335" s="662"/>
      <c r="GH335" s="662"/>
      <c r="GI335" s="662"/>
      <c r="GJ335" s="662"/>
      <c r="GK335" s="662"/>
      <c r="GL335" s="662"/>
      <c r="GM335" s="662"/>
      <c r="GN335" s="662"/>
      <c r="GO335" s="662"/>
      <c r="GP335" s="662"/>
      <c r="GQ335" s="662"/>
      <c r="GR335" s="662"/>
      <c r="GS335" s="662"/>
      <c r="GT335" s="662"/>
      <c r="GU335" s="662"/>
      <c r="GV335" s="662"/>
      <c r="GW335" s="662"/>
      <c r="GX335" s="662"/>
      <c r="GY335" s="662"/>
      <c r="GZ335" s="662"/>
      <c r="HA335" s="662"/>
      <c r="HB335" s="662"/>
      <c r="HC335" s="662"/>
      <c r="HD335" s="662"/>
      <c r="HE335" s="662"/>
      <c r="HF335" s="662"/>
      <c r="HG335" s="662"/>
      <c r="HH335" s="662"/>
      <c r="HI335" s="662"/>
      <c r="HJ335" s="662"/>
      <c r="HK335" s="662"/>
      <c r="HL335" s="662"/>
      <c r="HM335" s="662"/>
      <c r="HN335" s="662"/>
      <c r="HO335" s="662"/>
      <c r="HP335" s="662"/>
      <c r="HQ335" s="662"/>
      <c r="HR335" s="662"/>
      <c r="HS335" s="662"/>
      <c r="HT335" s="662"/>
      <c r="HU335" s="662"/>
      <c r="HV335" s="662"/>
      <c r="HW335" s="662"/>
      <c r="HX335" s="662"/>
      <c r="HY335" s="662"/>
      <c r="HZ335" s="662"/>
      <c r="IA335" s="662"/>
      <c r="IB335" s="662"/>
      <c r="IC335" s="662"/>
      <c r="ID335" s="662"/>
      <c r="IE335" s="662"/>
      <c r="IF335" s="662"/>
      <c r="IG335" s="662"/>
      <c r="IH335" s="662"/>
      <c r="II335" s="662"/>
      <c r="IJ335" s="662"/>
      <c r="IK335" s="662"/>
      <c r="IL335" s="662"/>
      <c r="IM335" s="662"/>
      <c r="IN335" s="662"/>
      <c r="IO335" s="662"/>
      <c r="IP335" s="662"/>
      <c r="IQ335" s="70"/>
    </row>
    <row r="336" spans="10:251" ht="16.5" hidden="1" customHeight="1">
      <c r="J336" s="214"/>
      <c r="R336" s="95"/>
      <c r="S336" s="95"/>
      <c r="T336" s="95"/>
      <c r="U336" s="70"/>
      <c r="V336" s="214"/>
      <c r="W336" s="70"/>
      <c r="X336" s="70"/>
      <c r="Y336" s="70"/>
      <c r="Z336" s="70"/>
      <c r="AA336" s="70"/>
      <c r="AB336" s="70"/>
      <c r="AC336" s="70"/>
      <c r="AD336" s="70"/>
      <c r="AE336" s="70"/>
      <c r="AF336" s="70"/>
      <c r="AG336" s="70"/>
      <c r="AH336" s="70"/>
      <c r="AI336" s="70"/>
      <c r="AJ336" s="70"/>
      <c r="AK336" s="70"/>
      <c r="AL336" s="70"/>
      <c r="AM336" s="70"/>
      <c r="AN336" s="70"/>
      <c r="AO336" s="70"/>
      <c r="AP336" s="70"/>
      <c r="AQ336" s="70"/>
      <c r="AR336" s="70"/>
      <c r="AS336" s="70"/>
      <c r="AT336" s="70"/>
      <c r="AU336" s="70"/>
      <c r="AV336" s="70"/>
      <c r="AW336" s="70"/>
      <c r="AX336" s="70"/>
      <c r="AY336" s="70"/>
      <c r="AZ336" s="70"/>
      <c r="BA336" s="70"/>
      <c r="BB336" s="70"/>
      <c r="BC336" s="70"/>
      <c r="BD336" s="70"/>
      <c r="BE336" s="70"/>
      <c r="BF336" s="70"/>
      <c r="BG336" s="70"/>
      <c r="BH336" s="70"/>
      <c r="BI336" s="70"/>
      <c r="BJ336" s="70"/>
      <c r="BK336" s="70"/>
      <c r="BL336" s="70"/>
      <c r="BM336" s="70"/>
      <c r="BN336" s="70"/>
      <c r="BO336" s="70"/>
      <c r="BP336" s="70"/>
      <c r="BQ336" s="70"/>
      <c r="BR336" s="70"/>
      <c r="BS336" s="70"/>
      <c r="BT336" s="70"/>
      <c r="BU336" s="70"/>
      <c r="BV336" s="70"/>
      <c r="BW336" s="70"/>
      <c r="BX336" s="70"/>
      <c r="BY336" s="70"/>
      <c r="BZ336" s="70"/>
      <c r="CA336" s="70"/>
      <c r="CB336" s="70"/>
      <c r="CC336" s="70"/>
      <c r="CD336" s="70"/>
      <c r="CE336" s="70"/>
      <c r="CF336" s="70"/>
      <c r="CG336" s="70"/>
      <c r="CH336" s="70"/>
      <c r="CI336" s="70"/>
      <c r="CJ336" s="70"/>
      <c r="CK336" s="70"/>
      <c r="CL336" s="70"/>
      <c r="CM336" s="70"/>
      <c r="CN336" s="70"/>
      <c r="CO336" s="70"/>
      <c r="CP336" s="70"/>
      <c r="CQ336" s="70"/>
      <c r="CR336" s="70"/>
      <c r="CS336" s="70"/>
      <c r="CT336" s="70"/>
      <c r="CU336" s="70"/>
      <c r="CV336" s="70"/>
      <c r="CW336" s="70"/>
      <c r="CX336" s="70"/>
      <c r="CY336" s="70"/>
      <c r="CZ336" s="70"/>
      <c r="DA336" s="70"/>
      <c r="DB336" s="70"/>
      <c r="DC336" s="70"/>
      <c r="DD336" s="70"/>
      <c r="DE336" s="70"/>
      <c r="DF336" s="70"/>
      <c r="DG336" s="70"/>
      <c r="DH336" s="70"/>
      <c r="DI336" s="70"/>
      <c r="DJ336" s="70"/>
      <c r="DK336" s="70"/>
      <c r="DL336" s="70"/>
      <c r="DM336" s="70"/>
      <c r="DN336" s="70"/>
      <c r="DO336" s="70"/>
      <c r="DP336" s="70"/>
      <c r="DQ336" s="70"/>
      <c r="DR336" s="70"/>
      <c r="DS336" s="70"/>
      <c r="DT336" s="70"/>
      <c r="DU336" s="70"/>
      <c r="DV336" s="70"/>
      <c r="DW336" s="70"/>
      <c r="DX336" s="70"/>
      <c r="DY336" s="70"/>
      <c r="DZ336" s="70"/>
      <c r="EA336" s="70"/>
      <c r="EB336" s="70"/>
      <c r="EC336" s="70"/>
      <c r="ED336" s="70"/>
      <c r="EE336" s="95" t="s">
        <v>450</v>
      </c>
      <c r="EF336" s="651"/>
      <c r="EG336" s="651"/>
      <c r="EH336" s="651"/>
      <c r="EI336" s="216"/>
      <c r="EJ336" s="662"/>
      <c r="EK336" s="662"/>
      <c r="EL336" s="662"/>
      <c r="EM336" s="662"/>
      <c r="EN336" s="662"/>
      <c r="EO336" s="662"/>
      <c r="EP336" s="662"/>
      <c r="EQ336" s="662"/>
      <c r="ER336" s="662"/>
      <c r="ES336" s="662"/>
      <c r="ET336" s="662"/>
      <c r="EU336" s="662"/>
      <c r="EV336" s="662"/>
      <c r="EW336" s="662"/>
      <c r="EX336" s="662"/>
      <c r="EY336" s="662"/>
      <c r="EZ336" s="662"/>
      <c r="FA336" s="662"/>
      <c r="FB336" s="662"/>
      <c r="FC336" s="662"/>
      <c r="FD336" s="662"/>
      <c r="FE336" s="662"/>
      <c r="FF336" s="662"/>
      <c r="FG336" s="662"/>
      <c r="FH336" s="662"/>
      <c r="FI336" s="662"/>
      <c r="FJ336" s="662"/>
      <c r="FK336" s="662"/>
      <c r="FL336" s="662"/>
      <c r="FM336" s="662"/>
      <c r="FN336" s="662"/>
      <c r="FO336" s="662"/>
      <c r="FP336" s="662"/>
      <c r="FQ336" s="662"/>
      <c r="FR336" s="662"/>
      <c r="FS336" s="662"/>
      <c r="FT336" s="662"/>
      <c r="FU336" s="662"/>
      <c r="FV336" s="662"/>
      <c r="FW336" s="662"/>
      <c r="FX336" s="662"/>
      <c r="FY336" s="662"/>
      <c r="FZ336" s="662"/>
      <c r="GA336" s="662"/>
      <c r="GB336" s="662"/>
      <c r="GC336" s="662"/>
      <c r="GD336" s="662"/>
      <c r="GE336" s="662"/>
      <c r="GF336" s="662"/>
      <c r="GG336" s="662"/>
      <c r="GH336" s="662"/>
      <c r="GI336" s="662"/>
      <c r="GJ336" s="662"/>
      <c r="GK336" s="662"/>
      <c r="GL336" s="662"/>
      <c r="GM336" s="662"/>
      <c r="GN336" s="662"/>
      <c r="GO336" s="662"/>
      <c r="GP336" s="662"/>
      <c r="GQ336" s="662"/>
      <c r="GR336" s="662"/>
      <c r="GS336" s="662"/>
      <c r="GT336" s="662"/>
      <c r="GU336" s="662"/>
      <c r="GV336" s="662"/>
      <c r="GW336" s="662"/>
      <c r="GX336" s="662"/>
      <c r="GY336" s="662"/>
      <c r="GZ336" s="662"/>
      <c r="HA336" s="662"/>
      <c r="HB336" s="662"/>
      <c r="HC336" s="662"/>
      <c r="HD336" s="662"/>
      <c r="HE336" s="662"/>
      <c r="HF336" s="662"/>
      <c r="HG336" s="662"/>
      <c r="HH336" s="662"/>
      <c r="HI336" s="662"/>
      <c r="HJ336" s="662"/>
      <c r="HK336" s="662"/>
      <c r="HL336" s="662"/>
      <c r="HM336" s="662"/>
      <c r="HN336" s="662"/>
      <c r="HO336" s="662"/>
      <c r="HP336" s="662"/>
      <c r="HQ336" s="662"/>
      <c r="HR336" s="662"/>
      <c r="HS336" s="662"/>
      <c r="HT336" s="662"/>
      <c r="HU336" s="662"/>
      <c r="HV336" s="662"/>
      <c r="HW336" s="662"/>
      <c r="HX336" s="662"/>
      <c r="HY336" s="662"/>
      <c r="HZ336" s="662"/>
      <c r="IA336" s="662"/>
      <c r="IB336" s="662"/>
      <c r="IC336" s="662"/>
      <c r="ID336" s="662"/>
      <c r="IE336" s="662"/>
      <c r="IF336" s="662"/>
      <c r="IG336" s="662"/>
      <c r="IH336" s="662"/>
      <c r="II336" s="662"/>
      <c r="IJ336" s="662"/>
      <c r="IK336" s="662"/>
      <c r="IL336" s="662"/>
      <c r="IM336" s="662"/>
      <c r="IN336" s="662"/>
      <c r="IO336" s="662"/>
      <c r="IP336" s="662"/>
      <c r="IQ336" s="70"/>
    </row>
    <row r="337" spans="10:251" ht="16.5" hidden="1" customHeight="1">
      <c r="J337" s="214"/>
      <c r="R337" s="95"/>
      <c r="S337" s="95"/>
      <c r="T337" s="95"/>
      <c r="U337" s="70"/>
      <c r="V337" s="214"/>
      <c r="W337" s="70"/>
      <c r="X337" s="70"/>
      <c r="Y337" s="70"/>
      <c r="Z337" s="70"/>
      <c r="AA337" s="70"/>
      <c r="AB337" s="70"/>
      <c r="AC337" s="70"/>
      <c r="AD337" s="70"/>
      <c r="AE337" s="70"/>
      <c r="AF337" s="70"/>
      <c r="AG337" s="70"/>
      <c r="AH337" s="70"/>
      <c r="AI337" s="70"/>
      <c r="AJ337" s="70"/>
      <c r="AK337" s="70"/>
      <c r="AL337" s="70"/>
      <c r="AM337" s="70"/>
      <c r="AN337" s="70"/>
      <c r="AO337" s="70"/>
      <c r="AP337" s="70"/>
      <c r="AQ337" s="70"/>
      <c r="AR337" s="70"/>
      <c r="AS337" s="70"/>
      <c r="AT337" s="70"/>
      <c r="AU337" s="70"/>
      <c r="AV337" s="70"/>
      <c r="AW337" s="70"/>
      <c r="AX337" s="70"/>
      <c r="AY337" s="70"/>
      <c r="AZ337" s="70"/>
      <c r="BA337" s="70"/>
      <c r="BB337" s="70"/>
      <c r="BC337" s="70"/>
      <c r="BD337" s="70"/>
      <c r="BE337" s="70"/>
      <c r="BF337" s="70"/>
      <c r="BG337" s="70"/>
      <c r="BH337" s="70"/>
      <c r="BI337" s="70"/>
      <c r="BJ337" s="70"/>
      <c r="BK337" s="70"/>
      <c r="BL337" s="70"/>
      <c r="BM337" s="70"/>
      <c r="BN337" s="70"/>
      <c r="BO337" s="70"/>
      <c r="BP337" s="70"/>
      <c r="BQ337" s="70"/>
      <c r="BR337" s="70"/>
      <c r="BS337" s="70"/>
      <c r="BT337" s="70"/>
      <c r="BU337" s="70"/>
      <c r="BV337" s="70"/>
      <c r="BW337" s="70"/>
      <c r="BX337" s="70"/>
      <c r="BY337" s="70"/>
      <c r="BZ337" s="70"/>
      <c r="CA337" s="70"/>
      <c r="CB337" s="70"/>
      <c r="CC337" s="70"/>
      <c r="CD337" s="70"/>
      <c r="CE337" s="70"/>
      <c r="CF337" s="70"/>
      <c r="CG337" s="70"/>
      <c r="CH337" s="70"/>
      <c r="CI337" s="70"/>
      <c r="CJ337" s="70"/>
      <c r="CK337" s="70"/>
      <c r="CL337" s="70"/>
      <c r="CM337" s="70"/>
      <c r="CN337" s="70"/>
      <c r="CO337" s="70"/>
      <c r="CP337" s="70"/>
      <c r="CQ337" s="70"/>
      <c r="CR337" s="70"/>
      <c r="CS337" s="70"/>
      <c r="CT337" s="70"/>
      <c r="CU337" s="70"/>
      <c r="CV337" s="70"/>
      <c r="CW337" s="70"/>
      <c r="CX337" s="70"/>
      <c r="CY337" s="70"/>
      <c r="CZ337" s="70"/>
      <c r="DA337" s="70"/>
      <c r="DB337" s="70"/>
      <c r="DC337" s="70"/>
      <c r="DD337" s="70"/>
      <c r="DE337" s="70"/>
      <c r="DF337" s="70"/>
      <c r="DG337" s="70"/>
      <c r="DH337" s="70"/>
      <c r="DI337" s="70"/>
      <c r="DJ337" s="70"/>
      <c r="DK337" s="70"/>
      <c r="DL337" s="70"/>
      <c r="DM337" s="70"/>
      <c r="DN337" s="70"/>
      <c r="DO337" s="70"/>
      <c r="DP337" s="70"/>
      <c r="DQ337" s="70"/>
      <c r="DR337" s="70"/>
      <c r="DS337" s="70"/>
      <c r="DT337" s="70"/>
      <c r="DU337" s="70"/>
      <c r="DV337" s="70"/>
      <c r="DW337" s="70"/>
      <c r="DX337" s="70"/>
      <c r="DY337" s="70"/>
      <c r="DZ337" s="70"/>
      <c r="EA337" s="70"/>
      <c r="EB337" s="70"/>
      <c r="EC337" s="70"/>
      <c r="ED337" s="70"/>
      <c r="EE337" s="95" t="s">
        <v>450</v>
      </c>
      <c r="EF337" s="651"/>
      <c r="EG337" s="651"/>
      <c r="EH337" s="651"/>
      <c r="EI337" s="216"/>
      <c r="EJ337" s="662"/>
      <c r="EK337" s="662"/>
      <c r="EL337" s="662"/>
      <c r="EM337" s="662"/>
      <c r="EN337" s="662"/>
      <c r="EO337" s="662"/>
      <c r="EP337" s="662"/>
      <c r="EQ337" s="662"/>
      <c r="ER337" s="662"/>
      <c r="ES337" s="662"/>
      <c r="ET337" s="662"/>
      <c r="EU337" s="662"/>
      <c r="EV337" s="662"/>
      <c r="EW337" s="662"/>
      <c r="EX337" s="662"/>
      <c r="EY337" s="662"/>
      <c r="EZ337" s="662"/>
      <c r="FA337" s="662"/>
      <c r="FB337" s="662"/>
      <c r="FC337" s="662"/>
      <c r="FD337" s="662"/>
      <c r="FE337" s="662"/>
      <c r="FF337" s="662"/>
      <c r="FG337" s="662"/>
      <c r="FH337" s="662"/>
      <c r="FI337" s="662"/>
      <c r="FJ337" s="662"/>
      <c r="FK337" s="662"/>
      <c r="FL337" s="662"/>
      <c r="FM337" s="662"/>
      <c r="FN337" s="662"/>
      <c r="FO337" s="662"/>
      <c r="FP337" s="662"/>
      <c r="FQ337" s="662"/>
      <c r="FR337" s="662"/>
      <c r="FS337" s="662"/>
      <c r="FT337" s="662"/>
      <c r="FU337" s="662"/>
      <c r="FV337" s="662"/>
      <c r="FW337" s="662"/>
      <c r="FX337" s="662"/>
      <c r="FY337" s="662"/>
      <c r="FZ337" s="662"/>
      <c r="GA337" s="662"/>
      <c r="GB337" s="662"/>
      <c r="GC337" s="662"/>
      <c r="GD337" s="662"/>
      <c r="GE337" s="662"/>
      <c r="GF337" s="662"/>
      <c r="GG337" s="662"/>
      <c r="GH337" s="662"/>
      <c r="GI337" s="662"/>
      <c r="GJ337" s="662"/>
      <c r="GK337" s="662"/>
      <c r="GL337" s="662"/>
      <c r="GM337" s="662"/>
      <c r="GN337" s="662"/>
      <c r="GO337" s="662"/>
      <c r="GP337" s="662"/>
      <c r="GQ337" s="662"/>
      <c r="GR337" s="662"/>
      <c r="GS337" s="662"/>
      <c r="GT337" s="662"/>
      <c r="GU337" s="662"/>
      <c r="GV337" s="662"/>
      <c r="GW337" s="662"/>
      <c r="GX337" s="662"/>
      <c r="GY337" s="662"/>
      <c r="GZ337" s="662"/>
      <c r="HA337" s="662"/>
      <c r="HB337" s="662"/>
      <c r="HC337" s="662"/>
      <c r="HD337" s="662"/>
      <c r="HE337" s="662"/>
      <c r="HF337" s="662"/>
      <c r="HG337" s="662"/>
      <c r="HH337" s="662"/>
      <c r="HI337" s="662"/>
      <c r="HJ337" s="662"/>
      <c r="HK337" s="662"/>
      <c r="HL337" s="662"/>
      <c r="HM337" s="662"/>
      <c r="HN337" s="662"/>
      <c r="HO337" s="662"/>
      <c r="HP337" s="662"/>
      <c r="HQ337" s="662"/>
      <c r="HR337" s="662"/>
      <c r="HS337" s="662"/>
      <c r="HT337" s="662"/>
      <c r="HU337" s="662"/>
      <c r="HV337" s="662"/>
      <c r="HW337" s="662"/>
      <c r="HX337" s="662"/>
      <c r="HY337" s="662"/>
      <c r="HZ337" s="662"/>
      <c r="IA337" s="662"/>
      <c r="IB337" s="662"/>
      <c r="IC337" s="662"/>
      <c r="ID337" s="662"/>
      <c r="IE337" s="662"/>
      <c r="IF337" s="662"/>
      <c r="IG337" s="662"/>
      <c r="IH337" s="662"/>
      <c r="II337" s="662"/>
      <c r="IJ337" s="662"/>
      <c r="IK337" s="662"/>
      <c r="IL337" s="662"/>
      <c r="IM337" s="662"/>
      <c r="IN337" s="662"/>
      <c r="IO337" s="662"/>
      <c r="IP337" s="662"/>
      <c r="IQ337" s="70"/>
    </row>
    <row r="338" spans="10:251" ht="16.5" hidden="1" customHeight="1">
      <c r="J338" s="214"/>
      <c r="R338" s="95"/>
      <c r="S338" s="95"/>
      <c r="T338" s="95"/>
      <c r="U338" s="70"/>
      <c r="V338" s="214"/>
      <c r="W338" s="70"/>
      <c r="X338" s="70"/>
      <c r="Y338" s="70"/>
      <c r="Z338" s="70"/>
      <c r="AA338" s="70"/>
      <c r="AB338" s="70"/>
      <c r="AC338" s="70"/>
      <c r="AD338" s="70"/>
      <c r="AE338" s="70"/>
      <c r="AF338" s="70"/>
      <c r="AG338" s="70"/>
      <c r="AH338" s="70"/>
      <c r="AI338" s="70"/>
      <c r="AJ338" s="70"/>
      <c r="AK338" s="70"/>
      <c r="AL338" s="70"/>
      <c r="AM338" s="70"/>
      <c r="AN338" s="70"/>
      <c r="AO338" s="70"/>
      <c r="AP338" s="70"/>
      <c r="AQ338" s="70"/>
      <c r="AR338" s="70"/>
      <c r="AS338" s="70"/>
      <c r="AT338" s="70"/>
      <c r="AU338" s="70"/>
      <c r="AV338" s="70"/>
      <c r="AW338" s="70"/>
      <c r="AX338" s="70"/>
      <c r="AY338" s="70"/>
      <c r="AZ338" s="70"/>
      <c r="BA338" s="70"/>
      <c r="BB338" s="70"/>
      <c r="BC338" s="70"/>
      <c r="BD338" s="70"/>
      <c r="BE338" s="70"/>
      <c r="BF338" s="70"/>
      <c r="BG338" s="70"/>
      <c r="BH338" s="70"/>
      <c r="BI338" s="70"/>
      <c r="BJ338" s="70"/>
      <c r="BK338" s="70"/>
      <c r="BL338" s="70"/>
      <c r="BM338" s="70"/>
      <c r="BN338" s="70"/>
      <c r="BO338" s="70"/>
      <c r="BP338" s="70"/>
      <c r="BQ338" s="70"/>
      <c r="BR338" s="70"/>
      <c r="BS338" s="70"/>
      <c r="BT338" s="70"/>
      <c r="BU338" s="70"/>
      <c r="BV338" s="70"/>
      <c r="BW338" s="70"/>
      <c r="BX338" s="70"/>
      <c r="BY338" s="70"/>
      <c r="BZ338" s="70"/>
      <c r="CA338" s="70"/>
      <c r="CB338" s="70"/>
      <c r="CC338" s="70"/>
      <c r="CD338" s="70"/>
      <c r="CE338" s="70"/>
      <c r="CF338" s="70"/>
      <c r="CG338" s="70"/>
      <c r="CH338" s="70"/>
      <c r="CI338" s="70"/>
      <c r="CJ338" s="70"/>
      <c r="CK338" s="70"/>
      <c r="CL338" s="70"/>
      <c r="CM338" s="70"/>
      <c r="CN338" s="70"/>
      <c r="CO338" s="70"/>
      <c r="CP338" s="70"/>
      <c r="CQ338" s="70"/>
      <c r="CR338" s="70"/>
      <c r="CS338" s="70"/>
      <c r="CT338" s="70"/>
      <c r="CU338" s="70"/>
      <c r="CV338" s="70"/>
      <c r="CW338" s="70"/>
      <c r="CX338" s="70"/>
      <c r="CY338" s="70"/>
      <c r="CZ338" s="70"/>
      <c r="DA338" s="70"/>
      <c r="DB338" s="70"/>
      <c r="DC338" s="70"/>
      <c r="DD338" s="70"/>
      <c r="DE338" s="70"/>
      <c r="DF338" s="70"/>
      <c r="DG338" s="70"/>
      <c r="DH338" s="70"/>
      <c r="DI338" s="70"/>
      <c r="DJ338" s="70"/>
      <c r="DK338" s="70"/>
      <c r="DL338" s="70"/>
      <c r="DM338" s="70"/>
      <c r="DN338" s="70"/>
      <c r="DO338" s="70"/>
      <c r="DP338" s="70"/>
      <c r="DQ338" s="70"/>
      <c r="DR338" s="70"/>
      <c r="DS338" s="70"/>
      <c r="DT338" s="70"/>
      <c r="DU338" s="70"/>
      <c r="DV338" s="70"/>
      <c r="DW338" s="70"/>
      <c r="DX338" s="70"/>
      <c r="DY338" s="70"/>
      <c r="DZ338" s="70"/>
      <c r="EA338" s="70"/>
      <c r="EB338" s="70"/>
      <c r="EC338" s="70"/>
      <c r="ED338" s="70"/>
      <c r="EE338" s="95" t="s">
        <v>450</v>
      </c>
      <c r="EF338" s="651"/>
      <c r="EG338" s="651"/>
      <c r="EH338" s="651"/>
      <c r="EI338" s="216"/>
      <c r="EJ338" s="662"/>
      <c r="EK338" s="662"/>
      <c r="EL338" s="662"/>
      <c r="EM338" s="662"/>
      <c r="EN338" s="662"/>
      <c r="EO338" s="662"/>
      <c r="EP338" s="662"/>
      <c r="EQ338" s="662"/>
      <c r="ER338" s="662"/>
      <c r="ES338" s="662"/>
      <c r="ET338" s="662"/>
      <c r="EU338" s="662"/>
      <c r="EV338" s="662"/>
      <c r="EW338" s="662"/>
      <c r="EX338" s="662"/>
      <c r="EY338" s="662"/>
      <c r="EZ338" s="662"/>
      <c r="FA338" s="662"/>
      <c r="FB338" s="662"/>
      <c r="FC338" s="662"/>
      <c r="FD338" s="662"/>
      <c r="FE338" s="662"/>
      <c r="FF338" s="662"/>
      <c r="FG338" s="662"/>
      <c r="FH338" s="662"/>
      <c r="FI338" s="662"/>
      <c r="FJ338" s="662"/>
      <c r="FK338" s="662"/>
      <c r="FL338" s="662"/>
      <c r="FM338" s="662"/>
      <c r="FN338" s="662"/>
      <c r="FO338" s="662"/>
      <c r="FP338" s="662"/>
      <c r="FQ338" s="662"/>
      <c r="FR338" s="662"/>
      <c r="FS338" s="662"/>
      <c r="FT338" s="662"/>
      <c r="FU338" s="662"/>
      <c r="FV338" s="662"/>
      <c r="FW338" s="662"/>
      <c r="FX338" s="662"/>
      <c r="FY338" s="662"/>
      <c r="FZ338" s="662"/>
      <c r="GA338" s="662"/>
      <c r="GB338" s="662"/>
      <c r="GC338" s="662"/>
      <c r="GD338" s="662"/>
      <c r="GE338" s="662"/>
      <c r="GF338" s="662"/>
      <c r="GG338" s="662"/>
      <c r="GH338" s="662"/>
      <c r="GI338" s="662"/>
      <c r="GJ338" s="662"/>
      <c r="GK338" s="662"/>
      <c r="GL338" s="662"/>
      <c r="GM338" s="662"/>
      <c r="GN338" s="662"/>
      <c r="GO338" s="662"/>
      <c r="GP338" s="662"/>
      <c r="GQ338" s="662"/>
      <c r="GR338" s="662"/>
      <c r="GS338" s="662"/>
      <c r="GT338" s="662"/>
      <c r="GU338" s="662"/>
      <c r="GV338" s="662"/>
      <c r="GW338" s="662"/>
      <c r="GX338" s="662"/>
      <c r="GY338" s="662"/>
      <c r="GZ338" s="662"/>
      <c r="HA338" s="662"/>
      <c r="HB338" s="662"/>
      <c r="HC338" s="662"/>
      <c r="HD338" s="662"/>
      <c r="HE338" s="662"/>
      <c r="HF338" s="662"/>
      <c r="HG338" s="662"/>
      <c r="HH338" s="662"/>
      <c r="HI338" s="662"/>
      <c r="HJ338" s="662"/>
      <c r="HK338" s="662"/>
      <c r="HL338" s="662"/>
      <c r="HM338" s="662"/>
      <c r="HN338" s="662"/>
      <c r="HO338" s="662"/>
      <c r="HP338" s="662"/>
      <c r="HQ338" s="662"/>
      <c r="HR338" s="662"/>
      <c r="HS338" s="662"/>
      <c r="HT338" s="662"/>
      <c r="HU338" s="662"/>
      <c r="HV338" s="662"/>
      <c r="HW338" s="662"/>
      <c r="HX338" s="662"/>
      <c r="HY338" s="662"/>
      <c r="HZ338" s="662"/>
      <c r="IA338" s="662"/>
      <c r="IB338" s="662"/>
      <c r="IC338" s="662"/>
      <c r="ID338" s="662"/>
      <c r="IE338" s="662"/>
      <c r="IF338" s="662"/>
      <c r="IG338" s="662"/>
      <c r="IH338" s="662"/>
      <c r="II338" s="662"/>
      <c r="IJ338" s="662"/>
      <c r="IK338" s="662"/>
      <c r="IL338" s="662"/>
      <c r="IM338" s="662"/>
      <c r="IN338" s="662"/>
      <c r="IO338" s="662"/>
      <c r="IP338" s="662"/>
      <c r="IQ338" s="70"/>
    </row>
    <row r="339" spans="10:251" ht="16.5" hidden="1" customHeight="1">
      <c r="J339" s="214"/>
      <c r="R339" s="95"/>
      <c r="S339" s="95"/>
      <c r="T339" s="95"/>
      <c r="U339" s="70"/>
      <c r="V339" s="214"/>
      <c r="W339" s="70"/>
      <c r="X339" s="70"/>
      <c r="Y339" s="70"/>
      <c r="Z339" s="70"/>
      <c r="AA339" s="70"/>
      <c r="AB339" s="70"/>
      <c r="AC339" s="70"/>
      <c r="AD339" s="70"/>
      <c r="AE339" s="70"/>
      <c r="AF339" s="70"/>
      <c r="AG339" s="70"/>
      <c r="AH339" s="70"/>
      <c r="AI339" s="70"/>
      <c r="AJ339" s="70"/>
      <c r="AK339" s="70"/>
      <c r="AL339" s="70"/>
      <c r="AM339" s="70"/>
      <c r="AN339" s="70"/>
      <c r="AO339" s="70"/>
      <c r="AP339" s="70"/>
      <c r="AQ339" s="70"/>
      <c r="AR339" s="70"/>
      <c r="AS339" s="70"/>
      <c r="AT339" s="70"/>
      <c r="AU339" s="70"/>
      <c r="AV339" s="70"/>
      <c r="AW339" s="70"/>
      <c r="AX339" s="70"/>
      <c r="AY339" s="70"/>
      <c r="AZ339" s="70"/>
      <c r="BA339" s="70"/>
      <c r="BB339" s="70"/>
      <c r="BC339" s="70"/>
      <c r="BD339" s="70"/>
      <c r="BE339" s="70"/>
      <c r="BF339" s="70"/>
      <c r="BG339" s="70"/>
      <c r="BH339" s="70"/>
      <c r="BI339" s="70"/>
      <c r="BJ339" s="70"/>
      <c r="BK339" s="70"/>
      <c r="BL339" s="70"/>
      <c r="BM339" s="70"/>
      <c r="BN339" s="70"/>
      <c r="BO339" s="70"/>
      <c r="BP339" s="70"/>
      <c r="BQ339" s="70"/>
      <c r="BR339" s="70"/>
      <c r="BS339" s="70"/>
      <c r="BT339" s="70"/>
      <c r="BU339" s="70"/>
      <c r="BV339" s="70"/>
      <c r="BW339" s="70"/>
      <c r="BX339" s="70"/>
      <c r="BY339" s="70"/>
      <c r="BZ339" s="70"/>
      <c r="CA339" s="70"/>
      <c r="CB339" s="70"/>
      <c r="CC339" s="70"/>
      <c r="CD339" s="70"/>
      <c r="CE339" s="70"/>
      <c r="CF339" s="70"/>
      <c r="CG339" s="70"/>
      <c r="CH339" s="70"/>
      <c r="CI339" s="70"/>
      <c r="CJ339" s="70"/>
      <c r="CK339" s="70"/>
      <c r="CL339" s="70"/>
      <c r="CM339" s="70"/>
      <c r="CN339" s="70"/>
      <c r="CO339" s="70"/>
      <c r="CP339" s="70"/>
      <c r="CQ339" s="70"/>
      <c r="CR339" s="70"/>
      <c r="CS339" s="70"/>
      <c r="CT339" s="70"/>
      <c r="CU339" s="70"/>
      <c r="CV339" s="70"/>
      <c r="CW339" s="70"/>
      <c r="CX339" s="70"/>
      <c r="CY339" s="70"/>
      <c r="CZ339" s="70"/>
      <c r="DA339" s="70"/>
      <c r="DB339" s="70"/>
      <c r="DC339" s="70"/>
      <c r="DD339" s="70"/>
      <c r="DE339" s="70"/>
      <c r="DF339" s="70"/>
      <c r="DG339" s="70"/>
      <c r="DH339" s="70"/>
      <c r="DI339" s="70"/>
      <c r="DJ339" s="70"/>
      <c r="DK339" s="70"/>
      <c r="DL339" s="70"/>
      <c r="DM339" s="70"/>
      <c r="DN339" s="70"/>
      <c r="DO339" s="70"/>
      <c r="DP339" s="70"/>
      <c r="DQ339" s="70"/>
      <c r="DR339" s="70"/>
      <c r="DS339" s="70"/>
      <c r="DT339" s="70"/>
      <c r="DU339" s="70"/>
      <c r="DV339" s="70"/>
      <c r="DW339" s="70"/>
      <c r="DX339" s="70"/>
      <c r="DY339" s="70"/>
      <c r="DZ339" s="70"/>
      <c r="EA339" s="70"/>
      <c r="EB339" s="70"/>
      <c r="EC339" s="70"/>
      <c r="ED339" s="70"/>
      <c r="EE339" s="95" t="s">
        <v>450</v>
      </c>
      <c r="EF339" s="651"/>
      <c r="EG339" s="651"/>
      <c r="EH339" s="651"/>
      <c r="EI339" s="216"/>
      <c r="EJ339" s="662"/>
      <c r="EK339" s="662"/>
      <c r="EL339" s="662"/>
      <c r="EM339" s="662"/>
      <c r="EN339" s="662"/>
      <c r="EO339" s="662"/>
      <c r="EP339" s="662"/>
      <c r="EQ339" s="662"/>
      <c r="ER339" s="662"/>
      <c r="ES339" s="662"/>
      <c r="ET339" s="662"/>
      <c r="EU339" s="662"/>
      <c r="EV339" s="662"/>
      <c r="EW339" s="662"/>
      <c r="EX339" s="662"/>
      <c r="EY339" s="662"/>
      <c r="EZ339" s="662"/>
      <c r="FA339" s="662"/>
      <c r="FB339" s="662"/>
      <c r="FC339" s="662"/>
      <c r="FD339" s="662"/>
      <c r="FE339" s="662"/>
      <c r="FF339" s="662"/>
      <c r="FG339" s="662"/>
      <c r="FH339" s="662"/>
      <c r="FI339" s="662"/>
      <c r="FJ339" s="662"/>
      <c r="FK339" s="662"/>
      <c r="FL339" s="662"/>
      <c r="FM339" s="662"/>
      <c r="FN339" s="662"/>
      <c r="FO339" s="662"/>
      <c r="FP339" s="662"/>
      <c r="FQ339" s="662"/>
      <c r="FR339" s="662"/>
      <c r="FS339" s="662"/>
      <c r="FT339" s="662"/>
      <c r="FU339" s="662"/>
      <c r="FV339" s="662"/>
      <c r="FW339" s="662"/>
      <c r="FX339" s="662"/>
      <c r="FY339" s="662"/>
      <c r="FZ339" s="662"/>
      <c r="GA339" s="662"/>
      <c r="GB339" s="662"/>
      <c r="GC339" s="662"/>
      <c r="GD339" s="662"/>
      <c r="GE339" s="662"/>
      <c r="GF339" s="662"/>
      <c r="GG339" s="662"/>
      <c r="GH339" s="662"/>
      <c r="GI339" s="662"/>
      <c r="GJ339" s="662"/>
      <c r="GK339" s="662"/>
      <c r="GL339" s="662"/>
      <c r="GM339" s="662"/>
      <c r="GN339" s="662"/>
      <c r="GO339" s="662"/>
      <c r="GP339" s="662"/>
      <c r="GQ339" s="662"/>
      <c r="GR339" s="662"/>
      <c r="GS339" s="662"/>
      <c r="GT339" s="662"/>
      <c r="GU339" s="662"/>
      <c r="GV339" s="662"/>
      <c r="GW339" s="662"/>
      <c r="GX339" s="662"/>
      <c r="GY339" s="662"/>
      <c r="GZ339" s="662"/>
      <c r="HA339" s="662"/>
      <c r="HB339" s="662"/>
      <c r="HC339" s="662"/>
      <c r="HD339" s="662"/>
      <c r="HE339" s="662"/>
      <c r="HF339" s="662"/>
      <c r="HG339" s="662"/>
      <c r="HH339" s="662"/>
      <c r="HI339" s="662"/>
      <c r="HJ339" s="662"/>
      <c r="HK339" s="662"/>
      <c r="HL339" s="662"/>
      <c r="HM339" s="662"/>
      <c r="HN339" s="662"/>
      <c r="HO339" s="662"/>
      <c r="HP339" s="662"/>
      <c r="HQ339" s="662"/>
      <c r="HR339" s="662"/>
      <c r="HS339" s="662"/>
      <c r="HT339" s="662"/>
      <c r="HU339" s="662"/>
      <c r="HV339" s="662"/>
      <c r="HW339" s="662"/>
      <c r="HX339" s="662"/>
      <c r="HY339" s="662"/>
      <c r="HZ339" s="662"/>
      <c r="IA339" s="662"/>
      <c r="IB339" s="662"/>
      <c r="IC339" s="662"/>
      <c r="ID339" s="662"/>
      <c r="IE339" s="662"/>
      <c r="IF339" s="662"/>
      <c r="IG339" s="662"/>
      <c r="IH339" s="662"/>
      <c r="II339" s="662"/>
      <c r="IJ339" s="662"/>
      <c r="IK339" s="662"/>
      <c r="IL339" s="662"/>
      <c r="IM339" s="662"/>
      <c r="IN339" s="662"/>
      <c r="IO339" s="662"/>
      <c r="IP339" s="662"/>
      <c r="IQ339" s="70"/>
    </row>
    <row r="340" spans="10:251" ht="16.5" hidden="1" customHeight="1">
      <c r="J340" s="214"/>
      <c r="R340" s="95"/>
      <c r="S340" s="95"/>
      <c r="T340" s="95"/>
      <c r="U340" s="70"/>
      <c r="V340" s="214"/>
      <c r="W340" s="70"/>
      <c r="X340" s="70"/>
      <c r="Y340" s="70"/>
      <c r="Z340" s="70"/>
      <c r="AA340" s="70"/>
      <c r="AB340" s="70"/>
      <c r="AC340" s="70"/>
      <c r="AD340" s="70"/>
      <c r="AE340" s="70"/>
      <c r="AF340" s="70"/>
      <c r="AG340" s="70"/>
      <c r="AH340" s="70"/>
      <c r="AI340" s="70"/>
      <c r="AJ340" s="70"/>
      <c r="AK340" s="70"/>
      <c r="AL340" s="70"/>
      <c r="AM340" s="70"/>
      <c r="AN340" s="70"/>
      <c r="AO340" s="70"/>
      <c r="AP340" s="70"/>
      <c r="AQ340" s="70"/>
      <c r="AR340" s="70"/>
      <c r="AS340" s="70"/>
      <c r="AT340" s="70"/>
      <c r="AU340" s="70"/>
      <c r="AV340" s="70"/>
      <c r="AW340" s="70"/>
      <c r="AX340" s="70"/>
      <c r="AY340" s="70"/>
      <c r="AZ340" s="70"/>
      <c r="BA340" s="70"/>
      <c r="BB340" s="70"/>
      <c r="BC340" s="70"/>
      <c r="BD340" s="70"/>
      <c r="BE340" s="70"/>
      <c r="BF340" s="70"/>
      <c r="BG340" s="70"/>
      <c r="BH340" s="70"/>
      <c r="BI340" s="70"/>
      <c r="BJ340" s="70"/>
      <c r="BK340" s="70"/>
      <c r="BL340" s="70"/>
      <c r="BM340" s="70"/>
      <c r="BN340" s="70"/>
      <c r="BO340" s="70"/>
      <c r="BP340" s="70"/>
      <c r="BQ340" s="70"/>
      <c r="BR340" s="70"/>
      <c r="BS340" s="70"/>
      <c r="BT340" s="70"/>
      <c r="BU340" s="70"/>
      <c r="BV340" s="70"/>
      <c r="BW340" s="70"/>
      <c r="BX340" s="70"/>
      <c r="BY340" s="70"/>
      <c r="BZ340" s="70"/>
      <c r="CA340" s="70"/>
      <c r="CB340" s="70"/>
      <c r="CC340" s="70"/>
      <c r="CD340" s="70"/>
      <c r="CE340" s="70"/>
      <c r="CF340" s="70"/>
      <c r="CG340" s="70"/>
      <c r="CH340" s="70"/>
      <c r="CI340" s="70"/>
      <c r="CJ340" s="70"/>
      <c r="CK340" s="70"/>
      <c r="CL340" s="70"/>
      <c r="CM340" s="70"/>
      <c r="CN340" s="70"/>
      <c r="CO340" s="70"/>
      <c r="CP340" s="70"/>
      <c r="CQ340" s="70"/>
      <c r="CR340" s="70"/>
      <c r="CS340" s="70"/>
      <c r="CT340" s="70"/>
      <c r="CU340" s="70"/>
      <c r="CV340" s="70"/>
      <c r="CW340" s="70"/>
      <c r="CX340" s="70"/>
      <c r="CY340" s="70"/>
      <c r="CZ340" s="70"/>
      <c r="DA340" s="70"/>
      <c r="DB340" s="70"/>
      <c r="DC340" s="70"/>
      <c r="DD340" s="70"/>
      <c r="DE340" s="70"/>
      <c r="DF340" s="70"/>
      <c r="DG340" s="70"/>
      <c r="DH340" s="70"/>
      <c r="DI340" s="70"/>
      <c r="DJ340" s="70"/>
      <c r="DK340" s="70"/>
      <c r="DL340" s="70"/>
      <c r="DM340" s="70"/>
      <c r="DN340" s="70"/>
      <c r="DO340" s="70"/>
      <c r="DP340" s="70"/>
      <c r="DQ340" s="70"/>
      <c r="DR340" s="70"/>
      <c r="DS340" s="70"/>
      <c r="DT340" s="70"/>
      <c r="DU340" s="70"/>
      <c r="DV340" s="70"/>
      <c r="DW340" s="70"/>
      <c r="DX340" s="70"/>
      <c r="DY340" s="70"/>
      <c r="DZ340" s="70"/>
      <c r="EA340" s="70"/>
      <c r="EB340" s="70"/>
      <c r="EC340" s="70"/>
      <c r="ED340" s="70"/>
      <c r="EE340" s="95" t="s">
        <v>450</v>
      </c>
      <c r="EF340" s="651"/>
      <c r="EG340" s="651"/>
      <c r="EH340" s="651"/>
      <c r="EI340" s="216"/>
      <c r="EJ340" s="662"/>
      <c r="EK340" s="662"/>
      <c r="EL340" s="662"/>
      <c r="EM340" s="662"/>
      <c r="EN340" s="662"/>
      <c r="EO340" s="662"/>
      <c r="EP340" s="662"/>
      <c r="EQ340" s="662"/>
      <c r="ER340" s="662"/>
      <c r="ES340" s="662"/>
      <c r="ET340" s="662"/>
      <c r="EU340" s="662"/>
      <c r="EV340" s="662"/>
      <c r="EW340" s="662"/>
      <c r="EX340" s="662"/>
      <c r="EY340" s="662"/>
      <c r="EZ340" s="662"/>
      <c r="FA340" s="662"/>
      <c r="FB340" s="662"/>
      <c r="FC340" s="662"/>
      <c r="FD340" s="662"/>
      <c r="FE340" s="662"/>
      <c r="FF340" s="662"/>
      <c r="FG340" s="662"/>
      <c r="FH340" s="662"/>
      <c r="FI340" s="662"/>
      <c r="FJ340" s="662"/>
      <c r="FK340" s="662"/>
      <c r="FL340" s="662"/>
      <c r="FM340" s="662"/>
      <c r="FN340" s="662"/>
      <c r="FO340" s="662"/>
      <c r="FP340" s="662"/>
      <c r="FQ340" s="662"/>
      <c r="FR340" s="662"/>
      <c r="FS340" s="662"/>
      <c r="FT340" s="662"/>
      <c r="FU340" s="662"/>
      <c r="FV340" s="662"/>
      <c r="FW340" s="662"/>
      <c r="FX340" s="662"/>
      <c r="FY340" s="662"/>
      <c r="FZ340" s="662"/>
      <c r="GA340" s="662"/>
      <c r="GB340" s="662"/>
      <c r="GC340" s="662"/>
      <c r="GD340" s="662"/>
      <c r="GE340" s="662"/>
      <c r="GF340" s="662"/>
      <c r="GG340" s="662"/>
      <c r="GH340" s="662"/>
      <c r="GI340" s="662"/>
      <c r="GJ340" s="662"/>
      <c r="GK340" s="662"/>
      <c r="GL340" s="662"/>
      <c r="GM340" s="662"/>
      <c r="GN340" s="662"/>
      <c r="GO340" s="662"/>
      <c r="GP340" s="662"/>
      <c r="GQ340" s="662"/>
      <c r="GR340" s="662"/>
      <c r="GS340" s="662"/>
      <c r="GT340" s="662"/>
      <c r="GU340" s="662"/>
      <c r="GV340" s="662"/>
      <c r="GW340" s="662"/>
      <c r="GX340" s="662"/>
      <c r="GY340" s="662"/>
      <c r="GZ340" s="662"/>
      <c r="HA340" s="662"/>
      <c r="HB340" s="662"/>
      <c r="HC340" s="662"/>
      <c r="HD340" s="662"/>
      <c r="HE340" s="662"/>
      <c r="HF340" s="662"/>
      <c r="HG340" s="662"/>
      <c r="HH340" s="662"/>
      <c r="HI340" s="662"/>
      <c r="HJ340" s="662"/>
      <c r="HK340" s="662"/>
      <c r="HL340" s="662"/>
      <c r="HM340" s="662"/>
      <c r="HN340" s="662"/>
      <c r="HO340" s="662"/>
      <c r="HP340" s="662"/>
      <c r="HQ340" s="662"/>
      <c r="HR340" s="662"/>
      <c r="HS340" s="662"/>
      <c r="HT340" s="662"/>
      <c r="HU340" s="662"/>
      <c r="HV340" s="662"/>
      <c r="HW340" s="662"/>
      <c r="HX340" s="662"/>
      <c r="HY340" s="662"/>
      <c r="HZ340" s="662"/>
      <c r="IA340" s="662"/>
      <c r="IB340" s="662"/>
      <c r="IC340" s="662"/>
      <c r="ID340" s="662"/>
      <c r="IE340" s="662"/>
      <c r="IF340" s="662"/>
      <c r="IG340" s="662"/>
      <c r="IH340" s="662"/>
      <c r="II340" s="662"/>
      <c r="IJ340" s="662"/>
      <c r="IK340" s="662"/>
      <c r="IL340" s="662"/>
      <c r="IM340" s="662"/>
      <c r="IN340" s="662"/>
      <c r="IO340" s="662"/>
      <c r="IP340" s="662"/>
      <c r="IQ340" s="70"/>
    </row>
    <row r="341" spans="10:251" ht="16.5" hidden="1" customHeight="1">
      <c r="J341" s="214"/>
      <c r="R341" s="95"/>
      <c r="S341" s="95"/>
      <c r="T341" s="95"/>
      <c r="U341" s="70"/>
      <c r="V341" s="214"/>
      <c r="W341" s="70"/>
      <c r="X341" s="70"/>
      <c r="Y341" s="70"/>
      <c r="Z341" s="70"/>
      <c r="AA341" s="70"/>
      <c r="AB341" s="70"/>
      <c r="AC341" s="70"/>
      <c r="AD341" s="70"/>
      <c r="AE341" s="70"/>
      <c r="AF341" s="70"/>
      <c r="AG341" s="70"/>
      <c r="AH341" s="70"/>
      <c r="AI341" s="70"/>
      <c r="AJ341" s="70"/>
      <c r="AK341" s="70"/>
      <c r="AL341" s="70"/>
      <c r="AM341" s="70"/>
      <c r="AN341" s="70"/>
      <c r="AO341" s="70"/>
      <c r="AP341" s="70"/>
      <c r="AQ341" s="70"/>
      <c r="AR341" s="70"/>
      <c r="AS341" s="70"/>
      <c r="AT341" s="70"/>
      <c r="AU341" s="70"/>
      <c r="AV341" s="70"/>
      <c r="AW341" s="70"/>
      <c r="AX341" s="70"/>
      <c r="AY341" s="70"/>
      <c r="AZ341" s="70"/>
      <c r="BA341" s="70"/>
      <c r="BB341" s="70"/>
      <c r="BC341" s="70"/>
      <c r="BD341" s="70"/>
      <c r="BE341" s="70"/>
      <c r="BF341" s="70"/>
      <c r="BG341" s="70"/>
      <c r="BH341" s="70"/>
      <c r="BI341" s="70"/>
      <c r="BJ341" s="70"/>
      <c r="BK341" s="70"/>
      <c r="BL341" s="70"/>
      <c r="BM341" s="70"/>
      <c r="BN341" s="70"/>
      <c r="BO341" s="70"/>
      <c r="BP341" s="70"/>
      <c r="BQ341" s="70"/>
      <c r="BR341" s="70"/>
      <c r="BS341" s="70"/>
      <c r="BT341" s="70"/>
      <c r="BU341" s="70"/>
      <c r="BV341" s="70"/>
      <c r="BW341" s="70"/>
      <c r="BX341" s="70"/>
      <c r="BY341" s="70"/>
      <c r="BZ341" s="70"/>
      <c r="CA341" s="70"/>
      <c r="CB341" s="70"/>
      <c r="CC341" s="70"/>
      <c r="CD341" s="70"/>
      <c r="CE341" s="70"/>
      <c r="CF341" s="70"/>
      <c r="CG341" s="70"/>
      <c r="CH341" s="70"/>
      <c r="CI341" s="70"/>
      <c r="CJ341" s="70"/>
      <c r="CK341" s="70"/>
      <c r="CL341" s="70"/>
      <c r="CM341" s="70"/>
      <c r="CN341" s="70"/>
      <c r="CO341" s="70"/>
      <c r="CP341" s="70"/>
      <c r="CQ341" s="70"/>
      <c r="CR341" s="70"/>
      <c r="CS341" s="70"/>
      <c r="CT341" s="70"/>
      <c r="CU341" s="70"/>
      <c r="CV341" s="70"/>
      <c r="CW341" s="70"/>
      <c r="CX341" s="70"/>
      <c r="CY341" s="70"/>
      <c r="CZ341" s="70"/>
      <c r="DA341" s="70"/>
      <c r="DB341" s="70"/>
      <c r="DC341" s="70"/>
      <c r="DD341" s="70"/>
      <c r="DE341" s="70"/>
      <c r="DF341" s="70"/>
      <c r="DG341" s="70"/>
      <c r="DH341" s="70"/>
      <c r="DI341" s="70"/>
      <c r="DJ341" s="70"/>
      <c r="DK341" s="70"/>
      <c r="DL341" s="70"/>
      <c r="DM341" s="70"/>
      <c r="DN341" s="70"/>
      <c r="DO341" s="70"/>
      <c r="DP341" s="70"/>
      <c r="DQ341" s="70"/>
      <c r="DR341" s="70"/>
      <c r="DS341" s="70"/>
      <c r="DT341" s="70"/>
      <c r="DU341" s="70"/>
      <c r="DV341" s="70"/>
      <c r="DW341" s="70"/>
      <c r="DX341" s="70"/>
      <c r="DY341" s="70"/>
      <c r="DZ341" s="70"/>
      <c r="EA341" s="70"/>
      <c r="EB341" s="70"/>
      <c r="EC341" s="70"/>
      <c r="ED341" s="70"/>
      <c r="EE341" s="95" t="s">
        <v>450</v>
      </c>
      <c r="EF341" s="651"/>
      <c r="EG341" s="651"/>
      <c r="EH341" s="651"/>
      <c r="EI341" s="216"/>
      <c r="EJ341" s="662"/>
      <c r="EK341" s="662"/>
      <c r="EL341" s="662"/>
      <c r="EM341" s="662"/>
      <c r="EN341" s="662"/>
      <c r="EO341" s="662"/>
      <c r="EP341" s="662"/>
      <c r="EQ341" s="662"/>
      <c r="ER341" s="662"/>
      <c r="ES341" s="662"/>
      <c r="ET341" s="662"/>
      <c r="EU341" s="662"/>
      <c r="EV341" s="662"/>
      <c r="EW341" s="662"/>
      <c r="EX341" s="662"/>
      <c r="EY341" s="662"/>
      <c r="EZ341" s="662"/>
      <c r="FA341" s="662"/>
      <c r="FB341" s="662"/>
      <c r="FC341" s="662"/>
      <c r="FD341" s="662"/>
      <c r="FE341" s="662"/>
      <c r="FF341" s="662"/>
      <c r="FG341" s="662"/>
      <c r="FH341" s="662"/>
      <c r="FI341" s="662"/>
      <c r="FJ341" s="662"/>
      <c r="FK341" s="662"/>
      <c r="FL341" s="662"/>
      <c r="FM341" s="662"/>
      <c r="FN341" s="662"/>
      <c r="FO341" s="662"/>
      <c r="FP341" s="662"/>
      <c r="FQ341" s="662"/>
      <c r="FR341" s="662"/>
      <c r="FS341" s="662"/>
      <c r="FT341" s="662"/>
      <c r="FU341" s="662"/>
      <c r="FV341" s="662"/>
      <c r="FW341" s="662"/>
      <c r="FX341" s="662"/>
      <c r="FY341" s="662"/>
      <c r="FZ341" s="662"/>
      <c r="GA341" s="662"/>
      <c r="GB341" s="662"/>
      <c r="GC341" s="662"/>
      <c r="GD341" s="662"/>
      <c r="GE341" s="662"/>
      <c r="GF341" s="662"/>
      <c r="GG341" s="662"/>
      <c r="GH341" s="662"/>
      <c r="GI341" s="662"/>
      <c r="GJ341" s="662"/>
      <c r="GK341" s="662"/>
      <c r="GL341" s="662"/>
      <c r="GM341" s="662"/>
      <c r="GN341" s="662"/>
      <c r="GO341" s="662"/>
      <c r="GP341" s="662"/>
      <c r="GQ341" s="662"/>
      <c r="GR341" s="662"/>
      <c r="GS341" s="662"/>
      <c r="GT341" s="662"/>
      <c r="GU341" s="662"/>
      <c r="GV341" s="662"/>
      <c r="GW341" s="662"/>
      <c r="GX341" s="662"/>
      <c r="GY341" s="662"/>
      <c r="GZ341" s="662"/>
      <c r="HA341" s="662"/>
      <c r="HB341" s="662"/>
      <c r="HC341" s="662"/>
      <c r="HD341" s="662"/>
      <c r="HE341" s="662"/>
      <c r="HF341" s="662"/>
      <c r="HG341" s="662"/>
      <c r="HH341" s="662"/>
      <c r="HI341" s="662"/>
      <c r="HJ341" s="662"/>
      <c r="HK341" s="662"/>
      <c r="HL341" s="662"/>
      <c r="HM341" s="662"/>
      <c r="HN341" s="662"/>
      <c r="HO341" s="662"/>
      <c r="HP341" s="662"/>
      <c r="HQ341" s="662"/>
      <c r="HR341" s="662"/>
      <c r="HS341" s="662"/>
      <c r="HT341" s="662"/>
      <c r="HU341" s="662"/>
      <c r="HV341" s="662"/>
      <c r="HW341" s="662"/>
      <c r="HX341" s="662"/>
      <c r="HY341" s="662"/>
      <c r="HZ341" s="662"/>
      <c r="IA341" s="662"/>
      <c r="IB341" s="662"/>
      <c r="IC341" s="662"/>
      <c r="ID341" s="662"/>
      <c r="IE341" s="662"/>
      <c r="IF341" s="662"/>
      <c r="IG341" s="662"/>
      <c r="IH341" s="662"/>
      <c r="II341" s="662"/>
      <c r="IJ341" s="662"/>
      <c r="IK341" s="662"/>
      <c r="IL341" s="662"/>
      <c r="IM341" s="662"/>
      <c r="IN341" s="662"/>
      <c r="IO341" s="662"/>
      <c r="IP341" s="662"/>
      <c r="IQ341" s="70"/>
    </row>
    <row r="342" spans="10:251" ht="16.5" hidden="1" customHeight="1">
      <c r="J342" s="214"/>
      <c r="R342" s="95"/>
      <c r="S342" s="95"/>
      <c r="T342" s="95"/>
      <c r="U342" s="70"/>
      <c r="V342" s="214"/>
      <c r="W342" s="70"/>
      <c r="X342" s="70"/>
      <c r="Y342" s="70"/>
      <c r="Z342" s="70"/>
      <c r="AA342" s="70"/>
      <c r="AB342" s="70"/>
      <c r="AC342" s="70"/>
      <c r="AD342" s="70"/>
      <c r="AE342" s="70"/>
      <c r="AF342" s="70"/>
      <c r="AG342" s="70"/>
      <c r="AH342" s="70"/>
      <c r="AI342" s="70"/>
      <c r="AJ342" s="70"/>
      <c r="AK342" s="70"/>
      <c r="AL342" s="70"/>
      <c r="AM342" s="70"/>
      <c r="AN342" s="70"/>
      <c r="AO342" s="70"/>
      <c r="AP342" s="70"/>
      <c r="AQ342" s="70"/>
      <c r="AR342" s="70"/>
      <c r="AS342" s="70"/>
      <c r="AT342" s="70"/>
      <c r="AU342" s="70"/>
      <c r="AV342" s="70"/>
      <c r="AW342" s="70"/>
      <c r="AX342" s="70"/>
      <c r="AY342" s="70"/>
      <c r="AZ342" s="70"/>
      <c r="BA342" s="70"/>
      <c r="BB342" s="70"/>
      <c r="BC342" s="70"/>
      <c r="BD342" s="70"/>
      <c r="BE342" s="70"/>
      <c r="BF342" s="70"/>
      <c r="BG342" s="70"/>
      <c r="BH342" s="70"/>
      <c r="BI342" s="70"/>
      <c r="BJ342" s="70"/>
      <c r="BK342" s="70"/>
      <c r="BL342" s="70"/>
      <c r="BM342" s="70"/>
      <c r="BN342" s="70"/>
      <c r="BO342" s="70"/>
      <c r="BP342" s="70"/>
      <c r="BQ342" s="70"/>
      <c r="BR342" s="70"/>
      <c r="BS342" s="70"/>
      <c r="BT342" s="70"/>
      <c r="BU342" s="70"/>
      <c r="BV342" s="70"/>
      <c r="BW342" s="70"/>
      <c r="BX342" s="70"/>
      <c r="BY342" s="70"/>
      <c r="BZ342" s="70"/>
      <c r="CA342" s="70"/>
      <c r="CB342" s="70"/>
      <c r="CC342" s="70"/>
      <c r="CD342" s="70"/>
      <c r="CE342" s="70"/>
      <c r="CF342" s="70"/>
      <c r="CG342" s="70"/>
      <c r="CH342" s="70"/>
      <c r="CI342" s="70"/>
      <c r="CJ342" s="70"/>
      <c r="CK342" s="70"/>
      <c r="CL342" s="70"/>
      <c r="CM342" s="70"/>
      <c r="CN342" s="70"/>
      <c r="CO342" s="70"/>
      <c r="CP342" s="70"/>
      <c r="CQ342" s="70"/>
      <c r="CR342" s="70"/>
      <c r="CS342" s="70"/>
      <c r="CT342" s="70"/>
      <c r="CU342" s="70"/>
      <c r="CV342" s="70"/>
      <c r="CW342" s="70"/>
      <c r="CX342" s="70"/>
      <c r="CY342" s="70"/>
      <c r="CZ342" s="70"/>
      <c r="DA342" s="70"/>
      <c r="DB342" s="70"/>
      <c r="DC342" s="70"/>
      <c r="DD342" s="70"/>
      <c r="DE342" s="70"/>
      <c r="DF342" s="70"/>
      <c r="DG342" s="70"/>
      <c r="DH342" s="70"/>
      <c r="DI342" s="70"/>
      <c r="DJ342" s="70"/>
      <c r="DK342" s="70"/>
      <c r="DL342" s="70"/>
      <c r="DM342" s="70"/>
      <c r="DN342" s="70"/>
      <c r="DO342" s="70"/>
      <c r="DP342" s="70"/>
      <c r="DQ342" s="70"/>
      <c r="DR342" s="70"/>
      <c r="DS342" s="70"/>
      <c r="DT342" s="70"/>
      <c r="DU342" s="70"/>
      <c r="DV342" s="70"/>
      <c r="DW342" s="70"/>
      <c r="DX342" s="70"/>
      <c r="DY342" s="70"/>
      <c r="DZ342" s="70"/>
      <c r="EA342" s="70"/>
      <c r="EB342" s="70"/>
      <c r="EC342" s="70"/>
      <c r="ED342" s="70"/>
      <c r="EE342" s="95" t="s">
        <v>450</v>
      </c>
      <c r="EF342" s="651"/>
      <c r="EG342" s="651"/>
      <c r="EH342" s="651"/>
      <c r="EI342" s="216"/>
      <c r="EJ342" s="662"/>
      <c r="EK342" s="662"/>
      <c r="EL342" s="662"/>
      <c r="EM342" s="662"/>
      <c r="EN342" s="662"/>
      <c r="EO342" s="662"/>
      <c r="EP342" s="662"/>
      <c r="EQ342" s="662"/>
      <c r="ER342" s="662"/>
      <c r="ES342" s="662"/>
      <c r="ET342" s="662"/>
      <c r="EU342" s="662"/>
      <c r="EV342" s="662"/>
      <c r="EW342" s="662"/>
      <c r="EX342" s="662"/>
      <c r="EY342" s="662"/>
      <c r="EZ342" s="662"/>
      <c r="FA342" s="662"/>
      <c r="FB342" s="662"/>
      <c r="FC342" s="662"/>
      <c r="FD342" s="662"/>
      <c r="FE342" s="662"/>
      <c r="FF342" s="662"/>
      <c r="FG342" s="662"/>
      <c r="FH342" s="662"/>
      <c r="FI342" s="662"/>
      <c r="FJ342" s="662"/>
      <c r="FK342" s="662"/>
      <c r="FL342" s="662"/>
      <c r="FM342" s="662"/>
      <c r="FN342" s="662"/>
      <c r="FO342" s="662"/>
      <c r="FP342" s="662"/>
      <c r="FQ342" s="662"/>
      <c r="FR342" s="662"/>
      <c r="FS342" s="662"/>
      <c r="FT342" s="662"/>
      <c r="FU342" s="662"/>
      <c r="FV342" s="662"/>
      <c r="FW342" s="662"/>
      <c r="FX342" s="662"/>
      <c r="FY342" s="662"/>
      <c r="FZ342" s="662"/>
      <c r="GA342" s="662"/>
      <c r="GB342" s="662"/>
      <c r="GC342" s="662"/>
      <c r="GD342" s="662"/>
      <c r="GE342" s="662"/>
      <c r="GF342" s="662"/>
      <c r="GG342" s="662"/>
      <c r="GH342" s="662"/>
      <c r="GI342" s="662"/>
      <c r="GJ342" s="662"/>
      <c r="GK342" s="662"/>
      <c r="GL342" s="662"/>
      <c r="GM342" s="662"/>
      <c r="GN342" s="662"/>
      <c r="GO342" s="662"/>
      <c r="GP342" s="662"/>
      <c r="GQ342" s="662"/>
      <c r="GR342" s="662"/>
      <c r="GS342" s="662"/>
      <c r="GT342" s="662"/>
      <c r="GU342" s="662"/>
      <c r="GV342" s="662"/>
      <c r="GW342" s="662"/>
      <c r="GX342" s="662"/>
      <c r="GY342" s="662"/>
      <c r="GZ342" s="662"/>
      <c r="HA342" s="662"/>
      <c r="HB342" s="662"/>
      <c r="HC342" s="662"/>
      <c r="HD342" s="662"/>
      <c r="HE342" s="662"/>
      <c r="HF342" s="662"/>
      <c r="HG342" s="662"/>
      <c r="HH342" s="662"/>
      <c r="HI342" s="662"/>
      <c r="HJ342" s="662"/>
      <c r="HK342" s="662"/>
      <c r="HL342" s="662"/>
      <c r="HM342" s="662"/>
      <c r="HN342" s="662"/>
      <c r="HO342" s="662"/>
      <c r="HP342" s="662"/>
      <c r="HQ342" s="662"/>
      <c r="HR342" s="662"/>
      <c r="HS342" s="662"/>
      <c r="HT342" s="662"/>
      <c r="HU342" s="662"/>
      <c r="HV342" s="662"/>
      <c r="HW342" s="662"/>
      <c r="HX342" s="662"/>
      <c r="HY342" s="662"/>
      <c r="HZ342" s="662"/>
      <c r="IA342" s="662"/>
      <c r="IB342" s="662"/>
      <c r="IC342" s="662"/>
      <c r="ID342" s="662"/>
      <c r="IE342" s="662"/>
      <c r="IF342" s="662"/>
      <c r="IG342" s="662"/>
      <c r="IH342" s="662"/>
      <c r="II342" s="662"/>
      <c r="IJ342" s="662"/>
      <c r="IK342" s="662"/>
      <c r="IL342" s="662"/>
      <c r="IM342" s="662"/>
      <c r="IN342" s="662"/>
      <c r="IO342" s="662"/>
      <c r="IP342" s="662"/>
      <c r="IQ342" s="70"/>
    </row>
    <row r="343" spans="10:251" ht="16.5" hidden="1" customHeight="1">
      <c r="J343" s="214"/>
      <c r="R343" s="95"/>
      <c r="S343" s="95"/>
      <c r="T343" s="95"/>
      <c r="U343" s="70"/>
      <c r="V343" s="214"/>
      <c r="W343" s="70"/>
      <c r="X343" s="70"/>
      <c r="Y343" s="70"/>
      <c r="Z343" s="70"/>
      <c r="AA343" s="70"/>
      <c r="AB343" s="70"/>
      <c r="AC343" s="70"/>
      <c r="AD343" s="70"/>
      <c r="AE343" s="70"/>
      <c r="AF343" s="70"/>
      <c r="AG343" s="70"/>
      <c r="AH343" s="70"/>
      <c r="AI343" s="70"/>
      <c r="AJ343" s="70"/>
      <c r="AK343" s="70"/>
      <c r="AL343" s="70"/>
      <c r="AM343" s="70"/>
      <c r="AN343" s="70"/>
      <c r="AO343" s="70"/>
      <c r="AP343" s="70"/>
      <c r="AQ343" s="70"/>
      <c r="AR343" s="70"/>
      <c r="AS343" s="70"/>
      <c r="AT343" s="70"/>
      <c r="AU343" s="70"/>
      <c r="AV343" s="70"/>
      <c r="AW343" s="70"/>
      <c r="AX343" s="70"/>
      <c r="AY343" s="70"/>
      <c r="AZ343" s="70"/>
      <c r="BA343" s="70"/>
      <c r="BB343" s="70"/>
      <c r="BC343" s="70"/>
      <c r="BD343" s="70"/>
      <c r="BE343" s="70"/>
      <c r="BF343" s="70"/>
      <c r="BG343" s="70"/>
      <c r="BH343" s="70"/>
      <c r="BI343" s="70"/>
      <c r="BJ343" s="70"/>
      <c r="BK343" s="70"/>
      <c r="BL343" s="70"/>
      <c r="BM343" s="70"/>
      <c r="BN343" s="70"/>
      <c r="BO343" s="70"/>
      <c r="BP343" s="70"/>
      <c r="BQ343" s="70"/>
      <c r="BR343" s="70"/>
      <c r="BS343" s="70"/>
      <c r="BT343" s="70"/>
      <c r="BU343" s="70"/>
      <c r="BV343" s="70"/>
      <c r="BW343" s="70"/>
      <c r="BX343" s="70"/>
      <c r="BY343" s="70"/>
      <c r="BZ343" s="70"/>
      <c r="CA343" s="70"/>
      <c r="CB343" s="70"/>
      <c r="CC343" s="70"/>
      <c r="CD343" s="70"/>
      <c r="CE343" s="70"/>
      <c r="CF343" s="70"/>
      <c r="CG343" s="70"/>
      <c r="CH343" s="70"/>
      <c r="CI343" s="70"/>
      <c r="CJ343" s="70"/>
      <c r="CK343" s="70"/>
      <c r="CL343" s="70"/>
      <c r="CM343" s="70"/>
      <c r="CN343" s="70"/>
      <c r="CO343" s="70"/>
      <c r="CP343" s="70"/>
      <c r="CQ343" s="70"/>
      <c r="CR343" s="70"/>
      <c r="CS343" s="70"/>
      <c r="CT343" s="70"/>
      <c r="CU343" s="70"/>
      <c r="CV343" s="70"/>
      <c r="CW343" s="70"/>
      <c r="CX343" s="70"/>
      <c r="CY343" s="70"/>
      <c r="CZ343" s="70"/>
      <c r="DA343" s="70"/>
      <c r="DB343" s="70"/>
      <c r="DC343" s="70"/>
      <c r="DD343" s="70"/>
      <c r="DE343" s="70"/>
      <c r="DF343" s="70"/>
      <c r="DG343" s="70"/>
      <c r="DH343" s="70"/>
      <c r="DI343" s="70"/>
      <c r="DJ343" s="70"/>
      <c r="DK343" s="70"/>
      <c r="DL343" s="70"/>
      <c r="DM343" s="70"/>
      <c r="DN343" s="70"/>
      <c r="DO343" s="70"/>
      <c r="DP343" s="70"/>
      <c r="DQ343" s="70"/>
      <c r="DR343" s="70"/>
      <c r="DS343" s="70"/>
      <c r="DT343" s="70"/>
      <c r="DU343" s="70"/>
      <c r="DV343" s="70"/>
      <c r="DW343" s="70"/>
      <c r="DX343" s="70"/>
      <c r="DY343" s="70"/>
      <c r="DZ343" s="70"/>
      <c r="EA343" s="70"/>
      <c r="EB343" s="70"/>
      <c r="EC343" s="70"/>
      <c r="ED343" s="70"/>
      <c r="EE343" s="95" t="s">
        <v>450</v>
      </c>
      <c r="EF343" s="651"/>
      <c r="EG343" s="651"/>
      <c r="EH343" s="651"/>
      <c r="EI343" s="216"/>
      <c r="EJ343" s="662"/>
      <c r="EK343" s="662"/>
      <c r="EL343" s="662"/>
      <c r="EM343" s="662"/>
      <c r="EN343" s="662"/>
      <c r="EO343" s="662"/>
      <c r="EP343" s="662"/>
      <c r="EQ343" s="662"/>
      <c r="ER343" s="662"/>
      <c r="ES343" s="662"/>
      <c r="ET343" s="662"/>
      <c r="EU343" s="662"/>
      <c r="EV343" s="662"/>
      <c r="EW343" s="662"/>
      <c r="EX343" s="662"/>
      <c r="EY343" s="662"/>
      <c r="EZ343" s="662"/>
      <c r="FA343" s="662"/>
      <c r="FB343" s="662"/>
      <c r="FC343" s="662"/>
      <c r="FD343" s="662"/>
      <c r="FE343" s="662"/>
      <c r="FF343" s="662"/>
      <c r="FG343" s="662"/>
      <c r="FH343" s="662"/>
      <c r="FI343" s="662"/>
      <c r="FJ343" s="662"/>
      <c r="FK343" s="662"/>
      <c r="FL343" s="662"/>
      <c r="FM343" s="662"/>
      <c r="FN343" s="662"/>
      <c r="FO343" s="662"/>
      <c r="FP343" s="662"/>
      <c r="FQ343" s="662"/>
      <c r="FR343" s="662"/>
      <c r="FS343" s="662"/>
      <c r="FT343" s="662"/>
      <c r="FU343" s="662"/>
      <c r="FV343" s="662"/>
      <c r="FW343" s="662"/>
      <c r="FX343" s="662"/>
      <c r="FY343" s="662"/>
      <c r="FZ343" s="662"/>
      <c r="GA343" s="662"/>
      <c r="GB343" s="662"/>
      <c r="GC343" s="662"/>
      <c r="GD343" s="662"/>
      <c r="GE343" s="662"/>
      <c r="GF343" s="662"/>
      <c r="GG343" s="662"/>
      <c r="GH343" s="662"/>
      <c r="GI343" s="662"/>
      <c r="GJ343" s="662"/>
      <c r="GK343" s="662"/>
      <c r="GL343" s="662"/>
      <c r="GM343" s="662"/>
      <c r="GN343" s="662"/>
      <c r="GO343" s="662"/>
      <c r="GP343" s="662"/>
      <c r="GQ343" s="662"/>
      <c r="GR343" s="662"/>
      <c r="GS343" s="662"/>
      <c r="GT343" s="662"/>
      <c r="GU343" s="662"/>
      <c r="GV343" s="662"/>
      <c r="GW343" s="662"/>
      <c r="GX343" s="662"/>
      <c r="GY343" s="662"/>
      <c r="GZ343" s="662"/>
      <c r="HA343" s="662"/>
      <c r="HB343" s="662"/>
      <c r="HC343" s="662"/>
      <c r="HD343" s="662"/>
      <c r="HE343" s="662"/>
      <c r="HF343" s="662"/>
      <c r="HG343" s="662"/>
      <c r="HH343" s="662"/>
      <c r="HI343" s="662"/>
      <c r="HJ343" s="662"/>
      <c r="HK343" s="662"/>
      <c r="HL343" s="662"/>
      <c r="HM343" s="662"/>
      <c r="HN343" s="662"/>
      <c r="HO343" s="662"/>
      <c r="HP343" s="662"/>
      <c r="HQ343" s="662"/>
      <c r="HR343" s="662"/>
      <c r="HS343" s="662"/>
      <c r="HT343" s="662"/>
      <c r="HU343" s="662"/>
      <c r="HV343" s="662"/>
      <c r="HW343" s="662"/>
      <c r="HX343" s="662"/>
      <c r="HY343" s="662"/>
      <c r="HZ343" s="662"/>
      <c r="IA343" s="662"/>
      <c r="IB343" s="662"/>
      <c r="IC343" s="662"/>
      <c r="ID343" s="662"/>
      <c r="IE343" s="662"/>
      <c r="IF343" s="662"/>
      <c r="IG343" s="662"/>
      <c r="IH343" s="662"/>
      <c r="II343" s="662"/>
      <c r="IJ343" s="662"/>
      <c r="IK343" s="662"/>
      <c r="IL343" s="662"/>
      <c r="IM343" s="662"/>
      <c r="IN343" s="662"/>
      <c r="IO343" s="662"/>
      <c r="IP343" s="662"/>
      <c r="IQ343" s="70"/>
    </row>
    <row r="344" spans="10:251" ht="16.5" hidden="1" customHeight="1">
      <c r="J344" s="214"/>
      <c r="R344" s="95"/>
      <c r="S344" s="95"/>
      <c r="T344" s="95"/>
      <c r="U344" s="70"/>
      <c r="V344" s="214"/>
      <c r="W344" s="70"/>
      <c r="X344" s="70"/>
      <c r="Y344" s="70"/>
      <c r="Z344" s="70"/>
      <c r="AA344" s="70"/>
      <c r="AB344" s="70"/>
      <c r="AC344" s="70"/>
      <c r="AD344" s="70"/>
      <c r="AE344" s="70"/>
      <c r="AF344" s="70"/>
      <c r="AG344" s="70"/>
      <c r="AH344" s="70"/>
      <c r="AI344" s="70"/>
      <c r="AJ344" s="70"/>
      <c r="AK344" s="70"/>
      <c r="AL344" s="70"/>
      <c r="AM344" s="70"/>
      <c r="AN344" s="70"/>
      <c r="AO344" s="70"/>
      <c r="AP344" s="70"/>
      <c r="AQ344" s="70"/>
      <c r="AR344" s="70"/>
      <c r="AS344" s="70"/>
      <c r="AT344" s="70"/>
      <c r="AU344" s="70"/>
      <c r="AV344" s="70"/>
      <c r="AW344" s="70"/>
      <c r="AX344" s="70"/>
      <c r="AY344" s="70"/>
      <c r="AZ344" s="70"/>
      <c r="BA344" s="70"/>
      <c r="BB344" s="70"/>
      <c r="BC344" s="70"/>
      <c r="BD344" s="70"/>
      <c r="BE344" s="70"/>
      <c r="BF344" s="70"/>
      <c r="BG344" s="70"/>
      <c r="BH344" s="70"/>
      <c r="BI344" s="70"/>
      <c r="BJ344" s="70"/>
      <c r="BK344" s="70"/>
      <c r="BL344" s="70"/>
      <c r="BM344" s="70"/>
      <c r="BN344" s="70"/>
      <c r="BO344" s="70"/>
      <c r="BP344" s="70"/>
      <c r="BQ344" s="70"/>
      <c r="BR344" s="70"/>
      <c r="BS344" s="70"/>
      <c r="BT344" s="70"/>
      <c r="BU344" s="70"/>
      <c r="BV344" s="70"/>
      <c r="BW344" s="70"/>
      <c r="BX344" s="70"/>
      <c r="BY344" s="70"/>
      <c r="BZ344" s="70"/>
      <c r="CA344" s="70"/>
      <c r="CB344" s="70"/>
      <c r="CC344" s="70"/>
      <c r="CD344" s="70"/>
      <c r="CE344" s="70"/>
      <c r="CF344" s="70"/>
      <c r="CG344" s="70"/>
      <c r="CH344" s="70"/>
      <c r="CI344" s="70"/>
      <c r="CJ344" s="70"/>
      <c r="CK344" s="70"/>
      <c r="CL344" s="70"/>
      <c r="CM344" s="70"/>
      <c r="CN344" s="70"/>
      <c r="CO344" s="70"/>
      <c r="CP344" s="70"/>
      <c r="CQ344" s="70"/>
      <c r="CR344" s="70"/>
      <c r="CS344" s="70"/>
      <c r="CT344" s="70"/>
      <c r="CU344" s="70"/>
      <c r="CV344" s="70"/>
      <c r="CW344" s="70"/>
      <c r="CX344" s="70"/>
      <c r="CY344" s="70"/>
      <c r="CZ344" s="70"/>
      <c r="DA344" s="70"/>
      <c r="DB344" s="70"/>
      <c r="DC344" s="70"/>
      <c r="DD344" s="70"/>
      <c r="DE344" s="70"/>
      <c r="DF344" s="70"/>
      <c r="DG344" s="70"/>
      <c r="DH344" s="70"/>
      <c r="DI344" s="70"/>
      <c r="DJ344" s="70"/>
      <c r="DK344" s="70"/>
      <c r="DL344" s="70"/>
      <c r="DM344" s="70"/>
      <c r="DN344" s="70"/>
      <c r="DO344" s="70"/>
      <c r="DP344" s="70"/>
      <c r="DQ344" s="70"/>
      <c r="DR344" s="70"/>
      <c r="DS344" s="70"/>
      <c r="DT344" s="70"/>
      <c r="DU344" s="70"/>
      <c r="DV344" s="70"/>
      <c r="DW344" s="70"/>
      <c r="DX344" s="70"/>
      <c r="DY344" s="70"/>
      <c r="DZ344" s="70"/>
      <c r="EA344" s="70"/>
      <c r="EB344" s="70"/>
      <c r="EC344" s="70"/>
      <c r="ED344" s="70"/>
      <c r="EE344" s="95" t="s">
        <v>450</v>
      </c>
      <c r="EF344" s="651"/>
      <c r="EG344" s="651"/>
      <c r="EH344" s="651"/>
      <c r="EI344" s="216"/>
      <c r="EJ344" s="662"/>
      <c r="EK344" s="662"/>
      <c r="EL344" s="662"/>
      <c r="EM344" s="662"/>
      <c r="EN344" s="662"/>
      <c r="EO344" s="662"/>
      <c r="EP344" s="662"/>
      <c r="EQ344" s="662"/>
      <c r="ER344" s="662"/>
      <c r="ES344" s="662"/>
      <c r="ET344" s="662"/>
      <c r="EU344" s="662"/>
      <c r="EV344" s="662"/>
      <c r="EW344" s="662"/>
      <c r="EX344" s="662"/>
      <c r="EY344" s="662"/>
      <c r="EZ344" s="662"/>
      <c r="FA344" s="662"/>
      <c r="FB344" s="662"/>
      <c r="FC344" s="662"/>
      <c r="FD344" s="662"/>
      <c r="FE344" s="662"/>
      <c r="FF344" s="662"/>
      <c r="FG344" s="662"/>
      <c r="FH344" s="662"/>
      <c r="FI344" s="662"/>
      <c r="FJ344" s="662"/>
      <c r="FK344" s="662"/>
      <c r="FL344" s="662"/>
      <c r="FM344" s="662"/>
      <c r="FN344" s="662"/>
      <c r="FO344" s="662"/>
      <c r="FP344" s="662"/>
      <c r="FQ344" s="662"/>
      <c r="FR344" s="662"/>
      <c r="FS344" s="662"/>
      <c r="FT344" s="662"/>
      <c r="FU344" s="662"/>
      <c r="FV344" s="662"/>
      <c r="FW344" s="662"/>
      <c r="FX344" s="662"/>
      <c r="FY344" s="662"/>
      <c r="FZ344" s="662"/>
      <c r="GA344" s="662"/>
      <c r="GB344" s="662"/>
      <c r="GC344" s="662"/>
      <c r="GD344" s="662"/>
      <c r="GE344" s="662"/>
      <c r="GF344" s="662"/>
      <c r="GG344" s="662"/>
      <c r="GH344" s="662"/>
      <c r="GI344" s="662"/>
      <c r="GJ344" s="662"/>
      <c r="GK344" s="662"/>
      <c r="GL344" s="662"/>
      <c r="GM344" s="662"/>
      <c r="GN344" s="662"/>
      <c r="GO344" s="662"/>
      <c r="GP344" s="662"/>
      <c r="GQ344" s="662"/>
      <c r="GR344" s="662"/>
      <c r="GS344" s="662"/>
      <c r="GT344" s="662"/>
      <c r="GU344" s="662"/>
      <c r="GV344" s="662"/>
      <c r="GW344" s="662"/>
      <c r="GX344" s="662"/>
      <c r="GY344" s="662"/>
      <c r="GZ344" s="662"/>
      <c r="HA344" s="662"/>
      <c r="HB344" s="662"/>
      <c r="HC344" s="662"/>
      <c r="HD344" s="662"/>
      <c r="HE344" s="662"/>
      <c r="HF344" s="662"/>
      <c r="HG344" s="662"/>
      <c r="HH344" s="662"/>
      <c r="HI344" s="662"/>
      <c r="HJ344" s="662"/>
      <c r="HK344" s="662"/>
      <c r="HL344" s="662"/>
      <c r="HM344" s="662"/>
      <c r="HN344" s="662"/>
      <c r="HO344" s="662"/>
      <c r="HP344" s="662"/>
      <c r="HQ344" s="662"/>
      <c r="HR344" s="662"/>
      <c r="HS344" s="662"/>
      <c r="HT344" s="662"/>
      <c r="HU344" s="662"/>
      <c r="HV344" s="662"/>
      <c r="HW344" s="662"/>
      <c r="HX344" s="662"/>
      <c r="HY344" s="662"/>
      <c r="HZ344" s="662"/>
      <c r="IA344" s="662"/>
      <c r="IB344" s="662"/>
      <c r="IC344" s="662"/>
      <c r="ID344" s="662"/>
      <c r="IE344" s="662"/>
      <c r="IF344" s="662"/>
      <c r="IG344" s="662"/>
      <c r="IH344" s="662"/>
      <c r="II344" s="662"/>
      <c r="IJ344" s="662"/>
      <c r="IK344" s="662"/>
      <c r="IL344" s="662"/>
      <c r="IM344" s="662"/>
      <c r="IN344" s="662"/>
      <c r="IO344" s="662"/>
      <c r="IP344" s="662"/>
      <c r="IQ344" s="70"/>
    </row>
    <row r="345" spans="10:251" ht="16.5" hidden="1" customHeight="1">
      <c r="J345" s="214"/>
      <c r="R345" s="95"/>
      <c r="S345" s="95"/>
      <c r="T345" s="95"/>
      <c r="U345" s="70"/>
      <c r="V345" s="214"/>
      <c r="W345" s="70"/>
      <c r="X345" s="70"/>
      <c r="Y345" s="70"/>
      <c r="Z345" s="70"/>
      <c r="AA345" s="70"/>
      <c r="AB345" s="70"/>
      <c r="AC345" s="70"/>
      <c r="AD345" s="70"/>
      <c r="AE345" s="70"/>
      <c r="AF345" s="70"/>
      <c r="AG345" s="70"/>
      <c r="AH345" s="70"/>
      <c r="AI345" s="70"/>
      <c r="AJ345" s="70"/>
      <c r="AK345" s="70"/>
      <c r="AL345" s="70"/>
      <c r="AM345" s="70"/>
      <c r="AN345" s="70"/>
      <c r="AO345" s="70"/>
      <c r="AP345" s="70"/>
      <c r="AQ345" s="70"/>
      <c r="AR345" s="70"/>
      <c r="AS345" s="70"/>
      <c r="AT345" s="70"/>
      <c r="AU345" s="70"/>
      <c r="AV345" s="70"/>
      <c r="AW345" s="70"/>
      <c r="AX345" s="70"/>
      <c r="AY345" s="70"/>
      <c r="AZ345" s="70"/>
      <c r="BA345" s="70"/>
      <c r="BB345" s="70"/>
      <c r="BC345" s="70"/>
      <c r="BD345" s="70"/>
      <c r="BE345" s="70"/>
      <c r="BF345" s="70"/>
      <c r="BG345" s="70"/>
      <c r="BH345" s="70"/>
      <c r="BI345" s="70"/>
      <c r="BJ345" s="70"/>
      <c r="BK345" s="70"/>
      <c r="BL345" s="70"/>
      <c r="BM345" s="70"/>
      <c r="BN345" s="70"/>
      <c r="BO345" s="70"/>
      <c r="BP345" s="70"/>
      <c r="BQ345" s="70"/>
      <c r="BR345" s="70"/>
      <c r="BS345" s="70"/>
      <c r="BT345" s="70"/>
      <c r="BU345" s="70"/>
      <c r="BV345" s="70"/>
      <c r="BW345" s="70"/>
      <c r="BX345" s="70"/>
      <c r="BY345" s="70"/>
      <c r="BZ345" s="70"/>
      <c r="CA345" s="70"/>
      <c r="CB345" s="70"/>
      <c r="CC345" s="70"/>
      <c r="CD345" s="70"/>
      <c r="CE345" s="70"/>
      <c r="CF345" s="70"/>
      <c r="CG345" s="70"/>
      <c r="CH345" s="70"/>
      <c r="CI345" s="70"/>
      <c r="CJ345" s="70"/>
      <c r="CK345" s="70"/>
      <c r="CL345" s="70"/>
      <c r="CM345" s="70"/>
      <c r="CN345" s="70"/>
      <c r="CO345" s="70"/>
      <c r="CP345" s="70"/>
      <c r="CQ345" s="70"/>
      <c r="CR345" s="70"/>
      <c r="CS345" s="70"/>
      <c r="CT345" s="70"/>
      <c r="CU345" s="70"/>
      <c r="CV345" s="70"/>
      <c r="CW345" s="70"/>
      <c r="CX345" s="70"/>
      <c r="CY345" s="70"/>
      <c r="CZ345" s="70"/>
      <c r="DA345" s="70"/>
      <c r="DB345" s="70"/>
      <c r="DC345" s="70"/>
      <c r="DD345" s="70"/>
      <c r="DE345" s="70"/>
      <c r="DF345" s="70"/>
      <c r="DG345" s="70"/>
      <c r="DH345" s="70"/>
      <c r="DI345" s="70"/>
      <c r="DJ345" s="70"/>
      <c r="DK345" s="70"/>
      <c r="DL345" s="70"/>
      <c r="DM345" s="70"/>
      <c r="DN345" s="70"/>
      <c r="DO345" s="70"/>
      <c r="DP345" s="70"/>
      <c r="DQ345" s="70"/>
      <c r="DR345" s="70"/>
      <c r="DS345" s="70"/>
      <c r="DT345" s="70"/>
      <c r="DU345" s="70"/>
      <c r="DV345" s="70"/>
      <c r="DW345" s="70"/>
      <c r="DX345" s="70"/>
      <c r="DY345" s="70"/>
      <c r="DZ345" s="70"/>
      <c r="EA345" s="70"/>
      <c r="EB345" s="70"/>
      <c r="EC345" s="70"/>
      <c r="ED345" s="70"/>
      <c r="EE345" s="95" t="s">
        <v>450</v>
      </c>
      <c r="EF345" s="651"/>
      <c r="EG345" s="651"/>
      <c r="EH345" s="651"/>
      <c r="EI345" s="216"/>
      <c r="EJ345" s="662"/>
      <c r="EK345" s="662"/>
      <c r="EL345" s="662"/>
      <c r="EM345" s="662"/>
      <c r="EN345" s="662"/>
      <c r="EO345" s="662"/>
      <c r="EP345" s="662"/>
      <c r="EQ345" s="662"/>
      <c r="ER345" s="662"/>
      <c r="ES345" s="662"/>
      <c r="ET345" s="662"/>
      <c r="EU345" s="662"/>
      <c r="EV345" s="662"/>
      <c r="EW345" s="662"/>
      <c r="EX345" s="662"/>
      <c r="EY345" s="662"/>
      <c r="EZ345" s="662"/>
      <c r="FA345" s="662"/>
      <c r="FB345" s="662"/>
      <c r="FC345" s="662"/>
      <c r="FD345" s="662"/>
      <c r="FE345" s="662"/>
      <c r="FF345" s="662"/>
      <c r="FG345" s="662"/>
      <c r="FH345" s="662"/>
      <c r="FI345" s="662"/>
      <c r="FJ345" s="662"/>
      <c r="FK345" s="662"/>
      <c r="FL345" s="662"/>
      <c r="FM345" s="662"/>
      <c r="FN345" s="662"/>
      <c r="FO345" s="662"/>
      <c r="FP345" s="662"/>
      <c r="FQ345" s="662"/>
      <c r="FR345" s="662"/>
      <c r="FS345" s="662"/>
      <c r="FT345" s="662"/>
      <c r="FU345" s="662"/>
      <c r="FV345" s="662"/>
      <c r="FW345" s="662"/>
      <c r="FX345" s="662"/>
      <c r="FY345" s="662"/>
      <c r="FZ345" s="662"/>
      <c r="GA345" s="662"/>
      <c r="GB345" s="662"/>
      <c r="GC345" s="662"/>
      <c r="GD345" s="662"/>
      <c r="GE345" s="662"/>
      <c r="GF345" s="662"/>
      <c r="GG345" s="662"/>
      <c r="GH345" s="662"/>
      <c r="GI345" s="662"/>
      <c r="GJ345" s="662"/>
      <c r="GK345" s="662"/>
      <c r="GL345" s="662"/>
      <c r="GM345" s="662"/>
      <c r="GN345" s="662"/>
      <c r="GO345" s="662"/>
      <c r="GP345" s="662"/>
      <c r="GQ345" s="662"/>
      <c r="GR345" s="662"/>
      <c r="GS345" s="662"/>
      <c r="GT345" s="662"/>
      <c r="GU345" s="662"/>
      <c r="GV345" s="662"/>
      <c r="GW345" s="662"/>
      <c r="GX345" s="662"/>
      <c r="GY345" s="662"/>
      <c r="GZ345" s="662"/>
      <c r="HA345" s="662"/>
      <c r="HB345" s="662"/>
      <c r="HC345" s="662"/>
      <c r="HD345" s="662"/>
      <c r="HE345" s="662"/>
      <c r="HF345" s="662"/>
      <c r="HG345" s="662"/>
      <c r="HH345" s="662"/>
      <c r="HI345" s="662"/>
      <c r="HJ345" s="662"/>
      <c r="HK345" s="662"/>
      <c r="HL345" s="662"/>
      <c r="HM345" s="662"/>
      <c r="HN345" s="662"/>
      <c r="HO345" s="662"/>
      <c r="HP345" s="662"/>
      <c r="HQ345" s="662"/>
      <c r="HR345" s="662"/>
      <c r="HS345" s="662"/>
      <c r="HT345" s="662"/>
      <c r="HU345" s="662"/>
      <c r="HV345" s="662"/>
      <c r="HW345" s="662"/>
      <c r="HX345" s="662"/>
      <c r="HY345" s="662"/>
      <c r="HZ345" s="662"/>
      <c r="IA345" s="662"/>
      <c r="IB345" s="662"/>
      <c r="IC345" s="662"/>
      <c r="ID345" s="662"/>
      <c r="IE345" s="662"/>
      <c r="IF345" s="662"/>
      <c r="IG345" s="662"/>
      <c r="IH345" s="662"/>
      <c r="II345" s="662"/>
      <c r="IJ345" s="662"/>
      <c r="IK345" s="662"/>
      <c r="IL345" s="662"/>
      <c r="IM345" s="662"/>
      <c r="IN345" s="662"/>
      <c r="IO345" s="662"/>
      <c r="IP345" s="662"/>
      <c r="IQ345" s="70"/>
    </row>
    <row r="346" spans="10:251" ht="16.5" hidden="1" customHeight="1">
      <c r="J346" s="214"/>
      <c r="R346" s="95"/>
      <c r="S346" s="95"/>
      <c r="T346" s="95"/>
      <c r="U346" s="70"/>
      <c r="V346" s="214"/>
      <c r="W346" s="70"/>
      <c r="X346" s="70"/>
      <c r="Y346" s="70"/>
      <c r="Z346" s="70"/>
      <c r="AA346" s="70"/>
      <c r="AB346" s="70"/>
      <c r="AC346" s="70"/>
      <c r="AD346" s="70"/>
      <c r="AE346" s="70"/>
      <c r="AF346" s="70"/>
      <c r="AG346" s="70"/>
      <c r="AH346" s="70"/>
      <c r="AI346" s="70"/>
      <c r="AJ346" s="70"/>
      <c r="AK346" s="70"/>
      <c r="AL346" s="70"/>
      <c r="AM346" s="70"/>
      <c r="AN346" s="70"/>
      <c r="AO346" s="70"/>
      <c r="AP346" s="70"/>
      <c r="AQ346" s="70"/>
      <c r="AR346" s="70"/>
      <c r="AS346" s="70"/>
      <c r="AT346" s="70"/>
      <c r="AU346" s="70"/>
      <c r="AV346" s="70"/>
      <c r="AW346" s="70"/>
      <c r="AX346" s="70"/>
      <c r="AY346" s="70"/>
      <c r="AZ346" s="70"/>
      <c r="BA346" s="70"/>
      <c r="BB346" s="70"/>
      <c r="BC346" s="70"/>
      <c r="BD346" s="70"/>
      <c r="BE346" s="70"/>
      <c r="BF346" s="70"/>
      <c r="BG346" s="70"/>
      <c r="BH346" s="70"/>
      <c r="BI346" s="70"/>
      <c r="BJ346" s="70"/>
      <c r="BK346" s="70"/>
      <c r="BL346" s="70"/>
      <c r="BM346" s="70"/>
      <c r="BN346" s="70"/>
      <c r="BO346" s="70"/>
      <c r="BP346" s="70"/>
      <c r="BQ346" s="70"/>
      <c r="BR346" s="70"/>
      <c r="BS346" s="70"/>
      <c r="BT346" s="70"/>
      <c r="BU346" s="70"/>
      <c r="BV346" s="70"/>
      <c r="BW346" s="70"/>
      <c r="BX346" s="70"/>
      <c r="BY346" s="70"/>
      <c r="BZ346" s="70"/>
      <c r="CA346" s="70"/>
      <c r="CB346" s="70"/>
      <c r="CC346" s="70"/>
      <c r="CD346" s="70"/>
      <c r="CE346" s="70"/>
      <c r="CF346" s="70"/>
      <c r="CG346" s="70"/>
      <c r="CH346" s="70"/>
      <c r="CI346" s="70"/>
      <c r="CJ346" s="70"/>
      <c r="CK346" s="70"/>
      <c r="CL346" s="70"/>
      <c r="CM346" s="70"/>
      <c r="CN346" s="70"/>
      <c r="CO346" s="70"/>
      <c r="CP346" s="70"/>
      <c r="CQ346" s="70"/>
      <c r="CR346" s="70"/>
      <c r="CS346" s="70"/>
      <c r="CT346" s="70"/>
      <c r="CU346" s="70"/>
      <c r="CV346" s="70"/>
      <c r="CW346" s="70"/>
      <c r="CX346" s="70"/>
      <c r="CY346" s="70"/>
      <c r="CZ346" s="70"/>
      <c r="DA346" s="70"/>
      <c r="DB346" s="70"/>
      <c r="DC346" s="70"/>
      <c r="DD346" s="70"/>
      <c r="DE346" s="70"/>
      <c r="DF346" s="70"/>
      <c r="DG346" s="70"/>
      <c r="DH346" s="70"/>
      <c r="DI346" s="70"/>
      <c r="DJ346" s="70"/>
      <c r="DK346" s="70"/>
      <c r="DL346" s="70"/>
      <c r="DM346" s="70"/>
      <c r="DN346" s="70"/>
      <c r="DO346" s="70"/>
      <c r="DP346" s="70"/>
      <c r="DQ346" s="70"/>
      <c r="DR346" s="70"/>
      <c r="DS346" s="70"/>
      <c r="DT346" s="70"/>
      <c r="DU346" s="70"/>
      <c r="DV346" s="70"/>
      <c r="DW346" s="70"/>
      <c r="DX346" s="70"/>
      <c r="DY346" s="70"/>
      <c r="DZ346" s="70"/>
      <c r="EA346" s="70"/>
      <c r="EB346" s="70"/>
      <c r="EC346" s="70"/>
      <c r="ED346" s="70"/>
      <c r="EE346" s="95" t="s">
        <v>450</v>
      </c>
      <c r="EF346" s="651"/>
      <c r="EG346" s="651"/>
      <c r="EH346" s="651"/>
      <c r="EI346" s="216"/>
      <c r="EJ346" s="662"/>
      <c r="EK346" s="662"/>
      <c r="EL346" s="662"/>
      <c r="EM346" s="662"/>
      <c r="EN346" s="662"/>
      <c r="EO346" s="662"/>
      <c r="EP346" s="662"/>
      <c r="EQ346" s="662"/>
      <c r="ER346" s="662"/>
      <c r="ES346" s="662"/>
      <c r="ET346" s="662"/>
      <c r="EU346" s="662"/>
      <c r="EV346" s="662"/>
      <c r="EW346" s="662"/>
      <c r="EX346" s="662"/>
      <c r="EY346" s="662"/>
      <c r="EZ346" s="662"/>
      <c r="FA346" s="662"/>
      <c r="FB346" s="662"/>
      <c r="FC346" s="662"/>
      <c r="FD346" s="662"/>
      <c r="FE346" s="662"/>
      <c r="FF346" s="662"/>
      <c r="FG346" s="662"/>
      <c r="FH346" s="662"/>
      <c r="FI346" s="662"/>
      <c r="FJ346" s="662"/>
      <c r="FK346" s="662"/>
      <c r="FL346" s="662"/>
      <c r="FM346" s="662"/>
      <c r="FN346" s="662"/>
      <c r="FO346" s="662"/>
      <c r="FP346" s="662"/>
      <c r="FQ346" s="662"/>
      <c r="FR346" s="662"/>
      <c r="FS346" s="662"/>
      <c r="FT346" s="662"/>
      <c r="FU346" s="662"/>
      <c r="FV346" s="662"/>
      <c r="FW346" s="662"/>
      <c r="FX346" s="662"/>
      <c r="FY346" s="662"/>
      <c r="FZ346" s="662"/>
      <c r="GA346" s="662"/>
      <c r="GB346" s="662"/>
      <c r="GC346" s="662"/>
      <c r="GD346" s="662"/>
      <c r="GE346" s="662"/>
      <c r="GF346" s="662"/>
      <c r="GG346" s="662"/>
      <c r="GH346" s="662"/>
      <c r="GI346" s="662"/>
      <c r="GJ346" s="662"/>
      <c r="GK346" s="662"/>
      <c r="GL346" s="662"/>
      <c r="GM346" s="662"/>
      <c r="GN346" s="662"/>
      <c r="GO346" s="662"/>
      <c r="GP346" s="662"/>
      <c r="GQ346" s="662"/>
      <c r="GR346" s="662"/>
      <c r="GS346" s="662"/>
      <c r="GT346" s="662"/>
      <c r="GU346" s="662"/>
      <c r="GV346" s="662"/>
      <c r="GW346" s="662"/>
      <c r="GX346" s="662"/>
      <c r="GY346" s="662"/>
      <c r="GZ346" s="662"/>
      <c r="HA346" s="662"/>
      <c r="HB346" s="662"/>
      <c r="HC346" s="662"/>
      <c r="HD346" s="662"/>
      <c r="HE346" s="662"/>
      <c r="HF346" s="662"/>
      <c r="HG346" s="662"/>
      <c r="HH346" s="662"/>
      <c r="HI346" s="662"/>
      <c r="HJ346" s="662"/>
      <c r="HK346" s="662"/>
      <c r="HL346" s="662"/>
      <c r="HM346" s="662"/>
      <c r="HN346" s="662"/>
      <c r="HO346" s="662"/>
      <c r="HP346" s="662"/>
      <c r="HQ346" s="662"/>
      <c r="HR346" s="662"/>
      <c r="HS346" s="662"/>
      <c r="HT346" s="662"/>
      <c r="HU346" s="662"/>
      <c r="HV346" s="662"/>
      <c r="HW346" s="662"/>
      <c r="HX346" s="662"/>
      <c r="HY346" s="662"/>
      <c r="HZ346" s="662"/>
      <c r="IA346" s="662"/>
      <c r="IB346" s="662"/>
      <c r="IC346" s="662"/>
      <c r="ID346" s="662"/>
      <c r="IE346" s="662"/>
      <c r="IF346" s="662"/>
      <c r="IG346" s="662"/>
      <c r="IH346" s="662"/>
      <c r="II346" s="662"/>
      <c r="IJ346" s="662"/>
      <c r="IK346" s="662"/>
      <c r="IL346" s="662"/>
      <c r="IM346" s="662"/>
      <c r="IN346" s="662"/>
      <c r="IO346" s="662"/>
      <c r="IP346" s="662"/>
      <c r="IQ346" s="70"/>
    </row>
    <row r="347" spans="10:251" ht="16.5" hidden="1" customHeight="1">
      <c r="J347" s="214"/>
      <c r="R347" s="95"/>
      <c r="S347" s="95"/>
      <c r="T347" s="95"/>
      <c r="U347" s="70"/>
      <c r="V347" s="214"/>
      <c r="W347" s="70"/>
      <c r="X347" s="70"/>
      <c r="Y347" s="70"/>
      <c r="Z347" s="70"/>
      <c r="AA347" s="70"/>
      <c r="AB347" s="70"/>
      <c r="AC347" s="70"/>
      <c r="AD347" s="70"/>
      <c r="AE347" s="70"/>
      <c r="AF347" s="70"/>
      <c r="AG347" s="70"/>
      <c r="AH347" s="70"/>
      <c r="AI347" s="70"/>
      <c r="AJ347" s="70"/>
      <c r="AK347" s="70"/>
      <c r="AL347" s="70"/>
      <c r="AM347" s="70"/>
      <c r="AN347" s="70"/>
      <c r="AO347" s="70"/>
      <c r="AP347" s="70"/>
      <c r="AQ347" s="70"/>
      <c r="AR347" s="70"/>
      <c r="AS347" s="70"/>
      <c r="AT347" s="70"/>
      <c r="AU347" s="70"/>
      <c r="AV347" s="70"/>
      <c r="AW347" s="70"/>
      <c r="AX347" s="70"/>
      <c r="AY347" s="70"/>
      <c r="AZ347" s="70"/>
      <c r="BA347" s="70"/>
      <c r="BB347" s="70"/>
      <c r="BC347" s="70"/>
      <c r="BD347" s="70"/>
      <c r="BE347" s="70"/>
      <c r="BF347" s="70"/>
      <c r="BG347" s="70"/>
      <c r="BH347" s="70"/>
      <c r="BI347" s="70"/>
      <c r="BJ347" s="70"/>
      <c r="BK347" s="70"/>
      <c r="BL347" s="70"/>
      <c r="BM347" s="70"/>
      <c r="BN347" s="70"/>
      <c r="BO347" s="70"/>
      <c r="BP347" s="70"/>
      <c r="BQ347" s="70"/>
      <c r="BR347" s="70"/>
      <c r="BS347" s="70"/>
      <c r="BT347" s="70"/>
      <c r="BU347" s="70"/>
      <c r="BV347" s="70"/>
      <c r="BW347" s="70"/>
      <c r="BX347" s="70"/>
      <c r="BY347" s="70"/>
      <c r="BZ347" s="70"/>
      <c r="CA347" s="70"/>
      <c r="CB347" s="70"/>
      <c r="CC347" s="70"/>
      <c r="CD347" s="70"/>
      <c r="CE347" s="70"/>
      <c r="CF347" s="70"/>
      <c r="CG347" s="70"/>
      <c r="CH347" s="70"/>
      <c r="CI347" s="70"/>
      <c r="CJ347" s="70"/>
      <c r="CK347" s="70"/>
      <c r="CL347" s="70"/>
      <c r="CM347" s="70"/>
      <c r="CN347" s="70"/>
      <c r="CO347" s="70"/>
      <c r="CP347" s="70"/>
      <c r="CQ347" s="70"/>
      <c r="CR347" s="70"/>
      <c r="CS347" s="70"/>
      <c r="CT347" s="70"/>
      <c r="CU347" s="70"/>
      <c r="CV347" s="70"/>
      <c r="CW347" s="70"/>
      <c r="CX347" s="70"/>
      <c r="CY347" s="70"/>
      <c r="CZ347" s="70"/>
      <c r="DA347" s="70"/>
      <c r="DB347" s="70"/>
      <c r="DC347" s="70"/>
      <c r="DD347" s="70"/>
      <c r="DE347" s="70"/>
      <c r="DF347" s="70"/>
      <c r="DG347" s="70"/>
      <c r="DH347" s="70"/>
      <c r="DI347" s="70"/>
      <c r="DJ347" s="70"/>
      <c r="DK347" s="70"/>
      <c r="DL347" s="70"/>
      <c r="DM347" s="70"/>
      <c r="DN347" s="70"/>
      <c r="DO347" s="70"/>
      <c r="DP347" s="70"/>
      <c r="DQ347" s="70"/>
      <c r="DR347" s="70"/>
      <c r="DS347" s="70"/>
      <c r="DT347" s="70"/>
      <c r="DU347" s="70"/>
      <c r="DV347" s="70"/>
      <c r="DW347" s="70"/>
      <c r="DX347" s="70"/>
      <c r="DY347" s="70"/>
      <c r="DZ347" s="70"/>
      <c r="EA347" s="70"/>
      <c r="EB347" s="70"/>
      <c r="EC347" s="70"/>
      <c r="ED347" s="70"/>
      <c r="EE347" s="95" t="s">
        <v>450</v>
      </c>
      <c r="EF347" s="651"/>
      <c r="EG347" s="651"/>
      <c r="EH347" s="651"/>
      <c r="EI347" s="216"/>
      <c r="EJ347" s="662"/>
      <c r="EK347" s="662"/>
      <c r="EL347" s="662"/>
      <c r="EM347" s="662"/>
      <c r="EN347" s="662"/>
      <c r="EO347" s="662"/>
      <c r="EP347" s="662"/>
      <c r="EQ347" s="662"/>
      <c r="ER347" s="662"/>
      <c r="ES347" s="662"/>
      <c r="ET347" s="662"/>
      <c r="EU347" s="662"/>
      <c r="EV347" s="662"/>
      <c r="EW347" s="662"/>
      <c r="EX347" s="662"/>
      <c r="EY347" s="662"/>
      <c r="EZ347" s="662"/>
      <c r="FA347" s="662"/>
      <c r="FB347" s="662"/>
      <c r="FC347" s="662"/>
      <c r="FD347" s="662"/>
      <c r="FE347" s="662"/>
      <c r="FF347" s="662"/>
      <c r="FG347" s="662"/>
      <c r="FH347" s="662"/>
      <c r="FI347" s="662"/>
      <c r="FJ347" s="662"/>
      <c r="FK347" s="662"/>
      <c r="FL347" s="662"/>
      <c r="FM347" s="662"/>
      <c r="FN347" s="662"/>
      <c r="FO347" s="662"/>
      <c r="FP347" s="662"/>
      <c r="FQ347" s="662"/>
      <c r="FR347" s="662"/>
      <c r="FS347" s="662"/>
      <c r="FT347" s="662"/>
      <c r="FU347" s="662"/>
      <c r="FV347" s="662"/>
      <c r="FW347" s="662"/>
      <c r="FX347" s="662"/>
      <c r="FY347" s="662"/>
      <c r="FZ347" s="662"/>
      <c r="GA347" s="662"/>
      <c r="GB347" s="662"/>
      <c r="GC347" s="662"/>
      <c r="GD347" s="662"/>
      <c r="GE347" s="662"/>
      <c r="GF347" s="662"/>
      <c r="GG347" s="662"/>
      <c r="GH347" s="662"/>
      <c r="GI347" s="662"/>
      <c r="GJ347" s="662"/>
      <c r="GK347" s="662"/>
      <c r="GL347" s="662"/>
      <c r="GM347" s="662"/>
      <c r="GN347" s="662"/>
      <c r="GO347" s="662"/>
      <c r="GP347" s="662"/>
      <c r="GQ347" s="662"/>
      <c r="GR347" s="662"/>
      <c r="GS347" s="662"/>
      <c r="GT347" s="662"/>
      <c r="GU347" s="662"/>
      <c r="GV347" s="662"/>
      <c r="GW347" s="662"/>
      <c r="GX347" s="662"/>
      <c r="GY347" s="662"/>
      <c r="GZ347" s="662"/>
      <c r="HA347" s="662"/>
      <c r="HB347" s="662"/>
      <c r="HC347" s="662"/>
      <c r="HD347" s="662"/>
      <c r="HE347" s="662"/>
      <c r="HF347" s="662"/>
      <c r="HG347" s="662"/>
      <c r="HH347" s="662"/>
      <c r="HI347" s="662"/>
      <c r="HJ347" s="662"/>
      <c r="HK347" s="662"/>
      <c r="HL347" s="662"/>
      <c r="HM347" s="662"/>
      <c r="HN347" s="662"/>
      <c r="HO347" s="662"/>
      <c r="HP347" s="662"/>
      <c r="HQ347" s="662"/>
      <c r="HR347" s="662"/>
      <c r="HS347" s="662"/>
      <c r="HT347" s="662"/>
      <c r="HU347" s="662"/>
      <c r="HV347" s="662"/>
      <c r="HW347" s="662"/>
      <c r="HX347" s="662"/>
      <c r="HY347" s="662"/>
      <c r="HZ347" s="662"/>
      <c r="IA347" s="662"/>
      <c r="IB347" s="662"/>
      <c r="IC347" s="662"/>
      <c r="ID347" s="662"/>
      <c r="IE347" s="662"/>
      <c r="IF347" s="662"/>
      <c r="IG347" s="662"/>
      <c r="IH347" s="662"/>
      <c r="II347" s="662"/>
      <c r="IJ347" s="662"/>
      <c r="IK347" s="662"/>
      <c r="IL347" s="662"/>
      <c r="IM347" s="662"/>
      <c r="IN347" s="662"/>
      <c r="IO347" s="662"/>
      <c r="IP347" s="662"/>
      <c r="IQ347" s="70"/>
    </row>
    <row r="348" spans="10:251" ht="16.5" hidden="1" customHeight="1">
      <c r="J348" s="214"/>
      <c r="R348" s="95"/>
      <c r="S348" s="95"/>
      <c r="T348" s="95"/>
      <c r="U348" s="70"/>
      <c r="V348" s="214"/>
      <c r="W348" s="70"/>
      <c r="X348" s="70"/>
      <c r="Y348" s="70"/>
      <c r="Z348" s="70"/>
      <c r="AA348" s="70"/>
      <c r="AB348" s="70"/>
      <c r="AC348" s="70"/>
      <c r="AD348" s="70"/>
      <c r="AE348" s="70"/>
      <c r="AF348" s="70"/>
      <c r="AG348" s="70"/>
      <c r="AH348" s="70"/>
      <c r="AI348" s="70"/>
      <c r="AJ348" s="70"/>
      <c r="AK348" s="70"/>
      <c r="AL348" s="70"/>
      <c r="AM348" s="70"/>
      <c r="AN348" s="70"/>
      <c r="AO348" s="70"/>
      <c r="AP348" s="70"/>
      <c r="AQ348" s="70"/>
      <c r="AR348" s="70"/>
      <c r="AS348" s="70"/>
      <c r="AT348" s="70"/>
      <c r="AU348" s="70"/>
      <c r="AV348" s="70"/>
      <c r="AW348" s="70"/>
      <c r="AX348" s="70"/>
      <c r="AY348" s="70"/>
      <c r="AZ348" s="70"/>
      <c r="BA348" s="70"/>
      <c r="BB348" s="70"/>
      <c r="BC348" s="70"/>
      <c r="BD348" s="70"/>
      <c r="BE348" s="70"/>
      <c r="BF348" s="70"/>
      <c r="BG348" s="70"/>
      <c r="BH348" s="70"/>
      <c r="BI348" s="70"/>
      <c r="BJ348" s="70"/>
      <c r="BK348" s="70"/>
      <c r="BL348" s="70"/>
      <c r="BM348" s="70"/>
      <c r="BN348" s="70"/>
      <c r="BO348" s="70"/>
      <c r="BP348" s="70"/>
      <c r="BQ348" s="70"/>
      <c r="BR348" s="70"/>
      <c r="BS348" s="70"/>
      <c r="BT348" s="70"/>
      <c r="BU348" s="70"/>
      <c r="BV348" s="70"/>
      <c r="BW348" s="70"/>
      <c r="BX348" s="70"/>
      <c r="BY348" s="70"/>
      <c r="BZ348" s="70"/>
      <c r="CA348" s="70"/>
      <c r="CB348" s="70"/>
      <c r="CC348" s="70"/>
      <c r="CD348" s="70"/>
      <c r="CE348" s="70"/>
      <c r="CF348" s="70"/>
      <c r="CG348" s="70"/>
      <c r="CH348" s="70"/>
      <c r="CI348" s="70"/>
      <c r="CJ348" s="70"/>
      <c r="CK348" s="70"/>
      <c r="CL348" s="70"/>
      <c r="CM348" s="70"/>
      <c r="CN348" s="70"/>
      <c r="CO348" s="70"/>
      <c r="CP348" s="70"/>
      <c r="CQ348" s="70"/>
      <c r="CR348" s="70"/>
      <c r="CS348" s="70"/>
      <c r="CT348" s="70"/>
      <c r="CU348" s="70"/>
      <c r="CV348" s="70"/>
      <c r="CW348" s="70"/>
      <c r="CX348" s="70"/>
      <c r="CY348" s="70"/>
      <c r="CZ348" s="70"/>
      <c r="DA348" s="70"/>
      <c r="DB348" s="70"/>
      <c r="DC348" s="70"/>
      <c r="DD348" s="70"/>
      <c r="DE348" s="70"/>
      <c r="DF348" s="70"/>
      <c r="DG348" s="70"/>
      <c r="DH348" s="70"/>
      <c r="DI348" s="70"/>
      <c r="DJ348" s="70"/>
      <c r="DK348" s="70"/>
      <c r="DL348" s="70"/>
      <c r="DM348" s="70"/>
      <c r="DN348" s="70"/>
      <c r="DO348" s="70"/>
      <c r="DP348" s="70"/>
      <c r="DQ348" s="70"/>
      <c r="DR348" s="70"/>
      <c r="DS348" s="70"/>
      <c r="DT348" s="70"/>
      <c r="DU348" s="70"/>
      <c r="DV348" s="70"/>
      <c r="DW348" s="70"/>
      <c r="DX348" s="70"/>
      <c r="DY348" s="70"/>
      <c r="DZ348" s="70"/>
      <c r="EA348" s="70"/>
      <c r="EB348" s="70"/>
      <c r="EC348" s="70"/>
      <c r="ED348" s="70"/>
      <c r="EE348" s="95" t="s">
        <v>450</v>
      </c>
      <c r="EF348" s="651"/>
      <c r="EG348" s="651"/>
      <c r="EH348" s="651"/>
      <c r="EI348" s="216"/>
      <c r="EJ348" s="662"/>
      <c r="EK348" s="662"/>
      <c r="EL348" s="662"/>
      <c r="EM348" s="662"/>
      <c r="EN348" s="662"/>
      <c r="EO348" s="662"/>
      <c r="EP348" s="662"/>
      <c r="EQ348" s="662"/>
      <c r="ER348" s="662"/>
      <c r="ES348" s="662"/>
      <c r="ET348" s="662"/>
      <c r="EU348" s="662"/>
      <c r="EV348" s="662"/>
      <c r="EW348" s="662"/>
      <c r="EX348" s="662"/>
      <c r="EY348" s="662"/>
      <c r="EZ348" s="662"/>
      <c r="FA348" s="662"/>
      <c r="FB348" s="662"/>
      <c r="FC348" s="662"/>
      <c r="FD348" s="662"/>
      <c r="FE348" s="662"/>
      <c r="FF348" s="662"/>
      <c r="FG348" s="662"/>
      <c r="FH348" s="662"/>
      <c r="FI348" s="662"/>
      <c r="FJ348" s="662"/>
      <c r="FK348" s="662"/>
      <c r="FL348" s="662"/>
      <c r="FM348" s="662"/>
      <c r="FN348" s="662"/>
      <c r="FO348" s="662"/>
      <c r="FP348" s="662"/>
      <c r="FQ348" s="662"/>
      <c r="FR348" s="662"/>
      <c r="FS348" s="662"/>
      <c r="FT348" s="662"/>
      <c r="FU348" s="662"/>
      <c r="FV348" s="662"/>
      <c r="FW348" s="662"/>
      <c r="FX348" s="662"/>
      <c r="FY348" s="662"/>
      <c r="FZ348" s="662"/>
      <c r="GA348" s="662"/>
      <c r="GB348" s="662"/>
      <c r="GC348" s="662"/>
      <c r="GD348" s="662"/>
      <c r="GE348" s="662"/>
      <c r="GF348" s="662"/>
      <c r="GG348" s="662"/>
      <c r="GH348" s="662"/>
      <c r="GI348" s="662"/>
      <c r="GJ348" s="662"/>
      <c r="GK348" s="662"/>
      <c r="GL348" s="662"/>
      <c r="GM348" s="662"/>
      <c r="GN348" s="662"/>
      <c r="GO348" s="662"/>
      <c r="GP348" s="662"/>
      <c r="GQ348" s="662"/>
      <c r="GR348" s="662"/>
      <c r="GS348" s="662"/>
      <c r="GT348" s="662"/>
      <c r="GU348" s="662"/>
      <c r="GV348" s="662"/>
      <c r="GW348" s="662"/>
      <c r="GX348" s="662"/>
      <c r="GY348" s="662"/>
      <c r="GZ348" s="662"/>
      <c r="HA348" s="662"/>
      <c r="HB348" s="662"/>
      <c r="HC348" s="662"/>
      <c r="HD348" s="662"/>
      <c r="HE348" s="662"/>
      <c r="HF348" s="662"/>
      <c r="HG348" s="662"/>
      <c r="HH348" s="662"/>
      <c r="HI348" s="662"/>
      <c r="HJ348" s="662"/>
      <c r="HK348" s="662"/>
      <c r="HL348" s="662"/>
      <c r="HM348" s="662"/>
      <c r="HN348" s="662"/>
      <c r="HO348" s="662"/>
      <c r="HP348" s="662"/>
      <c r="HQ348" s="662"/>
      <c r="HR348" s="662"/>
      <c r="HS348" s="662"/>
      <c r="HT348" s="662"/>
      <c r="HU348" s="662"/>
      <c r="HV348" s="662"/>
      <c r="HW348" s="662"/>
      <c r="HX348" s="662"/>
      <c r="HY348" s="662"/>
      <c r="HZ348" s="662"/>
      <c r="IA348" s="662"/>
      <c r="IB348" s="662"/>
      <c r="IC348" s="662"/>
      <c r="ID348" s="662"/>
      <c r="IE348" s="662"/>
      <c r="IF348" s="662"/>
      <c r="IG348" s="662"/>
      <c r="IH348" s="662"/>
      <c r="II348" s="662"/>
      <c r="IJ348" s="662"/>
      <c r="IK348" s="662"/>
      <c r="IL348" s="662"/>
      <c r="IM348" s="662"/>
      <c r="IN348" s="662"/>
      <c r="IO348" s="662"/>
      <c r="IP348" s="662"/>
      <c r="IQ348" s="70"/>
    </row>
    <row r="349" spans="10:251" ht="16.5" hidden="1" customHeight="1">
      <c r="J349" s="214"/>
      <c r="R349" s="95"/>
      <c r="S349" s="95"/>
      <c r="T349" s="95"/>
      <c r="U349" s="70"/>
      <c r="V349" s="214"/>
      <c r="W349" s="70"/>
      <c r="X349" s="70"/>
      <c r="Y349" s="70"/>
      <c r="Z349" s="70"/>
      <c r="AA349" s="70"/>
      <c r="AB349" s="70"/>
      <c r="AC349" s="70"/>
      <c r="AD349" s="70"/>
      <c r="AE349" s="70"/>
      <c r="AF349" s="70"/>
      <c r="AG349" s="70"/>
      <c r="AH349" s="70"/>
      <c r="AI349" s="70"/>
      <c r="AJ349" s="70"/>
      <c r="AK349" s="70"/>
      <c r="AL349" s="70"/>
      <c r="AM349" s="70"/>
      <c r="AN349" s="70"/>
      <c r="AO349" s="70"/>
      <c r="AP349" s="70"/>
      <c r="AQ349" s="70"/>
      <c r="AR349" s="70"/>
      <c r="AS349" s="70"/>
      <c r="AT349" s="70"/>
      <c r="AU349" s="70"/>
      <c r="AV349" s="70"/>
      <c r="AW349" s="70"/>
      <c r="AX349" s="70"/>
      <c r="AY349" s="70"/>
      <c r="AZ349" s="70"/>
      <c r="BA349" s="70"/>
      <c r="BB349" s="70"/>
      <c r="BC349" s="70"/>
      <c r="BD349" s="70"/>
      <c r="BE349" s="70"/>
      <c r="BF349" s="70"/>
      <c r="BG349" s="70"/>
      <c r="BH349" s="70"/>
      <c r="BI349" s="70"/>
      <c r="BJ349" s="70"/>
      <c r="BK349" s="70"/>
      <c r="BL349" s="70"/>
      <c r="BM349" s="70"/>
      <c r="BN349" s="70"/>
      <c r="BO349" s="70"/>
      <c r="BP349" s="70"/>
      <c r="BQ349" s="70"/>
      <c r="BR349" s="70"/>
      <c r="BS349" s="70"/>
      <c r="BT349" s="70"/>
      <c r="BU349" s="70"/>
      <c r="BV349" s="70"/>
      <c r="BW349" s="70"/>
      <c r="BX349" s="70"/>
      <c r="BY349" s="70"/>
      <c r="BZ349" s="70"/>
      <c r="CA349" s="70"/>
      <c r="CB349" s="70"/>
      <c r="CC349" s="70"/>
      <c r="CD349" s="70"/>
      <c r="CE349" s="70"/>
      <c r="CF349" s="70"/>
      <c r="CG349" s="70"/>
      <c r="CH349" s="70"/>
      <c r="CI349" s="70"/>
      <c r="CJ349" s="70"/>
      <c r="CK349" s="70"/>
      <c r="CL349" s="70"/>
      <c r="CM349" s="70"/>
      <c r="CN349" s="70"/>
      <c r="CO349" s="70"/>
      <c r="CP349" s="70"/>
      <c r="CQ349" s="70"/>
      <c r="CR349" s="70"/>
      <c r="CS349" s="70"/>
      <c r="CT349" s="70"/>
      <c r="CU349" s="70"/>
      <c r="CV349" s="70"/>
      <c r="CW349" s="70"/>
      <c r="CX349" s="70"/>
      <c r="CY349" s="70"/>
      <c r="CZ349" s="70"/>
      <c r="DA349" s="70"/>
      <c r="DB349" s="70"/>
      <c r="DC349" s="70"/>
      <c r="DD349" s="70"/>
      <c r="DE349" s="70"/>
      <c r="DF349" s="70"/>
      <c r="DG349" s="70"/>
      <c r="DH349" s="70"/>
      <c r="DI349" s="70"/>
      <c r="DJ349" s="70"/>
      <c r="DK349" s="70"/>
      <c r="DL349" s="70"/>
      <c r="DM349" s="70"/>
      <c r="DN349" s="70"/>
      <c r="DO349" s="70"/>
      <c r="DP349" s="70"/>
      <c r="DQ349" s="70"/>
      <c r="DR349" s="70"/>
      <c r="DS349" s="70"/>
      <c r="DT349" s="70"/>
      <c r="DU349" s="70"/>
      <c r="DV349" s="70"/>
      <c r="DW349" s="70"/>
      <c r="DX349" s="70"/>
      <c r="DY349" s="70"/>
      <c r="DZ349" s="70"/>
      <c r="EA349" s="70"/>
      <c r="EB349" s="70"/>
      <c r="EC349" s="70"/>
      <c r="ED349" s="70"/>
      <c r="EE349" s="95" t="s">
        <v>450</v>
      </c>
      <c r="EF349" s="651"/>
      <c r="EG349" s="651"/>
      <c r="EH349" s="651"/>
      <c r="EI349" s="216"/>
      <c r="EJ349" s="662"/>
      <c r="EK349" s="662"/>
      <c r="EL349" s="662"/>
      <c r="EM349" s="662"/>
      <c r="EN349" s="662"/>
      <c r="EO349" s="662"/>
      <c r="EP349" s="662"/>
      <c r="EQ349" s="662"/>
      <c r="ER349" s="662"/>
      <c r="ES349" s="662"/>
      <c r="ET349" s="662"/>
      <c r="EU349" s="662"/>
      <c r="EV349" s="662"/>
      <c r="EW349" s="662"/>
      <c r="EX349" s="662"/>
      <c r="EY349" s="662"/>
      <c r="EZ349" s="662"/>
      <c r="FA349" s="662"/>
      <c r="FB349" s="662"/>
      <c r="FC349" s="662"/>
      <c r="FD349" s="662"/>
      <c r="FE349" s="662"/>
      <c r="FF349" s="662"/>
      <c r="FG349" s="662"/>
      <c r="FH349" s="662"/>
      <c r="FI349" s="662"/>
      <c r="FJ349" s="662"/>
      <c r="FK349" s="662"/>
      <c r="FL349" s="662"/>
      <c r="FM349" s="662"/>
      <c r="FN349" s="662"/>
      <c r="FO349" s="662"/>
      <c r="FP349" s="662"/>
      <c r="FQ349" s="662"/>
      <c r="FR349" s="662"/>
      <c r="FS349" s="662"/>
      <c r="FT349" s="662"/>
      <c r="FU349" s="662"/>
      <c r="FV349" s="662"/>
      <c r="FW349" s="662"/>
      <c r="FX349" s="662"/>
      <c r="FY349" s="662"/>
      <c r="FZ349" s="662"/>
      <c r="GA349" s="662"/>
      <c r="GB349" s="662"/>
      <c r="GC349" s="662"/>
      <c r="GD349" s="662"/>
      <c r="GE349" s="662"/>
      <c r="GF349" s="662"/>
      <c r="GG349" s="662"/>
      <c r="GH349" s="662"/>
      <c r="GI349" s="662"/>
      <c r="GJ349" s="662"/>
      <c r="GK349" s="662"/>
      <c r="GL349" s="662"/>
      <c r="GM349" s="662"/>
      <c r="GN349" s="662"/>
      <c r="GO349" s="662"/>
      <c r="GP349" s="662"/>
      <c r="GQ349" s="662"/>
      <c r="GR349" s="662"/>
      <c r="GS349" s="662"/>
      <c r="GT349" s="662"/>
      <c r="GU349" s="662"/>
      <c r="GV349" s="662"/>
      <c r="GW349" s="662"/>
      <c r="GX349" s="662"/>
      <c r="GY349" s="662"/>
      <c r="GZ349" s="662"/>
      <c r="HA349" s="662"/>
      <c r="HB349" s="662"/>
      <c r="HC349" s="662"/>
      <c r="HD349" s="662"/>
      <c r="HE349" s="662"/>
      <c r="HF349" s="662"/>
      <c r="HG349" s="662"/>
      <c r="HH349" s="662"/>
      <c r="HI349" s="662"/>
      <c r="HJ349" s="662"/>
      <c r="HK349" s="662"/>
      <c r="HL349" s="662"/>
      <c r="HM349" s="662"/>
      <c r="HN349" s="662"/>
      <c r="HO349" s="662"/>
      <c r="HP349" s="662"/>
      <c r="HQ349" s="662"/>
      <c r="HR349" s="662"/>
      <c r="HS349" s="662"/>
      <c r="HT349" s="662"/>
      <c r="HU349" s="662"/>
      <c r="HV349" s="662"/>
      <c r="HW349" s="662"/>
      <c r="HX349" s="662"/>
      <c r="HY349" s="662"/>
      <c r="HZ349" s="662"/>
      <c r="IA349" s="662"/>
      <c r="IB349" s="662"/>
      <c r="IC349" s="662"/>
      <c r="ID349" s="662"/>
      <c r="IE349" s="662"/>
      <c r="IF349" s="662"/>
      <c r="IG349" s="662"/>
      <c r="IH349" s="662"/>
      <c r="II349" s="662"/>
      <c r="IJ349" s="662"/>
      <c r="IK349" s="662"/>
      <c r="IL349" s="662"/>
      <c r="IM349" s="662"/>
      <c r="IN349" s="662"/>
      <c r="IO349" s="662"/>
      <c r="IP349" s="662"/>
      <c r="IQ349" s="70"/>
    </row>
    <row r="350" spans="10:251" ht="16.5" hidden="1" customHeight="1">
      <c r="J350" s="214"/>
      <c r="R350" s="95"/>
      <c r="S350" s="95"/>
      <c r="T350" s="95"/>
      <c r="U350" s="70"/>
      <c r="V350" s="214"/>
      <c r="W350" s="70"/>
      <c r="X350" s="70"/>
      <c r="Y350" s="70"/>
      <c r="Z350" s="70"/>
      <c r="AA350" s="70"/>
      <c r="AB350" s="70"/>
      <c r="AC350" s="70"/>
      <c r="AD350" s="70"/>
      <c r="AE350" s="70"/>
      <c r="AF350" s="70"/>
      <c r="AG350" s="70"/>
      <c r="AH350" s="70"/>
      <c r="AI350" s="70"/>
      <c r="AJ350" s="70"/>
      <c r="AK350" s="70"/>
      <c r="AL350" s="70"/>
      <c r="AM350" s="70"/>
      <c r="AN350" s="70"/>
      <c r="AO350" s="70"/>
      <c r="AP350" s="70"/>
      <c r="AQ350" s="70"/>
      <c r="AR350" s="70"/>
      <c r="AS350" s="70"/>
      <c r="AT350" s="70"/>
      <c r="AU350" s="70"/>
      <c r="AV350" s="70"/>
      <c r="AW350" s="70"/>
      <c r="AX350" s="70"/>
      <c r="AY350" s="70"/>
      <c r="AZ350" s="70"/>
      <c r="BA350" s="70"/>
      <c r="BB350" s="70"/>
      <c r="BC350" s="70"/>
      <c r="BD350" s="70"/>
      <c r="BE350" s="70"/>
      <c r="BF350" s="70"/>
      <c r="BG350" s="70"/>
      <c r="BH350" s="70"/>
      <c r="BI350" s="70"/>
      <c r="BJ350" s="70"/>
      <c r="BK350" s="70"/>
      <c r="BL350" s="70"/>
      <c r="BM350" s="70"/>
      <c r="BN350" s="70"/>
      <c r="BO350" s="70"/>
      <c r="BP350" s="70"/>
      <c r="BQ350" s="70"/>
      <c r="BR350" s="70"/>
      <c r="BS350" s="70"/>
      <c r="BT350" s="70"/>
      <c r="BU350" s="70"/>
      <c r="BV350" s="70"/>
      <c r="BW350" s="70"/>
      <c r="BX350" s="70"/>
      <c r="BY350" s="70"/>
      <c r="BZ350" s="70"/>
      <c r="CA350" s="70"/>
      <c r="CB350" s="70"/>
      <c r="CC350" s="70"/>
      <c r="CD350" s="70"/>
      <c r="CE350" s="70"/>
      <c r="CF350" s="70"/>
      <c r="CG350" s="70"/>
      <c r="CH350" s="70"/>
      <c r="CI350" s="70"/>
      <c r="CJ350" s="70"/>
      <c r="CK350" s="70"/>
      <c r="CL350" s="70"/>
      <c r="CM350" s="70"/>
      <c r="CN350" s="70"/>
      <c r="CO350" s="70"/>
      <c r="CP350" s="70"/>
      <c r="CQ350" s="70"/>
      <c r="CR350" s="70"/>
      <c r="CS350" s="70"/>
      <c r="CT350" s="70"/>
      <c r="CU350" s="70"/>
      <c r="CV350" s="70"/>
      <c r="CW350" s="70"/>
      <c r="CX350" s="70"/>
      <c r="CY350" s="70"/>
      <c r="CZ350" s="70"/>
      <c r="DA350" s="70"/>
      <c r="DB350" s="70"/>
      <c r="DC350" s="70"/>
      <c r="DD350" s="70"/>
      <c r="DE350" s="70"/>
      <c r="DF350" s="70"/>
      <c r="DG350" s="70"/>
      <c r="DH350" s="70"/>
      <c r="DI350" s="70"/>
      <c r="DJ350" s="70"/>
      <c r="DK350" s="70"/>
      <c r="DL350" s="70"/>
      <c r="DM350" s="70"/>
      <c r="DN350" s="70"/>
      <c r="DO350" s="70"/>
      <c r="DP350" s="70"/>
      <c r="DQ350" s="70"/>
      <c r="DR350" s="70"/>
      <c r="DS350" s="70"/>
      <c r="DT350" s="70"/>
      <c r="DU350" s="70"/>
      <c r="DV350" s="70"/>
      <c r="DW350" s="70"/>
      <c r="DX350" s="70"/>
      <c r="DY350" s="70"/>
      <c r="DZ350" s="70"/>
      <c r="EA350" s="70"/>
      <c r="EB350" s="70"/>
      <c r="EC350" s="70"/>
      <c r="ED350" s="70"/>
      <c r="EE350" s="95" t="s">
        <v>450</v>
      </c>
      <c r="EF350" s="651"/>
      <c r="EG350" s="651"/>
      <c r="EH350" s="651"/>
      <c r="EI350" s="216"/>
      <c r="EJ350" s="662"/>
      <c r="EK350" s="662"/>
      <c r="EL350" s="662"/>
      <c r="EM350" s="662"/>
      <c r="EN350" s="662"/>
      <c r="EO350" s="662"/>
      <c r="EP350" s="662"/>
      <c r="EQ350" s="662"/>
      <c r="ER350" s="662"/>
      <c r="ES350" s="662"/>
      <c r="ET350" s="662"/>
      <c r="EU350" s="662"/>
      <c r="EV350" s="662"/>
      <c r="EW350" s="662"/>
      <c r="EX350" s="662"/>
      <c r="EY350" s="662"/>
      <c r="EZ350" s="662"/>
      <c r="FA350" s="662"/>
      <c r="FB350" s="662"/>
      <c r="FC350" s="662"/>
      <c r="FD350" s="662"/>
      <c r="FE350" s="662"/>
      <c r="FF350" s="662"/>
      <c r="FG350" s="662"/>
      <c r="FH350" s="662"/>
      <c r="FI350" s="662"/>
      <c r="FJ350" s="662"/>
      <c r="FK350" s="662"/>
      <c r="FL350" s="662"/>
      <c r="FM350" s="662"/>
      <c r="FN350" s="662"/>
      <c r="FO350" s="662"/>
      <c r="FP350" s="662"/>
      <c r="FQ350" s="662"/>
      <c r="FR350" s="662"/>
      <c r="FS350" s="662"/>
      <c r="FT350" s="662"/>
      <c r="FU350" s="662"/>
      <c r="FV350" s="662"/>
      <c r="FW350" s="662"/>
      <c r="FX350" s="662"/>
      <c r="FY350" s="662"/>
      <c r="FZ350" s="662"/>
      <c r="GA350" s="662"/>
      <c r="GB350" s="662"/>
      <c r="GC350" s="662"/>
      <c r="GD350" s="662"/>
      <c r="GE350" s="662"/>
      <c r="GF350" s="662"/>
      <c r="GG350" s="662"/>
      <c r="GH350" s="662"/>
      <c r="GI350" s="662"/>
      <c r="GJ350" s="662"/>
      <c r="GK350" s="662"/>
      <c r="GL350" s="662"/>
      <c r="GM350" s="662"/>
      <c r="GN350" s="662"/>
      <c r="GO350" s="662"/>
      <c r="GP350" s="662"/>
      <c r="GQ350" s="662"/>
      <c r="GR350" s="662"/>
      <c r="GS350" s="662"/>
      <c r="GT350" s="662"/>
      <c r="GU350" s="662"/>
      <c r="GV350" s="662"/>
      <c r="GW350" s="662"/>
      <c r="GX350" s="662"/>
      <c r="GY350" s="662"/>
      <c r="GZ350" s="662"/>
      <c r="HA350" s="662"/>
      <c r="HB350" s="662"/>
      <c r="HC350" s="662"/>
      <c r="HD350" s="662"/>
      <c r="HE350" s="662"/>
      <c r="HF350" s="662"/>
      <c r="HG350" s="662"/>
      <c r="HH350" s="662"/>
      <c r="HI350" s="662"/>
      <c r="HJ350" s="662"/>
      <c r="HK350" s="662"/>
      <c r="HL350" s="662"/>
      <c r="HM350" s="662"/>
      <c r="HN350" s="662"/>
      <c r="HO350" s="662"/>
      <c r="HP350" s="662"/>
      <c r="HQ350" s="662"/>
      <c r="HR350" s="662"/>
      <c r="HS350" s="662"/>
      <c r="HT350" s="662"/>
      <c r="HU350" s="662"/>
      <c r="HV350" s="662"/>
      <c r="HW350" s="662"/>
      <c r="HX350" s="662"/>
      <c r="HY350" s="662"/>
      <c r="HZ350" s="662"/>
      <c r="IA350" s="662"/>
      <c r="IB350" s="662"/>
      <c r="IC350" s="662"/>
      <c r="ID350" s="662"/>
      <c r="IE350" s="662"/>
      <c r="IF350" s="662"/>
      <c r="IG350" s="662"/>
      <c r="IH350" s="662"/>
      <c r="II350" s="662"/>
      <c r="IJ350" s="662"/>
      <c r="IK350" s="662"/>
      <c r="IL350" s="662"/>
      <c r="IM350" s="662"/>
      <c r="IN350" s="662"/>
      <c r="IO350" s="662"/>
      <c r="IP350" s="662"/>
      <c r="IQ350" s="70"/>
    </row>
    <row r="351" spans="10:251" ht="16.5" hidden="1" customHeight="1">
      <c r="J351" s="214"/>
      <c r="R351" s="95"/>
      <c r="S351" s="95"/>
      <c r="T351" s="95"/>
      <c r="U351" s="70"/>
      <c r="V351" s="214"/>
      <c r="W351" s="70"/>
      <c r="X351" s="70"/>
      <c r="Y351" s="70"/>
      <c r="Z351" s="70"/>
      <c r="AA351" s="70"/>
      <c r="AB351" s="70"/>
      <c r="AC351" s="70"/>
      <c r="AD351" s="70"/>
      <c r="AE351" s="70"/>
      <c r="AF351" s="70"/>
      <c r="AG351" s="70"/>
      <c r="AH351" s="70"/>
      <c r="AI351" s="70"/>
      <c r="AJ351" s="70"/>
      <c r="AK351" s="70"/>
      <c r="AL351" s="70"/>
      <c r="AM351" s="70"/>
      <c r="AN351" s="70"/>
      <c r="AO351" s="70"/>
      <c r="AP351" s="70"/>
      <c r="AQ351" s="70"/>
      <c r="AR351" s="70"/>
      <c r="AS351" s="70"/>
      <c r="AT351" s="70"/>
      <c r="AU351" s="70"/>
      <c r="AV351" s="70"/>
      <c r="AW351" s="70"/>
      <c r="AX351" s="70"/>
      <c r="AY351" s="70"/>
      <c r="AZ351" s="70"/>
      <c r="BA351" s="70"/>
      <c r="BB351" s="70"/>
      <c r="BC351" s="70"/>
      <c r="BD351" s="70"/>
      <c r="BE351" s="70"/>
      <c r="BF351" s="70"/>
      <c r="BG351" s="70"/>
      <c r="BH351" s="70"/>
      <c r="BI351" s="70"/>
      <c r="BJ351" s="70"/>
      <c r="BK351" s="70"/>
      <c r="BL351" s="70"/>
      <c r="BM351" s="70"/>
      <c r="BN351" s="70"/>
      <c r="BO351" s="70"/>
      <c r="BP351" s="70"/>
      <c r="BQ351" s="70"/>
      <c r="BR351" s="70"/>
      <c r="BS351" s="70"/>
      <c r="BT351" s="70"/>
      <c r="BU351" s="70"/>
      <c r="BV351" s="70"/>
      <c r="BW351" s="70"/>
      <c r="BX351" s="70"/>
      <c r="BY351" s="70"/>
      <c r="BZ351" s="70"/>
      <c r="CA351" s="70"/>
      <c r="CB351" s="70"/>
      <c r="CC351" s="70"/>
      <c r="CD351" s="70"/>
      <c r="CE351" s="70"/>
      <c r="CF351" s="70"/>
      <c r="CG351" s="70"/>
      <c r="CH351" s="70"/>
      <c r="CI351" s="70"/>
      <c r="CJ351" s="70"/>
      <c r="CK351" s="70"/>
      <c r="CL351" s="70"/>
      <c r="CM351" s="70"/>
      <c r="CN351" s="70"/>
      <c r="CO351" s="70"/>
      <c r="CP351" s="70"/>
      <c r="CQ351" s="70"/>
      <c r="CR351" s="70"/>
      <c r="CS351" s="70"/>
      <c r="CT351" s="70"/>
      <c r="CU351" s="70"/>
      <c r="CV351" s="70"/>
      <c r="CW351" s="70"/>
      <c r="CX351" s="70"/>
      <c r="CY351" s="70"/>
      <c r="CZ351" s="70"/>
      <c r="DA351" s="70"/>
      <c r="DB351" s="70"/>
      <c r="DC351" s="70"/>
      <c r="DD351" s="70"/>
      <c r="DE351" s="70"/>
      <c r="DF351" s="70"/>
      <c r="DG351" s="70"/>
      <c r="DH351" s="70"/>
      <c r="DI351" s="70"/>
      <c r="DJ351" s="70"/>
      <c r="DK351" s="70"/>
      <c r="DL351" s="70"/>
      <c r="DM351" s="70"/>
      <c r="DN351" s="70"/>
      <c r="DO351" s="70"/>
      <c r="DP351" s="70"/>
      <c r="DQ351" s="70"/>
      <c r="DR351" s="70"/>
      <c r="DS351" s="70"/>
      <c r="DT351" s="70"/>
      <c r="DU351" s="70"/>
      <c r="DV351" s="70"/>
      <c r="DW351" s="70"/>
      <c r="DX351" s="70"/>
      <c r="DY351" s="70"/>
      <c r="DZ351" s="70"/>
      <c r="EA351" s="70"/>
      <c r="EB351" s="70"/>
      <c r="EC351" s="70"/>
      <c r="ED351" s="70"/>
      <c r="EE351" s="95" t="s">
        <v>450</v>
      </c>
      <c r="EF351" s="651"/>
      <c r="EG351" s="651"/>
      <c r="EH351" s="651"/>
      <c r="EI351" s="216"/>
      <c r="EJ351" s="662"/>
      <c r="EK351" s="662"/>
      <c r="EL351" s="662"/>
      <c r="EM351" s="662"/>
      <c r="EN351" s="662"/>
      <c r="EO351" s="662"/>
      <c r="EP351" s="662"/>
      <c r="EQ351" s="662"/>
      <c r="ER351" s="662"/>
      <c r="ES351" s="662"/>
      <c r="ET351" s="662"/>
      <c r="EU351" s="662"/>
      <c r="EV351" s="662"/>
      <c r="EW351" s="662"/>
      <c r="EX351" s="662"/>
      <c r="EY351" s="662"/>
      <c r="EZ351" s="662"/>
      <c r="FA351" s="662"/>
      <c r="FB351" s="662"/>
      <c r="FC351" s="662"/>
      <c r="FD351" s="662"/>
      <c r="FE351" s="662"/>
      <c r="FF351" s="662"/>
      <c r="FG351" s="662"/>
      <c r="FH351" s="662"/>
      <c r="FI351" s="662"/>
      <c r="FJ351" s="662"/>
      <c r="FK351" s="662"/>
      <c r="FL351" s="662"/>
      <c r="FM351" s="662"/>
      <c r="FN351" s="662"/>
      <c r="FO351" s="662"/>
      <c r="FP351" s="662"/>
      <c r="FQ351" s="662"/>
      <c r="FR351" s="662"/>
      <c r="FS351" s="662"/>
      <c r="FT351" s="662"/>
      <c r="FU351" s="662"/>
      <c r="FV351" s="662"/>
      <c r="FW351" s="662"/>
      <c r="FX351" s="662"/>
      <c r="FY351" s="662"/>
      <c r="FZ351" s="662"/>
      <c r="GA351" s="662"/>
      <c r="GB351" s="662"/>
      <c r="GC351" s="662"/>
      <c r="GD351" s="662"/>
      <c r="GE351" s="662"/>
      <c r="GF351" s="662"/>
      <c r="GG351" s="662"/>
      <c r="GH351" s="662"/>
      <c r="GI351" s="662"/>
      <c r="GJ351" s="662"/>
      <c r="GK351" s="662"/>
      <c r="GL351" s="662"/>
      <c r="GM351" s="662"/>
      <c r="GN351" s="662"/>
      <c r="GO351" s="662"/>
      <c r="GP351" s="662"/>
      <c r="GQ351" s="662"/>
      <c r="GR351" s="662"/>
      <c r="GS351" s="662"/>
      <c r="GT351" s="662"/>
      <c r="GU351" s="662"/>
      <c r="GV351" s="662"/>
      <c r="GW351" s="662"/>
      <c r="GX351" s="662"/>
      <c r="GY351" s="662"/>
      <c r="GZ351" s="662"/>
      <c r="HA351" s="662"/>
      <c r="HB351" s="662"/>
      <c r="HC351" s="662"/>
      <c r="HD351" s="662"/>
      <c r="HE351" s="662"/>
      <c r="HF351" s="662"/>
      <c r="HG351" s="662"/>
      <c r="HH351" s="662"/>
      <c r="HI351" s="662"/>
      <c r="HJ351" s="662"/>
      <c r="HK351" s="662"/>
      <c r="HL351" s="662"/>
      <c r="HM351" s="662"/>
      <c r="HN351" s="662"/>
      <c r="HO351" s="662"/>
      <c r="HP351" s="662"/>
      <c r="HQ351" s="662"/>
      <c r="HR351" s="662"/>
      <c r="HS351" s="662"/>
      <c r="HT351" s="662"/>
      <c r="HU351" s="662"/>
      <c r="HV351" s="662"/>
      <c r="HW351" s="662"/>
      <c r="HX351" s="662"/>
      <c r="HY351" s="662"/>
      <c r="HZ351" s="662"/>
      <c r="IA351" s="662"/>
      <c r="IB351" s="662"/>
      <c r="IC351" s="662"/>
      <c r="ID351" s="662"/>
      <c r="IE351" s="662"/>
      <c r="IF351" s="662"/>
      <c r="IG351" s="662"/>
      <c r="IH351" s="662"/>
      <c r="II351" s="662"/>
      <c r="IJ351" s="662"/>
      <c r="IK351" s="662"/>
      <c r="IL351" s="662"/>
      <c r="IM351" s="662"/>
      <c r="IN351" s="662"/>
      <c r="IO351" s="662"/>
      <c r="IP351" s="662"/>
      <c r="IQ351" s="70"/>
    </row>
    <row r="352" spans="10:251" ht="16.5" hidden="1" customHeight="1">
      <c r="J352" s="214"/>
      <c r="R352" s="95"/>
      <c r="S352" s="95"/>
      <c r="T352" s="95"/>
      <c r="U352" s="70"/>
      <c r="V352" s="214"/>
      <c r="W352" s="70"/>
      <c r="X352" s="70"/>
      <c r="Y352" s="70"/>
      <c r="Z352" s="70"/>
      <c r="AA352" s="70"/>
      <c r="AB352" s="70"/>
      <c r="AC352" s="70"/>
      <c r="AD352" s="70"/>
      <c r="AE352" s="70"/>
      <c r="AF352" s="70"/>
      <c r="AG352" s="70"/>
      <c r="AH352" s="70"/>
      <c r="AI352" s="70"/>
      <c r="AJ352" s="70"/>
      <c r="AK352" s="70"/>
      <c r="AL352" s="70"/>
      <c r="AM352" s="70"/>
      <c r="AN352" s="70"/>
      <c r="AO352" s="70"/>
      <c r="AP352" s="70"/>
      <c r="AQ352" s="70"/>
      <c r="AR352" s="70"/>
      <c r="AS352" s="70"/>
      <c r="AT352" s="70"/>
      <c r="AU352" s="70"/>
      <c r="AV352" s="70"/>
      <c r="AW352" s="70"/>
      <c r="AX352" s="70"/>
      <c r="AY352" s="70"/>
      <c r="AZ352" s="70"/>
      <c r="BA352" s="70"/>
      <c r="BB352" s="70"/>
      <c r="BC352" s="70"/>
      <c r="BD352" s="70"/>
      <c r="BE352" s="70"/>
      <c r="BF352" s="70"/>
      <c r="BG352" s="70"/>
      <c r="BH352" s="70"/>
      <c r="BI352" s="70"/>
      <c r="BJ352" s="70"/>
      <c r="BK352" s="70"/>
      <c r="BL352" s="70"/>
      <c r="BM352" s="70"/>
      <c r="BN352" s="70"/>
      <c r="BO352" s="70"/>
      <c r="BP352" s="70"/>
      <c r="BQ352" s="70"/>
      <c r="BR352" s="70"/>
      <c r="BS352" s="70"/>
      <c r="BT352" s="70"/>
      <c r="BU352" s="70"/>
      <c r="BV352" s="70"/>
      <c r="BW352" s="70"/>
      <c r="BX352" s="70"/>
      <c r="BY352" s="70"/>
      <c r="BZ352" s="70"/>
      <c r="CA352" s="70"/>
      <c r="CB352" s="70"/>
      <c r="CC352" s="70"/>
      <c r="CD352" s="70"/>
      <c r="CE352" s="70"/>
      <c r="CF352" s="70"/>
      <c r="CG352" s="70"/>
      <c r="CH352" s="70"/>
      <c r="CI352" s="70"/>
      <c r="CJ352" s="70"/>
      <c r="CK352" s="70"/>
      <c r="CL352" s="70"/>
      <c r="CM352" s="70"/>
      <c r="CN352" s="70"/>
      <c r="CO352" s="70"/>
      <c r="CP352" s="70"/>
      <c r="CQ352" s="70"/>
      <c r="CR352" s="70"/>
      <c r="CS352" s="70"/>
      <c r="CT352" s="70"/>
      <c r="CU352" s="70"/>
      <c r="CV352" s="70"/>
      <c r="CW352" s="70"/>
      <c r="CX352" s="70"/>
      <c r="CY352" s="70"/>
      <c r="CZ352" s="70"/>
      <c r="DA352" s="70"/>
      <c r="DB352" s="70"/>
      <c r="DC352" s="70"/>
      <c r="DD352" s="70"/>
      <c r="DE352" s="70"/>
      <c r="DF352" s="70"/>
      <c r="DG352" s="70"/>
      <c r="DH352" s="70"/>
      <c r="DI352" s="70"/>
      <c r="DJ352" s="70"/>
      <c r="DK352" s="70"/>
      <c r="DL352" s="70"/>
      <c r="DM352" s="70"/>
      <c r="DN352" s="70"/>
      <c r="DO352" s="70"/>
      <c r="DP352" s="70"/>
      <c r="DQ352" s="70"/>
      <c r="DR352" s="70"/>
      <c r="DS352" s="70"/>
      <c r="DT352" s="70"/>
      <c r="DU352" s="70"/>
      <c r="DV352" s="70"/>
      <c r="DW352" s="70"/>
      <c r="DX352" s="70"/>
      <c r="DY352" s="70"/>
      <c r="DZ352" s="70"/>
      <c r="EA352" s="70"/>
      <c r="EB352" s="70"/>
      <c r="EC352" s="70"/>
      <c r="ED352" s="70"/>
      <c r="EE352" s="95" t="s">
        <v>450</v>
      </c>
      <c r="EF352" s="651"/>
      <c r="EG352" s="651"/>
      <c r="EH352" s="651"/>
      <c r="EI352" s="216"/>
      <c r="EJ352" s="662"/>
      <c r="EK352" s="662"/>
      <c r="EL352" s="662"/>
      <c r="EM352" s="662"/>
      <c r="EN352" s="662"/>
      <c r="EO352" s="662"/>
      <c r="EP352" s="662"/>
      <c r="EQ352" s="662"/>
      <c r="ER352" s="662"/>
      <c r="ES352" s="662"/>
      <c r="ET352" s="662"/>
      <c r="EU352" s="662"/>
      <c r="EV352" s="662"/>
      <c r="EW352" s="662"/>
      <c r="EX352" s="662"/>
      <c r="EY352" s="662"/>
      <c r="EZ352" s="662"/>
      <c r="FA352" s="662"/>
      <c r="FB352" s="662"/>
      <c r="FC352" s="662"/>
      <c r="FD352" s="662"/>
      <c r="FE352" s="662"/>
      <c r="FF352" s="662"/>
      <c r="FG352" s="662"/>
      <c r="FH352" s="662"/>
      <c r="FI352" s="662"/>
      <c r="FJ352" s="662"/>
      <c r="FK352" s="662"/>
      <c r="FL352" s="662"/>
      <c r="FM352" s="662"/>
      <c r="FN352" s="662"/>
      <c r="FO352" s="662"/>
      <c r="FP352" s="662"/>
      <c r="FQ352" s="662"/>
      <c r="FR352" s="662"/>
      <c r="FS352" s="662"/>
      <c r="FT352" s="662"/>
      <c r="FU352" s="662"/>
      <c r="FV352" s="662"/>
      <c r="FW352" s="662"/>
      <c r="FX352" s="662"/>
      <c r="FY352" s="662"/>
      <c r="FZ352" s="662"/>
      <c r="GA352" s="662"/>
      <c r="GB352" s="662"/>
      <c r="GC352" s="662"/>
      <c r="GD352" s="662"/>
      <c r="GE352" s="662"/>
      <c r="GF352" s="662"/>
      <c r="GG352" s="662"/>
      <c r="GH352" s="662"/>
      <c r="GI352" s="662"/>
      <c r="GJ352" s="662"/>
      <c r="GK352" s="662"/>
      <c r="GL352" s="662"/>
      <c r="GM352" s="662"/>
      <c r="GN352" s="662"/>
      <c r="GO352" s="662"/>
      <c r="GP352" s="662"/>
      <c r="GQ352" s="662"/>
      <c r="GR352" s="662"/>
      <c r="GS352" s="662"/>
      <c r="GT352" s="662"/>
      <c r="GU352" s="662"/>
      <c r="GV352" s="662"/>
      <c r="GW352" s="662"/>
      <c r="GX352" s="662"/>
      <c r="GY352" s="662"/>
      <c r="GZ352" s="662"/>
      <c r="HA352" s="662"/>
      <c r="HB352" s="662"/>
      <c r="HC352" s="662"/>
      <c r="HD352" s="662"/>
      <c r="HE352" s="662"/>
      <c r="HF352" s="662"/>
      <c r="HG352" s="662"/>
      <c r="HH352" s="662"/>
      <c r="HI352" s="662"/>
      <c r="HJ352" s="662"/>
      <c r="HK352" s="662"/>
      <c r="HL352" s="662"/>
      <c r="HM352" s="662"/>
      <c r="HN352" s="662"/>
      <c r="HO352" s="662"/>
      <c r="HP352" s="662"/>
      <c r="HQ352" s="662"/>
      <c r="HR352" s="662"/>
      <c r="HS352" s="662"/>
      <c r="HT352" s="662"/>
      <c r="HU352" s="662"/>
      <c r="HV352" s="662"/>
      <c r="HW352" s="662"/>
      <c r="HX352" s="662"/>
      <c r="HY352" s="662"/>
      <c r="HZ352" s="662"/>
      <c r="IA352" s="662"/>
      <c r="IB352" s="662"/>
      <c r="IC352" s="662"/>
      <c r="ID352" s="662"/>
      <c r="IE352" s="662"/>
      <c r="IF352" s="662"/>
      <c r="IG352" s="662"/>
      <c r="IH352" s="662"/>
      <c r="II352" s="662"/>
      <c r="IJ352" s="662"/>
      <c r="IK352" s="662"/>
      <c r="IL352" s="662"/>
      <c r="IM352" s="662"/>
      <c r="IN352" s="662"/>
      <c r="IO352" s="662"/>
      <c r="IP352" s="662"/>
      <c r="IQ352" s="70"/>
    </row>
    <row r="353" spans="18:251" ht="16.5" hidden="1" customHeight="1">
      <c r="R353" s="95"/>
      <c r="S353" s="95"/>
      <c r="T353" s="95"/>
      <c r="U353" s="70"/>
      <c r="V353" s="214"/>
      <c r="W353" s="70"/>
      <c r="X353" s="70"/>
      <c r="Y353" s="70"/>
      <c r="Z353" s="70"/>
      <c r="AA353" s="70"/>
      <c r="AB353" s="70"/>
      <c r="AC353" s="70"/>
      <c r="AD353" s="70"/>
      <c r="AE353" s="70"/>
      <c r="AF353" s="70"/>
      <c r="AG353" s="70"/>
      <c r="AH353" s="70"/>
      <c r="AI353" s="70"/>
      <c r="AJ353" s="70"/>
      <c r="AK353" s="70"/>
      <c r="AL353" s="70"/>
      <c r="AM353" s="70"/>
      <c r="AN353" s="70"/>
      <c r="AO353" s="70"/>
      <c r="AP353" s="70"/>
      <c r="AQ353" s="70"/>
      <c r="AR353" s="70"/>
      <c r="AS353" s="70"/>
      <c r="AT353" s="70"/>
      <c r="AU353" s="70"/>
      <c r="AV353" s="70"/>
      <c r="AW353" s="70"/>
      <c r="AX353" s="70"/>
      <c r="AY353" s="70"/>
      <c r="AZ353" s="70"/>
      <c r="BA353" s="70"/>
      <c r="BB353" s="70"/>
      <c r="BC353" s="70"/>
      <c r="BD353" s="70"/>
      <c r="BE353" s="70"/>
      <c r="BF353" s="70"/>
      <c r="BG353" s="70"/>
      <c r="BH353" s="70"/>
      <c r="BI353" s="70"/>
      <c r="BJ353" s="70"/>
      <c r="BK353" s="70"/>
      <c r="BL353" s="70"/>
      <c r="BM353" s="70"/>
      <c r="BN353" s="70"/>
      <c r="BO353" s="70"/>
      <c r="BP353" s="70"/>
      <c r="BQ353" s="70"/>
      <c r="BR353" s="70"/>
      <c r="BS353" s="70"/>
      <c r="BT353" s="70"/>
      <c r="BU353" s="70"/>
      <c r="BV353" s="70"/>
      <c r="BW353" s="70"/>
      <c r="BX353" s="70"/>
      <c r="BY353" s="70"/>
      <c r="BZ353" s="70"/>
      <c r="CA353" s="70"/>
      <c r="CB353" s="70"/>
      <c r="CC353" s="70"/>
      <c r="CD353" s="70"/>
      <c r="CE353" s="70"/>
      <c r="CF353" s="70"/>
      <c r="CG353" s="70"/>
      <c r="CH353" s="70"/>
      <c r="CI353" s="70"/>
      <c r="CJ353" s="70"/>
      <c r="CK353" s="70"/>
      <c r="CL353" s="70"/>
      <c r="CM353" s="70"/>
      <c r="CN353" s="70"/>
      <c r="CO353" s="70"/>
      <c r="CP353" s="70"/>
      <c r="CQ353" s="70"/>
      <c r="CR353" s="70"/>
      <c r="CS353" s="70"/>
      <c r="CT353" s="70"/>
      <c r="CU353" s="70"/>
      <c r="CV353" s="70"/>
      <c r="CW353" s="70"/>
      <c r="CX353" s="70"/>
      <c r="CY353" s="70"/>
      <c r="CZ353" s="70"/>
      <c r="DA353" s="70"/>
      <c r="DB353" s="70"/>
      <c r="DC353" s="70"/>
      <c r="DD353" s="70"/>
      <c r="DE353" s="70"/>
      <c r="DF353" s="70"/>
      <c r="DG353" s="70"/>
      <c r="DH353" s="70"/>
      <c r="DI353" s="70"/>
      <c r="DJ353" s="70"/>
      <c r="DK353" s="70"/>
      <c r="DL353" s="70"/>
      <c r="DM353" s="70"/>
      <c r="DN353" s="70"/>
      <c r="DO353" s="70"/>
      <c r="DP353" s="70"/>
      <c r="DQ353" s="70"/>
      <c r="DR353" s="70"/>
      <c r="DS353" s="70"/>
      <c r="DT353" s="70"/>
      <c r="DU353" s="70"/>
      <c r="DV353" s="70"/>
      <c r="DW353" s="70"/>
      <c r="DX353" s="70"/>
      <c r="DY353" s="70"/>
      <c r="DZ353" s="70"/>
      <c r="EA353" s="70"/>
      <c r="EB353" s="70"/>
      <c r="EC353" s="70"/>
      <c r="ED353" s="70"/>
      <c r="EE353" s="95" t="s">
        <v>450</v>
      </c>
      <c r="EF353" s="651"/>
      <c r="EG353" s="651"/>
      <c r="EH353" s="651"/>
      <c r="EI353" s="216"/>
      <c r="EJ353" s="662"/>
      <c r="EK353" s="662"/>
      <c r="EL353" s="662"/>
      <c r="EM353" s="662"/>
      <c r="EN353" s="662"/>
      <c r="EO353" s="662"/>
      <c r="EP353" s="662"/>
      <c r="EQ353" s="662"/>
      <c r="ER353" s="662"/>
      <c r="ES353" s="662"/>
      <c r="ET353" s="662"/>
      <c r="EU353" s="662"/>
      <c r="EV353" s="662"/>
      <c r="EW353" s="662"/>
      <c r="EX353" s="662"/>
      <c r="EY353" s="662"/>
      <c r="EZ353" s="662"/>
      <c r="FA353" s="662"/>
      <c r="FB353" s="662"/>
      <c r="FC353" s="662"/>
      <c r="FD353" s="662"/>
      <c r="FE353" s="662"/>
      <c r="FF353" s="662"/>
      <c r="FG353" s="662"/>
      <c r="FH353" s="662"/>
      <c r="FI353" s="662"/>
      <c r="FJ353" s="662"/>
      <c r="FK353" s="662"/>
      <c r="FL353" s="662"/>
      <c r="FM353" s="662"/>
      <c r="FN353" s="662"/>
      <c r="FO353" s="662"/>
      <c r="FP353" s="662"/>
      <c r="FQ353" s="662"/>
      <c r="FR353" s="662"/>
      <c r="FS353" s="662"/>
      <c r="FT353" s="662"/>
      <c r="FU353" s="662"/>
      <c r="FV353" s="662"/>
      <c r="FW353" s="662"/>
      <c r="FX353" s="662"/>
      <c r="FY353" s="662"/>
      <c r="FZ353" s="662"/>
      <c r="GA353" s="662"/>
      <c r="GB353" s="662"/>
      <c r="GC353" s="662"/>
      <c r="GD353" s="662"/>
      <c r="GE353" s="662"/>
      <c r="GF353" s="662"/>
      <c r="GG353" s="662"/>
      <c r="GH353" s="662"/>
      <c r="GI353" s="662"/>
      <c r="GJ353" s="662"/>
      <c r="GK353" s="662"/>
      <c r="GL353" s="662"/>
      <c r="GM353" s="662"/>
      <c r="GN353" s="662"/>
      <c r="GO353" s="662"/>
      <c r="GP353" s="662"/>
      <c r="GQ353" s="662"/>
      <c r="GR353" s="662"/>
      <c r="GS353" s="662"/>
      <c r="GT353" s="662"/>
      <c r="GU353" s="662"/>
      <c r="GV353" s="662"/>
      <c r="GW353" s="662"/>
      <c r="GX353" s="662"/>
      <c r="GY353" s="662"/>
      <c r="GZ353" s="662"/>
      <c r="HA353" s="662"/>
      <c r="HB353" s="662"/>
      <c r="HC353" s="662"/>
      <c r="HD353" s="662"/>
      <c r="HE353" s="662"/>
      <c r="HF353" s="662"/>
      <c r="HG353" s="662"/>
      <c r="HH353" s="662"/>
      <c r="HI353" s="662"/>
      <c r="HJ353" s="662"/>
      <c r="HK353" s="662"/>
      <c r="HL353" s="662"/>
      <c r="HM353" s="662"/>
      <c r="HN353" s="662"/>
      <c r="HO353" s="662"/>
      <c r="HP353" s="662"/>
      <c r="HQ353" s="662"/>
      <c r="HR353" s="662"/>
      <c r="HS353" s="662"/>
      <c r="HT353" s="662"/>
      <c r="HU353" s="662"/>
      <c r="HV353" s="662"/>
      <c r="HW353" s="662"/>
      <c r="HX353" s="662"/>
      <c r="HY353" s="662"/>
      <c r="HZ353" s="662"/>
      <c r="IA353" s="662"/>
      <c r="IB353" s="662"/>
      <c r="IC353" s="662"/>
      <c r="ID353" s="662"/>
      <c r="IE353" s="662"/>
      <c r="IF353" s="662"/>
      <c r="IG353" s="662"/>
      <c r="IH353" s="662"/>
      <c r="II353" s="662"/>
      <c r="IJ353" s="662"/>
      <c r="IK353" s="662"/>
      <c r="IL353" s="662"/>
      <c r="IM353" s="662"/>
      <c r="IN353" s="662"/>
      <c r="IO353" s="662"/>
      <c r="IP353" s="662"/>
      <c r="IQ353" s="70"/>
    </row>
    <row r="354" spans="18:251" ht="16.5" hidden="1" customHeight="1">
      <c r="R354" s="95"/>
      <c r="S354" s="95"/>
      <c r="T354" s="95"/>
      <c r="U354" s="70"/>
      <c r="V354" s="214"/>
      <c r="W354" s="70"/>
      <c r="X354" s="70"/>
      <c r="Y354" s="70"/>
      <c r="Z354" s="70"/>
      <c r="AA354" s="70"/>
      <c r="AB354" s="70"/>
      <c r="AC354" s="70"/>
      <c r="AD354" s="70"/>
      <c r="AE354" s="70"/>
      <c r="AF354" s="70"/>
      <c r="AG354" s="70"/>
      <c r="AH354" s="70"/>
      <c r="AI354" s="70"/>
      <c r="AJ354" s="70"/>
      <c r="AK354" s="70"/>
      <c r="AL354" s="70"/>
      <c r="AM354" s="70"/>
      <c r="AN354" s="70"/>
      <c r="AO354" s="70"/>
      <c r="AP354" s="70"/>
      <c r="AQ354" s="70"/>
      <c r="AR354" s="70"/>
      <c r="AS354" s="70"/>
      <c r="AT354" s="70"/>
      <c r="AU354" s="70"/>
      <c r="AV354" s="70"/>
      <c r="AW354" s="70"/>
      <c r="AX354" s="70"/>
      <c r="AY354" s="70"/>
      <c r="AZ354" s="70"/>
      <c r="BA354" s="70"/>
      <c r="BB354" s="70"/>
      <c r="BC354" s="70"/>
      <c r="BD354" s="70"/>
      <c r="BE354" s="70"/>
      <c r="BF354" s="70"/>
      <c r="BG354" s="70"/>
      <c r="BH354" s="70"/>
      <c r="BI354" s="70"/>
      <c r="BJ354" s="70"/>
      <c r="BK354" s="70"/>
      <c r="BL354" s="70"/>
      <c r="BM354" s="70"/>
      <c r="BN354" s="70"/>
      <c r="BO354" s="70"/>
      <c r="BP354" s="70"/>
      <c r="BQ354" s="70"/>
      <c r="BR354" s="70"/>
      <c r="BS354" s="70"/>
      <c r="BT354" s="70"/>
      <c r="BU354" s="70"/>
      <c r="BV354" s="70"/>
      <c r="BW354" s="70"/>
      <c r="BX354" s="70"/>
      <c r="BY354" s="70"/>
      <c r="BZ354" s="70"/>
      <c r="CA354" s="70"/>
      <c r="CB354" s="70"/>
      <c r="CC354" s="70"/>
      <c r="CD354" s="70"/>
      <c r="CE354" s="70"/>
      <c r="CF354" s="70"/>
      <c r="CG354" s="70"/>
      <c r="CH354" s="70"/>
      <c r="CI354" s="70"/>
      <c r="CJ354" s="70"/>
      <c r="CK354" s="70"/>
      <c r="CL354" s="70"/>
      <c r="CM354" s="70"/>
      <c r="CN354" s="70"/>
      <c r="CO354" s="70"/>
      <c r="CP354" s="70"/>
      <c r="CQ354" s="70"/>
      <c r="CR354" s="70"/>
      <c r="CS354" s="70"/>
      <c r="CT354" s="70"/>
      <c r="CU354" s="70"/>
      <c r="CV354" s="70"/>
      <c r="CW354" s="70"/>
      <c r="CX354" s="70"/>
      <c r="CY354" s="70"/>
      <c r="CZ354" s="70"/>
      <c r="DA354" s="70"/>
      <c r="DB354" s="70"/>
      <c r="DC354" s="70"/>
      <c r="DD354" s="70"/>
      <c r="DE354" s="70"/>
      <c r="DF354" s="70"/>
      <c r="DG354" s="70"/>
      <c r="DH354" s="70"/>
      <c r="DI354" s="70"/>
      <c r="DJ354" s="70"/>
      <c r="DK354" s="70"/>
      <c r="DL354" s="70"/>
      <c r="DM354" s="70"/>
      <c r="DN354" s="70"/>
      <c r="DO354" s="70"/>
      <c r="DP354" s="70"/>
      <c r="DQ354" s="70"/>
      <c r="DR354" s="70"/>
      <c r="DS354" s="70"/>
      <c r="DT354" s="70"/>
      <c r="DU354" s="70"/>
      <c r="DV354" s="70"/>
      <c r="DW354" s="70"/>
      <c r="DX354" s="70"/>
      <c r="DY354" s="70"/>
      <c r="DZ354" s="70"/>
      <c r="EA354" s="70"/>
      <c r="EB354" s="70"/>
      <c r="EC354" s="70"/>
      <c r="ED354" s="70"/>
      <c r="EE354" s="95" t="s">
        <v>450</v>
      </c>
      <c r="EF354" s="651"/>
      <c r="EG354" s="651"/>
      <c r="EH354" s="651"/>
      <c r="EI354" s="216"/>
      <c r="EJ354" s="662"/>
      <c r="EK354" s="662"/>
      <c r="EL354" s="662"/>
      <c r="EM354" s="662"/>
      <c r="EN354" s="662"/>
      <c r="EO354" s="662"/>
      <c r="EP354" s="662"/>
      <c r="EQ354" s="662"/>
      <c r="ER354" s="662"/>
      <c r="ES354" s="662"/>
      <c r="ET354" s="662"/>
      <c r="EU354" s="662"/>
      <c r="EV354" s="662"/>
      <c r="EW354" s="662"/>
      <c r="EX354" s="662"/>
      <c r="EY354" s="662"/>
      <c r="EZ354" s="662"/>
      <c r="FA354" s="662"/>
      <c r="FB354" s="662"/>
      <c r="FC354" s="662"/>
      <c r="FD354" s="662"/>
      <c r="FE354" s="662"/>
      <c r="FF354" s="662"/>
      <c r="FG354" s="662"/>
      <c r="FH354" s="662"/>
      <c r="FI354" s="662"/>
      <c r="FJ354" s="662"/>
      <c r="FK354" s="662"/>
      <c r="FL354" s="662"/>
      <c r="FM354" s="662"/>
      <c r="FN354" s="662"/>
      <c r="FO354" s="662"/>
      <c r="FP354" s="662"/>
      <c r="FQ354" s="662"/>
      <c r="FR354" s="662"/>
      <c r="FS354" s="662"/>
      <c r="FT354" s="662"/>
      <c r="FU354" s="662"/>
      <c r="FV354" s="662"/>
      <c r="FW354" s="662"/>
      <c r="FX354" s="662"/>
      <c r="FY354" s="662"/>
      <c r="FZ354" s="662"/>
      <c r="GA354" s="662"/>
      <c r="GB354" s="662"/>
      <c r="GC354" s="662"/>
      <c r="GD354" s="662"/>
      <c r="GE354" s="662"/>
      <c r="GF354" s="662"/>
      <c r="GG354" s="662"/>
      <c r="GH354" s="662"/>
      <c r="GI354" s="662"/>
      <c r="GJ354" s="662"/>
      <c r="GK354" s="662"/>
      <c r="GL354" s="662"/>
      <c r="GM354" s="662"/>
      <c r="GN354" s="662"/>
      <c r="GO354" s="662"/>
      <c r="GP354" s="662"/>
      <c r="GQ354" s="662"/>
      <c r="GR354" s="662"/>
      <c r="GS354" s="662"/>
      <c r="GT354" s="662"/>
      <c r="GU354" s="662"/>
      <c r="GV354" s="662"/>
      <c r="GW354" s="662"/>
      <c r="GX354" s="662"/>
      <c r="GY354" s="662"/>
      <c r="GZ354" s="662"/>
      <c r="HA354" s="662"/>
      <c r="HB354" s="662"/>
      <c r="HC354" s="662"/>
      <c r="HD354" s="662"/>
      <c r="HE354" s="662"/>
      <c r="HF354" s="662"/>
      <c r="HG354" s="662"/>
      <c r="HH354" s="662"/>
      <c r="HI354" s="662"/>
      <c r="HJ354" s="662"/>
      <c r="HK354" s="662"/>
      <c r="HL354" s="662"/>
      <c r="HM354" s="662"/>
      <c r="HN354" s="662"/>
      <c r="HO354" s="662"/>
      <c r="HP354" s="662"/>
      <c r="HQ354" s="662"/>
      <c r="HR354" s="662"/>
      <c r="HS354" s="662"/>
      <c r="HT354" s="662"/>
      <c r="HU354" s="662"/>
      <c r="HV354" s="662"/>
      <c r="HW354" s="662"/>
      <c r="HX354" s="662"/>
      <c r="HY354" s="662"/>
      <c r="HZ354" s="662"/>
      <c r="IA354" s="662"/>
      <c r="IB354" s="662"/>
      <c r="IC354" s="662"/>
      <c r="ID354" s="662"/>
      <c r="IE354" s="662"/>
      <c r="IF354" s="662"/>
      <c r="IG354" s="662"/>
      <c r="IH354" s="662"/>
      <c r="II354" s="662"/>
      <c r="IJ354" s="662"/>
      <c r="IK354" s="662"/>
      <c r="IL354" s="662"/>
      <c r="IM354" s="662"/>
      <c r="IN354" s="662"/>
      <c r="IO354" s="662"/>
      <c r="IP354" s="662"/>
      <c r="IQ354" s="70"/>
    </row>
    <row r="355" spans="18:251" ht="16.5" hidden="1" customHeight="1">
      <c r="R355" s="95"/>
      <c r="S355" s="95"/>
      <c r="T355" s="95"/>
      <c r="U355" s="70"/>
      <c r="V355" s="214"/>
      <c r="W355" s="70"/>
      <c r="X355" s="70"/>
      <c r="Y355" s="70"/>
      <c r="Z355" s="70"/>
      <c r="AA355" s="70"/>
      <c r="AB355" s="70"/>
      <c r="AC355" s="70"/>
      <c r="AD355" s="70"/>
      <c r="AE355" s="70"/>
      <c r="AF355" s="70"/>
      <c r="AG355" s="70"/>
      <c r="AH355" s="70"/>
      <c r="AI355" s="70"/>
      <c r="AJ355" s="70"/>
      <c r="AK355" s="70"/>
      <c r="AL355" s="70"/>
      <c r="AM355" s="70"/>
      <c r="AN355" s="70"/>
      <c r="AO355" s="70"/>
      <c r="AP355" s="70"/>
      <c r="AQ355" s="70"/>
      <c r="AR355" s="70"/>
      <c r="AS355" s="70"/>
      <c r="AT355" s="70"/>
      <c r="AU355" s="70"/>
      <c r="AV355" s="70"/>
      <c r="AW355" s="70"/>
      <c r="AX355" s="70"/>
      <c r="AY355" s="70"/>
      <c r="AZ355" s="70"/>
      <c r="BA355" s="70"/>
      <c r="BB355" s="70"/>
      <c r="BC355" s="70"/>
      <c r="BD355" s="70"/>
      <c r="BE355" s="70"/>
      <c r="BF355" s="70"/>
      <c r="BG355" s="70"/>
      <c r="BH355" s="70"/>
      <c r="BI355" s="70"/>
      <c r="BJ355" s="70"/>
      <c r="BK355" s="70"/>
      <c r="BL355" s="70"/>
      <c r="BM355" s="70"/>
      <c r="BN355" s="70"/>
      <c r="BO355" s="70"/>
      <c r="BP355" s="70"/>
      <c r="BQ355" s="70"/>
      <c r="BR355" s="70"/>
      <c r="BS355" s="70"/>
      <c r="BT355" s="70"/>
      <c r="BU355" s="70"/>
      <c r="BV355" s="70"/>
      <c r="BW355" s="70"/>
      <c r="BX355" s="70"/>
      <c r="BY355" s="70"/>
      <c r="BZ355" s="70"/>
      <c r="CA355" s="70"/>
      <c r="CB355" s="70"/>
      <c r="CC355" s="70"/>
      <c r="CD355" s="70"/>
      <c r="CE355" s="70"/>
      <c r="CF355" s="70"/>
      <c r="CG355" s="70"/>
      <c r="CH355" s="70"/>
      <c r="CI355" s="70"/>
      <c r="CJ355" s="70"/>
      <c r="CK355" s="70"/>
      <c r="CL355" s="70"/>
      <c r="CM355" s="70"/>
      <c r="CN355" s="70"/>
      <c r="CO355" s="70"/>
      <c r="CP355" s="70"/>
      <c r="CQ355" s="70"/>
      <c r="CR355" s="70"/>
      <c r="CS355" s="70"/>
      <c r="CT355" s="70"/>
      <c r="CU355" s="70"/>
      <c r="CV355" s="70"/>
      <c r="CW355" s="70"/>
      <c r="CX355" s="70"/>
      <c r="CY355" s="70"/>
      <c r="CZ355" s="70"/>
      <c r="DA355" s="70"/>
      <c r="DB355" s="70"/>
      <c r="DC355" s="70"/>
      <c r="DD355" s="70"/>
      <c r="DE355" s="70"/>
      <c r="DF355" s="70"/>
      <c r="DG355" s="70"/>
      <c r="DH355" s="70"/>
      <c r="DI355" s="70"/>
      <c r="DJ355" s="70"/>
      <c r="DK355" s="70"/>
      <c r="DL355" s="70"/>
      <c r="DM355" s="70"/>
      <c r="DN355" s="70"/>
      <c r="DO355" s="70"/>
      <c r="DP355" s="70"/>
      <c r="DQ355" s="70"/>
      <c r="DR355" s="70"/>
      <c r="DS355" s="70"/>
      <c r="DT355" s="70"/>
      <c r="DU355" s="70"/>
      <c r="DV355" s="70"/>
      <c r="DW355" s="70"/>
      <c r="DX355" s="70"/>
      <c r="DY355" s="70"/>
      <c r="DZ355" s="70"/>
      <c r="EA355" s="70"/>
      <c r="EB355" s="70"/>
      <c r="EC355" s="70"/>
      <c r="ED355" s="70"/>
      <c r="EE355" s="95" t="s">
        <v>450</v>
      </c>
      <c r="EF355" s="651"/>
      <c r="EG355" s="651"/>
      <c r="EH355" s="651"/>
      <c r="EI355" s="216"/>
      <c r="EJ355" s="662"/>
      <c r="EK355" s="662"/>
      <c r="EL355" s="662"/>
      <c r="EM355" s="662"/>
      <c r="EN355" s="662"/>
      <c r="EO355" s="662"/>
      <c r="EP355" s="662"/>
      <c r="EQ355" s="662"/>
      <c r="ER355" s="662"/>
      <c r="ES355" s="662"/>
      <c r="ET355" s="662"/>
      <c r="EU355" s="662"/>
      <c r="EV355" s="662"/>
      <c r="EW355" s="662"/>
      <c r="EX355" s="662"/>
      <c r="EY355" s="662"/>
      <c r="EZ355" s="662"/>
      <c r="FA355" s="662"/>
      <c r="FB355" s="662"/>
      <c r="FC355" s="662"/>
      <c r="FD355" s="662"/>
      <c r="FE355" s="662"/>
      <c r="FF355" s="662"/>
      <c r="FG355" s="662"/>
      <c r="FH355" s="662"/>
      <c r="FI355" s="662"/>
      <c r="FJ355" s="662"/>
      <c r="FK355" s="662"/>
      <c r="FL355" s="662"/>
      <c r="FM355" s="662"/>
      <c r="FN355" s="662"/>
      <c r="FO355" s="662"/>
      <c r="FP355" s="662"/>
      <c r="FQ355" s="662"/>
      <c r="FR355" s="662"/>
      <c r="FS355" s="662"/>
      <c r="FT355" s="662"/>
      <c r="FU355" s="662"/>
      <c r="FV355" s="662"/>
      <c r="FW355" s="662"/>
      <c r="FX355" s="662"/>
      <c r="FY355" s="662"/>
      <c r="FZ355" s="662"/>
      <c r="GA355" s="662"/>
      <c r="GB355" s="662"/>
      <c r="GC355" s="662"/>
      <c r="GD355" s="662"/>
      <c r="GE355" s="662"/>
      <c r="GF355" s="662"/>
      <c r="GG355" s="662"/>
      <c r="GH355" s="662"/>
      <c r="GI355" s="662"/>
      <c r="GJ355" s="662"/>
      <c r="GK355" s="662"/>
      <c r="GL355" s="662"/>
      <c r="GM355" s="662"/>
      <c r="GN355" s="662"/>
      <c r="GO355" s="662"/>
      <c r="GP355" s="662"/>
      <c r="GQ355" s="662"/>
      <c r="GR355" s="662"/>
      <c r="GS355" s="662"/>
      <c r="GT355" s="662"/>
      <c r="GU355" s="662"/>
      <c r="GV355" s="662"/>
      <c r="GW355" s="662"/>
      <c r="GX355" s="662"/>
      <c r="GY355" s="662"/>
      <c r="GZ355" s="662"/>
      <c r="HA355" s="662"/>
      <c r="HB355" s="662"/>
      <c r="HC355" s="662"/>
      <c r="HD355" s="662"/>
      <c r="HE355" s="662"/>
      <c r="HF355" s="662"/>
      <c r="HG355" s="662"/>
      <c r="HH355" s="662"/>
      <c r="HI355" s="662"/>
      <c r="HJ355" s="662"/>
      <c r="HK355" s="662"/>
      <c r="HL355" s="662"/>
      <c r="HM355" s="662"/>
      <c r="HN355" s="662"/>
      <c r="HO355" s="662"/>
      <c r="HP355" s="662"/>
      <c r="HQ355" s="662"/>
      <c r="HR355" s="662"/>
      <c r="HS355" s="662"/>
      <c r="HT355" s="662"/>
      <c r="HU355" s="662"/>
      <c r="HV355" s="662"/>
      <c r="HW355" s="662"/>
      <c r="HX355" s="662"/>
      <c r="HY355" s="662"/>
      <c r="HZ355" s="662"/>
      <c r="IA355" s="662"/>
      <c r="IB355" s="662"/>
      <c r="IC355" s="662"/>
      <c r="ID355" s="662"/>
      <c r="IE355" s="662"/>
      <c r="IF355" s="662"/>
      <c r="IG355" s="662"/>
      <c r="IH355" s="662"/>
      <c r="II355" s="662"/>
      <c r="IJ355" s="662"/>
      <c r="IK355" s="662"/>
      <c r="IL355" s="662"/>
      <c r="IM355" s="662"/>
      <c r="IN355" s="662"/>
      <c r="IO355" s="662"/>
      <c r="IP355" s="662"/>
      <c r="IQ355" s="70"/>
    </row>
    <row r="356" spans="18:251" ht="16.5" hidden="1" customHeight="1">
      <c r="R356" s="95"/>
      <c r="S356" s="95"/>
      <c r="T356" s="95"/>
      <c r="U356" s="70"/>
      <c r="V356" s="214"/>
      <c r="W356" s="70"/>
      <c r="X356" s="70"/>
      <c r="Y356" s="70"/>
      <c r="Z356" s="70"/>
      <c r="AA356" s="70"/>
      <c r="AB356" s="70"/>
      <c r="AC356" s="70"/>
      <c r="AD356" s="70"/>
      <c r="AE356" s="70"/>
      <c r="AF356" s="70"/>
      <c r="AG356" s="70"/>
      <c r="AH356" s="70"/>
      <c r="AI356" s="70"/>
      <c r="AJ356" s="70"/>
      <c r="AK356" s="70"/>
      <c r="AL356" s="70"/>
      <c r="AM356" s="70"/>
      <c r="AN356" s="70"/>
      <c r="AO356" s="70"/>
      <c r="AP356" s="70"/>
      <c r="AQ356" s="70"/>
      <c r="AR356" s="70"/>
      <c r="AS356" s="70"/>
      <c r="AT356" s="70"/>
      <c r="AU356" s="70"/>
      <c r="AV356" s="70"/>
      <c r="AW356" s="70"/>
      <c r="AX356" s="70"/>
      <c r="AY356" s="70"/>
      <c r="AZ356" s="70"/>
      <c r="BA356" s="70"/>
      <c r="BB356" s="70"/>
      <c r="BC356" s="70"/>
      <c r="BD356" s="70"/>
      <c r="BE356" s="70"/>
      <c r="BF356" s="70"/>
      <c r="BG356" s="70"/>
      <c r="BH356" s="70"/>
      <c r="BI356" s="70"/>
      <c r="BJ356" s="70"/>
      <c r="BK356" s="70"/>
      <c r="BL356" s="70"/>
      <c r="BM356" s="70"/>
      <c r="BN356" s="70"/>
      <c r="BO356" s="70"/>
      <c r="BP356" s="70"/>
      <c r="BQ356" s="70"/>
      <c r="BR356" s="70"/>
      <c r="BS356" s="70"/>
      <c r="BT356" s="70"/>
      <c r="BU356" s="70"/>
      <c r="BV356" s="70"/>
      <c r="BW356" s="70"/>
      <c r="BX356" s="70"/>
      <c r="BY356" s="70"/>
      <c r="BZ356" s="70"/>
      <c r="CA356" s="70"/>
      <c r="CB356" s="70"/>
      <c r="CC356" s="70"/>
      <c r="CD356" s="70"/>
      <c r="CE356" s="70"/>
      <c r="CF356" s="70"/>
      <c r="CG356" s="70"/>
      <c r="CH356" s="70"/>
      <c r="CI356" s="70"/>
      <c r="CJ356" s="70"/>
      <c r="CK356" s="70"/>
      <c r="CL356" s="70"/>
      <c r="CM356" s="70"/>
      <c r="CN356" s="70"/>
      <c r="CO356" s="70"/>
      <c r="CP356" s="70"/>
      <c r="CQ356" s="70"/>
      <c r="CR356" s="70"/>
      <c r="CS356" s="70"/>
      <c r="CT356" s="70"/>
      <c r="CU356" s="70"/>
      <c r="CV356" s="70"/>
      <c r="CW356" s="70"/>
      <c r="CX356" s="70"/>
      <c r="CY356" s="70"/>
      <c r="CZ356" s="70"/>
      <c r="DA356" s="70"/>
      <c r="DB356" s="70"/>
      <c r="DC356" s="70"/>
      <c r="DD356" s="70"/>
      <c r="DE356" s="70"/>
      <c r="DF356" s="70"/>
      <c r="DG356" s="70"/>
      <c r="DH356" s="70"/>
      <c r="DI356" s="70"/>
      <c r="DJ356" s="70"/>
      <c r="DK356" s="70"/>
      <c r="DL356" s="70"/>
      <c r="DM356" s="70"/>
      <c r="DN356" s="70"/>
      <c r="DO356" s="70"/>
      <c r="DP356" s="70"/>
      <c r="DQ356" s="70"/>
      <c r="DR356" s="70"/>
      <c r="DS356" s="70"/>
      <c r="DT356" s="70"/>
      <c r="DU356" s="70"/>
      <c r="DV356" s="70"/>
      <c r="DW356" s="70"/>
      <c r="DX356" s="70"/>
      <c r="DY356" s="70"/>
      <c r="DZ356" s="70"/>
      <c r="EA356" s="70"/>
      <c r="EB356" s="70"/>
      <c r="EC356" s="70"/>
      <c r="ED356" s="70"/>
      <c r="EE356" s="95" t="s">
        <v>450</v>
      </c>
      <c r="EF356" s="651"/>
      <c r="EG356" s="651"/>
      <c r="EH356" s="651"/>
      <c r="EI356" s="216"/>
      <c r="EJ356" s="662"/>
      <c r="EK356" s="662"/>
      <c r="EL356" s="662"/>
      <c r="EM356" s="662"/>
      <c r="EN356" s="662"/>
      <c r="EO356" s="662"/>
      <c r="EP356" s="662"/>
      <c r="EQ356" s="662"/>
      <c r="ER356" s="662"/>
      <c r="ES356" s="662"/>
      <c r="ET356" s="662"/>
      <c r="EU356" s="662"/>
      <c r="EV356" s="662"/>
      <c r="EW356" s="662"/>
      <c r="EX356" s="662"/>
      <c r="EY356" s="662"/>
      <c r="EZ356" s="662"/>
      <c r="FA356" s="662"/>
      <c r="FB356" s="662"/>
      <c r="FC356" s="662"/>
      <c r="FD356" s="662"/>
      <c r="FE356" s="662"/>
      <c r="FF356" s="662"/>
      <c r="FG356" s="662"/>
      <c r="FH356" s="662"/>
      <c r="FI356" s="662"/>
      <c r="FJ356" s="662"/>
      <c r="FK356" s="662"/>
      <c r="FL356" s="662"/>
      <c r="FM356" s="662"/>
      <c r="FN356" s="662"/>
      <c r="FO356" s="662"/>
      <c r="FP356" s="662"/>
      <c r="FQ356" s="662"/>
      <c r="FR356" s="662"/>
      <c r="FS356" s="662"/>
      <c r="FT356" s="662"/>
      <c r="FU356" s="662"/>
      <c r="FV356" s="662"/>
      <c r="FW356" s="662"/>
      <c r="FX356" s="662"/>
      <c r="FY356" s="662"/>
      <c r="FZ356" s="662"/>
      <c r="GA356" s="662"/>
      <c r="GB356" s="662"/>
      <c r="GC356" s="662"/>
      <c r="GD356" s="662"/>
      <c r="GE356" s="662"/>
      <c r="GF356" s="662"/>
      <c r="GG356" s="662"/>
      <c r="GH356" s="662"/>
      <c r="GI356" s="662"/>
      <c r="GJ356" s="662"/>
      <c r="GK356" s="662"/>
      <c r="GL356" s="662"/>
      <c r="GM356" s="662"/>
      <c r="GN356" s="662"/>
      <c r="GO356" s="662"/>
      <c r="GP356" s="662"/>
      <c r="GQ356" s="662"/>
      <c r="GR356" s="662"/>
      <c r="GS356" s="662"/>
      <c r="GT356" s="662"/>
      <c r="GU356" s="662"/>
      <c r="GV356" s="662"/>
      <c r="GW356" s="662"/>
      <c r="GX356" s="662"/>
      <c r="GY356" s="662"/>
      <c r="GZ356" s="662"/>
      <c r="HA356" s="662"/>
      <c r="HB356" s="662"/>
      <c r="HC356" s="662"/>
      <c r="HD356" s="662"/>
      <c r="HE356" s="662"/>
      <c r="HF356" s="662"/>
      <c r="HG356" s="662"/>
      <c r="HH356" s="662"/>
      <c r="HI356" s="662"/>
      <c r="HJ356" s="662"/>
      <c r="HK356" s="662"/>
      <c r="HL356" s="662"/>
      <c r="HM356" s="662"/>
      <c r="HN356" s="662"/>
      <c r="HO356" s="662"/>
      <c r="HP356" s="662"/>
      <c r="HQ356" s="662"/>
      <c r="HR356" s="662"/>
      <c r="HS356" s="662"/>
      <c r="HT356" s="662"/>
      <c r="HU356" s="662"/>
      <c r="HV356" s="662"/>
      <c r="HW356" s="662"/>
      <c r="HX356" s="662"/>
      <c r="HY356" s="662"/>
      <c r="HZ356" s="662"/>
      <c r="IA356" s="662"/>
      <c r="IB356" s="662"/>
      <c r="IC356" s="662"/>
      <c r="ID356" s="662"/>
      <c r="IE356" s="662"/>
      <c r="IF356" s="662"/>
      <c r="IG356" s="662"/>
      <c r="IH356" s="662"/>
      <c r="II356" s="662"/>
      <c r="IJ356" s="662"/>
      <c r="IK356" s="662"/>
      <c r="IL356" s="662"/>
      <c r="IM356" s="662"/>
      <c r="IN356" s="662"/>
      <c r="IO356" s="662"/>
      <c r="IP356" s="662"/>
      <c r="IQ356" s="70"/>
    </row>
    <row r="357" spans="18:251" ht="16.5" hidden="1" customHeight="1">
      <c r="R357" s="95"/>
      <c r="S357" s="95"/>
      <c r="T357" s="95"/>
      <c r="U357" s="70"/>
      <c r="V357" s="214"/>
      <c r="W357" s="70"/>
      <c r="X357" s="70"/>
      <c r="Y357" s="70"/>
      <c r="Z357" s="70"/>
      <c r="AA357" s="70"/>
      <c r="AB357" s="70"/>
      <c r="AC357" s="70"/>
      <c r="AD357" s="70"/>
      <c r="AE357" s="70"/>
      <c r="AF357" s="70"/>
      <c r="AG357" s="70"/>
      <c r="AH357" s="70"/>
      <c r="AI357" s="70"/>
      <c r="AJ357" s="70"/>
      <c r="AK357" s="70"/>
      <c r="AL357" s="70"/>
      <c r="AM357" s="70"/>
      <c r="AN357" s="70"/>
      <c r="AO357" s="70"/>
      <c r="AP357" s="70"/>
      <c r="AQ357" s="70"/>
      <c r="AR357" s="70"/>
      <c r="AS357" s="70"/>
      <c r="AT357" s="70"/>
      <c r="AU357" s="70"/>
      <c r="AV357" s="70"/>
      <c r="AW357" s="70"/>
      <c r="AX357" s="70"/>
      <c r="AY357" s="70"/>
      <c r="AZ357" s="70"/>
      <c r="BA357" s="70"/>
      <c r="BB357" s="70"/>
      <c r="BC357" s="70"/>
      <c r="BD357" s="70"/>
      <c r="BE357" s="70"/>
      <c r="BF357" s="70"/>
      <c r="BG357" s="70"/>
      <c r="BH357" s="70"/>
      <c r="BI357" s="70"/>
      <c r="BJ357" s="70"/>
      <c r="BK357" s="70"/>
      <c r="BL357" s="70"/>
      <c r="BM357" s="70"/>
      <c r="BN357" s="70"/>
      <c r="BO357" s="70"/>
      <c r="BP357" s="70"/>
      <c r="BQ357" s="70"/>
      <c r="BR357" s="70"/>
      <c r="BS357" s="70"/>
      <c r="BT357" s="70"/>
      <c r="BU357" s="70"/>
      <c r="BV357" s="70"/>
      <c r="BW357" s="70"/>
      <c r="BX357" s="70"/>
      <c r="BY357" s="70"/>
      <c r="BZ357" s="70"/>
      <c r="CA357" s="70"/>
      <c r="CB357" s="70"/>
      <c r="CC357" s="70"/>
      <c r="CD357" s="70"/>
      <c r="CE357" s="70"/>
      <c r="CF357" s="70"/>
      <c r="CG357" s="70"/>
      <c r="CH357" s="70"/>
      <c r="CI357" s="70"/>
      <c r="CJ357" s="70"/>
      <c r="CK357" s="70"/>
      <c r="CL357" s="70"/>
      <c r="CM357" s="70"/>
      <c r="CN357" s="70"/>
      <c r="CO357" s="70"/>
      <c r="CP357" s="70"/>
      <c r="CQ357" s="70"/>
      <c r="CR357" s="70"/>
      <c r="CS357" s="70"/>
      <c r="CT357" s="70"/>
      <c r="CU357" s="70"/>
      <c r="CV357" s="70"/>
      <c r="CW357" s="70"/>
      <c r="CX357" s="70"/>
      <c r="CY357" s="70"/>
      <c r="CZ357" s="70"/>
      <c r="DA357" s="70"/>
      <c r="DB357" s="70"/>
      <c r="DC357" s="70"/>
      <c r="DD357" s="70"/>
      <c r="DE357" s="70"/>
      <c r="DF357" s="70"/>
      <c r="DG357" s="70"/>
      <c r="DH357" s="70"/>
      <c r="DI357" s="70"/>
      <c r="DJ357" s="70"/>
      <c r="DK357" s="70"/>
      <c r="DL357" s="70"/>
      <c r="DM357" s="70"/>
      <c r="DN357" s="70"/>
      <c r="DO357" s="70"/>
      <c r="DP357" s="70"/>
      <c r="DQ357" s="70"/>
      <c r="DR357" s="70"/>
      <c r="DS357" s="70"/>
      <c r="DT357" s="70"/>
      <c r="DU357" s="70"/>
      <c r="DV357" s="70"/>
      <c r="DW357" s="70"/>
      <c r="DX357" s="70"/>
      <c r="DY357" s="70"/>
      <c r="DZ357" s="70"/>
      <c r="EA357" s="70"/>
      <c r="EB357" s="70"/>
      <c r="EC357" s="70"/>
      <c r="ED357" s="70"/>
      <c r="EE357" s="95" t="s">
        <v>450</v>
      </c>
      <c r="EF357" s="651"/>
      <c r="EG357" s="651"/>
      <c r="EH357" s="651"/>
      <c r="EI357" s="216"/>
      <c r="EJ357" s="662"/>
      <c r="EK357" s="662"/>
      <c r="EL357" s="662"/>
      <c r="EM357" s="662"/>
      <c r="EN357" s="662"/>
      <c r="EO357" s="662"/>
      <c r="EP357" s="662"/>
      <c r="EQ357" s="662"/>
      <c r="ER357" s="662"/>
      <c r="ES357" s="662"/>
      <c r="ET357" s="662"/>
      <c r="EU357" s="662"/>
      <c r="EV357" s="662"/>
      <c r="EW357" s="662"/>
      <c r="EX357" s="662"/>
      <c r="EY357" s="662"/>
      <c r="EZ357" s="662"/>
      <c r="FA357" s="662"/>
      <c r="FB357" s="662"/>
      <c r="FC357" s="662"/>
      <c r="FD357" s="662"/>
      <c r="FE357" s="662"/>
      <c r="FF357" s="662"/>
      <c r="FG357" s="662"/>
      <c r="FH357" s="662"/>
      <c r="FI357" s="662"/>
      <c r="FJ357" s="662"/>
      <c r="FK357" s="662"/>
      <c r="FL357" s="662"/>
      <c r="FM357" s="662"/>
      <c r="FN357" s="662"/>
      <c r="FO357" s="662"/>
      <c r="FP357" s="662"/>
      <c r="FQ357" s="662"/>
      <c r="FR357" s="662"/>
      <c r="FS357" s="662"/>
      <c r="FT357" s="662"/>
      <c r="FU357" s="662"/>
      <c r="FV357" s="662"/>
      <c r="FW357" s="662"/>
      <c r="FX357" s="662"/>
      <c r="FY357" s="662"/>
      <c r="FZ357" s="662"/>
      <c r="GA357" s="662"/>
      <c r="GB357" s="662"/>
      <c r="GC357" s="662"/>
      <c r="GD357" s="662"/>
      <c r="GE357" s="662"/>
      <c r="GF357" s="662"/>
      <c r="GG357" s="662"/>
      <c r="GH357" s="662"/>
      <c r="GI357" s="662"/>
      <c r="GJ357" s="662"/>
      <c r="GK357" s="662"/>
      <c r="GL357" s="662"/>
      <c r="GM357" s="662"/>
      <c r="GN357" s="662"/>
      <c r="GO357" s="662"/>
      <c r="GP357" s="662"/>
      <c r="GQ357" s="662"/>
      <c r="GR357" s="662"/>
      <c r="GS357" s="662"/>
      <c r="GT357" s="662"/>
      <c r="GU357" s="662"/>
      <c r="GV357" s="662"/>
      <c r="GW357" s="662"/>
      <c r="GX357" s="662"/>
      <c r="GY357" s="662"/>
      <c r="GZ357" s="662"/>
      <c r="HA357" s="662"/>
      <c r="HB357" s="662"/>
      <c r="HC357" s="662"/>
      <c r="HD357" s="662"/>
      <c r="HE357" s="662"/>
      <c r="HF357" s="662"/>
      <c r="HG357" s="662"/>
      <c r="HH357" s="662"/>
      <c r="HI357" s="662"/>
      <c r="HJ357" s="662"/>
      <c r="HK357" s="662"/>
      <c r="HL357" s="662"/>
      <c r="HM357" s="662"/>
      <c r="HN357" s="662"/>
      <c r="HO357" s="662"/>
      <c r="HP357" s="662"/>
      <c r="HQ357" s="662"/>
      <c r="HR357" s="662"/>
      <c r="HS357" s="662"/>
      <c r="HT357" s="662"/>
      <c r="HU357" s="662"/>
      <c r="HV357" s="662"/>
      <c r="HW357" s="662"/>
      <c r="HX357" s="662"/>
      <c r="HY357" s="662"/>
      <c r="HZ357" s="662"/>
      <c r="IA357" s="662"/>
      <c r="IB357" s="662"/>
      <c r="IC357" s="662"/>
      <c r="ID357" s="662"/>
      <c r="IE357" s="662"/>
      <c r="IF357" s="662"/>
      <c r="IG357" s="662"/>
      <c r="IH357" s="662"/>
      <c r="II357" s="662"/>
      <c r="IJ357" s="662"/>
      <c r="IK357" s="662"/>
      <c r="IL357" s="662"/>
      <c r="IM357" s="662"/>
      <c r="IN357" s="662"/>
      <c r="IO357" s="662"/>
      <c r="IP357" s="662"/>
      <c r="IQ357" s="70"/>
    </row>
    <row r="358" spans="18:251" ht="16.5" hidden="1" customHeight="1">
      <c r="R358" s="95"/>
      <c r="S358" s="95"/>
      <c r="T358" s="95"/>
      <c r="U358" s="70"/>
      <c r="V358" s="214"/>
      <c r="W358" s="70"/>
      <c r="X358" s="70"/>
      <c r="Y358" s="70"/>
      <c r="Z358" s="70"/>
      <c r="AA358" s="70"/>
      <c r="AB358" s="70"/>
      <c r="AC358" s="70"/>
      <c r="AD358" s="70"/>
      <c r="AE358" s="70"/>
      <c r="AF358" s="70"/>
      <c r="AG358" s="70"/>
      <c r="AH358" s="70"/>
      <c r="AI358" s="70"/>
      <c r="AJ358" s="70"/>
      <c r="AK358" s="70"/>
      <c r="AL358" s="70"/>
      <c r="AM358" s="70"/>
      <c r="AN358" s="70"/>
      <c r="AO358" s="70"/>
      <c r="AP358" s="70"/>
      <c r="AQ358" s="70"/>
      <c r="AR358" s="70"/>
      <c r="AS358" s="70"/>
      <c r="AT358" s="70"/>
      <c r="AU358" s="70"/>
      <c r="AV358" s="70"/>
      <c r="AW358" s="70"/>
      <c r="AX358" s="70"/>
      <c r="AY358" s="70"/>
      <c r="AZ358" s="70"/>
      <c r="BA358" s="70"/>
      <c r="BB358" s="70"/>
      <c r="BC358" s="70"/>
      <c r="BD358" s="70"/>
      <c r="BE358" s="70"/>
      <c r="BF358" s="70"/>
      <c r="BG358" s="70"/>
      <c r="BH358" s="70"/>
      <c r="BI358" s="70"/>
      <c r="BJ358" s="70"/>
      <c r="BK358" s="70"/>
      <c r="BL358" s="70"/>
      <c r="BM358" s="70"/>
      <c r="BN358" s="70"/>
      <c r="BO358" s="70"/>
      <c r="BP358" s="70"/>
      <c r="BQ358" s="70"/>
      <c r="BR358" s="70"/>
      <c r="BS358" s="70"/>
      <c r="BT358" s="70"/>
      <c r="BU358" s="70"/>
      <c r="BV358" s="70"/>
      <c r="BW358" s="70"/>
      <c r="BX358" s="70"/>
      <c r="BY358" s="70"/>
      <c r="BZ358" s="70"/>
      <c r="CA358" s="70"/>
      <c r="CB358" s="70"/>
      <c r="CC358" s="70"/>
      <c r="CD358" s="70"/>
      <c r="CE358" s="70"/>
      <c r="CF358" s="70"/>
      <c r="CG358" s="70"/>
      <c r="CH358" s="70"/>
      <c r="CI358" s="70"/>
      <c r="CJ358" s="70"/>
      <c r="CK358" s="70"/>
      <c r="CL358" s="70"/>
      <c r="CM358" s="70"/>
      <c r="CN358" s="70"/>
      <c r="CO358" s="70"/>
      <c r="CP358" s="70"/>
      <c r="CQ358" s="70"/>
      <c r="CR358" s="70"/>
      <c r="CS358" s="70"/>
      <c r="CT358" s="70"/>
      <c r="CU358" s="70"/>
      <c r="CV358" s="70"/>
      <c r="CW358" s="70"/>
      <c r="CX358" s="70"/>
      <c r="CY358" s="70"/>
      <c r="CZ358" s="70"/>
      <c r="DA358" s="70"/>
      <c r="DB358" s="70"/>
      <c r="DC358" s="70"/>
      <c r="DD358" s="70"/>
      <c r="DE358" s="70"/>
      <c r="DF358" s="70"/>
      <c r="DG358" s="70"/>
      <c r="DH358" s="70"/>
      <c r="DI358" s="70"/>
      <c r="DJ358" s="70"/>
      <c r="DK358" s="70"/>
      <c r="DL358" s="70"/>
      <c r="DM358" s="70"/>
      <c r="DN358" s="70"/>
      <c r="DO358" s="70"/>
      <c r="DP358" s="70"/>
      <c r="DQ358" s="70"/>
      <c r="DR358" s="70"/>
      <c r="DS358" s="70"/>
      <c r="DT358" s="70"/>
      <c r="DU358" s="70"/>
      <c r="DV358" s="70"/>
      <c r="DW358" s="70"/>
      <c r="DX358" s="70"/>
      <c r="DY358" s="70"/>
      <c r="DZ358" s="70"/>
      <c r="EA358" s="70"/>
      <c r="EB358" s="70"/>
      <c r="EC358" s="70"/>
      <c r="ED358" s="70"/>
      <c r="EE358" s="95" t="s">
        <v>450</v>
      </c>
      <c r="EF358" s="651"/>
      <c r="EG358" s="651"/>
      <c r="EH358" s="651"/>
      <c r="EI358" s="216"/>
      <c r="EJ358" s="662"/>
      <c r="EK358" s="662"/>
      <c r="EL358" s="662"/>
      <c r="EM358" s="662"/>
      <c r="EN358" s="662"/>
      <c r="EO358" s="662"/>
      <c r="EP358" s="662"/>
      <c r="EQ358" s="662"/>
      <c r="ER358" s="662"/>
      <c r="ES358" s="662"/>
      <c r="ET358" s="662"/>
      <c r="EU358" s="662"/>
      <c r="EV358" s="662"/>
      <c r="EW358" s="662"/>
      <c r="EX358" s="662"/>
      <c r="EY358" s="662"/>
      <c r="EZ358" s="662"/>
      <c r="FA358" s="662"/>
      <c r="FB358" s="662"/>
      <c r="FC358" s="662"/>
      <c r="FD358" s="662"/>
      <c r="FE358" s="662"/>
      <c r="FF358" s="662"/>
      <c r="FG358" s="662"/>
      <c r="FH358" s="662"/>
      <c r="FI358" s="662"/>
      <c r="FJ358" s="662"/>
      <c r="FK358" s="662"/>
      <c r="FL358" s="662"/>
      <c r="FM358" s="662"/>
      <c r="FN358" s="662"/>
      <c r="FO358" s="662"/>
      <c r="FP358" s="662"/>
      <c r="FQ358" s="662"/>
      <c r="FR358" s="662"/>
      <c r="FS358" s="662"/>
      <c r="FT358" s="662"/>
      <c r="FU358" s="662"/>
      <c r="FV358" s="662"/>
      <c r="FW358" s="662"/>
      <c r="FX358" s="662"/>
      <c r="FY358" s="662"/>
      <c r="FZ358" s="662"/>
      <c r="GA358" s="662"/>
      <c r="GB358" s="662"/>
      <c r="GC358" s="662"/>
      <c r="GD358" s="662"/>
      <c r="GE358" s="662"/>
      <c r="GF358" s="662"/>
      <c r="GG358" s="662"/>
      <c r="GH358" s="662"/>
      <c r="GI358" s="662"/>
      <c r="GJ358" s="662"/>
      <c r="GK358" s="662"/>
      <c r="GL358" s="662"/>
      <c r="GM358" s="662"/>
      <c r="GN358" s="662"/>
      <c r="GO358" s="662"/>
      <c r="GP358" s="662"/>
      <c r="GQ358" s="662"/>
      <c r="GR358" s="662"/>
      <c r="GS358" s="662"/>
      <c r="GT358" s="662"/>
      <c r="GU358" s="662"/>
      <c r="GV358" s="662"/>
      <c r="GW358" s="662"/>
      <c r="GX358" s="662"/>
      <c r="GY358" s="662"/>
      <c r="GZ358" s="662"/>
      <c r="HA358" s="662"/>
      <c r="HB358" s="662"/>
      <c r="HC358" s="662"/>
      <c r="HD358" s="662"/>
      <c r="HE358" s="662"/>
      <c r="HF358" s="662"/>
      <c r="HG358" s="662"/>
      <c r="HH358" s="662"/>
      <c r="HI358" s="662"/>
      <c r="HJ358" s="662"/>
      <c r="HK358" s="662"/>
      <c r="HL358" s="662"/>
      <c r="HM358" s="662"/>
      <c r="HN358" s="662"/>
      <c r="HO358" s="662"/>
      <c r="HP358" s="662"/>
      <c r="HQ358" s="662"/>
      <c r="HR358" s="662"/>
      <c r="HS358" s="662"/>
      <c r="HT358" s="662"/>
      <c r="HU358" s="662"/>
      <c r="HV358" s="662"/>
      <c r="HW358" s="662"/>
      <c r="HX358" s="662"/>
      <c r="HY358" s="662"/>
      <c r="HZ358" s="662"/>
      <c r="IA358" s="662"/>
      <c r="IB358" s="662"/>
      <c r="IC358" s="662"/>
      <c r="ID358" s="662"/>
      <c r="IE358" s="662"/>
      <c r="IF358" s="662"/>
      <c r="IG358" s="662"/>
      <c r="IH358" s="662"/>
      <c r="II358" s="662"/>
      <c r="IJ358" s="662"/>
      <c r="IK358" s="662"/>
      <c r="IL358" s="662"/>
      <c r="IM358" s="662"/>
      <c r="IN358" s="662"/>
      <c r="IO358" s="662"/>
      <c r="IP358" s="662"/>
      <c r="IQ358" s="70"/>
    </row>
    <row r="359" spans="18:251" ht="16.5" hidden="1" customHeight="1">
      <c r="R359" s="95"/>
      <c r="S359" s="95"/>
      <c r="T359" s="95"/>
      <c r="U359" s="70"/>
      <c r="V359" s="214"/>
      <c r="W359" s="70"/>
      <c r="X359" s="70"/>
      <c r="Y359" s="70"/>
      <c r="Z359" s="70"/>
      <c r="AA359" s="70"/>
      <c r="AB359" s="70"/>
      <c r="AC359" s="70"/>
      <c r="AD359" s="70"/>
      <c r="AE359" s="70"/>
      <c r="AF359" s="70"/>
      <c r="AG359" s="70"/>
      <c r="AH359" s="70"/>
      <c r="AI359" s="70"/>
      <c r="AJ359" s="70"/>
      <c r="AK359" s="70"/>
      <c r="AL359" s="70"/>
      <c r="AM359" s="70"/>
      <c r="AN359" s="70"/>
      <c r="AO359" s="70"/>
      <c r="AP359" s="70"/>
      <c r="AQ359" s="70"/>
      <c r="AR359" s="70"/>
      <c r="AS359" s="70"/>
      <c r="AT359" s="70"/>
      <c r="AU359" s="70"/>
      <c r="AV359" s="70"/>
      <c r="AW359" s="70"/>
      <c r="AX359" s="70"/>
      <c r="AY359" s="70"/>
      <c r="AZ359" s="70"/>
      <c r="BA359" s="70"/>
      <c r="BB359" s="70"/>
      <c r="BC359" s="70"/>
      <c r="BD359" s="70"/>
      <c r="BE359" s="70"/>
      <c r="BF359" s="70"/>
      <c r="BG359" s="70"/>
      <c r="BH359" s="70"/>
      <c r="BI359" s="70"/>
      <c r="BJ359" s="70"/>
      <c r="BK359" s="70"/>
      <c r="BL359" s="70"/>
      <c r="BM359" s="70"/>
      <c r="BN359" s="70"/>
      <c r="BO359" s="70"/>
      <c r="BP359" s="70"/>
      <c r="BQ359" s="70"/>
      <c r="BR359" s="70"/>
      <c r="BS359" s="70"/>
      <c r="BT359" s="70"/>
      <c r="BU359" s="70"/>
      <c r="BV359" s="70"/>
      <c r="BW359" s="70"/>
      <c r="BX359" s="70"/>
      <c r="BY359" s="70"/>
      <c r="BZ359" s="70"/>
      <c r="CA359" s="70"/>
      <c r="CB359" s="70"/>
      <c r="CC359" s="70"/>
      <c r="CD359" s="70"/>
      <c r="CE359" s="70"/>
      <c r="CF359" s="70"/>
      <c r="CG359" s="70"/>
      <c r="CH359" s="70"/>
      <c r="CI359" s="70"/>
      <c r="CJ359" s="70"/>
      <c r="CK359" s="70"/>
      <c r="CL359" s="70"/>
      <c r="CM359" s="70"/>
      <c r="CN359" s="70"/>
      <c r="CO359" s="70"/>
      <c r="CP359" s="70"/>
      <c r="CQ359" s="70"/>
      <c r="CR359" s="70"/>
      <c r="CS359" s="70"/>
      <c r="CT359" s="70"/>
      <c r="CU359" s="70"/>
      <c r="CV359" s="70"/>
      <c r="CW359" s="70"/>
      <c r="CX359" s="70"/>
      <c r="CY359" s="70"/>
      <c r="CZ359" s="70"/>
      <c r="DA359" s="70"/>
      <c r="DB359" s="70"/>
      <c r="DC359" s="70"/>
      <c r="DD359" s="70"/>
      <c r="DE359" s="70"/>
      <c r="DF359" s="70"/>
      <c r="DG359" s="70"/>
      <c r="DH359" s="70"/>
      <c r="DI359" s="70"/>
      <c r="DJ359" s="70"/>
      <c r="DK359" s="70"/>
      <c r="DL359" s="70"/>
      <c r="DM359" s="70"/>
      <c r="DN359" s="70"/>
      <c r="DO359" s="70"/>
      <c r="DP359" s="70"/>
      <c r="DQ359" s="70"/>
      <c r="DR359" s="70"/>
      <c r="DS359" s="70"/>
      <c r="DT359" s="70"/>
      <c r="DU359" s="70"/>
      <c r="DV359" s="70"/>
      <c r="DW359" s="70"/>
      <c r="DX359" s="70"/>
      <c r="DY359" s="70"/>
      <c r="DZ359" s="70"/>
      <c r="EA359" s="70"/>
      <c r="EB359" s="70"/>
      <c r="EC359" s="70"/>
      <c r="ED359" s="70"/>
      <c r="EE359" s="95" t="s">
        <v>450</v>
      </c>
      <c r="EF359" s="651"/>
      <c r="EG359" s="651"/>
      <c r="EH359" s="651"/>
      <c r="EI359" s="216"/>
      <c r="EJ359" s="662"/>
      <c r="EK359" s="662"/>
      <c r="EL359" s="662"/>
      <c r="EM359" s="662"/>
      <c r="EN359" s="662"/>
      <c r="EO359" s="662"/>
      <c r="EP359" s="662"/>
      <c r="EQ359" s="662"/>
      <c r="ER359" s="662"/>
      <c r="ES359" s="662"/>
      <c r="ET359" s="662"/>
      <c r="EU359" s="662"/>
      <c r="EV359" s="662"/>
      <c r="EW359" s="662"/>
      <c r="EX359" s="662"/>
      <c r="EY359" s="662"/>
      <c r="EZ359" s="662"/>
      <c r="FA359" s="662"/>
      <c r="FB359" s="662"/>
      <c r="FC359" s="662"/>
      <c r="FD359" s="662"/>
      <c r="FE359" s="662"/>
      <c r="FF359" s="662"/>
      <c r="FG359" s="662"/>
      <c r="FH359" s="662"/>
      <c r="FI359" s="662"/>
      <c r="FJ359" s="662"/>
      <c r="FK359" s="662"/>
      <c r="FL359" s="662"/>
      <c r="FM359" s="662"/>
      <c r="FN359" s="662"/>
      <c r="FO359" s="662"/>
      <c r="FP359" s="662"/>
      <c r="FQ359" s="662"/>
      <c r="FR359" s="662"/>
      <c r="FS359" s="662"/>
      <c r="FT359" s="662"/>
      <c r="FU359" s="662"/>
      <c r="FV359" s="662"/>
      <c r="FW359" s="662"/>
      <c r="FX359" s="662"/>
      <c r="FY359" s="662"/>
      <c r="FZ359" s="662"/>
      <c r="GA359" s="662"/>
      <c r="GB359" s="662"/>
      <c r="GC359" s="662"/>
      <c r="GD359" s="662"/>
      <c r="GE359" s="662"/>
      <c r="GF359" s="662"/>
      <c r="GG359" s="662"/>
      <c r="GH359" s="662"/>
      <c r="GI359" s="662"/>
      <c r="GJ359" s="662"/>
      <c r="GK359" s="662"/>
      <c r="GL359" s="662"/>
      <c r="GM359" s="662"/>
      <c r="GN359" s="662"/>
      <c r="GO359" s="662"/>
      <c r="GP359" s="662"/>
      <c r="GQ359" s="662"/>
      <c r="GR359" s="662"/>
      <c r="GS359" s="662"/>
      <c r="GT359" s="662"/>
      <c r="GU359" s="662"/>
      <c r="GV359" s="662"/>
      <c r="GW359" s="662"/>
      <c r="GX359" s="662"/>
      <c r="GY359" s="662"/>
      <c r="GZ359" s="662"/>
      <c r="HA359" s="662"/>
      <c r="HB359" s="662"/>
      <c r="HC359" s="662"/>
      <c r="HD359" s="662"/>
      <c r="HE359" s="662"/>
      <c r="HF359" s="662"/>
      <c r="HG359" s="662"/>
      <c r="HH359" s="662"/>
      <c r="HI359" s="662"/>
      <c r="HJ359" s="662"/>
      <c r="HK359" s="662"/>
      <c r="HL359" s="662"/>
      <c r="HM359" s="662"/>
      <c r="HN359" s="662"/>
      <c r="HO359" s="662"/>
      <c r="HP359" s="662"/>
      <c r="HQ359" s="662"/>
      <c r="HR359" s="662"/>
      <c r="HS359" s="662"/>
      <c r="HT359" s="662"/>
      <c r="HU359" s="662"/>
      <c r="HV359" s="662"/>
      <c r="HW359" s="662"/>
      <c r="HX359" s="662"/>
      <c r="HY359" s="662"/>
      <c r="HZ359" s="662"/>
      <c r="IA359" s="662"/>
      <c r="IB359" s="662"/>
      <c r="IC359" s="662"/>
      <c r="ID359" s="662"/>
      <c r="IE359" s="662"/>
      <c r="IF359" s="662"/>
      <c r="IG359" s="662"/>
      <c r="IH359" s="662"/>
      <c r="II359" s="662"/>
      <c r="IJ359" s="662"/>
      <c r="IK359" s="662"/>
      <c r="IL359" s="662"/>
      <c r="IM359" s="662"/>
      <c r="IN359" s="662"/>
      <c r="IO359" s="662"/>
      <c r="IP359" s="662"/>
      <c r="IQ359" s="70"/>
    </row>
    <row r="360" spans="18:251" ht="16.5" hidden="1" customHeight="1">
      <c r="R360" s="95"/>
      <c r="S360" s="95"/>
      <c r="T360" s="95"/>
      <c r="U360" s="70"/>
      <c r="V360" s="214"/>
      <c r="W360" s="70"/>
      <c r="X360" s="70"/>
      <c r="Y360" s="70"/>
      <c r="Z360" s="70"/>
      <c r="AA360" s="70"/>
      <c r="AB360" s="70"/>
      <c r="AC360" s="70"/>
      <c r="AD360" s="70"/>
      <c r="AE360" s="70"/>
      <c r="AF360" s="70"/>
      <c r="AG360" s="70"/>
      <c r="AH360" s="70"/>
      <c r="AI360" s="70"/>
      <c r="AJ360" s="70"/>
      <c r="AK360" s="70"/>
      <c r="AL360" s="70"/>
      <c r="AM360" s="70"/>
      <c r="AN360" s="70"/>
      <c r="AO360" s="70"/>
      <c r="AP360" s="70"/>
      <c r="AQ360" s="70"/>
      <c r="AR360" s="70"/>
      <c r="AS360" s="70"/>
      <c r="AT360" s="70"/>
      <c r="AU360" s="70"/>
      <c r="AV360" s="70"/>
      <c r="AW360" s="70"/>
      <c r="AX360" s="70"/>
      <c r="AY360" s="70"/>
      <c r="AZ360" s="70"/>
      <c r="BA360" s="70"/>
      <c r="BB360" s="70"/>
      <c r="BC360" s="70"/>
      <c r="BD360" s="70"/>
      <c r="BE360" s="70"/>
      <c r="BF360" s="70"/>
      <c r="BG360" s="70"/>
      <c r="BH360" s="70"/>
      <c r="BI360" s="70"/>
      <c r="BJ360" s="70"/>
      <c r="BK360" s="70"/>
      <c r="BL360" s="70"/>
      <c r="BM360" s="70"/>
      <c r="BN360" s="70"/>
      <c r="BO360" s="70"/>
      <c r="BP360" s="70"/>
      <c r="BQ360" s="70"/>
      <c r="BR360" s="70"/>
      <c r="BS360" s="70"/>
      <c r="BT360" s="70"/>
      <c r="BU360" s="70"/>
      <c r="BV360" s="70"/>
      <c r="BW360" s="70"/>
      <c r="BX360" s="70"/>
      <c r="BY360" s="70"/>
      <c r="BZ360" s="70"/>
      <c r="CA360" s="70"/>
      <c r="CB360" s="70"/>
      <c r="CC360" s="70"/>
      <c r="CD360" s="70"/>
      <c r="CE360" s="70"/>
      <c r="CF360" s="70"/>
      <c r="CG360" s="70"/>
      <c r="CH360" s="70"/>
      <c r="CI360" s="70"/>
      <c r="CJ360" s="70"/>
      <c r="CK360" s="70"/>
      <c r="CL360" s="70"/>
      <c r="CM360" s="70"/>
      <c r="CN360" s="70"/>
      <c r="CO360" s="70"/>
      <c r="CP360" s="70"/>
      <c r="CQ360" s="70"/>
      <c r="CR360" s="70"/>
      <c r="CS360" s="70"/>
      <c r="CT360" s="70"/>
      <c r="CU360" s="70"/>
      <c r="CV360" s="70"/>
      <c r="CW360" s="70"/>
      <c r="CX360" s="70"/>
      <c r="CY360" s="70"/>
      <c r="CZ360" s="70"/>
      <c r="DA360" s="70"/>
      <c r="DB360" s="70"/>
      <c r="DC360" s="70"/>
      <c r="DD360" s="70"/>
      <c r="DE360" s="70"/>
      <c r="DF360" s="70"/>
      <c r="DG360" s="70"/>
      <c r="DH360" s="70"/>
      <c r="DI360" s="70"/>
      <c r="DJ360" s="70"/>
      <c r="DK360" s="70"/>
      <c r="DL360" s="70"/>
      <c r="DM360" s="70"/>
      <c r="DN360" s="70"/>
      <c r="DO360" s="70"/>
      <c r="DP360" s="70"/>
      <c r="DQ360" s="70"/>
      <c r="DR360" s="70"/>
      <c r="DS360" s="70"/>
      <c r="DT360" s="70"/>
      <c r="DU360" s="70"/>
      <c r="DV360" s="70"/>
      <c r="DW360" s="70"/>
      <c r="DX360" s="70"/>
      <c r="DY360" s="70"/>
      <c r="DZ360" s="70"/>
      <c r="EA360" s="70"/>
      <c r="EB360" s="70"/>
      <c r="EC360" s="70"/>
      <c r="ED360" s="70"/>
      <c r="EE360" s="95" t="s">
        <v>450</v>
      </c>
      <c r="EF360" s="651"/>
      <c r="EG360" s="651"/>
      <c r="EH360" s="651"/>
      <c r="EI360" s="216"/>
      <c r="EJ360" s="662"/>
      <c r="EK360" s="662"/>
      <c r="EL360" s="662"/>
      <c r="EM360" s="662"/>
      <c r="EN360" s="662"/>
      <c r="EO360" s="662"/>
      <c r="EP360" s="662"/>
      <c r="EQ360" s="662"/>
      <c r="ER360" s="662"/>
      <c r="ES360" s="662"/>
      <c r="ET360" s="662"/>
      <c r="EU360" s="662"/>
      <c r="EV360" s="662"/>
      <c r="EW360" s="662"/>
      <c r="EX360" s="662"/>
      <c r="EY360" s="662"/>
      <c r="EZ360" s="662"/>
      <c r="FA360" s="662"/>
      <c r="FB360" s="662"/>
      <c r="FC360" s="662"/>
      <c r="FD360" s="662"/>
      <c r="FE360" s="662"/>
      <c r="FF360" s="662"/>
      <c r="FG360" s="662"/>
      <c r="FH360" s="662"/>
      <c r="FI360" s="662"/>
      <c r="FJ360" s="662"/>
      <c r="FK360" s="662"/>
      <c r="FL360" s="662"/>
      <c r="FM360" s="662"/>
      <c r="FN360" s="662"/>
      <c r="FO360" s="662"/>
      <c r="FP360" s="662"/>
      <c r="FQ360" s="662"/>
      <c r="FR360" s="662"/>
      <c r="FS360" s="662"/>
      <c r="FT360" s="662"/>
      <c r="FU360" s="662"/>
      <c r="FV360" s="662"/>
      <c r="FW360" s="662"/>
      <c r="FX360" s="662"/>
      <c r="FY360" s="662"/>
      <c r="FZ360" s="662"/>
      <c r="GA360" s="662"/>
      <c r="GB360" s="662"/>
      <c r="GC360" s="662"/>
      <c r="GD360" s="662"/>
      <c r="GE360" s="662"/>
      <c r="GF360" s="662"/>
      <c r="GG360" s="662"/>
      <c r="GH360" s="662"/>
      <c r="GI360" s="662"/>
      <c r="GJ360" s="662"/>
      <c r="GK360" s="662"/>
      <c r="GL360" s="662"/>
      <c r="GM360" s="662"/>
      <c r="GN360" s="662"/>
      <c r="GO360" s="662"/>
      <c r="GP360" s="662"/>
      <c r="GQ360" s="662"/>
      <c r="GR360" s="662"/>
      <c r="GS360" s="662"/>
      <c r="GT360" s="662"/>
      <c r="GU360" s="662"/>
      <c r="GV360" s="662"/>
      <c r="GW360" s="662"/>
      <c r="GX360" s="662"/>
      <c r="GY360" s="662"/>
      <c r="GZ360" s="662"/>
      <c r="HA360" s="662"/>
      <c r="HB360" s="662"/>
      <c r="HC360" s="662"/>
      <c r="HD360" s="662"/>
      <c r="HE360" s="662"/>
      <c r="HF360" s="662"/>
      <c r="HG360" s="662"/>
      <c r="HH360" s="662"/>
      <c r="HI360" s="662"/>
      <c r="HJ360" s="662"/>
      <c r="HK360" s="662"/>
      <c r="HL360" s="662"/>
      <c r="HM360" s="662"/>
      <c r="HN360" s="662"/>
      <c r="HO360" s="662"/>
      <c r="HP360" s="662"/>
      <c r="HQ360" s="662"/>
      <c r="HR360" s="662"/>
      <c r="HS360" s="662"/>
      <c r="HT360" s="662"/>
      <c r="HU360" s="662"/>
      <c r="HV360" s="662"/>
      <c r="HW360" s="662"/>
      <c r="HX360" s="662"/>
      <c r="HY360" s="662"/>
      <c r="HZ360" s="662"/>
      <c r="IA360" s="662"/>
      <c r="IB360" s="662"/>
      <c r="IC360" s="662"/>
      <c r="ID360" s="662"/>
      <c r="IE360" s="662"/>
      <c r="IF360" s="662"/>
      <c r="IG360" s="662"/>
      <c r="IH360" s="662"/>
      <c r="II360" s="662"/>
      <c r="IJ360" s="662"/>
      <c r="IK360" s="662"/>
      <c r="IL360" s="662"/>
      <c r="IM360" s="662"/>
      <c r="IN360" s="662"/>
      <c r="IO360" s="662"/>
      <c r="IP360" s="662"/>
      <c r="IQ360" s="70"/>
    </row>
    <row r="361" spans="18:251" ht="16.5" hidden="1" customHeight="1">
      <c r="R361" s="95"/>
      <c r="S361" s="95"/>
      <c r="T361" s="95"/>
      <c r="U361" s="70"/>
      <c r="V361" s="214"/>
      <c r="W361" s="70"/>
      <c r="X361" s="70"/>
      <c r="Y361" s="70"/>
      <c r="Z361" s="70"/>
      <c r="AA361" s="70"/>
      <c r="AB361" s="70"/>
      <c r="AC361" s="70"/>
      <c r="AD361" s="70"/>
      <c r="AE361" s="70"/>
      <c r="AF361" s="70"/>
      <c r="AG361" s="70"/>
      <c r="AH361" s="70"/>
      <c r="AI361" s="70"/>
      <c r="AJ361" s="70"/>
      <c r="AK361" s="70"/>
      <c r="AL361" s="70"/>
      <c r="AM361" s="70"/>
      <c r="AN361" s="70"/>
      <c r="AO361" s="70"/>
      <c r="AP361" s="70"/>
      <c r="AQ361" s="70"/>
      <c r="AR361" s="70"/>
      <c r="AS361" s="70"/>
      <c r="AT361" s="70"/>
      <c r="AU361" s="70"/>
      <c r="AV361" s="70"/>
      <c r="AW361" s="70"/>
      <c r="AX361" s="70"/>
      <c r="AY361" s="70"/>
      <c r="AZ361" s="70"/>
      <c r="BA361" s="70"/>
      <c r="BB361" s="70"/>
      <c r="BC361" s="70"/>
      <c r="BD361" s="70"/>
      <c r="BE361" s="70"/>
      <c r="BF361" s="70"/>
      <c r="BG361" s="70"/>
      <c r="BH361" s="70"/>
      <c r="BI361" s="70"/>
      <c r="BJ361" s="70"/>
      <c r="BK361" s="70"/>
      <c r="BL361" s="70"/>
      <c r="BM361" s="70"/>
      <c r="BN361" s="70"/>
      <c r="BO361" s="70"/>
      <c r="BP361" s="70"/>
      <c r="BQ361" s="70"/>
      <c r="BR361" s="70"/>
      <c r="BS361" s="70"/>
      <c r="BT361" s="70"/>
      <c r="BU361" s="70"/>
      <c r="BV361" s="70"/>
      <c r="BW361" s="70"/>
      <c r="BX361" s="70"/>
      <c r="BY361" s="70"/>
      <c r="BZ361" s="70"/>
      <c r="CA361" s="70"/>
      <c r="CB361" s="70"/>
      <c r="CC361" s="70"/>
      <c r="CD361" s="70"/>
      <c r="CE361" s="70"/>
      <c r="CF361" s="70"/>
      <c r="CG361" s="70"/>
      <c r="CH361" s="70"/>
      <c r="CI361" s="70"/>
      <c r="CJ361" s="70"/>
      <c r="CK361" s="70"/>
      <c r="CL361" s="70"/>
      <c r="CM361" s="70"/>
      <c r="CN361" s="70"/>
      <c r="CO361" s="70"/>
      <c r="CP361" s="70"/>
      <c r="CQ361" s="70"/>
      <c r="CR361" s="70"/>
      <c r="CS361" s="70"/>
      <c r="CT361" s="70"/>
      <c r="CU361" s="70"/>
      <c r="CV361" s="70"/>
      <c r="CW361" s="70"/>
      <c r="CX361" s="70"/>
      <c r="CY361" s="70"/>
      <c r="CZ361" s="70"/>
      <c r="DA361" s="70"/>
      <c r="DB361" s="70"/>
      <c r="DC361" s="70"/>
      <c r="DD361" s="70"/>
      <c r="DE361" s="70"/>
      <c r="DF361" s="70"/>
      <c r="DG361" s="70"/>
      <c r="DH361" s="70"/>
      <c r="DI361" s="70"/>
      <c r="DJ361" s="70"/>
      <c r="DK361" s="70"/>
      <c r="DL361" s="70"/>
      <c r="DM361" s="70"/>
      <c r="DN361" s="70"/>
      <c r="DO361" s="70"/>
      <c r="DP361" s="70"/>
      <c r="DQ361" s="70"/>
      <c r="DR361" s="70"/>
      <c r="DS361" s="70"/>
      <c r="DT361" s="70"/>
      <c r="DU361" s="70"/>
      <c r="DV361" s="70"/>
      <c r="DW361" s="70"/>
      <c r="DX361" s="70"/>
      <c r="DY361" s="70"/>
      <c r="DZ361" s="70"/>
      <c r="EA361" s="70"/>
      <c r="EB361" s="70"/>
      <c r="EC361" s="70"/>
      <c r="ED361" s="70"/>
      <c r="EE361" s="95" t="s">
        <v>450</v>
      </c>
      <c r="EF361" s="651"/>
      <c r="EG361" s="651"/>
      <c r="EH361" s="651"/>
      <c r="EI361" s="216"/>
      <c r="EJ361" s="662"/>
      <c r="EK361" s="662"/>
      <c r="EL361" s="662"/>
      <c r="EM361" s="662"/>
      <c r="EN361" s="662"/>
      <c r="EO361" s="662"/>
      <c r="EP361" s="662"/>
      <c r="EQ361" s="662"/>
      <c r="ER361" s="662"/>
      <c r="ES361" s="662"/>
      <c r="ET361" s="662"/>
      <c r="EU361" s="662"/>
      <c r="EV361" s="662"/>
      <c r="EW361" s="662"/>
      <c r="EX361" s="662"/>
      <c r="EY361" s="662"/>
      <c r="EZ361" s="662"/>
      <c r="FA361" s="662"/>
      <c r="FB361" s="662"/>
      <c r="FC361" s="662"/>
      <c r="FD361" s="662"/>
      <c r="FE361" s="662"/>
      <c r="FF361" s="662"/>
      <c r="FG361" s="662"/>
      <c r="FH361" s="662"/>
      <c r="FI361" s="662"/>
      <c r="FJ361" s="662"/>
      <c r="FK361" s="662"/>
      <c r="FL361" s="662"/>
      <c r="FM361" s="662"/>
      <c r="FN361" s="662"/>
      <c r="FO361" s="662"/>
      <c r="FP361" s="662"/>
      <c r="FQ361" s="662"/>
      <c r="FR361" s="662"/>
      <c r="FS361" s="662"/>
      <c r="FT361" s="662"/>
      <c r="FU361" s="662"/>
      <c r="FV361" s="662"/>
      <c r="FW361" s="662"/>
      <c r="FX361" s="662"/>
      <c r="FY361" s="662"/>
      <c r="FZ361" s="662"/>
      <c r="GA361" s="662"/>
      <c r="GB361" s="662"/>
      <c r="GC361" s="662"/>
      <c r="GD361" s="662"/>
      <c r="GE361" s="662"/>
      <c r="GF361" s="662"/>
      <c r="GG361" s="662"/>
      <c r="GH361" s="662"/>
      <c r="GI361" s="662"/>
      <c r="GJ361" s="662"/>
      <c r="GK361" s="662"/>
      <c r="GL361" s="662"/>
      <c r="GM361" s="662"/>
      <c r="GN361" s="662"/>
      <c r="GO361" s="662"/>
      <c r="GP361" s="662"/>
      <c r="GQ361" s="662"/>
      <c r="GR361" s="662"/>
      <c r="GS361" s="662"/>
      <c r="GT361" s="662"/>
      <c r="GU361" s="662"/>
      <c r="GV361" s="662"/>
      <c r="GW361" s="662"/>
      <c r="GX361" s="662"/>
      <c r="GY361" s="662"/>
      <c r="GZ361" s="662"/>
      <c r="HA361" s="662"/>
      <c r="HB361" s="662"/>
      <c r="HC361" s="662"/>
      <c r="HD361" s="662"/>
      <c r="HE361" s="662"/>
      <c r="HF361" s="662"/>
      <c r="HG361" s="662"/>
      <c r="HH361" s="662"/>
      <c r="HI361" s="662"/>
      <c r="HJ361" s="662"/>
      <c r="HK361" s="662"/>
      <c r="HL361" s="662"/>
      <c r="HM361" s="662"/>
      <c r="HN361" s="662"/>
      <c r="HO361" s="662"/>
      <c r="HP361" s="662"/>
      <c r="HQ361" s="662"/>
      <c r="HR361" s="662"/>
      <c r="HS361" s="662"/>
      <c r="HT361" s="662"/>
      <c r="HU361" s="662"/>
      <c r="HV361" s="662"/>
      <c r="HW361" s="662"/>
      <c r="HX361" s="662"/>
      <c r="HY361" s="662"/>
      <c r="HZ361" s="662"/>
      <c r="IA361" s="662"/>
      <c r="IB361" s="662"/>
      <c r="IC361" s="662"/>
      <c r="ID361" s="662"/>
      <c r="IE361" s="662"/>
      <c r="IF361" s="662"/>
      <c r="IG361" s="662"/>
      <c r="IH361" s="662"/>
      <c r="II361" s="662"/>
      <c r="IJ361" s="662"/>
      <c r="IK361" s="662"/>
      <c r="IL361" s="662"/>
      <c r="IM361" s="662"/>
      <c r="IN361" s="662"/>
      <c r="IO361" s="662"/>
      <c r="IP361" s="662"/>
      <c r="IQ361" s="70"/>
    </row>
    <row r="362" spans="18:251" ht="16.5" hidden="1" customHeight="1">
      <c r="R362" s="95"/>
      <c r="S362" s="95"/>
      <c r="T362" s="95"/>
      <c r="U362" s="70"/>
      <c r="V362" s="214"/>
      <c r="W362" s="70"/>
      <c r="X362" s="70"/>
      <c r="Y362" s="70"/>
      <c r="Z362" s="70"/>
      <c r="AA362" s="70"/>
      <c r="AB362" s="70"/>
      <c r="AC362" s="70"/>
      <c r="AD362" s="70"/>
      <c r="AE362" s="70"/>
      <c r="AF362" s="70"/>
      <c r="AG362" s="70"/>
      <c r="AH362" s="70"/>
      <c r="AI362" s="70"/>
      <c r="AJ362" s="70"/>
      <c r="AK362" s="70"/>
      <c r="AL362" s="70"/>
      <c r="AM362" s="70"/>
      <c r="AN362" s="70"/>
      <c r="AO362" s="70"/>
      <c r="AP362" s="70"/>
      <c r="AQ362" s="70"/>
      <c r="AR362" s="70"/>
      <c r="AS362" s="70"/>
      <c r="AT362" s="70"/>
      <c r="AU362" s="70"/>
      <c r="AV362" s="70"/>
      <c r="AW362" s="70"/>
      <c r="AX362" s="70"/>
      <c r="AY362" s="70"/>
      <c r="AZ362" s="70"/>
      <c r="BA362" s="70"/>
      <c r="BB362" s="70"/>
      <c r="BC362" s="70"/>
      <c r="BD362" s="70"/>
      <c r="BE362" s="70"/>
      <c r="BF362" s="70"/>
      <c r="BG362" s="70"/>
      <c r="BH362" s="70"/>
      <c r="BI362" s="70"/>
      <c r="BJ362" s="70"/>
      <c r="BK362" s="70"/>
      <c r="BL362" s="70"/>
      <c r="BM362" s="70"/>
      <c r="BN362" s="70"/>
      <c r="BO362" s="70"/>
      <c r="BP362" s="70"/>
      <c r="BQ362" s="70"/>
      <c r="BR362" s="70"/>
      <c r="BS362" s="70"/>
      <c r="BT362" s="70"/>
      <c r="BU362" s="70"/>
      <c r="BV362" s="70"/>
      <c r="BW362" s="70"/>
      <c r="BX362" s="70"/>
      <c r="BY362" s="70"/>
      <c r="BZ362" s="70"/>
      <c r="CA362" s="70"/>
      <c r="CB362" s="70"/>
      <c r="CC362" s="70"/>
      <c r="CD362" s="70"/>
      <c r="CE362" s="70"/>
      <c r="CF362" s="70"/>
      <c r="CG362" s="70"/>
      <c r="CH362" s="70"/>
      <c r="CI362" s="70"/>
      <c r="CJ362" s="70"/>
      <c r="CK362" s="70"/>
      <c r="CL362" s="70"/>
      <c r="CM362" s="70"/>
      <c r="CN362" s="70"/>
      <c r="CO362" s="70"/>
      <c r="CP362" s="70"/>
      <c r="CQ362" s="70"/>
      <c r="CR362" s="70"/>
      <c r="CS362" s="70"/>
      <c r="CT362" s="70"/>
      <c r="CU362" s="70"/>
      <c r="CV362" s="70"/>
      <c r="CW362" s="70"/>
      <c r="CX362" s="70"/>
      <c r="CY362" s="70"/>
      <c r="CZ362" s="70"/>
      <c r="DA362" s="70"/>
      <c r="DB362" s="70"/>
      <c r="DC362" s="70"/>
      <c r="DD362" s="70"/>
      <c r="DE362" s="70"/>
      <c r="DF362" s="70"/>
      <c r="DG362" s="70"/>
      <c r="DH362" s="70"/>
      <c r="DI362" s="70"/>
      <c r="DJ362" s="70"/>
      <c r="DK362" s="70"/>
      <c r="DL362" s="70"/>
      <c r="DM362" s="70"/>
      <c r="DN362" s="70"/>
      <c r="DO362" s="70"/>
      <c r="DP362" s="70"/>
      <c r="DQ362" s="70"/>
      <c r="DR362" s="70"/>
      <c r="DS362" s="70"/>
      <c r="DT362" s="70"/>
      <c r="DU362" s="70"/>
      <c r="DV362" s="70"/>
      <c r="DW362" s="70"/>
      <c r="DX362" s="70"/>
      <c r="DY362" s="70"/>
      <c r="DZ362" s="70"/>
      <c r="EA362" s="70"/>
      <c r="EB362" s="70"/>
      <c r="EC362" s="70"/>
      <c r="ED362" s="70"/>
      <c r="EE362" s="95" t="s">
        <v>450</v>
      </c>
      <c r="EF362" s="651"/>
      <c r="EG362" s="651"/>
      <c r="EH362" s="651"/>
      <c r="EI362" s="216"/>
      <c r="EJ362" s="662"/>
      <c r="EK362" s="662"/>
      <c r="EL362" s="662"/>
      <c r="EM362" s="662"/>
      <c r="EN362" s="662"/>
      <c r="EO362" s="662"/>
      <c r="EP362" s="662"/>
      <c r="EQ362" s="662"/>
      <c r="ER362" s="662"/>
      <c r="ES362" s="662"/>
      <c r="ET362" s="662"/>
      <c r="EU362" s="662"/>
      <c r="EV362" s="662"/>
      <c r="EW362" s="662"/>
      <c r="EX362" s="662"/>
      <c r="EY362" s="662"/>
      <c r="EZ362" s="662"/>
      <c r="FA362" s="662"/>
      <c r="FB362" s="662"/>
      <c r="FC362" s="662"/>
      <c r="FD362" s="662"/>
      <c r="FE362" s="662"/>
      <c r="FF362" s="662"/>
      <c r="FG362" s="662"/>
      <c r="FH362" s="662"/>
      <c r="FI362" s="662"/>
      <c r="FJ362" s="662"/>
      <c r="FK362" s="662"/>
      <c r="FL362" s="662"/>
      <c r="FM362" s="662"/>
      <c r="FN362" s="662"/>
      <c r="FO362" s="662"/>
      <c r="FP362" s="662"/>
      <c r="FQ362" s="662"/>
      <c r="FR362" s="662"/>
      <c r="FS362" s="662"/>
      <c r="FT362" s="662"/>
      <c r="FU362" s="662"/>
      <c r="FV362" s="662"/>
      <c r="FW362" s="662"/>
      <c r="FX362" s="662"/>
      <c r="FY362" s="662"/>
      <c r="FZ362" s="662"/>
      <c r="GA362" s="662"/>
      <c r="GB362" s="662"/>
      <c r="GC362" s="662"/>
      <c r="GD362" s="662"/>
      <c r="GE362" s="662"/>
      <c r="GF362" s="662"/>
      <c r="GG362" s="662"/>
      <c r="GH362" s="662"/>
      <c r="GI362" s="662"/>
      <c r="GJ362" s="662"/>
      <c r="GK362" s="662"/>
      <c r="GL362" s="662"/>
      <c r="GM362" s="662"/>
      <c r="GN362" s="662"/>
      <c r="GO362" s="662"/>
      <c r="GP362" s="662"/>
      <c r="GQ362" s="662"/>
      <c r="GR362" s="662"/>
      <c r="GS362" s="662"/>
      <c r="GT362" s="662"/>
      <c r="GU362" s="662"/>
      <c r="GV362" s="662"/>
      <c r="GW362" s="662"/>
      <c r="GX362" s="662"/>
      <c r="GY362" s="662"/>
      <c r="GZ362" s="662"/>
      <c r="HA362" s="662"/>
      <c r="HB362" s="662"/>
      <c r="HC362" s="662"/>
      <c r="HD362" s="662"/>
      <c r="HE362" s="662"/>
      <c r="HF362" s="662"/>
      <c r="HG362" s="662"/>
      <c r="HH362" s="662"/>
      <c r="HI362" s="662"/>
      <c r="HJ362" s="662"/>
      <c r="HK362" s="662"/>
      <c r="HL362" s="662"/>
      <c r="HM362" s="662"/>
      <c r="HN362" s="662"/>
      <c r="HO362" s="662"/>
      <c r="HP362" s="662"/>
      <c r="HQ362" s="662"/>
      <c r="HR362" s="662"/>
      <c r="HS362" s="662"/>
      <c r="HT362" s="662"/>
      <c r="HU362" s="662"/>
      <c r="HV362" s="662"/>
      <c r="HW362" s="662"/>
      <c r="HX362" s="662"/>
      <c r="HY362" s="662"/>
      <c r="HZ362" s="662"/>
      <c r="IA362" s="662"/>
      <c r="IB362" s="662"/>
      <c r="IC362" s="662"/>
      <c r="ID362" s="662"/>
      <c r="IE362" s="662"/>
      <c r="IF362" s="662"/>
      <c r="IG362" s="662"/>
      <c r="IH362" s="662"/>
      <c r="II362" s="662"/>
      <c r="IJ362" s="662"/>
      <c r="IK362" s="662"/>
      <c r="IL362" s="662"/>
      <c r="IM362" s="662"/>
      <c r="IN362" s="662"/>
      <c r="IO362" s="662"/>
      <c r="IP362" s="662"/>
      <c r="IQ362" s="70"/>
    </row>
    <row r="363" spans="18:251" ht="16.5" hidden="1" customHeight="1">
      <c r="R363" s="95"/>
      <c r="S363" s="95"/>
      <c r="T363" s="95"/>
      <c r="U363" s="70"/>
      <c r="V363" s="214"/>
      <c r="W363" s="70"/>
      <c r="X363" s="70"/>
      <c r="Y363" s="70"/>
      <c r="Z363" s="70"/>
      <c r="AA363" s="70"/>
      <c r="AB363" s="70"/>
      <c r="AC363" s="70"/>
      <c r="AD363" s="70"/>
      <c r="AE363" s="70"/>
      <c r="AF363" s="70"/>
      <c r="AG363" s="70"/>
      <c r="AH363" s="70"/>
      <c r="AI363" s="70"/>
      <c r="AJ363" s="70"/>
      <c r="AK363" s="70"/>
      <c r="AL363" s="70"/>
      <c r="AM363" s="70"/>
      <c r="AN363" s="70"/>
      <c r="AO363" s="70"/>
      <c r="AP363" s="70"/>
      <c r="AQ363" s="70"/>
      <c r="AR363" s="70"/>
      <c r="AS363" s="70"/>
      <c r="AT363" s="70"/>
      <c r="AU363" s="70"/>
      <c r="AV363" s="70"/>
      <c r="AW363" s="70"/>
      <c r="AX363" s="70"/>
      <c r="AY363" s="70"/>
      <c r="AZ363" s="70"/>
      <c r="BA363" s="70"/>
      <c r="BB363" s="70"/>
      <c r="BC363" s="70"/>
      <c r="BD363" s="70"/>
      <c r="BE363" s="70"/>
      <c r="BF363" s="70"/>
      <c r="BG363" s="70"/>
      <c r="BH363" s="70"/>
      <c r="BI363" s="70"/>
      <c r="BJ363" s="70"/>
      <c r="BK363" s="70"/>
      <c r="BL363" s="70"/>
      <c r="BM363" s="70"/>
      <c r="BN363" s="70"/>
      <c r="BO363" s="70"/>
      <c r="BP363" s="70"/>
      <c r="BQ363" s="70"/>
      <c r="BR363" s="70"/>
      <c r="BS363" s="70"/>
      <c r="BT363" s="70"/>
      <c r="BU363" s="70"/>
      <c r="BV363" s="70"/>
      <c r="BW363" s="70"/>
      <c r="BX363" s="70"/>
      <c r="BY363" s="70"/>
      <c r="BZ363" s="70"/>
      <c r="CA363" s="70"/>
      <c r="CB363" s="70"/>
      <c r="CC363" s="70"/>
      <c r="CD363" s="70"/>
      <c r="CE363" s="70"/>
      <c r="CF363" s="70"/>
      <c r="CG363" s="70"/>
      <c r="CH363" s="70"/>
      <c r="CI363" s="70"/>
      <c r="CJ363" s="70"/>
      <c r="CK363" s="70"/>
      <c r="CL363" s="70"/>
      <c r="CM363" s="70"/>
      <c r="CN363" s="70"/>
      <c r="CO363" s="70"/>
      <c r="CP363" s="70"/>
      <c r="CQ363" s="70"/>
      <c r="CR363" s="70"/>
      <c r="CS363" s="70"/>
      <c r="CT363" s="70"/>
      <c r="CU363" s="70"/>
      <c r="CV363" s="70"/>
      <c r="CW363" s="70"/>
      <c r="CX363" s="70"/>
      <c r="CY363" s="70"/>
      <c r="CZ363" s="70"/>
      <c r="DA363" s="70"/>
      <c r="DB363" s="70"/>
      <c r="DC363" s="70"/>
      <c r="DD363" s="70"/>
      <c r="DE363" s="70"/>
      <c r="DF363" s="70"/>
      <c r="DG363" s="70"/>
      <c r="DH363" s="70"/>
      <c r="DI363" s="70"/>
      <c r="DJ363" s="70"/>
      <c r="DK363" s="70"/>
      <c r="DL363" s="70"/>
      <c r="DM363" s="70"/>
      <c r="DN363" s="70"/>
      <c r="DO363" s="70"/>
      <c r="DP363" s="70"/>
      <c r="DQ363" s="70"/>
      <c r="DR363" s="70"/>
      <c r="DS363" s="70"/>
      <c r="DT363" s="70"/>
      <c r="DU363" s="70"/>
      <c r="DV363" s="70"/>
      <c r="DW363" s="70"/>
      <c r="DX363" s="70"/>
      <c r="DY363" s="70"/>
      <c r="DZ363" s="70"/>
      <c r="EA363" s="70"/>
      <c r="EB363" s="70"/>
      <c r="EC363" s="70"/>
      <c r="ED363" s="70"/>
      <c r="EE363" s="95" t="s">
        <v>450</v>
      </c>
      <c r="EF363" s="651"/>
      <c r="EG363" s="651"/>
      <c r="EH363" s="651"/>
      <c r="EI363" s="216"/>
      <c r="EJ363" s="662"/>
      <c r="EK363" s="662"/>
      <c r="EL363" s="662"/>
      <c r="EM363" s="662"/>
      <c r="EN363" s="662"/>
      <c r="EO363" s="662"/>
      <c r="EP363" s="662"/>
      <c r="EQ363" s="662"/>
      <c r="ER363" s="662"/>
      <c r="ES363" s="662"/>
      <c r="ET363" s="662"/>
      <c r="EU363" s="662"/>
      <c r="EV363" s="662"/>
      <c r="EW363" s="662"/>
      <c r="EX363" s="662"/>
      <c r="EY363" s="662"/>
      <c r="EZ363" s="662"/>
      <c r="FA363" s="662"/>
      <c r="FB363" s="662"/>
      <c r="FC363" s="662"/>
      <c r="FD363" s="662"/>
      <c r="FE363" s="662"/>
      <c r="FF363" s="662"/>
      <c r="FG363" s="662"/>
      <c r="FH363" s="662"/>
      <c r="FI363" s="662"/>
      <c r="FJ363" s="662"/>
      <c r="FK363" s="662"/>
      <c r="FL363" s="662"/>
      <c r="FM363" s="662"/>
      <c r="FN363" s="662"/>
      <c r="FO363" s="662"/>
      <c r="FP363" s="662"/>
      <c r="FQ363" s="662"/>
      <c r="FR363" s="662"/>
      <c r="FS363" s="662"/>
      <c r="FT363" s="662"/>
      <c r="FU363" s="662"/>
      <c r="FV363" s="662"/>
      <c r="FW363" s="662"/>
      <c r="FX363" s="662"/>
      <c r="FY363" s="662"/>
      <c r="FZ363" s="662"/>
      <c r="GA363" s="662"/>
      <c r="GB363" s="662"/>
      <c r="GC363" s="662"/>
      <c r="GD363" s="662"/>
      <c r="GE363" s="662"/>
      <c r="GF363" s="662"/>
      <c r="GG363" s="662"/>
      <c r="GH363" s="662"/>
      <c r="GI363" s="662"/>
      <c r="GJ363" s="662"/>
      <c r="GK363" s="662"/>
      <c r="GL363" s="662"/>
      <c r="GM363" s="662"/>
      <c r="GN363" s="662"/>
      <c r="GO363" s="662"/>
      <c r="GP363" s="662"/>
      <c r="GQ363" s="662"/>
      <c r="GR363" s="662"/>
      <c r="GS363" s="662"/>
      <c r="GT363" s="662"/>
      <c r="GU363" s="662"/>
      <c r="GV363" s="662"/>
      <c r="GW363" s="662"/>
      <c r="GX363" s="662"/>
      <c r="GY363" s="662"/>
      <c r="GZ363" s="662"/>
      <c r="HA363" s="662"/>
      <c r="HB363" s="662"/>
      <c r="HC363" s="662"/>
      <c r="HD363" s="662"/>
      <c r="HE363" s="662"/>
      <c r="HF363" s="662"/>
      <c r="HG363" s="662"/>
      <c r="HH363" s="662"/>
      <c r="HI363" s="662"/>
      <c r="HJ363" s="662"/>
      <c r="HK363" s="662"/>
      <c r="HL363" s="662"/>
      <c r="HM363" s="662"/>
      <c r="HN363" s="662"/>
      <c r="HO363" s="662"/>
      <c r="HP363" s="662"/>
      <c r="HQ363" s="662"/>
      <c r="HR363" s="662"/>
      <c r="HS363" s="662"/>
      <c r="HT363" s="662"/>
      <c r="HU363" s="662"/>
      <c r="HV363" s="662"/>
      <c r="HW363" s="662"/>
      <c r="HX363" s="662"/>
      <c r="HY363" s="662"/>
      <c r="HZ363" s="662"/>
      <c r="IA363" s="662"/>
      <c r="IB363" s="662"/>
      <c r="IC363" s="662"/>
      <c r="ID363" s="662"/>
      <c r="IE363" s="662"/>
      <c r="IF363" s="662"/>
      <c r="IG363" s="662"/>
      <c r="IH363" s="662"/>
      <c r="II363" s="662"/>
      <c r="IJ363" s="662"/>
      <c r="IK363" s="662"/>
      <c r="IL363" s="662"/>
      <c r="IM363" s="662"/>
      <c r="IN363" s="662"/>
      <c r="IO363" s="662"/>
      <c r="IP363" s="662"/>
      <c r="IQ363" s="70"/>
    </row>
    <row r="364" spans="18:251" ht="16.5" hidden="1" customHeight="1">
      <c r="R364" s="95"/>
      <c r="S364" s="95"/>
      <c r="T364" s="95"/>
      <c r="U364" s="70"/>
      <c r="V364" s="214"/>
      <c r="W364" s="70"/>
      <c r="X364" s="70"/>
      <c r="Y364" s="70"/>
      <c r="Z364" s="70"/>
      <c r="AA364" s="70"/>
      <c r="AB364" s="70"/>
      <c r="AC364" s="70"/>
      <c r="AD364" s="70"/>
      <c r="AE364" s="70"/>
      <c r="AF364" s="70"/>
      <c r="AG364" s="70"/>
      <c r="AH364" s="70"/>
      <c r="AI364" s="70"/>
      <c r="AJ364" s="70"/>
      <c r="AK364" s="70"/>
      <c r="AL364" s="70"/>
      <c r="AM364" s="70"/>
      <c r="AN364" s="70"/>
      <c r="AO364" s="70"/>
      <c r="AP364" s="70"/>
      <c r="AQ364" s="70"/>
      <c r="AR364" s="70"/>
      <c r="AS364" s="70"/>
      <c r="AT364" s="70"/>
      <c r="AU364" s="70"/>
      <c r="AV364" s="70"/>
      <c r="AW364" s="70"/>
      <c r="AX364" s="70"/>
      <c r="AY364" s="70"/>
      <c r="AZ364" s="70"/>
      <c r="BA364" s="70"/>
      <c r="BB364" s="70"/>
      <c r="BC364" s="70"/>
      <c r="BD364" s="70"/>
      <c r="BE364" s="70"/>
      <c r="BF364" s="70"/>
      <c r="BG364" s="70"/>
      <c r="BH364" s="70"/>
      <c r="BI364" s="70"/>
      <c r="BJ364" s="70"/>
      <c r="BK364" s="70"/>
      <c r="BL364" s="70"/>
      <c r="BM364" s="70"/>
      <c r="BN364" s="70"/>
      <c r="BO364" s="70"/>
      <c r="BP364" s="70"/>
      <c r="BQ364" s="70"/>
      <c r="BR364" s="70"/>
      <c r="BS364" s="70"/>
      <c r="BT364" s="70"/>
      <c r="BU364" s="70"/>
      <c r="BV364" s="70"/>
      <c r="BW364" s="70"/>
      <c r="BX364" s="70"/>
      <c r="BY364" s="70"/>
      <c r="BZ364" s="70"/>
      <c r="CA364" s="70"/>
      <c r="CB364" s="70"/>
      <c r="CC364" s="70"/>
      <c r="CD364" s="70"/>
      <c r="CE364" s="70"/>
      <c r="CF364" s="70"/>
      <c r="CG364" s="70"/>
      <c r="CH364" s="70"/>
      <c r="CI364" s="70"/>
      <c r="CJ364" s="70"/>
      <c r="CK364" s="70"/>
      <c r="CL364" s="70"/>
      <c r="CM364" s="70"/>
      <c r="CN364" s="70"/>
      <c r="CO364" s="70"/>
      <c r="CP364" s="70"/>
      <c r="CQ364" s="70"/>
      <c r="CR364" s="70"/>
      <c r="CS364" s="70"/>
      <c r="CT364" s="70"/>
      <c r="CU364" s="70"/>
      <c r="CV364" s="70"/>
      <c r="CW364" s="70"/>
      <c r="CX364" s="70"/>
      <c r="CY364" s="70"/>
      <c r="CZ364" s="70"/>
      <c r="DA364" s="70"/>
      <c r="DB364" s="70"/>
      <c r="DC364" s="70"/>
      <c r="DD364" s="70"/>
      <c r="DE364" s="70"/>
      <c r="DF364" s="70"/>
      <c r="DG364" s="70"/>
      <c r="DH364" s="70"/>
      <c r="DI364" s="70"/>
      <c r="DJ364" s="70"/>
      <c r="DK364" s="70"/>
      <c r="DL364" s="70"/>
      <c r="DM364" s="70"/>
      <c r="DN364" s="70"/>
      <c r="DO364" s="70"/>
      <c r="DP364" s="70"/>
      <c r="DQ364" s="70"/>
      <c r="DR364" s="70"/>
      <c r="DS364" s="70"/>
      <c r="DT364" s="70"/>
      <c r="DU364" s="70"/>
      <c r="DV364" s="70"/>
      <c r="DW364" s="70"/>
      <c r="DX364" s="70"/>
      <c r="DY364" s="70"/>
      <c r="DZ364" s="70"/>
      <c r="EA364" s="70"/>
      <c r="EB364" s="70"/>
      <c r="EC364" s="70"/>
      <c r="ED364" s="70"/>
      <c r="EE364" s="95" t="s">
        <v>450</v>
      </c>
      <c r="EF364" s="651"/>
      <c r="EG364" s="651"/>
      <c r="EH364" s="651"/>
      <c r="EI364" s="216"/>
      <c r="EJ364" s="662"/>
      <c r="EK364" s="662"/>
      <c r="EL364" s="662"/>
      <c r="EM364" s="662"/>
      <c r="EN364" s="662"/>
      <c r="EO364" s="662"/>
      <c r="EP364" s="662"/>
      <c r="EQ364" s="662"/>
      <c r="ER364" s="662"/>
      <c r="ES364" s="662"/>
      <c r="ET364" s="662"/>
      <c r="EU364" s="662"/>
      <c r="EV364" s="662"/>
      <c r="EW364" s="662"/>
      <c r="EX364" s="662"/>
      <c r="EY364" s="662"/>
      <c r="EZ364" s="662"/>
      <c r="FA364" s="662"/>
      <c r="FB364" s="662"/>
      <c r="FC364" s="662"/>
      <c r="FD364" s="662"/>
      <c r="FE364" s="662"/>
      <c r="FF364" s="662"/>
      <c r="FG364" s="662"/>
      <c r="FH364" s="662"/>
      <c r="FI364" s="662"/>
      <c r="FJ364" s="662"/>
      <c r="FK364" s="662"/>
      <c r="FL364" s="662"/>
      <c r="FM364" s="662"/>
      <c r="FN364" s="662"/>
      <c r="FO364" s="662"/>
      <c r="FP364" s="662"/>
      <c r="FQ364" s="662"/>
      <c r="FR364" s="662"/>
      <c r="FS364" s="662"/>
      <c r="FT364" s="662"/>
      <c r="FU364" s="662"/>
      <c r="FV364" s="662"/>
      <c r="FW364" s="662"/>
      <c r="FX364" s="662"/>
      <c r="FY364" s="662"/>
      <c r="FZ364" s="662"/>
      <c r="GA364" s="662"/>
      <c r="GB364" s="662"/>
      <c r="GC364" s="662"/>
      <c r="GD364" s="662"/>
      <c r="GE364" s="662"/>
      <c r="GF364" s="662"/>
      <c r="GG364" s="662"/>
      <c r="GH364" s="662"/>
      <c r="GI364" s="662"/>
      <c r="GJ364" s="662"/>
      <c r="GK364" s="662"/>
      <c r="GL364" s="662"/>
      <c r="GM364" s="662"/>
      <c r="GN364" s="662"/>
      <c r="GO364" s="662"/>
      <c r="GP364" s="662"/>
      <c r="GQ364" s="662"/>
      <c r="GR364" s="662"/>
      <c r="GS364" s="662"/>
      <c r="GT364" s="662"/>
      <c r="GU364" s="662"/>
      <c r="GV364" s="662"/>
      <c r="GW364" s="662"/>
      <c r="GX364" s="662"/>
      <c r="GY364" s="662"/>
      <c r="GZ364" s="662"/>
      <c r="HA364" s="662"/>
      <c r="HB364" s="662"/>
      <c r="HC364" s="662"/>
      <c r="HD364" s="662"/>
      <c r="HE364" s="662"/>
      <c r="HF364" s="662"/>
      <c r="HG364" s="662"/>
      <c r="HH364" s="662"/>
      <c r="HI364" s="662"/>
      <c r="HJ364" s="662"/>
      <c r="HK364" s="662"/>
      <c r="HL364" s="662"/>
      <c r="HM364" s="662"/>
      <c r="HN364" s="662"/>
      <c r="HO364" s="662"/>
      <c r="HP364" s="662"/>
      <c r="HQ364" s="662"/>
      <c r="HR364" s="662"/>
      <c r="HS364" s="662"/>
      <c r="HT364" s="662"/>
      <c r="HU364" s="662"/>
      <c r="HV364" s="662"/>
      <c r="HW364" s="662"/>
      <c r="HX364" s="662"/>
      <c r="HY364" s="662"/>
      <c r="HZ364" s="662"/>
      <c r="IA364" s="662"/>
      <c r="IB364" s="662"/>
      <c r="IC364" s="662"/>
      <c r="ID364" s="662"/>
      <c r="IE364" s="662"/>
      <c r="IF364" s="662"/>
      <c r="IG364" s="662"/>
      <c r="IH364" s="662"/>
      <c r="II364" s="662"/>
      <c r="IJ364" s="662"/>
      <c r="IK364" s="662"/>
      <c r="IL364" s="662"/>
      <c r="IM364" s="662"/>
      <c r="IN364" s="662"/>
      <c r="IO364" s="662"/>
      <c r="IP364" s="662"/>
      <c r="IQ364" s="70"/>
    </row>
    <row r="365" spans="18:251" ht="16.5" hidden="1" customHeight="1">
      <c r="R365" s="95"/>
      <c r="S365" s="95"/>
      <c r="T365" s="95"/>
      <c r="U365" s="70"/>
      <c r="V365" s="214"/>
      <c r="W365" s="70"/>
      <c r="X365" s="70"/>
      <c r="Y365" s="70"/>
      <c r="Z365" s="70"/>
      <c r="AA365" s="70"/>
      <c r="AB365" s="70"/>
      <c r="AC365" s="70"/>
      <c r="AD365" s="70"/>
      <c r="AE365" s="70"/>
      <c r="AF365" s="70"/>
      <c r="AG365" s="70"/>
      <c r="AH365" s="70"/>
      <c r="AI365" s="70"/>
      <c r="AJ365" s="70"/>
      <c r="AK365" s="70"/>
      <c r="AL365" s="70"/>
      <c r="AM365" s="70"/>
      <c r="AN365" s="70"/>
      <c r="AO365" s="70"/>
      <c r="AP365" s="70"/>
      <c r="AQ365" s="70"/>
      <c r="AR365" s="70"/>
      <c r="AS365" s="70"/>
      <c r="AT365" s="70"/>
      <c r="AU365" s="70"/>
      <c r="AV365" s="70"/>
      <c r="AW365" s="70"/>
      <c r="AX365" s="70"/>
      <c r="AY365" s="70"/>
      <c r="AZ365" s="70"/>
      <c r="BA365" s="70"/>
      <c r="BB365" s="70"/>
      <c r="BC365" s="70"/>
      <c r="BD365" s="70"/>
      <c r="BE365" s="70"/>
      <c r="BF365" s="70"/>
      <c r="BG365" s="70"/>
      <c r="BH365" s="70"/>
      <c r="BI365" s="70"/>
      <c r="BJ365" s="70"/>
      <c r="BK365" s="70"/>
      <c r="BL365" s="70"/>
      <c r="BM365" s="70"/>
      <c r="BN365" s="70"/>
      <c r="BO365" s="70"/>
      <c r="BP365" s="70"/>
      <c r="BQ365" s="70"/>
      <c r="BR365" s="70"/>
      <c r="BS365" s="70"/>
      <c r="BT365" s="70"/>
      <c r="BU365" s="70"/>
      <c r="BV365" s="70"/>
      <c r="BW365" s="70"/>
      <c r="BX365" s="70"/>
      <c r="BY365" s="70"/>
      <c r="BZ365" s="70"/>
      <c r="CA365" s="70"/>
      <c r="CB365" s="70"/>
      <c r="CC365" s="70"/>
      <c r="CD365" s="70"/>
      <c r="CE365" s="70"/>
      <c r="CF365" s="70"/>
      <c r="CG365" s="70"/>
      <c r="CH365" s="70"/>
      <c r="CI365" s="70"/>
      <c r="CJ365" s="70"/>
      <c r="CK365" s="70"/>
      <c r="CL365" s="70"/>
      <c r="CM365" s="70"/>
      <c r="CN365" s="70"/>
      <c r="CO365" s="70"/>
      <c r="CP365" s="70"/>
      <c r="CQ365" s="70"/>
      <c r="CR365" s="70"/>
      <c r="CS365" s="70"/>
      <c r="CT365" s="70"/>
      <c r="CU365" s="70"/>
      <c r="CV365" s="70"/>
      <c r="CW365" s="70"/>
      <c r="CX365" s="70"/>
      <c r="CY365" s="70"/>
      <c r="CZ365" s="70"/>
      <c r="DA365" s="70"/>
      <c r="DB365" s="70"/>
      <c r="DC365" s="70"/>
      <c r="DD365" s="70"/>
      <c r="DE365" s="70"/>
      <c r="DF365" s="70"/>
      <c r="DG365" s="70"/>
      <c r="DH365" s="70"/>
      <c r="DI365" s="70"/>
      <c r="DJ365" s="70"/>
      <c r="DK365" s="70"/>
      <c r="DL365" s="70"/>
      <c r="DM365" s="70"/>
      <c r="DN365" s="70"/>
      <c r="DO365" s="70"/>
      <c r="DP365" s="70"/>
      <c r="DQ365" s="70"/>
      <c r="DR365" s="70"/>
      <c r="DS365" s="70"/>
      <c r="DT365" s="70"/>
      <c r="DU365" s="70"/>
      <c r="DV365" s="70"/>
      <c r="DW365" s="70"/>
      <c r="DX365" s="70"/>
      <c r="DY365" s="70"/>
      <c r="DZ365" s="70"/>
      <c r="EA365" s="70"/>
      <c r="EB365" s="70"/>
      <c r="EC365" s="70"/>
      <c r="ED365" s="70"/>
      <c r="EE365" s="95" t="s">
        <v>450</v>
      </c>
      <c r="EF365" s="651"/>
      <c r="EG365" s="651"/>
      <c r="EH365" s="651"/>
      <c r="EI365" s="216"/>
      <c r="EJ365" s="662"/>
      <c r="EK365" s="662"/>
      <c r="EL365" s="662"/>
      <c r="EM365" s="662"/>
      <c r="EN365" s="662"/>
      <c r="EO365" s="662"/>
      <c r="EP365" s="662"/>
      <c r="EQ365" s="662"/>
      <c r="ER365" s="662"/>
      <c r="ES365" s="662"/>
      <c r="ET365" s="662"/>
      <c r="EU365" s="662"/>
      <c r="EV365" s="662"/>
      <c r="EW365" s="662"/>
      <c r="EX365" s="662"/>
      <c r="EY365" s="662"/>
      <c r="EZ365" s="662"/>
      <c r="FA365" s="662"/>
      <c r="FB365" s="662"/>
      <c r="FC365" s="662"/>
      <c r="FD365" s="662"/>
      <c r="FE365" s="662"/>
      <c r="FF365" s="662"/>
      <c r="FG365" s="662"/>
      <c r="FH365" s="662"/>
      <c r="FI365" s="662"/>
      <c r="FJ365" s="662"/>
      <c r="FK365" s="662"/>
      <c r="FL365" s="662"/>
      <c r="FM365" s="662"/>
      <c r="FN365" s="662"/>
      <c r="FO365" s="662"/>
      <c r="FP365" s="662"/>
      <c r="FQ365" s="662"/>
      <c r="FR365" s="662"/>
      <c r="FS365" s="662"/>
      <c r="FT365" s="662"/>
      <c r="FU365" s="662"/>
      <c r="FV365" s="662"/>
      <c r="FW365" s="662"/>
      <c r="FX365" s="662"/>
      <c r="FY365" s="662"/>
      <c r="FZ365" s="662"/>
      <c r="GA365" s="662"/>
      <c r="GB365" s="662"/>
      <c r="GC365" s="662"/>
      <c r="GD365" s="662"/>
      <c r="GE365" s="662"/>
      <c r="GF365" s="662"/>
      <c r="GG365" s="662"/>
      <c r="GH365" s="662"/>
      <c r="GI365" s="662"/>
      <c r="GJ365" s="662"/>
      <c r="GK365" s="662"/>
      <c r="GL365" s="662"/>
      <c r="GM365" s="662"/>
      <c r="GN365" s="662"/>
      <c r="GO365" s="662"/>
      <c r="GP365" s="662"/>
      <c r="GQ365" s="662"/>
      <c r="GR365" s="662"/>
      <c r="GS365" s="662"/>
      <c r="GT365" s="662"/>
      <c r="GU365" s="662"/>
      <c r="GV365" s="662"/>
      <c r="GW365" s="662"/>
      <c r="GX365" s="662"/>
      <c r="GY365" s="662"/>
      <c r="GZ365" s="662"/>
      <c r="HA365" s="662"/>
      <c r="HB365" s="662"/>
      <c r="HC365" s="662"/>
      <c r="HD365" s="662"/>
      <c r="HE365" s="662"/>
      <c r="HF365" s="662"/>
      <c r="HG365" s="662"/>
      <c r="HH365" s="662"/>
      <c r="HI365" s="662"/>
      <c r="HJ365" s="662"/>
      <c r="HK365" s="662"/>
      <c r="HL365" s="662"/>
      <c r="HM365" s="662"/>
      <c r="HN365" s="662"/>
      <c r="HO365" s="662"/>
      <c r="HP365" s="662"/>
      <c r="HQ365" s="662"/>
      <c r="HR365" s="662"/>
      <c r="HS365" s="662"/>
      <c r="HT365" s="662"/>
      <c r="HU365" s="662"/>
      <c r="HV365" s="662"/>
      <c r="HW365" s="662"/>
      <c r="HX365" s="662"/>
      <c r="HY365" s="662"/>
      <c r="HZ365" s="662"/>
      <c r="IA365" s="662"/>
      <c r="IB365" s="662"/>
      <c r="IC365" s="662"/>
      <c r="ID365" s="662"/>
      <c r="IE365" s="662"/>
      <c r="IF365" s="662"/>
      <c r="IG365" s="662"/>
      <c r="IH365" s="662"/>
      <c r="II365" s="662"/>
      <c r="IJ365" s="662"/>
      <c r="IK365" s="662"/>
      <c r="IL365" s="662"/>
      <c r="IM365" s="662"/>
      <c r="IN365" s="662"/>
      <c r="IO365" s="662"/>
      <c r="IP365" s="662"/>
      <c r="IQ365" s="70"/>
    </row>
    <row r="366" spans="18:251" ht="16.5" hidden="1" customHeight="1">
      <c r="R366" s="95"/>
      <c r="S366" s="95"/>
      <c r="T366" s="95"/>
      <c r="U366" s="70"/>
      <c r="V366" s="214"/>
      <c r="W366" s="70"/>
      <c r="X366" s="70"/>
      <c r="Y366" s="70"/>
      <c r="Z366" s="70"/>
      <c r="AA366" s="70"/>
      <c r="AB366" s="70"/>
      <c r="AC366" s="70"/>
      <c r="AD366" s="70"/>
      <c r="AE366" s="70"/>
      <c r="AF366" s="70"/>
      <c r="AG366" s="70"/>
      <c r="AH366" s="70"/>
      <c r="AI366" s="70"/>
      <c r="AJ366" s="70"/>
      <c r="AK366" s="70"/>
      <c r="AL366" s="70"/>
      <c r="AM366" s="70"/>
      <c r="AN366" s="70"/>
      <c r="AO366" s="70"/>
      <c r="AP366" s="70"/>
      <c r="AQ366" s="70"/>
      <c r="AR366" s="70"/>
      <c r="AS366" s="70"/>
      <c r="AT366" s="70"/>
      <c r="AU366" s="70"/>
      <c r="AV366" s="70"/>
      <c r="AW366" s="70"/>
      <c r="AX366" s="70"/>
      <c r="AY366" s="70"/>
      <c r="AZ366" s="70"/>
      <c r="BA366" s="70"/>
      <c r="BB366" s="70"/>
      <c r="BC366" s="70"/>
      <c r="BD366" s="70"/>
      <c r="BE366" s="70"/>
      <c r="BF366" s="70"/>
      <c r="BG366" s="70"/>
      <c r="BH366" s="70"/>
      <c r="BI366" s="70"/>
      <c r="BJ366" s="70"/>
      <c r="BK366" s="70"/>
      <c r="BL366" s="70"/>
      <c r="BM366" s="70"/>
      <c r="BN366" s="70"/>
      <c r="BO366" s="70"/>
      <c r="BP366" s="70"/>
      <c r="BQ366" s="70"/>
      <c r="BR366" s="70"/>
      <c r="BS366" s="70"/>
      <c r="BT366" s="70"/>
      <c r="BU366" s="70"/>
      <c r="BV366" s="70"/>
      <c r="BW366" s="70"/>
      <c r="BX366" s="70"/>
      <c r="BY366" s="70"/>
      <c r="BZ366" s="70"/>
      <c r="CA366" s="70"/>
      <c r="CB366" s="70"/>
      <c r="CC366" s="70"/>
      <c r="CD366" s="70"/>
      <c r="CE366" s="70"/>
      <c r="CF366" s="70"/>
      <c r="CG366" s="70"/>
      <c r="CH366" s="70"/>
      <c r="CI366" s="70"/>
      <c r="CJ366" s="70"/>
      <c r="CK366" s="70"/>
      <c r="CL366" s="70"/>
      <c r="CM366" s="70"/>
      <c r="CN366" s="70"/>
      <c r="CO366" s="70"/>
      <c r="CP366" s="70"/>
      <c r="CQ366" s="70"/>
      <c r="CR366" s="70"/>
      <c r="CS366" s="70"/>
      <c r="CT366" s="70"/>
      <c r="CU366" s="70"/>
      <c r="CV366" s="70"/>
      <c r="CW366" s="70"/>
      <c r="CX366" s="70"/>
      <c r="CY366" s="70"/>
      <c r="CZ366" s="70"/>
      <c r="DA366" s="70"/>
      <c r="DB366" s="70"/>
      <c r="DC366" s="70"/>
      <c r="DD366" s="70"/>
      <c r="DE366" s="70"/>
      <c r="DF366" s="70"/>
      <c r="DG366" s="70"/>
      <c r="DH366" s="70"/>
      <c r="DI366" s="70"/>
      <c r="DJ366" s="70"/>
      <c r="DK366" s="70"/>
      <c r="DL366" s="70"/>
      <c r="DM366" s="70"/>
      <c r="DN366" s="70"/>
      <c r="DO366" s="70"/>
      <c r="DP366" s="70"/>
      <c r="DQ366" s="70"/>
      <c r="DR366" s="70"/>
      <c r="DS366" s="70"/>
      <c r="DT366" s="70"/>
      <c r="DU366" s="70"/>
      <c r="DV366" s="70"/>
      <c r="DW366" s="70"/>
      <c r="DX366" s="70"/>
      <c r="DY366" s="70"/>
      <c r="DZ366" s="70"/>
      <c r="EA366" s="70"/>
      <c r="EB366" s="70"/>
      <c r="EC366" s="70"/>
      <c r="ED366" s="70"/>
      <c r="EE366" s="95" t="s">
        <v>450</v>
      </c>
      <c r="EF366" s="651"/>
      <c r="EG366" s="651"/>
      <c r="EH366" s="651"/>
      <c r="EI366" s="216"/>
      <c r="EJ366" s="662"/>
      <c r="EK366" s="662"/>
      <c r="EL366" s="662"/>
      <c r="EM366" s="662"/>
      <c r="EN366" s="662"/>
      <c r="EO366" s="662"/>
      <c r="EP366" s="662"/>
      <c r="EQ366" s="662"/>
      <c r="ER366" s="662"/>
      <c r="ES366" s="662"/>
      <c r="ET366" s="662"/>
      <c r="EU366" s="662"/>
      <c r="EV366" s="662"/>
      <c r="EW366" s="662"/>
      <c r="EX366" s="662"/>
      <c r="EY366" s="662"/>
      <c r="EZ366" s="662"/>
      <c r="FA366" s="662"/>
      <c r="FB366" s="662"/>
      <c r="FC366" s="662"/>
      <c r="FD366" s="662"/>
      <c r="FE366" s="662"/>
      <c r="FF366" s="662"/>
      <c r="FG366" s="662"/>
      <c r="FH366" s="662"/>
      <c r="FI366" s="662"/>
      <c r="FJ366" s="662"/>
      <c r="FK366" s="662"/>
      <c r="FL366" s="662"/>
      <c r="FM366" s="662"/>
      <c r="FN366" s="662"/>
      <c r="FO366" s="662"/>
      <c r="FP366" s="662"/>
      <c r="FQ366" s="662"/>
      <c r="FR366" s="662"/>
      <c r="FS366" s="662"/>
      <c r="FT366" s="662"/>
      <c r="FU366" s="662"/>
      <c r="FV366" s="662"/>
      <c r="FW366" s="662"/>
      <c r="FX366" s="662"/>
      <c r="FY366" s="662"/>
      <c r="FZ366" s="662"/>
      <c r="GA366" s="662"/>
      <c r="GB366" s="662"/>
      <c r="GC366" s="662"/>
      <c r="GD366" s="662"/>
      <c r="GE366" s="662"/>
      <c r="GF366" s="662"/>
      <c r="GG366" s="662"/>
      <c r="GH366" s="662"/>
      <c r="GI366" s="662"/>
      <c r="GJ366" s="662"/>
      <c r="GK366" s="662"/>
      <c r="GL366" s="662"/>
      <c r="GM366" s="662"/>
      <c r="GN366" s="662"/>
      <c r="GO366" s="662"/>
      <c r="GP366" s="662"/>
      <c r="GQ366" s="662"/>
      <c r="GR366" s="662"/>
      <c r="GS366" s="662"/>
      <c r="GT366" s="662"/>
      <c r="GU366" s="662"/>
      <c r="GV366" s="662"/>
      <c r="GW366" s="662"/>
      <c r="GX366" s="662"/>
      <c r="GY366" s="662"/>
      <c r="GZ366" s="662"/>
      <c r="HA366" s="662"/>
      <c r="HB366" s="662"/>
      <c r="HC366" s="662"/>
      <c r="HD366" s="662"/>
      <c r="HE366" s="662"/>
      <c r="HF366" s="662"/>
      <c r="HG366" s="662"/>
      <c r="HH366" s="662"/>
      <c r="HI366" s="662"/>
      <c r="HJ366" s="662"/>
      <c r="HK366" s="662"/>
      <c r="HL366" s="662"/>
      <c r="HM366" s="662"/>
      <c r="HN366" s="662"/>
      <c r="HO366" s="662"/>
      <c r="HP366" s="662"/>
      <c r="HQ366" s="662"/>
      <c r="HR366" s="662"/>
      <c r="HS366" s="662"/>
      <c r="HT366" s="662"/>
      <c r="HU366" s="662"/>
      <c r="HV366" s="662"/>
      <c r="HW366" s="662"/>
      <c r="HX366" s="662"/>
      <c r="HY366" s="662"/>
      <c r="HZ366" s="662"/>
      <c r="IA366" s="662"/>
      <c r="IB366" s="662"/>
      <c r="IC366" s="662"/>
      <c r="ID366" s="662"/>
      <c r="IE366" s="662"/>
      <c r="IF366" s="662"/>
      <c r="IG366" s="662"/>
      <c r="IH366" s="662"/>
      <c r="II366" s="662"/>
      <c r="IJ366" s="662"/>
      <c r="IK366" s="662"/>
      <c r="IL366" s="662"/>
      <c r="IM366" s="662"/>
      <c r="IN366" s="662"/>
      <c r="IO366" s="662"/>
      <c r="IP366" s="662"/>
      <c r="IQ366" s="70"/>
    </row>
    <row r="367" spans="18:251" ht="16.5" hidden="1" customHeight="1">
      <c r="R367" s="95"/>
      <c r="S367" s="95"/>
      <c r="T367" s="95"/>
      <c r="U367" s="70"/>
      <c r="V367" s="214"/>
      <c r="W367" s="70"/>
      <c r="X367" s="70"/>
      <c r="Y367" s="70"/>
      <c r="Z367" s="70"/>
      <c r="AA367" s="70"/>
      <c r="AB367" s="70"/>
      <c r="AC367" s="70"/>
      <c r="AD367" s="70"/>
      <c r="AE367" s="70"/>
      <c r="AF367" s="70"/>
      <c r="AG367" s="70"/>
      <c r="AH367" s="70"/>
      <c r="AI367" s="70"/>
      <c r="AJ367" s="70"/>
      <c r="AK367" s="70"/>
      <c r="AL367" s="70"/>
      <c r="AM367" s="70"/>
      <c r="AN367" s="70"/>
      <c r="AO367" s="70"/>
      <c r="AP367" s="70"/>
      <c r="AQ367" s="70"/>
      <c r="AR367" s="70"/>
      <c r="AS367" s="70"/>
      <c r="AT367" s="70"/>
      <c r="AU367" s="70"/>
      <c r="AV367" s="70"/>
      <c r="AW367" s="70"/>
      <c r="AX367" s="70"/>
      <c r="AY367" s="70"/>
      <c r="AZ367" s="70"/>
      <c r="BA367" s="70"/>
      <c r="BB367" s="70"/>
      <c r="BC367" s="70"/>
      <c r="BD367" s="70"/>
      <c r="BE367" s="70"/>
      <c r="BF367" s="70"/>
      <c r="BG367" s="70"/>
      <c r="BH367" s="70"/>
      <c r="BI367" s="70"/>
      <c r="BJ367" s="70"/>
      <c r="BK367" s="70"/>
      <c r="BL367" s="70"/>
      <c r="BM367" s="70"/>
      <c r="BN367" s="70"/>
      <c r="BO367" s="70"/>
      <c r="BP367" s="70"/>
      <c r="BQ367" s="70"/>
      <c r="BR367" s="70"/>
      <c r="BS367" s="70"/>
      <c r="BT367" s="70"/>
      <c r="BU367" s="70"/>
      <c r="BV367" s="70"/>
      <c r="BW367" s="70"/>
      <c r="BX367" s="70"/>
      <c r="BY367" s="70"/>
      <c r="BZ367" s="70"/>
      <c r="CA367" s="70"/>
      <c r="CB367" s="70"/>
      <c r="CC367" s="70"/>
      <c r="CD367" s="70"/>
      <c r="CE367" s="70"/>
      <c r="CF367" s="70"/>
      <c r="CG367" s="70"/>
      <c r="CH367" s="70"/>
      <c r="CI367" s="70"/>
      <c r="CJ367" s="70"/>
      <c r="CK367" s="70"/>
      <c r="CL367" s="70"/>
      <c r="CM367" s="70"/>
      <c r="CN367" s="70"/>
      <c r="CO367" s="70"/>
      <c r="CP367" s="70"/>
      <c r="CQ367" s="70"/>
      <c r="CR367" s="70"/>
      <c r="CS367" s="70"/>
      <c r="CT367" s="70"/>
      <c r="CU367" s="70"/>
      <c r="CV367" s="70"/>
      <c r="CW367" s="70"/>
      <c r="CX367" s="70"/>
      <c r="CY367" s="70"/>
      <c r="CZ367" s="70"/>
      <c r="DA367" s="70"/>
      <c r="DB367" s="70"/>
      <c r="DC367" s="70"/>
      <c r="DD367" s="70"/>
      <c r="DE367" s="70"/>
      <c r="DF367" s="70"/>
      <c r="DG367" s="70"/>
      <c r="DH367" s="70"/>
      <c r="DI367" s="70"/>
      <c r="DJ367" s="70"/>
      <c r="DK367" s="70"/>
      <c r="DL367" s="70"/>
      <c r="DM367" s="70"/>
      <c r="DN367" s="70"/>
      <c r="DO367" s="70"/>
      <c r="DP367" s="70"/>
      <c r="DQ367" s="70"/>
      <c r="DR367" s="70"/>
      <c r="DS367" s="70"/>
      <c r="DT367" s="70"/>
      <c r="DU367" s="70"/>
      <c r="DV367" s="70"/>
      <c r="DW367" s="70"/>
      <c r="DX367" s="70"/>
      <c r="DY367" s="70"/>
      <c r="DZ367" s="70"/>
      <c r="EA367" s="70"/>
      <c r="EB367" s="70"/>
      <c r="EC367" s="70"/>
      <c r="ED367" s="70"/>
      <c r="EE367" s="95" t="s">
        <v>450</v>
      </c>
      <c r="EF367" s="651"/>
      <c r="EG367" s="651"/>
      <c r="EH367" s="651"/>
      <c r="EI367" s="216"/>
      <c r="EJ367" s="662"/>
      <c r="EK367" s="662"/>
      <c r="EL367" s="662"/>
      <c r="EM367" s="662"/>
      <c r="EN367" s="662"/>
      <c r="EO367" s="662"/>
      <c r="EP367" s="662"/>
      <c r="EQ367" s="662"/>
      <c r="ER367" s="662"/>
      <c r="ES367" s="662"/>
      <c r="ET367" s="662"/>
      <c r="EU367" s="662"/>
      <c r="EV367" s="662"/>
      <c r="EW367" s="662"/>
      <c r="EX367" s="662"/>
      <c r="EY367" s="662"/>
      <c r="EZ367" s="662"/>
      <c r="FA367" s="662"/>
      <c r="FB367" s="662"/>
      <c r="FC367" s="662"/>
      <c r="FD367" s="662"/>
      <c r="FE367" s="662"/>
      <c r="FF367" s="662"/>
      <c r="FG367" s="662"/>
      <c r="FH367" s="662"/>
      <c r="FI367" s="662"/>
      <c r="FJ367" s="662"/>
      <c r="FK367" s="662"/>
      <c r="FL367" s="662"/>
      <c r="FM367" s="662"/>
      <c r="FN367" s="662"/>
      <c r="FO367" s="662"/>
      <c r="FP367" s="662"/>
      <c r="FQ367" s="662"/>
      <c r="FR367" s="662"/>
      <c r="FS367" s="662"/>
      <c r="FT367" s="662"/>
      <c r="FU367" s="662"/>
      <c r="FV367" s="662"/>
      <c r="FW367" s="662"/>
      <c r="FX367" s="662"/>
      <c r="FY367" s="662"/>
      <c r="FZ367" s="662"/>
      <c r="GA367" s="662"/>
      <c r="GB367" s="662"/>
      <c r="GC367" s="662"/>
      <c r="GD367" s="662"/>
      <c r="GE367" s="662"/>
      <c r="GF367" s="662"/>
      <c r="GG367" s="662"/>
      <c r="GH367" s="662"/>
      <c r="GI367" s="662"/>
      <c r="GJ367" s="662"/>
      <c r="GK367" s="662"/>
      <c r="GL367" s="662"/>
      <c r="GM367" s="662"/>
      <c r="GN367" s="662"/>
      <c r="GO367" s="662"/>
      <c r="GP367" s="662"/>
      <c r="GQ367" s="662"/>
      <c r="GR367" s="662"/>
      <c r="GS367" s="662"/>
      <c r="GT367" s="662"/>
      <c r="GU367" s="662"/>
      <c r="GV367" s="662"/>
      <c r="GW367" s="662"/>
      <c r="GX367" s="662"/>
      <c r="GY367" s="662"/>
      <c r="GZ367" s="662"/>
      <c r="HA367" s="662"/>
      <c r="HB367" s="662"/>
      <c r="HC367" s="662"/>
      <c r="HD367" s="662"/>
      <c r="HE367" s="662"/>
      <c r="HF367" s="662"/>
      <c r="HG367" s="662"/>
      <c r="HH367" s="662"/>
      <c r="HI367" s="662"/>
      <c r="HJ367" s="662"/>
      <c r="HK367" s="662"/>
      <c r="HL367" s="662"/>
      <c r="HM367" s="662"/>
      <c r="HN367" s="662"/>
      <c r="HO367" s="662"/>
      <c r="HP367" s="662"/>
      <c r="HQ367" s="662"/>
      <c r="HR367" s="662"/>
      <c r="HS367" s="662"/>
      <c r="HT367" s="662"/>
      <c r="HU367" s="662"/>
      <c r="HV367" s="662"/>
      <c r="HW367" s="662"/>
      <c r="HX367" s="662"/>
      <c r="HY367" s="662"/>
      <c r="HZ367" s="662"/>
      <c r="IA367" s="662"/>
      <c r="IB367" s="662"/>
      <c r="IC367" s="662"/>
      <c r="ID367" s="662"/>
      <c r="IE367" s="662"/>
      <c r="IF367" s="662"/>
      <c r="IG367" s="662"/>
      <c r="IH367" s="662"/>
      <c r="II367" s="662"/>
      <c r="IJ367" s="662"/>
      <c r="IK367" s="662"/>
      <c r="IL367" s="662"/>
      <c r="IM367" s="662"/>
      <c r="IN367" s="662"/>
      <c r="IO367" s="662"/>
      <c r="IP367" s="662"/>
      <c r="IQ367" s="70"/>
    </row>
    <row r="368" spans="18:251" ht="16.5" hidden="1" customHeight="1">
      <c r="R368" s="95"/>
      <c r="S368" s="95"/>
      <c r="T368" s="95"/>
      <c r="U368" s="70"/>
      <c r="V368" s="214"/>
      <c r="W368" s="70"/>
      <c r="X368" s="70"/>
      <c r="Y368" s="70"/>
      <c r="Z368" s="70"/>
      <c r="AA368" s="70"/>
      <c r="AB368" s="70"/>
      <c r="AC368" s="70"/>
      <c r="AD368" s="70"/>
      <c r="AE368" s="70"/>
      <c r="AF368" s="70"/>
      <c r="AG368" s="70"/>
      <c r="AH368" s="70"/>
      <c r="AI368" s="70"/>
      <c r="AJ368" s="70"/>
      <c r="AK368" s="70"/>
      <c r="AL368" s="70"/>
      <c r="AM368" s="70"/>
      <c r="AN368" s="70"/>
      <c r="AO368" s="70"/>
      <c r="AP368" s="70"/>
      <c r="AQ368" s="70"/>
      <c r="AR368" s="70"/>
      <c r="AS368" s="70"/>
      <c r="AT368" s="70"/>
      <c r="AU368" s="70"/>
      <c r="AV368" s="70"/>
      <c r="AW368" s="70"/>
      <c r="AX368" s="70"/>
      <c r="AY368" s="70"/>
      <c r="AZ368" s="70"/>
      <c r="BA368" s="70"/>
      <c r="BB368" s="70"/>
      <c r="BC368" s="70"/>
      <c r="BD368" s="70"/>
      <c r="BE368" s="70"/>
      <c r="BF368" s="70"/>
      <c r="BG368" s="70"/>
      <c r="BH368" s="70"/>
      <c r="BI368" s="70"/>
      <c r="BJ368" s="70"/>
      <c r="BK368" s="70"/>
      <c r="BL368" s="70"/>
      <c r="BM368" s="70"/>
      <c r="BN368" s="70"/>
      <c r="BO368" s="70"/>
      <c r="BP368" s="70"/>
      <c r="BQ368" s="70"/>
      <c r="BR368" s="70"/>
      <c r="BS368" s="70"/>
      <c r="BT368" s="70"/>
      <c r="BU368" s="70"/>
      <c r="BV368" s="70"/>
      <c r="BW368" s="70"/>
      <c r="BX368" s="70"/>
      <c r="BY368" s="70"/>
      <c r="BZ368" s="70"/>
      <c r="CA368" s="70"/>
      <c r="CB368" s="70"/>
      <c r="CC368" s="70"/>
      <c r="CD368" s="70"/>
      <c r="CE368" s="70"/>
      <c r="CF368" s="70"/>
      <c r="CG368" s="70"/>
      <c r="CH368" s="70"/>
      <c r="CI368" s="70"/>
      <c r="CJ368" s="70"/>
      <c r="CK368" s="70"/>
      <c r="CL368" s="70"/>
      <c r="CM368" s="70"/>
      <c r="CN368" s="70"/>
      <c r="CO368" s="70"/>
      <c r="CP368" s="70"/>
      <c r="CQ368" s="70"/>
      <c r="CR368" s="70"/>
      <c r="CS368" s="70"/>
      <c r="CT368" s="70"/>
      <c r="CU368" s="70"/>
      <c r="CV368" s="70"/>
      <c r="CW368" s="70"/>
      <c r="CX368" s="70"/>
      <c r="CY368" s="70"/>
      <c r="CZ368" s="70"/>
      <c r="DA368" s="70"/>
      <c r="DB368" s="70"/>
      <c r="DC368" s="70"/>
      <c r="DD368" s="70"/>
      <c r="DE368" s="70"/>
      <c r="DF368" s="70"/>
      <c r="DG368" s="70"/>
      <c r="DH368" s="70"/>
      <c r="DI368" s="70"/>
      <c r="DJ368" s="70"/>
      <c r="DK368" s="70"/>
      <c r="DL368" s="70"/>
      <c r="DM368" s="70"/>
      <c r="DN368" s="70"/>
      <c r="DO368" s="70"/>
      <c r="DP368" s="70"/>
      <c r="DQ368" s="70"/>
      <c r="DR368" s="70"/>
      <c r="DS368" s="70"/>
      <c r="DT368" s="70"/>
      <c r="DU368" s="70"/>
      <c r="DV368" s="70"/>
      <c r="DW368" s="70"/>
      <c r="DX368" s="70"/>
      <c r="DY368" s="70"/>
      <c r="DZ368" s="70"/>
      <c r="EA368" s="70"/>
      <c r="EB368" s="70"/>
      <c r="EC368" s="70"/>
      <c r="ED368" s="70"/>
      <c r="EE368" s="95" t="s">
        <v>450</v>
      </c>
      <c r="EF368" s="651"/>
      <c r="EG368" s="651"/>
      <c r="EH368" s="651"/>
      <c r="EI368" s="216"/>
      <c r="EJ368" s="662"/>
      <c r="EK368" s="662"/>
      <c r="EL368" s="662"/>
      <c r="EM368" s="662"/>
      <c r="EN368" s="662"/>
      <c r="EO368" s="662"/>
      <c r="EP368" s="662"/>
      <c r="EQ368" s="662"/>
      <c r="ER368" s="662"/>
      <c r="ES368" s="662"/>
      <c r="ET368" s="662"/>
      <c r="EU368" s="662"/>
      <c r="EV368" s="662"/>
      <c r="EW368" s="662"/>
      <c r="EX368" s="662"/>
      <c r="EY368" s="662"/>
      <c r="EZ368" s="662"/>
      <c r="FA368" s="662"/>
      <c r="FB368" s="662"/>
      <c r="FC368" s="662"/>
      <c r="FD368" s="662"/>
      <c r="FE368" s="662"/>
      <c r="FF368" s="662"/>
      <c r="FG368" s="662"/>
      <c r="FH368" s="662"/>
      <c r="FI368" s="662"/>
      <c r="FJ368" s="662"/>
      <c r="FK368" s="662"/>
      <c r="FL368" s="662"/>
      <c r="FM368" s="662"/>
      <c r="FN368" s="662"/>
      <c r="FO368" s="662"/>
      <c r="FP368" s="662"/>
      <c r="FQ368" s="662"/>
      <c r="FR368" s="662"/>
      <c r="FS368" s="662"/>
      <c r="FT368" s="662"/>
      <c r="FU368" s="662"/>
      <c r="FV368" s="662"/>
      <c r="FW368" s="662"/>
      <c r="FX368" s="662"/>
      <c r="FY368" s="662"/>
      <c r="FZ368" s="662"/>
      <c r="GA368" s="662"/>
      <c r="GB368" s="662"/>
      <c r="GC368" s="662"/>
      <c r="GD368" s="662"/>
      <c r="GE368" s="662"/>
      <c r="GF368" s="662"/>
      <c r="GG368" s="662"/>
      <c r="GH368" s="662"/>
      <c r="GI368" s="662"/>
      <c r="GJ368" s="662"/>
      <c r="GK368" s="662"/>
      <c r="GL368" s="662"/>
      <c r="GM368" s="662"/>
      <c r="GN368" s="662"/>
      <c r="GO368" s="662"/>
      <c r="GP368" s="662"/>
      <c r="GQ368" s="662"/>
      <c r="GR368" s="662"/>
      <c r="GS368" s="662"/>
      <c r="GT368" s="662"/>
      <c r="GU368" s="662"/>
      <c r="GV368" s="662"/>
      <c r="GW368" s="662"/>
      <c r="GX368" s="662"/>
      <c r="GY368" s="662"/>
      <c r="GZ368" s="662"/>
      <c r="HA368" s="662"/>
      <c r="HB368" s="662"/>
      <c r="HC368" s="662"/>
      <c r="HD368" s="662"/>
      <c r="HE368" s="662"/>
      <c r="HF368" s="662"/>
      <c r="HG368" s="662"/>
      <c r="HH368" s="662"/>
      <c r="HI368" s="662"/>
      <c r="HJ368" s="662"/>
      <c r="HK368" s="662"/>
      <c r="HL368" s="662"/>
      <c r="HM368" s="662"/>
      <c r="HN368" s="662"/>
      <c r="HO368" s="662"/>
      <c r="HP368" s="662"/>
      <c r="HQ368" s="662"/>
      <c r="HR368" s="662"/>
      <c r="HS368" s="662"/>
      <c r="HT368" s="662"/>
      <c r="HU368" s="662"/>
      <c r="HV368" s="662"/>
      <c r="HW368" s="662"/>
      <c r="HX368" s="662"/>
      <c r="HY368" s="662"/>
      <c r="HZ368" s="662"/>
      <c r="IA368" s="662"/>
      <c r="IB368" s="662"/>
      <c r="IC368" s="662"/>
      <c r="ID368" s="662"/>
      <c r="IE368" s="662"/>
      <c r="IF368" s="662"/>
      <c r="IG368" s="662"/>
      <c r="IH368" s="662"/>
      <c r="II368" s="662"/>
      <c r="IJ368" s="662"/>
      <c r="IK368" s="662"/>
      <c r="IL368" s="662"/>
      <c r="IM368" s="662"/>
      <c r="IN368" s="662"/>
      <c r="IO368" s="662"/>
      <c r="IP368" s="662"/>
      <c r="IQ368" s="70"/>
    </row>
    <row r="369" spans="18:251" ht="16.5" hidden="1" customHeight="1">
      <c r="R369" s="95"/>
      <c r="S369" s="95"/>
      <c r="T369" s="95"/>
      <c r="U369" s="70"/>
      <c r="V369" s="214"/>
      <c r="W369" s="70"/>
      <c r="X369" s="70"/>
      <c r="Y369" s="70"/>
      <c r="Z369" s="70"/>
      <c r="AA369" s="70"/>
      <c r="AB369" s="70"/>
      <c r="AC369" s="70"/>
      <c r="AD369" s="70"/>
      <c r="AE369" s="70"/>
      <c r="AF369" s="70"/>
      <c r="AG369" s="70"/>
      <c r="AH369" s="70"/>
      <c r="AI369" s="70"/>
      <c r="AJ369" s="70"/>
      <c r="AK369" s="70"/>
      <c r="AL369" s="70"/>
      <c r="AM369" s="70"/>
      <c r="AN369" s="70"/>
      <c r="AO369" s="70"/>
      <c r="AP369" s="70"/>
      <c r="AQ369" s="70"/>
      <c r="AR369" s="70"/>
      <c r="AS369" s="70"/>
      <c r="AT369" s="70"/>
      <c r="AU369" s="70"/>
      <c r="AV369" s="70"/>
      <c r="AW369" s="70"/>
      <c r="AX369" s="70"/>
      <c r="AY369" s="70"/>
      <c r="AZ369" s="70"/>
      <c r="BA369" s="70"/>
      <c r="BB369" s="70"/>
      <c r="BC369" s="70"/>
      <c r="BD369" s="70"/>
      <c r="BE369" s="70"/>
      <c r="BF369" s="70"/>
      <c r="BG369" s="70"/>
      <c r="BH369" s="70"/>
      <c r="BI369" s="70"/>
      <c r="BJ369" s="70"/>
      <c r="BK369" s="70"/>
      <c r="BL369" s="70"/>
      <c r="BM369" s="70"/>
      <c r="BN369" s="70"/>
      <c r="BO369" s="70"/>
      <c r="BP369" s="70"/>
      <c r="BQ369" s="70"/>
      <c r="BR369" s="70"/>
      <c r="BS369" s="70"/>
      <c r="BT369" s="70"/>
      <c r="BU369" s="70"/>
      <c r="BV369" s="70"/>
      <c r="BW369" s="70"/>
      <c r="BX369" s="70"/>
      <c r="BY369" s="70"/>
      <c r="BZ369" s="70"/>
      <c r="CA369" s="70"/>
      <c r="CB369" s="70"/>
      <c r="CC369" s="70"/>
      <c r="CD369" s="70"/>
      <c r="CE369" s="70"/>
      <c r="CF369" s="70"/>
      <c r="CG369" s="70"/>
      <c r="CH369" s="70"/>
      <c r="CI369" s="70"/>
      <c r="CJ369" s="70"/>
      <c r="CK369" s="70"/>
      <c r="CL369" s="70"/>
      <c r="CM369" s="70"/>
      <c r="CN369" s="70"/>
      <c r="CO369" s="70"/>
      <c r="CP369" s="70"/>
      <c r="CQ369" s="70"/>
      <c r="CR369" s="70"/>
      <c r="CS369" s="70"/>
      <c r="CT369" s="70"/>
      <c r="CU369" s="70"/>
      <c r="CV369" s="70"/>
      <c r="CW369" s="70"/>
      <c r="CX369" s="70"/>
      <c r="CY369" s="70"/>
      <c r="CZ369" s="70"/>
      <c r="DA369" s="70"/>
      <c r="DB369" s="70"/>
      <c r="DC369" s="70"/>
      <c r="DD369" s="70"/>
      <c r="DE369" s="70"/>
      <c r="DF369" s="70"/>
      <c r="DG369" s="70"/>
      <c r="DH369" s="70"/>
      <c r="DI369" s="70"/>
      <c r="DJ369" s="70"/>
      <c r="DK369" s="70"/>
      <c r="DL369" s="70"/>
      <c r="DM369" s="70"/>
      <c r="DN369" s="70"/>
      <c r="DO369" s="70"/>
      <c r="DP369" s="70"/>
      <c r="DQ369" s="70"/>
      <c r="DR369" s="70"/>
      <c r="DS369" s="70"/>
      <c r="DT369" s="70"/>
      <c r="DU369" s="70"/>
      <c r="DV369" s="70"/>
      <c r="DW369" s="70"/>
      <c r="DX369" s="70"/>
      <c r="DY369" s="70"/>
      <c r="DZ369" s="70"/>
      <c r="EA369" s="70"/>
      <c r="EB369" s="70"/>
      <c r="EC369" s="70"/>
      <c r="ED369" s="70"/>
      <c r="EE369" s="95" t="s">
        <v>450</v>
      </c>
      <c r="EF369" s="651"/>
      <c r="EG369" s="651"/>
      <c r="EH369" s="651"/>
      <c r="EI369" s="216"/>
      <c r="EJ369" s="662"/>
      <c r="EK369" s="662"/>
      <c r="EL369" s="662"/>
      <c r="EM369" s="662"/>
      <c r="EN369" s="662"/>
      <c r="EO369" s="662"/>
      <c r="EP369" s="662"/>
      <c r="EQ369" s="662"/>
      <c r="ER369" s="662"/>
      <c r="ES369" s="662"/>
      <c r="ET369" s="662"/>
      <c r="EU369" s="662"/>
      <c r="EV369" s="662"/>
      <c r="EW369" s="662"/>
      <c r="EX369" s="662"/>
      <c r="EY369" s="662"/>
      <c r="EZ369" s="662"/>
      <c r="FA369" s="662"/>
      <c r="FB369" s="662"/>
      <c r="FC369" s="662"/>
      <c r="FD369" s="662"/>
      <c r="FE369" s="662"/>
      <c r="FF369" s="662"/>
      <c r="FG369" s="662"/>
      <c r="FH369" s="662"/>
      <c r="FI369" s="662"/>
      <c r="FJ369" s="662"/>
      <c r="FK369" s="662"/>
      <c r="FL369" s="662"/>
      <c r="FM369" s="662"/>
      <c r="FN369" s="662"/>
      <c r="FO369" s="662"/>
      <c r="FP369" s="662"/>
      <c r="FQ369" s="662"/>
      <c r="FR369" s="662"/>
      <c r="FS369" s="662"/>
      <c r="FT369" s="662"/>
      <c r="FU369" s="662"/>
      <c r="FV369" s="662"/>
      <c r="FW369" s="662"/>
      <c r="FX369" s="662"/>
      <c r="FY369" s="662"/>
      <c r="FZ369" s="662"/>
      <c r="GA369" s="662"/>
      <c r="GB369" s="662"/>
      <c r="GC369" s="662"/>
      <c r="GD369" s="662"/>
      <c r="GE369" s="662"/>
      <c r="GF369" s="662"/>
      <c r="GG369" s="662"/>
      <c r="GH369" s="662"/>
      <c r="GI369" s="662"/>
      <c r="GJ369" s="662"/>
      <c r="GK369" s="662"/>
      <c r="GL369" s="662"/>
      <c r="GM369" s="662"/>
      <c r="GN369" s="662"/>
      <c r="GO369" s="662"/>
      <c r="GP369" s="662"/>
      <c r="GQ369" s="662"/>
      <c r="GR369" s="662"/>
      <c r="GS369" s="662"/>
      <c r="GT369" s="662"/>
      <c r="GU369" s="662"/>
      <c r="GV369" s="662"/>
      <c r="GW369" s="662"/>
      <c r="GX369" s="662"/>
      <c r="GY369" s="662"/>
      <c r="GZ369" s="662"/>
      <c r="HA369" s="662"/>
      <c r="HB369" s="662"/>
      <c r="HC369" s="662"/>
      <c r="HD369" s="662"/>
      <c r="HE369" s="662"/>
      <c r="HF369" s="662"/>
      <c r="HG369" s="662"/>
      <c r="HH369" s="662"/>
      <c r="HI369" s="662"/>
      <c r="HJ369" s="662"/>
      <c r="HK369" s="662"/>
      <c r="HL369" s="662"/>
      <c r="HM369" s="662"/>
      <c r="HN369" s="662"/>
      <c r="HO369" s="662"/>
      <c r="HP369" s="662"/>
      <c r="HQ369" s="662"/>
      <c r="HR369" s="662"/>
      <c r="HS369" s="662"/>
      <c r="HT369" s="662"/>
      <c r="HU369" s="662"/>
      <c r="HV369" s="662"/>
      <c r="HW369" s="662"/>
      <c r="HX369" s="662"/>
      <c r="HY369" s="662"/>
      <c r="HZ369" s="662"/>
      <c r="IA369" s="662"/>
      <c r="IB369" s="662"/>
      <c r="IC369" s="662"/>
      <c r="ID369" s="662"/>
      <c r="IE369" s="662"/>
      <c r="IF369" s="662"/>
      <c r="IG369" s="662"/>
      <c r="IH369" s="662"/>
      <c r="II369" s="662"/>
      <c r="IJ369" s="662"/>
      <c r="IK369" s="662"/>
      <c r="IL369" s="662"/>
      <c r="IM369" s="662"/>
      <c r="IN369" s="662"/>
      <c r="IO369" s="662"/>
      <c r="IP369" s="662"/>
      <c r="IQ369" s="70"/>
    </row>
    <row r="370" spans="18:251" ht="16.5" hidden="1" customHeight="1">
      <c r="R370" s="95"/>
      <c r="S370" s="95"/>
      <c r="T370" s="95"/>
      <c r="U370" s="70"/>
      <c r="V370" s="214"/>
      <c r="W370" s="70"/>
      <c r="X370" s="70"/>
      <c r="Y370" s="70"/>
      <c r="Z370" s="70"/>
      <c r="AA370" s="70"/>
      <c r="AB370" s="70"/>
      <c r="AC370" s="70"/>
      <c r="AD370" s="70"/>
      <c r="AE370" s="70"/>
      <c r="AF370" s="70"/>
      <c r="AG370" s="70"/>
      <c r="AH370" s="70"/>
      <c r="AI370" s="70"/>
      <c r="AJ370" s="70"/>
      <c r="AK370" s="70"/>
      <c r="AL370" s="70"/>
      <c r="AM370" s="70"/>
      <c r="AN370" s="70"/>
      <c r="AO370" s="70"/>
      <c r="AP370" s="70"/>
      <c r="AQ370" s="70"/>
      <c r="AR370" s="70"/>
      <c r="AS370" s="70"/>
      <c r="AT370" s="70"/>
      <c r="AU370" s="70"/>
      <c r="AV370" s="70"/>
      <c r="AW370" s="70"/>
      <c r="AX370" s="70"/>
      <c r="AY370" s="70"/>
      <c r="AZ370" s="70"/>
      <c r="BA370" s="70"/>
      <c r="BB370" s="70"/>
      <c r="BC370" s="70"/>
      <c r="BD370" s="70"/>
      <c r="BE370" s="70"/>
      <c r="BF370" s="70"/>
      <c r="BG370" s="70"/>
      <c r="BH370" s="70"/>
      <c r="BI370" s="70"/>
      <c r="BJ370" s="70"/>
      <c r="BK370" s="70"/>
      <c r="BL370" s="70"/>
      <c r="BM370" s="70"/>
      <c r="BN370" s="70"/>
      <c r="BO370" s="70"/>
      <c r="BP370" s="70"/>
      <c r="BQ370" s="70"/>
      <c r="BR370" s="70"/>
      <c r="BS370" s="70"/>
      <c r="BT370" s="70"/>
      <c r="BU370" s="70"/>
      <c r="BV370" s="70"/>
      <c r="BW370" s="70"/>
      <c r="BX370" s="70"/>
      <c r="BY370" s="70"/>
      <c r="BZ370" s="70"/>
      <c r="CA370" s="70"/>
      <c r="CB370" s="70"/>
      <c r="CC370" s="70"/>
      <c r="CD370" s="70"/>
      <c r="CE370" s="70"/>
      <c r="CF370" s="70"/>
      <c r="CG370" s="70"/>
      <c r="CH370" s="70"/>
      <c r="CI370" s="70"/>
      <c r="CJ370" s="70"/>
      <c r="CK370" s="70"/>
      <c r="CL370" s="70"/>
      <c r="CM370" s="70"/>
      <c r="CN370" s="70"/>
      <c r="CO370" s="70"/>
      <c r="CP370" s="70"/>
      <c r="CQ370" s="70"/>
      <c r="CR370" s="70"/>
      <c r="CS370" s="70"/>
      <c r="CT370" s="70"/>
      <c r="CU370" s="70"/>
      <c r="CV370" s="70"/>
      <c r="CW370" s="70"/>
      <c r="CX370" s="70"/>
      <c r="CY370" s="70"/>
      <c r="CZ370" s="70"/>
      <c r="DA370" s="70"/>
      <c r="DB370" s="70"/>
      <c r="DC370" s="70"/>
      <c r="DD370" s="70"/>
      <c r="DE370" s="70"/>
      <c r="DF370" s="70"/>
      <c r="DG370" s="70"/>
      <c r="DH370" s="70"/>
      <c r="DI370" s="70"/>
      <c r="DJ370" s="70"/>
      <c r="DK370" s="70"/>
      <c r="DL370" s="70"/>
      <c r="DM370" s="70"/>
      <c r="DN370" s="70"/>
      <c r="DO370" s="70"/>
      <c r="DP370" s="70"/>
      <c r="DQ370" s="70"/>
      <c r="DR370" s="70"/>
      <c r="DS370" s="70"/>
      <c r="DT370" s="70"/>
      <c r="DU370" s="70"/>
      <c r="DV370" s="70"/>
      <c r="DW370" s="70"/>
      <c r="DX370" s="70"/>
      <c r="DY370" s="70"/>
      <c r="DZ370" s="70"/>
      <c r="EA370" s="70"/>
      <c r="EB370" s="70"/>
      <c r="EC370" s="70"/>
      <c r="ED370" s="70"/>
      <c r="EE370" s="95" t="s">
        <v>450</v>
      </c>
      <c r="EF370" s="651"/>
      <c r="EG370" s="651"/>
      <c r="EH370" s="651"/>
      <c r="EI370" s="216"/>
      <c r="EJ370" s="662"/>
      <c r="EK370" s="662"/>
      <c r="EL370" s="662"/>
      <c r="EM370" s="662"/>
      <c r="EN370" s="662"/>
      <c r="EO370" s="662"/>
      <c r="EP370" s="662"/>
      <c r="EQ370" s="662"/>
      <c r="ER370" s="662"/>
      <c r="ES370" s="662"/>
      <c r="ET370" s="662"/>
      <c r="EU370" s="662"/>
      <c r="EV370" s="662"/>
      <c r="EW370" s="662"/>
      <c r="EX370" s="662"/>
      <c r="EY370" s="662"/>
      <c r="EZ370" s="662"/>
      <c r="FA370" s="662"/>
      <c r="FB370" s="662"/>
      <c r="FC370" s="662"/>
      <c r="FD370" s="662"/>
      <c r="FE370" s="662"/>
      <c r="FF370" s="662"/>
      <c r="FG370" s="662"/>
      <c r="FH370" s="662"/>
      <c r="FI370" s="662"/>
      <c r="FJ370" s="662"/>
      <c r="FK370" s="662"/>
      <c r="FL370" s="662"/>
      <c r="FM370" s="662"/>
      <c r="FN370" s="662"/>
      <c r="FO370" s="662"/>
      <c r="FP370" s="662"/>
      <c r="FQ370" s="662"/>
      <c r="FR370" s="662"/>
      <c r="FS370" s="662"/>
      <c r="FT370" s="662"/>
      <c r="FU370" s="662"/>
      <c r="FV370" s="662"/>
      <c r="FW370" s="662"/>
      <c r="FX370" s="662"/>
      <c r="FY370" s="662"/>
      <c r="FZ370" s="662"/>
      <c r="GA370" s="662"/>
      <c r="GB370" s="662"/>
      <c r="GC370" s="662"/>
      <c r="GD370" s="662"/>
      <c r="GE370" s="662"/>
      <c r="GF370" s="662"/>
      <c r="GG370" s="662"/>
      <c r="GH370" s="662"/>
      <c r="GI370" s="662"/>
      <c r="GJ370" s="662"/>
      <c r="GK370" s="662"/>
      <c r="GL370" s="662"/>
      <c r="GM370" s="662"/>
      <c r="GN370" s="662"/>
      <c r="GO370" s="662"/>
      <c r="GP370" s="662"/>
      <c r="GQ370" s="662"/>
      <c r="GR370" s="662"/>
      <c r="GS370" s="662"/>
      <c r="GT370" s="662"/>
      <c r="GU370" s="662"/>
      <c r="GV370" s="662"/>
      <c r="GW370" s="662"/>
      <c r="GX370" s="662"/>
      <c r="GY370" s="662"/>
      <c r="GZ370" s="662"/>
      <c r="HA370" s="662"/>
      <c r="HB370" s="662"/>
      <c r="HC370" s="662"/>
      <c r="HD370" s="662"/>
      <c r="HE370" s="662"/>
      <c r="HF370" s="662"/>
      <c r="HG370" s="662"/>
      <c r="HH370" s="662"/>
      <c r="HI370" s="662"/>
      <c r="HJ370" s="662"/>
      <c r="HK370" s="662"/>
      <c r="HL370" s="662"/>
      <c r="HM370" s="662"/>
      <c r="HN370" s="662"/>
      <c r="HO370" s="662"/>
      <c r="HP370" s="662"/>
      <c r="HQ370" s="662"/>
      <c r="HR370" s="662"/>
      <c r="HS370" s="662"/>
      <c r="HT370" s="662"/>
      <c r="HU370" s="662"/>
      <c r="HV370" s="662"/>
      <c r="HW370" s="662"/>
      <c r="HX370" s="662"/>
      <c r="HY370" s="662"/>
      <c r="HZ370" s="662"/>
      <c r="IA370" s="662"/>
      <c r="IB370" s="662"/>
      <c r="IC370" s="662"/>
      <c r="ID370" s="662"/>
      <c r="IE370" s="662"/>
      <c r="IF370" s="662"/>
      <c r="IG370" s="662"/>
      <c r="IH370" s="662"/>
      <c r="II370" s="662"/>
      <c r="IJ370" s="662"/>
      <c r="IK370" s="662"/>
      <c r="IL370" s="662"/>
      <c r="IM370" s="662"/>
      <c r="IN370" s="662"/>
      <c r="IO370" s="662"/>
      <c r="IP370" s="662"/>
      <c r="IQ370" s="70"/>
    </row>
    <row r="371" spans="18:251" ht="16.5" hidden="1" customHeight="1">
      <c r="R371" s="95"/>
      <c r="S371" s="95"/>
      <c r="T371" s="95"/>
      <c r="U371" s="70"/>
      <c r="V371" s="214"/>
      <c r="W371" s="70"/>
      <c r="X371" s="70"/>
      <c r="Y371" s="70"/>
      <c r="Z371" s="70"/>
      <c r="AA371" s="70"/>
      <c r="AB371" s="70"/>
      <c r="AC371" s="70"/>
      <c r="AD371" s="70"/>
      <c r="AE371" s="70"/>
      <c r="AF371" s="70"/>
      <c r="AG371" s="70"/>
      <c r="AH371" s="70"/>
      <c r="AI371" s="70"/>
      <c r="AJ371" s="70"/>
      <c r="AK371" s="70"/>
      <c r="AL371" s="70"/>
      <c r="AM371" s="70"/>
      <c r="AN371" s="70"/>
      <c r="AO371" s="70"/>
      <c r="AP371" s="70"/>
      <c r="AQ371" s="70"/>
      <c r="AR371" s="70"/>
      <c r="AS371" s="70"/>
      <c r="AT371" s="70"/>
      <c r="AU371" s="70"/>
      <c r="AV371" s="70"/>
      <c r="AW371" s="70"/>
      <c r="AX371" s="70"/>
      <c r="AY371" s="70"/>
      <c r="AZ371" s="70"/>
      <c r="BA371" s="70"/>
      <c r="BB371" s="70"/>
      <c r="BC371" s="70"/>
      <c r="BD371" s="70"/>
      <c r="BE371" s="70"/>
      <c r="BF371" s="70"/>
      <c r="BG371" s="70"/>
      <c r="BH371" s="70"/>
      <c r="BI371" s="70"/>
      <c r="BJ371" s="70"/>
      <c r="BK371" s="70"/>
      <c r="BL371" s="70"/>
      <c r="BM371" s="70"/>
      <c r="BN371" s="70"/>
      <c r="BO371" s="70"/>
      <c r="BP371" s="70"/>
      <c r="BQ371" s="70"/>
      <c r="BR371" s="70"/>
      <c r="BS371" s="70"/>
      <c r="BT371" s="70"/>
      <c r="BU371" s="70"/>
      <c r="BV371" s="70"/>
      <c r="BW371" s="70"/>
      <c r="BX371" s="70"/>
      <c r="BY371" s="70"/>
      <c r="BZ371" s="70"/>
      <c r="CA371" s="70"/>
      <c r="CB371" s="70"/>
      <c r="CC371" s="70"/>
      <c r="CD371" s="70"/>
      <c r="CE371" s="70"/>
      <c r="CF371" s="70"/>
      <c r="CG371" s="70"/>
      <c r="CH371" s="70"/>
      <c r="CI371" s="70"/>
      <c r="CJ371" s="70"/>
      <c r="CK371" s="70"/>
      <c r="CL371" s="70"/>
      <c r="CM371" s="70"/>
      <c r="CN371" s="70"/>
      <c r="CO371" s="70"/>
      <c r="CP371" s="70"/>
      <c r="CQ371" s="70"/>
      <c r="CR371" s="70"/>
      <c r="CS371" s="70"/>
      <c r="CT371" s="70"/>
      <c r="CU371" s="70"/>
      <c r="CV371" s="70"/>
      <c r="CW371" s="70"/>
      <c r="CX371" s="70"/>
      <c r="CY371" s="70"/>
      <c r="CZ371" s="70"/>
      <c r="DA371" s="70"/>
      <c r="DB371" s="70"/>
      <c r="DC371" s="70"/>
      <c r="DD371" s="70"/>
      <c r="DE371" s="70"/>
      <c r="DF371" s="70"/>
      <c r="DG371" s="70"/>
      <c r="DH371" s="70"/>
      <c r="DI371" s="70"/>
      <c r="DJ371" s="70"/>
      <c r="DK371" s="70"/>
      <c r="DL371" s="70"/>
      <c r="DM371" s="70"/>
      <c r="DN371" s="70"/>
      <c r="DO371" s="70"/>
      <c r="DP371" s="70"/>
      <c r="DQ371" s="70"/>
      <c r="DR371" s="70"/>
      <c r="DS371" s="70"/>
      <c r="DT371" s="70"/>
      <c r="DU371" s="70"/>
      <c r="DV371" s="70"/>
      <c r="DW371" s="70"/>
      <c r="DX371" s="70"/>
      <c r="DY371" s="70"/>
      <c r="DZ371" s="70"/>
      <c r="EA371" s="70"/>
      <c r="EB371" s="70"/>
      <c r="EC371" s="70"/>
      <c r="ED371" s="70"/>
      <c r="EE371" s="95" t="s">
        <v>450</v>
      </c>
      <c r="EF371" s="651"/>
      <c r="EG371" s="651"/>
      <c r="EH371" s="651"/>
      <c r="EI371" s="216"/>
      <c r="EJ371" s="662"/>
      <c r="EK371" s="662"/>
      <c r="EL371" s="662"/>
      <c r="EM371" s="662"/>
      <c r="EN371" s="662"/>
      <c r="EO371" s="662"/>
      <c r="EP371" s="662"/>
      <c r="EQ371" s="662"/>
      <c r="ER371" s="662"/>
      <c r="ES371" s="662"/>
      <c r="ET371" s="662"/>
      <c r="EU371" s="662"/>
      <c r="EV371" s="662"/>
      <c r="EW371" s="662"/>
      <c r="EX371" s="662"/>
      <c r="EY371" s="662"/>
      <c r="EZ371" s="662"/>
      <c r="FA371" s="662"/>
      <c r="FB371" s="662"/>
      <c r="FC371" s="662"/>
      <c r="FD371" s="662"/>
      <c r="FE371" s="662"/>
      <c r="FF371" s="662"/>
      <c r="FG371" s="662"/>
      <c r="FH371" s="662"/>
      <c r="FI371" s="662"/>
      <c r="FJ371" s="662"/>
      <c r="FK371" s="662"/>
      <c r="FL371" s="662"/>
      <c r="FM371" s="662"/>
      <c r="FN371" s="662"/>
      <c r="FO371" s="662"/>
      <c r="FP371" s="662"/>
      <c r="FQ371" s="662"/>
      <c r="FR371" s="662"/>
      <c r="FS371" s="662"/>
      <c r="FT371" s="662"/>
      <c r="FU371" s="662"/>
      <c r="FV371" s="662"/>
      <c r="FW371" s="662"/>
      <c r="FX371" s="662"/>
      <c r="FY371" s="662"/>
      <c r="FZ371" s="662"/>
      <c r="GA371" s="662"/>
      <c r="GB371" s="662"/>
      <c r="GC371" s="662"/>
      <c r="GD371" s="662"/>
      <c r="GE371" s="662"/>
      <c r="GF371" s="662"/>
      <c r="GG371" s="662"/>
      <c r="GH371" s="662"/>
      <c r="GI371" s="662"/>
      <c r="GJ371" s="662"/>
      <c r="GK371" s="662"/>
      <c r="GL371" s="662"/>
      <c r="GM371" s="662"/>
      <c r="GN371" s="662"/>
      <c r="GO371" s="662"/>
      <c r="GP371" s="662"/>
      <c r="GQ371" s="662"/>
      <c r="GR371" s="662"/>
      <c r="GS371" s="662"/>
      <c r="GT371" s="662"/>
      <c r="GU371" s="662"/>
      <c r="GV371" s="662"/>
      <c r="GW371" s="662"/>
      <c r="GX371" s="662"/>
      <c r="GY371" s="662"/>
      <c r="GZ371" s="662"/>
      <c r="HA371" s="662"/>
      <c r="HB371" s="662"/>
      <c r="HC371" s="662"/>
      <c r="HD371" s="662"/>
      <c r="HE371" s="662"/>
      <c r="HF371" s="662"/>
      <c r="HG371" s="662"/>
      <c r="HH371" s="662"/>
      <c r="HI371" s="662"/>
      <c r="HJ371" s="662"/>
      <c r="HK371" s="662"/>
      <c r="HL371" s="662"/>
      <c r="HM371" s="662"/>
      <c r="HN371" s="662"/>
      <c r="HO371" s="662"/>
      <c r="HP371" s="662"/>
      <c r="HQ371" s="662"/>
      <c r="HR371" s="662"/>
      <c r="HS371" s="662"/>
      <c r="HT371" s="662"/>
      <c r="HU371" s="662"/>
      <c r="HV371" s="662"/>
      <c r="HW371" s="662"/>
      <c r="HX371" s="662"/>
      <c r="HY371" s="662"/>
      <c r="HZ371" s="662"/>
      <c r="IA371" s="662"/>
      <c r="IB371" s="662"/>
      <c r="IC371" s="662"/>
      <c r="ID371" s="662"/>
      <c r="IE371" s="662"/>
      <c r="IF371" s="662"/>
      <c r="IG371" s="662"/>
      <c r="IH371" s="662"/>
      <c r="II371" s="662"/>
      <c r="IJ371" s="662"/>
      <c r="IK371" s="662"/>
      <c r="IL371" s="662"/>
      <c r="IM371" s="662"/>
      <c r="IN371" s="662"/>
      <c r="IO371" s="662"/>
      <c r="IP371" s="662"/>
      <c r="IQ371" s="70"/>
    </row>
    <row r="372" spans="18:251" ht="16.5" hidden="1" customHeight="1">
      <c r="R372" s="95"/>
      <c r="S372" s="95"/>
      <c r="T372" s="95"/>
      <c r="U372" s="70"/>
      <c r="V372" s="214"/>
      <c r="W372" s="70"/>
      <c r="X372" s="70"/>
      <c r="Y372" s="70"/>
      <c r="Z372" s="70"/>
      <c r="AA372" s="70"/>
      <c r="AB372" s="70"/>
      <c r="AC372" s="70"/>
      <c r="AD372" s="70"/>
      <c r="AE372" s="70"/>
      <c r="AF372" s="70"/>
      <c r="AG372" s="70"/>
      <c r="AH372" s="70"/>
      <c r="AI372" s="70"/>
      <c r="AJ372" s="70"/>
      <c r="AK372" s="70"/>
      <c r="AL372" s="70"/>
      <c r="AM372" s="70"/>
      <c r="AN372" s="70"/>
      <c r="AO372" s="70"/>
      <c r="AP372" s="70"/>
      <c r="AQ372" s="70"/>
      <c r="AR372" s="70"/>
      <c r="AS372" s="70"/>
      <c r="AT372" s="70"/>
      <c r="AU372" s="70"/>
      <c r="AV372" s="70"/>
      <c r="AW372" s="70"/>
      <c r="AX372" s="70"/>
      <c r="AY372" s="70"/>
      <c r="AZ372" s="70"/>
      <c r="BA372" s="70"/>
      <c r="BB372" s="70"/>
      <c r="BC372" s="70"/>
      <c r="BD372" s="70"/>
      <c r="BE372" s="70"/>
      <c r="BF372" s="70"/>
      <c r="BG372" s="70"/>
      <c r="BH372" s="70"/>
      <c r="BI372" s="70"/>
      <c r="BJ372" s="70"/>
      <c r="BK372" s="70"/>
      <c r="BL372" s="70"/>
      <c r="BM372" s="70"/>
      <c r="BN372" s="70"/>
      <c r="BO372" s="70"/>
      <c r="BP372" s="70"/>
      <c r="BQ372" s="70"/>
      <c r="BR372" s="70"/>
      <c r="BS372" s="70"/>
      <c r="BT372" s="70"/>
      <c r="BU372" s="70"/>
      <c r="BV372" s="70"/>
      <c r="BW372" s="70"/>
      <c r="BX372" s="70"/>
      <c r="BY372" s="70"/>
      <c r="BZ372" s="70"/>
      <c r="CA372" s="70"/>
      <c r="CB372" s="70"/>
      <c r="CC372" s="70"/>
      <c r="CD372" s="70"/>
      <c r="CE372" s="70"/>
      <c r="CF372" s="70"/>
      <c r="CG372" s="70"/>
      <c r="CH372" s="70"/>
      <c r="CI372" s="70"/>
      <c r="CJ372" s="70"/>
      <c r="CK372" s="70"/>
      <c r="CL372" s="70"/>
      <c r="CM372" s="70"/>
      <c r="CN372" s="70"/>
      <c r="CO372" s="70"/>
      <c r="CP372" s="70"/>
      <c r="CQ372" s="70"/>
      <c r="CR372" s="70"/>
      <c r="CS372" s="70"/>
      <c r="CT372" s="70"/>
      <c r="CU372" s="70"/>
      <c r="CV372" s="70"/>
      <c r="CW372" s="70"/>
      <c r="CX372" s="70"/>
      <c r="CY372" s="70"/>
      <c r="CZ372" s="70"/>
      <c r="DA372" s="70"/>
      <c r="DB372" s="70"/>
      <c r="DC372" s="70"/>
      <c r="DD372" s="70"/>
      <c r="DE372" s="70"/>
      <c r="DF372" s="70"/>
      <c r="DG372" s="70"/>
      <c r="DH372" s="70"/>
      <c r="DI372" s="70"/>
      <c r="DJ372" s="70"/>
      <c r="DK372" s="70"/>
      <c r="DL372" s="70"/>
      <c r="DM372" s="70"/>
      <c r="DN372" s="70"/>
      <c r="DO372" s="70"/>
      <c r="DP372" s="70"/>
      <c r="DQ372" s="70"/>
      <c r="DR372" s="70"/>
      <c r="DS372" s="70"/>
      <c r="DT372" s="70"/>
      <c r="DU372" s="70"/>
      <c r="DV372" s="70"/>
      <c r="DW372" s="70"/>
      <c r="DX372" s="70"/>
      <c r="DY372" s="70"/>
      <c r="DZ372" s="70"/>
      <c r="EA372" s="70"/>
      <c r="EB372" s="70"/>
      <c r="EC372" s="70"/>
      <c r="ED372" s="70"/>
      <c r="EE372" s="95" t="s">
        <v>450</v>
      </c>
      <c r="EF372" s="651"/>
      <c r="EG372" s="651"/>
      <c r="EH372" s="651"/>
      <c r="EI372" s="216"/>
      <c r="EJ372" s="662"/>
      <c r="EK372" s="662"/>
      <c r="EL372" s="662"/>
      <c r="EM372" s="662"/>
      <c r="EN372" s="662"/>
      <c r="EO372" s="662"/>
      <c r="EP372" s="662"/>
      <c r="EQ372" s="662"/>
      <c r="ER372" s="662"/>
      <c r="ES372" s="662"/>
      <c r="ET372" s="662"/>
      <c r="EU372" s="662"/>
      <c r="EV372" s="662"/>
      <c r="EW372" s="662"/>
      <c r="EX372" s="662"/>
      <c r="EY372" s="662"/>
      <c r="EZ372" s="662"/>
      <c r="FA372" s="662"/>
      <c r="FB372" s="662"/>
      <c r="FC372" s="662"/>
      <c r="FD372" s="662"/>
      <c r="FE372" s="662"/>
      <c r="FF372" s="662"/>
      <c r="FG372" s="662"/>
      <c r="FH372" s="662"/>
      <c r="FI372" s="662"/>
      <c r="FJ372" s="662"/>
      <c r="FK372" s="662"/>
      <c r="FL372" s="662"/>
      <c r="FM372" s="662"/>
      <c r="FN372" s="662"/>
      <c r="FO372" s="662"/>
      <c r="FP372" s="662"/>
      <c r="FQ372" s="662"/>
      <c r="FR372" s="662"/>
      <c r="FS372" s="662"/>
      <c r="FT372" s="662"/>
      <c r="FU372" s="662"/>
      <c r="FV372" s="662"/>
      <c r="FW372" s="662"/>
      <c r="FX372" s="662"/>
      <c r="FY372" s="662"/>
      <c r="FZ372" s="662"/>
      <c r="GA372" s="662"/>
      <c r="GB372" s="662"/>
      <c r="GC372" s="662"/>
      <c r="GD372" s="662"/>
      <c r="GE372" s="662"/>
      <c r="GF372" s="662"/>
      <c r="GG372" s="662"/>
      <c r="GH372" s="662"/>
      <c r="GI372" s="662"/>
      <c r="GJ372" s="662"/>
      <c r="GK372" s="662"/>
      <c r="GL372" s="662"/>
      <c r="GM372" s="662"/>
      <c r="GN372" s="662"/>
      <c r="GO372" s="662"/>
      <c r="GP372" s="662"/>
      <c r="GQ372" s="662"/>
      <c r="GR372" s="662"/>
      <c r="GS372" s="662"/>
      <c r="GT372" s="662"/>
      <c r="GU372" s="662"/>
      <c r="GV372" s="662"/>
      <c r="GW372" s="662"/>
      <c r="GX372" s="662"/>
      <c r="GY372" s="662"/>
      <c r="GZ372" s="662"/>
      <c r="HA372" s="662"/>
      <c r="HB372" s="662"/>
      <c r="HC372" s="662"/>
      <c r="HD372" s="662"/>
      <c r="HE372" s="662"/>
      <c r="HF372" s="662"/>
      <c r="HG372" s="662"/>
      <c r="HH372" s="662"/>
      <c r="HI372" s="662"/>
      <c r="HJ372" s="662"/>
      <c r="HK372" s="662"/>
      <c r="HL372" s="662"/>
      <c r="HM372" s="662"/>
      <c r="HN372" s="662"/>
      <c r="HO372" s="662"/>
      <c r="HP372" s="662"/>
      <c r="HQ372" s="662"/>
      <c r="HR372" s="662"/>
      <c r="HS372" s="662"/>
      <c r="HT372" s="662"/>
      <c r="HU372" s="662"/>
      <c r="HV372" s="662"/>
      <c r="HW372" s="662"/>
      <c r="HX372" s="662"/>
      <c r="HY372" s="662"/>
      <c r="HZ372" s="662"/>
      <c r="IA372" s="662"/>
      <c r="IB372" s="662"/>
      <c r="IC372" s="662"/>
      <c r="ID372" s="662"/>
      <c r="IE372" s="662"/>
      <c r="IF372" s="662"/>
      <c r="IG372" s="662"/>
      <c r="IH372" s="662"/>
      <c r="II372" s="662"/>
      <c r="IJ372" s="662"/>
      <c r="IK372" s="662"/>
      <c r="IL372" s="662"/>
      <c r="IM372" s="662"/>
      <c r="IN372" s="662"/>
      <c r="IO372" s="662"/>
      <c r="IP372" s="662"/>
      <c r="IQ372" s="70"/>
    </row>
    <row r="373" spans="18:251" ht="16.5" hidden="1" customHeight="1">
      <c r="R373" s="95"/>
      <c r="S373" s="95"/>
      <c r="T373" s="95"/>
      <c r="U373" s="70"/>
      <c r="V373" s="214"/>
      <c r="W373" s="70"/>
      <c r="X373" s="70"/>
      <c r="Y373" s="70"/>
      <c r="Z373" s="70"/>
      <c r="AA373" s="70"/>
      <c r="AB373" s="70"/>
      <c r="AC373" s="70"/>
      <c r="AD373" s="70"/>
      <c r="AE373" s="70"/>
      <c r="AF373" s="70"/>
      <c r="AG373" s="70"/>
      <c r="AH373" s="70"/>
      <c r="AI373" s="70"/>
      <c r="AJ373" s="70"/>
      <c r="AK373" s="70"/>
      <c r="AL373" s="70"/>
      <c r="AM373" s="70"/>
      <c r="AN373" s="70"/>
      <c r="AO373" s="70"/>
      <c r="AP373" s="70"/>
      <c r="AQ373" s="70"/>
      <c r="AR373" s="70"/>
      <c r="AS373" s="70"/>
      <c r="AT373" s="70"/>
      <c r="AU373" s="70"/>
      <c r="AV373" s="70"/>
      <c r="AW373" s="70"/>
      <c r="AX373" s="70"/>
      <c r="AY373" s="70"/>
      <c r="AZ373" s="70"/>
      <c r="BA373" s="70"/>
      <c r="BB373" s="70"/>
      <c r="BC373" s="70"/>
      <c r="BD373" s="70"/>
      <c r="BE373" s="70"/>
      <c r="BF373" s="70"/>
      <c r="BG373" s="70"/>
      <c r="BH373" s="70"/>
      <c r="BI373" s="70"/>
      <c r="BJ373" s="70"/>
      <c r="BK373" s="70"/>
      <c r="BL373" s="70"/>
      <c r="BM373" s="70"/>
      <c r="BN373" s="70"/>
      <c r="BO373" s="70"/>
      <c r="BP373" s="70"/>
      <c r="BQ373" s="70"/>
      <c r="BR373" s="70"/>
      <c r="BS373" s="70"/>
      <c r="BT373" s="70"/>
      <c r="BU373" s="70"/>
      <c r="BV373" s="70"/>
      <c r="BW373" s="70"/>
      <c r="BX373" s="70"/>
      <c r="BY373" s="70"/>
      <c r="BZ373" s="70"/>
      <c r="CA373" s="70"/>
      <c r="CB373" s="70"/>
      <c r="CC373" s="70"/>
      <c r="CD373" s="70"/>
      <c r="CE373" s="70"/>
      <c r="CF373" s="70"/>
      <c r="CG373" s="70"/>
      <c r="CH373" s="70"/>
      <c r="CI373" s="70"/>
      <c r="CJ373" s="70"/>
      <c r="CK373" s="70"/>
      <c r="CL373" s="70"/>
      <c r="CM373" s="70"/>
      <c r="CN373" s="70"/>
      <c r="CO373" s="70"/>
      <c r="CP373" s="70"/>
      <c r="CQ373" s="70"/>
      <c r="CR373" s="70"/>
      <c r="CS373" s="70"/>
      <c r="CT373" s="70"/>
      <c r="CU373" s="70"/>
      <c r="CV373" s="70"/>
      <c r="CW373" s="70"/>
      <c r="CX373" s="70"/>
      <c r="CY373" s="70"/>
      <c r="CZ373" s="70"/>
      <c r="DA373" s="70"/>
      <c r="DB373" s="70"/>
      <c r="DC373" s="70"/>
      <c r="DD373" s="70"/>
      <c r="DE373" s="70"/>
      <c r="DF373" s="70"/>
      <c r="DG373" s="70"/>
      <c r="DH373" s="70"/>
      <c r="DI373" s="70"/>
      <c r="DJ373" s="70"/>
      <c r="DK373" s="70"/>
      <c r="DL373" s="70"/>
      <c r="DM373" s="70"/>
      <c r="DN373" s="70"/>
      <c r="DO373" s="70"/>
      <c r="DP373" s="70"/>
      <c r="DQ373" s="70"/>
      <c r="DR373" s="70"/>
      <c r="DS373" s="70"/>
      <c r="DT373" s="70"/>
      <c r="DU373" s="70"/>
      <c r="DV373" s="70"/>
      <c r="DW373" s="70"/>
      <c r="DX373" s="70"/>
      <c r="DY373" s="70"/>
      <c r="DZ373" s="70"/>
      <c r="EA373" s="70"/>
      <c r="EB373" s="70"/>
      <c r="EC373" s="70"/>
      <c r="ED373" s="70"/>
      <c r="EE373" s="95" t="s">
        <v>450</v>
      </c>
      <c r="EF373" s="651"/>
      <c r="EG373" s="651"/>
      <c r="EH373" s="651"/>
      <c r="EI373" s="216"/>
      <c r="EJ373" s="662"/>
      <c r="EK373" s="662"/>
      <c r="EL373" s="662"/>
      <c r="EM373" s="662"/>
      <c r="EN373" s="662"/>
      <c r="EO373" s="662"/>
      <c r="EP373" s="662"/>
      <c r="EQ373" s="662"/>
      <c r="ER373" s="662"/>
      <c r="ES373" s="662"/>
      <c r="ET373" s="662"/>
      <c r="EU373" s="662"/>
      <c r="EV373" s="662"/>
      <c r="EW373" s="662"/>
      <c r="EX373" s="662"/>
      <c r="EY373" s="662"/>
      <c r="EZ373" s="662"/>
      <c r="FA373" s="662"/>
      <c r="FB373" s="662"/>
      <c r="FC373" s="662"/>
      <c r="FD373" s="662"/>
      <c r="FE373" s="662"/>
      <c r="FF373" s="662"/>
      <c r="FG373" s="662"/>
      <c r="FH373" s="662"/>
      <c r="FI373" s="662"/>
      <c r="FJ373" s="662"/>
      <c r="FK373" s="662"/>
      <c r="FL373" s="662"/>
      <c r="FM373" s="662"/>
      <c r="FN373" s="662"/>
      <c r="FO373" s="662"/>
      <c r="FP373" s="662"/>
      <c r="FQ373" s="662"/>
      <c r="FR373" s="662"/>
      <c r="FS373" s="662"/>
      <c r="FT373" s="662"/>
      <c r="FU373" s="662"/>
      <c r="FV373" s="662"/>
      <c r="FW373" s="662"/>
      <c r="FX373" s="662"/>
      <c r="FY373" s="662"/>
      <c r="FZ373" s="662"/>
      <c r="GA373" s="662"/>
      <c r="GB373" s="662"/>
      <c r="GC373" s="662"/>
      <c r="GD373" s="662"/>
      <c r="GE373" s="662"/>
      <c r="GF373" s="662"/>
      <c r="GG373" s="662"/>
      <c r="GH373" s="662"/>
      <c r="GI373" s="662"/>
      <c r="GJ373" s="662"/>
      <c r="GK373" s="662"/>
      <c r="GL373" s="662"/>
      <c r="GM373" s="662"/>
      <c r="GN373" s="662"/>
      <c r="GO373" s="662"/>
      <c r="GP373" s="662"/>
      <c r="GQ373" s="662"/>
      <c r="GR373" s="662"/>
      <c r="GS373" s="662"/>
      <c r="GT373" s="662"/>
      <c r="GU373" s="662"/>
      <c r="GV373" s="662"/>
      <c r="GW373" s="662"/>
      <c r="GX373" s="662"/>
      <c r="GY373" s="662"/>
      <c r="GZ373" s="662"/>
      <c r="HA373" s="662"/>
      <c r="HB373" s="662"/>
      <c r="HC373" s="662"/>
      <c r="HD373" s="662"/>
      <c r="HE373" s="662"/>
      <c r="HF373" s="662"/>
      <c r="HG373" s="662"/>
      <c r="HH373" s="662"/>
      <c r="HI373" s="662"/>
      <c r="HJ373" s="662"/>
      <c r="HK373" s="662"/>
      <c r="HL373" s="662"/>
      <c r="HM373" s="662"/>
      <c r="HN373" s="662"/>
      <c r="HO373" s="662"/>
      <c r="HP373" s="662"/>
      <c r="HQ373" s="662"/>
      <c r="HR373" s="662"/>
      <c r="HS373" s="662"/>
      <c r="HT373" s="662"/>
      <c r="HU373" s="662"/>
      <c r="HV373" s="662"/>
      <c r="HW373" s="662"/>
      <c r="HX373" s="662"/>
      <c r="HY373" s="662"/>
      <c r="HZ373" s="662"/>
      <c r="IA373" s="662"/>
      <c r="IB373" s="662"/>
      <c r="IC373" s="662"/>
      <c r="ID373" s="662"/>
      <c r="IE373" s="662"/>
      <c r="IF373" s="662"/>
      <c r="IG373" s="662"/>
      <c r="IH373" s="662"/>
      <c r="II373" s="662"/>
      <c r="IJ373" s="662"/>
      <c r="IK373" s="662"/>
      <c r="IL373" s="662"/>
      <c r="IM373" s="662"/>
      <c r="IN373" s="662"/>
      <c r="IO373" s="662"/>
      <c r="IP373" s="662"/>
      <c r="IQ373" s="70"/>
    </row>
    <row r="374" spans="18:251" ht="16.5" hidden="1" customHeight="1">
      <c r="R374" s="95"/>
      <c r="S374" s="95"/>
      <c r="T374" s="95"/>
      <c r="U374" s="70"/>
      <c r="V374" s="214"/>
      <c r="W374" s="70"/>
      <c r="X374" s="70"/>
      <c r="Y374" s="70"/>
      <c r="Z374" s="70"/>
      <c r="AA374" s="70"/>
      <c r="AB374" s="70"/>
      <c r="AC374" s="70"/>
      <c r="AD374" s="70"/>
      <c r="AE374" s="70"/>
      <c r="AF374" s="70"/>
      <c r="AG374" s="70"/>
      <c r="AH374" s="70"/>
      <c r="AI374" s="70"/>
      <c r="AJ374" s="70"/>
      <c r="AK374" s="70"/>
      <c r="AL374" s="70"/>
      <c r="AM374" s="70"/>
      <c r="AN374" s="70"/>
      <c r="AO374" s="70"/>
      <c r="AP374" s="70"/>
      <c r="AQ374" s="70"/>
      <c r="AR374" s="70"/>
      <c r="AS374" s="70"/>
      <c r="AT374" s="70"/>
      <c r="AU374" s="70"/>
      <c r="AV374" s="70"/>
      <c r="AW374" s="70"/>
      <c r="AX374" s="70"/>
      <c r="AY374" s="70"/>
      <c r="AZ374" s="70"/>
      <c r="BA374" s="70"/>
      <c r="BB374" s="70"/>
      <c r="BC374" s="70"/>
      <c r="BD374" s="70"/>
      <c r="BE374" s="70"/>
      <c r="BF374" s="70"/>
      <c r="BG374" s="70"/>
      <c r="BH374" s="70"/>
      <c r="BI374" s="70"/>
      <c r="BJ374" s="70"/>
      <c r="BK374" s="70"/>
      <c r="BL374" s="70"/>
      <c r="BM374" s="70"/>
      <c r="BN374" s="70"/>
      <c r="BO374" s="70"/>
      <c r="BP374" s="70"/>
      <c r="BQ374" s="70"/>
      <c r="BR374" s="70"/>
      <c r="BS374" s="70"/>
      <c r="BT374" s="70"/>
      <c r="BU374" s="70"/>
      <c r="BV374" s="70"/>
      <c r="BW374" s="70"/>
      <c r="BX374" s="70"/>
      <c r="BY374" s="70"/>
      <c r="BZ374" s="70"/>
      <c r="CA374" s="70"/>
      <c r="CB374" s="70"/>
      <c r="CC374" s="70"/>
      <c r="CD374" s="70"/>
      <c r="CE374" s="70"/>
      <c r="CF374" s="70"/>
      <c r="CG374" s="70"/>
      <c r="CH374" s="70"/>
      <c r="CI374" s="70"/>
      <c r="CJ374" s="70"/>
      <c r="CK374" s="70"/>
      <c r="CL374" s="70"/>
      <c r="CM374" s="70"/>
      <c r="CN374" s="70"/>
      <c r="CO374" s="70"/>
      <c r="CP374" s="70"/>
      <c r="CQ374" s="70"/>
      <c r="CR374" s="70"/>
      <c r="CS374" s="70"/>
      <c r="CT374" s="70"/>
      <c r="CU374" s="70"/>
      <c r="CV374" s="70"/>
      <c r="CW374" s="70"/>
      <c r="CX374" s="70"/>
      <c r="CY374" s="70"/>
      <c r="CZ374" s="70"/>
      <c r="DA374" s="70"/>
      <c r="DB374" s="70"/>
      <c r="DC374" s="70"/>
      <c r="DD374" s="70"/>
      <c r="DE374" s="70"/>
      <c r="DF374" s="70"/>
      <c r="DG374" s="70"/>
      <c r="DH374" s="70"/>
      <c r="DI374" s="70"/>
      <c r="DJ374" s="70"/>
      <c r="DK374" s="70"/>
      <c r="DL374" s="70"/>
      <c r="DM374" s="70"/>
      <c r="DN374" s="70"/>
      <c r="DO374" s="70"/>
      <c r="DP374" s="70"/>
      <c r="DQ374" s="70"/>
      <c r="DR374" s="70"/>
      <c r="DS374" s="70"/>
      <c r="DT374" s="70"/>
      <c r="DU374" s="70"/>
      <c r="DV374" s="70"/>
      <c r="DW374" s="70"/>
      <c r="DX374" s="70"/>
      <c r="DY374" s="70"/>
      <c r="DZ374" s="70"/>
      <c r="EA374" s="70"/>
      <c r="EB374" s="70"/>
      <c r="EC374" s="70"/>
      <c r="ED374" s="70"/>
      <c r="EE374" s="95" t="s">
        <v>450</v>
      </c>
      <c r="EF374" s="651"/>
      <c r="EG374" s="651"/>
      <c r="EH374" s="651"/>
      <c r="EI374" s="216"/>
      <c r="EJ374" s="662"/>
      <c r="EK374" s="662"/>
      <c r="EL374" s="662"/>
      <c r="EM374" s="662"/>
      <c r="EN374" s="662"/>
      <c r="EO374" s="662"/>
      <c r="EP374" s="662"/>
      <c r="EQ374" s="662"/>
      <c r="ER374" s="662"/>
      <c r="ES374" s="662"/>
      <c r="ET374" s="662"/>
      <c r="EU374" s="662"/>
      <c r="EV374" s="662"/>
      <c r="EW374" s="662"/>
      <c r="EX374" s="662"/>
      <c r="EY374" s="662"/>
      <c r="EZ374" s="662"/>
      <c r="FA374" s="662"/>
      <c r="FB374" s="662"/>
      <c r="FC374" s="662"/>
      <c r="FD374" s="662"/>
      <c r="FE374" s="662"/>
      <c r="FF374" s="662"/>
      <c r="FG374" s="662"/>
      <c r="FH374" s="662"/>
      <c r="FI374" s="662"/>
      <c r="FJ374" s="662"/>
      <c r="FK374" s="662"/>
      <c r="FL374" s="662"/>
      <c r="FM374" s="662"/>
      <c r="FN374" s="662"/>
      <c r="FO374" s="662"/>
      <c r="FP374" s="662"/>
      <c r="FQ374" s="662"/>
      <c r="FR374" s="662"/>
      <c r="FS374" s="662"/>
      <c r="FT374" s="662"/>
      <c r="FU374" s="662"/>
      <c r="FV374" s="662"/>
      <c r="FW374" s="662"/>
      <c r="FX374" s="662"/>
      <c r="FY374" s="662"/>
      <c r="FZ374" s="662"/>
      <c r="GA374" s="662"/>
      <c r="GB374" s="662"/>
      <c r="GC374" s="662"/>
      <c r="GD374" s="662"/>
      <c r="GE374" s="662"/>
      <c r="GF374" s="662"/>
      <c r="GG374" s="662"/>
      <c r="GH374" s="662"/>
      <c r="GI374" s="662"/>
      <c r="GJ374" s="662"/>
      <c r="GK374" s="662"/>
      <c r="GL374" s="662"/>
      <c r="GM374" s="662"/>
      <c r="GN374" s="662"/>
      <c r="GO374" s="662"/>
      <c r="GP374" s="662"/>
      <c r="GQ374" s="662"/>
      <c r="GR374" s="662"/>
      <c r="GS374" s="662"/>
      <c r="GT374" s="662"/>
      <c r="GU374" s="662"/>
      <c r="GV374" s="662"/>
      <c r="GW374" s="662"/>
      <c r="GX374" s="662"/>
      <c r="GY374" s="662"/>
      <c r="GZ374" s="662"/>
      <c r="HA374" s="662"/>
      <c r="HB374" s="662"/>
      <c r="HC374" s="662"/>
      <c r="HD374" s="662"/>
      <c r="HE374" s="662"/>
      <c r="HF374" s="662"/>
      <c r="HG374" s="662"/>
      <c r="HH374" s="662"/>
      <c r="HI374" s="662"/>
      <c r="HJ374" s="662"/>
      <c r="HK374" s="662"/>
      <c r="HL374" s="662"/>
      <c r="HM374" s="662"/>
      <c r="HN374" s="662"/>
      <c r="HO374" s="662"/>
      <c r="HP374" s="662"/>
      <c r="HQ374" s="662"/>
      <c r="HR374" s="662"/>
      <c r="HS374" s="662"/>
      <c r="HT374" s="662"/>
      <c r="HU374" s="662"/>
      <c r="HV374" s="662"/>
      <c r="HW374" s="662"/>
      <c r="HX374" s="662"/>
      <c r="HY374" s="662"/>
      <c r="HZ374" s="662"/>
      <c r="IA374" s="662"/>
      <c r="IB374" s="662"/>
      <c r="IC374" s="662"/>
      <c r="ID374" s="662"/>
      <c r="IE374" s="662"/>
      <c r="IF374" s="662"/>
      <c r="IG374" s="662"/>
      <c r="IH374" s="662"/>
      <c r="II374" s="662"/>
      <c r="IJ374" s="662"/>
      <c r="IK374" s="662"/>
      <c r="IL374" s="662"/>
      <c r="IM374" s="662"/>
      <c r="IN374" s="662"/>
      <c r="IO374" s="662"/>
      <c r="IP374" s="662"/>
      <c r="IQ374" s="70"/>
    </row>
    <row r="375" spans="18:251" ht="16.5" hidden="1" customHeight="1">
      <c r="R375" s="95"/>
      <c r="S375" s="95"/>
      <c r="T375" s="95"/>
      <c r="U375" s="70"/>
      <c r="V375" s="214"/>
      <c r="W375" s="70"/>
      <c r="X375" s="70"/>
      <c r="Y375" s="70"/>
      <c r="Z375" s="70"/>
      <c r="AA375" s="70"/>
      <c r="AB375" s="70"/>
      <c r="AC375" s="70"/>
      <c r="AD375" s="70"/>
      <c r="AE375" s="70"/>
      <c r="AF375" s="70"/>
      <c r="AG375" s="70"/>
      <c r="AH375" s="70"/>
      <c r="AI375" s="70"/>
      <c r="AJ375" s="70"/>
      <c r="AK375" s="70"/>
      <c r="AL375" s="70"/>
      <c r="AM375" s="70"/>
      <c r="AN375" s="70"/>
      <c r="AO375" s="70"/>
      <c r="AP375" s="70"/>
      <c r="AQ375" s="70"/>
      <c r="AR375" s="70"/>
      <c r="AS375" s="70"/>
      <c r="AT375" s="70"/>
      <c r="AU375" s="70"/>
      <c r="AV375" s="70"/>
      <c r="AW375" s="70"/>
      <c r="AX375" s="70"/>
      <c r="AY375" s="70"/>
      <c r="AZ375" s="70"/>
      <c r="BA375" s="70"/>
      <c r="BB375" s="70"/>
      <c r="BC375" s="70"/>
      <c r="BD375" s="70"/>
      <c r="BE375" s="70"/>
      <c r="BF375" s="70"/>
      <c r="BG375" s="70"/>
      <c r="BH375" s="70"/>
      <c r="BI375" s="70"/>
      <c r="BJ375" s="70"/>
      <c r="BK375" s="70"/>
      <c r="BL375" s="70"/>
      <c r="BM375" s="70"/>
      <c r="BN375" s="70"/>
      <c r="BO375" s="70"/>
      <c r="BP375" s="70"/>
      <c r="BQ375" s="70"/>
      <c r="BR375" s="70"/>
      <c r="BS375" s="70"/>
      <c r="BT375" s="70"/>
      <c r="BU375" s="70"/>
      <c r="BV375" s="70"/>
      <c r="BW375" s="70"/>
      <c r="BX375" s="70"/>
      <c r="BY375" s="70"/>
      <c r="BZ375" s="70"/>
      <c r="CA375" s="70"/>
      <c r="CB375" s="70"/>
      <c r="CC375" s="70"/>
      <c r="CD375" s="70"/>
      <c r="CE375" s="70"/>
      <c r="CF375" s="70"/>
      <c r="CG375" s="70"/>
      <c r="CH375" s="70"/>
      <c r="CI375" s="70"/>
      <c r="CJ375" s="70"/>
      <c r="CK375" s="70"/>
      <c r="CL375" s="70"/>
      <c r="CM375" s="70"/>
      <c r="CN375" s="70"/>
      <c r="CO375" s="70"/>
      <c r="CP375" s="70"/>
      <c r="CQ375" s="70"/>
      <c r="CR375" s="70"/>
      <c r="CS375" s="70"/>
      <c r="CT375" s="70"/>
      <c r="CU375" s="70"/>
      <c r="CV375" s="70"/>
      <c r="CW375" s="70"/>
      <c r="CX375" s="70"/>
      <c r="CY375" s="70"/>
      <c r="CZ375" s="70"/>
      <c r="DA375" s="70"/>
      <c r="DB375" s="70"/>
      <c r="DC375" s="70"/>
      <c r="DD375" s="70"/>
      <c r="DE375" s="70"/>
      <c r="DF375" s="70"/>
      <c r="DG375" s="70"/>
      <c r="DH375" s="70"/>
      <c r="DI375" s="70"/>
      <c r="DJ375" s="70"/>
      <c r="DK375" s="70"/>
      <c r="DL375" s="70"/>
      <c r="DM375" s="70"/>
      <c r="DN375" s="70"/>
      <c r="DO375" s="70"/>
      <c r="DP375" s="70"/>
      <c r="DQ375" s="70"/>
      <c r="DR375" s="70"/>
      <c r="DS375" s="70"/>
      <c r="DT375" s="70"/>
      <c r="DU375" s="70"/>
      <c r="DV375" s="70"/>
      <c r="DW375" s="70"/>
      <c r="DX375" s="70"/>
      <c r="DY375" s="70"/>
      <c r="DZ375" s="70"/>
      <c r="EA375" s="70"/>
      <c r="EB375" s="70"/>
      <c r="EC375" s="70"/>
      <c r="ED375" s="70"/>
      <c r="EE375" s="95" t="s">
        <v>450</v>
      </c>
      <c r="EF375" s="651"/>
      <c r="EG375" s="651"/>
      <c r="EH375" s="651"/>
      <c r="EI375" s="216"/>
      <c r="EJ375" s="662"/>
      <c r="EK375" s="662"/>
      <c r="EL375" s="662"/>
      <c r="EM375" s="662"/>
      <c r="EN375" s="662"/>
      <c r="EO375" s="662"/>
      <c r="EP375" s="662"/>
      <c r="EQ375" s="662"/>
      <c r="ER375" s="662"/>
      <c r="ES375" s="662"/>
      <c r="ET375" s="662"/>
      <c r="EU375" s="662"/>
      <c r="EV375" s="662"/>
      <c r="EW375" s="662"/>
      <c r="EX375" s="662"/>
      <c r="EY375" s="662"/>
      <c r="EZ375" s="662"/>
      <c r="FA375" s="662"/>
      <c r="FB375" s="662"/>
      <c r="FC375" s="662"/>
      <c r="FD375" s="662"/>
      <c r="FE375" s="662"/>
      <c r="FF375" s="662"/>
      <c r="FG375" s="662"/>
      <c r="FH375" s="662"/>
      <c r="FI375" s="662"/>
      <c r="FJ375" s="662"/>
      <c r="FK375" s="662"/>
      <c r="FL375" s="662"/>
      <c r="FM375" s="662"/>
      <c r="FN375" s="662"/>
      <c r="FO375" s="662"/>
      <c r="FP375" s="662"/>
      <c r="FQ375" s="662"/>
      <c r="FR375" s="662"/>
      <c r="FS375" s="662"/>
      <c r="FT375" s="662"/>
      <c r="FU375" s="662"/>
      <c r="FV375" s="662"/>
      <c r="FW375" s="662"/>
      <c r="FX375" s="662"/>
      <c r="FY375" s="662"/>
      <c r="FZ375" s="662"/>
      <c r="GA375" s="662"/>
      <c r="GB375" s="662"/>
      <c r="GC375" s="662"/>
      <c r="GD375" s="662"/>
      <c r="GE375" s="662"/>
      <c r="GF375" s="662"/>
      <c r="GG375" s="662"/>
      <c r="GH375" s="662"/>
      <c r="GI375" s="662"/>
      <c r="GJ375" s="662"/>
      <c r="GK375" s="662"/>
      <c r="GL375" s="662"/>
      <c r="GM375" s="662"/>
      <c r="GN375" s="662"/>
      <c r="GO375" s="662"/>
      <c r="GP375" s="662"/>
      <c r="GQ375" s="662"/>
      <c r="GR375" s="662"/>
      <c r="GS375" s="662"/>
      <c r="GT375" s="662"/>
      <c r="GU375" s="662"/>
      <c r="GV375" s="662"/>
      <c r="GW375" s="662"/>
      <c r="GX375" s="662"/>
      <c r="GY375" s="662"/>
      <c r="GZ375" s="662"/>
      <c r="HA375" s="662"/>
      <c r="HB375" s="662"/>
      <c r="HC375" s="662"/>
      <c r="HD375" s="662"/>
      <c r="HE375" s="662"/>
      <c r="HF375" s="662"/>
      <c r="HG375" s="662"/>
      <c r="HH375" s="662"/>
      <c r="HI375" s="662"/>
      <c r="HJ375" s="662"/>
      <c r="HK375" s="662"/>
      <c r="HL375" s="662"/>
      <c r="HM375" s="662"/>
      <c r="HN375" s="662"/>
      <c r="HO375" s="662"/>
      <c r="HP375" s="662"/>
      <c r="HQ375" s="662"/>
      <c r="HR375" s="662"/>
      <c r="HS375" s="662"/>
      <c r="HT375" s="662"/>
      <c r="HU375" s="662"/>
      <c r="HV375" s="662"/>
      <c r="HW375" s="662"/>
      <c r="HX375" s="662"/>
      <c r="HY375" s="662"/>
      <c r="HZ375" s="662"/>
      <c r="IA375" s="662"/>
      <c r="IB375" s="662"/>
      <c r="IC375" s="662"/>
      <c r="ID375" s="662"/>
      <c r="IE375" s="662"/>
      <c r="IF375" s="662"/>
      <c r="IG375" s="662"/>
      <c r="IH375" s="662"/>
      <c r="II375" s="662"/>
      <c r="IJ375" s="662"/>
      <c r="IK375" s="662"/>
      <c r="IL375" s="662"/>
      <c r="IM375" s="662"/>
      <c r="IN375" s="662"/>
      <c r="IO375" s="662"/>
      <c r="IP375" s="662"/>
      <c r="IQ375" s="70"/>
    </row>
    <row r="376" spans="18:251" ht="16.5" hidden="1" customHeight="1">
      <c r="R376" s="95"/>
      <c r="S376" s="95"/>
      <c r="T376" s="95"/>
      <c r="U376" s="70"/>
      <c r="V376" s="214"/>
      <c r="W376" s="70"/>
      <c r="X376" s="70"/>
      <c r="Y376" s="70"/>
      <c r="Z376" s="70"/>
      <c r="AA376" s="70"/>
      <c r="AB376" s="70"/>
      <c r="AC376" s="70"/>
      <c r="AD376" s="70"/>
      <c r="AE376" s="70"/>
      <c r="AF376" s="70"/>
      <c r="AG376" s="70"/>
      <c r="AH376" s="70"/>
      <c r="AI376" s="70"/>
      <c r="AJ376" s="70"/>
      <c r="AK376" s="70"/>
      <c r="AL376" s="70"/>
      <c r="AM376" s="70"/>
      <c r="AN376" s="70"/>
      <c r="AO376" s="70"/>
      <c r="AP376" s="70"/>
      <c r="AQ376" s="70"/>
      <c r="AR376" s="70"/>
      <c r="AS376" s="70"/>
      <c r="AT376" s="70"/>
      <c r="AU376" s="70"/>
      <c r="AV376" s="70"/>
      <c r="AW376" s="70"/>
      <c r="AX376" s="70"/>
      <c r="AY376" s="70"/>
      <c r="AZ376" s="70"/>
      <c r="BA376" s="70"/>
      <c r="BB376" s="70"/>
      <c r="BC376" s="70"/>
      <c r="BD376" s="70"/>
      <c r="BE376" s="70"/>
      <c r="BF376" s="70"/>
      <c r="BG376" s="70"/>
      <c r="BH376" s="70"/>
      <c r="BI376" s="70"/>
      <c r="BJ376" s="70"/>
      <c r="BK376" s="70"/>
      <c r="BL376" s="70"/>
      <c r="BM376" s="70"/>
      <c r="BN376" s="70"/>
      <c r="BO376" s="70"/>
      <c r="BP376" s="70"/>
      <c r="BQ376" s="70"/>
      <c r="BR376" s="70"/>
      <c r="BS376" s="70"/>
      <c r="BT376" s="70"/>
      <c r="BU376" s="70"/>
      <c r="BV376" s="70"/>
      <c r="BW376" s="70"/>
      <c r="BX376" s="70"/>
      <c r="BY376" s="70"/>
      <c r="BZ376" s="70"/>
      <c r="CA376" s="70"/>
      <c r="CB376" s="70"/>
      <c r="CC376" s="70"/>
      <c r="CD376" s="70"/>
      <c r="CE376" s="70"/>
      <c r="CF376" s="70"/>
      <c r="CG376" s="70"/>
      <c r="CH376" s="70"/>
      <c r="CI376" s="70"/>
      <c r="CJ376" s="70"/>
      <c r="CK376" s="70"/>
      <c r="CL376" s="70"/>
      <c r="CM376" s="70"/>
      <c r="CN376" s="70"/>
      <c r="CO376" s="70"/>
      <c r="CP376" s="70"/>
      <c r="CQ376" s="70"/>
      <c r="CR376" s="70"/>
      <c r="CS376" s="70"/>
      <c r="CT376" s="70"/>
      <c r="CU376" s="70"/>
      <c r="CV376" s="70"/>
      <c r="CW376" s="70"/>
      <c r="CX376" s="70"/>
      <c r="CY376" s="70"/>
      <c r="CZ376" s="70"/>
      <c r="DA376" s="70"/>
      <c r="DB376" s="70"/>
      <c r="DC376" s="70"/>
      <c r="DD376" s="70"/>
      <c r="DE376" s="70"/>
      <c r="DF376" s="70"/>
      <c r="DG376" s="70"/>
      <c r="DH376" s="70"/>
      <c r="DI376" s="70"/>
      <c r="DJ376" s="70"/>
      <c r="DK376" s="70"/>
      <c r="DL376" s="70"/>
      <c r="DM376" s="70"/>
      <c r="DN376" s="70"/>
      <c r="DO376" s="70"/>
      <c r="DP376" s="70"/>
      <c r="DQ376" s="70"/>
      <c r="DR376" s="70"/>
      <c r="DS376" s="70"/>
      <c r="DT376" s="70"/>
      <c r="DU376" s="70"/>
      <c r="DV376" s="70"/>
      <c r="DW376" s="70"/>
      <c r="DX376" s="70"/>
      <c r="DY376" s="70"/>
      <c r="DZ376" s="70"/>
      <c r="EA376" s="70"/>
      <c r="EB376" s="70"/>
      <c r="EC376" s="70"/>
      <c r="ED376" s="70"/>
      <c r="EE376" s="95" t="s">
        <v>450</v>
      </c>
      <c r="EF376" s="651"/>
      <c r="EG376" s="651"/>
      <c r="EH376" s="651"/>
      <c r="EI376" s="216"/>
      <c r="EJ376" s="662"/>
      <c r="EK376" s="662"/>
      <c r="EL376" s="662"/>
      <c r="EM376" s="662"/>
      <c r="EN376" s="662"/>
      <c r="EO376" s="662"/>
      <c r="EP376" s="662"/>
      <c r="EQ376" s="662"/>
      <c r="ER376" s="662"/>
      <c r="ES376" s="662"/>
      <c r="ET376" s="662"/>
      <c r="EU376" s="662"/>
      <c r="EV376" s="662"/>
      <c r="EW376" s="662"/>
      <c r="EX376" s="662"/>
      <c r="EY376" s="662"/>
      <c r="EZ376" s="662"/>
      <c r="FA376" s="662"/>
      <c r="FB376" s="662"/>
      <c r="FC376" s="662"/>
      <c r="FD376" s="662"/>
      <c r="FE376" s="662"/>
      <c r="FF376" s="662"/>
      <c r="FG376" s="662"/>
      <c r="FH376" s="662"/>
      <c r="FI376" s="662"/>
      <c r="FJ376" s="662"/>
      <c r="FK376" s="662"/>
      <c r="FL376" s="662"/>
      <c r="FM376" s="662"/>
      <c r="FN376" s="662"/>
      <c r="FO376" s="662"/>
      <c r="FP376" s="662"/>
      <c r="FQ376" s="662"/>
      <c r="FR376" s="662"/>
      <c r="FS376" s="662"/>
      <c r="FT376" s="662"/>
      <c r="FU376" s="662"/>
      <c r="FV376" s="662"/>
      <c r="FW376" s="662"/>
      <c r="FX376" s="662"/>
      <c r="FY376" s="662"/>
      <c r="FZ376" s="662"/>
      <c r="GA376" s="662"/>
      <c r="GB376" s="662"/>
      <c r="GC376" s="662"/>
      <c r="GD376" s="662"/>
      <c r="GE376" s="662"/>
      <c r="GF376" s="662"/>
      <c r="GG376" s="662"/>
      <c r="GH376" s="662"/>
      <c r="GI376" s="662"/>
      <c r="GJ376" s="662"/>
      <c r="GK376" s="662"/>
      <c r="GL376" s="662"/>
      <c r="GM376" s="662"/>
      <c r="GN376" s="662"/>
      <c r="GO376" s="662"/>
      <c r="GP376" s="662"/>
      <c r="GQ376" s="662"/>
      <c r="GR376" s="662"/>
      <c r="GS376" s="662"/>
      <c r="GT376" s="662"/>
      <c r="GU376" s="662"/>
      <c r="GV376" s="662"/>
      <c r="GW376" s="662"/>
      <c r="GX376" s="662"/>
      <c r="GY376" s="662"/>
      <c r="GZ376" s="662"/>
      <c r="HA376" s="662"/>
      <c r="HB376" s="662"/>
      <c r="HC376" s="662"/>
      <c r="HD376" s="662"/>
      <c r="HE376" s="662"/>
      <c r="HF376" s="662"/>
      <c r="HG376" s="662"/>
      <c r="HH376" s="662"/>
      <c r="HI376" s="662"/>
      <c r="HJ376" s="662"/>
      <c r="HK376" s="662"/>
      <c r="HL376" s="662"/>
      <c r="HM376" s="662"/>
      <c r="HN376" s="662"/>
      <c r="HO376" s="662"/>
      <c r="HP376" s="662"/>
      <c r="HQ376" s="662"/>
      <c r="HR376" s="662"/>
      <c r="HS376" s="662"/>
      <c r="HT376" s="662"/>
      <c r="HU376" s="662"/>
      <c r="HV376" s="662"/>
      <c r="HW376" s="662"/>
      <c r="HX376" s="662"/>
      <c r="HY376" s="662"/>
      <c r="HZ376" s="662"/>
      <c r="IA376" s="662"/>
      <c r="IB376" s="662"/>
      <c r="IC376" s="662"/>
      <c r="ID376" s="662"/>
      <c r="IE376" s="662"/>
      <c r="IF376" s="662"/>
      <c r="IG376" s="662"/>
      <c r="IH376" s="662"/>
      <c r="II376" s="662"/>
      <c r="IJ376" s="662"/>
      <c r="IK376" s="662"/>
      <c r="IL376" s="662"/>
      <c r="IM376" s="662"/>
      <c r="IN376" s="662"/>
      <c r="IO376" s="662"/>
      <c r="IP376" s="662"/>
      <c r="IQ376" s="70"/>
    </row>
    <row r="377" spans="18:251" ht="16.5" hidden="1" customHeight="1">
      <c r="R377" s="95"/>
      <c r="S377" s="95"/>
      <c r="T377" s="95"/>
      <c r="U377" s="70"/>
      <c r="V377" s="214"/>
      <c r="W377" s="70"/>
      <c r="X377" s="70"/>
      <c r="Y377" s="70"/>
      <c r="Z377" s="70"/>
      <c r="AA377" s="70"/>
      <c r="AB377" s="70"/>
      <c r="AC377" s="70"/>
      <c r="AD377" s="70"/>
      <c r="AE377" s="70"/>
      <c r="AF377" s="70"/>
      <c r="AG377" s="70"/>
      <c r="AH377" s="70"/>
      <c r="AI377" s="70"/>
      <c r="AJ377" s="70"/>
      <c r="AK377" s="70"/>
      <c r="AL377" s="70"/>
      <c r="AM377" s="70"/>
      <c r="AN377" s="70"/>
      <c r="AO377" s="70"/>
      <c r="AP377" s="70"/>
      <c r="AQ377" s="70"/>
      <c r="AR377" s="70"/>
      <c r="AS377" s="70"/>
      <c r="AT377" s="70"/>
      <c r="AU377" s="70"/>
      <c r="AV377" s="70"/>
      <c r="AW377" s="70"/>
      <c r="AX377" s="70"/>
      <c r="AY377" s="70"/>
      <c r="AZ377" s="70"/>
      <c r="BA377" s="70"/>
      <c r="BB377" s="70"/>
      <c r="BC377" s="70"/>
      <c r="BD377" s="70"/>
      <c r="BE377" s="70"/>
      <c r="BF377" s="70"/>
      <c r="BG377" s="70"/>
      <c r="BH377" s="70"/>
      <c r="BI377" s="70"/>
      <c r="BJ377" s="70"/>
      <c r="BK377" s="70"/>
      <c r="BL377" s="70"/>
      <c r="BM377" s="70"/>
      <c r="BN377" s="70"/>
      <c r="BO377" s="70"/>
      <c r="BP377" s="70"/>
      <c r="BQ377" s="70"/>
      <c r="BR377" s="70"/>
      <c r="BS377" s="70"/>
      <c r="BT377" s="70"/>
      <c r="BU377" s="70"/>
      <c r="BV377" s="70"/>
      <c r="BW377" s="70"/>
      <c r="BX377" s="70"/>
      <c r="BY377" s="70"/>
      <c r="BZ377" s="70"/>
      <c r="CA377" s="70"/>
      <c r="CB377" s="70"/>
      <c r="CC377" s="70"/>
      <c r="CD377" s="70"/>
      <c r="CE377" s="70"/>
      <c r="CF377" s="70"/>
      <c r="CG377" s="70"/>
      <c r="CH377" s="70"/>
      <c r="CI377" s="70"/>
      <c r="CJ377" s="70"/>
      <c r="CK377" s="70"/>
      <c r="CL377" s="70"/>
      <c r="CM377" s="70"/>
      <c r="CN377" s="70"/>
      <c r="CO377" s="70"/>
      <c r="CP377" s="70"/>
      <c r="CQ377" s="70"/>
      <c r="CR377" s="70"/>
      <c r="CS377" s="70"/>
      <c r="CT377" s="70"/>
      <c r="CU377" s="70"/>
      <c r="CV377" s="70"/>
      <c r="CW377" s="70"/>
      <c r="CX377" s="70"/>
      <c r="CY377" s="70"/>
      <c r="CZ377" s="70"/>
      <c r="DA377" s="70"/>
      <c r="DB377" s="70"/>
      <c r="DC377" s="70"/>
      <c r="DD377" s="70"/>
      <c r="DE377" s="70"/>
      <c r="DF377" s="70"/>
      <c r="DG377" s="70"/>
      <c r="DH377" s="70"/>
      <c r="DI377" s="70"/>
      <c r="DJ377" s="70"/>
      <c r="DK377" s="70"/>
      <c r="DL377" s="70"/>
      <c r="DM377" s="70"/>
      <c r="DN377" s="70"/>
      <c r="DO377" s="70"/>
      <c r="DP377" s="70"/>
      <c r="DQ377" s="70"/>
      <c r="DR377" s="70"/>
      <c r="DS377" s="70"/>
      <c r="DT377" s="70"/>
      <c r="DU377" s="70"/>
      <c r="DV377" s="70"/>
      <c r="DW377" s="70"/>
      <c r="DX377" s="70"/>
      <c r="DY377" s="70"/>
      <c r="DZ377" s="70"/>
      <c r="EA377" s="70"/>
      <c r="EB377" s="70"/>
      <c r="EC377" s="70"/>
      <c r="ED377" s="70"/>
      <c r="EE377" s="95" t="s">
        <v>450</v>
      </c>
      <c r="EF377" s="651"/>
      <c r="EG377" s="651"/>
      <c r="EH377" s="651"/>
      <c r="EI377" s="216"/>
      <c r="EJ377" s="662"/>
      <c r="EK377" s="662"/>
      <c r="EL377" s="662"/>
      <c r="EM377" s="662"/>
      <c r="EN377" s="662"/>
      <c r="EO377" s="662"/>
      <c r="EP377" s="662"/>
      <c r="EQ377" s="662"/>
      <c r="ER377" s="662"/>
      <c r="ES377" s="662"/>
      <c r="ET377" s="662"/>
      <c r="EU377" s="662"/>
      <c r="EV377" s="662"/>
      <c r="EW377" s="662"/>
      <c r="EX377" s="662"/>
      <c r="EY377" s="662"/>
      <c r="EZ377" s="662"/>
      <c r="FA377" s="662"/>
      <c r="FB377" s="662"/>
      <c r="FC377" s="662"/>
      <c r="FD377" s="662"/>
      <c r="FE377" s="662"/>
      <c r="FF377" s="662"/>
      <c r="FG377" s="662"/>
      <c r="FH377" s="662"/>
      <c r="FI377" s="662"/>
      <c r="FJ377" s="662"/>
      <c r="FK377" s="662"/>
      <c r="FL377" s="662"/>
      <c r="FM377" s="662"/>
      <c r="FN377" s="662"/>
      <c r="FO377" s="662"/>
      <c r="FP377" s="662"/>
      <c r="FQ377" s="662"/>
      <c r="FR377" s="662"/>
      <c r="FS377" s="662"/>
      <c r="FT377" s="662"/>
      <c r="FU377" s="662"/>
      <c r="FV377" s="662"/>
      <c r="FW377" s="662"/>
      <c r="FX377" s="662"/>
      <c r="FY377" s="662"/>
      <c r="FZ377" s="662"/>
      <c r="GA377" s="662"/>
      <c r="GB377" s="662"/>
      <c r="GC377" s="662"/>
      <c r="GD377" s="662"/>
      <c r="GE377" s="662"/>
      <c r="GF377" s="662"/>
      <c r="GG377" s="662"/>
      <c r="GH377" s="662"/>
      <c r="GI377" s="662"/>
      <c r="GJ377" s="662"/>
      <c r="GK377" s="662"/>
      <c r="GL377" s="662"/>
      <c r="GM377" s="662"/>
      <c r="GN377" s="662"/>
      <c r="GO377" s="662"/>
      <c r="GP377" s="662"/>
      <c r="GQ377" s="662"/>
      <c r="GR377" s="662"/>
      <c r="GS377" s="662"/>
      <c r="GT377" s="662"/>
      <c r="GU377" s="662"/>
      <c r="GV377" s="662"/>
      <c r="GW377" s="662"/>
      <c r="GX377" s="662"/>
      <c r="GY377" s="662"/>
      <c r="GZ377" s="662"/>
      <c r="HA377" s="662"/>
      <c r="HB377" s="662"/>
      <c r="HC377" s="662"/>
      <c r="HD377" s="662"/>
      <c r="HE377" s="662"/>
      <c r="HF377" s="662"/>
      <c r="HG377" s="662"/>
      <c r="HH377" s="662"/>
      <c r="HI377" s="662"/>
      <c r="HJ377" s="662"/>
      <c r="HK377" s="662"/>
      <c r="HL377" s="662"/>
      <c r="HM377" s="662"/>
      <c r="HN377" s="662"/>
      <c r="HO377" s="662"/>
      <c r="HP377" s="662"/>
      <c r="HQ377" s="662"/>
      <c r="HR377" s="662"/>
      <c r="HS377" s="662"/>
      <c r="HT377" s="662"/>
      <c r="HU377" s="662"/>
      <c r="HV377" s="662"/>
      <c r="HW377" s="662"/>
      <c r="HX377" s="662"/>
      <c r="HY377" s="662"/>
      <c r="HZ377" s="662"/>
      <c r="IA377" s="662"/>
      <c r="IB377" s="662"/>
      <c r="IC377" s="662"/>
      <c r="ID377" s="662"/>
      <c r="IE377" s="662"/>
      <c r="IF377" s="662"/>
      <c r="IG377" s="662"/>
      <c r="IH377" s="662"/>
      <c r="II377" s="662"/>
      <c r="IJ377" s="662"/>
      <c r="IK377" s="662"/>
      <c r="IL377" s="662"/>
      <c r="IM377" s="662"/>
      <c r="IN377" s="662"/>
      <c r="IO377" s="662"/>
      <c r="IP377" s="662"/>
      <c r="IQ377" s="70"/>
    </row>
    <row r="378" spans="18:251" ht="16.5" hidden="1" customHeight="1">
      <c r="R378" s="95"/>
      <c r="S378" s="95"/>
      <c r="T378" s="95"/>
      <c r="U378" s="70"/>
      <c r="V378" s="214"/>
      <c r="W378" s="70"/>
      <c r="X378" s="70"/>
      <c r="Y378" s="70"/>
      <c r="Z378" s="70"/>
      <c r="AA378" s="70"/>
      <c r="AB378" s="70"/>
      <c r="AC378" s="70"/>
      <c r="AD378" s="70"/>
      <c r="AE378" s="70"/>
      <c r="AF378" s="70"/>
      <c r="AG378" s="70"/>
      <c r="AH378" s="70"/>
      <c r="AI378" s="70"/>
      <c r="AJ378" s="70"/>
      <c r="AK378" s="70"/>
      <c r="AL378" s="70"/>
      <c r="AM378" s="70"/>
      <c r="AN378" s="70"/>
      <c r="AO378" s="70"/>
      <c r="AP378" s="70"/>
      <c r="AQ378" s="70"/>
      <c r="AR378" s="70"/>
      <c r="AS378" s="70"/>
      <c r="AT378" s="70"/>
      <c r="AU378" s="70"/>
      <c r="AV378" s="70"/>
      <c r="AW378" s="70"/>
      <c r="AX378" s="70"/>
      <c r="AY378" s="70"/>
      <c r="AZ378" s="70"/>
      <c r="BA378" s="70"/>
      <c r="BB378" s="70"/>
      <c r="BC378" s="70"/>
      <c r="BD378" s="70"/>
      <c r="BE378" s="70"/>
      <c r="BF378" s="70"/>
      <c r="BG378" s="70"/>
      <c r="BH378" s="70"/>
      <c r="BI378" s="70"/>
      <c r="BJ378" s="70"/>
      <c r="BK378" s="70"/>
      <c r="BL378" s="70"/>
      <c r="BM378" s="70"/>
      <c r="BN378" s="70"/>
      <c r="BO378" s="70"/>
      <c r="BP378" s="70"/>
      <c r="BQ378" s="70"/>
      <c r="BR378" s="70"/>
      <c r="BS378" s="70"/>
      <c r="BT378" s="70"/>
      <c r="BU378" s="70"/>
      <c r="BV378" s="70"/>
      <c r="BW378" s="70"/>
      <c r="BX378" s="70"/>
      <c r="BY378" s="70"/>
      <c r="BZ378" s="70"/>
      <c r="CA378" s="70"/>
      <c r="CB378" s="70"/>
      <c r="CC378" s="70"/>
      <c r="CD378" s="70"/>
      <c r="CE378" s="70"/>
      <c r="CF378" s="70"/>
      <c r="CG378" s="70"/>
      <c r="CH378" s="70"/>
      <c r="CI378" s="70"/>
      <c r="CJ378" s="70"/>
      <c r="CK378" s="70"/>
      <c r="CL378" s="70"/>
      <c r="CM378" s="70"/>
      <c r="CN378" s="70"/>
      <c r="CO378" s="70"/>
      <c r="CP378" s="70"/>
      <c r="CQ378" s="70"/>
      <c r="CR378" s="70"/>
      <c r="CS378" s="70"/>
      <c r="CT378" s="70"/>
      <c r="CU378" s="70"/>
      <c r="CV378" s="70"/>
      <c r="CW378" s="70"/>
      <c r="CX378" s="70"/>
      <c r="CY378" s="70"/>
      <c r="CZ378" s="70"/>
      <c r="DA378" s="70"/>
      <c r="DB378" s="70"/>
      <c r="DC378" s="70"/>
      <c r="DD378" s="70"/>
      <c r="DE378" s="70"/>
      <c r="DF378" s="70"/>
      <c r="DG378" s="70"/>
      <c r="DH378" s="70"/>
      <c r="DI378" s="70"/>
      <c r="DJ378" s="70"/>
      <c r="DK378" s="70"/>
      <c r="DL378" s="70"/>
      <c r="DM378" s="70"/>
      <c r="DN378" s="70"/>
      <c r="DO378" s="70"/>
      <c r="DP378" s="70"/>
      <c r="DQ378" s="70"/>
      <c r="DR378" s="70"/>
      <c r="DS378" s="70"/>
      <c r="DT378" s="70"/>
      <c r="DU378" s="70"/>
      <c r="DV378" s="70"/>
      <c r="DW378" s="70"/>
      <c r="DX378" s="70"/>
      <c r="DY378" s="70"/>
      <c r="DZ378" s="70"/>
      <c r="EA378" s="70"/>
      <c r="EB378" s="70"/>
      <c r="EC378" s="70"/>
      <c r="ED378" s="70"/>
      <c r="EE378" s="95" t="s">
        <v>450</v>
      </c>
      <c r="EF378" s="651"/>
      <c r="EG378" s="651"/>
      <c r="EH378" s="651"/>
      <c r="EI378" s="216"/>
      <c r="EJ378" s="662"/>
      <c r="EK378" s="662"/>
      <c r="EL378" s="662"/>
      <c r="EM378" s="662"/>
      <c r="EN378" s="662"/>
      <c r="EO378" s="662"/>
      <c r="EP378" s="662"/>
      <c r="EQ378" s="662"/>
      <c r="ER378" s="662"/>
      <c r="ES378" s="662"/>
      <c r="ET378" s="662"/>
      <c r="EU378" s="662"/>
      <c r="EV378" s="662"/>
      <c r="EW378" s="662"/>
      <c r="EX378" s="662"/>
      <c r="EY378" s="662"/>
      <c r="EZ378" s="662"/>
      <c r="FA378" s="662"/>
      <c r="FB378" s="662"/>
      <c r="FC378" s="662"/>
      <c r="FD378" s="662"/>
      <c r="FE378" s="662"/>
      <c r="FF378" s="662"/>
      <c r="FG378" s="662"/>
      <c r="FH378" s="662"/>
      <c r="FI378" s="662"/>
      <c r="FJ378" s="662"/>
      <c r="FK378" s="662"/>
      <c r="FL378" s="662"/>
      <c r="FM378" s="662"/>
      <c r="FN378" s="662"/>
      <c r="FO378" s="662"/>
      <c r="FP378" s="662"/>
      <c r="FQ378" s="662"/>
      <c r="FR378" s="662"/>
      <c r="FS378" s="662"/>
      <c r="FT378" s="662"/>
      <c r="FU378" s="662"/>
      <c r="FV378" s="662"/>
      <c r="FW378" s="662"/>
      <c r="FX378" s="662"/>
      <c r="FY378" s="662"/>
      <c r="FZ378" s="662"/>
      <c r="GA378" s="662"/>
      <c r="GB378" s="662"/>
      <c r="GC378" s="662"/>
      <c r="GD378" s="662"/>
      <c r="GE378" s="662"/>
      <c r="GF378" s="662"/>
      <c r="GG378" s="662"/>
      <c r="GH378" s="662"/>
      <c r="GI378" s="662"/>
      <c r="GJ378" s="662"/>
      <c r="GK378" s="662"/>
      <c r="GL378" s="662"/>
      <c r="GM378" s="662"/>
      <c r="GN378" s="662"/>
      <c r="GO378" s="662"/>
      <c r="GP378" s="662"/>
      <c r="GQ378" s="662"/>
      <c r="GR378" s="662"/>
      <c r="GS378" s="662"/>
      <c r="GT378" s="662"/>
      <c r="GU378" s="662"/>
      <c r="GV378" s="662"/>
      <c r="GW378" s="662"/>
      <c r="GX378" s="662"/>
      <c r="GY378" s="662"/>
      <c r="GZ378" s="662"/>
      <c r="HA378" s="662"/>
      <c r="HB378" s="662"/>
      <c r="HC378" s="662"/>
      <c r="HD378" s="662"/>
      <c r="HE378" s="662"/>
      <c r="HF378" s="662"/>
      <c r="HG378" s="662"/>
      <c r="HH378" s="662"/>
      <c r="HI378" s="662"/>
      <c r="HJ378" s="662"/>
      <c r="HK378" s="662"/>
      <c r="HL378" s="662"/>
      <c r="HM378" s="662"/>
      <c r="HN378" s="662"/>
      <c r="HO378" s="662"/>
      <c r="HP378" s="662"/>
      <c r="HQ378" s="662"/>
      <c r="HR378" s="662"/>
      <c r="HS378" s="662"/>
      <c r="HT378" s="662"/>
      <c r="HU378" s="662"/>
      <c r="HV378" s="662"/>
      <c r="HW378" s="662"/>
      <c r="HX378" s="662"/>
      <c r="HY378" s="662"/>
      <c r="HZ378" s="662"/>
      <c r="IA378" s="662"/>
      <c r="IB378" s="662"/>
      <c r="IC378" s="662"/>
      <c r="ID378" s="662"/>
      <c r="IE378" s="662"/>
      <c r="IF378" s="662"/>
      <c r="IG378" s="662"/>
      <c r="IH378" s="662"/>
      <c r="II378" s="662"/>
      <c r="IJ378" s="662"/>
      <c r="IK378" s="662"/>
      <c r="IL378" s="662"/>
      <c r="IM378" s="662"/>
      <c r="IN378" s="662"/>
      <c r="IO378" s="662"/>
      <c r="IP378" s="662"/>
      <c r="IQ378" s="70"/>
    </row>
    <row r="379" spans="18:251" ht="16.5" hidden="1" customHeight="1">
      <c r="R379" s="95"/>
      <c r="S379" s="95"/>
      <c r="T379" s="95"/>
      <c r="U379" s="70"/>
      <c r="V379" s="214"/>
      <c r="W379" s="70"/>
      <c r="X379" s="70"/>
      <c r="Y379" s="70"/>
      <c r="Z379" s="70"/>
      <c r="AA379" s="70"/>
      <c r="AB379" s="70"/>
      <c r="AC379" s="70"/>
      <c r="AD379" s="70"/>
      <c r="AE379" s="70"/>
      <c r="AF379" s="70"/>
      <c r="AG379" s="70"/>
      <c r="AH379" s="70"/>
      <c r="AI379" s="70"/>
      <c r="AJ379" s="70"/>
      <c r="AK379" s="70"/>
      <c r="AL379" s="70"/>
      <c r="AM379" s="70"/>
      <c r="AN379" s="70"/>
      <c r="AO379" s="70"/>
      <c r="AP379" s="70"/>
      <c r="AQ379" s="70"/>
      <c r="AR379" s="70"/>
      <c r="AS379" s="70"/>
      <c r="AT379" s="70"/>
      <c r="AU379" s="70"/>
      <c r="AV379" s="70"/>
      <c r="AW379" s="70"/>
      <c r="AX379" s="70"/>
      <c r="AY379" s="70"/>
      <c r="AZ379" s="70"/>
      <c r="BA379" s="70"/>
      <c r="BB379" s="70"/>
      <c r="BC379" s="70"/>
      <c r="BD379" s="70"/>
      <c r="BE379" s="70"/>
      <c r="BF379" s="70"/>
      <c r="BG379" s="70"/>
      <c r="BH379" s="70"/>
      <c r="BI379" s="70"/>
      <c r="BJ379" s="70"/>
      <c r="BK379" s="70"/>
      <c r="BL379" s="70"/>
      <c r="BM379" s="70"/>
      <c r="BN379" s="70"/>
      <c r="BO379" s="70"/>
      <c r="BP379" s="70"/>
      <c r="BQ379" s="70"/>
      <c r="BR379" s="70"/>
      <c r="BS379" s="70"/>
      <c r="BT379" s="70"/>
      <c r="BU379" s="70"/>
      <c r="BV379" s="70"/>
      <c r="BW379" s="70"/>
      <c r="BX379" s="70"/>
      <c r="BY379" s="70"/>
      <c r="BZ379" s="70"/>
      <c r="CA379" s="70"/>
      <c r="CB379" s="70"/>
      <c r="CC379" s="70"/>
      <c r="CD379" s="70"/>
      <c r="CE379" s="70"/>
      <c r="CF379" s="70"/>
      <c r="CG379" s="70"/>
      <c r="CH379" s="70"/>
      <c r="CI379" s="70"/>
      <c r="CJ379" s="70"/>
      <c r="CK379" s="70"/>
      <c r="CL379" s="70"/>
      <c r="CM379" s="70"/>
      <c r="CN379" s="70"/>
      <c r="CO379" s="70"/>
      <c r="CP379" s="70"/>
      <c r="CQ379" s="70"/>
      <c r="CR379" s="70"/>
      <c r="CS379" s="70"/>
      <c r="CT379" s="70"/>
      <c r="CU379" s="70"/>
      <c r="CV379" s="70"/>
      <c r="CW379" s="70"/>
      <c r="CX379" s="70"/>
      <c r="CY379" s="70"/>
      <c r="CZ379" s="70"/>
      <c r="DA379" s="70"/>
      <c r="DB379" s="70"/>
      <c r="DC379" s="70"/>
      <c r="DD379" s="70"/>
      <c r="DE379" s="70"/>
      <c r="DF379" s="70"/>
      <c r="DG379" s="70"/>
      <c r="DH379" s="70"/>
      <c r="DI379" s="70"/>
      <c r="DJ379" s="70"/>
      <c r="DK379" s="70"/>
      <c r="DL379" s="70"/>
      <c r="DM379" s="70"/>
      <c r="DN379" s="70"/>
      <c r="DO379" s="70"/>
      <c r="DP379" s="70"/>
      <c r="DQ379" s="70"/>
      <c r="DR379" s="70"/>
      <c r="DS379" s="70"/>
      <c r="DT379" s="70"/>
      <c r="DU379" s="70"/>
      <c r="DV379" s="70"/>
      <c r="DW379" s="70"/>
      <c r="DX379" s="70"/>
      <c r="DY379" s="70"/>
      <c r="DZ379" s="70"/>
      <c r="EA379" s="70"/>
      <c r="EB379" s="70"/>
      <c r="EC379" s="70"/>
      <c r="ED379" s="70"/>
      <c r="EE379" s="95" t="s">
        <v>450</v>
      </c>
      <c r="EF379" s="651"/>
      <c r="EG379" s="651"/>
      <c r="EH379" s="651"/>
      <c r="EI379" s="216"/>
      <c r="EJ379" s="662"/>
      <c r="EK379" s="662"/>
      <c r="EL379" s="662"/>
      <c r="EM379" s="662"/>
      <c r="EN379" s="662"/>
      <c r="EO379" s="662"/>
      <c r="EP379" s="662"/>
      <c r="EQ379" s="662"/>
      <c r="ER379" s="662"/>
      <c r="ES379" s="662"/>
      <c r="ET379" s="662"/>
      <c r="EU379" s="662"/>
      <c r="EV379" s="662"/>
      <c r="EW379" s="662"/>
      <c r="EX379" s="662"/>
      <c r="EY379" s="662"/>
      <c r="EZ379" s="662"/>
      <c r="FA379" s="662"/>
      <c r="FB379" s="662"/>
      <c r="FC379" s="662"/>
      <c r="FD379" s="662"/>
      <c r="FE379" s="662"/>
      <c r="FF379" s="662"/>
      <c r="FG379" s="662"/>
      <c r="FH379" s="662"/>
      <c r="FI379" s="662"/>
      <c r="FJ379" s="662"/>
      <c r="FK379" s="662"/>
      <c r="FL379" s="662"/>
      <c r="FM379" s="662"/>
      <c r="FN379" s="662"/>
      <c r="FO379" s="662"/>
      <c r="FP379" s="662"/>
      <c r="FQ379" s="662"/>
      <c r="FR379" s="662"/>
      <c r="FS379" s="662"/>
      <c r="FT379" s="662"/>
      <c r="FU379" s="662"/>
      <c r="FV379" s="662"/>
      <c r="FW379" s="662"/>
      <c r="FX379" s="662"/>
      <c r="FY379" s="662"/>
      <c r="FZ379" s="662"/>
      <c r="GA379" s="662"/>
      <c r="GB379" s="662"/>
      <c r="GC379" s="662"/>
      <c r="GD379" s="662"/>
      <c r="GE379" s="662"/>
      <c r="GF379" s="662"/>
      <c r="GG379" s="662"/>
      <c r="GH379" s="662"/>
      <c r="GI379" s="662"/>
      <c r="GJ379" s="662"/>
      <c r="GK379" s="662"/>
      <c r="GL379" s="662"/>
      <c r="GM379" s="662"/>
      <c r="GN379" s="662"/>
      <c r="GO379" s="662"/>
      <c r="GP379" s="662"/>
      <c r="GQ379" s="662"/>
      <c r="GR379" s="662"/>
      <c r="GS379" s="662"/>
      <c r="GT379" s="662"/>
      <c r="GU379" s="662"/>
      <c r="GV379" s="662"/>
      <c r="GW379" s="662"/>
      <c r="GX379" s="662"/>
      <c r="GY379" s="662"/>
      <c r="GZ379" s="662"/>
      <c r="HA379" s="662"/>
      <c r="HB379" s="662"/>
      <c r="HC379" s="662"/>
      <c r="HD379" s="662"/>
      <c r="HE379" s="662"/>
      <c r="HF379" s="662"/>
      <c r="HG379" s="662"/>
      <c r="HH379" s="662"/>
      <c r="HI379" s="662"/>
      <c r="HJ379" s="662"/>
      <c r="HK379" s="662"/>
      <c r="HL379" s="662"/>
      <c r="HM379" s="662"/>
      <c r="HN379" s="662"/>
      <c r="HO379" s="662"/>
      <c r="HP379" s="662"/>
      <c r="HQ379" s="662"/>
      <c r="HR379" s="662"/>
      <c r="HS379" s="662"/>
      <c r="HT379" s="662"/>
      <c r="HU379" s="662"/>
      <c r="HV379" s="662"/>
      <c r="HW379" s="662"/>
      <c r="HX379" s="662"/>
      <c r="HY379" s="662"/>
      <c r="HZ379" s="662"/>
      <c r="IA379" s="662"/>
      <c r="IB379" s="662"/>
      <c r="IC379" s="662"/>
      <c r="ID379" s="662"/>
      <c r="IE379" s="662"/>
      <c r="IF379" s="662"/>
      <c r="IG379" s="662"/>
      <c r="IH379" s="662"/>
      <c r="II379" s="662"/>
      <c r="IJ379" s="662"/>
      <c r="IK379" s="662"/>
      <c r="IL379" s="662"/>
      <c r="IM379" s="662"/>
      <c r="IN379" s="662"/>
      <c r="IO379" s="662"/>
      <c r="IP379" s="662"/>
      <c r="IQ379" s="70"/>
    </row>
    <row r="380" spans="18:251" ht="16.5" hidden="1" customHeight="1">
      <c r="R380" s="95"/>
      <c r="S380" s="95"/>
      <c r="T380" s="95"/>
      <c r="U380" s="70"/>
      <c r="V380" s="214"/>
      <c r="W380" s="70"/>
      <c r="X380" s="70"/>
      <c r="Y380" s="70"/>
      <c r="Z380" s="70"/>
      <c r="AA380" s="70"/>
      <c r="AB380" s="70"/>
      <c r="AC380" s="70"/>
      <c r="AD380" s="70"/>
      <c r="AE380" s="70"/>
      <c r="AF380" s="70"/>
      <c r="AG380" s="70"/>
      <c r="AH380" s="70"/>
      <c r="AI380" s="70"/>
      <c r="AJ380" s="70"/>
      <c r="AK380" s="70"/>
      <c r="AL380" s="70"/>
      <c r="AM380" s="70"/>
      <c r="AN380" s="70"/>
      <c r="AO380" s="70"/>
      <c r="AP380" s="70"/>
      <c r="AQ380" s="70"/>
      <c r="AR380" s="70"/>
      <c r="AS380" s="70"/>
      <c r="AT380" s="70"/>
      <c r="AU380" s="70"/>
      <c r="AV380" s="70"/>
      <c r="AW380" s="70"/>
      <c r="AX380" s="70"/>
      <c r="AY380" s="70"/>
      <c r="AZ380" s="70"/>
      <c r="BA380" s="70"/>
      <c r="BB380" s="70"/>
      <c r="BC380" s="70"/>
      <c r="BD380" s="70"/>
      <c r="BE380" s="70"/>
      <c r="BF380" s="70"/>
      <c r="BG380" s="70"/>
      <c r="BH380" s="70"/>
      <c r="BI380" s="70"/>
      <c r="BJ380" s="70"/>
      <c r="BK380" s="70"/>
      <c r="BL380" s="70"/>
      <c r="BM380" s="70"/>
      <c r="BN380" s="70"/>
      <c r="BO380" s="70"/>
      <c r="BP380" s="70"/>
      <c r="BQ380" s="70"/>
      <c r="BR380" s="70"/>
      <c r="BS380" s="70"/>
      <c r="BT380" s="70"/>
      <c r="BU380" s="70"/>
      <c r="BV380" s="70"/>
      <c r="BW380" s="70"/>
      <c r="BX380" s="70"/>
      <c r="BY380" s="70"/>
      <c r="BZ380" s="70"/>
      <c r="CA380" s="70"/>
      <c r="CB380" s="70"/>
      <c r="CC380" s="70"/>
      <c r="CD380" s="70"/>
      <c r="CE380" s="70"/>
      <c r="CF380" s="70"/>
      <c r="CG380" s="70"/>
      <c r="CH380" s="70"/>
      <c r="CI380" s="70"/>
      <c r="CJ380" s="70"/>
      <c r="CK380" s="70"/>
      <c r="CL380" s="70"/>
      <c r="CM380" s="70"/>
      <c r="CN380" s="70"/>
      <c r="CO380" s="70"/>
      <c r="CP380" s="70"/>
      <c r="CQ380" s="70"/>
      <c r="CR380" s="70"/>
      <c r="CS380" s="70"/>
      <c r="CT380" s="70"/>
      <c r="CU380" s="70"/>
      <c r="CV380" s="70"/>
      <c r="CW380" s="70"/>
      <c r="CX380" s="70"/>
      <c r="CY380" s="70"/>
      <c r="CZ380" s="70"/>
      <c r="DA380" s="70"/>
      <c r="DB380" s="70"/>
      <c r="DC380" s="70"/>
      <c r="DD380" s="70"/>
      <c r="DE380" s="70"/>
      <c r="DF380" s="70"/>
      <c r="DG380" s="70"/>
      <c r="DH380" s="70"/>
      <c r="DI380" s="70"/>
      <c r="DJ380" s="70"/>
      <c r="DK380" s="70"/>
      <c r="DL380" s="70"/>
      <c r="DM380" s="70"/>
      <c r="DN380" s="70"/>
      <c r="DO380" s="70"/>
      <c r="DP380" s="70"/>
      <c r="DQ380" s="70"/>
      <c r="DR380" s="70"/>
      <c r="DS380" s="70"/>
      <c r="DT380" s="70"/>
      <c r="DU380" s="70"/>
      <c r="DV380" s="70"/>
      <c r="DW380" s="70"/>
      <c r="DX380" s="70"/>
      <c r="DY380" s="70"/>
      <c r="DZ380" s="70"/>
      <c r="EA380" s="70"/>
      <c r="EB380" s="70"/>
      <c r="EC380" s="70"/>
      <c r="ED380" s="70"/>
      <c r="EE380" s="95" t="s">
        <v>450</v>
      </c>
      <c r="EF380" s="651"/>
      <c r="EG380" s="651"/>
      <c r="EH380" s="651"/>
      <c r="EI380" s="216"/>
      <c r="EJ380" s="662"/>
      <c r="EK380" s="662"/>
      <c r="EL380" s="662"/>
      <c r="EM380" s="662"/>
      <c r="EN380" s="662"/>
      <c r="EO380" s="662"/>
      <c r="EP380" s="662"/>
      <c r="EQ380" s="662"/>
      <c r="ER380" s="662"/>
      <c r="ES380" s="662"/>
      <c r="ET380" s="662"/>
      <c r="EU380" s="662"/>
      <c r="EV380" s="662"/>
      <c r="EW380" s="662"/>
      <c r="EX380" s="662"/>
      <c r="EY380" s="662"/>
      <c r="EZ380" s="662"/>
      <c r="FA380" s="662"/>
      <c r="FB380" s="662"/>
      <c r="FC380" s="662"/>
      <c r="FD380" s="662"/>
      <c r="FE380" s="662"/>
      <c r="FF380" s="662"/>
      <c r="FG380" s="662"/>
      <c r="FH380" s="662"/>
      <c r="FI380" s="662"/>
      <c r="FJ380" s="662"/>
      <c r="FK380" s="662"/>
      <c r="FL380" s="662"/>
      <c r="FM380" s="662"/>
      <c r="FN380" s="662"/>
      <c r="FO380" s="662"/>
      <c r="FP380" s="662"/>
      <c r="FQ380" s="662"/>
      <c r="FR380" s="662"/>
      <c r="FS380" s="662"/>
      <c r="FT380" s="662"/>
      <c r="FU380" s="662"/>
      <c r="FV380" s="662"/>
      <c r="FW380" s="662"/>
      <c r="FX380" s="662"/>
      <c r="FY380" s="662"/>
      <c r="FZ380" s="662"/>
      <c r="GA380" s="662"/>
      <c r="GB380" s="662"/>
      <c r="GC380" s="662"/>
      <c r="GD380" s="662"/>
      <c r="GE380" s="662"/>
      <c r="GF380" s="662"/>
      <c r="GG380" s="662"/>
      <c r="GH380" s="662"/>
      <c r="GI380" s="662"/>
      <c r="GJ380" s="662"/>
      <c r="GK380" s="662"/>
      <c r="GL380" s="662"/>
      <c r="GM380" s="662"/>
      <c r="GN380" s="662"/>
      <c r="GO380" s="662"/>
      <c r="GP380" s="662"/>
      <c r="GQ380" s="662"/>
      <c r="GR380" s="662"/>
      <c r="GS380" s="662"/>
      <c r="GT380" s="662"/>
      <c r="GU380" s="662"/>
      <c r="GV380" s="662"/>
      <c r="GW380" s="662"/>
      <c r="GX380" s="662"/>
      <c r="GY380" s="662"/>
      <c r="GZ380" s="662"/>
      <c r="HA380" s="662"/>
      <c r="HB380" s="662"/>
      <c r="HC380" s="662"/>
      <c r="HD380" s="662"/>
      <c r="HE380" s="662"/>
      <c r="HF380" s="662"/>
      <c r="HG380" s="662"/>
      <c r="HH380" s="662"/>
      <c r="HI380" s="662"/>
      <c r="HJ380" s="662"/>
      <c r="HK380" s="662"/>
      <c r="HL380" s="662"/>
      <c r="HM380" s="662"/>
      <c r="HN380" s="662"/>
      <c r="HO380" s="662"/>
      <c r="HP380" s="662"/>
      <c r="HQ380" s="662"/>
      <c r="HR380" s="662"/>
      <c r="HS380" s="662"/>
      <c r="HT380" s="662"/>
      <c r="HU380" s="662"/>
      <c r="HV380" s="662"/>
      <c r="HW380" s="662"/>
      <c r="HX380" s="662"/>
      <c r="HY380" s="662"/>
      <c r="HZ380" s="662"/>
      <c r="IA380" s="662"/>
      <c r="IB380" s="662"/>
      <c r="IC380" s="662"/>
      <c r="ID380" s="662"/>
      <c r="IE380" s="662"/>
      <c r="IF380" s="662"/>
      <c r="IG380" s="662"/>
      <c r="IH380" s="662"/>
      <c r="II380" s="662"/>
      <c r="IJ380" s="662"/>
      <c r="IK380" s="662"/>
      <c r="IL380" s="662"/>
      <c r="IM380" s="662"/>
      <c r="IN380" s="662"/>
      <c r="IO380" s="662"/>
      <c r="IP380" s="662"/>
      <c r="IQ380" s="70"/>
    </row>
    <row r="381" spans="18:251" ht="16.5" hidden="1" customHeight="1">
      <c r="R381" s="95"/>
      <c r="S381" s="95"/>
      <c r="T381" s="95"/>
      <c r="U381" s="70"/>
      <c r="V381" s="214"/>
      <c r="W381" s="70"/>
      <c r="X381" s="70"/>
      <c r="Y381" s="70"/>
      <c r="Z381" s="70"/>
      <c r="AA381" s="70"/>
      <c r="AB381" s="70"/>
      <c r="AC381" s="70"/>
      <c r="AD381" s="70"/>
      <c r="AE381" s="70"/>
      <c r="AF381" s="70"/>
      <c r="AG381" s="70"/>
      <c r="AH381" s="70"/>
      <c r="AI381" s="70"/>
      <c r="AJ381" s="70"/>
      <c r="AK381" s="70"/>
      <c r="AL381" s="70"/>
      <c r="AM381" s="70"/>
      <c r="AN381" s="70"/>
      <c r="AO381" s="70"/>
      <c r="AP381" s="70"/>
      <c r="AQ381" s="70"/>
      <c r="AR381" s="70"/>
      <c r="AS381" s="70"/>
      <c r="AT381" s="70"/>
      <c r="AU381" s="70"/>
      <c r="AV381" s="70"/>
      <c r="AW381" s="70"/>
      <c r="AX381" s="70"/>
      <c r="AY381" s="70"/>
      <c r="AZ381" s="70"/>
      <c r="BA381" s="70"/>
      <c r="BB381" s="70"/>
      <c r="BC381" s="70"/>
      <c r="BD381" s="70"/>
      <c r="BE381" s="70"/>
      <c r="BF381" s="70"/>
      <c r="BG381" s="70"/>
      <c r="BH381" s="70"/>
      <c r="BI381" s="70"/>
      <c r="BJ381" s="70"/>
      <c r="BK381" s="70"/>
      <c r="BL381" s="70"/>
      <c r="BM381" s="70"/>
      <c r="BN381" s="70"/>
      <c r="BO381" s="70"/>
      <c r="BP381" s="70"/>
      <c r="BQ381" s="70"/>
      <c r="BR381" s="70"/>
      <c r="BS381" s="70"/>
      <c r="BT381" s="70"/>
      <c r="BU381" s="70"/>
      <c r="BV381" s="70"/>
      <c r="BW381" s="70"/>
      <c r="BX381" s="70"/>
      <c r="BY381" s="70"/>
      <c r="BZ381" s="70"/>
      <c r="CA381" s="70"/>
      <c r="CB381" s="70"/>
      <c r="CC381" s="70"/>
      <c r="CD381" s="70"/>
      <c r="CE381" s="70"/>
      <c r="CF381" s="70"/>
      <c r="CG381" s="70"/>
      <c r="CH381" s="70"/>
      <c r="CI381" s="70"/>
      <c r="CJ381" s="70"/>
      <c r="CK381" s="70"/>
      <c r="CL381" s="70"/>
      <c r="CM381" s="70"/>
      <c r="CN381" s="70"/>
      <c r="CO381" s="70"/>
      <c r="CP381" s="70"/>
      <c r="CQ381" s="70"/>
      <c r="CR381" s="70"/>
      <c r="CS381" s="70"/>
      <c r="CT381" s="70"/>
      <c r="CU381" s="70"/>
      <c r="CV381" s="70"/>
      <c r="CW381" s="70"/>
      <c r="CX381" s="70"/>
      <c r="CY381" s="70"/>
      <c r="CZ381" s="70"/>
      <c r="DA381" s="70"/>
      <c r="DB381" s="70"/>
      <c r="DC381" s="70"/>
      <c r="DD381" s="70"/>
      <c r="DE381" s="70"/>
      <c r="DF381" s="70"/>
      <c r="DG381" s="70"/>
      <c r="DH381" s="70"/>
      <c r="DI381" s="70"/>
      <c r="DJ381" s="70"/>
      <c r="DK381" s="70"/>
      <c r="DL381" s="70"/>
      <c r="DM381" s="70"/>
      <c r="DN381" s="70"/>
      <c r="DO381" s="70"/>
      <c r="DP381" s="70"/>
      <c r="DQ381" s="70"/>
      <c r="DR381" s="70"/>
      <c r="DS381" s="70"/>
      <c r="DT381" s="70"/>
      <c r="DU381" s="70"/>
      <c r="DV381" s="70"/>
      <c r="DW381" s="70"/>
      <c r="DX381" s="70"/>
      <c r="DY381" s="70"/>
      <c r="DZ381" s="70"/>
      <c r="EA381" s="70"/>
      <c r="EB381" s="70"/>
      <c r="EC381" s="70"/>
      <c r="ED381" s="70"/>
      <c r="EE381" s="95" t="s">
        <v>450</v>
      </c>
      <c r="EF381" s="651"/>
      <c r="EG381" s="651"/>
      <c r="EH381" s="651"/>
      <c r="EI381" s="216"/>
      <c r="EJ381" s="662"/>
      <c r="EK381" s="662"/>
      <c r="EL381" s="662"/>
      <c r="EM381" s="662"/>
      <c r="EN381" s="662"/>
      <c r="EO381" s="662"/>
      <c r="EP381" s="662"/>
      <c r="EQ381" s="662"/>
      <c r="ER381" s="662"/>
      <c r="ES381" s="662"/>
      <c r="ET381" s="662"/>
      <c r="EU381" s="662"/>
      <c r="EV381" s="662"/>
      <c r="EW381" s="662"/>
      <c r="EX381" s="662"/>
      <c r="EY381" s="662"/>
      <c r="EZ381" s="662"/>
      <c r="FA381" s="662"/>
      <c r="FB381" s="662"/>
      <c r="FC381" s="662"/>
      <c r="FD381" s="662"/>
      <c r="FE381" s="662"/>
      <c r="FF381" s="662"/>
      <c r="FG381" s="662"/>
      <c r="FH381" s="662"/>
      <c r="FI381" s="662"/>
      <c r="FJ381" s="662"/>
      <c r="FK381" s="662"/>
      <c r="FL381" s="662"/>
      <c r="FM381" s="662"/>
      <c r="FN381" s="662"/>
      <c r="FO381" s="662"/>
      <c r="FP381" s="662"/>
      <c r="FQ381" s="662"/>
      <c r="FR381" s="662"/>
      <c r="FS381" s="662"/>
      <c r="FT381" s="662"/>
      <c r="FU381" s="662"/>
      <c r="FV381" s="662"/>
      <c r="FW381" s="662"/>
      <c r="FX381" s="662"/>
      <c r="FY381" s="662"/>
      <c r="FZ381" s="662"/>
      <c r="GA381" s="662"/>
      <c r="GB381" s="662"/>
      <c r="GC381" s="662"/>
      <c r="GD381" s="662"/>
      <c r="GE381" s="662"/>
      <c r="GF381" s="662"/>
      <c r="GG381" s="662"/>
      <c r="GH381" s="662"/>
      <c r="GI381" s="662"/>
      <c r="GJ381" s="662"/>
      <c r="GK381" s="662"/>
      <c r="GL381" s="662"/>
      <c r="GM381" s="662"/>
      <c r="GN381" s="662"/>
      <c r="GO381" s="662"/>
      <c r="GP381" s="662"/>
      <c r="GQ381" s="662"/>
      <c r="GR381" s="662"/>
      <c r="GS381" s="662"/>
      <c r="GT381" s="662"/>
      <c r="GU381" s="662"/>
      <c r="GV381" s="662"/>
      <c r="GW381" s="662"/>
      <c r="GX381" s="662"/>
      <c r="GY381" s="662"/>
      <c r="GZ381" s="662"/>
      <c r="HA381" s="662"/>
      <c r="HB381" s="662"/>
      <c r="HC381" s="662"/>
      <c r="HD381" s="662"/>
      <c r="HE381" s="662"/>
      <c r="HF381" s="662"/>
      <c r="HG381" s="662"/>
      <c r="HH381" s="662"/>
      <c r="HI381" s="662"/>
      <c r="HJ381" s="662"/>
      <c r="HK381" s="662"/>
      <c r="HL381" s="662"/>
      <c r="HM381" s="662"/>
      <c r="HN381" s="662"/>
      <c r="HO381" s="662"/>
      <c r="HP381" s="662"/>
      <c r="HQ381" s="662"/>
      <c r="HR381" s="662"/>
      <c r="HS381" s="662"/>
      <c r="HT381" s="662"/>
      <c r="HU381" s="662"/>
      <c r="HV381" s="662"/>
      <c r="HW381" s="662"/>
      <c r="HX381" s="662"/>
      <c r="HY381" s="662"/>
      <c r="HZ381" s="662"/>
      <c r="IA381" s="662"/>
      <c r="IB381" s="662"/>
      <c r="IC381" s="662"/>
      <c r="ID381" s="662"/>
      <c r="IE381" s="662"/>
      <c r="IF381" s="662"/>
      <c r="IG381" s="662"/>
      <c r="IH381" s="662"/>
      <c r="II381" s="662"/>
      <c r="IJ381" s="662"/>
      <c r="IK381" s="662"/>
      <c r="IL381" s="662"/>
      <c r="IM381" s="662"/>
      <c r="IN381" s="662"/>
      <c r="IO381" s="662"/>
      <c r="IP381" s="662"/>
      <c r="IQ381" s="70"/>
    </row>
    <row r="382" spans="18:251" ht="16.5" hidden="1" customHeight="1">
      <c r="R382" s="95"/>
      <c r="S382" s="95"/>
      <c r="T382" s="95"/>
      <c r="U382" s="70"/>
      <c r="V382" s="214"/>
      <c r="W382" s="70"/>
      <c r="X382" s="70"/>
      <c r="Y382" s="70"/>
      <c r="Z382" s="70"/>
      <c r="AA382" s="70"/>
      <c r="AB382" s="70"/>
      <c r="AC382" s="70"/>
      <c r="AD382" s="70"/>
      <c r="AE382" s="70"/>
      <c r="AF382" s="70"/>
      <c r="AG382" s="70"/>
      <c r="AH382" s="70"/>
      <c r="AI382" s="70"/>
      <c r="AJ382" s="70"/>
      <c r="AK382" s="70"/>
      <c r="AL382" s="70"/>
      <c r="AM382" s="70"/>
      <c r="AN382" s="70"/>
      <c r="AO382" s="70"/>
      <c r="AP382" s="70"/>
      <c r="AQ382" s="70"/>
      <c r="AR382" s="70"/>
      <c r="AS382" s="70"/>
      <c r="AT382" s="70"/>
      <c r="AU382" s="70"/>
      <c r="AV382" s="70"/>
      <c r="AW382" s="70"/>
      <c r="AX382" s="70"/>
      <c r="AY382" s="70"/>
      <c r="AZ382" s="70"/>
      <c r="BA382" s="70"/>
      <c r="BB382" s="70"/>
      <c r="BC382" s="70"/>
      <c r="BD382" s="70"/>
      <c r="BE382" s="70"/>
      <c r="BF382" s="70"/>
      <c r="BG382" s="70"/>
      <c r="BH382" s="70"/>
      <c r="BI382" s="70"/>
      <c r="BJ382" s="70"/>
      <c r="BK382" s="70"/>
      <c r="BL382" s="70"/>
      <c r="BM382" s="70"/>
      <c r="BN382" s="70"/>
      <c r="BO382" s="70"/>
      <c r="BP382" s="70"/>
      <c r="BQ382" s="70"/>
      <c r="BR382" s="70"/>
      <c r="BS382" s="70"/>
      <c r="BT382" s="70"/>
      <c r="BU382" s="70"/>
      <c r="BV382" s="70"/>
      <c r="BW382" s="70"/>
      <c r="BX382" s="70"/>
      <c r="BY382" s="70"/>
      <c r="BZ382" s="70"/>
      <c r="CA382" s="70"/>
      <c r="CB382" s="70"/>
      <c r="CC382" s="70"/>
      <c r="CD382" s="70"/>
      <c r="CE382" s="70"/>
      <c r="CF382" s="70"/>
      <c r="CG382" s="70"/>
      <c r="CH382" s="70"/>
      <c r="CI382" s="70"/>
      <c r="CJ382" s="70"/>
      <c r="CK382" s="70"/>
      <c r="CL382" s="70"/>
      <c r="CM382" s="70"/>
      <c r="CN382" s="70"/>
      <c r="CO382" s="70"/>
      <c r="CP382" s="70"/>
      <c r="CQ382" s="70"/>
      <c r="CR382" s="70"/>
      <c r="CS382" s="70"/>
      <c r="CT382" s="70"/>
      <c r="CU382" s="70"/>
      <c r="CV382" s="70"/>
      <c r="CW382" s="70"/>
      <c r="CX382" s="70"/>
      <c r="CY382" s="70"/>
      <c r="CZ382" s="70"/>
      <c r="DA382" s="70"/>
      <c r="DB382" s="70"/>
      <c r="DC382" s="70"/>
      <c r="DD382" s="70"/>
      <c r="DE382" s="70"/>
      <c r="DF382" s="70"/>
      <c r="DG382" s="70"/>
      <c r="DH382" s="70"/>
      <c r="DI382" s="70"/>
      <c r="DJ382" s="70"/>
      <c r="DK382" s="70"/>
      <c r="DL382" s="70"/>
      <c r="DM382" s="70"/>
      <c r="DN382" s="70"/>
      <c r="DO382" s="70"/>
      <c r="DP382" s="70"/>
      <c r="DQ382" s="70"/>
      <c r="DR382" s="70"/>
      <c r="DS382" s="70"/>
      <c r="DT382" s="70"/>
      <c r="DU382" s="70"/>
      <c r="DV382" s="70"/>
      <c r="DW382" s="70"/>
      <c r="DX382" s="70"/>
      <c r="DY382" s="70"/>
      <c r="DZ382" s="70"/>
      <c r="EA382" s="70"/>
      <c r="EB382" s="70"/>
      <c r="EC382" s="70"/>
      <c r="ED382" s="70"/>
      <c r="EE382" s="95" t="s">
        <v>450</v>
      </c>
      <c r="EF382" s="651"/>
      <c r="EG382" s="651"/>
      <c r="EH382" s="651"/>
      <c r="EI382" s="216"/>
      <c r="EJ382" s="662"/>
      <c r="EK382" s="662"/>
      <c r="EL382" s="662"/>
      <c r="EM382" s="662"/>
      <c r="EN382" s="662"/>
      <c r="EO382" s="662"/>
      <c r="EP382" s="662"/>
      <c r="EQ382" s="662"/>
      <c r="ER382" s="662"/>
      <c r="ES382" s="662"/>
      <c r="ET382" s="662"/>
      <c r="EU382" s="662"/>
      <c r="EV382" s="662"/>
      <c r="EW382" s="662"/>
      <c r="EX382" s="662"/>
      <c r="EY382" s="662"/>
      <c r="EZ382" s="662"/>
      <c r="FA382" s="662"/>
      <c r="FB382" s="662"/>
      <c r="FC382" s="662"/>
      <c r="FD382" s="662"/>
      <c r="FE382" s="662"/>
      <c r="FF382" s="662"/>
      <c r="FG382" s="662"/>
      <c r="FH382" s="662"/>
      <c r="FI382" s="662"/>
      <c r="FJ382" s="662"/>
      <c r="FK382" s="662"/>
      <c r="FL382" s="662"/>
      <c r="FM382" s="662"/>
      <c r="FN382" s="662"/>
      <c r="FO382" s="662"/>
      <c r="FP382" s="662"/>
      <c r="FQ382" s="662"/>
      <c r="FR382" s="662"/>
      <c r="FS382" s="662"/>
      <c r="FT382" s="662"/>
      <c r="FU382" s="662"/>
      <c r="FV382" s="662"/>
      <c r="FW382" s="662"/>
      <c r="FX382" s="662"/>
      <c r="FY382" s="662"/>
      <c r="FZ382" s="662"/>
      <c r="GA382" s="662"/>
      <c r="GB382" s="662"/>
      <c r="GC382" s="662"/>
      <c r="GD382" s="662"/>
      <c r="GE382" s="662"/>
      <c r="GF382" s="662"/>
      <c r="GG382" s="662"/>
      <c r="GH382" s="662"/>
      <c r="GI382" s="662"/>
      <c r="GJ382" s="662"/>
      <c r="GK382" s="662"/>
      <c r="GL382" s="662"/>
      <c r="GM382" s="662"/>
      <c r="GN382" s="662"/>
      <c r="GO382" s="662"/>
      <c r="GP382" s="662"/>
      <c r="GQ382" s="662"/>
      <c r="GR382" s="662"/>
      <c r="GS382" s="662"/>
      <c r="GT382" s="662"/>
      <c r="GU382" s="662"/>
      <c r="GV382" s="662"/>
      <c r="GW382" s="662"/>
      <c r="GX382" s="662"/>
      <c r="GY382" s="662"/>
      <c r="GZ382" s="662"/>
      <c r="HA382" s="662"/>
      <c r="HB382" s="662"/>
      <c r="HC382" s="662"/>
      <c r="HD382" s="662"/>
      <c r="HE382" s="662"/>
      <c r="HF382" s="662"/>
      <c r="HG382" s="662"/>
      <c r="HH382" s="662"/>
      <c r="HI382" s="662"/>
      <c r="HJ382" s="662"/>
      <c r="HK382" s="662"/>
      <c r="HL382" s="662"/>
      <c r="HM382" s="662"/>
      <c r="HN382" s="662"/>
      <c r="HO382" s="662"/>
      <c r="HP382" s="662"/>
      <c r="HQ382" s="662"/>
      <c r="HR382" s="662"/>
      <c r="HS382" s="662"/>
      <c r="HT382" s="662"/>
      <c r="HU382" s="662"/>
      <c r="HV382" s="662"/>
      <c r="HW382" s="662"/>
      <c r="HX382" s="662"/>
      <c r="HY382" s="662"/>
      <c r="HZ382" s="662"/>
      <c r="IA382" s="662"/>
      <c r="IB382" s="662"/>
      <c r="IC382" s="662"/>
      <c r="ID382" s="662"/>
      <c r="IE382" s="662"/>
      <c r="IF382" s="662"/>
      <c r="IG382" s="662"/>
      <c r="IH382" s="662"/>
      <c r="II382" s="662"/>
      <c r="IJ382" s="662"/>
      <c r="IK382" s="662"/>
      <c r="IL382" s="662"/>
      <c r="IM382" s="662"/>
      <c r="IN382" s="662"/>
      <c r="IO382" s="662"/>
      <c r="IP382" s="662"/>
      <c r="IQ382" s="70"/>
    </row>
    <row r="383" spans="18:251" ht="16.5" hidden="1" customHeight="1">
      <c r="R383" s="95"/>
      <c r="S383" s="95"/>
      <c r="T383" s="95"/>
      <c r="U383" s="70"/>
      <c r="V383" s="214"/>
      <c r="W383" s="70"/>
      <c r="X383" s="70"/>
      <c r="Y383" s="70"/>
      <c r="Z383" s="70"/>
      <c r="AA383" s="70"/>
      <c r="AB383" s="70"/>
      <c r="AC383" s="70"/>
      <c r="AD383" s="70"/>
      <c r="AE383" s="70"/>
      <c r="AF383" s="70"/>
      <c r="AG383" s="70"/>
      <c r="AH383" s="70"/>
      <c r="AI383" s="70"/>
      <c r="AJ383" s="70"/>
      <c r="AK383" s="70"/>
      <c r="AL383" s="70"/>
      <c r="AM383" s="70"/>
      <c r="AN383" s="70"/>
      <c r="AO383" s="70"/>
      <c r="AP383" s="70"/>
      <c r="AQ383" s="70"/>
      <c r="AR383" s="70"/>
      <c r="AS383" s="70"/>
      <c r="AT383" s="70"/>
      <c r="AU383" s="70"/>
      <c r="AV383" s="70"/>
      <c r="AW383" s="70"/>
      <c r="AX383" s="70"/>
      <c r="AY383" s="70"/>
      <c r="AZ383" s="70"/>
      <c r="BA383" s="70"/>
      <c r="BB383" s="70"/>
      <c r="BC383" s="70"/>
      <c r="BD383" s="70"/>
      <c r="BE383" s="70"/>
      <c r="BF383" s="70"/>
      <c r="BG383" s="70"/>
      <c r="BH383" s="70"/>
      <c r="BI383" s="70"/>
      <c r="BJ383" s="70"/>
      <c r="BK383" s="70"/>
      <c r="BL383" s="70"/>
      <c r="BM383" s="70"/>
      <c r="BN383" s="70"/>
      <c r="BO383" s="70"/>
      <c r="BP383" s="70"/>
      <c r="BQ383" s="70"/>
      <c r="BR383" s="70"/>
      <c r="BS383" s="70"/>
      <c r="BT383" s="70"/>
      <c r="BU383" s="70"/>
      <c r="BV383" s="70"/>
      <c r="BW383" s="70"/>
      <c r="BX383" s="70"/>
      <c r="BY383" s="70"/>
      <c r="BZ383" s="70"/>
      <c r="CA383" s="70"/>
      <c r="CB383" s="70"/>
      <c r="CC383" s="70"/>
      <c r="CD383" s="70"/>
      <c r="CE383" s="70"/>
      <c r="CF383" s="70"/>
      <c r="CG383" s="70"/>
      <c r="CH383" s="70"/>
      <c r="CI383" s="70"/>
      <c r="CJ383" s="70"/>
      <c r="CK383" s="70"/>
      <c r="CL383" s="70"/>
      <c r="CM383" s="70"/>
      <c r="CN383" s="70"/>
      <c r="CO383" s="70"/>
      <c r="CP383" s="70"/>
      <c r="CQ383" s="70"/>
      <c r="CR383" s="70"/>
      <c r="CS383" s="70"/>
      <c r="CT383" s="70"/>
      <c r="CU383" s="70"/>
      <c r="CV383" s="70"/>
      <c r="CW383" s="70"/>
      <c r="CX383" s="70"/>
      <c r="CY383" s="70"/>
      <c r="CZ383" s="70"/>
      <c r="DA383" s="70"/>
      <c r="DB383" s="70"/>
      <c r="DC383" s="70"/>
      <c r="DD383" s="70"/>
      <c r="DE383" s="70"/>
      <c r="DF383" s="70"/>
      <c r="DG383" s="70"/>
      <c r="DH383" s="70"/>
      <c r="DI383" s="70"/>
      <c r="DJ383" s="70"/>
      <c r="DK383" s="70"/>
      <c r="DL383" s="70"/>
      <c r="DM383" s="70"/>
      <c r="DN383" s="70"/>
      <c r="DO383" s="70"/>
      <c r="DP383" s="70"/>
      <c r="DQ383" s="70"/>
      <c r="DR383" s="70"/>
      <c r="DS383" s="70"/>
      <c r="DT383" s="70"/>
      <c r="DU383" s="70"/>
      <c r="DV383" s="70"/>
      <c r="DW383" s="70"/>
      <c r="DX383" s="70"/>
      <c r="DY383" s="70"/>
      <c r="DZ383" s="70"/>
      <c r="EA383" s="70"/>
      <c r="EB383" s="70"/>
      <c r="EC383" s="70"/>
      <c r="ED383" s="70"/>
      <c r="EE383" s="95" t="s">
        <v>450</v>
      </c>
      <c r="EF383" s="651"/>
      <c r="EG383" s="651"/>
      <c r="EH383" s="651"/>
      <c r="EI383" s="216"/>
      <c r="EJ383" s="662"/>
      <c r="EK383" s="662"/>
      <c r="EL383" s="662"/>
      <c r="EM383" s="662"/>
      <c r="EN383" s="662"/>
      <c r="EO383" s="662"/>
      <c r="EP383" s="662"/>
      <c r="EQ383" s="662"/>
      <c r="ER383" s="662"/>
      <c r="ES383" s="662"/>
      <c r="ET383" s="662"/>
      <c r="EU383" s="662"/>
      <c r="EV383" s="662"/>
      <c r="EW383" s="662"/>
      <c r="EX383" s="662"/>
      <c r="EY383" s="662"/>
      <c r="EZ383" s="662"/>
      <c r="FA383" s="662"/>
      <c r="FB383" s="662"/>
      <c r="FC383" s="662"/>
      <c r="FD383" s="662"/>
      <c r="FE383" s="662"/>
      <c r="FF383" s="662"/>
      <c r="FG383" s="662"/>
      <c r="FH383" s="662"/>
      <c r="FI383" s="662"/>
      <c r="FJ383" s="662"/>
      <c r="FK383" s="662"/>
      <c r="FL383" s="662"/>
      <c r="FM383" s="662"/>
      <c r="FN383" s="662"/>
      <c r="FO383" s="662"/>
      <c r="FP383" s="662"/>
      <c r="FQ383" s="662"/>
      <c r="FR383" s="662"/>
      <c r="FS383" s="662"/>
      <c r="FT383" s="662"/>
      <c r="FU383" s="662"/>
      <c r="FV383" s="662"/>
      <c r="FW383" s="662"/>
      <c r="FX383" s="662"/>
      <c r="FY383" s="662"/>
      <c r="FZ383" s="662"/>
      <c r="GA383" s="662"/>
      <c r="GB383" s="662"/>
      <c r="GC383" s="662"/>
      <c r="GD383" s="662"/>
      <c r="GE383" s="662"/>
      <c r="GF383" s="662"/>
      <c r="GG383" s="662"/>
      <c r="GH383" s="662"/>
      <c r="GI383" s="662"/>
      <c r="GJ383" s="662"/>
      <c r="GK383" s="662"/>
      <c r="GL383" s="662"/>
      <c r="GM383" s="662"/>
      <c r="GN383" s="662"/>
      <c r="GO383" s="662"/>
      <c r="GP383" s="662"/>
      <c r="GQ383" s="662"/>
      <c r="GR383" s="662"/>
      <c r="GS383" s="662"/>
      <c r="GT383" s="662"/>
      <c r="GU383" s="662"/>
      <c r="GV383" s="662"/>
      <c r="GW383" s="662"/>
      <c r="GX383" s="662"/>
      <c r="GY383" s="662"/>
      <c r="GZ383" s="662"/>
      <c r="HA383" s="662"/>
      <c r="HB383" s="662"/>
      <c r="HC383" s="662"/>
      <c r="HD383" s="662"/>
      <c r="HE383" s="662"/>
      <c r="HF383" s="662"/>
      <c r="HG383" s="662"/>
      <c r="HH383" s="662"/>
      <c r="HI383" s="662"/>
      <c r="HJ383" s="662"/>
      <c r="HK383" s="662"/>
      <c r="HL383" s="662"/>
      <c r="HM383" s="662"/>
      <c r="HN383" s="662"/>
      <c r="HO383" s="662"/>
      <c r="HP383" s="662"/>
      <c r="HQ383" s="662"/>
      <c r="HR383" s="662"/>
      <c r="HS383" s="662"/>
      <c r="HT383" s="662"/>
      <c r="HU383" s="662"/>
      <c r="HV383" s="662"/>
      <c r="HW383" s="662"/>
      <c r="HX383" s="662"/>
      <c r="HY383" s="662"/>
      <c r="HZ383" s="662"/>
      <c r="IA383" s="662"/>
      <c r="IB383" s="662"/>
      <c r="IC383" s="662"/>
      <c r="ID383" s="662"/>
      <c r="IE383" s="662"/>
      <c r="IF383" s="662"/>
      <c r="IG383" s="662"/>
      <c r="IH383" s="662"/>
      <c r="II383" s="662"/>
      <c r="IJ383" s="662"/>
      <c r="IK383" s="662"/>
      <c r="IL383" s="662"/>
      <c r="IM383" s="662"/>
      <c r="IN383" s="662"/>
      <c r="IO383" s="662"/>
      <c r="IP383" s="662"/>
      <c r="IQ383" s="70"/>
    </row>
    <row r="384" spans="18:251" ht="16.5" hidden="1" customHeight="1">
      <c r="R384" s="95"/>
      <c r="S384" s="95"/>
      <c r="T384" s="95"/>
      <c r="U384" s="70"/>
      <c r="V384" s="214"/>
      <c r="W384" s="70"/>
      <c r="X384" s="70"/>
      <c r="Y384" s="70"/>
      <c r="Z384" s="70"/>
      <c r="AA384" s="70"/>
      <c r="AB384" s="70"/>
      <c r="AC384" s="70"/>
      <c r="AD384" s="70"/>
      <c r="AE384" s="70"/>
      <c r="AF384" s="70"/>
      <c r="AG384" s="70"/>
      <c r="AH384" s="70"/>
      <c r="AI384" s="70"/>
      <c r="AJ384" s="70"/>
      <c r="AK384" s="70"/>
      <c r="AL384" s="70"/>
      <c r="AM384" s="70"/>
      <c r="AN384" s="70"/>
      <c r="AO384" s="70"/>
      <c r="AP384" s="70"/>
      <c r="AQ384" s="70"/>
      <c r="AR384" s="70"/>
      <c r="AS384" s="70"/>
      <c r="AT384" s="70"/>
      <c r="AU384" s="70"/>
      <c r="AV384" s="70"/>
      <c r="AW384" s="70"/>
      <c r="AX384" s="70"/>
      <c r="AY384" s="70"/>
      <c r="AZ384" s="70"/>
      <c r="BA384" s="70"/>
      <c r="BB384" s="70"/>
      <c r="BC384" s="70"/>
      <c r="BD384" s="70"/>
      <c r="BE384" s="70"/>
      <c r="BF384" s="70"/>
      <c r="BG384" s="70"/>
      <c r="BH384" s="70"/>
      <c r="BI384" s="70"/>
      <c r="BJ384" s="70"/>
      <c r="BK384" s="70"/>
      <c r="BL384" s="70"/>
      <c r="BM384" s="70"/>
      <c r="BN384" s="70"/>
      <c r="BO384" s="70"/>
      <c r="BP384" s="70"/>
      <c r="BQ384" s="70"/>
      <c r="BR384" s="70"/>
      <c r="BS384" s="70"/>
      <c r="BT384" s="70"/>
      <c r="BU384" s="70"/>
      <c r="BV384" s="70"/>
      <c r="BW384" s="70"/>
      <c r="BX384" s="70"/>
      <c r="BY384" s="70"/>
      <c r="BZ384" s="70"/>
      <c r="CA384" s="70"/>
      <c r="CB384" s="70"/>
      <c r="CC384" s="70"/>
      <c r="CD384" s="70"/>
      <c r="CE384" s="70"/>
      <c r="CF384" s="70"/>
      <c r="CG384" s="70"/>
      <c r="CH384" s="70"/>
      <c r="CI384" s="70"/>
      <c r="CJ384" s="70"/>
      <c r="CK384" s="70"/>
      <c r="CL384" s="70"/>
      <c r="CM384" s="70"/>
      <c r="CN384" s="70"/>
      <c r="CO384" s="70"/>
      <c r="CP384" s="70"/>
      <c r="CQ384" s="70"/>
      <c r="CR384" s="70"/>
      <c r="CS384" s="70"/>
      <c r="CT384" s="70"/>
      <c r="CU384" s="70"/>
      <c r="CV384" s="70"/>
      <c r="CW384" s="70"/>
      <c r="CX384" s="70"/>
      <c r="CY384" s="70"/>
      <c r="CZ384" s="70"/>
      <c r="DA384" s="70"/>
      <c r="DB384" s="70"/>
      <c r="DC384" s="70"/>
      <c r="DD384" s="70"/>
      <c r="DE384" s="70"/>
      <c r="DF384" s="70"/>
      <c r="DG384" s="70"/>
      <c r="DH384" s="70"/>
      <c r="DI384" s="70"/>
      <c r="DJ384" s="70"/>
      <c r="DK384" s="70"/>
      <c r="DL384" s="70"/>
      <c r="DM384" s="70"/>
      <c r="DN384" s="70"/>
      <c r="DO384" s="70"/>
      <c r="DP384" s="70"/>
      <c r="DQ384" s="70"/>
      <c r="DR384" s="70"/>
      <c r="DS384" s="70"/>
      <c r="DT384" s="70"/>
      <c r="DU384" s="70"/>
      <c r="DV384" s="70"/>
      <c r="DW384" s="70"/>
      <c r="DX384" s="70"/>
      <c r="DY384" s="70"/>
      <c r="DZ384" s="70"/>
      <c r="EA384" s="70"/>
      <c r="EB384" s="70"/>
      <c r="EC384" s="70"/>
      <c r="ED384" s="70"/>
      <c r="EE384" s="95" t="s">
        <v>450</v>
      </c>
      <c r="EF384" s="651"/>
      <c r="EG384" s="651"/>
      <c r="EH384" s="651"/>
      <c r="EI384" s="216"/>
      <c r="EJ384" s="662"/>
      <c r="EK384" s="662"/>
      <c r="EL384" s="662"/>
      <c r="EM384" s="662"/>
      <c r="EN384" s="662"/>
      <c r="EO384" s="662"/>
      <c r="EP384" s="662"/>
      <c r="EQ384" s="662"/>
      <c r="ER384" s="662"/>
      <c r="ES384" s="662"/>
      <c r="ET384" s="662"/>
      <c r="EU384" s="662"/>
      <c r="EV384" s="662"/>
      <c r="EW384" s="662"/>
      <c r="EX384" s="662"/>
      <c r="EY384" s="662"/>
      <c r="EZ384" s="662"/>
      <c r="FA384" s="662"/>
      <c r="FB384" s="662"/>
      <c r="FC384" s="662"/>
      <c r="FD384" s="662"/>
      <c r="FE384" s="662"/>
      <c r="FF384" s="662"/>
      <c r="FG384" s="662"/>
      <c r="FH384" s="662"/>
      <c r="FI384" s="662"/>
      <c r="FJ384" s="662"/>
      <c r="FK384" s="662"/>
      <c r="FL384" s="662"/>
      <c r="FM384" s="662"/>
      <c r="FN384" s="662"/>
      <c r="FO384" s="662"/>
      <c r="FP384" s="662"/>
      <c r="FQ384" s="662"/>
      <c r="FR384" s="662"/>
      <c r="FS384" s="662"/>
      <c r="FT384" s="662"/>
      <c r="FU384" s="662"/>
      <c r="FV384" s="662"/>
      <c r="FW384" s="662"/>
      <c r="FX384" s="662"/>
      <c r="FY384" s="662"/>
      <c r="FZ384" s="662"/>
      <c r="GA384" s="662"/>
      <c r="GB384" s="662"/>
      <c r="GC384" s="662"/>
      <c r="GD384" s="662"/>
      <c r="GE384" s="662"/>
      <c r="GF384" s="662"/>
      <c r="GG384" s="662"/>
      <c r="GH384" s="662"/>
      <c r="GI384" s="662"/>
      <c r="GJ384" s="662"/>
      <c r="GK384" s="662"/>
      <c r="GL384" s="662"/>
      <c r="GM384" s="662"/>
      <c r="GN384" s="662"/>
      <c r="GO384" s="662"/>
      <c r="GP384" s="662"/>
      <c r="GQ384" s="662"/>
      <c r="GR384" s="662"/>
      <c r="GS384" s="662"/>
      <c r="GT384" s="662"/>
      <c r="GU384" s="662"/>
      <c r="GV384" s="662"/>
      <c r="GW384" s="662"/>
      <c r="GX384" s="662"/>
      <c r="GY384" s="662"/>
      <c r="GZ384" s="662"/>
      <c r="HA384" s="662"/>
      <c r="HB384" s="662"/>
      <c r="HC384" s="662"/>
      <c r="HD384" s="662"/>
      <c r="HE384" s="662"/>
      <c r="HF384" s="662"/>
      <c r="HG384" s="662"/>
      <c r="HH384" s="662"/>
      <c r="HI384" s="662"/>
      <c r="HJ384" s="662"/>
      <c r="HK384" s="662"/>
      <c r="HL384" s="662"/>
      <c r="HM384" s="662"/>
      <c r="HN384" s="662"/>
      <c r="HO384" s="662"/>
      <c r="HP384" s="662"/>
      <c r="HQ384" s="662"/>
      <c r="HR384" s="662"/>
      <c r="HS384" s="662"/>
      <c r="HT384" s="662"/>
      <c r="HU384" s="662"/>
      <c r="HV384" s="662"/>
      <c r="HW384" s="662"/>
      <c r="HX384" s="662"/>
      <c r="HY384" s="662"/>
      <c r="HZ384" s="662"/>
      <c r="IA384" s="662"/>
      <c r="IB384" s="662"/>
      <c r="IC384" s="662"/>
      <c r="ID384" s="662"/>
      <c r="IE384" s="662"/>
      <c r="IF384" s="662"/>
      <c r="IG384" s="662"/>
      <c r="IH384" s="662"/>
      <c r="II384" s="662"/>
      <c r="IJ384" s="662"/>
      <c r="IK384" s="662"/>
      <c r="IL384" s="662"/>
      <c r="IM384" s="662"/>
      <c r="IN384" s="662"/>
      <c r="IO384" s="662"/>
      <c r="IP384" s="662"/>
      <c r="IQ384" s="70"/>
    </row>
    <row r="385" spans="18:251" ht="16.5" hidden="1" customHeight="1">
      <c r="R385" s="95"/>
      <c r="S385" s="95"/>
      <c r="T385" s="95"/>
      <c r="U385" s="70"/>
      <c r="V385" s="214"/>
      <c r="W385" s="70"/>
      <c r="X385" s="70"/>
      <c r="Y385" s="70"/>
      <c r="Z385" s="70"/>
      <c r="AA385" s="70"/>
      <c r="AB385" s="70"/>
      <c r="AC385" s="70"/>
      <c r="AD385" s="70"/>
      <c r="AE385" s="70"/>
      <c r="AF385" s="70"/>
      <c r="AG385" s="70"/>
      <c r="AH385" s="70"/>
      <c r="AI385" s="70"/>
      <c r="AJ385" s="70"/>
      <c r="AK385" s="70"/>
      <c r="AL385" s="70"/>
      <c r="AM385" s="70"/>
      <c r="AN385" s="70"/>
      <c r="AO385" s="70"/>
      <c r="AP385" s="70"/>
      <c r="AQ385" s="70"/>
      <c r="AR385" s="70"/>
      <c r="AS385" s="70"/>
      <c r="AT385" s="70"/>
      <c r="AU385" s="70"/>
      <c r="AV385" s="70"/>
      <c r="AW385" s="70"/>
      <c r="AX385" s="70"/>
      <c r="AY385" s="70"/>
      <c r="AZ385" s="70"/>
      <c r="BA385" s="70"/>
      <c r="BB385" s="70"/>
      <c r="BC385" s="70"/>
      <c r="BD385" s="70"/>
      <c r="BE385" s="70"/>
      <c r="BF385" s="70"/>
      <c r="BG385" s="70"/>
      <c r="BH385" s="70"/>
      <c r="BI385" s="70"/>
      <c r="BJ385" s="70"/>
      <c r="BK385" s="70"/>
      <c r="BL385" s="70"/>
      <c r="BM385" s="70"/>
      <c r="BN385" s="70"/>
      <c r="BO385" s="70"/>
      <c r="BP385" s="70"/>
      <c r="BQ385" s="70"/>
      <c r="BR385" s="70"/>
      <c r="BS385" s="70"/>
      <c r="BT385" s="70"/>
      <c r="BU385" s="70"/>
      <c r="BV385" s="70"/>
      <c r="BW385" s="70"/>
      <c r="BX385" s="70"/>
      <c r="BY385" s="70"/>
      <c r="BZ385" s="70"/>
      <c r="CA385" s="70"/>
      <c r="CB385" s="70"/>
      <c r="CC385" s="70"/>
      <c r="CD385" s="70"/>
      <c r="CE385" s="70"/>
      <c r="CF385" s="70"/>
      <c r="CG385" s="70"/>
      <c r="CH385" s="70"/>
      <c r="CI385" s="70"/>
      <c r="CJ385" s="70"/>
      <c r="CK385" s="70"/>
      <c r="CL385" s="70"/>
      <c r="CM385" s="70"/>
      <c r="CN385" s="70"/>
      <c r="CO385" s="70"/>
      <c r="CP385" s="70"/>
      <c r="CQ385" s="70"/>
      <c r="CR385" s="70"/>
      <c r="CS385" s="70"/>
      <c r="CT385" s="70"/>
      <c r="CU385" s="70"/>
      <c r="CV385" s="70"/>
      <c r="CW385" s="70"/>
      <c r="CX385" s="70"/>
      <c r="CY385" s="70"/>
      <c r="CZ385" s="70"/>
      <c r="DA385" s="70"/>
      <c r="DB385" s="70"/>
      <c r="DC385" s="70"/>
      <c r="DD385" s="70"/>
      <c r="DE385" s="70"/>
      <c r="DF385" s="70"/>
      <c r="DG385" s="70"/>
      <c r="DH385" s="70"/>
      <c r="DI385" s="70"/>
      <c r="DJ385" s="70"/>
      <c r="DK385" s="70"/>
      <c r="DL385" s="70"/>
      <c r="DM385" s="70"/>
      <c r="DN385" s="70"/>
      <c r="DO385" s="70"/>
      <c r="DP385" s="70"/>
      <c r="DQ385" s="70"/>
      <c r="DR385" s="70"/>
      <c r="DS385" s="70"/>
      <c r="DT385" s="70"/>
      <c r="DU385" s="70"/>
      <c r="DV385" s="70"/>
      <c r="DW385" s="70"/>
      <c r="DX385" s="70"/>
      <c r="DY385" s="70"/>
      <c r="DZ385" s="70"/>
      <c r="EA385" s="70"/>
      <c r="EB385" s="70"/>
      <c r="EC385" s="70"/>
      <c r="ED385" s="70"/>
      <c r="EE385" s="95" t="s">
        <v>450</v>
      </c>
      <c r="EF385" s="651"/>
      <c r="EG385" s="651"/>
      <c r="EH385" s="651"/>
      <c r="EI385" s="216"/>
      <c r="EJ385" s="662"/>
      <c r="EK385" s="662"/>
      <c r="EL385" s="662"/>
      <c r="EM385" s="662"/>
      <c r="EN385" s="662"/>
      <c r="EO385" s="662"/>
      <c r="EP385" s="662"/>
      <c r="EQ385" s="662"/>
      <c r="ER385" s="662"/>
      <c r="ES385" s="662"/>
      <c r="ET385" s="662"/>
      <c r="EU385" s="662"/>
      <c r="EV385" s="662"/>
      <c r="EW385" s="662"/>
      <c r="EX385" s="662"/>
      <c r="EY385" s="662"/>
      <c r="EZ385" s="662"/>
      <c r="FA385" s="662"/>
      <c r="FB385" s="662"/>
      <c r="FC385" s="662"/>
      <c r="FD385" s="662"/>
      <c r="FE385" s="662"/>
      <c r="FF385" s="662"/>
      <c r="FG385" s="662"/>
      <c r="FH385" s="662"/>
      <c r="FI385" s="662"/>
      <c r="FJ385" s="662"/>
      <c r="FK385" s="662"/>
      <c r="FL385" s="662"/>
      <c r="FM385" s="662"/>
      <c r="FN385" s="662"/>
      <c r="FO385" s="662"/>
      <c r="FP385" s="662"/>
      <c r="FQ385" s="662"/>
      <c r="FR385" s="662"/>
      <c r="FS385" s="662"/>
      <c r="FT385" s="662"/>
      <c r="FU385" s="662"/>
      <c r="FV385" s="662"/>
      <c r="FW385" s="662"/>
      <c r="FX385" s="662"/>
      <c r="FY385" s="662"/>
      <c r="FZ385" s="662"/>
      <c r="GA385" s="662"/>
      <c r="GB385" s="662"/>
      <c r="GC385" s="662"/>
      <c r="GD385" s="662"/>
      <c r="GE385" s="662"/>
      <c r="GF385" s="662"/>
      <c r="GG385" s="662"/>
      <c r="GH385" s="662"/>
      <c r="GI385" s="662"/>
      <c r="GJ385" s="662"/>
      <c r="GK385" s="662"/>
      <c r="GL385" s="662"/>
      <c r="GM385" s="662"/>
      <c r="GN385" s="662"/>
      <c r="GO385" s="662"/>
      <c r="GP385" s="662"/>
      <c r="GQ385" s="662"/>
      <c r="GR385" s="662"/>
      <c r="GS385" s="662"/>
      <c r="GT385" s="662"/>
      <c r="GU385" s="662"/>
      <c r="GV385" s="662"/>
      <c r="GW385" s="662"/>
      <c r="GX385" s="662"/>
      <c r="GY385" s="662"/>
      <c r="GZ385" s="662"/>
      <c r="HA385" s="662"/>
      <c r="HB385" s="662"/>
      <c r="HC385" s="662"/>
      <c r="HD385" s="662"/>
      <c r="HE385" s="662"/>
      <c r="HF385" s="662"/>
      <c r="HG385" s="662"/>
      <c r="HH385" s="662"/>
      <c r="HI385" s="662"/>
      <c r="HJ385" s="662"/>
      <c r="HK385" s="662"/>
      <c r="HL385" s="662"/>
      <c r="HM385" s="662"/>
      <c r="HN385" s="662"/>
      <c r="HO385" s="662"/>
      <c r="HP385" s="662"/>
      <c r="HQ385" s="662"/>
      <c r="HR385" s="662"/>
      <c r="HS385" s="662"/>
      <c r="HT385" s="662"/>
      <c r="HU385" s="662"/>
      <c r="HV385" s="662"/>
      <c r="HW385" s="662"/>
      <c r="HX385" s="662"/>
      <c r="HY385" s="662"/>
      <c r="HZ385" s="662"/>
      <c r="IA385" s="662"/>
      <c r="IB385" s="662"/>
      <c r="IC385" s="662"/>
      <c r="ID385" s="662"/>
      <c r="IE385" s="662"/>
      <c r="IF385" s="662"/>
      <c r="IG385" s="662"/>
      <c r="IH385" s="662"/>
      <c r="II385" s="662"/>
      <c r="IJ385" s="662"/>
      <c r="IK385" s="662"/>
      <c r="IL385" s="662"/>
      <c r="IM385" s="662"/>
      <c r="IN385" s="662"/>
      <c r="IO385" s="662"/>
      <c r="IP385" s="662"/>
      <c r="IQ385" s="70"/>
    </row>
    <row r="386" spans="18:251" ht="16.5" hidden="1" customHeight="1">
      <c r="R386" s="95"/>
      <c r="S386" s="95"/>
      <c r="T386" s="95"/>
      <c r="U386" s="70"/>
      <c r="V386" s="214"/>
      <c r="W386" s="70"/>
      <c r="X386" s="70"/>
      <c r="Y386" s="70"/>
      <c r="Z386" s="70"/>
      <c r="AA386" s="70"/>
      <c r="AB386" s="70"/>
      <c r="AC386" s="70"/>
      <c r="AD386" s="70"/>
      <c r="AE386" s="70"/>
      <c r="AF386" s="70"/>
      <c r="AG386" s="70"/>
      <c r="AH386" s="70"/>
      <c r="AI386" s="70"/>
      <c r="AJ386" s="70"/>
      <c r="AK386" s="70"/>
      <c r="AL386" s="70"/>
      <c r="AM386" s="70"/>
      <c r="AN386" s="70"/>
      <c r="AO386" s="70"/>
      <c r="AP386" s="70"/>
      <c r="AQ386" s="70"/>
      <c r="AR386" s="70"/>
      <c r="AS386" s="70"/>
      <c r="AT386" s="70"/>
      <c r="AU386" s="70"/>
      <c r="AV386" s="70"/>
      <c r="AW386" s="70"/>
      <c r="AX386" s="70"/>
      <c r="AY386" s="70"/>
      <c r="AZ386" s="70"/>
      <c r="BA386" s="70"/>
      <c r="BB386" s="70"/>
      <c r="BC386" s="70"/>
      <c r="BD386" s="70"/>
      <c r="BE386" s="70"/>
      <c r="BF386" s="70"/>
      <c r="BG386" s="70"/>
      <c r="BH386" s="70"/>
      <c r="BI386" s="70"/>
      <c r="BJ386" s="70"/>
      <c r="BK386" s="70"/>
      <c r="BL386" s="70"/>
      <c r="BM386" s="70"/>
      <c r="BN386" s="70"/>
      <c r="BO386" s="70"/>
      <c r="BP386" s="70"/>
      <c r="BQ386" s="70"/>
      <c r="BR386" s="70"/>
      <c r="BS386" s="70"/>
      <c r="BT386" s="70"/>
      <c r="BU386" s="70"/>
      <c r="BV386" s="70"/>
      <c r="BW386" s="70"/>
      <c r="BX386" s="70"/>
      <c r="BY386" s="70"/>
      <c r="BZ386" s="70"/>
      <c r="CA386" s="70"/>
      <c r="CB386" s="70"/>
      <c r="CC386" s="70"/>
      <c r="CD386" s="70"/>
      <c r="CE386" s="70"/>
      <c r="CF386" s="70"/>
      <c r="CG386" s="70"/>
      <c r="CH386" s="70"/>
      <c r="CI386" s="70"/>
      <c r="CJ386" s="70"/>
      <c r="CK386" s="70"/>
      <c r="CL386" s="70"/>
      <c r="CM386" s="70"/>
      <c r="CN386" s="70"/>
      <c r="CO386" s="70"/>
      <c r="CP386" s="70"/>
      <c r="CQ386" s="70"/>
      <c r="CR386" s="70"/>
      <c r="CS386" s="70"/>
      <c r="CT386" s="70"/>
      <c r="CU386" s="70"/>
      <c r="CV386" s="70"/>
      <c r="CW386" s="70"/>
      <c r="CX386" s="70"/>
      <c r="CY386" s="70"/>
      <c r="CZ386" s="70"/>
      <c r="DA386" s="70"/>
      <c r="DB386" s="70"/>
      <c r="DC386" s="70"/>
      <c r="DD386" s="70"/>
      <c r="DE386" s="70"/>
      <c r="DF386" s="70"/>
      <c r="DG386" s="70"/>
      <c r="DH386" s="70"/>
      <c r="DI386" s="70"/>
      <c r="DJ386" s="70"/>
      <c r="DK386" s="70"/>
      <c r="DL386" s="70"/>
      <c r="DM386" s="70"/>
      <c r="DN386" s="70"/>
      <c r="DO386" s="70"/>
      <c r="DP386" s="70"/>
      <c r="DQ386" s="70"/>
      <c r="DR386" s="70"/>
      <c r="DS386" s="70"/>
      <c r="DT386" s="70"/>
      <c r="DU386" s="70"/>
      <c r="DV386" s="70"/>
      <c r="DW386" s="70"/>
      <c r="DX386" s="70"/>
      <c r="DY386" s="70"/>
      <c r="DZ386" s="70"/>
      <c r="EA386" s="70"/>
      <c r="EB386" s="70"/>
      <c r="EC386" s="70"/>
      <c r="ED386" s="70"/>
      <c r="EE386" s="95" t="s">
        <v>450</v>
      </c>
      <c r="EF386" s="651"/>
      <c r="EG386" s="651"/>
      <c r="EH386" s="651"/>
      <c r="EI386" s="216"/>
      <c r="EJ386" s="662"/>
      <c r="EK386" s="662"/>
      <c r="EL386" s="662"/>
      <c r="EM386" s="662"/>
      <c r="EN386" s="662"/>
      <c r="EO386" s="662"/>
      <c r="EP386" s="662"/>
      <c r="EQ386" s="662"/>
      <c r="ER386" s="662"/>
      <c r="ES386" s="662"/>
      <c r="ET386" s="662"/>
      <c r="EU386" s="662"/>
      <c r="EV386" s="662"/>
      <c r="EW386" s="662"/>
      <c r="EX386" s="662"/>
      <c r="EY386" s="662"/>
      <c r="EZ386" s="662"/>
      <c r="FA386" s="662"/>
      <c r="FB386" s="662"/>
      <c r="FC386" s="662"/>
      <c r="FD386" s="662"/>
      <c r="FE386" s="662"/>
      <c r="FF386" s="662"/>
      <c r="FG386" s="662"/>
      <c r="FH386" s="662"/>
      <c r="FI386" s="662"/>
      <c r="FJ386" s="662"/>
      <c r="FK386" s="662"/>
      <c r="FL386" s="662"/>
      <c r="FM386" s="662"/>
      <c r="FN386" s="662"/>
      <c r="FO386" s="662"/>
      <c r="FP386" s="662"/>
      <c r="FQ386" s="662"/>
      <c r="FR386" s="662"/>
      <c r="FS386" s="662"/>
      <c r="FT386" s="662"/>
      <c r="FU386" s="662"/>
      <c r="FV386" s="662"/>
      <c r="FW386" s="662"/>
      <c r="FX386" s="662"/>
      <c r="FY386" s="662"/>
      <c r="FZ386" s="662"/>
      <c r="GA386" s="662"/>
      <c r="GB386" s="662"/>
      <c r="GC386" s="662"/>
      <c r="GD386" s="662"/>
      <c r="GE386" s="662"/>
      <c r="GF386" s="662"/>
      <c r="GG386" s="662"/>
      <c r="GH386" s="662"/>
      <c r="GI386" s="662"/>
      <c r="GJ386" s="662"/>
      <c r="GK386" s="662"/>
      <c r="GL386" s="662"/>
      <c r="GM386" s="662"/>
      <c r="GN386" s="662"/>
      <c r="GO386" s="662"/>
      <c r="GP386" s="662"/>
      <c r="GQ386" s="662"/>
      <c r="GR386" s="662"/>
      <c r="GS386" s="662"/>
      <c r="GT386" s="662"/>
      <c r="GU386" s="662"/>
      <c r="GV386" s="662"/>
      <c r="GW386" s="662"/>
      <c r="GX386" s="662"/>
      <c r="GY386" s="662"/>
      <c r="GZ386" s="662"/>
      <c r="HA386" s="662"/>
      <c r="HB386" s="662"/>
      <c r="HC386" s="662"/>
      <c r="HD386" s="662"/>
      <c r="HE386" s="662"/>
      <c r="HF386" s="662"/>
      <c r="HG386" s="662"/>
      <c r="HH386" s="662"/>
      <c r="HI386" s="662"/>
      <c r="HJ386" s="662"/>
      <c r="HK386" s="662"/>
      <c r="HL386" s="662"/>
      <c r="HM386" s="662"/>
      <c r="HN386" s="662"/>
      <c r="HO386" s="662"/>
      <c r="HP386" s="662"/>
      <c r="HQ386" s="662"/>
      <c r="HR386" s="662"/>
      <c r="HS386" s="662"/>
      <c r="HT386" s="662"/>
      <c r="HU386" s="662"/>
      <c r="HV386" s="662"/>
      <c r="HW386" s="662"/>
      <c r="HX386" s="662"/>
      <c r="HY386" s="662"/>
      <c r="HZ386" s="662"/>
      <c r="IA386" s="662"/>
      <c r="IB386" s="662"/>
      <c r="IC386" s="662"/>
      <c r="ID386" s="662"/>
      <c r="IE386" s="662"/>
      <c r="IF386" s="662"/>
      <c r="IG386" s="662"/>
      <c r="IH386" s="662"/>
      <c r="II386" s="662"/>
      <c r="IJ386" s="662"/>
      <c r="IK386" s="662"/>
      <c r="IL386" s="662"/>
      <c r="IM386" s="662"/>
      <c r="IN386" s="662"/>
      <c r="IO386" s="662"/>
      <c r="IP386" s="662"/>
      <c r="IQ386" s="70"/>
    </row>
    <row r="387" spans="18:251" ht="16.5" hidden="1" customHeight="1">
      <c r="R387" s="95"/>
      <c r="S387" s="95"/>
      <c r="T387" s="95"/>
      <c r="U387" s="70"/>
      <c r="V387" s="214"/>
      <c r="W387" s="70"/>
      <c r="X387" s="70"/>
      <c r="Y387" s="70"/>
      <c r="Z387" s="70"/>
      <c r="AA387" s="70"/>
      <c r="AB387" s="70"/>
      <c r="AC387" s="70"/>
      <c r="AD387" s="70"/>
      <c r="AE387" s="70"/>
      <c r="AF387" s="70"/>
      <c r="AG387" s="70"/>
      <c r="AH387" s="70"/>
      <c r="AI387" s="70"/>
      <c r="AJ387" s="70"/>
      <c r="AK387" s="70"/>
      <c r="AL387" s="70"/>
      <c r="AM387" s="70"/>
      <c r="AN387" s="70"/>
      <c r="AO387" s="70"/>
      <c r="AP387" s="70"/>
      <c r="AQ387" s="70"/>
      <c r="AR387" s="70"/>
      <c r="AS387" s="70"/>
      <c r="AT387" s="70"/>
      <c r="AU387" s="70"/>
      <c r="AV387" s="70"/>
      <c r="AW387" s="70"/>
      <c r="AX387" s="70"/>
      <c r="AY387" s="70"/>
      <c r="AZ387" s="70"/>
      <c r="BA387" s="70"/>
      <c r="BB387" s="70"/>
      <c r="BC387" s="70"/>
      <c r="BD387" s="70"/>
      <c r="BE387" s="70"/>
      <c r="BF387" s="70"/>
      <c r="BG387" s="70"/>
      <c r="BH387" s="70"/>
      <c r="BI387" s="70"/>
      <c r="BJ387" s="70"/>
      <c r="BK387" s="70"/>
      <c r="BL387" s="70"/>
      <c r="BM387" s="70"/>
      <c r="BN387" s="70"/>
      <c r="BO387" s="70"/>
      <c r="BP387" s="70"/>
      <c r="BQ387" s="70"/>
      <c r="BR387" s="70"/>
      <c r="BS387" s="70"/>
      <c r="BT387" s="70"/>
      <c r="BU387" s="70"/>
      <c r="BV387" s="70"/>
      <c r="BW387" s="70"/>
      <c r="BX387" s="70"/>
      <c r="BY387" s="70"/>
      <c r="BZ387" s="70"/>
      <c r="CA387" s="70"/>
      <c r="CB387" s="70"/>
      <c r="CC387" s="70"/>
      <c r="CD387" s="70"/>
      <c r="CE387" s="70"/>
      <c r="CF387" s="70"/>
      <c r="CG387" s="70"/>
      <c r="CH387" s="70"/>
      <c r="CI387" s="70"/>
      <c r="CJ387" s="70"/>
      <c r="CK387" s="70"/>
      <c r="CL387" s="70"/>
      <c r="CM387" s="70"/>
      <c r="CN387" s="70"/>
      <c r="CO387" s="70"/>
      <c r="CP387" s="70"/>
      <c r="CQ387" s="70"/>
      <c r="CR387" s="70"/>
      <c r="CS387" s="70"/>
      <c r="CT387" s="70"/>
      <c r="CU387" s="70"/>
      <c r="CV387" s="70"/>
      <c r="CW387" s="70"/>
      <c r="CX387" s="70"/>
      <c r="CY387" s="70"/>
      <c r="CZ387" s="70"/>
      <c r="DA387" s="70"/>
      <c r="DB387" s="70"/>
      <c r="DC387" s="70"/>
      <c r="DD387" s="70"/>
      <c r="DE387" s="70"/>
      <c r="DF387" s="70"/>
      <c r="DG387" s="70"/>
      <c r="DH387" s="70"/>
      <c r="DI387" s="70"/>
      <c r="DJ387" s="70"/>
      <c r="DK387" s="70"/>
      <c r="DL387" s="70"/>
      <c r="DM387" s="70"/>
      <c r="DN387" s="70"/>
      <c r="DO387" s="70"/>
      <c r="DP387" s="70"/>
      <c r="DQ387" s="70"/>
      <c r="DR387" s="70"/>
      <c r="DS387" s="70"/>
      <c r="DT387" s="70"/>
      <c r="DU387" s="70"/>
      <c r="DV387" s="70"/>
      <c r="DW387" s="70"/>
      <c r="DX387" s="70"/>
      <c r="DY387" s="70"/>
      <c r="DZ387" s="70"/>
      <c r="EA387" s="70"/>
      <c r="EB387" s="70"/>
      <c r="EC387" s="70"/>
      <c r="ED387" s="70"/>
      <c r="EE387" s="95" t="s">
        <v>450</v>
      </c>
      <c r="EF387" s="651"/>
      <c r="EG387" s="651"/>
      <c r="EH387" s="651"/>
      <c r="EI387" s="216"/>
      <c r="EJ387" s="662"/>
      <c r="EK387" s="662"/>
      <c r="EL387" s="662"/>
      <c r="EM387" s="662"/>
      <c r="EN387" s="662"/>
      <c r="EO387" s="662"/>
      <c r="EP387" s="662"/>
      <c r="EQ387" s="662"/>
      <c r="ER387" s="662"/>
      <c r="ES387" s="662"/>
      <c r="ET387" s="662"/>
      <c r="EU387" s="662"/>
      <c r="EV387" s="662"/>
      <c r="EW387" s="662"/>
      <c r="EX387" s="662"/>
      <c r="EY387" s="662"/>
      <c r="EZ387" s="662"/>
      <c r="FA387" s="662"/>
      <c r="FB387" s="662"/>
      <c r="FC387" s="662"/>
      <c r="FD387" s="662"/>
      <c r="FE387" s="662"/>
      <c r="FF387" s="662"/>
      <c r="FG387" s="662"/>
      <c r="FH387" s="662"/>
      <c r="FI387" s="662"/>
      <c r="FJ387" s="662"/>
      <c r="FK387" s="662"/>
      <c r="FL387" s="662"/>
      <c r="FM387" s="662"/>
      <c r="FN387" s="662"/>
      <c r="FO387" s="662"/>
      <c r="FP387" s="662"/>
      <c r="FQ387" s="662"/>
      <c r="FR387" s="662"/>
      <c r="FS387" s="662"/>
      <c r="FT387" s="662"/>
      <c r="FU387" s="662"/>
      <c r="FV387" s="662"/>
      <c r="FW387" s="662"/>
      <c r="FX387" s="662"/>
      <c r="FY387" s="662"/>
      <c r="FZ387" s="662"/>
      <c r="GA387" s="662"/>
      <c r="GB387" s="662"/>
      <c r="GC387" s="662"/>
      <c r="GD387" s="662"/>
      <c r="GE387" s="662"/>
      <c r="GF387" s="662"/>
      <c r="GG387" s="662"/>
      <c r="GH387" s="662"/>
      <c r="GI387" s="662"/>
      <c r="GJ387" s="662"/>
      <c r="GK387" s="662"/>
      <c r="GL387" s="662"/>
      <c r="GM387" s="662"/>
      <c r="GN387" s="662"/>
      <c r="GO387" s="662"/>
      <c r="GP387" s="662"/>
      <c r="GQ387" s="662"/>
      <c r="GR387" s="662"/>
      <c r="GS387" s="662"/>
      <c r="GT387" s="662"/>
      <c r="GU387" s="662"/>
      <c r="GV387" s="662"/>
      <c r="GW387" s="662"/>
      <c r="GX387" s="662"/>
      <c r="GY387" s="662"/>
      <c r="GZ387" s="662"/>
      <c r="HA387" s="662"/>
      <c r="HB387" s="662"/>
      <c r="HC387" s="662"/>
      <c r="HD387" s="662"/>
      <c r="HE387" s="662"/>
      <c r="HF387" s="662"/>
      <c r="HG387" s="662"/>
      <c r="HH387" s="662"/>
      <c r="HI387" s="662"/>
      <c r="HJ387" s="662"/>
      <c r="HK387" s="662"/>
      <c r="HL387" s="662"/>
      <c r="HM387" s="662"/>
      <c r="HN387" s="662"/>
      <c r="HO387" s="662"/>
      <c r="HP387" s="662"/>
      <c r="HQ387" s="662"/>
      <c r="HR387" s="662"/>
      <c r="HS387" s="662"/>
      <c r="HT387" s="662"/>
      <c r="HU387" s="662"/>
      <c r="HV387" s="662"/>
      <c r="HW387" s="662"/>
      <c r="HX387" s="662"/>
      <c r="HY387" s="662"/>
      <c r="HZ387" s="662"/>
      <c r="IA387" s="662"/>
      <c r="IB387" s="662"/>
      <c r="IC387" s="662"/>
      <c r="ID387" s="662"/>
      <c r="IE387" s="662"/>
      <c r="IF387" s="662"/>
      <c r="IG387" s="662"/>
      <c r="IH387" s="662"/>
      <c r="II387" s="662"/>
      <c r="IJ387" s="662"/>
      <c r="IK387" s="662"/>
      <c r="IL387" s="662"/>
      <c r="IM387" s="662"/>
      <c r="IN387" s="662"/>
      <c r="IO387" s="662"/>
      <c r="IP387" s="662"/>
      <c r="IQ387" s="70"/>
    </row>
    <row r="388" spans="18:251" ht="16.5" hidden="1" customHeight="1">
      <c r="R388" s="95"/>
      <c r="S388" s="95"/>
      <c r="T388" s="95"/>
      <c r="U388" s="70"/>
      <c r="V388" s="214"/>
      <c r="W388" s="70"/>
      <c r="X388" s="70"/>
      <c r="Y388" s="70"/>
      <c r="Z388" s="70"/>
      <c r="AA388" s="70"/>
      <c r="AB388" s="70"/>
      <c r="AC388" s="70"/>
      <c r="AD388" s="70"/>
      <c r="AE388" s="70"/>
      <c r="AF388" s="70"/>
      <c r="AG388" s="70"/>
      <c r="AH388" s="70"/>
      <c r="AI388" s="70"/>
      <c r="AJ388" s="70"/>
      <c r="AK388" s="70"/>
      <c r="AL388" s="70"/>
      <c r="AM388" s="70"/>
      <c r="AN388" s="70"/>
      <c r="AO388" s="70"/>
      <c r="AP388" s="70"/>
      <c r="AQ388" s="70"/>
      <c r="AR388" s="70"/>
      <c r="AS388" s="70"/>
      <c r="AT388" s="70"/>
      <c r="AU388" s="70"/>
      <c r="AV388" s="70"/>
      <c r="AW388" s="70"/>
      <c r="AX388" s="70"/>
      <c r="AY388" s="70"/>
      <c r="AZ388" s="70"/>
      <c r="BA388" s="70"/>
      <c r="BB388" s="70"/>
      <c r="BC388" s="70"/>
      <c r="BD388" s="70"/>
      <c r="BE388" s="70"/>
      <c r="BF388" s="70"/>
      <c r="BG388" s="70"/>
      <c r="BH388" s="70"/>
      <c r="BI388" s="70"/>
      <c r="BJ388" s="70"/>
      <c r="BK388" s="70"/>
      <c r="BL388" s="70"/>
      <c r="BM388" s="70"/>
      <c r="BN388" s="70"/>
      <c r="BO388" s="70"/>
      <c r="BP388" s="70"/>
      <c r="BQ388" s="70"/>
      <c r="BR388" s="70"/>
      <c r="BS388" s="70"/>
      <c r="BT388" s="70"/>
      <c r="BU388" s="70"/>
      <c r="BV388" s="70"/>
      <c r="BW388" s="70"/>
      <c r="BX388" s="70"/>
      <c r="BY388" s="70"/>
      <c r="BZ388" s="70"/>
      <c r="CA388" s="70"/>
      <c r="CB388" s="70"/>
      <c r="CC388" s="70"/>
      <c r="CD388" s="70"/>
      <c r="CE388" s="70"/>
      <c r="CF388" s="70"/>
      <c r="CG388" s="70"/>
      <c r="CH388" s="70"/>
      <c r="CI388" s="70"/>
      <c r="CJ388" s="70"/>
      <c r="CK388" s="70"/>
      <c r="CL388" s="70"/>
      <c r="CM388" s="70"/>
      <c r="CN388" s="70"/>
      <c r="CO388" s="70"/>
      <c r="CP388" s="70"/>
      <c r="CQ388" s="70"/>
      <c r="CR388" s="70"/>
      <c r="CS388" s="70"/>
      <c r="CT388" s="70"/>
      <c r="CU388" s="70"/>
      <c r="CV388" s="70"/>
      <c r="CW388" s="70"/>
      <c r="CX388" s="70"/>
      <c r="CY388" s="70"/>
      <c r="CZ388" s="70"/>
      <c r="DA388" s="70"/>
      <c r="DB388" s="70"/>
      <c r="DC388" s="70"/>
      <c r="DD388" s="70"/>
      <c r="DE388" s="70"/>
      <c r="DF388" s="70"/>
      <c r="DG388" s="70"/>
      <c r="DH388" s="70"/>
      <c r="DI388" s="70"/>
      <c r="DJ388" s="70"/>
      <c r="DK388" s="70"/>
      <c r="DL388" s="70"/>
      <c r="DM388" s="70"/>
      <c r="DN388" s="70"/>
      <c r="DO388" s="70"/>
      <c r="DP388" s="70"/>
      <c r="DQ388" s="70"/>
      <c r="DR388" s="70"/>
      <c r="DS388" s="70"/>
      <c r="DT388" s="70"/>
      <c r="DU388" s="70"/>
      <c r="DV388" s="70"/>
      <c r="DW388" s="70"/>
      <c r="DX388" s="70"/>
      <c r="DY388" s="70"/>
      <c r="DZ388" s="70"/>
      <c r="EA388" s="70"/>
      <c r="EB388" s="70"/>
      <c r="EC388" s="70"/>
      <c r="ED388" s="70"/>
      <c r="EE388" s="95" t="s">
        <v>450</v>
      </c>
      <c r="EF388" s="651"/>
      <c r="EG388" s="651"/>
      <c r="EH388" s="651"/>
      <c r="EI388" s="216"/>
      <c r="EJ388" s="662"/>
      <c r="EK388" s="662"/>
      <c r="EL388" s="662"/>
      <c r="EM388" s="662"/>
      <c r="EN388" s="662"/>
      <c r="EO388" s="662"/>
      <c r="EP388" s="662"/>
      <c r="EQ388" s="662"/>
      <c r="ER388" s="662"/>
      <c r="ES388" s="662"/>
      <c r="ET388" s="662"/>
      <c r="EU388" s="662"/>
      <c r="EV388" s="662"/>
      <c r="EW388" s="662"/>
      <c r="EX388" s="662"/>
      <c r="EY388" s="662"/>
      <c r="EZ388" s="662"/>
      <c r="FA388" s="662"/>
      <c r="FB388" s="662"/>
      <c r="FC388" s="662"/>
      <c r="FD388" s="662"/>
      <c r="FE388" s="662"/>
      <c r="FF388" s="662"/>
      <c r="FG388" s="662"/>
      <c r="FH388" s="662"/>
      <c r="FI388" s="662"/>
      <c r="FJ388" s="662"/>
      <c r="FK388" s="662"/>
      <c r="FL388" s="662"/>
      <c r="FM388" s="662"/>
      <c r="FN388" s="662"/>
      <c r="FO388" s="662"/>
      <c r="FP388" s="662"/>
      <c r="FQ388" s="662"/>
      <c r="FR388" s="662"/>
      <c r="FS388" s="662"/>
      <c r="FT388" s="662"/>
      <c r="FU388" s="662"/>
      <c r="FV388" s="662"/>
      <c r="FW388" s="662"/>
      <c r="FX388" s="662"/>
      <c r="FY388" s="662"/>
      <c r="FZ388" s="662"/>
      <c r="GA388" s="662"/>
      <c r="GB388" s="662"/>
      <c r="GC388" s="662"/>
      <c r="GD388" s="662"/>
      <c r="GE388" s="662"/>
      <c r="GF388" s="662"/>
      <c r="GG388" s="662"/>
      <c r="GH388" s="662"/>
      <c r="GI388" s="662"/>
      <c r="GJ388" s="662"/>
      <c r="GK388" s="662"/>
      <c r="GL388" s="662"/>
      <c r="GM388" s="662"/>
      <c r="GN388" s="662"/>
      <c r="GO388" s="662"/>
      <c r="GP388" s="662"/>
      <c r="GQ388" s="662"/>
      <c r="GR388" s="662"/>
      <c r="GS388" s="662"/>
      <c r="GT388" s="662"/>
      <c r="GU388" s="662"/>
      <c r="GV388" s="662"/>
      <c r="GW388" s="662"/>
      <c r="GX388" s="662"/>
      <c r="GY388" s="662"/>
      <c r="GZ388" s="662"/>
      <c r="HA388" s="662"/>
      <c r="HB388" s="662"/>
      <c r="HC388" s="662"/>
      <c r="HD388" s="662"/>
      <c r="HE388" s="662"/>
      <c r="HF388" s="662"/>
      <c r="HG388" s="662"/>
      <c r="HH388" s="662"/>
      <c r="HI388" s="662"/>
      <c r="HJ388" s="662"/>
      <c r="HK388" s="662"/>
      <c r="HL388" s="662"/>
      <c r="HM388" s="662"/>
      <c r="HN388" s="662"/>
      <c r="HO388" s="662"/>
      <c r="HP388" s="662"/>
      <c r="HQ388" s="662"/>
      <c r="HR388" s="662"/>
      <c r="HS388" s="662"/>
      <c r="HT388" s="662"/>
      <c r="HU388" s="662"/>
      <c r="HV388" s="662"/>
      <c r="HW388" s="662"/>
      <c r="HX388" s="662"/>
      <c r="HY388" s="662"/>
      <c r="HZ388" s="662"/>
      <c r="IA388" s="662"/>
      <c r="IB388" s="662"/>
      <c r="IC388" s="662"/>
      <c r="ID388" s="662"/>
      <c r="IE388" s="662"/>
      <c r="IF388" s="662"/>
      <c r="IG388" s="662"/>
      <c r="IH388" s="662"/>
      <c r="II388" s="662"/>
      <c r="IJ388" s="662"/>
      <c r="IK388" s="662"/>
      <c r="IL388" s="662"/>
      <c r="IM388" s="662"/>
      <c r="IN388" s="662"/>
      <c r="IO388" s="662"/>
      <c r="IP388" s="662"/>
      <c r="IQ388" s="70"/>
    </row>
    <row r="389" spans="18:251" ht="16.5" hidden="1" customHeight="1">
      <c r="R389" s="95"/>
      <c r="S389" s="95"/>
      <c r="T389" s="95"/>
      <c r="U389" s="70"/>
      <c r="V389" s="214"/>
      <c r="W389" s="70"/>
      <c r="X389" s="70"/>
      <c r="Y389" s="70"/>
      <c r="Z389" s="70"/>
      <c r="AA389" s="70"/>
      <c r="AB389" s="70"/>
      <c r="AC389" s="70"/>
      <c r="AD389" s="70"/>
      <c r="AE389" s="70"/>
      <c r="AF389" s="70"/>
      <c r="AG389" s="70"/>
      <c r="AH389" s="70"/>
      <c r="AI389" s="70"/>
      <c r="AJ389" s="70"/>
      <c r="AK389" s="70"/>
      <c r="AL389" s="70"/>
      <c r="AM389" s="70"/>
      <c r="AN389" s="70"/>
      <c r="AO389" s="70"/>
      <c r="AP389" s="70"/>
      <c r="AQ389" s="70"/>
      <c r="AR389" s="70"/>
      <c r="AS389" s="70"/>
      <c r="AT389" s="70"/>
      <c r="AU389" s="70"/>
      <c r="AV389" s="70"/>
      <c r="AW389" s="70"/>
      <c r="AX389" s="70"/>
      <c r="AY389" s="70"/>
      <c r="AZ389" s="70"/>
      <c r="BA389" s="70"/>
      <c r="BB389" s="70"/>
      <c r="BC389" s="70"/>
      <c r="BD389" s="70"/>
      <c r="BE389" s="70"/>
      <c r="BF389" s="70"/>
      <c r="BG389" s="70"/>
      <c r="BH389" s="70"/>
      <c r="BI389" s="70"/>
      <c r="BJ389" s="70"/>
      <c r="BK389" s="70"/>
      <c r="BL389" s="70"/>
      <c r="BM389" s="70"/>
      <c r="BN389" s="70"/>
      <c r="BO389" s="70"/>
      <c r="BP389" s="70"/>
      <c r="BQ389" s="70"/>
      <c r="BR389" s="70"/>
      <c r="BS389" s="70"/>
      <c r="BT389" s="70"/>
      <c r="BU389" s="70"/>
      <c r="BV389" s="70"/>
      <c r="BW389" s="70"/>
      <c r="BX389" s="70"/>
      <c r="BY389" s="70"/>
      <c r="BZ389" s="70"/>
      <c r="CA389" s="70"/>
      <c r="CB389" s="70"/>
      <c r="CC389" s="70"/>
      <c r="CD389" s="70"/>
      <c r="CE389" s="70"/>
      <c r="CF389" s="70"/>
      <c r="CG389" s="70"/>
      <c r="CH389" s="70"/>
      <c r="CI389" s="70"/>
      <c r="CJ389" s="70"/>
      <c r="CK389" s="70"/>
      <c r="CL389" s="70"/>
      <c r="CM389" s="70"/>
      <c r="CN389" s="70"/>
      <c r="CO389" s="70"/>
      <c r="CP389" s="70"/>
      <c r="CQ389" s="70"/>
      <c r="CR389" s="70"/>
      <c r="CS389" s="70"/>
      <c r="CT389" s="70"/>
      <c r="CU389" s="70"/>
      <c r="CV389" s="70"/>
      <c r="CW389" s="70"/>
      <c r="CX389" s="70"/>
      <c r="CY389" s="70"/>
      <c r="CZ389" s="70"/>
      <c r="DA389" s="70"/>
      <c r="DB389" s="70"/>
      <c r="DC389" s="70"/>
      <c r="DD389" s="70"/>
      <c r="DE389" s="70"/>
      <c r="DF389" s="70"/>
      <c r="DG389" s="70"/>
      <c r="DH389" s="70"/>
      <c r="DI389" s="70"/>
      <c r="DJ389" s="70"/>
      <c r="DK389" s="70"/>
      <c r="DL389" s="70"/>
      <c r="DM389" s="70"/>
      <c r="DN389" s="70"/>
      <c r="DO389" s="70"/>
      <c r="DP389" s="70"/>
      <c r="DQ389" s="70"/>
      <c r="DR389" s="70"/>
      <c r="DS389" s="70"/>
      <c r="DT389" s="70"/>
      <c r="DU389" s="70"/>
      <c r="DV389" s="70"/>
      <c r="DW389" s="70"/>
      <c r="DX389" s="70"/>
      <c r="DY389" s="70"/>
      <c r="DZ389" s="70"/>
      <c r="EA389" s="70"/>
      <c r="EB389" s="70"/>
      <c r="EC389" s="70"/>
      <c r="ED389" s="70"/>
      <c r="EE389" s="95" t="s">
        <v>450</v>
      </c>
      <c r="EF389" s="651"/>
      <c r="EG389" s="651"/>
      <c r="EH389" s="651"/>
      <c r="EI389" s="216"/>
      <c r="EJ389" s="662"/>
      <c r="EK389" s="662"/>
      <c r="EL389" s="662"/>
      <c r="EM389" s="662"/>
      <c r="EN389" s="662"/>
      <c r="EO389" s="662"/>
      <c r="EP389" s="662"/>
      <c r="EQ389" s="662"/>
      <c r="ER389" s="662"/>
      <c r="ES389" s="662"/>
      <c r="ET389" s="662"/>
      <c r="EU389" s="662"/>
      <c r="EV389" s="662"/>
      <c r="EW389" s="662"/>
      <c r="EX389" s="662"/>
      <c r="EY389" s="662"/>
      <c r="EZ389" s="662"/>
      <c r="FA389" s="662"/>
      <c r="FB389" s="662"/>
      <c r="FC389" s="662"/>
      <c r="FD389" s="662"/>
      <c r="FE389" s="662"/>
      <c r="FF389" s="662"/>
      <c r="FG389" s="662"/>
      <c r="FH389" s="662"/>
      <c r="FI389" s="662"/>
      <c r="FJ389" s="662"/>
      <c r="FK389" s="662"/>
      <c r="FL389" s="662"/>
      <c r="FM389" s="662"/>
      <c r="FN389" s="662"/>
      <c r="FO389" s="662"/>
      <c r="FP389" s="662"/>
      <c r="FQ389" s="662"/>
      <c r="FR389" s="662"/>
      <c r="FS389" s="662"/>
      <c r="FT389" s="662"/>
      <c r="FU389" s="662"/>
      <c r="FV389" s="662"/>
      <c r="FW389" s="662"/>
      <c r="FX389" s="662"/>
      <c r="FY389" s="662"/>
      <c r="FZ389" s="662"/>
      <c r="GA389" s="662"/>
      <c r="GB389" s="662"/>
      <c r="GC389" s="662"/>
      <c r="GD389" s="662"/>
      <c r="GE389" s="662"/>
      <c r="GF389" s="662"/>
      <c r="GG389" s="662"/>
      <c r="GH389" s="662"/>
      <c r="GI389" s="662"/>
      <c r="GJ389" s="662"/>
      <c r="GK389" s="662"/>
      <c r="GL389" s="662"/>
      <c r="GM389" s="662"/>
      <c r="GN389" s="662"/>
      <c r="GO389" s="662"/>
      <c r="GP389" s="662"/>
      <c r="GQ389" s="662"/>
      <c r="GR389" s="662"/>
      <c r="GS389" s="662"/>
      <c r="GT389" s="662"/>
      <c r="GU389" s="662"/>
      <c r="GV389" s="662"/>
      <c r="GW389" s="662"/>
      <c r="GX389" s="662"/>
      <c r="GY389" s="662"/>
      <c r="GZ389" s="662"/>
      <c r="HA389" s="662"/>
      <c r="HB389" s="662"/>
      <c r="HC389" s="662"/>
      <c r="HD389" s="662"/>
      <c r="HE389" s="662"/>
      <c r="HF389" s="662"/>
      <c r="HG389" s="662"/>
      <c r="HH389" s="662"/>
      <c r="HI389" s="662"/>
      <c r="HJ389" s="662"/>
      <c r="HK389" s="662"/>
      <c r="HL389" s="662"/>
      <c r="HM389" s="662"/>
      <c r="HN389" s="662"/>
      <c r="HO389" s="662"/>
      <c r="HP389" s="662"/>
      <c r="HQ389" s="662"/>
      <c r="HR389" s="662"/>
      <c r="HS389" s="662"/>
      <c r="HT389" s="662"/>
      <c r="HU389" s="662"/>
      <c r="HV389" s="662"/>
      <c r="HW389" s="662"/>
      <c r="HX389" s="662"/>
      <c r="HY389" s="662"/>
      <c r="HZ389" s="662"/>
      <c r="IA389" s="662"/>
      <c r="IB389" s="662"/>
      <c r="IC389" s="662"/>
      <c r="ID389" s="662"/>
      <c r="IE389" s="662"/>
      <c r="IF389" s="662"/>
      <c r="IG389" s="662"/>
      <c r="IH389" s="662"/>
      <c r="II389" s="662"/>
      <c r="IJ389" s="662"/>
      <c r="IK389" s="662"/>
      <c r="IL389" s="662"/>
      <c r="IM389" s="662"/>
      <c r="IN389" s="662"/>
      <c r="IO389" s="662"/>
      <c r="IP389" s="662"/>
      <c r="IQ389" s="70"/>
    </row>
    <row r="390" spans="18:251" ht="16.5" hidden="1" customHeight="1">
      <c r="R390" s="95"/>
      <c r="S390" s="95"/>
      <c r="T390" s="95"/>
      <c r="U390" s="70"/>
      <c r="V390" s="214"/>
      <c r="W390" s="70"/>
      <c r="X390" s="70"/>
      <c r="Y390" s="70"/>
      <c r="Z390" s="70"/>
      <c r="AA390" s="70"/>
      <c r="AB390" s="70"/>
      <c r="AC390" s="70"/>
      <c r="AD390" s="70"/>
      <c r="AE390" s="70"/>
      <c r="AF390" s="70"/>
      <c r="AG390" s="70"/>
      <c r="AH390" s="70"/>
      <c r="AI390" s="70"/>
      <c r="AJ390" s="70"/>
      <c r="AK390" s="70"/>
      <c r="AL390" s="70"/>
      <c r="AM390" s="70"/>
      <c r="AN390" s="70"/>
      <c r="AO390" s="70"/>
      <c r="AP390" s="70"/>
      <c r="AQ390" s="70"/>
      <c r="AR390" s="70"/>
      <c r="AS390" s="70"/>
      <c r="AT390" s="70"/>
      <c r="AU390" s="70"/>
      <c r="AV390" s="70"/>
      <c r="AW390" s="70"/>
      <c r="AX390" s="70"/>
      <c r="AY390" s="70"/>
      <c r="AZ390" s="70"/>
      <c r="BA390" s="70"/>
      <c r="BB390" s="70"/>
      <c r="BC390" s="70"/>
      <c r="BD390" s="70"/>
      <c r="BE390" s="70"/>
      <c r="BF390" s="70"/>
      <c r="BG390" s="70"/>
      <c r="BH390" s="70"/>
      <c r="BI390" s="70"/>
      <c r="BJ390" s="70"/>
      <c r="BK390" s="70"/>
      <c r="BL390" s="70"/>
      <c r="BM390" s="70"/>
      <c r="BN390" s="70"/>
      <c r="BO390" s="70"/>
      <c r="BP390" s="70"/>
      <c r="BQ390" s="70"/>
      <c r="BR390" s="70"/>
      <c r="BS390" s="70"/>
      <c r="BT390" s="70"/>
      <c r="BU390" s="70"/>
      <c r="BV390" s="70"/>
      <c r="BW390" s="70"/>
      <c r="BX390" s="70"/>
      <c r="BY390" s="70"/>
      <c r="BZ390" s="70"/>
      <c r="CA390" s="70"/>
      <c r="CB390" s="70"/>
      <c r="CC390" s="70"/>
      <c r="CD390" s="70"/>
      <c r="CE390" s="70"/>
      <c r="CF390" s="70"/>
      <c r="CG390" s="70"/>
      <c r="CH390" s="70"/>
      <c r="CI390" s="70"/>
      <c r="CJ390" s="70"/>
      <c r="CK390" s="70"/>
      <c r="CL390" s="70"/>
      <c r="CM390" s="70"/>
      <c r="CN390" s="70"/>
      <c r="CO390" s="70"/>
      <c r="CP390" s="70"/>
      <c r="CQ390" s="70"/>
      <c r="CR390" s="70"/>
      <c r="CS390" s="70"/>
      <c r="CT390" s="70"/>
      <c r="CU390" s="70"/>
      <c r="CV390" s="70"/>
      <c r="CW390" s="70"/>
      <c r="CX390" s="70"/>
      <c r="CY390" s="70"/>
      <c r="CZ390" s="70"/>
      <c r="DA390" s="70"/>
      <c r="DB390" s="70"/>
      <c r="DC390" s="70"/>
      <c r="DD390" s="70"/>
      <c r="DE390" s="70"/>
      <c r="DF390" s="70"/>
      <c r="DG390" s="70"/>
      <c r="DH390" s="70"/>
      <c r="DI390" s="70"/>
      <c r="DJ390" s="70"/>
      <c r="DK390" s="70"/>
      <c r="DL390" s="70"/>
      <c r="DM390" s="70"/>
      <c r="DN390" s="70"/>
      <c r="DO390" s="70"/>
      <c r="DP390" s="70"/>
      <c r="DQ390" s="70"/>
      <c r="DR390" s="70"/>
      <c r="DS390" s="70"/>
      <c r="DT390" s="70"/>
      <c r="DU390" s="70"/>
      <c r="DV390" s="70"/>
      <c r="DW390" s="70"/>
      <c r="DX390" s="70"/>
      <c r="DY390" s="70"/>
      <c r="DZ390" s="70"/>
      <c r="EA390" s="70"/>
      <c r="EB390" s="70"/>
      <c r="EC390" s="70"/>
      <c r="ED390" s="70"/>
      <c r="EE390" s="95" t="s">
        <v>450</v>
      </c>
      <c r="EF390" s="651"/>
      <c r="EG390" s="651"/>
      <c r="EH390" s="651"/>
      <c r="EI390" s="216"/>
      <c r="EJ390" s="662"/>
      <c r="EK390" s="662"/>
      <c r="EL390" s="662"/>
      <c r="EM390" s="662"/>
      <c r="EN390" s="662"/>
      <c r="EO390" s="662"/>
      <c r="EP390" s="662"/>
      <c r="EQ390" s="662"/>
      <c r="ER390" s="662"/>
      <c r="ES390" s="662"/>
      <c r="ET390" s="662"/>
      <c r="EU390" s="662"/>
      <c r="EV390" s="662"/>
      <c r="EW390" s="662"/>
      <c r="EX390" s="662"/>
      <c r="EY390" s="662"/>
      <c r="EZ390" s="662"/>
      <c r="FA390" s="662"/>
      <c r="FB390" s="662"/>
      <c r="FC390" s="662"/>
      <c r="FD390" s="662"/>
      <c r="FE390" s="662"/>
      <c r="FF390" s="662"/>
      <c r="FG390" s="662"/>
      <c r="FH390" s="662"/>
      <c r="FI390" s="662"/>
      <c r="FJ390" s="662"/>
      <c r="FK390" s="662"/>
      <c r="FL390" s="662"/>
      <c r="FM390" s="662"/>
      <c r="FN390" s="662"/>
      <c r="FO390" s="662"/>
      <c r="FP390" s="662"/>
      <c r="FQ390" s="662"/>
      <c r="FR390" s="662"/>
      <c r="FS390" s="662"/>
      <c r="FT390" s="662"/>
      <c r="FU390" s="662"/>
      <c r="FV390" s="662"/>
      <c r="FW390" s="662"/>
      <c r="FX390" s="662"/>
      <c r="FY390" s="662"/>
      <c r="FZ390" s="662"/>
      <c r="GA390" s="662"/>
      <c r="GB390" s="662"/>
      <c r="GC390" s="662"/>
      <c r="GD390" s="662"/>
      <c r="GE390" s="662"/>
      <c r="GF390" s="662"/>
      <c r="GG390" s="662"/>
      <c r="GH390" s="662"/>
      <c r="GI390" s="662"/>
      <c r="GJ390" s="662"/>
      <c r="GK390" s="662"/>
      <c r="GL390" s="662"/>
      <c r="GM390" s="662"/>
      <c r="GN390" s="662"/>
      <c r="GO390" s="662"/>
      <c r="GP390" s="662"/>
      <c r="GQ390" s="662"/>
      <c r="GR390" s="662"/>
      <c r="GS390" s="662"/>
      <c r="GT390" s="662"/>
      <c r="GU390" s="662"/>
      <c r="GV390" s="662"/>
      <c r="GW390" s="662"/>
      <c r="GX390" s="662"/>
      <c r="GY390" s="662"/>
      <c r="GZ390" s="662"/>
      <c r="HA390" s="662"/>
      <c r="HB390" s="662"/>
      <c r="HC390" s="662"/>
      <c r="HD390" s="662"/>
      <c r="HE390" s="662"/>
      <c r="HF390" s="662"/>
      <c r="HG390" s="662"/>
      <c r="HH390" s="662"/>
      <c r="HI390" s="662"/>
      <c r="HJ390" s="662"/>
      <c r="HK390" s="662"/>
      <c r="HL390" s="662"/>
      <c r="HM390" s="662"/>
      <c r="HN390" s="662"/>
      <c r="HO390" s="662"/>
      <c r="HP390" s="662"/>
      <c r="HQ390" s="662"/>
      <c r="HR390" s="662"/>
      <c r="HS390" s="662"/>
      <c r="HT390" s="662"/>
      <c r="HU390" s="662"/>
      <c r="HV390" s="662"/>
      <c r="HW390" s="662"/>
      <c r="HX390" s="662"/>
      <c r="HY390" s="662"/>
      <c r="HZ390" s="662"/>
      <c r="IA390" s="662"/>
      <c r="IB390" s="662"/>
      <c r="IC390" s="662"/>
      <c r="ID390" s="662"/>
      <c r="IE390" s="662"/>
      <c r="IF390" s="662"/>
      <c r="IG390" s="662"/>
      <c r="IH390" s="662"/>
      <c r="II390" s="662"/>
      <c r="IJ390" s="662"/>
      <c r="IK390" s="662"/>
      <c r="IL390" s="662"/>
      <c r="IM390" s="662"/>
      <c r="IN390" s="662"/>
      <c r="IO390" s="662"/>
      <c r="IP390" s="662"/>
      <c r="IQ390" s="70"/>
    </row>
    <row r="391" spans="18:251" ht="16.5" hidden="1" customHeight="1">
      <c r="R391" s="95"/>
      <c r="S391" s="95"/>
      <c r="T391" s="95"/>
      <c r="U391" s="70"/>
      <c r="V391" s="214"/>
      <c r="W391" s="70"/>
      <c r="X391" s="70"/>
      <c r="Y391" s="70"/>
      <c r="Z391" s="70"/>
      <c r="AA391" s="70"/>
      <c r="AB391" s="70"/>
      <c r="AC391" s="70"/>
      <c r="AD391" s="70"/>
      <c r="AE391" s="70"/>
      <c r="AF391" s="70"/>
      <c r="AG391" s="70"/>
      <c r="AH391" s="70"/>
      <c r="AI391" s="70"/>
      <c r="AJ391" s="70"/>
      <c r="AK391" s="70"/>
      <c r="AL391" s="70"/>
      <c r="AM391" s="70"/>
      <c r="AN391" s="70"/>
      <c r="AO391" s="70"/>
      <c r="AP391" s="70"/>
      <c r="AQ391" s="70"/>
      <c r="AR391" s="70"/>
      <c r="AS391" s="70"/>
      <c r="AT391" s="70"/>
      <c r="AU391" s="70"/>
      <c r="AV391" s="70"/>
      <c r="AW391" s="70"/>
      <c r="AX391" s="70"/>
      <c r="AY391" s="70"/>
      <c r="AZ391" s="70"/>
      <c r="BA391" s="70"/>
      <c r="BB391" s="70"/>
      <c r="BC391" s="70"/>
      <c r="BD391" s="70"/>
      <c r="BE391" s="70"/>
      <c r="BF391" s="70"/>
      <c r="BG391" s="70"/>
      <c r="BH391" s="70"/>
      <c r="BI391" s="70"/>
      <c r="BJ391" s="70"/>
      <c r="BK391" s="70"/>
      <c r="BL391" s="70"/>
      <c r="BM391" s="70"/>
      <c r="BN391" s="70"/>
      <c r="BO391" s="70"/>
      <c r="BP391" s="70"/>
      <c r="BQ391" s="70"/>
      <c r="BR391" s="70"/>
      <c r="BS391" s="70"/>
      <c r="BT391" s="70"/>
      <c r="BU391" s="70"/>
      <c r="BV391" s="70"/>
      <c r="BW391" s="70"/>
      <c r="BX391" s="70"/>
      <c r="BY391" s="70"/>
      <c r="BZ391" s="70"/>
      <c r="CA391" s="70"/>
      <c r="CB391" s="70"/>
      <c r="CC391" s="70"/>
      <c r="CD391" s="70"/>
      <c r="CE391" s="70"/>
      <c r="CF391" s="70"/>
      <c r="CG391" s="70"/>
      <c r="CH391" s="70"/>
      <c r="CI391" s="70"/>
      <c r="CJ391" s="70"/>
      <c r="CK391" s="70"/>
      <c r="CL391" s="70"/>
      <c r="CM391" s="70"/>
      <c r="CN391" s="70"/>
      <c r="CO391" s="70"/>
      <c r="CP391" s="70"/>
      <c r="CQ391" s="70"/>
      <c r="CR391" s="70"/>
      <c r="CS391" s="70"/>
      <c r="CT391" s="70"/>
      <c r="CU391" s="70"/>
      <c r="CV391" s="70"/>
      <c r="CW391" s="70"/>
      <c r="CX391" s="70"/>
      <c r="CY391" s="70"/>
      <c r="CZ391" s="70"/>
      <c r="DA391" s="70"/>
      <c r="DB391" s="70"/>
      <c r="DC391" s="70"/>
      <c r="DD391" s="70"/>
      <c r="DE391" s="70"/>
      <c r="DF391" s="70"/>
      <c r="DG391" s="70"/>
      <c r="DH391" s="70"/>
      <c r="DI391" s="70"/>
      <c r="DJ391" s="70"/>
      <c r="DK391" s="70"/>
      <c r="DL391" s="70"/>
      <c r="DM391" s="70"/>
      <c r="DN391" s="70"/>
      <c r="DO391" s="70"/>
      <c r="DP391" s="70"/>
      <c r="DQ391" s="70"/>
      <c r="DR391" s="70"/>
      <c r="DS391" s="70"/>
      <c r="DT391" s="70"/>
      <c r="DU391" s="70"/>
      <c r="DV391" s="70"/>
      <c r="DW391" s="70"/>
      <c r="DX391" s="70"/>
      <c r="DY391" s="70"/>
      <c r="DZ391" s="70"/>
      <c r="EA391" s="70"/>
      <c r="EB391" s="70"/>
      <c r="EC391" s="70"/>
      <c r="ED391" s="70"/>
      <c r="EE391" s="95" t="s">
        <v>450</v>
      </c>
      <c r="EF391" s="651"/>
      <c r="EG391" s="651"/>
      <c r="EH391" s="651"/>
      <c r="EI391" s="216"/>
      <c r="EJ391" s="662"/>
      <c r="EK391" s="662"/>
      <c r="EL391" s="662"/>
      <c r="EM391" s="662"/>
      <c r="EN391" s="662"/>
      <c r="EO391" s="662"/>
      <c r="EP391" s="662"/>
      <c r="EQ391" s="662"/>
      <c r="ER391" s="662"/>
      <c r="ES391" s="662"/>
      <c r="ET391" s="662"/>
      <c r="EU391" s="662"/>
      <c r="EV391" s="662"/>
      <c r="EW391" s="662"/>
      <c r="EX391" s="662"/>
      <c r="EY391" s="662"/>
      <c r="EZ391" s="662"/>
      <c r="FA391" s="662"/>
      <c r="FB391" s="662"/>
      <c r="FC391" s="662"/>
      <c r="FD391" s="662"/>
      <c r="FE391" s="662"/>
      <c r="FF391" s="662"/>
      <c r="FG391" s="662"/>
      <c r="FH391" s="662"/>
      <c r="FI391" s="662"/>
      <c r="FJ391" s="662"/>
      <c r="FK391" s="662"/>
      <c r="FL391" s="662"/>
      <c r="FM391" s="662"/>
      <c r="FN391" s="662"/>
      <c r="FO391" s="662"/>
      <c r="FP391" s="662"/>
      <c r="FQ391" s="662"/>
      <c r="FR391" s="662"/>
      <c r="FS391" s="662"/>
      <c r="FT391" s="662"/>
      <c r="FU391" s="662"/>
      <c r="FV391" s="662"/>
      <c r="FW391" s="662"/>
      <c r="FX391" s="662"/>
      <c r="FY391" s="662"/>
      <c r="FZ391" s="662"/>
      <c r="GA391" s="662"/>
      <c r="GB391" s="662"/>
      <c r="GC391" s="662"/>
      <c r="GD391" s="662"/>
      <c r="GE391" s="662"/>
      <c r="GF391" s="662"/>
      <c r="GG391" s="662"/>
      <c r="GH391" s="662"/>
      <c r="GI391" s="662"/>
      <c r="GJ391" s="662"/>
      <c r="GK391" s="662"/>
      <c r="GL391" s="662"/>
      <c r="GM391" s="662"/>
      <c r="GN391" s="662"/>
      <c r="GO391" s="662"/>
      <c r="GP391" s="662"/>
      <c r="GQ391" s="662"/>
      <c r="GR391" s="662"/>
      <c r="GS391" s="662"/>
      <c r="GT391" s="662"/>
      <c r="GU391" s="662"/>
      <c r="GV391" s="662"/>
      <c r="GW391" s="662"/>
      <c r="GX391" s="662"/>
      <c r="GY391" s="662"/>
      <c r="GZ391" s="662"/>
      <c r="HA391" s="662"/>
      <c r="HB391" s="662"/>
      <c r="HC391" s="662"/>
      <c r="HD391" s="662"/>
      <c r="HE391" s="662"/>
      <c r="HF391" s="662"/>
      <c r="HG391" s="662"/>
      <c r="HH391" s="662"/>
      <c r="HI391" s="662"/>
      <c r="HJ391" s="662"/>
      <c r="HK391" s="662"/>
      <c r="HL391" s="662"/>
      <c r="HM391" s="662"/>
      <c r="HN391" s="662"/>
      <c r="HO391" s="662"/>
      <c r="HP391" s="662"/>
      <c r="HQ391" s="662"/>
      <c r="HR391" s="662"/>
      <c r="HS391" s="662"/>
      <c r="HT391" s="662"/>
      <c r="HU391" s="662"/>
      <c r="HV391" s="662"/>
      <c r="HW391" s="662"/>
      <c r="HX391" s="662"/>
      <c r="HY391" s="662"/>
      <c r="HZ391" s="662"/>
      <c r="IA391" s="662"/>
      <c r="IB391" s="662"/>
      <c r="IC391" s="662"/>
      <c r="ID391" s="662"/>
      <c r="IE391" s="662"/>
      <c r="IF391" s="662"/>
      <c r="IG391" s="662"/>
      <c r="IH391" s="662"/>
      <c r="II391" s="662"/>
      <c r="IJ391" s="662"/>
      <c r="IK391" s="662"/>
      <c r="IL391" s="662"/>
      <c r="IM391" s="662"/>
      <c r="IN391" s="662"/>
      <c r="IO391" s="662"/>
      <c r="IP391" s="662"/>
      <c r="IQ391" s="70"/>
    </row>
    <row r="392" spans="18:251" ht="16.5" hidden="1" customHeight="1">
      <c r="R392" s="95"/>
      <c r="S392" s="95"/>
      <c r="T392" s="95"/>
      <c r="U392" s="70"/>
      <c r="V392" s="214"/>
      <c r="W392" s="70"/>
      <c r="X392" s="70"/>
      <c r="Y392" s="70"/>
      <c r="Z392" s="70"/>
      <c r="AA392" s="70"/>
      <c r="AB392" s="70"/>
      <c r="AC392" s="70"/>
      <c r="AD392" s="70"/>
      <c r="AE392" s="70"/>
      <c r="AF392" s="70"/>
      <c r="AG392" s="70"/>
      <c r="AH392" s="70"/>
      <c r="AI392" s="70"/>
      <c r="AJ392" s="70"/>
      <c r="AK392" s="70"/>
      <c r="AL392" s="70"/>
      <c r="AM392" s="70"/>
      <c r="AN392" s="70"/>
      <c r="AO392" s="70"/>
      <c r="AP392" s="70"/>
      <c r="AQ392" s="70"/>
      <c r="AR392" s="70"/>
      <c r="AS392" s="70"/>
      <c r="AT392" s="70"/>
      <c r="AU392" s="70"/>
      <c r="AV392" s="70"/>
      <c r="AW392" s="70"/>
      <c r="AX392" s="70"/>
      <c r="AY392" s="70"/>
      <c r="AZ392" s="70"/>
      <c r="BA392" s="70"/>
      <c r="BB392" s="70"/>
      <c r="BC392" s="70"/>
      <c r="BD392" s="70"/>
      <c r="BE392" s="70"/>
      <c r="BF392" s="70"/>
      <c r="BG392" s="70"/>
      <c r="BH392" s="70"/>
      <c r="BI392" s="70"/>
      <c r="BJ392" s="70"/>
      <c r="BK392" s="70"/>
      <c r="BL392" s="70"/>
      <c r="BM392" s="70"/>
      <c r="BN392" s="70"/>
      <c r="BO392" s="70"/>
      <c r="BP392" s="70"/>
      <c r="BQ392" s="70"/>
      <c r="BR392" s="70"/>
      <c r="BS392" s="70"/>
      <c r="BT392" s="70"/>
      <c r="BU392" s="70"/>
      <c r="BV392" s="70"/>
      <c r="BW392" s="70"/>
      <c r="BX392" s="70"/>
      <c r="BY392" s="70"/>
      <c r="BZ392" s="70"/>
      <c r="CA392" s="70"/>
      <c r="CB392" s="70"/>
      <c r="CC392" s="70"/>
      <c r="CD392" s="70"/>
      <c r="CE392" s="70"/>
      <c r="CF392" s="70"/>
      <c r="CG392" s="70"/>
      <c r="CH392" s="70"/>
      <c r="CI392" s="70"/>
      <c r="CJ392" s="70"/>
      <c r="CK392" s="70"/>
      <c r="CL392" s="70"/>
      <c r="CM392" s="70"/>
      <c r="CN392" s="70"/>
      <c r="CO392" s="70"/>
      <c r="CP392" s="70"/>
      <c r="CQ392" s="70"/>
      <c r="CR392" s="70"/>
      <c r="CS392" s="70"/>
      <c r="CT392" s="70"/>
      <c r="CU392" s="70"/>
      <c r="CV392" s="70"/>
      <c r="CW392" s="70"/>
      <c r="CX392" s="70"/>
      <c r="CY392" s="70"/>
      <c r="CZ392" s="70"/>
      <c r="DA392" s="70"/>
      <c r="DB392" s="70"/>
      <c r="DC392" s="70"/>
      <c r="DD392" s="70"/>
      <c r="DE392" s="70"/>
      <c r="DF392" s="70"/>
      <c r="DG392" s="70"/>
      <c r="DH392" s="70"/>
      <c r="DI392" s="70"/>
      <c r="DJ392" s="70"/>
      <c r="DK392" s="70"/>
      <c r="DL392" s="70"/>
      <c r="DM392" s="70"/>
      <c r="DN392" s="70"/>
      <c r="DO392" s="70"/>
      <c r="DP392" s="70"/>
      <c r="DQ392" s="70"/>
      <c r="DR392" s="70"/>
      <c r="DS392" s="70"/>
      <c r="DT392" s="70"/>
      <c r="DU392" s="70"/>
      <c r="DV392" s="70"/>
      <c r="DW392" s="70"/>
      <c r="DX392" s="70"/>
      <c r="DY392" s="70"/>
      <c r="DZ392" s="70"/>
      <c r="EA392" s="70"/>
      <c r="EB392" s="70"/>
      <c r="EC392" s="70"/>
      <c r="ED392" s="70"/>
      <c r="EE392" s="95" t="s">
        <v>450</v>
      </c>
      <c r="EF392" s="651"/>
      <c r="EG392" s="651"/>
      <c r="EH392" s="651"/>
      <c r="EI392" s="216"/>
      <c r="EJ392" s="662"/>
      <c r="EK392" s="662"/>
      <c r="EL392" s="662"/>
      <c r="EM392" s="662"/>
      <c r="EN392" s="662"/>
      <c r="EO392" s="662"/>
      <c r="EP392" s="662"/>
      <c r="EQ392" s="662"/>
      <c r="ER392" s="662"/>
      <c r="ES392" s="662"/>
      <c r="ET392" s="662"/>
      <c r="EU392" s="662"/>
      <c r="EV392" s="662"/>
      <c r="EW392" s="662"/>
      <c r="EX392" s="662"/>
      <c r="EY392" s="662"/>
      <c r="EZ392" s="662"/>
      <c r="FA392" s="662"/>
      <c r="FB392" s="662"/>
      <c r="FC392" s="662"/>
      <c r="FD392" s="662"/>
      <c r="FE392" s="662"/>
      <c r="FF392" s="662"/>
      <c r="FG392" s="662"/>
      <c r="FH392" s="662"/>
      <c r="FI392" s="662"/>
      <c r="FJ392" s="662"/>
      <c r="FK392" s="662"/>
      <c r="FL392" s="662"/>
      <c r="FM392" s="662"/>
      <c r="FN392" s="662"/>
      <c r="FO392" s="662"/>
      <c r="FP392" s="662"/>
      <c r="FQ392" s="662"/>
      <c r="FR392" s="662"/>
      <c r="FS392" s="662"/>
      <c r="FT392" s="662"/>
      <c r="FU392" s="662"/>
      <c r="FV392" s="662"/>
      <c r="FW392" s="662"/>
      <c r="FX392" s="662"/>
      <c r="FY392" s="662"/>
      <c r="FZ392" s="662"/>
      <c r="GA392" s="662"/>
      <c r="GB392" s="662"/>
      <c r="GC392" s="662"/>
      <c r="GD392" s="662"/>
      <c r="GE392" s="662"/>
      <c r="GF392" s="662"/>
      <c r="GG392" s="662"/>
      <c r="GH392" s="662"/>
      <c r="GI392" s="662"/>
      <c r="GJ392" s="662"/>
      <c r="GK392" s="662"/>
      <c r="GL392" s="662"/>
      <c r="GM392" s="662"/>
      <c r="GN392" s="662"/>
      <c r="GO392" s="662"/>
      <c r="GP392" s="662"/>
      <c r="GQ392" s="662"/>
      <c r="GR392" s="662"/>
      <c r="GS392" s="662"/>
      <c r="GT392" s="662"/>
      <c r="GU392" s="662"/>
      <c r="GV392" s="662"/>
      <c r="GW392" s="662"/>
      <c r="GX392" s="662"/>
      <c r="GY392" s="662"/>
      <c r="GZ392" s="662"/>
      <c r="HA392" s="662"/>
      <c r="HB392" s="662"/>
      <c r="HC392" s="662"/>
      <c r="HD392" s="662"/>
      <c r="HE392" s="662"/>
      <c r="HF392" s="662"/>
      <c r="HG392" s="662"/>
      <c r="HH392" s="662"/>
      <c r="HI392" s="662"/>
      <c r="HJ392" s="662"/>
      <c r="HK392" s="662"/>
      <c r="HL392" s="662"/>
      <c r="HM392" s="662"/>
      <c r="HN392" s="662"/>
      <c r="HO392" s="662"/>
      <c r="HP392" s="662"/>
      <c r="HQ392" s="662"/>
      <c r="HR392" s="662"/>
      <c r="HS392" s="662"/>
      <c r="HT392" s="662"/>
      <c r="HU392" s="662"/>
      <c r="HV392" s="662"/>
      <c r="HW392" s="662"/>
      <c r="HX392" s="662"/>
      <c r="HY392" s="662"/>
      <c r="HZ392" s="662"/>
      <c r="IA392" s="662"/>
      <c r="IB392" s="662"/>
      <c r="IC392" s="662"/>
      <c r="ID392" s="662"/>
      <c r="IE392" s="662"/>
      <c r="IF392" s="662"/>
      <c r="IG392" s="662"/>
      <c r="IH392" s="662"/>
      <c r="II392" s="662"/>
      <c r="IJ392" s="662"/>
      <c r="IK392" s="662"/>
      <c r="IL392" s="662"/>
      <c r="IM392" s="662"/>
      <c r="IN392" s="662"/>
      <c r="IO392" s="662"/>
      <c r="IP392" s="662"/>
      <c r="IQ392" s="70"/>
    </row>
    <row r="393" spans="18:251" ht="16.5" hidden="1" customHeight="1">
      <c r="R393" s="95"/>
      <c r="S393" s="95"/>
      <c r="T393" s="95"/>
      <c r="U393" s="70"/>
      <c r="V393" s="214"/>
      <c r="W393" s="70"/>
      <c r="X393" s="70"/>
      <c r="Y393" s="70"/>
      <c r="Z393" s="70"/>
      <c r="AA393" s="70"/>
      <c r="AB393" s="70"/>
      <c r="AC393" s="70"/>
      <c r="AD393" s="70"/>
      <c r="AE393" s="70"/>
      <c r="AF393" s="70"/>
      <c r="AG393" s="70"/>
      <c r="AH393" s="70"/>
      <c r="AI393" s="70"/>
      <c r="AJ393" s="70"/>
      <c r="AK393" s="70"/>
      <c r="AL393" s="70"/>
      <c r="AM393" s="70"/>
      <c r="AN393" s="70"/>
      <c r="AO393" s="70"/>
      <c r="AP393" s="70"/>
      <c r="AQ393" s="70"/>
      <c r="AR393" s="70"/>
      <c r="AS393" s="70"/>
      <c r="AT393" s="70"/>
      <c r="AU393" s="70"/>
      <c r="AV393" s="70"/>
      <c r="AW393" s="70"/>
      <c r="AX393" s="70"/>
      <c r="AY393" s="70"/>
      <c r="AZ393" s="70"/>
      <c r="BA393" s="70"/>
      <c r="BB393" s="70"/>
      <c r="BC393" s="70"/>
      <c r="BD393" s="70"/>
      <c r="BE393" s="70"/>
      <c r="BF393" s="70"/>
      <c r="BG393" s="70"/>
      <c r="BH393" s="70"/>
      <c r="BI393" s="70"/>
      <c r="BJ393" s="70"/>
      <c r="BK393" s="70"/>
      <c r="BL393" s="70"/>
      <c r="BM393" s="70"/>
      <c r="BN393" s="70"/>
      <c r="BO393" s="70"/>
      <c r="BP393" s="70"/>
      <c r="BQ393" s="70"/>
      <c r="BR393" s="70"/>
      <c r="BS393" s="70"/>
      <c r="BT393" s="70"/>
      <c r="BU393" s="70"/>
      <c r="BV393" s="70"/>
      <c r="BW393" s="70"/>
      <c r="BX393" s="70"/>
      <c r="BY393" s="70"/>
      <c r="BZ393" s="70"/>
      <c r="CA393" s="70"/>
      <c r="CB393" s="70"/>
      <c r="CC393" s="70"/>
      <c r="CD393" s="70"/>
      <c r="CE393" s="70"/>
      <c r="CF393" s="70"/>
      <c r="CG393" s="70"/>
      <c r="CH393" s="70"/>
      <c r="CI393" s="70"/>
      <c r="CJ393" s="70"/>
      <c r="CK393" s="70"/>
      <c r="CL393" s="70"/>
      <c r="CM393" s="70"/>
      <c r="CN393" s="70"/>
      <c r="CO393" s="70"/>
      <c r="CP393" s="70"/>
      <c r="CQ393" s="70"/>
      <c r="CR393" s="70"/>
      <c r="CS393" s="70"/>
      <c r="CT393" s="70"/>
      <c r="CU393" s="70"/>
      <c r="CV393" s="70"/>
      <c r="CW393" s="70"/>
      <c r="CX393" s="70"/>
      <c r="CY393" s="70"/>
      <c r="CZ393" s="70"/>
      <c r="DA393" s="70"/>
      <c r="DB393" s="70"/>
      <c r="DC393" s="70"/>
      <c r="DD393" s="70"/>
      <c r="DE393" s="70"/>
      <c r="DF393" s="70"/>
      <c r="DG393" s="70"/>
      <c r="DH393" s="70"/>
      <c r="DI393" s="70"/>
      <c r="DJ393" s="70"/>
      <c r="DK393" s="70"/>
      <c r="DL393" s="70"/>
      <c r="DM393" s="70"/>
      <c r="DN393" s="70"/>
      <c r="DO393" s="70"/>
      <c r="DP393" s="70"/>
      <c r="DQ393" s="70"/>
      <c r="DR393" s="70"/>
      <c r="DS393" s="70"/>
      <c r="DT393" s="70"/>
      <c r="DU393" s="70"/>
      <c r="DV393" s="70"/>
      <c r="DW393" s="70"/>
      <c r="DX393" s="70"/>
      <c r="DY393" s="70"/>
      <c r="DZ393" s="70"/>
      <c r="EA393" s="70"/>
      <c r="EB393" s="70"/>
      <c r="EC393" s="70"/>
      <c r="ED393" s="70"/>
      <c r="EE393" s="95" t="s">
        <v>450</v>
      </c>
      <c r="EF393" s="651"/>
      <c r="EG393" s="651"/>
      <c r="EH393" s="651"/>
      <c r="EI393" s="216"/>
      <c r="EJ393" s="662"/>
      <c r="EK393" s="662"/>
      <c r="EL393" s="662"/>
      <c r="EM393" s="662"/>
      <c r="EN393" s="662"/>
      <c r="EO393" s="662"/>
      <c r="EP393" s="662"/>
      <c r="EQ393" s="662"/>
      <c r="ER393" s="662"/>
      <c r="ES393" s="662"/>
      <c r="ET393" s="662"/>
      <c r="EU393" s="662"/>
      <c r="EV393" s="662"/>
      <c r="EW393" s="662"/>
      <c r="EX393" s="662"/>
      <c r="EY393" s="662"/>
      <c r="EZ393" s="662"/>
      <c r="FA393" s="662"/>
      <c r="FB393" s="662"/>
      <c r="FC393" s="662"/>
      <c r="FD393" s="662"/>
      <c r="FE393" s="662"/>
      <c r="FF393" s="662"/>
      <c r="FG393" s="662"/>
      <c r="FH393" s="662"/>
      <c r="FI393" s="662"/>
      <c r="FJ393" s="662"/>
      <c r="FK393" s="662"/>
      <c r="FL393" s="662"/>
      <c r="FM393" s="662"/>
      <c r="FN393" s="662"/>
      <c r="FO393" s="662"/>
      <c r="FP393" s="662"/>
      <c r="FQ393" s="662"/>
      <c r="FR393" s="662"/>
      <c r="FS393" s="662"/>
      <c r="FT393" s="662"/>
      <c r="FU393" s="662"/>
      <c r="FV393" s="662"/>
      <c r="FW393" s="662"/>
      <c r="FX393" s="662"/>
      <c r="FY393" s="662"/>
      <c r="FZ393" s="662"/>
      <c r="GA393" s="662"/>
      <c r="GB393" s="662"/>
      <c r="GC393" s="662"/>
      <c r="GD393" s="662"/>
      <c r="GE393" s="662"/>
      <c r="GF393" s="662"/>
      <c r="GG393" s="662"/>
      <c r="GH393" s="662"/>
      <c r="GI393" s="662"/>
      <c r="GJ393" s="662"/>
      <c r="GK393" s="662"/>
      <c r="GL393" s="662"/>
      <c r="GM393" s="662"/>
      <c r="GN393" s="662"/>
      <c r="GO393" s="662"/>
      <c r="GP393" s="662"/>
      <c r="GQ393" s="662"/>
      <c r="GR393" s="662"/>
      <c r="GS393" s="662"/>
      <c r="GT393" s="662"/>
      <c r="GU393" s="662"/>
      <c r="GV393" s="662"/>
      <c r="GW393" s="662"/>
      <c r="GX393" s="662"/>
      <c r="GY393" s="662"/>
      <c r="GZ393" s="662"/>
      <c r="HA393" s="662"/>
      <c r="HB393" s="662"/>
      <c r="HC393" s="662"/>
      <c r="HD393" s="662"/>
      <c r="HE393" s="662"/>
      <c r="HF393" s="662"/>
      <c r="HG393" s="662"/>
      <c r="HH393" s="662"/>
      <c r="HI393" s="662"/>
      <c r="HJ393" s="662"/>
      <c r="HK393" s="662"/>
      <c r="HL393" s="662"/>
      <c r="HM393" s="662"/>
      <c r="HN393" s="662"/>
      <c r="HO393" s="662"/>
      <c r="HP393" s="662"/>
      <c r="HQ393" s="662"/>
      <c r="HR393" s="662"/>
      <c r="HS393" s="662"/>
      <c r="HT393" s="662"/>
      <c r="HU393" s="662"/>
      <c r="HV393" s="662"/>
      <c r="HW393" s="662"/>
      <c r="HX393" s="662"/>
      <c r="HY393" s="662"/>
      <c r="HZ393" s="662"/>
      <c r="IA393" s="662"/>
      <c r="IB393" s="662"/>
      <c r="IC393" s="662"/>
      <c r="ID393" s="662"/>
      <c r="IE393" s="662"/>
      <c r="IF393" s="662"/>
      <c r="IG393" s="662"/>
      <c r="IH393" s="662"/>
      <c r="II393" s="662"/>
      <c r="IJ393" s="662"/>
      <c r="IK393" s="662"/>
      <c r="IL393" s="662"/>
      <c r="IM393" s="662"/>
      <c r="IN393" s="662"/>
      <c r="IO393" s="662"/>
      <c r="IP393" s="662"/>
      <c r="IQ393" s="70"/>
    </row>
    <row r="394" spans="18:251" ht="16.5" hidden="1" customHeight="1">
      <c r="R394" s="95"/>
      <c r="S394" s="95"/>
      <c r="T394" s="95"/>
      <c r="U394" s="70"/>
      <c r="V394" s="214"/>
      <c r="W394" s="70"/>
      <c r="X394" s="70"/>
      <c r="Y394" s="70"/>
      <c r="Z394" s="70"/>
      <c r="AA394" s="70"/>
      <c r="AB394" s="70"/>
      <c r="AC394" s="70"/>
      <c r="AD394" s="70"/>
      <c r="AE394" s="70"/>
      <c r="AF394" s="70"/>
      <c r="AG394" s="70"/>
      <c r="AH394" s="70"/>
      <c r="AI394" s="70"/>
      <c r="AJ394" s="70"/>
      <c r="AK394" s="70"/>
      <c r="AL394" s="70"/>
      <c r="AM394" s="70"/>
      <c r="AN394" s="70"/>
      <c r="AO394" s="70"/>
      <c r="AP394" s="70"/>
      <c r="AQ394" s="70"/>
      <c r="AR394" s="70"/>
      <c r="AS394" s="70"/>
      <c r="AT394" s="70"/>
      <c r="AU394" s="70"/>
      <c r="AV394" s="70"/>
      <c r="AW394" s="70"/>
      <c r="AX394" s="70"/>
      <c r="AY394" s="70"/>
      <c r="AZ394" s="70"/>
      <c r="BA394" s="70"/>
      <c r="BB394" s="70"/>
      <c r="BC394" s="70"/>
      <c r="BD394" s="70"/>
      <c r="BE394" s="70"/>
      <c r="BF394" s="70"/>
      <c r="BG394" s="70"/>
      <c r="BH394" s="70"/>
      <c r="BI394" s="70"/>
      <c r="BJ394" s="70"/>
      <c r="BK394" s="70"/>
      <c r="BL394" s="70"/>
      <c r="BM394" s="70"/>
      <c r="BN394" s="70"/>
      <c r="BO394" s="70"/>
      <c r="BP394" s="70"/>
      <c r="BQ394" s="70"/>
      <c r="BR394" s="70"/>
      <c r="BS394" s="70"/>
      <c r="BT394" s="70"/>
      <c r="BU394" s="70"/>
      <c r="BV394" s="70"/>
      <c r="BW394" s="70"/>
      <c r="BX394" s="70"/>
      <c r="BY394" s="70"/>
      <c r="BZ394" s="70"/>
      <c r="CA394" s="70"/>
      <c r="CB394" s="70"/>
      <c r="CC394" s="70"/>
      <c r="CD394" s="70"/>
      <c r="CE394" s="70"/>
      <c r="CF394" s="70"/>
      <c r="CG394" s="70"/>
      <c r="CH394" s="70"/>
      <c r="CI394" s="70"/>
      <c r="CJ394" s="70"/>
      <c r="CK394" s="70"/>
      <c r="CL394" s="70"/>
      <c r="CM394" s="70"/>
      <c r="CN394" s="70"/>
      <c r="CO394" s="70"/>
      <c r="CP394" s="70"/>
      <c r="CQ394" s="70"/>
      <c r="CR394" s="70"/>
      <c r="CS394" s="70"/>
      <c r="CT394" s="70"/>
      <c r="CU394" s="70"/>
      <c r="CV394" s="70"/>
      <c r="CW394" s="70"/>
      <c r="CX394" s="70"/>
      <c r="CY394" s="70"/>
      <c r="CZ394" s="70"/>
      <c r="DA394" s="70"/>
      <c r="DB394" s="70"/>
      <c r="DC394" s="70"/>
      <c r="DD394" s="70"/>
      <c r="DE394" s="70"/>
      <c r="DF394" s="70"/>
      <c r="DG394" s="70"/>
      <c r="DH394" s="70"/>
      <c r="DI394" s="70"/>
      <c r="DJ394" s="70"/>
      <c r="DK394" s="70"/>
      <c r="DL394" s="70"/>
      <c r="DM394" s="70"/>
      <c r="DN394" s="70"/>
      <c r="DO394" s="70"/>
      <c r="DP394" s="70"/>
      <c r="DQ394" s="70"/>
      <c r="DR394" s="70"/>
      <c r="DS394" s="70"/>
      <c r="DT394" s="70"/>
      <c r="DU394" s="70"/>
      <c r="DV394" s="70"/>
      <c r="DW394" s="70"/>
      <c r="DX394" s="70"/>
      <c r="DY394" s="70"/>
      <c r="DZ394" s="70"/>
      <c r="EA394" s="70"/>
      <c r="EB394" s="70"/>
      <c r="EC394" s="70"/>
      <c r="ED394" s="70"/>
      <c r="EE394" s="95"/>
      <c r="EF394" s="651"/>
      <c r="EG394" s="651"/>
      <c r="EH394" s="651"/>
      <c r="EI394" s="216"/>
      <c r="EJ394" s="662"/>
      <c r="EK394" s="662"/>
      <c r="EL394" s="662"/>
      <c r="EM394" s="662"/>
      <c r="EN394" s="662"/>
      <c r="EO394" s="662"/>
      <c r="EP394" s="662"/>
      <c r="EQ394" s="662"/>
      <c r="ER394" s="662"/>
      <c r="ES394" s="662"/>
      <c r="ET394" s="662"/>
      <c r="EU394" s="662"/>
      <c r="EV394" s="662"/>
      <c r="EW394" s="662"/>
      <c r="EX394" s="662"/>
      <c r="EY394" s="662"/>
      <c r="EZ394" s="662"/>
      <c r="FA394" s="662"/>
      <c r="FB394" s="662"/>
      <c r="FC394" s="662"/>
      <c r="FD394" s="662"/>
      <c r="FE394" s="662"/>
      <c r="FF394" s="662"/>
      <c r="FG394" s="662"/>
      <c r="FH394" s="662"/>
      <c r="FI394" s="662"/>
      <c r="FJ394" s="662"/>
      <c r="FK394" s="662"/>
      <c r="FL394" s="662"/>
      <c r="FM394" s="662"/>
      <c r="FN394" s="662"/>
      <c r="FO394" s="662"/>
      <c r="FP394" s="662"/>
      <c r="FQ394" s="662"/>
      <c r="FR394" s="662"/>
      <c r="FS394" s="662"/>
      <c r="FT394" s="662"/>
      <c r="FU394" s="662"/>
      <c r="FV394" s="662"/>
      <c r="FW394" s="662"/>
      <c r="FX394" s="662"/>
      <c r="FY394" s="662"/>
      <c r="FZ394" s="662"/>
      <c r="GA394" s="662"/>
      <c r="GB394" s="662"/>
      <c r="GC394" s="662"/>
      <c r="GD394" s="662"/>
      <c r="GE394" s="662"/>
      <c r="GF394" s="662"/>
      <c r="GG394" s="662"/>
      <c r="GH394" s="662"/>
      <c r="GI394" s="662"/>
      <c r="GJ394" s="662"/>
      <c r="GK394" s="662"/>
      <c r="GL394" s="662"/>
      <c r="GM394" s="662"/>
      <c r="GN394" s="662"/>
      <c r="GO394" s="662"/>
      <c r="GP394" s="662"/>
      <c r="GQ394" s="662"/>
      <c r="GR394" s="662"/>
      <c r="GS394" s="662"/>
      <c r="GT394" s="662"/>
      <c r="GU394" s="662"/>
      <c r="GV394" s="662"/>
      <c r="GW394" s="662"/>
      <c r="GX394" s="662"/>
      <c r="GY394" s="662"/>
      <c r="GZ394" s="662"/>
      <c r="HA394" s="662"/>
      <c r="HB394" s="662"/>
      <c r="HC394" s="662"/>
      <c r="HD394" s="662"/>
      <c r="HE394" s="662"/>
      <c r="HF394" s="662"/>
      <c r="HG394" s="662"/>
      <c r="HH394" s="662"/>
      <c r="HI394" s="662"/>
      <c r="HJ394" s="662"/>
      <c r="HK394" s="662"/>
      <c r="HL394" s="662"/>
      <c r="HM394" s="662"/>
      <c r="HN394" s="662"/>
      <c r="HO394" s="662"/>
      <c r="HP394" s="662"/>
      <c r="HQ394" s="662"/>
      <c r="HR394" s="662"/>
      <c r="HS394" s="662"/>
      <c r="HT394" s="662"/>
      <c r="HU394" s="662"/>
      <c r="HV394" s="662"/>
      <c r="HW394" s="662"/>
      <c r="HX394" s="662"/>
      <c r="HY394" s="662"/>
      <c r="HZ394" s="662"/>
      <c r="IA394" s="662"/>
      <c r="IB394" s="662"/>
      <c r="IC394" s="662"/>
      <c r="ID394" s="662"/>
      <c r="IE394" s="662"/>
      <c r="IF394" s="662"/>
      <c r="IG394" s="662"/>
      <c r="IH394" s="662"/>
      <c r="II394" s="662"/>
      <c r="IJ394" s="662"/>
      <c r="IK394" s="662"/>
      <c r="IL394" s="662"/>
      <c r="IM394" s="662"/>
      <c r="IN394" s="662"/>
      <c r="IO394" s="662"/>
      <c r="IP394" s="662"/>
      <c r="IQ394" s="70"/>
    </row>
    <row r="395" spans="18:251" ht="16.5" hidden="1" customHeight="1">
      <c r="R395" s="95"/>
      <c r="S395" s="95"/>
      <c r="T395" s="95"/>
      <c r="U395" s="70"/>
      <c r="V395" s="214"/>
      <c r="W395" s="70"/>
      <c r="X395" s="70"/>
      <c r="Y395" s="70"/>
      <c r="Z395" s="70"/>
      <c r="AA395" s="70"/>
      <c r="AB395" s="70"/>
      <c r="AC395" s="70"/>
      <c r="AD395" s="70"/>
      <c r="AE395" s="70"/>
      <c r="AF395" s="70"/>
      <c r="AG395" s="70"/>
      <c r="AH395" s="70"/>
      <c r="AI395" s="70"/>
      <c r="AJ395" s="70"/>
      <c r="AK395" s="70"/>
      <c r="AL395" s="70"/>
      <c r="AM395" s="70"/>
      <c r="AN395" s="70"/>
      <c r="AO395" s="70"/>
      <c r="AP395" s="70"/>
      <c r="AQ395" s="70"/>
      <c r="AR395" s="70"/>
      <c r="AS395" s="70"/>
      <c r="AT395" s="70"/>
      <c r="AU395" s="70"/>
      <c r="AV395" s="70"/>
      <c r="AW395" s="70"/>
      <c r="AX395" s="70"/>
      <c r="AY395" s="70"/>
      <c r="AZ395" s="70"/>
      <c r="BA395" s="70"/>
      <c r="BB395" s="70"/>
      <c r="BC395" s="70"/>
      <c r="BD395" s="70"/>
      <c r="BE395" s="70"/>
      <c r="BF395" s="70"/>
      <c r="BG395" s="70"/>
      <c r="BH395" s="70"/>
      <c r="BI395" s="70"/>
      <c r="BJ395" s="70"/>
      <c r="BK395" s="70"/>
      <c r="BL395" s="70"/>
      <c r="BM395" s="70"/>
      <c r="BN395" s="70"/>
      <c r="BO395" s="70"/>
      <c r="BP395" s="70"/>
      <c r="BQ395" s="70"/>
      <c r="BR395" s="70"/>
      <c r="BS395" s="70"/>
      <c r="BT395" s="70"/>
      <c r="BU395" s="70"/>
      <c r="BV395" s="70"/>
      <c r="BW395" s="70"/>
      <c r="BX395" s="70"/>
      <c r="BY395" s="70"/>
      <c r="BZ395" s="70"/>
      <c r="CA395" s="70"/>
      <c r="CB395" s="70"/>
      <c r="CC395" s="70"/>
      <c r="CD395" s="70"/>
      <c r="CE395" s="70"/>
      <c r="CF395" s="70"/>
      <c r="CG395" s="70"/>
      <c r="CH395" s="70"/>
      <c r="CI395" s="70"/>
      <c r="CJ395" s="70"/>
      <c r="CK395" s="70"/>
      <c r="CL395" s="70"/>
      <c r="CM395" s="70"/>
      <c r="CN395" s="70"/>
      <c r="CO395" s="70"/>
      <c r="CP395" s="70"/>
      <c r="CQ395" s="70"/>
      <c r="CR395" s="70"/>
      <c r="CS395" s="70"/>
      <c r="CT395" s="70"/>
      <c r="CU395" s="70"/>
      <c r="CV395" s="70"/>
      <c r="CW395" s="70"/>
      <c r="CX395" s="70"/>
      <c r="CY395" s="70"/>
      <c r="CZ395" s="70"/>
      <c r="DA395" s="70"/>
      <c r="DB395" s="70"/>
      <c r="DC395" s="70"/>
      <c r="DD395" s="70"/>
      <c r="DE395" s="70"/>
      <c r="DF395" s="70"/>
      <c r="DG395" s="70"/>
      <c r="DH395" s="70"/>
      <c r="DI395" s="70"/>
      <c r="DJ395" s="70"/>
      <c r="DK395" s="70"/>
      <c r="DL395" s="70"/>
      <c r="DM395" s="70"/>
      <c r="DN395" s="70"/>
      <c r="DO395" s="70"/>
      <c r="DP395" s="70"/>
      <c r="DQ395" s="70"/>
      <c r="DR395" s="70"/>
      <c r="DS395" s="70"/>
      <c r="DT395" s="70"/>
      <c r="DU395" s="70"/>
      <c r="DV395" s="70"/>
      <c r="DW395" s="70"/>
      <c r="DX395" s="70"/>
      <c r="DY395" s="70"/>
      <c r="DZ395" s="70"/>
      <c r="EA395" s="70"/>
      <c r="EB395" s="70"/>
      <c r="EC395" s="70"/>
      <c r="ED395" s="70"/>
      <c r="EE395" s="95"/>
      <c r="EF395" s="651"/>
      <c r="EG395" s="651"/>
      <c r="EH395" s="651"/>
      <c r="EI395" s="216"/>
      <c r="EJ395" s="662"/>
      <c r="EK395" s="662"/>
      <c r="EL395" s="662"/>
      <c r="EM395" s="662"/>
      <c r="EN395" s="662"/>
      <c r="EO395" s="662"/>
      <c r="EP395" s="662"/>
      <c r="EQ395" s="662"/>
      <c r="ER395" s="662"/>
      <c r="ES395" s="662"/>
      <c r="ET395" s="662"/>
      <c r="EU395" s="662"/>
      <c r="EV395" s="662"/>
      <c r="EW395" s="662"/>
      <c r="EX395" s="662"/>
      <c r="EY395" s="662"/>
      <c r="EZ395" s="662"/>
      <c r="FA395" s="662"/>
      <c r="FB395" s="662"/>
      <c r="FC395" s="662"/>
      <c r="FD395" s="662"/>
      <c r="FE395" s="662"/>
      <c r="FF395" s="662"/>
      <c r="FG395" s="662"/>
      <c r="FH395" s="662"/>
      <c r="FI395" s="662"/>
      <c r="FJ395" s="662"/>
      <c r="FK395" s="662"/>
      <c r="FL395" s="662"/>
      <c r="FM395" s="662"/>
      <c r="FN395" s="662"/>
      <c r="FO395" s="662"/>
      <c r="FP395" s="662"/>
      <c r="FQ395" s="662"/>
      <c r="FR395" s="662"/>
      <c r="FS395" s="662"/>
      <c r="FT395" s="662"/>
      <c r="FU395" s="662"/>
      <c r="FV395" s="662"/>
      <c r="FW395" s="662"/>
      <c r="FX395" s="662"/>
      <c r="FY395" s="662"/>
      <c r="FZ395" s="662"/>
      <c r="GA395" s="662"/>
      <c r="GB395" s="662"/>
      <c r="GC395" s="662"/>
      <c r="GD395" s="662"/>
      <c r="GE395" s="662"/>
      <c r="GF395" s="662"/>
      <c r="GG395" s="662"/>
      <c r="GH395" s="662"/>
      <c r="GI395" s="662"/>
      <c r="GJ395" s="662"/>
      <c r="GK395" s="662"/>
      <c r="GL395" s="662"/>
      <c r="GM395" s="662"/>
      <c r="GN395" s="662"/>
      <c r="GO395" s="662"/>
      <c r="GP395" s="662"/>
      <c r="GQ395" s="662"/>
      <c r="GR395" s="662"/>
      <c r="GS395" s="662"/>
      <c r="GT395" s="662"/>
      <c r="GU395" s="662"/>
      <c r="GV395" s="662"/>
      <c r="GW395" s="662"/>
      <c r="GX395" s="662"/>
      <c r="GY395" s="662"/>
      <c r="GZ395" s="662"/>
      <c r="HA395" s="662"/>
      <c r="HB395" s="662"/>
      <c r="HC395" s="662"/>
      <c r="HD395" s="662"/>
      <c r="HE395" s="662"/>
      <c r="HF395" s="662"/>
      <c r="HG395" s="662"/>
      <c r="HH395" s="662"/>
      <c r="HI395" s="662"/>
      <c r="HJ395" s="662"/>
      <c r="HK395" s="662"/>
      <c r="HL395" s="662"/>
      <c r="HM395" s="662"/>
      <c r="HN395" s="662"/>
      <c r="HO395" s="662"/>
      <c r="HP395" s="662"/>
      <c r="HQ395" s="662"/>
      <c r="HR395" s="662"/>
      <c r="HS395" s="662"/>
      <c r="HT395" s="662"/>
      <c r="HU395" s="662"/>
      <c r="HV395" s="662"/>
      <c r="HW395" s="662"/>
      <c r="HX395" s="662"/>
      <c r="HY395" s="662"/>
      <c r="HZ395" s="662"/>
      <c r="IA395" s="662"/>
      <c r="IB395" s="662"/>
      <c r="IC395" s="662"/>
      <c r="ID395" s="662"/>
      <c r="IE395" s="662"/>
      <c r="IF395" s="662"/>
      <c r="IG395" s="662"/>
      <c r="IH395" s="662"/>
      <c r="II395" s="662"/>
      <c r="IJ395" s="662"/>
      <c r="IK395" s="662"/>
      <c r="IL395" s="662"/>
      <c r="IM395" s="662"/>
      <c r="IN395" s="662"/>
      <c r="IO395" s="662"/>
      <c r="IP395" s="662"/>
      <c r="IQ395" s="70"/>
    </row>
    <row r="396" spans="18:251" ht="16.5" hidden="1" customHeight="1">
      <c r="R396" s="95"/>
      <c r="S396" s="95"/>
      <c r="T396" s="95"/>
      <c r="U396" s="70"/>
      <c r="V396" s="214"/>
      <c r="W396" s="70"/>
      <c r="X396" s="70"/>
      <c r="Y396" s="70"/>
      <c r="Z396" s="70"/>
      <c r="AA396" s="70"/>
      <c r="AB396" s="70"/>
      <c r="AC396" s="70"/>
      <c r="AD396" s="70"/>
      <c r="AE396" s="70"/>
      <c r="AF396" s="70"/>
      <c r="AG396" s="70"/>
      <c r="AH396" s="70"/>
      <c r="AI396" s="70"/>
      <c r="AJ396" s="70"/>
      <c r="AK396" s="70"/>
      <c r="AL396" s="70"/>
      <c r="AM396" s="70"/>
      <c r="AN396" s="70"/>
      <c r="AO396" s="70"/>
      <c r="AP396" s="70"/>
      <c r="AQ396" s="70"/>
      <c r="AR396" s="70"/>
      <c r="AS396" s="70"/>
      <c r="AT396" s="70"/>
      <c r="AU396" s="70"/>
      <c r="AV396" s="70"/>
      <c r="AW396" s="70"/>
      <c r="AX396" s="70"/>
      <c r="AY396" s="70"/>
      <c r="AZ396" s="70"/>
      <c r="BA396" s="70"/>
      <c r="BB396" s="70"/>
      <c r="BC396" s="70"/>
      <c r="BD396" s="70"/>
      <c r="BE396" s="70"/>
      <c r="BF396" s="70"/>
      <c r="BG396" s="70"/>
      <c r="BH396" s="70"/>
      <c r="BI396" s="70"/>
      <c r="BJ396" s="70"/>
      <c r="BK396" s="70"/>
      <c r="BL396" s="70"/>
      <c r="BM396" s="70"/>
      <c r="BN396" s="70"/>
      <c r="BO396" s="70"/>
      <c r="BP396" s="70"/>
      <c r="BQ396" s="70"/>
      <c r="BR396" s="70"/>
      <c r="BS396" s="70"/>
      <c r="BT396" s="70"/>
      <c r="BU396" s="70"/>
      <c r="BV396" s="70"/>
      <c r="BW396" s="70"/>
      <c r="BX396" s="70"/>
      <c r="BY396" s="70"/>
      <c r="BZ396" s="70"/>
      <c r="CA396" s="70"/>
      <c r="CB396" s="70"/>
      <c r="CC396" s="70"/>
      <c r="CD396" s="70"/>
      <c r="CE396" s="70"/>
      <c r="CF396" s="70"/>
      <c r="CG396" s="70"/>
      <c r="CH396" s="70"/>
      <c r="CI396" s="70"/>
      <c r="CJ396" s="70"/>
      <c r="CK396" s="70"/>
      <c r="CL396" s="70"/>
      <c r="CM396" s="70"/>
      <c r="CN396" s="70"/>
      <c r="CO396" s="70"/>
      <c r="CP396" s="70"/>
      <c r="CQ396" s="70"/>
      <c r="CR396" s="70"/>
      <c r="CS396" s="70"/>
      <c r="CT396" s="70"/>
      <c r="CU396" s="70"/>
      <c r="CV396" s="70"/>
      <c r="CW396" s="70"/>
      <c r="CX396" s="70"/>
      <c r="CY396" s="70"/>
      <c r="CZ396" s="70"/>
      <c r="DA396" s="70"/>
      <c r="DB396" s="70"/>
      <c r="DC396" s="70"/>
      <c r="DD396" s="70"/>
      <c r="DE396" s="70"/>
      <c r="DF396" s="70"/>
      <c r="DG396" s="70"/>
      <c r="DH396" s="70"/>
      <c r="DI396" s="70"/>
      <c r="DJ396" s="70"/>
      <c r="DK396" s="70"/>
      <c r="DL396" s="70"/>
      <c r="DM396" s="70"/>
      <c r="DN396" s="70"/>
      <c r="DO396" s="70"/>
      <c r="DP396" s="70"/>
      <c r="DQ396" s="70"/>
      <c r="DR396" s="70"/>
      <c r="DS396" s="70"/>
      <c r="DT396" s="70"/>
      <c r="DU396" s="70"/>
      <c r="DV396" s="70"/>
      <c r="DW396" s="70"/>
      <c r="DX396" s="70"/>
      <c r="DY396" s="70"/>
      <c r="DZ396" s="70"/>
      <c r="EA396" s="70"/>
      <c r="EB396" s="70"/>
      <c r="EC396" s="70"/>
      <c r="ED396" s="70"/>
      <c r="EE396" s="95"/>
      <c r="EF396" s="651"/>
      <c r="EG396" s="651"/>
      <c r="EH396" s="651"/>
      <c r="EI396" s="216"/>
      <c r="EJ396" s="662"/>
      <c r="EK396" s="662"/>
      <c r="EL396" s="662"/>
      <c r="EM396" s="662"/>
      <c r="EN396" s="662"/>
      <c r="EO396" s="662"/>
      <c r="EP396" s="662"/>
      <c r="EQ396" s="662"/>
      <c r="ER396" s="662"/>
      <c r="ES396" s="662"/>
      <c r="ET396" s="662"/>
      <c r="EU396" s="662"/>
      <c r="EV396" s="662"/>
      <c r="EW396" s="662"/>
      <c r="EX396" s="662"/>
      <c r="EY396" s="662"/>
      <c r="EZ396" s="662"/>
      <c r="FA396" s="662"/>
      <c r="FB396" s="662"/>
      <c r="FC396" s="662"/>
      <c r="FD396" s="662"/>
      <c r="FE396" s="662"/>
      <c r="FF396" s="662"/>
      <c r="FG396" s="662"/>
      <c r="FH396" s="662"/>
      <c r="FI396" s="662"/>
      <c r="FJ396" s="662"/>
      <c r="FK396" s="662"/>
      <c r="FL396" s="662"/>
      <c r="FM396" s="662"/>
      <c r="FN396" s="662"/>
      <c r="FO396" s="662"/>
      <c r="FP396" s="662"/>
      <c r="FQ396" s="662"/>
      <c r="FR396" s="662"/>
      <c r="FS396" s="662"/>
      <c r="FT396" s="662"/>
      <c r="FU396" s="662"/>
      <c r="FV396" s="662"/>
      <c r="FW396" s="662"/>
      <c r="FX396" s="662"/>
      <c r="FY396" s="662"/>
      <c r="FZ396" s="662"/>
      <c r="GA396" s="662"/>
      <c r="GB396" s="662"/>
      <c r="GC396" s="662"/>
      <c r="GD396" s="662"/>
      <c r="GE396" s="662"/>
      <c r="GF396" s="662"/>
      <c r="GG396" s="662"/>
      <c r="GH396" s="662"/>
      <c r="GI396" s="662"/>
      <c r="GJ396" s="662"/>
      <c r="GK396" s="662"/>
      <c r="GL396" s="662"/>
      <c r="GM396" s="662"/>
      <c r="GN396" s="662"/>
      <c r="GO396" s="662"/>
      <c r="GP396" s="662"/>
      <c r="GQ396" s="662"/>
      <c r="GR396" s="662"/>
      <c r="GS396" s="662"/>
      <c r="GT396" s="662"/>
      <c r="GU396" s="662"/>
      <c r="GV396" s="662"/>
      <c r="GW396" s="662"/>
      <c r="GX396" s="662"/>
      <c r="GY396" s="662"/>
      <c r="GZ396" s="662"/>
      <c r="HA396" s="662"/>
      <c r="HB396" s="662"/>
      <c r="HC396" s="662"/>
      <c r="HD396" s="662"/>
      <c r="HE396" s="662"/>
      <c r="HF396" s="662"/>
      <c r="HG396" s="662"/>
      <c r="HH396" s="662"/>
      <c r="HI396" s="662"/>
      <c r="HJ396" s="662"/>
      <c r="HK396" s="662"/>
      <c r="HL396" s="662"/>
      <c r="HM396" s="662"/>
      <c r="HN396" s="662"/>
      <c r="HO396" s="662"/>
      <c r="HP396" s="662"/>
      <c r="HQ396" s="662"/>
      <c r="HR396" s="662"/>
      <c r="HS396" s="662"/>
      <c r="HT396" s="662"/>
      <c r="HU396" s="662"/>
      <c r="HV396" s="662"/>
      <c r="HW396" s="662"/>
      <c r="HX396" s="662"/>
      <c r="HY396" s="662"/>
      <c r="HZ396" s="662"/>
      <c r="IA396" s="662"/>
      <c r="IB396" s="662"/>
      <c r="IC396" s="662"/>
      <c r="ID396" s="662"/>
      <c r="IE396" s="662"/>
      <c r="IF396" s="662"/>
      <c r="IG396" s="662"/>
      <c r="IH396" s="662"/>
      <c r="II396" s="662"/>
      <c r="IJ396" s="662"/>
      <c r="IK396" s="662"/>
      <c r="IL396" s="662"/>
      <c r="IM396" s="662"/>
      <c r="IN396" s="662"/>
      <c r="IO396" s="662"/>
      <c r="IP396" s="662"/>
      <c r="IQ396" s="70"/>
    </row>
    <row r="397" spans="18:251" ht="16.5" hidden="1" customHeight="1">
      <c r="R397" s="95"/>
      <c r="S397" s="95"/>
      <c r="T397" s="95"/>
      <c r="U397" s="70"/>
      <c r="V397" s="214"/>
      <c r="W397" s="70"/>
      <c r="X397" s="70"/>
      <c r="Y397" s="70"/>
      <c r="Z397" s="70"/>
      <c r="AA397" s="70"/>
      <c r="AB397" s="70"/>
      <c r="AC397" s="70"/>
      <c r="AD397" s="70"/>
      <c r="AE397" s="70"/>
      <c r="AF397" s="70"/>
      <c r="AG397" s="70"/>
      <c r="AH397" s="70"/>
      <c r="AI397" s="70"/>
      <c r="AJ397" s="70"/>
      <c r="AK397" s="70"/>
      <c r="AL397" s="70"/>
      <c r="AM397" s="70"/>
      <c r="AN397" s="70"/>
      <c r="AO397" s="70"/>
      <c r="AP397" s="70"/>
      <c r="AQ397" s="70"/>
      <c r="AR397" s="70"/>
      <c r="AS397" s="70"/>
      <c r="AT397" s="70"/>
      <c r="AU397" s="70"/>
      <c r="AV397" s="70"/>
      <c r="AW397" s="70"/>
      <c r="AX397" s="70"/>
      <c r="AY397" s="70"/>
      <c r="AZ397" s="70"/>
      <c r="BA397" s="70"/>
      <c r="BB397" s="70"/>
      <c r="BC397" s="70"/>
      <c r="BD397" s="70"/>
      <c r="BE397" s="70"/>
      <c r="BF397" s="70"/>
      <c r="BG397" s="70"/>
      <c r="BH397" s="70"/>
      <c r="BI397" s="70"/>
      <c r="BJ397" s="70"/>
      <c r="BK397" s="70"/>
      <c r="BL397" s="70"/>
      <c r="BM397" s="70"/>
      <c r="BN397" s="70"/>
      <c r="BO397" s="70"/>
      <c r="BP397" s="70"/>
      <c r="BQ397" s="70"/>
      <c r="BR397" s="70"/>
      <c r="BS397" s="70"/>
      <c r="BT397" s="70"/>
      <c r="BU397" s="70"/>
      <c r="BV397" s="70"/>
      <c r="BW397" s="70"/>
      <c r="BX397" s="70"/>
      <c r="BY397" s="70"/>
      <c r="BZ397" s="70"/>
      <c r="CA397" s="70"/>
      <c r="CB397" s="70"/>
      <c r="CC397" s="70"/>
      <c r="CD397" s="70"/>
      <c r="CE397" s="70"/>
      <c r="CF397" s="70"/>
      <c r="CG397" s="70"/>
      <c r="CH397" s="70"/>
      <c r="CI397" s="70"/>
      <c r="CJ397" s="70"/>
      <c r="CK397" s="70"/>
      <c r="CL397" s="70"/>
      <c r="CM397" s="70"/>
      <c r="CN397" s="70"/>
      <c r="CO397" s="70"/>
      <c r="CP397" s="70"/>
      <c r="CQ397" s="70"/>
      <c r="CR397" s="70"/>
      <c r="CS397" s="70"/>
      <c r="CT397" s="70"/>
      <c r="CU397" s="70"/>
      <c r="CV397" s="70"/>
      <c r="CW397" s="70"/>
      <c r="CX397" s="70"/>
      <c r="CY397" s="70"/>
      <c r="CZ397" s="70"/>
      <c r="DA397" s="70"/>
      <c r="DB397" s="70"/>
      <c r="DC397" s="70"/>
      <c r="DD397" s="70"/>
      <c r="DE397" s="70"/>
      <c r="DF397" s="70"/>
      <c r="DG397" s="70"/>
      <c r="DH397" s="70"/>
      <c r="DI397" s="70"/>
      <c r="DJ397" s="70"/>
      <c r="DK397" s="70"/>
      <c r="DL397" s="70"/>
      <c r="DM397" s="70"/>
      <c r="DN397" s="70"/>
      <c r="DO397" s="70"/>
      <c r="DP397" s="70"/>
      <c r="DQ397" s="70"/>
      <c r="DR397" s="70"/>
      <c r="DS397" s="70"/>
      <c r="DT397" s="70"/>
      <c r="DU397" s="70"/>
      <c r="DV397" s="70"/>
      <c r="DW397" s="70"/>
      <c r="DX397" s="70"/>
      <c r="DY397" s="70"/>
      <c r="DZ397" s="70"/>
      <c r="EA397" s="70"/>
      <c r="EB397" s="70"/>
      <c r="EC397" s="70"/>
      <c r="ED397" s="70"/>
      <c r="EE397" s="95"/>
      <c r="EF397" s="651"/>
      <c r="EG397" s="651"/>
      <c r="EH397" s="651"/>
      <c r="EI397" s="216"/>
      <c r="EJ397" s="662"/>
      <c r="EK397" s="662"/>
      <c r="EL397" s="662"/>
      <c r="EM397" s="662"/>
      <c r="EN397" s="662"/>
      <c r="EO397" s="662"/>
      <c r="EP397" s="662"/>
      <c r="EQ397" s="662"/>
      <c r="ER397" s="662"/>
      <c r="ES397" s="662"/>
      <c r="ET397" s="662"/>
      <c r="EU397" s="662"/>
      <c r="EV397" s="662"/>
      <c r="EW397" s="662"/>
      <c r="EX397" s="662"/>
      <c r="EY397" s="662"/>
      <c r="EZ397" s="662"/>
      <c r="FA397" s="662"/>
      <c r="FB397" s="662"/>
      <c r="FC397" s="662"/>
      <c r="FD397" s="662"/>
      <c r="FE397" s="662"/>
      <c r="FF397" s="662"/>
      <c r="FG397" s="662"/>
      <c r="FH397" s="662"/>
      <c r="FI397" s="662"/>
      <c r="FJ397" s="662"/>
      <c r="FK397" s="662"/>
      <c r="FL397" s="662"/>
      <c r="FM397" s="662"/>
      <c r="FN397" s="662"/>
      <c r="FO397" s="662"/>
      <c r="FP397" s="662"/>
      <c r="FQ397" s="662"/>
      <c r="FR397" s="662"/>
      <c r="FS397" s="662"/>
      <c r="FT397" s="662"/>
      <c r="FU397" s="662"/>
      <c r="FV397" s="662"/>
      <c r="FW397" s="662"/>
      <c r="FX397" s="662"/>
      <c r="FY397" s="662"/>
      <c r="FZ397" s="662"/>
      <c r="GA397" s="662"/>
      <c r="GB397" s="662"/>
      <c r="GC397" s="662"/>
      <c r="GD397" s="662"/>
      <c r="GE397" s="662"/>
      <c r="GF397" s="662"/>
      <c r="GG397" s="662"/>
      <c r="GH397" s="662"/>
      <c r="GI397" s="662"/>
      <c r="GJ397" s="662"/>
      <c r="GK397" s="662"/>
      <c r="GL397" s="662"/>
      <c r="GM397" s="662"/>
      <c r="GN397" s="662"/>
      <c r="GO397" s="662"/>
      <c r="GP397" s="662"/>
      <c r="GQ397" s="662"/>
      <c r="GR397" s="662"/>
      <c r="GS397" s="662"/>
      <c r="GT397" s="662"/>
      <c r="GU397" s="662"/>
      <c r="GV397" s="662"/>
      <c r="GW397" s="662"/>
      <c r="GX397" s="662"/>
      <c r="GY397" s="662"/>
      <c r="GZ397" s="662"/>
      <c r="HA397" s="662"/>
      <c r="HB397" s="662"/>
      <c r="HC397" s="662"/>
      <c r="HD397" s="662"/>
      <c r="HE397" s="662"/>
      <c r="HF397" s="662"/>
      <c r="HG397" s="662"/>
      <c r="HH397" s="662"/>
      <c r="HI397" s="662"/>
      <c r="HJ397" s="662"/>
      <c r="HK397" s="662"/>
      <c r="HL397" s="662"/>
      <c r="HM397" s="662"/>
      <c r="HN397" s="662"/>
      <c r="HO397" s="662"/>
      <c r="HP397" s="662"/>
      <c r="HQ397" s="662"/>
      <c r="HR397" s="662"/>
      <c r="HS397" s="662"/>
      <c r="HT397" s="662"/>
      <c r="HU397" s="662"/>
      <c r="HV397" s="662"/>
      <c r="HW397" s="662"/>
      <c r="HX397" s="662"/>
      <c r="HY397" s="662"/>
      <c r="HZ397" s="662"/>
      <c r="IA397" s="662"/>
      <c r="IB397" s="662"/>
      <c r="IC397" s="662"/>
      <c r="ID397" s="662"/>
      <c r="IE397" s="662"/>
      <c r="IF397" s="662"/>
      <c r="IG397" s="662"/>
      <c r="IH397" s="662"/>
      <c r="II397" s="662"/>
      <c r="IJ397" s="662"/>
      <c r="IK397" s="662"/>
      <c r="IL397" s="662"/>
      <c r="IM397" s="662"/>
      <c r="IN397" s="662"/>
      <c r="IO397" s="662"/>
      <c r="IP397" s="662"/>
      <c r="IQ397" s="70"/>
    </row>
    <row r="398" spans="18:251" ht="16.5" hidden="1" customHeight="1">
      <c r="R398" s="95"/>
      <c r="S398" s="95"/>
      <c r="T398" s="95"/>
      <c r="U398" s="70"/>
      <c r="V398" s="214"/>
      <c r="W398" s="70"/>
      <c r="X398" s="70"/>
      <c r="Y398" s="70"/>
      <c r="Z398" s="70"/>
      <c r="AA398" s="70"/>
      <c r="AB398" s="70"/>
      <c r="AC398" s="70"/>
      <c r="AD398" s="70"/>
      <c r="AE398" s="70"/>
      <c r="AF398" s="70"/>
      <c r="AG398" s="70"/>
      <c r="AH398" s="70"/>
      <c r="AI398" s="70"/>
      <c r="AJ398" s="70"/>
      <c r="AK398" s="70"/>
      <c r="AL398" s="70"/>
      <c r="AM398" s="70"/>
      <c r="AN398" s="70"/>
      <c r="AO398" s="70"/>
      <c r="AP398" s="70"/>
      <c r="AQ398" s="70"/>
      <c r="AR398" s="70"/>
      <c r="AS398" s="70"/>
      <c r="AT398" s="70"/>
      <c r="AU398" s="70"/>
      <c r="AV398" s="70"/>
      <c r="AW398" s="70"/>
      <c r="AX398" s="70"/>
      <c r="AY398" s="70"/>
      <c r="AZ398" s="70"/>
      <c r="BA398" s="70"/>
      <c r="BB398" s="70"/>
      <c r="BC398" s="70"/>
      <c r="BD398" s="70"/>
      <c r="BE398" s="70"/>
      <c r="BF398" s="70"/>
      <c r="BG398" s="70"/>
      <c r="BH398" s="70"/>
      <c r="BI398" s="70"/>
      <c r="BJ398" s="70"/>
      <c r="BK398" s="70"/>
      <c r="BL398" s="70"/>
      <c r="BM398" s="70"/>
      <c r="BN398" s="70"/>
      <c r="BO398" s="70"/>
      <c r="BP398" s="70"/>
      <c r="BQ398" s="70"/>
      <c r="BR398" s="70"/>
      <c r="BS398" s="70"/>
      <c r="BT398" s="70"/>
      <c r="BU398" s="70"/>
      <c r="BV398" s="70"/>
      <c r="BW398" s="70"/>
      <c r="BX398" s="70"/>
      <c r="BY398" s="70"/>
      <c r="BZ398" s="70"/>
      <c r="CA398" s="70"/>
      <c r="CB398" s="70"/>
      <c r="CC398" s="70"/>
      <c r="CD398" s="70"/>
      <c r="CE398" s="70"/>
      <c r="CF398" s="70"/>
      <c r="CG398" s="70"/>
      <c r="CH398" s="70"/>
      <c r="CI398" s="70"/>
      <c r="CJ398" s="70"/>
      <c r="CK398" s="70"/>
      <c r="CL398" s="70"/>
      <c r="CM398" s="70"/>
      <c r="CN398" s="70"/>
      <c r="CO398" s="70"/>
      <c r="CP398" s="70"/>
      <c r="CQ398" s="70"/>
      <c r="CR398" s="70"/>
      <c r="CS398" s="70"/>
      <c r="CT398" s="70"/>
      <c r="CU398" s="70"/>
      <c r="CV398" s="70"/>
      <c r="CW398" s="70"/>
      <c r="CX398" s="70"/>
      <c r="CY398" s="70"/>
      <c r="CZ398" s="70"/>
      <c r="DA398" s="70"/>
      <c r="DB398" s="70"/>
      <c r="DC398" s="70"/>
      <c r="DD398" s="70"/>
      <c r="DE398" s="70"/>
      <c r="DF398" s="70"/>
      <c r="DG398" s="70"/>
      <c r="DH398" s="70"/>
      <c r="DI398" s="70"/>
      <c r="DJ398" s="70"/>
      <c r="DK398" s="70"/>
      <c r="DL398" s="70"/>
      <c r="DM398" s="70"/>
      <c r="DN398" s="70"/>
      <c r="DO398" s="70"/>
      <c r="DP398" s="70"/>
      <c r="DQ398" s="70"/>
      <c r="DR398" s="70"/>
      <c r="DS398" s="70"/>
      <c r="DT398" s="70"/>
      <c r="DU398" s="70"/>
      <c r="DV398" s="70"/>
      <c r="DW398" s="70"/>
      <c r="DX398" s="70"/>
      <c r="DY398" s="70"/>
      <c r="DZ398" s="70"/>
      <c r="EA398" s="70"/>
      <c r="EB398" s="70"/>
      <c r="EC398" s="70"/>
      <c r="ED398" s="70"/>
      <c r="EE398" s="95"/>
      <c r="EF398" s="651"/>
      <c r="EG398" s="651"/>
      <c r="EH398" s="651"/>
      <c r="EI398" s="216"/>
      <c r="EJ398" s="662"/>
      <c r="EK398" s="662"/>
      <c r="EL398" s="662"/>
      <c r="EM398" s="662"/>
      <c r="EN398" s="662"/>
      <c r="EO398" s="662"/>
      <c r="EP398" s="662"/>
      <c r="EQ398" s="662"/>
      <c r="ER398" s="662"/>
      <c r="ES398" s="662"/>
      <c r="ET398" s="662"/>
      <c r="EU398" s="662"/>
      <c r="EV398" s="662"/>
      <c r="EW398" s="662"/>
      <c r="EX398" s="662"/>
      <c r="EY398" s="662"/>
      <c r="EZ398" s="662"/>
      <c r="FA398" s="662"/>
      <c r="FB398" s="662"/>
      <c r="FC398" s="662"/>
      <c r="FD398" s="662"/>
      <c r="FE398" s="662"/>
      <c r="FF398" s="662"/>
      <c r="FG398" s="662"/>
      <c r="FH398" s="662"/>
      <c r="FI398" s="662"/>
      <c r="FJ398" s="662"/>
      <c r="FK398" s="662"/>
      <c r="FL398" s="662"/>
      <c r="FM398" s="662"/>
      <c r="FN398" s="662"/>
      <c r="FO398" s="662"/>
      <c r="FP398" s="662"/>
      <c r="FQ398" s="662"/>
      <c r="FR398" s="662"/>
      <c r="FS398" s="662"/>
      <c r="FT398" s="662"/>
      <c r="FU398" s="662"/>
      <c r="FV398" s="662"/>
      <c r="FW398" s="662"/>
      <c r="FX398" s="662"/>
      <c r="FY398" s="662"/>
      <c r="FZ398" s="662"/>
      <c r="GA398" s="662"/>
      <c r="GB398" s="662"/>
      <c r="GC398" s="662"/>
      <c r="GD398" s="662"/>
      <c r="GE398" s="662"/>
      <c r="GF398" s="662"/>
      <c r="GG398" s="662"/>
      <c r="GH398" s="662"/>
      <c r="GI398" s="662"/>
      <c r="GJ398" s="662"/>
      <c r="GK398" s="662"/>
      <c r="GL398" s="662"/>
      <c r="GM398" s="662"/>
      <c r="GN398" s="662"/>
      <c r="GO398" s="662"/>
      <c r="GP398" s="662"/>
      <c r="GQ398" s="662"/>
      <c r="GR398" s="662"/>
      <c r="GS398" s="662"/>
      <c r="GT398" s="662"/>
      <c r="GU398" s="662"/>
      <c r="GV398" s="662"/>
      <c r="GW398" s="662"/>
      <c r="GX398" s="662"/>
      <c r="GY398" s="662"/>
      <c r="GZ398" s="662"/>
      <c r="HA398" s="662"/>
      <c r="HB398" s="662"/>
      <c r="HC398" s="662"/>
      <c r="HD398" s="662"/>
      <c r="HE398" s="662"/>
      <c r="HF398" s="662"/>
      <c r="HG398" s="662"/>
      <c r="HH398" s="662"/>
      <c r="HI398" s="662"/>
      <c r="HJ398" s="662"/>
      <c r="HK398" s="662"/>
      <c r="HL398" s="662"/>
      <c r="HM398" s="662"/>
      <c r="HN398" s="662"/>
      <c r="HO398" s="662"/>
      <c r="HP398" s="662"/>
      <c r="HQ398" s="662"/>
      <c r="HR398" s="662"/>
      <c r="HS398" s="662"/>
      <c r="HT398" s="662"/>
      <c r="HU398" s="662"/>
      <c r="HV398" s="662"/>
      <c r="HW398" s="662"/>
      <c r="HX398" s="662"/>
      <c r="HY398" s="662"/>
      <c r="HZ398" s="662"/>
      <c r="IA398" s="662"/>
      <c r="IB398" s="662"/>
      <c r="IC398" s="662"/>
      <c r="ID398" s="662"/>
      <c r="IE398" s="662"/>
      <c r="IF398" s="662"/>
      <c r="IG398" s="662"/>
      <c r="IH398" s="662"/>
      <c r="II398" s="662"/>
      <c r="IJ398" s="662"/>
      <c r="IK398" s="662"/>
      <c r="IL398" s="662"/>
      <c r="IM398" s="662"/>
      <c r="IN398" s="662"/>
      <c r="IO398" s="662"/>
      <c r="IP398" s="662"/>
      <c r="IQ398" s="70"/>
    </row>
    <row r="399" spans="18:251" ht="16.5" hidden="1" customHeight="1">
      <c r="R399" s="95"/>
      <c r="S399" s="95"/>
      <c r="T399" s="95"/>
      <c r="U399" s="70"/>
      <c r="V399" s="214"/>
      <c r="W399" s="70"/>
      <c r="X399" s="70"/>
      <c r="Y399" s="70"/>
      <c r="Z399" s="70"/>
      <c r="AA399" s="70"/>
      <c r="AB399" s="70"/>
      <c r="AC399" s="70"/>
      <c r="AD399" s="70"/>
      <c r="AE399" s="70"/>
      <c r="AF399" s="70"/>
      <c r="AG399" s="70"/>
      <c r="AH399" s="70"/>
      <c r="AI399" s="70"/>
      <c r="AJ399" s="70"/>
      <c r="AK399" s="70"/>
      <c r="AL399" s="70"/>
      <c r="AM399" s="70"/>
      <c r="AN399" s="70"/>
      <c r="AO399" s="70"/>
      <c r="AP399" s="70"/>
      <c r="AQ399" s="70"/>
      <c r="AR399" s="70"/>
      <c r="AS399" s="70"/>
      <c r="AT399" s="70"/>
      <c r="AU399" s="70"/>
      <c r="AV399" s="70"/>
      <c r="AW399" s="70"/>
      <c r="AX399" s="70"/>
      <c r="AY399" s="70"/>
      <c r="AZ399" s="70"/>
      <c r="BA399" s="70"/>
      <c r="BB399" s="70"/>
      <c r="BC399" s="70"/>
      <c r="BD399" s="70"/>
      <c r="BE399" s="70"/>
      <c r="BF399" s="70"/>
      <c r="BG399" s="70"/>
      <c r="BH399" s="70"/>
      <c r="BI399" s="70"/>
      <c r="BJ399" s="70"/>
      <c r="BK399" s="70"/>
      <c r="BL399" s="70"/>
      <c r="BM399" s="70"/>
      <c r="BN399" s="70"/>
      <c r="BO399" s="70"/>
      <c r="BP399" s="70"/>
      <c r="BQ399" s="70"/>
      <c r="BR399" s="70"/>
      <c r="BS399" s="70"/>
      <c r="BT399" s="70"/>
      <c r="BU399" s="70"/>
      <c r="BV399" s="70"/>
      <c r="BW399" s="70"/>
      <c r="BX399" s="70"/>
      <c r="BY399" s="70"/>
      <c r="BZ399" s="70"/>
      <c r="CA399" s="70"/>
      <c r="CB399" s="70"/>
      <c r="CC399" s="70"/>
      <c r="CD399" s="70"/>
      <c r="CE399" s="70"/>
      <c r="CF399" s="70"/>
      <c r="CG399" s="70"/>
      <c r="CH399" s="70"/>
      <c r="CI399" s="70"/>
      <c r="CJ399" s="70"/>
      <c r="CK399" s="70"/>
      <c r="CL399" s="70"/>
      <c r="CM399" s="70"/>
      <c r="CN399" s="70"/>
      <c r="CO399" s="70"/>
      <c r="CP399" s="70"/>
      <c r="CQ399" s="70"/>
      <c r="CR399" s="70"/>
      <c r="CS399" s="70"/>
      <c r="CT399" s="70"/>
      <c r="CU399" s="70"/>
      <c r="CV399" s="70"/>
      <c r="CW399" s="70"/>
      <c r="CX399" s="70"/>
      <c r="CY399" s="70"/>
      <c r="CZ399" s="70"/>
      <c r="DA399" s="70"/>
      <c r="DB399" s="70"/>
      <c r="DC399" s="70"/>
      <c r="DD399" s="70"/>
      <c r="DE399" s="70"/>
      <c r="DF399" s="70"/>
      <c r="DG399" s="70"/>
      <c r="DH399" s="70"/>
      <c r="DI399" s="70"/>
      <c r="DJ399" s="70"/>
      <c r="DK399" s="70"/>
      <c r="DL399" s="70"/>
      <c r="DM399" s="70"/>
      <c r="DN399" s="70"/>
      <c r="DO399" s="70"/>
      <c r="DP399" s="70"/>
      <c r="DQ399" s="70"/>
      <c r="DR399" s="70"/>
      <c r="DS399" s="70"/>
      <c r="DT399" s="70"/>
      <c r="DU399" s="70"/>
      <c r="DV399" s="70"/>
      <c r="DW399" s="70"/>
      <c r="DX399" s="70"/>
      <c r="DY399" s="70"/>
      <c r="DZ399" s="70"/>
      <c r="EA399" s="70"/>
      <c r="EB399" s="70"/>
      <c r="EC399" s="70"/>
      <c r="ED399" s="70"/>
      <c r="EE399" s="95"/>
      <c r="EF399" s="651"/>
      <c r="EG399" s="651"/>
      <c r="EH399" s="651"/>
      <c r="EI399" s="216"/>
      <c r="EJ399" s="662"/>
      <c r="EK399" s="662"/>
      <c r="EL399" s="662"/>
      <c r="EM399" s="662"/>
      <c r="EN399" s="662"/>
      <c r="EO399" s="662"/>
      <c r="EP399" s="662"/>
      <c r="EQ399" s="662"/>
      <c r="ER399" s="662"/>
      <c r="ES399" s="662"/>
      <c r="ET399" s="662"/>
      <c r="EU399" s="662"/>
      <c r="EV399" s="662"/>
      <c r="EW399" s="662"/>
      <c r="EX399" s="662"/>
      <c r="EY399" s="662"/>
      <c r="EZ399" s="662"/>
      <c r="FA399" s="662"/>
      <c r="FB399" s="662"/>
      <c r="FC399" s="662"/>
      <c r="FD399" s="662"/>
      <c r="FE399" s="662"/>
      <c r="FF399" s="662"/>
      <c r="FG399" s="662"/>
      <c r="FH399" s="662"/>
      <c r="FI399" s="662"/>
      <c r="FJ399" s="662"/>
      <c r="FK399" s="662"/>
      <c r="FL399" s="662"/>
      <c r="FM399" s="662"/>
      <c r="FN399" s="662"/>
      <c r="FO399" s="662"/>
      <c r="FP399" s="662"/>
      <c r="FQ399" s="662"/>
      <c r="FR399" s="662"/>
      <c r="FS399" s="662"/>
      <c r="FT399" s="662"/>
      <c r="FU399" s="662"/>
      <c r="FV399" s="662"/>
      <c r="FW399" s="662"/>
      <c r="FX399" s="662"/>
      <c r="FY399" s="662"/>
      <c r="FZ399" s="662"/>
      <c r="GA399" s="662"/>
      <c r="GB399" s="662"/>
      <c r="GC399" s="662"/>
      <c r="GD399" s="662"/>
      <c r="GE399" s="662"/>
      <c r="GF399" s="662"/>
      <c r="GG399" s="662"/>
      <c r="GH399" s="662"/>
      <c r="GI399" s="662"/>
      <c r="GJ399" s="662"/>
      <c r="GK399" s="662"/>
      <c r="GL399" s="662"/>
      <c r="GM399" s="662"/>
      <c r="GN399" s="662"/>
      <c r="GO399" s="662"/>
      <c r="GP399" s="662"/>
      <c r="GQ399" s="662"/>
      <c r="GR399" s="662"/>
      <c r="GS399" s="662"/>
      <c r="GT399" s="662"/>
      <c r="GU399" s="662"/>
      <c r="GV399" s="662"/>
      <c r="GW399" s="662"/>
      <c r="GX399" s="662"/>
      <c r="GY399" s="662"/>
      <c r="GZ399" s="662"/>
      <c r="HA399" s="662"/>
      <c r="HB399" s="662"/>
      <c r="HC399" s="662"/>
      <c r="HD399" s="662"/>
      <c r="HE399" s="662"/>
      <c r="HF399" s="662"/>
      <c r="HG399" s="662"/>
      <c r="HH399" s="662"/>
      <c r="HI399" s="662"/>
      <c r="HJ399" s="662"/>
      <c r="HK399" s="662"/>
      <c r="HL399" s="662"/>
      <c r="HM399" s="662"/>
      <c r="HN399" s="662"/>
      <c r="HO399" s="662"/>
      <c r="HP399" s="662"/>
      <c r="HQ399" s="662"/>
      <c r="HR399" s="662"/>
      <c r="HS399" s="662"/>
      <c r="HT399" s="662"/>
      <c r="HU399" s="662"/>
      <c r="HV399" s="662"/>
      <c r="HW399" s="662"/>
      <c r="HX399" s="662"/>
      <c r="HY399" s="662"/>
      <c r="HZ399" s="662"/>
      <c r="IA399" s="662"/>
      <c r="IB399" s="662"/>
      <c r="IC399" s="662"/>
      <c r="ID399" s="662"/>
      <c r="IE399" s="662"/>
      <c r="IF399" s="662"/>
      <c r="IG399" s="662"/>
      <c r="IH399" s="662"/>
      <c r="II399" s="662"/>
      <c r="IJ399" s="662"/>
      <c r="IK399" s="662"/>
      <c r="IL399" s="662"/>
      <c r="IM399" s="662"/>
      <c r="IN399" s="662"/>
      <c r="IO399" s="662"/>
      <c r="IP399" s="662"/>
      <c r="IQ399" s="70"/>
    </row>
    <row r="400" spans="18:251" ht="16.5" hidden="1" customHeight="1">
      <c r="R400" s="95"/>
      <c r="S400" s="95"/>
      <c r="T400" s="95"/>
      <c r="U400" s="70"/>
      <c r="V400" s="214"/>
      <c r="W400" s="70"/>
      <c r="X400" s="70"/>
      <c r="Y400" s="70"/>
      <c r="Z400" s="70"/>
      <c r="AA400" s="70"/>
      <c r="AB400" s="70"/>
      <c r="AC400" s="70"/>
      <c r="AD400" s="70"/>
      <c r="AE400" s="70"/>
      <c r="AF400" s="70"/>
      <c r="AG400" s="70"/>
      <c r="AH400" s="70"/>
      <c r="AI400" s="70"/>
      <c r="AJ400" s="70"/>
      <c r="AK400" s="70"/>
      <c r="AL400" s="70"/>
      <c r="AM400" s="70"/>
      <c r="AN400" s="70"/>
      <c r="AO400" s="70"/>
      <c r="AP400" s="70"/>
      <c r="AQ400" s="70"/>
      <c r="AR400" s="70"/>
      <c r="AS400" s="70"/>
      <c r="AT400" s="70"/>
      <c r="AU400" s="70"/>
      <c r="AV400" s="70"/>
      <c r="AW400" s="70"/>
      <c r="AX400" s="70"/>
      <c r="AY400" s="70"/>
      <c r="AZ400" s="70"/>
      <c r="BA400" s="70"/>
      <c r="BB400" s="70"/>
      <c r="BC400" s="70"/>
      <c r="BD400" s="70"/>
      <c r="BE400" s="70"/>
      <c r="BF400" s="70"/>
      <c r="BG400" s="70"/>
      <c r="BH400" s="70"/>
      <c r="BI400" s="70"/>
      <c r="BJ400" s="70"/>
      <c r="BK400" s="70"/>
      <c r="BL400" s="70"/>
      <c r="BM400" s="70"/>
      <c r="BN400" s="70"/>
      <c r="BO400" s="70"/>
      <c r="BP400" s="70"/>
      <c r="BQ400" s="70"/>
      <c r="BR400" s="70"/>
      <c r="BS400" s="70"/>
      <c r="BT400" s="70"/>
      <c r="BU400" s="70"/>
      <c r="BV400" s="70"/>
      <c r="BW400" s="70"/>
      <c r="BX400" s="70"/>
      <c r="BY400" s="70"/>
      <c r="BZ400" s="70"/>
      <c r="CA400" s="70"/>
      <c r="CB400" s="70"/>
      <c r="CC400" s="70"/>
      <c r="CD400" s="70"/>
      <c r="CE400" s="70"/>
      <c r="CF400" s="70"/>
      <c r="CG400" s="70"/>
      <c r="CH400" s="70"/>
      <c r="CI400" s="70"/>
      <c r="CJ400" s="70"/>
      <c r="CK400" s="70"/>
      <c r="CL400" s="70"/>
      <c r="CM400" s="70"/>
      <c r="CN400" s="70"/>
      <c r="CO400" s="70"/>
      <c r="CP400" s="70"/>
      <c r="CQ400" s="70"/>
      <c r="CR400" s="70"/>
      <c r="CS400" s="70"/>
      <c r="CT400" s="70"/>
      <c r="CU400" s="70"/>
      <c r="CV400" s="70"/>
      <c r="CW400" s="70"/>
      <c r="CX400" s="70"/>
      <c r="CY400" s="70"/>
      <c r="CZ400" s="70"/>
      <c r="DA400" s="70"/>
      <c r="DB400" s="70"/>
      <c r="DC400" s="70"/>
      <c r="DD400" s="70"/>
      <c r="DE400" s="70"/>
      <c r="DF400" s="70"/>
      <c r="DG400" s="70"/>
      <c r="DH400" s="70"/>
      <c r="DI400" s="70"/>
      <c r="DJ400" s="70"/>
      <c r="DK400" s="70"/>
      <c r="DL400" s="70"/>
      <c r="DM400" s="70"/>
      <c r="DN400" s="70"/>
      <c r="DO400" s="70"/>
      <c r="DP400" s="70"/>
      <c r="DQ400" s="70"/>
      <c r="DR400" s="70"/>
      <c r="DS400" s="70"/>
      <c r="DT400" s="70"/>
      <c r="DU400" s="70"/>
      <c r="DV400" s="70"/>
      <c r="DW400" s="70"/>
      <c r="DX400" s="70"/>
      <c r="DY400" s="70"/>
      <c r="DZ400" s="70"/>
      <c r="EA400" s="70"/>
      <c r="EB400" s="70"/>
      <c r="EC400" s="70"/>
      <c r="ED400" s="70"/>
      <c r="EE400" s="95"/>
      <c r="EF400" s="651"/>
      <c r="EG400" s="651"/>
      <c r="EH400" s="651"/>
      <c r="EI400" s="216"/>
      <c r="EJ400" s="662"/>
      <c r="EK400" s="662"/>
      <c r="EL400" s="662"/>
      <c r="EM400" s="662"/>
      <c r="EN400" s="662"/>
      <c r="EO400" s="662"/>
      <c r="EP400" s="662"/>
      <c r="EQ400" s="662"/>
      <c r="ER400" s="662"/>
      <c r="ES400" s="662"/>
      <c r="ET400" s="662"/>
      <c r="EU400" s="662"/>
      <c r="EV400" s="662"/>
      <c r="EW400" s="662"/>
      <c r="EX400" s="662"/>
      <c r="EY400" s="662"/>
      <c r="EZ400" s="662"/>
      <c r="FA400" s="662"/>
      <c r="FB400" s="662"/>
      <c r="FC400" s="662"/>
      <c r="FD400" s="662"/>
      <c r="FE400" s="662"/>
      <c r="FF400" s="662"/>
      <c r="FG400" s="662"/>
      <c r="FH400" s="662"/>
      <c r="FI400" s="662"/>
      <c r="FJ400" s="662"/>
      <c r="FK400" s="662"/>
      <c r="FL400" s="662"/>
      <c r="FM400" s="662"/>
      <c r="FN400" s="662"/>
      <c r="FO400" s="662"/>
      <c r="FP400" s="662"/>
      <c r="FQ400" s="662"/>
      <c r="FR400" s="662"/>
      <c r="FS400" s="662"/>
      <c r="FT400" s="662"/>
      <c r="FU400" s="662"/>
      <c r="FV400" s="662"/>
      <c r="FW400" s="662"/>
      <c r="FX400" s="662"/>
      <c r="FY400" s="662"/>
      <c r="FZ400" s="662"/>
      <c r="GA400" s="662"/>
      <c r="GB400" s="662"/>
      <c r="GC400" s="662"/>
      <c r="GD400" s="662"/>
      <c r="GE400" s="662"/>
      <c r="GF400" s="662"/>
      <c r="GG400" s="662"/>
      <c r="GH400" s="662"/>
      <c r="GI400" s="662"/>
      <c r="GJ400" s="662"/>
      <c r="GK400" s="662"/>
      <c r="GL400" s="662"/>
      <c r="GM400" s="662"/>
      <c r="GN400" s="662"/>
      <c r="GO400" s="662"/>
      <c r="GP400" s="662"/>
      <c r="GQ400" s="662"/>
      <c r="GR400" s="662"/>
      <c r="GS400" s="662"/>
      <c r="GT400" s="662"/>
      <c r="GU400" s="662"/>
      <c r="GV400" s="662"/>
      <c r="GW400" s="662"/>
      <c r="GX400" s="662"/>
      <c r="GY400" s="662"/>
      <c r="GZ400" s="662"/>
      <c r="HA400" s="662"/>
      <c r="HB400" s="662"/>
      <c r="HC400" s="662"/>
      <c r="HD400" s="662"/>
      <c r="HE400" s="662"/>
      <c r="HF400" s="662"/>
      <c r="HG400" s="662"/>
      <c r="HH400" s="662"/>
      <c r="HI400" s="662"/>
      <c r="HJ400" s="662"/>
      <c r="HK400" s="662"/>
      <c r="HL400" s="662"/>
      <c r="HM400" s="662"/>
      <c r="HN400" s="662"/>
      <c r="HO400" s="662"/>
      <c r="HP400" s="662"/>
      <c r="HQ400" s="662"/>
      <c r="HR400" s="662"/>
      <c r="HS400" s="662"/>
      <c r="HT400" s="662"/>
      <c r="HU400" s="662"/>
      <c r="HV400" s="662"/>
      <c r="HW400" s="662"/>
      <c r="HX400" s="662"/>
      <c r="HY400" s="662"/>
      <c r="HZ400" s="662"/>
      <c r="IA400" s="662"/>
      <c r="IB400" s="662"/>
      <c r="IC400" s="662"/>
      <c r="ID400" s="662"/>
      <c r="IE400" s="662"/>
      <c r="IF400" s="662"/>
      <c r="IG400" s="662"/>
      <c r="IH400" s="662"/>
      <c r="II400" s="662"/>
      <c r="IJ400" s="662"/>
      <c r="IK400" s="662"/>
      <c r="IL400" s="662"/>
      <c r="IM400" s="662"/>
      <c r="IN400" s="662"/>
      <c r="IO400" s="662"/>
      <c r="IP400" s="662"/>
      <c r="IQ400" s="70"/>
    </row>
    <row r="401" spans="18:251" ht="16.5" hidden="1" customHeight="1">
      <c r="R401" s="95"/>
      <c r="S401" s="95"/>
      <c r="T401" s="95"/>
      <c r="U401" s="70"/>
      <c r="V401" s="214"/>
      <c r="W401" s="70"/>
      <c r="X401" s="70"/>
      <c r="Y401" s="70"/>
      <c r="Z401" s="70"/>
      <c r="AA401" s="70"/>
      <c r="AB401" s="70"/>
      <c r="AC401" s="70"/>
      <c r="AD401" s="70"/>
      <c r="AE401" s="70"/>
      <c r="AF401" s="70"/>
      <c r="AG401" s="70"/>
      <c r="AH401" s="70"/>
      <c r="AI401" s="70"/>
      <c r="AJ401" s="70"/>
      <c r="AK401" s="70"/>
      <c r="AL401" s="70"/>
      <c r="AM401" s="70"/>
      <c r="AN401" s="70"/>
      <c r="AO401" s="70"/>
      <c r="AP401" s="70"/>
      <c r="AQ401" s="70"/>
      <c r="AR401" s="70"/>
      <c r="AS401" s="70"/>
      <c r="AT401" s="70"/>
      <c r="AU401" s="70"/>
      <c r="AV401" s="70"/>
      <c r="AW401" s="70"/>
      <c r="AX401" s="70"/>
      <c r="AY401" s="70"/>
      <c r="AZ401" s="70"/>
      <c r="BA401" s="70"/>
      <c r="BB401" s="70"/>
      <c r="BC401" s="70"/>
      <c r="BD401" s="70"/>
      <c r="BE401" s="70"/>
      <c r="BF401" s="70"/>
      <c r="BG401" s="70"/>
      <c r="BH401" s="70"/>
      <c r="BI401" s="70"/>
      <c r="BJ401" s="70"/>
      <c r="BK401" s="70"/>
      <c r="BL401" s="70"/>
      <c r="BM401" s="70"/>
      <c r="BN401" s="70"/>
      <c r="BO401" s="70"/>
      <c r="BP401" s="70"/>
      <c r="BQ401" s="70"/>
      <c r="BR401" s="70"/>
      <c r="BS401" s="70"/>
      <c r="BT401" s="70"/>
      <c r="BU401" s="70"/>
      <c r="BV401" s="70"/>
      <c r="BW401" s="70"/>
      <c r="BX401" s="70"/>
      <c r="BY401" s="70"/>
      <c r="BZ401" s="70"/>
      <c r="CA401" s="70"/>
      <c r="CB401" s="70"/>
      <c r="CC401" s="70"/>
      <c r="CD401" s="70"/>
      <c r="CE401" s="70"/>
      <c r="CF401" s="70"/>
      <c r="CG401" s="70"/>
      <c r="CH401" s="70"/>
      <c r="CI401" s="70"/>
      <c r="CJ401" s="70"/>
      <c r="CK401" s="70"/>
      <c r="CL401" s="70"/>
      <c r="CM401" s="70"/>
      <c r="CN401" s="70"/>
      <c r="CO401" s="70"/>
      <c r="CP401" s="70"/>
      <c r="CQ401" s="70"/>
      <c r="CR401" s="70"/>
      <c r="CS401" s="70"/>
      <c r="CT401" s="70"/>
      <c r="CU401" s="70"/>
      <c r="CV401" s="70"/>
      <c r="CW401" s="70"/>
      <c r="CX401" s="70"/>
      <c r="CY401" s="70"/>
      <c r="CZ401" s="70"/>
      <c r="DA401" s="70"/>
      <c r="DB401" s="70"/>
      <c r="DC401" s="70"/>
      <c r="DD401" s="70"/>
      <c r="DE401" s="70"/>
      <c r="DF401" s="70"/>
      <c r="DG401" s="70"/>
      <c r="DH401" s="70"/>
      <c r="DI401" s="70"/>
      <c r="DJ401" s="70"/>
      <c r="DK401" s="70"/>
      <c r="DL401" s="70"/>
      <c r="DM401" s="70"/>
      <c r="DN401" s="70"/>
      <c r="DO401" s="70"/>
      <c r="DP401" s="70"/>
      <c r="DQ401" s="70"/>
      <c r="DR401" s="70"/>
      <c r="DS401" s="70"/>
      <c r="DT401" s="70"/>
      <c r="DU401" s="70"/>
      <c r="DV401" s="70"/>
      <c r="DW401" s="70"/>
      <c r="DX401" s="70"/>
      <c r="DY401" s="70"/>
      <c r="DZ401" s="70"/>
      <c r="EA401" s="70"/>
      <c r="EB401" s="70"/>
      <c r="EC401" s="70"/>
      <c r="ED401" s="70"/>
      <c r="EE401" s="95"/>
      <c r="EF401" s="651"/>
      <c r="EG401" s="651"/>
      <c r="EH401" s="651"/>
      <c r="EI401" s="216"/>
      <c r="EJ401" s="662"/>
      <c r="EK401" s="662"/>
      <c r="EL401" s="662"/>
      <c r="EM401" s="662"/>
      <c r="EN401" s="662"/>
      <c r="EO401" s="662"/>
      <c r="EP401" s="662"/>
      <c r="EQ401" s="662"/>
      <c r="ER401" s="662"/>
      <c r="ES401" s="662"/>
      <c r="ET401" s="662"/>
      <c r="EU401" s="662"/>
      <c r="EV401" s="662"/>
      <c r="EW401" s="662"/>
      <c r="EX401" s="662"/>
      <c r="EY401" s="662"/>
      <c r="EZ401" s="662"/>
      <c r="FA401" s="662"/>
      <c r="FB401" s="662"/>
      <c r="FC401" s="662"/>
      <c r="FD401" s="662"/>
      <c r="FE401" s="662"/>
      <c r="FF401" s="662"/>
      <c r="FG401" s="662"/>
      <c r="FH401" s="662"/>
      <c r="FI401" s="662"/>
      <c r="FJ401" s="662"/>
      <c r="FK401" s="662"/>
      <c r="FL401" s="662"/>
      <c r="FM401" s="662"/>
      <c r="FN401" s="662"/>
      <c r="FO401" s="662"/>
      <c r="FP401" s="662"/>
      <c r="FQ401" s="662"/>
      <c r="FR401" s="662"/>
      <c r="FS401" s="662"/>
      <c r="FT401" s="662"/>
      <c r="FU401" s="662"/>
      <c r="FV401" s="662"/>
      <c r="FW401" s="662"/>
      <c r="FX401" s="662"/>
      <c r="FY401" s="662"/>
      <c r="FZ401" s="662"/>
      <c r="GA401" s="662"/>
      <c r="GB401" s="662"/>
      <c r="GC401" s="662"/>
      <c r="GD401" s="662"/>
      <c r="GE401" s="662"/>
      <c r="GF401" s="662"/>
      <c r="GG401" s="662"/>
      <c r="GH401" s="662"/>
      <c r="GI401" s="662"/>
      <c r="GJ401" s="662"/>
      <c r="GK401" s="662"/>
      <c r="GL401" s="662"/>
      <c r="GM401" s="662"/>
      <c r="GN401" s="662"/>
      <c r="GO401" s="662"/>
      <c r="GP401" s="662"/>
      <c r="GQ401" s="662"/>
      <c r="GR401" s="662"/>
      <c r="GS401" s="662"/>
      <c r="GT401" s="662"/>
      <c r="GU401" s="662"/>
      <c r="GV401" s="662"/>
      <c r="GW401" s="662"/>
      <c r="GX401" s="662"/>
      <c r="GY401" s="662"/>
      <c r="GZ401" s="662"/>
      <c r="HA401" s="662"/>
      <c r="HB401" s="662"/>
      <c r="HC401" s="662"/>
      <c r="HD401" s="662"/>
      <c r="HE401" s="662"/>
      <c r="HF401" s="662"/>
      <c r="HG401" s="662"/>
      <c r="HH401" s="662"/>
      <c r="HI401" s="662"/>
      <c r="HJ401" s="662"/>
      <c r="HK401" s="662"/>
      <c r="HL401" s="662"/>
      <c r="HM401" s="662"/>
      <c r="HN401" s="662"/>
      <c r="HO401" s="662"/>
      <c r="HP401" s="662"/>
      <c r="HQ401" s="662"/>
      <c r="HR401" s="662"/>
      <c r="HS401" s="662"/>
      <c r="HT401" s="662"/>
      <c r="HU401" s="662"/>
      <c r="HV401" s="662"/>
      <c r="HW401" s="662"/>
      <c r="HX401" s="662"/>
      <c r="HY401" s="662"/>
      <c r="HZ401" s="662"/>
      <c r="IA401" s="662"/>
      <c r="IB401" s="662"/>
      <c r="IC401" s="662"/>
      <c r="ID401" s="662"/>
      <c r="IE401" s="662"/>
      <c r="IF401" s="662"/>
      <c r="IG401" s="662"/>
      <c r="IH401" s="662"/>
      <c r="II401" s="662"/>
      <c r="IJ401" s="662"/>
      <c r="IK401" s="662"/>
      <c r="IL401" s="662"/>
      <c r="IM401" s="662"/>
      <c r="IN401" s="662"/>
      <c r="IO401" s="662"/>
      <c r="IP401" s="662"/>
      <c r="IQ401" s="70"/>
    </row>
    <row r="402" spans="18:251" ht="16.5" hidden="1" customHeight="1">
      <c r="R402" s="95"/>
      <c r="S402" s="95"/>
      <c r="T402" s="95"/>
      <c r="U402" s="70"/>
      <c r="V402" s="214"/>
      <c r="W402" s="70"/>
      <c r="X402" s="70"/>
      <c r="Y402" s="70"/>
      <c r="Z402" s="70"/>
      <c r="AA402" s="70"/>
      <c r="AB402" s="70"/>
      <c r="AC402" s="70"/>
      <c r="AD402" s="70"/>
      <c r="AE402" s="70"/>
      <c r="AF402" s="70"/>
      <c r="AG402" s="70"/>
      <c r="AH402" s="70"/>
      <c r="AI402" s="70"/>
      <c r="AJ402" s="70"/>
      <c r="AK402" s="70"/>
      <c r="AL402" s="70"/>
      <c r="AM402" s="70"/>
      <c r="AN402" s="70"/>
      <c r="AO402" s="70"/>
      <c r="AP402" s="70"/>
      <c r="AQ402" s="70"/>
      <c r="AR402" s="70"/>
      <c r="AS402" s="70"/>
      <c r="AT402" s="70"/>
      <c r="AU402" s="70"/>
      <c r="AV402" s="70"/>
      <c r="AW402" s="70"/>
      <c r="AX402" s="70"/>
      <c r="AY402" s="70"/>
      <c r="AZ402" s="70"/>
      <c r="BA402" s="70"/>
      <c r="BB402" s="70"/>
      <c r="BC402" s="70"/>
      <c r="BD402" s="70"/>
      <c r="BE402" s="70"/>
      <c r="BF402" s="70"/>
      <c r="BG402" s="70"/>
      <c r="BH402" s="70"/>
      <c r="BI402" s="70"/>
      <c r="BJ402" s="70"/>
      <c r="BK402" s="70"/>
      <c r="BL402" s="70"/>
      <c r="BM402" s="70"/>
      <c r="BN402" s="70"/>
      <c r="BO402" s="70"/>
      <c r="BP402" s="70"/>
      <c r="BQ402" s="70"/>
      <c r="BR402" s="70"/>
      <c r="BS402" s="70"/>
      <c r="BT402" s="70"/>
      <c r="BU402" s="70"/>
      <c r="BV402" s="70"/>
      <c r="BW402" s="70"/>
      <c r="BX402" s="70"/>
      <c r="BY402" s="70"/>
      <c r="BZ402" s="70"/>
      <c r="CA402" s="70"/>
      <c r="CB402" s="70"/>
      <c r="CC402" s="70"/>
      <c r="CD402" s="70"/>
      <c r="CE402" s="70"/>
      <c r="CF402" s="70"/>
      <c r="CG402" s="70"/>
      <c r="CH402" s="70"/>
      <c r="CI402" s="70"/>
      <c r="CJ402" s="70"/>
      <c r="CK402" s="70"/>
      <c r="CL402" s="70"/>
      <c r="CM402" s="70"/>
      <c r="CN402" s="70"/>
      <c r="CO402" s="70"/>
      <c r="CP402" s="70"/>
      <c r="CQ402" s="70"/>
      <c r="CR402" s="70"/>
      <c r="CS402" s="70"/>
      <c r="CT402" s="70"/>
      <c r="CU402" s="70"/>
      <c r="CV402" s="70"/>
      <c r="CW402" s="70"/>
      <c r="CX402" s="70"/>
      <c r="CY402" s="70"/>
      <c r="CZ402" s="70"/>
      <c r="DA402" s="70"/>
      <c r="DB402" s="70"/>
      <c r="DC402" s="70"/>
      <c r="DD402" s="70"/>
      <c r="DE402" s="70"/>
      <c r="DF402" s="70"/>
      <c r="DG402" s="70"/>
      <c r="DH402" s="70"/>
      <c r="DI402" s="70"/>
      <c r="DJ402" s="70"/>
      <c r="DK402" s="70"/>
      <c r="DL402" s="70"/>
      <c r="DM402" s="70"/>
      <c r="DN402" s="70"/>
      <c r="DO402" s="70"/>
      <c r="DP402" s="70"/>
      <c r="DQ402" s="70"/>
      <c r="DR402" s="70"/>
      <c r="DS402" s="70"/>
      <c r="DT402" s="70"/>
      <c r="DU402" s="70"/>
      <c r="DV402" s="70"/>
      <c r="DW402" s="70"/>
      <c r="DX402" s="70"/>
      <c r="DY402" s="70"/>
      <c r="DZ402" s="70"/>
      <c r="EA402" s="70"/>
      <c r="EB402" s="70"/>
      <c r="EC402" s="70"/>
      <c r="ED402" s="70"/>
      <c r="EE402" s="95"/>
      <c r="EF402" s="651"/>
      <c r="EG402" s="651"/>
      <c r="EH402" s="651"/>
      <c r="EI402" s="216"/>
      <c r="EJ402" s="662"/>
      <c r="EK402" s="662"/>
      <c r="EL402" s="662"/>
      <c r="EM402" s="662"/>
      <c r="EN402" s="662"/>
      <c r="EO402" s="662"/>
      <c r="EP402" s="662"/>
      <c r="EQ402" s="662"/>
      <c r="ER402" s="662"/>
      <c r="ES402" s="662"/>
      <c r="ET402" s="662"/>
      <c r="EU402" s="662"/>
      <c r="EV402" s="662"/>
      <c r="EW402" s="662"/>
      <c r="EX402" s="662"/>
      <c r="EY402" s="662"/>
      <c r="EZ402" s="662"/>
      <c r="FA402" s="662"/>
      <c r="FB402" s="662"/>
      <c r="FC402" s="662"/>
      <c r="FD402" s="662"/>
      <c r="FE402" s="662"/>
      <c r="FF402" s="662"/>
      <c r="FG402" s="662"/>
      <c r="FH402" s="662"/>
      <c r="FI402" s="662"/>
      <c r="FJ402" s="662"/>
      <c r="FK402" s="662"/>
      <c r="FL402" s="662"/>
      <c r="FM402" s="662"/>
      <c r="FN402" s="662"/>
      <c r="FO402" s="662"/>
      <c r="FP402" s="662"/>
      <c r="FQ402" s="662"/>
      <c r="FR402" s="662"/>
      <c r="FS402" s="662"/>
      <c r="FT402" s="662"/>
      <c r="FU402" s="662"/>
      <c r="FV402" s="662"/>
      <c r="FW402" s="662"/>
      <c r="FX402" s="662"/>
      <c r="FY402" s="662"/>
      <c r="FZ402" s="662"/>
      <c r="GA402" s="662"/>
      <c r="GB402" s="662"/>
      <c r="GC402" s="662"/>
      <c r="GD402" s="662"/>
      <c r="GE402" s="662"/>
      <c r="GF402" s="662"/>
      <c r="GG402" s="662"/>
      <c r="GH402" s="662"/>
      <c r="GI402" s="662"/>
      <c r="GJ402" s="662"/>
      <c r="GK402" s="662"/>
      <c r="GL402" s="662"/>
      <c r="GM402" s="662"/>
      <c r="GN402" s="662"/>
      <c r="GO402" s="662"/>
      <c r="GP402" s="662"/>
      <c r="GQ402" s="662"/>
      <c r="GR402" s="662"/>
      <c r="GS402" s="662"/>
      <c r="GT402" s="662"/>
      <c r="GU402" s="662"/>
      <c r="GV402" s="662"/>
      <c r="GW402" s="662"/>
      <c r="GX402" s="662"/>
      <c r="GY402" s="662"/>
      <c r="GZ402" s="662"/>
      <c r="HA402" s="662"/>
      <c r="HB402" s="662"/>
      <c r="HC402" s="662"/>
      <c r="HD402" s="662"/>
      <c r="HE402" s="662"/>
      <c r="HF402" s="662"/>
      <c r="HG402" s="662"/>
      <c r="HH402" s="662"/>
      <c r="HI402" s="662"/>
      <c r="HJ402" s="662"/>
      <c r="HK402" s="662"/>
      <c r="HL402" s="662"/>
      <c r="HM402" s="662"/>
      <c r="HN402" s="662"/>
      <c r="HO402" s="662"/>
      <c r="HP402" s="662"/>
      <c r="HQ402" s="662"/>
      <c r="HR402" s="662"/>
      <c r="HS402" s="662"/>
      <c r="HT402" s="662"/>
      <c r="HU402" s="662"/>
      <c r="HV402" s="662"/>
      <c r="HW402" s="662"/>
      <c r="HX402" s="662"/>
      <c r="HY402" s="662"/>
      <c r="HZ402" s="662"/>
      <c r="IA402" s="662"/>
      <c r="IB402" s="662"/>
      <c r="IC402" s="662"/>
      <c r="ID402" s="662"/>
      <c r="IE402" s="662"/>
      <c r="IF402" s="662"/>
      <c r="IG402" s="662"/>
      <c r="IH402" s="662"/>
      <c r="II402" s="662"/>
      <c r="IJ402" s="662"/>
      <c r="IK402" s="662"/>
      <c r="IL402" s="662"/>
      <c r="IM402" s="662"/>
      <c r="IN402" s="662"/>
      <c r="IO402" s="662"/>
      <c r="IP402" s="662"/>
      <c r="IQ402" s="70"/>
    </row>
    <row r="403" spans="18:251" ht="16.5" hidden="1" customHeight="1">
      <c r="R403" s="95"/>
      <c r="S403" s="95"/>
      <c r="T403" s="95"/>
      <c r="U403" s="70"/>
      <c r="V403" s="214"/>
      <c r="W403" s="70"/>
      <c r="X403" s="70"/>
      <c r="Y403" s="70"/>
      <c r="Z403" s="70"/>
      <c r="AA403" s="70"/>
      <c r="AB403" s="70"/>
      <c r="AC403" s="70"/>
      <c r="AD403" s="70"/>
      <c r="AE403" s="70"/>
      <c r="AF403" s="70"/>
      <c r="AG403" s="70"/>
      <c r="AH403" s="70"/>
      <c r="AI403" s="70"/>
      <c r="AJ403" s="70"/>
      <c r="AK403" s="70"/>
      <c r="AL403" s="70"/>
      <c r="AM403" s="70"/>
      <c r="AN403" s="70"/>
      <c r="AO403" s="70"/>
      <c r="AP403" s="70"/>
      <c r="AQ403" s="70"/>
      <c r="AR403" s="70"/>
      <c r="AS403" s="70"/>
      <c r="AT403" s="70"/>
      <c r="AU403" s="70"/>
      <c r="AV403" s="70"/>
      <c r="AW403" s="70"/>
      <c r="AX403" s="70"/>
      <c r="AY403" s="70"/>
      <c r="AZ403" s="70"/>
      <c r="BA403" s="70"/>
      <c r="BB403" s="70"/>
      <c r="BC403" s="70"/>
      <c r="BD403" s="70"/>
      <c r="BE403" s="70"/>
      <c r="BF403" s="70"/>
      <c r="BG403" s="70"/>
      <c r="BH403" s="70"/>
      <c r="BI403" s="70"/>
      <c r="BJ403" s="70"/>
      <c r="BK403" s="70"/>
      <c r="BL403" s="70"/>
      <c r="BM403" s="70"/>
      <c r="BN403" s="70"/>
      <c r="BO403" s="70"/>
      <c r="BP403" s="70"/>
      <c r="BQ403" s="70"/>
      <c r="BR403" s="70"/>
      <c r="BS403" s="70"/>
      <c r="BT403" s="70"/>
      <c r="BU403" s="70"/>
      <c r="BV403" s="70"/>
      <c r="BW403" s="70"/>
      <c r="BX403" s="70"/>
      <c r="BY403" s="70"/>
      <c r="BZ403" s="70"/>
      <c r="CA403" s="70"/>
      <c r="CB403" s="70"/>
      <c r="CC403" s="70"/>
      <c r="CD403" s="70"/>
      <c r="CE403" s="70"/>
      <c r="CF403" s="70"/>
      <c r="CG403" s="70"/>
      <c r="CH403" s="70"/>
      <c r="CI403" s="70"/>
      <c r="CJ403" s="70"/>
      <c r="CK403" s="70"/>
      <c r="CL403" s="70"/>
      <c r="CM403" s="70"/>
      <c r="CN403" s="70"/>
      <c r="CO403" s="70"/>
      <c r="CP403" s="70"/>
      <c r="CQ403" s="70"/>
      <c r="CR403" s="70"/>
      <c r="CS403" s="70"/>
      <c r="CT403" s="70"/>
      <c r="CU403" s="70"/>
      <c r="CV403" s="70"/>
      <c r="CW403" s="70"/>
      <c r="CX403" s="70"/>
      <c r="CY403" s="70"/>
      <c r="CZ403" s="70"/>
      <c r="DA403" s="70"/>
      <c r="DB403" s="70"/>
      <c r="DC403" s="70"/>
      <c r="DD403" s="70"/>
      <c r="DE403" s="70"/>
      <c r="DF403" s="70"/>
      <c r="DG403" s="70"/>
      <c r="DH403" s="70"/>
      <c r="DI403" s="70"/>
      <c r="DJ403" s="70"/>
      <c r="DK403" s="70"/>
      <c r="DL403" s="70"/>
      <c r="DM403" s="70"/>
      <c r="DN403" s="70"/>
      <c r="DO403" s="70"/>
      <c r="DP403" s="70"/>
      <c r="DQ403" s="70"/>
      <c r="DR403" s="70"/>
      <c r="DS403" s="70"/>
      <c r="DT403" s="70"/>
      <c r="DU403" s="70"/>
      <c r="DV403" s="70"/>
      <c r="DW403" s="70"/>
      <c r="DX403" s="70"/>
      <c r="DY403" s="70"/>
      <c r="DZ403" s="70"/>
      <c r="EA403" s="70"/>
      <c r="EB403" s="70"/>
      <c r="EC403" s="70"/>
      <c r="ED403" s="70"/>
      <c r="EE403" s="95"/>
      <c r="EF403" s="651"/>
      <c r="EG403" s="651"/>
      <c r="EH403" s="651"/>
      <c r="EI403" s="216"/>
      <c r="EJ403" s="662"/>
      <c r="EK403" s="662"/>
      <c r="EL403" s="662"/>
      <c r="EM403" s="662"/>
      <c r="EN403" s="662"/>
      <c r="EO403" s="662"/>
      <c r="EP403" s="662"/>
      <c r="EQ403" s="662"/>
      <c r="ER403" s="662"/>
      <c r="ES403" s="662"/>
      <c r="ET403" s="662"/>
      <c r="EU403" s="662"/>
      <c r="EV403" s="662"/>
      <c r="EW403" s="662"/>
      <c r="EX403" s="662"/>
      <c r="EY403" s="662"/>
      <c r="EZ403" s="662"/>
      <c r="FA403" s="662"/>
      <c r="FB403" s="662"/>
      <c r="FC403" s="662"/>
      <c r="FD403" s="662"/>
      <c r="FE403" s="662"/>
      <c r="FF403" s="662"/>
      <c r="FG403" s="662"/>
      <c r="FH403" s="662"/>
      <c r="FI403" s="662"/>
      <c r="FJ403" s="662"/>
      <c r="FK403" s="662"/>
      <c r="FL403" s="662"/>
      <c r="FM403" s="662"/>
      <c r="FN403" s="662"/>
      <c r="FO403" s="662"/>
      <c r="FP403" s="662"/>
      <c r="FQ403" s="662"/>
      <c r="FR403" s="662"/>
      <c r="FS403" s="662"/>
      <c r="FT403" s="662"/>
      <c r="FU403" s="662"/>
      <c r="FV403" s="662"/>
      <c r="FW403" s="662"/>
      <c r="FX403" s="662"/>
      <c r="FY403" s="662"/>
      <c r="FZ403" s="662"/>
      <c r="GA403" s="662"/>
      <c r="GB403" s="662"/>
      <c r="GC403" s="662"/>
      <c r="GD403" s="662"/>
      <c r="GE403" s="662"/>
      <c r="GF403" s="662"/>
      <c r="GG403" s="662"/>
      <c r="GH403" s="662"/>
      <c r="GI403" s="662"/>
      <c r="GJ403" s="662"/>
      <c r="GK403" s="662"/>
      <c r="GL403" s="662"/>
      <c r="GM403" s="662"/>
      <c r="GN403" s="662"/>
      <c r="GO403" s="662"/>
      <c r="GP403" s="662"/>
      <c r="GQ403" s="662"/>
      <c r="GR403" s="662"/>
      <c r="GS403" s="662"/>
      <c r="GT403" s="662"/>
      <c r="GU403" s="662"/>
      <c r="GV403" s="662"/>
      <c r="GW403" s="662"/>
      <c r="GX403" s="662"/>
      <c r="GY403" s="662"/>
      <c r="GZ403" s="662"/>
      <c r="HA403" s="662"/>
      <c r="HB403" s="662"/>
      <c r="HC403" s="662"/>
      <c r="HD403" s="662"/>
      <c r="HE403" s="662"/>
      <c r="HF403" s="662"/>
      <c r="HG403" s="662"/>
      <c r="HH403" s="662"/>
      <c r="HI403" s="662"/>
      <c r="HJ403" s="662"/>
      <c r="HK403" s="662"/>
      <c r="HL403" s="662"/>
      <c r="HM403" s="662"/>
      <c r="HN403" s="662"/>
      <c r="HO403" s="662"/>
      <c r="HP403" s="662"/>
      <c r="HQ403" s="662"/>
      <c r="HR403" s="662"/>
      <c r="HS403" s="662"/>
      <c r="HT403" s="662"/>
      <c r="HU403" s="662"/>
      <c r="HV403" s="662"/>
      <c r="HW403" s="662"/>
      <c r="HX403" s="662"/>
      <c r="HY403" s="662"/>
      <c r="HZ403" s="662"/>
      <c r="IA403" s="662"/>
      <c r="IB403" s="662"/>
      <c r="IC403" s="662"/>
      <c r="ID403" s="662"/>
      <c r="IE403" s="662"/>
      <c r="IF403" s="662"/>
      <c r="IG403" s="662"/>
      <c r="IH403" s="662"/>
      <c r="II403" s="662"/>
      <c r="IJ403" s="662"/>
      <c r="IK403" s="662"/>
      <c r="IL403" s="662"/>
      <c r="IM403" s="662"/>
      <c r="IN403" s="662"/>
      <c r="IO403" s="662"/>
      <c r="IP403" s="662"/>
      <c r="IQ403" s="70"/>
    </row>
    <row r="404" spans="18:251" ht="16.5" hidden="1" customHeight="1">
      <c r="R404" s="95"/>
      <c r="S404" s="95"/>
      <c r="T404" s="95"/>
      <c r="U404" s="70"/>
      <c r="V404" s="214"/>
      <c r="W404" s="70"/>
      <c r="X404" s="70"/>
      <c r="Y404" s="70"/>
      <c r="Z404" s="70"/>
      <c r="AA404" s="70"/>
      <c r="AB404" s="70"/>
      <c r="AC404" s="70"/>
      <c r="AD404" s="70"/>
      <c r="AE404" s="70"/>
      <c r="AF404" s="70"/>
      <c r="AG404" s="70"/>
      <c r="AH404" s="70"/>
      <c r="AI404" s="70"/>
      <c r="AJ404" s="70"/>
      <c r="AK404" s="70"/>
      <c r="AL404" s="70"/>
      <c r="AM404" s="70"/>
      <c r="AN404" s="70"/>
      <c r="AO404" s="70"/>
      <c r="AP404" s="70"/>
      <c r="AQ404" s="70"/>
      <c r="AR404" s="70"/>
      <c r="AS404" s="70"/>
      <c r="AT404" s="70"/>
      <c r="AU404" s="70"/>
      <c r="AV404" s="70"/>
      <c r="AW404" s="70"/>
      <c r="AX404" s="70"/>
      <c r="AY404" s="70"/>
      <c r="AZ404" s="70"/>
      <c r="BA404" s="70"/>
      <c r="BB404" s="70"/>
      <c r="BC404" s="70"/>
      <c r="BD404" s="70"/>
      <c r="BE404" s="70"/>
      <c r="BF404" s="70"/>
      <c r="BG404" s="70"/>
      <c r="BH404" s="70"/>
      <c r="BI404" s="70"/>
      <c r="BJ404" s="70"/>
      <c r="BK404" s="70"/>
      <c r="BL404" s="70"/>
      <c r="BM404" s="70"/>
      <c r="BN404" s="70"/>
      <c r="BO404" s="70"/>
      <c r="BP404" s="70"/>
      <c r="BQ404" s="70"/>
      <c r="BR404" s="70"/>
      <c r="BS404" s="70"/>
      <c r="BT404" s="70"/>
      <c r="BU404" s="70"/>
      <c r="BV404" s="70"/>
      <c r="BW404" s="70"/>
      <c r="BX404" s="70"/>
      <c r="BY404" s="70"/>
      <c r="BZ404" s="70"/>
      <c r="CA404" s="70"/>
      <c r="CB404" s="70"/>
      <c r="CC404" s="70"/>
      <c r="CD404" s="70"/>
      <c r="CE404" s="70"/>
      <c r="CF404" s="70"/>
      <c r="CG404" s="70"/>
      <c r="CH404" s="70"/>
      <c r="CI404" s="70"/>
      <c r="CJ404" s="70"/>
      <c r="CK404" s="70"/>
      <c r="CL404" s="70"/>
      <c r="CM404" s="70"/>
      <c r="CN404" s="70"/>
      <c r="CO404" s="70"/>
      <c r="CP404" s="70"/>
      <c r="CQ404" s="70"/>
      <c r="CR404" s="70"/>
      <c r="CS404" s="70"/>
      <c r="CT404" s="70"/>
      <c r="CU404" s="70"/>
      <c r="CV404" s="70"/>
      <c r="CW404" s="70"/>
      <c r="CX404" s="70"/>
      <c r="CY404" s="70"/>
      <c r="CZ404" s="70"/>
      <c r="DA404" s="70"/>
      <c r="DB404" s="70"/>
      <c r="DC404" s="70"/>
      <c r="DD404" s="70"/>
      <c r="DE404" s="70"/>
      <c r="DF404" s="70"/>
      <c r="DG404" s="70"/>
      <c r="DH404" s="70"/>
      <c r="DI404" s="70"/>
      <c r="DJ404" s="70"/>
      <c r="DK404" s="70"/>
      <c r="DL404" s="70"/>
      <c r="DM404" s="70"/>
      <c r="DN404" s="70"/>
      <c r="DO404" s="70"/>
      <c r="DP404" s="70"/>
      <c r="DQ404" s="70"/>
      <c r="DR404" s="70"/>
      <c r="DS404" s="70"/>
      <c r="DT404" s="70"/>
      <c r="DU404" s="70"/>
      <c r="DV404" s="70"/>
      <c r="DW404" s="70"/>
      <c r="DX404" s="70"/>
      <c r="DY404" s="70"/>
      <c r="DZ404" s="70"/>
      <c r="EA404" s="70"/>
      <c r="EB404" s="70"/>
      <c r="EC404" s="70"/>
      <c r="ED404" s="70"/>
      <c r="EE404" s="95"/>
      <c r="EF404" s="651"/>
      <c r="EG404" s="651"/>
      <c r="EH404" s="651"/>
      <c r="EI404" s="216"/>
      <c r="EJ404" s="662"/>
      <c r="EK404" s="662"/>
      <c r="EL404" s="662"/>
      <c r="EM404" s="662"/>
      <c r="EN404" s="662"/>
      <c r="EO404" s="662"/>
      <c r="EP404" s="662"/>
      <c r="EQ404" s="662"/>
      <c r="ER404" s="662"/>
      <c r="ES404" s="662"/>
      <c r="ET404" s="662"/>
      <c r="EU404" s="662"/>
      <c r="EV404" s="662"/>
      <c r="EW404" s="662"/>
      <c r="EX404" s="662"/>
      <c r="EY404" s="662"/>
      <c r="EZ404" s="662"/>
      <c r="FA404" s="662"/>
      <c r="FB404" s="662"/>
      <c r="FC404" s="662"/>
      <c r="FD404" s="662"/>
      <c r="FE404" s="662"/>
      <c r="FF404" s="662"/>
      <c r="FG404" s="662"/>
      <c r="FH404" s="662"/>
      <c r="FI404" s="662"/>
      <c r="FJ404" s="662"/>
      <c r="FK404" s="662"/>
      <c r="FL404" s="662"/>
      <c r="FM404" s="662"/>
      <c r="FN404" s="662"/>
      <c r="FO404" s="662"/>
      <c r="FP404" s="662"/>
      <c r="FQ404" s="662"/>
      <c r="FR404" s="662"/>
      <c r="FS404" s="662"/>
      <c r="FT404" s="662"/>
      <c r="FU404" s="662"/>
      <c r="FV404" s="662"/>
      <c r="FW404" s="662"/>
      <c r="FX404" s="662"/>
      <c r="FY404" s="662"/>
      <c r="FZ404" s="662"/>
      <c r="GA404" s="662"/>
      <c r="GB404" s="662"/>
      <c r="GC404" s="662"/>
      <c r="GD404" s="662"/>
      <c r="GE404" s="662"/>
      <c r="GF404" s="662"/>
      <c r="GG404" s="662"/>
      <c r="GH404" s="662"/>
      <c r="GI404" s="662"/>
      <c r="GJ404" s="662"/>
      <c r="GK404" s="662"/>
      <c r="GL404" s="662"/>
      <c r="GM404" s="662"/>
      <c r="GN404" s="662"/>
      <c r="GO404" s="662"/>
      <c r="GP404" s="662"/>
      <c r="GQ404" s="662"/>
      <c r="GR404" s="662"/>
      <c r="GS404" s="662"/>
      <c r="GT404" s="662"/>
      <c r="GU404" s="662"/>
      <c r="GV404" s="662"/>
      <c r="GW404" s="662"/>
      <c r="GX404" s="662"/>
      <c r="GY404" s="662"/>
      <c r="GZ404" s="662"/>
      <c r="HA404" s="662"/>
      <c r="HB404" s="662"/>
      <c r="HC404" s="662"/>
      <c r="HD404" s="662"/>
      <c r="HE404" s="662"/>
      <c r="HF404" s="662"/>
      <c r="HG404" s="662"/>
      <c r="HH404" s="662"/>
      <c r="HI404" s="662"/>
      <c r="HJ404" s="662"/>
      <c r="HK404" s="662"/>
      <c r="HL404" s="662"/>
      <c r="HM404" s="662"/>
      <c r="HN404" s="662"/>
      <c r="HO404" s="662"/>
      <c r="HP404" s="662"/>
      <c r="HQ404" s="662"/>
      <c r="HR404" s="662"/>
      <c r="HS404" s="662"/>
      <c r="HT404" s="662"/>
      <c r="HU404" s="662"/>
      <c r="HV404" s="662"/>
      <c r="HW404" s="662"/>
      <c r="HX404" s="662"/>
      <c r="HY404" s="662"/>
      <c r="HZ404" s="662"/>
      <c r="IA404" s="662"/>
      <c r="IB404" s="662"/>
      <c r="IC404" s="662"/>
      <c r="ID404" s="662"/>
      <c r="IE404" s="662"/>
      <c r="IF404" s="662"/>
      <c r="IG404" s="662"/>
      <c r="IH404" s="662"/>
      <c r="II404" s="662"/>
      <c r="IJ404" s="662"/>
      <c r="IK404" s="662"/>
      <c r="IL404" s="662"/>
      <c r="IM404" s="662"/>
      <c r="IN404" s="662"/>
      <c r="IO404" s="662"/>
      <c r="IP404" s="662"/>
      <c r="IQ404" s="70"/>
    </row>
    <row r="405" spans="18:251" ht="16.5" hidden="1" customHeight="1">
      <c r="R405" s="95"/>
      <c r="S405" s="95"/>
      <c r="T405" s="95"/>
      <c r="U405" s="70"/>
      <c r="V405" s="214"/>
      <c r="W405" s="70"/>
      <c r="X405" s="70"/>
      <c r="Y405" s="70"/>
      <c r="Z405" s="70"/>
      <c r="AA405" s="70"/>
      <c r="AB405" s="70"/>
      <c r="AC405" s="70"/>
      <c r="AD405" s="70"/>
      <c r="AE405" s="70"/>
      <c r="AF405" s="70"/>
      <c r="AG405" s="70"/>
      <c r="AH405" s="70"/>
      <c r="AI405" s="70"/>
      <c r="AJ405" s="70"/>
      <c r="AK405" s="70"/>
      <c r="AL405" s="70"/>
      <c r="AM405" s="70"/>
      <c r="AN405" s="70"/>
      <c r="AO405" s="70"/>
      <c r="AP405" s="70"/>
      <c r="AQ405" s="70"/>
      <c r="AR405" s="70"/>
      <c r="AS405" s="70"/>
      <c r="AT405" s="70"/>
      <c r="AU405" s="70"/>
      <c r="AV405" s="70"/>
      <c r="AW405" s="70"/>
      <c r="AX405" s="70"/>
      <c r="AY405" s="70"/>
      <c r="AZ405" s="70"/>
      <c r="BA405" s="70"/>
      <c r="BB405" s="70"/>
      <c r="BC405" s="70"/>
      <c r="BD405" s="70"/>
      <c r="BE405" s="70"/>
      <c r="BF405" s="70"/>
      <c r="BG405" s="70"/>
      <c r="BH405" s="70"/>
      <c r="BI405" s="70"/>
      <c r="BJ405" s="70"/>
      <c r="BK405" s="70"/>
      <c r="BL405" s="70"/>
      <c r="BM405" s="70"/>
      <c r="BN405" s="70"/>
      <c r="BO405" s="70"/>
      <c r="BP405" s="70"/>
      <c r="BQ405" s="70"/>
      <c r="BR405" s="70"/>
      <c r="BS405" s="70"/>
      <c r="BT405" s="70"/>
      <c r="BU405" s="70"/>
      <c r="BV405" s="70"/>
      <c r="BW405" s="70"/>
      <c r="BX405" s="70"/>
      <c r="BY405" s="70"/>
      <c r="BZ405" s="70"/>
      <c r="CA405" s="70"/>
      <c r="CB405" s="70"/>
      <c r="CC405" s="70"/>
      <c r="CD405" s="70"/>
      <c r="CE405" s="70"/>
      <c r="CF405" s="70"/>
      <c r="CG405" s="70"/>
      <c r="CH405" s="70"/>
      <c r="CI405" s="70"/>
      <c r="CJ405" s="70"/>
      <c r="CK405" s="70"/>
      <c r="CL405" s="70"/>
      <c r="CM405" s="70"/>
      <c r="CN405" s="70"/>
      <c r="CO405" s="70"/>
      <c r="CP405" s="70"/>
      <c r="CQ405" s="70"/>
      <c r="CR405" s="70"/>
      <c r="CS405" s="70"/>
      <c r="CT405" s="70"/>
      <c r="CU405" s="70"/>
      <c r="CV405" s="70"/>
      <c r="CW405" s="70"/>
      <c r="CX405" s="70"/>
      <c r="CY405" s="70"/>
      <c r="CZ405" s="70"/>
      <c r="DA405" s="70"/>
      <c r="DB405" s="70"/>
      <c r="DC405" s="70"/>
      <c r="DD405" s="70"/>
      <c r="DE405" s="70"/>
      <c r="DF405" s="70"/>
      <c r="DG405" s="70"/>
      <c r="DH405" s="70"/>
      <c r="DI405" s="70"/>
      <c r="DJ405" s="70"/>
      <c r="DK405" s="70"/>
      <c r="DL405" s="70"/>
      <c r="DM405" s="70"/>
      <c r="DN405" s="70"/>
      <c r="DO405" s="70"/>
      <c r="DP405" s="70"/>
      <c r="DQ405" s="70"/>
      <c r="DR405" s="70"/>
      <c r="DS405" s="70"/>
      <c r="DT405" s="70"/>
      <c r="DU405" s="70"/>
      <c r="DV405" s="70"/>
      <c r="DW405" s="70"/>
      <c r="DX405" s="70"/>
      <c r="DY405" s="70"/>
      <c r="DZ405" s="70"/>
      <c r="EA405" s="70"/>
      <c r="EB405" s="70"/>
      <c r="EC405" s="70"/>
      <c r="ED405" s="70"/>
      <c r="EE405" s="95"/>
      <c r="EF405" s="651"/>
      <c r="EG405" s="651"/>
      <c r="EH405" s="651"/>
      <c r="EI405" s="216"/>
      <c r="EJ405" s="662"/>
      <c r="EK405" s="662"/>
      <c r="EL405" s="662"/>
      <c r="EM405" s="662"/>
      <c r="EN405" s="662"/>
      <c r="EO405" s="662"/>
      <c r="EP405" s="662"/>
      <c r="EQ405" s="662"/>
      <c r="ER405" s="662"/>
      <c r="ES405" s="662"/>
      <c r="ET405" s="662"/>
      <c r="EU405" s="662"/>
      <c r="EV405" s="662"/>
      <c r="EW405" s="662"/>
      <c r="EX405" s="662"/>
      <c r="EY405" s="662"/>
      <c r="EZ405" s="662"/>
      <c r="FA405" s="662"/>
      <c r="FB405" s="662"/>
      <c r="FC405" s="662"/>
      <c r="FD405" s="662"/>
      <c r="FE405" s="662"/>
      <c r="FF405" s="662"/>
      <c r="FG405" s="662"/>
      <c r="FH405" s="662"/>
      <c r="FI405" s="662"/>
      <c r="FJ405" s="662"/>
      <c r="FK405" s="662"/>
      <c r="FL405" s="662"/>
      <c r="FM405" s="662"/>
      <c r="FN405" s="662"/>
      <c r="FO405" s="662"/>
      <c r="FP405" s="662"/>
      <c r="FQ405" s="662"/>
      <c r="FR405" s="662"/>
      <c r="FS405" s="662"/>
      <c r="FT405" s="662"/>
      <c r="FU405" s="662"/>
      <c r="FV405" s="662"/>
      <c r="FW405" s="662"/>
      <c r="FX405" s="662"/>
      <c r="FY405" s="662"/>
      <c r="FZ405" s="662"/>
      <c r="GA405" s="662"/>
      <c r="GB405" s="662"/>
      <c r="GC405" s="662"/>
      <c r="GD405" s="662"/>
      <c r="GE405" s="662"/>
      <c r="GF405" s="662"/>
      <c r="GG405" s="662"/>
      <c r="GH405" s="662"/>
      <c r="GI405" s="662"/>
      <c r="GJ405" s="662"/>
      <c r="GK405" s="662"/>
      <c r="GL405" s="662"/>
      <c r="GM405" s="662"/>
      <c r="GN405" s="662"/>
      <c r="GO405" s="662"/>
      <c r="GP405" s="662"/>
      <c r="GQ405" s="662"/>
      <c r="GR405" s="662"/>
      <c r="GS405" s="662"/>
      <c r="GT405" s="662"/>
      <c r="GU405" s="662"/>
      <c r="GV405" s="662"/>
      <c r="GW405" s="662"/>
      <c r="GX405" s="662"/>
      <c r="GY405" s="662"/>
      <c r="GZ405" s="662"/>
      <c r="HA405" s="662"/>
      <c r="HB405" s="662"/>
      <c r="HC405" s="662"/>
      <c r="HD405" s="662"/>
      <c r="HE405" s="662"/>
      <c r="HF405" s="662"/>
      <c r="HG405" s="662"/>
      <c r="HH405" s="662"/>
      <c r="HI405" s="662"/>
      <c r="HJ405" s="662"/>
      <c r="HK405" s="662"/>
      <c r="HL405" s="662"/>
      <c r="HM405" s="662"/>
      <c r="HN405" s="662"/>
      <c r="HO405" s="662"/>
      <c r="HP405" s="662"/>
      <c r="HQ405" s="662"/>
      <c r="HR405" s="662"/>
      <c r="HS405" s="662"/>
      <c r="HT405" s="662"/>
      <c r="HU405" s="662"/>
      <c r="HV405" s="662"/>
      <c r="HW405" s="662"/>
      <c r="HX405" s="662"/>
      <c r="HY405" s="662"/>
      <c r="HZ405" s="662"/>
      <c r="IA405" s="662"/>
      <c r="IB405" s="662"/>
      <c r="IC405" s="662"/>
      <c r="ID405" s="662"/>
      <c r="IE405" s="662"/>
      <c r="IF405" s="662"/>
      <c r="IG405" s="662"/>
      <c r="IH405" s="662"/>
      <c r="II405" s="662"/>
      <c r="IJ405" s="662"/>
      <c r="IK405" s="662"/>
      <c r="IL405" s="662"/>
      <c r="IM405" s="662"/>
      <c r="IN405" s="662"/>
      <c r="IO405" s="662"/>
      <c r="IP405" s="662"/>
      <c r="IQ405" s="70"/>
    </row>
    <row r="406" spans="18:251" ht="16.5" hidden="1" customHeight="1">
      <c r="R406" s="95"/>
      <c r="S406" s="95"/>
      <c r="T406" s="95"/>
      <c r="U406" s="70"/>
      <c r="V406" s="214"/>
      <c r="W406" s="70"/>
      <c r="X406" s="70"/>
      <c r="Y406" s="70"/>
      <c r="Z406" s="70"/>
      <c r="AA406" s="70"/>
      <c r="AB406" s="70"/>
      <c r="AC406" s="70"/>
      <c r="AD406" s="70"/>
      <c r="AE406" s="70"/>
      <c r="AF406" s="70"/>
      <c r="AG406" s="70"/>
      <c r="AH406" s="70"/>
      <c r="AI406" s="70"/>
      <c r="AJ406" s="70"/>
      <c r="AK406" s="70"/>
      <c r="AL406" s="70"/>
      <c r="AM406" s="70"/>
      <c r="AN406" s="70"/>
      <c r="AO406" s="70"/>
      <c r="AP406" s="70"/>
      <c r="AQ406" s="70"/>
      <c r="AR406" s="70"/>
      <c r="AS406" s="70"/>
      <c r="AT406" s="70"/>
      <c r="AU406" s="70"/>
      <c r="AV406" s="70"/>
      <c r="AW406" s="70"/>
      <c r="AX406" s="70"/>
      <c r="AY406" s="70"/>
      <c r="AZ406" s="70"/>
      <c r="BA406" s="70"/>
      <c r="BB406" s="70"/>
      <c r="BC406" s="70"/>
      <c r="BD406" s="70"/>
      <c r="BE406" s="70"/>
      <c r="BF406" s="70"/>
      <c r="BG406" s="70"/>
      <c r="BH406" s="70"/>
      <c r="BI406" s="70"/>
      <c r="BJ406" s="70"/>
      <c r="BK406" s="70"/>
      <c r="BL406" s="70"/>
      <c r="BM406" s="70"/>
      <c r="BN406" s="70"/>
      <c r="BO406" s="70"/>
      <c r="BP406" s="70"/>
      <c r="BQ406" s="70"/>
      <c r="BR406" s="70"/>
      <c r="BS406" s="70"/>
      <c r="BT406" s="70"/>
      <c r="BU406" s="70"/>
      <c r="BV406" s="70"/>
      <c r="BW406" s="70"/>
      <c r="BX406" s="70"/>
      <c r="BY406" s="70"/>
      <c r="BZ406" s="70"/>
      <c r="CA406" s="70"/>
      <c r="CB406" s="70"/>
      <c r="CC406" s="70"/>
      <c r="CD406" s="70"/>
      <c r="CE406" s="70"/>
      <c r="CF406" s="70"/>
      <c r="CG406" s="70"/>
      <c r="CH406" s="70"/>
      <c r="CI406" s="70"/>
      <c r="CJ406" s="70"/>
      <c r="CK406" s="70"/>
      <c r="CL406" s="70"/>
      <c r="CM406" s="70"/>
      <c r="CN406" s="70"/>
      <c r="CO406" s="70"/>
      <c r="CP406" s="70"/>
      <c r="CQ406" s="70"/>
      <c r="CR406" s="70"/>
      <c r="CS406" s="70"/>
      <c r="CT406" s="70"/>
      <c r="CU406" s="70"/>
      <c r="CV406" s="70"/>
      <c r="CW406" s="70"/>
      <c r="CX406" s="70"/>
      <c r="CY406" s="70"/>
      <c r="CZ406" s="70"/>
      <c r="DA406" s="70"/>
      <c r="DB406" s="70"/>
      <c r="DC406" s="70"/>
      <c r="DD406" s="70"/>
      <c r="DE406" s="70"/>
      <c r="DF406" s="70"/>
      <c r="DG406" s="70"/>
      <c r="DH406" s="70"/>
      <c r="DI406" s="70"/>
      <c r="DJ406" s="70"/>
      <c r="DK406" s="70"/>
      <c r="DL406" s="70"/>
      <c r="DM406" s="70"/>
      <c r="DN406" s="70"/>
      <c r="DO406" s="70"/>
      <c r="DP406" s="70"/>
      <c r="DQ406" s="70"/>
      <c r="DR406" s="70"/>
      <c r="DS406" s="70"/>
      <c r="DT406" s="70"/>
      <c r="DU406" s="70"/>
      <c r="DV406" s="70"/>
      <c r="DW406" s="70"/>
      <c r="DX406" s="70"/>
      <c r="DY406" s="70"/>
      <c r="DZ406" s="70"/>
      <c r="EA406" s="70"/>
      <c r="EB406" s="70"/>
      <c r="EC406" s="70"/>
      <c r="ED406" s="70"/>
      <c r="EE406" s="95"/>
      <c r="EF406" s="651"/>
      <c r="EG406" s="651"/>
      <c r="EH406" s="651"/>
      <c r="EI406" s="216"/>
      <c r="EJ406" s="662"/>
      <c r="EK406" s="662"/>
      <c r="EL406" s="662"/>
      <c r="EM406" s="662"/>
      <c r="EN406" s="662"/>
      <c r="EO406" s="662"/>
      <c r="EP406" s="662"/>
      <c r="EQ406" s="662"/>
      <c r="ER406" s="662"/>
      <c r="ES406" s="662"/>
      <c r="ET406" s="662"/>
      <c r="EU406" s="662"/>
      <c r="EV406" s="662"/>
      <c r="EW406" s="662"/>
      <c r="EX406" s="662"/>
      <c r="EY406" s="662"/>
      <c r="EZ406" s="662"/>
      <c r="FA406" s="662"/>
      <c r="FB406" s="662"/>
      <c r="FC406" s="662"/>
      <c r="FD406" s="662"/>
      <c r="FE406" s="662"/>
      <c r="FF406" s="662"/>
      <c r="FG406" s="662"/>
      <c r="FH406" s="662"/>
      <c r="FI406" s="662"/>
      <c r="FJ406" s="662"/>
      <c r="FK406" s="662"/>
      <c r="FL406" s="662"/>
      <c r="FM406" s="662"/>
      <c r="FN406" s="662"/>
      <c r="FO406" s="662"/>
      <c r="FP406" s="662"/>
      <c r="FQ406" s="662"/>
      <c r="FR406" s="662"/>
      <c r="FS406" s="662"/>
      <c r="FT406" s="662"/>
      <c r="FU406" s="662"/>
      <c r="FV406" s="662"/>
      <c r="FW406" s="662"/>
      <c r="FX406" s="662"/>
      <c r="FY406" s="662"/>
      <c r="FZ406" s="662"/>
      <c r="GA406" s="662"/>
      <c r="GB406" s="662"/>
      <c r="GC406" s="662"/>
      <c r="GD406" s="662"/>
      <c r="GE406" s="662"/>
      <c r="GF406" s="662"/>
      <c r="GG406" s="662"/>
      <c r="GH406" s="662"/>
      <c r="GI406" s="662"/>
      <c r="GJ406" s="662"/>
      <c r="GK406" s="662"/>
      <c r="GL406" s="662"/>
      <c r="GM406" s="662"/>
      <c r="GN406" s="662"/>
      <c r="GO406" s="662"/>
      <c r="GP406" s="662"/>
      <c r="GQ406" s="662"/>
      <c r="GR406" s="662"/>
      <c r="GS406" s="662"/>
      <c r="GT406" s="662"/>
      <c r="GU406" s="662"/>
      <c r="GV406" s="662"/>
      <c r="GW406" s="662"/>
      <c r="GX406" s="662"/>
      <c r="GY406" s="662"/>
      <c r="GZ406" s="662"/>
      <c r="HA406" s="662"/>
      <c r="HB406" s="662"/>
      <c r="HC406" s="662"/>
      <c r="HD406" s="662"/>
      <c r="HE406" s="662"/>
      <c r="HF406" s="662"/>
      <c r="HG406" s="662"/>
      <c r="HH406" s="662"/>
      <c r="HI406" s="662"/>
      <c r="HJ406" s="662"/>
      <c r="HK406" s="662"/>
      <c r="HL406" s="662"/>
      <c r="HM406" s="662"/>
      <c r="HN406" s="662"/>
      <c r="HO406" s="662"/>
      <c r="HP406" s="662"/>
      <c r="HQ406" s="662"/>
      <c r="HR406" s="662"/>
      <c r="HS406" s="662"/>
      <c r="HT406" s="662"/>
      <c r="HU406" s="662"/>
      <c r="HV406" s="662"/>
      <c r="HW406" s="662"/>
      <c r="HX406" s="662"/>
      <c r="HY406" s="662"/>
      <c r="HZ406" s="662"/>
      <c r="IA406" s="662"/>
      <c r="IB406" s="662"/>
      <c r="IC406" s="662"/>
      <c r="ID406" s="662"/>
      <c r="IE406" s="662"/>
      <c r="IF406" s="662"/>
      <c r="IG406" s="662"/>
      <c r="IH406" s="662"/>
      <c r="II406" s="662"/>
      <c r="IJ406" s="662"/>
      <c r="IK406" s="662"/>
      <c r="IL406" s="662"/>
      <c r="IM406" s="662"/>
      <c r="IN406" s="662"/>
      <c r="IO406" s="662"/>
      <c r="IP406" s="662"/>
      <c r="IQ406" s="70"/>
    </row>
    <row r="407" spans="18:251" ht="16.5" hidden="1" customHeight="1">
      <c r="R407" s="95"/>
      <c r="S407" s="95"/>
      <c r="T407" s="95"/>
      <c r="U407" s="70"/>
      <c r="V407" s="214"/>
      <c r="W407" s="70"/>
      <c r="X407" s="70"/>
      <c r="Y407" s="70"/>
      <c r="Z407" s="70"/>
      <c r="AA407" s="70"/>
      <c r="AB407" s="70"/>
      <c r="AC407" s="70"/>
      <c r="AD407" s="70"/>
      <c r="AE407" s="70"/>
      <c r="AF407" s="70"/>
      <c r="AG407" s="70"/>
      <c r="AH407" s="70"/>
      <c r="AI407" s="70"/>
      <c r="AJ407" s="70"/>
      <c r="AK407" s="70"/>
      <c r="AL407" s="70"/>
      <c r="AM407" s="70"/>
      <c r="AN407" s="70"/>
      <c r="AO407" s="70"/>
      <c r="AP407" s="70"/>
      <c r="AQ407" s="70"/>
      <c r="AR407" s="70"/>
      <c r="AS407" s="70"/>
      <c r="AT407" s="70"/>
      <c r="AU407" s="70"/>
      <c r="AV407" s="70"/>
      <c r="AW407" s="70"/>
      <c r="AX407" s="70"/>
      <c r="AY407" s="70"/>
      <c r="AZ407" s="70"/>
      <c r="BA407" s="70"/>
      <c r="BB407" s="70"/>
      <c r="BC407" s="70"/>
      <c r="BD407" s="70"/>
      <c r="BE407" s="70"/>
      <c r="BF407" s="70"/>
      <c r="BG407" s="70"/>
      <c r="BH407" s="70"/>
      <c r="BI407" s="70"/>
      <c r="BJ407" s="70"/>
      <c r="BK407" s="70"/>
      <c r="BL407" s="70"/>
      <c r="BM407" s="70"/>
      <c r="BN407" s="70"/>
      <c r="BO407" s="70"/>
      <c r="BP407" s="70"/>
      <c r="BQ407" s="70"/>
      <c r="BR407" s="70"/>
      <c r="BS407" s="70"/>
      <c r="BT407" s="70"/>
      <c r="BU407" s="70"/>
      <c r="BV407" s="70"/>
      <c r="BW407" s="70"/>
      <c r="BX407" s="70"/>
      <c r="BY407" s="70"/>
      <c r="BZ407" s="70"/>
      <c r="CA407" s="70"/>
      <c r="CB407" s="70"/>
      <c r="CC407" s="70"/>
      <c r="CD407" s="70"/>
      <c r="CE407" s="70"/>
      <c r="CF407" s="70"/>
      <c r="CG407" s="70"/>
      <c r="CH407" s="70"/>
      <c r="CI407" s="70"/>
      <c r="CJ407" s="70"/>
      <c r="CK407" s="70"/>
      <c r="CL407" s="70"/>
      <c r="CM407" s="70"/>
      <c r="CN407" s="70"/>
      <c r="CO407" s="70"/>
      <c r="CP407" s="70"/>
      <c r="CQ407" s="70"/>
      <c r="CR407" s="70"/>
      <c r="CS407" s="70"/>
      <c r="CT407" s="70"/>
      <c r="CU407" s="70"/>
      <c r="CV407" s="70"/>
      <c r="CW407" s="70"/>
      <c r="CX407" s="70"/>
      <c r="CY407" s="70"/>
      <c r="CZ407" s="70"/>
      <c r="DA407" s="70"/>
      <c r="DB407" s="70"/>
      <c r="DC407" s="70"/>
      <c r="DD407" s="70"/>
      <c r="DE407" s="70"/>
      <c r="DF407" s="70"/>
      <c r="DG407" s="70"/>
      <c r="DH407" s="70"/>
      <c r="DI407" s="70"/>
      <c r="DJ407" s="70"/>
      <c r="DK407" s="70"/>
      <c r="DL407" s="70"/>
      <c r="DM407" s="70"/>
      <c r="DN407" s="70"/>
      <c r="DO407" s="70"/>
      <c r="DP407" s="70"/>
      <c r="DQ407" s="70"/>
      <c r="DR407" s="70"/>
      <c r="DS407" s="70"/>
      <c r="DT407" s="70"/>
      <c r="DU407" s="70"/>
      <c r="DV407" s="70"/>
      <c r="DW407" s="70"/>
      <c r="DX407" s="70"/>
      <c r="DY407" s="70"/>
      <c r="DZ407" s="70"/>
      <c r="EA407" s="70"/>
      <c r="EB407" s="70"/>
      <c r="EC407" s="70"/>
      <c r="ED407" s="70"/>
      <c r="EE407" s="95"/>
      <c r="EF407" s="651"/>
      <c r="EG407" s="651"/>
      <c r="EH407" s="651"/>
      <c r="EI407" s="216"/>
      <c r="EJ407" s="662"/>
      <c r="EK407" s="662"/>
      <c r="EL407" s="662"/>
      <c r="EM407" s="662"/>
      <c r="EN407" s="662"/>
      <c r="EO407" s="662"/>
      <c r="EP407" s="662"/>
      <c r="EQ407" s="662"/>
      <c r="ER407" s="662"/>
      <c r="ES407" s="662"/>
      <c r="ET407" s="662"/>
      <c r="EU407" s="662"/>
      <c r="EV407" s="662"/>
      <c r="EW407" s="662"/>
      <c r="EX407" s="662"/>
      <c r="EY407" s="662"/>
      <c r="EZ407" s="662"/>
      <c r="FA407" s="662"/>
      <c r="FB407" s="662"/>
      <c r="FC407" s="662"/>
      <c r="FD407" s="662"/>
      <c r="FE407" s="662"/>
      <c r="FF407" s="662"/>
      <c r="FG407" s="662"/>
      <c r="FH407" s="662"/>
      <c r="FI407" s="662"/>
      <c r="FJ407" s="662"/>
      <c r="FK407" s="662"/>
      <c r="FL407" s="662"/>
      <c r="FM407" s="662"/>
      <c r="FN407" s="662"/>
      <c r="FO407" s="662"/>
      <c r="FP407" s="662"/>
      <c r="FQ407" s="662"/>
      <c r="FR407" s="662"/>
      <c r="FS407" s="662"/>
      <c r="FT407" s="662"/>
      <c r="FU407" s="662"/>
      <c r="FV407" s="662"/>
      <c r="FW407" s="662"/>
      <c r="FX407" s="662"/>
      <c r="FY407" s="662"/>
      <c r="FZ407" s="662"/>
      <c r="GA407" s="662"/>
      <c r="GB407" s="662"/>
      <c r="GC407" s="662"/>
      <c r="GD407" s="662"/>
      <c r="GE407" s="662"/>
      <c r="GF407" s="662"/>
      <c r="GG407" s="662"/>
      <c r="GH407" s="662"/>
      <c r="GI407" s="662"/>
      <c r="GJ407" s="662"/>
      <c r="GK407" s="662"/>
      <c r="GL407" s="662"/>
      <c r="GM407" s="662"/>
      <c r="GN407" s="662"/>
      <c r="GO407" s="662"/>
      <c r="GP407" s="662"/>
      <c r="GQ407" s="662"/>
      <c r="GR407" s="662"/>
      <c r="GS407" s="662"/>
      <c r="GT407" s="662"/>
      <c r="GU407" s="662"/>
      <c r="GV407" s="662"/>
      <c r="GW407" s="662"/>
      <c r="GX407" s="662"/>
      <c r="GY407" s="662"/>
      <c r="GZ407" s="662"/>
      <c r="HA407" s="662"/>
      <c r="HB407" s="662"/>
      <c r="HC407" s="662"/>
      <c r="HD407" s="662"/>
      <c r="HE407" s="662"/>
      <c r="HF407" s="662"/>
      <c r="HG407" s="662"/>
      <c r="HH407" s="662"/>
      <c r="HI407" s="662"/>
      <c r="HJ407" s="662"/>
      <c r="HK407" s="662"/>
      <c r="HL407" s="662"/>
      <c r="HM407" s="662"/>
      <c r="HN407" s="662"/>
      <c r="HO407" s="662"/>
      <c r="HP407" s="662"/>
      <c r="HQ407" s="662"/>
      <c r="HR407" s="662"/>
      <c r="HS407" s="662"/>
      <c r="HT407" s="662"/>
      <c r="HU407" s="662"/>
      <c r="HV407" s="662"/>
      <c r="HW407" s="662"/>
      <c r="HX407" s="662"/>
      <c r="HY407" s="662"/>
      <c r="HZ407" s="662"/>
      <c r="IA407" s="662"/>
      <c r="IB407" s="662"/>
      <c r="IC407" s="662"/>
      <c r="ID407" s="662"/>
      <c r="IE407" s="662"/>
      <c r="IF407" s="662"/>
      <c r="IG407" s="662"/>
      <c r="IH407" s="662"/>
      <c r="II407" s="662"/>
      <c r="IJ407" s="662"/>
      <c r="IK407" s="662"/>
      <c r="IL407" s="662"/>
      <c r="IM407" s="662"/>
      <c r="IN407" s="662"/>
      <c r="IO407" s="662"/>
      <c r="IP407" s="662"/>
      <c r="IQ407" s="70"/>
    </row>
    <row r="408" spans="18:251" ht="16.5" hidden="1" customHeight="1">
      <c r="R408" s="95"/>
      <c r="S408" s="95"/>
      <c r="T408" s="95"/>
      <c r="U408" s="70"/>
      <c r="V408" s="214"/>
      <c r="W408" s="70"/>
      <c r="X408" s="70"/>
      <c r="Y408" s="70"/>
      <c r="Z408" s="70"/>
      <c r="AA408" s="70"/>
      <c r="AB408" s="70"/>
      <c r="AC408" s="70"/>
      <c r="AD408" s="70"/>
      <c r="AE408" s="70"/>
      <c r="AF408" s="70"/>
      <c r="AG408" s="70"/>
      <c r="AH408" s="70"/>
      <c r="AI408" s="70"/>
      <c r="AJ408" s="70"/>
      <c r="AK408" s="70"/>
      <c r="AL408" s="70"/>
      <c r="AM408" s="70"/>
      <c r="AN408" s="70"/>
      <c r="AO408" s="70"/>
      <c r="AP408" s="70"/>
      <c r="AQ408" s="70"/>
      <c r="AR408" s="70"/>
      <c r="AS408" s="70"/>
      <c r="AT408" s="70"/>
      <c r="AU408" s="70"/>
      <c r="AV408" s="70"/>
      <c r="AW408" s="70"/>
      <c r="AX408" s="70"/>
      <c r="AY408" s="70"/>
      <c r="AZ408" s="70"/>
      <c r="BA408" s="70"/>
      <c r="BB408" s="70"/>
      <c r="BC408" s="70"/>
      <c r="BD408" s="70"/>
      <c r="BE408" s="70"/>
      <c r="BF408" s="70"/>
      <c r="BG408" s="70"/>
      <c r="BH408" s="70"/>
      <c r="BI408" s="70"/>
      <c r="BJ408" s="70"/>
      <c r="BK408" s="70"/>
      <c r="BL408" s="70"/>
      <c r="BM408" s="70"/>
      <c r="BN408" s="70"/>
      <c r="BO408" s="70"/>
      <c r="BP408" s="70"/>
      <c r="BQ408" s="70"/>
      <c r="BR408" s="70"/>
      <c r="BS408" s="70"/>
      <c r="BT408" s="70"/>
      <c r="BU408" s="70"/>
      <c r="BV408" s="70"/>
      <c r="BW408" s="70"/>
      <c r="BX408" s="70"/>
      <c r="BY408" s="70"/>
      <c r="BZ408" s="70"/>
      <c r="CA408" s="70"/>
      <c r="CB408" s="70"/>
      <c r="CC408" s="70"/>
      <c r="CD408" s="70"/>
      <c r="CE408" s="70"/>
      <c r="CF408" s="70"/>
      <c r="CG408" s="70"/>
      <c r="CH408" s="70"/>
      <c r="CI408" s="70"/>
      <c r="CJ408" s="70"/>
      <c r="CK408" s="70"/>
      <c r="CL408" s="70"/>
      <c r="CM408" s="70"/>
      <c r="CN408" s="70"/>
      <c r="CO408" s="70"/>
      <c r="CP408" s="70"/>
      <c r="CQ408" s="70"/>
      <c r="CR408" s="70"/>
      <c r="CS408" s="70"/>
      <c r="CT408" s="70"/>
      <c r="CU408" s="70"/>
      <c r="CV408" s="70"/>
      <c r="CW408" s="70"/>
      <c r="CX408" s="70"/>
      <c r="CY408" s="70"/>
      <c r="CZ408" s="70"/>
      <c r="DA408" s="70"/>
      <c r="DB408" s="70"/>
      <c r="DC408" s="70"/>
      <c r="DD408" s="70"/>
      <c r="DE408" s="70"/>
      <c r="DF408" s="70"/>
      <c r="DG408" s="70"/>
      <c r="DH408" s="70"/>
      <c r="DI408" s="70"/>
      <c r="DJ408" s="70"/>
      <c r="DK408" s="70"/>
      <c r="DL408" s="70"/>
      <c r="DM408" s="70"/>
      <c r="DN408" s="70"/>
      <c r="DO408" s="70"/>
      <c r="DP408" s="70"/>
      <c r="DQ408" s="70"/>
      <c r="DR408" s="70"/>
      <c r="DS408" s="70"/>
      <c r="DT408" s="70"/>
      <c r="DU408" s="70"/>
      <c r="DV408" s="70"/>
      <c r="DW408" s="70"/>
      <c r="DX408" s="70"/>
      <c r="DY408" s="70"/>
      <c r="DZ408" s="70"/>
      <c r="EA408" s="70"/>
      <c r="EB408" s="70"/>
      <c r="EC408" s="70"/>
      <c r="ED408" s="70"/>
      <c r="EE408" s="95"/>
      <c r="EF408" s="651"/>
      <c r="EG408" s="651"/>
      <c r="EH408" s="651"/>
      <c r="EI408" s="216"/>
      <c r="EJ408" s="662"/>
      <c r="EK408" s="662"/>
      <c r="EL408" s="662"/>
      <c r="EM408" s="662"/>
      <c r="EN408" s="662"/>
      <c r="EO408" s="662"/>
      <c r="EP408" s="662"/>
      <c r="EQ408" s="662"/>
      <c r="ER408" s="662"/>
      <c r="ES408" s="662"/>
      <c r="ET408" s="662"/>
      <c r="EU408" s="662"/>
      <c r="EV408" s="662"/>
      <c r="EW408" s="662"/>
      <c r="EX408" s="662"/>
      <c r="EY408" s="662"/>
      <c r="EZ408" s="662"/>
      <c r="FA408" s="662"/>
      <c r="FB408" s="662"/>
      <c r="FC408" s="662"/>
      <c r="FD408" s="662"/>
      <c r="FE408" s="662"/>
      <c r="FF408" s="662"/>
      <c r="FG408" s="662"/>
      <c r="FH408" s="662"/>
      <c r="FI408" s="662"/>
      <c r="FJ408" s="662"/>
      <c r="FK408" s="662"/>
      <c r="FL408" s="662"/>
      <c r="FM408" s="662"/>
      <c r="FN408" s="662"/>
      <c r="FO408" s="662"/>
      <c r="FP408" s="662"/>
      <c r="FQ408" s="662"/>
      <c r="FR408" s="662"/>
      <c r="FS408" s="662"/>
      <c r="FT408" s="662"/>
      <c r="FU408" s="662"/>
      <c r="FV408" s="662"/>
      <c r="FW408" s="662"/>
      <c r="FX408" s="662"/>
      <c r="FY408" s="662"/>
      <c r="FZ408" s="662"/>
      <c r="GA408" s="662"/>
      <c r="GB408" s="662"/>
      <c r="GC408" s="662"/>
      <c r="GD408" s="662"/>
      <c r="GE408" s="662"/>
      <c r="GF408" s="662"/>
      <c r="GG408" s="662"/>
      <c r="GH408" s="662"/>
      <c r="GI408" s="662"/>
      <c r="GJ408" s="662"/>
      <c r="GK408" s="662"/>
      <c r="GL408" s="662"/>
      <c r="GM408" s="662"/>
      <c r="GN408" s="662"/>
      <c r="GO408" s="662"/>
      <c r="GP408" s="662"/>
      <c r="GQ408" s="662"/>
      <c r="GR408" s="662"/>
      <c r="GS408" s="662"/>
      <c r="GT408" s="662"/>
      <c r="GU408" s="662"/>
      <c r="GV408" s="662"/>
      <c r="GW408" s="662"/>
      <c r="GX408" s="662"/>
      <c r="GY408" s="662"/>
      <c r="GZ408" s="662"/>
      <c r="HA408" s="662"/>
      <c r="HB408" s="662"/>
      <c r="HC408" s="662"/>
      <c r="HD408" s="662"/>
      <c r="HE408" s="662"/>
      <c r="HF408" s="662"/>
      <c r="HG408" s="662"/>
      <c r="HH408" s="662"/>
      <c r="HI408" s="662"/>
      <c r="HJ408" s="662"/>
      <c r="HK408" s="662"/>
      <c r="HL408" s="662"/>
      <c r="HM408" s="662"/>
      <c r="HN408" s="662"/>
      <c r="HO408" s="662"/>
      <c r="HP408" s="662"/>
      <c r="HQ408" s="662"/>
      <c r="HR408" s="662"/>
      <c r="HS408" s="662"/>
      <c r="HT408" s="662"/>
      <c r="HU408" s="662"/>
      <c r="HV408" s="662"/>
      <c r="HW408" s="662"/>
      <c r="HX408" s="662"/>
      <c r="HY408" s="662"/>
      <c r="HZ408" s="662"/>
      <c r="IA408" s="662"/>
      <c r="IB408" s="662"/>
      <c r="IC408" s="662"/>
      <c r="ID408" s="662"/>
      <c r="IE408" s="662"/>
      <c r="IF408" s="662"/>
      <c r="IG408" s="662"/>
      <c r="IH408" s="662"/>
      <c r="II408" s="662"/>
      <c r="IJ408" s="662"/>
      <c r="IK408" s="662"/>
      <c r="IL408" s="662"/>
      <c r="IM408" s="662"/>
      <c r="IN408" s="662"/>
      <c r="IO408" s="662"/>
      <c r="IP408" s="662"/>
      <c r="IQ408" s="70"/>
    </row>
    <row r="409" spans="18:251" ht="16.5" hidden="1" customHeight="1">
      <c r="R409" s="95"/>
      <c r="S409" s="95"/>
      <c r="T409" s="95"/>
      <c r="U409" s="70"/>
      <c r="V409" s="214"/>
      <c r="W409" s="70"/>
      <c r="X409" s="70"/>
      <c r="Y409" s="70"/>
      <c r="Z409" s="70"/>
      <c r="AA409" s="70"/>
      <c r="AB409" s="70"/>
      <c r="AC409" s="70"/>
      <c r="AD409" s="70"/>
      <c r="AE409" s="70"/>
      <c r="AF409" s="70"/>
      <c r="AG409" s="70"/>
      <c r="AH409" s="70"/>
      <c r="AI409" s="70"/>
      <c r="AJ409" s="70"/>
      <c r="AK409" s="70"/>
      <c r="AL409" s="70"/>
      <c r="AM409" s="70"/>
      <c r="AN409" s="70"/>
      <c r="AO409" s="70"/>
      <c r="AP409" s="70"/>
      <c r="AQ409" s="70"/>
      <c r="AR409" s="70"/>
      <c r="AS409" s="70"/>
      <c r="AT409" s="70"/>
      <c r="AU409" s="70"/>
      <c r="AV409" s="70"/>
      <c r="AW409" s="70"/>
      <c r="AX409" s="70"/>
      <c r="AY409" s="70"/>
      <c r="AZ409" s="70"/>
      <c r="BA409" s="70"/>
      <c r="BB409" s="70"/>
      <c r="BC409" s="70"/>
      <c r="BD409" s="70"/>
      <c r="BE409" s="70"/>
      <c r="BF409" s="70"/>
      <c r="BG409" s="70"/>
      <c r="BH409" s="70"/>
      <c r="BI409" s="70"/>
      <c r="BJ409" s="70"/>
      <c r="BK409" s="70"/>
      <c r="BL409" s="70"/>
      <c r="BM409" s="70"/>
      <c r="BN409" s="70"/>
      <c r="BO409" s="70"/>
      <c r="BP409" s="70"/>
      <c r="BQ409" s="70"/>
      <c r="BR409" s="70"/>
      <c r="BS409" s="70"/>
      <c r="BT409" s="70"/>
      <c r="BU409" s="70"/>
      <c r="BV409" s="70"/>
      <c r="BW409" s="70"/>
      <c r="BX409" s="70"/>
      <c r="BY409" s="70"/>
      <c r="BZ409" s="70"/>
      <c r="CA409" s="70"/>
      <c r="CB409" s="70"/>
      <c r="CC409" s="70"/>
      <c r="CD409" s="70"/>
      <c r="CE409" s="70"/>
      <c r="CF409" s="70"/>
      <c r="CG409" s="70"/>
      <c r="CH409" s="70"/>
      <c r="CI409" s="70"/>
      <c r="CJ409" s="70"/>
      <c r="CK409" s="70"/>
      <c r="CL409" s="70"/>
      <c r="CM409" s="70"/>
      <c r="CN409" s="70"/>
      <c r="CO409" s="70"/>
      <c r="CP409" s="70"/>
      <c r="CQ409" s="70"/>
      <c r="CR409" s="70"/>
      <c r="CS409" s="70"/>
      <c r="CT409" s="70"/>
      <c r="CU409" s="70"/>
      <c r="CV409" s="70"/>
      <c r="CW409" s="70"/>
      <c r="CX409" s="70"/>
      <c r="CY409" s="70"/>
      <c r="CZ409" s="70"/>
      <c r="DA409" s="70"/>
      <c r="DB409" s="70"/>
      <c r="DC409" s="70"/>
      <c r="DD409" s="70"/>
      <c r="DE409" s="70"/>
      <c r="DF409" s="70"/>
      <c r="DG409" s="70"/>
      <c r="DH409" s="70"/>
      <c r="DI409" s="70"/>
      <c r="DJ409" s="70"/>
      <c r="DK409" s="70"/>
      <c r="DL409" s="70"/>
      <c r="DM409" s="70"/>
      <c r="DN409" s="70"/>
      <c r="DO409" s="70"/>
      <c r="DP409" s="70"/>
      <c r="DQ409" s="70"/>
      <c r="DR409" s="70"/>
      <c r="DS409" s="70"/>
      <c r="DT409" s="70"/>
      <c r="DU409" s="70"/>
      <c r="DV409" s="70"/>
      <c r="DW409" s="70"/>
      <c r="DX409" s="70"/>
      <c r="DY409" s="70"/>
      <c r="DZ409" s="70"/>
      <c r="EA409" s="70"/>
      <c r="EB409" s="70"/>
      <c r="EC409" s="70"/>
      <c r="ED409" s="70"/>
      <c r="EE409" s="95"/>
      <c r="EF409" s="651"/>
      <c r="EG409" s="651"/>
      <c r="EH409" s="651"/>
      <c r="EI409" s="216"/>
      <c r="EJ409" s="662"/>
      <c r="EK409" s="662"/>
      <c r="EL409" s="662"/>
      <c r="EM409" s="662"/>
      <c r="EN409" s="662"/>
      <c r="EO409" s="662"/>
      <c r="EP409" s="662"/>
      <c r="EQ409" s="662"/>
      <c r="ER409" s="662"/>
      <c r="ES409" s="662"/>
      <c r="ET409" s="662"/>
      <c r="EU409" s="662"/>
      <c r="EV409" s="662"/>
      <c r="EW409" s="662"/>
      <c r="EX409" s="662"/>
      <c r="EY409" s="662"/>
      <c r="EZ409" s="662"/>
      <c r="FA409" s="662"/>
      <c r="FB409" s="662"/>
      <c r="FC409" s="662"/>
      <c r="FD409" s="662"/>
      <c r="FE409" s="662"/>
      <c r="FF409" s="662"/>
      <c r="FG409" s="662"/>
      <c r="FH409" s="662"/>
      <c r="FI409" s="662"/>
      <c r="FJ409" s="662"/>
      <c r="FK409" s="662"/>
      <c r="FL409" s="662"/>
      <c r="FM409" s="662"/>
      <c r="FN409" s="662"/>
      <c r="FO409" s="662"/>
      <c r="FP409" s="662"/>
      <c r="FQ409" s="662"/>
      <c r="FR409" s="662"/>
      <c r="FS409" s="662"/>
      <c r="FT409" s="662"/>
      <c r="FU409" s="662"/>
      <c r="FV409" s="662"/>
      <c r="FW409" s="662"/>
      <c r="FX409" s="662"/>
      <c r="FY409" s="662"/>
      <c r="FZ409" s="662"/>
      <c r="GA409" s="662"/>
      <c r="GB409" s="662"/>
      <c r="GC409" s="662"/>
      <c r="GD409" s="662"/>
      <c r="GE409" s="662"/>
      <c r="GF409" s="662"/>
      <c r="GG409" s="662"/>
      <c r="GH409" s="662"/>
      <c r="GI409" s="662"/>
      <c r="GJ409" s="662"/>
      <c r="GK409" s="662"/>
      <c r="GL409" s="662"/>
      <c r="GM409" s="662"/>
      <c r="GN409" s="662"/>
      <c r="GO409" s="662"/>
      <c r="GP409" s="662"/>
      <c r="GQ409" s="662"/>
      <c r="GR409" s="662"/>
      <c r="GS409" s="662"/>
      <c r="GT409" s="662"/>
      <c r="GU409" s="662"/>
      <c r="GV409" s="662"/>
      <c r="GW409" s="662"/>
      <c r="GX409" s="662"/>
      <c r="GY409" s="662"/>
      <c r="GZ409" s="662"/>
      <c r="HA409" s="662"/>
      <c r="HB409" s="662"/>
      <c r="HC409" s="662"/>
      <c r="HD409" s="662"/>
      <c r="HE409" s="662"/>
      <c r="HF409" s="662"/>
      <c r="HG409" s="662"/>
      <c r="HH409" s="662"/>
      <c r="HI409" s="662"/>
      <c r="HJ409" s="662"/>
      <c r="HK409" s="662"/>
      <c r="HL409" s="662"/>
      <c r="HM409" s="662"/>
      <c r="HN409" s="662"/>
      <c r="HO409" s="662"/>
      <c r="HP409" s="662"/>
      <c r="HQ409" s="662"/>
      <c r="HR409" s="662"/>
      <c r="HS409" s="662"/>
      <c r="HT409" s="662"/>
      <c r="HU409" s="662"/>
      <c r="HV409" s="662"/>
      <c r="HW409" s="662"/>
      <c r="HX409" s="662"/>
      <c r="HY409" s="662"/>
      <c r="HZ409" s="662"/>
      <c r="IA409" s="662"/>
      <c r="IB409" s="662"/>
      <c r="IC409" s="662"/>
      <c r="ID409" s="662"/>
      <c r="IE409" s="662"/>
      <c r="IF409" s="662"/>
      <c r="IG409" s="662"/>
      <c r="IH409" s="662"/>
      <c r="II409" s="662"/>
      <c r="IJ409" s="662"/>
      <c r="IK409" s="662"/>
      <c r="IL409" s="662"/>
      <c r="IM409" s="662"/>
      <c r="IN409" s="662"/>
      <c r="IO409" s="662"/>
      <c r="IP409" s="662"/>
      <c r="IQ409" s="70"/>
    </row>
    <row r="410" spans="18:251" ht="16.5" hidden="1" customHeight="1">
      <c r="R410" s="95"/>
      <c r="S410" s="95"/>
      <c r="T410" s="95"/>
      <c r="U410" s="70"/>
      <c r="V410" s="214"/>
      <c r="W410" s="70"/>
      <c r="X410" s="70"/>
      <c r="Y410" s="70"/>
      <c r="Z410" s="70"/>
      <c r="AA410" s="70"/>
      <c r="AB410" s="70"/>
      <c r="AC410" s="70"/>
      <c r="AD410" s="70"/>
      <c r="AE410" s="70"/>
      <c r="AF410" s="70"/>
      <c r="AG410" s="70"/>
      <c r="AH410" s="70"/>
      <c r="AI410" s="70"/>
      <c r="AJ410" s="70"/>
      <c r="AK410" s="70"/>
      <c r="AL410" s="70"/>
      <c r="AM410" s="70"/>
      <c r="AN410" s="70"/>
      <c r="AO410" s="70"/>
      <c r="AP410" s="70"/>
      <c r="AQ410" s="70"/>
      <c r="AR410" s="70"/>
      <c r="AS410" s="70"/>
      <c r="AT410" s="70"/>
      <c r="AU410" s="70"/>
      <c r="AV410" s="70"/>
      <c r="AW410" s="70"/>
      <c r="AX410" s="70"/>
      <c r="AY410" s="70"/>
      <c r="AZ410" s="70"/>
      <c r="BA410" s="70"/>
      <c r="BB410" s="70"/>
      <c r="BC410" s="70"/>
      <c r="BD410" s="70"/>
      <c r="BE410" s="70"/>
      <c r="BF410" s="70"/>
      <c r="BG410" s="70"/>
      <c r="BH410" s="70"/>
      <c r="BI410" s="70"/>
      <c r="BJ410" s="70"/>
      <c r="BK410" s="70"/>
      <c r="BL410" s="70"/>
      <c r="BM410" s="70"/>
      <c r="BN410" s="70"/>
      <c r="BO410" s="70"/>
      <c r="BP410" s="70"/>
      <c r="BQ410" s="70"/>
      <c r="BR410" s="70"/>
      <c r="BS410" s="70"/>
      <c r="BT410" s="70"/>
      <c r="BU410" s="70"/>
      <c r="BV410" s="70"/>
      <c r="BW410" s="70"/>
      <c r="BX410" s="70"/>
      <c r="BY410" s="70"/>
      <c r="BZ410" s="70"/>
      <c r="CA410" s="70"/>
      <c r="CB410" s="70"/>
      <c r="CC410" s="70"/>
      <c r="CD410" s="70"/>
      <c r="CE410" s="70"/>
      <c r="CF410" s="70"/>
      <c r="CG410" s="70"/>
      <c r="CH410" s="70"/>
      <c r="CI410" s="70"/>
      <c r="CJ410" s="70"/>
      <c r="CK410" s="70"/>
      <c r="CL410" s="70"/>
      <c r="CM410" s="70"/>
      <c r="CN410" s="70"/>
      <c r="CO410" s="70"/>
      <c r="CP410" s="70"/>
      <c r="CQ410" s="70"/>
      <c r="CR410" s="70"/>
      <c r="CS410" s="70"/>
      <c r="CT410" s="70"/>
      <c r="CU410" s="70"/>
      <c r="CV410" s="70"/>
      <c r="CW410" s="70"/>
      <c r="CX410" s="70"/>
      <c r="CY410" s="70"/>
      <c r="CZ410" s="70"/>
      <c r="DA410" s="70"/>
      <c r="DB410" s="70"/>
      <c r="DC410" s="70"/>
      <c r="DD410" s="70"/>
      <c r="DE410" s="70"/>
      <c r="DF410" s="70"/>
      <c r="DG410" s="70"/>
      <c r="DH410" s="70"/>
      <c r="DI410" s="70"/>
      <c r="DJ410" s="70"/>
      <c r="DK410" s="70"/>
      <c r="DL410" s="70"/>
      <c r="DM410" s="70"/>
      <c r="DN410" s="70"/>
      <c r="DO410" s="70"/>
      <c r="DP410" s="70"/>
      <c r="DQ410" s="70"/>
      <c r="DR410" s="70"/>
      <c r="DS410" s="70"/>
      <c r="DT410" s="70"/>
      <c r="DU410" s="70"/>
      <c r="DV410" s="70"/>
      <c r="DW410" s="70"/>
      <c r="DX410" s="70"/>
      <c r="DY410" s="70"/>
      <c r="DZ410" s="70"/>
      <c r="EA410" s="70"/>
      <c r="EB410" s="70"/>
      <c r="EC410" s="70"/>
      <c r="ED410" s="70"/>
      <c r="EE410" s="95"/>
      <c r="EF410" s="651"/>
      <c r="EG410" s="651"/>
      <c r="EH410" s="651"/>
      <c r="EI410" s="216"/>
      <c r="EJ410" s="662"/>
      <c r="EK410" s="662"/>
      <c r="EL410" s="662"/>
      <c r="EM410" s="662"/>
      <c r="EN410" s="662"/>
      <c r="EO410" s="662"/>
      <c r="EP410" s="662"/>
      <c r="EQ410" s="662"/>
      <c r="ER410" s="662"/>
      <c r="ES410" s="662"/>
      <c r="ET410" s="662"/>
      <c r="EU410" s="662"/>
      <c r="EV410" s="662"/>
      <c r="EW410" s="662"/>
      <c r="EX410" s="662"/>
      <c r="EY410" s="662"/>
      <c r="EZ410" s="662"/>
      <c r="FA410" s="662"/>
      <c r="FB410" s="662"/>
      <c r="FC410" s="662"/>
      <c r="FD410" s="662"/>
      <c r="FE410" s="662"/>
      <c r="FF410" s="662"/>
      <c r="FG410" s="662"/>
      <c r="FH410" s="662"/>
      <c r="FI410" s="662"/>
      <c r="FJ410" s="662"/>
      <c r="FK410" s="662"/>
      <c r="FL410" s="662"/>
      <c r="FM410" s="662"/>
      <c r="FN410" s="662"/>
      <c r="FO410" s="662"/>
      <c r="FP410" s="662"/>
      <c r="FQ410" s="662"/>
      <c r="FR410" s="662"/>
      <c r="FS410" s="662"/>
      <c r="FT410" s="662"/>
      <c r="FU410" s="662"/>
      <c r="FV410" s="662"/>
      <c r="FW410" s="662"/>
      <c r="FX410" s="662"/>
      <c r="FY410" s="662"/>
      <c r="FZ410" s="662"/>
      <c r="GA410" s="662"/>
      <c r="GB410" s="662"/>
      <c r="GC410" s="662"/>
      <c r="GD410" s="662"/>
      <c r="GE410" s="662"/>
      <c r="GF410" s="662"/>
      <c r="GG410" s="662"/>
      <c r="GH410" s="662"/>
      <c r="GI410" s="662"/>
      <c r="GJ410" s="662"/>
      <c r="GK410" s="662"/>
      <c r="GL410" s="662"/>
      <c r="GM410" s="662"/>
      <c r="GN410" s="662"/>
      <c r="GO410" s="662"/>
      <c r="GP410" s="662"/>
      <c r="GQ410" s="662"/>
      <c r="GR410" s="662"/>
      <c r="GS410" s="662"/>
      <c r="GT410" s="662"/>
      <c r="GU410" s="662"/>
      <c r="GV410" s="662"/>
      <c r="GW410" s="662"/>
      <c r="GX410" s="662"/>
      <c r="GY410" s="662"/>
      <c r="GZ410" s="662"/>
      <c r="HA410" s="662"/>
      <c r="HB410" s="662"/>
      <c r="HC410" s="662"/>
      <c r="HD410" s="662"/>
      <c r="HE410" s="662"/>
      <c r="HF410" s="662"/>
      <c r="HG410" s="662"/>
      <c r="HH410" s="662"/>
      <c r="HI410" s="662"/>
      <c r="HJ410" s="662"/>
      <c r="HK410" s="662"/>
      <c r="HL410" s="662"/>
      <c r="HM410" s="662"/>
      <c r="HN410" s="662"/>
      <c r="HO410" s="662"/>
      <c r="HP410" s="662"/>
      <c r="HQ410" s="662"/>
      <c r="HR410" s="662"/>
      <c r="HS410" s="662"/>
      <c r="HT410" s="662"/>
      <c r="HU410" s="662"/>
      <c r="HV410" s="662"/>
      <c r="HW410" s="662"/>
      <c r="HX410" s="662"/>
      <c r="HY410" s="662"/>
      <c r="HZ410" s="662"/>
      <c r="IA410" s="662"/>
      <c r="IB410" s="662"/>
      <c r="IC410" s="662"/>
      <c r="ID410" s="662"/>
      <c r="IE410" s="662"/>
      <c r="IF410" s="662"/>
      <c r="IG410" s="662"/>
      <c r="IH410" s="662"/>
      <c r="II410" s="662"/>
      <c r="IJ410" s="662"/>
      <c r="IK410" s="662"/>
      <c r="IL410" s="662"/>
      <c r="IM410" s="662"/>
      <c r="IN410" s="662"/>
      <c r="IO410" s="662"/>
      <c r="IP410" s="662"/>
      <c r="IQ410" s="70"/>
    </row>
    <row r="411" spans="18:251" ht="16.5" hidden="1" customHeight="1">
      <c r="R411" s="95"/>
      <c r="S411" s="95"/>
      <c r="T411" s="95"/>
      <c r="U411" s="70"/>
      <c r="V411" s="214"/>
      <c r="W411" s="70"/>
      <c r="X411" s="70"/>
      <c r="Y411" s="70"/>
      <c r="Z411" s="70"/>
      <c r="AA411" s="70"/>
      <c r="AB411" s="70"/>
      <c r="AC411" s="70"/>
      <c r="AD411" s="70"/>
      <c r="AE411" s="70"/>
      <c r="AF411" s="70"/>
      <c r="AG411" s="70"/>
      <c r="AH411" s="70"/>
      <c r="AI411" s="70"/>
      <c r="AJ411" s="70"/>
      <c r="AK411" s="70"/>
      <c r="AL411" s="70"/>
      <c r="AM411" s="70"/>
      <c r="AN411" s="70"/>
      <c r="AO411" s="70"/>
      <c r="AP411" s="70"/>
      <c r="AQ411" s="70"/>
      <c r="AR411" s="70"/>
      <c r="AS411" s="70"/>
      <c r="AT411" s="70"/>
      <c r="AU411" s="70"/>
      <c r="AV411" s="70"/>
      <c r="AW411" s="70"/>
      <c r="AX411" s="70"/>
      <c r="AY411" s="70"/>
      <c r="AZ411" s="70"/>
      <c r="BA411" s="70"/>
      <c r="BB411" s="70"/>
      <c r="BC411" s="70"/>
      <c r="BD411" s="70"/>
      <c r="BE411" s="70"/>
      <c r="BF411" s="70"/>
      <c r="BG411" s="70"/>
      <c r="BH411" s="70"/>
      <c r="BI411" s="70"/>
      <c r="BJ411" s="70"/>
      <c r="BK411" s="70"/>
      <c r="BL411" s="70"/>
      <c r="BM411" s="70"/>
      <c r="BN411" s="70"/>
      <c r="BO411" s="70"/>
      <c r="BP411" s="70"/>
      <c r="BQ411" s="70"/>
      <c r="BR411" s="70"/>
      <c r="BS411" s="70"/>
      <c r="BT411" s="70"/>
      <c r="BU411" s="70"/>
      <c r="BV411" s="70"/>
      <c r="BW411" s="70"/>
      <c r="BX411" s="70"/>
      <c r="BY411" s="70"/>
      <c r="BZ411" s="70"/>
      <c r="CA411" s="70"/>
      <c r="CB411" s="70"/>
      <c r="CC411" s="70"/>
      <c r="CD411" s="70"/>
      <c r="CE411" s="70"/>
      <c r="CF411" s="70"/>
      <c r="CG411" s="70"/>
      <c r="CH411" s="70"/>
      <c r="CI411" s="70"/>
      <c r="CJ411" s="70"/>
      <c r="CK411" s="70"/>
      <c r="CL411" s="70"/>
      <c r="CM411" s="70"/>
      <c r="CN411" s="70"/>
      <c r="CO411" s="70"/>
      <c r="CP411" s="70"/>
      <c r="CQ411" s="70"/>
      <c r="CR411" s="70"/>
      <c r="CS411" s="70"/>
      <c r="CT411" s="70"/>
      <c r="CU411" s="70"/>
      <c r="CV411" s="70"/>
      <c r="CW411" s="70"/>
      <c r="CX411" s="70"/>
      <c r="CY411" s="70"/>
      <c r="CZ411" s="70"/>
      <c r="DA411" s="70"/>
      <c r="DB411" s="70"/>
      <c r="DC411" s="70"/>
      <c r="DD411" s="70"/>
      <c r="DE411" s="70"/>
      <c r="DF411" s="70"/>
      <c r="DG411" s="70"/>
      <c r="DH411" s="70"/>
      <c r="DI411" s="70"/>
      <c r="DJ411" s="70"/>
      <c r="DK411" s="70"/>
      <c r="DL411" s="70"/>
      <c r="DM411" s="70"/>
      <c r="DN411" s="70"/>
      <c r="DO411" s="70"/>
      <c r="DP411" s="70"/>
      <c r="DQ411" s="70"/>
      <c r="DR411" s="70"/>
      <c r="DS411" s="70"/>
      <c r="DT411" s="70"/>
      <c r="DU411" s="70"/>
      <c r="DV411" s="70"/>
      <c r="DW411" s="70"/>
      <c r="DX411" s="70"/>
      <c r="DY411" s="70"/>
      <c r="DZ411" s="70"/>
      <c r="EA411" s="70"/>
      <c r="EB411" s="70"/>
      <c r="EC411" s="70"/>
      <c r="ED411" s="70"/>
      <c r="EE411" s="95"/>
      <c r="EF411" s="651"/>
      <c r="EG411" s="651"/>
      <c r="EH411" s="651"/>
      <c r="EI411" s="216"/>
      <c r="EJ411" s="662"/>
      <c r="EK411" s="662"/>
      <c r="EL411" s="662"/>
      <c r="EM411" s="662"/>
      <c r="EN411" s="662"/>
      <c r="EO411" s="662"/>
      <c r="EP411" s="662"/>
      <c r="EQ411" s="662"/>
      <c r="ER411" s="662"/>
      <c r="ES411" s="662"/>
      <c r="ET411" s="662"/>
      <c r="EU411" s="662"/>
      <c r="EV411" s="662"/>
      <c r="EW411" s="662"/>
      <c r="EX411" s="662"/>
      <c r="EY411" s="662"/>
      <c r="EZ411" s="662"/>
      <c r="FA411" s="662"/>
      <c r="FB411" s="662"/>
      <c r="FC411" s="662"/>
      <c r="FD411" s="662"/>
      <c r="FE411" s="662"/>
      <c r="FF411" s="662"/>
      <c r="FG411" s="662"/>
      <c r="FH411" s="662"/>
      <c r="FI411" s="662"/>
      <c r="FJ411" s="662"/>
      <c r="FK411" s="662"/>
      <c r="FL411" s="662"/>
      <c r="FM411" s="662"/>
      <c r="FN411" s="662"/>
      <c r="FO411" s="662"/>
      <c r="FP411" s="662"/>
      <c r="FQ411" s="662"/>
      <c r="FR411" s="662"/>
      <c r="FS411" s="662"/>
      <c r="FT411" s="662"/>
      <c r="FU411" s="662"/>
      <c r="FV411" s="662"/>
      <c r="FW411" s="662"/>
      <c r="FX411" s="662"/>
      <c r="FY411" s="662"/>
      <c r="FZ411" s="662"/>
      <c r="GA411" s="662"/>
      <c r="GB411" s="662"/>
      <c r="GC411" s="662"/>
      <c r="GD411" s="662"/>
      <c r="GE411" s="662"/>
      <c r="GF411" s="662"/>
      <c r="GG411" s="662"/>
      <c r="GH411" s="662"/>
      <c r="GI411" s="662"/>
      <c r="GJ411" s="662"/>
      <c r="GK411" s="662"/>
      <c r="GL411" s="662"/>
      <c r="GM411" s="662"/>
      <c r="GN411" s="662"/>
      <c r="GO411" s="662"/>
      <c r="GP411" s="662"/>
      <c r="GQ411" s="662"/>
      <c r="GR411" s="662"/>
      <c r="GS411" s="662"/>
      <c r="GT411" s="662"/>
      <c r="GU411" s="662"/>
      <c r="GV411" s="662"/>
      <c r="GW411" s="662"/>
      <c r="GX411" s="662"/>
      <c r="GY411" s="662"/>
      <c r="GZ411" s="662"/>
      <c r="HA411" s="662"/>
      <c r="HB411" s="662"/>
      <c r="HC411" s="662"/>
      <c r="HD411" s="662"/>
      <c r="HE411" s="662"/>
      <c r="HF411" s="662"/>
      <c r="HG411" s="662"/>
      <c r="HH411" s="662"/>
      <c r="HI411" s="662"/>
      <c r="HJ411" s="662"/>
      <c r="HK411" s="662"/>
      <c r="HL411" s="662"/>
      <c r="HM411" s="662"/>
      <c r="HN411" s="662"/>
      <c r="HO411" s="662"/>
      <c r="HP411" s="662"/>
      <c r="HQ411" s="662"/>
      <c r="HR411" s="662"/>
      <c r="HS411" s="662"/>
      <c r="HT411" s="662"/>
      <c r="HU411" s="662"/>
      <c r="HV411" s="662"/>
      <c r="HW411" s="662"/>
      <c r="HX411" s="662"/>
      <c r="HY411" s="662"/>
      <c r="HZ411" s="662"/>
      <c r="IA411" s="662"/>
      <c r="IB411" s="662"/>
      <c r="IC411" s="662"/>
      <c r="ID411" s="662"/>
      <c r="IE411" s="662"/>
      <c r="IF411" s="662"/>
      <c r="IG411" s="662"/>
      <c r="IH411" s="662"/>
      <c r="II411" s="662"/>
      <c r="IJ411" s="662"/>
      <c r="IK411" s="662"/>
      <c r="IL411" s="662"/>
      <c r="IM411" s="662"/>
      <c r="IN411" s="662"/>
      <c r="IO411" s="662"/>
      <c r="IP411" s="662"/>
      <c r="IQ411" s="70"/>
    </row>
    <row r="412" spans="18:251" ht="16.5" hidden="1" customHeight="1">
      <c r="R412" s="95"/>
      <c r="S412" s="95"/>
      <c r="T412" s="95"/>
      <c r="U412" s="70"/>
      <c r="V412" s="214"/>
      <c r="W412" s="70"/>
      <c r="X412" s="70"/>
      <c r="Y412" s="70"/>
      <c r="Z412" s="70"/>
      <c r="AA412" s="70"/>
      <c r="AB412" s="70"/>
      <c r="AC412" s="70"/>
      <c r="AD412" s="70"/>
      <c r="AE412" s="70"/>
      <c r="AF412" s="70"/>
      <c r="AG412" s="70"/>
      <c r="AH412" s="70"/>
      <c r="AI412" s="70"/>
      <c r="AJ412" s="70"/>
      <c r="AK412" s="70"/>
      <c r="AL412" s="70"/>
      <c r="AM412" s="70"/>
      <c r="AN412" s="70"/>
      <c r="AO412" s="70"/>
      <c r="AP412" s="70"/>
      <c r="AQ412" s="70"/>
      <c r="AR412" s="70"/>
      <c r="AS412" s="70"/>
      <c r="AT412" s="70"/>
      <c r="AU412" s="70"/>
      <c r="AV412" s="70"/>
      <c r="AW412" s="70"/>
      <c r="AX412" s="70"/>
      <c r="AY412" s="70"/>
      <c r="AZ412" s="70"/>
      <c r="BA412" s="70"/>
      <c r="BB412" s="70"/>
      <c r="BC412" s="70"/>
      <c r="BD412" s="70"/>
      <c r="BE412" s="70"/>
      <c r="BF412" s="70"/>
      <c r="BG412" s="70"/>
      <c r="BH412" s="70"/>
      <c r="BI412" s="70"/>
      <c r="BJ412" s="70"/>
      <c r="BK412" s="70"/>
      <c r="BL412" s="70"/>
      <c r="BM412" s="70"/>
      <c r="BN412" s="70"/>
      <c r="BO412" s="70"/>
      <c r="BP412" s="70"/>
      <c r="BQ412" s="70"/>
      <c r="BR412" s="70"/>
      <c r="BS412" s="70"/>
      <c r="BT412" s="70"/>
      <c r="BU412" s="70"/>
      <c r="BV412" s="70"/>
      <c r="BW412" s="70"/>
      <c r="BX412" s="70"/>
      <c r="BY412" s="70"/>
      <c r="BZ412" s="70"/>
      <c r="CA412" s="70"/>
      <c r="CB412" s="70"/>
      <c r="CC412" s="70"/>
      <c r="CD412" s="70"/>
      <c r="CE412" s="70"/>
      <c r="CF412" s="70"/>
      <c r="CG412" s="70"/>
      <c r="CH412" s="70"/>
      <c r="CI412" s="70"/>
      <c r="CJ412" s="70"/>
      <c r="CK412" s="70"/>
      <c r="CL412" s="70"/>
      <c r="CM412" s="70"/>
      <c r="CN412" s="70"/>
      <c r="CO412" s="70"/>
      <c r="CP412" s="70"/>
      <c r="CQ412" s="70"/>
      <c r="CR412" s="70"/>
      <c r="CS412" s="70"/>
      <c r="CT412" s="70"/>
      <c r="CU412" s="70"/>
      <c r="CV412" s="70"/>
      <c r="CW412" s="70"/>
      <c r="CX412" s="70"/>
      <c r="CY412" s="70"/>
      <c r="CZ412" s="70"/>
      <c r="DA412" s="70"/>
      <c r="DB412" s="70"/>
      <c r="DC412" s="70"/>
      <c r="DD412" s="70"/>
      <c r="DE412" s="70"/>
      <c r="DF412" s="70"/>
      <c r="DG412" s="70"/>
      <c r="DH412" s="70"/>
      <c r="DI412" s="70"/>
      <c r="DJ412" s="70"/>
      <c r="DK412" s="70"/>
      <c r="DL412" s="70"/>
      <c r="DM412" s="70"/>
      <c r="DN412" s="70"/>
      <c r="DO412" s="70"/>
      <c r="DP412" s="70"/>
      <c r="DQ412" s="70"/>
      <c r="DR412" s="70"/>
      <c r="DS412" s="70"/>
      <c r="DT412" s="70"/>
      <c r="DU412" s="70"/>
      <c r="DV412" s="70"/>
      <c r="DW412" s="70"/>
      <c r="DX412" s="70"/>
      <c r="DY412" s="70"/>
      <c r="DZ412" s="70"/>
      <c r="EA412" s="70"/>
      <c r="EB412" s="70"/>
      <c r="EC412" s="70"/>
      <c r="ED412" s="70"/>
      <c r="EE412" s="95"/>
      <c r="EF412" s="651"/>
      <c r="EG412" s="651"/>
      <c r="EH412" s="651"/>
      <c r="EI412" s="216"/>
      <c r="EJ412" s="662"/>
      <c r="EK412" s="662"/>
      <c r="EL412" s="662"/>
      <c r="EM412" s="662"/>
      <c r="EN412" s="662"/>
      <c r="EO412" s="662"/>
      <c r="EP412" s="662"/>
      <c r="EQ412" s="662"/>
      <c r="ER412" s="662"/>
      <c r="ES412" s="662"/>
      <c r="ET412" s="662"/>
      <c r="EU412" s="662"/>
      <c r="EV412" s="662"/>
      <c r="EW412" s="662"/>
      <c r="EX412" s="662"/>
      <c r="EY412" s="662"/>
      <c r="EZ412" s="662"/>
      <c r="FA412" s="662"/>
      <c r="FB412" s="662"/>
      <c r="FC412" s="662"/>
      <c r="FD412" s="662"/>
      <c r="FE412" s="662"/>
      <c r="FF412" s="662"/>
      <c r="FG412" s="662"/>
      <c r="FH412" s="662"/>
      <c r="FI412" s="662"/>
      <c r="FJ412" s="662"/>
      <c r="FK412" s="662"/>
      <c r="FL412" s="662"/>
      <c r="FM412" s="662"/>
      <c r="FN412" s="662"/>
      <c r="FO412" s="662"/>
      <c r="FP412" s="662"/>
      <c r="FQ412" s="662"/>
      <c r="FR412" s="662"/>
      <c r="FS412" s="662"/>
      <c r="FT412" s="662"/>
      <c r="FU412" s="662"/>
      <c r="FV412" s="662"/>
      <c r="FW412" s="662"/>
      <c r="FX412" s="662"/>
      <c r="FY412" s="662"/>
      <c r="FZ412" s="662"/>
      <c r="GA412" s="662"/>
      <c r="GB412" s="662"/>
      <c r="GC412" s="662"/>
      <c r="GD412" s="662"/>
      <c r="GE412" s="662"/>
      <c r="GF412" s="662"/>
      <c r="GG412" s="662"/>
      <c r="GH412" s="662"/>
      <c r="GI412" s="662"/>
      <c r="GJ412" s="662"/>
      <c r="GK412" s="662"/>
      <c r="GL412" s="662"/>
      <c r="GM412" s="662"/>
      <c r="GN412" s="662"/>
      <c r="GO412" s="662"/>
      <c r="GP412" s="662"/>
      <c r="GQ412" s="662"/>
      <c r="GR412" s="662"/>
      <c r="GS412" s="662"/>
      <c r="GT412" s="662"/>
      <c r="GU412" s="662"/>
      <c r="GV412" s="662"/>
      <c r="GW412" s="662"/>
      <c r="GX412" s="662"/>
      <c r="GY412" s="662"/>
      <c r="GZ412" s="662"/>
      <c r="HA412" s="662"/>
      <c r="HB412" s="662"/>
      <c r="HC412" s="662"/>
      <c r="HD412" s="662"/>
      <c r="HE412" s="662"/>
      <c r="HF412" s="662"/>
      <c r="HG412" s="662"/>
      <c r="HH412" s="662"/>
      <c r="HI412" s="662"/>
      <c r="HJ412" s="662"/>
      <c r="HK412" s="662"/>
      <c r="HL412" s="662"/>
      <c r="HM412" s="662"/>
      <c r="HN412" s="662"/>
      <c r="HO412" s="662"/>
      <c r="HP412" s="662"/>
      <c r="HQ412" s="662"/>
      <c r="HR412" s="662"/>
      <c r="HS412" s="662"/>
      <c r="HT412" s="662"/>
      <c r="HU412" s="662"/>
      <c r="HV412" s="662"/>
      <c r="HW412" s="662"/>
      <c r="HX412" s="662"/>
      <c r="HY412" s="662"/>
      <c r="HZ412" s="662"/>
      <c r="IA412" s="662"/>
      <c r="IB412" s="662"/>
      <c r="IC412" s="662"/>
      <c r="ID412" s="662"/>
      <c r="IE412" s="662"/>
      <c r="IF412" s="662"/>
      <c r="IG412" s="662"/>
      <c r="IH412" s="662"/>
      <c r="II412" s="662"/>
      <c r="IJ412" s="662"/>
      <c r="IK412" s="662"/>
      <c r="IL412" s="662"/>
      <c r="IM412" s="662"/>
      <c r="IN412" s="662"/>
      <c r="IO412" s="662"/>
      <c r="IP412" s="662"/>
      <c r="IQ412" s="70"/>
    </row>
    <row r="413" spans="18:251" ht="16.5" hidden="1" customHeight="1">
      <c r="R413" s="95"/>
      <c r="S413" s="95"/>
      <c r="T413" s="95"/>
      <c r="U413" s="70"/>
      <c r="V413" s="214"/>
      <c r="W413" s="70"/>
      <c r="X413" s="70"/>
      <c r="Y413" s="70"/>
      <c r="Z413" s="70"/>
      <c r="AA413" s="70"/>
      <c r="AB413" s="70"/>
      <c r="AC413" s="70"/>
      <c r="AD413" s="70"/>
      <c r="AE413" s="70"/>
      <c r="AF413" s="70"/>
      <c r="AG413" s="70"/>
      <c r="AH413" s="70"/>
      <c r="AI413" s="70"/>
      <c r="AJ413" s="70"/>
      <c r="AK413" s="70"/>
      <c r="AL413" s="70"/>
      <c r="AM413" s="70"/>
      <c r="AN413" s="70"/>
      <c r="AO413" s="70"/>
      <c r="AP413" s="70"/>
      <c r="AQ413" s="70"/>
      <c r="AR413" s="70"/>
      <c r="AS413" s="70"/>
      <c r="AT413" s="70"/>
      <c r="AU413" s="70"/>
      <c r="AV413" s="70"/>
      <c r="AW413" s="70"/>
      <c r="AX413" s="70"/>
      <c r="AY413" s="70"/>
      <c r="AZ413" s="70"/>
      <c r="BA413" s="70"/>
      <c r="BB413" s="70"/>
      <c r="BC413" s="70"/>
      <c r="BD413" s="70"/>
      <c r="BE413" s="70"/>
      <c r="BF413" s="70"/>
      <c r="BG413" s="70"/>
      <c r="BH413" s="70"/>
      <c r="BI413" s="70"/>
      <c r="BJ413" s="70"/>
      <c r="BK413" s="70"/>
      <c r="BL413" s="70"/>
      <c r="BM413" s="70"/>
      <c r="BN413" s="70"/>
      <c r="BO413" s="70"/>
      <c r="BP413" s="70"/>
      <c r="BQ413" s="70"/>
      <c r="BR413" s="70"/>
      <c r="BS413" s="70"/>
      <c r="BT413" s="70"/>
      <c r="BU413" s="70"/>
      <c r="BV413" s="70"/>
      <c r="BW413" s="70"/>
      <c r="BX413" s="70"/>
      <c r="BY413" s="70"/>
      <c r="BZ413" s="70"/>
      <c r="CA413" s="70"/>
      <c r="CB413" s="70"/>
      <c r="CC413" s="70"/>
      <c r="CD413" s="70"/>
      <c r="CE413" s="70"/>
      <c r="CF413" s="70"/>
      <c r="CG413" s="70"/>
      <c r="CH413" s="70"/>
      <c r="CI413" s="70"/>
      <c r="CJ413" s="70"/>
      <c r="CK413" s="70"/>
      <c r="CL413" s="70"/>
      <c r="CM413" s="70"/>
      <c r="CN413" s="70"/>
      <c r="CO413" s="70"/>
      <c r="CP413" s="70"/>
      <c r="CQ413" s="70"/>
      <c r="CR413" s="70"/>
      <c r="CS413" s="70"/>
      <c r="CT413" s="70"/>
      <c r="CU413" s="70"/>
      <c r="CV413" s="70"/>
      <c r="CW413" s="70"/>
      <c r="CX413" s="70"/>
      <c r="CY413" s="70"/>
      <c r="CZ413" s="70"/>
      <c r="DA413" s="70"/>
      <c r="DB413" s="70"/>
      <c r="DC413" s="70"/>
      <c r="DD413" s="70"/>
      <c r="DE413" s="70"/>
      <c r="DF413" s="70"/>
      <c r="DG413" s="70"/>
      <c r="DH413" s="70"/>
      <c r="DI413" s="70"/>
      <c r="DJ413" s="70"/>
      <c r="DK413" s="70"/>
      <c r="DL413" s="70"/>
      <c r="DM413" s="70"/>
      <c r="DN413" s="70"/>
      <c r="DO413" s="70"/>
      <c r="DP413" s="70"/>
      <c r="DQ413" s="70"/>
      <c r="DR413" s="70"/>
      <c r="DS413" s="70"/>
      <c r="DT413" s="70"/>
      <c r="DU413" s="70"/>
      <c r="DV413" s="70"/>
      <c r="DW413" s="70"/>
      <c r="DX413" s="70"/>
      <c r="DY413" s="70"/>
      <c r="DZ413" s="70"/>
      <c r="EA413" s="70"/>
      <c r="EB413" s="70"/>
      <c r="EC413" s="70"/>
      <c r="ED413" s="70"/>
      <c r="EE413" s="95"/>
      <c r="EF413" s="651"/>
      <c r="EG413" s="651"/>
      <c r="EH413" s="651"/>
      <c r="EI413" s="216"/>
      <c r="EJ413" s="662"/>
      <c r="EK413" s="662"/>
      <c r="EL413" s="662"/>
      <c r="EM413" s="662"/>
      <c r="EN413" s="662"/>
      <c r="EO413" s="662"/>
      <c r="EP413" s="662"/>
      <c r="EQ413" s="662"/>
      <c r="ER413" s="662"/>
      <c r="ES413" s="662"/>
      <c r="ET413" s="662"/>
      <c r="EU413" s="662"/>
      <c r="EV413" s="662"/>
      <c r="EW413" s="662"/>
      <c r="EX413" s="662"/>
      <c r="EY413" s="662"/>
      <c r="EZ413" s="662"/>
      <c r="FA413" s="662"/>
      <c r="FB413" s="662"/>
      <c r="FC413" s="662"/>
      <c r="FD413" s="662"/>
      <c r="FE413" s="662"/>
      <c r="FF413" s="662"/>
      <c r="FG413" s="662"/>
      <c r="FH413" s="662"/>
      <c r="FI413" s="662"/>
      <c r="FJ413" s="662"/>
      <c r="FK413" s="662"/>
      <c r="FL413" s="662"/>
      <c r="FM413" s="662"/>
      <c r="FN413" s="662"/>
      <c r="FO413" s="662"/>
      <c r="FP413" s="662"/>
      <c r="FQ413" s="662"/>
      <c r="FR413" s="662"/>
      <c r="FS413" s="662"/>
      <c r="FT413" s="662"/>
      <c r="FU413" s="662"/>
      <c r="FV413" s="662"/>
      <c r="FW413" s="662"/>
      <c r="FX413" s="662"/>
      <c r="FY413" s="662"/>
      <c r="FZ413" s="662"/>
      <c r="GA413" s="662"/>
      <c r="GB413" s="662"/>
      <c r="GC413" s="662"/>
      <c r="GD413" s="662"/>
      <c r="GE413" s="662"/>
      <c r="GF413" s="662"/>
      <c r="GG413" s="662"/>
      <c r="GH413" s="662"/>
      <c r="GI413" s="662"/>
      <c r="GJ413" s="662"/>
      <c r="GK413" s="662"/>
      <c r="GL413" s="662"/>
      <c r="GM413" s="662"/>
      <c r="GN413" s="662"/>
      <c r="GO413" s="662"/>
      <c r="GP413" s="662"/>
      <c r="GQ413" s="662"/>
      <c r="GR413" s="662"/>
      <c r="GS413" s="662"/>
      <c r="GT413" s="662"/>
      <c r="GU413" s="662"/>
      <c r="GV413" s="662"/>
      <c r="GW413" s="662"/>
      <c r="GX413" s="662"/>
      <c r="GY413" s="662"/>
      <c r="GZ413" s="662"/>
      <c r="HA413" s="662"/>
      <c r="HB413" s="662"/>
      <c r="HC413" s="662"/>
      <c r="HD413" s="662"/>
      <c r="HE413" s="662"/>
      <c r="HF413" s="662"/>
      <c r="HG413" s="662"/>
      <c r="HH413" s="662"/>
      <c r="HI413" s="662"/>
      <c r="HJ413" s="662"/>
      <c r="HK413" s="662"/>
      <c r="HL413" s="662"/>
      <c r="HM413" s="662"/>
      <c r="HN413" s="662"/>
      <c r="HO413" s="662"/>
      <c r="HP413" s="662"/>
      <c r="HQ413" s="662"/>
      <c r="HR413" s="662"/>
      <c r="HS413" s="662"/>
      <c r="HT413" s="662"/>
      <c r="HU413" s="662"/>
      <c r="HV413" s="662"/>
      <c r="HW413" s="662"/>
      <c r="HX413" s="662"/>
      <c r="HY413" s="662"/>
      <c r="HZ413" s="662"/>
      <c r="IA413" s="662"/>
      <c r="IB413" s="662"/>
      <c r="IC413" s="662"/>
      <c r="ID413" s="662"/>
      <c r="IE413" s="662"/>
      <c r="IF413" s="662"/>
      <c r="IG413" s="662"/>
      <c r="IH413" s="662"/>
      <c r="II413" s="662"/>
      <c r="IJ413" s="662"/>
      <c r="IK413" s="662"/>
      <c r="IL413" s="662"/>
      <c r="IM413" s="662"/>
      <c r="IN413" s="662"/>
      <c r="IO413" s="662"/>
      <c r="IP413" s="662"/>
      <c r="IQ413" s="70"/>
    </row>
    <row r="414" spans="18:251" ht="16.5" hidden="1" customHeight="1">
      <c r="R414" s="648"/>
      <c r="S414" s="648"/>
      <c r="T414" s="648"/>
      <c r="U414" s="653"/>
      <c r="V414" s="649"/>
      <c r="W414" s="653"/>
      <c r="X414" s="653"/>
      <c r="Y414" s="653"/>
      <c r="Z414" s="653"/>
      <c r="AA414" s="653"/>
      <c r="AB414" s="653"/>
      <c r="AC414" s="653"/>
      <c r="AD414" s="653"/>
      <c r="AE414" s="653"/>
      <c r="AF414" s="653"/>
      <c r="AG414" s="653"/>
      <c r="AH414" s="653"/>
      <c r="AI414" s="653"/>
      <c r="AJ414" s="653"/>
      <c r="AK414" s="653"/>
      <c r="AL414" s="653"/>
      <c r="AM414" s="653"/>
      <c r="AN414" s="653"/>
      <c r="AO414" s="653"/>
      <c r="AP414" s="653"/>
      <c r="AQ414" s="653"/>
      <c r="AR414" s="653"/>
      <c r="AS414" s="653"/>
      <c r="AT414" s="653"/>
      <c r="AU414" s="653"/>
      <c r="AV414" s="653"/>
      <c r="AW414" s="653"/>
      <c r="AX414" s="653"/>
      <c r="AY414" s="653"/>
      <c r="AZ414" s="653"/>
      <c r="BA414" s="653"/>
      <c r="BB414" s="653"/>
      <c r="BC414" s="653"/>
      <c r="BD414" s="653"/>
      <c r="BE414" s="653"/>
      <c r="BF414" s="653"/>
      <c r="BG414" s="653"/>
      <c r="BH414" s="653"/>
      <c r="BI414" s="653"/>
      <c r="BJ414" s="653"/>
      <c r="BK414" s="653"/>
      <c r="BL414" s="653"/>
      <c r="BM414" s="653"/>
      <c r="BN414" s="653"/>
      <c r="BO414" s="653"/>
      <c r="BP414" s="653"/>
      <c r="BQ414" s="653"/>
      <c r="BR414" s="653"/>
      <c r="BS414" s="653"/>
      <c r="BT414" s="653"/>
      <c r="BU414" s="653"/>
      <c r="BV414" s="653"/>
      <c r="BW414" s="653"/>
      <c r="BX414" s="653"/>
      <c r="BY414" s="653"/>
      <c r="BZ414" s="653"/>
      <c r="CA414" s="653"/>
      <c r="CB414" s="653"/>
      <c r="CC414" s="653"/>
      <c r="CD414" s="653"/>
      <c r="CE414" s="653"/>
      <c r="CF414" s="653"/>
      <c r="CG414" s="653"/>
      <c r="CH414" s="653"/>
      <c r="CI414" s="653"/>
      <c r="CJ414" s="653"/>
      <c r="CK414" s="653"/>
      <c r="CL414" s="653"/>
      <c r="CM414" s="653"/>
      <c r="CN414" s="653"/>
      <c r="CO414" s="653"/>
      <c r="CP414" s="653"/>
      <c r="CQ414" s="653"/>
      <c r="CR414" s="653"/>
      <c r="CS414" s="653"/>
      <c r="CT414" s="653"/>
      <c r="CU414" s="653"/>
      <c r="CV414" s="653"/>
      <c r="CW414" s="653"/>
      <c r="CX414" s="653"/>
      <c r="CY414" s="653"/>
      <c r="CZ414" s="653"/>
      <c r="DA414" s="653"/>
      <c r="DB414" s="653"/>
      <c r="DC414" s="653"/>
      <c r="DD414" s="653"/>
      <c r="DE414" s="653"/>
      <c r="DF414" s="653"/>
      <c r="DG414" s="653"/>
      <c r="DH414" s="653"/>
      <c r="DI414" s="653"/>
      <c r="DJ414" s="653"/>
      <c r="DK414" s="653"/>
      <c r="DL414" s="653"/>
      <c r="DM414" s="653"/>
      <c r="DN414" s="653"/>
      <c r="DO414" s="653"/>
      <c r="DP414" s="653"/>
      <c r="DQ414" s="653"/>
      <c r="DR414" s="653"/>
      <c r="DS414" s="653"/>
      <c r="DT414" s="653"/>
      <c r="DU414" s="653"/>
      <c r="DV414" s="653"/>
      <c r="DW414" s="653"/>
      <c r="DX414" s="653"/>
      <c r="DY414" s="653"/>
      <c r="DZ414" s="653"/>
      <c r="EA414" s="653"/>
      <c r="EB414" s="653"/>
      <c r="EC414" s="653"/>
      <c r="ED414" s="653"/>
      <c r="EE414" s="648"/>
      <c r="EF414" s="651"/>
      <c r="EG414" s="651"/>
      <c r="EH414" s="651"/>
      <c r="EI414" s="216"/>
      <c r="EJ414" s="662"/>
      <c r="EK414" s="662"/>
      <c r="EL414" s="662"/>
      <c r="EM414" s="662"/>
      <c r="EN414" s="662"/>
      <c r="EO414" s="662"/>
      <c r="EP414" s="662"/>
      <c r="EQ414" s="662"/>
      <c r="ER414" s="662"/>
      <c r="ES414" s="662"/>
      <c r="ET414" s="662"/>
      <c r="EU414" s="662"/>
      <c r="EV414" s="662"/>
      <c r="EW414" s="662"/>
      <c r="EX414" s="662"/>
      <c r="EY414" s="662"/>
      <c r="EZ414" s="662"/>
      <c r="FA414" s="662"/>
      <c r="FB414" s="662"/>
      <c r="FC414" s="662"/>
      <c r="FD414" s="662"/>
      <c r="FE414" s="662"/>
      <c r="FF414" s="662"/>
      <c r="FG414" s="662"/>
      <c r="FH414" s="662"/>
      <c r="FI414" s="662"/>
      <c r="FJ414" s="662"/>
      <c r="FK414" s="662"/>
      <c r="FL414" s="662"/>
      <c r="FM414" s="662"/>
      <c r="FN414" s="662"/>
      <c r="FO414" s="662"/>
      <c r="FP414" s="662"/>
      <c r="FQ414" s="662"/>
      <c r="FR414" s="662"/>
      <c r="FS414" s="662"/>
      <c r="FT414" s="662"/>
      <c r="FU414" s="662"/>
      <c r="FV414" s="662"/>
      <c r="FW414" s="662"/>
      <c r="FX414" s="662"/>
      <c r="FY414" s="662"/>
      <c r="FZ414" s="662"/>
      <c r="GA414" s="662"/>
      <c r="GB414" s="662"/>
      <c r="GC414" s="662"/>
      <c r="GD414" s="662"/>
      <c r="GE414" s="662"/>
      <c r="GF414" s="662"/>
      <c r="GG414" s="662"/>
      <c r="GH414" s="662"/>
      <c r="GI414" s="662"/>
      <c r="GJ414" s="662"/>
      <c r="GK414" s="662"/>
      <c r="GL414" s="662"/>
      <c r="GM414" s="662"/>
      <c r="GN414" s="662"/>
      <c r="GO414" s="662"/>
      <c r="GP414" s="662"/>
      <c r="GQ414" s="662"/>
      <c r="GR414" s="662"/>
      <c r="GS414" s="662"/>
      <c r="GT414" s="662"/>
      <c r="GU414" s="662"/>
      <c r="GV414" s="662"/>
      <c r="GW414" s="662"/>
      <c r="GX414" s="662"/>
      <c r="GY414" s="662"/>
      <c r="GZ414" s="662"/>
      <c r="HA414" s="662"/>
      <c r="HB414" s="662"/>
      <c r="HC414" s="662"/>
      <c r="HD414" s="662"/>
      <c r="HE414" s="662"/>
      <c r="HF414" s="662"/>
      <c r="HG414" s="662"/>
      <c r="HH414" s="662"/>
      <c r="HI414" s="662"/>
      <c r="HJ414" s="662"/>
      <c r="HK414" s="662"/>
      <c r="HL414" s="662"/>
      <c r="HM414" s="662"/>
      <c r="HN414" s="662"/>
      <c r="HO414" s="662"/>
      <c r="HP414" s="662"/>
      <c r="HQ414" s="662"/>
      <c r="HR414" s="662"/>
      <c r="HS414" s="662"/>
      <c r="HT414" s="662"/>
      <c r="HU414" s="662"/>
      <c r="HV414" s="662"/>
      <c r="HW414" s="662"/>
      <c r="HX414" s="662"/>
      <c r="HY414" s="662"/>
      <c r="HZ414" s="662"/>
      <c r="IA414" s="662"/>
      <c r="IB414" s="662"/>
      <c r="IC414" s="662"/>
      <c r="ID414" s="662"/>
      <c r="IE414" s="662"/>
      <c r="IF414" s="662"/>
      <c r="IG414" s="662"/>
      <c r="IH414" s="662"/>
      <c r="II414" s="662"/>
      <c r="IJ414" s="662"/>
      <c r="IK414" s="662"/>
      <c r="IL414" s="662"/>
      <c r="IM414" s="662"/>
      <c r="IN414" s="662"/>
      <c r="IO414" s="662"/>
      <c r="IP414" s="662"/>
      <c r="IQ414" s="653"/>
    </row>
    <row r="415" spans="18:251" ht="16.5" hidden="1" customHeight="1">
      <c r="R415" s="648"/>
      <c r="S415" s="648"/>
      <c r="T415" s="648"/>
      <c r="U415" s="653"/>
      <c r="V415" s="649"/>
      <c r="W415" s="653"/>
      <c r="X415" s="653"/>
      <c r="Y415" s="653"/>
      <c r="Z415" s="653"/>
      <c r="AA415" s="653"/>
      <c r="AB415" s="653"/>
      <c r="AC415" s="653"/>
      <c r="AD415" s="653"/>
      <c r="AE415" s="653"/>
      <c r="AF415" s="653"/>
      <c r="AG415" s="653"/>
      <c r="AH415" s="653"/>
      <c r="AI415" s="653"/>
      <c r="AJ415" s="653"/>
      <c r="AK415" s="653"/>
      <c r="AL415" s="653"/>
      <c r="AM415" s="653"/>
      <c r="AN415" s="653"/>
      <c r="AO415" s="653"/>
      <c r="AP415" s="653"/>
      <c r="AQ415" s="653"/>
      <c r="AR415" s="653"/>
      <c r="AS415" s="653"/>
      <c r="AT415" s="653"/>
      <c r="AU415" s="653"/>
      <c r="AV415" s="653"/>
      <c r="AW415" s="653"/>
      <c r="AX415" s="653"/>
      <c r="AY415" s="653"/>
      <c r="AZ415" s="653"/>
      <c r="BA415" s="653"/>
      <c r="BB415" s="653"/>
      <c r="BC415" s="653"/>
      <c r="BD415" s="653"/>
      <c r="BE415" s="653"/>
      <c r="BF415" s="653"/>
      <c r="BG415" s="653"/>
      <c r="BH415" s="653"/>
      <c r="BI415" s="653"/>
      <c r="BJ415" s="653"/>
      <c r="BK415" s="653"/>
      <c r="BL415" s="653"/>
      <c r="BM415" s="653"/>
      <c r="BN415" s="653"/>
      <c r="BO415" s="653"/>
      <c r="BP415" s="653"/>
      <c r="BQ415" s="653"/>
      <c r="BR415" s="653"/>
      <c r="BS415" s="653"/>
      <c r="BT415" s="653"/>
      <c r="BU415" s="653"/>
      <c r="BV415" s="653"/>
      <c r="BW415" s="653"/>
      <c r="BX415" s="653"/>
      <c r="BY415" s="653"/>
      <c r="BZ415" s="653"/>
      <c r="CA415" s="653"/>
      <c r="CB415" s="653"/>
      <c r="CC415" s="653"/>
      <c r="CD415" s="653"/>
      <c r="CE415" s="653"/>
      <c r="CF415" s="653"/>
      <c r="CG415" s="653"/>
      <c r="CH415" s="653"/>
      <c r="CI415" s="653"/>
      <c r="CJ415" s="653"/>
      <c r="CK415" s="653"/>
      <c r="CL415" s="653"/>
      <c r="CM415" s="653"/>
      <c r="CN415" s="653"/>
      <c r="CO415" s="653"/>
      <c r="CP415" s="653"/>
      <c r="CQ415" s="653"/>
      <c r="CR415" s="653"/>
      <c r="CS415" s="653"/>
      <c r="CT415" s="653"/>
      <c r="CU415" s="653"/>
      <c r="CV415" s="653"/>
      <c r="CW415" s="653"/>
      <c r="CX415" s="653"/>
      <c r="CY415" s="653"/>
      <c r="CZ415" s="653"/>
      <c r="DA415" s="653"/>
      <c r="DB415" s="653"/>
      <c r="DC415" s="653"/>
      <c r="DD415" s="653"/>
      <c r="DE415" s="653"/>
      <c r="DF415" s="653"/>
      <c r="DG415" s="653"/>
      <c r="DH415" s="653"/>
      <c r="DI415" s="653"/>
      <c r="DJ415" s="653"/>
      <c r="DK415" s="653"/>
      <c r="DL415" s="653"/>
      <c r="DM415" s="653"/>
      <c r="DN415" s="653"/>
      <c r="DO415" s="653"/>
      <c r="DP415" s="653"/>
      <c r="DQ415" s="653"/>
      <c r="DR415" s="653"/>
      <c r="DS415" s="653"/>
      <c r="DT415" s="653"/>
      <c r="DU415" s="653"/>
      <c r="DV415" s="653"/>
      <c r="DW415" s="653"/>
      <c r="DX415" s="653"/>
      <c r="DY415" s="653"/>
      <c r="DZ415" s="653"/>
      <c r="EA415" s="653"/>
      <c r="EB415" s="653"/>
      <c r="EC415" s="653"/>
      <c r="ED415" s="653"/>
      <c r="EE415" s="648"/>
      <c r="EF415" s="651"/>
      <c r="EG415" s="651"/>
      <c r="EH415" s="651"/>
      <c r="EI415" s="216"/>
      <c r="EJ415" s="662"/>
      <c r="EK415" s="662"/>
      <c r="EL415" s="662"/>
      <c r="EM415" s="662"/>
      <c r="EN415" s="662"/>
      <c r="EO415" s="662"/>
      <c r="EP415" s="662"/>
      <c r="EQ415" s="662"/>
      <c r="ER415" s="662"/>
      <c r="ES415" s="662"/>
      <c r="ET415" s="662"/>
      <c r="EU415" s="662"/>
      <c r="EV415" s="662"/>
      <c r="EW415" s="662"/>
      <c r="EX415" s="662"/>
      <c r="EY415" s="662"/>
      <c r="EZ415" s="662"/>
      <c r="FA415" s="662"/>
      <c r="FB415" s="662"/>
      <c r="FC415" s="662"/>
      <c r="FD415" s="662"/>
      <c r="FE415" s="662"/>
      <c r="FF415" s="662"/>
      <c r="FG415" s="662"/>
      <c r="FH415" s="662"/>
      <c r="FI415" s="662"/>
      <c r="FJ415" s="662"/>
      <c r="FK415" s="662"/>
      <c r="FL415" s="662"/>
      <c r="FM415" s="662"/>
      <c r="FN415" s="662"/>
      <c r="FO415" s="662"/>
      <c r="FP415" s="662"/>
      <c r="FQ415" s="662"/>
      <c r="FR415" s="662"/>
      <c r="FS415" s="662"/>
      <c r="FT415" s="662"/>
      <c r="FU415" s="662"/>
      <c r="FV415" s="662"/>
      <c r="FW415" s="662"/>
      <c r="FX415" s="662"/>
      <c r="FY415" s="662"/>
      <c r="FZ415" s="662"/>
      <c r="GA415" s="662"/>
      <c r="GB415" s="662"/>
      <c r="GC415" s="662"/>
      <c r="GD415" s="662"/>
      <c r="GE415" s="662"/>
      <c r="GF415" s="662"/>
      <c r="GG415" s="662"/>
      <c r="GH415" s="662"/>
      <c r="GI415" s="662"/>
      <c r="GJ415" s="662"/>
      <c r="GK415" s="662"/>
      <c r="GL415" s="662"/>
      <c r="GM415" s="662"/>
      <c r="GN415" s="662"/>
      <c r="GO415" s="662"/>
      <c r="GP415" s="662"/>
      <c r="GQ415" s="662"/>
      <c r="GR415" s="662"/>
      <c r="GS415" s="662"/>
      <c r="GT415" s="662"/>
      <c r="GU415" s="662"/>
      <c r="GV415" s="662"/>
      <c r="GW415" s="662"/>
      <c r="GX415" s="662"/>
      <c r="GY415" s="662"/>
      <c r="GZ415" s="662"/>
      <c r="HA415" s="662"/>
      <c r="HB415" s="662"/>
      <c r="HC415" s="662"/>
      <c r="HD415" s="662"/>
      <c r="HE415" s="662"/>
      <c r="HF415" s="662"/>
      <c r="HG415" s="662"/>
      <c r="HH415" s="662"/>
      <c r="HI415" s="662"/>
      <c r="HJ415" s="662"/>
      <c r="HK415" s="662"/>
      <c r="HL415" s="662"/>
      <c r="HM415" s="662"/>
      <c r="HN415" s="662"/>
      <c r="HO415" s="662"/>
      <c r="HP415" s="662"/>
      <c r="HQ415" s="662"/>
      <c r="HR415" s="662"/>
      <c r="HS415" s="662"/>
      <c r="HT415" s="662"/>
      <c r="HU415" s="662"/>
      <c r="HV415" s="662"/>
      <c r="HW415" s="662"/>
      <c r="HX415" s="662"/>
      <c r="HY415" s="662"/>
      <c r="HZ415" s="662"/>
      <c r="IA415" s="662"/>
      <c r="IB415" s="662"/>
      <c r="IC415" s="662"/>
      <c r="ID415" s="662"/>
      <c r="IE415" s="662"/>
      <c r="IF415" s="662"/>
      <c r="IG415" s="662"/>
      <c r="IH415" s="662"/>
      <c r="II415" s="662"/>
      <c r="IJ415" s="662"/>
      <c r="IK415" s="662"/>
      <c r="IL415" s="662"/>
      <c r="IM415" s="662"/>
      <c r="IN415" s="662"/>
      <c r="IO415" s="662"/>
      <c r="IP415" s="662"/>
      <c r="IQ415" s="653"/>
    </row>
    <row r="416" spans="18:251" ht="16.5" hidden="1" customHeight="1">
      <c r="R416" s="648"/>
      <c r="S416" s="648"/>
      <c r="T416" s="648"/>
      <c r="U416" s="653"/>
      <c r="V416" s="649"/>
      <c r="W416" s="653"/>
      <c r="X416" s="653"/>
      <c r="Y416" s="653"/>
      <c r="Z416" s="653"/>
      <c r="AA416" s="653"/>
      <c r="AB416" s="653"/>
      <c r="AC416" s="653"/>
      <c r="AD416" s="653"/>
      <c r="AE416" s="653"/>
      <c r="AF416" s="653"/>
      <c r="AG416" s="653"/>
      <c r="AH416" s="653"/>
      <c r="AI416" s="653"/>
      <c r="AJ416" s="653"/>
      <c r="AK416" s="653"/>
      <c r="AL416" s="653"/>
      <c r="AM416" s="653"/>
      <c r="AN416" s="653"/>
      <c r="AO416" s="653"/>
      <c r="AP416" s="653"/>
      <c r="AQ416" s="653"/>
      <c r="AR416" s="653"/>
      <c r="AS416" s="653"/>
      <c r="AT416" s="653"/>
      <c r="AU416" s="653"/>
      <c r="AV416" s="653"/>
      <c r="AW416" s="653"/>
      <c r="AX416" s="653"/>
      <c r="AY416" s="653"/>
      <c r="AZ416" s="653"/>
      <c r="BA416" s="653"/>
      <c r="BB416" s="653"/>
      <c r="BC416" s="653"/>
      <c r="BD416" s="653"/>
      <c r="BE416" s="653"/>
      <c r="BF416" s="653"/>
      <c r="BG416" s="653"/>
      <c r="BH416" s="653"/>
      <c r="BI416" s="653"/>
      <c r="BJ416" s="653"/>
      <c r="BK416" s="653"/>
      <c r="BL416" s="653"/>
      <c r="BM416" s="653"/>
      <c r="BN416" s="653"/>
      <c r="BO416" s="653"/>
      <c r="BP416" s="653"/>
      <c r="BQ416" s="653"/>
      <c r="BR416" s="653"/>
      <c r="BS416" s="653"/>
      <c r="BT416" s="653"/>
      <c r="BU416" s="653"/>
      <c r="BV416" s="653"/>
      <c r="BW416" s="653"/>
      <c r="BX416" s="653"/>
      <c r="BY416" s="653"/>
      <c r="BZ416" s="653"/>
      <c r="CA416" s="653"/>
      <c r="CB416" s="653"/>
      <c r="CC416" s="653"/>
      <c r="CD416" s="653"/>
      <c r="CE416" s="653"/>
      <c r="CF416" s="653"/>
      <c r="CG416" s="653"/>
      <c r="CH416" s="653"/>
      <c r="CI416" s="653"/>
      <c r="CJ416" s="653"/>
      <c r="CK416" s="653"/>
      <c r="CL416" s="653"/>
      <c r="CM416" s="653"/>
      <c r="CN416" s="653"/>
      <c r="CO416" s="653"/>
      <c r="CP416" s="653"/>
      <c r="CQ416" s="653"/>
      <c r="CR416" s="653"/>
      <c r="CS416" s="653"/>
      <c r="CT416" s="653"/>
      <c r="CU416" s="653"/>
      <c r="CV416" s="653"/>
      <c r="CW416" s="653"/>
      <c r="CX416" s="653"/>
      <c r="CY416" s="653"/>
      <c r="CZ416" s="653"/>
      <c r="DA416" s="653"/>
      <c r="DB416" s="653"/>
      <c r="DC416" s="653"/>
      <c r="DD416" s="653"/>
      <c r="DE416" s="653"/>
      <c r="DF416" s="653"/>
      <c r="DG416" s="653"/>
      <c r="DH416" s="653"/>
      <c r="DI416" s="653"/>
      <c r="DJ416" s="653"/>
      <c r="DK416" s="653"/>
      <c r="DL416" s="653"/>
      <c r="DM416" s="653"/>
      <c r="DN416" s="653"/>
      <c r="DO416" s="653"/>
      <c r="DP416" s="653"/>
      <c r="DQ416" s="653"/>
      <c r="DR416" s="653"/>
      <c r="DS416" s="653"/>
      <c r="DT416" s="653"/>
      <c r="DU416" s="653"/>
      <c r="DV416" s="653"/>
      <c r="DW416" s="653"/>
      <c r="DX416" s="653"/>
      <c r="DY416" s="653"/>
      <c r="DZ416" s="653"/>
      <c r="EA416" s="653"/>
      <c r="EB416" s="653"/>
      <c r="EC416" s="653"/>
      <c r="ED416" s="653"/>
      <c r="EE416" s="648"/>
      <c r="EF416" s="651"/>
      <c r="EG416" s="651"/>
      <c r="EH416" s="651"/>
      <c r="EI416" s="216"/>
      <c r="EJ416" s="662"/>
      <c r="EK416" s="662"/>
      <c r="EL416" s="662"/>
      <c r="EM416" s="662"/>
      <c r="EN416" s="662"/>
      <c r="EO416" s="662"/>
      <c r="EP416" s="662"/>
      <c r="EQ416" s="662"/>
      <c r="ER416" s="662"/>
      <c r="ES416" s="662"/>
      <c r="ET416" s="662"/>
      <c r="EU416" s="662"/>
      <c r="EV416" s="662"/>
      <c r="EW416" s="662"/>
      <c r="EX416" s="662"/>
      <c r="EY416" s="662"/>
      <c r="EZ416" s="662"/>
      <c r="FA416" s="662"/>
      <c r="FB416" s="662"/>
      <c r="FC416" s="662"/>
      <c r="FD416" s="662"/>
      <c r="FE416" s="662"/>
      <c r="FF416" s="662"/>
      <c r="FG416" s="662"/>
      <c r="FH416" s="662"/>
      <c r="FI416" s="662"/>
      <c r="FJ416" s="662"/>
      <c r="FK416" s="662"/>
      <c r="FL416" s="662"/>
      <c r="FM416" s="662"/>
      <c r="FN416" s="662"/>
      <c r="FO416" s="662"/>
      <c r="FP416" s="662"/>
      <c r="FQ416" s="662"/>
      <c r="FR416" s="662"/>
      <c r="FS416" s="662"/>
      <c r="FT416" s="662"/>
      <c r="FU416" s="662"/>
      <c r="FV416" s="662"/>
      <c r="FW416" s="662"/>
      <c r="FX416" s="662"/>
      <c r="FY416" s="662"/>
      <c r="FZ416" s="662"/>
      <c r="GA416" s="662"/>
      <c r="GB416" s="662"/>
      <c r="GC416" s="662"/>
      <c r="GD416" s="662"/>
      <c r="GE416" s="662"/>
      <c r="GF416" s="662"/>
      <c r="GG416" s="662"/>
      <c r="GH416" s="662"/>
      <c r="GI416" s="662"/>
      <c r="GJ416" s="662"/>
      <c r="GK416" s="662"/>
      <c r="GL416" s="662"/>
      <c r="GM416" s="662"/>
      <c r="GN416" s="662"/>
      <c r="GO416" s="662"/>
      <c r="GP416" s="662"/>
      <c r="GQ416" s="662"/>
      <c r="GR416" s="662"/>
      <c r="GS416" s="662"/>
      <c r="GT416" s="662"/>
      <c r="GU416" s="662"/>
      <c r="GV416" s="662"/>
      <c r="GW416" s="662"/>
      <c r="GX416" s="662"/>
      <c r="GY416" s="662"/>
      <c r="GZ416" s="662"/>
      <c r="HA416" s="662"/>
      <c r="HB416" s="662"/>
      <c r="HC416" s="662"/>
      <c r="HD416" s="662"/>
      <c r="HE416" s="662"/>
      <c r="HF416" s="662"/>
      <c r="HG416" s="662"/>
      <c r="HH416" s="662"/>
      <c r="HI416" s="662"/>
      <c r="HJ416" s="662"/>
      <c r="HK416" s="662"/>
      <c r="HL416" s="662"/>
      <c r="HM416" s="662"/>
      <c r="HN416" s="662"/>
      <c r="HO416" s="662"/>
      <c r="HP416" s="662"/>
      <c r="HQ416" s="662"/>
      <c r="HR416" s="662"/>
      <c r="HS416" s="662"/>
      <c r="HT416" s="662"/>
      <c r="HU416" s="662"/>
      <c r="HV416" s="662"/>
      <c r="HW416" s="662"/>
      <c r="HX416" s="662"/>
      <c r="HY416" s="662"/>
      <c r="HZ416" s="662"/>
      <c r="IA416" s="662"/>
      <c r="IB416" s="662"/>
      <c r="IC416" s="662"/>
      <c r="ID416" s="662"/>
      <c r="IE416" s="662"/>
      <c r="IF416" s="662"/>
      <c r="IG416" s="662"/>
      <c r="IH416" s="662"/>
      <c r="II416" s="662"/>
      <c r="IJ416" s="662"/>
      <c r="IK416" s="662"/>
      <c r="IL416" s="662"/>
      <c r="IM416" s="662"/>
      <c r="IN416" s="662"/>
      <c r="IO416" s="662"/>
      <c r="IP416" s="662"/>
      <c r="IQ416" s="653"/>
    </row>
    <row r="417" spans="18:251" ht="16.5" hidden="1" customHeight="1">
      <c r="R417" s="648"/>
      <c r="S417" s="648"/>
      <c r="T417" s="648"/>
      <c r="U417" s="653"/>
      <c r="V417" s="649"/>
      <c r="W417" s="653"/>
      <c r="X417" s="653"/>
      <c r="Y417" s="653"/>
      <c r="Z417" s="653"/>
      <c r="AA417" s="653"/>
      <c r="AB417" s="653"/>
      <c r="AC417" s="653"/>
      <c r="AD417" s="653"/>
      <c r="AE417" s="653"/>
      <c r="AF417" s="653"/>
      <c r="AG417" s="653"/>
      <c r="AH417" s="653"/>
      <c r="AI417" s="653"/>
      <c r="AJ417" s="653"/>
      <c r="AK417" s="653"/>
      <c r="AL417" s="653"/>
      <c r="AM417" s="653"/>
      <c r="AN417" s="653"/>
      <c r="AO417" s="653"/>
      <c r="AP417" s="653"/>
      <c r="AQ417" s="653"/>
      <c r="AR417" s="653"/>
      <c r="AS417" s="653"/>
      <c r="AT417" s="653"/>
      <c r="AU417" s="653"/>
      <c r="AV417" s="653"/>
      <c r="AW417" s="653"/>
      <c r="AX417" s="653"/>
      <c r="AY417" s="653"/>
      <c r="AZ417" s="653"/>
      <c r="BA417" s="653"/>
      <c r="BB417" s="653"/>
      <c r="BC417" s="653"/>
      <c r="BD417" s="653"/>
      <c r="BE417" s="653"/>
      <c r="BF417" s="653"/>
      <c r="BG417" s="653"/>
      <c r="BH417" s="653"/>
      <c r="BI417" s="653"/>
      <c r="BJ417" s="653"/>
      <c r="BK417" s="653"/>
      <c r="BL417" s="653"/>
      <c r="BM417" s="653"/>
      <c r="BN417" s="653"/>
      <c r="BO417" s="653"/>
      <c r="BP417" s="653"/>
      <c r="BQ417" s="653"/>
      <c r="BR417" s="653"/>
      <c r="BS417" s="653"/>
      <c r="BT417" s="653"/>
      <c r="BU417" s="653"/>
      <c r="BV417" s="653"/>
      <c r="BW417" s="653"/>
      <c r="BX417" s="653"/>
      <c r="BY417" s="653"/>
      <c r="BZ417" s="653"/>
      <c r="CA417" s="653"/>
      <c r="CB417" s="653"/>
      <c r="CC417" s="653"/>
      <c r="CD417" s="653"/>
      <c r="CE417" s="653"/>
      <c r="CF417" s="653"/>
      <c r="CG417" s="653"/>
      <c r="CH417" s="653"/>
      <c r="CI417" s="653"/>
      <c r="CJ417" s="653"/>
      <c r="CK417" s="653"/>
      <c r="CL417" s="653"/>
      <c r="CM417" s="653"/>
      <c r="CN417" s="653"/>
      <c r="CO417" s="653"/>
      <c r="CP417" s="653"/>
      <c r="CQ417" s="653"/>
      <c r="CR417" s="653"/>
      <c r="CS417" s="653"/>
      <c r="CT417" s="653"/>
      <c r="CU417" s="653"/>
      <c r="CV417" s="653"/>
      <c r="CW417" s="653"/>
      <c r="CX417" s="653"/>
      <c r="CY417" s="653"/>
      <c r="CZ417" s="653"/>
      <c r="DA417" s="653"/>
      <c r="DB417" s="653"/>
      <c r="DC417" s="653"/>
      <c r="DD417" s="653"/>
      <c r="DE417" s="653"/>
      <c r="DF417" s="653"/>
      <c r="DG417" s="653"/>
      <c r="DH417" s="653"/>
      <c r="DI417" s="653"/>
      <c r="DJ417" s="653"/>
      <c r="DK417" s="653"/>
      <c r="DL417" s="653"/>
      <c r="DM417" s="653"/>
      <c r="DN417" s="653"/>
      <c r="DO417" s="653"/>
      <c r="DP417" s="653"/>
      <c r="DQ417" s="653"/>
      <c r="DR417" s="653"/>
      <c r="DS417" s="653"/>
      <c r="DT417" s="653"/>
      <c r="DU417" s="653"/>
      <c r="DV417" s="653"/>
      <c r="DW417" s="653"/>
      <c r="DX417" s="653"/>
      <c r="DY417" s="653"/>
      <c r="DZ417" s="653"/>
      <c r="EA417" s="653"/>
      <c r="EB417" s="653"/>
      <c r="EC417" s="653"/>
      <c r="ED417" s="653"/>
      <c r="EE417" s="648"/>
      <c r="EF417" s="651"/>
      <c r="EG417" s="651"/>
      <c r="EH417" s="651"/>
      <c r="EI417" s="216"/>
      <c r="EJ417" s="662"/>
      <c r="EK417" s="662"/>
      <c r="EL417" s="662"/>
      <c r="EM417" s="662"/>
      <c r="EN417" s="662"/>
      <c r="EO417" s="662"/>
      <c r="EP417" s="662"/>
      <c r="EQ417" s="662"/>
      <c r="ER417" s="662"/>
      <c r="ES417" s="662"/>
      <c r="ET417" s="662"/>
      <c r="EU417" s="662"/>
      <c r="EV417" s="662"/>
      <c r="EW417" s="662"/>
      <c r="EX417" s="662"/>
      <c r="EY417" s="662"/>
      <c r="EZ417" s="662"/>
      <c r="FA417" s="662"/>
      <c r="FB417" s="662"/>
      <c r="FC417" s="662"/>
      <c r="FD417" s="662"/>
      <c r="FE417" s="662"/>
      <c r="FF417" s="662"/>
      <c r="FG417" s="662"/>
      <c r="FH417" s="662"/>
      <c r="FI417" s="662"/>
      <c r="FJ417" s="662"/>
      <c r="FK417" s="662"/>
      <c r="FL417" s="662"/>
      <c r="FM417" s="662"/>
      <c r="FN417" s="662"/>
      <c r="FO417" s="662"/>
      <c r="FP417" s="662"/>
      <c r="FQ417" s="662"/>
      <c r="FR417" s="662"/>
      <c r="FS417" s="662"/>
      <c r="FT417" s="662"/>
      <c r="FU417" s="662"/>
      <c r="FV417" s="662"/>
      <c r="FW417" s="662"/>
      <c r="FX417" s="662"/>
      <c r="FY417" s="662"/>
      <c r="FZ417" s="662"/>
      <c r="GA417" s="662"/>
      <c r="GB417" s="662"/>
      <c r="GC417" s="662"/>
      <c r="GD417" s="662"/>
      <c r="GE417" s="662"/>
      <c r="GF417" s="662"/>
      <c r="GG417" s="662"/>
      <c r="GH417" s="662"/>
      <c r="GI417" s="662"/>
      <c r="GJ417" s="662"/>
      <c r="GK417" s="662"/>
      <c r="GL417" s="662"/>
      <c r="GM417" s="662"/>
      <c r="GN417" s="662"/>
      <c r="GO417" s="662"/>
      <c r="GP417" s="662"/>
      <c r="GQ417" s="662"/>
      <c r="GR417" s="662"/>
      <c r="GS417" s="662"/>
      <c r="GT417" s="662"/>
      <c r="GU417" s="662"/>
      <c r="GV417" s="662"/>
      <c r="GW417" s="662"/>
      <c r="GX417" s="662"/>
      <c r="GY417" s="662"/>
      <c r="GZ417" s="662"/>
      <c r="HA417" s="662"/>
      <c r="HB417" s="662"/>
      <c r="HC417" s="662"/>
      <c r="HD417" s="662"/>
      <c r="HE417" s="662"/>
      <c r="HF417" s="662"/>
      <c r="HG417" s="662"/>
      <c r="HH417" s="662"/>
      <c r="HI417" s="662"/>
      <c r="HJ417" s="662"/>
      <c r="HK417" s="662"/>
      <c r="HL417" s="662"/>
      <c r="HM417" s="662"/>
      <c r="HN417" s="662"/>
      <c r="HO417" s="662"/>
      <c r="HP417" s="662"/>
      <c r="HQ417" s="662"/>
      <c r="HR417" s="662"/>
      <c r="HS417" s="662"/>
      <c r="HT417" s="662"/>
      <c r="HU417" s="662"/>
      <c r="HV417" s="662"/>
      <c r="HW417" s="662"/>
      <c r="HX417" s="662"/>
      <c r="HY417" s="662"/>
      <c r="HZ417" s="662"/>
      <c r="IA417" s="662"/>
      <c r="IB417" s="662"/>
      <c r="IC417" s="662"/>
      <c r="ID417" s="662"/>
      <c r="IE417" s="662"/>
      <c r="IF417" s="662"/>
      <c r="IG417" s="662"/>
      <c r="IH417" s="662"/>
      <c r="II417" s="662"/>
      <c r="IJ417" s="662"/>
      <c r="IK417" s="662"/>
      <c r="IL417" s="662"/>
      <c r="IM417" s="662"/>
      <c r="IN417" s="662"/>
      <c r="IO417" s="662"/>
      <c r="IP417" s="662"/>
      <c r="IQ417" s="653"/>
    </row>
    <row r="418" spans="18:251" ht="16.5" hidden="1" customHeight="1">
      <c r="R418" s="648"/>
      <c r="S418" s="648"/>
      <c r="T418" s="648"/>
      <c r="U418" s="653"/>
      <c r="V418" s="649"/>
      <c r="W418" s="653"/>
      <c r="X418" s="653"/>
      <c r="Y418" s="653"/>
      <c r="Z418" s="653"/>
      <c r="AA418" s="653"/>
      <c r="AB418" s="653"/>
      <c r="AC418" s="653"/>
      <c r="AD418" s="653"/>
      <c r="AE418" s="653"/>
      <c r="AF418" s="653"/>
      <c r="AG418" s="653"/>
      <c r="AH418" s="653"/>
      <c r="AI418" s="653"/>
      <c r="AJ418" s="653"/>
      <c r="AK418" s="653"/>
      <c r="AL418" s="653"/>
      <c r="AM418" s="653"/>
      <c r="AN418" s="653"/>
      <c r="AO418" s="653"/>
      <c r="AP418" s="653"/>
      <c r="AQ418" s="653"/>
      <c r="AR418" s="653"/>
      <c r="AS418" s="653"/>
      <c r="AT418" s="653"/>
      <c r="AU418" s="653"/>
      <c r="AV418" s="653"/>
      <c r="AW418" s="653"/>
      <c r="AX418" s="653"/>
      <c r="AY418" s="653"/>
      <c r="AZ418" s="653"/>
      <c r="BA418" s="653"/>
      <c r="BB418" s="653"/>
      <c r="BC418" s="653"/>
      <c r="BD418" s="653"/>
      <c r="BE418" s="653"/>
      <c r="BF418" s="653"/>
      <c r="BG418" s="653"/>
      <c r="BH418" s="653"/>
      <c r="BI418" s="653"/>
      <c r="BJ418" s="653"/>
      <c r="BK418" s="653"/>
      <c r="BL418" s="653"/>
      <c r="BM418" s="653"/>
      <c r="BN418" s="653"/>
      <c r="BO418" s="653"/>
      <c r="BP418" s="653"/>
      <c r="BQ418" s="653"/>
      <c r="BR418" s="653"/>
      <c r="BS418" s="653"/>
      <c r="BT418" s="653"/>
      <c r="BU418" s="653"/>
      <c r="BV418" s="653"/>
      <c r="BW418" s="653"/>
      <c r="BX418" s="653"/>
      <c r="BY418" s="653"/>
      <c r="BZ418" s="653"/>
      <c r="CA418" s="653"/>
      <c r="CB418" s="653"/>
      <c r="CC418" s="653"/>
      <c r="CD418" s="653"/>
      <c r="CE418" s="653"/>
      <c r="CF418" s="653"/>
      <c r="CG418" s="653"/>
      <c r="CH418" s="653"/>
      <c r="CI418" s="653"/>
      <c r="CJ418" s="653"/>
      <c r="CK418" s="653"/>
      <c r="CL418" s="653"/>
      <c r="CM418" s="653"/>
      <c r="CN418" s="653"/>
      <c r="CO418" s="653"/>
      <c r="CP418" s="653"/>
      <c r="CQ418" s="653"/>
      <c r="CR418" s="653"/>
      <c r="CS418" s="653"/>
      <c r="CT418" s="653"/>
      <c r="CU418" s="653"/>
      <c r="CV418" s="653"/>
      <c r="CW418" s="653"/>
      <c r="CX418" s="653"/>
      <c r="CY418" s="653"/>
      <c r="CZ418" s="653"/>
      <c r="DA418" s="653"/>
      <c r="DB418" s="653"/>
      <c r="DC418" s="653"/>
      <c r="DD418" s="653"/>
      <c r="DE418" s="653"/>
      <c r="DF418" s="653"/>
      <c r="DG418" s="653"/>
      <c r="DH418" s="653"/>
      <c r="DI418" s="653"/>
      <c r="DJ418" s="653"/>
      <c r="DK418" s="653"/>
      <c r="DL418" s="653"/>
      <c r="DM418" s="653"/>
      <c r="DN418" s="653"/>
      <c r="DO418" s="653"/>
      <c r="DP418" s="653"/>
      <c r="DQ418" s="653"/>
      <c r="DR418" s="653"/>
      <c r="DS418" s="653"/>
      <c r="DT418" s="653"/>
      <c r="DU418" s="653"/>
      <c r="DV418" s="653"/>
      <c r="DW418" s="653"/>
      <c r="DX418" s="653"/>
      <c r="DY418" s="653"/>
      <c r="DZ418" s="653"/>
      <c r="EA418" s="653"/>
      <c r="EB418" s="653"/>
      <c r="EC418" s="653"/>
      <c r="ED418" s="653"/>
      <c r="EE418" s="648"/>
      <c r="EF418" s="651"/>
      <c r="EG418" s="651"/>
      <c r="EH418" s="651"/>
      <c r="EI418" s="216"/>
      <c r="EJ418" s="662"/>
      <c r="EK418" s="662"/>
      <c r="EL418" s="662"/>
      <c r="EM418" s="662"/>
      <c r="EN418" s="662"/>
      <c r="EO418" s="662"/>
      <c r="EP418" s="662"/>
      <c r="EQ418" s="662"/>
      <c r="ER418" s="662"/>
      <c r="ES418" s="662"/>
      <c r="ET418" s="662"/>
      <c r="EU418" s="662"/>
      <c r="EV418" s="662"/>
      <c r="EW418" s="662"/>
      <c r="EX418" s="662"/>
      <c r="EY418" s="662"/>
      <c r="EZ418" s="662"/>
      <c r="FA418" s="662"/>
      <c r="FB418" s="662"/>
      <c r="FC418" s="662"/>
      <c r="FD418" s="662"/>
      <c r="FE418" s="662"/>
      <c r="FF418" s="662"/>
      <c r="FG418" s="662"/>
      <c r="FH418" s="662"/>
      <c r="FI418" s="662"/>
      <c r="FJ418" s="662"/>
      <c r="FK418" s="662"/>
      <c r="FL418" s="662"/>
      <c r="FM418" s="662"/>
      <c r="FN418" s="662"/>
      <c r="FO418" s="662"/>
      <c r="FP418" s="662"/>
      <c r="FQ418" s="662"/>
      <c r="FR418" s="662"/>
      <c r="FS418" s="662"/>
      <c r="FT418" s="662"/>
      <c r="FU418" s="662"/>
      <c r="FV418" s="662"/>
      <c r="FW418" s="662"/>
      <c r="FX418" s="662"/>
      <c r="FY418" s="662"/>
      <c r="FZ418" s="662"/>
      <c r="GA418" s="662"/>
      <c r="GB418" s="662"/>
      <c r="GC418" s="662"/>
      <c r="GD418" s="662"/>
      <c r="GE418" s="662"/>
      <c r="GF418" s="662"/>
      <c r="GG418" s="662"/>
      <c r="GH418" s="662"/>
      <c r="GI418" s="662"/>
      <c r="GJ418" s="662"/>
      <c r="GK418" s="662"/>
      <c r="GL418" s="662"/>
      <c r="GM418" s="662"/>
      <c r="GN418" s="662"/>
      <c r="GO418" s="662"/>
      <c r="GP418" s="662"/>
      <c r="GQ418" s="662"/>
      <c r="GR418" s="662"/>
      <c r="GS418" s="662"/>
      <c r="GT418" s="662"/>
      <c r="GU418" s="662"/>
      <c r="GV418" s="662"/>
      <c r="GW418" s="662"/>
      <c r="GX418" s="662"/>
      <c r="GY418" s="662"/>
      <c r="GZ418" s="662"/>
      <c r="HA418" s="662"/>
      <c r="HB418" s="662"/>
      <c r="HC418" s="662"/>
      <c r="HD418" s="662"/>
      <c r="HE418" s="662"/>
      <c r="HF418" s="662"/>
      <c r="HG418" s="662"/>
      <c r="HH418" s="662"/>
      <c r="HI418" s="662"/>
      <c r="HJ418" s="662"/>
      <c r="HK418" s="662"/>
      <c r="HL418" s="662"/>
      <c r="HM418" s="662"/>
      <c r="HN418" s="662"/>
      <c r="HO418" s="662"/>
      <c r="HP418" s="662"/>
      <c r="HQ418" s="662"/>
      <c r="HR418" s="662"/>
      <c r="HS418" s="662"/>
      <c r="HT418" s="662"/>
      <c r="HU418" s="662"/>
      <c r="HV418" s="662"/>
      <c r="HW418" s="662"/>
      <c r="HX418" s="662"/>
      <c r="HY418" s="662"/>
      <c r="HZ418" s="662"/>
      <c r="IA418" s="662"/>
      <c r="IB418" s="662"/>
      <c r="IC418" s="662"/>
      <c r="ID418" s="662"/>
      <c r="IE418" s="662"/>
      <c r="IF418" s="662"/>
      <c r="IG418" s="662"/>
      <c r="IH418" s="662"/>
      <c r="II418" s="662"/>
      <c r="IJ418" s="662"/>
      <c r="IK418" s="662"/>
      <c r="IL418" s="662"/>
      <c r="IM418" s="662"/>
      <c r="IN418" s="662"/>
      <c r="IO418" s="662"/>
      <c r="IP418" s="662"/>
      <c r="IQ418" s="653"/>
    </row>
    <row r="419" spans="18:251" ht="16.5" hidden="1" customHeight="1">
      <c r="R419" s="648"/>
      <c r="S419" s="648"/>
      <c r="T419" s="648"/>
      <c r="U419" s="653"/>
      <c r="V419" s="649"/>
      <c r="W419" s="653"/>
      <c r="X419" s="653"/>
      <c r="Y419" s="653"/>
      <c r="Z419" s="653"/>
      <c r="AA419" s="653"/>
      <c r="AB419" s="653"/>
      <c r="AC419" s="653"/>
      <c r="AD419" s="653"/>
      <c r="AE419" s="653"/>
      <c r="AF419" s="653"/>
      <c r="AG419" s="653"/>
      <c r="AH419" s="653"/>
      <c r="AI419" s="653"/>
      <c r="AJ419" s="653"/>
      <c r="AK419" s="653"/>
      <c r="AL419" s="653"/>
      <c r="AM419" s="653"/>
      <c r="AN419" s="653"/>
      <c r="AO419" s="653"/>
      <c r="AP419" s="653"/>
      <c r="AQ419" s="653"/>
      <c r="AR419" s="653"/>
      <c r="AS419" s="653"/>
      <c r="AT419" s="653"/>
      <c r="AU419" s="653"/>
      <c r="AV419" s="653"/>
      <c r="AW419" s="653"/>
      <c r="AX419" s="653"/>
      <c r="AY419" s="653"/>
      <c r="AZ419" s="653"/>
      <c r="BA419" s="653"/>
      <c r="BB419" s="653"/>
      <c r="BC419" s="653"/>
      <c r="BD419" s="653"/>
      <c r="BE419" s="653"/>
      <c r="BF419" s="653"/>
      <c r="BG419" s="653"/>
      <c r="BH419" s="653"/>
      <c r="BI419" s="653"/>
      <c r="BJ419" s="653"/>
      <c r="BK419" s="653"/>
      <c r="BL419" s="653"/>
      <c r="BM419" s="653"/>
      <c r="BN419" s="653"/>
      <c r="BO419" s="653"/>
      <c r="BP419" s="653"/>
      <c r="BQ419" s="653"/>
      <c r="BR419" s="653"/>
      <c r="BS419" s="653"/>
      <c r="BT419" s="653"/>
      <c r="BU419" s="653"/>
      <c r="BV419" s="653"/>
      <c r="BW419" s="653"/>
      <c r="BX419" s="653"/>
      <c r="BY419" s="653"/>
      <c r="BZ419" s="653"/>
      <c r="CA419" s="653"/>
      <c r="CB419" s="653"/>
      <c r="CC419" s="653"/>
      <c r="CD419" s="653"/>
      <c r="CE419" s="653"/>
      <c r="CF419" s="653"/>
      <c r="CG419" s="653"/>
      <c r="CH419" s="653"/>
      <c r="CI419" s="653"/>
      <c r="CJ419" s="653"/>
      <c r="CK419" s="653"/>
      <c r="CL419" s="653"/>
      <c r="CM419" s="653"/>
      <c r="CN419" s="653"/>
      <c r="CO419" s="653"/>
      <c r="CP419" s="653"/>
      <c r="CQ419" s="653"/>
      <c r="CR419" s="653"/>
      <c r="CS419" s="653"/>
      <c r="CT419" s="653"/>
      <c r="CU419" s="653"/>
      <c r="CV419" s="653"/>
      <c r="CW419" s="653"/>
      <c r="CX419" s="653"/>
      <c r="CY419" s="653"/>
      <c r="CZ419" s="653"/>
      <c r="DA419" s="653"/>
      <c r="DB419" s="653"/>
      <c r="DC419" s="653"/>
      <c r="DD419" s="653"/>
      <c r="DE419" s="653"/>
      <c r="DF419" s="653"/>
      <c r="DG419" s="653"/>
      <c r="DH419" s="653"/>
      <c r="DI419" s="653"/>
      <c r="DJ419" s="653"/>
      <c r="DK419" s="653"/>
      <c r="DL419" s="653"/>
      <c r="DM419" s="653"/>
      <c r="DN419" s="653"/>
      <c r="DO419" s="653"/>
      <c r="DP419" s="653"/>
      <c r="DQ419" s="653"/>
      <c r="DR419" s="653"/>
      <c r="DS419" s="653"/>
      <c r="DT419" s="653"/>
      <c r="DU419" s="653"/>
      <c r="DV419" s="653"/>
      <c r="DW419" s="653"/>
      <c r="DX419" s="653"/>
      <c r="DY419" s="653"/>
      <c r="DZ419" s="653"/>
      <c r="EA419" s="653"/>
      <c r="EB419" s="653"/>
      <c r="EC419" s="653"/>
      <c r="ED419" s="653"/>
      <c r="EE419" s="648"/>
      <c r="EF419" s="651"/>
      <c r="EG419" s="651"/>
      <c r="EH419" s="651"/>
      <c r="EI419" s="216"/>
      <c r="EJ419" s="662"/>
      <c r="EK419" s="662"/>
      <c r="EL419" s="662"/>
      <c r="EM419" s="662"/>
      <c r="EN419" s="662"/>
      <c r="EO419" s="662"/>
      <c r="EP419" s="662"/>
      <c r="EQ419" s="662"/>
      <c r="ER419" s="662"/>
      <c r="ES419" s="662"/>
      <c r="ET419" s="662"/>
      <c r="EU419" s="662"/>
      <c r="EV419" s="662"/>
      <c r="EW419" s="662"/>
      <c r="EX419" s="662"/>
      <c r="EY419" s="662"/>
      <c r="EZ419" s="662"/>
      <c r="FA419" s="662"/>
      <c r="FB419" s="662"/>
      <c r="FC419" s="662"/>
      <c r="FD419" s="662"/>
      <c r="FE419" s="662"/>
      <c r="FF419" s="662"/>
      <c r="FG419" s="662"/>
      <c r="FH419" s="662"/>
      <c r="FI419" s="662"/>
      <c r="FJ419" s="662"/>
      <c r="FK419" s="662"/>
      <c r="FL419" s="662"/>
      <c r="FM419" s="662"/>
      <c r="FN419" s="662"/>
      <c r="FO419" s="662"/>
      <c r="FP419" s="662"/>
      <c r="FQ419" s="662"/>
      <c r="FR419" s="662"/>
      <c r="FS419" s="662"/>
      <c r="FT419" s="662"/>
      <c r="FU419" s="662"/>
      <c r="FV419" s="662"/>
      <c r="FW419" s="662"/>
      <c r="FX419" s="662"/>
      <c r="FY419" s="662"/>
      <c r="FZ419" s="662"/>
      <c r="GA419" s="662"/>
      <c r="GB419" s="662"/>
      <c r="GC419" s="662"/>
      <c r="GD419" s="662"/>
      <c r="GE419" s="662"/>
      <c r="GF419" s="662"/>
      <c r="GG419" s="662"/>
      <c r="GH419" s="662"/>
      <c r="GI419" s="662"/>
      <c r="GJ419" s="662"/>
      <c r="GK419" s="662"/>
      <c r="GL419" s="662"/>
      <c r="GM419" s="662"/>
      <c r="GN419" s="662"/>
      <c r="GO419" s="662"/>
      <c r="GP419" s="662"/>
      <c r="GQ419" s="662"/>
      <c r="GR419" s="662"/>
      <c r="GS419" s="662"/>
      <c r="GT419" s="662"/>
      <c r="GU419" s="662"/>
      <c r="GV419" s="662"/>
      <c r="GW419" s="662"/>
      <c r="GX419" s="662"/>
      <c r="GY419" s="662"/>
      <c r="GZ419" s="662"/>
      <c r="HA419" s="662"/>
      <c r="HB419" s="662"/>
      <c r="HC419" s="662"/>
      <c r="HD419" s="662"/>
      <c r="HE419" s="662"/>
      <c r="HF419" s="662"/>
      <c r="HG419" s="662"/>
      <c r="HH419" s="662"/>
      <c r="HI419" s="662"/>
      <c r="HJ419" s="662"/>
      <c r="HK419" s="662"/>
      <c r="HL419" s="662"/>
      <c r="HM419" s="662"/>
      <c r="HN419" s="662"/>
      <c r="HO419" s="662"/>
      <c r="HP419" s="662"/>
      <c r="HQ419" s="662"/>
      <c r="HR419" s="662"/>
      <c r="HS419" s="662"/>
      <c r="HT419" s="662"/>
      <c r="HU419" s="662"/>
      <c r="HV419" s="662"/>
      <c r="HW419" s="662"/>
      <c r="HX419" s="662"/>
      <c r="HY419" s="662"/>
      <c r="HZ419" s="662"/>
      <c r="IA419" s="662"/>
      <c r="IB419" s="662"/>
      <c r="IC419" s="662"/>
      <c r="ID419" s="662"/>
      <c r="IE419" s="662"/>
      <c r="IF419" s="662"/>
      <c r="IG419" s="662"/>
      <c r="IH419" s="662"/>
      <c r="II419" s="662"/>
      <c r="IJ419" s="662"/>
      <c r="IK419" s="662"/>
      <c r="IL419" s="662"/>
      <c r="IM419" s="662"/>
      <c r="IN419" s="662"/>
      <c r="IO419" s="662"/>
      <c r="IP419" s="662"/>
      <c r="IQ419" s="653"/>
    </row>
    <row r="420" spans="18:251" ht="16.5" hidden="1" customHeight="1">
      <c r="R420" s="648"/>
      <c r="S420" s="648"/>
      <c r="T420" s="648"/>
      <c r="U420" s="653"/>
      <c r="V420" s="649"/>
      <c r="W420" s="653"/>
      <c r="X420" s="653"/>
      <c r="Y420" s="653"/>
      <c r="Z420" s="653"/>
      <c r="AA420" s="653"/>
      <c r="AB420" s="653"/>
      <c r="AC420" s="653"/>
      <c r="AD420" s="653"/>
      <c r="AE420" s="653"/>
      <c r="AF420" s="653"/>
      <c r="AG420" s="653"/>
      <c r="AH420" s="653"/>
      <c r="AI420" s="653"/>
      <c r="AJ420" s="653"/>
      <c r="AK420" s="653"/>
      <c r="AL420" s="653"/>
      <c r="AM420" s="653"/>
      <c r="AN420" s="653"/>
      <c r="AO420" s="653"/>
      <c r="AP420" s="653"/>
      <c r="AQ420" s="653"/>
      <c r="AR420" s="653"/>
      <c r="AS420" s="653"/>
      <c r="AT420" s="653"/>
      <c r="AU420" s="653"/>
      <c r="AV420" s="653"/>
      <c r="AW420" s="653"/>
      <c r="AX420" s="653"/>
      <c r="AY420" s="653"/>
      <c r="AZ420" s="653"/>
      <c r="BA420" s="653"/>
      <c r="BB420" s="653"/>
      <c r="BC420" s="653"/>
      <c r="BD420" s="653"/>
      <c r="BE420" s="653"/>
      <c r="BF420" s="653"/>
      <c r="BG420" s="653"/>
      <c r="BH420" s="653"/>
      <c r="BI420" s="653"/>
      <c r="BJ420" s="653"/>
      <c r="BK420" s="653"/>
      <c r="BL420" s="653"/>
      <c r="BM420" s="653"/>
      <c r="BN420" s="653"/>
      <c r="BO420" s="653"/>
      <c r="BP420" s="653"/>
      <c r="BQ420" s="653"/>
      <c r="BR420" s="653"/>
      <c r="BS420" s="653"/>
      <c r="BT420" s="653"/>
      <c r="BU420" s="653"/>
      <c r="BV420" s="653"/>
      <c r="BW420" s="653"/>
      <c r="BX420" s="653"/>
      <c r="BY420" s="653"/>
      <c r="BZ420" s="653"/>
      <c r="CA420" s="653"/>
      <c r="CB420" s="653"/>
      <c r="CC420" s="653"/>
      <c r="CD420" s="653"/>
      <c r="CE420" s="653"/>
      <c r="CF420" s="653"/>
      <c r="CG420" s="653"/>
      <c r="CH420" s="653"/>
      <c r="CI420" s="653"/>
      <c r="CJ420" s="653"/>
      <c r="CK420" s="653"/>
      <c r="CL420" s="653"/>
      <c r="CM420" s="653"/>
      <c r="CN420" s="653"/>
      <c r="CO420" s="653"/>
      <c r="CP420" s="653"/>
      <c r="CQ420" s="653"/>
      <c r="CR420" s="653"/>
      <c r="CS420" s="653"/>
      <c r="CT420" s="653"/>
      <c r="CU420" s="653"/>
      <c r="CV420" s="653"/>
      <c r="CW420" s="653"/>
      <c r="CX420" s="653"/>
      <c r="CY420" s="653"/>
      <c r="CZ420" s="653"/>
      <c r="DA420" s="653"/>
      <c r="DB420" s="653"/>
      <c r="DC420" s="653"/>
      <c r="DD420" s="653"/>
      <c r="DE420" s="653"/>
      <c r="DF420" s="653"/>
      <c r="DG420" s="653"/>
      <c r="DH420" s="653"/>
      <c r="DI420" s="653"/>
      <c r="DJ420" s="653"/>
      <c r="DK420" s="653"/>
      <c r="DL420" s="653"/>
      <c r="DM420" s="653"/>
      <c r="DN420" s="653"/>
      <c r="DO420" s="653"/>
      <c r="DP420" s="653"/>
      <c r="DQ420" s="653"/>
      <c r="DR420" s="653"/>
      <c r="DS420" s="653"/>
      <c r="DT420" s="653"/>
      <c r="DU420" s="653"/>
      <c r="DV420" s="653"/>
      <c r="DW420" s="653"/>
      <c r="DX420" s="653"/>
      <c r="DY420" s="653"/>
      <c r="DZ420" s="653"/>
      <c r="EA420" s="653"/>
      <c r="EB420" s="653"/>
      <c r="EC420" s="653"/>
      <c r="ED420" s="653"/>
      <c r="EE420" s="648"/>
      <c r="EF420" s="651"/>
      <c r="EG420" s="651"/>
      <c r="EH420" s="651"/>
      <c r="EI420" s="216"/>
      <c r="EJ420" s="662"/>
      <c r="EK420" s="662"/>
      <c r="EL420" s="662"/>
      <c r="EM420" s="662"/>
      <c r="EN420" s="662"/>
      <c r="EO420" s="662"/>
      <c r="EP420" s="662"/>
      <c r="EQ420" s="662"/>
      <c r="ER420" s="662"/>
      <c r="ES420" s="662"/>
      <c r="ET420" s="662"/>
      <c r="EU420" s="662"/>
      <c r="EV420" s="662"/>
      <c r="EW420" s="662"/>
      <c r="EX420" s="662"/>
      <c r="EY420" s="662"/>
      <c r="EZ420" s="662"/>
      <c r="FA420" s="662"/>
      <c r="FB420" s="662"/>
      <c r="FC420" s="662"/>
      <c r="FD420" s="662"/>
      <c r="FE420" s="662"/>
      <c r="FF420" s="662"/>
      <c r="FG420" s="662"/>
      <c r="FH420" s="662"/>
      <c r="FI420" s="662"/>
      <c r="FJ420" s="662"/>
      <c r="FK420" s="662"/>
      <c r="FL420" s="662"/>
      <c r="FM420" s="662"/>
      <c r="FN420" s="662"/>
      <c r="FO420" s="662"/>
      <c r="FP420" s="662"/>
      <c r="FQ420" s="662"/>
      <c r="FR420" s="662"/>
      <c r="FS420" s="662"/>
      <c r="FT420" s="662"/>
      <c r="FU420" s="662"/>
      <c r="FV420" s="662"/>
      <c r="FW420" s="662"/>
      <c r="FX420" s="662"/>
      <c r="FY420" s="662"/>
      <c r="FZ420" s="662"/>
      <c r="GA420" s="662"/>
      <c r="GB420" s="662"/>
      <c r="GC420" s="662"/>
      <c r="GD420" s="662"/>
      <c r="GE420" s="662"/>
      <c r="GF420" s="662"/>
      <c r="GG420" s="662"/>
      <c r="GH420" s="662"/>
      <c r="GI420" s="662"/>
      <c r="GJ420" s="662"/>
      <c r="GK420" s="662"/>
      <c r="GL420" s="662"/>
      <c r="GM420" s="662"/>
      <c r="GN420" s="662"/>
      <c r="GO420" s="662"/>
      <c r="GP420" s="662"/>
      <c r="GQ420" s="662"/>
      <c r="GR420" s="662"/>
      <c r="GS420" s="662"/>
      <c r="GT420" s="662"/>
      <c r="GU420" s="662"/>
      <c r="GV420" s="662"/>
      <c r="GW420" s="662"/>
      <c r="GX420" s="662"/>
      <c r="GY420" s="662"/>
      <c r="GZ420" s="662"/>
      <c r="HA420" s="662"/>
      <c r="HB420" s="662"/>
      <c r="HC420" s="662"/>
      <c r="HD420" s="662"/>
      <c r="HE420" s="662"/>
      <c r="HF420" s="662"/>
      <c r="HG420" s="662"/>
      <c r="HH420" s="662"/>
      <c r="HI420" s="662"/>
      <c r="HJ420" s="662"/>
      <c r="HK420" s="662"/>
      <c r="HL420" s="662"/>
      <c r="HM420" s="662"/>
      <c r="HN420" s="662"/>
      <c r="HO420" s="662"/>
      <c r="HP420" s="662"/>
      <c r="HQ420" s="662"/>
      <c r="HR420" s="662"/>
      <c r="HS420" s="662"/>
      <c r="HT420" s="662"/>
      <c r="HU420" s="662"/>
      <c r="HV420" s="662"/>
      <c r="HW420" s="662"/>
      <c r="HX420" s="662"/>
      <c r="HY420" s="662"/>
      <c r="HZ420" s="662"/>
      <c r="IA420" s="662"/>
      <c r="IB420" s="662"/>
      <c r="IC420" s="662"/>
      <c r="ID420" s="662"/>
      <c r="IE420" s="662"/>
      <c r="IF420" s="662"/>
      <c r="IG420" s="662"/>
      <c r="IH420" s="662"/>
      <c r="II420" s="662"/>
      <c r="IJ420" s="662"/>
      <c r="IK420" s="662"/>
      <c r="IL420" s="662"/>
      <c r="IM420" s="662"/>
      <c r="IN420" s="662"/>
      <c r="IO420" s="662"/>
      <c r="IP420" s="662"/>
      <c r="IQ420" s="653"/>
    </row>
    <row r="421" spans="18:251" ht="16.5" hidden="1" customHeight="1">
      <c r="R421" s="648"/>
      <c r="S421" s="648"/>
      <c r="T421" s="648"/>
      <c r="U421" s="653"/>
      <c r="V421" s="649"/>
      <c r="W421" s="653"/>
      <c r="X421" s="653"/>
      <c r="Y421" s="653"/>
      <c r="Z421" s="653"/>
      <c r="AA421" s="653"/>
      <c r="AB421" s="653"/>
      <c r="AC421" s="653"/>
      <c r="AD421" s="653"/>
      <c r="AE421" s="653"/>
      <c r="AF421" s="653"/>
      <c r="AG421" s="653"/>
      <c r="AH421" s="653"/>
      <c r="AI421" s="653"/>
      <c r="AJ421" s="653"/>
      <c r="AK421" s="653"/>
      <c r="AL421" s="653"/>
      <c r="AM421" s="653"/>
      <c r="AN421" s="653"/>
      <c r="AO421" s="653"/>
      <c r="AP421" s="653"/>
      <c r="AQ421" s="653"/>
      <c r="AR421" s="653"/>
      <c r="AS421" s="653"/>
      <c r="AT421" s="653"/>
      <c r="AU421" s="653"/>
      <c r="AV421" s="653"/>
      <c r="AW421" s="653"/>
      <c r="AX421" s="653"/>
      <c r="AY421" s="653"/>
      <c r="AZ421" s="653"/>
      <c r="BA421" s="653"/>
      <c r="BB421" s="653"/>
      <c r="BC421" s="653"/>
      <c r="BD421" s="653"/>
      <c r="BE421" s="653"/>
      <c r="BF421" s="653"/>
      <c r="BG421" s="653"/>
      <c r="BH421" s="653"/>
      <c r="BI421" s="653"/>
      <c r="BJ421" s="653"/>
      <c r="BK421" s="653"/>
      <c r="BL421" s="653"/>
      <c r="BM421" s="653"/>
      <c r="BN421" s="653"/>
      <c r="BO421" s="653"/>
      <c r="BP421" s="653"/>
      <c r="BQ421" s="653"/>
      <c r="BR421" s="653"/>
      <c r="BS421" s="653"/>
      <c r="BT421" s="653"/>
      <c r="BU421" s="653"/>
      <c r="BV421" s="653"/>
      <c r="BW421" s="653"/>
      <c r="BX421" s="653"/>
      <c r="BY421" s="653"/>
      <c r="BZ421" s="653"/>
      <c r="CA421" s="653"/>
      <c r="CB421" s="653"/>
      <c r="CC421" s="653"/>
      <c r="CD421" s="653"/>
      <c r="CE421" s="653"/>
      <c r="CF421" s="653"/>
      <c r="CG421" s="653"/>
      <c r="CH421" s="653"/>
      <c r="CI421" s="653"/>
      <c r="CJ421" s="653"/>
      <c r="CK421" s="653"/>
      <c r="CL421" s="653"/>
      <c r="CM421" s="653"/>
      <c r="CN421" s="653"/>
      <c r="CO421" s="653"/>
      <c r="CP421" s="653"/>
      <c r="CQ421" s="653"/>
      <c r="CR421" s="653"/>
      <c r="CS421" s="653"/>
      <c r="CT421" s="653"/>
      <c r="CU421" s="653"/>
      <c r="CV421" s="653"/>
      <c r="CW421" s="653"/>
      <c r="CX421" s="653"/>
      <c r="CY421" s="653"/>
      <c r="CZ421" s="653"/>
      <c r="DA421" s="653"/>
      <c r="DB421" s="653"/>
      <c r="DC421" s="653"/>
      <c r="DD421" s="653"/>
      <c r="DE421" s="653"/>
      <c r="DF421" s="653"/>
      <c r="DG421" s="653"/>
      <c r="DH421" s="653"/>
      <c r="DI421" s="653"/>
      <c r="DJ421" s="653"/>
      <c r="DK421" s="653"/>
      <c r="DL421" s="653"/>
      <c r="DM421" s="653"/>
      <c r="DN421" s="653"/>
      <c r="DO421" s="653"/>
      <c r="DP421" s="653"/>
      <c r="DQ421" s="653"/>
      <c r="DR421" s="653"/>
      <c r="DS421" s="653"/>
      <c r="DT421" s="653"/>
      <c r="DU421" s="653"/>
      <c r="DV421" s="653"/>
      <c r="DW421" s="653"/>
      <c r="DX421" s="653"/>
      <c r="DY421" s="653"/>
      <c r="DZ421" s="653"/>
      <c r="EA421" s="653"/>
      <c r="EB421" s="653"/>
      <c r="EC421" s="653"/>
      <c r="ED421" s="653"/>
      <c r="EE421" s="648"/>
      <c r="EF421" s="651"/>
      <c r="EG421" s="651"/>
      <c r="EH421" s="651"/>
      <c r="EI421" s="216"/>
      <c r="EJ421" s="662"/>
      <c r="EK421" s="662"/>
      <c r="EL421" s="662"/>
      <c r="EM421" s="662"/>
      <c r="EN421" s="662"/>
      <c r="EO421" s="662"/>
      <c r="EP421" s="662"/>
      <c r="EQ421" s="662"/>
      <c r="ER421" s="662"/>
      <c r="ES421" s="662"/>
      <c r="ET421" s="662"/>
      <c r="EU421" s="662"/>
      <c r="EV421" s="662"/>
      <c r="EW421" s="662"/>
      <c r="EX421" s="662"/>
      <c r="EY421" s="662"/>
      <c r="EZ421" s="662"/>
      <c r="FA421" s="662"/>
      <c r="FB421" s="662"/>
      <c r="FC421" s="662"/>
      <c r="FD421" s="662"/>
      <c r="FE421" s="662"/>
      <c r="FF421" s="662"/>
      <c r="FG421" s="662"/>
      <c r="FH421" s="662"/>
      <c r="FI421" s="662"/>
      <c r="FJ421" s="662"/>
      <c r="FK421" s="662"/>
      <c r="FL421" s="662"/>
      <c r="FM421" s="662"/>
      <c r="FN421" s="662"/>
      <c r="FO421" s="662"/>
      <c r="FP421" s="662"/>
      <c r="FQ421" s="662"/>
      <c r="FR421" s="662"/>
      <c r="FS421" s="662"/>
      <c r="FT421" s="662"/>
      <c r="FU421" s="662"/>
      <c r="FV421" s="662"/>
      <c r="FW421" s="662"/>
      <c r="FX421" s="662"/>
      <c r="FY421" s="662"/>
      <c r="FZ421" s="662"/>
      <c r="GA421" s="662"/>
      <c r="GB421" s="662"/>
      <c r="GC421" s="662"/>
      <c r="GD421" s="662"/>
      <c r="GE421" s="662"/>
      <c r="GF421" s="662"/>
      <c r="GG421" s="662"/>
      <c r="GH421" s="662"/>
      <c r="GI421" s="662"/>
      <c r="GJ421" s="662"/>
      <c r="GK421" s="662"/>
      <c r="GL421" s="662"/>
      <c r="GM421" s="662"/>
      <c r="GN421" s="662"/>
      <c r="GO421" s="662"/>
      <c r="GP421" s="662"/>
      <c r="GQ421" s="662"/>
      <c r="GR421" s="662"/>
      <c r="GS421" s="662"/>
      <c r="GT421" s="662"/>
      <c r="GU421" s="662"/>
      <c r="GV421" s="662"/>
      <c r="GW421" s="662"/>
      <c r="GX421" s="662"/>
      <c r="GY421" s="662"/>
      <c r="GZ421" s="662"/>
      <c r="HA421" s="662"/>
      <c r="HB421" s="662"/>
      <c r="HC421" s="662"/>
      <c r="HD421" s="662"/>
      <c r="HE421" s="662"/>
      <c r="HF421" s="662"/>
      <c r="HG421" s="662"/>
      <c r="HH421" s="662"/>
      <c r="HI421" s="662"/>
      <c r="HJ421" s="662"/>
      <c r="HK421" s="662"/>
      <c r="HL421" s="662"/>
      <c r="HM421" s="662"/>
      <c r="HN421" s="662"/>
      <c r="HO421" s="662"/>
      <c r="HP421" s="662"/>
      <c r="HQ421" s="662"/>
      <c r="HR421" s="662"/>
      <c r="HS421" s="662"/>
      <c r="HT421" s="662"/>
      <c r="HU421" s="662"/>
      <c r="HV421" s="662"/>
      <c r="HW421" s="662"/>
      <c r="HX421" s="662"/>
      <c r="HY421" s="662"/>
      <c r="HZ421" s="662"/>
      <c r="IA421" s="662"/>
      <c r="IB421" s="662"/>
      <c r="IC421" s="662"/>
      <c r="ID421" s="662"/>
      <c r="IE421" s="662"/>
      <c r="IF421" s="662"/>
      <c r="IG421" s="662"/>
      <c r="IH421" s="662"/>
      <c r="II421" s="662"/>
      <c r="IJ421" s="662"/>
      <c r="IK421" s="662"/>
      <c r="IL421" s="662"/>
      <c r="IM421" s="662"/>
      <c r="IN421" s="662"/>
      <c r="IO421" s="662"/>
      <c r="IP421" s="662"/>
      <c r="IQ421" s="653"/>
    </row>
    <row r="422" spans="18:251" ht="16.5" hidden="1" customHeight="1">
      <c r="R422" s="648"/>
      <c r="S422" s="648"/>
      <c r="T422" s="648"/>
      <c r="U422" s="653"/>
      <c r="V422" s="649"/>
      <c r="W422" s="653"/>
      <c r="X422" s="653"/>
      <c r="Y422" s="653"/>
      <c r="Z422" s="653"/>
      <c r="AA422" s="653"/>
      <c r="AB422" s="653"/>
      <c r="AC422" s="653"/>
      <c r="AD422" s="653"/>
      <c r="AE422" s="653"/>
      <c r="AF422" s="653"/>
      <c r="AG422" s="653"/>
      <c r="AH422" s="653"/>
      <c r="AI422" s="653"/>
      <c r="AJ422" s="653"/>
      <c r="AK422" s="653"/>
      <c r="AL422" s="653"/>
      <c r="AM422" s="653"/>
      <c r="AN422" s="653"/>
      <c r="AO422" s="653"/>
      <c r="AP422" s="653"/>
      <c r="AQ422" s="653"/>
      <c r="AR422" s="653"/>
      <c r="AS422" s="653"/>
      <c r="AT422" s="653"/>
      <c r="AU422" s="653"/>
      <c r="AV422" s="653"/>
      <c r="AW422" s="653"/>
      <c r="AX422" s="653"/>
      <c r="AY422" s="653"/>
      <c r="AZ422" s="653"/>
      <c r="BA422" s="653"/>
      <c r="BB422" s="653"/>
      <c r="BC422" s="653"/>
      <c r="BD422" s="653"/>
      <c r="BE422" s="653"/>
      <c r="BF422" s="653"/>
      <c r="BG422" s="653"/>
      <c r="BH422" s="653"/>
      <c r="BI422" s="653"/>
      <c r="BJ422" s="653"/>
      <c r="BK422" s="653"/>
      <c r="BL422" s="653"/>
      <c r="BM422" s="653"/>
      <c r="BN422" s="653"/>
      <c r="BO422" s="653"/>
      <c r="BP422" s="653"/>
      <c r="BQ422" s="653"/>
      <c r="BR422" s="653"/>
      <c r="BS422" s="653"/>
      <c r="BT422" s="653"/>
      <c r="BU422" s="653"/>
      <c r="BV422" s="653"/>
      <c r="BW422" s="653"/>
      <c r="BX422" s="653"/>
      <c r="BY422" s="653"/>
      <c r="BZ422" s="653"/>
      <c r="CA422" s="653"/>
      <c r="CB422" s="653"/>
      <c r="CC422" s="653"/>
      <c r="CD422" s="653"/>
      <c r="CE422" s="653"/>
      <c r="CF422" s="653"/>
      <c r="CG422" s="653"/>
      <c r="CH422" s="653"/>
      <c r="CI422" s="653"/>
      <c r="CJ422" s="653"/>
      <c r="CK422" s="653"/>
      <c r="CL422" s="653"/>
      <c r="CM422" s="653"/>
      <c r="CN422" s="653"/>
      <c r="CO422" s="653"/>
      <c r="CP422" s="653"/>
      <c r="CQ422" s="653"/>
      <c r="CR422" s="653"/>
      <c r="CS422" s="653"/>
      <c r="CT422" s="653"/>
      <c r="CU422" s="653"/>
      <c r="CV422" s="653"/>
      <c r="CW422" s="653"/>
      <c r="CX422" s="653"/>
      <c r="CY422" s="653"/>
      <c r="CZ422" s="653"/>
      <c r="DA422" s="653"/>
      <c r="DB422" s="653"/>
      <c r="DC422" s="653"/>
      <c r="DD422" s="653"/>
      <c r="DE422" s="653"/>
      <c r="DF422" s="653"/>
      <c r="DG422" s="653"/>
      <c r="DH422" s="653"/>
      <c r="DI422" s="653"/>
      <c r="DJ422" s="653"/>
      <c r="DK422" s="653"/>
      <c r="DL422" s="653"/>
      <c r="DM422" s="653"/>
      <c r="DN422" s="653"/>
      <c r="DO422" s="653"/>
      <c r="DP422" s="653"/>
      <c r="DQ422" s="653"/>
      <c r="DR422" s="653"/>
      <c r="DS422" s="653"/>
      <c r="DT422" s="653"/>
      <c r="DU422" s="653"/>
      <c r="DV422" s="653"/>
      <c r="DW422" s="653"/>
      <c r="DX422" s="653"/>
      <c r="DY422" s="653"/>
      <c r="DZ422" s="653"/>
      <c r="EA422" s="653"/>
      <c r="EB422" s="653"/>
      <c r="EC422" s="653"/>
      <c r="ED422" s="653"/>
      <c r="EE422" s="648"/>
      <c r="EF422" s="651"/>
      <c r="EG422" s="651"/>
      <c r="EH422" s="651"/>
      <c r="EI422" s="216"/>
      <c r="EJ422" s="662"/>
      <c r="EK422" s="662"/>
      <c r="EL422" s="662"/>
      <c r="EM422" s="662"/>
      <c r="EN422" s="662"/>
      <c r="EO422" s="662"/>
      <c r="EP422" s="662"/>
      <c r="EQ422" s="662"/>
      <c r="ER422" s="662"/>
      <c r="ES422" s="662"/>
      <c r="ET422" s="662"/>
      <c r="EU422" s="662"/>
      <c r="EV422" s="662"/>
      <c r="EW422" s="662"/>
      <c r="EX422" s="662"/>
      <c r="EY422" s="662"/>
      <c r="EZ422" s="662"/>
      <c r="FA422" s="662"/>
      <c r="FB422" s="662"/>
      <c r="FC422" s="662"/>
      <c r="FD422" s="662"/>
      <c r="FE422" s="662"/>
      <c r="FF422" s="662"/>
      <c r="FG422" s="662"/>
      <c r="FH422" s="662"/>
      <c r="FI422" s="662"/>
      <c r="FJ422" s="662"/>
      <c r="FK422" s="662"/>
      <c r="FL422" s="662"/>
      <c r="FM422" s="662"/>
      <c r="FN422" s="662"/>
      <c r="FO422" s="662"/>
      <c r="FP422" s="662"/>
      <c r="FQ422" s="662"/>
      <c r="FR422" s="662"/>
      <c r="FS422" s="662"/>
      <c r="FT422" s="662"/>
      <c r="FU422" s="662"/>
      <c r="FV422" s="662"/>
      <c r="FW422" s="662"/>
      <c r="FX422" s="662"/>
      <c r="FY422" s="662"/>
      <c r="FZ422" s="662"/>
      <c r="GA422" s="662"/>
      <c r="GB422" s="662"/>
      <c r="GC422" s="662"/>
      <c r="GD422" s="662"/>
      <c r="GE422" s="662"/>
      <c r="GF422" s="662"/>
      <c r="GG422" s="662"/>
      <c r="GH422" s="662"/>
      <c r="GI422" s="662"/>
      <c r="GJ422" s="662"/>
      <c r="GK422" s="662"/>
      <c r="GL422" s="662"/>
      <c r="GM422" s="662"/>
      <c r="GN422" s="662"/>
      <c r="GO422" s="662"/>
      <c r="GP422" s="662"/>
      <c r="GQ422" s="662"/>
      <c r="GR422" s="662"/>
      <c r="GS422" s="662"/>
      <c r="GT422" s="662"/>
      <c r="GU422" s="662"/>
      <c r="GV422" s="662"/>
      <c r="GW422" s="662"/>
      <c r="GX422" s="662"/>
      <c r="GY422" s="662"/>
      <c r="GZ422" s="662"/>
      <c r="HA422" s="662"/>
      <c r="HB422" s="662"/>
      <c r="HC422" s="662"/>
      <c r="HD422" s="662"/>
      <c r="HE422" s="662"/>
      <c r="HF422" s="662"/>
      <c r="HG422" s="662"/>
      <c r="HH422" s="662"/>
      <c r="HI422" s="662"/>
      <c r="HJ422" s="662"/>
      <c r="HK422" s="662"/>
      <c r="HL422" s="662"/>
      <c r="HM422" s="662"/>
      <c r="HN422" s="662"/>
      <c r="HO422" s="662"/>
      <c r="HP422" s="662"/>
      <c r="HQ422" s="662"/>
      <c r="HR422" s="662"/>
      <c r="HS422" s="662"/>
      <c r="HT422" s="662"/>
      <c r="HU422" s="662"/>
      <c r="HV422" s="662"/>
      <c r="HW422" s="662"/>
      <c r="HX422" s="662"/>
      <c r="HY422" s="662"/>
      <c r="HZ422" s="662"/>
      <c r="IA422" s="662"/>
      <c r="IB422" s="662"/>
      <c r="IC422" s="662"/>
      <c r="ID422" s="662"/>
      <c r="IE422" s="662"/>
      <c r="IF422" s="662"/>
      <c r="IG422" s="662"/>
      <c r="IH422" s="662"/>
      <c r="II422" s="662"/>
      <c r="IJ422" s="662"/>
      <c r="IK422" s="662"/>
      <c r="IL422" s="662"/>
      <c r="IM422" s="662"/>
      <c r="IN422" s="662"/>
      <c r="IO422" s="662"/>
      <c r="IP422" s="662"/>
      <c r="IQ422" s="653"/>
    </row>
    <row r="423" spans="18:251" ht="16.5" hidden="1" customHeight="1">
      <c r="R423" s="648"/>
      <c r="S423" s="648"/>
      <c r="T423" s="648"/>
      <c r="U423" s="653"/>
      <c r="V423" s="649"/>
      <c r="W423" s="653"/>
      <c r="X423" s="653"/>
      <c r="Y423" s="653"/>
      <c r="Z423" s="653"/>
      <c r="AA423" s="653"/>
      <c r="AB423" s="653"/>
      <c r="AC423" s="653"/>
      <c r="AD423" s="653"/>
      <c r="AE423" s="653"/>
      <c r="AF423" s="653"/>
      <c r="AG423" s="653"/>
      <c r="AH423" s="653"/>
      <c r="AI423" s="653"/>
      <c r="AJ423" s="653"/>
      <c r="AK423" s="653"/>
      <c r="AL423" s="653"/>
      <c r="AM423" s="653"/>
      <c r="AN423" s="653"/>
      <c r="AO423" s="653"/>
      <c r="AP423" s="653"/>
      <c r="AQ423" s="653"/>
      <c r="AR423" s="653"/>
      <c r="AS423" s="653"/>
      <c r="AT423" s="653"/>
      <c r="AU423" s="653"/>
      <c r="AV423" s="653"/>
      <c r="AW423" s="653"/>
      <c r="AX423" s="653"/>
      <c r="AY423" s="653"/>
      <c r="AZ423" s="653"/>
      <c r="BA423" s="653"/>
      <c r="BB423" s="653"/>
      <c r="BC423" s="653"/>
      <c r="BD423" s="653"/>
      <c r="BE423" s="653"/>
      <c r="BF423" s="653"/>
      <c r="BG423" s="653"/>
      <c r="BH423" s="653"/>
      <c r="BI423" s="653"/>
      <c r="BJ423" s="653"/>
      <c r="BK423" s="653"/>
      <c r="BL423" s="653"/>
      <c r="BM423" s="653"/>
      <c r="BN423" s="653"/>
      <c r="BO423" s="653"/>
      <c r="BP423" s="653"/>
      <c r="BQ423" s="653"/>
      <c r="BR423" s="653"/>
      <c r="BS423" s="653"/>
      <c r="BT423" s="653"/>
      <c r="BU423" s="653"/>
      <c r="BV423" s="653"/>
      <c r="BW423" s="653"/>
      <c r="BX423" s="653"/>
      <c r="BY423" s="653"/>
      <c r="BZ423" s="653"/>
      <c r="CA423" s="653"/>
      <c r="CB423" s="653"/>
      <c r="CC423" s="653"/>
      <c r="CD423" s="653"/>
      <c r="CE423" s="653"/>
      <c r="CF423" s="653"/>
      <c r="CG423" s="653"/>
      <c r="CH423" s="653"/>
      <c r="CI423" s="653"/>
      <c r="CJ423" s="653"/>
      <c r="CK423" s="653"/>
      <c r="CL423" s="653"/>
      <c r="CM423" s="653"/>
      <c r="CN423" s="653"/>
      <c r="CO423" s="653"/>
      <c r="CP423" s="653"/>
      <c r="CQ423" s="653"/>
      <c r="CR423" s="653"/>
      <c r="CS423" s="653"/>
      <c r="CT423" s="653"/>
      <c r="CU423" s="653"/>
      <c r="CV423" s="653"/>
      <c r="CW423" s="653"/>
      <c r="CX423" s="653"/>
      <c r="CY423" s="653"/>
      <c r="CZ423" s="653"/>
      <c r="DA423" s="653"/>
      <c r="DB423" s="653"/>
      <c r="DC423" s="653"/>
      <c r="DD423" s="653"/>
      <c r="DE423" s="653"/>
      <c r="DF423" s="653"/>
      <c r="DG423" s="653"/>
      <c r="DH423" s="653"/>
      <c r="DI423" s="653"/>
      <c r="DJ423" s="653"/>
      <c r="DK423" s="653"/>
      <c r="DL423" s="653"/>
      <c r="DM423" s="653"/>
      <c r="DN423" s="653"/>
      <c r="DO423" s="653"/>
      <c r="DP423" s="653"/>
      <c r="DQ423" s="653"/>
      <c r="DR423" s="653"/>
      <c r="DS423" s="653"/>
      <c r="DT423" s="653"/>
      <c r="DU423" s="653"/>
      <c r="DV423" s="653"/>
      <c r="DW423" s="653"/>
      <c r="DX423" s="653"/>
      <c r="DY423" s="653"/>
      <c r="DZ423" s="653"/>
      <c r="EA423" s="653"/>
      <c r="EB423" s="653"/>
      <c r="EC423" s="653"/>
      <c r="ED423" s="653"/>
      <c r="EE423" s="648"/>
      <c r="EF423" s="651"/>
      <c r="EG423" s="651"/>
      <c r="EH423" s="651"/>
      <c r="EI423" s="216"/>
      <c r="EJ423" s="662"/>
      <c r="EK423" s="662"/>
      <c r="EL423" s="662"/>
      <c r="EM423" s="662"/>
      <c r="EN423" s="662"/>
      <c r="EO423" s="662"/>
      <c r="EP423" s="662"/>
      <c r="EQ423" s="662"/>
      <c r="ER423" s="662"/>
      <c r="ES423" s="662"/>
      <c r="ET423" s="662"/>
      <c r="EU423" s="662"/>
      <c r="EV423" s="662"/>
      <c r="EW423" s="662"/>
      <c r="EX423" s="662"/>
      <c r="EY423" s="662"/>
      <c r="EZ423" s="662"/>
      <c r="FA423" s="662"/>
      <c r="FB423" s="662"/>
      <c r="FC423" s="662"/>
      <c r="FD423" s="662"/>
      <c r="FE423" s="662"/>
      <c r="FF423" s="662"/>
      <c r="FG423" s="662"/>
      <c r="FH423" s="662"/>
      <c r="FI423" s="662"/>
      <c r="FJ423" s="662"/>
      <c r="FK423" s="662"/>
      <c r="FL423" s="662"/>
      <c r="FM423" s="662"/>
      <c r="FN423" s="662"/>
      <c r="FO423" s="662"/>
      <c r="FP423" s="662"/>
      <c r="FQ423" s="662"/>
      <c r="FR423" s="662"/>
      <c r="FS423" s="662"/>
      <c r="FT423" s="662"/>
      <c r="FU423" s="662"/>
      <c r="FV423" s="662"/>
      <c r="FW423" s="662"/>
      <c r="FX423" s="662"/>
      <c r="FY423" s="662"/>
      <c r="FZ423" s="662"/>
      <c r="GA423" s="662"/>
      <c r="GB423" s="662"/>
      <c r="GC423" s="662"/>
      <c r="GD423" s="662"/>
      <c r="GE423" s="662"/>
      <c r="GF423" s="662"/>
      <c r="GG423" s="662"/>
      <c r="GH423" s="662"/>
      <c r="GI423" s="662"/>
      <c r="GJ423" s="662"/>
      <c r="GK423" s="662"/>
      <c r="GL423" s="662"/>
      <c r="GM423" s="662"/>
      <c r="GN423" s="662"/>
      <c r="GO423" s="662"/>
      <c r="GP423" s="662"/>
      <c r="GQ423" s="662"/>
      <c r="GR423" s="662"/>
      <c r="GS423" s="662"/>
      <c r="GT423" s="662"/>
      <c r="GU423" s="662"/>
      <c r="GV423" s="662"/>
      <c r="GW423" s="662"/>
      <c r="GX423" s="662"/>
      <c r="GY423" s="662"/>
      <c r="GZ423" s="662"/>
      <c r="HA423" s="662"/>
      <c r="HB423" s="662"/>
      <c r="HC423" s="662"/>
      <c r="HD423" s="662"/>
      <c r="HE423" s="662"/>
      <c r="HF423" s="662"/>
      <c r="HG423" s="662"/>
      <c r="HH423" s="662"/>
      <c r="HI423" s="662"/>
      <c r="HJ423" s="662"/>
      <c r="HK423" s="662"/>
      <c r="HL423" s="662"/>
      <c r="HM423" s="662"/>
      <c r="HN423" s="662"/>
      <c r="HO423" s="662"/>
      <c r="HP423" s="662"/>
      <c r="HQ423" s="662"/>
      <c r="HR423" s="662"/>
      <c r="HS423" s="662"/>
      <c r="HT423" s="662"/>
      <c r="HU423" s="662"/>
      <c r="HV423" s="662"/>
      <c r="HW423" s="662"/>
      <c r="HX423" s="662"/>
      <c r="HY423" s="662"/>
      <c r="HZ423" s="662"/>
      <c r="IA423" s="662"/>
      <c r="IB423" s="662"/>
      <c r="IC423" s="662"/>
      <c r="ID423" s="662"/>
      <c r="IE423" s="662"/>
      <c r="IF423" s="662"/>
      <c r="IG423" s="662"/>
      <c r="IH423" s="662"/>
      <c r="II423" s="662"/>
      <c r="IJ423" s="662"/>
      <c r="IK423" s="662"/>
      <c r="IL423" s="662"/>
      <c r="IM423" s="662"/>
      <c r="IN423" s="662"/>
      <c r="IO423" s="662"/>
      <c r="IP423" s="662"/>
      <c r="IQ423" s="653"/>
    </row>
    <row r="424" spans="18:251" ht="16.5" hidden="1" customHeight="1">
      <c r="R424" s="648"/>
      <c r="S424" s="648"/>
      <c r="T424" s="648"/>
      <c r="U424" s="653"/>
      <c r="V424" s="649"/>
      <c r="W424" s="653"/>
      <c r="X424" s="653"/>
      <c r="Y424" s="653"/>
      <c r="Z424" s="653"/>
      <c r="AA424" s="653"/>
      <c r="AB424" s="653"/>
      <c r="AC424" s="653"/>
      <c r="AD424" s="653"/>
      <c r="AE424" s="653"/>
      <c r="AF424" s="653"/>
      <c r="AG424" s="653"/>
      <c r="AH424" s="653"/>
      <c r="AI424" s="653"/>
      <c r="AJ424" s="653"/>
      <c r="AK424" s="653"/>
      <c r="AL424" s="653"/>
      <c r="AM424" s="653"/>
      <c r="AN424" s="653"/>
      <c r="AO424" s="653"/>
      <c r="AP424" s="653"/>
      <c r="AQ424" s="653"/>
      <c r="AR424" s="653"/>
      <c r="AS424" s="653"/>
      <c r="AT424" s="653"/>
      <c r="AU424" s="653"/>
      <c r="AV424" s="653"/>
      <c r="AW424" s="653"/>
      <c r="AX424" s="653"/>
      <c r="AY424" s="653"/>
      <c r="AZ424" s="653"/>
      <c r="BA424" s="653"/>
      <c r="BB424" s="653"/>
      <c r="BC424" s="653"/>
      <c r="BD424" s="653"/>
      <c r="BE424" s="653"/>
      <c r="BF424" s="653"/>
      <c r="BG424" s="653"/>
      <c r="BH424" s="653"/>
      <c r="BI424" s="653"/>
      <c r="BJ424" s="653"/>
      <c r="BK424" s="653"/>
      <c r="BL424" s="653"/>
      <c r="BM424" s="653"/>
      <c r="BN424" s="653"/>
      <c r="BO424" s="653"/>
      <c r="BP424" s="653"/>
      <c r="BQ424" s="653"/>
      <c r="BR424" s="653"/>
      <c r="BS424" s="653"/>
      <c r="BT424" s="653"/>
      <c r="BU424" s="653"/>
      <c r="BV424" s="653"/>
      <c r="BW424" s="653"/>
      <c r="BX424" s="653"/>
      <c r="BY424" s="653"/>
      <c r="BZ424" s="653"/>
      <c r="CA424" s="653"/>
      <c r="CB424" s="653"/>
      <c r="CC424" s="653"/>
      <c r="CD424" s="653"/>
      <c r="CE424" s="653"/>
      <c r="CF424" s="653"/>
      <c r="CG424" s="653"/>
      <c r="CH424" s="653"/>
      <c r="CI424" s="653"/>
      <c r="CJ424" s="653"/>
      <c r="CK424" s="653"/>
      <c r="CL424" s="653"/>
      <c r="CM424" s="653"/>
      <c r="CN424" s="653"/>
      <c r="CO424" s="653"/>
      <c r="CP424" s="653"/>
      <c r="CQ424" s="653"/>
      <c r="CR424" s="653"/>
      <c r="CS424" s="653"/>
      <c r="CT424" s="653"/>
      <c r="CU424" s="653"/>
      <c r="CV424" s="653"/>
      <c r="CW424" s="653"/>
      <c r="CX424" s="653"/>
      <c r="CY424" s="653"/>
      <c r="CZ424" s="653"/>
      <c r="DA424" s="653"/>
      <c r="DB424" s="653"/>
      <c r="DC424" s="653"/>
      <c r="DD424" s="653"/>
      <c r="DE424" s="653"/>
      <c r="DF424" s="653"/>
      <c r="DG424" s="653"/>
      <c r="DH424" s="653"/>
      <c r="DI424" s="653"/>
      <c r="DJ424" s="653"/>
      <c r="DK424" s="653"/>
      <c r="DL424" s="653"/>
      <c r="DM424" s="653"/>
      <c r="DN424" s="653"/>
      <c r="DO424" s="653"/>
      <c r="DP424" s="653"/>
      <c r="DQ424" s="653"/>
      <c r="DR424" s="653"/>
      <c r="DS424" s="653"/>
      <c r="DT424" s="653"/>
      <c r="DU424" s="653"/>
      <c r="DV424" s="653"/>
      <c r="DW424" s="653"/>
      <c r="DX424" s="653"/>
      <c r="DY424" s="653"/>
      <c r="DZ424" s="653"/>
      <c r="EA424" s="653"/>
      <c r="EB424" s="653"/>
      <c r="EC424" s="653"/>
      <c r="ED424" s="653"/>
      <c r="EE424" s="648"/>
      <c r="EF424" s="651"/>
      <c r="EG424" s="651"/>
      <c r="EH424" s="651"/>
      <c r="EI424" s="216"/>
      <c r="EJ424" s="662"/>
      <c r="EK424" s="662"/>
      <c r="EL424" s="662"/>
      <c r="EM424" s="662"/>
      <c r="EN424" s="662"/>
      <c r="EO424" s="662"/>
      <c r="EP424" s="662"/>
      <c r="EQ424" s="662"/>
      <c r="ER424" s="662"/>
      <c r="ES424" s="662"/>
      <c r="ET424" s="662"/>
      <c r="EU424" s="662"/>
      <c r="EV424" s="662"/>
      <c r="EW424" s="662"/>
      <c r="EX424" s="662"/>
      <c r="EY424" s="662"/>
      <c r="EZ424" s="662"/>
      <c r="FA424" s="662"/>
      <c r="FB424" s="662"/>
      <c r="FC424" s="662"/>
      <c r="FD424" s="662"/>
      <c r="FE424" s="662"/>
      <c r="FF424" s="662"/>
      <c r="FG424" s="662"/>
      <c r="FH424" s="662"/>
      <c r="FI424" s="662"/>
      <c r="FJ424" s="662"/>
      <c r="FK424" s="662"/>
      <c r="FL424" s="662"/>
      <c r="FM424" s="662"/>
      <c r="FN424" s="662"/>
      <c r="FO424" s="662"/>
      <c r="FP424" s="662"/>
      <c r="FQ424" s="662"/>
      <c r="FR424" s="662"/>
      <c r="FS424" s="662"/>
      <c r="FT424" s="662"/>
      <c r="FU424" s="662"/>
      <c r="FV424" s="662"/>
      <c r="FW424" s="662"/>
      <c r="FX424" s="662"/>
      <c r="FY424" s="662"/>
      <c r="FZ424" s="662"/>
      <c r="GA424" s="662"/>
      <c r="GB424" s="662"/>
      <c r="GC424" s="662"/>
      <c r="GD424" s="662"/>
      <c r="GE424" s="662"/>
      <c r="GF424" s="662"/>
      <c r="GG424" s="662"/>
      <c r="GH424" s="662"/>
      <c r="GI424" s="662"/>
      <c r="GJ424" s="662"/>
      <c r="GK424" s="662"/>
      <c r="GL424" s="662"/>
      <c r="GM424" s="662"/>
      <c r="GN424" s="662"/>
      <c r="GO424" s="662"/>
      <c r="GP424" s="662"/>
      <c r="GQ424" s="662"/>
      <c r="GR424" s="662"/>
      <c r="GS424" s="662"/>
      <c r="GT424" s="662"/>
      <c r="GU424" s="662"/>
      <c r="GV424" s="662"/>
      <c r="GW424" s="662"/>
      <c r="GX424" s="662"/>
      <c r="GY424" s="662"/>
      <c r="GZ424" s="662"/>
      <c r="HA424" s="662"/>
      <c r="HB424" s="662"/>
      <c r="HC424" s="662"/>
      <c r="HD424" s="662"/>
      <c r="HE424" s="662"/>
      <c r="HF424" s="662"/>
      <c r="HG424" s="662"/>
      <c r="HH424" s="662"/>
      <c r="HI424" s="662"/>
      <c r="HJ424" s="662"/>
      <c r="HK424" s="662"/>
      <c r="HL424" s="662"/>
      <c r="HM424" s="662"/>
      <c r="HN424" s="662"/>
      <c r="HO424" s="662"/>
      <c r="HP424" s="662"/>
      <c r="HQ424" s="662"/>
      <c r="HR424" s="662"/>
      <c r="HS424" s="662"/>
      <c r="HT424" s="662"/>
      <c r="HU424" s="662"/>
      <c r="HV424" s="662"/>
      <c r="HW424" s="662"/>
      <c r="HX424" s="662"/>
      <c r="HY424" s="662"/>
      <c r="HZ424" s="662"/>
      <c r="IA424" s="662"/>
      <c r="IB424" s="662"/>
      <c r="IC424" s="662"/>
      <c r="ID424" s="662"/>
      <c r="IE424" s="662"/>
      <c r="IF424" s="662"/>
      <c r="IG424" s="662"/>
      <c r="IH424" s="662"/>
      <c r="II424" s="662"/>
      <c r="IJ424" s="662"/>
      <c r="IK424" s="662"/>
      <c r="IL424" s="662"/>
      <c r="IM424" s="662"/>
      <c r="IN424" s="662"/>
      <c r="IO424" s="662"/>
      <c r="IP424" s="662"/>
      <c r="IQ424" s="653"/>
    </row>
    <row r="425" spans="18:251" ht="16.5" hidden="1" customHeight="1">
      <c r="R425" s="648"/>
      <c r="S425" s="648"/>
      <c r="T425" s="648"/>
      <c r="U425" s="653"/>
      <c r="V425" s="649"/>
      <c r="W425" s="653"/>
      <c r="X425" s="653"/>
      <c r="Y425" s="653"/>
      <c r="Z425" s="653"/>
      <c r="AA425" s="653"/>
      <c r="AB425" s="653"/>
      <c r="AC425" s="653"/>
      <c r="AD425" s="653"/>
      <c r="AE425" s="653"/>
      <c r="AF425" s="653"/>
      <c r="AG425" s="653"/>
      <c r="AH425" s="653"/>
      <c r="AI425" s="653"/>
      <c r="AJ425" s="653"/>
      <c r="AK425" s="653"/>
      <c r="AL425" s="653"/>
      <c r="AM425" s="653"/>
      <c r="AN425" s="653"/>
      <c r="AO425" s="653"/>
      <c r="AP425" s="653"/>
      <c r="AQ425" s="653"/>
      <c r="AR425" s="653"/>
      <c r="AS425" s="653"/>
      <c r="AT425" s="653"/>
      <c r="AU425" s="653"/>
      <c r="AV425" s="653"/>
      <c r="AW425" s="653"/>
      <c r="AX425" s="653"/>
      <c r="AY425" s="653"/>
      <c r="AZ425" s="653"/>
      <c r="BA425" s="653"/>
      <c r="BB425" s="653"/>
      <c r="BC425" s="653"/>
      <c r="BD425" s="653"/>
      <c r="BE425" s="653"/>
      <c r="BF425" s="653"/>
      <c r="BG425" s="653"/>
      <c r="BH425" s="653"/>
      <c r="BI425" s="653"/>
      <c r="BJ425" s="653"/>
      <c r="BK425" s="653"/>
      <c r="BL425" s="653"/>
      <c r="BM425" s="653"/>
      <c r="BN425" s="653"/>
      <c r="BO425" s="653"/>
      <c r="BP425" s="653"/>
      <c r="BQ425" s="653"/>
      <c r="BR425" s="653"/>
      <c r="BS425" s="653"/>
      <c r="BT425" s="653"/>
      <c r="BU425" s="653"/>
      <c r="BV425" s="653"/>
      <c r="BW425" s="653"/>
      <c r="BX425" s="653"/>
      <c r="BY425" s="653"/>
      <c r="BZ425" s="653"/>
      <c r="CA425" s="653"/>
      <c r="CB425" s="653"/>
      <c r="CC425" s="653"/>
      <c r="CD425" s="653"/>
      <c r="CE425" s="653"/>
      <c r="CF425" s="653"/>
      <c r="CG425" s="653"/>
      <c r="CH425" s="653"/>
      <c r="CI425" s="653"/>
      <c r="CJ425" s="653"/>
      <c r="CK425" s="653"/>
      <c r="CL425" s="653"/>
      <c r="CM425" s="653"/>
      <c r="CN425" s="653"/>
      <c r="CO425" s="653"/>
      <c r="CP425" s="653"/>
      <c r="CQ425" s="653"/>
      <c r="CR425" s="653"/>
      <c r="CS425" s="653"/>
      <c r="CT425" s="653"/>
      <c r="CU425" s="653"/>
      <c r="CV425" s="653"/>
      <c r="CW425" s="653"/>
      <c r="CX425" s="653"/>
      <c r="CY425" s="653"/>
      <c r="CZ425" s="653"/>
      <c r="DA425" s="653"/>
      <c r="DB425" s="653"/>
      <c r="DC425" s="653"/>
      <c r="DD425" s="653"/>
      <c r="DE425" s="653"/>
      <c r="DF425" s="653"/>
      <c r="DG425" s="653"/>
      <c r="DH425" s="653"/>
      <c r="DI425" s="653"/>
      <c r="DJ425" s="653"/>
      <c r="DK425" s="653"/>
      <c r="DL425" s="653"/>
      <c r="DM425" s="653"/>
      <c r="DN425" s="653"/>
      <c r="DO425" s="653"/>
      <c r="DP425" s="653"/>
      <c r="DQ425" s="653"/>
      <c r="DR425" s="653"/>
      <c r="DS425" s="653"/>
      <c r="DT425" s="653"/>
      <c r="DU425" s="653"/>
      <c r="DV425" s="653"/>
      <c r="DW425" s="653"/>
      <c r="DX425" s="653"/>
      <c r="DY425" s="653"/>
      <c r="DZ425" s="653"/>
      <c r="EA425" s="653"/>
      <c r="EB425" s="653"/>
      <c r="EC425" s="653"/>
      <c r="ED425" s="653"/>
      <c r="EE425" s="648"/>
      <c r="EF425" s="651"/>
      <c r="EG425" s="651"/>
      <c r="EH425" s="651"/>
      <c r="EI425" s="216"/>
      <c r="EJ425" s="662"/>
      <c r="EK425" s="662"/>
      <c r="EL425" s="662"/>
      <c r="EM425" s="662"/>
      <c r="EN425" s="662"/>
      <c r="EO425" s="662"/>
      <c r="EP425" s="662"/>
      <c r="EQ425" s="662"/>
      <c r="ER425" s="662"/>
      <c r="ES425" s="662"/>
      <c r="ET425" s="662"/>
      <c r="EU425" s="662"/>
      <c r="EV425" s="662"/>
      <c r="EW425" s="662"/>
      <c r="EX425" s="662"/>
      <c r="EY425" s="662"/>
      <c r="EZ425" s="662"/>
      <c r="FA425" s="662"/>
      <c r="FB425" s="662"/>
      <c r="FC425" s="662"/>
      <c r="FD425" s="662"/>
      <c r="FE425" s="662"/>
      <c r="FF425" s="662"/>
      <c r="FG425" s="662"/>
      <c r="FH425" s="662"/>
      <c r="FI425" s="662"/>
      <c r="FJ425" s="662"/>
      <c r="FK425" s="662"/>
      <c r="FL425" s="662"/>
      <c r="FM425" s="662"/>
      <c r="FN425" s="662"/>
      <c r="FO425" s="662"/>
      <c r="FP425" s="662"/>
      <c r="FQ425" s="662"/>
      <c r="FR425" s="662"/>
      <c r="FS425" s="662"/>
      <c r="FT425" s="662"/>
      <c r="FU425" s="662"/>
      <c r="FV425" s="662"/>
      <c r="FW425" s="662"/>
      <c r="FX425" s="662"/>
      <c r="FY425" s="662"/>
      <c r="FZ425" s="662"/>
      <c r="GA425" s="662"/>
      <c r="GB425" s="662"/>
      <c r="GC425" s="662"/>
      <c r="GD425" s="662"/>
      <c r="GE425" s="662"/>
      <c r="GF425" s="662"/>
      <c r="GG425" s="662"/>
      <c r="GH425" s="662"/>
      <c r="GI425" s="662"/>
      <c r="GJ425" s="662"/>
      <c r="GK425" s="662"/>
      <c r="GL425" s="662"/>
      <c r="GM425" s="662"/>
      <c r="GN425" s="662"/>
      <c r="GO425" s="662"/>
      <c r="GP425" s="662"/>
      <c r="GQ425" s="662"/>
      <c r="GR425" s="662"/>
      <c r="GS425" s="662"/>
      <c r="GT425" s="662"/>
      <c r="GU425" s="662"/>
      <c r="GV425" s="662"/>
      <c r="GW425" s="662"/>
      <c r="GX425" s="662"/>
      <c r="GY425" s="662"/>
      <c r="GZ425" s="662"/>
      <c r="HA425" s="662"/>
      <c r="HB425" s="662"/>
      <c r="HC425" s="662"/>
      <c r="HD425" s="662"/>
      <c r="HE425" s="662"/>
      <c r="HF425" s="662"/>
      <c r="HG425" s="662"/>
      <c r="HH425" s="662"/>
      <c r="HI425" s="662"/>
      <c r="HJ425" s="662"/>
      <c r="HK425" s="662"/>
      <c r="HL425" s="662"/>
      <c r="HM425" s="662"/>
      <c r="HN425" s="662"/>
      <c r="HO425" s="662"/>
      <c r="HP425" s="662"/>
      <c r="HQ425" s="662"/>
      <c r="HR425" s="662"/>
      <c r="HS425" s="662"/>
      <c r="HT425" s="662"/>
      <c r="HU425" s="662"/>
      <c r="HV425" s="662"/>
      <c r="HW425" s="662"/>
      <c r="HX425" s="662"/>
      <c r="HY425" s="662"/>
      <c r="HZ425" s="662"/>
      <c r="IA425" s="662"/>
      <c r="IB425" s="662"/>
      <c r="IC425" s="662"/>
      <c r="ID425" s="662"/>
      <c r="IE425" s="662"/>
      <c r="IF425" s="662"/>
      <c r="IG425" s="662"/>
      <c r="IH425" s="662"/>
      <c r="II425" s="662"/>
      <c r="IJ425" s="662"/>
      <c r="IK425" s="662"/>
      <c r="IL425" s="662"/>
      <c r="IM425" s="662"/>
      <c r="IN425" s="662"/>
      <c r="IO425" s="662"/>
      <c r="IP425" s="662"/>
      <c r="IQ425" s="653"/>
    </row>
    <row r="426" spans="18:251" ht="16.5" hidden="1" customHeight="1">
      <c r="R426" s="648"/>
      <c r="S426" s="648"/>
      <c r="T426" s="648"/>
      <c r="U426" s="653"/>
      <c r="V426" s="649"/>
      <c r="W426" s="653"/>
      <c r="X426" s="653"/>
      <c r="Y426" s="653"/>
      <c r="Z426" s="653"/>
      <c r="AA426" s="653"/>
      <c r="AB426" s="653"/>
      <c r="AC426" s="653"/>
      <c r="AD426" s="653"/>
      <c r="AE426" s="653"/>
      <c r="AF426" s="653"/>
      <c r="AG426" s="653"/>
      <c r="AH426" s="653"/>
      <c r="AI426" s="653"/>
      <c r="AJ426" s="653"/>
      <c r="AK426" s="653"/>
      <c r="AL426" s="653"/>
      <c r="AM426" s="653"/>
      <c r="AN426" s="653"/>
      <c r="AO426" s="653"/>
      <c r="AP426" s="653"/>
      <c r="AQ426" s="653"/>
      <c r="AR426" s="653"/>
      <c r="AS426" s="653"/>
      <c r="AT426" s="653"/>
      <c r="AU426" s="653"/>
      <c r="AV426" s="653"/>
      <c r="AW426" s="653"/>
      <c r="AX426" s="653"/>
      <c r="AY426" s="653"/>
      <c r="AZ426" s="653"/>
      <c r="BA426" s="653"/>
      <c r="BB426" s="653"/>
      <c r="BC426" s="653"/>
      <c r="BD426" s="653"/>
      <c r="BE426" s="653"/>
      <c r="BF426" s="653"/>
      <c r="BG426" s="653"/>
      <c r="BH426" s="653"/>
      <c r="BI426" s="653"/>
      <c r="BJ426" s="653"/>
      <c r="BK426" s="653"/>
      <c r="BL426" s="653"/>
      <c r="BM426" s="653"/>
      <c r="BN426" s="653"/>
      <c r="BO426" s="653"/>
      <c r="BP426" s="653"/>
      <c r="BQ426" s="653"/>
      <c r="BR426" s="653"/>
      <c r="BS426" s="653"/>
      <c r="BT426" s="653"/>
      <c r="BU426" s="653"/>
      <c r="BV426" s="653"/>
      <c r="BW426" s="653"/>
      <c r="BX426" s="653"/>
      <c r="BY426" s="653"/>
      <c r="BZ426" s="653"/>
      <c r="CA426" s="653"/>
      <c r="CB426" s="653"/>
      <c r="CC426" s="653"/>
      <c r="CD426" s="653"/>
      <c r="CE426" s="653"/>
      <c r="CF426" s="653"/>
      <c r="CG426" s="653"/>
      <c r="CH426" s="653"/>
      <c r="CI426" s="653"/>
      <c r="CJ426" s="653"/>
      <c r="CK426" s="653"/>
      <c r="CL426" s="653"/>
      <c r="CM426" s="653"/>
      <c r="CN426" s="653"/>
      <c r="CO426" s="653"/>
      <c r="CP426" s="653"/>
      <c r="CQ426" s="653"/>
      <c r="CR426" s="653"/>
      <c r="CS426" s="653"/>
      <c r="CT426" s="653"/>
      <c r="CU426" s="653"/>
      <c r="CV426" s="653"/>
      <c r="CW426" s="653"/>
      <c r="CX426" s="653"/>
      <c r="CY426" s="653"/>
      <c r="CZ426" s="653"/>
      <c r="DA426" s="653"/>
      <c r="DB426" s="653"/>
      <c r="DC426" s="653"/>
      <c r="DD426" s="653"/>
      <c r="DE426" s="653"/>
      <c r="DF426" s="653"/>
      <c r="DG426" s="653"/>
      <c r="DH426" s="653"/>
      <c r="DI426" s="653"/>
      <c r="DJ426" s="653"/>
      <c r="DK426" s="653"/>
      <c r="DL426" s="653"/>
      <c r="DM426" s="653"/>
      <c r="DN426" s="653"/>
      <c r="DO426" s="653"/>
      <c r="DP426" s="653"/>
      <c r="DQ426" s="653"/>
      <c r="DR426" s="653"/>
      <c r="DS426" s="653"/>
      <c r="DT426" s="653"/>
      <c r="DU426" s="653"/>
      <c r="DV426" s="653"/>
      <c r="DW426" s="653"/>
      <c r="DX426" s="653"/>
      <c r="DY426" s="653"/>
      <c r="DZ426" s="653"/>
      <c r="EA426" s="653"/>
      <c r="EB426" s="653"/>
      <c r="EC426" s="653"/>
      <c r="ED426" s="653"/>
      <c r="EE426" s="648"/>
      <c r="EF426" s="651"/>
      <c r="EG426" s="651"/>
      <c r="EH426" s="651"/>
      <c r="EI426" s="216"/>
      <c r="EJ426" s="662"/>
      <c r="EK426" s="662"/>
      <c r="EL426" s="662"/>
      <c r="EM426" s="662"/>
      <c r="EN426" s="662"/>
      <c r="EO426" s="662"/>
      <c r="EP426" s="662"/>
      <c r="EQ426" s="662"/>
      <c r="ER426" s="662"/>
      <c r="ES426" s="662"/>
      <c r="ET426" s="662"/>
      <c r="EU426" s="662"/>
      <c r="EV426" s="662"/>
      <c r="EW426" s="662"/>
      <c r="EX426" s="662"/>
      <c r="EY426" s="662"/>
      <c r="EZ426" s="662"/>
      <c r="FA426" s="662"/>
      <c r="FB426" s="662"/>
      <c r="FC426" s="662"/>
      <c r="FD426" s="662"/>
      <c r="FE426" s="662"/>
      <c r="FF426" s="662"/>
      <c r="FG426" s="662"/>
      <c r="FH426" s="662"/>
      <c r="FI426" s="662"/>
      <c r="FJ426" s="662"/>
      <c r="FK426" s="662"/>
      <c r="FL426" s="662"/>
      <c r="FM426" s="662"/>
      <c r="FN426" s="662"/>
      <c r="FO426" s="662"/>
      <c r="FP426" s="662"/>
      <c r="FQ426" s="662"/>
      <c r="FR426" s="662"/>
      <c r="FS426" s="662"/>
      <c r="FT426" s="662"/>
      <c r="FU426" s="662"/>
      <c r="FV426" s="662"/>
      <c r="FW426" s="662"/>
      <c r="FX426" s="662"/>
      <c r="FY426" s="662"/>
      <c r="FZ426" s="662"/>
      <c r="GA426" s="662"/>
      <c r="GB426" s="662"/>
      <c r="GC426" s="662"/>
      <c r="GD426" s="662"/>
      <c r="GE426" s="662"/>
      <c r="GF426" s="662"/>
      <c r="GG426" s="662"/>
      <c r="GH426" s="662"/>
      <c r="GI426" s="662"/>
      <c r="GJ426" s="662"/>
      <c r="GK426" s="662"/>
      <c r="GL426" s="662"/>
      <c r="GM426" s="662"/>
      <c r="GN426" s="662"/>
      <c r="GO426" s="662"/>
      <c r="GP426" s="662"/>
      <c r="GQ426" s="662"/>
      <c r="GR426" s="662"/>
      <c r="GS426" s="662"/>
      <c r="GT426" s="662"/>
      <c r="GU426" s="662"/>
      <c r="GV426" s="662"/>
      <c r="GW426" s="662"/>
      <c r="GX426" s="662"/>
      <c r="GY426" s="662"/>
      <c r="GZ426" s="662"/>
      <c r="HA426" s="662"/>
      <c r="HB426" s="662"/>
      <c r="HC426" s="662"/>
      <c r="HD426" s="662"/>
      <c r="HE426" s="662"/>
      <c r="HF426" s="662"/>
      <c r="HG426" s="662"/>
      <c r="HH426" s="662"/>
      <c r="HI426" s="662"/>
      <c r="HJ426" s="662"/>
      <c r="HK426" s="662"/>
      <c r="HL426" s="662"/>
      <c r="HM426" s="662"/>
      <c r="HN426" s="662"/>
      <c r="HO426" s="662"/>
      <c r="HP426" s="662"/>
      <c r="HQ426" s="662"/>
      <c r="HR426" s="662"/>
      <c r="HS426" s="662"/>
      <c r="HT426" s="662"/>
      <c r="HU426" s="662"/>
      <c r="HV426" s="662"/>
      <c r="HW426" s="662"/>
      <c r="HX426" s="662"/>
      <c r="HY426" s="662"/>
      <c r="HZ426" s="662"/>
      <c r="IA426" s="662"/>
      <c r="IB426" s="662"/>
      <c r="IC426" s="662"/>
      <c r="ID426" s="662"/>
      <c r="IE426" s="662"/>
      <c r="IF426" s="662"/>
      <c r="IG426" s="662"/>
      <c r="IH426" s="662"/>
      <c r="II426" s="662"/>
      <c r="IJ426" s="662"/>
      <c r="IK426" s="662"/>
      <c r="IL426" s="662"/>
      <c r="IM426" s="662"/>
      <c r="IN426" s="662"/>
      <c r="IO426" s="662"/>
      <c r="IP426" s="662"/>
      <c r="IQ426" s="653"/>
    </row>
    <row r="427" spans="18:251" ht="16.5" hidden="1" customHeight="1">
      <c r="R427" s="648"/>
      <c r="S427" s="648"/>
      <c r="T427" s="648"/>
      <c r="U427" s="653"/>
      <c r="V427" s="649"/>
      <c r="W427" s="653"/>
      <c r="X427" s="653"/>
      <c r="Y427" s="653"/>
      <c r="Z427" s="653"/>
      <c r="AA427" s="653"/>
      <c r="AB427" s="653"/>
      <c r="AC427" s="653"/>
      <c r="AD427" s="653"/>
      <c r="AE427" s="653"/>
      <c r="AF427" s="653"/>
      <c r="AG427" s="653"/>
      <c r="AH427" s="653"/>
      <c r="AI427" s="653"/>
      <c r="AJ427" s="653"/>
      <c r="AK427" s="653"/>
      <c r="AL427" s="653"/>
      <c r="AM427" s="653"/>
      <c r="AN427" s="653"/>
      <c r="AO427" s="653"/>
      <c r="AP427" s="653"/>
      <c r="AQ427" s="653"/>
      <c r="AR427" s="653"/>
      <c r="AS427" s="653"/>
      <c r="AT427" s="653"/>
      <c r="AU427" s="653"/>
      <c r="AV427" s="653"/>
      <c r="AW427" s="653"/>
      <c r="AX427" s="653"/>
      <c r="AY427" s="653"/>
      <c r="AZ427" s="653"/>
      <c r="BA427" s="653"/>
      <c r="BB427" s="653"/>
      <c r="BC427" s="653"/>
      <c r="BD427" s="653"/>
      <c r="BE427" s="653"/>
      <c r="BF427" s="653"/>
      <c r="BG427" s="653"/>
      <c r="BH427" s="653"/>
      <c r="BI427" s="653"/>
      <c r="BJ427" s="653"/>
      <c r="BK427" s="653"/>
      <c r="BL427" s="653"/>
      <c r="BM427" s="653"/>
      <c r="BN427" s="653"/>
      <c r="BO427" s="653"/>
      <c r="BP427" s="653"/>
      <c r="BQ427" s="653"/>
      <c r="BR427" s="653"/>
      <c r="BS427" s="653"/>
      <c r="BT427" s="653"/>
      <c r="BU427" s="653"/>
      <c r="BV427" s="653"/>
      <c r="BW427" s="653"/>
      <c r="BX427" s="653"/>
      <c r="BY427" s="653"/>
      <c r="BZ427" s="653"/>
      <c r="CA427" s="653"/>
      <c r="CB427" s="653"/>
      <c r="CC427" s="653"/>
      <c r="CD427" s="653"/>
      <c r="CE427" s="653"/>
      <c r="CF427" s="653"/>
      <c r="CG427" s="653"/>
      <c r="CH427" s="653"/>
      <c r="CI427" s="653"/>
      <c r="CJ427" s="653"/>
      <c r="CK427" s="653"/>
      <c r="CL427" s="653"/>
      <c r="CM427" s="653"/>
      <c r="CN427" s="653"/>
      <c r="CO427" s="653"/>
      <c r="CP427" s="653"/>
      <c r="CQ427" s="653"/>
      <c r="CR427" s="653"/>
      <c r="CS427" s="653"/>
      <c r="CT427" s="653"/>
      <c r="CU427" s="653"/>
      <c r="CV427" s="653"/>
      <c r="CW427" s="653"/>
      <c r="CX427" s="653"/>
      <c r="CY427" s="653"/>
      <c r="CZ427" s="653"/>
      <c r="DA427" s="653"/>
      <c r="DB427" s="653"/>
      <c r="DC427" s="653"/>
      <c r="DD427" s="653"/>
      <c r="DE427" s="653"/>
      <c r="DF427" s="653"/>
      <c r="DG427" s="653"/>
      <c r="DH427" s="653"/>
      <c r="DI427" s="653"/>
      <c r="DJ427" s="653"/>
      <c r="DK427" s="653"/>
      <c r="DL427" s="653"/>
      <c r="DM427" s="653"/>
      <c r="DN427" s="653"/>
      <c r="DO427" s="653"/>
      <c r="DP427" s="653"/>
      <c r="DQ427" s="653"/>
      <c r="DR427" s="653"/>
      <c r="DS427" s="653"/>
      <c r="DT427" s="653"/>
      <c r="DU427" s="653"/>
      <c r="DV427" s="653"/>
      <c r="DW427" s="653"/>
      <c r="DX427" s="653"/>
      <c r="DY427" s="653"/>
      <c r="DZ427" s="653"/>
      <c r="EA427" s="653"/>
      <c r="EB427" s="653"/>
      <c r="EC427" s="653"/>
      <c r="ED427" s="653"/>
      <c r="EE427" s="648"/>
      <c r="EF427" s="651"/>
      <c r="EG427" s="651"/>
      <c r="EH427" s="651"/>
      <c r="EI427" s="216"/>
      <c r="EJ427" s="662"/>
      <c r="EK427" s="662"/>
      <c r="EL427" s="662"/>
      <c r="EM427" s="662"/>
      <c r="EN427" s="662"/>
      <c r="EO427" s="662"/>
      <c r="EP427" s="662"/>
      <c r="EQ427" s="662"/>
      <c r="ER427" s="662"/>
      <c r="ES427" s="662"/>
      <c r="ET427" s="662"/>
      <c r="EU427" s="662"/>
      <c r="EV427" s="662"/>
      <c r="EW427" s="662"/>
      <c r="EX427" s="662"/>
      <c r="EY427" s="662"/>
      <c r="EZ427" s="662"/>
      <c r="FA427" s="662"/>
      <c r="FB427" s="662"/>
      <c r="FC427" s="662"/>
      <c r="FD427" s="662"/>
      <c r="FE427" s="662"/>
      <c r="FF427" s="662"/>
      <c r="FG427" s="662"/>
      <c r="FH427" s="662"/>
      <c r="FI427" s="662"/>
      <c r="FJ427" s="662"/>
      <c r="FK427" s="662"/>
      <c r="FL427" s="662"/>
      <c r="FM427" s="662"/>
      <c r="FN427" s="662"/>
      <c r="FO427" s="662"/>
      <c r="FP427" s="662"/>
      <c r="FQ427" s="662"/>
      <c r="FR427" s="662"/>
      <c r="FS427" s="662"/>
      <c r="FT427" s="662"/>
      <c r="FU427" s="662"/>
      <c r="FV427" s="662"/>
      <c r="FW427" s="662"/>
      <c r="FX427" s="662"/>
      <c r="FY427" s="662"/>
      <c r="FZ427" s="662"/>
      <c r="GA427" s="662"/>
      <c r="GB427" s="662"/>
      <c r="GC427" s="662"/>
      <c r="GD427" s="662"/>
      <c r="GE427" s="662"/>
      <c r="GF427" s="662"/>
      <c r="GG427" s="662"/>
      <c r="GH427" s="662"/>
      <c r="GI427" s="662"/>
      <c r="GJ427" s="662"/>
      <c r="GK427" s="662"/>
      <c r="GL427" s="662"/>
      <c r="GM427" s="662"/>
      <c r="GN427" s="662"/>
      <c r="GO427" s="662"/>
      <c r="GP427" s="662"/>
      <c r="GQ427" s="662"/>
      <c r="GR427" s="662"/>
      <c r="GS427" s="662"/>
      <c r="GT427" s="662"/>
      <c r="GU427" s="662"/>
      <c r="GV427" s="662"/>
      <c r="GW427" s="662"/>
      <c r="GX427" s="662"/>
      <c r="GY427" s="662"/>
      <c r="GZ427" s="662"/>
      <c r="HA427" s="662"/>
      <c r="HB427" s="662"/>
      <c r="HC427" s="662"/>
      <c r="HD427" s="662"/>
      <c r="HE427" s="662"/>
      <c r="HF427" s="662"/>
      <c r="HG427" s="662"/>
      <c r="HH427" s="662"/>
      <c r="HI427" s="662"/>
      <c r="HJ427" s="662"/>
      <c r="HK427" s="662"/>
      <c r="HL427" s="662"/>
      <c r="HM427" s="662"/>
      <c r="HN427" s="662"/>
      <c r="HO427" s="662"/>
      <c r="HP427" s="662"/>
      <c r="HQ427" s="662"/>
      <c r="HR427" s="662"/>
      <c r="HS427" s="662"/>
      <c r="HT427" s="662"/>
      <c r="HU427" s="662"/>
      <c r="HV427" s="662"/>
      <c r="HW427" s="662"/>
      <c r="HX427" s="662"/>
      <c r="HY427" s="662"/>
      <c r="HZ427" s="662"/>
      <c r="IA427" s="662"/>
      <c r="IB427" s="662"/>
      <c r="IC427" s="662"/>
      <c r="ID427" s="662"/>
      <c r="IE427" s="662"/>
      <c r="IF427" s="662"/>
      <c r="IG427" s="662"/>
      <c r="IH427" s="662"/>
      <c r="II427" s="662"/>
      <c r="IJ427" s="662"/>
      <c r="IK427" s="662"/>
      <c r="IL427" s="662"/>
      <c r="IM427" s="662"/>
      <c r="IN427" s="662"/>
      <c r="IO427" s="662"/>
      <c r="IP427" s="662"/>
      <c r="IQ427" s="653"/>
    </row>
    <row r="428" spans="18:251" ht="16.5" hidden="1" customHeight="1">
      <c r="R428" s="648"/>
      <c r="S428" s="648"/>
      <c r="T428" s="648"/>
      <c r="U428" s="653"/>
      <c r="V428" s="649"/>
      <c r="W428" s="653"/>
      <c r="X428" s="653"/>
      <c r="Y428" s="653"/>
      <c r="Z428" s="653"/>
      <c r="AA428" s="653"/>
      <c r="AB428" s="653"/>
      <c r="AC428" s="653"/>
      <c r="AD428" s="653"/>
      <c r="AE428" s="653"/>
      <c r="AF428" s="653"/>
      <c r="AG428" s="653"/>
      <c r="AH428" s="653"/>
      <c r="AI428" s="653"/>
      <c r="AJ428" s="653"/>
      <c r="AK428" s="653"/>
      <c r="AL428" s="653"/>
      <c r="AM428" s="653"/>
      <c r="AN428" s="653"/>
      <c r="AO428" s="653"/>
      <c r="AP428" s="653"/>
      <c r="AQ428" s="653"/>
      <c r="AR428" s="653"/>
      <c r="AS428" s="653"/>
      <c r="AT428" s="653"/>
      <c r="AU428" s="653"/>
      <c r="AV428" s="653"/>
      <c r="AW428" s="653"/>
      <c r="AX428" s="653"/>
      <c r="AY428" s="653"/>
      <c r="AZ428" s="653"/>
      <c r="BA428" s="653"/>
      <c r="BB428" s="653"/>
      <c r="BC428" s="653"/>
      <c r="BD428" s="653"/>
      <c r="BE428" s="653"/>
      <c r="BF428" s="653"/>
      <c r="BG428" s="653"/>
      <c r="BH428" s="653"/>
      <c r="BI428" s="653"/>
      <c r="BJ428" s="653"/>
      <c r="BK428" s="653"/>
      <c r="BL428" s="653"/>
      <c r="BM428" s="653"/>
      <c r="BN428" s="653"/>
      <c r="BO428" s="653"/>
      <c r="BP428" s="653"/>
      <c r="BQ428" s="653"/>
      <c r="BR428" s="653"/>
      <c r="BS428" s="653"/>
      <c r="BT428" s="653"/>
      <c r="BU428" s="653"/>
      <c r="BV428" s="653"/>
      <c r="BW428" s="653"/>
      <c r="BX428" s="653"/>
      <c r="BY428" s="653"/>
      <c r="BZ428" s="653"/>
      <c r="CA428" s="653"/>
      <c r="CB428" s="653"/>
      <c r="CC428" s="653"/>
      <c r="CD428" s="653"/>
      <c r="CE428" s="653"/>
      <c r="CF428" s="653"/>
      <c r="CG428" s="653"/>
      <c r="CH428" s="653"/>
      <c r="CI428" s="653"/>
      <c r="CJ428" s="653"/>
      <c r="CK428" s="653"/>
      <c r="CL428" s="653"/>
      <c r="CM428" s="653"/>
      <c r="CN428" s="653"/>
      <c r="CO428" s="653"/>
      <c r="CP428" s="653"/>
      <c r="CQ428" s="653"/>
      <c r="CR428" s="653"/>
      <c r="CS428" s="653"/>
      <c r="CT428" s="653"/>
      <c r="CU428" s="653"/>
      <c r="CV428" s="653"/>
      <c r="CW428" s="653"/>
      <c r="CX428" s="653"/>
      <c r="CY428" s="653"/>
      <c r="CZ428" s="653"/>
      <c r="DA428" s="653"/>
      <c r="DB428" s="653"/>
      <c r="DC428" s="653"/>
      <c r="DD428" s="653"/>
      <c r="DE428" s="653"/>
      <c r="DF428" s="653"/>
      <c r="DG428" s="653"/>
      <c r="DH428" s="653"/>
      <c r="DI428" s="653"/>
      <c r="DJ428" s="653"/>
      <c r="DK428" s="653"/>
      <c r="DL428" s="653"/>
      <c r="DM428" s="653"/>
      <c r="DN428" s="653"/>
      <c r="DO428" s="653"/>
      <c r="DP428" s="653"/>
      <c r="DQ428" s="653"/>
      <c r="DR428" s="653"/>
      <c r="DS428" s="653"/>
      <c r="DT428" s="653"/>
      <c r="DU428" s="653"/>
      <c r="DV428" s="653"/>
      <c r="DW428" s="653"/>
      <c r="DX428" s="653"/>
      <c r="DY428" s="653"/>
      <c r="DZ428" s="653"/>
      <c r="EA428" s="653"/>
      <c r="EB428" s="653"/>
      <c r="EC428" s="653"/>
      <c r="ED428" s="653"/>
      <c r="EE428" s="648"/>
      <c r="EF428" s="651"/>
      <c r="EG428" s="651"/>
      <c r="EH428" s="651"/>
      <c r="EI428" s="216"/>
      <c r="EJ428" s="662"/>
      <c r="EK428" s="662"/>
      <c r="EL428" s="662"/>
      <c r="EM428" s="662"/>
      <c r="EN428" s="662"/>
      <c r="EO428" s="662"/>
      <c r="EP428" s="662"/>
      <c r="EQ428" s="662"/>
      <c r="ER428" s="662"/>
      <c r="ES428" s="662"/>
      <c r="ET428" s="662"/>
      <c r="EU428" s="662"/>
      <c r="EV428" s="662"/>
      <c r="EW428" s="662"/>
      <c r="EX428" s="662"/>
      <c r="EY428" s="662"/>
      <c r="EZ428" s="662"/>
      <c r="FA428" s="662"/>
      <c r="FB428" s="662"/>
      <c r="FC428" s="662"/>
      <c r="FD428" s="662"/>
      <c r="FE428" s="662"/>
      <c r="FF428" s="662"/>
      <c r="FG428" s="662"/>
      <c r="FH428" s="662"/>
      <c r="FI428" s="662"/>
      <c r="FJ428" s="662"/>
      <c r="FK428" s="662"/>
      <c r="FL428" s="662"/>
      <c r="FM428" s="662"/>
      <c r="FN428" s="662"/>
      <c r="FO428" s="662"/>
      <c r="FP428" s="662"/>
      <c r="FQ428" s="662"/>
      <c r="FR428" s="662"/>
      <c r="FS428" s="662"/>
      <c r="FT428" s="662"/>
      <c r="FU428" s="662"/>
      <c r="FV428" s="662"/>
      <c r="FW428" s="662"/>
      <c r="FX428" s="662"/>
      <c r="FY428" s="662"/>
      <c r="FZ428" s="662"/>
      <c r="GA428" s="662"/>
      <c r="GB428" s="662"/>
      <c r="GC428" s="662"/>
      <c r="GD428" s="662"/>
      <c r="GE428" s="662"/>
      <c r="GF428" s="662"/>
      <c r="GG428" s="662"/>
      <c r="GH428" s="662"/>
      <c r="GI428" s="662"/>
      <c r="GJ428" s="662"/>
      <c r="GK428" s="662"/>
      <c r="GL428" s="662"/>
      <c r="GM428" s="662"/>
      <c r="GN428" s="662"/>
      <c r="GO428" s="662"/>
      <c r="GP428" s="662"/>
      <c r="GQ428" s="662"/>
      <c r="GR428" s="662"/>
      <c r="GS428" s="662"/>
      <c r="GT428" s="662"/>
      <c r="GU428" s="662"/>
      <c r="GV428" s="662"/>
      <c r="GW428" s="662"/>
      <c r="GX428" s="662"/>
      <c r="GY428" s="662"/>
      <c r="GZ428" s="662"/>
      <c r="HA428" s="662"/>
      <c r="HB428" s="662"/>
      <c r="HC428" s="662"/>
      <c r="HD428" s="662"/>
      <c r="HE428" s="662"/>
      <c r="HF428" s="662"/>
      <c r="HG428" s="662"/>
      <c r="HH428" s="662"/>
      <c r="HI428" s="662"/>
      <c r="HJ428" s="662"/>
      <c r="HK428" s="662"/>
      <c r="HL428" s="662"/>
      <c r="HM428" s="662"/>
      <c r="HN428" s="662"/>
      <c r="HO428" s="662"/>
      <c r="HP428" s="662"/>
      <c r="HQ428" s="662"/>
      <c r="HR428" s="662"/>
      <c r="HS428" s="662"/>
      <c r="HT428" s="662"/>
      <c r="HU428" s="662"/>
      <c r="HV428" s="662"/>
      <c r="HW428" s="662"/>
      <c r="HX428" s="662"/>
      <c r="HY428" s="662"/>
      <c r="HZ428" s="662"/>
      <c r="IA428" s="662"/>
      <c r="IB428" s="662"/>
      <c r="IC428" s="662"/>
      <c r="ID428" s="662"/>
      <c r="IE428" s="662"/>
      <c r="IF428" s="662"/>
      <c r="IG428" s="662"/>
      <c r="IH428" s="662"/>
      <c r="II428" s="662"/>
      <c r="IJ428" s="662"/>
      <c r="IK428" s="662"/>
      <c r="IL428" s="662"/>
      <c r="IM428" s="662"/>
      <c r="IN428" s="662"/>
      <c r="IO428" s="662"/>
      <c r="IP428" s="662"/>
      <c r="IQ428" s="653"/>
    </row>
    <row r="429" spans="18:251" ht="16.5" hidden="1" customHeight="1">
      <c r="R429" s="648"/>
      <c r="S429" s="648"/>
      <c r="T429" s="648"/>
      <c r="U429" s="653"/>
      <c r="V429" s="649"/>
      <c r="W429" s="653"/>
      <c r="X429" s="653"/>
      <c r="Y429" s="653"/>
      <c r="Z429" s="653"/>
      <c r="AA429" s="653"/>
      <c r="AB429" s="653"/>
      <c r="AC429" s="653"/>
      <c r="AD429" s="653"/>
      <c r="AE429" s="653"/>
      <c r="AF429" s="653"/>
      <c r="AG429" s="653"/>
      <c r="AH429" s="653"/>
      <c r="AI429" s="653"/>
      <c r="AJ429" s="653"/>
      <c r="AK429" s="653"/>
      <c r="AL429" s="653"/>
      <c r="AM429" s="653"/>
      <c r="AN429" s="653"/>
      <c r="AO429" s="653"/>
      <c r="AP429" s="653"/>
      <c r="AQ429" s="653"/>
      <c r="AR429" s="653"/>
      <c r="AS429" s="653"/>
      <c r="AT429" s="653"/>
      <c r="AU429" s="653"/>
      <c r="AV429" s="653"/>
      <c r="AW429" s="653"/>
      <c r="AX429" s="653"/>
      <c r="AY429" s="653"/>
      <c r="AZ429" s="653"/>
      <c r="BA429" s="653"/>
      <c r="BB429" s="653"/>
      <c r="BC429" s="653"/>
      <c r="BD429" s="653"/>
      <c r="BE429" s="653"/>
      <c r="BF429" s="653"/>
      <c r="BG429" s="653"/>
      <c r="BH429" s="653"/>
      <c r="BI429" s="653"/>
      <c r="BJ429" s="653"/>
      <c r="BK429" s="653"/>
      <c r="BL429" s="653"/>
      <c r="BM429" s="653"/>
      <c r="BN429" s="653"/>
      <c r="BO429" s="653"/>
      <c r="BP429" s="653"/>
      <c r="BQ429" s="653"/>
      <c r="BR429" s="653"/>
      <c r="BS429" s="653"/>
      <c r="BT429" s="653"/>
      <c r="BU429" s="653"/>
      <c r="BV429" s="653"/>
      <c r="BW429" s="653"/>
      <c r="BX429" s="653"/>
      <c r="BY429" s="653"/>
      <c r="BZ429" s="653"/>
      <c r="CA429" s="653"/>
      <c r="CB429" s="653"/>
      <c r="CC429" s="653"/>
      <c r="CD429" s="653"/>
      <c r="CE429" s="653"/>
      <c r="CF429" s="653"/>
      <c r="CG429" s="653"/>
      <c r="CH429" s="653"/>
      <c r="CI429" s="653"/>
      <c r="CJ429" s="653"/>
      <c r="CK429" s="653"/>
      <c r="CL429" s="653"/>
      <c r="CM429" s="653"/>
      <c r="CN429" s="653"/>
      <c r="CO429" s="653"/>
      <c r="CP429" s="653"/>
      <c r="CQ429" s="653"/>
      <c r="CR429" s="653"/>
      <c r="CS429" s="653"/>
      <c r="CT429" s="653"/>
      <c r="CU429" s="653"/>
      <c r="CV429" s="653"/>
      <c r="CW429" s="653"/>
      <c r="CX429" s="653"/>
      <c r="CY429" s="653"/>
      <c r="CZ429" s="653"/>
      <c r="DA429" s="653"/>
      <c r="DB429" s="653"/>
      <c r="DC429" s="653"/>
      <c r="DD429" s="653"/>
      <c r="DE429" s="653"/>
      <c r="DF429" s="653"/>
      <c r="DG429" s="653"/>
      <c r="DH429" s="653"/>
      <c r="DI429" s="653"/>
      <c r="DJ429" s="653"/>
      <c r="DK429" s="653"/>
      <c r="DL429" s="653"/>
      <c r="DM429" s="653"/>
      <c r="DN429" s="653"/>
      <c r="DO429" s="653"/>
      <c r="DP429" s="653"/>
      <c r="DQ429" s="653"/>
      <c r="DR429" s="653"/>
      <c r="DS429" s="653"/>
      <c r="DT429" s="653"/>
      <c r="DU429" s="653"/>
      <c r="DV429" s="653"/>
      <c r="DW429" s="653"/>
      <c r="DX429" s="653"/>
      <c r="DY429" s="653"/>
      <c r="DZ429" s="653"/>
      <c r="EA429" s="653"/>
      <c r="EB429" s="653"/>
      <c r="EC429" s="653"/>
      <c r="ED429" s="653"/>
      <c r="EE429" s="648"/>
      <c r="EF429" s="651"/>
      <c r="EG429" s="651"/>
      <c r="EH429" s="651"/>
      <c r="EI429" s="216"/>
      <c r="EJ429" s="662"/>
      <c r="EK429" s="662"/>
      <c r="EL429" s="662"/>
      <c r="EM429" s="662"/>
      <c r="EN429" s="662"/>
      <c r="EO429" s="662"/>
      <c r="EP429" s="662"/>
      <c r="EQ429" s="662"/>
      <c r="ER429" s="662"/>
      <c r="ES429" s="662"/>
      <c r="ET429" s="662"/>
      <c r="EU429" s="662"/>
      <c r="EV429" s="662"/>
      <c r="EW429" s="662"/>
      <c r="EX429" s="662"/>
      <c r="EY429" s="662"/>
      <c r="EZ429" s="662"/>
      <c r="FA429" s="662"/>
      <c r="FB429" s="662"/>
      <c r="FC429" s="662"/>
      <c r="FD429" s="662"/>
      <c r="FE429" s="662"/>
      <c r="FF429" s="662"/>
      <c r="FG429" s="662"/>
      <c r="FH429" s="662"/>
      <c r="FI429" s="662"/>
      <c r="FJ429" s="662"/>
      <c r="FK429" s="662"/>
      <c r="FL429" s="662"/>
      <c r="FM429" s="662"/>
      <c r="FN429" s="662"/>
      <c r="FO429" s="662"/>
      <c r="FP429" s="662"/>
      <c r="FQ429" s="662"/>
      <c r="FR429" s="662"/>
      <c r="FS429" s="662"/>
      <c r="FT429" s="662"/>
      <c r="FU429" s="662"/>
      <c r="FV429" s="662"/>
      <c r="FW429" s="662"/>
      <c r="FX429" s="662"/>
      <c r="FY429" s="662"/>
      <c r="FZ429" s="662"/>
      <c r="GA429" s="662"/>
      <c r="GB429" s="662"/>
      <c r="GC429" s="662"/>
      <c r="GD429" s="662"/>
      <c r="GE429" s="662"/>
      <c r="GF429" s="662"/>
      <c r="GG429" s="662"/>
      <c r="GH429" s="662"/>
      <c r="GI429" s="662"/>
      <c r="GJ429" s="662"/>
      <c r="GK429" s="662"/>
      <c r="GL429" s="662"/>
      <c r="GM429" s="662"/>
      <c r="GN429" s="662"/>
      <c r="GO429" s="662"/>
      <c r="GP429" s="662"/>
      <c r="GQ429" s="662"/>
      <c r="GR429" s="662"/>
      <c r="GS429" s="662"/>
      <c r="GT429" s="662"/>
      <c r="GU429" s="662"/>
      <c r="GV429" s="662"/>
      <c r="GW429" s="662"/>
      <c r="GX429" s="662"/>
      <c r="GY429" s="662"/>
      <c r="GZ429" s="662"/>
      <c r="HA429" s="662"/>
      <c r="HB429" s="662"/>
      <c r="HC429" s="662"/>
      <c r="HD429" s="662"/>
      <c r="HE429" s="662"/>
      <c r="HF429" s="662"/>
      <c r="HG429" s="662"/>
      <c r="HH429" s="662"/>
      <c r="HI429" s="662"/>
      <c r="HJ429" s="662"/>
      <c r="HK429" s="662"/>
      <c r="HL429" s="662"/>
      <c r="HM429" s="662"/>
      <c r="HN429" s="662"/>
      <c r="HO429" s="662"/>
      <c r="HP429" s="662"/>
      <c r="HQ429" s="662"/>
      <c r="HR429" s="662"/>
      <c r="HS429" s="662"/>
      <c r="HT429" s="662"/>
      <c r="HU429" s="662"/>
      <c r="HV429" s="662"/>
      <c r="HW429" s="662"/>
      <c r="HX429" s="662"/>
      <c r="HY429" s="662"/>
      <c r="HZ429" s="662"/>
      <c r="IA429" s="662"/>
      <c r="IB429" s="662"/>
      <c r="IC429" s="662"/>
      <c r="ID429" s="662"/>
      <c r="IE429" s="662"/>
      <c r="IF429" s="662"/>
      <c r="IG429" s="662"/>
      <c r="IH429" s="662"/>
      <c r="II429" s="662"/>
      <c r="IJ429" s="662"/>
      <c r="IK429" s="662"/>
      <c r="IL429" s="662"/>
      <c r="IM429" s="662"/>
      <c r="IN429" s="662"/>
      <c r="IO429" s="662"/>
      <c r="IP429" s="662"/>
      <c r="IQ429" s="653"/>
    </row>
    <row r="430" spans="18:251" ht="16.5" hidden="1" customHeight="1">
      <c r="R430" s="648"/>
      <c r="S430" s="648"/>
      <c r="T430" s="648"/>
      <c r="U430" s="653"/>
      <c r="V430" s="649"/>
      <c r="W430" s="653"/>
      <c r="X430" s="653"/>
      <c r="Y430" s="653"/>
      <c r="Z430" s="653"/>
      <c r="AA430" s="653"/>
      <c r="AB430" s="653"/>
      <c r="AC430" s="653"/>
      <c r="AD430" s="653"/>
      <c r="AE430" s="653"/>
      <c r="AF430" s="653"/>
      <c r="AG430" s="653"/>
      <c r="AH430" s="653"/>
      <c r="AI430" s="653"/>
      <c r="AJ430" s="653"/>
      <c r="AK430" s="653"/>
      <c r="AL430" s="653"/>
      <c r="AM430" s="653"/>
      <c r="AN430" s="653"/>
      <c r="AO430" s="653"/>
      <c r="AP430" s="653"/>
      <c r="AQ430" s="653"/>
      <c r="AR430" s="653"/>
      <c r="AS430" s="653"/>
      <c r="AT430" s="653"/>
      <c r="AU430" s="653"/>
      <c r="AV430" s="653"/>
      <c r="AW430" s="653"/>
      <c r="AX430" s="653"/>
      <c r="AY430" s="653"/>
      <c r="AZ430" s="653"/>
      <c r="BA430" s="653"/>
      <c r="BB430" s="653"/>
      <c r="BC430" s="653"/>
      <c r="BD430" s="653"/>
      <c r="BE430" s="653"/>
      <c r="BF430" s="653"/>
      <c r="BG430" s="653"/>
      <c r="BH430" s="653"/>
      <c r="BI430" s="653"/>
      <c r="BJ430" s="653"/>
      <c r="BK430" s="653"/>
      <c r="BL430" s="653"/>
      <c r="BM430" s="653"/>
      <c r="BN430" s="653"/>
      <c r="BO430" s="653"/>
      <c r="BP430" s="653"/>
      <c r="BQ430" s="653"/>
      <c r="BR430" s="653"/>
      <c r="BS430" s="653"/>
      <c r="BT430" s="653"/>
      <c r="BU430" s="653"/>
      <c r="BV430" s="653"/>
      <c r="BW430" s="653"/>
      <c r="BX430" s="653"/>
      <c r="BY430" s="653"/>
      <c r="BZ430" s="653"/>
      <c r="CA430" s="653"/>
      <c r="CB430" s="653"/>
      <c r="CC430" s="653"/>
      <c r="CD430" s="653"/>
      <c r="CE430" s="653"/>
      <c r="CF430" s="653"/>
      <c r="CG430" s="653"/>
      <c r="CH430" s="653"/>
      <c r="CI430" s="653"/>
      <c r="CJ430" s="653"/>
      <c r="CK430" s="653"/>
      <c r="CL430" s="653"/>
      <c r="CM430" s="653"/>
      <c r="CN430" s="653"/>
      <c r="CO430" s="653"/>
      <c r="CP430" s="653"/>
      <c r="CQ430" s="653"/>
      <c r="CR430" s="653"/>
      <c r="CS430" s="653"/>
      <c r="CT430" s="653"/>
      <c r="CU430" s="653"/>
      <c r="CV430" s="653"/>
      <c r="CW430" s="653"/>
      <c r="CX430" s="653"/>
      <c r="CY430" s="653"/>
      <c r="CZ430" s="653"/>
      <c r="DA430" s="653"/>
      <c r="DB430" s="653"/>
      <c r="DC430" s="653"/>
      <c r="DD430" s="653"/>
      <c r="DE430" s="653"/>
      <c r="DF430" s="653"/>
      <c r="DG430" s="653"/>
      <c r="DH430" s="653"/>
      <c r="DI430" s="653"/>
      <c r="DJ430" s="653"/>
      <c r="DK430" s="653"/>
      <c r="DL430" s="653"/>
      <c r="DM430" s="653"/>
      <c r="DN430" s="653"/>
      <c r="DO430" s="653"/>
      <c r="DP430" s="653"/>
      <c r="DQ430" s="653"/>
      <c r="DR430" s="653"/>
      <c r="DS430" s="653"/>
      <c r="DT430" s="653"/>
      <c r="DU430" s="653"/>
      <c r="DV430" s="653"/>
      <c r="DW430" s="653"/>
      <c r="DX430" s="653"/>
      <c r="DY430" s="653"/>
      <c r="DZ430" s="653"/>
      <c r="EA430" s="653"/>
      <c r="EB430" s="653"/>
      <c r="EC430" s="653"/>
      <c r="ED430" s="653"/>
      <c r="EE430" s="648"/>
      <c r="EF430" s="651"/>
      <c r="EG430" s="651"/>
      <c r="EH430" s="651"/>
      <c r="EI430" s="216"/>
      <c r="EJ430" s="662"/>
      <c r="EK430" s="662"/>
      <c r="EL430" s="662"/>
      <c r="EM430" s="662"/>
      <c r="EN430" s="662"/>
      <c r="EO430" s="662"/>
      <c r="EP430" s="662"/>
      <c r="EQ430" s="662"/>
      <c r="ER430" s="662"/>
      <c r="ES430" s="662"/>
      <c r="ET430" s="662"/>
      <c r="EU430" s="662"/>
      <c r="EV430" s="662"/>
      <c r="EW430" s="662"/>
      <c r="EX430" s="662"/>
      <c r="EY430" s="662"/>
      <c r="EZ430" s="662"/>
      <c r="FA430" s="662"/>
      <c r="FB430" s="662"/>
      <c r="FC430" s="662"/>
      <c r="FD430" s="662"/>
      <c r="FE430" s="662"/>
      <c r="FF430" s="662"/>
      <c r="FG430" s="662"/>
      <c r="FH430" s="662"/>
      <c r="FI430" s="662"/>
      <c r="FJ430" s="662"/>
      <c r="FK430" s="662"/>
      <c r="FL430" s="662"/>
      <c r="FM430" s="662"/>
      <c r="FN430" s="662"/>
      <c r="FO430" s="662"/>
      <c r="FP430" s="662"/>
      <c r="FQ430" s="662"/>
      <c r="FR430" s="662"/>
      <c r="FS430" s="662"/>
      <c r="FT430" s="662"/>
      <c r="FU430" s="662"/>
      <c r="FV430" s="662"/>
      <c r="FW430" s="662"/>
      <c r="FX430" s="662"/>
      <c r="FY430" s="662"/>
      <c r="FZ430" s="662"/>
      <c r="GA430" s="662"/>
      <c r="GB430" s="662"/>
      <c r="GC430" s="662"/>
      <c r="GD430" s="662"/>
      <c r="GE430" s="662"/>
      <c r="GF430" s="662"/>
      <c r="GG430" s="662"/>
      <c r="GH430" s="662"/>
      <c r="GI430" s="662"/>
      <c r="GJ430" s="662"/>
      <c r="GK430" s="662"/>
      <c r="GL430" s="662"/>
      <c r="GM430" s="662"/>
      <c r="GN430" s="662"/>
      <c r="GO430" s="662"/>
      <c r="GP430" s="662"/>
      <c r="GQ430" s="662"/>
      <c r="GR430" s="662"/>
      <c r="GS430" s="662"/>
      <c r="GT430" s="662"/>
      <c r="GU430" s="662"/>
      <c r="GV430" s="662"/>
      <c r="GW430" s="662"/>
      <c r="GX430" s="662"/>
      <c r="GY430" s="662"/>
      <c r="GZ430" s="662"/>
      <c r="HA430" s="662"/>
      <c r="HB430" s="662"/>
      <c r="HC430" s="662"/>
      <c r="HD430" s="662"/>
      <c r="HE430" s="662"/>
      <c r="HF430" s="662"/>
      <c r="HG430" s="662"/>
      <c r="HH430" s="662"/>
      <c r="HI430" s="662"/>
      <c r="HJ430" s="662"/>
      <c r="HK430" s="662"/>
      <c r="HL430" s="662"/>
      <c r="HM430" s="662"/>
      <c r="HN430" s="662"/>
      <c r="HO430" s="662"/>
      <c r="HP430" s="662"/>
      <c r="HQ430" s="662"/>
      <c r="HR430" s="662"/>
      <c r="HS430" s="662"/>
      <c r="HT430" s="662"/>
      <c r="HU430" s="662"/>
      <c r="HV430" s="662"/>
      <c r="HW430" s="662"/>
      <c r="HX430" s="662"/>
      <c r="HY430" s="662"/>
      <c r="HZ430" s="662"/>
      <c r="IA430" s="662"/>
      <c r="IB430" s="662"/>
      <c r="IC430" s="662"/>
      <c r="ID430" s="662"/>
      <c r="IE430" s="662"/>
      <c r="IF430" s="662"/>
      <c r="IG430" s="662"/>
      <c r="IH430" s="662"/>
      <c r="II430" s="662"/>
      <c r="IJ430" s="662"/>
      <c r="IK430" s="662"/>
      <c r="IL430" s="662"/>
      <c r="IM430" s="662"/>
      <c r="IN430" s="662"/>
      <c r="IO430" s="662"/>
      <c r="IP430" s="662"/>
      <c r="IQ430" s="653"/>
    </row>
    <row r="431" spans="18:251" ht="16.5" hidden="1" customHeight="1">
      <c r="R431" s="648"/>
      <c r="S431" s="648"/>
      <c r="T431" s="648"/>
      <c r="U431" s="653"/>
      <c r="V431" s="649"/>
      <c r="W431" s="653"/>
      <c r="X431" s="653"/>
      <c r="Y431" s="653"/>
      <c r="Z431" s="653"/>
      <c r="AA431" s="653"/>
      <c r="AB431" s="653"/>
      <c r="AC431" s="653"/>
      <c r="AD431" s="653"/>
      <c r="AE431" s="653"/>
      <c r="AF431" s="653"/>
      <c r="AG431" s="653"/>
      <c r="AH431" s="653"/>
      <c r="AI431" s="653"/>
      <c r="AJ431" s="653"/>
      <c r="AK431" s="653"/>
      <c r="AL431" s="653"/>
      <c r="AM431" s="653"/>
      <c r="AN431" s="653"/>
      <c r="AO431" s="653"/>
      <c r="AP431" s="653"/>
      <c r="AQ431" s="653"/>
      <c r="AR431" s="653"/>
      <c r="AS431" s="653"/>
      <c r="AT431" s="653"/>
      <c r="AU431" s="653"/>
      <c r="AV431" s="653"/>
      <c r="AW431" s="653"/>
      <c r="AX431" s="653"/>
      <c r="AY431" s="653"/>
      <c r="AZ431" s="653"/>
      <c r="BA431" s="653"/>
      <c r="BB431" s="653"/>
      <c r="BC431" s="653"/>
      <c r="BD431" s="653"/>
      <c r="BE431" s="653"/>
      <c r="BF431" s="653"/>
      <c r="BG431" s="653"/>
      <c r="BH431" s="653"/>
      <c r="BI431" s="653"/>
      <c r="BJ431" s="653"/>
      <c r="BK431" s="653"/>
      <c r="BL431" s="653"/>
      <c r="BM431" s="653"/>
      <c r="BN431" s="653"/>
      <c r="BO431" s="653"/>
      <c r="BP431" s="653"/>
      <c r="BQ431" s="653"/>
      <c r="BR431" s="653"/>
      <c r="BS431" s="653"/>
      <c r="BT431" s="653"/>
      <c r="BU431" s="653"/>
      <c r="BV431" s="653"/>
      <c r="BW431" s="653"/>
      <c r="BX431" s="653"/>
      <c r="BY431" s="653"/>
      <c r="BZ431" s="653"/>
      <c r="CA431" s="653"/>
      <c r="CB431" s="653"/>
      <c r="CC431" s="653"/>
      <c r="CD431" s="653"/>
      <c r="CE431" s="653"/>
      <c r="CF431" s="653"/>
      <c r="CG431" s="653"/>
      <c r="CH431" s="653"/>
      <c r="CI431" s="653"/>
      <c r="CJ431" s="653"/>
      <c r="CK431" s="653"/>
      <c r="CL431" s="653"/>
      <c r="CM431" s="653"/>
      <c r="CN431" s="653"/>
      <c r="CO431" s="653"/>
      <c r="CP431" s="653"/>
      <c r="CQ431" s="653"/>
      <c r="CR431" s="653"/>
      <c r="CS431" s="653"/>
      <c r="CT431" s="653"/>
      <c r="CU431" s="653"/>
      <c r="CV431" s="653"/>
      <c r="CW431" s="653"/>
      <c r="CX431" s="653"/>
      <c r="CY431" s="653"/>
      <c r="CZ431" s="653"/>
      <c r="DA431" s="653"/>
      <c r="DB431" s="653"/>
      <c r="DC431" s="653"/>
      <c r="DD431" s="653"/>
      <c r="DE431" s="653"/>
      <c r="DF431" s="653"/>
      <c r="DG431" s="653"/>
      <c r="DH431" s="653"/>
      <c r="DI431" s="653"/>
      <c r="DJ431" s="653"/>
      <c r="DK431" s="653"/>
      <c r="DL431" s="653"/>
      <c r="DM431" s="653"/>
      <c r="DN431" s="653"/>
      <c r="DO431" s="653"/>
      <c r="DP431" s="653"/>
      <c r="DQ431" s="653"/>
      <c r="DR431" s="653"/>
      <c r="DS431" s="653"/>
      <c r="DT431" s="653"/>
      <c r="DU431" s="653"/>
      <c r="DV431" s="653"/>
      <c r="DW431" s="653"/>
      <c r="DX431" s="653"/>
      <c r="DY431" s="653"/>
      <c r="DZ431" s="653"/>
      <c r="EA431" s="653"/>
      <c r="EB431" s="653"/>
      <c r="EC431" s="653"/>
      <c r="ED431" s="653"/>
      <c r="EE431" s="648"/>
      <c r="EF431" s="651"/>
      <c r="EG431" s="651"/>
      <c r="EH431" s="651"/>
      <c r="EI431" s="216"/>
      <c r="EJ431" s="662"/>
      <c r="EK431" s="662"/>
      <c r="EL431" s="662"/>
      <c r="EM431" s="662"/>
      <c r="EN431" s="662"/>
      <c r="EO431" s="662"/>
      <c r="EP431" s="662"/>
      <c r="EQ431" s="662"/>
      <c r="ER431" s="662"/>
      <c r="ES431" s="662"/>
      <c r="ET431" s="662"/>
      <c r="EU431" s="662"/>
      <c r="EV431" s="662"/>
      <c r="EW431" s="662"/>
      <c r="EX431" s="662"/>
      <c r="EY431" s="662"/>
      <c r="EZ431" s="662"/>
      <c r="FA431" s="662"/>
      <c r="FB431" s="662"/>
      <c r="FC431" s="662"/>
      <c r="FD431" s="662"/>
      <c r="FE431" s="662"/>
      <c r="FF431" s="662"/>
      <c r="FG431" s="662"/>
      <c r="FH431" s="662"/>
      <c r="FI431" s="662"/>
      <c r="FJ431" s="662"/>
      <c r="FK431" s="662"/>
      <c r="FL431" s="662"/>
      <c r="FM431" s="662"/>
      <c r="FN431" s="662"/>
      <c r="FO431" s="662"/>
      <c r="FP431" s="662"/>
      <c r="FQ431" s="662"/>
      <c r="FR431" s="662"/>
      <c r="FS431" s="662"/>
      <c r="FT431" s="662"/>
      <c r="FU431" s="662"/>
      <c r="FV431" s="662"/>
      <c r="FW431" s="662"/>
      <c r="FX431" s="662"/>
      <c r="FY431" s="662"/>
      <c r="FZ431" s="662"/>
      <c r="GA431" s="662"/>
      <c r="GB431" s="662"/>
      <c r="GC431" s="662"/>
      <c r="GD431" s="662"/>
      <c r="GE431" s="662"/>
      <c r="GF431" s="662"/>
      <c r="GG431" s="662"/>
      <c r="GH431" s="662"/>
      <c r="GI431" s="662"/>
      <c r="GJ431" s="662"/>
      <c r="GK431" s="662"/>
      <c r="GL431" s="662"/>
      <c r="GM431" s="662"/>
      <c r="GN431" s="662"/>
      <c r="GO431" s="662"/>
      <c r="GP431" s="662"/>
      <c r="GQ431" s="662"/>
      <c r="GR431" s="662"/>
      <c r="GS431" s="662"/>
      <c r="GT431" s="662"/>
      <c r="GU431" s="662"/>
      <c r="GV431" s="662"/>
      <c r="GW431" s="662"/>
      <c r="GX431" s="662"/>
      <c r="GY431" s="662"/>
      <c r="GZ431" s="662"/>
      <c r="HA431" s="662"/>
      <c r="HB431" s="662"/>
      <c r="HC431" s="662"/>
      <c r="HD431" s="662"/>
      <c r="HE431" s="662"/>
      <c r="HF431" s="662"/>
      <c r="HG431" s="662"/>
      <c r="HH431" s="662"/>
      <c r="HI431" s="662"/>
      <c r="HJ431" s="662"/>
      <c r="HK431" s="662"/>
      <c r="HL431" s="662"/>
      <c r="HM431" s="662"/>
      <c r="HN431" s="662"/>
      <c r="HO431" s="662"/>
      <c r="HP431" s="662"/>
      <c r="HQ431" s="662"/>
      <c r="HR431" s="662"/>
      <c r="HS431" s="662"/>
      <c r="HT431" s="662"/>
      <c r="HU431" s="662"/>
      <c r="HV431" s="662"/>
      <c r="HW431" s="662"/>
      <c r="HX431" s="662"/>
      <c r="HY431" s="662"/>
      <c r="HZ431" s="662"/>
      <c r="IA431" s="662"/>
      <c r="IB431" s="662"/>
      <c r="IC431" s="662"/>
      <c r="ID431" s="662"/>
      <c r="IE431" s="662"/>
      <c r="IF431" s="662"/>
      <c r="IG431" s="662"/>
      <c r="IH431" s="662"/>
      <c r="II431" s="662"/>
      <c r="IJ431" s="662"/>
      <c r="IK431" s="662"/>
      <c r="IL431" s="662"/>
      <c r="IM431" s="662"/>
      <c r="IN431" s="662"/>
      <c r="IO431" s="662"/>
      <c r="IP431" s="662"/>
      <c r="IQ431" s="653"/>
    </row>
    <row r="432" spans="18:251" ht="16.5" hidden="1" customHeight="1">
      <c r="R432" s="648"/>
      <c r="S432" s="648"/>
      <c r="T432" s="648"/>
      <c r="U432" s="653"/>
      <c r="V432" s="649"/>
      <c r="W432" s="653"/>
      <c r="X432" s="653"/>
      <c r="Y432" s="653"/>
      <c r="Z432" s="653"/>
      <c r="AA432" s="653"/>
      <c r="AB432" s="653"/>
      <c r="AC432" s="653"/>
      <c r="AD432" s="653"/>
      <c r="AE432" s="653"/>
      <c r="AF432" s="653"/>
      <c r="AG432" s="653"/>
      <c r="AH432" s="653"/>
      <c r="AI432" s="653"/>
      <c r="AJ432" s="653"/>
      <c r="AK432" s="653"/>
      <c r="AL432" s="653"/>
      <c r="AM432" s="653"/>
      <c r="AN432" s="653"/>
      <c r="AO432" s="653"/>
      <c r="AP432" s="653"/>
      <c r="AQ432" s="653"/>
      <c r="AR432" s="653"/>
      <c r="AS432" s="653"/>
      <c r="AT432" s="653"/>
      <c r="AU432" s="653"/>
      <c r="AV432" s="653"/>
      <c r="AW432" s="653"/>
      <c r="AX432" s="653"/>
      <c r="AY432" s="653"/>
      <c r="AZ432" s="653"/>
      <c r="BA432" s="653"/>
      <c r="BB432" s="653"/>
      <c r="BC432" s="653"/>
      <c r="BD432" s="653"/>
      <c r="BE432" s="653"/>
      <c r="BF432" s="653"/>
      <c r="BG432" s="653"/>
      <c r="BH432" s="653"/>
      <c r="BI432" s="653"/>
      <c r="BJ432" s="653"/>
      <c r="BK432" s="653"/>
      <c r="BL432" s="653"/>
      <c r="BM432" s="653"/>
      <c r="BN432" s="653"/>
      <c r="BO432" s="653"/>
      <c r="BP432" s="653"/>
      <c r="BQ432" s="653"/>
      <c r="BR432" s="653"/>
      <c r="BS432" s="653"/>
      <c r="BT432" s="653"/>
      <c r="BU432" s="653"/>
      <c r="BV432" s="653"/>
      <c r="BW432" s="653"/>
      <c r="BX432" s="653"/>
      <c r="BY432" s="653"/>
      <c r="BZ432" s="653"/>
      <c r="CA432" s="653"/>
      <c r="CB432" s="653"/>
      <c r="CC432" s="653"/>
      <c r="CD432" s="653"/>
      <c r="CE432" s="653"/>
      <c r="CF432" s="653"/>
      <c r="CG432" s="653"/>
      <c r="CH432" s="653"/>
      <c r="CI432" s="653"/>
      <c r="CJ432" s="653"/>
      <c r="CK432" s="653"/>
      <c r="CL432" s="653"/>
      <c r="CM432" s="653"/>
      <c r="CN432" s="653"/>
      <c r="CO432" s="653"/>
      <c r="CP432" s="653"/>
      <c r="CQ432" s="653"/>
      <c r="CR432" s="653"/>
      <c r="CS432" s="653"/>
      <c r="CT432" s="653"/>
      <c r="CU432" s="653"/>
      <c r="CV432" s="653"/>
      <c r="CW432" s="653"/>
      <c r="CX432" s="653"/>
      <c r="CY432" s="653"/>
      <c r="CZ432" s="653"/>
      <c r="DA432" s="653"/>
      <c r="DB432" s="653"/>
      <c r="DC432" s="653"/>
      <c r="DD432" s="653"/>
      <c r="DE432" s="653"/>
      <c r="DF432" s="653"/>
      <c r="DG432" s="653"/>
      <c r="DH432" s="653"/>
      <c r="DI432" s="653"/>
      <c r="DJ432" s="653"/>
      <c r="DK432" s="653"/>
      <c r="DL432" s="653"/>
      <c r="DM432" s="653"/>
      <c r="DN432" s="653"/>
      <c r="DO432" s="653"/>
      <c r="DP432" s="653"/>
      <c r="DQ432" s="653"/>
      <c r="DR432" s="653"/>
      <c r="DS432" s="653"/>
      <c r="DT432" s="653"/>
      <c r="DU432" s="653"/>
      <c r="DV432" s="653"/>
      <c r="DW432" s="653"/>
      <c r="DX432" s="653"/>
      <c r="DY432" s="653"/>
      <c r="DZ432" s="653"/>
      <c r="EA432" s="653"/>
      <c r="EB432" s="653"/>
      <c r="EC432" s="653"/>
      <c r="ED432" s="653"/>
      <c r="EE432" s="648"/>
      <c r="EF432" s="651"/>
      <c r="EG432" s="651"/>
      <c r="EH432" s="651"/>
      <c r="EI432" s="216"/>
      <c r="EJ432" s="662"/>
      <c r="EK432" s="662"/>
      <c r="EL432" s="662"/>
      <c r="EM432" s="662"/>
      <c r="EN432" s="662"/>
      <c r="EO432" s="662"/>
      <c r="EP432" s="662"/>
      <c r="EQ432" s="662"/>
      <c r="ER432" s="662"/>
      <c r="ES432" s="662"/>
      <c r="ET432" s="662"/>
      <c r="EU432" s="662"/>
      <c r="EV432" s="662"/>
      <c r="EW432" s="662"/>
      <c r="EX432" s="662"/>
      <c r="EY432" s="662"/>
      <c r="EZ432" s="662"/>
      <c r="FA432" s="662"/>
      <c r="FB432" s="662"/>
      <c r="FC432" s="662"/>
      <c r="FD432" s="662"/>
      <c r="FE432" s="662"/>
      <c r="FF432" s="662"/>
      <c r="FG432" s="662"/>
      <c r="FH432" s="662"/>
      <c r="FI432" s="662"/>
      <c r="FJ432" s="662"/>
      <c r="FK432" s="662"/>
      <c r="FL432" s="662"/>
      <c r="FM432" s="662"/>
      <c r="FN432" s="662"/>
      <c r="FO432" s="662"/>
      <c r="FP432" s="662"/>
      <c r="FQ432" s="662"/>
      <c r="FR432" s="662"/>
      <c r="FS432" s="662"/>
      <c r="FT432" s="662"/>
      <c r="FU432" s="662"/>
      <c r="FV432" s="662"/>
      <c r="FW432" s="662"/>
      <c r="FX432" s="662"/>
      <c r="FY432" s="662"/>
      <c r="FZ432" s="662"/>
      <c r="GA432" s="662"/>
      <c r="GB432" s="662"/>
      <c r="GC432" s="662"/>
      <c r="GD432" s="662"/>
      <c r="GE432" s="662"/>
      <c r="GF432" s="662"/>
      <c r="GG432" s="662"/>
      <c r="GH432" s="662"/>
      <c r="GI432" s="662"/>
      <c r="GJ432" s="662"/>
      <c r="GK432" s="662"/>
      <c r="GL432" s="662"/>
      <c r="GM432" s="662"/>
      <c r="GN432" s="662"/>
      <c r="GO432" s="662"/>
      <c r="GP432" s="662"/>
      <c r="GQ432" s="662"/>
      <c r="GR432" s="662"/>
      <c r="GS432" s="662"/>
      <c r="GT432" s="662"/>
      <c r="GU432" s="662"/>
      <c r="GV432" s="662"/>
      <c r="GW432" s="662"/>
      <c r="GX432" s="662"/>
      <c r="GY432" s="662"/>
      <c r="GZ432" s="662"/>
      <c r="HA432" s="662"/>
      <c r="HB432" s="662"/>
      <c r="HC432" s="662"/>
      <c r="HD432" s="662"/>
      <c r="HE432" s="662"/>
      <c r="HF432" s="662"/>
      <c r="HG432" s="662"/>
      <c r="HH432" s="662"/>
      <c r="HI432" s="662"/>
      <c r="HJ432" s="662"/>
      <c r="HK432" s="662"/>
      <c r="HL432" s="662"/>
      <c r="HM432" s="662"/>
      <c r="HN432" s="662"/>
      <c r="HO432" s="662"/>
      <c r="HP432" s="662"/>
      <c r="HQ432" s="662"/>
      <c r="HR432" s="662"/>
      <c r="HS432" s="662"/>
      <c r="HT432" s="662"/>
      <c r="HU432" s="662"/>
      <c r="HV432" s="662"/>
      <c r="HW432" s="662"/>
      <c r="HX432" s="662"/>
      <c r="HY432" s="662"/>
      <c r="HZ432" s="662"/>
      <c r="IA432" s="662"/>
      <c r="IB432" s="662"/>
      <c r="IC432" s="662"/>
      <c r="ID432" s="662"/>
      <c r="IE432" s="662"/>
      <c r="IF432" s="662"/>
      <c r="IG432" s="662"/>
      <c r="IH432" s="662"/>
      <c r="II432" s="662"/>
      <c r="IJ432" s="662"/>
      <c r="IK432" s="662"/>
      <c r="IL432" s="662"/>
      <c r="IM432" s="662"/>
      <c r="IN432" s="662"/>
      <c r="IO432" s="662"/>
      <c r="IP432" s="662"/>
      <c r="IQ432" s="653"/>
    </row>
    <row r="433" spans="18:251" ht="16.5" hidden="1" customHeight="1">
      <c r="R433" s="648"/>
      <c r="S433" s="648"/>
      <c r="T433" s="648"/>
      <c r="U433" s="653"/>
      <c r="V433" s="649"/>
      <c r="W433" s="653"/>
      <c r="X433" s="653"/>
      <c r="Y433" s="653"/>
      <c r="Z433" s="653"/>
      <c r="AA433" s="653"/>
      <c r="AB433" s="653"/>
      <c r="AC433" s="653"/>
      <c r="AD433" s="653"/>
      <c r="AE433" s="653"/>
      <c r="AF433" s="653"/>
      <c r="AG433" s="653"/>
      <c r="AH433" s="653"/>
      <c r="AI433" s="653"/>
      <c r="AJ433" s="653"/>
      <c r="AK433" s="653"/>
      <c r="AL433" s="653"/>
      <c r="AM433" s="653"/>
      <c r="AN433" s="653"/>
      <c r="AO433" s="653"/>
      <c r="AP433" s="653"/>
      <c r="AQ433" s="653"/>
      <c r="AR433" s="653"/>
      <c r="AS433" s="653"/>
      <c r="AT433" s="653"/>
      <c r="AU433" s="653"/>
      <c r="AV433" s="653"/>
      <c r="AW433" s="653"/>
      <c r="AX433" s="653"/>
      <c r="AY433" s="653"/>
      <c r="AZ433" s="653"/>
      <c r="BA433" s="653"/>
      <c r="BB433" s="653"/>
      <c r="BC433" s="653"/>
      <c r="BD433" s="653"/>
      <c r="BE433" s="653"/>
      <c r="BF433" s="653"/>
      <c r="BG433" s="653"/>
      <c r="BH433" s="653"/>
      <c r="BI433" s="653"/>
      <c r="BJ433" s="653"/>
      <c r="BK433" s="653"/>
      <c r="BL433" s="653"/>
      <c r="BM433" s="653"/>
      <c r="BN433" s="653"/>
      <c r="BO433" s="653"/>
      <c r="BP433" s="653"/>
      <c r="BQ433" s="653"/>
      <c r="BR433" s="653"/>
      <c r="BS433" s="653"/>
      <c r="BT433" s="653"/>
      <c r="BU433" s="653"/>
      <c r="BV433" s="653"/>
      <c r="BW433" s="653"/>
      <c r="BX433" s="653"/>
      <c r="BY433" s="653"/>
      <c r="BZ433" s="653"/>
      <c r="CA433" s="653"/>
      <c r="CB433" s="653"/>
      <c r="CC433" s="653"/>
      <c r="CD433" s="653"/>
      <c r="CE433" s="653"/>
      <c r="CF433" s="653"/>
      <c r="CG433" s="653"/>
      <c r="CH433" s="653"/>
      <c r="CI433" s="653"/>
      <c r="CJ433" s="653"/>
      <c r="CK433" s="653"/>
      <c r="CL433" s="653"/>
      <c r="CM433" s="653"/>
      <c r="CN433" s="653"/>
      <c r="CO433" s="653"/>
      <c r="CP433" s="653"/>
      <c r="CQ433" s="653"/>
      <c r="CR433" s="653"/>
      <c r="CS433" s="653"/>
      <c r="CT433" s="653"/>
      <c r="CU433" s="653"/>
      <c r="CV433" s="653"/>
      <c r="CW433" s="653"/>
      <c r="CX433" s="653"/>
      <c r="CY433" s="653"/>
      <c r="CZ433" s="653"/>
      <c r="DA433" s="653"/>
      <c r="DB433" s="653"/>
      <c r="DC433" s="653"/>
      <c r="DD433" s="653"/>
      <c r="DE433" s="653"/>
      <c r="DF433" s="653"/>
      <c r="DG433" s="653"/>
      <c r="DH433" s="653"/>
      <c r="DI433" s="653"/>
      <c r="DJ433" s="653"/>
      <c r="DK433" s="653"/>
      <c r="DL433" s="653"/>
      <c r="DM433" s="653"/>
      <c r="DN433" s="653"/>
      <c r="DO433" s="653"/>
      <c r="DP433" s="653"/>
      <c r="DQ433" s="653"/>
      <c r="DR433" s="653"/>
      <c r="DS433" s="653"/>
      <c r="DT433" s="653"/>
      <c r="DU433" s="653"/>
      <c r="DV433" s="653"/>
      <c r="DW433" s="653"/>
      <c r="DX433" s="653"/>
      <c r="DY433" s="653"/>
      <c r="DZ433" s="653"/>
      <c r="EA433" s="653"/>
      <c r="EB433" s="653"/>
      <c r="EC433" s="653"/>
      <c r="ED433" s="653"/>
      <c r="EE433" s="648"/>
      <c r="EF433" s="651"/>
      <c r="EG433" s="651"/>
      <c r="EH433" s="651"/>
      <c r="EI433" s="216"/>
      <c r="EJ433" s="662"/>
      <c r="EK433" s="662"/>
      <c r="EL433" s="662"/>
      <c r="EM433" s="662"/>
      <c r="EN433" s="662"/>
      <c r="EO433" s="662"/>
      <c r="EP433" s="662"/>
      <c r="EQ433" s="662"/>
      <c r="ER433" s="662"/>
      <c r="ES433" s="662"/>
      <c r="ET433" s="662"/>
      <c r="EU433" s="662"/>
      <c r="EV433" s="662"/>
      <c r="EW433" s="662"/>
      <c r="EX433" s="662"/>
      <c r="EY433" s="662"/>
      <c r="EZ433" s="662"/>
      <c r="FA433" s="662"/>
      <c r="FB433" s="662"/>
      <c r="FC433" s="662"/>
      <c r="FD433" s="662"/>
      <c r="FE433" s="662"/>
      <c r="FF433" s="662"/>
      <c r="FG433" s="662"/>
      <c r="FH433" s="662"/>
      <c r="FI433" s="662"/>
      <c r="FJ433" s="662"/>
      <c r="FK433" s="662"/>
      <c r="FL433" s="662"/>
      <c r="FM433" s="662"/>
      <c r="FN433" s="662"/>
      <c r="FO433" s="662"/>
      <c r="FP433" s="662"/>
      <c r="FQ433" s="662"/>
      <c r="FR433" s="662"/>
      <c r="FS433" s="662"/>
      <c r="FT433" s="662"/>
      <c r="FU433" s="662"/>
      <c r="FV433" s="662"/>
      <c r="FW433" s="662"/>
      <c r="FX433" s="662"/>
      <c r="FY433" s="662"/>
      <c r="FZ433" s="662"/>
      <c r="GA433" s="662"/>
      <c r="GB433" s="662"/>
      <c r="GC433" s="662"/>
      <c r="GD433" s="662"/>
      <c r="GE433" s="662"/>
      <c r="GF433" s="662"/>
      <c r="GG433" s="662"/>
      <c r="GH433" s="662"/>
      <c r="GI433" s="662"/>
      <c r="GJ433" s="662"/>
      <c r="GK433" s="662"/>
      <c r="GL433" s="662"/>
      <c r="GM433" s="662"/>
      <c r="GN433" s="662"/>
      <c r="GO433" s="662"/>
      <c r="GP433" s="662"/>
      <c r="GQ433" s="662"/>
      <c r="GR433" s="662"/>
      <c r="GS433" s="662"/>
      <c r="GT433" s="662"/>
      <c r="GU433" s="662"/>
      <c r="GV433" s="662"/>
      <c r="GW433" s="662"/>
      <c r="GX433" s="662"/>
      <c r="GY433" s="662"/>
      <c r="GZ433" s="662"/>
      <c r="HA433" s="662"/>
      <c r="HB433" s="662"/>
      <c r="HC433" s="662"/>
      <c r="HD433" s="662"/>
      <c r="HE433" s="662"/>
      <c r="HF433" s="662"/>
      <c r="HG433" s="662"/>
      <c r="HH433" s="662"/>
      <c r="HI433" s="662"/>
      <c r="HJ433" s="662"/>
      <c r="HK433" s="662"/>
      <c r="HL433" s="662"/>
      <c r="HM433" s="662"/>
      <c r="HN433" s="662"/>
      <c r="HO433" s="662"/>
      <c r="HP433" s="662"/>
      <c r="HQ433" s="662"/>
      <c r="HR433" s="662"/>
      <c r="HS433" s="662"/>
      <c r="HT433" s="662"/>
      <c r="HU433" s="662"/>
      <c r="HV433" s="662"/>
      <c r="HW433" s="662"/>
      <c r="HX433" s="662"/>
      <c r="HY433" s="662"/>
      <c r="HZ433" s="662"/>
      <c r="IA433" s="662"/>
      <c r="IB433" s="662"/>
      <c r="IC433" s="662"/>
      <c r="ID433" s="662"/>
      <c r="IE433" s="662"/>
      <c r="IF433" s="662"/>
      <c r="IG433" s="662"/>
      <c r="IH433" s="662"/>
      <c r="II433" s="662"/>
      <c r="IJ433" s="662"/>
      <c r="IK433" s="662"/>
      <c r="IL433" s="662"/>
      <c r="IM433" s="662"/>
      <c r="IN433" s="662"/>
      <c r="IO433" s="662"/>
      <c r="IP433" s="662"/>
      <c r="IQ433" s="653"/>
    </row>
    <row r="434" spans="18:251" ht="16.5" hidden="1" customHeight="1">
      <c r="R434" s="648"/>
      <c r="S434" s="648"/>
      <c r="T434" s="648"/>
      <c r="U434" s="653"/>
      <c r="V434" s="649"/>
      <c r="W434" s="653"/>
      <c r="X434" s="653"/>
      <c r="Y434" s="653"/>
      <c r="Z434" s="653"/>
      <c r="AA434" s="653"/>
      <c r="AB434" s="653"/>
      <c r="AC434" s="653"/>
      <c r="AD434" s="653"/>
      <c r="AE434" s="653"/>
      <c r="AF434" s="653"/>
      <c r="AG434" s="653"/>
      <c r="AH434" s="653"/>
      <c r="AI434" s="653"/>
      <c r="AJ434" s="653"/>
      <c r="AK434" s="653"/>
      <c r="AL434" s="653"/>
      <c r="AM434" s="653"/>
      <c r="AN434" s="653"/>
      <c r="AO434" s="653"/>
      <c r="AP434" s="653"/>
      <c r="AQ434" s="653"/>
      <c r="AR434" s="653"/>
      <c r="AS434" s="653"/>
      <c r="AT434" s="653"/>
      <c r="AU434" s="653"/>
      <c r="AV434" s="653"/>
      <c r="AW434" s="653"/>
      <c r="AX434" s="653"/>
      <c r="AY434" s="653"/>
      <c r="AZ434" s="653"/>
      <c r="BA434" s="653"/>
      <c r="BB434" s="653"/>
      <c r="BC434" s="653"/>
      <c r="BD434" s="653"/>
      <c r="BE434" s="653"/>
      <c r="BF434" s="653"/>
      <c r="BG434" s="653"/>
      <c r="BH434" s="653"/>
      <c r="BI434" s="653"/>
      <c r="BJ434" s="653"/>
      <c r="BK434" s="653"/>
      <c r="BL434" s="653"/>
      <c r="BM434" s="653"/>
      <c r="BN434" s="653"/>
      <c r="BO434" s="653"/>
      <c r="BP434" s="653"/>
      <c r="BQ434" s="653"/>
      <c r="BR434" s="653"/>
      <c r="BS434" s="653"/>
      <c r="BT434" s="653"/>
      <c r="BU434" s="653"/>
      <c r="BV434" s="653"/>
      <c r="BW434" s="653"/>
      <c r="BX434" s="653"/>
      <c r="BY434" s="653"/>
      <c r="BZ434" s="653"/>
      <c r="CA434" s="653"/>
      <c r="CB434" s="653"/>
      <c r="CC434" s="653"/>
      <c r="CD434" s="653"/>
      <c r="CE434" s="653"/>
      <c r="CF434" s="653"/>
      <c r="CG434" s="653"/>
      <c r="CH434" s="653"/>
      <c r="CI434" s="653"/>
      <c r="CJ434" s="653"/>
      <c r="CK434" s="653"/>
      <c r="CL434" s="653"/>
      <c r="CM434" s="653"/>
      <c r="CN434" s="653"/>
      <c r="CO434" s="653"/>
      <c r="CP434" s="653"/>
      <c r="CQ434" s="653"/>
      <c r="CR434" s="653"/>
      <c r="CS434" s="653"/>
      <c r="CT434" s="653"/>
      <c r="CU434" s="653"/>
      <c r="CV434" s="653"/>
      <c r="CW434" s="653"/>
      <c r="CX434" s="653"/>
      <c r="CY434" s="653"/>
      <c r="CZ434" s="653"/>
      <c r="DA434" s="653"/>
      <c r="DB434" s="653"/>
      <c r="DC434" s="653"/>
      <c r="DD434" s="653"/>
      <c r="DE434" s="653"/>
      <c r="DF434" s="653"/>
      <c r="DG434" s="653"/>
      <c r="DH434" s="653"/>
      <c r="DI434" s="653"/>
      <c r="DJ434" s="653"/>
      <c r="DK434" s="653"/>
      <c r="DL434" s="653"/>
      <c r="DM434" s="653"/>
      <c r="DN434" s="653"/>
      <c r="DO434" s="653"/>
      <c r="DP434" s="653"/>
      <c r="DQ434" s="653"/>
      <c r="DR434" s="653"/>
      <c r="DS434" s="653"/>
      <c r="DT434" s="653"/>
      <c r="DU434" s="653"/>
      <c r="DV434" s="653"/>
      <c r="DW434" s="653"/>
      <c r="DX434" s="653"/>
      <c r="DY434" s="653"/>
      <c r="DZ434" s="653"/>
      <c r="EA434" s="653"/>
      <c r="EB434" s="653"/>
      <c r="EC434" s="653"/>
      <c r="ED434" s="653"/>
      <c r="EE434" s="648"/>
      <c r="EF434" s="651"/>
      <c r="EG434" s="651"/>
      <c r="EH434" s="651"/>
      <c r="EI434" s="216"/>
      <c r="EJ434" s="662"/>
      <c r="EK434" s="662"/>
      <c r="EL434" s="662"/>
      <c r="EM434" s="662"/>
      <c r="EN434" s="662"/>
      <c r="EO434" s="662"/>
      <c r="EP434" s="662"/>
      <c r="EQ434" s="662"/>
      <c r="ER434" s="662"/>
      <c r="ES434" s="662"/>
      <c r="ET434" s="662"/>
      <c r="EU434" s="662"/>
      <c r="EV434" s="662"/>
      <c r="EW434" s="662"/>
      <c r="EX434" s="662"/>
      <c r="EY434" s="662"/>
      <c r="EZ434" s="662"/>
      <c r="FA434" s="662"/>
      <c r="FB434" s="662"/>
      <c r="FC434" s="662"/>
      <c r="FD434" s="662"/>
      <c r="FE434" s="662"/>
      <c r="FF434" s="662"/>
      <c r="FG434" s="662"/>
      <c r="FH434" s="662"/>
      <c r="FI434" s="662"/>
      <c r="FJ434" s="662"/>
      <c r="FK434" s="662"/>
      <c r="FL434" s="662"/>
      <c r="FM434" s="662"/>
      <c r="FN434" s="662"/>
      <c r="FO434" s="662"/>
      <c r="FP434" s="662"/>
      <c r="FQ434" s="662"/>
      <c r="FR434" s="662"/>
      <c r="FS434" s="662"/>
      <c r="FT434" s="662"/>
      <c r="FU434" s="662"/>
      <c r="FV434" s="662"/>
      <c r="FW434" s="662"/>
      <c r="FX434" s="662"/>
      <c r="FY434" s="662"/>
      <c r="FZ434" s="662"/>
      <c r="GA434" s="662"/>
      <c r="GB434" s="662"/>
      <c r="GC434" s="662"/>
      <c r="GD434" s="662"/>
      <c r="GE434" s="662"/>
      <c r="GF434" s="662"/>
      <c r="GG434" s="662"/>
      <c r="GH434" s="662"/>
      <c r="GI434" s="662"/>
      <c r="GJ434" s="662"/>
      <c r="GK434" s="662"/>
      <c r="GL434" s="662"/>
      <c r="GM434" s="662"/>
      <c r="GN434" s="662"/>
      <c r="GO434" s="662"/>
      <c r="GP434" s="662"/>
      <c r="GQ434" s="662"/>
      <c r="GR434" s="662"/>
      <c r="GS434" s="662"/>
      <c r="GT434" s="662"/>
      <c r="GU434" s="662"/>
      <c r="GV434" s="662"/>
      <c r="GW434" s="662"/>
      <c r="GX434" s="662"/>
      <c r="GY434" s="662"/>
      <c r="GZ434" s="662"/>
      <c r="HA434" s="662"/>
      <c r="HB434" s="662"/>
      <c r="HC434" s="662"/>
      <c r="HD434" s="662"/>
      <c r="HE434" s="662"/>
      <c r="HF434" s="662"/>
      <c r="HG434" s="662"/>
      <c r="HH434" s="662"/>
      <c r="HI434" s="662"/>
      <c r="HJ434" s="662"/>
      <c r="HK434" s="662"/>
      <c r="HL434" s="662"/>
      <c r="HM434" s="662"/>
      <c r="HN434" s="662"/>
      <c r="HO434" s="662"/>
      <c r="HP434" s="662"/>
      <c r="HQ434" s="662"/>
      <c r="HR434" s="662"/>
      <c r="HS434" s="662"/>
      <c r="HT434" s="662"/>
      <c r="HU434" s="662"/>
      <c r="HV434" s="662"/>
      <c r="HW434" s="662"/>
      <c r="HX434" s="662"/>
      <c r="HY434" s="662"/>
      <c r="HZ434" s="662"/>
      <c r="IA434" s="662"/>
      <c r="IB434" s="662"/>
      <c r="IC434" s="662"/>
      <c r="ID434" s="662"/>
      <c r="IE434" s="662"/>
      <c r="IF434" s="662"/>
      <c r="IG434" s="662"/>
      <c r="IH434" s="662"/>
      <c r="II434" s="662"/>
      <c r="IJ434" s="662"/>
      <c r="IK434" s="662"/>
      <c r="IL434" s="662"/>
      <c r="IM434" s="662"/>
      <c r="IN434" s="662"/>
      <c r="IO434" s="662"/>
      <c r="IP434" s="662"/>
      <c r="IQ434" s="653"/>
    </row>
    <row r="435" spans="18:251" ht="16.5" hidden="1" customHeight="1">
      <c r="R435" s="648"/>
      <c r="S435" s="648"/>
      <c r="T435" s="648"/>
      <c r="U435" s="653"/>
      <c r="V435" s="649"/>
      <c r="W435" s="653"/>
      <c r="X435" s="653"/>
      <c r="Y435" s="653"/>
      <c r="Z435" s="653"/>
      <c r="AA435" s="653"/>
      <c r="AB435" s="653"/>
      <c r="AC435" s="653"/>
      <c r="AD435" s="653"/>
      <c r="AE435" s="653"/>
      <c r="AF435" s="653"/>
      <c r="AG435" s="653"/>
      <c r="AH435" s="653"/>
      <c r="AI435" s="653"/>
      <c r="AJ435" s="653"/>
      <c r="AK435" s="653"/>
      <c r="AL435" s="653"/>
      <c r="AM435" s="653"/>
      <c r="AN435" s="653"/>
      <c r="AO435" s="653"/>
      <c r="AP435" s="653"/>
      <c r="AQ435" s="653"/>
      <c r="AR435" s="653"/>
      <c r="AS435" s="653"/>
      <c r="AT435" s="653"/>
      <c r="AU435" s="653"/>
      <c r="AV435" s="653"/>
      <c r="AW435" s="653"/>
      <c r="AX435" s="653"/>
      <c r="AY435" s="653"/>
      <c r="AZ435" s="653"/>
      <c r="BA435" s="653"/>
      <c r="BB435" s="653"/>
      <c r="BC435" s="653"/>
      <c r="BD435" s="653"/>
      <c r="BE435" s="653"/>
      <c r="BF435" s="653"/>
      <c r="BG435" s="653"/>
      <c r="BH435" s="653"/>
      <c r="BI435" s="653"/>
      <c r="BJ435" s="653"/>
      <c r="BK435" s="653"/>
      <c r="BL435" s="653"/>
      <c r="BM435" s="653"/>
      <c r="BN435" s="653"/>
      <c r="BO435" s="653"/>
      <c r="BP435" s="653"/>
      <c r="BQ435" s="653"/>
      <c r="BR435" s="653"/>
      <c r="BS435" s="653"/>
      <c r="BT435" s="653"/>
      <c r="BU435" s="653"/>
      <c r="BV435" s="653"/>
      <c r="BW435" s="653"/>
      <c r="BX435" s="653"/>
      <c r="BY435" s="653"/>
      <c r="BZ435" s="653"/>
      <c r="CA435" s="653"/>
      <c r="CB435" s="653"/>
      <c r="CC435" s="653"/>
      <c r="CD435" s="653"/>
      <c r="CE435" s="653"/>
      <c r="CF435" s="653"/>
      <c r="CG435" s="653"/>
      <c r="CH435" s="653"/>
      <c r="CI435" s="653"/>
      <c r="CJ435" s="653"/>
      <c r="CK435" s="653"/>
      <c r="CL435" s="653"/>
      <c r="CM435" s="653"/>
      <c r="CN435" s="653"/>
      <c r="CO435" s="653"/>
      <c r="CP435" s="653"/>
      <c r="CQ435" s="653"/>
      <c r="CR435" s="653"/>
      <c r="CS435" s="653"/>
      <c r="CT435" s="653"/>
      <c r="CU435" s="653"/>
      <c r="CV435" s="653"/>
      <c r="CW435" s="653"/>
      <c r="CX435" s="653"/>
      <c r="CY435" s="653"/>
      <c r="CZ435" s="653"/>
      <c r="DA435" s="653"/>
      <c r="DB435" s="653"/>
      <c r="DC435" s="653"/>
      <c r="DD435" s="653"/>
      <c r="DE435" s="653"/>
      <c r="DF435" s="653"/>
      <c r="DG435" s="653"/>
      <c r="DH435" s="653"/>
      <c r="DI435" s="653"/>
      <c r="DJ435" s="653"/>
      <c r="DK435" s="653"/>
      <c r="DL435" s="653"/>
      <c r="DM435" s="653"/>
      <c r="DN435" s="653"/>
      <c r="DO435" s="653"/>
      <c r="DP435" s="653"/>
      <c r="DQ435" s="653"/>
      <c r="DR435" s="653"/>
      <c r="DS435" s="653"/>
      <c r="DT435" s="653"/>
      <c r="DU435" s="653"/>
      <c r="DV435" s="653"/>
      <c r="DW435" s="653"/>
      <c r="DX435" s="653"/>
      <c r="DY435" s="653"/>
      <c r="DZ435" s="653"/>
      <c r="EA435" s="653"/>
      <c r="EB435" s="653"/>
      <c r="EC435" s="653"/>
      <c r="ED435" s="653"/>
      <c r="EE435" s="648"/>
      <c r="EF435" s="651"/>
      <c r="EG435" s="651"/>
      <c r="EH435" s="651"/>
      <c r="EI435" s="216"/>
      <c r="EJ435" s="662"/>
      <c r="EK435" s="662"/>
      <c r="EL435" s="662"/>
      <c r="EM435" s="662"/>
      <c r="EN435" s="662"/>
      <c r="EO435" s="662"/>
      <c r="EP435" s="662"/>
      <c r="EQ435" s="662"/>
      <c r="ER435" s="662"/>
      <c r="ES435" s="662"/>
      <c r="ET435" s="662"/>
      <c r="EU435" s="662"/>
      <c r="EV435" s="662"/>
      <c r="EW435" s="662"/>
      <c r="EX435" s="662"/>
      <c r="EY435" s="662"/>
      <c r="EZ435" s="662"/>
      <c r="FA435" s="662"/>
      <c r="FB435" s="662"/>
      <c r="FC435" s="662"/>
      <c r="FD435" s="662"/>
      <c r="FE435" s="662"/>
      <c r="FF435" s="662"/>
      <c r="FG435" s="662"/>
      <c r="FH435" s="662"/>
      <c r="FI435" s="662"/>
      <c r="FJ435" s="662"/>
      <c r="FK435" s="662"/>
      <c r="FL435" s="662"/>
      <c r="FM435" s="662"/>
      <c r="FN435" s="662"/>
      <c r="FO435" s="662"/>
      <c r="FP435" s="662"/>
      <c r="FQ435" s="662"/>
      <c r="FR435" s="662"/>
      <c r="FS435" s="662"/>
      <c r="FT435" s="662"/>
      <c r="FU435" s="662"/>
      <c r="FV435" s="662"/>
      <c r="FW435" s="662"/>
      <c r="FX435" s="662"/>
      <c r="FY435" s="662"/>
      <c r="FZ435" s="662"/>
      <c r="GA435" s="662"/>
      <c r="GB435" s="662"/>
      <c r="GC435" s="662"/>
      <c r="GD435" s="662"/>
      <c r="GE435" s="662"/>
      <c r="GF435" s="662"/>
      <c r="GG435" s="662"/>
      <c r="GH435" s="662"/>
      <c r="GI435" s="662"/>
      <c r="GJ435" s="662"/>
      <c r="GK435" s="662"/>
      <c r="GL435" s="662"/>
      <c r="GM435" s="662"/>
      <c r="GN435" s="662"/>
      <c r="GO435" s="662"/>
      <c r="GP435" s="662"/>
      <c r="GQ435" s="662"/>
      <c r="GR435" s="662"/>
      <c r="GS435" s="662"/>
      <c r="GT435" s="662"/>
      <c r="GU435" s="662"/>
      <c r="GV435" s="662"/>
      <c r="GW435" s="662"/>
      <c r="GX435" s="662"/>
      <c r="GY435" s="662"/>
      <c r="GZ435" s="662"/>
      <c r="HA435" s="662"/>
      <c r="HB435" s="662"/>
      <c r="HC435" s="662"/>
      <c r="HD435" s="662"/>
      <c r="HE435" s="662"/>
      <c r="HF435" s="662"/>
      <c r="HG435" s="662"/>
      <c r="HH435" s="662"/>
      <c r="HI435" s="662"/>
      <c r="HJ435" s="662"/>
      <c r="HK435" s="662"/>
      <c r="HL435" s="662"/>
      <c r="HM435" s="662"/>
      <c r="HN435" s="662"/>
      <c r="HO435" s="662"/>
      <c r="HP435" s="662"/>
      <c r="HQ435" s="662"/>
      <c r="HR435" s="662"/>
      <c r="HS435" s="662"/>
      <c r="HT435" s="662"/>
      <c r="HU435" s="662"/>
      <c r="HV435" s="662"/>
      <c r="HW435" s="662"/>
      <c r="HX435" s="662"/>
      <c r="HY435" s="662"/>
      <c r="HZ435" s="662"/>
      <c r="IA435" s="662"/>
      <c r="IB435" s="662"/>
      <c r="IC435" s="662"/>
      <c r="ID435" s="662"/>
      <c r="IE435" s="662"/>
      <c r="IF435" s="662"/>
      <c r="IG435" s="662"/>
      <c r="IH435" s="662"/>
      <c r="II435" s="662"/>
      <c r="IJ435" s="662"/>
      <c r="IK435" s="662"/>
      <c r="IL435" s="662"/>
      <c r="IM435" s="662"/>
      <c r="IN435" s="662"/>
      <c r="IO435" s="662"/>
      <c r="IP435" s="662"/>
      <c r="IQ435" s="653"/>
    </row>
    <row r="436" spans="18:251" ht="16.5" hidden="1" customHeight="1">
      <c r="R436" s="648"/>
      <c r="S436" s="648"/>
      <c r="T436" s="648"/>
      <c r="U436" s="653"/>
      <c r="V436" s="649"/>
      <c r="W436" s="653"/>
      <c r="X436" s="653"/>
      <c r="Y436" s="653"/>
      <c r="Z436" s="653"/>
      <c r="AA436" s="653"/>
      <c r="AB436" s="653"/>
      <c r="AC436" s="653"/>
      <c r="AD436" s="653"/>
      <c r="AE436" s="653"/>
      <c r="AF436" s="653"/>
      <c r="AG436" s="653"/>
      <c r="AH436" s="653"/>
      <c r="AI436" s="653"/>
      <c r="AJ436" s="653"/>
      <c r="AK436" s="653"/>
      <c r="AL436" s="653"/>
      <c r="AM436" s="653"/>
      <c r="AN436" s="653"/>
      <c r="AO436" s="653"/>
      <c r="AP436" s="653"/>
      <c r="AQ436" s="653"/>
      <c r="AR436" s="653"/>
      <c r="AS436" s="653"/>
      <c r="AT436" s="653"/>
      <c r="AU436" s="653"/>
      <c r="AV436" s="653"/>
      <c r="AW436" s="653"/>
      <c r="AX436" s="653"/>
      <c r="AY436" s="653"/>
      <c r="AZ436" s="653"/>
      <c r="BA436" s="653"/>
      <c r="BB436" s="653"/>
      <c r="BC436" s="653"/>
      <c r="BD436" s="653"/>
      <c r="BE436" s="653"/>
      <c r="BF436" s="653"/>
      <c r="BG436" s="653"/>
      <c r="BH436" s="653"/>
      <c r="BI436" s="653"/>
      <c r="BJ436" s="653"/>
      <c r="BK436" s="653"/>
      <c r="BL436" s="653"/>
      <c r="BM436" s="653"/>
      <c r="BN436" s="653"/>
      <c r="BO436" s="653"/>
      <c r="BP436" s="653"/>
      <c r="BQ436" s="653"/>
      <c r="BR436" s="653"/>
      <c r="BS436" s="653"/>
      <c r="BT436" s="653"/>
      <c r="BU436" s="653"/>
      <c r="BV436" s="653"/>
      <c r="BW436" s="653"/>
      <c r="BX436" s="653"/>
      <c r="BY436" s="653"/>
      <c r="BZ436" s="653"/>
      <c r="CA436" s="653"/>
      <c r="CB436" s="653"/>
      <c r="CC436" s="653"/>
      <c r="CD436" s="653"/>
      <c r="CE436" s="653"/>
      <c r="CF436" s="653"/>
      <c r="CG436" s="653"/>
      <c r="CH436" s="653"/>
      <c r="CI436" s="653"/>
      <c r="CJ436" s="653"/>
      <c r="CK436" s="653"/>
      <c r="CL436" s="653"/>
      <c r="CM436" s="653"/>
      <c r="CN436" s="653"/>
      <c r="CO436" s="653"/>
      <c r="CP436" s="653"/>
      <c r="CQ436" s="653"/>
      <c r="CR436" s="653"/>
      <c r="CS436" s="653"/>
      <c r="CT436" s="653"/>
      <c r="CU436" s="653"/>
      <c r="CV436" s="653"/>
      <c r="CW436" s="653"/>
      <c r="CX436" s="653"/>
      <c r="CY436" s="653"/>
      <c r="CZ436" s="653"/>
      <c r="DA436" s="653"/>
      <c r="DB436" s="653"/>
      <c r="DC436" s="653"/>
      <c r="DD436" s="653"/>
      <c r="DE436" s="653"/>
      <c r="DF436" s="653"/>
      <c r="DG436" s="653"/>
      <c r="DH436" s="653"/>
      <c r="DI436" s="653"/>
      <c r="DJ436" s="653"/>
      <c r="DK436" s="653"/>
      <c r="DL436" s="653"/>
      <c r="DM436" s="653"/>
      <c r="DN436" s="653"/>
      <c r="DO436" s="653"/>
      <c r="DP436" s="653"/>
      <c r="DQ436" s="653"/>
      <c r="DR436" s="653"/>
      <c r="DS436" s="653"/>
      <c r="DT436" s="653"/>
      <c r="DU436" s="653"/>
      <c r="DV436" s="653"/>
      <c r="DW436" s="653"/>
      <c r="DX436" s="653"/>
      <c r="DY436" s="653"/>
      <c r="DZ436" s="653"/>
      <c r="EA436" s="653"/>
      <c r="EB436" s="653"/>
      <c r="EC436" s="653"/>
      <c r="ED436" s="653"/>
      <c r="EE436" s="648"/>
      <c r="EF436" s="651"/>
      <c r="EG436" s="651"/>
      <c r="EH436" s="651"/>
      <c r="EI436" s="216"/>
      <c r="EJ436" s="662"/>
      <c r="EK436" s="662"/>
      <c r="EL436" s="662"/>
      <c r="EM436" s="662"/>
      <c r="EN436" s="662"/>
      <c r="EO436" s="662"/>
      <c r="EP436" s="662"/>
      <c r="EQ436" s="662"/>
      <c r="ER436" s="662"/>
      <c r="ES436" s="662"/>
      <c r="ET436" s="662"/>
      <c r="EU436" s="662"/>
      <c r="EV436" s="662"/>
      <c r="EW436" s="662"/>
      <c r="EX436" s="662"/>
      <c r="EY436" s="662"/>
      <c r="EZ436" s="662"/>
      <c r="FA436" s="662"/>
      <c r="FB436" s="662"/>
      <c r="FC436" s="662"/>
      <c r="FD436" s="662"/>
      <c r="FE436" s="662"/>
      <c r="FF436" s="662"/>
      <c r="FG436" s="662"/>
      <c r="FH436" s="662"/>
      <c r="FI436" s="662"/>
      <c r="FJ436" s="662"/>
      <c r="FK436" s="662"/>
      <c r="FL436" s="662"/>
      <c r="FM436" s="662"/>
      <c r="FN436" s="662"/>
      <c r="FO436" s="662"/>
      <c r="FP436" s="662"/>
      <c r="FQ436" s="662"/>
      <c r="FR436" s="662"/>
      <c r="FS436" s="662"/>
      <c r="FT436" s="662"/>
      <c r="FU436" s="662"/>
      <c r="FV436" s="662"/>
      <c r="FW436" s="662"/>
      <c r="FX436" s="662"/>
      <c r="FY436" s="662"/>
      <c r="FZ436" s="662"/>
      <c r="GA436" s="662"/>
      <c r="GB436" s="662"/>
      <c r="GC436" s="662"/>
      <c r="GD436" s="662"/>
      <c r="GE436" s="662"/>
      <c r="GF436" s="662"/>
      <c r="GG436" s="662"/>
      <c r="GH436" s="662"/>
      <c r="GI436" s="662"/>
      <c r="GJ436" s="662"/>
      <c r="GK436" s="662"/>
      <c r="GL436" s="662"/>
      <c r="GM436" s="662"/>
      <c r="GN436" s="662"/>
      <c r="GO436" s="662"/>
      <c r="GP436" s="662"/>
      <c r="GQ436" s="662"/>
      <c r="GR436" s="662"/>
      <c r="GS436" s="662"/>
      <c r="GT436" s="662"/>
      <c r="GU436" s="662"/>
      <c r="GV436" s="662"/>
      <c r="GW436" s="662"/>
      <c r="GX436" s="662"/>
      <c r="GY436" s="662"/>
      <c r="GZ436" s="662"/>
      <c r="HA436" s="662"/>
      <c r="HB436" s="662"/>
      <c r="HC436" s="662"/>
      <c r="HD436" s="662"/>
      <c r="HE436" s="662"/>
      <c r="HF436" s="662"/>
      <c r="HG436" s="662"/>
      <c r="HH436" s="662"/>
      <c r="HI436" s="662"/>
      <c r="HJ436" s="662"/>
      <c r="HK436" s="662"/>
      <c r="HL436" s="662"/>
      <c r="HM436" s="662"/>
      <c r="HN436" s="662"/>
      <c r="HO436" s="662"/>
      <c r="HP436" s="662"/>
      <c r="HQ436" s="662"/>
      <c r="HR436" s="662"/>
      <c r="HS436" s="662"/>
      <c r="HT436" s="662"/>
      <c r="HU436" s="662"/>
      <c r="HV436" s="662"/>
      <c r="HW436" s="662"/>
      <c r="HX436" s="662"/>
      <c r="HY436" s="662"/>
      <c r="HZ436" s="662"/>
      <c r="IA436" s="662"/>
      <c r="IB436" s="662"/>
      <c r="IC436" s="662"/>
      <c r="ID436" s="662"/>
      <c r="IE436" s="662"/>
      <c r="IF436" s="662"/>
      <c r="IG436" s="662"/>
      <c r="IH436" s="662"/>
      <c r="II436" s="662"/>
      <c r="IJ436" s="662"/>
      <c r="IK436" s="662"/>
      <c r="IL436" s="662"/>
      <c r="IM436" s="662"/>
      <c r="IN436" s="662"/>
      <c r="IO436" s="662"/>
      <c r="IP436" s="662"/>
      <c r="IQ436" s="653"/>
    </row>
    <row r="437" spans="18:251" ht="16.5" hidden="1" customHeight="1">
      <c r="R437" s="648"/>
      <c r="S437" s="648"/>
      <c r="T437" s="648"/>
      <c r="U437" s="653"/>
      <c r="V437" s="649"/>
      <c r="W437" s="653"/>
      <c r="X437" s="653"/>
      <c r="Y437" s="653"/>
      <c r="Z437" s="653"/>
      <c r="AA437" s="653"/>
      <c r="AB437" s="653"/>
      <c r="AC437" s="653"/>
      <c r="AD437" s="653"/>
      <c r="AE437" s="653"/>
      <c r="AF437" s="653"/>
      <c r="AG437" s="653"/>
      <c r="AH437" s="653"/>
      <c r="AI437" s="653"/>
      <c r="AJ437" s="653"/>
      <c r="AK437" s="653"/>
      <c r="AL437" s="653"/>
      <c r="AM437" s="653"/>
      <c r="AN437" s="653"/>
      <c r="AO437" s="653"/>
      <c r="AP437" s="653"/>
      <c r="AQ437" s="653"/>
      <c r="AR437" s="653"/>
      <c r="AS437" s="653"/>
      <c r="AT437" s="653"/>
      <c r="AU437" s="653"/>
      <c r="AV437" s="653"/>
      <c r="AW437" s="653"/>
      <c r="AX437" s="653"/>
      <c r="AY437" s="653"/>
      <c r="AZ437" s="653"/>
      <c r="BA437" s="653"/>
      <c r="BB437" s="653"/>
      <c r="BC437" s="653"/>
      <c r="BD437" s="653"/>
      <c r="BE437" s="653"/>
      <c r="BF437" s="653"/>
      <c r="BG437" s="653"/>
      <c r="BH437" s="653"/>
      <c r="BI437" s="653"/>
      <c r="BJ437" s="653"/>
      <c r="BK437" s="653"/>
      <c r="BL437" s="653"/>
      <c r="BM437" s="653"/>
      <c r="BN437" s="653"/>
      <c r="BO437" s="653"/>
      <c r="BP437" s="653"/>
      <c r="BQ437" s="653"/>
      <c r="BR437" s="653"/>
      <c r="BS437" s="653"/>
      <c r="BT437" s="653"/>
      <c r="BU437" s="653"/>
      <c r="BV437" s="653"/>
      <c r="BW437" s="653"/>
      <c r="BX437" s="653"/>
      <c r="BY437" s="653"/>
      <c r="BZ437" s="653"/>
      <c r="CA437" s="653"/>
      <c r="CB437" s="653"/>
      <c r="CC437" s="653"/>
      <c r="CD437" s="653"/>
      <c r="CE437" s="653"/>
      <c r="CF437" s="653"/>
      <c r="CG437" s="653"/>
      <c r="CH437" s="653"/>
      <c r="CI437" s="653"/>
      <c r="CJ437" s="653"/>
      <c r="CK437" s="653"/>
      <c r="CL437" s="653"/>
      <c r="CM437" s="653"/>
      <c r="CN437" s="653"/>
      <c r="CO437" s="653"/>
      <c r="CP437" s="653"/>
      <c r="CQ437" s="653"/>
      <c r="CR437" s="653"/>
      <c r="CS437" s="653"/>
      <c r="CT437" s="653"/>
      <c r="CU437" s="653"/>
      <c r="CV437" s="653"/>
      <c r="CW437" s="653"/>
      <c r="CX437" s="653"/>
      <c r="CY437" s="653"/>
      <c r="CZ437" s="653"/>
      <c r="DA437" s="653"/>
      <c r="DB437" s="653"/>
      <c r="DC437" s="653"/>
      <c r="DD437" s="653"/>
      <c r="DE437" s="653"/>
      <c r="DF437" s="653"/>
      <c r="DG437" s="653"/>
      <c r="DH437" s="653"/>
      <c r="DI437" s="653"/>
      <c r="DJ437" s="653"/>
      <c r="DK437" s="653"/>
      <c r="DL437" s="653"/>
      <c r="DM437" s="653"/>
      <c r="DN437" s="653"/>
      <c r="DO437" s="653"/>
      <c r="DP437" s="653"/>
      <c r="DQ437" s="653"/>
      <c r="DR437" s="653"/>
      <c r="DS437" s="653"/>
      <c r="DT437" s="653"/>
      <c r="DU437" s="653"/>
      <c r="DV437" s="653"/>
      <c r="DW437" s="653"/>
      <c r="DX437" s="653"/>
      <c r="DY437" s="653"/>
      <c r="DZ437" s="653"/>
      <c r="EA437" s="653"/>
      <c r="EB437" s="653"/>
      <c r="EC437" s="653"/>
      <c r="ED437" s="653"/>
      <c r="EE437" s="648"/>
      <c r="EF437" s="651"/>
      <c r="EG437" s="651"/>
      <c r="EH437" s="651"/>
      <c r="EI437" s="216"/>
      <c r="EJ437" s="662"/>
      <c r="EK437" s="662"/>
      <c r="EL437" s="662"/>
      <c r="EM437" s="662"/>
      <c r="EN437" s="662"/>
      <c r="EO437" s="662"/>
      <c r="EP437" s="662"/>
      <c r="EQ437" s="662"/>
      <c r="ER437" s="662"/>
      <c r="ES437" s="662"/>
      <c r="ET437" s="662"/>
      <c r="EU437" s="662"/>
      <c r="EV437" s="662"/>
      <c r="EW437" s="662"/>
      <c r="EX437" s="662"/>
      <c r="EY437" s="662"/>
      <c r="EZ437" s="662"/>
      <c r="FA437" s="662"/>
      <c r="FB437" s="662"/>
      <c r="FC437" s="662"/>
      <c r="FD437" s="662"/>
      <c r="FE437" s="662"/>
      <c r="FF437" s="662"/>
      <c r="FG437" s="662"/>
      <c r="FH437" s="662"/>
      <c r="FI437" s="662"/>
      <c r="FJ437" s="662"/>
      <c r="FK437" s="662"/>
      <c r="FL437" s="662"/>
      <c r="FM437" s="662"/>
      <c r="FN437" s="662"/>
      <c r="FO437" s="662"/>
      <c r="FP437" s="662"/>
      <c r="FQ437" s="662"/>
      <c r="FR437" s="662"/>
      <c r="FS437" s="662"/>
      <c r="FT437" s="662"/>
      <c r="FU437" s="662"/>
      <c r="FV437" s="662"/>
      <c r="FW437" s="662"/>
      <c r="FX437" s="662"/>
      <c r="FY437" s="662"/>
      <c r="FZ437" s="662"/>
      <c r="GA437" s="662"/>
      <c r="GB437" s="662"/>
      <c r="GC437" s="662"/>
      <c r="GD437" s="662"/>
      <c r="GE437" s="662"/>
      <c r="GF437" s="662"/>
      <c r="GG437" s="662"/>
      <c r="GH437" s="662"/>
      <c r="GI437" s="662"/>
      <c r="GJ437" s="662"/>
      <c r="GK437" s="662"/>
      <c r="GL437" s="662"/>
      <c r="GM437" s="662"/>
      <c r="GN437" s="662"/>
      <c r="GO437" s="662"/>
      <c r="GP437" s="662"/>
      <c r="GQ437" s="662"/>
      <c r="GR437" s="662"/>
      <c r="GS437" s="662"/>
      <c r="GT437" s="662"/>
      <c r="GU437" s="662"/>
      <c r="GV437" s="662"/>
      <c r="GW437" s="662"/>
      <c r="GX437" s="662"/>
      <c r="GY437" s="662"/>
      <c r="GZ437" s="662"/>
      <c r="HA437" s="662"/>
      <c r="HB437" s="662"/>
      <c r="HC437" s="662"/>
      <c r="HD437" s="662"/>
      <c r="HE437" s="662"/>
      <c r="HF437" s="662"/>
      <c r="HG437" s="662"/>
      <c r="HH437" s="662"/>
      <c r="HI437" s="662"/>
      <c r="HJ437" s="662"/>
      <c r="HK437" s="662"/>
      <c r="HL437" s="662"/>
      <c r="HM437" s="662"/>
      <c r="HN437" s="662"/>
      <c r="HO437" s="662"/>
      <c r="HP437" s="662"/>
      <c r="HQ437" s="662"/>
      <c r="HR437" s="662"/>
      <c r="HS437" s="662"/>
      <c r="HT437" s="662"/>
      <c r="HU437" s="662"/>
      <c r="HV437" s="662"/>
      <c r="HW437" s="662"/>
      <c r="HX437" s="662"/>
      <c r="HY437" s="662"/>
      <c r="HZ437" s="662"/>
      <c r="IA437" s="662"/>
      <c r="IB437" s="662"/>
      <c r="IC437" s="662"/>
      <c r="ID437" s="662"/>
      <c r="IE437" s="662"/>
      <c r="IF437" s="662"/>
      <c r="IG437" s="662"/>
      <c r="IH437" s="662"/>
      <c r="II437" s="662"/>
      <c r="IJ437" s="662"/>
      <c r="IK437" s="662"/>
      <c r="IL437" s="662"/>
      <c r="IM437" s="662"/>
      <c r="IN437" s="662"/>
      <c r="IO437" s="662"/>
      <c r="IP437" s="662"/>
      <c r="IQ437" s="653"/>
    </row>
    <row r="438" spans="18:251" ht="16.5" hidden="1" customHeight="1">
      <c r="R438" s="648"/>
      <c r="S438" s="648"/>
      <c r="T438" s="648"/>
      <c r="U438" s="653"/>
      <c r="V438" s="649"/>
      <c r="W438" s="653"/>
      <c r="X438" s="653"/>
      <c r="Y438" s="653"/>
      <c r="Z438" s="653"/>
      <c r="AA438" s="653"/>
      <c r="AB438" s="653"/>
      <c r="AC438" s="653"/>
      <c r="AD438" s="653"/>
      <c r="AE438" s="653"/>
      <c r="AF438" s="653"/>
      <c r="AG438" s="653"/>
      <c r="AH438" s="653"/>
      <c r="AI438" s="653"/>
      <c r="AJ438" s="653"/>
      <c r="AK438" s="653"/>
      <c r="AL438" s="653"/>
      <c r="AM438" s="653"/>
      <c r="AN438" s="653"/>
      <c r="AO438" s="653"/>
      <c r="AP438" s="653"/>
      <c r="AQ438" s="653"/>
      <c r="AR438" s="653"/>
      <c r="AS438" s="653"/>
      <c r="AT438" s="653"/>
      <c r="AU438" s="653"/>
      <c r="AV438" s="653"/>
      <c r="AW438" s="653"/>
      <c r="AX438" s="653"/>
      <c r="AY438" s="653"/>
      <c r="AZ438" s="653"/>
      <c r="BA438" s="653"/>
      <c r="BB438" s="653"/>
      <c r="BC438" s="653"/>
      <c r="BD438" s="653"/>
      <c r="BE438" s="653"/>
      <c r="BF438" s="653"/>
      <c r="BG438" s="653"/>
      <c r="BH438" s="653"/>
      <c r="BI438" s="653"/>
      <c r="BJ438" s="653"/>
      <c r="BK438" s="653"/>
      <c r="BL438" s="653"/>
      <c r="BM438" s="653"/>
      <c r="BN438" s="653"/>
      <c r="BO438" s="653"/>
      <c r="BP438" s="653"/>
      <c r="BQ438" s="653"/>
      <c r="BR438" s="653"/>
      <c r="BS438" s="653"/>
      <c r="BT438" s="653"/>
      <c r="BU438" s="653"/>
      <c r="BV438" s="653"/>
      <c r="BW438" s="653"/>
      <c r="BX438" s="653"/>
      <c r="BY438" s="653"/>
      <c r="BZ438" s="653"/>
      <c r="CA438" s="653"/>
      <c r="CB438" s="653"/>
      <c r="CC438" s="653"/>
      <c r="CD438" s="653"/>
      <c r="CE438" s="653"/>
      <c r="CF438" s="653"/>
      <c r="CG438" s="653"/>
      <c r="CH438" s="653"/>
      <c r="CI438" s="653"/>
      <c r="CJ438" s="653"/>
      <c r="CK438" s="653"/>
      <c r="CL438" s="653"/>
      <c r="CM438" s="653"/>
      <c r="CN438" s="653"/>
      <c r="CO438" s="653"/>
      <c r="CP438" s="653"/>
      <c r="CQ438" s="653"/>
      <c r="CR438" s="653"/>
      <c r="CS438" s="653"/>
      <c r="CT438" s="653"/>
      <c r="CU438" s="653"/>
      <c r="CV438" s="653"/>
      <c r="CW438" s="653"/>
      <c r="CX438" s="653"/>
      <c r="CY438" s="653"/>
      <c r="CZ438" s="653"/>
      <c r="DA438" s="653"/>
      <c r="DB438" s="653"/>
      <c r="DC438" s="653"/>
      <c r="DD438" s="653"/>
      <c r="DE438" s="653"/>
      <c r="DF438" s="653"/>
      <c r="DG438" s="653"/>
      <c r="DH438" s="653"/>
      <c r="DI438" s="653"/>
      <c r="DJ438" s="653"/>
      <c r="DK438" s="653"/>
      <c r="DL438" s="653"/>
      <c r="DM438" s="653"/>
      <c r="DN438" s="653"/>
      <c r="DO438" s="653"/>
      <c r="DP438" s="653"/>
      <c r="DQ438" s="653"/>
      <c r="DR438" s="653"/>
      <c r="DS438" s="653"/>
      <c r="DT438" s="653"/>
      <c r="DU438" s="653"/>
      <c r="DV438" s="653"/>
      <c r="DW438" s="653"/>
      <c r="DX438" s="653"/>
      <c r="DY438" s="653"/>
      <c r="DZ438" s="653"/>
      <c r="EA438" s="653"/>
      <c r="EB438" s="653"/>
      <c r="EC438" s="653"/>
      <c r="ED438" s="653"/>
      <c r="EE438" s="648"/>
      <c r="EF438" s="651"/>
      <c r="EG438" s="651"/>
      <c r="EH438" s="651"/>
      <c r="EI438" s="216"/>
      <c r="EJ438" s="662"/>
      <c r="EK438" s="662"/>
      <c r="EL438" s="662"/>
      <c r="EM438" s="662"/>
      <c r="EN438" s="662"/>
      <c r="EO438" s="662"/>
      <c r="EP438" s="662"/>
      <c r="EQ438" s="662"/>
      <c r="ER438" s="662"/>
      <c r="ES438" s="662"/>
      <c r="ET438" s="662"/>
      <c r="EU438" s="662"/>
      <c r="EV438" s="662"/>
      <c r="EW438" s="662"/>
      <c r="EX438" s="662"/>
      <c r="EY438" s="662"/>
      <c r="EZ438" s="662"/>
      <c r="FA438" s="662"/>
      <c r="FB438" s="662"/>
      <c r="FC438" s="662"/>
      <c r="FD438" s="662"/>
      <c r="FE438" s="662"/>
      <c r="FF438" s="662"/>
      <c r="FG438" s="662"/>
      <c r="FH438" s="662"/>
      <c r="FI438" s="662"/>
      <c r="FJ438" s="662"/>
      <c r="FK438" s="662"/>
      <c r="FL438" s="662"/>
      <c r="FM438" s="662"/>
      <c r="FN438" s="662"/>
      <c r="FO438" s="662"/>
      <c r="FP438" s="662"/>
      <c r="FQ438" s="662"/>
      <c r="FR438" s="662"/>
      <c r="FS438" s="662"/>
      <c r="FT438" s="662"/>
      <c r="FU438" s="662"/>
      <c r="FV438" s="662"/>
      <c r="FW438" s="662"/>
      <c r="FX438" s="662"/>
      <c r="FY438" s="662"/>
      <c r="FZ438" s="662"/>
      <c r="GA438" s="662"/>
      <c r="GB438" s="662"/>
      <c r="GC438" s="662"/>
      <c r="GD438" s="662"/>
      <c r="GE438" s="662"/>
      <c r="GF438" s="662"/>
      <c r="GG438" s="662"/>
      <c r="GH438" s="662"/>
      <c r="GI438" s="662"/>
      <c r="GJ438" s="662"/>
      <c r="GK438" s="662"/>
      <c r="GL438" s="662"/>
      <c r="GM438" s="662"/>
      <c r="GN438" s="662"/>
      <c r="GO438" s="662"/>
      <c r="GP438" s="662"/>
      <c r="GQ438" s="662"/>
      <c r="GR438" s="662"/>
      <c r="GS438" s="662"/>
      <c r="GT438" s="662"/>
      <c r="GU438" s="662"/>
      <c r="GV438" s="662"/>
      <c r="GW438" s="662"/>
      <c r="GX438" s="662"/>
      <c r="GY438" s="662"/>
      <c r="GZ438" s="662"/>
      <c r="HA438" s="662"/>
      <c r="HB438" s="662"/>
      <c r="HC438" s="662"/>
      <c r="HD438" s="662"/>
      <c r="HE438" s="662"/>
      <c r="HF438" s="662"/>
      <c r="HG438" s="662"/>
      <c r="HH438" s="662"/>
      <c r="HI438" s="662"/>
      <c r="HJ438" s="662"/>
      <c r="HK438" s="662"/>
      <c r="HL438" s="662"/>
      <c r="HM438" s="662"/>
      <c r="HN438" s="662"/>
      <c r="HO438" s="662"/>
      <c r="HP438" s="662"/>
      <c r="HQ438" s="662"/>
      <c r="HR438" s="662"/>
      <c r="HS438" s="662"/>
      <c r="HT438" s="662"/>
      <c r="HU438" s="662"/>
      <c r="HV438" s="662"/>
      <c r="HW438" s="662"/>
      <c r="HX438" s="662"/>
      <c r="HY438" s="662"/>
      <c r="HZ438" s="662"/>
      <c r="IA438" s="662"/>
      <c r="IB438" s="662"/>
      <c r="IC438" s="662"/>
      <c r="ID438" s="662"/>
      <c r="IE438" s="662"/>
      <c r="IF438" s="662"/>
      <c r="IG438" s="662"/>
      <c r="IH438" s="662"/>
      <c r="II438" s="662"/>
      <c r="IJ438" s="662"/>
      <c r="IK438" s="662"/>
      <c r="IL438" s="662"/>
      <c r="IM438" s="662"/>
      <c r="IN438" s="662"/>
      <c r="IO438" s="662"/>
      <c r="IP438" s="662"/>
      <c r="IQ438" s="653"/>
    </row>
    <row r="439" spans="18:251" ht="16.5" hidden="1" customHeight="1">
      <c r="R439" s="648"/>
      <c r="S439" s="648"/>
      <c r="T439" s="648"/>
      <c r="U439" s="653"/>
      <c r="V439" s="649"/>
      <c r="W439" s="653"/>
      <c r="X439" s="653"/>
      <c r="Y439" s="653"/>
      <c r="Z439" s="653"/>
      <c r="AA439" s="653"/>
      <c r="AB439" s="653"/>
      <c r="AC439" s="653"/>
      <c r="AD439" s="653"/>
      <c r="AE439" s="653"/>
      <c r="AF439" s="653"/>
      <c r="AG439" s="653"/>
      <c r="AH439" s="653"/>
      <c r="AI439" s="653"/>
      <c r="AJ439" s="653"/>
      <c r="AK439" s="653"/>
      <c r="AL439" s="653"/>
      <c r="AM439" s="653"/>
      <c r="AN439" s="653"/>
      <c r="AO439" s="653"/>
      <c r="AP439" s="653"/>
      <c r="AQ439" s="653"/>
      <c r="AR439" s="653"/>
      <c r="AS439" s="653"/>
      <c r="AT439" s="653"/>
      <c r="AU439" s="653"/>
      <c r="AV439" s="653"/>
      <c r="AW439" s="653"/>
      <c r="AX439" s="653"/>
      <c r="AY439" s="653"/>
      <c r="AZ439" s="653"/>
      <c r="BA439" s="653"/>
      <c r="BB439" s="653"/>
      <c r="BC439" s="653"/>
      <c r="BD439" s="653"/>
      <c r="BE439" s="653"/>
      <c r="BF439" s="653"/>
      <c r="BG439" s="653"/>
      <c r="BH439" s="653"/>
      <c r="BI439" s="653"/>
      <c r="BJ439" s="653"/>
      <c r="BK439" s="653"/>
      <c r="BL439" s="653"/>
      <c r="BM439" s="653"/>
      <c r="BN439" s="653"/>
      <c r="BO439" s="653"/>
      <c r="BP439" s="653"/>
      <c r="BQ439" s="653"/>
      <c r="BR439" s="653"/>
      <c r="BS439" s="653"/>
      <c r="BT439" s="653"/>
      <c r="BU439" s="653"/>
      <c r="BV439" s="653"/>
      <c r="BW439" s="653"/>
      <c r="BX439" s="653"/>
      <c r="BY439" s="653"/>
      <c r="BZ439" s="653"/>
      <c r="CA439" s="653"/>
      <c r="CB439" s="653"/>
      <c r="CC439" s="653"/>
      <c r="CD439" s="653"/>
      <c r="CE439" s="653"/>
      <c r="CF439" s="653"/>
      <c r="CG439" s="653"/>
      <c r="CH439" s="653"/>
      <c r="CI439" s="653"/>
      <c r="CJ439" s="653"/>
      <c r="CK439" s="653"/>
      <c r="CL439" s="653"/>
      <c r="CM439" s="653"/>
      <c r="CN439" s="653"/>
      <c r="CO439" s="653"/>
      <c r="CP439" s="653"/>
      <c r="CQ439" s="653"/>
      <c r="CR439" s="653"/>
      <c r="CS439" s="653"/>
      <c r="CT439" s="653"/>
      <c r="CU439" s="653"/>
      <c r="CV439" s="653"/>
      <c r="CW439" s="653"/>
      <c r="CX439" s="653"/>
      <c r="CY439" s="653"/>
      <c r="CZ439" s="653"/>
      <c r="DA439" s="653"/>
      <c r="DB439" s="653"/>
      <c r="DC439" s="653"/>
      <c r="DD439" s="653"/>
      <c r="DE439" s="653"/>
      <c r="DF439" s="653"/>
      <c r="DG439" s="653"/>
      <c r="DH439" s="653"/>
      <c r="DI439" s="653"/>
      <c r="DJ439" s="653"/>
      <c r="DK439" s="653"/>
      <c r="DL439" s="653"/>
      <c r="DM439" s="653"/>
      <c r="DN439" s="653"/>
      <c r="DO439" s="653"/>
      <c r="DP439" s="653"/>
      <c r="DQ439" s="653"/>
      <c r="DR439" s="653"/>
      <c r="DS439" s="653"/>
      <c r="DT439" s="653"/>
      <c r="DU439" s="653"/>
      <c r="DV439" s="653"/>
      <c r="DW439" s="653"/>
      <c r="DX439" s="653"/>
      <c r="DY439" s="653"/>
      <c r="DZ439" s="653"/>
      <c r="EA439" s="653"/>
      <c r="EB439" s="653"/>
      <c r="EC439" s="653"/>
      <c r="ED439" s="653"/>
      <c r="EE439" s="648"/>
      <c r="EF439" s="651"/>
      <c r="EG439" s="651"/>
      <c r="EH439" s="651"/>
      <c r="EI439" s="216"/>
      <c r="EJ439" s="662"/>
      <c r="EK439" s="662"/>
      <c r="EL439" s="662"/>
      <c r="EM439" s="662"/>
      <c r="EN439" s="662"/>
      <c r="EO439" s="662"/>
      <c r="EP439" s="662"/>
      <c r="EQ439" s="662"/>
      <c r="ER439" s="662"/>
      <c r="ES439" s="662"/>
      <c r="ET439" s="662"/>
      <c r="EU439" s="662"/>
      <c r="EV439" s="662"/>
      <c r="EW439" s="662"/>
      <c r="EX439" s="662"/>
      <c r="EY439" s="662"/>
      <c r="EZ439" s="662"/>
      <c r="FA439" s="662"/>
      <c r="FB439" s="662"/>
      <c r="FC439" s="662"/>
      <c r="FD439" s="662"/>
      <c r="FE439" s="662"/>
      <c r="FF439" s="662"/>
      <c r="FG439" s="662"/>
      <c r="FH439" s="662"/>
      <c r="FI439" s="662"/>
      <c r="FJ439" s="662"/>
      <c r="FK439" s="662"/>
      <c r="FL439" s="662"/>
      <c r="FM439" s="662"/>
      <c r="FN439" s="662"/>
      <c r="FO439" s="662"/>
      <c r="FP439" s="662"/>
      <c r="FQ439" s="662"/>
      <c r="FR439" s="662"/>
      <c r="FS439" s="662"/>
      <c r="FT439" s="662"/>
      <c r="FU439" s="662"/>
      <c r="FV439" s="662"/>
      <c r="FW439" s="662"/>
      <c r="FX439" s="662"/>
      <c r="FY439" s="662"/>
      <c r="FZ439" s="662"/>
      <c r="GA439" s="662"/>
      <c r="GB439" s="662"/>
      <c r="GC439" s="662"/>
      <c r="GD439" s="662"/>
      <c r="GE439" s="662"/>
      <c r="GF439" s="662"/>
      <c r="GG439" s="662"/>
      <c r="GH439" s="662"/>
      <c r="GI439" s="662"/>
      <c r="GJ439" s="662"/>
      <c r="GK439" s="662"/>
      <c r="GL439" s="662"/>
      <c r="GM439" s="662"/>
      <c r="GN439" s="662"/>
      <c r="GO439" s="662"/>
      <c r="GP439" s="662"/>
      <c r="GQ439" s="662"/>
      <c r="GR439" s="662"/>
      <c r="GS439" s="662"/>
      <c r="GT439" s="662"/>
      <c r="GU439" s="662"/>
      <c r="GV439" s="662"/>
      <c r="GW439" s="662"/>
      <c r="GX439" s="662"/>
      <c r="GY439" s="662"/>
      <c r="GZ439" s="662"/>
      <c r="HA439" s="662"/>
      <c r="HB439" s="662"/>
      <c r="HC439" s="662"/>
      <c r="HD439" s="662"/>
      <c r="HE439" s="662"/>
      <c r="HF439" s="662"/>
      <c r="HG439" s="662"/>
      <c r="HH439" s="662"/>
      <c r="HI439" s="662"/>
      <c r="HJ439" s="662"/>
      <c r="HK439" s="662"/>
      <c r="HL439" s="662"/>
      <c r="HM439" s="662"/>
      <c r="HN439" s="662"/>
      <c r="HO439" s="662"/>
      <c r="HP439" s="662"/>
      <c r="HQ439" s="662"/>
      <c r="HR439" s="662"/>
      <c r="HS439" s="662"/>
      <c r="HT439" s="662"/>
      <c r="HU439" s="662"/>
      <c r="HV439" s="662"/>
      <c r="HW439" s="662"/>
      <c r="HX439" s="662"/>
      <c r="HY439" s="662"/>
      <c r="HZ439" s="662"/>
      <c r="IA439" s="662"/>
      <c r="IB439" s="662"/>
      <c r="IC439" s="662"/>
      <c r="ID439" s="662"/>
      <c r="IE439" s="662"/>
      <c r="IF439" s="662"/>
      <c r="IG439" s="662"/>
      <c r="IH439" s="662"/>
      <c r="II439" s="662"/>
      <c r="IJ439" s="662"/>
      <c r="IK439" s="662"/>
      <c r="IL439" s="662"/>
      <c r="IM439" s="662"/>
      <c r="IN439" s="662"/>
      <c r="IO439" s="662"/>
      <c r="IP439" s="662"/>
      <c r="IQ439" s="653"/>
    </row>
    <row r="440" spans="18:251" ht="16.5" hidden="1" customHeight="1">
      <c r="R440" s="648"/>
      <c r="S440" s="648"/>
      <c r="T440" s="648"/>
      <c r="U440" s="653"/>
      <c r="V440" s="649"/>
      <c r="W440" s="653"/>
      <c r="X440" s="653"/>
      <c r="Y440" s="653"/>
      <c r="Z440" s="653"/>
      <c r="AA440" s="653"/>
      <c r="AB440" s="653"/>
      <c r="AC440" s="653"/>
      <c r="AD440" s="653"/>
      <c r="AE440" s="653"/>
      <c r="AF440" s="653"/>
      <c r="AG440" s="653"/>
      <c r="AH440" s="653"/>
      <c r="AI440" s="653"/>
      <c r="AJ440" s="653"/>
      <c r="AK440" s="653"/>
      <c r="AL440" s="653"/>
      <c r="AM440" s="653"/>
      <c r="AN440" s="653"/>
      <c r="AO440" s="653"/>
      <c r="AP440" s="653"/>
      <c r="AQ440" s="653"/>
      <c r="AR440" s="653"/>
      <c r="AS440" s="653"/>
      <c r="AT440" s="653"/>
      <c r="AU440" s="653"/>
      <c r="AV440" s="653"/>
      <c r="AW440" s="653"/>
      <c r="AX440" s="653"/>
      <c r="AY440" s="653"/>
      <c r="AZ440" s="653"/>
      <c r="BA440" s="653"/>
      <c r="BB440" s="653"/>
      <c r="BC440" s="653"/>
      <c r="BD440" s="653"/>
      <c r="BE440" s="653"/>
      <c r="BF440" s="653"/>
      <c r="BG440" s="653"/>
      <c r="BH440" s="653"/>
      <c r="BI440" s="653"/>
      <c r="BJ440" s="653"/>
      <c r="BK440" s="653"/>
      <c r="BL440" s="653"/>
      <c r="BM440" s="653"/>
      <c r="BN440" s="653"/>
      <c r="BO440" s="653"/>
      <c r="BP440" s="653"/>
      <c r="BQ440" s="653"/>
      <c r="BR440" s="653"/>
      <c r="BS440" s="653"/>
      <c r="BT440" s="653"/>
      <c r="BU440" s="653"/>
      <c r="BV440" s="653"/>
      <c r="BW440" s="653"/>
      <c r="BX440" s="653"/>
      <c r="BY440" s="653"/>
      <c r="BZ440" s="653"/>
      <c r="CA440" s="653"/>
      <c r="CB440" s="653"/>
      <c r="CC440" s="653"/>
      <c r="CD440" s="653"/>
      <c r="CE440" s="653"/>
      <c r="CF440" s="653"/>
      <c r="CG440" s="653"/>
      <c r="CH440" s="653"/>
      <c r="CI440" s="653"/>
      <c r="CJ440" s="653"/>
      <c r="CK440" s="653"/>
      <c r="CL440" s="653"/>
      <c r="CM440" s="653"/>
      <c r="CN440" s="653"/>
      <c r="CO440" s="653"/>
      <c r="CP440" s="653"/>
      <c r="CQ440" s="653"/>
      <c r="CR440" s="653"/>
      <c r="CS440" s="653"/>
      <c r="CT440" s="653"/>
      <c r="CU440" s="653"/>
      <c r="CV440" s="653"/>
      <c r="CW440" s="653"/>
      <c r="CX440" s="653"/>
      <c r="CY440" s="653"/>
      <c r="CZ440" s="653"/>
      <c r="DA440" s="653"/>
      <c r="DB440" s="653"/>
      <c r="DC440" s="653"/>
      <c r="DD440" s="653"/>
      <c r="DE440" s="653"/>
      <c r="DF440" s="653"/>
      <c r="DG440" s="653"/>
      <c r="DH440" s="653"/>
      <c r="DI440" s="653"/>
      <c r="DJ440" s="653"/>
      <c r="DK440" s="653"/>
      <c r="DL440" s="653"/>
      <c r="DM440" s="653"/>
      <c r="DN440" s="653"/>
      <c r="DO440" s="653"/>
      <c r="DP440" s="653"/>
      <c r="DQ440" s="653"/>
      <c r="DR440" s="653"/>
      <c r="DS440" s="653"/>
      <c r="DT440" s="653"/>
      <c r="DU440" s="653"/>
      <c r="DV440" s="653"/>
      <c r="DW440" s="653"/>
      <c r="DX440" s="653"/>
      <c r="DY440" s="653"/>
      <c r="DZ440" s="653"/>
      <c r="EA440" s="653"/>
      <c r="EB440" s="653"/>
      <c r="EC440" s="653"/>
      <c r="ED440" s="653"/>
      <c r="EE440" s="648"/>
      <c r="EF440" s="651"/>
      <c r="EG440" s="651"/>
      <c r="EH440" s="651"/>
      <c r="EI440" s="216"/>
      <c r="EJ440" s="662"/>
      <c r="EK440" s="662"/>
      <c r="EL440" s="662"/>
      <c r="EM440" s="662"/>
      <c r="EN440" s="662"/>
      <c r="EO440" s="662"/>
      <c r="EP440" s="662"/>
      <c r="EQ440" s="662"/>
      <c r="ER440" s="662"/>
      <c r="ES440" s="662"/>
      <c r="ET440" s="662"/>
      <c r="EU440" s="662"/>
      <c r="EV440" s="662"/>
      <c r="EW440" s="662"/>
      <c r="EX440" s="662"/>
      <c r="EY440" s="662"/>
      <c r="EZ440" s="662"/>
      <c r="FA440" s="662"/>
      <c r="FB440" s="662"/>
      <c r="FC440" s="662"/>
      <c r="FD440" s="662"/>
      <c r="FE440" s="662"/>
      <c r="FF440" s="662"/>
      <c r="FG440" s="662"/>
      <c r="FH440" s="662"/>
      <c r="FI440" s="662"/>
      <c r="FJ440" s="662"/>
      <c r="FK440" s="662"/>
      <c r="FL440" s="662"/>
      <c r="FM440" s="662"/>
      <c r="FN440" s="662"/>
      <c r="FO440" s="662"/>
      <c r="FP440" s="662"/>
      <c r="FQ440" s="662"/>
      <c r="FR440" s="662"/>
      <c r="FS440" s="662"/>
      <c r="FT440" s="662"/>
      <c r="FU440" s="662"/>
      <c r="FV440" s="662"/>
      <c r="FW440" s="662"/>
      <c r="FX440" s="662"/>
      <c r="FY440" s="662"/>
      <c r="FZ440" s="662"/>
      <c r="GA440" s="662"/>
      <c r="GB440" s="662"/>
      <c r="GC440" s="662"/>
      <c r="GD440" s="662"/>
      <c r="GE440" s="662"/>
      <c r="GF440" s="662"/>
      <c r="GG440" s="662"/>
      <c r="GH440" s="662"/>
      <c r="GI440" s="662"/>
      <c r="GJ440" s="662"/>
      <c r="GK440" s="662"/>
      <c r="GL440" s="662"/>
      <c r="GM440" s="662"/>
      <c r="GN440" s="662"/>
      <c r="GO440" s="662"/>
      <c r="GP440" s="662"/>
      <c r="GQ440" s="662"/>
      <c r="GR440" s="662"/>
      <c r="GS440" s="662"/>
      <c r="GT440" s="662"/>
      <c r="GU440" s="662"/>
      <c r="GV440" s="662"/>
      <c r="GW440" s="662"/>
      <c r="GX440" s="662"/>
      <c r="GY440" s="662"/>
      <c r="GZ440" s="662"/>
      <c r="HA440" s="662"/>
      <c r="HB440" s="662"/>
      <c r="HC440" s="662"/>
      <c r="HD440" s="662"/>
      <c r="HE440" s="662"/>
      <c r="HF440" s="662"/>
      <c r="HG440" s="662"/>
      <c r="HH440" s="662"/>
      <c r="HI440" s="662"/>
      <c r="HJ440" s="662"/>
      <c r="HK440" s="662"/>
      <c r="HL440" s="662"/>
      <c r="HM440" s="662"/>
      <c r="HN440" s="662"/>
      <c r="HO440" s="662"/>
      <c r="HP440" s="662"/>
      <c r="HQ440" s="662"/>
      <c r="HR440" s="662"/>
      <c r="HS440" s="662"/>
      <c r="HT440" s="662"/>
      <c r="HU440" s="662"/>
      <c r="HV440" s="662"/>
      <c r="HW440" s="662"/>
      <c r="HX440" s="662"/>
      <c r="HY440" s="662"/>
      <c r="HZ440" s="662"/>
      <c r="IA440" s="662"/>
      <c r="IB440" s="662"/>
      <c r="IC440" s="662"/>
      <c r="ID440" s="662"/>
      <c r="IE440" s="662"/>
      <c r="IF440" s="662"/>
      <c r="IG440" s="662"/>
      <c r="IH440" s="662"/>
      <c r="II440" s="662"/>
      <c r="IJ440" s="662"/>
      <c r="IK440" s="662"/>
      <c r="IL440" s="662"/>
      <c r="IM440" s="662"/>
      <c r="IN440" s="662"/>
      <c r="IO440" s="662"/>
      <c r="IP440" s="662"/>
      <c r="IQ440" s="653"/>
    </row>
    <row r="441" spans="18:251" ht="16.5" hidden="1" customHeight="1">
      <c r="R441" s="648"/>
      <c r="S441" s="648"/>
      <c r="T441" s="648"/>
      <c r="U441" s="653"/>
      <c r="V441" s="649"/>
      <c r="W441" s="653"/>
      <c r="X441" s="653"/>
      <c r="Y441" s="653"/>
      <c r="Z441" s="653"/>
      <c r="AA441" s="653"/>
      <c r="AB441" s="653"/>
      <c r="AC441" s="653"/>
      <c r="AD441" s="653"/>
      <c r="AE441" s="653"/>
      <c r="AF441" s="653"/>
      <c r="AG441" s="653"/>
      <c r="AH441" s="653"/>
      <c r="AI441" s="653"/>
      <c r="AJ441" s="653"/>
      <c r="AK441" s="653"/>
      <c r="AL441" s="653"/>
      <c r="AM441" s="653"/>
      <c r="AN441" s="653"/>
      <c r="AO441" s="653"/>
      <c r="AP441" s="653"/>
      <c r="AQ441" s="653"/>
      <c r="AR441" s="653"/>
      <c r="AS441" s="653"/>
      <c r="AT441" s="653"/>
      <c r="AU441" s="653"/>
      <c r="AV441" s="653"/>
      <c r="AW441" s="653"/>
      <c r="AX441" s="653"/>
      <c r="AY441" s="653"/>
      <c r="AZ441" s="653"/>
      <c r="BA441" s="653"/>
      <c r="BB441" s="653"/>
      <c r="BC441" s="653"/>
      <c r="BD441" s="653"/>
      <c r="BE441" s="653"/>
      <c r="BF441" s="653"/>
      <c r="BG441" s="653"/>
      <c r="BH441" s="653"/>
      <c r="BI441" s="653"/>
      <c r="BJ441" s="653"/>
      <c r="BK441" s="653"/>
      <c r="BL441" s="653"/>
      <c r="BM441" s="653"/>
      <c r="BN441" s="653"/>
      <c r="BO441" s="653"/>
      <c r="BP441" s="653"/>
      <c r="BQ441" s="653"/>
      <c r="BR441" s="653"/>
      <c r="BS441" s="653"/>
      <c r="BT441" s="653"/>
      <c r="BU441" s="653"/>
      <c r="BV441" s="653"/>
      <c r="BW441" s="653"/>
      <c r="BX441" s="653"/>
      <c r="BY441" s="653"/>
      <c r="BZ441" s="653"/>
      <c r="CA441" s="653"/>
      <c r="CB441" s="653"/>
      <c r="CC441" s="653"/>
      <c r="CD441" s="653"/>
      <c r="CE441" s="653"/>
      <c r="CF441" s="653"/>
      <c r="CG441" s="653"/>
      <c r="CH441" s="653"/>
      <c r="CI441" s="653"/>
      <c r="CJ441" s="653"/>
      <c r="CK441" s="653"/>
      <c r="CL441" s="653"/>
      <c r="CM441" s="653"/>
      <c r="CN441" s="653"/>
      <c r="CO441" s="653"/>
      <c r="CP441" s="653"/>
      <c r="CQ441" s="653"/>
      <c r="CR441" s="653"/>
      <c r="CS441" s="653"/>
      <c r="CT441" s="653"/>
      <c r="CU441" s="653"/>
      <c r="CV441" s="653"/>
      <c r="CW441" s="653"/>
      <c r="CX441" s="653"/>
      <c r="CY441" s="653"/>
      <c r="CZ441" s="653"/>
      <c r="DA441" s="653"/>
      <c r="DB441" s="653"/>
      <c r="DC441" s="653"/>
      <c r="DD441" s="653"/>
      <c r="DE441" s="653"/>
      <c r="DF441" s="653"/>
      <c r="DG441" s="653"/>
      <c r="DH441" s="653"/>
      <c r="DI441" s="653"/>
      <c r="DJ441" s="653"/>
      <c r="DK441" s="653"/>
      <c r="DL441" s="653"/>
      <c r="DM441" s="653"/>
      <c r="DN441" s="653"/>
      <c r="DO441" s="653"/>
      <c r="DP441" s="653"/>
      <c r="DQ441" s="653"/>
      <c r="DR441" s="653"/>
      <c r="DS441" s="653"/>
      <c r="DT441" s="653"/>
      <c r="DU441" s="653"/>
      <c r="DV441" s="653"/>
      <c r="DW441" s="653"/>
      <c r="DX441" s="653"/>
      <c r="DY441" s="653"/>
      <c r="DZ441" s="653"/>
      <c r="EA441" s="653"/>
      <c r="EB441" s="653"/>
      <c r="EC441" s="653"/>
      <c r="ED441" s="653"/>
      <c r="EE441" s="648"/>
      <c r="EF441" s="651"/>
      <c r="EG441" s="651"/>
      <c r="EH441" s="651"/>
      <c r="EI441" s="216"/>
      <c r="EJ441" s="662"/>
      <c r="EK441" s="662"/>
      <c r="EL441" s="662"/>
      <c r="EM441" s="662"/>
      <c r="EN441" s="662"/>
      <c r="EO441" s="662"/>
      <c r="EP441" s="662"/>
      <c r="EQ441" s="662"/>
      <c r="ER441" s="662"/>
      <c r="ES441" s="662"/>
      <c r="ET441" s="662"/>
      <c r="EU441" s="662"/>
      <c r="EV441" s="662"/>
      <c r="EW441" s="662"/>
      <c r="EX441" s="662"/>
      <c r="EY441" s="662"/>
      <c r="EZ441" s="662"/>
      <c r="FA441" s="662"/>
      <c r="FB441" s="662"/>
      <c r="FC441" s="662"/>
      <c r="FD441" s="662"/>
      <c r="FE441" s="662"/>
      <c r="FF441" s="662"/>
      <c r="FG441" s="662"/>
      <c r="FH441" s="662"/>
      <c r="FI441" s="662"/>
      <c r="FJ441" s="662"/>
      <c r="FK441" s="662"/>
      <c r="FL441" s="662"/>
      <c r="FM441" s="662"/>
      <c r="FN441" s="662"/>
      <c r="FO441" s="662"/>
      <c r="FP441" s="662"/>
      <c r="FQ441" s="662"/>
      <c r="FR441" s="662"/>
      <c r="FS441" s="662"/>
      <c r="FT441" s="662"/>
      <c r="FU441" s="662"/>
      <c r="FV441" s="662"/>
      <c r="FW441" s="662"/>
      <c r="FX441" s="662"/>
      <c r="FY441" s="662"/>
      <c r="FZ441" s="662"/>
      <c r="GA441" s="662"/>
      <c r="GB441" s="662"/>
      <c r="GC441" s="662"/>
      <c r="GD441" s="662"/>
      <c r="GE441" s="662"/>
      <c r="GF441" s="662"/>
      <c r="GG441" s="662"/>
      <c r="GH441" s="662"/>
      <c r="GI441" s="662"/>
      <c r="GJ441" s="662"/>
      <c r="GK441" s="662"/>
      <c r="GL441" s="662"/>
      <c r="GM441" s="662"/>
      <c r="GN441" s="662"/>
      <c r="GO441" s="662"/>
      <c r="GP441" s="662"/>
      <c r="GQ441" s="662"/>
      <c r="GR441" s="662"/>
      <c r="GS441" s="662"/>
      <c r="GT441" s="662"/>
      <c r="GU441" s="662"/>
      <c r="GV441" s="662"/>
      <c r="GW441" s="662"/>
      <c r="GX441" s="662"/>
      <c r="GY441" s="662"/>
      <c r="GZ441" s="662"/>
      <c r="HA441" s="662"/>
      <c r="HB441" s="662"/>
      <c r="HC441" s="662"/>
      <c r="HD441" s="662"/>
      <c r="HE441" s="662"/>
      <c r="HF441" s="662"/>
      <c r="HG441" s="662"/>
      <c r="HH441" s="662"/>
      <c r="HI441" s="662"/>
      <c r="HJ441" s="662"/>
      <c r="HK441" s="662"/>
      <c r="HL441" s="662"/>
      <c r="HM441" s="662"/>
      <c r="HN441" s="662"/>
      <c r="HO441" s="662"/>
      <c r="HP441" s="662"/>
      <c r="HQ441" s="662"/>
      <c r="HR441" s="662"/>
      <c r="HS441" s="662"/>
      <c r="HT441" s="662"/>
      <c r="HU441" s="662"/>
      <c r="HV441" s="662"/>
      <c r="HW441" s="662"/>
      <c r="HX441" s="662"/>
      <c r="HY441" s="662"/>
      <c r="HZ441" s="662"/>
      <c r="IA441" s="662"/>
      <c r="IB441" s="662"/>
      <c r="IC441" s="662"/>
      <c r="ID441" s="662"/>
      <c r="IE441" s="662"/>
      <c r="IF441" s="662"/>
      <c r="IG441" s="662"/>
      <c r="IH441" s="662"/>
      <c r="II441" s="662"/>
      <c r="IJ441" s="662"/>
      <c r="IK441" s="662"/>
      <c r="IL441" s="662"/>
      <c r="IM441" s="662"/>
      <c r="IN441" s="662"/>
      <c r="IO441" s="662"/>
      <c r="IP441" s="662"/>
      <c r="IQ441" s="653"/>
    </row>
    <row r="442" spans="18:251" ht="16.5" hidden="1" customHeight="1">
      <c r="R442" s="648"/>
      <c r="S442" s="648"/>
      <c r="T442" s="648"/>
      <c r="U442" s="653"/>
      <c r="V442" s="649"/>
      <c r="W442" s="653"/>
      <c r="X442" s="653"/>
      <c r="Y442" s="653"/>
      <c r="Z442" s="653"/>
      <c r="AA442" s="653"/>
      <c r="AB442" s="653"/>
      <c r="AC442" s="653"/>
      <c r="AD442" s="653"/>
      <c r="AE442" s="653"/>
      <c r="AF442" s="653"/>
      <c r="AG442" s="653"/>
      <c r="AH442" s="653"/>
      <c r="AI442" s="653"/>
      <c r="AJ442" s="653"/>
      <c r="AK442" s="653"/>
      <c r="AL442" s="653"/>
      <c r="AM442" s="653"/>
      <c r="AN442" s="653"/>
      <c r="AO442" s="653"/>
      <c r="AP442" s="653"/>
      <c r="AQ442" s="653"/>
      <c r="AR442" s="653"/>
      <c r="AS442" s="653"/>
      <c r="AT442" s="653"/>
      <c r="AU442" s="653"/>
      <c r="AV442" s="653"/>
      <c r="AW442" s="653"/>
      <c r="AX442" s="653"/>
      <c r="AY442" s="653"/>
      <c r="AZ442" s="653"/>
      <c r="BA442" s="653"/>
      <c r="BB442" s="653"/>
      <c r="BC442" s="653"/>
      <c r="BD442" s="653"/>
      <c r="BE442" s="653"/>
      <c r="BF442" s="653"/>
      <c r="BG442" s="653"/>
      <c r="BH442" s="653"/>
      <c r="BI442" s="653"/>
      <c r="BJ442" s="653"/>
      <c r="BK442" s="653"/>
      <c r="BL442" s="653"/>
      <c r="BM442" s="653"/>
      <c r="BN442" s="653"/>
      <c r="BO442" s="653"/>
      <c r="BP442" s="653"/>
      <c r="BQ442" s="653"/>
      <c r="BR442" s="653"/>
      <c r="BS442" s="653"/>
      <c r="BT442" s="653"/>
      <c r="BU442" s="653"/>
      <c r="BV442" s="653"/>
      <c r="BW442" s="653"/>
      <c r="BX442" s="653"/>
      <c r="BY442" s="653"/>
      <c r="BZ442" s="653"/>
      <c r="CA442" s="653"/>
      <c r="CB442" s="653"/>
      <c r="CC442" s="653"/>
      <c r="CD442" s="653"/>
      <c r="CE442" s="653"/>
      <c r="CF442" s="653"/>
      <c r="CG442" s="653"/>
      <c r="CH442" s="653"/>
      <c r="CI442" s="653"/>
      <c r="CJ442" s="653"/>
      <c r="CK442" s="653"/>
      <c r="CL442" s="653"/>
      <c r="CM442" s="653"/>
      <c r="CN442" s="653"/>
      <c r="CO442" s="653"/>
      <c r="CP442" s="653"/>
      <c r="CQ442" s="653"/>
      <c r="CR442" s="653"/>
      <c r="CS442" s="653"/>
      <c r="CT442" s="653"/>
      <c r="CU442" s="653"/>
      <c r="CV442" s="653"/>
      <c r="CW442" s="653"/>
      <c r="CX442" s="653"/>
      <c r="CY442" s="653"/>
      <c r="CZ442" s="653"/>
      <c r="DA442" s="653"/>
      <c r="DB442" s="653"/>
      <c r="DC442" s="653"/>
      <c r="DD442" s="653"/>
      <c r="DE442" s="653"/>
      <c r="DF442" s="653"/>
      <c r="DG442" s="653"/>
      <c r="DH442" s="653"/>
      <c r="DI442" s="653"/>
      <c r="DJ442" s="653"/>
      <c r="DK442" s="653"/>
      <c r="DL442" s="653"/>
      <c r="DM442" s="653"/>
      <c r="DN442" s="653"/>
      <c r="DO442" s="653"/>
      <c r="DP442" s="653"/>
      <c r="DQ442" s="653"/>
      <c r="DR442" s="653"/>
      <c r="DS442" s="653"/>
      <c r="DT442" s="653"/>
      <c r="DU442" s="653"/>
      <c r="DV442" s="653"/>
      <c r="DW442" s="653"/>
      <c r="DX442" s="653"/>
      <c r="DY442" s="653"/>
      <c r="DZ442" s="653"/>
      <c r="EA442" s="653"/>
      <c r="EB442" s="653"/>
      <c r="EC442" s="653"/>
      <c r="ED442" s="653"/>
      <c r="EE442" s="648"/>
      <c r="EF442" s="651"/>
      <c r="EG442" s="651"/>
      <c r="EH442" s="651"/>
      <c r="EI442" s="216"/>
      <c r="EJ442" s="662"/>
      <c r="EK442" s="662"/>
      <c r="EL442" s="662"/>
      <c r="EM442" s="662"/>
      <c r="EN442" s="662"/>
      <c r="EO442" s="662"/>
      <c r="EP442" s="662"/>
      <c r="EQ442" s="662"/>
      <c r="ER442" s="662"/>
      <c r="ES442" s="662"/>
      <c r="ET442" s="662"/>
      <c r="EU442" s="662"/>
      <c r="EV442" s="662"/>
      <c r="EW442" s="662"/>
      <c r="EX442" s="662"/>
      <c r="EY442" s="662"/>
      <c r="EZ442" s="662"/>
      <c r="FA442" s="662"/>
      <c r="FB442" s="662"/>
      <c r="FC442" s="662"/>
      <c r="FD442" s="662"/>
      <c r="FE442" s="662"/>
      <c r="FF442" s="662"/>
      <c r="FG442" s="662"/>
      <c r="FH442" s="662"/>
      <c r="FI442" s="662"/>
      <c r="FJ442" s="662"/>
      <c r="FK442" s="662"/>
      <c r="FL442" s="662"/>
      <c r="FM442" s="662"/>
      <c r="FN442" s="662"/>
      <c r="FO442" s="662"/>
      <c r="FP442" s="662"/>
      <c r="FQ442" s="662"/>
      <c r="FR442" s="662"/>
      <c r="FS442" s="662"/>
      <c r="FT442" s="662"/>
      <c r="FU442" s="662"/>
      <c r="FV442" s="662"/>
      <c r="FW442" s="662"/>
      <c r="FX442" s="662"/>
      <c r="FY442" s="662"/>
      <c r="FZ442" s="662"/>
      <c r="GA442" s="662"/>
      <c r="GB442" s="662"/>
      <c r="GC442" s="662"/>
      <c r="GD442" s="662"/>
      <c r="GE442" s="662"/>
      <c r="GF442" s="662"/>
      <c r="GG442" s="662"/>
      <c r="GH442" s="662"/>
      <c r="GI442" s="662"/>
      <c r="GJ442" s="662"/>
      <c r="GK442" s="662"/>
      <c r="GL442" s="662"/>
      <c r="GM442" s="662"/>
      <c r="GN442" s="662"/>
      <c r="GO442" s="662"/>
      <c r="GP442" s="662"/>
      <c r="GQ442" s="662"/>
      <c r="GR442" s="662"/>
      <c r="GS442" s="662"/>
      <c r="GT442" s="662"/>
      <c r="GU442" s="662"/>
      <c r="GV442" s="662"/>
      <c r="GW442" s="662"/>
      <c r="GX442" s="662"/>
      <c r="GY442" s="662"/>
      <c r="GZ442" s="662"/>
      <c r="HA442" s="662"/>
      <c r="HB442" s="662"/>
      <c r="HC442" s="662"/>
      <c r="HD442" s="662"/>
      <c r="HE442" s="662"/>
      <c r="HF442" s="662"/>
      <c r="HG442" s="662"/>
      <c r="HH442" s="662"/>
      <c r="HI442" s="662"/>
      <c r="HJ442" s="662"/>
      <c r="HK442" s="662"/>
      <c r="HL442" s="662"/>
      <c r="HM442" s="662"/>
      <c r="HN442" s="662"/>
      <c r="HO442" s="662"/>
      <c r="HP442" s="662"/>
      <c r="HQ442" s="662"/>
      <c r="HR442" s="662"/>
      <c r="HS442" s="662"/>
      <c r="HT442" s="662"/>
      <c r="HU442" s="662"/>
      <c r="HV442" s="662"/>
      <c r="HW442" s="662"/>
      <c r="HX442" s="662"/>
      <c r="HY442" s="662"/>
      <c r="HZ442" s="662"/>
      <c r="IA442" s="662"/>
      <c r="IB442" s="662"/>
      <c r="IC442" s="662"/>
      <c r="ID442" s="662"/>
      <c r="IE442" s="662"/>
      <c r="IF442" s="662"/>
      <c r="IG442" s="662"/>
      <c r="IH442" s="662"/>
      <c r="II442" s="662"/>
      <c r="IJ442" s="662"/>
      <c r="IK442" s="662"/>
      <c r="IL442" s="662"/>
      <c r="IM442" s="662"/>
      <c r="IN442" s="662"/>
      <c r="IO442" s="662"/>
      <c r="IP442" s="662"/>
      <c r="IQ442" s="653"/>
    </row>
    <row r="443" spans="18:251" ht="16.5" hidden="1" customHeight="1">
      <c r="R443" s="648"/>
      <c r="S443" s="648"/>
      <c r="T443" s="648"/>
      <c r="U443" s="653"/>
      <c r="V443" s="649"/>
      <c r="W443" s="653"/>
      <c r="X443" s="653"/>
      <c r="Y443" s="653"/>
      <c r="Z443" s="653"/>
      <c r="AA443" s="653"/>
      <c r="AB443" s="653"/>
      <c r="AC443" s="653"/>
      <c r="AD443" s="653"/>
      <c r="AE443" s="653"/>
      <c r="AF443" s="653"/>
      <c r="AG443" s="653"/>
      <c r="AH443" s="653"/>
      <c r="AI443" s="653"/>
      <c r="AJ443" s="653"/>
      <c r="AK443" s="653"/>
      <c r="AL443" s="653"/>
      <c r="AM443" s="653"/>
      <c r="AN443" s="653"/>
      <c r="AO443" s="653"/>
      <c r="AP443" s="653"/>
      <c r="AQ443" s="653"/>
      <c r="AR443" s="653"/>
      <c r="AS443" s="653"/>
      <c r="AT443" s="653"/>
      <c r="AU443" s="653"/>
      <c r="AV443" s="653"/>
      <c r="AW443" s="653"/>
      <c r="AX443" s="653"/>
      <c r="AY443" s="653"/>
      <c r="AZ443" s="653"/>
      <c r="BA443" s="653"/>
      <c r="BB443" s="653"/>
      <c r="BC443" s="653"/>
      <c r="BD443" s="653"/>
      <c r="BE443" s="653"/>
      <c r="BF443" s="653"/>
      <c r="BG443" s="653"/>
      <c r="BH443" s="653"/>
      <c r="BI443" s="653"/>
      <c r="BJ443" s="653"/>
      <c r="BK443" s="653"/>
      <c r="BL443" s="653"/>
      <c r="BM443" s="653"/>
      <c r="BN443" s="653"/>
      <c r="BO443" s="653"/>
      <c r="BP443" s="653"/>
      <c r="BQ443" s="653"/>
      <c r="BR443" s="653"/>
      <c r="BS443" s="653"/>
      <c r="BT443" s="653"/>
      <c r="BU443" s="653"/>
      <c r="BV443" s="653"/>
      <c r="BW443" s="653"/>
      <c r="BX443" s="653"/>
      <c r="BY443" s="653"/>
      <c r="BZ443" s="653"/>
      <c r="CA443" s="653"/>
      <c r="CB443" s="653"/>
      <c r="CC443" s="653"/>
      <c r="CD443" s="653"/>
      <c r="CE443" s="653"/>
      <c r="CF443" s="653"/>
      <c r="CG443" s="653"/>
      <c r="CH443" s="653"/>
      <c r="CI443" s="653"/>
      <c r="CJ443" s="653"/>
      <c r="CK443" s="653"/>
      <c r="CL443" s="653"/>
      <c r="CM443" s="653"/>
      <c r="CN443" s="653"/>
      <c r="CO443" s="653"/>
      <c r="CP443" s="653"/>
      <c r="CQ443" s="653"/>
      <c r="CR443" s="653"/>
      <c r="CS443" s="653"/>
      <c r="CT443" s="653"/>
      <c r="CU443" s="653"/>
      <c r="CV443" s="653"/>
      <c r="CW443" s="653"/>
      <c r="CX443" s="653"/>
      <c r="CY443" s="653"/>
      <c r="CZ443" s="653"/>
      <c r="DA443" s="653"/>
      <c r="DB443" s="653"/>
      <c r="DC443" s="653"/>
      <c r="DD443" s="653"/>
      <c r="DE443" s="653"/>
      <c r="DF443" s="653"/>
      <c r="DG443" s="653"/>
      <c r="DH443" s="653"/>
      <c r="DI443" s="653"/>
      <c r="DJ443" s="653"/>
      <c r="DK443" s="653"/>
      <c r="DL443" s="653"/>
      <c r="DM443" s="653"/>
      <c r="DN443" s="653"/>
      <c r="DO443" s="653"/>
      <c r="DP443" s="653"/>
      <c r="DQ443" s="653"/>
      <c r="DR443" s="653"/>
      <c r="DS443" s="653"/>
      <c r="DT443" s="653"/>
      <c r="DU443" s="653"/>
      <c r="DV443" s="653"/>
      <c r="DW443" s="653"/>
      <c r="DX443" s="653"/>
      <c r="DY443" s="653"/>
      <c r="DZ443" s="653"/>
      <c r="EA443" s="653"/>
      <c r="EB443" s="653"/>
      <c r="EC443" s="653"/>
      <c r="ED443" s="653"/>
      <c r="EE443" s="648"/>
      <c r="EF443" s="651"/>
      <c r="EG443" s="651"/>
      <c r="EH443" s="651"/>
      <c r="EI443" s="216"/>
      <c r="EJ443" s="662"/>
      <c r="EK443" s="662"/>
      <c r="EL443" s="662"/>
      <c r="EM443" s="662"/>
      <c r="EN443" s="662"/>
      <c r="EO443" s="662"/>
      <c r="EP443" s="662"/>
      <c r="EQ443" s="662"/>
      <c r="ER443" s="662"/>
      <c r="ES443" s="662"/>
      <c r="ET443" s="662"/>
      <c r="EU443" s="662"/>
      <c r="EV443" s="662"/>
      <c r="EW443" s="662"/>
      <c r="EX443" s="662"/>
      <c r="EY443" s="662"/>
      <c r="EZ443" s="662"/>
      <c r="FA443" s="662"/>
      <c r="FB443" s="662"/>
      <c r="FC443" s="662"/>
      <c r="FD443" s="662"/>
      <c r="FE443" s="662"/>
      <c r="FF443" s="662"/>
      <c r="FG443" s="662"/>
      <c r="FH443" s="662"/>
      <c r="FI443" s="662"/>
      <c r="FJ443" s="662"/>
      <c r="FK443" s="662"/>
      <c r="FL443" s="662"/>
      <c r="FM443" s="662"/>
      <c r="FN443" s="662"/>
      <c r="FO443" s="662"/>
      <c r="FP443" s="662"/>
      <c r="FQ443" s="662"/>
      <c r="FR443" s="662"/>
      <c r="FS443" s="662"/>
      <c r="FT443" s="662"/>
      <c r="FU443" s="662"/>
      <c r="FV443" s="662"/>
      <c r="FW443" s="662"/>
      <c r="FX443" s="662"/>
      <c r="FY443" s="662"/>
      <c r="FZ443" s="662"/>
      <c r="GA443" s="662"/>
      <c r="GB443" s="662"/>
      <c r="GC443" s="662"/>
      <c r="GD443" s="662"/>
      <c r="GE443" s="662"/>
      <c r="GF443" s="662"/>
      <c r="GG443" s="662"/>
      <c r="GH443" s="662"/>
      <c r="GI443" s="662"/>
      <c r="GJ443" s="662"/>
      <c r="GK443" s="662"/>
      <c r="GL443" s="662"/>
      <c r="GM443" s="662"/>
      <c r="GN443" s="662"/>
      <c r="GO443" s="662"/>
      <c r="GP443" s="662"/>
      <c r="GQ443" s="662"/>
      <c r="GR443" s="662"/>
      <c r="GS443" s="662"/>
      <c r="GT443" s="662"/>
      <c r="GU443" s="662"/>
      <c r="GV443" s="662"/>
      <c r="GW443" s="662"/>
      <c r="GX443" s="662"/>
      <c r="GY443" s="662"/>
      <c r="GZ443" s="662"/>
      <c r="HA443" s="662"/>
      <c r="HB443" s="662"/>
      <c r="HC443" s="662"/>
      <c r="HD443" s="662"/>
      <c r="HE443" s="662"/>
      <c r="HF443" s="662"/>
      <c r="HG443" s="662"/>
      <c r="HH443" s="662"/>
      <c r="HI443" s="662"/>
      <c r="HJ443" s="662"/>
      <c r="HK443" s="662"/>
      <c r="HL443" s="662"/>
      <c r="HM443" s="662"/>
      <c r="HN443" s="662"/>
      <c r="HO443" s="662"/>
      <c r="HP443" s="662"/>
      <c r="HQ443" s="662"/>
      <c r="HR443" s="662"/>
      <c r="HS443" s="662"/>
      <c r="HT443" s="662"/>
      <c r="HU443" s="662"/>
      <c r="HV443" s="662"/>
      <c r="HW443" s="662"/>
      <c r="HX443" s="662"/>
      <c r="HY443" s="662"/>
      <c r="HZ443" s="662"/>
      <c r="IA443" s="662"/>
      <c r="IB443" s="662"/>
      <c r="IC443" s="662"/>
      <c r="ID443" s="662"/>
      <c r="IE443" s="662"/>
      <c r="IF443" s="662"/>
      <c r="IG443" s="662"/>
      <c r="IH443" s="662"/>
      <c r="II443" s="662"/>
      <c r="IJ443" s="662"/>
      <c r="IK443" s="662"/>
      <c r="IL443" s="662"/>
      <c r="IM443" s="662"/>
      <c r="IN443" s="662"/>
      <c r="IO443" s="662"/>
      <c r="IP443" s="662"/>
      <c r="IQ443" s="653"/>
    </row>
    <row r="444" spans="18:251" ht="16.5" hidden="1" customHeight="1">
      <c r="R444" s="648"/>
      <c r="S444" s="648"/>
      <c r="T444" s="648"/>
      <c r="U444" s="653"/>
      <c r="V444" s="649"/>
      <c r="W444" s="653"/>
      <c r="X444" s="653"/>
      <c r="Y444" s="653"/>
      <c r="Z444" s="653"/>
      <c r="AA444" s="653"/>
      <c r="AB444" s="653"/>
      <c r="AC444" s="653"/>
      <c r="AD444" s="653"/>
      <c r="AE444" s="653"/>
      <c r="AF444" s="653"/>
      <c r="AG444" s="653"/>
      <c r="AH444" s="653"/>
      <c r="AI444" s="653"/>
      <c r="AJ444" s="653"/>
      <c r="AK444" s="653"/>
      <c r="AL444" s="653"/>
      <c r="AM444" s="653"/>
      <c r="AN444" s="653"/>
      <c r="AO444" s="653"/>
      <c r="AP444" s="653"/>
      <c r="AQ444" s="653"/>
      <c r="AR444" s="653"/>
      <c r="AS444" s="653"/>
      <c r="AT444" s="653"/>
      <c r="AU444" s="653"/>
      <c r="AV444" s="653"/>
      <c r="AW444" s="653"/>
      <c r="AX444" s="653"/>
      <c r="AY444" s="653"/>
      <c r="AZ444" s="653"/>
      <c r="BA444" s="653"/>
      <c r="BB444" s="653"/>
      <c r="BC444" s="653"/>
      <c r="BD444" s="653"/>
      <c r="BE444" s="653"/>
      <c r="BF444" s="653"/>
      <c r="BG444" s="653"/>
      <c r="BH444" s="653"/>
      <c r="BI444" s="653"/>
      <c r="BJ444" s="653"/>
      <c r="BK444" s="653"/>
      <c r="BL444" s="653"/>
      <c r="BM444" s="653"/>
      <c r="BN444" s="653"/>
      <c r="BO444" s="653"/>
      <c r="BP444" s="653"/>
      <c r="BQ444" s="653"/>
      <c r="BR444" s="653"/>
      <c r="BS444" s="653"/>
      <c r="BT444" s="653"/>
      <c r="BU444" s="653"/>
      <c r="BV444" s="653"/>
      <c r="BW444" s="653"/>
      <c r="BX444" s="653"/>
      <c r="BY444" s="653"/>
      <c r="BZ444" s="653"/>
      <c r="CA444" s="653"/>
      <c r="CB444" s="653"/>
      <c r="CC444" s="653"/>
      <c r="CD444" s="653"/>
      <c r="CE444" s="653"/>
      <c r="CF444" s="653"/>
      <c r="CG444" s="653"/>
      <c r="CH444" s="653"/>
      <c r="CI444" s="653"/>
      <c r="CJ444" s="653"/>
      <c r="CK444" s="653"/>
      <c r="CL444" s="653"/>
      <c r="CM444" s="653"/>
      <c r="CN444" s="653"/>
      <c r="CO444" s="653"/>
      <c r="CP444" s="653"/>
      <c r="CQ444" s="653"/>
      <c r="CR444" s="653"/>
      <c r="CS444" s="653"/>
      <c r="CT444" s="653"/>
      <c r="CU444" s="653"/>
      <c r="CV444" s="653"/>
      <c r="CW444" s="653"/>
      <c r="CX444" s="653"/>
      <c r="CY444" s="653"/>
      <c r="CZ444" s="653"/>
      <c r="DA444" s="653"/>
      <c r="DB444" s="653"/>
      <c r="DC444" s="653"/>
      <c r="DD444" s="653"/>
      <c r="DE444" s="653"/>
      <c r="DF444" s="653"/>
      <c r="DG444" s="653"/>
      <c r="DH444" s="653"/>
      <c r="DI444" s="653"/>
      <c r="DJ444" s="653"/>
      <c r="DK444" s="653"/>
      <c r="DL444" s="653"/>
      <c r="DM444" s="653"/>
      <c r="DN444" s="653"/>
      <c r="DO444" s="653"/>
      <c r="DP444" s="653"/>
      <c r="DQ444" s="653"/>
      <c r="DR444" s="653"/>
      <c r="DS444" s="653"/>
      <c r="DT444" s="653"/>
      <c r="DU444" s="653"/>
      <c r="DV444" s="653"/>
      <c r="DW444" s="653"/>
      <c r="DX444" s="653"/>
      <c r="DY444" s="653"/>
      <c r="DZ444" s="653"/>
      <c r="EA444" s="653"/>
      <c r="EB444" s="653"/>
      <c r="EC444" s="653"/>
      <c r="ED444" s="653"/>
      <c r="EE444" s="648"/>
      <c r="EF444" s="651"/>
      <c r="EG444" s="651"/>
      <c r="EH444" s="651"/>
      <c r="EI444" s="216"/>
      <c r="EJ444" s="662"/>
      <c r="EK444" s="662"/>
      <c r="EL444" s="662"/>
      <c r="EM444" s="662"/>
      <c r="EN444" s="662"/>
      <c r="EO444" s="662"/>
      <c r="EP444" s="662"/>
      <c r="EQ444" s="662"/>
      <c r="ER444" s="662"/>
      <c r="ES444" s="662"/>
      <c r="ET444" s="662"/>
      <c r="EU444" s="662"/>
      <c r="EV444" s="662"/>
      <c r="EW444" s="662"/>
      <c r="EX444" s="662"/>
      <c r="EY444" s="662"/>
      <c r="EZ444" s="662"/>
      <c r="FA444" s="662"/>
      <c r="FB444" s="662"/>
      <c r="FC444" s="662"/>
      <c r="FD444" s="662"/>
      <c r="FE444" s="662"/>
      <c r="FF444" s="662"/>
      <c r="FG444" s="662"/>
      <c r="FH444" s="662"/>
      <c r="FI444" s="662"/>
      <c r="FJ444" s="662"/>
      <c r="FK444" s="662"/>
      <c r="FL444" s="662"/>
      <c r="FM444" s="662"/>
      <c r="FN444" s="662"/>
      <c r="FO444" s="662"/>
      <c r="FP444" s="662"/>
      <c r="FQ444" s="662"/>
      <c r="FR444" s="662"/>
      <c r="FS444" s="662"/>
      <c r="FT444" s="662"/>
      <c r="FU444" s="662"/>
      <c r="FV444" s="662"/>
      <c r="FW444" s="662"/>
      <c r="FX444" s="662"/>
      <c r="FY444" s="662"/>
      <c r="FZ444" s="662"/>
      <c r="GA444" s="662"/>
      <c r="GB444" s="662"/>
      <c r="GC444" s="662"/>
      <c r="GD444" s="662"/>
      <c r="GE444" s="662"/>
      <c r="GF444" s="662"/>
      <c r="GG444" s="662"/>
      <c r="GH444" s="662"/>
      <c r="GI444" s="662"/>
      <c r="GJ444" s="662"/>
      <c r="GK444" s="662"/>
      <c r="GL444" s="662"/>
      <c r="GM444" s="662"/>
      <c r="GN444" s="662"/>
      <c r="GO444" s="662"/>
      <c r="GP444" s="662"/>
      <c r="GQ444" s="662"/>
      <c r="GR444" s="662"/>
      <c r="GS444" s="662"/>
      <c r="GT444" s="662"/>
      <c r="GU444" s="662"/>
      <c r="GV444" s="662"/>
      <c r="GW444" s="662"/>
      <c r="GX444" s="662"/>
      <c r="GY444" s="662"/>
      <c r="GZ444" s="662"/>
      <c r="HA444" s="662"/>
      <c r="HB444" s="662"/>
      <c r="HC444" s="662"/>
      <c r="HD444" s="662"/>
      <c r="HE444" s="662"/>
      <c r="HF444" s="662"/>
      <c r="HG444" s="662"/>
      <c r="HH444" s="662"/>
      <c r="HI444" s="662"/>
      <c r="HJ444" s="662"/>
      <c r="HK444" s="662"/>
      <c r="HL444" s="662"/>
      <c r="HM444" s="662"/>
      <c r="HN444" s="662"/>
      <c r="HO444" s="662"/>
      <c r="HP444" s="662"/>
      <c r="HQ444" s="662"/>
      <c r="HR444" s="662"/>
      <c r="HS444" s="662"/>
      <c r="HT444" s="662"/>
      <c r="HU444" s="662"/>
      <c r="HV444" s="662"/>
      <c r="HW444" s="662"/>
      <c r="HX444" s="662"/>
      <c r="HY444" s="662"/>
      <c r="HZ444" s="662"/>
      <c r="IA444" s="662"/>
      <c r="IB444" s="662"/>
      <c r="IC444" s="662"/>
      <c r="ID444" s="662"/>
      <c r="IE444" s="662"/>
      <c r="IF444" s="662"/>
      <c r="IG444" s="662"/>
      <c r="IH444" s="662"/>
      <c r="II444" s="662"/>
      <c r="IJ444" s="662"/>
      <c r="IK444" s="662"/>
      <c r="IL444" s="662"/>
      <c r="IM444" s="662"/>
      <c r="IN444" s="662"/>
      <c r="IO444" s="662"/>
      <c r="IP444" s="662"/>
      <c r="IQ444" s="653"/>
    </row>
    <row r="445" spans="18:251" ht="16.5" hidden="1" customHeight="1">
      <c r="R445" s="648"/>
      <c r="S445" s="648"/>
      <c r="T445" s="648"/>
      <c r="U445" s="653"/>
      <c r="V445" s="649"/>
      <c r="W445" s="653"/>
      <c r="X445" s="653"/>
      <c r="Y445" s="653"/>
      <c r="Z445" s="653"/>
      <c r="AA445" s="653"/>
      <c r="AB445" s="653"/>
      <c r="AC445" s="653"/>
      <c r="AD445" s="653"/>
      <c r="AE445" s="653"/>
      <c r="AF445" s="653"/>
      <c r="AG445" s="653"/>
      <c r="AH445" s="653"/>
      <c r="AI445" s="653"/>
      <c r="AJ445" s="653"/>
      <c r="AK445" s="653"/>
      <c r="AL445" s="653"/>
      <c r="AM445" s="653"/>
      <c r="AN445" s="653"/>
      <c r="AO445" s="653"/>
      <c r="AP445" s="653"/>
      <c r="AQ445" s="653"/>
      <c r="AR445" s="653"/>
      <c r="AS445" s="653"/>
      <c r="AT445" s="653"/>
      <c r="AU445" s="653"/>
      <c r="AV445" s="653"/>
      <c r="AW445" s="653"/>
      <c r="AX445" s="653"/>
      <c r="AY445" s="653"/>
      <c r="AZ445" s="653"/>
      <c r="BA445" s="653"/>
      <c r="BB445" s="653"/>
      <c r="BC445" s="653"/>
      <c r="BD445" s="653"/>
      <c r="BE445" s="653"/>
      <c r="BF445" s="653"/>
      <c r="BG445" s="653"/>
      <c r="BH445" s="653"/>
      <c r="BI445" s="653"/>
      <c r="BJ445" s="653"/>
      <c r="BK445" s="653"/>
      <c r="BL445" s="653"/>
      <c r="BM445" s="653"/>
      <c r="BN445" s="653"/>
      <c r="BO445" s="653"/>
      <c r="BP445" s="653"/>
      <c r="BQ445" s="653"/>
      <c r="BR445" s="653"/>
      <c r="BS445" s="653"/>
      <c r="BT445" s="653"/>
      <c r="BU445" s="653"/>
      <c r="BV445" s="653"/>
      <c r="BW445" s="653"/>
      <c r="BX445" s="653"/>
      <c r="BY445" s="653"/>
      <c r="BZ445" s="653"/>
      <c r="CA445" s="653"/>
      <c r="CB445" s="653"/>
      <c r="CC445" s="653"/>
      <c r="CD445" s="653"/>
      <c r="CE445" s="653"/>
      <c r="CF445" s="653"/>
      <c r="CG445" s="653"/>
      <c r="CH445" s="653"/>
      <c r="CI445" s="653"/>
      <c r="CJ445" s="653"/>
      <c r="CK445" s="653"/>
      <c r="CL445" s="653"/>
      <c r="CM445" s="653"/>
      <c r="CN445" s="653"/>
      <c r="CO445" s="653"/>
      <c r="CP445" s="653"/>
      <c r="CQ445" s="653"/>
      <c r="CR445" s="653"/>
      <c r="CS445" s="653"/>
      <c r="CT445" s="653"/>
      <c r="CU445" s="653"/>
      <c r="CV445" s="653"/>
      <c r="CW445" s="653"/>
      <c r="CX445" s="653"/>
      <c r="CY445" s="653"/>
      <c r="CZ445" s="653"/>
      <c r="DA445" s="653"/>
      <c r="DB445" s="653"/>
      <c r="DC445" s="653"/>
      <c r="DD445" s="653"/>
      <c r="DE445" s="653"/>
      <c r="DF445" s="653"/>
      <c r="DG445" s="653"/>
      <c r="DH445" s="653"/>
      <c r="DI445" s="653"/>
      <c r="DJ445" s="653"/>
      <c r="DK445" s="653"/>
      <c r="DL445" s="653"/>
      <c r="DM445" s="653"/>
      <c r="DN445" s="653"/>
      <c r="DO445" s="653"/>
      <c r="DP445" s="653"/>
      <c r="DQ445" s="653"/>
      <c r="DR445" s="653"/>
      <c r="DS445" s="653"/>
      <c r="DT445" s="653"/>
      <c r="DU445" s="653"/>
      <c r="DV445" s="653"/>
      <c r="DW445" s="653"/>
      <c r="DX445" s="653"/>
      <c r="DY445" s="653"/>
      <c r="DZ445" s="653"/>
      <c r="EA445" s="653"/>
      <c r="EB445" s="653"/>
      <c r="EC445" s="653"/>
      <c r="ED445" s="653"/>
      <c r="EE445" s="648"/>
      <c r="EF445" s="651"/>
      <c r="EG445" s="651"/>
      <c r="EH445" s="651"/>
      <c r="EI445" s="216"/>
      <c r="EJ445" s="662"/>
      <c r="EK445" s="662"/>
      <c r="EL445" s="662"/>
      <c r="EM445" s="662"/>
      <c r="EN445" s="662"/>
      <c r="EO445" s="662"/>
      <c r="EP445" s="662"/>
      <c r="EQ445" s="662"/>
      <c r="ER445" s="662"/>
      <c r="ES445" s="662"/>
      <c r="ET445" s="662"/>
      <c r="EU445" s="662"/>
      <c r="EV445" s="662"/>
      <c r="EW445" s="662"/>
      <c r="EX445" s="662"/>
      <c r="EY445" s="662"/>
      <c r="EZ445" s="662"/>
      <c r="FA445" s="662"/>
      <c r="FB445" s="662"/>
      <c r="FC445" s="662"/>
      <c r="FD445" s="662"/>
      <c r="FE445" s="662"/>
      <c r="FF445" s="662"/>
      <c r="FG445" s="662"/>
      <c r="FH445" s="662"/>
      <c r="FI445" s="662"/>
      <c r="FJ445" s="662"/>
      <c r="FK445" s="662"/>
      <c r="FL445" s="662"/>
      <c r="FM445" s="662"/>
      <c r="FN445" s="662"/>
      <c r="FO445" s="662"/>
      <c r="FP445" s="662"/>
      <c r="FQ445" s="662"/>
      <c r="FR445" s="662"/>
      <c r="FS445" s="662"/>
      <c r="FT445" s="662"/>
      <c r="FU445" s="662"/>
      <c r="FV445" s="662"/>
      <c r="FW445" s="662"/>
      <c r="FX445" s="662"/>
      <c r="FY445" s="662"/>
      <c r="FZ445" s="662"/>
      <c r="GA445" s="662"/>
      <c r="GB445" s="662"/>
      <c r="GC445" s="662"/>
      <c r="GD445" s="662"/>
      <c r="GE445" s="662"/>
      <c r="GF445" s="662"/>
      <c r="GG445" s="662"/>
      <c r="GH445" s="662"/>
      <c r="GI445" s="662"/>
      <c r="GJ445" s="662"/>
      <c r="GK445" s="662"/>
      <c r="GL445" s="662"/>
      <c r="GM445" s="662"/>
      <c r="GN445" s="662"/>
      <c r="GO445" s="662"/>
      <c r="GP445" s="662"/>
      <c r="GQ445" s="662"/>
      <c r="GR445" s="662"/>
      <c r="GS445" s="662"/>
      <c r="GT445" s="662"/>
      <c r="GU445" s="662"/>
      <c r="GV445" s="662"/>
      <c r="GW445" s="662"/>
      <c r="GX445" s="662"/>
      <c r="GY445" s="662"/>
      <c r="GZ445" s="662"/>
      <c r="HA445" s="662"/>
      <c r="HB445" s="662"/>
      <c r="HC445" s="662"/>
      <c r="HD445" s="662"/>
      <c r="HE445" s="662"/>
      <c r="HF445" s="662"/>
      <c r="HG445" s="662"/>
      <c r="HH445" s="662"/>
      <c r="HI445" s="662"/>
      <c r="HJ445" s="662"/>
      <c r="HK445" s="662"/>
      <c r="HL445" s="662"/>
      <c r="HM445" s="662"/>
      <c r="HN445" s="662"/>
      <c r="HO445" s="662"/>
      <c r="HP445" s="662"/>
      <c r="HQ445" s="662"/>
      <c r="HR445" s="662"/>
      <c r="HS445" s="662"/>
      <c r="HT445" s="662"/>
      <c r="HU445" s="662"/>
      <c r="HV445" s="662"/>
      <c r="HW445" s="662"/>
      <c r="HX445" s="662"/>
      <c r="HY445" s="662"/>
      <c r="HZ445" s="662"/>
      <c r="IA445" s="662"/>
      <c r="IB445" s="662"/>
      <c r="IC445" s="662"/>
      <c r="ID445" s="662"/>
      <c r="IE445" s="662"/>
      <c r="IF445" s="662"/>
      <c r="IG445" s="662"/>
      <c r="IH445" s="662"/>
      <c r="II445" s="662"/>
      <c r="IJ445" s="662"/>
      <c r="IK445" s="662"/>
      <c r="IL445" s="662"/>
      <c r="IM445" s="662"/>
      <c r="IN445" s="662"/>
      <c r="IO445" s="662"/>
      <c r="IP445" s="662"/>
      <c r="IQ445" s="653"/>
    </row>
    <row r="446" spans="18:251" ht="16.5" hidden="1" customHeight="1">
      <c r="R446" s="648"/>
      <c r="S446" s="648"/>
      <c r="T446" s="648"/>
      <c r="U446" s="653"/>
      <c r="V446" s="649"/>
      <c r="W446" s="653"/>
      <c r="X446" s="653"/>
      <c r="Y446" s="653"/>
      <c r="Z446" s="653"/>
      <c r="AA446" s="653"/>
      <c r="AB446" s="653"/>
      <c r="AC446" s="653"/>
      <c r="AD446" s="653"/>
      <c r="AE446" s="653"/>
      <c r="AF446" s="653"/>
      <c r="AG446" s="653"/>
      <c r="AH446" s="653"/>
      <c r="AI446" s="653"/>
      <c r="AJ446" s="653"/>
      <c r="AK446" s="653"/>
      <c r="AL446" s="653"/>
      <c r="AM446" s="653"/>
      <c r="AN446" s="653"/>
      <c r="AO446" s="653"/>
      <c r="AP446" s="653"/>
      <c r="AQ446" s="653"/>
      <c r="AR446" s="653"/>
      <c r="AS446" s="653"/>
      <c r="AT446" s="653"/>
      <c r="AU446" s="653"/>
      <c r="AV446" s="653"/>
      <c r="AW446" s="653"/>
      <c r="AX446" s="653"/>
      <c r="AY446" s="653"/>
      <c r="AZ446" s="653"/>
      <c r="BA446" s="653"/>
      <c r="BB446" s="653"/>
      <c r="BC446" s="653"/>
      <c r="BD446" s="653"/>
      <c r="BE446" s="653"/>
      <c r="BF446" s="653"/>
      <c r="BG446" s="653"/>
      <c r="BH446" s="653"/>
      <c r="BI446" s="653"/>
      <c r="BJ446" s="653"/>
      <c r="BK446" s="653"/>
      <c r="BL446" s="653"/>
      <c r="BM446" s="653"/>
      <c r="BN446" s="653"/>
      <c r="BO446" s="653"/>
      <c r="BP446" s="653"/>
      <c r="BQ446" s="653"/>
      <c r="BR446" s="653"/>
      <c r="BS446" s="653"/>
      <c r="BT446" s="653"/>
      <c r="BU446" s="653"/>
      <c r="BV446" s="653"/>
      <c r="BW446" s="653"/>
      <c r="BX446" s="653"/>
      <c r="BY446" s="653"/>
      <c r="BZ446" s="653"/>
      <c r="CA446" s="653"/>
      <c r="CB446" s="653"/>
      <c r="CC446" s="653"/>
      <c r="CD446" s="653"/>
      <c r="CE446" s="653"/>
      <c r="CF446" s="653"/>
      <c r="CG446" s="653"/>
      <c r="CH446" s="653"/>
      <c r="CI446" s="653"/>
      <c r="CJ446" s="653"/>
      <c r="CK446" s="653"/>
      <c r="CL446" s="653"/>
      <c r="CM446" s="653"/>
      <c r="CN446" s="653"/>
      <c r="CO446" s="653"/>
      <c r="CP446" s="653"/>
      <c r="CQ446" s="653"/>
      <c r="CR446" s="653"/>
      <c r="CS446" s="653"/>
      <c r="CT446" s="653"/>
      <c r="CU446" s="653"/>
      <c r="CV446" s="653"/>
      <c r="CW446" s="653"/>
      <c r="CX446" s="653"/>
      <c r="CY446" s="653"/>
      <c r="CZ446" s="653"/>
      <c r="DA446" s="653"/>
      <c r="DB446" s="653"/>
      <c r="DC446" s="653"/>
      <c r="DD446" s="653"/>
      <c r="DE446" s="653"/>
      <c r="DF446" s="653"/>
      <c r="DG446" s="653"/>
      <c r="DH446" s="653"/>
      <c r="DI446" s="653"/>
      <c r="DJ446" s="653"/>
      <c r="DK446" s="653"/>
      <c r="DL446" s="653"/>
      <c r="DM446" s="653"/>
      <c r="DN446" s="653"/>
      <c r="DO446" s="653"/>
      <c r="DP446" s="653"/>
      <c r="DQ446" s="653"/>
      <c r="DR446" s="653"/>
      <c r="DS446" s="653"/>
      <c r="DT446" s="653"/>
      <c r="DU446" s="653"/>
      <c r="DV446" s="653"/>
      <c r="DW446" s="653"/>
      <c r="DX446" s="653"/>
      <c r="DY446" s="653"/>
      <c r="DZ446" s="653"/>
      <c r="EA446" s="653"/>
      <c r="EB446" s="653"/>
      <c r="EC446" s="653"/>
      <c r="ED446" s="653"/>
      <c r="EE446" s="648"/>
      <c r="EF446" s="651"/>
      <c r="EG446" s="651"/>
      <c r="EH446" s="651"/>
      <c r="EI446" s="216"/>
      <c r="EJ446" s="662"/>
      <c r="EK446" s="662"/>
      <c r="EL446" s="662"/>
      <c r="EM446" s="662"/>
      <c r="EN446" s="662"/>
      <c r="EO446" s="662"/>
      <c r="EP446" s="662"/>
      <c r="EQ446" s="662"/>
      <c r="ER446" s="662"/>
      <c r="ES446" s="662"/>
      <c r="ET446" s="662"/>
      <c r="EU446" s="662"/>
      <c r="EV446" s="662"/>
      <c r="EW446" s="662"/>
      <c r="EX446" s="662"/>
      <c r="EY446" s="662"/>
      <c r="EZ446" s="662"/>
      <c r="FA446" s="662"/>
      <c r="FB446" s="662"/>
      <c r="FC446" s="662"/>
      <c r="FD446" s="662"/>
      <c r="FE446" s="662"/>
      <c r="FF446" s="662"/>
      <c r="FG446" s="662"/>
      <c r="FH446" s="662"/>
      <c r="FI446" s="662"/>
      <c r="FJ446" s="662"/>
      <c r="FK446" s="662"/>
      <c r="FL446" s="662"/>
      <c r="FM446" s="662"/>
      <c r="FN446" s="662"/>
      <c r="FO446" s="662"/>
      <c r="FP446" s="662"/>
      <c r="FQ446" s="662"/>
      <c r="FR446" s="662"/>
      <c r="FS446" s="662"/>
      <c r="FT446" s="662"/>
      <c r="FU446" s="662"/>
      <c r="FV446" s="662"/>
      <c r="FW446" s="662"/>
      <c r="FX446" s="662"/>
      <c r="FY446" s="662"/>
      <c r="FZ446" s="662"/>
      <c r="GA446" s="662"/>
      <c r="GB446" s="662"/>
      <c r="GC446" s="662"/>
      <c r="GD446" s="662"/>
      <c r="GE446" s="662"/>
      <c r="GF446" s="662"/>
      <c r="GG446" s="662"/>
      <c r="GH446" s="662"/>
      <c r="GI446" s="662"/>
      <c r="GJ446" s="662"/>
      <c r="GK446" s="662"/>
      <c r="GL446" s="662"/>
      <c r="GM446" s="662"/>
      <c r="GN446" s="662"/>
      <c r="GO446" s="662"/>
      <c r="GP446" s="662"/>
      <c r="GQ446" s="662"/>
      <c r="GR446" s="662"/>
      <c r="GS446" s="662"/>
      <c r="GT446" s="662"/>
      <c r="GU446" s="662"/>
      <c r="GV446" s="662"/>
      <c r="GW446" s="662"/>
      <c r="GX446" s="662"/>
      <c r="GY446" s="662"/>
      <c r="GZ446" s="662"/>
      <c r="HA446" s="662"/>
      <c r="HB446" s="662"/>
      <c r="HC446" s="662"/>
      <c r="HD446" s="662"/>
      <c r="HE446" s="662"/>
      <c r="HF446" s="662"/>
      <c r="HG446" s="662"/>
      <c r="HH446" s="662"/>
      <c r="HI446" s="662"/>
      <c r="HJ446" s="662"/>
      <c r="HK446" s="662"/>
      <c r="HL446" s="662"/>
      <c r="HM446" s="662"/>
      <c r="HN446" s="662"/>
      <c r="HO446" s="662"/>
      <c r="HP446" s="662"/>
      <c r="HQ446" s="662"/>
      <c r="HR446" s="662"/>
      <c r="HS446" s="662"/>
      <c r="HT446" s="662"/>
      <c r="HU446" s="662"/>
      <c r="HV446" s="662"/>
      <c r="HW446" s="662"/>
      <c r="HX446" s="662"/>
      <c r="HY446" s="662"/>
      <c r="HZ446" s="662"/>
      <c r="IA446" s="662"/>
      <c r="IB446" s="662"/>
      <c r="IC446" s="662"/>
      <c r="ID446" s="662"/>
      <c r="IE446" s="662"/>
      <c r="IF446" s="662"/>
      <c r="IG446" s="662"/>
      <c r="IH446" s="662"/>
      <c r="II446" s="662"/>
      <c r="IJ446" s="662"/>
      <c r="IK446" s="662"/>
      <c r="IL446" s="662"/>
      <c r="IM446" s="662"/>
      <c r="IN446" s="662"/>
      <c r="IO446" s="662"/>
      <c r="IP446" s="662"/>
      <c r="IQ446" s="653"/>
    </row>
    <row r="447" spans="18:251" ht="16.5" hidden="1" customHeight="1">
      <c r="R447" s="648"/>
      <c r="S447" s="648"/>
      <c r="T447" s="648"/>
      <c r="U447" s="653"/>
      <c r="V447" s="649"/>
      <c r="W447" s="653"/>
      <c r="X447" s="653"/>
      <c r="Y447" s="653"/>
      <c r="Z447" s="653"/>
      <c r="AA447" s="653"/>
      <c r="AB447" s="653"/>
      <c r="AC447" s="653"/>
      <c r="AD447" s="653"/>
      <c r="AE447" s="653"/>
      <c r="AF447" s="653"/>
      <c r="AG447" s="653"/>
      <c r="AH447" s="653"/>
      <c r="AI447" s="653"/>
      <c r="AJ447" s="653"/>
      <c r="AK447" s="653"/>
      <c r="AL447" s="653"/>
      <c r="AM447" s="653"/>
      <c r="AN447" s="653"/>
      <c r="AO447" s="653"/>
      <c r="AP447" s="653"/>
      <c r="AQ447" s="653"/>
      <c r="AR447" s="653"/>
      <c r="AS447" s="653"/>
      <c r="AT447" s="653"/>
      <c r="AU447" s="653"/>
      <c r="AV447" s="653"/>
      <c r="AW447" s="653"/>
      <c r="AX447" s="653"/>
      <c r="AY447" s="653"/>
      <c r="AZ447" s="653"/>
      <c r="BA447" s="653"/>
      <c r="BB447" s="653"/>
      <c r="BC447" s="653"/>
      <c r="BD447" s="653"/>
      <c r="BE447" s="653"/>
      <c r="BF447" s="653"/>
      <c r="BG447" s="653"/>
      <c r="BH447" s="653"/>
      <c r="BI447" s="653"/>
      <c r="BJ447" s="653"/>
      <c r="BK447" s="653"/>
      <c r="BL447" s="653"/>
      <c r="BM447" s="653"/>
      <c r="BN447" s="653"/>
      <c r="BO447" s="653"/>
      <c r="BP447" s="653"/>
      <c r="BQ447" s="653"/>
      <c r="BR447" s="653"/>
      <c r="BS447" s="653"/>
      <c r="BT447" s="653"/>
      <c r="BU447" s="653"/>
      <c r="BV447" s="653"/>
      <c r="BW447" s="653"/>
      <c r="BX447" s="653"/>
      <c r="BY447" s="653"/>
      <c r="BZ447" s="653"/>
      <c r="CA447" s="653"/>
      <c r="CB447" s="653"/>
      <c r="CC447" s="653"/>
      <c r="CD447" s="653"/>
      <c r="CE447" s="653"/>
      <c r="CF447" s="653"/>
      <c r="CG447" s="653"/>
      <c r="CH447" s="653"/>
      <c r="CI447" s="653"/>
      <c r="CJ447" s="653"/>
      <c r="CK447" s="653"/>
      <c r="CL447" s="653"/>
      <c r="CM447" s="653"/>
      <c r="CN447" s="653"/>
      <c r="CO447" s="653"/>
      <c r="CP447" s="653"/>
      <c r="CQ447" s="653"/>
      <c r="CR447" s="653"/>
      <c r="CS447" s="653"/>
      <c r="CT447" s="653"/>
      <c r="CU447" s="653"/>
      <c r="CV447" s="653"/>
      <c r="CW447" s="653"/>
      <c r="CX447" s="653"/>
      <c r="CY447" s="653"/>
      <c r="CZ447" s="653"/>
      <c r="DA447" s="653"/>
      <c r="DB447" s="653"/>
      <c r="DC447" s="653"/>
      <c r="DD447" s="653"/>
      <c r="DE447" s="653"/>
      <c r="DF447" s="653"/>
      <c r="DG447" s="653"/>
      <c r="DH447" s="653"/>
      <c r="DI447" s="653"/>
      <c r="DJ447" s="653"/>
      <c r="DK447" s="653"/>
      <c r="DL447" s="653"/>
      <c r="DM447" s="653"/>
      <c r="DN447" s="653"/>
      <c r="DO447" s="653"/>
      <c r="DP447" s="653"/>
      <c r="DQ447" s="653"/>
      <c r="DR447" s="653"/>
      <c r="DS447" s="653"/>
      <c r="DT447" s="653"/>
      <c r="DU447" s="653"/>
      <c r="DV447" s="653"/>
      <c r="DW447" s="653"/>
      <c r="DX447" s="653"/>
      <c r="DY447" s="653"/>
      <c r="DZ447" s="653"/>
      <c r="EA447" s="653"/>
      <c r="EB447" s="653"/>
      <c r="EC447" s="653"/>
      <c r="ED447" s="653"/>
      <c r="EE447" s="648"/>
      <c r="EF447" s="651"/>
      <c r="EG447" s="651"/>
      <c r="EH447" s="651"/>
      <c r="EI447" s="216"/>
      <c r="EJ447" s="662"/>
      <c r="EK447" s="662"/>
      <c r="EL447" s="662"/>
      <c r="EM447" s="662"/>
      <c r="EN447" s="662"/>
      <c r="EO447" s="662"/>
      <c r="EP447" s="662"/>
      <c r="EQ447" s="662"/>
      <c r="ER447" s="662"/>
      <c r="ES447" s="662"/>
      <c r="ET447" s="662"/>
      <c r="EU447" s="662"/>
      <c r="EV447" s="662"/>
      <c r="EW447" s="662"/>
      <c r="EX447" s="662"/>
      <c r="EY447" s="662"/>
      <c r="EZ447" s="662"/>
      <c r="FA447" s="662"/>
      <c r="FB447" s="662"/>
      <c r="FC447" s="662"/>
      <c r="FD447" s="662"/>
      <c r="FE447" s="662"/>
      <c r="FF447" s="662"/>
      <c r="FG447" s="662"/>
      <c r="FH447" s="662"/>
      <c r="FI447" s="662"/>
      <c r="FJ447" s="662"/>
      <c r="FK447" s="662"/>
      <c r="FL447" s="662"/>
      <c r="FM447" s="662"/>
      <c r="FN447" s="662"/>
      <c r="FO447" s="662"/>
      <c r="FP447" s="662"/>
      <c r="FQ447" s="662"/>
      <c r="FR447" s="662"/>
      <c r="FS447" s="662"/>
      <c r="FT447" s="662"/>
      <c r="FU447" s="662"/>
      <c r="FV447" s="662"/>
      <c r="FW447" s="662"/>
      <c r="FX447" s="662"/>
      <c r="FY447" s="662"/>
      <c r="FZ447" s="662"/>
      <c r="GA447" s="662"/>
      <c r="GB447" s="662"/>
      <c r="GC447" s="662"/>
      <c r="GD447" s="662"/>
      <c r="GE447" s="662"/>
      <c r="GF447" s="662"/>
      <c r="GG447" s="662"/>
      <c r="GH447" s="662"/>
      <c r="GI447" s="662"/>
      <c r="GJ447" s="662"/>
      <c r="GK447" s="662"/>
      <c r="GL447" s="662"/>
      <c r="GM447" s="662"/>
      <c r="GN447" s="662"/>
      <c r="GO447" s="662"/>
      <c r="GP447" s="662"/>
      <c r="GQ447" s="662"/>
      <c r="GR447" s="662"/>
      <c r="GS447" s="662"/>
      <c r="GT447" s="662"/>
      <c r="GU447" s="662"/>
      <c r="GV447" s="662"/>
      <c r="GW447" s="662"/>
      <c r="GX447" s="662"/>
      <c r="GY447" s="662"/>
      <c r="GZ447" s="662"/>
      <c r="HA447" s="662"/>
      <c r="HB447" s="662"/>
      <c r="HC447" s="662"/>
      <c r="HD447" s="662"/>
      <c r="HE447" s="662"/>
      <c r="HF447" s="662"/>
      <c r="HG447" s="662"/>
      <c r="HH447" s="662"/>
      <c r="HI447" s="662"/>
      <c r="HJ447" s="662"/>
      <c r="HK447" s="662"/>
      <c r="HL447" s="662"/>
      <c r="HM447" s="662"/>
      <c r="HN447" s="662"/>
      <c r="HO447" s="662"/>
      <c r="HP447" s="662"/>
      <c r="HQ447" s="662"/>
      <c r="HR447" s="662"/>
      <c r="HS447" s="662"/>
      <c r="HT447" s="662"/>
      <c r="HU447" s="662"/>
      <c r="HV447" s="662"/>
      <c r="HW447" s="662"/>
      <c r="HX447" s="662"/>
      <c r="HY447" s="662"/>
      <c r="HZ447" s="662"/>
      <c r="IA447" s="662"/>
      <c r="IB447" s="662"/>
      <c r="IC447" s="662"/>
      <c r="ID447" s="662"/>
      <c r="IE447" s="662"/>
      <c r="IF447" s="662"/>
      <c r="IG447" s="662"/>
      <c r="IH447" s="662"/>
      <c r="II447" s="662"/>
      <c r="IJ447" s="662"/>
      <c r="IK447" s="662"/>
      <c r="IL447" s="662"/>
      <c r="IM447" s="662"/>
      <c r="IN447" s="662"/>
      <c r="IO447" s="662"/>
      <c r="IP447" s="662"/>
      <c r="IQ447" s="653"/>
    </row>
    <row r="448" spans="18:251" ht="16.5" hidden="1" customHeight="1">
      <c r="R448" s="648"/>
      <c r="S448" s="648"/>
      <c r="T448" s="648"/>
      <c r="U448" s="653"/>
      <c r="V448" s="649"/>
      <c r="W448" s="653"/>
      <c r="X448" s="653"/>
      <c r="Y448" s="653"/>
      <c r="Z448" s="653"/>
      <c r="AA448" s="653"/>
      <c r="AB448" s="653"/>
      <c r="AC448" s="653"/>
      <c r="AD448" s="653"/>
      <c r="AE448" s="653"/>
      <c r="AF448" s="653"/>
      <c r="AG448" s="653"/>
      <c r="AH448" s="653"/>
      <c r="AI448" s="653"/>
      <c r="AJ448" s="653"/>
      <c r="AK448" s="653"/>
      <c r="AL448" s="653"/>
      <c r="AM448" s="653"/>
      <c r="AN448" s="653"/>
      <c r="AO448" s="653"/>
      <c r="AP448" s="653"/>
      <c r="AQ448" s="653"/>
      <c r="AR448" s="653"/>
      <c r="AS448" s="653"/>
      <c r="AT448" s="653"/>
      <c r="AU448" s="653"/>
      <c r="AV448" s="653"/>
      <c r="AW448" s="653"/>
      <c r="AX448" s="653"/>
      <c r="AY448" s="653"/>
      <c r="AZ448" s="653"/>
      <c r="BA448" s="653"/>
      <c r="BB448" s="653"/>
      <c r="BC448" s="653"/>
      <c r="BD448" s="653"/>
      <c r="BE448" s="653"/>
      <c r="BF448" s="653"/>
      <c r="BG448" s="653"/>
      <c r="BH448" s="653"/>
      <c r="BI448" s="653"/>
      <c r="BJ448" s="653"/>
      <c r="BK448" s="653"/>
      <c r="BL448" s="653"/>
      <c r="BM448" s="653"/>
      <c r="BN448" s="653"/>
      <c r="BO448" s="653"/>
      <c r="BP448" s="653"/>
      <c r="BQ448" s="653"/>
      <c r="BR448" s="653"/>
      <c r="BS448" s="653"/>
      <c r="BT448" s="653"/>
      <c r="BU448" s="653"/>
      <c r="BV448" s="653"/>
      <c r="BW448" s="653"/>
      <c r="BX448" s="653"/>
      <c r="BY448" s="653"/>
      <c r="BZ448" s="653"/>
      <c r="CA448" s="653"/>
      <c r="CB448" s="653"/>
      <c r="CC448" s="653"/>
      <c r="CD448" s="653"/>
      <c r="CE448" s="653"/>
      <c r="CF448" s="653"/>
      <c r="CG448" s="653"/>
      <c r="CH448" s="653"/>
      <c r="CI448" s="653"/>
      <c r="CJ448" s="653"/>
      <c r="CK448" s="653"/>
      <c r="CL448" s="653"/>
      <c r="CM448" s="653"/>
      <c r="CN448" s="653"/>
      <c r="CO448" s="653"/>
      <c r="CP448" s="653"/>
      <c r="CQ448" s="653"/>
      <c r="CR448" s="653"/>
      <c r="CS448" s="653"/>
      <c r="CT448" s="653"/>
      <c r="CU448" s="653"/>
      <c r="CV448" s="653"/>
      <c r="CW448" s="653"/>
      <c r="CX448" s="653"/>
      <c r="CY448" s="653"/>
      <c r="CZ448" s="653"/>
      <c r="DA448" s="653"/>
      <c r="DB448" s="653"/>
      <c r="DC448" s="653"/>
      <c r="DD448" s="653"/>
      <c r="DE448" s="653"/>
      <c r="DF448" s="653"/>
      <c r="DG448" s="653"/>
      <c r="DH448" s="653"/>
      <c r="DI448" s="653"/>
      <c r="DJ448" s="653"/>
      <c r="DK448" s="653"/>
      <c r="DL448" s="653"/>
      <c r="DM448" s="653"/>
      <c r="DN448" s="653"/>
      <c r="DO448" s="653"/>
      <c r="DP448" s="653"/>
      <c r="DQ448" s="653"/>
      <c r="DR448" s="653"/>
      <c r="DS448" s="653"/>
      <c r="DT448" s="653"/>
      <c r="DU448" s="653"/>
      <c r="DV448" s="653"/>
      <c r="DW448" s="653"/>
      <c r="DX448" s="653"/>
      <c r="DY448" s="653"/>
      <c r="DZ448" s="653"/>
      <c r="EA448" s="653"/>
      <c r="EB448" s="653"/>
      <c r="EC448" s="653"/>
      <c r="ED448" s="653"/>
      <c r="EE448" s="648"/>
      <c r="EF448" s="651"/>
      <c r="EG448" s="651"/>
      <c r="EH448" s="651"/>
      <c r="EI448" s="216"/>
      <c r="EJ448" s="662"/>
      <c r="EK448" s="662"/>
      <c r="EL448" s="662"/>
      <c r="EM448" s="662"/>
      <c r="EN448" s="662"/>
      <c r="EO448" s="662"/>
      <c r="EP448" s="662"/>
      <c r="EQ448" s="662"/>
      <c r="ER448" s="662"/>
      <c r="ES448" s="662"/>
      <c r="ET448" s="662"/>
      <c r="EU448" s="662"/>
      <c r="EV448" s="662"/>
      <c r="EW448" s="662"/>
      <c r="EX448" s="662"/>
      <c r="EY448" s="662"/>
      <c r="EZ448" s="662"/>
      <c r="FA448" s="662"/>
      <c r="FB448" s="662"/>
      <c r="FC448" s="662"/>
      <c r="FD448" s="662"/>
      <c r="FE448" s="662"/>
      <c r="FF448" s="662"/>
      <c r="FG448" s="662"/>
      <c r="FH448" s="662"/>
      <c r="FI448" s="662"/>
      <c r="FJ448" s="662"/>
      <c r="FK448" s="662"/>
      <c r="FL448" s="662"/>
      <c r="FM448" s="662"/>
      <c r="FN448" s="662"/>
      <c r="FO448" s="662"/>
      <c r="FP448" s="662"/>
      <c r="FQ448" s="662"/>
      <c r="FR448" s="662"/>
      <c r="FS448" s="662"/>
      <c r="FT448" s="662"/>
      <c r="FU448" s="662"/>
      <c r="FV448" s="662"/>
      <c r="FW448" s="662"/>
      <c r="FX448" s="662"/>
      <c r="FY448" s="662"/>
      <c r="FZ448" s="662"/>
      <c r="GA448" s="662"/>
      <c r="GB448" s="662"/>
      <c r="GC448" s="662"/>
      <c r="GD448" s="662"/>
      <c r="GE448" s="662"/>
      <c r="GF448" s="662"/>
      <c r="GG448" s="662"/>
      <c r="GH448" s="662"/>
      <c r="GI448" s="662"/>
      <c r="GJ448" s="662"/>
      <c r="GK448" s="662"/>
      <c r="GL448" s="662"/>
      <c r="GM448" s="662"/>
      <c r="GN448" s="662"/>
      <c r="GO448" s="662"/>
      <c r="GP448" s="662"/>
      <c r="GQ448" s="662"/>
      <c r="GR448" s="662"/>
      <c r="GS448" s="662"/>
      <c r="GT448" s="662"/>
      <c r="GU448" s="662"/>
      <c r="GV448" s="662"/>
      <c r="GW448" s="662"/>
      <c r="GX448" s="662"/>
      <c r="GY448" s="662"/>
      <c r="GZ448" s="662"/>
      <c r="HA448" s="662"/>
      <c r="HB448" s="662"/>
      <c r="HC448" s="662"/>
      <c r="HD448" s="662"/>
      <c r="HE448" s="662"/>
      <c r="HF448" s="662"/>
      <c r="HG448" s="662"/>
      <c r="HH448" s="662"/>
      <c r="HI448" s="662"/>
      <c r="HJ448" s="662"/>
      <c r="HK448" s="662"/>
      <c r="HL448" s="662"/>
      <c r="HM448" s="662"/>
      <c r="HN448" s="662"/>
      <c r="HO448" s="662"/>
      <c r="HP448" s="662"/>
      <c r="HQ448" s="662"/>
      <c r="HR448" s="662"/>
      <c r="HS448" s="662"/>
      <c r="HT448" s="662"/>
      <c r="HU448" s="662"/>
      <c r="HV448" s="662"/>
      <c r="HW448" s="662"/>
      <c r="HX448" s="662"/>
      <c r="HY448" s="662"/>
      <c r="HZ448" s="662"/>
      <c r="IA448" s="662"/>
      <c r="IB448" s="662"/>
      <c r="IC448" s="662"/>
      <c r="ID448" s="662"/>
      <c r="IE448" s="662"/>
      <c r="IF448" s="662"/>
      <c r="IG448" s="662"/>
      <c r="IH448" s="662"/>
      <c r="II448" s="662"/>
      <c r="IJ448" s="662"/>
      <c r="IK448" s="662"/>
      <c r="IL448" s="662"/>
      <c r="IM448" s="662"/>
      <c r="IN448" s="662"/>
      <c r="IO448" s="662"/>
      <c r="IP448" s="662"/>
      <c r="IQ448" s="653"/>
    </row>
    <row r="449" spans="18:251" ht="16.5" hidden="1" customHeight="1">
      <c r="R449" s="648"/>
      <c r="S449" s="648"/>
      <c r="T449" s="648"/>
      <c r="U449" s="653"/>
      <c r="V449" s="649"/>
      <c r="W449" s="653"/>
      <c r="X449" s="653"/>
      <c r="Y449" s="653"/>
      <c r="Z449" s="653"/>
      <c r="AA449" s="653"/>
      <c r="AB449" s="653"/>
      <c r="AC449" s="653"/>
      <c r="AD449" s="653"/>
      <c r="AE449" s="653"/>
      <c r="AF449" s="653"/>
      <c r="AG449" s="653"/>
      <c r="AH449" s="653"/>
      <c r="AI449" s="653"/>
      <c r="AJ449" s="653"/>
      <c r="AK449" s="653"/>
      <c r="AL449" s="653"/>
      <c r="AM449" s="653"/>
      <c r="AN449" s="653"/>
      <c r="AO449" s="653"/>
      <c r="AP449" s="653"/>
      <c r="AQ449" s="653"/>
      <c r="AR449" s="653"/>
      <c r="AS449" s="653"/>
      <c r="AT449" s="653"/>
      <c r="AU449" s="653"/>
      <c r="AV449" s="653"/>
      <c r="AW449" s="653"/>
      <c r="AX449" s="653"/>
      <c r="AY449" s="653"/>
      <c r="AZ449" s="653"/>
      <c r="BA449" s="653"/>
      <c r="BB449" s="653"/>
      <c r="BC449" s="653"/>
      <c r="BD449" s="653"/>
      <c r="BE449" s="653"/>
      <c r="BF449" s="653"/>
      <c r="BG449" s="653"/>
      <c r="BH449" s="653"/>
      <c r="BI449" s="653"/>
      <c r="BJ449" s="653"/>
      <c r="BK449" s="653"/>
      <c r="BL449" s="653"/>
      <c r="BM449" s="653"/>
      <c r="BN449" s="653"/>
      <c r="BO449" s="653"/>
      <c r="BP449" s="653"/>
      <c r="BQ449" s="653"/>
      <c r="BR449" s="653"/>
      <c r="BS449" s="653"/>
      <c r="BT449" s="653"/>
      <c r="BU449" s="653"/>
      <c r="BV449" s="653"/>
      <c r="BW449" s="653"/>
      <c r="BX449" s="653"/>
      <c r="BY449" s="653"/>
      <c r="BZ449" s="653"/>
      <c r="CA449" s="653"/>
      <c r="CB449" s="653"/>
      <c r="CC449" s="653"/>
      <c r="CD449" s="653"/>
      <c r="CE449" s="653"/>
      <c r="CF449" s="653"/>
      <c r="CG449" s="653"/>
      <c r="CH449" s="653"/>
      <c r="CI449" s="653"/>
      <c r="CJ449" s="653"/>
      <c r="CK449" s="653"/>
      <c r="CL449" s="653"/>
      <c r="CM449" s="653"/>
      <c r="CN449" s="653"/>
      <c r="CO449" s="653"/>
      <c r="CP449" s="653"/>
      <c r="CQ449" s="653"/>
      <c r="CR449" s="653"/>
      <c r="CS449" s="653"/>
      <c r="CT449" s="653"/>
      <c r="CU449" s="653"/>
      <c r="CV449" s="653"/>
      <c r="CW449" s="653"/>
      <c r="CX449" s="653"/>
      <c r="CY449" s="653"/>
      <c r="CZ449" s="653"/>
      <c r="DA449" s="653"/>
      <c r="DB449" s="653"/>
      <c r="DC449" s="653"/>
      <c r="DD449" s="653"/>
      <c r="DE449" s="653"/>
      <c r="DF449" s="653"/>
      <c r="DG449" s="653"/>
      <c r="DH449" s="653"/>
      <c r="DI449" s="653"/>
      <c r="DJ449" s="653"/>
      <c r="DK449" s="653"/>
      <c r="DL449" s="653"/>
      <c r="DM449" s="653"/>
      <c r="DN449" s="653"/>
      <c r="DO449" s="653"/>
      <c r="DP449" s="653"/>
      <c r="DQ449" s="653"/>
      <c r="DR449" s="653"/>
      <c r="DS449" s="653"/>
      <c r="DT449" s="653"/>
      <c r="DU449" s="653"/>
      <c r="DV449" s="653"/>
      <c r="DW449" s="653"/>
      <c r="DX449" s="653"/>
      <c r="DY449" s="653"/>
      <c r="DZ449" s="653"/>
      <c r="EA449" s="653"/>
      <c r="EB449" s="653"/>
      <c r="EC449" s="653"/>
      <c r="ED449" s="653"/>
      <c r="EE449" s="648"/>
      <c r="EF449" s="651"/>
      <c r="EG449" s="651"/>
      <c r="EH449" s="651"/>
      <c r="EI449" s="216"/>
      <c r="EJ449" s="662"/>
      <c r="EK449" s="662"/>
      <c r="EL449" s="662"/>
      <c r="EM449" s="662"/>
      <c r="EN449" s="662"/>
      <c r="EO449" s="662"/>
      <c r="EP449" s="662"/>
      <c r="EQ449" s="662"/>
      <c r="ER449" s="662"/>
      <c r="ES449" s="662"/>
      <c r="ET449" s="662"/>
      <c r="EU449" s="662"/>
      <c r="EV449" s="662"/>
      <c r="EW449" s="662"/>
      <c r="EX449" s="662"/>
      <c r="EY449" s="662"/>
      <c r="EZ449" s="662"/>
      <c r="FA449" s="662"/>
      <c r="FB449" s="662"/>
      <c r="FC449" s="662"/>
      <c r="FD449" s="662"/>
      <c r="FE449" s="662"/>
      <c r="FF449" s="662"/>
      <c r="FG449" s="662"/>
      <c r="FH449" s="662"/>
      <c r="FI449" s="662"/>
      <c r="FJ449" s="662"/>
      <c r="FK449" s="662"/>
      <c r="FL449" s="662"/>
      <c r="FM449" s="662"/>
      <c r="FN449" s="662"/>
      <c r="FO449" s="662"/>
      <c r="FP449" s="662"/>
      <c r="FQ449" s="662"/>
      <c r="FR449" s="662"/>
      <c r="FS449" s="662"/>
      <c r="FT449" s="662"/>
      <c r="FU449" s="662"/>
      <c r="FV449" s="662"/>
      <c r="FW449" s="662"/>
      <c r="FX449" s="662"/>
      <c r="FY449" s="662"/>
      <c r="FZ449" s="662"/>
      <c r="GA449" s="662"/>
      <c r="GB449" s="662"/>
      <c r="GC449" s="662"/>
      <c r="GD449" s="662"/>
      <c r="GE449" s="662"/>
      <c r="GF449" s="662"/>
      <c r="GG449" s="662"/>
      <c r="GH449" s="662"/>
      <c r="GI449" s="662"/>
      <c r="GJ449" s="662"/>
      <c r="GK449" s="662"/>
      <c r="GL449" s="662"/>
      <c r="GM449" s="662"/>
      <c r="GN449" s="662"/>
      <c r="GO449" s="662"/>
      <c r="GP449" s="662"/>
      <c r="GQ449" s="662"/>
      <c r="GR449" s="662"/>
      <c r="GS449" s="662"/>
      <c r="GT449" s="662"/>
      <c r="GU449" s="662"/>
      <c r="GV449" s="662"/>
      <c r="GW449" s="662"/>
      <c r="GX449" s="662"/>
      <c r="GY449" s="662"/>
      <c r="GZ449" s="662"/>
      <c r="HA449" s="662"/>
      <c r="HB449" s="662"/>
      <c r="HC449" s="662"/>
      <c r="HD449" s="662"/>
      <c r="HE449" s="662"/>
      <c r="HF449" s="662"/>
      <c r="HG449" s="662"/>
      <c r="HH449" s="662"/>
      <c r="HI449" s="662"/>
      <c r="HJ449" s="662"/>
      <c r="HK449" s="662"/>
      <c r="HL449" s="662"/>
      <c r="HM449" s="662"/>
      <c r="HN449" s="662"/>
      <c r="HO449" s="662"/>
      <c r="HP449" s="662"/>
      <c r="HQ449" s="662"/>
      <c r="HR449" s="662"/>
      <c r="HS449" s="662"/>
      <c r="HT449" s="662"/>
      <c r="HU449" s="662"/>
      <c r="HV449" s="662"/>
      <c r="HW449" s="662"/>
      <c r="HX449" s="662"/>
      <c r="HY449" s="662"/>
      <c r="HZ449" s="662"/>
      <c r="IA449" s="662"/>
      <c r="IB449" s="662"/>
      <c r="IC449" s="662"/>
      <c r="ID449" s="662"/>
      <c r="IE449" s="662"/>
      <c r="IF449" s="662"/>
      <c r="IG449" s="662"/>
      <c r="IH449" s="662"/>
      <c r="II449" s="662"/>
      <c r="IJ449" s="662"/>
      <c r="IK449" s="662"/>
      <c r="IL449" s="662"/>
      <c r="IM449" s="662"/>
      <c r="IN449" s="662"/>
      <c r="IO449" s="662"/>
      <c r="IP449" s="662"/>
      <c r="IQ449" s="653"/>
    </row>
    <row r="450" spans="18:251" ht="16.5" hidden="1" customHeight="1">
      <c r="R450" s="648"/>
      <c r="S450" s="648"/>
      <c r="T450" s="648"/>
      <c r="U450" s="653"/>
      <c r="V450" s="649"/>
      <c r="W450" s="653"/>
      <c r="X450" s="653"/>
      <c r="Y450" s="653"/>
      <c r="Z450" s="653"/>
      <c r="AA450" s="653"/>
      <c r="AB450" s="653"/>
      <c r="AC450" s="653"/>
      <c r="AD450" s="653"/>
      <c r="AE450" s="653"/>
      <c r="AF450" s="653"/>
      <c r="AG450" s="653"/>
      <c r="AH450" s="653"/>
      <c r="AI450" s="653"/>
      <c r="AJ450" s="653"/>
      <c r="AK450" s="653"/>
      <c r="AL450" s="653"/>
      <c r="AM450" s="653"/>
      <c r="AN450" s="653"/>
      <c r="AO450" s="653"/>
      <c r="AP450" s="653"/>
      <c r="AQ450" s="653"/>
      <c r="AR450" s="653"/>
      <c r="AS450" s="653"/>
      <c r="AT450" s="653"/>
      <c r="AU450" s="653"/>
      <c r="AV450" s="653"/>
      <c r="AW450" s="653"/>
      <c r="AX450" s="653"/>
      <c r="AY450" s="653"/>
      <c r="AZ450" s="653"/>
      <c r="BA450" s="653"/>
      <c r="BB450" s="653"/>
      <c r="BC450" s="653"/>
      <c r="BD450" s="653"/>
      <c r="BE450" s="653"/>
      <c r="BF450" s="653"/>
      <c r="BG450" s="653"/>
      <c r="BH450" s="653"/>
      <c r="BI450" s="653"/>
      <c r="BJ450" s="653"/>
      <c r="BK450" s="653"/>
      <c r="BL450" s="653"/>
      <c r="BM450" s="653"/>
      <c r="BN450" s="653"/>
      <c r="BO450" s="653"/>
      <c r="BP450" s="653"/>
      <c r="BQ450" s="653"/>
      <c r="BR450" s="653"/>
      <c r="BS450" s="653"/>
      <c r="BT450" s="653"/>
      <c r="BU450" s="653"/>
      <c r="BV450" s="653"/>
      <c r="BW450" s="653"/>
      <c r="BX450" s="653"/>
      <c r="BY450" s="653"/>
      <c r="BZ450" s="653"/>
      <c r="CA450" s="653"/>
      <c r="CB450" s="653"/>
      <c r="CC450" s="653"/>
      <c r="CD450" s="653"/>
      <c r="CE450" s="653"/>
      <c r="CF450" s="653"/>
      <c r="CG450" s="653"/>
      <c r="CH450" s="653"/>
      <c r="CI450" s="653"/>
      <c r="CJ450" s="653"/>
      <c r="CK450" s="653"/>
      <c r="CL450" s="653"/>
      <c r="CM450" s="653"/>
      <c r="CN450" s="653"/>
      <c r="CO450" s="653"/>
      <c r="CP450" s="653"/>
      <c r="CQ450" s="653"/>
      <c r="CR450" s="653"/>
      <c r="CS450" s="653"/>
      <c r="CT450" s="653"/>
      <c r="CU450" s="653"/>
      <c r="CV450" s="653"/>
      <c r="CW450" s="653"/>
      <c r="CX450" s="653"/>
      <c r="CY450" s="653"/>
      <c r="CZ450" s="653"/>
      <c r="DA450" s="653"/>
      <c r="DB450" s="653"/>
      <c r="DC450" s="653"/>
      <c r="DD450" s="653"/>
      <c r="DE450" s="653"/>
      <c r="DF450" s="653"/>
      <c r="DG450" s="653"/>
      <c r="DH450" s="653"/>
      <c r="DI450" s="653"/>
      <c r="DJ450" s="653"/>
      <c r="DK450" s="653"/>
      <c r="DL450" s="653"/>
      <c r="DM450" s="653"/>
      <c r="DN450" s="653"/>
      <c r="DO450" s="653"/>
      <c r="DP450" s="653"/>
      <c r="DQ450" s="653"/>
      <c r="DR450" s="653"/>
      <c r="DS450" s="653"/>
      <c r="DT450" s="653"/>
      <c r="DU450" s="653"/>
      <c r="DV450" s="653"/>
      <c r="DW450" s="653"/>
      <c r="DX450" s="653"/>
      <c r="DY450" s="653"/>
      <c r="DZ450" s="653"/>
      <c r="EA450" s="653"/>
      <c r="EB450" s="653"/>
      <c r="EC450" s="653"/>
      <c r="ED450" s="653"/>
      <c r="EE450" s="648"/>
      <c r="EF450" s="651"/>
      <c r="EG450" s="651"/>
      <c r="EH450" s="651"/>
      <c r="EI450" s="216"/>
      <c r="EJ450" s="662"/>
      <c r="EK450" s="662"/>
      <c r="EL450" s="662"/>
      <c r="EM450" s="662"/>
      <c r="EN450" s="662"/>
      <c r="EO450" s="662"/>
      <c r="EP450" s="662"/>
      <c r="EQ450" s="662"/>
      <c r="ER450" s="662"/>
      <c r="ES450" s="662"/>
      <c r="ET450" s="662"/>
      <c r="EU450" s="662"/>
      <c r="EV450" s="662"/>
      <c r="EW450" s="662"/>
      <c r="EX450" s="662"/>
      <c r="EY450" s="662"/>
      <c r="EZ450" s="662"/>
      <c r="FA450" s="662"/>
      <c r="FB450" s="662"/>
      <c r="FC450" s="662"/>
      <c r="FD450" s="662"/>
      <c r="FE450" s="662"/>
      <c r="FF450" s="662"/>
      <c r="FG450" s="662"/>
      <c r="FH450" s="662"/>
      <c r="FI450" s="662"/>
      <c r="FJ450" s="662"/>
      <c r="FK450" s="662"/>
      <c r="FL450" s="662"/>
      <c r="FM450" s="662"/>
      <c r="FN450" s="662"/>
      <c r="FO450" s="662"/>
      <c r="FP450" s="662"/>
      <c r="FQ450" s="662"/>
      <c r="FR450" s="662"/>
      <c r="FS450" s="662"/>
      <c r="FT450" s="662"/>
      <c r="FU450" s="662"/>
      <c r="FV450" s="662"/>
      <c r="FW450" s="662"/>
      <c r="FX450" s="662"/>
      <c r="FY450" s="662"/>
      <c r="FZ450" s="662"/>
      <c r="GA450" s="662"/>
      <c r="GB450" s="662"/>
      <c r="GC450" s="662"/>
      <c r="GD450" s="662"/>
      <c r="GE450" s="662"/>
      <c r="GF450" s="662"/>
      <c r="GG450" s="662"/>
      <c r="GH450" s="662"/>
      <c r="GI450" s="662"/>
      <c r="GJ450" s="662"/>
      <c r="GK450" s="662"/>
      <c r="GL450" s="662"/>
      <c r="GM450" s="662"/>
      <c r="GN450" s="662"/>
      <c r="GO450" s="662"/>
      <c r="GP450" s="662"/>
      <c r="GQ450" s="662"/>
      <c r="GR450" s="662"/>
      <c r="GS450" s="662"/>
      <c r="GT450" s="662"/>
      <c r="GU450" s="662"/>
      <c r="GV450" s="662"/>
      <c r="GW450" s="662"/>
      <c r="GX450" s="662"/>
      <c r="GY450" s="662"/>
      <c r="GZ450" s="662"/>
      <c r="HA450" s="662"/>
      <c r="HB450" s="662"/>
      <c r="HC450" s="662"/>
      <c r="HD450" s="662"/>
      <c r="HE450" s="662"/>
      <c r="HF450" s="662"/>
      <c r="HG450" s="662"/>
      <c r="HH450" s="662"/>
      <c r="HI450" s="662"/>
      <c r="HJ450" s="662"/>
      <c r="HK450" s="662"/>
      <c r="HL450" s="662"/>
      <c r="HM450" s="662"/>
      <c r="HN450" s="662"/>
      <c r="HO450" s="662"/>
      <c r="HP450" s="662"/>
      <c r="HQ450" s="662"/>
      <c r="HR450" s="662"/>
      <c r="HS450" s="662"/>
      <c r="HT450" s="662"/>
      <c r="HU450" s="662"/>
      <c r="HV450" s="662"/>
      <c r="HW450" s="662"/>
      <c r="HX450" s="662"/>
      <c r="HY450" s="662"/>
      <c r="HZ450" s="662"/>
      <c r="IA450" s="662"/>
      <c r="IB450" s="662"/>
      <c r="IC450" s="662"/>
      <c r="ID450" s="662"/>
      <c r="IE450" s="662"/>
      <c r="IF450" s="662"/>
      <c r="IG450" s="662"/>
      <c r="IH450" s="662"/>
      <c r="II450" s="662"/>
      <c r="IJ450" s="662"/>
      <c r="IK450" s="662"/>
      <c r="IL450" s="662"/>
      <c r="IM450" s="662"/>
      <c r="IN450" s="662"/>
      <c r="IO450" s="662"/>
      <c r="IP450" s="662"/>
      <c r="IQ450" s="653"/>
    </row>
    <row r="451" spans="18:251" ht="16.5" hidden="1" customHeight="1">
      <c r="R451" s="648"/>
      <c r="S451" s="648"/>
      <c r="T451" s="648"/>
      <c r="U451" s="653"/>
      <c r="V451" s="649"/>
      <c r="W451" s="653"/>
      <c r="X451" s="653"/>
      <c r="Y451" s="653"/>
      <c r="Z451" s="653"/>
      <c r="AA451" s="653"/>
      <c r="AB451" s="653"/>
      <c r="AC451" s="653"/>
      <c r="AD451" s="653"/>
      <c r="AE451" s="653"/>
      <c r="AF451" s="653"/>
      <c r="AG451" s="653"/>
      <c r="AH451" s="653"/>
      <c r="AI451" s="653"/>
      <c r="AJ451" s="653"/>
      <c r="AK451" s="653"/>
      <c r="AL451" s="653"/>
      <c r="AM451" s="653"/>
      <c r="AN451" s="653"/>
      <c r="AO451" s="653"/>
      <c r="AP451" s="653"/>
      <c r="AQ451" s="653"/>
      <c r="AR451" s="653"/>
      <c r="AS451" s="653"/>
      <c r="AT451" s="653"/>
      <c r="AU451" s="653"/>
      <c r="AV451" s="653"/>
      <c r="AW451" s="653"/>
      <c r="AX451" s="653"/>
      <c r="AY451" s="653"/>
      <c r="AZ451" s="653"/>
      <c r="BA451" s="653"/>
      <c r="BB451" s="653"/>
      <c r="BC451" s="653"/>
      <c r="BD451" s="653"/>
      <c r="BE451" s="653"/>
      <c r="BF451" s="653"/>
      <c r="BG451" s="653"/>
      <c r="BH451" s="653"/>
      <c r="BI451" s="653"/>
      <c r="BJ451" s="653"/>
      <c r="BK451" s="653"/>
      <c r="BL451" s="653"/>
      <c r="BM451" s="653"/>
      <c r="BN451" s="653"/>
      <c r="BO451" s="653"/>
      <c r="BP451" s="653"/>
      <c r="BQ451" s="653"/>
      <c r="BR451" s="653"/>
      <c r="BS451" s="653"/>
      <c r="BT451" s="653"/>
      <c r="BU451" s="653"/>
      <c r="BV451" s="653"/>
      <c r="BW451" s="653"/>
      <c r="BX451" s="653"/>
      <c r="BY451" s="653"/>
      <c r="BZ451" s="653"/>
      <c r="CA451" s="653"/>
      <c r="CB451" s="653"/>
      <c r="CC451" s="653"/>
      <c r="CD451" s="653"/>
      <c r="CE451" s="653"/>
      <c r="CF451" s="653"/>
      <c r="CG451" s="653"/>
      <c r="CH451" s="653"/>
      <c r="CI451" s="653"/>
      <c r="CJ451" s="653"/>
      <c r="CK451" s="653"/>
      <c r="CL451" s="653"/>
      <c r="CM451" s="653"/>
      <c r="CN451" s="653"/>
      <c r="CO451" s="653"/>
      <c r="CP451" s="653"/>
      <c r="CQ451" s="653"/>
      <c r="CR451" s="653"/>
      <c r="CS451" s="653"/>
      <c r="CT451" s="653"/>
      <c r="CU451" s="653"/>
      <c r="CV451" s="653"/>
      <c r="CW451" s="653"/>
      <c r="CX451" s="653"/>
      <c r="CY451" s="653"/>
      <c r="CZ451" s="653"/>
      <c r="DA451" s="653"/>
      <c r="DB451" s="653"/>
      <c r="DC451" s="653"/>
      <c r="DD451" s="653"/>
      <c r="DE451" s="653"/>
      <c r="DF451" s="653"/>
      <c r="DG451" s="653"/>
      <c r="DH451" s="653"/>
      <c r="DI451" s="653"/>
      <c r="DJ451" s="653"/>
      <c r="DK451" s="653"/>
      <c r="DL451" s="653"/>
      <c r="DM451" s="653"/>
      <c r="DN451" s="653"/>
      <c r="DO451" s="653"/>
      <c r="DP451" s="653"/>
      <c r="DQ451" s="653"/>
      <c r="DR451" s="653"/>
      <c r="DS451" s="653"/>
      <c r="DT451" s="653"/>
      <c r="DU451" s="653"/>
      <c r="DV451" s="653"/>
      <c r="DW451" s="653"/>
      <c r="DX451" s="653"/>
      <c r="DY451" s="653"/>
      <c r="DZ451" s="653"/>
      <c r="EA451" s="653"/>
      <c r="EB451" s="653"/>
      <c r="EC451" s="653"/>
      <c r="ED451" s="653"/>
      <c r="EE451" s="648"/>
      <c r="EF451" s="651"/>
      <c r="EG451" s="651"/>
      <c r="EH451" s="651"/>
      <c r="EI451" s="216"/>
      <c r="EJ451" s="662"/>
      <c r="EK451" s="662"/>
      <c r="EL451" s="662"/>
      <c r="EM451" s="662"/>
      <c r="EN451" s="662"/>
      <c r="EO451" s="662"/>
      <c r="EP451" s="662"/>
      <c r="EQ451" s="662"/>
      <c r="ER451" s="662"/>
      <c r="ES451" s="662"/>
      <c r="ET451" s="662"/>
      <c r="EU451" s="662"/>
      <c r="EV451" s="662"/>
      <c r="EW451" s="662"/>
      <c r="EX451" s="662"/>
      <c r="EY451" s="662"/>
      <c r="EZ451" s="662"/>
      <c r="FA451" s="662"/>
      <c r="FB451" s="662"/>
      <c r="FC451" s="662"/>
      <c r="FD451" s="662"/>
      <c r="FE451" s="662"/>
      <c r="FF451" s="662"/>
      <c r="FG451" s="662"/>
      <c r="FH451" s="662"/>
      <c r="FI451" s="662"/>
      <c r="FJ451" s="662"/>
      <c r="FK451" s="662"/>
      <c r="FL451" s="662"/>
      <c r="FM451" s="662"/>
      <c r="FN451" s="662"/>
      <c r="FO451" s="662"/>
      <c r="FP451" s="662"/>
      <c r="FQ451" s="662"/>
      <c r="FR451" s="662"/>
      <c r="FS451" s="662"/>
      <c r="FT451" s="662"/>
      <c r="FU451" s="662"/>
      <c r="FV451" s="662"/>
      <c r="FW451" s="662"/>
      <c r="FX451" s="662"/>
      <c r="FY451" s="662"/>
      <c r="FZ451" s="662"/>
      <c r="GA451" s="662"/>
      <c r="GB451" s="662"/>
      <c r="GC451" s="662"/>
      <c r="GD451" s="662"/>
      <c r="GE451" s="662"/>
      <c r="GF451" s="662"/>
      <c r="GG451" s="662"/>
      <c r="GH451" s="662"/>
      <c r="GI451" s="662"/>
      <c r="GJ451" s="662"/>
      <c r="GK451" s="662"/>
      <c r="GL451" s="662"/>
      <c r="GM451" s="662"/>
      <c r="GN451" s="662"/>
      <c r="GO451" s="662"/>
      <c r="GP451" s="662"/>
      <c r="GQ451" s="662"/>
      <c r="GR451" s="662"/>
      <c r="GS451" s="662"/>
      <c r="GT451" s="662"/>
      <c r="GU451" s="662"/>
      <c r="GV451" s="662"/>
      <c r="GW451" s="662"/>
      <c r="GX451" s="662"/>
      <c r="GY451" s="662"/>
      <c r="GZ451" s="662"/>
      <c r="HA451" s="662"/>
      <c r="HB451" s="662"/>
      <c r="HC451" s="662"/>
      <c r="HD451" s="662"/>
      <c r="HE451" s="662"/>
      <c r="HF451" s="662"/>
      <c r="HG451" s="662"/>
      <c r="HH451" s="662"/>
      <c r="HI451" s="662"/>
      <c r="HJ451" s="662"/>
      <c r="HK451" s="662"/>
      <c r="HL451" s="662"/>
      <c r="HM451" s="662"/>
      <c r="HN451" s="662"/>
      <c r="HO451" s="662"/>
      <c r="HP451" s="662"/>
      <c r="HQ451" s="662"/>
      <c r="HR451" s="662"/>
      <c r="HS451" s="662"/>
      <c r="HT451" s="662"/>
      <c r="HU451" s="662"/>
      <c r="HV451" s="662"/>
      <c r="HW451" s="662"/>
      <c r="HX451" s="662"/>
      <c r="HY451" s="662"/>
      <c r="HZ451" s="662"/>
      <c r="IA451" s="662"/>
      <c r="IB451" s="662"/>
      <c r="IC451" s="662"/>
      <c r="ID451" s="662"/>
      <c r="IE451" s="662"/>
      <c r="IF451" s="662"/>
      <c r="IG451" s="662"/>
      <c r="IH451" s="662"/>
      <c r="II451" s="662"/>
      <c r="IJ451" s="662"/>
      <c r="IK451" s="662"/>
      <c r="IL451" s="662"/>
      <c r="IM451" s="662"/>
      <c r="IN451" s="662"/>
      <c r="IO451" s="662"/>
      <c r="IP451" s="662"/>
      <c r="IQ451" s="653"/>
    </row>
    <row r="452" spans="18:251" ht="16.5" hidden="1" customHeight="1">
      <c r="R452" s="648"/>
      <c r="S452" s="648"/>
      <c r="T452" s="648"/>
      <c r="U452" s="653"/>
      <c r="V452" s="649"/>
      <c r="W452" s="653"/>
      <c r="X452" s="653"/>
      <c r="Y452" s="653"/>
      <c r="Z452" s="653"/>
      <c r="AA452" s="653"/>
      <c r="AB452" s="653"/>
      <c r="AC452" s="653"/>
      <c r="AD452" s="653"/>
      <c r="AE452" s="653"/>
      <c r="AF452" s="653"/>
      <c r="AG452" s="653"/>
      <c r="AH452" s="653"/>
      <c r="AI452" s="653"/>
      <c r="AJ452" s="653"/>
      <c r="AK452" s="653"/>
      <c r="AL452" s="653"/>
      <c r="AM452" s="653"/>
      <c r="AN452" s="653"/>
      <c r="AO452" s="653"/>
      <c r="AP452" s="653"/>
      <c r="AQ452" s="653"/>
      <c r="AR452" s="653"/>
      <c r="AS452" s="653"/>
      <c r="AT452" s="653"/>
      <c r="AU452" s="653"/>
      <c r="AV452" s="653"/>
      <c r="AW452" s="653"/>
      <c r="AX452" s="653"/>
      <c r="AY452" s="653"/>
      <c r="AZ452" s="653"/>
      <c r="BA452" s="653"/>
      <c r="BB452" s="653"/>
      <c r="BC452" s="653"/>
      <c r="BD452" s="653"/>
      <c r="BE452" s="653"/>
      <c r="BF452" s="653"/>
      <c r="BG452" s="653"/>
      <c r="BH452" s="653"/>
      <c r="BI452" s="653"/>
      <c r="BJ452" s="653"/>
      <c r="BK452" s="653"/>
      <c r="BL452" s="653"/>
      <c r="BM452" s="653"/>
      <c r="BN452" s="653"/>
      <c r="BO452" s="653"/>
      <c r="BP452" s="653"/>
      <c r="BQ452" s="653"/>
      <c r="BR452" s="653"/>
      <c r="BS452" s="653"/>
      <c r="BT452" s="653"/>
      <c r="BU452" s="653"/>
      <c r="BV452" s="653"/>
      <c r="BW452" s="653"/>
      <c r="BX452" s="653"/>
      <c r="BY452" s="653"/>
      <c r="BZ452" s="653"/>
      <c r="CA452" s="653"/>
      <c r="CB452" s="653"/>
      <c r="CC452" s="653"/>
      <c r="CD452" s="653"/>
      <c r="CE452" s="653"/>
      <c r="CF452" s="653"/>
      <c r="CG452" s="653"/>
      <c r="CH452" s="653"/>
      <c r="CI452" s="653"/>
      <c r="CJ452" s="653"/>
      <c r="CK452" s="653"/>
      <c r="CL452" s="653"/>
      <c r="CM452" s="653"/>
      <c r="CN452" s="653"/>
      <c r="CO452" s="653"/>
      <c r="CP452" s="653"/>
      <c r="CQ452" s="653"/>
      <c r="CR452" s="653"/>
      <c r="CS452" s="653"/>
      <c r="CT452" s="653"/>
      <c r="CU452" s="653"/>
      <c r="CV452" s="653"/>
      <c r="CW452" s="653"/>
      <c r="CX452" s="653"/>
      <c r="CY452" s="653"/>
      <c r="CZ452" s="653"/>
      <c r="DA452" s="653"/>
      <c r="DB452" s="653"/>
      <c r="DC452" s="653"/>
      <c r="DD452" s="653"/>
      <c r="DE452" s="653"/>
      <c r="DF452" s="653"/>
      <c r="DG452" s="653"/>
      <c r="DH452" s="653"/>
      <c r="DI452" s="653"/>
      <c r="DJ452" s="653"/>
      <c r="DK452" s="653"/>
      <c r="DL452" s="653"/>
      <c r="DM452" s="653"/>
      <c r="DN452" s="653"/>
      <c r="DO452" s="653"/>
      <c r="DP452" s="653"/>
      <c r="DQ452" s="653"/>
      <c r="DR452" s="653"/>
      <c r="DS452" s="653"/>
      <c r="DT452" s="653"/>
      <c r="DU452" s="653"/>
      <c r="DV452" s="653"/>
      <c r="DW452" s="653"/>
      <c r="DX452" s="653"/>
      <c r="DY452" s="653"/>
      <c r="DZ452" s="653"/>
      <c r="EA452" s="653"/>
      <c r="EB452" s="653"/>
      <c r="EC452" s="653"/>
      <c r="ED452" s="653"/>
      <c r="EE452" s="648"/>
      <c r="EF452" s="651"/>
      <c r="EG452" s="651"/>
      <c r="EH452" s="651"/>
      <c r="EI452" s="216"/>
      <c r="EJ452" s="662"/>
      <c r="EK452" s="662"/>
      <c r="EL452" s="662"/>
      <c r="EM452" s="662"/>
      <c r="EN452" s="662"/>
      <c r="EO452" s="662"/>
      <c r="EP452" s="662"/>
      <c r="EQ452" s="662"/>
      <c r="ER452" s="662"/>
      <c r="ES452" s="662"/>
      <c r="ET452" s="662"/>
      <c r="EU452" s="662"/>
      <c r="EV452" s="662"/>
      <c r="EW452" s="662"/>
      <c r="EX452" s="662"/>
      <c r="EY452" s="662"/>
      <c r="EZ452" s="662"/>
      <c r="FA452" s="662"/>
      <c r="FB452" s="662"/>
      <c r="FC452" s="662"/>
      <c r="FD452" s="662"/>
      <c r="FE452" s="662"/>
      <c r="FF452" s="662"/>
      <c r="FG452" s="662"/>
      <c r="FH452" s="662"/>
      <c r="FI452" s="662"/>
      <c r="FJ452" s="662"/>
      <c r="FK452" s="662"/>
      <c r="FL452" s="662"/>
      <c r="FM452" s="662"/>
      <c r="FN452" s="662"/>
      <c r="FO452" s="662"/>
      <c r="FP452" s="662"/>
      <c r="FQ452" s="662"/>
      <c r="FR452" s="662"/>
      <c r="FS452" s="662"/>
      <c r="FT452" s="662"/>
      <c r="FU452" s="662"/>
      <c r="FV452" s="662"/>
      <c r="FW452" s="662"/>
      <c r="FX452" s="662"/>
      <c r="FY452" s="662"/>
      <c r="FZ452" s="662"/>
      <c r="GA452" s="662"/>
      <c r="GB452" s="662"/>
      <c r="GC452" s="662"/>
      <c r="GD452" s="662"/>
      <c r="GE452" s="662"/>
      <c r="GF452" s="662"/>
      <c r="GG452" s="662"/>
      <c r="GH452" s="662"/>
      <c r="GI452" s="662"/>
      <c r="GJ452" s="662"/>
      <c r="GK452" s="662"/>
      <c r="GL452" s="662"/>
      <c r="GM452" s="662"/>
      <c r="GN452" s="662"/>
      <c r="GO452" s="662"/>
      <c r="GP452" s="662"/>
      <c r="GQ452" s="662"/>
      <c r="GR452" s="662"/>
      <c r="GS452" s="662"/>
      <c r="GT452" s="662"/>
      <c r="GU452" s="662"/>
      <c r="GV452" s="662"/>
      <c r="GW452" s="662"/>
      <c r="GX452" s="662"/>
      <c r="GY452" s="662"/>
      <c r="GZ452" s="662"/>
      <c r="HA452" s="662"/>
      <c r="HB452" s="662"/>
      <c r="HC452" s="662"/>
      <c r="HD452" s="662"/>
      <c r="HE452" s="662"/>
      <c r="HF452" s="662"/>
      <c r="HG452" s="662"/>
      <c r="HH452" s="662"/>
      <c r="HI452" s="662"/>
      <c r="HJ452" s="662"/>
      <c r="HK452" s="662"/>
      <c r="HL452" s="662"/>
      <c r="HM452" s="662"/>
      <c r="HN452" s="662"/>
      <c r="HO452" s="662"/>
      <c r="HP452" s="662"/>
      <c r="HQ452" s="662"/>
      <c r="HR452" s="662"/>
      <c r="HS452" s="662"/>
      <c r="HT452" s="662"/>
      <c r="HU452" s="662"/>
      <c r="HV452" s="662"/>
      <c r="HW452" s="662"/>
      <c r="HX452" s="662"/>
      <c r="HY452" s="662"/>
      <c r="HZ452" s="662"/>
      <c r="IA452" s="662"/>
      <c r="IB452" s="662"/>
      <c r="IC452" s="662"/>
      <c r="ID452" s="662"/>
      <c r="IE452" s="662"/>
      <c r="IF452" s="662"/>
      <c r="IG452" s="662"/>
      <c r="IH452" s="662"/>
      <c r="II452" s="662"/>
      <c r="IJ452" s="662"/>
      <c r="IK452" s="662"/>
      <c r="IL452" s="662"/>
      <c r="IM452" s="662"/>
      <c r="IN452" s="662"/>
      <c r="IO452" s="662"/>
      <c r="IP452" s="662"/>
      <c r="IQ452" s="653"/>
    </row>
    <row r="453" spans="18:251" ht="16.5" hidden="1" customHeight="1">
      <c r="R453" s="648"/>
      <c r="S453" s="648"/>
      <c r="T453" s="648"/>
      <c r="U453" s="653"/>
      <c r="V453" s="649"/>
      <c r="W453" s="653"/>
      <c r="X453" s="653"/>
      <c r="Y453" s="653"/>
      <c r="Z453" s="653"/>
      <c r="AA453" s="653"/>
      <c r="AB453" s="653"/>
      <c r="AC453" s="653"/>
      <c r="AD453" s="653"/>
      <c r="AE453" s="653"/>
      <c r="AF453" s="653"/>
      <c r="AG453" s="653"/>
      <c r="AH453" s="653"/>
      <c r="AI453" s="653"/>
      <c r="AJ453" s="653"/>
      <c r="AK453" s="653"/>
      <c r="AL453" s="653"/>
      <c r="AM453" s="653"/>
      <c r="AN453" s="653"/>
      <c r="AO453" s="653"/>
      <c r="AP453" s="653"/>
      <c r="AQ453" s="653"/>
      <c r="AR453" s="653"/>
      <c r="AS453" s="653"/>
      <c r="AT453" s="653"/>
      <c r="AU453" s="653"/>
      <c r="AV453" s="653"/>
      <c r="AW453" s="653"/>
      <c r="AX453" s="653"/>
      <c r="AY453" s="653"/>
      <c r="AZ453" s="653"/>
      <c r="BA453" s="653"/>
      <c r="BB453" s="653"/>
      <c r="BC453" s="653"/>
      <c r="BD453" s="653"/>
      <c r="BE453" s="653"/>
      <c r="BF453" s="653"/>
      <c r="BG453" s="653"/>
      <c r="BH453" s="653"/>
      <c r="BI453" s="653"/>
      <c r="BJ453" s="653"/>
      <c r="BK453" s="653"/>
      <c r="BL453" s="653"/>
      <c r="BM453" s="653"/>
      <c r="BN453" s="653"/>
      <c r="BO453" s="653"/>
      <c r="BP453" s="653"/>
      <c r="BQ453" s="653"/>
      <c r="BR453" s="653"/>
      <c r="BS453" s="653"/>
      <c r="BT453" s="653"/>
      <c r="BU453" s="653"/>
      <c r="BV453" s="653"/>
      <c r="BW453" s="653"/>
      <c r="BX453" s="653"/>
      <c r="BY453" s="653"/>
      <c r="BZ453" s="653"/>
      <c r="CA453" s="653"/>
      <c r="CB453" s="653"/>
      <c r="CC453" s="653"/>
      <c r="CD453" s="653"/>
      <c r="CE453" s="653"/>
      <c r="CF453" s="653"/>
      <c r="CG453" s="653"/>
      <c r="CH453" s="653"/>
      <c r="CI453" s="653"/>
      <c r="CJ453" s="653"/>
      <c r="CK453" s="653"/>
      <c r="CL453" s="653"/>
      <c r="CM453" s="653"/>
      <c r="CN453" s="653"/>
      <c r="CO453" s="653"/>
      <c r="CP453" s="653"/>
      <c r="CQ453" s="653"/>
      <c r="CR453" s="653"/>
      <c r="CS453" s="653"/>
      <c r="CT453" s="653"/>
      <c r="CU453" s="653"/>
      <c r="CV453" s="653"/>
      <c r="CW453" s="653"/>
      <c r="CX453" s="653"/>
      <c r="CY453" s="653"/>
      <c r="CZ453" s="653"/>
      <c r="DA453" s="653"/>
      <c r="DB453" s="653"/>
      <c r="DC453" s="653"/>
      <c r="DD453" s="653"/>
      <c r="DE453" s="653"/>
      <c r="DF453" s="653"/>
      <c r="DG453" s="653"/>
      <c r="DH453" s="653"/>
      <c r="DI453" s="653"/>
      <c r="DJ453" s="653"/>
      <c r="DK453" s="653"/>
      <c r="DL453" s="653"/>
      <c r="DM453" s="653"/>
      <c r="DN453" s="653"/>
      <c r="DO453" s="653"/>
      <c r="DP453" s="653"/>
      <c r="DQ453" s="653"/>
      <c r="DR453" s="653"/>
      <c r="DS453" s="653"/>
      <c r="DT453" s="653"/>
      <c r="DU453" s="653"/>
      <c r="DV453" s="653"/>
      <c r="DW453" s="653"/>
      <c r="DX453" s="653"/>
      <c r="DY453" s="653"/>
      <c r="DZ453" s="653"/>
      <c r="EA453" s="653"/>
      <c r="EB453" s="653"/>
      <c r="EC453" s="653"/>
      <c r="ED453" s="653"/>
      <c r="EE453" s="648"/>
      <c r="EF453" s="651"/>
      <c r="EG453" s="651"/>
      <c r="EH453" s="651"/>
      <c r="EI453" s="216"/>
      <c r="EJ453" s="662"/>
      <c r="EK453" s="662"/>
      <c r="EL453" s="662"/>
      <c r="EM453" s="662"/>
      <c r="EN453" s="662"/>
      <c r="EO453" s="662"/>
      <c r="EP453" s="662"/>
      <c r="EQ453" s="662"/>
      <c r="ER453" s="662"/>
      <c r="ES453" s="662"/>
      <c r="ET453" s="662"/>
      <c r="EU453" s="662"/>
      <c r="EV453" s="662"/>
      <c r="EW453" s="662"/>
      <c r="EX453" s="662"/>
      <c r="EY453" s="662"/>
      <c r="EZ453" s="662"/>
      <c r="FA453" s="662"/>
      <c r="FB453" s="662"/>
      <c r="FC453" s="662"/>
      <c r="FD453" s="662"/>
      <c r="FE453" s="662"/>
      <c r="FF453" s="662"/>
      <c r="FG453" s="662"/>
      <c r="FH453" s="662"/>
      <c r="FI453" s="662"/>
      <c r="FJ453" s="662"/>
      <c r="FK453" s="662"/>
      <c r="FL453" s="662"/>
      <c r="FM453" s="662"/>
      <c r="FN453" s="662"/>
      <c r="FO453" s="662"/>
      <c r="FP453" s="662"/>
      <c r="FQ453" s="662"/>
      <c r="FR453" s="662"/>
      <c r="FS453" s="662"/>
      <c r="FT453" s="662"/>
      <c r="FU453" s="662"/>
      <c r="FV453" s="662"/>
      <c r="FW453" s="662"/>
      <c r="FX453" s="662"/>
      <c r="FY453" s="662"/>
      <c r="FZ453" s="662"/>
      <c r="GA453" s="662"/>
      <c r="GB453" s="662"/>
      <c r="GC453" s="662"/>
      <c r="GD453" s="662"/>
      <c r="GE453" s="662"/>
      <c r="GF453" s="662"/>
      <c r="GG453" s="662"/>
      <c r="GH453" s="662"/>
      <c r="GI453" s="662"/>
      <c r="GJ453" s="662"/>
      <c r="GK453" s="662"/>
      <c r="GL453" s="662"/>
      <c r="GM453" s="662"/>
      <c r="GN453" s="662"/>
      <c r="GO453" s="662"/>
      <c r="GP453" s="662"/>
      <c r="GQ453" s="662"/>
      <c r="GR453" s="662"/>
      <c r="GS453" s="662"/>
      <c r="GT453" s="662"/>
      <c r="GU453" s="662"/>
      <c r="GV453" s="662"/>
      <c r="GW453" s="662"/>
      <c r="GX453" s="662"/>
      <c r="GY453" s="662"/>
      <c r="GZ453" s="662"/>
      <c r="HA453" s="662"/>
      <c r="HB453" s="662"/>
      <c r="HC453" s="662"/>
      <c r="HD453" s="662"/>
      <c r="HE453" s="662"/>
      <c r="HF453" s="662"/>
      <c r="HG453" s="662"/>
      <c r="HH453" s="662"/>
      <c r="HI453" s="662"/>
      <c r="HJ453" s="662"/>
      <c r="HK453" s="662"/>
      <c r="HL453" s="662"/>
      <c r="HM453" s="662"/>
      <c r="HN453" s="662"/>
      <c r="HO453" s="662"/>
      <c r="HP453" s="662"/>
      <c r="HQ453" s="662"/>
      <c r="HR453" s="662"/>
      <c r="HS453" s="662"/>
      <c r="HT453" s="662"/>
      <c r="HU453" s="662"/>
      <c r="HV453" s="662"/>
      <c r="HW453" s="662"/>
      <c r="HX453" s="662"/>
      <c r="HY453" s="662"/>
      <c r="HZ453" s="662"/>
      <c r="IA453" s="662"/>
      <c r="IB453" s="662"/>
      <c r="IC453" s="662"/>
      <c r="ID453" s="662"/>
      <c r="IE453" s="662"/>
      <c r="IF453" s="662"/>
      <c r="IG453" s="662"/>
      <c r="IH453" s="662"/>
      <c r="II453" s="662"/>
      <c r="IJ453" s="662"/>
      <c r="IK453" s="662"/>
      <c r="IL453" s="662"/>
      <c r="IM453" s="662"/>
      <c r="IN453" s="662"/>
      <c r="IO453" s="662"/>
      <c r="IP453" s="662"/>
      <c r="IQ453" s="653"/>
    </row>
    <row r="454" spans="18:251" ht="16.5" hidden="1" customHeight="1">
      <c r="R454" s="648"/>
      <c r="S454" s="648"/>
      <c r="T454" s="648"/>
      <c r="U454" s="653"/>
      <c r="V454" s="649"/>
      <c r="W454" s="653"/>
      <c r="X454" s="653"/>
      <c r="Y454" s="653"/>
      <c r="Z454" s="653"/>
      <c r="AA454" s="653"/>
      <c r="AB454" s="653"/>
      <c r="AC454" s="653"/>
      <c r="AD454" s="653"/>
      <c r="AE454" s="653"/>
      <c r="AF454" s="653"/>
      <c r="AG454" s="653"/>
      <c r="AH454" s="653"/>
      <c r="AI454" s="653"/>
      <c r="AJ454" s="653"/>
      <c r="AK454" s="653"/>
      <c r="AL454" s="653"/>
      <c r="AM454" s="653"/>
      <c r="AN454" s="653"/>
      <c r="AO454" s="653"/>
      <c r="AP454" s="653"/>
      <c r="AQ454" s="653"/>
      <c r="AR454" s="653"/>
      <c r="AS454" s="653"/>
      <c r="AT454" s="653"/>
      <c r="AU454" s="653"/>
      <c r="AV454" s="653"/>
      <c r="AW454" s="653"/>
      <c r="AX454" s="653"/>
      <c r="AY454" s="653"/>
      <c r="AZ454" s="653"/>
      <c r="BA454" s="653"/>
      <c r="BB454" s="653"/>
      <c r="BC454" s="653"/>
      <c r="BD454" s="653"/>
      <c r="BE454" s="653"/>
      <c r="BF454" s="653"/>
      <c r="BG454" s="653"/>
      <c r="BH454" s="653"/>
      <c r="BI454" s="653"/>
      <c r="BJ454" s="653"/>
      <c r="BK454" s="653"/>
      <c r="BL454" s="653"/>
      <c r="BM454" s="653"/>
      <c r="BN454" s="653"/>
      <c r="BO454" s="653"/>
      <c r="BP454" s="653"/>
      <c r="BQ454" s="653"/>
      <c r="BR454" s="653"/>
      <c r="BS454" s="653"/>
      <c r="BT454" s="653"/>
      <c r="BU454" s="653"/>
      <c r="BV454" s="653"/>
      <c r="BW454" s="653"/>
      <c r="BX454" s="653"/>
      <c r="BY454" s="653"/>
      <c r="BZ454" s="653"/>
      <c r="CA454" s="653"/>
      <c r="CB454" s="653"/>
      <c r="CC454" s="653"/>
      <c r="CD454" s="653"/>
      <c r="CE454" s="653"/>
      <c r="CF454" s="653"/>
      <c r="CG454" s="653"/>
      <c r="CH454" s="653"/>
      <c r="CI454" s="653"/>
      <c r="CJ454" s="653"/>
      <c r="CK454" s="653"/>
      <c r="CL454" s="653"/>
      <c r="CM454" s="653"/>
      <c r="CN454" s="653"/>
      <c r="CO454" s="653"/>
      <c r="CP454" s="653"/>
      <c r="CQ454" s="653"/>
      <c r="CR454" s="653"/>
      <c r="CS454" s="653"/>
      <c r="CT454" s="653"/>
      <c r="CU454" s="653"/>
      <c r="CV454" s="653"/>
      <c r="CW454" s="653"/>
      <c r="CX454" s="653"/>
      <c r="CY454" s="653"/>
      <c r="CZ454" s="653"/>
      <c r="DA454" s="653"/>
      <c r="DB454" s="653"/>
      <c r="DC454" s="653"/>
      <c r="DD454" s="653"/>
      <c r="DE454" s="653"/>
      <c r="DF454" s="653"/>
      <c r="DG454" s="653"/>
      <c r="DH454" s="653"/>
      <c r="DI454" s="653"/>
      <c r="DJ454" s="653"/>
      <c r="DK454" s="653"/>
      <c r="DL454" s="653"/>
      <c r="DM454" s="653"/>
      <c r="DN454" s="653"/>
      <c r="DO454" s="653"/>
      <c r="DP454" s="653"/>
      <c r="DQ454" s="653"/>
      <c r="DR454" s="653"/>
      <c r="DS454" s="653"/>
      <c r="DT454" s="653"/>
      <c r="DU454" s="653"/>
      <c r="DV454" s="653"/>
      <c r="DW454" s="653"/>
      <c r="DX454" s="653"/>
      <c r="DY454" s="653"/>
      <c r="DZ454" s="653"/>
      <c r="EA454" s="653"/>
      <c r="EB454" s="653"/>
      <c r="EC454" s="653"/>
      <c r="ED454" s="653"/>
      <c r="EE454" s="648"/>
      <c r="EF454" s="651"/>
      <c r="EG454" s="651"/>
      <c r="EH454" s="651"/>
      <c r="EI454" s="216"/>
      <c r="EJ454" s="662"/>
      <c r="EK454" s="662"/>
      <c r="EL454" s="662"/>
      <c r="EM454" s="662"/>
      <c r="EN454" s="662"/>
      <c r="EO454" s="662"/>
      <c r="EP454" s="662"/>
      <c r="EQ454" s="662"/>
      <c r="ER454" s="662"/>
      <c r="ES454" s="662"/>
      <c r="ET454" s="662"/>
      <c r="EU454" s="662"/>
      <c r="EV454" s="662"/>
      <c r="EW454" s="662"/>
      <c r="EX454" s="662"/>
      <c r="EY454" s="662"/>
      <c r="EZ454" s="662"/>
      <c r="FA454" s="662"/>
      <c r="FB454" s="662"/>
      <c r="FC454" s="662"/>
      <c r="FD454" s="662"/>
      <c r="FE454" s="662"/>
      <c r="FF454" s="662"/>
      <c r="FG454" s="662"/>
      <c r="FH454" s="662"/>
      <c r="FI454" s="662"/>
      <c r="FJ454" s="662"/>
      <c r="FK454" s="662"/>
      <c r="FL454" s="662"/>
      <c r="FM454" s="662"/>
      <c r="FN454" s="662"/>
      <c r="FO454" s="662"/>
      <c r="FP454" s="662"/>
      <c r="FQ454" s="662"/>
      <c r="FR454" s="662"/>
      <c r="FS454" s="662"/>
      <c r="FT454" s="662"/>
      <c r="FU454" s="662"/>
      <c r="FV454" s="662"/>
      <c r="FW454" s="662"/>
      <c r="FX454" s="662"/>
      <c r="FY454" s="662"/>
      <c r="FZ454" s="662"/>
      <c r="GA454" s="662"/>
      <c r="GB454" s="662"/>
      <c r="GC454" s="662"/>
      <c r="GD454" s="662"/>
      <c r="GE454" s="662"/>
      <c r="GF454" s="662"/>
      <c r="GG454" s="662"/>
      <c r="GH454" s="662"/>
      <c r="GI454" s="662"/>
      <c r="GJ454" s="662"/>
      <c r="GK454" s="662"/>
      <c r="GL454" s="662"/>
      <c r="GM454" s="662"/>
      <c r="GN454" s="662"/>
      <c r="GO454" s="662"/>
      <c r="GP454" s="662"/>
      <c r="GQ454" s="662"/>
      <c r="GR454" s="662"/>
      <c r="GS454" s="662"/>
      <c r="GT454" s="662"/>
      <c r="GU454" s="662"/>
      <c r="GV454" s="662"/>
      <c r="GW454" s="662"/>
      <c r="GX454" s="662"/>
      <c r="GY454" s="662"/>
      <c r="GZ454" s="662"/>
      <c r="HA454" s="662"/>
      <c r="HB454" s="662"/>
      <c r="HC454" s="662"/>
      <c r="HD454" s="662"/>
      <c r="HE454" s="662"/>
      <c r="HF454" s="662"/>
      <c r="HG454" s="662"/>
      <c r="HH454" s="662"/>
      <c r="HI454" s="662"/>
      <c r="HJ454" s="662"/>
      <c r="HK454" s="662"/>
      <c r="HL454" s="662"/>
      <c r="HM454" s="662"/>
      <c r="HN454" s="662"/>
      <c r="HO454" s="662"/>
      <c r="HP454" s="662"/>
      <c r="HQ454" s="662"/>
      <c r="HR454" s="662"/>
      <c r="HS454" s="662"/>
      <c r="HT454" s="662"/>
      <c r="HU454" s="662"/>
      <c r="HV454" s="662"/>
      <c r="HW454" s="662"/>
      <c r="HX454" s="662"/>
      <c r="HY454" s="662"/>
      <c r="HZ454" s="662"/>
      <c r="IA454" s="662"/>
      <c r="IB454" s="662"/>
      <c r="IC454" s="662"/>
      <c r="ID454" s="662"/>
      <c r="IE454" s="662"/>
      <c r="IF454" s="662"/>
      <c r="IG454" s="662"/>
      <c r="IH454" s="662"/>
      <c r="II454" s="662"/>
      <c r="IJ454" s="662"/>
      <c r="IK454" s="662"/>
      <c r="IL454" s="662"/>
      <c r="IM454" s="662"/>
      <c r="IN454" s="662"/>
      <c r="IO454" s="662"/>
      <c r="IP454" s="662"/>
      <c r="IQ454" s="653"/>
    </row>
    <row r="455" spans="18:251" ht="16.5" hidden="1" customHeight="1">
      <c r="R455" s="648"/>
      <c r="S455" s="648"/>
      <c r="T455" s="648"/>
      <c r="U455" s="653"/>
      <c r="V455" s="649"/>
      <c r="W455" s="653"/>
      <c r="X455" s="653"/>
      <c r="Y455" s="653"/>
      <c r="Z455" s="653"/>
      <c r="AA455" s="653"/>
      <c r="AB455" s="653"/>
      <c r="AC455" s="653"/>
      <c r="AD455" s="653"/>
      <c r="AE455" s="653"/>
      <c r="AF455" s="653"/>
      <c r="AG455" s="653"/>
      <c r="AH455" s="653"/>
      <c r="AI455" s="653"/>
      <c r="AJ455" s="653"/>
      <c r="AK455" s="653"/>
      <c r="AL455" s="653"/>
      <c r="AM455" s="653"/>
      <c r="AN455" s="653"/>
      <c r="AO455" s="653"/>
      <c r="AP455" s="653"/>
      <c r="AQ455" s="653"/>
      <c r="AR455" s="653"/>
      <c r="AS455" s="653"/>
      <c r="AT455" s="653"/>
      <c r="AU455" s="653"/>
      <c r="AV455" s="653"/>
      <c r="AW455" s="653"/>
      <c r="AX455" s="653"/>
      <c r="AY455" s="653"/>
      <c r="AZ455" s="653"/>
      <c r="BA455" s="653"/>
      <c r="BB455" s="653"/>
      <c r="BC455" s="653"/>
      <c r="BD455" s="653"/>
      <c r="BE455" s="653"/>
      <c r="BF455" s="653"/>
      <c r="BG455" s="653"/>
      <c r="BH455" s="653"/>
      <c r="BI455" s="653"/>
      <c r="BJ455" s="653"/>
      <c r="BK455" s="653"/>
      <c r="BL455" s="653"/>
      <c r="BM455" s="653"/>
      <c r="BN455" s="653"/>
      <c r="BO455" s="653"/>
      <c r="BP455" s="653"/>
      <c r="BQ455" s="653"/>
      <c r="BR455" s="653"/>
      <c r="BS455" s="653"/>
      <c r="BT455" s="653"/>
      <c r="BU455" s="653"/>
      <c r="BV455" s="653"/>
      <c r="BW455" s="653"/>
      <c r="BX455" s="653"/>
      <c r="BY455" s="653"/>
      <c r="BZ455" s="653"/>
      <c r="CA455" s="653"/>
      <c r="CB455" s="653"/>
      <c r="CC455" s="653"/>
      <c r="CD455" s="653"/>
      <c r="CE455" s="653"/>
      <c r="CF455" s="653"/>
      <c r="CG455" s="653"/>
      <c r="CH455" s="653"/>
      <c r="CI455" s="653"/>
      <c r="CJ455" s="653"/>
      <c r="CK455" s="653"/>
      <c r="CL455" s="653"/>
      <c r="CM455" s="653"/>
      <c r="CN455" s="653"/>
      <c r="CO455" s="653"/>
      <c r="CP455" s="653"/>
      <c r="CQ455" s="653"/>
      <c r="CR455" s="653"/>
      <c r="CS455" s="653"/>
      <c r="CT455" s="653"/>
      <c r="CU455" s="653"/>
      <c r="CV455" s="653"/>
      <c r="CW455" s="653"/>
      <c r="CX455" s="653"/>
      <c r="CY455" s="653"/>
      <c r="CZ455" s="653"/>
      <c r="DA455" s="653"/>
      <c r="DB455" s="653"/>
      <c r="DC455" s="653"/>
      <c r="DD455" s="653"/>
      <c r="DE455" s="653"/>
      <c r="DF455" s="653"/>
      <c r="DG455" s="653"/>
      <c r="DH455" s="653"/>
      <c r="DI455" s="653"/>
      <c r="DJ455" s="653"/>
      <c r="DK455" s="653"/>
      <c r="DL455" s="653"/>
      <c r="DM455" s="653"/>
      <c r="DN455" s="653"/>
      <c r="DO455" s="653"/>
      <c r="DP455" s="653"/>
      <c r="DQ455" s="653"/>
      <c r="DR455" s="653"/>
      <c r="DS455" s="653"/>
      <c r="DT455" s="653"/>
      <c r="DU455" s="653"/>
      <c r="DV455" s="653"/>
      <c r="DW455" s="653"/>
      <c r="DX455" s="653"/>
      <c r="DY455" s="653"/>
      <c r="DZ455" s="653"/>
      <c r="EA455" s="653"/>
      <c r="EB455" s="653"/>
      <c r="EC455" s="653"/>
      <c r="ED455" s="653"/>
      <c r="EE455" s="648"/>
      <c r="EF455" s="651"/>
      <c r="EG455" s="651"/>
      <c r="EH455" s="651"/>
      <c r="EI455" s="216"/>
      <c r="EJ455" s="662"/>
      <c r="EK455" s="662"/>
      <c r="EL455" s="662"/>
      <c r="EM455" s="662"/>
      <c r="EN455" s="662"/>
      <c r="EO455" s="662"/>
      <c r="EP455" s="662"/>
      <c r="EQ455" s="662"/>
      <c r="ER455" s="662"/>
      <c r="ES455" s="662"/>
      <c r="ET455" s="662"/>
      <c r="EU455" s="662"/>
      <c r="EV455" s="662"/>
      <c r="EW455" s="662"/>
      <c r="EX455" s="662"/>
      <c r="EY455" s="662"/>
      <c r="EZ455" s="662"/>
      <c r="FA455" s="662"/>
      <c r="FB455" s="662"/>
      <c r="FC455" s="662"/>
      <c r="FD455" s="662"/>
      <c r="FE455" s="662"/>
      <c r="FF455" s="662"/>
      <c r="FG455" s="662"/>
      <c r="FH455" s="662"/>
      <c r="FI455" s="662"/>
      <c r="FJ455" s="662"/>
      <c r="FK455" s="662"/>
      <c r="FL455" s="662"/>
      <c r="FM455" s="662"/>
      <c r="FN455" s="662"/>
      <c r="FO455" s="662"/>
      <c r="FP455" s="662"/>
      <c r="FQ455" s="662"/>
      <c r="FR455" s="662"/>
      <c r="FS455" s="662"/>
      <c r="FT455" s="662"/>
      <c r="FU455" s="662"/>
      <c r="FV455" s="662"/>
      <c r="FW455" s="662"/>
      <c r="FX455" s="662"/>
      <c r="FY455" s="662"/>
      <c r="FZ455" s="662"/>
      <c r="GA455" s="662"/>
      <c r="GB455" s="662"/>
      <c r="GC455" s="662"/>
      <c r="GD455" s="662"/>
      <c r="GE455" s="662"/>
      <c r="GF455" s="662"/>
      <c r="GG455" s="662"/>
      <c r="GH455" s="662"/>
      <c r="GI455" s="662"/>
      <c r="GJ455" s="662"/>
      <c r="GK455" s="662"/>
      <c r="GL455" s="662"/>
      <c r="GM455" s="662"/>
      <c r="GN455" s="662"/>
      <c r="GO455" s="662"/>
      <c r="GP455" s="662"/>
      <c r="GQ455" s="662"/>
      <c r="GR455" s="662"/>
      <c r="GS455" s="662"/>
      <c r="GT455" s="662"/>
      <c r="GU455" s="662"/>
      <c r="GV455" s="662"/>
      <c r="GW455" s="662"/>
      <c r="GX455" s="662"/>
      <c r="GY455" s="662"/>
      <c r="GZ455" s="662"/>
      <c r="HA455" s="662"/>
      <c r="HB455" s="662"/>
      <c r="HC455" s="662"/>
      <c r="HD455" s="662"/>
      <c r="HE455" s="662"/>
      <c r="HF455" s="662"/>
      <c r="HG455" s="662"/>
      <c r="HH455" s="662"/>
      <c r="HI455" s="662"/>
      <c r="HJ455" s="662"/>
      <c r="HK455" s="662"/>
      <c r="HL455" s="662"/>
      <c r="HM455" s="662"/>
      <c r="HN455" s="662"/>
      <c r="HO455" s="662"/>
      <c r="HP455" s="662"/>
      <c r="HQ455" s="662"/>
      <c r="HR455" s="662"/>
      <c r="HS455" s="662"/>
      <c r="HT455" s="662"/>
      <c r="HU455" s="662"/>
      <c r="HV455" s="662"/>
      <c r="HW455" s="662"/>
      <c r="HX455" s="662"/>
      <c r="HY455" s="662"/>
      <c r="HZ455" s="662"/>
      <c r="IA455" s="662"/>
      <c r="IB455" s="662"/>
      <c r="IC455" s="662"/>
      <c r="ID455" s="662"/>
      <c r="IE455" s="662"/>
      <c r="IF455" s="662"/>
      <c r="IG455" s="662"/>
      <c r="IH455" s="662"/>
      <c r="II455" s="662"/>
      <c r="IJ455" s="662"/>
      <c r="IK455" s="662"/>
      <c r="IL455" s="662"/>
      <c r="IM455" s="662"/>
      <c r="IN455" s="662"/>
      <c r="IO455" s="662"/>
      <c r="IP455" s="662"/>
      <c r="IQ455" s="653"/>
    </row>
    <row r="456" spans="18:251" ht="16.5" hidden="1" customHeight="1">
      <c r="R456" s="648"/>
      <c r="S456" s="648"/>
      <c r="T456" s="648"/>
      <c r="U456" s="653"/>
      <c r="V456" s="649"/>
      <c r="W456" s="653"/>
      <c r="X456" s="653"/>
      <c r="Y456" s="653"/>
      <c r="Z456" s="653"/>
      <c r="AA456" s="653"/>
      <c r="AB456" s="653"/>
      <c r="AC456" s="653"/>
      <c r="AD456" s="653"/>
      <c r="AE456" s="653"/>
      <c r="AF456" s="653"/>
      <c r="AG456" s="653"/>
      <c r="AH456" s="653"/>
      <c r="AI456" s="653"/>
      <c r="AJ456" s="653"/>
      <c r="AK456" s="653"/>
      <c r="AL456" s="653"/>
      <c r="AM456" s="653"/>
      <c r="AN456" s="653"/>
      <c r="AO456" s="653"/>
      <c r="AP456" s="653"/>
      <c r="AQ456" s="653"/>
      <c r="AR456" s="653"/>
      <c r="AS456" s="653"/>
      <c r="AT456" s="653"/>
      <c r="AU456" s="653"/>
      <c r="AV456" s="653"/>
      <c r="AW456" s="653"/>
      <c r="AX456" s="653"/>
      <c r="AY456" s="653"/>
      <c r="AZ456" s="653"/>
      <c r="BA456" s="653"/>
      <c r="BB456" s="653"/>
      <c r="BC456" s="653"/>
      <c r="BD456" s="653"/>
      <c r="BE456" s="653"/>
      <c r="BF456" s="653"/>
      <c r="BG456" s="653"/>
      <c r="BH456" s="653"/>
      <c r="BI456" s="653"/>
      <c r="BJ456" s="653"/>
      <c r="BK456" s="653"/>
      <c r="BL456" s="653"/>
      <c r="BM456" s="653"/>
      <c r="BN456" s="653"/>
      <c r="BO456" s="653"/>
      <c r="BP456" s="653"/>
      <c r="BQ456" s="653"/>
      <c r="BR456" s="653"/>
      <c r="BS456" s="653"/>
      <c r="BT456" s="653"/>
      <c r="BU456" s="653"/>
      <c r="BV456" s="653"/>
      <c r="BW456" s="653"/>
      <c r="BX456" s="653"/>
      <c r="BY456" s="653"/>
      <c r="BZ456" s="653"/>
      <c r="CA456" s="653"/>
      <c r="CB456" s="653"/>
      <c r="CC456" s="653"/>
      <c r="CD456" s="653"/>
      <c r="CE456" s="653"/>
      <c r="CF456" s="653"/>
      <c r="CG456" s="653"/>
      <c r="CH456" s="653"/>
      <c r="CI456" s="653"/>
      <c r="CJ456" s="653"/>
      <c r="CK456" s="653"/>
      <c r="CL456" s="653"/>
      <c r="CM456" s="653"/>
      <c r="CN456" s="653"/>
      <c r="CO456" s="653"/>
      <c r="CP456" s="653"/>
      <c r="CQ456" s="653"/>
      <c r="CR456" s="653"/>
      <c r="CS456" s="653"/>
      <c r="CT456" s="653"/>
      <c r="CU456" s="653"/>
      <c r="CV456" s="653"/>
      <c r="CW456" s="653"/>
      <c r="CX456" s="653"/>
      <c r="CY456" s="653"/>
      <c r="CZ456" s="653"/>
      <c r="DA456" s="653"/>
      <c r="DB456" s="653"/>
      <c r="DC456" s="653"/>
      <c r="DD456" s="653"/>
      <c r="DE456" s="653"/>
      <c r="DF456" s="653"/>
      <c r="DG456" s="653"/>
      <c r="DH456" s="653"/>
      <c r="DI456" s="653"/>
      <c r="DJ456" s="653"/>
      <c r="DK456" s="653"/>
      <c r="DL456" s="653"/>
      <c r="DM456" s="653"/>
      <c r="DN456" s="653"/>
      <c r="DO456" s="653"/>
      <c r="DP456" s="653"/>
      <c r="DQ456" s="653"/>
      <c r="DR456" s="653"/>
      <c r="DS456" s="653"/>
      <c r="DT456" s="653"/>
      <c r="DU456" s="653"/>
      <c r="DV456" s="653"/>
      <c r="DW456" s="653"/>
      <c r="DX456" s="653"/>
      <c r="DY456" s="653"/>
      <c r="DZ456" s="653"/>
      <c r="EA456" s="653"/>
      <c r="EB456" s="653"/>
      <c r="EC456" s="653"/>
      <c r="ED456" s="653"/>
      <c r="EE456" s="648"/>
      <c r="EF456" s="651"/>
      <c r="EG456" s="651"/>
      <c r="EH456" s="651"/>
      <c r="EI456" s="216"/>
      <c r="EJ456" s="662"/>
      <c r="EK456" s="662"/>
      <c r="EL456" s="662"/>
      <c r="EM456" s="662"/>
      <c r="EN456" s="662"/>
      <c r="EO456" s="662"/>
      <c r="EP456" s="662"/>
      <c r="EQ456" s="662"/>
      <c r="ER456" s="662"/>
      <c r="ES456" s="662"/>
      <c r="ET456" s="662"/>
      <c r="EU456" s="662"/>
      <c r="EV456" s="662"/>
      <c r="EW456" s="662"/>
      <c r="EX456" s="662"/>
      <c r="EY456" s="662"/>
      <c r="EZ456" s="662"/>
      <c r="FA456" s="662"/>
      <c r="FB456" s="662"/>
      <c r="FC456" s="662"/>
      <c r="FD456" s="662"/>
      <c r="FE456" s="662"/>
      <c r="FF456" s="662"/>
      <c r="FG456" s="662"/>
      <c r="FH456" s="662"/>
      <c r="FI456" s="662"/>
      <c r="FJ456" s="662"/>
      <c r="FK456" s="662"/>
      <c r="FL456" s="662"/>
      <c r="FM456" s="662"/>
      <c r="FN456" s="662"/>
      <c r="FO456" s="662"/>
      <c r="FP456" s="662"/>
      <c r="FQ456" s="662"/>
      <c r="FR456" s="662"/>
      <c r="FS456" s="662"/>
      <c r="FT456" s="662"/>
      <c r="FU456" s="662"/>
      <c r="FV456" s="662"/>
      <c r="FW456" s="662"/>
      <c r="FX456" s="662"/>
      <c r="FY456" s="662"/>
      <c r="FZ456" s="662"/>
      <c r="GA456" s="662"/>
      <c r="GB456" s="662"/>
      <c r="GC456" s="662"/>
      <c r="GD456" s="662"/>
      <c r="GE456" s="662"/>
      <c r="GF456" s="662"/>
      <c r="GG456" s="662"/>
      <c r="GH456" s="662"/>
      <c r="GI456" s="662"/>
      <c r="GJ456" s="662"/>
      <c r="GK456" s="662"/>
      <c r="GL456" s="662"/>
      <c r="GM456" s="662"/>
      <c r="GN456" s="662"/>
      <c r="GO456" s="662"/>
      <c r="GP456" s="662"/>
      <c r="GQ456" s="662"/>
      <c r="GR456" s="662"/>
      <c r="GS456" s="662"/>
      <c r="GT456" s="662"/>
      <c r="GU456" s="662"/>
      <c r="GV456" s="662"/>
      <c r="GW456" s="662"/>
      <c r="GX456" s="662"/>
      <c r="GY456" s="662"/>
      <c r="GZ456" s="662"/>
      <c r="HA456" s="662"/>
      <c r="HB456" s="662"/>
      <c r="HC456" s="662"/>
      <c r="HD456" s="662"/>
      <c r="HE456" s="662"/>
      <c r="HF456" s="662"/>
      <c r="HG456" s="662"/>
      <c r="HH456" s="662"/>
      <c r="HI456" s="662"/>
      <c r="HJ456" s="662"/>
      <c r="HK456" s="662"/>
      <c r="HL456" s="662"/>
      <c r="HM456" s="662"/>
      <c r="HN456" s="662"/>
      <c r="HO456" s="662"/>
      <c r="HP456" s="662"/>
      <c r="HQ456" s="662"/>
      <c r="HR456" s="662"/>
      <c r="HS456" s="662"/>
      <c r="HT456" s="662"/>
      <c r="HU456" s="662"/>
      <c r="HV456" s="662"/>
      <c r="HW456" s="662"/>
      <c r="HX456" s="662"/>
      <c r="HY456" s="662"/>
      <c r="HZ456" s="662"/>
      <c r="IA456" s="662"/>
      <c r="IB456" s="662"/>
      <c r="IC456" s="662"/>
      <c r="ID456" s="662"/>
      <c r="IE456" s="662"/>
      <c r="IF456" s="662"/>
      <c r="IG456" s="662"/>
      <c r="IH456" s="662"/>
      <c r="II456" s="662"/>
      <c r="IJ456" s="662"/>
      <c r="IK456" s="662"/>
      <c r="IL456" s="662"/>
      <c r="IM456" s="662"/>
      <c r="IN456" s="662"/>
      <c r="IO456" s="662"/>
      <c r="IP456" s="662"/>
      <c r="IQ456" s="653"/>
    </row>
    <row r="457" spans="18:251" ht="16.5" hidden="1" customHeight="1">
      <c r="R457" s="648"/>
      <c r="S457" s="648"/>
      <c r="T457" s="648"/>
      <c r="U457" s="653"/>
      <c r="V457" s="649"/>
      <c r="W457" s="653"/>
      <c r="X457" s="653"/>
      <c r="Y457" s="653"/>
      <c r="Z457" s="653"/>
      <c r="AA457" s="653"/>
      <c r="AB457" s="653"/>
      <c r="AC457" s="653"/>
      <c r="AD457" s="653"/>
      <c r="AE457" s="653"/>
      <c r="AF457" s="653"/>
      <c r="AG457" s="653"/>
      <c r="AH457" s="653"/>
      <c r="AI457" s="653"/>
      <c r="AJ457" s="653"/>
      <c r="AK457" s="653"/>
      <c r="AL457" s="653"/>
      <c r="AM457" s="653"/>
      <c r="AN457" s="653"/>
      <c r="AO457" s="653"/>
      <c r="AP457" s="653"/>
      <c r="AQ457" s="653"/>
      <c r="AR457" s="653"/>
      <c r="AS457" s="653"/>
      <c r="AT457" s="653"/>
      <c r="AU457" s="653"/>
      <c r="AV457" s="653"/>
      <c r="AW457" s="653"/>
      <c r="AX457" s="653"/>
      <c r="AY457" s="653"/>
      <c r="AZ457" s="653"/>
      <c r="BA457" s="653"/>
      <c r="BB457" s="653"/>
      <c r="BC457" s="653"/>
      <c r="BD457" s="653"/>
      <c r="BE457" s="653"/>
      <c r="BF457" s="653"/>
      <c r="BG457" s="653"/>
      <c r="BH457" s="653"/>
      <c r="BI457" s="653"/>
      <c r="BJ457" s="653"/>
      <c r="BK457" s="653"/>
      <c r="BL457" s="653"/>
      <c r="BM457" s="653"/>
      <c r="BN457" s="653"/>
      <c r="BO457" s="653"/>
      <c r="BP457" s="653"/>
      <c r="BQ457" s="653"/>
      <c r="BR457" s="653"/>
      <c r="BS457" s="653"/>
      <c r="BT457" s="653"/>
      <c r="BU457" s="653"/>
      <c r="BV457" s="653"/>
      <c r="BW457" s="653"/>
      <c r="BX457" s="653"/>
      <c r="BY457" s="653"/>
      <c r="BZ457" s="653"/>
      <c r="CA457" s="653"/>
      <c r="CB457" s="653"/>
      <c r="CC457" s="653"/>
      <c r="CD457" s="653"/>
      <c r="CE457" s="653"/>
      <c r="CF457" s="653"/>
      <c r="CG457" s="653"/>
      <c r="CH457" s="653"/>
      <c r="CI457" s="653"/>
      <c r="CJ457" s="653"/>
      <c r="CK457" s="653"/>
      <c r="CL457" s="653"/>
      <c r="CM457" s="653"/>
      <c r="CN457" s="653"/>
      <c r="CO457" s="653"/>
      <c r="CP457" s="653"/>
      <c r="CQ457" s="653"/>
      <c r="CR457" s="653"/>
      <c r="CS457" s="653"/>
      <c r="CT457" s="653"/>
      <c r="CU457" s="653"/>
      <c r="CV457" s="653"/>
      <c r="CW457" s="653"/>
      <c r="CX457" s="653"/>
      <c r="CY457" s="653"/>
      <c r="CZ457" s="653"/>
      <c r="DA457" s="653"/>
      <c r="DB457" s="653"/>
      <c r="DC457" s="653"/>
      <c r="DD457" s="653"/>
      <c r="DE457" s="653"/>
      <c r="DF457" s="653"/>
      <c r="DG457" s="653"/>
      <c r="DH457" s="653"/>
      <c r="DI457" s="653"/>
      <c r="DJ457" s="653"/>
      <c r="DK457" s="653"/>
      <c r="DL457" s="653"/>
      <c r="DM457" s="653"/>
      <c r="DN457" s="653"/>
      <c r="DO457" s="653"/>
      <c r="DP457" s="653"/>
      <c r="DQ457" s="653"/>
      <c r="DR457" s="653"/>
      <c r="DS457" s="653"/>
      <c r="DT457" s="653"/>
      <c r="DU457" s="653"/>
      <c r="DV457" s="653"/>
      <c r="DW457" s="653"/>
      <c r="DX457" s="653"/>
      <c r="DY457" s="653"/>
      <c r="DZ457" s="653"/>
      <c r="EA457" s="653"/>
      <c r="EB457" s="653"/>
      <c r="EC457" s="653"/>
      <c r="ED457" s="653"/>
      <c r="EE457" s="648"/>
      <c r="EF457" s="651"/>
      <c r="EG457" s="651"/>
      <c r="EH457" s="651"/>
      <c r="EI457" s="216"/>
      <c r="EJ457" s="662"/>
      <c r="EK457" s="662"/>
      <c r="EL457" s="662"/>
      <c r="EM457" s="662"/>
      <c r="EN457" s="662"/>
      <c r="EO457" s="662"/>
      <c r="EP457" s="662"/>
      <c r="EQ457" s="662"/>
      <c r="ER457" s="662"/>
      <c r="ES457" s="662"/>
      <c r="ET457" s="662"/>
      <c r="EU457" s="662"/>
      <c r="EV457" s="662"/>
      <c r="EW457" s="662"/>
      <c r="EX457" s="662"/>
      <c r="EY457" s="662"/>
      <c r="EZ457" s="662"/>
      <c r="FA457" s="662"/>
      <c r="FB457" s="662"/>
      <c r="FC457" s="662"/>
      <c r="FD457" s="662"/>
      <c r="FE457" s="662"/>
      <c r="FF457" s="662"/>
      <c r="FG457" s="662"/>
      <c r="FH457" s="662"/>
      <c r="FI457" s="662"/>
      <c r="FJ457" s="662"/>
      <c r="FK457" s="662"/>
      <c r="FL457" s="662"/>
      <c r="FM457" s="662"/>
      <c r="FN457" s="662"/>
      <c r="FO457" s="662"/>
      <c r="FP457" s="662"/>
      <c r="FQ457" s="662"/>
      <c r="FR457" s="662"/>
      <c r="FS457" s="662"/>
      <c r="FT457" s="662"/>
      <c r="FU457" s="662"/>
      <c r="FV457" s="662"/>
      <c r="FW457" s="662"/>
      <c r="FX457" s="662"/>
      <c r="FY457" s="662"/>
      <c r="FZ457" s="662"/>
      <c r="GA457" s="662"/>
      <c r="GB457" s="662"/>
      <c r="GC457" s="662"/>
      <c r="GD457" s="662"/>
      <c r="GE457" s="662"/>
      <c r="GF457" s="662"/>
      <c r="GG457" s="662"/>
      <c r="GH457" s="662"/>
      <c r="GI457" s="662"/>
      <c r="GJ457" s="662"/>
      <c r="GK457" s="662"/>
      <c r="GL457" s="662"/>
      <c r="GM457" s="662"/>
      <c r="GN457" s="662"/>
      <c r="GO457" s="662"/>
      <c r="GP457" s="662"/>
      <c r="GQ457" s="662"/>
      <c r="GR457" s="662"/>
      <c r="GS457" s="662"/>
      <c r="GT457" s="662"/>
      <c r="GU457" s="662"/>
      <c r="GV457" s="662"/>
      <c r="GW457" s="662"/>
      <c r="GX457" s="662"/>
      <c r="GY457" s="662"/>
      <c r="GZ457" s="662"/>
      <c r="HA457" s="662"/>
      <c r="HB457" s="662"/>
      <c r="HC457" s="662"/>
      <c r="HD457" s="662"/>
      <c r="HE457" s="662"/>
      <c r="HF457" s="662"/>
      <c r="HG457" s="662"/>
      <c r="HH457" s="662"/>
      <c r="HI457" s="662"/>
      <c r="HJ457" s="662"/>
      <c r="HK457" s="662"/>
      <c r="HL457" s="662"/>
      <c r="HM457" s="662"/>
      <c r="HN457" s="662"/>
      <c r="HO457" s="662"/>
      <c r="HP457" s="662"/>
      <c r="HQ457" s="662"/>
      <c r="HR457" s="662"/>
      <c r="HS457" s="662"/>
      <c r="HT457" s="662"/>
      <c r="HU457" s="662"/>
      <c r="HV457" s="662"/>
      <c r="HW457" s="662"/>
      <c r="HX457" s="662"/>
      <c r="HY457" s="662"/>
      <c r="HZ457" s="662"/>
      <c r="IA457" s="662"/>
      <c r="IB457" s="662"/>
      <c r="IC457" s="662"/>
      <c r="ID457" s="662"/>
      <c r="IE457" s="662"/>
      <c r="IF457" s="662"/>
      <c r="IG457" s="662"/>
      <c r="IH457" s="662"/>
      <c r="II457" s="662"/>
      <c r="IJ457" s="662"/>
      <c r="IK457" s="662"/>
      <c r="IL457" s="662"/>
      <c r="IM457" s="662"/>
      <c r="IN457" s="662"/>
      <c r="IO457" s="662"/>
      <c r="IP457" s="662"/>
      <c r="IQ457" s="653"/>
    </row>
    <row r="458" spans="18:251" ht="16.5" hidden="1" customHeight="1">
      <c r="R458" s="648"/>
      <c r="S458" s="648"/>
      <c r="T458" s="648"/>
      <c r="U458" s="653"/>
      <c r="V458" s="649"/>
      <c r="W458" s="653"/>
      <c r="X458" s="653"/>
      <c r="Y458" s="653"/>
      <c r="Z458" s="653"/>
      <c r="AA458" s="653"/>
      <c r="AB458" s="653"/>
      <c r="AC458" s="653"/>
      <c r="AD458" s="653"/>
      <c r="AE458" s="653"/>
      <c r="AF458" s="653"/>
      <c r="AG458" s="653"/>
      <c r="AH458" s="653"/>
      <c r="AI458" s="653"/>
      <c r="AJ458" s="653"/>
      <c r="AK458" s="653"/>
      <c r="AL458" s="653"/>
      <c r="AM458" s="653"/>
      <c r="AN458" s="653"/>
      <c r="AO458" s="653"/>
      <c r="AP458" s="653"/>
      <c r="AQ458" s="653"/>
      <c r="AR458" s="653"/>
      <c r="AS458" s="653"/>
      <c r="AT458" s="653"/>
      <c r="AU458" s="653"/>
      <c r="AV458" s="653"/>
      <c r="AW458" s="653"/>
      <c r="AX458" s="653"/>
      <c r="AY458" s="653"/>
      <c r="AZ458" s="653"/>
      <c r="BA458" s="653"/>
      <c r="BB458" s="653"/>
      <c r="BC458" s="653"/>
      <c r="BD458" s="653"/>
      <c r="BE458" s="653"/>
      <c r="BF458" s="653"/>
      <c r="BG458" s="653"/>
      <c r="BH458" s="653"/>
      <c r="BI458" s="653"/>
      <c r="BJ458" s="653"/>
      <c r="BK458" s="653"/>
      <c r="BL458" s="653"/>
      <c r="BM458" s="653"/>
      <c r="BN458" s="653"/>
      <c r="BO458" s="653"/>
      <c r="BP458" s="653"/>
      <c r="BQ458" s="653"/>
      <c r="BR458" s="653"/>
      <c r="BS458" s="653"/>
      <c r="BT458" s="653"/>
      <c r="BU458" s="653"/>
      <c r="BV458" s="653"/>
      <c r="BW458" s="653"/>
      <c r="BX458" s="653"/>
      <c r="BY458" s="653"/>
      <c r="BZ458" s="653"/>
      <c r="CA458" s="653"/>
      <c r="CB458" s="653"/>
      <c r="CC458" s="653"/>
      <c r="CD458" s="653"/>
      <c r="CE458" s="653"/>
      <c r="CF458" s="653"/>
      <c r="CG458" s="653"/>
      <c r="CH458" s="653"/>
      <c r="CI458" s="653"/>
      <c r="CJ458" s="653"/>
      <c r="CK458" s="653"/>
      <c r="CL458" s="653"/>
      <c r="CM458" s="653"/>
      <c r="CN458" s="653"/>
      <c r="CO458" s="653"/>
      <c r="CP458" s="653"/>
      <c r="CQ458" s="653"/>
      <c r="CR458" s="653"/>
      <c r="CS458" s="653"/>
      <c r="CT458" s="653"/>
      <c r="CU458" s="653"/>
      <c r="CV458" s="653"/>
      <c r="CW458" s="653"/>
      <c r="CX458" s="653"/>
      <c r="CY458" s="653"/>
      <c r="CZ458" s="653"/>
      <c r="DA458" s="653"/>
      <c r="DB458" s="653"/>
      <c r="DC458" s="653"/>
      <c r="DD458" s="653"/>
      <c r="DE458" s="653"/>
      <c r="DF458" s="653"/>
      <c r="DG458" s="653"/>
      <c r="DH458" s="653"/>
      <c r="DI458" s="653"/>
      <c r="DJ458" s="653"/>
      <c r="DK458" s="653"/>
      <c r="DL458" s="653"/>
      <c r="DM458" s="653"/>
      <c r="DN458" s="653"/>
      <c r="DO458" s="653"/>
      <c r="DP458" s="653"/>
      <c r="DQ458" s="653"/>
      <c r="DR458" s="653"/>
      <c r="DS458" s="653"/>
      <c r="DT458" s="653"/>
      <c r="DU458" s="653"/>
      <c r="DV458" s="653"/>
      <c r="DW458" s="653"/>
      <c r="DX458" s="653"/>
      <c r="DY458" s="653"/>
      <c r="DZ458" s="653"/>
      <c r="EA458" s="653"/>
      <c r="EB458" s="653"/>
      <c r="EC458" s="653"/>
      <c r="ED458" s="653"/>
      <c r="EE458" s="648"/>
      <c r="EF458" s="651"/>
      <c r="EG458" s="651"/>
      <c r="EH458" s="651"/>
      <c r="EI458" s="216"/>
      <c r="EJ458" s="662"/>
      <c r="EK458" s="662"/>
      <c r="EL458" s="662"/>
      <c r="EM458" s="662"/>
      <c r="EN458" s="662"/>
      <c r="EO458" s="662"/>
      <c r="EP458" s="662"/>
      <c r="EQ458" s="662"/>
      <c r="ER458" s="662"/>
      <c r="ES458" s="662"/>
      <c r="ET458" s="662"/>
      <c r="EU458" s="662"/>
      <c r="EV458" s="662"/>
      <c r="EW458" s="662"/>
      <c r="EX458" s="662"/>
      <c r="EY458" s="662"/>
      <c r="EZ458" s="662"/>
      <c r="FA458" s="662"/>
      <c r="FB458" s="662"/>
      <c r="FC458" s="662"/>
      <c r="FD458" s="662"/>
      <c r="FE458" s="662"/>
      <c r="FF458" s="662"/>
      <c r="FG458" s="662"/>
      <c r="FH458" s="662"/>
      <c r="FI458" s="662"/>
      <c r="FJ458" s="662"/>
      <c r="FK458" s="662"/>
      <c r="FL458" s="662"/>
      <c r="FM458" s="662"/>
      <c r="FN458" s="662"/>
      <c r="FO458" s="662"/>
      <c r="FP458" s="662"/>
      <c r="FQ458" s="662"/>
      <c r="FR458" s="662"/>
      <c r="FS458" s="662"/>
      <c r="FT458" s="662"/>
      <c r="FU458" s="662"/>
      <c r="FV458" s="662"/>
      <c r="FW458" s="662"/>
      <c r="FX458" s="662"/>
      <c r="FY458" s="662"/>
      <c r="FZ458" s="662"/>
      <c r="GA458" s="662"/>
      <c r="GB458" s="662"/>
      <c r="GC458" s="662"/>
      <c r="GD458" s="662"/>
      <c r="GE458" s="662"/>
      <c r="GF458" s="662"/>
      <c r="GG458" s="662"/>
      <c r="GH458" s="662"/>
      <c r="GI458" s="662"/>
      <c r="GJ458" s="662"/>
      <c r="GK458" s="662"/>
      <c r="GL458" s="662"/>
      <c r="GM458" s="662"/>
      <c r="GN458" s="662"/>
      <c r="GO458" s="662"/>
      <c r="GP458" s="662"/>
      <c r="GQ458" s="662"/>
      <c r="GR458" s="662"/>
      <c r="GS458" s="662"/>
      <c r="GT458" s="662"/>
      <c r="GU458" s="662"/>
      <c r="GV458" s="662"/>
      <c r="GW458" s="662"/>
      <c r="GX458" s="662"/>
      <c r="GY458" s="662"/>
      <c r="GZ458" s="662"/>
      <c r="HA458" s="662"/>
      <c r="HB458" s="662"/>
      <c r="HC458" s="662"/>
      <c r="HD458" s="662"/>
      <c r="HE458" s="662"/>
      <c r="HF458" s="662"/>
      <c r="HG458" s="662"/>
      <c r="HH458" s="662"/>
      <c r="HI458" s="662"/>
      <c r="HJ458" s="662"/>
      <c r="HK458" s="662"/>
      <c r="HL458" s="662"/>
      <c r="HM458" s="662"/>
      <c r="HN458" s="662"/>
      <c r="HO458" s="662"/>
      <c r="HP458" s="662"/>
      <c r="HQ458" s="662"/>
      <c r="HR458" s="662"/>
      <c r="HS458" s="662"/>
      <c r="HT458" s="662"/>
      <c r="HU458" s="662"/>
      <c r="HV458" s="662"/>
      <c r="HW458" s="662"/>
      <c r="HX458" s="662"/>
      <c r="HY458" s="662"/>
      <c r="HZ458" s="662"/>
      <c r="IA458" s="662"/>
      <c r="IB458" s="662"/>
      <c r="IC458" s="662"/>
      <c r="ID458" s="662"/>
      <c r="IE458" s="662"/>
      <c r="IF458" s="662"/>
      <c r="IG458" s="662"/>
      <c r="IH458" s="662"/>
      <c r="II458" s="662"/>
      <c r="IJ458" s="662"/>
      <c r="IK458" s="662"/>
      <c r="IL458" s="662"/>
      <c r="IM458" s="662"/>
      <c r="IN458" s="662"/>
      <c r="IO458" s="662"/>
      <c r="IP458" s="662"/>
      <c r="IQ458" s="653"/>
    </row>
    <row r="459" spans="18:251" ht="16.5" hidden="1" customHeight="1">
      <c r="R459" s="648"/>
      <c r="S459" s="648"/>
      <c r="T459" s="648"/>
      <c r="U459" s="653"/>
      <c r="V459" s="649"/>
      <c r="W459" s="653"/>
      <c r="X459" s="653"/>
      <c r="Y459" s="653"/>
      <c r="Z459" s="653"/>
      <c r="AA459" s="653"/>
      <c r="AB459" s="653"/>
      <c r="AC459" s="653"/>
      <c r="AD459" s="653"/>
      <c r="AE459" s="653"/>
      <c r="AF459" s="653"/>
      <c r="AG459" s="653"/>
      <c r="AH459" s="653"/>
      <c r="AI459" s="653"/>
      <c r="AJ459" s="653"/>
      <c r="AK459" s="653"/>
      <c r="AL459" s="653"/>
      <c r="AM459" s="653"/>
      <c r="AN459" s="653"/>
      <c r="AO459" s="653"/>
      <c r="AP459" s="653"/>
      <c r="AQ459" s="653"/>
      <c r="AR459" s="653"/>
      <c r="AS459" s="653"/>
      <c r="AT459" s="653"/>
      <c r="AU459" s="653"/>
      <c r="AV459" s="653"/>
      <c r="AW459" s="653"/>
      <c r="AX459" s="653"/>
      <c r="AY459" s="653"/>
      <c r="AZ459" s="653"/>
      <c r="BA459" s="653"/>
      <c r="BB459" s="653"/>
      <c r="BC459" s="653"/>
      <c r="BD459" s="653"/>
      <c r="BE459" s="653"/>
      <c r="BF459" s="653"/>
      <c r="BG459" s="653"/>
      <c r="BH459" s="653"/>
      <c r="BI459" s="653"/>
      <c r="BJ459" s="653"/>
      <c r="BK459" s="653"/>
      <c r="BL459" s="653"/>
      <c r="BM459" s="653"/>
      <c r="BN459" s="653"/>
      <c r="BO459" s="653"/>
      <c r="BP459" s="653"/>
      <c r="BQ459" s="653"/>
      <c r="BR459" s="653"/>
      <c r="BS459" s="653"/>
      <c r="BT459" s="653"/>
      <c r="BU459" s="653"/>
      <c r="BV459" s="653"/>
      <c r="BW459" s="653"/>
      <c r="BX459" s="653"/>
      <c r="BY459" s="653"/>
      <c r="BZ459" s="653"/>
      <c r="CA459" s="653"/>
      <c r="CB459" s="653"/>
      <c r="CC459" s="653"/>
      <c r="CD459" s="653"/>
      <c r="CE459" s="653"/>
      <c r="CF459" s="653"/>
      <c r="CG459" s="653"/>
      <c r="CH459" s="653"/>
      <c r="CI459" s="653"/>
      <c r="CJ459" s="653"/>
      <c r="CK459" s="653"/>
      <c r="CL459" s="653"/>
      <c r="CM459" s="653"/>
      <c r="CN459" s="653"/>
      <c r="CO459" s="653"/>
      <c r="CP459" s="653"/>
      <c r="CQ459" s="653"/>
      <c r="CR459" s="653"/>
      <c r="CS459" s="653"/>
      <c r="CT459" s="653"/>
      <c r="CU459" s="653"/>
      <c r="CV459" s="653"/>
      <c r="CW459" s="653"/>
      <c r="CX459" s="653"/>
      <c r="CY459" s="653"/>
      <c r="CZ459" s="653"/>
      <c r="DA459" s="653"/>
      <c r="DB459" s="653"/>
      <c r="DC459" s="653"/>
      <c r="DD459" s="653"/>
      <c r="DE459" s="653"/>
      <c r="DF459" s="653"/>
      <c r="DG459" s="653"/>
      <c r="DH459" s="653"/>
      <c r="DI459" s="653"/>
      <c r="DJ459" s="653"/>
      <c r="DK459" s="653"/>
      <c r="DL459" s="653"/>
      <c r="DM459" s="653"/>
      <c r="DN459" s="653"/>
      <c r="DO459" s="653"/>
      <c r="DP459" s="653"/>
      <c r="DQ459" s="653"/>
      <c r="DR459" s="653"/>
      <c r="DS459" s="653"/>
      <c r="DT459" s="653"/>
      <c r="DU459" s="653"/>
      <c r="DV459" s="653"/>
      <c r="DW459" s="653"/>
      <c r="DX459" s="653"/>
      <c r="DY459" s="653"/>
      <c r="DZ459" s="653"/>
      <c r="EA459" s="653"/>
      <c r="EB459" s="653"/>
      <c r="EC459" s="653"/>
      <c r="ED459" s="653"/>
      <c r="EE459" s="648"/>
      <c r="EF459" s="651"/>
      <c r="EG459" s="651"/>
      <c r="EH459" s="651"/>
      <c r="EI459" s="216"/>
      <c r="EJ459" s="662"/>
      <c r="EK459" s="662"/>
      <c r="EL459" s="662"/>
      <c r="EM459" s="662"/>
      <c r="EN459" s="662"/>
      <c r="EO459" s="662"/>
      <c r="EP459" s="662"/>
      <c r="EQ459" s="662"/>
      <c r="ER459" s="662"/>
      <c r="ES459" s="662"/>
      <c r="ET459" s="662"/>
      <c r="EU459" s="662"/>
      <c r="EV459" s="662"/>
      <c r="EW459" s="662"/>
      <c r="EX459" s="662"/>
      <c r="EY459" s="662"/>
      <c r="EZ459" s="662"/>
      <c r="FA459" s="662"/>
      <c r="FB459" s="662"/>
      <c r="FC459" s="662"/>
      <c r="FD459" s="662"/>
      <c r="FE459" s="662"/>
      <c r="FF459" s="662"/>
      <c r="FG459" s="662"/>
      <c r="FH459" s="662"/>
      <c r="FI459" s="662"/>
      <c r="FJ459" s="662"/>
      <c r="FK459" s="662"/>
      <c r="FL459" s="662"/>
      <c r="FM459" s="662"/>
      <c r="FN459" s="662"/>
      <c r="FO459" s="662"/>
      <c r="FP459" s="662"/>
      <c r="FQ459" s="662"/>
      <c r="FR459" s="662"/>
      <c r="FS459" s="662"/>
      <c r="FT459" s="662"/>
      <c r="FU459" s="662"/>
      <c r="FV459" s="662"/>
      <c r="FW459" s="662"/>
      <c r="FX459" s="662"/>
      <c r="FY459" s="662"/>
      <c r="FZ459" s="662"/>
      <c r="GA459" s="662"/>
      <c r="GB459" s="662"/>
      <c r="GC459" s="662"/>
      <c r="GD459" s="662"/>
      <c r="GE459" s="662"/>
      <c r="GF459" s="662"/>
      <c r="GG459" s="662"/>
      <c r="GH459" s="662"/>
      <c r="GI459" s="662"/>
      <c r="GJ459" s="662"/>
      <c r="GK459" s="662"/>
      <c r="GL459" s="662"/>
      <c r="GM459" s="662"/>
      <c r="GN459" s="662"/>
      <c r="GO459" s="662"/>
      <c r="GP459" s="662"/>
      <c r="GQ459" s="662"/>
      <c r="GR459" s="662"/>
      <c r="GS459" s="662"/>
      <c r="GT459" s="662"/>
      <c r="GU459" s="662"/>
      <c r="GV459" s="662"/>
      <c r="GW459" s="662"/>
      <c r="GX459" s="662"/>
      <c r="GY459" s="662"/>
      <c r="GZ459" s="662"/>
      <c r="HA459" s="662"/>
      <c r="HB459" s="662"/>
      <c r="HC459" s="662"/>
      <c r="HD459" s="662"/>
      <c r="HE459" s="662"/>
      <c r="HF459" s="662"/>
      <c r="HG459" s="662"/>
      <c r="HH459" s="662"/>
      <c r="HI459" s="662"/>
      <c r="HJ459" s="662"/>
      <c r="HK459" s="662"/>
      <c r="HL459" s="662"/>
      <c r="HM459" s="662"/>
      <c r="HN459" s="662"/>
      <c r="HO459" s="662"/>
      <c r="HP459" s="662"/>
      <c r="HQ459" s="662"/>
      <c r="HR459" s="662"/>
      <c r="HS459" s="662"/>
      <c r="HT459" s="662"/>
      <c r="HU459" s="662"/>
      <c r="HV459" s="662"/>
      <c r="HW459" s="662"/>
      <c r="HX459" s="662"/>
      <c r="HY459" s="662"/>
      <c r="HZ459" s="662"/>
      <c r="IA459" s="662"/>
      <c r="IB459" s="662"/>
      <c r="IC459" s="662"/>
      <c r="ID459" s="662"/>
      <c r="IE459" s="662"/>
      <c r="IF459" s="662"/>
      <c r="IG459" s="662"/>
      <c r="IH459" s="662"/>
      <c r="II459" s="662"/>
      <c r="IJ459" s="662"/>
      <c r="IK459" s="662"/>
      <c r="IL459" s="662"/>
      <c r="IM459" s="662"/>
      <c r="IN459" s="662"/>
      <c r="IO459" s="662"/>
      <c r="IP459" s="662"/>
      <c r="IQ459" s="653"/>
    </row>
    <row r="460" spans="18:251" ht="16.5" hidden="1" customHeight="1">
      <c r="R460" s="648"/>
      <c r="S460" s="648"/>
      <c r="T460" s="648"/>
      <c r="U460" s="653"/>
      <c r="V460" s="649"/>
      <c r="W460" s="653"/>
      <c r="X460" s="653"/>
      <c r="Y460" s="653"/>
      <c r="Z460" s="653"/>
      <c r="AA460" s="653"/>
      <c r="AB460" s="653"/>
      <c r="AC460" s="653"/>
      <c r="AD460" s="653"/>
      <c r="AE460" s="653"/>
      <c r="AF460" s="653"/>
      <c r="AG460" s="653"/>
      <c r="AH460" s="653"/>
      <c r="AI460" s="653"/>
      <c r="AJ460" s="653"/>
      <c r="AK460" s="653"/>
      <c r="AL460" s="653"/>
      <c r="AM460" s="653"/>
      <c r="AN460" s="653"/>
      <c r="AO460" s="653"/>
      <c r="AP460" s="653"/>
      <c r="AQ460" s="653"/>
      <c r="AR460" s="653"/>
      <c r="AS460" s="653"/>
      <c r="AT460" s="653"/>
      <c r="AU460" s="653"/>
      <c r="AV460" s="653"/>
      <c r="AW460" s="653"/>
      <c r="AX460" s="653"/>
      <c r="AY460" s="653"/>
      <c r="AZ460" s="653"/>
      <c r="BA460" s="653"/>
      <c r="BB460" s="653"/>
      <c r="BC460" s="653"/>
      <c r="BD460" s="653"/>
      <c r="BE460" s="653"/>
      <c r="BF460" s="653"/>
      <c r="BG460" s="653"/>
      <c r="BH460" s="653"/>
      <c r="BI460" s="653"/>
      <c r="BJ460" s="653"/>
      <c r="BK460" s="653"/>
      <c r="BL460" s="653"/>
      <c r="BM460" s="653"/>
      <c r="BN460" s="653"/>
      <c r="BO460" s="653"/>
      <c r="BP460" s="653"/>
      <c r="BQ460" s="653"/>
      <c r="BR460" s="653"/>
      <c r="BS460" s="653"/>
      <c r="BT460" s="653"/>
      <c r="BU460" s="653"/>
      <c r="BV460" s="653"/>
      <c r="BW460" s="653"/>
      <c r="BX460" s="653"/>
      <c r="BY460" s="653"/>
      <c r="BZ460" s="653"/>
      <c r="CA460" s="653"/>
      <c r="CB460" s="653"/>
      <c r="CC460" s="653"/>
      <c r="CD460" s="653"/>
      <c r="CE460" s="653"/>
      <c r="CF460" s="653"/>
      <c r="CG460" s="653"/>
      <c r="CH460" s="653"/>
      <c r="CI460" s="653"/>
      <c r="CJ460" s="653"/>
      <c r="CK460" s="653"/>
      <c r="CL460" s="653"/>
      <c r="CM460" s="653"/>
      <c r="CN460" s="653"/>
      <c r="CO460" s="653"/>
      <c r="CP460" s="653"/>
      <c r="CQ460" s="653"/>
      <c r="CR460" s="653"/>
      <c r="CS460" s="653"/>
      <c r="CT460" s="653"/>
      <c r="CU460" s="653"/>
      <c r="CV460" s="653"/>
      <c r="CW460" s="653"/>
      <c r="CX460" s="653"/>
      <c r="CY460" s="653"/>
      <c r="CZ460" s="653"/>
      <c r="DA460" s="653"/>
      <c r="DB460" s="653"/>
      <c r="DC460" s="653"/>
      <c r="DD460" s="653"/>
      <c r="DE460" s="653"/>
      <c r="DF460" s="653"/>
      <c r="DG460" s="653"/>
      <c r="DH460" s="653"/>
      <c r="DI460" s="653"/>
      <c r="DJ460" s="653"/>
      <c r="DK460" s="653"/>
      <c r="DL460" s="653"/>
      <c r="DM460" s="653"/>
      <c r="DN460" s="653"/>
      <c r="DO460" s="653"/>
      <c r="DP460" s="653"/>
      <c r="DQ460" s="653"/>
      <c r="DR460" s="653"/>
      <c r="DS460" s="653"/>
      <c r="DT460" s="653"/>
      <c r="DU460" s="653"/>
      <c r="DV460" s="653"/>
      <c r="DW460" s="653"/>
      <c r="DX460" s="653"/>
      <c r="DY460" s="653"/>
      <c r="DZ460" s="653"/>
      <c r="EA460" s="653"/>
      <c r="EB460" s="653"/>
      <c r="EC460" s="653"/>
      <c r="ED460" s="653"/>
      <c r="EE460" s="648"/>
      <c r="EF460" s="651"/>
      <c r="EG460" s="651"/>
      <c r="EH460" s="651"/>
      <c r="EI460" s="216"/>
      <c r="EJ460" s="662"/>
      <c r="EK460" s="662"/>
      <c r="EL460" s="662"/>
      <c r="EM460" s="662"/>
      <c r="EN460" s="662"/>
      <c r="EO460" s="662"/>
      <c r="EP460" s="662"/>
      <c r="EQ460" s="662"/>
      <c r="ER460" s="662"/>
      <c r="ES460" s="662"/>
      <c r="ET460" s="662"/>
      <c r="EU460" s="662"/>
      <c r="EV460" s="662"/>
      <c r="EW460" s="662"/>
      <c r="EX460" s="662"/>
      <c r="EY460" s="662"/>
      <c r="EZ460" s="662"/>
      <c r="FA460" s="662"/>
      <c r="FB460" s="662"/>
      <c r="FC460" s="662"/>
      <c r="FD460" s="662"/>
      <c r="FE460" s="662"/>
      <c r="FF460" s="662"/>
      <c r="FG460" s="662"/>
      <c r="FH460" s="662"/>
      <c r="FI460" s="662"/>
      <c r="FJ460" s="662"/>
      <c r="FK460" s="662"/>
      <c r="FL460" s="662"/>
      <c r="FM460" s="662"/>
      <c r="FN460" s="662"/>
      <c r="FO460" s="662"/>
      <c r="FP460" s="662"/>
      <c r="FQ460" s="662"/>
      <c r="FR460" s="662"/>
      <c r="FS460" s="662"/>
      <c r="FT460" s="662"/>
      <c r="FU460" s="662"/>
      <c r="FV460" s="662"/>
      <c r="FW460" s="662"/>
      <c r="FX460" s="662"/>
      <c r="FY460" s="662"/>
      <c r="FZ460" s="662"/>
      <c r="GA460" s="662"/>
      <c r="GB460" s="662"/>
      <c r="GC460" s="662"/>
      <c r="GD460" s="662"/>
      <c r="GE460" s="662"/>
      <c r="GF460" s="662"/>
      <c r="GG460" s="662"/>
      <c r="GH460" s="662"/>
      <c r="GI460" s="662"/>
      <c r="GJ460" s="662"/>
      <c r="GK460" s="662"/>
      <c r="GL460" s="662"/>
      <c r="GM460" s="662"/>
      <c r="GN460" s="662"/>
      <c r="GO460" s="662"/>
      <c r="GP460" s="662"/>
      <c r="GQ460" s="662"/>
      <c r="GR460" s="662"/>
      <c r="GS460" s="662"/>
      <c r="GT460" s="662"/>
      <c r="GU460" s="662"/>
      <c r="GV460" s="662"/>
      <c r="GW460" s="662"/>
      <c r="GX460" s="662"/>
      <c r="GY460" s="662"/>
      <c r="GZ460" s="662"/>
      <c r="HA460" s="662"/>
      <c r="HB460" s="662"/>
      <c r="HC460" s="662"/>
      <c r="HD460" s="662"/>
      <c r="HE460" s="662"/>
      <c r="HF460" s="662"/>
      <c r="HG460" s="662"/>
      <c r="HH460" s="662"/>
      <c r="HI460" s="662"/>
      <c r="HJ460" s="662"/>
      <c r="HK460" s="662"/>
      <c r="HL460" s="662"/>
      <c r="HM460" s="662"/>
      <c r="HN460" s="662"/>
      <c r="HO460" s="662"/>
      <c r="HP460" s="662"/>
      <c r="HQ460" s="662"/>
      <c r="HR460" s="662"/>
      <c r="HS460" s="662"/>
      <c r="HT460" s="662"/>
      <c r="HU460" s="662"/>
      <c r="HV460" s="662"/>
      <c r="HW460" s="662"/>
      <c r="HX460" s="662"/>
      <c r="HY460" s="662"/>
      <c r="HZ460" s="662"/>
      <c r="IA460" s="662"/>
      <c r="IB460" s="662"/>
      <c r="IC460" s="662"/>
      <c r="ID460" s="662"/>
      <c r="IE460" s="662"/>
      <c r="IF460" s="662"/>
      <c r="IG460" s="662"/>
      <c r="IH460" s="662"/>
      <c r="II460" s="662"/>
      <c r="IJ460" s="662"/>
      <c r="IK460" s="662"/>
      <c r="IL460" s="662"/>
      <c r="IM460" s="662"/>
      <c r="IN460" s="662"/>
      <c r="IO460" s="662"/>
      <c r="IP460" s="662"/>
      <c r="IQ460" s="653"/>
    </row>
    <row r="461" spans="18:251" ht="16.5" hidden="1" customHeight="1">
      <c r="R461" s="648"/>
      <c r="S461" s="648"/>
      <c r="T461" s="648"/>
      <c r="U461" s="653"/>
      <c r="V461" s="649"/>
      <c r="W461" s="653"/>
      <c r="X461" s="653"/>
      <c r="Y461" s="653"/>
      <c r="Z461" s="653"/>
      <c r="AA461" s="653"/>
      <c r="AB461" s="653"/>
      <c r="AC461" s="653"/>
      <c r="AD461" s="653"/>
      <c r="AE461" s="653"/>
      <c r="AF461" s="653"/>
      <c r="AG461" s="653"/>
      <c r="AH461" s="653"/>
      <c r="AI461" s="653"/>
      <c r="AJ461" s="653"/>
      <c r="AK461" s="653"/>
      <c r="AL461" s="653"/>
      <c r="AM461" s="653"/>
      <c r="AN461" s="653"/>
      <c r="AO461" s="653"/>
      <c r="AP461" s="653"/>
      <c r="AQ461" s="653"/>
      <c r="AR461" s="653"/>
      <c r="AS461" s="653"/>
      <c r="AT461" s="653"/>
      <c r="AU461" s="653"/>
      <c r="AV461" s="653"/>
      <c r="AW461" s="653"/>
      <c r="AX461" s="653"/>
      <c r="AY461" s="653"/>
      <c r="AZ461" s="653"/>
      <c r="BA461" s="653"/>
      <c r="BB461" s="653"/>
      <c r="BC461" s="653"/>
      <c r="BD461" s="653"/>
      <c r="BE461" s="653"/>
      <c r="BF461" s="653"/>
      <c r="BG461" s="653"/>
      <c r="BH461" s="653"/>
      <c r="BI461" s="653"/>
      <c r="BJ461" s="653"/>
      <c r="BK461" s="653"/>
      <c r="BL461" s="653"/>
      <c r="BM461" s="653"/>
      <c r="BN461" s="653"/>
      <c r="BO461" s="653"/>
      <c r="BP461" s="653"/>
      <c r="BQ461" s="653"/>
      <c r="BR461" s="653"/>
      <c r="BS461" s="653"/>
      <c r="BT461" s="653"/>
      <c r="BU461" s="653"/>
      <c r="BV461" s="653"/>
      <c r="BW461" s="653"/>
      <c r="BX461" s="653"/>
      <c r="BY461" s="653"/>
      <c r="BZ461" s="653"/>
      <c r="CA461" s="653"/>
      <c r="CB461" s="653"/>
      <c r="CC461" s="653"/>
      <c r="CD461" s="653"/>
      <c r="CE461" s="653"/>
      <c r="CF461" s="653"/>
      <c r="CG461" s="653"/>
      <c r="CH461" s="653"/>
      <c r="CI461" s="653"/>
      <c r="CJ461" s="653"/>
      <c r="CK461" s="653"/>
      <c r="CL461" s="653"/>
      <c r="CM461" s="653"/>
      <c r="CN461" s="653"/>
      <c r="CO461" s="653"/>
      <c r="CP461" s="653"/>
      <c r="CQ461" s="653"/>
      <c r="CR461" s="653"/>
      <c r="CS461" s="653"/>
      <c r="CT461" s="653"/>
      <c r="CU461" s="653"/>
      <c r="CV461" s="653"/>
      <c r="CW461" s="653"/>
      <c r="CX461" s="653"/>
      <c r="CY461" s="653"/>
      <c r="CZ461" s="653"/>
      <c r="DA461" s="653"/>
      <c r="DB461" s="653"/>
      <c r="DC461" s="653"/>
      <c r="DD461" s="653"/>
      <c r="DE461" s="653"/>
      <c r="DF461" s="653"/>
      <c r="DG461" s="653"/>
      <c r="DH461" s="653"/>
      <c r="DI461" s="653"/>
      <c r="DJ461" s="653"/>
      <c r="DK461" s="653"/>
      <c r="DL461" s="653"/>
      <c r="DM461" s="653"/>
      <c r="DN461" s="653"/>
      <c r="DO461" s="653"/>
      <c r="DP461" s="653"/>
      <c r="DQ461" s="653"/>
      <c r="DR461" s="653"/>
      <c r="DS461" s="653"/>
      <c r="DT461" s="653"/>
      <c r="DU461" s="653"/>
      <c r="DV461" s="653"/>
      <c r="DW461" s="653"/>
      <c r="DX461" s="653"/>
      <c r="DY461" s="653"/>
      <c r="DZ461" s="653"/>
      <c r="EA461" s="653"/>
      <c r="EB461" s="653"/>
      <c r="EC461" s="653"/>
      <c r="ED461" s="653"/>
      <c r="EE461" s="648"/>
      <c r="EF461" s="651"/>
      <c r="EG461" s="651"/>
      <c r="EH461" s="651"/>
      <c r="EI461" s="216"/>
      <c r="EJ461" s="662"/>
      <c r="EK461" s="662"/>
      <c r="EL461" s="662"/>
      <c r="EM461" s="662"/>
      <c r="EN461" s="662"/>
      <c r="EO461" s="662"/>
      <c r="EP461" s="662"/>
      <c r="EQ461" s="662"/>
      <c r="ER461" s="662"/>
      <c r="ES461" s="662"/>
      <c r="ET461" s="662"/>
      <c r="EU461" s="662"/>
      <c r="EV461" s="662"/>
      <c r="EW461" s="662"/>
      <c r="EX461" s="662"/>
      <c r="EY461" s="662"/>
      <c r="EZ461" s="662"/>
      <c r="FA461" s="662"/>
      <c r="FB461" s="662"/>
      <c r="FC461" s="662"/>
      <c r="FD461" s="662"/>
      <c r="FE461" s="662"/>
      <c r="FF461" s="662"/>
      <c r="FG461" s="662"/>
      <c r="FH461" s="662"/>
      <c r="FI461" s="662"/>
      <c r="FJ461" s="662"/>
      <c r="FK461" s="662"/>
      <c r="FL461" s="662"/>
      <c r="FM461" s="662"/>
      <c r="FN461" s="662"/>
      <c r="FO461" s="662"/>
      <c r="FP461" s="662"/>
      <c r="FQ461" s="662"/>
      <c r="FR461" s="662"/>
      <c r="FS461" s="662"/>
      <c r="FT461" s="662"/>
      <c r="FU461" s="662"/>
      <c r="FV461" s="662"/>
      <c r="FW461" s="662"/>
      <c r="FX461" s="662"/>
      <c r="FY461" s="662"/>
      <c r="FZ461" s="662"/>
      <c r="GA461" s="662"/>
      <c r="GB461" s="662"/>
      <c r="GC461" s="662"/>
      <c r="GD461" s="662"/>
      <c r="GE461" s="662"/>
      <c r="GF461" s="662"/>
      <c r="GG461" s="662"/>
      <c r="GH461" s="662"/>
      <c r="GI461" s="662"/>
      <c r="GJ461" s="662"/>
      <c r="GK461" s="662"/>
      <c r="GL461" s="662"/>
      <c r="GM461" s="662"/>
      <c r="GN461" s="662"/>
      <c r="GO461" s="662"/>
      <c r="GP461" s="662"/>
      <c r="GQ461" s="662"/>
      <c r="GR461" s="662"/>
      <c r="GS461" s="662"/>
      <c r="GT461" s="662"/>
      <c r="GU461" s="662"/>
      <c r="GV461" s="662"/>
      <c r="GW461" s="662"/>
      <c r="GX461" s="662"/>
      <c r="GY461" s="662"/>
      <c r="GZ461" s="662"/>
      <c r="HA461" s="662"/>
      <c r="HB461" s="662"/>
      <c r="HC461" s="662"/>
      <c r="HD461" s="662"/>
      <c r="HE461" s="662"/>
      <c r="HF461" s="662"/>
      <c r="HG461" s="662"/>
      <c r="HH461" s="662"/>
      <c r="HI461" s="662"/>
      <c r="HJ461" s="662"/>
      <c r="HK461" s="662"/>
      <c r="HL461" s="662"/>
      <c r="HM461" s="662"/>
      <c r="HN461" s="662"/>
      <c r="HO461" s="662"/>
      <c r="HP461" s="662"/>
      <c r="HQ461" s="662"/>
      <c r="HR461" s="662"/>
      <c r="HS461" s="662"/>
      <c r="HT461" s="662"/>
      <c r="HU461" s="662"/>
      <c r="HV461" s="662"/>
      <c r="HW461" s="662"/>
      <c r="HX461" s="662"/>
      <c r="HY461" s="662"/>
      <c r="HZ461" s="662"/>
      <c r="IA461" s="662"/>
      <c r="IB461" s="662"/>
      <c r="IC461" s="662"/>
      <c r="ID461" s="662"/>
      <c r="IE461" s="662"/>
      <c r="IF461" s="662"/>
      <c r="IG461" s="662"/>
      <c r="IH461" s="662"/>
      <c r="II461" s="662"/>
      <c r="IJ461" s="662"/>
      <c r="IK461" s="662"/>
      <c r="IL461" s="662"/>
      <c r="IM461" s="662"/>
      <c r="IN461" s="662"/>
      <c r="IO461" s="662"/>
      <c r="IP461" s="662"/>
      <c r="IQ461" s="653"/>
    </row>
    <row r="462" spans="18:251" ht="16.5" hidden="1" customHeight="1">
      <c r="R462" s="648"/>
      <c r="S462" s="648"/>
      <c r="T462" s="648"/>
      <c r="U462" s="653"/>
      <c r="V462" s="649"/>
      <c r="W462" s="653"/>
      <c r="X462" s="653"/>
      <c r="Y462" s="653"/>
      <c r="Z462" s="653"/>
      <c r="AA462" s="653"/>
      <c r="AB462" s="653"/>
      <c r="AC462" s="653"/>
      <c r="AD462" s="653"/>
      <c r="AE462" s="653"/>
      <c r="AF462" s="653"/>
      <c r="AG462" s="653"/>
      <c r="AH462" s="653"/>
      <c r="AI462" s="653"/>
      <c r="AJ462" s="653"/>
      <c r="AK462" s="653"/>
      <c r="AL462" s="653"/>
      <c r="AM462" s="653"/>
      <c r="AN462" s="653"/>
      <c r="AO462" s="653"/>
      <c r="AP462" s="653"/>
      <c r="AQ462" s="653"/>
      <c r="AR462" s="653"/>
      <c r="AS462" s="653"/>
      <c r="AT462" s="653"/>
      <c r="AU462" s="653"/>
      <c r="AV462" s="653"/>
      <c r="AW462" s="653"/>
      <c r="AX462" s="653"/>
      <c r="AY462" s="653"/>
      <c r="AZ462" s="653"/>
      <c r="BA462" s="653"/>
      <c r="BB462" s="653"/>
      <c r="BC462" s="653"/>
      <c r="BD462" s="653"/>
      <c r="BE462" s="653"/>
      <c r="BF462" s="653"/>
      <c r="BG462" s="653"/>
      <c r="BH462" s="653"/>
      <c r="BI462" s="653"/>
      <c r="BJ462" s="653"/>
      <c r="BK462" s="653"/>
      <c r="BL462" s="653"/>
      <c r="BM462" s="653"/>
      <c r="BN462" s="653"/>
      <c r="BO462" s="653"/>
      <c r="BP462" s="653"/>
      <c r="BQ462" s="653"/>
      <c r="BR462" s="653"/>
      <c r="BS462" s="653"/>
      <c r="BT462" s="653"/>
      <c r="BU462" s="653"/>
      <c r="BV462" s="653"/>
      <c r="BW462" s="653"/>
      <c r="BX462" s="653"/>
      <c r="BY462" s="653"/>
      <c r="BZ462" s="653"/>
      <c r="CA462" s="653"/>
      <c r="CB462" s="653"/>
      <c r="CC462" s="653"/>
      <c r="CD462" s="653"/>
      <c r="CE462" s="653"/>
      <c r="CF462" s="653"/>
      <c r="CG462" s="653"/>
      <c r="CH462" s="653"/>
      <c r="CI462" s="653"/>
      <c r="CJ462" s="653"/>
      <c r="CK462" s="653"/>
      <c r="CL462" s="653"/>
      <c r="CM462" s="653"/>
      <c r="CN462" s="653"/>
      <c r="CO462" s="653"/>
      <c r="CP462" s="653"/>
      <c r="CQ462" s="653"/>
      <c r="CR462" s="653"/>
      <c r="CS462" s="653"/>
      <c r="CT462" s="653"/>
      <c r="CU462" s="653"/>
      <c r="CV462" s="653"/>
      <c r="CW462" s="653"/>
      <c r="CX462" s="653"/>
      <c r="CY462" s="653"/>
      <c r="CZ462" s="653"/>
      <c r="DA462" s="653"/>
      <c r="DB462" s="653"/>
      <c r="DC462" s="653"/>
      <c r="DD462" s="653"/>
      <c r="DE462" s="653"/>
      <c r="DF462" s="653"/>
      <c r="DG462" s="653"/>
      <c r="DH462" s="653"/>
      <c r="DI462" s="653"/>
      <c r="DJ462" s="653"/>
      <c r="DK462" s="653"/>
      <c r="DL462" s="653"/>
      <c r="DM462" s="653"/>
      <c r="DN462" s="653"/>
      <c r="DO462" s="653"/>
      <c r="DP462" s="653"/>
      <c r="DQ462" s="653"/>
      <c r="DR462" s="653"/>
      <c r="DS462" s="653"/>
      <c r="DT462" s="653"/>
      <c r="DU462" s="653"/>
      <c r="DV462" s="653"/>
      <c r="DW462" s="653"/>
      <c r="DX462" s="653"/>
      <c r="DY462" s="653"/>
      <c r="DZ462" s="653"/>
      <c r="EA462" s="653"/>
      <c r="EB462" s="653"/>
      <c r="EC462" s="653"/>
      <c r="ED462" s="653"/>
      <c r="EE462" s="648"/>
      <c r="EF462" s="651"/>
      <c r="EG462" s="651"/>
      <c r="EH462" s="651"/>
      <c r="EI462" s="216"/>
      <c r="EJ462" s="662"/>
      <c r="EK462" s="662"/>
      <c r="EL462" s="662"/>
      <c r="EM462" s="662"/>
      <c r="EN462" s="662"/>
      <c r="EO462" s="662"/>
      <c r="EP462" s="662"/>
      <c r="EQ462" s="662"/>
      <c r="ER462" s="662"/>
      <c r="ES462" s="662"/>
      <c r="ET462" s="662"/>
      <c r="EU462" s="662"/>
      <c r="EV462" s="662"/>
      <c r="EW462" s="662"/>
      <c r="EX462" s="662"/>
      <c r="EY462" s="662"/>
      <c r="EZ462" s="662"/>
      <c r="FA462" s="662"/>
      <c r="FB462" s="662"/>
      <c r="FC462" s="662"/>
      <c r="FD462" s="662"/>
      <c r="FE462" s="662"/>
      <c r="FF462" s="662"/>
      <c r="FG462" s="662"/>
      <c r="FH462" s="662"/>
      <c r="FI462" s="662"/>
      <c r="FJ462" s="662"/>
      <c r="FK462" s="662"/>
      <c r="FL462" s="662"/>
      <c r="FM462" s="662"/>
      <c r="FN462" s="662"/>
      <c r="FO462" s="662"/>
      <c r="FP462" s="662"/>
      <c r="FQ462" s="662"/>
      <c r="FR462" s="662"/>
      <c r="FS462" s="662"/>
      <c r="FT462" s="662"/>
      <c r="FU462" s="662"/>
      <c r="FV462" s="662"/>
      <c r="FW462" s="662"/>
      <c r="FX462" s="662"/>
      <c r="FY462" s="662"/>
      <c r="FZ462" s="662"/>
      <c r="GA462" s="662"/>
      <c r="GB462" s="662"/>
      <c r="GC462" s="662"/>
      <c r="GD462" s="662"/>
      <c r="GE462" s="662"/>
      <c r="GF462" s="662"/>
      <c r="GG462" s="662"/>
      <c r="GH462" s="662"/>
      <c r="GI462" s="662"/>
      <c r="GJ462" s="662"/>
      <c r="GK462" s="662"/>
      <c r="GL462" s="662"/>
      <c r="GM462" s="662"/>
      <c r="GN462" s="662"/>
      <c r="GO462" s="662"/>
      <c r="GP462" s="662"/>
      <c r="GQ462" s="662"/>
      <c r="GR462" s="662"/>
      <c r="GS462" s="662"/>
      <c r="GT462" s="662"/>
      <c r="GU462" s="662"/>
      <c r="GV462" s="662"/>
      <c r="GW462" s="662"/>
      <c r="GX462" s="662"/>
      <c r="GY462" s="662"/>
      <c r="GZ462" s="662"/>
      <c r="HA462" s="662"/>
      <c r="HB462" s="662"/>
      <c r="HC462" s="662"/>
      <c r="HD462" s="662"/>
      <c r="HE462" s="662"/>
      <c r="HF462" s="662"/>
      <c r="HG462" s="662"/>
      <c r="HH462" s="662"/>
      <c r="HI462" s="662"/>
      <c r="HJ462" s="662"/>
      <c r="HK462" s="662"/>
      <c r="HL462" s="662"/>
      <c r="HM462" s="662"/>
      <c r="HN462" s="662"/>
      <c r="HO462" s="662"/>
      <c r="HP462" s="662"/>
      <c r="HQ462" s="662"/>
      <c r="HR462" s="662"/>
      <c r="HS462" s="662"/>
      <c r="HT462" s="662"/>
      <c r="HU462" s="662"/>
      <c r="HV462" s="662"/>
      <c r="HW462" s="662"/>
      <c r="HX462" s="662"/>
      <c r="HY462" s="662"/>
      <c r="HZ462" s="662"/>
      <c r="IA462" s="662"/>
      <c r="IB462" s="662"/>
      <c r="IC462" s="662"/>
      <c r="ID462" s="662"/>
      <c r="IE462" s="662"/>
      <c r="IF462" s="662"/>
      <c r="IG462" s="662"/>
      <c r="IH462" s="662"/>
      <c r="II462" s="662"/>
      <c r="IJ462" s="662"/>
      <c r="IK462" s="662"/>
      <c r="IL462" s="662"/>
      <c r="IM462" s="662"/>
      <c r="IN462" s="662"/>
      <c r="IO462" s="662"/>
      <c r="IP462" s="662"/>
      <c r="IQ462" s="653"/>
    </row>
    <row r="463" spans="18:251" ht="16.5" hidden="1" customHeight="1">
      <c r="R463" s="648"/>
      <c r="S463" s="648"/>
      <c r="T463" s="648"/>
      <c r="U463" s="653"/>
      <c r="V463" s="649"/>
      <c r="W463" s="653"/>
      <c r="X463" s="653"/>
      <c r="Y463" s="653"/>
      <c r="Z463" s="653"/>
      <c r="AA463" s="653"/>
      <c r="AB463" s="653"/>
      <c r="AC463" s="653"/>
      <c r="AD463" s="653"/>
      <c r="AE463" s="653"/>
      <c r="AF463" s="653"/>
      <c r="AG463" s="653"/>
      <c r="AH463" s="653"/>
      <c r="AI463" s="653"/>
      <c r="AJ463" s="653"/>
      <c r="AK463" s="653"/>
      <c r="AL463" s="653"/>
      <c r="AM463" s="653"/>
      <c r="AN463" s="653"/>
      <c r="AO463" s="653"/>
      <c r="AP463" s="653"/>
      <c r="AQ463" s="653"/>
      <c r="AR463" s="653"/>
      <c r="AS463" s="653"/>
      <c r="AT463" s="653"/>
      <c r="AU463" s="653"/>
      <c r="AV463" s="653"/>
      <c r="AW463" s="653"/>
      <c r="AX463" s="653"/>
      <c r="AY463" s="653"/>
      <c r="AZ463" s="653"/>
      <c r="BA463" s="653"/>
      <c r="BB463" s="653"/>
      <c r="BC463" s="653"/>
      <c r="BD463" s="653"/>
      <c r="BE463" s="653"/>
      <c r="BF463" s="653"/>
      <c r="BG463" s="653"/>
      <c r="BH463" s="653"/>
      <c r="BI463" s="653"/>
      <c r="BJ463" s="653"/>
      <c r="BK463" s="653"/>
      <c r="BL463" s="653"/>
      <c r="BM463" s="653"/>
      <c r="BN463" s="653"/>
      <c r="BO463" s="653"/>
      <c r="BP463" s="653"/>
      <c r="BQ463" s="653"/>
      <c r="BR463" s="653"/>
      <c r="BS463" s="653"/>
      <c r="BT463" s="653"/>
      <c r="BU463" s="653"/>
      <c r="BV463" s="653"/>
      <c r="BW463" s="653"/>
      <c r="BX463" s="653"/>
      <c r="BY463" s="653"/>
      <c r="BZ463" s="653"/>
      <c r="CA463" s="653"/>
      <c r="CB463" s="653"/>
      <c r="CC463" s="653"/>
      <c r="CD463" s="653"/>
      <c r="CE463" s="653"/>
      <c r="CF463" s="653"/>
      <c r="CG463" s="653"/>
      <c r="CH463" s="653"/>
      <c r="CI463" s="653"/>
      <c r="CJ463" s="653"/>
      <c r="CK463" s="653"/>
      <c r="CL463" s="653"/>
      <c r="CM463" s="653"/>
      <c r="CN463" s="653"/>
      <c r="CO463" s="653"/>
      <c r="CP463" s="653"/>
      <c r="CQ463" s="653"/>
      <c r="CR463" s="653"/>
      <c r="CS463" s="653"/>
      <c r="CT463" s="653"/>
      <c r="CU463" s="653"/>
      <c r="CV463" s="653"/>
      <c r="CW463" s="653"/>
      <c r="CX463" s="653"/>
      <c r="CY463" s="653"/>
      <c r="CZ463" s="653"/>
      <c r="DA463" s="653"/>
      <c r="DB463" s="653"/>
      <c r="DC463" s="653"/>
      <c r="DD463" s="653"/>
      <c r="DE463" s="653"/>
      <c r="DF463" s="653"/>
      <c r="DG463" s="653"/>
      <c r="DH463" s="653"/>
      <c r="DI463" s="653"/>
      <c r="DJ463" s="653"/>
      <c r="DK463" s="653"/>
      <c r="DL463" s="653"/>
      <c r="DM463" s="653"/>
      <c r="DN463" s="653"/>
      <c r="DO463" s="653"/>
      <c r="DP463" s="653"/>
      <c r="DQ463" s="653"/>
      <c r="DR463" s="653"/>
      <c r="DS463" s="653"/>
      <c r="DT463" s="653"/>
      <c r="DU463" s="653"/>
      <c r="DV463" s="653"/>
      <c r="DW463" s="653"/>
      <c r="DX463" s="653"/>
      <c r="DY463" s="653"/>
      <c r="DZ463" s="653"/>
      <c r="EA463" s="653"/>
      <c r="EB463" s="653"/>
      <c r="EC463" s="653"/>
      <c r="ED463" s="653"/>
      <c r="EE463" s="648"/>
      <c r="EF463" s="651"/>
      <c r="EG463" s="651"/>
      <c r="EH463" s="651"/>
      <c r="EI463" s="216"/>
      <c r="EJ463" s="662"/>
      <c r="EK463" s="662"/>
      <c r="EL463" s="662"/>
      <c r="EM463" s="662"/>
      <c r="EN463" s="662"/>
      <c r="EO463" s="662"/>
      <c r="EP463" s="662"/>
      <c r="EQ463" s="662"/>
      <c r="ER463" s="662"/>
      <c r="ES463" s="662"/>
      <c r="ET463" s="662"/>
      <c r="EU463" s="662"/>
      <c r="EV463" s="662"/>
      <c r="EW463" s="662"/>
      <c r="EX463" s="662"/>
      <c r="EY463" s="662"/>
      <c r="EZ463" s="662"/>
      <c r="FA463" s="662"/>
      <c r="FB463" s="662"/>
      <c r="FC463" s="662"/>
      <c r="FD463" s="662"/>
      <c r="FE463" s="662"/>
      <c r="FF463" s="662"/>
      <c r="FG463" s="662"/>
      <c r="FH463" s="662"/>
      <c r="FI463" s="662"/>
      <c r="FJ463" s="662"/>
      <c r="FK463" s="662"/>
      <c r="FL463" s="662"/>
      <c r="FM463" s="662"/>
      <c r="FN463" s="662"/>
      <c r="FO463" s="662"/>
      <c r="FP463" s="662"/>
      <c r="FQ463" s="662"/>
      <c r="FR463" s="662"/>
      <c r="FS463" s="662"/>
      <c r="FT463" s="662"/>
      <c r="FU463" s="662"/>
      <c r="FV463" s="662"/>
      <c r="FW463" s="662"/>
      <c r="FX463" s="662"/>
      <c r="FY463" s="662"/>
      <c r="FZ463" s="662"/>
      <c r="GA463" s="662"/>
      <c r="GB463" s="662"/>
      <c r="GC463" s="662"/>
      <c r="GD463" s="662"/>
      <c r="GE463" s="662"/>
      <c r="GF463" s="662"/>
      <c r="GG463" s="662"/>
      <c r="GH463" s="662"/>
      <c r="GI463" s="662"/>
      <c r="GJ463" s="662"/>
      <c r="GK463" s="662"/>
      <c r="GL463" s="662"/>
      <c r="GM463" s="662"/>
      <c r="GN463" s="662"/>
      <c r="GO463" s="662"/>
      <c r="GP463" s="662"/>
      <c r="GQ463" s="662"/>
      <c r="GR463" s="662"/>
      <c r="GS463" s="662"/>
      <c r="GT463" s="662"/>
      <c r="GU463" s="662"/>
      <c r="GV463" s="662"/>
      <c r="GW463" s="662"/>
      <c r="GX463" s="662"/>
      <c r="GY463" s="662"/>
      <c r="GZ463" s="662"/>
      <c r="HA463" s="662"/>
      <c r="HB463" s="662"/>
      <c r="HC463" s="662"/>
      <c r="HD463" s="662"/>
      <c r="HE463" s="662"/>
      <c r="HF463" s="662"/>
      <c r="HG463" s="662"/>
      <c r="HH463" s="662"/>
      <c r="HI463" s="662"/>
      <c r="HJ463" s="662"/>
      <c r="HK463" s="662"/>
      <c r="HL463" s="662"/>
      <c r="HM463" s="662"/>
      <c r="HN463" s="662"/>
      <c r="HO463" s="662"/>
      <c r="HP463" s="662"/>
      <c r="HQ463" s="662"/>
      <c r="HR463" s="662"/>
      <c r="HS463" s="662"/>
      <c r="HT463" s="662"/>
      <c r="HU463" s="662"/>
      <c r="HV463" s="662"/>
      <c r="HW463" s="662"/>
      <c r="HX463" s="662"/>
      <c r="HY463" s="662"/>
      <c r="HZ463" s="662"/>
      <c r="IA463" s="662"/>
      <c r="IB463" s="662"/>
      <c r="IC463" s="662"/>
      <c r="ID463" s="662"/>
      <c r="IE463" s="662"/>
      <c r="IF463" s="662"/>
      <c r="IG463" s="662"/>
      <c r="IH463" s="662"/>
      <c r="II463" s="662"/>
      <c r="IJ463" s="662"/>
      <c r="IK463" s="662"/>
      <c r="IL463" s="662"/>
      <c r="IM463" s="662"/>
      <c r="IN463" s="662"/>
      <c r="IO463" s="662"/>
      <c r="IP463" s="662"/>
      <c r="IQ463" s="653"/>
    </row>
    <row r="464" spans="18:251" ht="16.5" hidden="1" customHeight="1">
      <c r="R464" s="648"/>
      <c r="S464" s="648"/>
      <c r="T464" s="648"/>
      <c r="U464" s="653"/>
      <c r="V464" s="649"/>
      <c r="W464" s="653"/>
      <c r="X464" s="653"/>
      <c r="Y464" s="653"/>
      <c r="Z464" s="653"/>
      <c r="AA464" s="653"/>
      <c r="AB464" s="653"/>
      <c r="AC464" s="653"/>
      <c r="AD464" s="653"/>
      <c r="AE464" s="653"/>
      <c r="AF464" s="653"/>
      <c r="AG464" s="653"/>
      <c r="AH464" s="653"/>
      <c r="AI464" s="653"/>
      <c r="AJ464" s="653"/>
      <c r="AK464" s="653"/>
      <c r="AL464" s="653"/>
      <c r="AM464" s="653"/>
      <c r="AN464" s="653"/>
      <c r="AO464" s="653"/>
      <c r="AP464" s="653"/>
      <c r="AQ464" s="653"/>
      <c r="AR464" s="653"/>
      <c r="AS464" s="653"/>
      <c r="AT464" s="653"/>
      <c r="AU464" s="653"/>
      <c r="AV464" s="653"/>
      <c r="AW464" s="653"/>
      <c r="AX464" s="653"/>
      <c r="AY464" s="653"/>
      <c r="AZ464" s="653"/>
      <c r="BA464" s="653"/>
      <c r="BB464" s="653"/>
      <c r="BC464" s="653"/>
      <c r="BD464" s="653"/>
      <c r="BE464" s="653"/>
      <c r="BF464" s="653"/>
      <c r="BG464" s="653"/>
      <c r="BH464" s="653"/>
      <c r="BI464" s="653"/>
      <c r="BJ464" s="653"/>
      <c r="BK464" s="653"/>
      <c r="BL464" s="653"/>
      <c r="BM464" s="653"/>
      <c r="BN464" s="653"/>
      <c r="BO464" s="653"/>
      <c r="BP464" s="653"/>
      <c r="BQ464" s="653"/>
      <c r="BR464" s="653"/>
      <c r="BS464" s="653"/>
      <c r="BT464" s="653"/>
      <c r="BU464" s="653"/>
      <c r="BV464" s="653"/>
      <c r="BW464" s="653"/>
      <c r="BX464" s="653"/>
      <c r="BY464" s="653"/>
      <c r="BZ464" s="653"/>
      <c r="CA464" s="653"/>
      <c r="CB464" s="653"/>
      <c r="CC464" s="653"/>
      <c r="CD464" s="653"/>
      <c r="CE464" s="653"/>
      <c r="CF464" s="653"/>
      <c r="CG464" s="653"/>
      <c r="CH464" s="653"/>
      <c r="CI464" s="653"/>
      <c r="CJ464" s="653"/>
      <c r="CK464" s="653"/>
      <c r="CL464" s="653"/>
      <c r="CM464" s="653"/>
      <c r="CN464" s="653"/>
      <c r="CO464" s="653"/>
      <c r="CP464" s="653"/>
      <c r="CQ464" s="653"/>
      <c r="CR464" s="653"/>
      <c r="CS464" s="653"/>
      <c r="CT464" s="653"/>
      <c r="CU464" s="653"/>
      <c r="CV464" s="653"/>
      <c r="CW464" s="653"/>
      <c r="CX464" s="653"/>
      <c r="CY464" s="653"/>
      <c r="CZ464" s="653"/>
      <c r="DA464" s="653"/>
      <c r="DB464" s="653"/>
      <c r="DC464" s="653"/>
      <c r="DD464" s="653"/>
      <c r="DE464" s="653"/>
      <c r="DF464" s="653"/>
      <c r="DG464" s="653"/>
      <c r="DH464" s="653"/>
      <c r="DI464" s="653"/>
      <c r="DJ464" s="653"/>
      <c r="DK464" s="653"/>
      <c r="DL464" s="653"/>
      <c r="DM464" s="653"/>
      <c r="DN464" s="653"/>
      <c r="DO464" s="653"/>
      <c r="DP464" s="653"/>
      <c r="DQ464" s="653"/>
      <c r="DR464" s="653"/>
      <c r="DS464" s="653"/>
      <c r="DT464" s="653"/>
      <c r="DU464" s="653"/>
      <c r="DV464" s="653"/>
      <c r="DW464" s="653"/>
      <c r="DX464" s="653"/>
      <c r="DY464" s="653"/>
      <c r="DZ464" s="653"/>
      <c r="EA464" s="653"/>
      <c r="EB464" s="653"/>
      <c r="EC464" s="653"/>
      <c r="ED464" s="653"/>
      <c r="EE464" s="648"/>
      <c r="EF464" s="651"/>
      <c r="EG464" s="651"/>
      <c r="EH464" s="651"/>
      <c r="EI464" s="216"/>
      <c r="EJ464" s="662"/>
      <c r="EK464" s="662"/>
      <c r="EL464" s="662"/>
      <c r="EM464" s="662"/>
      <c r="EN464" s="662"/>
      <c r="EO464" s="662"/>
      <c r="EP464" s="662"/>
      <c r="EQ464" s="662"/>
      <c r="ER464" s="662"/>
      <c r="ES464" s="662"/>
      <c r="ET464" s="662"/>
      <c r="EU464" s="662"/>
      <c r="EV464" s="662"/>
      <c r="EW464" s="662"/>
      <c r="EX464" s="662"/>
      <c r="EY464" s="662"/>
      <c r="EZ464" s="662"/>
      <c r="FA464" s="662"/>
      <c r="FB464" s="662"/>
      <c r="FC464" s="662"/>
      <c r="FD464" s="662"/>
      <c r="FE464" s="662"/>
      <c r="FF464" s="662"/>
      <c r="FG464" s="662"/>
      <c r="FH464" s="662"/>
      <c r="FI464" s="662"/>
      <c r="FJ464" s="662"/>
      <c r="FK464" s="662"/>
      <c r="FL464" s="662"/>
      <c r="FM464" s="662"/>
      <c r="FN464" s="662"/>
      <c r="FO464" s="662"/>
      <c r="FP464" s="662"/>
      <c r="FQ464" s="662"/>
      <c r="FR464" s="662"/>
      <c r="FS464" s="662"/>
      <c r="FT464" s="662"/>
      <c r="FU464" s="662"/>
      <c r="FV464" s="662"/>
      <c r="FW464" s="662"/>
      <c r="FX464" s="662"/>
      <c r="FY464" s="662"/>
      <c r="FZ464" s="662"/>
      <c r="GA464" s="662"/>
      <c r="GB464" s="662"/>
      <c r="GC464" s="662"/>
      <c r="GD464" s="662"/>
      <c r="GE464" s="662"/>
      <c r="GF464" s="662"/>
      <c r="GG464" s="662"/>
      <c r="GH464" s="662"/>
      <c r="GI464" s="662"/>
      <c r="GJ464" s="662"/>
      <c r="GK464" s="662"/>
      <c r="GL464" s="662"/>
      <c r="GM464" s="662"/>
      <c r="GN464" s="662"/>
      <c r="GO464" s="662"/>
      <c r="GP464" s="662"/>
      <c r="GQ464" s="662"/>
      <c r="GR464" s="662"/>
      <c r="GS464" s="662"/>
      <c r="GT464" s="662"/>
      <c r="GU464" s="662"/>
      <c r="GV464" s="662"/>
      <c r="GW464" s="662"/>
      <c r="GX464" s="662"/>
      <c r="GY464" s="662"/>
      <c r="GZ464" s="662"/>
      <c r="HA464" s="662"/>
      <c r="HB464" s="662"/>
      <c r="HC464" s="662"/>
      <c r="HD464" s="662"/>
      <c r="HE464" s="662"/>
      <c r="HF464" s="662"/>
      <c r="HG464" s="662"/>
      <c r="HH464" s="662"/>
      <c r="HI464" s="662"/>
      <c r="HJ464" s="662"/>
      <c r="HK464" s="662"/>
      <c r="HL464" s="662"/>
      <c r="HM464" s="662"/>
      <c r="HN464" s="662"/>
      <c r="HO464" s="662"/>
      <c r="HP464" s="662"/>
      <c r="HQ464" s="662"/>
      <c r="HR464" s="662"/>
      <c r="HS464" s="662"/>
      <c r="HT464" s="662"/>
      <c r="HU464" s="662"/>
      <c r="HV464" s="662"/>
      <c r="HW464" s="662"/>
      <c r="HX464" s="662"/>
      <c r="HY464" s="662"/>
      <c r="HZ464" s="662"/>
      <c r="IA464" s="662"/>
      <c r="IB464" s="662"/>
      <c r="IC464" s="662"/>
      <c r="ID464" s="662"/>
      <c r="IE464" s="662"/>
      <c r="IF464" s="662"/>
      <c r="IG464" s="662"/>
      <c r="IH464" s="662"/>
      <c r="II464" s="662"/>
      <c r="IJ464" s="662"/>
      <c r="IK464" s="662"/>
      <c r="IL464" s="662"/>
      <c r="IM464" s="662"/>
      <c r="IN464" s="662"/>
      <c r="IO464" s="662"/>
      <c r="IP464" s="662"/>
      <c r="IQ464" s="653"/>
    </row>
    <row r="465" spans="18:251" ht="16.5" hidden="1" customHeight="1">
      <c r="R465" s="648"/>
      <c r="S465" s="648"/>
      <c r="T465" s="648"/>
      <c r="U465" s="653"/>
      <c r="V465" s="649"/>
      <c r="W465" s="653"/>
      <c r="X465" s="653"/>
      <c r="Y465" s="653"/>
      <c r="Z465" s="653"/>
      <c r="AA465" s="653"/>
      <c r="AB465" s="653"/>
      <c r="AC465" s="653"/>
      <c r="AD465" s="653"/>
      <c r="AE465" s="653"/>
      <c r="AF465" s="653"/>
      <c r="AG465" s="653"/>
      <c r="AH465" s="653"/>
      <c r="AI465" s="653"/>
      <c r="AJ465" s="653"/>
      <c r="AK465" s="653"/>
      <c r="AL465" s="653"/>
      <c r="AM465" s="653"/>
      <c r="AN465" s="653"/>
      <c r="AO465" s="653"/>
      <c r="AP465" s="653"/>
      <c r="AQ465" s="653"/>
      <c r="AR465" s="653"/>
      <c r="AS465" s="653"/>
      <c r="AT465" s="653"/>
      <c r="AU465" s="653"/>
      <c r="AV465" s="653"/>
      <c r="AW465" s="653"/>
      <c r="AX465" s="653"/>
      <c r="AY465" s="653"/>
      <c r="AZ465" s="653"/>
      <c r="BA465" s="653"/>
      <c r="BB465" s="653"/>
      <c r="BC465" s="653"/>
      <c r="BD465" s="653"/>
      <c r="BE465" s="653"/>
      <c r="BF465" s="653"/>
      <c r="BG465" s="653"/>
      <c r="BH465" s="653"/>
      <c r="BI465" s="653"/>
      <c r="BJ465" s="653"/>
      <c r="BK465" s="653"/>
      <c r="BL465" s="653"/>
      <c r="BM465" s="653"/>
      <c r="BN465" s="653"/>
      <c r="BO465" s="653"/>
      <c r="BP465" s="653"/>
      <c r="BQ465" s="653"/>
      <c r="BR465" s="653"/>
      <c r="BS465" s="653"/>
      <c r="BT465" s="653"/>
      <c r="BU465" s="653"/>
      <c r="BV465" s="653"/>
      <c r="BW465" s="653"/>
      <c r="BX465" s="653"/>
      <c r="BY465" s="653"/>
      <c r="BZ465" s="653"/>
      <c r="CA465" s="653"/>
      <c r="CB465" s="653"/>
      <c r="CC465" s="653"/>
      <c r="CD465" s="653"/>
      <c r="CE465" s="653"/>
      <c r="CF465" s="653"/>
      <c r="CG465" s="653"/>
      <c r="CH465" s="653"/>
      <c r="CI465" s="653"/>
      <c r="CJ465" s="653"/>
      <c r="CK465" s="653"/>
      <c r="CL465" s="653"/>
      <c r="CM465" s="653"/>
      <c r="CN465" s="653"/>
      <c r="CO465" s="653"/>
      <c r="CP465" s="653"/>
      <c r="CQ465" s="653"/>
      <c r="CR465" s="653"/>
      <c r="CS465" s="653"/>
      <c r="CT465" s="653"/>
      <c r="CU465" s="653"/>
      <c r="CV465" s="653"/>
      <c r="CW465" s="653"/>
      <c r="CX465" s="653"/>
      <c r="CY465" s="653"/>
      <c r="CZ465" s="653"/>
      <c r="DA465" s="653"/>
      <c r="DB465" s="653"/>
      <c r="DC465" s="653"/>
      <c r="DD465" s="653"/>
      <c r="DE465" s="653"/>
      <c r="DF465" s="653"/>
      <c r="DG465" s="653"/>
      <c r="DH465" s="653"/>
      <c r="DI465" s="653"/>
      <c r="DJ465" s="653"/>
      <c r="DK465" s="653"/>
      <c r="DL465" s="653"/>
      <c r="DM465" s="653"/>
      <c r="DN465" s="653"/>
      <c r="DO465" s="653"/>
      <c r="DP465" s="653"/>
      <c r="DQ465" s="653"/>
      <c r="DR465" s="653"/>
      <c r="DS465" s="653"/>
      <c r="DT465" s="653"/>
      <c r="DU465" s="653"/>
      <c r="DV465" s="653"/>
      <c r="DW465" s="653"/>
      <c r="DX465" s="653"/>
      <c r="DY465" s="653"/>
      <c r="DZ465" s="653"/>
      <c r="EA465" s="653"/>
      <c r="EB465" s="653"/>
      <c r="EC465" s="653"/>
      <c r="ED465" s="653"/>
      <c r="EE465" s="648"/>
      <c r="EF465" s="651"/>
      <c r="EG465" s="651"/>
      <c r="EH465" s="651"/>
      <c r="EI465" s="216"/>
      <c r="EJ465" s="662"/>
      <c r="EK465" s="662"/>
      <c r="EL465" s="662"/>
      <c r="EM465" s="662"/>
      <c r="EN465" s="662"/>
      <c r="EO465" s="662"/>
      <c r="EP465" s="662"/>
      <c r="EQ465" s="662"/>
      <c r="ER465" s="662"/>
      <c r="ES465" s="662"/>
      <c r="ET465" s="662"/>
      <c r="EU465" s="662"/>
      <c r="EV465" s="662"/>
      <c r="EW465" s="662"/>
      <c r="EX465" s="662"/>
      <c r="EY465" s="662"/>
      <c r="EZ465" s="662"/>
      <c r="FA465" s="662"/>
      <c r="FB465" s="662"/>
      <c r="FC465" s="662"/>
      <c r="FD465" s="662"/>
      <c r="FE465" s="662"/>
      <c r="FF465" s="662"/>
      <c r="FG465" s="662"/>
      <c r="FH465" s="662"/>
      <c r="FI465" s="662"/>
      <c r="FJ465" s="662"/>
      <c r="FK465" s="662"/>
      <c r="FL465" s="662"/>
      <c r="FM465" s="662"/>
      <c r="FN465" s="662"/>
      <c r="FO465" s="662"/>
      <c r="FP465" s="662"/>
      <c r="FQ465" s="662"/>
      <c r="FR465" s="662"/>
      <c r="FS465" s="662"/>
      <c r="FT465" s="662"/>
      <c r="FU465" s="662"/>
      <c r="FV465" s="662"/>
      <c r="FW465" s="662"/>
      <c r="FX465" s="662"/>
      <c r="FY465" s="662"/>
      <c r="FZ465" s="662"/>
      <c r="GA465" s="662"/>
      <c r="GB465" s="662"/>
      <c r="GC465" s="662"/>
      <c r="GD465" s="662"/>
      <c r="GE465" s="662"/>
      <c r="GF465" s="662"/>
      <c r="GG465" s="662"/>
      <c r="GH465" s="662"/>
      <c r="GI465" s="662"/>
      <c r="GJ465" s="662"/>
      <c r="GK465" s="662"/>
      <c r="GL465" s="662"/>
      <c r="GM465" s="662"/>
      <c r="GN465" s="662"/>
      <c r="GO465" s="662"/>
      <c r="GP465" s="662"/>
      <c r="GQ465" s="662"/>
      <c r="GR465" s="662"/>
      <c r="GS465" s="662"/>
      <c r="GT465" s="662"/>
      <c r="GU465" s="662"/>
      <c r="GV465" s="662"/>
      <c r="GW465" s="662"/>
      <c r="GX465" s="662"/>
      <c r="GY465" s="662"/>
      <c r="GZ465" s="662"/>
      <c r="HA465" s="662"/>
      <c r="HB465" s="662"/>
      <c r="HC465" s="662"/>
      <c r="HD465" s="662"/>
      <c r="HE465" s="662"/>
      <c r="HF465" s="662"/>
      <c r="HG465" s="662"/>
      <c r="HH465" s="662"/>
      <c r="HI465" s="662"/>
      <c r="HJ465" s="662"/>
      <c r="HK465" s="662"/>
      <c r="HL465" s="662"/>
      <c r="HM465" s="662"/>
      <c r="HN465" s="662"/>
      <c r="HO465" s="662"/>
      <c r="HP465" s="662"/>
      <c r="HQ465" s="662"/>
      <c r="HR465" s="662"/>
      <c r="HS465" s="662"/>
      <c r="HT465" s="662"/>
      <c r="HU465" s="662"/>
      <c r="HV465" s="662"/>
      <c r="HW465" s="662"/>
      <c r="HX465" s="662"/>
      <c r="HY465" s="662"/>
      <c r="HZ465" s="662"/>
      <c r="IA465" s="662"/>
      <c r="IB465" s="662"/>
      <c r="IC465" s="662"/>
      <c r="ID465" s="662"/>
      <c r="IE465" s="662"/>
      <c r="IF465" s="662"/>
      <c r="IG465" s="662"/>
      <c r="IH465" s="662"/>
      <c r="II465" s="662"/>
      <c r="IJ465" s="662"/>
      <c r="IK465" s="662"/>
      <c r="IL465" s="662"/>
      <c r="IM465" s="662"/>
      <c r="IN465" s="662"/>
      <c r="IO465" s="662"/>
      <c r="IP465" s="662"/>
      <c r="IQ465" s="653"/>
    </row>
    <row r="466" spans="18:251" ht="16.5" hidden="1" customHeight="1">
      <c r="R466" s="648"/>
      <c r="S466" s="648"/>
      <c r="T466" s="648"/>
      <c r="U466" s="653"/>
      <c r="V466" s="649"/>
      <c r="W466" s="653"/>
      <c r="X466" s="653"/>
      <c r="Y466" s="653"/>
      <c r="Z466" s="653"/>
      <c r="AA466" s="653"/>
      <c r="AB466" s="653"/>
      <c r="AC466" s="653"/>
      <c r="AD466" s="653"/>
      <c r="AE466" s="653"/>
      <c r="AF466" s="653"/>
      <c r="AG466" s="653"/>
      <c r="AH466" s="653"/>
      <c r="AI466" s="653"/>
      <c r="AJ466" s="653"/>
      <c r="AK466" s="653"/>
      <c r="AL466" s="653"/>
      <c r="AM466" s="653"/>
      <c r="AN466" s="653"/>
      <c r="AO466" s="653"/>
      <c r="AP466" s="653"/>
      <c r="AQ466" s="653"/>
      <c r="AR466" s="653"/>
      <c r="AS466" s="653"/>
      <c r="AT466" s="653"/>
      <c r="AU466" s="653"/>
      <c r="AV466" s="653"/>
      <c r="AW466" s="653"/>
      <c r="AX466" s="653"/>
      <c r="AY466" s="653"/>
      <c r="AZ466" s="653"/>
      <c r="BA466" s="653"/>
      <c r="BB466" s="653"/>
      <c r="BC466" s="653"/>
      <c r="BD466" s="653"/>
      <c r="BE466" s="653"/>
      <c r="BF466" s="653"/>
      <c r="BG466" s="653"/>
      <c r="BH466" s="653"/>
      <c r="BI466" s="653"/>
      <c r="BJ466" s="653"/>
      <c r="BK466" s="653"/>
      <c r="BL466" s="653"/>
      <c r="BM466" s="653"/>
      <c r="BN466" s="653"/>
      <c r="BO466" s="653"/>
      <c r="BP466" s="653"/>
      <c r="BQ466" s="653"/>
      <c r="BR466" s="653"/>
      <c r="BS466" s="653"/>
      <c r="BT466" s="653"/>
      <c r="BU466" s="653"/>
      <c r="BV466" s="653"/>
      <c r="BW466" s="653"/>
      <c r="BX466" s="653"/>
      <c r="BY466" s="653"/>
      <c r="BZ466" s="653"/>
      <c r="CA466" s="653"/>
      <c r="CB466" s="653"/>
      <c r="CC466" s="653"/>
      <c r="CD466" s="653"/>
      <c r="CE466" s="653"/>
      <c r="CF466" s="653"/>
      <c r="CG466" s="653"/>
      <c r="CH466" s="653"/>
      <c r="CI466" s="653"/>
      <c r="CJ466" s="653"/>
      <c r="CK466" s="653"/>
      <c r="CL466" s="653"/>
      <c r="CM466" s="653"/>
      <c r="CN466" s="653"/>
      <c r="CO466" s="653"/>
      <c r="CP466" s="653"/>
      <c r="CQ466" s="653"/>
      <c r="CR466" s="653"/>
      <c r="CS466" s="653"/>
      <c r="CT466" s="653"/>
      <c r="CU466" s="653"/>
      <c r="CV466" s="653"/>
      <c r="CW466" s="653"/>
      <c r="CX466" s="653"/>
      <c r="CY466" s="653"/>
      <c r="CZ466" s="653"/>
      <c r="DA466" s="653"/>
      <c r="DB466" s="653"/>
      <c r="DC466" s="653"/>
      <c r="DD466" s="653"/>
      <c r="DE466" s="653"/>
      <c r="DF466" s="653"/>
      <c r="DG466" s="653"/>
      <c r="DH466" s="653"/>
      <c r="DI466" s="653"/>
      <c r="DJ466" s="653"/>
      <c r="DK466" s="653"/>
      <c r="DL466" s="653"/>
      <c r="DM466" s="653"/>
      <c r="DN466" s="653"/>
      <c r="DO466" s="653"/>
      <c r="DP466" s="653"/>
      <c r="DQ466" s="653"/>
      <c r="DR466" s="653"/>
      <c r="DS466" s="653"/>
      <c r="DT466" s="653"/>
      <c r="DU466" s="653"/>
      <c r="DV466" s="653"/>
      <c r="DW466" s="653"/>
      <c r="DX466" s="653"/>
      <c r="DY466" s="653"/>
      <c r="DZ466" s="653"/>
      <c r="EA466" s="653"/>
      <c r="EB466" s="653"/>
      <c r="EC466" s="653"/>
      <c r="ED466" s="653"/>
      <c r="EE466" s="648"/>
      <c r="EF466" s="651"/>
      <c r="EG466" s="651"/>
      <c r="EH466" s="651"/>
      <c r="EI466" s="216"/>
      <c r="EJ466" s="662"/>
      <c r="EK466" s="662"/>
      <c r="EL466" s="662"/>
      <c r="EM466" s="662"/>
      <c r="EN466" s="662"/>
      <c r="EO466" s="662"/>
      <c r="EP466" s="662"/>
      <c r="EQ466" s="662"/>
      <c r="ER466" s="662"/>
      <c r="ES466" s="662"/>
      <c r="ET466" s="662"/>
      <c r="EU466" s="662"/>
      <c r="EV466" s="662"/>
      <c r="EW466" s="662"/>
      <c r="EX466" s="662"/>
      <c r="EY466" s="662"/>
      <c r="EZ466" s="662"/>
      <c r="FA466" s="662"/>
      <c r="FB466" s="662"/>
      <c r="FC466" s="662"/>
      <c r="FD466" s="662"/>
      <c r="FE466" s="662"/>
      <c r="FF466" s="662"/>
      <c r="FG466" s="662"/>
      <c r="FH466" s="662"/>
      <c r="FI466" s="662"/>
      <c r="FJ466" s="662"/>
      <c r="FK466" s="662"/>
      <c r="FL466" s="662"/>
      <c r="FM466" s="662"/>
      <c r="FN466" s="662"/>
      <c r="FO466" s="662"/>
      <c r="FP466" s="662"/>
      <c r="FQ466" s="662"/>
      <c r="FR466" s="662"/>
      <c r="FS466" s="662"/>
      <c r="FT466" s="662"/>
      <c r="FU466" s="662"/>
      <c r="FV466" s="662"/>
      <c r="FW466" s="662"/>
      <c r="FX466" s="662"/>
      <c r="FY466" s="662"/>
      <c r="FZ466" s="662"/>
      <c r="GA466" s="662"/>
      <c r="GB466" s="662"/>
      <c r="GC466" s="662"/>
      <c r="GD466" s="662"/>
      <c r="GE466" s="662"/>
      <c r="GF466" s="662"/>
      <c r="GG466" s="662"/>
      <c r="GH466" s="662"/>
      <c r="GI466" s="662"/>
      <c r="GJ466" s="662"/>
      <c r="GK466" s="662"/>
      <c r="GL466" s="662"/>
      <c r="GM466" s="662"/>
      <c r="GN466" s="662"/>
      <c r="GO466" s="662"/>
      <c r="GP466" s="662"/>
      <c r="GQ466" s="662"/>
      <c r="GR466" s="662"/>
      <c r="GS466" s="662"/>
      <c r="GT466" s="662"/>
      <c r="GU466" s="662"/>
      <c r="GV466" s="662"/>
      <c r="GW466" s="662"/>
      <c r="GX466" s="662"/>
      <c r="GY466" s="662"/>
      <c r="GZ466" s="662"/>
      <c r="HA466" s="662"/>
      <c r="HB466" s="662"/>
      <c r="HC466" s="662"/>
      <c r="HD466" s="662"/>
      <c r="HE466" s="662"/>
      <c r="HF466" s="662"/>
      <c r="HG466" s="662"/>
      <c r="HH466" s="662"/>
      <c r="HI466" s="662"/>
      <c r="HJ466" s="662"/>
      <c r="HK466" s="662"/>
      <c r="HL466" s="662"/>
      <c r="HM466" s="662"/>
      <c r="HN466" s="662"/>
      <c r="HO466" s="662"/>
      <c r="HP466" s="662"/>
      <c r="HQ466" s="662"/>
      <c r="HR466" s="662"/>
      <c r="HS466" s="662"/>
      <c r="HT466" s="662"/>
      <c r="HU466" s="662"/>
      <c r="HV466" s="662"/>
      <c r="HW466" s="662"/>
      <c r="HX466" s="662"/>
      <c r="HY466" s="662"/>
      <c r="HZ466" s="662"/>
      <c r="IA466" s="662"/>
      <c r="IB466" s="662"/>
      <c r="IC466" s="662"/>
      <c r="ID466" s="662"/>
      <c r="IE466" s="662"/>
      <c r="IF466" s="662"/>
      <c r="IG466" s="662"/>
      <c r="IH466" s="662"/>
      <c r="II466" s="662"/>
      <c r="IJ466" s="662"/>
      <c r="IK466" s="662"/>
      <c r="IL466" s="662"/>
      <c r="IM466" s="662"/>
      <c r="IN466" s="662"/>
      <c r="IO466" s="662"/>
      <c r="IP466" s="662"/>
      <c r="IQ466" s="653"/>
    </row>
    <row r="467" spans="18:251" ht="16.5" hidden="1" customHeight="1">
      <c r="R467" s="648"/>
      <c r="S467" s="648"/>
      <c r="T467" s="648"/>
      <c r="U467" s="653"/>
      <c r="V467" s="649"/>
      <c r="W467" s="653"/>
      <c r="X467" s="653"/>
      <c r="Y467" s="653"/>
      <c r="Z467" s="653"/>
      <c r="AA467" s="653"/>
      <c r="AB467" s="653"/>
      <c r="AC467" s="653"/>
      <c r="AD467" s="653"/>
      <c r="AE467" s="653"/>
      <c r="AF467" s="653"/>
      <c r="AG467" s="653"/>
      <c r="AH467" s="653"/>
      <c r="AI467" s="653"/>
      <c r="AJ467" s="653"/>
      <c r="AK467" s="653"/>
      <c r="AL467" s="653"/>
      <c r="AM467" s="653"/>
      <c r="AN467" s="653"/>
      <c r="AO467" s="653"/>
      <c r="AP467" s="653"/>
      <c r="AQ467" s="653"/>
      <c r="AR467" s="653"/>
      <c r="AS467" s="653"/>
      <c r="AT467" s="653"/>
      <c r="AU467" s="653"/>
      <c r="AV467" s="653"/>
      <c r="AW467" s="653"/>
      <c r="AX467" s="653"/>
      <c r="AY467" s="653"/>
      <c r="AZ467" s="653"/>
      <c r="BA467" s="653"/>
      <c r="BB467" s="653"/>
      <c r="BC467" s="653"/>
      <c r="BD467" s="653"/>
      <c r="BE467" s="653"/>
      <c r="BF467" s="653"/>
      <c r="BG467" s="653"/>
      <c r="BH467" s="653"/>
      <c r="BI467" s="653"/>
      <c r="BJ467" s="653"/>
      <c r="BK467" s="653"/>
      <c r="BL467" s="653"/>
      <c r="BM467" s="653"/>
      <c r="BN467" s="653"/>
      <c r="BO467" s="653"/>
      <c r="BP467" s="653"/>
      <c r="BQ467" s="653"/>
      <c r="BR467" s="653"/>
      <c r="BS467" s="653"/>
      <c r="BT467" s="653"/>
      <c r="BU467" s="653"/>
      <c r="BV467" s="653"/>
      <c r="BW467" s="653"/>
      <c r="BX467" s="653"/>
      <c r="BY467" s="653"/>
      <c r="BZ467" s="653"/>
      <c r="CA467" s="653"/>
      <c r="CB467" s="653"/>
      <c r="CC467" s="653"/>
      <c r="CD467" s="653"/>
      <c r="CE467" s="653"/>
      <c r="CF467" s="653"/>
      <c r="CG467" s="653"/>
      <c r="CH467" s="653"/>
      <c r="CI467" s="653"/>
      <c r="CJ467" s="653"/>
      <c r="CK467" s="653"/>
      <c r="CL467" s="653"/>
      <c r="CM467" s="653"/>
      <c r="CN467" s="653"/>
      <c r="CO467" s="653"/>
      <c r="CP467" s="653"/>
      <c r="CQ467" s="653"/>
      <c r="CR467" s="653"/>
      <c r="CS467" s="653"/>
      <c r="CT467" s="653"/>
      <c r="CU467" s="653"/>
      <c r="CV467" s="653"/>
      <c r="CW467" s="653"/>
      <c r="CX467" s="653"/>
      <c r="CY467" s="653"/>
      <c r="CZ467" s="653"/>
      <c r="DA467" s="653"/>
      <c r="DB467" s="653"/>
      <c r="DC467" s="653"/>
      <c r="DD467" s="653"/>
      <c r="DE467" s="653"/>
      <c r="DF467" s="653"/>
      <c r="DG467" s="653"/>
      <c r="DH467" s="653"/>
      <c r="DI467" s="653"/>
      <c r="DJ467" s="653"/>
      <c r="DK467" s="653"/>
      <c r="DL467" s="653"/>
      <c r="DM467" s="653"/>
      <c r="DN467" s="653"/>
      <c r="DO467" s="653"/>
      <c r="DP467" s="653"/>
      <c r="DQ467" s="653"/>
      <c r="DR467" s="653"/>
      <c r="DS467" s="653"/>
      <c r="DT467" s="653"/>
      <c r="DU467" s="653"/>
      <c r="DV467" s="653"/>
      <c r="DW467" s="653"/>
      <c r="DX467" s="653"/>
      <c r="DY467" s="653"/>
      <c r="DZ467" s="653"/>
      <c r="EA467" s="653"/>
      <c r="EB467" s="653"/>
      <c r="EC467" s="653"/>
      <c r="ED467" s="653"/>
      <c r="EE467" s="648"/>
      <c r="EF467" s="651"/>
      <c r="EG467" s="651"/>
      <c r="EH467" s="651"/>
      <c r="EI467" s="216"/>
      <c r="EJ467" s="662"/>
      <c r="EK467" s="662"/>
      <c r="EL467" s="662"/>
      <c r="EM467" s="662"/>
      <c r="EN467" s="662"/>
      <c r="EO467" s="662"/>
      <c r="EP467" s="662"/>
      <c r="EQ467" s="662"/>
      <c r="ER467" s="662"/>
      <c r="ES467" s="662"/>
      <c r="ET467" s="662"/>
      <c r="EU467" s="662"/>
      <c r="EV467" s="662"/>
      <c r="EW467" s="662"/>
      <c r="EX467" s="662"/>
      <c r="EY467" s="662"/>
      <c r="EZ467" s="662"/>
      <c r="FA467" s="662"/>
      <c r="FB467" s="662"/>
      <c r="FC467" s="662"/>
      <c r="FD467" s="662"/>
      <c r="FE467" s="662"/>
      <c r="FF467" s="662"/>
      <c r="FG467" s="662"/>
      <c r="FH467" s="662"/>
      <c r="FI467" s="662"/>
      <c r="FJ467" s="662"/>
      <c r="FK467" s="662"/>
      <c r="FL467" s="662"/>
      <c r="FM467" s="662"/>
      <c r="FN467" s="662"/>
      <c r="FO467" s="662"/>
      <c r="FP467" s="662"/>
      <c r="FQ467" s="662"/>
      <c r="FR467" s="662"/>
      <c r="FS467" s="662"/>
      <c r="FT467" s="662"/>
      <c r="FU467" s="662"/>
      <c r="FV467" s="662"/>
      <c r="FW467" s="662"/>
      <c r="FX467" s="662"/>
      <c r="FY467" s="662"/>
      <c r="FZ467" s="662"/>
      <c r="GA467" s="662"/>
      <c r="GB467" s="662"/>
      <c r="GC467" s="662"/>
      <c r="GD467" s="662"/>
      <c r="GE467" s="662"/>
      <c r="GF467" s="662"/>
      <c r="GG467" s="662"/>
      <c r="GH467" s="662"/>
      <c r="GI467" s="662"/>
      <c r="GJ467" s="662"/>
      <c r="GK467" s="662"/>
      <c r="GL467" s="662"/>
      <c r="GM467" s="662"/>
      <c r="GN467" s="662"/>
      <c r="GO467" s="662"/>
      <c r="GP467" s="662"/>
      <c r="GQ467" s="662"/>
      <c r="GR467" s="662"/>
      <c r="GS467" s="662"/>
      <c r="GT467" s="662"/>
      <c r="GU467" s="662"/>
      <c r="GV467" s="662"/>
      <c r="GW467" s="662"/>
      <c r="GX467" s="662"/>
      <c r="GY467" s="662"/>
      <c r="GZ467" s="662"/>
      <c r="HA467" s="662"/>
      <c r="HB467" s="662"/>
      <c r="HC467" s="662"/>
      <c r="HD467" s="662"/>
      <c r="HE467" s="662"/>
      <c r="HF467" s="662"/>
      <c r="HG467" s="662"/>
      <c r="HH467" s="662"/>
      <c r="HI467" s="662"/>
      <c r="HJ467" s="662"/>
      <c r="HK467" s="662"/>
      <c r="HL467" s="662"/>
      <c r="HM467" s="662"/>
      <c r="HN467" s="662"/>
      <c r="HO467" s="662"/>
      <c r="HP467" s="662"/>
      <c r="HQ467" s="662"/>
      <c r="HR467" s="662"/>
      <c r="HS467" s="662"/>
      <c r="HT467" s="662"/>
      <c r="HU467" s="662"/>
      <c r="HV467" s="662"/>
      <c r="HW467" s="662"/>
      <c r="HX467" s="662"/>
      <c r="HY467" s="662"/>
      <c r="HZ467" s="662"/>
      <c r="IA467" s="662"/>
      <c r="IB467" s="662"/>
      <c r="IC467" s="662"/>
      <c r="ID467" s="662"/>
      <c r="IE467" s="662"/>
      <c r="IF467" s="662"/>
      <c r="IG467" s="662"/>
      <c r="IH467" s="662"/>
      <c r="II467" s="662"/>
      <c r="IJ467" s="662"/>
      <c r="IK467" s="662"/>
      <c r="IL467" s="662"/>
      <c r="IM467" s="662"/>
      <c r="IN467" s="662"/>
      <c r="IO467" s="662"/>
      <c r="IP467" s="662"/>
      <c r="IQ467" s="653"/>
    </row>
    <row r="468" spans="18:251" ht="16.5" hidden="1" customHeight="1">
      <c r="R468" s="648"/>
      <c r="S468" s="648"/>
      <c r="T468" s="648"/>
      <c r="U468" s="653"/>
      <c r="V468" s="649"/>
      <c r="W468" s="653"/>
      <c r="X468" s="653"/>
      <c r="Y468" s="653"/>
      <c r="Z468" s="653"/>
      <c r="AA468" s="653"/>
      <c r="AB468" s="653"/>
      <c r="AC468" s="653"/>
      <c r="AD468" s="653"/>
      <c r="AE468" s="653"/>
      <c r="AF468" s="653"/>
      <c r="AG468" s="653"/>
      <c r="AH468" s="653"/>
      <c r="AI468" s="653"/>
      <c r="AJ468" s="653"/>
      <c r="AK468" s="653"/>
      <c r="AL468" s="653"/>
      <c r="AM468" s="653"/>
      <c r="AN468" s="653"/>
      <c r="AO468" s="653"/>
      <c r="AP468" s="653"/>
      <c r="AQ468" s="653"/>
      <c r="AR468" s="653"/>
      <c r="AS468" s="653"/>
      <c r="AT468" s="653"/>
      <c r="AU468" s="653"/>
      <c r="AV468" s="653"/>
      <c r="AW468" s="653"/>
      <c r="AX468" s="653"/>
      <c r="AY468" s="653"/>
      <c r="AZ468" s="653"/>
      <c r="BA468" s="653"/>
      <c r="BB468" s="653"/>
      <c r="BC468" s="653"/>
      <c r="BD468" s="653"/>
      <c r="BE468" s="653"/>
      <c r="BF468" s="653"/>
      <c r="BG468" s="653"/>
      <c r="BH468" s="653"/>
      <c r="BI468" s="653"/>
      <c r="BJ468" s="653"/>
      <c r="BK468" s="653"/>
      <c r="BL468" s="653"/>
      <c r="BM468" s="653"/>
      <c r="BN468" s="653"/>
      <c r="BO468" s="653"/>
      <c r="BP468" s="653"/>
      <c r="BQ468" s="653"/>
      <c r="BR468" s="653"/>
      <c r="BS468" s="653"/>
      <c r="BT468" s="653"/>
      <c r="BU468" s="653"/>
      <c r="BV468" s="653"/>
      <c r="BW468" s="653"/>
      <c r="BX468" s="653"/>
      <c r="BY468" s="653"/>
      <c r="BZ468" s="653"/>
      <c r="CA468" s="653"/>
      <c r="CB468" s="653"/>
      <c r="CC468" s="653"/>
      <c r="CD468" s="653"/>
      <c r="CE468" s="653"/>
      <c r="CF468" s="653"/>
      <c r="CG468" s="653"/>
      <c r="CH468" s="653"/>
      <c r="CI468" s="653"/>
      <c r="CJ468" s="653"/>
      <c r="CK468" s="653"/>
      <c r="CL468" s="653"/>
      <c r="CM468" s="653"/>
      <c r="CN468" s="653"/>
      <c r="CO468" s="653"/>
      <c r="CP468" s="653"/>
      <c r="CQ468" s="653"/>
      <c r="CR468" s="653"/>
      <c r="CS468" s="653"/>
      <c r="CT468" s="653"/>
      <c r="CU468" s="653"/>
      <c r="CV468" s="653"/>
      <c r="CW468" s="653"/>
      <c r="CX468" s="653"/>
      <c r="CY468" s="653"/>
      <c r="CZ468" s="653"/>
      <c r="DA468" s="653"/>
      <c r="DB468" s="653"/>
      <c r="DC468" s="653"/>
      <c r="DD468" s="653"/>
      <c r="DE468" s="653"/>
      <c r="DF468" s="653"/>
      <c r="DG468" s="653"/>
      <c r="DH468" s="653"/>
      <c r="DI468" s="653"/>
      <c r="DJ468" s="653"/>
      <c r="DK468" s="653"/>
      <c r="DL468" s="653"/>
      <c r="DM468" s="653"/>
      <c r="DN468" s="653"/>
      <c r="DO468" s="653"/>
      <c r="DP468" s="653"/>
      <c r="DQ468" s="653"/>
      <c r="DR468" s="653"/>
      <c r="DS468" s="653"/>
      <c r="DT468" s="653"/>
      <c r="DU468" s="653"/>
      <c r="DV468" s="653"/>
      <c r="DW468" s="653"/>
      <c r="DX468" s="653"/>
      <c r="DY468" s="653"/>
      <c r="DZ468" s="653"/>
      <c r="EA468" s="653"/>
      <c r="EB468" s="653"/>
      <c r="EC468" s="653"/>
      <c r="ED468" s="653"/>
      <c r="EE468" s="648"/>
      <c r="EF468" s="651"/>
      <c r="EG468" s="651"/>
      <c r="EH468" s="651"/>
      <c r="EI468" s="216"/>
      <c r="EJ468" s="662"/>
      <c r="EK468" s="662"/>
      <c r="EL468" s="662"/>
      <c r="EM468" s="662"/>
      <c r="EN468" s="662"/>
      <c r="EO468" s="662"/>
      <c r="EP468" s="662"/>
      <c r="EQ468" s="662"/>
      <c r="ER468" s="662"/>
      <c r="ES468" s="662"/>
      <c r="ET468" s="662"/>
      <c r="EU468" s="662"/>
      <c r="EV468" s="662"/>
      <c r="EW468" s="662"/>
      <c r="EX468" s="662"/>
      <c r="EY468" s="662"/>
      <c r="EZ468" s="662"/>
      <c r="FA468" s="662"/>
      <c r="FB468" s="662"/>
      <c r="FC468" s="662"/>
      <c r="FD468" s="662"/>
      <c r="FE468" s="662"/>
      <c r="FF468" s="662"/>
      <c r="FG468" s="662"/>
      <c r="FH468" s="662"/>
      <c r="FI468" s="662"/>
      <c r="FJ468" s="662"/>
      <c r="FK468" s="662"/>
      <c r="FL468" s="662"/>
      <c r="FM468" s="662"/>
      <c r="FN468" s="662"/>
      <c r="FO468" s="662"/>
      <c r="FP468" s="662"/>
      <c r="FQ468" s="662"/>
      <c r="FR468" s="662"/>
      <c r="FS468" s="662"/>
      <c r="FT468" s="662"/>
      <c r="FU468" s="662"/>
      <c r="FV468" s="662"/>
      <c r="FW468" s="662"/>
      <c r="FX468" s="662"/>
      <c r="FY468" s="662"/>
      <c r="FZ468" s="662"/>
      <c r="GA468" s="662"/>
      <c r="GB468" s="662"/>
      <c r="GC468" s="662"/>
      <c r="GD468" s="662"/>
      <c r="GE468" s="662"/>
      <c r="GF468" s="662"/>
      <c r="GG468" s="662"/>
      <c r="GH468" s="662"/>
      <c r="GI468" s="662"/>
      <c r="GJ468" s="662"/>
      <c r="GK468" s="662"/>
      <c r="GL468" s="662"/>
      <c r="GM468" s="662"/>
      <c r="GN468" s="662"/>
      <c r="GO468" s="662"/>
      <c r="GP468" s="662"/>
      <c r="GQ468" s="662"/>
      <c r="GR468" s="662"/>
      <c r="GS468" s="662"/>
      <c r="GT468" s="662"/>
      <c r="GU468" s="662"/>
      <c r="GV468" s="662"/>
      <c r="GW468" s="662"/>
      <c r="GX468" s="662"/>
      <c r="GY468" s="662"/>
      <c r="GZ468" s="662"/>
      <c r="HA468" s="662"/>
      <c r="HB468" s="662"/>
      <c r="HC468" s="662"/>
      <c r="HD468" s="662"/>
      <c r="HE468" s="662"/>
      <c r="HF468" s="662"/>
      <c r="HG468" s="662"/>
      <c r="HH468" s="662"/>
      <c r="HI468" s="662"/>
      <c r="HJ468" s="662"/>
      <c r="HK468" s="662"/>
      <c r="HL468" s="662"/>
      <c r="HM468" s="662"/>
      <c r="HN468" s="662"/>
      <c r="HO468" s="662"/>
      <c r="HP468" s="662"/>
      <c r="HQ468" s="662"/>
      <c r="HR468" s="662"/>
      <c r="HS468" s="662"/>
      <c r="HT468" s="662"/>
      <c r="HU468" s="662"/>
      <c r="HV468" s="662"/>
      <c r="HW468" s="662"/>
      <c r="HX468" s="662"/>
      <c r="HY468" s="662"/>
      <c r="HZ468" s="662"/>
      <c r="IA468" s="662"/>
      <c r="IB468" s="662"/>
      <c r="IC468" s="662"/>
      <c r="ID468" s="662"/>
      <c r="IE468" s="662"/>
      <c r="IF468" s="662"/>
      <c r="IG468" s="662"/>
      <c r="IH468" s="662"/>
      <c r="II468" s="662"/>
      <c r="IJ468" s="662"/>
      <c r="IK468" s="662"/>
      <c r="IL468" s="662"/>
      <c r="IM468" s="662"/>
      <c r="IN468" s="662"/>
      <c r="IO468" s="662"/>
      <c r="IP468" s="662"/>
      <c r="IQ468" s="653"/>
    </row>
    <row r="469" spans="18:251" ht="16.5" hidden="1" customHeight="1">
      <c r="R469" s="648"/>
      <c r="S469" s="648"/>
      <c r="T469" s="648"/>
      <c r="U469" s="653"/>
      <c r="V469" s="649"/>
      <c r="W469" s="653"/>
      <c r="X469" s="653"/>
      <c r="Y469" s="653"/>
      <c r="Z469" s="653"/>
      <c r="AA469" s="653"/>
      <c r="AB469" s="653"/>
      <c r="AC469" s="653"/>
      <c r="AD469" s="653"/>
      <c r="AE469" s="653"/>
      <c r="AF469" s="653"/>
      <c r="AG469" s="653"/>
      <c r="AH469" s="653"/>
      <c r="AI469" s="653"/>
      <c r="AJ469" s="653"/>
      <c r="AK469" s="653"/>
      <c r="AL469" s="653"/>
      <c r="AM469" s="653"/>
      <c r="AN469" s="653"/>
      <c r="AO469" s="653"/>
      <c r="AP469" s="653"/>
      <c r="AQ469" s="653"/>
      <c r="AR469" s="653"/>
      <c r="AS469" s="653"/>
      <c r="AT469" s="653"/>
      <c r="AU469" s="653"/>
      <c r="AV469" s="653"/>
      <c r="AW469" s="653"/>
      <c r="AX469" s="653"/>
      <c r="AY469" s="653"/>
      <c r="AZ469" s="653"/>
      <c r="BA469" s="653"/>
      <c r="BB469" s="653"/>
      <c r="BC469" s="653"/>
      <c r="BD469" s="653"/>
      <c r="BE469" s="653"/>
      <c r="BF469" s="653"/>
      <c r="BG469" s="653"/>
      <c r="BH469" s="653"/>
      <c r="BI469" s="653"/>
      <c r="BJ469" s="653"/>
      <c r="BK469" s="653"/>
      <c r="BL469" s="653"/>
      <c r="BM469" s="653"/>
      <c r="BN469" s="653"/>
      <c r="BO469" s="653"/>
      <c r="BP469" s="653"/>
      <c r="BQ469" s="653"/>
      <c r="BR469" s="653"/>
      <c r="BS469" s="653"/>
      <c r="BT469" s="653"/>
      <c r="BU469" s="653"/>
      <c r="BV469" s="653"/>
      <c r="BW469" s="653"/>
      <c r="BX469" s="653"/>
      <c r="BY469" s="653"/>
      <c r="BZ469" s="653"/>
      <c r="CA469" s="653"/>
      <c r="CB469" s="653"/>
      <c r="CC469" s="653"/>
      <c r="CD469" s="653"/>
      <c r="CE469" s="653"/>
      <c r="CF469" s="653"/>
      <c r="CG469" s="653"/>
      <c r="CH469" s="653"/>
      <c r="CI469" s="653"/>
      <c r="CJ469" s="653"/>
      <c r="CK469" s="653"/>
      <c r="CL469" s="653"/>
      <c r="CM469" s="653"/>
      <c r="CN469" s="653"/>
      <c r="CO469" s="653"/>
      <c r="CP469" s="653"/>
      <c r="CQ469" s="653"/>
      <c r="CR469" s="653"/>
      <c r="CS469" s="653"/>
      <c r="CT469" s="653"/>
      <c r="CU469" s="653"/>
      <c r="CV469" s="653"/>
      <c r="CW469" s="653"/>
      <c r="CX469" s="653"/>
      <c r="CY469" s="653"/>
      <c r="CZ469" s="653"/>
      <c r="DA469" s="653"/>
      <c r="DB469" s="653"/>
      <c r="DC469" s="653"/>
      <c r="DD469" s="653"/>
      <c r="DE469" s="653"/>
      <c r="DF469" s="653"/>
      <c r="DG469" s="653"/>
      <c r="DH469" s="653"/>
      <c r="DI469" s="653"/>
      <c r="DJ469" s="653"/>
      <c r="DK469" s="653"/>
      <c r="DL469" s="653"/>
      <c r="DM469" s="653"/>
      <c r="DN469" s="653"/>
      <c r="DO469" s="653"/>
      <c r="DP469" s="653"/>
      <c r="DQ469" s="653"/>
      <c r="DR469" s="653"/>
      <c r="DS469" s="653"/>
      <c r="DT469" s="653"/>
      <c r="DU469" s="653"/>
      <c r="DV469" s="653"/>
      <c r="DW469" s="653"/>
      <c r="DX469" s="653"/>
      <c r="DY469" s="653"/>
      <c r="DZ469" s="653"/>
      <c r="EA469" s="653"/>
      <c r="EB469" s="653"/>
      <c r="EC469" s="653"/>
      <c r="ED469" s="653"/>
      <c r="EE469" s="648"/>
      <c r="EF469" s="651"/>
      <c r="EG469" s="651"/>
      <c r="EH469" s="651"/>
      <c r="EI469" s="216"/>
      <c r="EJ469" s="662"/>
      <c r="EK469" s="662"/>
      <c r="EL469" s="662"/>
      <c r="EM469" s="662"/>
      <c r="EN469" s="662"/>
      <c r="EO469" s="662"/>
      <c r="EP469" s="662"/>
      <c r="EQ469" s="662"/>
      <c r="ER469" s="662"/>
      <c r="ES469" s="662"/>
      <c r="ET469" s="662"/>
      <c r="EU469" s="662"/>
      <c r="EV469" s="662"/>
      <c r="EW469" s="662"/>
      <c r="EX469" s="662"/>
      <c r="EY469" s="662"/>
      <c r="EZ469" s="662"/>
      <c r="FA469" s="662"/>
      <c r="FB469" s="662"/>
      <c r="FC469" s="662"/>
      <c r="FD469" s="662"/>
      <c r="FE469" s="662"/>
      <c r="FF469" s="662"/>
      <c r="FG469" s="662"/>
      <c r="FH469" s="662"/>
      <c r="FI469" s="662"/>
      <c r="FJ469" s="662"/>
      <c r="FK469" s="662"/>
      <c r="FL469" s="662"/>
      <c r="FM469" s="662"/>
      <c r="FN469" s="662"/>
      <c r="FO469" s="662"/>
      <c r="FP469" s="662"/>
      <c r="FQ469" s="662"/>
      <c r="FR469" s="662"/>
      <c r="FS469" s="662"/>
      <c r="FT469" s="662"/>
      <c r="FU469" s="662"/>
      <c r="FV469" s="662"/>
      <c r="FW469" s="662"/>
      <c r="FX469" s="662"/>
      <c r="FY469" s="662"/>
      <c r="FZ469" s="662"/>
      <c r="GA469" s="662"/>
      <c r="GB469" s="662"/>
      <c r="GC469" s="662"/>
      <c r="GD469" s="662"/>
      <c r="GE469" s="662"/>
      <c r="GF469" s="662"/>
      <c r="GG469" s="662"/>
      <c r="GH469" s="662"/>
      <c r="GI469" s="662"/>
      <c r="GJ469" s="662"/>
      <c r="GK469" s="662"/>
      <c r="GL469" s="662"/>
      <c r="GM469" s="662"/>
      <c r="GN469" s="662"/>
      <c r="GO469" s="662"/>
      <c r="GP469" s="662"/>
      <c r="GQ469" s="662"/>
      <c r="GR469" s="662"/>
      <c r="GS469" s="662"/>
      <c r="GT469" s="662"/>
      <c r="GU469" s="662"/>
      <c r="GV469" s="662"/>
      <c r="GW469" s="662"/>
      <c r="GX469" s="662"/>
      <c r="GY469" s="662"/>
      <c r="GZ469" s="662"/>
      <c r="HA469" s="662"/>
      <c r="HB469" s="662"/>
      <c r="HC469" s="662"/>
      <c r="HD469" s="662"/>
      <c r="HE469" s="662"/>
      <c r="HF469" s="662"/>
      <c r="HG469" s="662"/>
      <c r="HH469" s="662"/>
      <c r="HI469" s="662"/>
      <c r="HJ469" s="662"/>
      <c r="HK469" s="662"/>
      <c r="HL469" s="662"/>
      <c r="HM469" s="662"/>
      <c r="HN469" s="662"/>
      <c r="HO469" s="662"/>
      <c r="HP469" s="662"/>
      <c r="HQ469" s="662"/>
      <c r="HR469" s="662"/>
      <c r="HS469" s="662"/>
      <c r="HT469" s="662"/>
      <c r="HU469" s="662"/>
      <c r="HV469" s="662"/>
      <c r="HW469" s="662"/>
      <c r="HX469" s="662"/>
      <c r="HY469" s="662"/>
      <c r="HZ469" s="662"/>
      <c r="IA469" s="662"/>
      <c r="IB469" s="662"/>
      <c r="IC469" s="662"/>
      <c r="ID469" s="662"/>
      <c r="IE469" s="662"/>
      <c r="IF469" s="662"/>
      <c r="IG469" s="662"/>
      <c r="IH469" s="662"/>
      <c r="II469" s="662"/>
      <c r="IJ469" s="662"/>
      <c r="IK469" s="662"/>
      <c r="IL469" s="662"/>
      <c r="IM469" s="662"/>
      <c r="IN469" s="662"/>
      <c r="IO469" s="662"/>
      <c r="IP469" s="662"/>
      <c r="IQ469" s="653"/>
    </row>
    <row r="470" spans="18:251" ht="16.5" hidden="1" customHeight="1">
      <c r="R470" s="648"/>
      <c r="S470" s="648"/>
      <c r="T470" s="648"/>
      <c r="U470" s="653"/>
      <c r="V470" s="649"/>
      <c r="W470" s="653"/>
      <c r="X470" s="653"/>
      <c r="Y470" s="653"/>
      <c r="Z470" s="653"/>
      <c r="AA470" s="653"/>
      <c r="AB470" s="653"/>
      <c r="AC470" s="653"/>
      <c r="AD470" s="653"/>
      <c r="AE470" s="653"/>
      <c r="AF470" s="653"/>
      <c r="AG470" s="653"/>
      <c r="AH470" s="653"/>
      <c r="AI470" s="653"/>
      <c r="AJ470" s="653"/>
      <c r="AK470" s="653"/>
      <c r="AL470" s="653"/>
      <c r="AM470" s="653"/>
      <c r="AN470" s="653"/>
      <c r="AO470" s="653"/>
      <c r="AP470" s="653"/>
      <c r="AQ470" s="653"/>
      <c r="AR470" s="653"/>
      <c r="AS470" s="653"/>
      <c r="AT470" s="653"/>
      <c r="AU470" s="653"/>
      <c r="AV470" s="653"/>
      <c r="AW470" s="653"/>
      <c r="AX470" s="653"/>
      <c r="AY470" s="653"/>
      <c r="AZ470" s="653"/>
      <c r="BA470" s="653"/>
      <c r="BB470" s="653"/>
      <c r="BC470" s="653"/>
      <c r="BD470" s="653"/>
      <c r="BE470" s="653"/>
      <c r="BF470" s="653"/>
      <c r="BG470" s="653"/>
      <c r="BH470" s="653"/>
      <c r="BI470" s="653"/>
      <c r="BJ470" s="653"/>
      <c r="BK470" s="653"/>
      <c r="BL470" s="653"/>
      <c r="BM470" s="653"/>
      <c r="BN470" s="653"/>
      <c r="BO470" s="653"/>
      <c r="BP470" s="653"/>
      <c r="BQ470" s="653"/>
      <c r="BR470" s="653"/>
      <c r="BS470" s="653"/>
      <c r="BT470" s="653"/>
      <c r="BU470" s="653"/>
      <c r="BV470" s="653"/>
      <c r="BW470" s="653"/>
      <c r="BX470" s="653"/>
      <c r="BY470" s="653"/>
      <c r="BZ470" s="653"/>
      <c r="CA470" s="653"/>
      <c r="CB470" s="653"/>
      <c r="CC470" s="653"/>
      <c r="CD470" s="653"/>
      <c r="CE470" s="653"/>
      <c r="CF470" s="653"/>
      <c r="CG470" s="653"/>
      <c r="CH470" s="653"/>
      <c r="CI470" s="653"/>
      <c r="CJ470" s="653"/>
      <c r="CK470" s="653"/>
      <c r="CL470" s="653"/>
      <c r="CM470" s="653"/>
      <c r="CN470" s="653"/>
      <c r="CO470" s="653"/>
      <c r="CP470" s="653"/>
      <c r="CQ470" s="653"/>
      <c r="CR470" s="653"/>
      <c r="CS470" s="653"/>
      <c r="CT470" s="653"/>
      <c r="CU470" s="653"/>
      <c r="CV470" s="653"/>
      <c r="CW470" s="653"/>
      <c r="CX470" s="653"/>
      <c r="CY470" s="653"/>
      <c r="CZ470" s="653"/>
      <c r="DA470" s="653"/>
      <c r="DB470" s="653"/>
      <c r="DC470" s="653"/>
      <c r="DD470" s="653"/>
      <c r="DE470" s="653"/>
      <c r="DF470" s="653"/>
      <c r="DG470" s="653"/>
      <c r="DH470" s="653"/>
      <c r="DI470" s="653"/>
      <c r="DJ470" s="653"/>
      <c r="DK470" s="653"/>
      <c r="DL470" s="653"/>
      <c r="DM470" s="653"/>
      <c r="DN470" s="653"/>
      <c r="DO470" s="653"/>
      <c r="DP470" s="653"/>
      <c r="DQ470" s="653"/>
      <c r="DR470" s="653"/>
      <c r="DS470" s="653"/>
      <c r="DT470" s="653"/>
      <c r="DU470" s="653"/>
      <c r="DV470" s="653"/>
      <c r="DW470" s="653"/>
      <c r="DX470" s="653"/>
      <c r="DY470" s="653"/>
      <c r="DZ470" s="653"/>
      <c r="EA470" s="653"/>
      <c r="EB470" s="653"/>
      <c r="EC470" s="653"/>
      <c r="ED470" s="653"/>
      <c r="EE470" s="648"/>
      <c r="EF470" s="651"/>
      <c r="EG470" s="651"/>
      <c r="EH470" s="651"/>
      <c r="EI470" s="216"/>
      <c r="EJ470" s="662"/>
      <c r="EK470" s="662"/>
      <c r="EL470" s="662"/>
      <c r="EM470" s="662"/>
      <c r="EN470" s="662"/>
      <c r="EO470" s="662"/>
      <c r="EP470" s="662"/>
      <c r="EQ470" s="662"/>
      <c r="ER470" s="662"/>
      <c r="ES470" s="662"/>
      <c r="ET470" s="662"/>
      <c r="EU470" s="662"/>
      <c r="EV470" s="662"/>
      <c r="EW470" s="662"/>
      <c r="EX470" s="662"/>
      <c r="EY470" s="662"/>
      <c r="EZ470" s="662"/>
      <c r="FA470" s="662"/>
      <c r="FB470" s="662"/>
      <c r="FC470" s="662"/>
      <c r="FD470" s="662"/>
      <c r="FE470" s="662"/>
      <c r="FF470" s="662"/>
      <c r="FG470" s="662"/>
      <c r="FH470" s="662"/>
      <c r="FI470" s="662"/>
      <c r="FJ470" s="662"/>
      <c r="FK470" s="662"/>
      <c r="FL470" s="662"/>
      <c r="FM470" s="662"/>
      <c r="FN470" s="662"/>
      <c r="FO470" s="662"/>
      <c r="FP470" s="662"/>
      <c r="FQ470" s="662"/>
      <c r="FR470" s="662"/>
      <c r="FS470" s="662"/>
      <c r="FT470" s="662"/>
      <c r="FU470" s="662"/>
      <c r="FV470" s="662"/>
      <c r="FW470" s="662"/>
      <c r="FX470" s="662"/>
      <c r="FY470" s="662"/>
      <c r="FZ470" s="662"/>
      <c r="GA470" s="662"/>
      <c r="GB470" s="662"/>
      <c r="GC470" s="662"/>
      <c r="GD470" s="662"/>
      <c r="GE470" s="662"/>
      <c r="GF470" s="662"/>
      <c r="GG470" s="662"/>
      <c r="GH470" s="662"/>
      <c r="GI470" s="662"/>
      <c r="GJ470" s="662"/>
      <c r="GK470" s="662"/>
      <c r="GL470" s="662"/>
      <c r="GM470" s="662"/>
      <c r="GN470" s="662"/>
      <c r="GO470" s="662"/>
      <c r="GP470" s="662"/>
      <c r="GQ470" s="662"/>
      <c r="GR470" s="662"/>
      <c r="GS470" s="662"/>
      <c r="GT470" s="662"/>
      <c r="GU470" s="662"/>
      <c r="GV470" s="662"/>
      <c r="GW470" s="662"/>
      <c r="GX470" s="662"/>
      <c r="GY470" s="662"/>
      <c r="GZ470" s="662"/>
      <c r="HA470" s="662"/>
      <c r="HB470" s="662"/>
      <c r="HC470" s="662"/>
      <c r="HD470" s="662"/>
      <c r="HE470" s="662"/>
      <c r="HF470" s="662"/>
      <c r="HG470" s="662"/>
      <c r="HH470" s="662"/>
      <c r="HI470" s="662"/>
      <c r="HJ470" s="662"/>
      <c r="HK470" s="662"/>
      <c r="HL470" s="662"/>
      <c r="HM470" s="662"/>
      <c r="HN470" s="662"/>
      <c r="HO470" s="662"/>
      <c r="HP470" s="662"/>
      <c r="HQ470" s="662"/>
      <c r="HR470" s="662"/>
      <c r="HS470" s="662"/>
      <c r="HT470" s="662"/>
      <c r="HU470" s="662"/>
      <c r="HV470" s="662"/>
      <c r="HW470" s="662"/>
      <c r="HX470" s="662"/>
      <c r="HY470" s="662"/>
      <c r="HZ470" s="662"/>
      <c r="IA470" s="662"/>
      <c r="IB470" s="662"/>
      <c r="IC470" s="662"/>
      <c r="ID470" s="662"/>
      <c r="IE470" s="662"/>
      <c r="IF470" s="662"/>
      <c r="IG470" s="662"/>
      <c r="IH470" s="662"/>
      <c r="II470" s="662"/>
      <c r="IJ470" s="662"/>
      <c r="IK470" s="662"/>
      <c r="IL470" s="662"/>
      <c r="IM470" s="662"/>
      <c r="IN470" s="662"/>
      <c r="IO470" s="662"/>
      <c r="IP470" s="662"/>
      <c r="IQ470" s="653"/>
    </row>
    <row r="471" spans="18:251" ht="16.5" hidden="1" customHeight="1">
      <c r="R471" s="648"/>
      <c r="S471" s="648"/>
      <c r="T471" s="648"/>
      <c r="U471" s="653"/>
      <c r="V471" s="649"/>
      <c r="W471" s="653"/>
      <c r="X471" s="653"/>
      <c r="Y471" s="653"/>
      <c r="Z471" s="653"/>
      <c r="AA471" s="653"/>
      <c r="AB471" s="653"/>
      <c r="AC471" s="653"/>
      <c r="AD471" s="653"/>
      <c r="AE471" s="653"/>
      <c r="AF471" s="653"/>
      <c r="AG471" s="653"/>
      <c r="AH471" s="653"/>
      <c r="AI471" s="653"/>
      <c r="AJ471" s="653"/>
      <c r="AK471" s="653"/>
      <c r="AL471" s="653"/>
      <c r="AM471" s="653"/>
      <c r="AN471" s="653"/>
      <c r="AO471" s="653"/>
      <c r="AP471" s="653"/>
      <c r="AQ471" s="653"/>
      <c r="AR471" s="653"/>
      <c r="AS471" s="653"/>
      <c r="AT471" s="653"/>
      <c r="AU471" s="653"/>
      <c r="AV471" s="653"/>
      <c r="AW471" s="653"/>
      <c r="AX471" s="653"/>
      <c r="AY471" s="653"/>
      <c r="AZ471" s="653"/>
      <c r="BA471" s="653"/>
      <c r="BB471" s="653"/>
      <c r="BC471" s="653"/>
      <c r="BD471" s="653"/>
      <c r="BE471" s="653"/>
      <c r="BF471" s="653"/>
      <c r="BG471" s="653"/>
      <c r="BH471" s="653"/>
      <c r="BI471" s="653"/>
      <c r="BJ471" s="653"/>
      <c r="BK471" s="653"/>
      <c r="BL471" s="653"/>
      <c r="BM471" s="653"/>
      <c r="BN471" s="653"/>
      <c r="BO471" s="653"/>
      <c r="BP471" s="653"/>
      <c r="BQ471" s="653"/>
      <c r="BR471" s="653"/>
      <c r="BS471" s="653"/>
      <c r="BT471" s="653"/>
      <c r="BU471" s="653"/>
      <c r="BV471" s="653"/>
      <c r="BW471" s="653"/>
      <c r="BX471" s="653"/>
      <c r="BY471" s="653"/>
      <c r="BZ471" s="653"/>
      <c r="CA471" s="653"/>
      <c r="CB471" s="653"/>
      <c r="CC471" s="653"/>
      <c r="CD471" s="653"/>
      <c r="CE471" s="653"/>
      <c r="CF471" s="653"/>
      <c r="CG471" s="653"/>
      <c r="CH471" s="653"/>
      <c r="CI471" s="653"/>
      <c r="CJ471" s="653"/>
      <c r="CK471" s="653"/>
      <c r="CL471" s="653"/>
      <c r="CM471" s="653"/>
      <c r="CN471" s="653"/>
      <c r="CO471" s="653"/>
      <c r="CP471" s="653"/>
      <c r="CQ471" s="653"/>
      <c r="CR471" s="653"/>
      <c r="CS471" s="653"/>
      <c r="CT471" s="653"/>
      <c r="CU471" s="653"/>
      <c r="CV471" s="653"/>
      <c r="CW471" s="653"/>
      <c r="CX471" s="653"/>
      <c r="CY471" s="653"/>
      <c r="CZ471" s="653"/>
      <c r="DA471" s="653"/>
      <c r="DB471" s="653"/>
      <c r="DC471" s="653"/>
      <c r="DD471" s="653"/>
      <c r="DE471" s="653"/>
      <c r="DF471" s="653"/>
      <c r="DG471" s="653"/>
      <c r="DH471" s="653"/>
      <c r="DI471" s="653"/>
      <c r="DJ471" s="653"/>
      <c r="DK471" s="653"/>
      <c r="DL471" s="653"/>
      <c r="DM471" s="653"/>
      <c r="DN471" s="653"/>
      <c r="DO471" s="653"/>
      <c r="DP471" s="653"/>
      <c r="DQ471" s="653"/>
      <c r="DR471" s="653"/>
      <c r="DS471" s="653"/>
      <c r="DT471" s="653"/>
      <c r="DU471" s="653"/>
      <c r="DV471" s="653"/>
      <c r="DW471" s="653"/>
      <c r="DX471" s="653"/>
      <c r="DY471" s="653"/>
      <c r="DZ471" s="653"/>
      <c r="EA471" s="653"/>
      <c r="EB471" s="653"/>
      <c r="EC471" s="653"/>
      <c r="ED471" s="653"/>
      <c r="EE471" s="648"/>
      <c r="EF471" s="651"/>
      <c r="EG471" s="651"/>
      <c r="EH471" s="651"/>
      <c r="EI471" s="216"/>
      <c r="EJ471" s="662"/>
      <c r="EK471" s="662"/>
      <c r="EL471" s="662"/>
      <c r="EM471" s="662"/>
      <c r="EN471" s="662"/>
      <c r="EO471" s="662"/>
      <c r="EP471" s="662"/>
      <c r="EQ471" s="662"/>
      <c r="ER471" s="662"/>
      <c r="ES471" s="662"/>
      <c r="ET471" s="662"/>
      <c r="EU471" s="662"/>
      <c r="EV471" s="662"/>
      <c r="EW471" s="662"/>
      <c r="EX471" s="662"/>
      <c r="EY471" s="662"/>
      <c r="EZ471" s="662"/>
      <c r="FA471" s="662"/>
      <c r="FB471" s="662"/>
      <c r="FC471" s="662"/>
      <c r="FD471" s="662"/>
      <c r="FE471" s="662"/>
      <c r="FF471" s="662"/>
      <c r="FG471" s="662"/>
      <c r="FH471" s="662"/>
      <c r="FI471" s="662"/>
      <c r="FJ471" s="662"/>
      <c r="FK471" s="662"/>
      <c r="FL471" s="662"/>
      <c r="FM471" s="662"/>
      <c r="FN471" s="662"/>
      <c r="FO471" s="662"/>
      <c r="FP471" s="662"/>
      <c r="FQ471" s="662"/>
      <c r="FR471" s="662"/>
      <c r="FS471" s="662"/>
      <c r="FT471" s="662"/>
      <c r="FU471" s="662"/>
      <c r="FV471" s="662"/>
      <c r="FW471" s="662"/>
      <c r="FX471" s="662"/>
      <c r="FY471" s="662"/>
      <c r="FZ471" s="662"/>
      <c r="GA471" s="662"/>
      <c r="GB471" s="662"/>
      <c r="GC471" s="662"/>
      <c r="GD471" s="662"/>
      <c r="GE471" s="662"/>
      <c r="GF471" s="662"/>
      <c r="GG471" s="662"/>
      <c r="GH471" s="662"/>
      <c r="GI471" s="662"/>
      <c r="GJ471" s="662"/>
      <c r="GK471" s="662"/>
      <c r="GL471" s="662"/>
      <c r="GM471" s="662"/>
      <c r="GN471" s="662"/>
      <c r="GO471" s="662"/>
      <c r="GP471" s="662"/>
      <c r="GQ471" s="662"/>
      <c r="GR471" s="662"/>
      <c r="GS471" s="662"/>
      <c r="GT471" s="662"/>
      <c r="GU471" s="662"/>
      <c r="GV471" s="662"/>
      <c r="GW471" s="662"/>
      <c r="GX471" s="662"/>
      <c r="GY471" s="662"/>
      <c r="GZ471" s="662"/>
      <c r="HA471" s="662"/>
      <c r="HB471" s="662"/>
      <c r="HC471" s="662"/>
      <c r="HD471" s="662"/>
      <c r="HE471" s="662"/>
      <c r="HF471" s="662"/>
      <c r="HG471" s="662"/>
      <c r="HH471" s="662"/>
      <c r="HI471" s="662"/>
      <c r="HJ471" s="662"/>
      <c r="HK471" s="662"/>
      <c r="HL471" s="662"/>
      <c r="HM471" s="662"/>
      <c r="HN471" s="662"/>
      <c r="HO471" s="662"/>
      <c r="HP471" s="662"/>
      <c r="HQ471" s="662"/>
      <c r="HR471" s="662"/>
      <c r="HS471" s="662"/>
      <c r="HT471" s="662"/>
      <c r="HU471" s="662"/>
      <c r="HV471" s="662"/>
      <c r="HW471" s="662"/>
      <c r="HX471" s="662"/>
      <c r="HY471" s="662"/>
      <c r="HZ471" s="662"/>
      <c r="IA471" s="662"/>
      <c r="IB471" s="662"/>
      <c r="IC471" s="662"/>
      <c r="ID471" s="662"/>
      <c r="IE471" s="662"/>
      <c r="IF471" s="662"/>
      <c r="IG471" s="662"/>
      <c r="IH471" s="662"/>
      <c r="II471" s="662"/>
      <c r="IJ471" s="662"/>
      <c r="IK471" s="662"/>
      <c r="IL471" s="662"/>
      <c r="IM471" s="662"/>
      <c r="IN471" s="662"/>
      <c r="IO471" s="662"/>
      <c r="IP471" s="662"/>
      <c r="IQ471" s="653"/>
    </row>
    <row r="472" spans="18:251" ht="16.5" hidden="1" customHeight="1">
      <c r="R472" s="648"/>
      <c r="S472" s="648"/>
      <c r="T472" s="648"/>
      <c r="U472" s="653"/>
      <c r="V472" s="649"/>
      <c r="W472" s="653"/>
      <c r="X472" s="653"/>
      <c r="Y472" s="653"/>
      <c r="Z472" s="653"/>
      <c r="AA472" s="653"/>
      <c r="AB472" s="653"/>
      <c r="AC472" s="653"/>
      <c r="AD472" s="653"/>
      <c r="AE472" s="653"/>
      <c r="AF472" s="653"/>
      <c r="AG472" s="653"/>
      <c r="AH472" s="653"/>
      <c r="AI472" s="653"/>
      <c r="AJ472" s="653"/>
      <c r="AK472" s="653"/>
      <c r="AL472" s="653"/>
      <c r="AM472" s="653"/>
      <c r="AN472" s="653"/>
      <c r="AO472" s="653"/>
      <c r="AP472" s="653"/>
      <c r="AQ472" s="653"/>
      <c r="AR472" s="653"/>
      <c r="AS472" s="653"/>
      <c r="AT472" s="653"/>
      <c r="AU472" s="653"/>
      <c r="AV472" s="653"/>
      <c r="AW472" s="653"/>
      <c r="AX472" s="653"/>
      <c r="AY472" s="653"/>
      <c r="AZ472" s="653"/>
      <c r="BA472" s="653"/>
      <c r="BB472" s="653"/>
      <c r="BC472" s="653"/>
      <c r="BD472" s="653"/>
      <c r="BE472" s="653"/>
      <c r="BF472" s="653"/>
      <c r="BG472" s="653"/>
      <c r="BH472" s="653"/>
      <c r="BI472" s="653"/>
      <c r="BJ472" s="653"/>
      <c r="BK472" s="653"/>
      <c r="BL472" s="653"/>
      <c r="BM472" s="653"/>
      <c r="BN472" s="653"/>
      <c r="BO472" s="653"/>
      <c r="BP472" s="653"/>
      <c r="BQ472" s="653"/>
      <c r="BR472" s="653"/>
      <c r="BS472" s="653"/>
      <c r="BT472" s="653"/>
      <c r="BU472" s="653"/>
      <c r="BV472" s="653"/>
      <c r="BW472" s="653"/>
      <c r="BX472" s="653"/>
      <c r="BY472" s="653"/>
      <c r="BZ472" s="653"/>
      <c r="CA472" s="653"/>
      <c r="CB472" s="653"/>
      <c r="CC472" s="653"/>
      <c r="CD472" s="653"/>
      <c r="CE472" s="653"/>
      <c r="CF472" s="653"/>
      <c r="CG472" s="653"/>
      <c r="CH472" s="653"/>
      <c r="CI472" s="653"/>
      <c r="CJ472" s="653"/>
      <c r="CK472" s="653"/>
      <c r="CL472" s="653"/>
      <c r="CM472" s="653"/>
      <c r="CN472" s="653"/>
      <c r="CO472" s="653"/>
      <c r="CP472" s="653"/>
      <c r="CQ472" s="653"/>
      <c r="CR472" s="653"/>
      <c r="CS472" s="653"/>
      <c r="CT472" s="653"/>
      <c r="CU472" s="653"/>
      <c r="CV472" s="653"/>
      <c r="CW472" s="653"/>
      <c r="CX472" s="653"/>
      <c r="CY472" s="653"/>
      <c r="CZ472" s="653"/>
      <c r="DA472" s="653"/>
      <c r="DB472" s="653"/>
      <c r="DC472" s="653"/>
      <c r="DD472" s="653"/>
      <c r="DE472" s="653"/>
      <c r="DF472" s="653"/>
      <c r="DG472" s="653"/>
      <c r="DH472" s="653"/>
      <c r="DI472" s="653"/>
      <c r="DJ472" s="653"/>
      <c r="DK472" s="653"/>
      <c r="DL472" s="653"/>
      <c r="DM472" s="653"/>
      <c r="DN472" s="653"/>
      <c r="DO472" s="653"/>
      <c r="DP472" s="653"/>
      <c r="DQ472" s="653"/>
      <c r="DR472" s="653"/>
      <c r="DS472" s="653"/>
      <c r="DT472" s="653"/>
      <c r="DU472" s="653"/>
      <c r="DV472" s="653"/>
      <c r="DW472" s="653"/>
      <c r="DX472" s="653"/>
      <c r="DY472" s="653"/>
      <c r="DZ472" s="653"/>
      <c r="EA472" s="653"/>
      <c r="EB472" s="653"/>
      <c r="EC472" s="653"/>
      <c r="ED472" s="653"/>
      <c r="EE472" s="648"/>
      <c r="EF472" s="651"/>
      <c r="EG472" s="651"/>
      <c r="EH472" s="651"/>
      <c r="EI472" s="216"/>
      <c r="EJ472" s="662"/>
      <c r="EK472" s="662"/>
      <c r="EL472" s="662"/>
      <c r="EM472" s="662"/>
      <c r="EN472" s="662"/>
      <c r="EO472" s="662"/>
      <c r="EP472" s="662"/>
      <c r="EQ472" s="662"/>
      <c r="ER472" s="662"/>
      <c r="ES472" s="662"/>
      <c r="ET472" s="662"/>
      <c r="EU472" s="662"/>
      <c r="EV472" s="662"/>
      <c r="EW472" s="662"/>
      <c r="EX472" s="662"/>
      <c r="EY472" s="662"/>
      <c r="EZ472" s="662"/>
      <c r="FA472" s="662"/>
      <c r="FB472" s="662"/>
      <c r="FC472" s="662"/>
      <c r="FD472" s="662"/>
      <c r="FE472" s="662"/>
      <c r="FF472" s="662"/>
      <c r="FG472" s="662"/>
      <c r="FH472" s="662"/>
      <c r="FI472" s="662"/>
      <c r="FJ472" s="662"/>
      <c r="FK472" s="662"/>
      <c r="FL472" s="662"/>
      <c r="FM472" s="662"/>
      <c r="FN472" s="662"/>
      <c r="FO472" s="662"/>
      <c r="FP472" s="662"/>
      <c r="FQ472" s="662"/>
      <c r="FR472" s="662"/>
      <c r="FS472" s="662"/>
      <c r="FT472" s="662"/>
      <c r="FU472" s="662"/>
      <c r="FV472" s="662"/>
      <c r="FW472" s="662"/>
      <c r="FX472" s="662"/>
      <c r="FY472" s="662"/>
      <c r="FZ472" s="662"/>
      <c r="GA472" s="662"/>
      <c r="GB472" s="662"/>
      <c r="GC472" s="662"/>
      <c r="GD472" s="662"/>
      <c r="GE472" s="662"/>
      <c r="GF472" s="662"/>
      <c r="GG472" s="662"/>
      <c r="GH472" s="662"/>
      <c r="GI472" s="662"/>
      <c r="GJ472" s="662"/>
      <c r="GK472" s="662"/>
      <c r="GL472" s="662"/>
      <c r="GM472" s="662"/>
      <c r="GN472" s="662"/>
      <c r="GO472" s="662"/>
      <c r="GP472" s="662"/>
      <c r="GQ472" s="662"/>
      <c r="GR472" s="662"/>
      <c r="GS472" s="662"/>
      <c r="GT472" s="662"/>
      <c r="GU472" s="662"/>
      <c r="GV472" s="662"/>
      <c r="GW472" s="662"/>
      <c r="GX472" s="662"/>
      <c r="GY472" s="662"/>
      <c r="GZ472" s="662"/>
      <c r="HA472" s="662"/>
      <c r="HB472" s="662"/>
      <c r="HC472" s="662"/>
      <c r="HD472" s="662"/>
      <c r="HE472" s="662"/>
      <c r="HF472" s="662"/>
      <c r="HG472" s="662"/>
      <c r="HH472" s="662"/>
      <c r="HI472" s="662"/>
      <c r="HJ472" s="662"/>
      <c r="HK472" s="662"/>
      <c r="HL472" s="662"/>
      <c r="HM472" s="662"/>
      <c r="HN472" s="662"/>
      <c r="HO472" s="662"/>
      <c r="HP472" s="662"/>
      <c r="HQ472" s="662"/>
      <c r="HR472" s="662"/>
      <c r="HS472" s="662"/>
      <c r="HT472" s="662"/>
      <c r="HU472" s="662"/>
      <c r="HV472" s="662"/>
      <c r="HW472" s="662"/>
      <c r="HX472" s="662"/>
      <c r="HY472" s="662"/>
      <c r="HZ472" s="662"/>
      <c r="IA472" s="662"/>
      <c r="IB472" s="662"/>
      <c r="IC472" s="662"/>
      <c r="ID472" s="662"/>
      <c r="IE472" s="662"/>
      <c r="IF472" s="662"/>
      <c r="IG472" s="662"/>
      <c r="IH472" s="662"/>
      <c r="II472" s="662"/>
      <c r="IJ472" s="662"/>
      <c r="IK472" s="662"/>
      <c r="IL472" s="662"/>
      <c r="IM472" s="662"/>
      <c r="IN472" s="662"/>
      <c r="IO472" s="662"/>
      <c r="IP472" s="662"/>
      <c r="IQ472" s="653"/>
    </row>
    <row r="473" spans="18:251" ht="16.5" hidden="1" customHeight="1">
      <c r="R473" s="648"/>
      <c r="S473" s="648"/>
      <c r="T473" s="648"/>
      <c r="U473" s="653"/>
      <c r="V473" s="649"/>
      <c r="W473" s="653"/>
      <c r="X473" s="653"/>
      <c r="Y473" s="653"/>
      <c r="Z473" s="653"/>
      <c r="AA473" s="653"/>
      <c r="AB473" s="653"/>
      <c r="AC473" s="653"/>
      <c r="AD473" s="653"/>
      <c r="AE473" s="653"/>
      <c r="AF473" s="653"/>
      <c r="AG473" s="653"/>
      <c r="AH473" s="653"/>
      <c r="AI473" s="653"/>
      <c r="AJ473" s="653"/>
      <c r="AK473" s="653"/>
      <c r="AL473" s="653"/>
      <c r="AM473" s="653"/>
      <c r="AN473" s="653"/>
      <c r="AO473" s="653"/>
      <c r="AP473" s="653"/>
      <c r="AQ473" s="653"/>
      <c r="AR473" s="653"/>
      <c r="AS473" s="653"/>
      <c r="AT473" s="653"/>
      <c r="AU473" s="653"/>
      <c r="AV473" s="653"/>
      <c r="AW473" s="653"/>
      <c r="AX473" s="653"/>
      <c r="AY473" s="653"/>
      <c r="AZ473" s="653"/>
      <c r="BA473" s="653"/>
      <c r="BB473" s="653"/>
      <c r="BC473" s="653"/>
      <c r="BD473" s="653"/>
      <c r="BE473" s="653"/>
      <c r="BF473" s="653"/>
      <c r="BG473" s="653"/>
      <c r="BH473" s="653"/>
      <c r="BI473" s="653"/>
      <c r="BJ473" s="653"/>
      <c r="BK473" s="653"/>
      <c r="BL473" s="653"/>
      <c r="BM473" s="653"/>
      <c r="BN473" s="653"/>
      <c r="BO473" s="653"/>
      <c r="BP473" s="653"/>
      <c r="BQ473" s="653"/>
      <c r="BR473" s="653"/>
      <c r="BS473" s="653"/>
      <c r="BT473" s="653"/>
      <c r="BU473" s="653"/>
      <c r="BV473" s="653"/>
      <c r="BW473" s="653"/>
      <c r="BX473" s="653"/>
      <c r="BY473" s="653"/>
      <c r="BZ473" s="653"/>
      <c r="CA473" s="653"/>
      <c r="CB473" s="653"/>
      <c r="CC473" s="653"/>
      <c r="CD473" s="653"/>
      <c r="CE473" s="653"/>
      <c r="CF473" s="653"/>
      <c r="CG473" s="653"/>
      <c r="CH473" s="653"/>
      <c r="CI473" s="653"/>
      <c r="CJ473" s="653"/>
      <c r="CK473" s="653"/>
      <c r="CL473" s="653"/>
      <c r="CM473" s="653"/>
      <c r="CN473" s="653"/>
      <c r="CO473" s="653"/>
      <c r="CP473" s="653"/>
      <c r="CQ473" s="653"/>
      <c r="CR473" s="653"/>
      <c r="CS473" s="653"/>
      <c r="CT473" s="653"/>
      <c r="CU473" s="653"/>
      <c r="CV473" s="653"/>
      <c r="CW473" s="653"/>
      <c r="CX473" s="653"/>
      <c r="CY473" s="653"/>
      <c r="CZ473" s="653"/>
      <c r="DA473" s="653"/>
      <c r="DB473" s="653"/>
      <c r="DC473" s="653"/>
      <c r="DD473" s="653"/>
      <c r="DE473" s="653"/>
      <c r="DF473" s="653"/>
      <c r="DG473" s="653"/>
      <c r="DH473" s="653"/>
      <c r="DI473" s="653"/>
      <c r="DJ473" s="653"/>
      <c r="DK473" s="653"/>
      <c r="DL473" s="653"/>
      <c r="DM473" s="653"/>
      <c r="DN473" s="653"/>
      <c r="DO473" s="653"/>
      <c r="DP473" s="653"/>
      <c r="DQ473" s="653"/>
      <c r="DR473" s="653"/>
      <c r="DS473" s="653"/>
      <c r="DT473" s="653"/>
      <c r="DU473" s="653"/>
      <c r="DV473" s="653"/>
      <c r="DW473" s="653"/>
      <c r="DX473" s="653"/>
      <c r="DY473" s="653"/>
      <c r="DZ473" s="653"/>
      <c r="EA473" s="653"/>
      <c r="EB473" s="653"/>
      <c r="EC473" s="653"/>
      <c r="ED473" s="653"/>
      <c r="EE473" s="648"/>
      <c r="EF473" s="651"/>
      <c r="EG473" s="651"/>
      <c r="EH473" s="651"/>
      <c r="EI473" s="216"/>
      <c r="EJ473" s="662"/>
      <c r="EK473" s="662"/>
      <c r="EL473" s="662"/>
      <c r="EM473" s="662"/>
      <c r="EN473" s="662"/>
      <c r="EO473" s="662"/>
      <c r="EP473" s="662"/>
      <c r="EQ473" s="662"/>
      <c r="ER473" s="662"/>
      <c r="ES473" s="662"/>
      <c r="ET473" s="662"/>
      <c r="EU473" s="662"/>
      <c r="EV473" s="662"/>
      <c r="EW473" s="662"/>
      <c r="EX473" s="662"/>
      <c r="EY473" s="662"/>
      <c r="EZ473" s="662"/>
      <c r="FA473" s="662"/>
      <c r="FB473" s="662"/>
      <c r="FC473" s="662"/>
      <c r="FD473" s="662"/>
      <c r="FE473" s="662"/>
      <c r="FF473" s="662"/>
      <c r="FG473" s="662"/>
      <c r="FH473" s="662"/>
      <c r="FI473" s="662"/>
      <c r="FJ473" s="662"/>
      <c r="FK473" s="662"/>
      <c r="FL473" s="662"/>
      <c r="FM473" s="662"/>
      <c r="FN473" s="662"/>
      <c r="FO473" s="662"/>
      <c r="FP473" s="662"/>
      <c r="FQ473" s="662"/>
      <c r="FR473" s="662"/>
      <c r="FS473" s="662"/>
      <c r="FT473" s="662"/>
      <c r="FU473" s="662"/>
      <c r="FV473" s="662"/>
      <c r="FW473" s="662"/>
      <c r="FX473" s="662"/>
      <c r="FY473" s="662"/>
      <c r="FZ473" s="662"/>
      <c r="GA473" s="662"/>
      <c r="GB473" s="662"/>
      <c r="GC473" s="662"/>
      <c r="GD473" s="662"/>
      <c r="GE473" s="662"/>
      <c r="GF473" s="662"/>
      <c r="GG473" s="662"/>
      <c r="GH473" s="662"/>
      <c r="GI473" s="662"/>
      <c r="GJ473" s="662"/>
      <c r="GK473" s="662"/>
      <c r="GL473" s="662"/>
      <c r="GM473" s="662"/>
      <c r="GN473" s="662"/>
      <c r="GO473" s="662"/>
      <c r="GP473" s="662"/>
      <c r="GQ473" s="662"/>
      <c r="GR473" s="662"/>
      <c r="GS473" s="662"/>
      <c r="GT473" s="662"/>
      <c r="GU473" s="662"/>
      <c r="GV473" s="662"/>
      <c r="GW473" s="662"/>
      <c r="GX473" s="662"/>
      <c r="GY473" s="662"/>
      <c r="GZ473" s="662"/>
      <c r="HA473" s="662"/>
      <c r="HB473" s="662"/>
      <c r="HC473" s="662"/>
      <c r="HD473" s="662"/>
      <c r="HE473" s="662"/>
      <c r="HF473" s="662"/>
      <c r="HG473" s="662"/>
      <c r="HH473" s="662"/>
      <c r="HI473" s="662"/>
      <c r="HJ473" s="662"/>
      <c r="HK473" s="662"/>
      <c r="HL473" s="662"/>
      <c r="HM473" s="662"/>
      <c r="HN473" s="662"/>
      <c r="HO473" s="662"/>
      <c r="HP473" s="662"/>
      <c r="HQ473" s="662"/>
      <c r="HR473" s="662"/>
      <c r="HS473" s="662"/>
      <c r="HT473" s="662"/>
      <c r="HU473" s="662"/>
      <c r="HV473" s="662"/>
      <c r="HW473" s="662"/>
      <c r="HX473" s="662"/>
      <c r="HY473" s="662"/>
      <c r="HZ473" s="662"/>
      <c r="IA473" s="662"/>
      <c r="IB473" s="662"/>
      <c r="IC473" s="662"/>
      <c r="ID473" s="662"/>
      <c r="IE473" s="662"/>
      <c r="IF473" s="662"/>
      <c r="IG473" s="662"/>
      <c r="IH473" s="662"/>
      <c r="II473" s="662"/>
      <c r="IJ473" s="662"/>
      <c r="IK473" s="662"/>
      <c r="IL473" s="662"/>
      <c r="IM473" s="662"/>
      <c r="IN473" s="662"/>
      <c r="IO473" s="662"/>
      <c r="IP473" s="662"/>
      <c r="IQ473" s="653"/>
    </row>
    <row r="474" spans="18:251" ht="16.5" hidden="1" customHeight="1">
      <c r="R474" s="648"/>
      <c r="S474" s="648"/>
      <c r="T474" s="648"/>
      <c r="U474" s="653"/>
      <c r="V474" s="649"/>
      <c r="W474" s="653"/>
      <c r="X474" s="653"/>
      <c r="Y474" s="653"/>
      <c r="Z474" s="653"/>
      <c r="AA474" s="653"/>
      <c r="AB474" s="653"/>
      <c r="AC474" s="653"/>
      <c r="AD474" s="653"/>
      <c r="AE474" s="653"/>
      <c r="AF474" s="653"/>
      <c r="AG474" s="653"/>
      <c r="AH474" s="653"/>
      <c r="AI474" s="653"/>
      <c r="AJ474" s="653"/>
      <c r="AK474" s="653"/>
      <c r="AL474" s="653"/>
      <c r="AM474" s="653"/>
      <c r="AN474" s="653"/>
      <c r="AO474" s="653"/>
      <c r="AP474" s="653"/>
      <c r="AQ474" s="653"/>
      <c r="AR474" s="653"/>
      <c r="AS474" s="653"/>
      <c r="AT474" s="653"/>
      <c r="AU474" s="653"/>
      <c r="AV474" s="653"/>
      <c r="AW474" s="653"/>
      <c r="AX474" s="653"/>
      <c r="AY474" s="653"/>
      <c r="AZ474" s="653"/>
      <c r="BA474" s="653"/>
      <c r="BB474" s="653"/>
      <c r="BC474" s="653"/>
      <c r="BD474" s="653"/>
      <c r="BE474" s="653"/>
      <c r="BF474" s="653"/>
      <c r="BG474" s="653"/>
      <c r="BH474" s="653"/>
      <c r="BI474" s="653"/>
      <c r="BJ474" s="653"/>
      <c r="BK474" s="653"/>
      <c r="BL474" s="653"/>
      <c r="BM474" s="653"/>
      <c r="BN474" s="653"/>
      <c r="BO474" s="653"/>
      <c r="BP474" s="653"/>
      <c r="BQ474" s="653"/>
      <c r="BR474" s="653"/>
      <c r="BS474" s="653"/>
      <c r="BT474" s="653"/>
      <c r="BU474" s="653"/>
      <c r="BV474" s="653"/>
      <c r="BW474" s="653"/>
      <c r="BX474" s="653"/>
      <c r="BY474" s="653"/>
      <c r="BZ474" s="653"/>
      <c r="CA474" s="653"/>
      <c r="CB474" s="653"/>
      <c r="CC474" s="653"/>
      <c r="CD474" s="653"/>
      <c r="CE474" s="653"/>
      <c r="CF474" s="653"/>
      <c r="CG474" s="653"/>
      <c r="CH474" s="653"/>
      <c r="CI474" s="653"/>
      <c r="CJ474" s="653"/>
      <c r="CK474" s="653"/>
      <c r="CL474" s="653"/>
      <c r="CM474" s="653"/>
      <c r="CN474" s="653"/>
      <c r="CO474" s="653"/>
      <c r="CP474" s="653"/>
      <c r="CQ474" s="653"/>
      <c r="CR474" s="653"/>
      <c r="CS474" s="653"/>
      <c r="CT474" s="653"/>
      <c r="CU474" s="653"/>
      <c r="CV474" s="653"/>
      <c r="CW474" s="653"/>
      <c r="CX474" s="653"/>
      <c r="CY474" s="653"/>
      <c r="CZ474" s="653"/>
      <c r="DA474" s="653"/>
      <c r="DB474" s="653"/>
      <c r="DC474" s="653"/>
      <c r="DD474" s="653"/>
      <c r="DE474" s="653"/>
      <c r="DF474" s="653"/>
      <c r="DG474" s="653"/>
      <c r="DH474" s="653"/>
      <c r="DI474" s="653"/>
      <c r="DJ474" s="653"/>
      <c r="DK474" s="653"/>
      <c r="DL474" s="653"/>
      <c r="DM474" s="653"/>
      <c r="DN474" s="653"/>
      <c r="DO474" s="653"/>
      <c r="DP474" s="653"/>
      <c r="DQ474" s="653"/>
      <c r="DR474" s="653"/>
      <c r="DS474" s="653"/>
      <c r="DT474" s="653"/>
      <c r="DU474" s="653"/>
      <c r="DV474" s="653"/>
      <c r="DW474" s="653"/>
      <c r="DX474" s="653"/>
      <c r="DY474" s="653"/>
      <c r="DZ474" s="653"/>
      <c r="EA474" s="653"/>
      <c r="EB474" s="653"/>
      <c r="EC474" s="653"/>
      <c r="ED474" s="653"/>
      <c r="EE474" s="648"/>
      <c r="EF474" s="651"/>
      <c r="EG474" s="651"/>
      <c r="EH474" s="651"/>
      <c r="EI474" s="216"/>
      <c r="EJ474" s="662"/>
      <c r="EK474" s="662"/>
      <c r="EL474" s="662"/>
      <c r="EM474" s="662"/>
      <c r="EN474" s="662"/>
      <c r="EO474" s="662"/>
      <c r="EP474" s="662"/>
      <c r="EQ474" s="662"/>
      <c r="ER474" s="662"/>
      <c r="ES474" s="662"/>
      <c r="ET474" s="662"/>
      <c r="EU474" s="662"/>
      <c r="EV474" s="662"/>
      <c r="EW474" s="662"/>
      <c r="EX474" s="662"/>
      <c r="EY474" s="662"/>
      <c r="EZ474" s="662"/>
      <c r="FA474" s="662"/>
      <c r="FB474" s="662"/>
      <c r="FC474" s="662"/>
      <c r="FD474" s="662"/>
      <c r="FE474" s="662"/>
      <c r="FF474" s="662"/>
      <c r="FG474" s="662"/>
      <c r="FH474" s="662"/>
      <c r="FI474" s="662"/>
      <c r="FJ474" s="662"/>
      <c r="FK474" s="662"/>
      <c r="FL474" s="662"/>
      <c r="FM474" s="662"/>
      <c r="FN474" s="662"/>
      <c r="FO474" s="662"/>
      <c r="FP474" s="662"/>
      <c r="FQ474" s="662"/>
      <c r="FR474" s="662"/>
      <c r="FS474" s="662"/>
      <c r="FT474" s="662"/>
      <c r="FU474" s="662"/>
      <c r="FV474" s="662"/>
      <c r="FW474" s="662"/>
      <c r="FX474" s="662"/>
      <c r="FY474" s="662"/>
      <c r="FZ474" s="662"/>
      <c r="GA474" s="662"/>
      <c r="GB474" s="662"/>
      <c r="GC474" s="662"/>
      <c r="GD474" s="662"/>
      <c r="GE474" s="662"/>
      <c r="GF474" s="662"/>
      <c r="GG474" s="662"/>
      <c r="GH474" s="662"/>
      <c r="GI474" s="662"/>
      <c r="GJ474" s="662"/>
      <c r="GK474" s="662"/>
      <c r="GL474" s="662"/>
      <c r="GM474" s="662"/>
      <c r="GN474" s="662"/>
      <c r="GO474" s="662"/>
      <c r="GP474" s="662"/>
      <c r="GQ474" s="662"/>
      <c r="GR474" s="662"/>
      <c r="GS474" s="662"/>
      <c r="GT474" s="662"/>
      <c r="GU474" s="662"/>
      <c r="GV474" s="662"/>
      <c r="GW474" s="662"/>
      <c r="GX474" s="662"/>
      <c r="GY474" s="662"/>
      <c r="GZ474" s="662"/>
      <c r="HA474" s="662"/>
      <c r="HB474" s="662"/>
      <c r="HC474" s="662"/>
      <c r="HD474" s="662"/>
      <c r="HE474" s="662"/>
      <c r="HF474" s="662"/>
      <c r="HG474" s="662"/>
      <c r="HH474" s="662"/>
      <c r="HI474" s="662"/>
      <c r="HJ474" s="662"/>
      <c r="HK474" s="662"/>
      <c r="HL474" s="662"/>
      <c r="HM474" s="662"/>
      <c r="HN474" s="662"/>
      <c r="HO474" s="662"/>
      <c r="HP474" s="662"/>
      <c r="HQ474" s="662"/>
      <c r="HR474" s="662"/>
      <c r="HS474" s="662"/>
      <c r="HT474" s="662"/>
      <c r="HU474" s="662"/>
      <c r="HV474" s="662"/>
      <c r="HW474" s="662"/>
      <c r="HX474" s="662"/>
      <c r="HY474" s="662"/>
      <c r="HZ474" s="662"/>
      <c r="IA474" s="662"/>
      <c r="IB474" s="662"/>
      <c r="IC474" s="662"/>
      <c r="ID474" s="662"/>
      <c r="IE474" s="662"/>
      <c r="IF474" s="662"/>
      <c r="IG474" s="662"/>
      <c r="IH474" s="662"/>
      <c r="II474" s="662"/>
      <c r="IJ474" s="662"/>
      <c r="IK474" s="662"/>
      <c r="IL474" s="662"/>
      <c r="IM474" s="662"/>
      <c r="IN474" s="662"/>
      <c r="IO474" s="662"/>
      <c r="IP474" s="662"/>
      <c r="IQ474" s="653"/>
    </row>
    <row r="475" spans="18:251" ht="16.5" hidden="1" customHeight="1">
      <c r="R475" s="648"/>
      <c r="S475" s="648"/>
      <c r="T475" s="648"/>
      <c r="U475" s="653"/>
      <c r="V475" s="649"/>
      <c r="W475" s="653"/>
      <c r="X475" s="653"/>
      <c r="Y475" s="653"/>
      <c r="Z475" s="653"/>
      <c r="AA475" s="653"/>
      <c r="AB475" s="653"/>
      <c r="AC475" s="653"/>
      <c r="AD475" s="653"/>
      <c r="AE475" s="653"/>
      <c r="AF475" s="653"/>
      <c r="AG475" s="653"/>
      <c r="AH475" s="653"/>
      <c r="AI475" s="653"/>
      <c r="AJ475" s="653"/>
      <c r="AK475" s="653"/>
      <c r="AL475" s="653"/>
      <c r="AM475" s="653"/>
      <c r="AN475" s="653"/>
      <c r="AO475" s="653"/>
      <c r="AP475" s="653"/>
      <c r="AQ475" s="653"/>
      <c r="AR475" s="653"/>
      <c r="AS475" s="653"/>
      <c r="AT475" s="653"/>
      <c r="AU475" s="653"/>
      <c r="AV475" s="653"/>
      <c r="AW475" s="653"/>
      <c r="AX475" s="653"/>
      <c r="AY475" s="653"/>
      <c r="AZ475" s="653"/>
      <c r="BA475" s="653"/>
      <c r="BB475" s="653"/>
      <c r="BC475" s="653"/>
      <c r="BD475" s="653"/>
      <c r="BE475" s="653"/>
      <c r="BF475" s="653"/>
      <c r="BG475" s="653"/>
      <c r="BH475" s="653"/>
      <c r="BI475" s="653"/>
      <c r="BJ475" s="653"/>
      <c r="BK475" s="653"/>
      <c r="BL475" s="653"/>
      <c r="BM475" s="653"/>
      <c r="BN475" s="653"/>
      <c r="BO475" s="653"/>
      <c r="BP475" s="653"/>
      <c r="BQ475" s="653"/>
      <c r="BR475" s="653"/>
      <c r="BS475" s="653"/>
      <c r="BT475" s="653"/>
      <c r="BU475" s="653"/>
      <c r="BV475" s="653"/>
      <c r="BW475" s="653"/>
      <c r="BX475" s="653"/>
      <c r="BY475" s="653"/>
      <c r="BZ475" s="653"/>
      <c r="CA475" s="653"/>
      <c r="CB475" s="653"/>
      <c r="CC475" s="653"/>
      <c r="CD475" s="653"/>
      <c r="CE475" s="653"/>
      <c r="CF475" s="653"/>
      <c r="CG475" s="653"/>
      <c r="CH475" s="653"/>
      <c r="CI475" s="653"/>
      <c r="CJ475" s="653"/>
      <c r="CK475" s="653"/>
      <c r="CL475" s="653"/>
      <c r="CM475" s="653"/>
      <c r="CN475" s="653"/>
      <c r="CO475" s="653"/>
      <c r="CP475" s="653"/>
      <c r="CQ475" s="653"/>
      <c r="CR475" s="653"/>
      <c r="CS475" s="653"/>
      <c r="CT475" s="653"/>
      <c r="CU475" s="653"/>
      <c r="CV475" s="653"/>
      <c r="CW475" s="653"/>
      <c r="CX475" s="653"/>
      <c r="CY475" s="653"/>
      <c r="CZ475" s="653"/>
      <c r="DA475" s="653"/>
      <c r="DB475" s="653"/>
      <c r="DC475" s="653"/>
      <c r="DD475" s="653"/>
      <c r="DE475" s="653"/>
      <c r="DF475" s="653"/>
      <c r="DG475" s="653"/>
      <c r="DH475" s="653"/>
      <c r="DI475" s="653"/>
      <c r="DJ475" s="653"/>
      <c r="DK475" s="653"/>
      <c r="DL475" s="653"/>
      <c r="DM475" s="653"/>
      <c r="DN475" s="653"/>
      <c r="DO475" s="653"/>
      <c r="DP475" s="653"/>
      <c r="DQ475" s="653"/>
      <c r="DR475" s="653"/>
      <c r="DS475" s="653"/>
      <c r="DT475" s="653"/>
      <c r="DU475" s="653"/>
      <c r="DV475" s="653"/>
      <c r="DW475" s="653"/>
      <c r="DX475" s="653"/>
      <c r="DY475" s="653"/>
      <c r="DZ475" s="653"/>
      <c r="EA475" s="653"/>
      <c r="EB475" s="653"/>
      <c r="EC475" s="653"/>
      <c r="ED475" s="653"/>
      <c r="EE475" s="648"/>
      <c r="EF475" s="651"/>
      <c r="EG475" s="651"/>
      <c r="EH475" s="651"/>
      <c r="EI475" s="216"/>
      <c r="EJ475" s="662"/>
      <c r="EK475" s="662"/>
      <c r="EL475" s="662"/>
      <c r="EM475" s="662"/>
      <c r="EN475" s="662"/>
      <c r="EO475" s="662"/>
      <c r="EP475" s="662"/>
      <c r="EQ475" s="662"/>
      <c r="ER475" s="662"/>
      <c r="ES475" s="662"/>
      <c r="ET475" s="662"/>
      <c r="EU475" s="662"/>
      <c r="EV475" s="662"/>
      <c r="EW475" s="662"/>
      <c r="EX475" s="662"/>
      <c r="EY475" s="662"/>
      <c r="EZ475" s="662"/>
      <c r="FA475" s="662"/>
      <c r="FB475" s="662"/>
      <c r="FC475" s="662"/>
      <c r="FD475" s="662"/>
      <c r="FE475" s="662"/>
      <c r="FF475" s="662"/>
      <c r="FG475" s="662"/>
      <c r="FH475" s="662"/>
      <c r="FI475" s="662"/>
      <c r="FJ475" s="662"/>
      <c r="FK475" s="662"/>
      <c r="FL475" s="662"/>
      <c r="FM475" s="662"/>
      <c r="FN475" s="662"/>
      <c r="FO475" s="662"/>
      <c r="FP475" s="662"/>
      <c r="FQ475" s="662"/>
      <c r="FR475" s="662"/>
      <c r="FS475" s="662"/>
      <c r="FT475" s="662"/>
      <c r="FU475" s="662"/>
      <c r="FV475" s="662"/>
      <c r="FW475" s="662"/>
      <c r="FX475" s="662"/>
      <c r="FY475" s="662"/>
      <c r="FZ475" s="662"/>
      <c r="GA475" s="662"/>
      <c r="GB475" s="662"/>
      <c r="GC475" s="662"/>
      <c r="GD475" s="662"/>
      <c r="GE475" s="662"/>
      <c r="GF475" s="662"/>
      <c r="GG475" s="662"/>
      <c r="GH475" s="662"/>
      <c r="GI475" s="662"/>
      <c r="GJ475" s="662"/>
      <c r="GK475" s="662"/>
      <c r="GL475" s="662"/>
      <c r="GM475" s="662"/>
      <c r="GN475" s="662"/>
      <c r="GO475" s="662"/>
      <c r="GP475" s="662"/>
      <c r="GQ475" s="662"/>
      <c r="GR475" s="662"/>
      <c r="GS475" s="662"/>
      <c r="GT475" s="662"/>
      <c r="GU475" s="662"/>
      <c r="GV475" s="662"/>
      <c r="GW475" s="662"/>
      <c r="GX475" s="662"/>
      <c r="GY475" s="662"/>
      <c r="GZ475" s="662"/>
      <c r="HA475" s="662"/>
      <c r="HB475" s="662"/>
      <c r="HC475" s="662"/>
      <c r="HD475" s="662"/>
      <c r="HE475" s="662"/>
      <c r="HF475" s="662"/>
      <c r="HG475" s="662"/>
      <c r="HH475" s="662"/>
      <c r="HI475" s="662"/>
      <c r="HJ475" s="662"/>
      <c r="HK475" s="662"/>
      <c r="HL475" s="662"/>
      <c r="HM475" s="662"/>
      <c r="HN475" s="662"/>
      <c r="HO475" s="662"/>
      <c r="HP475" s="662"/>
      <c r="HQ475" s="662"/>
      <c r="HR475" s="662"/>
      <c r="HS475" s="662"/>
      <c r="HT475" s="662"/>
      <c r="HU475" s="662"/>
      <c r="HV475" s="662"/>
      <c r="HW475" s="662"/>
      <c r="HX475" s="662"/>
      <c r="HY475" s="662"/>
      <c r="HZ475" s="662"/>
      <c r="IA475" s="662"/>
      <c r="IB475" s="662"/>
      <c r="IC475" s="662"/>
      <c r="ID475" s="662"/>
      <c r="IE475" s="662"/>
      <c r="IF475" s="662"/>
      <c r="IG475" s="662"/>
      <c r="IH475" s="662"/>
      <c r="II475" s="662"/>
      <c r="IJ475" s="662"/>
      <c r="IK475" s="662"/>
      <c r="IL475" s="662"/>
      <c r="IM475" s="662"/>
      <c r="IN475" s="662"/>
      <c r="IO475" s="662"/>
      <c r="IP475" s="662"/>
      <c r="IQ475" s="653"/>
    </row>
    <row r="476" spans="18:251" ht="16.5" hidden="1" customHeight="1">
      <c r="R476" s="648"/>
      <c r="S476" s="648"/>
      <c r="T476" s="648"/>
      <c r="U476" s="653"/>
      <c r="V476" s="649"/>
      <c r="W476" s="653"/>
      <c r="X476" s="653"/>
      <c r="Y476" s="653"/>
      <c r="Z476" s="653"/>
      <c r="AA476" s="653"/>
      <c r="AB476" s="653"/>
      <c r="AC476" s="653"/>
      <c r="AD476" s="653"/>
      <c r="AE476" s="653"/>
      <c r="AF476" s="653"/>
      <c r="AG476" s="653"/>
      <c r="AH476" s="653"/>
      <c r="AI476" s="653"/>
      <c r="AJ476" s="653"/>
      <c r="AK476" s="653"/>
      <c r="AL476" s="653"/>
      <c r="AM476" s="653"/>
      <c r="AN476" s="653"/>
      <c r="AO476" s="653"/>
      <c r="AP476" s="653"/>
      <c r="AQ476" s="653"/>
      <c r="AR476" s="653"/>
      <c r="AS476" s="653"/>
      <c r="AT476" s="653"/>
      <c r="AU476" s="653"/>
      <c r="AV476" s="653"/>
      <c r="AW476" s="653"/>
      <c r="AX476" s="653"/>
      <c r="AY476" s="653"/>
      <c r="AZ476" s="653"/>
      <c r="BA476" s="653"/>
      <c r="BB476" s="653"/>
      <c r="BC476" s="653"/>
      <c r="BD476" s="653"/>
      <c r="BE476" s="653"/>
      <c r="BF476" s="653"/>
      <c r="BG476" s="653"/>
      <c r="BH476" s="653"/>
      <c r="BI476" s="653"/>
      <c r="BJ476" s="653"/>
      <c r="BK476" s="653"/>
      <c r="BL476" s="653"/>
      <c r="BM476" s="653"/>
      <c r="BN476" s="653"/>
      <c r="BO476" s="653"/>
      <c r="BP476" s="653"/>
      <c r="BQ476" s="653"/>
      <c r="BR476" s="653"/>
      <c r="BS476" s="653"/>
      <c r="BT476" s="653"/>
      <c r="BU476" s="653"/>
      <c r="BV476" s="653"/>
      <c r="BW476" s="653"/>
      <c r="BX476" s="653"/>
      <c r="BY476" s="653"/>
      <c r="BZ476" s="653"/>
      <c r="CA476" s="653"/>
      <c r="CB476" s="653"/>
      <c r="CC476" s="653"/>
      <c r="CD476" s="653"/>
      <c r="CE476" s="653"/>
      <c r="CF476" s="653"/>
      <c r="CG476" s="653"/>
      <c r="CH476" s="653"/>
      <c r="CI476" s="653"/>
      <c r="CJ476" s="653"/>
      <c r="CK476" s="653"/>
      <c r="CL476" s="653"/>
      <c r="CM476" s="653"/>
      <c r="CN476" s="653"/>
      <c r="CO476" s="653"/>
      <c r="CP476" s="653"/>
      <c r="CQ476" s="653"/>
      <c r="CR476" s="653"/>
      <c r="CS476" s="653"/>
      <c r="CT476" s="653"/>
      <c r="CU476" s="653"/>
      <c r="CV476" s="653"/>
      <c r="CW476" s="653"/>
      <c r="CX476" s="653"/>
      <c r="CY476" s="653"/>
      <c r="CZ476" s="653"/>
      <c r="DA476" s="653"/>
      <c r="DB476" s="653"/>
      <c r="DC476" s="653"/>
      <c r="DD476" s="653"/>
      <c r="DE476" s="653"/>
      <c r="DF476" s="653"/>
      <c r="DG476" s="653"/>
      <c r="DH476" s="653"/>
      <c r="DI476" s="653"/>
      <c r="DJ476" s="653"/>
      <c r="DK476" s="653"/>
      <c r="DL476" s="653"/>
      <c r="DM476" s="653"/>
      <c r="DN476" s="653"/>
      <c r="DO476" s="653"/>
      <c r="DP476" s="653"/>
      <c r="DQ476" s="653"/>
      <c r="DR476" s="653"/>
      <c r="DS476" s="653"/>
      <c r="DT476" s="653"/>
      <c r="DU476" s="653"/>
      <c r="DV476" s="653"/>
      <c r="DW476" s="653"/>
      <c r="DX476" s="653"/>
      <c r="DY476" s="653"/>
      <c r="DZ476" s="653"/>
      <c r="EA476" s="653"/>
      <c r="EB476" s="653"/>
      <c r="EC476" s="653"/>
      <c r="ED476" s="653"/>
      <c r="EE476" s="648"/>
      <c r="EF476" s="651"/>
      <c r="EG476" s="651"/>
      <c r="EH476" s="651"/>
      <c r="EI476" s="216"/>
      <c r="EJ476" s="662"/>
      <c r="EK476" s="662"/>
      <c r="EL476" s="662"/>
      <c r="EM476" s="662"/>
      <c r="EN476" s="662"/>
      <c r="EO476" s="662"/>
      <c r="EP476" s="662"/>
      <c r="EQ476" s="662"/>
      <c r="ER476" s="662"/>
      <c r="ES476" s="662"/>
      <c r="ET476" s="662"/>
      <c r="EU476" s="662"/>
      <c r="EV476" s="662"/>
      <c r="EW476" s="662"/>
      <c r="EX476" s="662"/>
      <c r="EY476" s="662"/>
      <c r="EZ476" s="662"/>
      <c r="FA476" s="662"/>
      <c r="FB476" s="662"/>
      <c r="FC476" s="662"/>
      <c r="FD476" s="662"/>
      <c r="FE476" s="662"/>
      <c r="FF476" s="662"/>
      <c r="FG476" s="662"/>
      <c r="FH476" s="662"/>
      <c r="FI476" s="662"/>
      <c r="FJ476" s="662"/>
      <c r="FK476" s="662"/>
      <c r="FL476" s="662"/>
      <c r="FM476" s="662"/>
      <c r="FN476" s="662"/>
      <c r="FO476" s="662"/>
      <c r="FP476" s="662"/>
      <c r="FQ476" s="662"/>
      <c r="FR476" s="662"/>
      <c r="FS476" s="662"/>
      <c r="FT476" s="662"/>
      <c r="FU476" s="662"/>
      <c r="FV476" s="662"/>
      <c r="FW476" s="662"/>
      <c r="FX476" s="662"/>
      <c r="FY476" s="662"/>
      <c r="FZ476" s="662"/>
      <c r="GA476" s="662"/>
      <c r="GB476" s="662"/>
      <c r="GC476" s="662"/>
      <c r="GD476" s="662"/>
      <c r="GE476" s="662"/>
      <c r="GF476" s="662"/>
      <c r="GG476" s="662"/>
      <c r="GH476" s="662"/>
      <c r="GI476" s="662"/>
      <c r="GJ476" s="662"/>
      <c r="GK476" s="662"/>
      <c r="GL476" s="662"/>
      <c r="GM476" s="662"/>
      <c r="GN476" s="662"/>
      <c r="GO476" s="662"/>
      <c r="GP476" s="662"/>
      <c r="GQ476" s="662"/>
      <c r="GR476" s="662"/>
      <c r="GS476" s="662"/>
      <c r="GT476" s="662"/>
      <c r="GU476" s="662"/>
      <c r="GV476" s="662"/>
      <c r="GW476" s="662"/>
      <c r="GX476" s="662"/>
      <c r="GY476" s="662"/>
      <c r="GZ476" s="662"/>
      <c r="HA476" s="662"/>
      <c r="HB476" s="662"/>
      <c r="HC476" s="662"/>
      <c r="HD476" s="662"/>
      <c r="HE476" s="662"/>
      <c r="HF476" s="662"/>
      <c r="HG476" s="662"/>
      <c r="HH476" s="662"/>
      <c r="HI476" s="662"/>
      <c r="HJ476" s="662"/>
      <c r="HK476" s="662"/>
      <c r="HL476" s="662"/>
      <c r="HM476" s="662"/>
      <c r="HN476" s="662"/>
      <c r="HO476" s="662"/>
      <c r="HP476" s="662"/>
      <c r="HQ476" s="662"/>
      <c r="HR476" s="662"/>
      <c r="HS476" s="662"/>
      <c r="HT476" s="662"/>
      <c r="HU476" s="662"/>
      <c r="HV476" s="662"/>
      <c r="HW476" s="662"/>
      <c r="HX476" s="662"/>
      <c r="HY476" s="662"/>
      <c r="HZ476" s="662"/>
      <c r="IA476" s="662"/>
      <c r="IB476" s="662"/>
      <c r="IC476" s="662"/>
      <c r="ID476" s="662"/>
      <c r="IE476" s="662"/>
      <c r="IF476" s="662"/>
      <c r="IG476" s="662"/>
      <c r="IH476" s="662"/>
      <c r="II476" s="662"/>
      <c r="IJ476" s="662"/>
      <c r="IK476" s="662"/>
      <c r="IL476" s="662"/>
      <c r="IM476" s="662"/>
      <c r="IN476" s="662"/>
      <c r="IO476" s="662"/>
      <c r="IP476" s="662"/>
      <c r="IQ476" s="653"/>
    </row>
    <row r="477" spans="18:251" ht="16.5" hidden="1" customHeight="1">
      <c r="R477" s="648"/>
      <c r="S477" s="648"/>
      <c r="T477" s="648"/>
      <c r="U477" s="653"/>
      <c r="V477" s="649"/>
      <c r="W477" s="653"/>
      <c r="X477" s="653"/>
      <c r="Y477" s="653"/>
      <c r="Z477" s="653"/>
      <c r="AA477" s="653"/>
      <c r="AB477" s="653"/>
      <c r="AC477" s="653"/>
      <c r="AD477" s="653"/>
      <c r="AE477" s="653"/>
      <c r="AF477" s="653"/>
      <c r="AG477" s="653"/>
      <c r="AH477" s="653"/>
      <c r="AI477" s="653"/>
      <c r="AJ477" s="653"/>
      <c r="AK477" s="653"/>
      <c r="AL477" s="653"/>
      <c r="AM477" s="653"/>
      <c r="AN477" s="653"/>
      <c r="AO477" s="653"/>
      <c r="AP477" s="653"/>
      <c r="AQ477" s="653"/>
      <c r="AR477" s="653"/>
      <c r="AS477" s="653"/>
      <c r="AT477" s="653"/>
      <c r="AU477" s="653"/>
      <c r="AV477" s="653"/>
      <c r="AW477" s="653"/>
      <c r="AX477" s="653"/>
      <c r="AY477" s="653"/>
      <c r="AZ477" s="653"/>
      <c r="BA477" s="653"/>
      <c r="BB477" s="653"/>
      <c r="BC477" s="653"/>
      <c r="BD477" s="653"/>
      <c r="BE477" s="653"/>
      <c r="BF477" s="653"/>
      <c r="BG477" s="653"/>
      <c r="BH477" s="653"/>
      <c r="BI477" s="653"/>
      <c r="BJ477" s="653"/>
      <c r="BK477" s="653"/>
      <c r="BL477" s="653"/>
      <c r="BM477" s="653"/>
      <c r="BN477" s="653"/>
      <c r="BO477" s="653"/>
      <c r="BP477" s="653"/>
      <c r="BQ477" s="653"/>
      <c r="BR477" s="653"/>
      <c r="BS477" s="653"/>
      <c r="BT477" s="653"/>
      <c r="BU477" s="653"/>
      <c r="BV477" s="653"/>
      <c r="BW477" s="653"/>
      <c r="BX477" s="653"/>
      <c r="BY477" s="653"/>
      <c r="BZ477" s="653"/>
      <c r="CA477" s="653"/>
      <c r="CB477" s="653"/>
      <c r="CC477" s="653"/>
      <c r="CD477" s="653"/>
      <c r="CE477" s="653"/>
      <c r="CF477" s="653"/>
      <c r="CG477" s="653"/>
      <c r="CH477" s="653"/>
      <c r="CI477" s="653"/>
      <c r="CJ477" s="653"/>
      <c r="CK477" s="653"/>
      <c r="CL477" s="653"/>
      <c r="CM477" s="653"/>
      <c r="CN477" s="653"/>
      <c r="CO477" s="653"/>
      <c r="CP477" s="653"/>
      <c r="CQ477" s="653"/>
      <c r="CR477" s="653"/>
      <c r="CS477" s="653"/>
      <c r="CT477" s="653"/>
      <c r="CU477" s="653"/>
      <c r="CV477" s="653"/>
      <c r="CW477" s="653"/>
      <c r="CX477" s="653"/>
      <c r="CY477" s="653"/>
      <c r="CZ477" s="653"/>
      <c r="DA477" s="653"/>
      <c r="DB477" s="653"/>
      <c r="DC477" s="653"/>
      <c r="DD477" s="653"/>
      <c r="DE477" s="653"/>
      <c r="DF477" s="653"/>
      <c r="DG477" s="653"/>
      <c r="DH477" s="653"/>
      <c r="DI477" s="653"/>
      <c r="DJ477" s="653"/>
      <c r="DK477" s="653"/>
      <c r="DL477" s="653"/>
      <c r="DM477" s="653"/>
      <c r="DN477" s="653"/>
      <c r="DO477" s="653"/>
      <c r="DP477" s="653"/>
      <c r="DQ477" s="653"/>
      <c r="DR477" s="653"/>
      <c r="DS477" s="653"/>
      <c r="DT477" s="653"/>
      <c r="DU477" s="653"/>
      <c r="DV477" s="653"/>
      <c r="DW477" s="653"/>
      <c r="DX477" s="653"/>
      <c r="DY477" s="653"/>
      <c r="DZ477" s="653"/>
      <c r="EA477" s="653"/>
      <c r="EB477" s="653"/>
      <c r="EC477" s="653"/>
      <c r="ED477" s="653"/>
      <c r="EE477" s="648"/>
      <c r="EF477" s="651"/>
      <c r="EG477" s="651"/>
      <c r="EH477" s="651"/>
      <c r="EI477" s="216"/>
      <c r="EJ477" s="662"/>
      <c r="EK477" s="662"/>
      <c r="EL477" s="662"/>
      <c r="EM477" s="662"/>
      <c r="EN477" s="662"/>
      <c r="EO477" s="662"/>
      <c r="EP477" s="662"/>
      <c r="EQ477" s="662"/>
      <c r="ER477" s="662"/>
      <c r="ES477" s="662"/>
      <c r="ET477" s="662"/>
      <c r="EU477" s="662"/>
      <c r="EV477" s="662"/>
      <c r="EW477" s="662"/>
      <c r="EX477" s="662"/>
      <c r="EY477" s="662"/>
      <c r="EZ477" s="662"/>
      <c r="FA477" s="662"/>
      <c r="FB477" s="662"/>
      <c r="FC477" s="662"/>
      <c r="FD477" s="662"/>
      <c r="FE477" s="662"/>
      <c r="FF477" s="662"/>
      <c r="FG477" s="662"/>
      <c r="FH477" s="662"/>
      <c r="FI477" s="662"/>
      <c r="FJ477" s="662"/>
      <c r="FK477" s="662"/>
      <c r="FL477" s="662"/>
      <c r="FM477" s="662"/>
      <c r="FN477" s="662"/>
      <c r="FO477" s="662"/>
      <c r="FP477" s="662"/>
      <c r="FQ477" s="662"/>
      <c r="FR477" s="662"/>
      <c r="FS477" s="662"/>
      <c r="FT477" s="662"/>
      <c r="FU477" s="662"/>
      <c r="FV477" s="662"/>
      <c r="FW477" s="662"/>
      <c r="FX477" s="662"/>
      <c r="FY477" s="662"/>
      <c r="FZ477" s="662"/>
      <c r="GA477" s="662"/>
      <c r="GB477" s="662"/>
      <c r="GC477" s="662"/>
      <c r="GD477" s="662"/>
      <c r="GE477" s="662"/>
      <c r="GF477" s="662"/>
      <c r="GG477" s="662"/>
      <c r="GH477" s="662"/>
      <c r="GI477" s="662"/>
      <c r="GJ477" s="662"/>
      <c r="GK477" s="662"/>
      <c r="GL477" s="662"/>
      <c r="GM477" s="662"/>
      <c r="GN477" s="662"/>
      <c r="GO477" s="662"/>
      <c r="GP477" s="662"/>
      <c r="GQ477" s="662"/>
      <c r="GR477" s="662"/>
      <c r="GS477" s="662"/>
      <c r="GT477" s="662"/>
      <c r="GU477" s="662"/>
      <c r="GV477" s="662"/>
      <c r="GW477" s="662"/>
      <c r="GX477" s="662"/>
      <c r="GY477" s="662"/>
      <c r="GZ477" s="662"/>
      <c r="HA477" s="662"/>
      <c r="HB477" s="662"/>
      <c r="HC477" s="662"/>
      <c r="HD477" s="662"/>
      <c r="HE477" s="662"/>
      <c r="HF477" s="662"/>
      <c r="HG477" s="662"/>
      <c r="HH477" s="662"/>
      <c r="HI477" s="662"/>
      <c r="HJ477" s="662"/>
      <c r="HK477" s="662"/>
      <c r="HL477" s="662"/>
      <c r="HM477" s="662"/>
      <c r="HN477" s="662"/>
      <c r="HO477" s="662"/>
      <c r="HP477" s="662"/>
      <c r="HQ477" s="662"/>
      <c r="HR477" s="662"/>
      <c r="HS477" s="662"/>
      <c r="HT477" s="662"/>
      <c r="HU477" s="662"/>
      <c r="HV477" s="662"/>
      <c r="HW477" s="662"/>
      <c r="HX477" s="662"/>
      <c r="HY477" s="662"/>
      <c r="HZ477" s="662"/>
      <c r="IA477" s="662"/>
      <c r="IB477" s="662"/>
      <c r="IC477" s="662"/>
      <c r="ID477" s="662"/>
      <c r="IE477" s="662"/>
      <c r="IF477" s="662"/>
      <c r="IG477" s="662"/>
      <c r="IH477" s="662"/>
      <c r="II477" s="662"/>
      <c r="IJ477" s="662"/>
      <c r="IK477" s="662"/>
      <c r="IL477" s="662"/>
      <c r="IM477" s="662"/>
      <c r="IN477" s="662"/>
      <c r="IO477" s="662"/>
      <c r="IP477" s="662"/>
      <c r="IQ477" s="653"/>
    </row>
    <row r="478" spans="18:251" ht="16.5" hidden="1" customHeight="1">
      <c r="R478" s="648"/>
      <c r="S478" s="648"/>
      <c r="T478" s="648"/>
      <c r="U478" s="653"/>
      <c r="V478" s="649"/>
      <c r="W478" s="653"/>
      <c r="X478" s="653"/>
      <c r="Y478" s="653"/>
      <c r="Z478" s="653"/>
      <c r="AA478" s="653"/>
      <c r="AB478" s="653"/>
      <c r="AC478" s="653"/>
      <c r="AD478" s="653"/>
      <c r="AE478" s="653"/>
      <c r="AF478" s="653"/>
      <c r="AG478" s="653"/>
      <c r="AH478" s="653"/>
      <c r="AI478" s="653"/>
      <c r="AJ478" s="653"/>
      <c r="AK478" s="653"/>
      <c r="AL478" s="653"/>
      <c r="AM478" s="653"/>
      <c r="AN478" s="653"/>
      <c r="AO478" s="653"/>
      <c r="AP478" s="653"/>
      <c r="AQ478" s="653"/>
      <c r="AR478" s="653"/>
      <c r="AS478" s="653"/>
      <c r="AT478" s="653"/>
      <c r="AU478" s="653"/>
      <c r="AV478" s="653"/>
      <c r="AW478" s="653"/>
      <c r="AX478" s="653"/>
      <c r="AY478" s="653"/>
      <c r="AZ478" s="653"/>
      <c r="BA478" s="653"/>
      <c r="BB478" s="653"/>
      <c r="BC478" s="653"/>
      <c r="BD478" s="653"/>
      <c r="BE478" s="653"/>
      <c r="BF478" s="653"/>
      <c r="BG478" s="653"/>
      <c r="BH478" s="653"/>
      <c r="BI478" s="653"/>
      <c r="BJ478" s="653"/>
      <c r="BK478" s="653"/>
      <c r="BL478" s="653"/>
      <c r="BM478" s="653"/>
      <c r="BN478" s="653"/>
      <c r="BO478" s="653"/>
      <c r="BP478" s="653"/>
      <c r="BQ478" s="653"/>
      <c r="BR478" s="653"/>
      <c r="BS478" s="653"/>
      <c r="BT478" s="653"/>
      <c r="BU478" s="653"/>
      <c r="BV478" s="653"/>
      <c r="BW478" s="653"/>
      <c r="BX478" s="653"/>
      <c r="BY478" s="653"/>
      <c r="BZ478" s="653"/>
      <c r="CA478" s="653"/>
      <c r="CB478" s="653"/>
      <c r="CC478" s="653"/>
      <c r="CD478" s="653"/>
      <c r="CE478" s="653"/>
      <c r="CF478" s="653"/>
      <c r="CG478" s="653"/>
      <c r="CH478" s="653"/>
      <c r="CI478" s="653"/>
      <c r="CJ478" s="653"/>
      <c r="CK478" s="653"/>
      <c r="CL478" s="653"/>
      <c r="CM478" s="653"/>
      <c r="CN478" s="653"/>
      <c r="CO478" s="653"/>
      <c r="CP478" s="653"/>
      <c r="CQ478" s="653"/>
      <c r="CR478" s="653"/>
      <c r="CS478" s="653"/>
      <c r="CT478" s="653"/>
      <c r="CU478" s="653"/>
      <c r="CV478" s="653"/>
      <c r="CW478" s="653"/>
      <c r="CX478" s="653"/>
      <c r="CY478" s="653"/>
      <c r="CZ478" s="653"/>
      <c r="DA478" s="653"/>
      <c r="DB478" s="653"/>
      <c r="DC478" s="653"/>
      <c r="DD478" s="653"/>
      <c r="DE478" s="653"/>
      <c r="DF478" s="653"/>
      <c r="DG478" s="653"/>
      <c r="DH478" s="653"/>
      <c r="DI478" s="653"/>
      <c r="DJ478" s="653"/>
      <c r="DK478" s="653"/>
      <c r="DL478" s="653"/>
      <c r="DM478" s="653"/>
      <c r="DN478" s="653"/>
      <c r="DO478" s="653"/>
      <c r="DP478" s="653"/>
      <c r="DQ478" s="653"/>
      <c r="DR478" s="653"/>
      <c r="DS478" s="653"/>
      <c r="DT478" s="653"/>
      <c r="DU478" s="653"/>
      <c r="DV478" s="653"/>
      <c r="DW478" s="653"/>
      <c r="DX478" s="653"/>
      <c r="DY478" s="653"/>
      <c r="DZ478" s="653"/>
      <c r="EA478" s="653"/>
      <c r="EB478" s="653"/>
      <c r="EC478" s="653"/>
      <c r="ED478" s="653"/>
      <c r="EE478" s="648"/>
      <c r="EF478" s="651"/>
      <c r="EG478" s="651"/>
      <c r="EH478" s="651"/>
      <c r="EI478" s="216"/>
      <c r="EJ478" s="662"/>
      <c r="EK478" s="662"/>
      <c r="EL478" s="662"/>
      <c r="EM478" s="662"/>
      <c r="EN478" s="662"/>
      <c r="EO478" s="662"/>
      <c r="EP478" s="662"/>
      <c r="EQ478" s="662"/>
      <c r="ER478" s="662"/>
      <c r="ES478" s="662"/>
      <c r="ET478" s="662"/>
      <c r="EU478" s="662"/>
      <c r="EV478" s="662"/>
      <c r="EW478" s="662"/>
      <c r="EX478" s="662"/>
      <c r="EY478" s="662"/>
      <c r="EZ478" s="662"/>
      <c r="FA478" s="662"/>
      <c r="FB478" s="662"/>
      <c r="FC478" s="662"/>
      <c r="FD478" s="662"/>
      <c r="FE478" s="662"/>
      <c r="FF478" s="662"/>
      <c r="FG478" s="662"/>
      <c r="FH478" s="662"/>
      <c r="FI478" s="662"/>
      <c r="FJ478" s="662"/>
      <c r="FK478" s="662"/>
      <c r="FL478" s="662"/>
      <c r="FM478" s="662"/>
      <c r="FN478" s="662"/>
      <c r="FO478" s="662"/>
      <c r="FP478" s="662"/>
      <c r="FQ478" s="662"/>
      <c r="FR478" s="662"/>
      <c r="FS478" s="662"/>
      <c r="FT478" s="662"/>
      <c r="FU478" s="662"/>
      <c r="FV478" s="662"/>
      <c r="FW478" s="662"/>
      <c r="FX478" s="662"/>
      <c r="FY478" s="662"/>
      <c r="FZ478" s="662"/>
      <c r="GA478" s="662"/>
      <c r="GB478" s="662"/>
      <c r="GC478" s="662"/>
      <c r="GD478" s="662"/>
      <c r="GE478" s="662"/>
      <c r="GF478" s="662"/>
      <c r="GG478" s="662"/>
      <c r="GH478" s="662"/>
      <c r="GI478" s="662"/>
      <c r="GJ478" s="662"/>
      <c r="GK478" s="662"/>
      <c r="GL478" s="662"/>
      <c r="GM478" s="662"/>
      <c r="GN478" s="662"/>
      <c r="GO478" s="662"/>
      <c r="GP478" s="662"/>
      <c r="GQ478" s="662"/>
      <c r="GR478" s="662"/>
      <c r="GS478" s="662"/>
      <c r="GT478" s="662"/>
      <c r="GU478" s="662"/>
      <c r="GV478" s="662"/>
      <c r="GW478" s="662"/>
      <c r="GX478" s="662"/>
      <c r="GY478" s="662"/>
      <c r="GZ478" s="662"/>
      <c r="HA478" s="662"/>
      <c r="HB478" s="662"/>
      <c r="HC478" s="662"/>
      <c r="HD478" s="662"/>
      <c r="HE478" s="662"/>
      <c r="HF478" s="662"/>
      <c r="HG478" s="662"/>
      <c r="HH478" s="662"/>
      <c r="HI478" s="662"/>
      <c r="HJ478" s="662"/>
      <c r="HK478" s="662"/>
      <c r="HL478" s="662"/>
      <c r="HM478" s="662"/>
      <c r="HN478" s="662"/>
      <c r="HO478" s="662"/>
      <c r="HP478" s="662"/>
      <c r="HQ478" s="662"/>
      <c r="HR478" s="662"/>
      <c r="HS478" s="662"/>
      <c r="HT478" s="662"/>
      <c r="HU478" s="662"/>
      <c r="HV478" s="662"/>
      <c r="HW478" s="662"/>
      <c r="HX478" s="662"/>
      <c r="HY478" s="662"/>
      <c r="HZ478" s="662"/>
      <c r="IA478" s="662"/>
      <c r="IB478" s="662"/>
      <c r="IC478" s="662"/>
      <c r="ID478" s="662"/>
      <c r="IE478" s="662"/>
      <c r="IF478" s="662"/>
      <c r="IG478" s="662"/>
      <c r="IH478" s="662"/>
      <c r="II478" s="662"/>
      <c r="IJ478" s="662"/>
      <c r="IK478" s="662"/>
      <c r="IL478" s="662"/>
      <c r="IM478" s="662"/>
      <c r="IN478" s="662"/>
      <c r="IO478" s="662"/>
      <c r="IP478" s="662"/>
      <c r="IQ478" s="653"/>
    </row>
    <row r="479" spans="18:251" ht="16.5" hidden="1" customHeight="1">
      <c r="R479" s="648"/>
      <c r="S479" s="648"/>
      <c r="T479" s="648"/>
      <c r="U479" s="653"/>
      <c r="V479" s="649"/>
      <c r="W479" s="653"/>
      <c r="X479" s="653"/>
      <c r="Y479" s="653"/>
      <c r="Z479" s="653"/>
      <c r="AA479" s="653"/>
      <c r="AB479" s="653"/>
      <c r="AC479" s="653"/>
      <c r="AD479" s="653"/>
      <c r="AE479" s="653"/>
      <c r="AF479" s="653"/>
      <c r="AG479" s="653"/>
      <c r="AH479" s="653"/>
      <c r="AI479" s="653"/>
      <c r="AJ479" s="653"/>
      <c r="AK479" s="653"/>
      <c r="AL479" s="653"/>
      <c r="AM479" s="653"/>
      <c r="AN479" s="653"/>
      <c r="AO479" s="653"/>
      <c r="AP479" s="653"/>
      <c r="AQ479" s="653"/>
      <c r="AR479" s="653"/>
      <c r="AS479" s="653"/>
      <c r="AT479" s="653"/>
      <c r="AU479" s="653"/>
      <c r="AV479" s="653"/>
      <c r="AW479" s="653"/>
      <c r="AX479" s="653"/>
      <c r="AY479" s="653"/>
      <c r="AZ479" s="653"/>
      <c r="BA479" s="653"/>
      <c r="BB479" s="653"/>
      <c r="BC479" s="653"/>
      <c r="BD479" s="653"/>
      <c r="BE479" s="653"/>
      <c r="BF479" s="653"/>
      <c r="BG479" s="653"/>
      <c r="BH479" s="653"/>
      <c r="BI479" s="653"/>
      <c r="BJ479" s="653"/>
      <c r="BK479" s="653"/>
      <c r="BL479" s="653"/>
      <c r="BM479" s="653"/>
      <c r="BN479" s="653"/>
      <c r="BO479" s="653"/>
      <c r="BP479" s="653"/>
      <c r="BQ479" s="653"/>
      <c r="BR479" s="653"/>
      <c r="BS479" s="653"/>
      <c r="BT479" s="653"/>
      <c r="BU479" s="653"/>
      <c r="BV479" s="653"/>
      <c r="BW479" s="653"/>
      <c r="BX479" s="653"/>
      <c r="BY479" s="653"/>
      <c r="BZ479" s="653"/>
      <c r="CA479" s="653"/>
      <c r="CB479" s="653"/>
      <c r="CC479" s="653"/>
      <c r="CD479" s="653"/>
      <c r="CE479" s="653"/>
      <c r="CF479" s="653"/>
      <c r="CG479" s="653"/>
      <c r="CH479" s="653"/>
      <c r="CI479" s="653"/>
      <c r="CJ479" s="653"/>
      <c r="CK479" s="653"/>
      <c r="CL479" s="653"/>
      <c r="CM479" s="653"/>
      <c r="CN479" s="653"/>
      <c r="CO479" s="653"/>
      <c r="CP479" s="653"/>
      <c r="CQ479" s="653"/>
      <c r="CR479" s="653"/>
      <c r="CS479" s="653"/>
      <c r="CT479" s="653"/>
      <c r="CU479" s="653"/>
      <c r="CV479" s="653"/>
      <c r="CW479" s="653"/>
      <c r="CX479" s="653"/>
      <c r="CY479" s="653"/>
      <c r="CZ479" s="653"/>
      <c r="DA479" s="653"/>
      <c r="DB479" s="653"/>
      <c r="DC479" s="653"/>
      <c r="DD479" s="653"/>
      <c r="DE479" s="653"/>
      <c r="DF479" s="653"/>
      <c r="DG479" s="653"/>
      <c r="DH479" s="653"/>
      <c r="DI479" s="653"/>
      <c r="DJ479" s="653"/>
      <c r="DK479" s="653"/>
      <c r="DL479" s="653"/>
      <c r="DM479" s="653"/>
      <c r="DN479" s="653"/>
      <c r="DO479" s="653"/>
      <c r="DP479" s="653"/>
      <c r="DQ479" s="653"/>
      <c r="DR479" s="653"/>
      <c r="DS479" s="653"/>
      <c r="DT479" s="653"/>
      <c r="DU479" s="653"/>
      <c r="DV479" s="653"/>
      <c r="DW479" s="653"/>
      <c r="DX479" s="653"/>
      <c r="DY479" s="653"/>
      <c r="DZ479" s="653"/>
      <c r="EA479" s="653"/>
      <c r="EB479" s="653"/>
      <c r="EC479" s="653"/>
      <c r="ED479" s="653"/>
      <c r="EE479" s="648"/>
      <c r="EF479" s="651"/>
      <c r="EG479" s="651"/>
      <c r="EH479" s="651"/>
      <c r="EI479" s="216"/>
      <c r="EJ479" s="662"/>
      <c r="EK479" s="662"/>
      <c r="EL479" s="662"/>
      <c r="EM479" s="662"/>
      <c r="EN479" s="662"/>
      <c r="EO479" s="662"/>
      <c r="EP479" s="662"/>
      <c r="EQ479" s="662"/>
      <c r="ER479" s="662"/>
      <c r="ES479" s="662"/>
      <c r="ET479" s="662"/>
      <c r="EU479" s="662"/>
      <c r="EV479" s="662"/>
      <c r="EW479" s="662"/>
      <c r="EX479" s="662"/>
      <c r="EY479" s="662"/>
      <c r="EZ479" s="662"/>
      <c r="FA479" s="662"/>
      <c r="FB479" s="662"/>
      <c r="FC479" s="662"/>
      <c r="FD479" s="662"/>
      <c r="FE479" s="662"/>
      <c r="FF479" s="662"/>
      <c r="FG479" s="662"/>
      <c r="FH479" s="662"/>
      <c r="FI479" s="662"/>
      <c r="FJ479" s="662"/>
      <c r="FK479" s="662"/>
      <c r="FL479" s="662"/>
      <c r="FM479" s="662"/>
      <c r="FN479" s="662"/>
      <c r="FO479" s="662"/>
      <c r="FP479" s="662"/>
      <c r="FQ479" s="662"/>
      <c r="FR479" s="662"/>
      <c r="FS479" s="662"/>
      <c r="FT479" s="662"/>
      <c r="FU479" s="662"/>
      <c r="FV479" s="662"/>
      <c r="FW479" s="662"/>
      <c r="FX479" s="662"/>
      <c r="FY479" s="662"/>
      <c r="FZ479" s="662"/>
      <c r="GA479" s="662"/>
      <c r="GB479" s="662"/>
      <c r="GC479" s="662"/>
      <c r="GD479" s="662"/>
      <c r="GE479" s="662"/>
      <c r="GF479" s="662"/>
      <c r="GG479" s="662"/>
      <c r="GH479" s="662"/>
      <c r="GI479" s="662"/>
      <c r="GJ479" s="662"/>
      <c r="GK479" s="662"/>
      <c r="GL479" s="662"/>
      <c r="GM479" s="662"/>
      <c r="GN479" s="662"/>
      <c r="GO479" s="662"/>
      <c r="GP479" s="662"/>
      <c r="GQ479" s="662"/>
      <c r="GR479" s="662"/>
      <c r="GS479" s="662"/>
      <c r="GT479" s="662"/>
      <c r="GU479" s="662"/>
      <c r="GV479" s="662"/>
      <c r="GW479" s="662"/>
      <c r="GX479" s="662"/>
      <c r="GY479" s="662"/>
      <c r="GZ479" s="662"/>
      <c r="HA479" s="662"/>
      <c r="HB479" s="662"/>
      <c r="HC479" s="662"/>
      <c r="HD479" s="662"/>
      <c r="HE479" s="662"/>
      <c r="HF479" s="662"/>
      <c r="HG479" s="662"/>
      <c r="HH479" s="662"/>
      <c r="HI479" s="662"/>
      <c r="HJ479" s="662"/>
      <c r="HK479" s="662"/>
      <c r="HL479" s="662"/>
      <c r="HM479" s="662"/>
      <c r="HN479" s="662"/>
      <c r="HO479" s="662"/>
      <c r="HP479" s="662"/>
      <c r="HQ479" s="662"/>
      <c r="HR479" s="662"/>
      <c r="HS479" s="662"/>
      <c r="HT479" s="662"/>
      <c r="HU479" s="662"/>
      <c r="HV479" s="662"/>
      <c r="HW479" s="662"/>
      <c r="HX479" s="662"/>
      <c r="HY479" s="662"/>
      <c r="HZ479" s="662"/>
      <c r="IA479" s="662"/>
      <c r="IB479" s="662"/>
      <c r="IC479" s="662"/>
      <c r="ID479" s="662"/>
      <c r="IE479" s="662"/>
      <c r="IF479" s="662"/>
      <c r="IG479" s="662"/>
      <c r="IH479" s="662"/>
      <c r="II479" s="662"/>
      <c r="IJ479" s="662"/>
      <c r="IK479" s="662"/>
      <c r="IL479" s="662"/>
      <c r="IM479" s="662"/>
      <c r="IN479" s="662"/>
      <c r="IO479" s="662"/>
      <c r="IP479" s="662"/>
      <c r="IQ479" s="653"/>
    </row>
    <row r="480" spans="18:251" ht="16.5" hidden="1" customHeight="1">
      <c r="R480" s="648"/>
      <c r="S480" s="648"/>
      <c r="T480" s="648"/>
      <c r="U480" s="653"/>
      <c r="V480" s="649"/>
      <c r="W480" s="653"/>
      <c r="X480" s="653"/>
      <c r="Y480" s="653"/>
      <c r="Z480" s="653"/>
      <c r="AA480" s="653"/>
      <c r="AB480" s="653"/>
      <c r="AC480" s="653"/>
      <c r="AD480" s="653"/>
      <c r="AE480" s="653"/>
      <c r="AF480" s="653"/>
      <c r="AG480" s="653"/>
      <c r="AH480" s="653"/>
      <c r="AI480" s="653"/>
      <c r="AJ480" s="653"/>
      <c r="AK480" s="653"/>
      <c r="AL480" s="653"/>
      <c r="AM480" s="653"/>
      <c r="AN480" s="653"/>
      <c r="AO480" s="653"/>
      <c r="AP480" s="653"/>
      <c r="AQ480" s="653"/>
      <c r="AR480" s="653"/>
      <c r="AS480" s="653"/>
      <c r="AT480" s="653"/>
      <c r="AU480" s="653"/>
      <c r="AV480" s="653"/>
      <c r="AW480" s="653"/>
      <c r="AX480" s="653"/>
      <c r="AY480" s="653"/>
      <c r="AZ480" s="653"/>
      <c r="BA480" s="653"/>
      <c r="BB480" s="653"/>
      <c r="BC480" s="653"/>
      <c r="BD480" s="653"/>
      <c r="BE480" s="653"/>
      <c r="BF480" s="653"/>
      <c r="BG480" s="653"/>
      <c r="BH480" s="653"/>
      <c r="BI480" s="653"/>
      <c r="BJ480" s="653"/>
      <c r="BK480" s="653"/>
      <c r="BL480" s="653"/>
      <c r="BM480" s="653"/>
      <c r="BN480" s="653"/>
      <c r="BO480" s="653"/>
      <c r="BP480" s="653"/>
      <c r="BQ480" s="653"/>
      <c r="BR480" s="653"/>
      <c r="BS480" s="653"/>
      <c r="BT480" s="653"/>
      <c r="BU480" s="653"/>
      <c r="BV480" s="653"/>
      <c r="BW480" s="653"/>
      <c r="BX480" s="653"/>
      <c r="BY480" s="653"/>
      <c r="BZ480" s="653"/>
      <c r="CA480" s="653"/>
      <c r="CB480" s="653"/>
      <c r="CC480" s="653"/>
      <c r="CD480" s="653"/>
      <c r="CE480" s="653"/>
      <c r="CF480" s="653"/>
      <c r="CG480" s="653"/>
      <c r="CH480" s="653"/>
      <c r="CI480" s="653"/>
      <c r="CJ480" s="653"/>
      <c r="CK480" s="653"/>
      <c r="CL480" s="653"/>
      <c r="CM480" s="653"/>
      <c r="CN480" s="653"/>
      <c r="CO480" s="653"/>
      <c r="CP480" s="653"/>
      <c r="CQ480" s="653"/>
      <c r="CR480" s="653"/>
      <c r="CS480" s="653"/>
      <c r="CT480" s="653"/>
      <c r="CU480" s="653"/>
      <c r="CV480" s="653"/>
      <c r="CW480" s="653"/>
      <c r="CX480" s="653"/>
      <c r="CY480" s="653"/>
      <c r="CZ480" s="653"/>
      <c r="DA480" s="653"/>
      <c r="DB480" s="653"/>
      <c r="DC480" s="653"/>
      <c r="DD480" s="653"/>
      <c r="DE480" s="653"/>
      <c r="DF480" s="653"/>
      <c r="DG480" s="653"/>
      <c r="DH480" s="653"/>
      <c r="DI480" s="653"/>
      <c r="DJ480" s="653"/>
      <c r="DK480" s="653"/>
      <c r="DL480" s="653"/>
      <c r="DM480" s="653"/>
      <c r="DN480" s="653"/>
      <c r="DO480" s="653"/>
      <c r="DP480" s="653"/>
      <c r="DQ480" s="653"/>
      <c r="DR480" s="653"/>
      <c r="DS480" s="653"/>
      <c r="DT480" s="653"/>
      <c r="DU480" s="653"/>
      <c r="DV480" s="653"/>
      <c r="DW480" s="653"/>
      <c r="DX480" s="653"/>
      <c r="DY480" s="653"/>
      <c r="DZ480" s="653"/>
      <c r="EA480" s="653"/>
      <c r="EB480" s="653"/>
      <c r="EC480" s="653"/>
      <c r="ED480" s="653"/>
      <c r="EE480" s="648"/>
      <c r="EF480" s="651"/>
      <c r="EG480" s="651"/>
      <c r="EH480" s="651"/>
      <c r="EI480" s="216"/>
      <c r="EJ480" s="662"/>
      <c r="EK480" s="662"/>
      <c r="EL480" s="662"/>
      <c r="EM480" s="662"/>
      <c r="EN480" s="662"/>
      <c r="EO480" s="662"/>
      <c r="EP480" s="662"/>
      <c r="EQ480" s="662"/>
      <c r="ER480" s="662"/>
      <c r="ES480" s="662"/>
      <c r="ET480" s="662"/>
      <c r="EU480" s="662"/>
      <c r="EV480" s="662"/>
      <c r="EW480" s="662"/>
      <c r="EX480" s="662"/>
      <c r="EY480" s="662"/>
      <c r="EZ480" s="662"/>
      <c r="FA480" s="662"/>
      <c r="FB480" s="662"/>
      <c r="FC480" s="662"/>
      <c r="FD480" s="662"/>
      <c r="FE480" s="662"/>
      <c r="FF480" s="662"/>
      <c r="FG480" s="662"/>
      <c r="FH480" s="662"/>
      <c r="FI480" s="662"/>
      <c r="FJ480" s="662"/>
      <c r="FK480" s="662"/>
      <c r="FL480" s="662"/>
      <c r="FM480" s="662"/>
      <c r="FN480" s="662"/>
      <c r="FO480" s="662"/>
      <c r="FP480" s="662"/>
      <c r="FQ480" s="662"/>
      <c r="FR480" s="662"/>
      <c r="FS480" s="662"/>
      <c r="FT480" s="662"/>
      <c r="FU480" s="662"/>
      <c r="FV480" s="662"/>
      <c r="FW480" s="662"/>
      <c r="FX480" s="662"/>
      <c r="FY480" s="662"/>
      <c r="FZ480" s="662"/>
      <c r="GA480" s="662"/>
      <c r="GB480" s="662"/>
      <c r="GC480" s="662"/>
      <c r="GD480" s="662"/>
      <c r="GE480" s="662"/>
      <c r="GF480" s="662"/>
      <c r="GG480" s="662"/>
      <c r="GH480" s="662"/>
      <c r="GI480" s="662"/>
      <c r="GJ480" s="662"/>
      <c r="GK480" s="662"/>
      <c r="GL480" s="662"/>
      <c r="GM480" s="662"/>
      <c r="GN480" s="662"/>
      <c r="GO480" s="662"/>
      <c r="GP480" s="662"/>
      <c r="GQ480" s="662"/>
      <c r="GR480" s="662"/>
      <c r="GS480" s="662"/>
      <c r="GT480" s="662"/>
      <c r="GU480" s="662"/>
      <c r="GV480" s="662"/>
      <c r="GW480" s="662"/>
      <c r="GX480" s="662"/>
      <c r="GY480" s="662"/>
      <c r="GZ480" s="662"/>
      <c r="HA480" s="662"/>
      <c r="HB480" s="662"/>
      <c r="HC480" s="662"/>
      <c r="HD480" s="662"/>
      <c r="HE480" s="662"/>
      <c r="HF480" s="662"/>
      <c r="HG480" s="662"/>
      <c r="HH480" s="662"/>
      <c r="HI480" s="662"/>
      <c r="HJ480" s="662"/>
      <c r="HK480" s="662"/>
      <c r="HL480" s="662"/>
      <c r="HM480" s="662"/>
      <c r="HN480" s="662"/>
      <c r="HO480" s="662"/>
      <c r="HP480" s="662"/>
      <c r="HQ480" s="662"/>
      <c r="HR480" s="662"/>
      <c r="HS480" s="662"/>
      <c r="HT480" s="662"/>
      <c r="HU480" s="662"/>
      <c r="HV480" s="662"/>
      <c r="HW480" s="662"/>
      <c r="HX480" s="662"/>
      <c r="HY480" s="662"/>
      <c r="HZ480" s="662"/>
      <c r="IA480" s="662"/>
      <c r="IB480" s="662"/>
      <c r="IC480" s="662"/>
      <c r="ID480" s="662"/>
      <c r="IE480" s="662"/>
      <c r="IF480" s="662"/>
      <c r="IG480" s="662"/>
      <c r="IH480" s="662"/>
      <c r="II480" s="662"/>
      <c r="IJ480" s="662"/>
      <c r="IK480" s="662"/>
      <c r="IL480" s="662"/>
      <c r="IM480" s="662"/>
      <c r="IN480" s="662"/>
      <c r="IO480" s="662"/>
      <c r="IP480" s="662"/>
      <c r="IQ480" s="653"/>
    </row>
    <row r="481" spans="18:251" ht="16.5" hidden="1" customHeight="1">
      <c r="R481" s="648"/>
      <c r="S481" s="648"/>
      <c r="T481" s="648"/>
      <c r="U481" s="653"/>
      <c r="V481" s="649"/>
      <c r="W481" s="653"/>
      <c r="X481" s="653"/>
      <c r="Y481" s="653"/>
      <c r="Z481" s="653"/>
      <c r="AA481" s="653"/>
      <c r="AB481" s="653"/>
      <c r="AC481" s="653"/>
      <c r="AD481" s="653"/>
      <c r="AE481" s="653"/>
      <c r="AF481" s="653"/>
      <c r="AG481" s="653"/>
      <c r="AH481" s="653"/>
      <c r="AI481" s="653"/>
      <c r="AJ481" s="653"/>
      <c r="AK481" s="653"/>
      <c r="AL481" s="653"/>
      <c r="AM481" s="653"/>
      <c r="AN481" s="653"/>
      <c r="AO481" s="653"/>
      <c r="AP481" s="653"/>
      <c r="AQ481" s="653"/>
      <c r="AR481" s="653"/>
      <c r="AS481" s="653"/>
      <c r="AT481" s="653"/>
      <c r="AU481" s="653"/>
      <c r="AV481" s="653"/>
      <c r="AW481" s="653"/>
      <c r="AX481" s="653"/>
      <c r="AY481" s="653"/>
      <c r="AZ481" s="653"/>
      <c r="BA481" s="653"/>
      <c r="BB481" s="653"/>
      <c r="BC481" s="653"/>
      <c r="BD481" s="653"/>
      <c r="BE481" s="653"/>
      <c r="BF481" s="653"/>
      <c r="BG481" s="653"/>
      <c r="BH481" s="653"/>
      <c r="BI481" s="653"/>
      <c r="BJ481" s="653"/>
      <c r="BK481" s="653"/>
      <c r="BL481" s="653"/>
      <c r="BM481" s="653"/>
      <c r="BN481" s="653"/>
      <c r="BO481" s="653"/>
      <c r="BP481" s="653"/>
      <c r="BQ481" s="653"/>
      <c r="BR481" s="653"/>
      <c r="BS481" s="653"/>
      <c r="BT481" s="653"/>
      <c r="BU481" s="653"/>
      <c r="BV481" s="653"/>
      <c r="BW481" s="653"/>
      <c r="BX481" s="653"/>
      <c r="BY481" s="653"/>
      <c r="BZ481" s="653"/>
      <c r="CA481" s="653"/>
      <c r="CB481" s="653"/>
      <c r="CC481" s="653"/>
      <c r="CD481" s="653"/>
      <c r="CE481" s="653"/>
      <c r="CF481" s="653"/>
      <c r="CG481" s="653"/>
      <c r="CH481" s="653"/>
      <c r="CI481" s="653"/>
      <c r="CJ481" s="653"/>
      <c r="CK481" s="653"/>
      <c r="CL481" s="653"/>
      <c r="CM481" s="653"/>
      <c r="CN481" s="653"/>
      <c r="CO481" s="653"/>
      <c r="CP481" s="653"/>
      <c r="CQ481" s="653"/>
      <c r="CR481" s="653"/>
      <c r="CS481" s="653"/>
      <c r="CT481" s="653"/>
      <c r="CU481" s="653"/>
      <c r="CV481" s="653"/>
      <c r="CW481" s="653"/>
      <c r="CX481" s="653"/>
      <c r="CY481" s="653"/>
      <c r="CZ481" s="653"/>
      <c r="DA481" s="653"/>
      <c r="DB481" s="653"/>
      <c r="DC481" s="653"/>
      <c r="DD481" s="653"/>
      <c r="DE481" s="653"/>
      <c r="DF481" s="653"/>
      <c r="DG481" s="653"/>
      <c r="DH481" s="653"/>
      <c r="DI481" s="653"/>
      <c r="DJ481" s="653"/>
      <c r="DK481" s="653"/>
      <c r="DL481" s="653"/>
      <c r="DM481" s="653"/>
      <c r="DN481" s="653"/>
      <c r="DO481" s="653"/>
      <c r="DP481" s="653"/>
      <c r="DQ481" s="653"/>
      <c r="DR481" s="653"/>
      <c r="DS481" s="653"/>
      <c r="DT481" s="653"/>
      <c r="DU481" s="653"/>
      <c r="DV481" s="653"/>
      <c r="DW481" s="653"/>
      <c r="DX481" s="653"/>
      <c r="DY481" s="653"/>
      <c r="DZ481" s="653"/>
      <c r="EA481" s="653"/>
      <c r="EB481" s="653"/>
      <c r="EC481" s="653"/>
      <c r="ED481" s="653"/>
      <c r="EE481" s="648"/>
      <c r="EF481" s="651"/>
      <c r="EG481" s="651"/>
      <c r="EH481" s="651"/>
      <c r="EI481" s="216"/>
      <c r="EJ481" s="662"/>
      <c r="EK481" s="662"/>
      <c r="EL481" s="662"/>
      <c r="EM481" s="662"/>
      <c r="EN481" s="662"/>
      <c r="EO481" s="662"/>
      <c r="EP481" s="662"/>
      <c r="EQ481" s="662"/>
      <c r="ER481" s="662"/>
      <c r="ES481" s="662"/>
      <c r="ET481" s="662"/>
      <c r="EU481" s="662"/>
      <c r="EV481" s="662"/>
      <c r="EW481" s="662"/>
      <c r="EX481" s="662"/>
      <c r="EY481" s="662"/>
      <c r="EZ481" s="662"/>
      <c r="FA481" s="662"/>
      <c r="FB481" s="662"/>
      <c r="FC481" s="662"/>
      <c r="FD481" s="662"/>
      <c r="FE481" s="662"/>
      <c r="FF481" s="662"/>
      <c r="FG481" s="662"/>
      <c r="FH481" s="662"/>
      <c r="FI481" s="662"/>
      <c r="FJ481" s="662"/>
      <c r="FK481" s="662"/>
      <c r="FL481" s="662"/>
      <c r="FM481" s="662"/>
      <c r="FN481" s="662"/>
      <c r="FO481" s="662"/>
      <c r="FP481" s="662"/>
      <c r="FQ481" s="662"/>
      <c r="FR481" s="662"/>
      <c r="FS481" s="662"/>
      <c r="FT481" s="662"/>
      <c r="FU481" s="662"/>
      <c r="FV481" s="662"/>
      <c r="FW481" s="662"/>
      <c r="FX481" s="662"/>
      <c r="FY481" s="662"/>
      <c r="FZ481" s="662"/>
      <c r="GA481" s="662"/>
      <c r="GB481" s="662"/>
      <c r="GC481" s="662"/>
      <c r="GD481" s="662"/>
      <c r="GE481" s="662"/>
      <c r="GF481" s="662"/>
      <c r="GG481" s="662"/>
      <c r="GH481" s="662"/>
      <c r="GI481" s="662"/>
      <c r="GJ481" s="662"/>
      <c r="GK481" s="662"/>
      <c r="GL481" s="662"/>
      <c r="GM481" s="662"/>
      <c r="GN481" s="662"/>
      <c r="GO481" s="662"/>
      <c r="GP481" s="662"/>
      <c r="GQ481" s="662"/>
      <c r="GR481" s="662"/>
      <c r="GS481" s="662"/>
      <c r="GT481" s="662"/>
      <c r="GU481" s="662"/>
      <c r="GV481" s="662"/>
      <c r="GW481" s="662"/>
      <c r="GX481" s="662"/>
      <c r="GY481" s="662"/>
      <c r="GZ481" s="662"/>
      <c r="HA481" s="662"/>
      <c r="HB481" s="662"/>
      <c r="HC481" s="662"/>
      <c r="HD481" s="662"/>
      <c r="HE481" s="662"/>
      <c r="HF481" s="662"/>
      <c r="HG481" s="662"/>
      <c r="HH481" s="662"/>
      <c r="HI481" s="662"/>
      <c r="HJ481" s="662"/>
      <c r="HK481" s="662"/>
      <c r="HL481" s="662"/>
      <c r="HM481" s="662"/>
      <c r="HN481" s="662"/>
      <c r="HO481" s="662"/>
      <c r="HP481" s="662"/>
      <c r="HQ481" s="662"/>
      <c r="HR481" s="662"/>
      <c r="HS481" s="662"/>
      <c r="HT481" s="662"/>
      <c r="HU481" s="662"/>
      <c r="HV481" s="662"/>
      <c r="HW481" s="662"/>
      <c r="HX481" s="662"/>
      <c r="HY481" s="662"/>
      <c r="HZ481" s="662"/>
      <c r="IA481" s="662"/>
      <c r="IB481" s="662"/>
      <c r="IC481" s="662"/>
      <c r="ID481" s="662"/>
      <c r="IE481" s="662"/>
      <c r="IF481" s="662"/>
      <c r="IG481" s="662"/>
      <c r="IH481" s="662"/>
      <c r="II481" s="662"/>
      <c r="IJ481" s="662"/>
      <c r="IK481" s="662"/>
      <c r="IL481" s="662"/>
      <c r="IM481" s="662"/>
      <c r="IN481" s="662"/>
      <c r="IO481" s="662"/>
      <c r="IP481" s="662"/>
      <c r="IQ481" s="653"/>
    </row>
    <row r="482" spans="18:251" ht="16.5" hidden="1" customHeight="1">
      <c r="R482" s="648"/>
      <c r="S482" s="648"/>
      <c r="T482" s="648"/>
      <c r="U482" s="653"/>
      <c r="V482" s="649"/>
      <c r="W482" s="653"/>
      <c r="X482" s="653"/>
      <c r="Y482" s="653"/>
      <c r="Z482" s="653"/>
      <c r="AA482" s="653"/>
      <c r="AB482" s="653"/>
      <c r="AC482" s="653"/>
      <c r="AD482" s="653"/>
      <c r="AE482" s="653"/>
      <c r="AF482" s="653"/>
      <c r="AG482" s="653"/>
      <c r="AH482" s="653"/>
      <c r="AI482" s="653"/>
      <c r="AJ482" s="653"/>
      <c r="AK482" s="653"/>
      <c r="AL482" s="653"/>
      <c r="AM482" s="653"/>
      <c r="AN482" s="653"/>
      <c r="AO482" s="653"/>
      <c r="AP482" s="653"/>
      <c r="AQ482" s="653"/>
      <c r="AR482" s="653"/>
      <c r="AS482" s="653"/>
      <c r="AT482" s="653"/>
      <c r="AU482" s="653"/>
      <c r="AV482" s="653"/>
      <c r="AW482" s="653"/>
      <c r="AX482" s="653"/>
      <c r="AY482" s="653"/>
      <c r="AZ482" s="653"/>
      <c r="BA482" s="653"/>
      <c r="BB482" s="653"/>
      <c r="BC482" s="653"/>
      <c r="BD482" s="653"/>
      <c r="BE482" s="653"/>
      <c r="BF482" s="653"/>
      <c r="BG482" s="653"/>
      <c r="BH482" s="653"/>
      <c r="BI482" s="653"/>
      <c r="BJ482" s="653"/>
      <c r="BK482" s="653"/>
      <c r="BL482" s="653"/>
      <c r="BM482" s="653"/>
      <c r="BN482" s="653"/>
      <c r="BO482" s="653"/>
      <c r="BP482" s="653"/>
      <c r="BQ482" s="653"/>
      <c r="BR482" s="653"/>
      <c r="BS482" s="653"/>
      <c r="BT482" s="653"/>
      <c r="BU482" s="653"/>
      <c r="BV482" s="653"/>
      <c r="BW482" s="653"/>
      <c r="BX482" s="653"/>
      <c r="BY482" s="653"/>
      <c r="BZ482" s="653"/>
      <c r="CA482" s="653"/>
      <c r="CB482" s="653"/>
      <c r="CC482" s="653"/>
      <c r="CD482" s="653"/>
      <c r="CE482" s="653"/>
      <c r="CF482" s="653"/>
      <c r="CG482" s="653"/>
      <c r="CH482" s="653"/>
      <c r="CI482" s="653"/>
      <c r="CJ482" s="653"/>
      <c r="CK482" s="653"/>
      <c r="CL482" s="653"/>
      <c r="CM482" s="653"/>
      <c r="CN482" s="653"/>
      <c r="CO482" s="653"/>
      <c r="CP482" s="653"/>
      <c r="CQ482" s="653"/>
      <c r="CR482" s="653"/>
      <c r="CS482" s="653"/>
      <c r="CT482" s="653"/>
      <c r="CU482" s="653"/>
      <c r="CV482" s="653"/>
      <c r="CW482" s="653"/>
      <c r="CX482" s="653"/>
      <c r="CY482" s="653"/>
      <c r="CZ482" s="653"/>
      <c r="DA482" s="653"/>
      <c r="DB482" s="653"/>
      <c r="DC482" s="653"/>
      <c r="DD482" s="653"/>
      <c r="DE482" s="653"/>
      <c r="DF482" s="653"/>
      <c r="DG482" s="653"/>
      <c r="DH482" s="653"/>
      <c r="DI482" s="653"/>
      <c r="DJ482" s="653"/>
      <c r="DK482" s="653"/>
      <c r="DL482" s="653"/>
      <c r="DM482" s="653"/>
      <c r="DN482" s="653"/>
      <c r="DO482" s="653"/>
      <c r="DP482" s="653"/>
      <c r="DQ482" s="653"/>
      <c r="DR482" s="653"/>
      <c r="DS482" s="653"/>
      <c r="DT482" s="653"/>
      <c r="DU482" s="653"/>
      <c r="DV482" s="653"/>
      <c r="DW482" s="653"/>
      <c r="DX482" s="653"/>
      <c r="DY482" s="653"/>
      <c r="DZ482" s="653"/>
      <c r="EA482" s="653"/>
      <c r="EB482" s="653"/>
      <c r="EC482" s="653"/>
      <c r="ED482" s="653"/>
      <c r="EE482" s="648"/>
      <c r="EF482" s="651"/>
      <c r="EG482" s="651"/>
      <c r="EH482" s="651"/>
      <c r="EI482" s="216"/>
      <c r="EJ482" s="662"/>
      <c r="EK482" s="662"/>
      <c r="EL482" s="662"/>
      <c r="EM482" s="662"/>
      <c r="EN482" s="662"/>
      <c r="EO482" s="662"/>
      <c r="EP482" s="662"/>
      <c r="EQ482" s="662"/>
      <c r="ER482" s="662"/>
      <c r="ES482" s="662"/>
      <c r="ET482" s="662"/>
      <c r="EU482" s="662"/>
      <c r="EV482" s="662"/>
      <c r="EW482" s="662"/>
      <c r="EX482" s="662"/>
      <c r="EY482" s="662"/>
      <c r="EZ482" s="662"/>
      <c r="FA482" s="662"/>
      <c r="FB482" s="662"/>
      <c r="FC482" s="662"/>
      <c r="FD482" s="662"/>
      <c r="FE482" s="662"/>
      <c r="FF482" s="662"/>
      <c r="FG482" s="662"/>
      <c r="FH482" s="662"/>
      <c r="FI482" s="662"/>
      <c r="FJ482" s="662"/>
      <c r="FK482" s="662"/>
      <c r="FL482" s="662"/>
      <c r="FM482" s="662"/>
      <c r="FN482" s="662"/>
      <c r="FO482" s="662"/>
      <c r="FP482" s="662"/>
      <c r="FQ482" s="662"/>
      <c r="FR482" s="662"/>
      <c r="FS482" s="662"/>
      <c r="FT482" s="662"/>
      <c r="FU482" s="662"/>
      <c r="FV482" s="662"/>
      <c r="FW482" s="662"/>
      <c r="FX482" s="662"/>
      <c r="FY482" s="662"/>
      <c r="FZ482" s="662"/>
      <c r="GA482" s="662"/>
      <c r="GB482" s="662"/>
      <c r="GC482" s="662"/>
      <c r="GD482" s="662"/>
      <c r="GE482" s="662"/>
      <c r="GF482" s="662"/>
      <c r="GG482" s="662"/>
      <c r="GH482" s="662"/>
      <c r="GI482" s="662"/>
      <c r="GJ482" s="662"/>
      <c r="GK482" s="662"/>
      <c r="GL482" s="662"/>
      <c r="GM482" s="662"/>
      <c r="GN482" s="662"/>
      <c r="GO482" s="662"/>
      <c r="GP482" s="662"/>
      <c r="GQ482" s="662"/>
      <c r="GR482" s="662"/>
      <c r="GS482" s="662"/>
      <c r="GT482" s="662"/>
      <c r="GU482" s="662"/>
      <c r="GV482" s="662"/>
      <c r="GW482" s="662"/>
      <c r="GX482" s="662"/>
      <c r="GY482" s="662"/>
      <c r="GZ482" s="662"/>
      <c r="HA482" s="662"/>
      <c r="HB482" s="662"/>
      <c r="HC482" s="662"/>
      <c r="HD482" s="662"/>
      <c r="HE482" s="662"/>
      <c r="HF482" s="662"/>
      <c r="HG482" s="662"/>
      <c r="HH482" s="662"/>
      <c r="HI482" s="662"/>
      <c r="HJ482" s="662"/>
      <c r="HK482" s="662"/>
      <c r="HL482" s="662"/>
      <c r="HM482" s="662"/>
      <c r="HN482" s="662"/>
      <c r="HO482" s="662"/>
      <c r="HP482" s="662"/>
      <c r="HQ482" s="662"/>
      <c r="HR482" s="662"/>
      <c r="HS482" s="662"/>
      <c r="HT482" s="662"/>
      <c r="HU482" s="662"/>
      <c r="HV482" s="662"/>
      <c r="HW482" s="662"/>
      <c r="HX482" s="662"/>
      <c r="HY482" s="662"/>
      <c r="HZ482" s="662"/>
      <c r="IA482" s="662"/>
      <c r="IB482" s="662"/>
      <c r="IC482" s="662"/>
      <c r="ID482" s="662"/>
      <c r="IE482" s="662"/>
      <c r="IF482" s="662"/>
      <c r="IG482" s="662"/>
      <c r="IH482" s="662"/>
      <c r="II482" s="662"/>
      <c r="IJ482" s="662"/>
      <c r="IK482" s="662"/>
      <c r="IL482" s="662"/>
      <c r="IM482" s="662"/>
      <c r="IN482" s="662"/>
      <c r="IO482" s="662"/>
      <c r="IP482" s="662"/>
      <c r="IQ482" s="653"/>
    </row>
    <row r="483" spans="18:251" ht="16.5" hidden="1" customHeight="1">
      <c r="R483" s="648"/>
      <c r="S483" s="648"/>
      <c r="T483" s="648"/>
      <c r="U483" s="653"/>
      <c r="V483" s="649"/>
      <c r="W483" s="653"/>
      <c r="X483" s="653"/>
      <c r="Y483" s="653"/>
      <c r="Z483" s="653"/>
      <c r="AA483" s="653"/>
      <c r="AB483" s="653"/>
      <c r="AC483" s="653"/>
      <c r="AD483" s="653"/>
      <c r="AE483" s="653"/>
      <c r="AF483" s="653"/>
      <c r="AG483" s="653"/>
      <c r="AH483" s="653"/>
      <c r="AI483" s="653"/>
      <c r="AJ483" s="653"/>
      <c r="AK483" s="653"/>
      <c r="AL483" s="653"/>
      <c r="AM483" s="653"/>
      <c r="AN483" s="653"/>
      <c r="AO483" s="653"/>
      <c r="AP483" s="653"/>
      <c r="AQ483" s="653"/>
      <c r="AR483" s="653"/>
      <c r="AS483" s="653"/>
      <c r="AT483" s="653"/>
      <c r="AU483" s="653"/>
      <c r="AV483" s="653"/>
      <c r="AW483" s="653"/>
      <c r="AX483" s="653"/>
      <c r="AY483" s="653"/>
      <c r="AZ483" s="653"/>
      <c r="BA483" s="653"/>
      <c r="BB483" s="653"/>
      <c r="BC483" s="653"/>
      <c r="BD483" s="653"/>
      <c r="BE483" s="653"/>
      <c r="BF483" s="653"/>
      <c r="BG483" s="653"/>
      <c r="BH483" s="653"/>
      <c r="BI483" s="653"/>
      <c r="BJ483" s="653"/>
      <c r="BK483" s="653"/>
      <c r="BL483" s="653"/>
      <c r="BM483" s="653"/>
      <c r="BN483" s="653"/>
      <c r="BO483" s="653"/>
      <c r="BP483" s="653"/>
      <c r="BQ483" s="653"/>
      <c r="BR483" s="653"/>
      <c r="BS483" s="653"/>
      <c r="BT483" s="653"/>
      <c r="BU483" s="653"/>
      <c r="BV483" s="653"/>
      <c r="BW483" s="653"/>
      <c r="BX483" s="653"/>
      <c r="BY483" s="653"/>
      <c r="BZ483" s="653"/>
      <c r="CA483" s="653"/>
      <c r="CB483" s="653"/>
      <c r="CC483" s="653"/>
      <c r="CD483" s="653"/>
      <c r="CE483" s="653"/>
      <c r="CF483" s="653"/>
      <c r="CG483" s="653"/>
      <c r="CH483" s="653"/>
      <c r="CI483" s="653"/>
      <c r="CJ483" s="653"/>
      <c r="CK483" s="653"/>
      <c r="CL483" s="653"/>
      <c r="CM483" s="653"/>
      <c r="CN483" s="653"/>
      <c r="CO483" s="653"/>
      <c r="CP483" s="653"/>
      <c r="CQ483" s="653"/>
      <c r="CR483" s="653"/>
      <c r="CS483" s="653"/>
      <c r="CT483" s="653"/>
      <c r="CU483" s="653"/>
      <c r="CV483" s="653"/>
      <c r="CW483" s="653"/>
      <c r="CX483" s="653"/>
      <c r="CY483" s="653"/>
      <c r="CZ483" s="653"/>
      <c r="DA483" s="653"/>
      <c r="DB483" s="653"/>
      <c r="DC483" s="653"/>
      <c r="DD483" s="653"/>
      <c r="DE483" s="653"/>
      <c r="DF483" s="653"/>
      <c r="DG483" s="653"/>
      <c r="DH483" s="653"/>
      <c r="DI483" s="653"/>
      <c r="DJ483" s="653"/>
      <c r="DK483" s="653"/>
      <c r="DL483" s="653"/>
      <c r="DM483" s="653"/>
      <c r="DN483" s="653"/>
      <c r="DO483" s="653"/>
      <c r="DP483" s="653"/>
      <c r="DQ483" s="653"/>
      <c r="DR483" s="653"/>
      <c r="DS483" s="653"/>
      <c r="DT483" s="653"/>
      <c r="DU483" s="653"/>
      <c r="DV483" s="653"/>
      <c r="DW483" s="653"/>
      <c r="DX483" s="653"/>
      <c r="DY483" s="653"/>
      <c r="DZ483" s="653"/>
      <c r="EA483" s="653"/>
      <c r="EB483" s="653"/>
      <c r="EC483" s="653"/>
      <c r="ED483" s="653"/>
      <c r="EE483" s="648"/>
      <c r="EF483" s="651"/>
      <c r="EG483" s="651"/>
      <c r="EH483" s="651"/>
      <c r="EI483" s="216"/>
      <c r="EJ483" s="662"/>
      <c r="EK483" s="662"/>
      <c r="EL483" s="662"/>
      <c r="EM483" s="662"/>
      <c r="EN483" s="662"/>
      <c r="EO483" s="662"/>
      <c r="EP483" s="662"/>
      <c r="EQ483" s="662"/>
      <c r="ER483" s="662"/>
      <c r="ES483" s="662"/>
      <c r="ET483" s="662"/>
      <c r="EU483" s="662"/>
      <c r="EV483" s="662"/>
      <c r="EW483" s="662"/>
      <c r="EX483" s="662"/>
      <c r="EY483" s="662"/>
      <c r="EZ483" s="662"/>
      <c r="FA483" s="662"/>
      <c r="FB483" s="662"/>
      <c r="FC483" s="662"/>
      <c r="FD483" s="662"/>
      <c r="FE483" s="662"/>
      <c r="FF483" s="662"/>
      <c r="FG483" s="662"/>
      <c r="FH483" s="662"/>
      <c r="FI483" s="662"/>
      <c r="FJ483" s="662"/>
      <c r="FK483" s="662"/>
      <c r="FL483" s="662"/>
      <c r="FM483" s="662"/>
      <c r="FN483" s="662"/>
      <c r="FO483" s="662"/>
      <c r="FP483" s="662"/>
      <c r="FQ483" s="662"/>
      <c r="FR483" s="662"/>
      <c r="FS483" s="662"/>
      <c r="FT483" s="662"/>
      <c r="FU483" s="662"/>
      <c r="FV483" s="662"/>
      <c r="FW483" s="662"/>
      <c r="FX483" s="662"/>
      <c r="FY483" s="662"/>
      <c r="FZ483" s="662"/>
      <c r="GA483" s="662"/>
      <c r="GB483" s="662"/>
      <c r="GC483" s="662"/>
      <c r="GD483" s="662"/>
      <c r="GE483" s="662"/>
      <c r="GF483" s="662"/>
      <c r="GG483" s="662"/>
      <c r="GH483" s="662"/>
      <c r="GI483" s="662"/>
      <c r="GJ483" s="662"/>
      <c r="GK483" s="662"/>
      <c r="GL483" s="662"/>
      <c r="GM483" s="662"/>
      <c r="GN483" s="662"/>
      <c r="GO483" s="662"/>
      <c r="GP483" s="662"/>
      <c r="GQ483" s="662"/>
      <c r="GR483" s="662"/>
      <c r="GS483" s="662"/>
      <c r="GT483" s="662"/>
      <c r="GU483" s="662"/>
      <c r="GV483" s="662"/>
      <c r="GW483" s="662"/>
      <c r="GX483" s="662"/>
      <c r="GY483" s="662"/>
      <c r="GZ483" s="662"/>
      <c r="HA483" s="662"/>
      <c r="HB483" s="662"/>
      <c r="HC483" s="662"/>
      <c r="HD483" s="662"/>
      <c r="HE483" s="662"/>
      <c r="HF483" s="662"/>
      <c r="HG483" s="662"/>
      <c r="HH483" s="662"/>
      <c r="HI483" s="662"/>
      <c r="HJ483" s="662"/>
      <c r="HK483" s="662"/>
      <c r="HL483" s="662"/>
      <c r="HM483" s="662"/>
      <c r="HN483" s="662"/>
      <c r="HO483" s="662"/>
      <c r="HP483" s="662"/>
      <c r="HQ483" s="662"/>
      <c r="HR483" s="662"/>
      <c r="HS483" s="662"/>
      <c r="HT483" s="662"/>
      <c r="HU483" s="662"/>
      <c r="HV483" s="662"/>
      <c r="HW483" s="662"/>
      <c r="HX483" s="662"/>
      <c r="HY483" s="662"/>
      <c r="HZ483" s="662"/>
      <c r="IA483" s="662"/>
      <c r="IB483" s="662"/>
      <c r="IC483" s="662"/>
      <c r="ID483" s="662"/>
      <c r="IE483" s="662"/>
      <c r="IF483" s="662"/>
      <c r="IG483" s="662"/>
      <c r="IH483" s="662"/>
      <c r="II483" s="662"/>
      <c r="IJ483" s="662"/>
      <c r="IK483" s="662"/>
      <c r="IL483" s="662"/>
      <c r="IM483" s="662"/>
      <c r="IN483" s="662"/>
      <c r="IO483" s="662"/>
      <c r="IP483" s="662"/>
      <c r="IQ483" s="653"/>
    </row>
    <row r="484" spans="18:251" ht="16.5" hidden="1" customHeight="1">
      <c r="R484" s="648"/>
      <c r="S484" s="648"/>
      <c r="T484" s="648"/>
      <c r="U484" s="653"/>
      <c r="V484" s="649"/>
      <c r="W484" s="653"/>
      <c r="X484" s="653"/>
      <c r="Y484" s="653"/>
      <c r="Z484" s="653"/>
      <c r="AA484" s="653"/>
      <c r="AB484" s="653"/>
      <c r="AC484" s="653"/>
      <c r="AD484" s="653"/>
      <c r="AE484" s="653"/>
      <c r="AF484" s="653"/>
      <c r="AG484" s="653"/>
      <c r="AH484" s="653"/>
      <c r="AI484" s="653"/>
      <c r="AJ484" s="653"/>
      <c r="AK484" s="653"/>
      <c r="AL484" s="653"/>
      <c r="AM484" s="653"/>
      <c r="AN484" s="653"/>
      <c r="AO484" s="653"/>
      <c r="AP484" s="653"/>
      <c r="AQ484" s="653"/>
      <c r="AR484" s="653"/>
      <c r="AS484" s="653"/>
      <c r="AT484" s="653"/>
      <c r="AU484" s="653"/>
      <c r="AV484" s="653"/>
      <c r="AW484" s="653"/>
      <c r="AX484" s="653"/>
      <c r="AY484" s="653"/>
      <c r="AZ484" s="653"/>
      <c r="BA484" s="653"/>
      <c r="BB484" s="653"/>
      <c r="BC484" s="653"/>
      <c r="BD484" s="653"/>
      <c r="BE484" s="653"/>
      <c r="BF484" s="653"/>
      <c r="BG484" s="653"/>
      <c r="BH484" s="653"/>
      <c r="BI484" s="653"/>
      <c r="BJ484" s="653"/>
      <c r="BK484" s="653"/>
      <c r="BL484" s="653"/>
      <c r="BM484" s="653"/>
      <c r="BN484" s="653"/>
      <c r="BO484" s="653"/>
      <c r="BP484" s="653"/>
      <c r="BQ484" s="653"/>
      <c r="BR484" s="653"/>
      <c r="BS484" s="653"/>
      <c r="BT484" s="653"/>
      <c r="BU484" s="653"/>
      <c r="BV484" s="653"/>
      <c r="BW484" s="653"/>
      <c r="BX484" s="653"/>
      <c r="BY484" s="653"/>
      <c r="BZ484" s="653"/>
      <c r="CA484" s="653"/>
      <c r="CB484" s="653"/>
      <c r="CC484" s="653"/>
      <c r="CD484" s="653"/>
      <c r="CE484" s="653"/>
      <c r="CF484" s="653"/>
      <c r="CG484" s="653"/>
      <c r="CH484" s="653"/>
      <c r="CI484" s="653"/>
      <c r="CJ484" s="653"/>
      <c r="CK484" s="653"/>
      <c r="CL484" s="653"/>
      <c r="CM484" s="653"/>
      <c r="CN484" s="653"/>
      <c r="CO484" s="653"/>
      <c r="CP484" s="653"/>
      <c r="CQ484" s="653"/>
      <c r="CR484" s="653"/>
      <c r="CS484" s="653"/>
      <c r="CT484" s="653"/>
      <c r="CU484" s="653"/>
      <c r="CV484" s="653"/>
      <c r="CW484" s="653"/>
      <c r="CX484" s="653"/>
      <c r="CY484" s="653"/>
      <c r="CZ484" s="653"/>
      <c r="DA484" s="653"/>
      <c r="DB484" s="653"/>
      <c r="DC484" s="653"/>
      <c r="DD484" s="653"/>
      <c r="DE484" s="653"/>
      <c r="DF484" s="653"/>
      <c r="DG484" s="653"/>
      <c r="DH484" s="653"/>
      <c r="DI484" s="653"/>
      <c r="DJ484" s="653"/>
      <c r="DK484" s="653"/>
      <c r="DL484" s="653"/>
      <c r="DM484" s="653"/>
      <c r="DN484" s="653"/>
      <c r="DO484" s="653"/>
      <c r="DP484" s="653"/>
      <c r="DQ484" s="653"/>
      <c r="DR484" s="653"/>
      <c r="DS484" s="653"/>
      <c r="DT484" s="653"/>
      <c r="DU484" s="653"/>
      <c r="DV484" s="653"/>
      <c r="DW484" s="653"/>
      <c r="DX484" s="653"/>
      <c r="DY484" s="653"/>
      <c r="DZ484" s="653"/>
      <c r="EA484" s="653"/>
      <c r="EB484" s="653"/>
      <c r="EC484" s="653"/>
      <c r="ED484" s="653"/>
      <c r="EE484" s="648"/>
      <c r="EF484" s="651"/>
      <c r="EG484" s="651"/>
      <c r="EH484" s="651"/>
      <c r="EI484" s="216"/>
      <c r="EJ484" s="662"/>
      <c r="EK484" s="662"/>
      <c r="EL484" s="662"/>
      <c r="EM484" s="662"/>
      <c r="EN484" s="662"/>
      <c r="EO484" s="662"/>
      <c r="EP484" s="662"/>
      <c r="EQ484" s="662"/>
      <c r="ER484" s="662"/>
      <c r="ES484" s="662"/>
      <c r="ET484" s="662"/>
      <c r="EU484" s="662"/>
      <c r="EV484" s="662"/>
      <c r="EW484" s="662"/>
      <c r="EX484" s="662"/>
      <c r="EY484" s="662"/>
      <c r="EZ484" s="662"/>
      <c r="FA484" s="662"/>
      <c r="FB484" s="662"/>
      <c r="FC484" s="662"/>
      <c r="FD484" s="662"/>
      <c r="FE484" s="662"/>
      <c r="FF484" s="662"/>
      <c r="FG484" s="662"/>
      <c r="FH484" s="662"/>
      <c r="FI484" s="662"/>
      <c r="FJ484" s="662"/>
      <c r="FK484" s="662"/>
      <c r="FL484" s="662"/>
      <c r="FM484" s="662"/>
      <c r="FN484" s="662"/>
      <c r="FO484" s="662"/>
      <c r="FP484" s="662"/>
      <c r="FQ484" s="662"/>
      <c r="FR484" s="662"/>
      <c r="FS484" s="662"/>
      <c r="FT484" s="662"/>
      <c r="FU484" s="662"/>
      <c r="FV484" s="662"/>
      <c r="FW484" s="662"/>
      <c r="FX484" s="662"/>
      <c r="FY484" s="662"/>
      <c r="FZ484" s="662"/>
      <c r="GA484" s="662"/>
      <c r="GB484" s="662"/>
      <c r="GC484" s="662"/>
      <c r="GD484" s="662"/>
      <c r="GE484" s="662"/>
      <c r="GF484" s="662"/>
      <c r="GG484" s="662"/>
      <c r="GH484" s="662"/>
      <c r="GI484" s="662"/>
      <c r="GJ484" s="662"/>
      <c r="GK484" s="662"/>
      <c r="GL484" s="662"/>
      <c r="GM484" s="662"/>
      <c r="GN484" s="662"/>
      <c r="GO484" s="662"/>
      <c r="GP484" s="662"/>
      <c r="GQ484" s="662"/>
      <c r="GR484" s="662"/>
      <c r="GS484" s="662"/>
      <c r="GT484" s="662"/>
      <c r="GU484" s="662"/>
      <c r="GV484" s="662"/>
      <c r="GW484" s="662"/>
      <c r="GX484" s="662"/>
      <c r="GY484" s="662"/>
      <c r="GZ484" s="662"/>
      <c r="HA484" s="662"/>
      <c r="HB484" s="662"/>
      <c r="HC484" s="662"/>
      <c r="HD484" s="662"/>
      <c r="HE484" s="662"/>
      <c r="HF484" s="662"/>
      <c r="HG484" s="662"/>
      <c r="HH484" s="662"/>
      <c r="HI484" s="662"/>
      <c r="HJ484" s="662"/>
      <c r="HK484" s="662"/>
      <c r="HL484" s="662"/>
      <c r="HM484" s="662"/>
      <c r="HN484" s="662"/>
      <c r="HO484" s="662"/>
      <c r="HP484" s="662"/>
      <c r="HQ484" s="662"/>
      <c r="HR484" s="662"/>
      <c r="HS484" s="662"/>
      <c r="HT484" s="662"/>
      <c r="HU484" s="662"/>
      <c r="HV484" s="662"/>
      <c r="HW484" s="662"/>
      <c r="HX484" s="662"/>
      <c r="HY484" s="662"/>
      <c r="HZ484" s="662"/>
      <c r="IA484" s="662"/>
      <c r="IB484" s="662"/>
      <c r="IC484" s="662"/>
      <c r="ID484" s="662"/>
      <c r="IE484" s="662"/>
      <c r="IF484" s="662"/>
      <c r="IG484" s="662"/>
      <c r="IH484" s="662"/>
      <c r="II484" s="662"/>
      <c r="IJ484" s="662"/>
      <c r="IK484" s="662"/>
      <c r="IL484" s="662"/>
      <c r="IM484" s="662"/>
      <c r="IN484" s="662"/>
      <c r="IO484" s="662"/>
      <c r="IP484" s="662"/>
      <c r="IQ484" s="653"/>
    </row>
    <row r="485" spans="18:251" ht="16.5" hidden="1" customHeight="1">
      <c r="R485" s="648"/>
      <c r="S485" s="648"/>
      <c r="T485" s="648"/>
      <c r="U485" s="653"/>
      <c r="V485" s="649"/>
      <c r="W485" s="653"/>
      <c r="X485" s="653"/>
      <c r="Y485" s="653"/>
      <c r="Z485" s="653"/>
      <c r="AA485" s="653"/>
      <c r="AB485" s="653"/>
      <c r="AC485" s="653"/>
      <c r="AD485" s="653"/>
      <c r="AE485" s="653"/>
      <c r="AF485" s="653"/>
      <c r="AG485" s="653"/>
      <c r="AH485" s="653"/>
      <c r="AI485" s="653"/>
      <c r="AJ485" s="653"/>
      <c r="AK485" s="653"/>
      <c r="AL485" s="653"/>
      <c r="AM485" s="653"/>
      <c r="AN485" s="653"/>
      <c r="AO485" s="653"/>
      <c r="AP485" s="653"/>
      <c r="AQ485" s="653"/>
      <c r="AR485" s="653"/>
      <c r="AS485" s="653"/>
      <c r="AT485" s="653"/>
      <c r="AU485" s="653"/>
      <c r="AV485" s="653"/>
      <c r="AW485" s="653"/>
      <c r="AX485" s="653"/>
      <c r="AY485" s="653"/>
      <c r="AZ485" s="653"/>
      <c r="BA485" s="653"/>
      <c r="BB485" s="653"/>
      <c r="BC485" s="653"/>
      <c r="BD485" s="653"/>
      <c r="BE485" s="653"/>
      <c r="BF485" s="653"/>
      <c r="BG485" s="653"/>
      <c r="BH485" s="653"/>
      <c r="BI485" s="653"/>
      <c r="BJ485" s="653"/>
      <c r="BK485" s="653"/>
      <c r="BL485" s="653"/>
      <c r="BM485" s="653"/>
      <c r="BN485" s="653"/>
      <c r="BO485" s="653"/>
      <c r="BP485" s="653"/>
      <c r="BQ485" s="653"/>
      <c r="BR485" s="653"/>
      <c r="BS485" s="653"/>
      <c r="BT485" s="653"/>
      <c r="BU485" s="653"/>
      <c r="BV485" s="653"/>
      <c r="BW485" s="653"/>
      <c r="BX485" s="653"/>
      <c r="BY485" s="653"/>
      <c r="BZ485" s="653"/>
      <c r="CA485" s="653"/>
      <c r="CB485" s="653"/>
      <c r="CC485" s="653"/>
      <c r="CD485" s="653"/>
      <c r="CE485" s="653"/>
      <c r="CF485" s="653"/>
      <c r="CG485" s="653"/>
      <c r="CH485" s="653"/>
      <c r="CI485" s="653"/>
      <c r="CJ485" s="653"/>
      <c r="CK485" s="653"/>
      <c r="CL485" s="653"/>
      <c r="CM485" s="653"/>
      <c r="CN485" s="653"/>
      <c r="CO485" s="653"/>
      <c r="CP485" s="653"/>
      <c r="CQ485" s="653"/>
      <c r="CR485" s="653"/>
      <c r="CS485" s="653"/>
      <c r="CT485" s="653"/>
      <c r="CU485" s="653"/>
      <c r="CV485" s="653"/>
      <c r="CW485" s="653"/>
      <c r="CX485" s="653"/>
      <c r="CY485" s="653"/>
      <c r="CZ485" s="653"/>
      <c r="DA485" s="653"/>
      <c r="DB485" s="653"/>
      <c r="DC485" s="653"/>
      <c r="DD485" s="653"/>
      <c r="DE485" s="653"/>
      <c r="DF485" s="653"/>
      <c r="DG485" s="653"/>
      <c r="DH485" s="653"/>
      <c r="DI485" s="653"/>
      <c r="DJ485" s="653"/>
      <c r="DK485" s="653"/>
      <c r="DL485" s="653"/>
      <c r="DM485" s="653"/>
      <c r="DN485" s="653"/>
      <c r="DO485" s="653"/>
      <c r="DP485" s="653"/>
      <c r="DQ485" s="653"/>
      <c r="DR485" s="653"/>
      <c r="DS485" s="653"/>
      <c r="DT485" s="653"/>
      <c r="DU485" s="653"/>
      <c r="DV485" s="653"/>
      <c r="DW485" s="653"/>
      <c r="DX485" s="653"/>
      <c r="DY485" s="653"/>
      <c r="DZ485" s="653"/>
      <c r="EA485" s="653"/>
      <c r="EB485" s="653"/>
      <c r="EC485" s="653"/>
      <c r="ED485" s="653"/>
      <c r="EE485" s="648"/>
      <c r="EF485" s="651"/>
      <c r="EG485" s="651"/>
      <c r="EH485" s="651"/>
      <c r="EI485" s="216"/>
      <c r="EJ485" s="662"/>
      <c r="EK485" s="662"/>
      <c r="EL485" s="662"/>
      <c r="EM485" s="662"/>
      <c r="EN485" s="662"/>
      <c r="EO485" s="662"/>
      <c r="EP485" s="662"/>
      <c r="EQ485" s="662"/>
      <c r="ER485" s="662"/>
      <c r="ES485" s="662"/>
      <c r="ET485" s="662"/>
      <c r="EU485" s="662"/>
      <c r="EV485" s="662"/>
      <c r="EW485" s="662"/>
      <c r="EX485" s="662"/>
      <c r="EY485" s="662"/>
      <c r="EZ485" s="662"/>
      <c r="FA485" s="662"/>
      <c r="FB485" s="662"/>
      <c r="FC485" s="662"/>
      <c r="FD485" s="662"/>
      <c r="FE485" s="662"/>
      <c r="FF485" s="662"/>
      <c r="FG485" s="662"/>
      <c r="FH485" s="662"/>
      <c r="FI485" s="662"/>
      <c r="FJ485" s="662"/>
      <c r="FK485" s="662"/>
      <c r="FL485" s="662"/>
      <c r="FM485" s="662"/>
      <c r="FN485" s="662"/>
      <c r="FO485" s="662"/>
      <c r="FP485" s="662"/>
      <c r="FQ485" s="662"/>
      <c r="FR485" s="662"/>
      <c r="FS485" s="662"/>
      <c r="FT485" s="662"/>
      <c r="FU485" s="662"/>
      <c r="FV485" s="662"/>
      <c r="FW485" s="662"/>
      <c r="FX485" s="662"/>
      <c r="FY485" s="662"/>
      <c r="FZ485" s="662"/>
      <c r="GA485" s="662"/>
      <c r="GB485" s="662"/>
      <c r="GC485" s="662"/>
      <c r="GD485" s="662"/>
      <c r="GE485" s="662"/>
      <c r="GF485" s="662"/>
      <c r="GG485" s="662"/>
      <c r="GH485" s="662"/>
      <c r="GI485" s="662"/>
      <c r="GJ485" s="662"/>
      <c r="GK485" s="662"/>
      <c r="GL485" s="662"/>
      <c r="GM485" s="662"/>
      <c r="GN485" s="662"/>
      <c r="GO485" s="662"/>
      <c r="GP485" s="662"/>
      <c r="GQ485" s="662"/>
      <c r="GR485" s="662"/>
      <c r="GS485" s="662"/>
      <c r="GT485" s="662"/>
      <c r="GU485" s="662"/>
      <c r="GV485" s="662"/>
      <c r="GW485" s="662"/>
      <c r="GX485" s="662"/>
      <c r="GY485" s="662"/>
      <c r="GZ485" s="662"/>
      <c r="HA485" s="662"/>
      <c r="HB485" s="662"/>
      <c r="HC485" s="662"/>
      <c r="HD485" s="662"/>
      <c r="HE485" s="662"/>
      <c r="HF485" s="662"/>
      <c r="HG485" s="662"/>
      <c r="HH485" s="662"/>
      <c r="HI485" s="662"/>
      <c r="HJ485" s="662"/>
      <c r="HK485" s="662"/>
      <c r="HL485" s="662"/>
      <c r="HM485" s="662"/>
      <c r="HN485" s="662"/>
      <c r="HO485" s="662"/>
      <c r="HP485" s="662"/>
      <c r="HQ485" s="662"/>
      <c r="HR485" s="662"/>
      <c r="HS485" s="662"/>
      <c r="HT485" s="662"/>
      <c r="HU485" s="662"/>
      <c r="HV485" s="662"/>
      <c r="HW485" s="662"/>
      <c r="HX485" s="662"/>
      <c r="HY485" s="662"/>
      <c r="HZ485" s="662"/>
      <c r="IA485" s="662"/>
      <c r="IB485" s="662"/>
      <c r="IC485" s="662"/>
      <c r="ID485" s="662"/>
      <c r="IE485" s="662"/>
      <c r="IF485" s="662"/>
      <c r="IG485" s="662"/>
      <c r="IH485" s="662"/>
      <c r="II485" s="662"/>
      <c r="IJ485" s="662"/>
      <c r="IK485" s="662"/>
      <c r="IL485" s="662"/>
      <c r="IM485" s="662"/>
      <c r="IN485" s="662"/>
      <c r="IO485" s="662"/>
      <c r="IP485" s="662"/>
      <c r="IQ485" s="653"/>
    </row>
    <row r="486" spans="18:251" ht="16.5" hidden="1" customHeight="1">
      <c r="R486" s="648"/>
      <c r="S486" s="648"/>
      <c r="T486" s="648"/>
      <c r="U486" s="653"/>
      <c r="V486" s="649"/>
      <c r="W486" s="653"/>
      <c r="X486" s="653"/>
      <c r="Y486" s="653"/>
      <c r="Z486" s="653"/>
      <c r="AA486" s="653"/>
      <c r="AB486" s="653"/>
      <c r="AC486" s="653"/>
      <c r="AD486" s="653"/>
      <c r="AE486" s="653"/>
      <c r="AF486" s="653"/>
      <c r="AG486" s="653"/>
      <c r="AH486" s="653"/>
      <c r="AI486" s="653"/>
      <c r="AJ486" s="653"/>
      <c r="AK486" s="653"/>
      <c r="AL486" s="653"/>
      <c r="AM486" s="653"/>
      <c r="AN486" s="653"/>
      <c r="AO486" s="653"/>
      <c r="AP486" s="653"/>
      <c r="AQ486" s="653"/>
      <c r="AR486" s="653"/>
      <c r="AS486" s="653"/>
      <c r="AT486" s="653"/>
      <c r="AU486" s="653"/>
      <c r="AV486" s="653"/>
      <c r="AW486" s="653"/>
      <c r="AX486" s="653"/>
      <c r="AY486" s="653"/>
      <c r="AZ486" s="653"/>
      <c r="BA486" s="653"/>
      <c r="BB486" s="653"/>
      <c r="BC486" s="653"/>
      <c r="BD486" s="653"/>
      <c r="BE486" s="653"/>
      <c r="BF486" s="653"/>
      <c r="BG486" s="653"/>
      <c r="BH486" s="653"/>
      <c r="BI486" s="653"/>
      <c r="BJ486" s="653"/>
      <c r="BK486" s="653"/>
      <c r="BL486" s="653"/>
      <c r="BM486" s="653"/>
      <c r="BN486" s="653"/>
      <c r="BO486" s="653"/>
      <c r="BP486" s="653"/>
      <c r="BQ486" s="653"/>
      <c r="BR486" s="653"/>
      <c r="BS486" s="653"/>
      <c r="BT486" s="653"/>
      <c r="BU486" s="653"/>
      <c r="BV486" s="653"/>
      <c r="BW486" s="653"/>
      <c r="BX486" s="653"/>
      <c r="BY486" s="653"/>
      <c r="BZ486" s="653"/>
      <c r="CA486" s="653"/>
      <c r="CB486" s="653"/>
      <c r="CC486" s="653"/>
      <c r="CD486" s="653"/>
      <c r="CE486" s="653"/>
      <c r="CF486" s="653"/>
      <c r="CG486" s="653"/>
      <c r="CH486" s="653"/>
      <c r="CI486" s="653"/>
      <c r="CJ486" s="653"/>
      <c r="CK486" s="653"/>
      <c r="CL486" s="653"/>
      <c r="CM486" s="653"/>
      <c r="CN486" s="653"/>
      <c r="CO486" s="653"/>
      <c r="CP486" s="653"/>
      <c r="CQ486" s="653"/>
      <c r="CR486" s="653"/>
      <c r="CS486" s="653"/>
      <c r="CT486" s="653"/>
      <c r="CU486" s="653"/>
      <c r="CV486" s="653"/>
      <c r="CW486" s="653"/>
      <c r="CX486" s="653"/>
      <c r="CY486" s="653"/>
      <c r="CZ486" s="653"/>
      <c r="DA486" s="653"/>
      <c r="DB486" s="653"/>
      <c r="DC486" s="653"/>
      <c r="DD486" s="653"/>
      <c r="DE486" s="653"/>
      <c r="DF486" s="653"/>
      <c r="DG486" s="653"/>
      <c r="DH486" s="653"/>
      <c r="DI486" s="653"/>
      <c r="DJ486" s="653"/>
      <c r="DK486" s="653"/>
      <c r="DL486" s="653"/>
      <c r="DM486" s="653"/>
      <c r="DN486" s="653"/>
      <c r="DO486" s="653"/>
      <c r="DP486" s="653"/>
      <c r="DQ486" s="653"/>
      <c r="DR486" s="653"/>
      <c r="DS486" s="653"/>
      <c r="DT486" s="653"/>
      <c r="DU486" s="653"/>
      <c r="DV486" s="653"/>
      <c r="DW486" s="653"/>
      <c r="DX486" s="653"/>
      <c r="DY486" s="653"/>
      <c r="DZ486" s="653"/>
      <c r="EA486" s="653"/>
      <c r="EB486" s="653"/>
      <c r="EC486" s="653"/>
      <c r="ED486" s="653"/>
      <c r="EE486" s="648"/>
      <c r="EF486" s="651"/>
      <c r="EG486" s="651"/>
      <c r="EH486" s="651"/>
      <c r="EI486" s="216"/>
      <c r="EJ486" s="662"/>
      <c r="EK486" s="662"/>
      <c r="EL486" s="662"/>
      <c r="EM486" s="662"/>
      <c r="EN486" s="662"/>
      <c r="EO486" s="662"/>
      <c r="EP486" s="662"/>
      <c r="EQ486" s="662"/>
      <c r="ER486" s="662"/>
      <c r="ES486" s="662"/>
      <c r="ET486" s="662"/>
      <c r="EU486" s="662"/>
      <c r="EV486" s="662"/>
      <c r="EW486" s="662"/>
      <c r="EX486" s="662"/>
      <c r="EY486" s="662"/>
      <c r="EZ486" s="662"/>
      <c r="FA486" s="662"/>
      <c r="FB486" s="662"/>
      <c r="FC486" s="662"/>
      <c r="FD486" s="662"/>
      <c r="FE486" s="662"/>
      <c r="FF486" s="662"/>
      <c r="FG486" s="662"/>
      <c r="FH486" s="662"/>
      <c r="FI486" s="662"/>
      <c r="FJ486" s="662"/>
      <c r="FK486" s="662"/>
      <c r="FL486" s="662"/>
      <c r="FM486" s="662"/>
      <c r="FN486" s="662"/>
      <c r="FO486" s="662"/>
      <c r="FP486" s="662"/>
      <c r="FQ486" s="662"/>
      <c r="FR486" s="662"/>
      <c r="FS486" s="662"/>
      <c r="FT486" s="662"/>
      <c r="FU486" s="662"/>
      <c r="FV486" s="662"/>
      <c r="FW486" s="662"/>
      <c r="FX486" s="662"/>
      <c r="FY486" s="662"/>
      <c r="FZ486" s="662"/>
      <c r="GA486" s="662"/>
      <c r="GB486" s="662"/>
      <c r="GC486" s="662"/>
      <c r="GD486" s="662"/>
      <c r="GE486" s="662"/>
      <c r="GF486" s="662"/>
      <c r="GG486" s="662"/>
      <c r="GH486" s="662"/>
      <c r="GI486" s="662"/>
      <c r="GJ486" s="662"/>
      <c r="GK486" s="662"/>
      <c r="GL486" s="662"/>
      <c r="GM486" s="662"/>
      <c r="GN486" s="662"/>
      <c r="GO486" s="662"/>
      <c r="GP486" s="662"/>
      <c r="GQ486" s="662"/>
      <c r="GR486" s="662"/>
      <c r="GS486" s="662"/>
      <c r="GT486" s="662"/>
      <c r="GU486" s="662"/>
      <c r="GV486" s="662"/>
      <c r="GW486" s="662"/>
      <c r="GX486" s="662"/>
      <c r="GY486" s="662"/>
      <c r="GZ486" s="662"/>
      <c r="HA486" s="662"/>
      <c r="HB486" s="662"/>
      <c r="HC486" s="662"/>
      <c r="HD486" s="662"/>
      <c r="HE486" s="662"/>
      <c r="HF486" s="662"/>
      <c r="HG486" s="662"/>
      <c r="HH486" s="662"/>
      <c r="HI486" s="662"/>
      <c r="HJ486" s="662"/>
      <c r="HK486" s="662"/>
      <c r="HL486" s="662"/>
      <c r="HM486" s="662"/>
      <c r="HN486" s="662"/>
      <c r="HO486" s="662"/>
      <c r="HP486" s="662"/>
      <c r="HQ486" s="662"/>
      <c r="HR486" s="662"/>
      <c r="HS486" s="662"/>
      <c r="HT486" s="662"/>
      <c r="HU486" s="662"/>
      <c r="HV486" s="662"/>
      <c r="HW486" s="662"/>
      <c r="HX486" s="662"/>
      <c r="HY486" s="662"/>
      <c r="HZ486" s="662"/>
      <c r="IA486" s="662"/>
      <c r="IB486" s="662"/>
      <c r="IC486" s="662"/>
      <c r="ID486" s="662"/>
      <c r="IE486" s="662"/>
      <c r="IF486" s="662"/>
      <c r="IG486" s="662"/>
      <c r="IH486" s="662"/>
      <c r="II486" s="662"/>
      <c r="IJ486" s="662"/>
      <c r="IK486" s="662"/>
      <c r="IL486" s="662"/>
      <c r="IM486" s="662"/>
      <c r="IN486" s="662"/>
      <c r="IO486" s="662"/>
      <c r="IP486" s="662"/>
      <c r="IQ486" s="653"/>
    </row>
    <row r="487" spans="18:251" ht="16.5" hidden="1" customHeight="1">
      <c r="R487" s="648"/>
      <c r="S487" s="648"/>
      <c r="T487" s="648"/>
      <c r="U487" s="653"/>
      <c r="V487" s="649"/>
      <c r="W487" s="653"/>
      <c r="X487" s="653"/>
      <c r="Y487" s="653"/>
      <c r="Z487" s="653"/>
      <c r="AA487" s="653"/>
      <c r="AB487" s="653"/>
      <c r="AC487" s="653"/>
      <c r="AD487" s="653"/>
      <c r="AE487" s="653"/>
      <c r="AF487" s="653"/>
      <c r="AG487" s="653"/>
      <c r="AH487" s="653"/>
      <c r="AI487" s="653"/>
      <c r="AJ487" s="653"/>
      <c r="AK487" s="653"/>
      <c r="AL487" s="653"/>
      <c r="AM487" s="653"/>
      <c r="AN487" s="653"/>
      <c r="AO487" s="653"/>
      <c r="AP487" s="653"/>
      <c r="AQ487" s="653"/>
      <c r="AR487" s="653"/>
      <c r="AS487" s="653"/>
      <c r="AT487" s="653"/>
      <c r="AU487" s="653"/>
      <c r="AV487" s="653"/>
      <c r="AW487" s="653"/>
      <c r="AX487" s="653"/>
      <c r="AY487" s="653"/>
      <c r="AZ487" s="653"/>
      <c r="BA487" s="653"/>
      <c r="BB487" s="653"/>
      <c r="BC487" s="653"/>
      <c r="BD487" s="653"/>
      <c r="BE487" s="653"/>
      <c r="BF487" s="653"/>
      <c r="BG487" s="653"/>
      <c r="BH487" s="653"/>
      <c r="BI487" s="653"/>
      <c r="BJ487" s="653"/>
      <c r="BK487" s="653"/>
      <c r="BL487" s="653"/>
      <c r="BM487" s="653"/>
      <c r="BN487" s="653"/>
      <c r="BO487" s="653"/>
      <c r="BP487" s="653"/>
      <c r="BQ487" s="653"/>
      <c r="BR487" s="653"/>
      <c r="BS487" s="653"/>
      <c r="BT487" s="653"/>
      <c r="BU487" s="653"/>
      <c r="BV487" s="653"/>
      <c r="BW487" s="653"/>
      <c r="BX487" s="653"/>
      <c r="BY487" s="653"/>
      <c r="BZ487" s="653"/>
      <c r="CA487" s="653"/>
      <c r="CB487" s="653"/>
      <c r="CC487" s="653"/>
      <c r="CD487" s="653"/>
      <c r="CE487" s="653"/>
      <c r="CF487" s="653"/>
      <c r="CG487" s="653"/>
      <c r="CH487" s="653"/>
      <c r="CI487" s="653"/>
      <c r="CJ487" s="653"/>
      <c r="CK487" s="653"/>
      <c r="CL487" s="653"/>
      <c r="CM487" s="653"/>
      <c r="CN487" s="653"/>
      <c r="CO487" s="653"/>
      <c r="CP487" s="653"/>
      <c r="CQ487" s="653"/>
      <c r="CR487" s="653"/>
      <c r="CS487" s="653"/>
      <c r="CT487" s="653"/>
      <c r="CU487" s="653"/>
      <c r="CV487" s="653"/>
      <c r="CW487" s="653"/>
      <c r="CX487" s="653"/>
      <c r="CY487" s="653"/>
      <c r="CZ487" s="653"/>
      <c r="DA487" s="653"/>
      <c r="DB487" s="653"/>
      <c r="DC487" s="653"/>
      <c r="DD487" s="653"/>
      <c r="DE487" s="653"/>
      <c r="DF487" s="653"/>
      <c r="DG487" s="653"/>
      <c r="DH487" s="653"/>
      <c r="DI487" s="653"/>
      <c r="DJ487" s="653"/>
      <c r="DK487" s="653"/>
      <c r="DL487" s="653"/>
      <c r="DM487" s="653"/>
      <c r="DN487" s="653"/>
      <c r="DO487" s="653"/>
      <c r="DP487" s="653"/>
      <c r="DQ487" s="653"/>
      <c r="DR487" s="653"/>
      <c r="DS487" s="653"/>
      <c r="DT487" s="653"/>
      <c r="DU487" s="653"/>
      <c r="DV487" s="653"/>
      <c r="DW487" s="653"/>
      <c r="DX487" s="653"/>
      <c r="DY487" s="653"/>
      <c r="DZ487" s="653"/>
      <c r="EA487" s="653"/>
      <c r="EB487" s="653"/>
      <c r="EC487" s="653"/>
      <c r="ED487" s="653"/>
      <c r="EE487" s="648"/>
      <c r="EF487" s="651"/>
      <c r="EG487" s="651"/>
      <c r="EH487" s="651"/>
      <c r="EI487" s="216"/>
      <c r="EJ487" s="662"/>
      <c r="EK487" s="662"/>
      <c r="EL487" s="662"/>
      <c r="EM487" s="662"/>
      <c r="EN487" s="662"/>
      <c r="EO487" s="662"/>
      <c r="EP487" s="662"/>
      <c r="EQ487" s="662"/>
      <c r="ER487" s="662"/>
      <c r="ES487" s="662"/>
      <c r="ET487" s="662"/>
      <c r="EU487" s="662"/>
      <c r="EV487" s="662"/>
      <c r="EW487" s="662"/>
      <c r="EX487" s="662"/>
      <c r="EY487" s="662"/>
      <c r="EZ487" s="662"/>
      <c r="FA487" s="662"/>
      <c r="FB487" s="662"/>
      <c r="FC487" s="662"/>
      <c r="FD487" s="662"/>
      <c r="FE487" s="662"/>
      <c r="FF487" s="662"/>
      <c r="FG487" s="662"/>
      <c r="FH487" s="662"/>
      <c r="FI487" s="662"/>
      <c r="FJ487" s="662"/>
      <c r="FK487" s="662"/>
      <c r="FL487" s="662"/>
      <c r="FM487" s="662"/>
      <c r="FN487" s="662"/>
      <c r="FO487" s="662"/>
      <c r="FP487" s="662"/>
      <c r="FQ487" s="662"/>
      <c r="FR487" s="662"/>
      <c r="FS487" s="662"/>
      <c r="FT487" s="662"/>
      <c r="FU487" s="662"/>
      <c r="FV487" s="662"/>
      <c r="FW487" s="662"/>
      <c r="FX487" s="662"/>
      <c r="FY487" s="662"/>
      <c r="FZ487" s="662"/>
      <c r="GA487" s="662"/>
      <c r="GB487" s="662"/>
      <c r="GC487" s="662"/>
      <c r="GD487" s="662"/>
      <c r="GE487" s="662"/>
      <c r="GF487" s="662"/>
      <c r="GG487" s="662"/>
      <c r="GH487" s="662"/>
      <c r="GI487" s="662"/>
      <c r="GJ487" s="662"/>
      <c r="GK487" s="662"/>
      <c r="GL487" s="662"/>
      <c r="GM487" s="662"/>
      <c r="GN487" s="662"/>
      <c r="GO487" s="662"/>
      <c r="GP487" s="662"/>
      <c r="GQ487" s="662"/>
      <c r="GR487" s="662"/>
      <c r="GS487" s="662"/>
      <c r="GT487" s="662"/>
      <c r="GU487" s="662"/>
      <c r="GV487" s="662"/>
      <c r="GW487" s="662"/>
      <c r="GX487" s="662"/>
      <c r="GY487" s="662"/>
      <c r="GZ487" s="662"/>
      <c r="HA487" s="662"/>
      <c r="HB487" s="662"/>
      <c r="HC487" s="662"/>
      <c r="HD487" s="662"/>
      <c r="HE487" s="662"/>
      <c r="HF487" s="662"/>
      <c r="HG487" s="662"/>
      <c r="HH487" s="662"/>
      <c r="HI487" s="662"/>
      <c r="HJ487" s="662"/>
      <c r="HK487" s="662"/>
      <c r="HL487" s="662"/>
      <c r="HM487" s="662"/>
      <c r="HN487" s="662"/>
      <c r="HO487" s="662"/>
      <c r="HP487" s="662"/>
      <c r="HQ487" s="662"/>
      <c r="HR487" s="662"/>
      <c r="HS487" s="662"/>
      <c r="HT487" s="662"/>
      <c r="HU487" s="662"/>
      <c r="HV487" s="662"/>
      <c r="HW487" s="662"/>
      <c r="HX487" s="662"/>
      <c r="HY487" s="662"/>
      <c r="HZ487" s="662"/>
      <c r="IA487" s="662"/>
      <c r="IB487" s="662"/>
      <c r="IC487" s="662"/>
      <c r="ID487" s="662"/>
      <c r="IE487" s="662"/>
      <c r="IF487" s="662"/>
      <c r="IG487" s="662"/>
      <c r="IH487" s="662"/>
      <c r="II487" s="662"/>
      <c r="IJ487" s="662"/>
      <c r="IK487" s="662"/>
      <c r="IL487" s="662"/>
      <c r="IM487" s="662"/>
      <c r="IN487" s="662"/>
      <c r="IO487" s="662"/>
      <c r="IP487" s="662"/>
      <c r="IQ487" s="653"/>
    </row>
    <row r="488" spans="18:251" ht="16.5" hidden="1" customHeight="1">
      <c r="R488" s="648"/>
      <c r="S488" s="648"/>
      <c r="T488" s="648"/>
      <c r="U488" s="653"/>
      <c r="V488" s="649"/>
      <c r="W488" s="653"/>
      <c r="X488" s="653"/>
      <c r="Y488" s="653"/>
      <c r="Z488" s="653"/>
      <c r="AA488" s="653"/>
      <c r="AB488" s="653"/>
      <c r="AC488" s="653"/>
      <c r="AD488" s="653"/>
      <c r="AE488" s="653"/>
      <c r="AF488" s="653"/>
      <c r="AG488" s="653"/>
      <c r="AH488" s="653"/>
      <c r="AI488" s="653"/>
      <c r="AJ488" s="653"/>
      <c r="AK488" s="653"/>
      <c r="AL488" s="653"/>
      <c r="AM488" s="653"/>
      <c r="AN488" s="653"/>
      <c r="AO488" s="653"/>
      <c r="AP488" s="653"/>
      <c r="AQ488" s="653"/>
      <c r="AR488" s="653"/>
      <c r="AS488" s="653"/>
      <c r="AT488" s="653"/>
      <c r="AU488" s="653"/>
      <c r="AV488" s="653"/>
      <c r="AW488" s="653"/>
      <c r="AX488" s="653"/>
      <c r="AY488" s="653"/>
      <c r="AZ488" s="653"/>
      <c r="BA488" s="653"/>
      <c r="BB488" s="653"/>
      <c r="BC488" s="653"/>
      <c r="BD488" s="653"/>
      <c r="BE488" s="653"/>
      <c r="BF488" s="653"/>
      <c r="BG488" s="653"/>
      <c r="BH488" s="653"/>
      <c r="BI488" s="653"/>
      <c r="BJ488" s="653"/>
      <c r="BK488" s="653"/>
      <c r="BL488" s="653"/>
      <c r="BM488" s="653"/>
      <c r="BN488" s="653"/>
      <c r="BO488" s="653"/>
      <c r="BP488" s="653"/>
      <c r="BQ488" s="653"/>
      <c r="BR488" s="653"/>
      <c r="BS488" s="653"/>
      <c r="BT488" s="653"/>
      <c r="BU488" s="653"/>
      <c r="BV488" s="653"/>
      <c r="BW488" s="653"/>
      <c r="BX488" s="653"/>
      <c r="BY488" s="653"/>
      <c r="BZ488" s="653"/>
      <c r="CA488" s="653"/>
      <c r="CB488" s="653"/>
      <c r="CC488" s="653"/>
      <c r="CD488" s="653"/>
      <c r="CE488" s="653"/>
      <c r="CF488" s="653"/>
      <c r="CG488" s="653"/>
      <c r="CH488" s="653"/>
      <c r="CI488" s="653"/>
      <c r="CJ488" s="653"/>
      <c r="CK488" s="653"/>
      <c r="CL488" s="653"/>
      <c r="CM488" s="653"/>
      <c r="CN488" s="653"/>
      <c r="CO488" s="653"/>
      <c r="CP488" s="653"/>
      <c r="CQ488" s="653"/>
      <c r="CR488" s="653"/>
      <c r="CS488" s="653"/>
      <c r="CT488" s="653"/>
      <c r="CU488" s="653"/>
      <c r="CV488" s="653"/>
      <c r="CW488" s="653"/>
      <c r="CX488" s="653"/>
      <c r="CY488" s="653"/>
      <c r="CZ488" s="653"/>
      <c r="DA488" s="653"/>
      <c r="DB488" s="653"/>
      <c r="DC488" s="653"/>
      <c r="DD488" s="653"/>
      <c r="DE488" s="653"/>
      <c r="DF488" s="653"/>
      <c r="DG488" s="653"/>
      <c r="DH488" s="653"/>
      <c r="DI488" s="653"/>
      <c r="DJ488" s="653"/>
      <c r="DK488" s="653"/>
      <c r="DL488" s="653"/>
      <c r="DM488" s="653"/>
      <c r="DN488" s="653"/>
      <c r="DO488" s="653"/>
      <c r="DP488" s="653"/>
      <c r="DQ488" s="653"/>
      <c r="DR488" s="653"/>
      <c r="DS488" s="653"/>
      <c r="DT488" s="653"/>
      <c r="DU488" s="653"/>
      <c r="DV488" s="653"/>
      <c r="DW488" s="653"/>
      <c r="DX488" s="653"/>
      <c r="DY488" s="653"/>
      <c r="DZ488" s="653"/>
      <c r="EA488" s="653"/>
      <c r="EB488" s="653"/>
      <c r="EC488" s="653"/>
      <c r="ED488" s="653"/>
      <c r="EE488" s="648"/>
      <c r="EF488" s="651"/>
      <c r="EG488" s="651"/>
      <c r="EH488" s="651"/>
      <c r="EI488" s="216"/>
      <c r="EJ488" s="662"/>
      <c r="EK488" s="662"/>
      <c r="EL488" s="662"/>
      <c r="EM488" s="662"/>
      <c r="EN488" s="662"/>
      <c r="EO488" s="662"/>
      <c r="EP488" s="662"/>
      <c r="EQ488" s="662"/>
      <c r="ER488" s="662"/>
      <c r="ES488" s="662"/>
      <c r="ET488" s="662"/>
      <c r="EU488" s="662"/>
      <c r="EV488" s="662"/>
      <c r="EW488" s="662"/>
      <c r="EX488" s="662"/>
      <c r="EY488" s="662"/>
      <c r="EZ488" s="662"/>
      <c r="FA488" s="662"/>
      <c r="FB488" s="662"/>
      <c r="FC488" s="662"/>
      <c r="FD488" s="662"/>
      <c r="FE488" s="662"/>
      <c r="FF488" s="662"/>
      <c r="FG488" s="662"/>
      <c r="FH488" s="662"/>
      <c r="FI488" s="662"/>
      <c r="FJ488" s="662"/>
      <c r="FK488" s="662"/>
      <c r="FL488" s="662"/>
      <c r="FM488" s="662"/>
      <c r="FN488" s="662"/>
      <c r="FO488" s="662"/>
      <c r="FP488" s="662"/>
      <c r="FQ488" s="662"/>
      <c r="FR488" s="662"/>
      <c r="FS488" s="662"/>
      <c r="FT488" s="662"/>
      <c r="FU488" s="662"/>
      <c r="FV488" s="662"/>
      <c r="FW488" s="662"/>
      <c r="FX488" s="662"/>
      <c r="FY488" s="662"/>
      <c r="FZ488" s="662"/>
      <c r="GA488" s="662"/>
      <c r="GB488" s="662"/>
      <c r="GC488" s="662"/>
      <c r="GD488" s="662"/>
      <c r="GE488" s="662"/>
      <c r="GF488" s="662"/>
      <c r="GG488" s="662"/>
      <c r="GH488" s="662"/>
      <c r="GI488" s="662"/>
      <c r="GJ488" s="662"/>
      <c r="GK488" s="662"/>
      <c r="GL488" s="662"/>
      <c r="GM488" s="662"/>
      <c r="GN488" s="662"/>
      <c r="GO488" s="662"/>
      <c r="GP488" s="662"/>
      <c r="GQ488" s="662"/>
      <c r="GR488" s="662"/>
      <c r="GS488" s="662"/>
      <c r="GT488" s="662"/>
      <c r="GU488" s="662"/>
      <c r="GV488" s="662"/>
      <c r="GW488" s="662"/>
      <c r="GX488" s="662"/>
      <c r="GY488" s="662"/>
      <c r="GZ488" s="662"/>
      <c r="HA488" s="662"/>
      <c r="HB488" s="662"/>
      <c r="HC488" s="662"/>
      <c r="HD488" s="662"/>
      <c r="HE488" s="662"/>
      <c r="HF488" s="662"/>
      <c r="HG488" s="662"/>
      <c r="HH488" s="662"/>
      <c r="HI488" s="662"/>
      <c r="HJ488" s="662"/>
      <c r="HK488" s="662"/>
      <c r="HL488" s="662"/>
      <c r="HM488" s="662"/>
      <c r="HN488" s="662"/>
      <c r="HO488" s="662"/>
      <c r="HP488" s="662"/>
      <c r="HQ488" s="662"/>
      <c r="HR488" s="662"/>
      <c r="HS488" s="662"/>
      <c r="HT488" s="662"/>
      <c r="HU488" s="662"/>
      <c r="HV488" s="662"/>
      <c r="HW488" s="662"/>
      <c r="HX488" s="662"/>
      <c r="HY488" s="662"/>
      <c r="HZ488" s="662"/>
      <c r="IA488" s="662"/>
      <c r="IB488" s="662"/>
      <c r="IC488" s="662"/>
      <c r="ID488" s="662"/>
      <c r="IE488" s="662"/>
      <c r="IF488" s="662"/>
      <c r="IG488" s="662"/>
      <c r="IH488" s="662"/>
      <c r="II488" s="662"/>
      <c r="IJ488" s="662"/>
      <c r="IK488" s="662"/>
      <c r="IL488" s="662"/>
      <c r="IM488" s="662"/>
      <c r="IN488" s="662"/>
      <c r="IO488" s="662"/>
      <c r="IP488" s="662"/>
      <c r="IQ488" s="653"/>
    </row>
    <row r="489" spans="18:251" ht="16.5" hidden="1" customHeight="1">
      <c r="R489" s="648"/>
      <c r="S489" s="648"/>
      <c r="T489" s="648"/>
      <c r="U489" s="653"/>
      <c r="V489" s="649"/>
      <c r="W489" s="653"/>
      <c r="X489" s="653"/>
      <c r="Y489" s="653"/>
      <c r="Z489" s="653"/>
      <c r="AA489" s="653"/>
      <c r="AB489" s="653"/>
      <c r="AC489" s="653"/>
      <c r="AD489" s="653"/>
      <c r="AE489" s="653"/>
      <c r="AF489" s="653"/>
      <c r="AG489" s="653"/>
      <c r="AH489" s="653"/>
      <c r="AI489" s="653"/>
      <c r="AJ489" s="653"/>
      <c r="AK489" s="653"/>
      <c r="AL489" s="653"/>
      <c r="AM489" s="653"/>
      <c r="AN489" s="653"/>
      <c r="AO489" s="653"/>
      <c r="AP489" s="653"/>
      <c r="AQ489" s="653"/>
      <c r="AR489" s="653"/>
      <c r="AS489" s="653"/>
      <c r="AT489" s="653"/>
      <c r="AU489" s="653"/>
      <c r="AV489" s="653"/>
      <c r="AW489" s="653"/>
      <c r="AX489" s="653"/>
      <c r="AY489" s="653"/>
      <c r="AZ489" s="653"/>
      <c r="BA489" s="653"/>
      <c r="BB489" s="653"/>
      <c r="BC489" s="653"/>
      <c r="BD489" s="653"/>
      <c r="BE489" s="653"/>
      <c r="BF489" s="653"/>
      <c r="BG489" s="653"/>
      <c r="BH489" s="653"/>
      <c r="BI489" s="653"/>
      <c r="BJ489" s="653"/>
      <c r="BK489" s="653"/>
      <c r="BL489" s="653"/>
      <c r="BM489" s="653"/>
      <c r="BN489" s="653"/>
      <c r="BO489" s="653"/>
      <c r="BP489" s="653"/>
      <c r="BQ489" s="653"/>
      <c r="BR489" s="653"/>
      <c r="BS489" s="653"/>
      <c r="BT489" s="653"/>
      <c r="BU489" s="653"/>
      <c r="BV489" s="653"/>
      <c r="BW489" s="653"/>
      <c r="BX489" s="653"/>
      <c r="BY489" s="653"/>
      <c r="BZ489" s="653"/>
      <c r="CA489" s="653"/>
      <c r="CB489" s="653"/>
      <c r="CC489" s="653"/>
      <c r="CD489" s="653"/>
      <c r="CE489" s="653"/>
      <c r="CF489" s="653"/>
      <c r="CG489" s="653"/>
      <c r="CH489" s="653"/>
      <c r="CI489" s="653"/>
      <c r="CJ489" s="653"/>
      <c r="CK489" s="653"/>
      <c r="CL489" s="653"/>
      <c r="CM489" s="653"/>
      <c r="CN489" s="653"/>
      <c r="CO489" s="653"/>
      <c r="CP489" s="653"/>
      <c r="CQ489" s="653"/>
      <c r="CR489" s="653"/>
      <c r="CS489" s="653"/>
      <c r="CT489" s="653"/>
      <c r="CU489" s="653"/>
      <c r="CV489" s="653"/>
      <c r="CW489" s="653"/>
      <c r="CX489" s="653"/>
      <c r="CY489" s="653"/>
      <c r="CZ489" s="653"/>
      <c r="DA489" s="653"/>
      <c r="DB489" s="653"/>
      <c r="DC489" s="653"/>
      <c r="DD489" s="653"/>
      <c r="DE489" s="653"/>
      <c r="DF489" s="653"/>
      <c r="DG489" s="653"/>
      <c r="DH489" s="653"/>
      <c r="DI489" s="653"/>
      <c r="DJ489" s="653"/>
      <c r="DK489" s="653"/>
      <c r="DL489" s="653"/>
      <c r="DM489" s="653"/>
      <c r="DN489" s="653"/>
      <c r="DO489" s="653"/>
      <c r="DP489" s="653"/>
      <c r="DQ489" s="653"/>
      <c r="DR489" s="653"/>
      <c r="DS489" s="653"/>
      <c r="DT489" s="653"/>
      <c r="DU489" s="653"/>
      <c r="DV489" s="653"/>
      <c r="DW489" s="653"/>
      <c r="DX489" s="653"/>
      <c r="DY489" s="653"/>
      <c r="DZ489" s="653"/>
      <c r="EA489" s="653"/>
      <c r="EB489" s="653"/>
      <c r="EC489" s="653"/>
      <c r="ED489" s="653"/>
      <c r="EE489" s="648"/>
      <c r="EF489" s="651"/>
      <c r="EG489" s="651"/>
      <c r="EH489" s="651"/>
      <c r="EI489" s="216"/>
      <c r="EJ489" s="662"/>
      <c r="EK489" s="662"/>
      <c r="EL489" s="662"/>
      <c r="EM489" s="662"/>
      <c r="EN489" s="662"/>
      <c r="EO489" s="662"/>
      <c r="EP489" s="662"/>
      <c r="EQ489" s="662"/>
      <c r="ER489" s="662"/>
      <c r="ES489" s="662"/>
      <c r="ET489" s="662"/>
      <c r="EU489" s="662"/>
      <c r="EV489" s="662"/>
      <c r="EW489" s="662"/>
      <c r="EX489" s="662"/>
      <c r="EY489" s="662"/>
      <c r="EZ489" s="662"/>
      <c r="FA489" s="662"/>
      <c r="FB489" s="662"/>
      <c r="FC489" s="662"/>
      <c r="FD489" s="662"/>
      <c r="FE489" s="662"/>
      <c r="FF489" s="662"/>
      <c r="FG489" s="662"/>
      <c r="FH489" s="662"/>
      <c r="FI489" s="662"/>
      <c r="FJ489" s="662"/>
      <c r="FK489" s="662"/>
      <c r="FL489" s="662"/>
      <c r="FM489" s="662"/>
      <c r="FN489" s="662"/>
      <c r="FO489" s="662"/>
      <c r="FP489" s="662"/>
      <c r="FQ489" s="662"/>
      <c r="FR489" s="662"/>
      <c r="FS489" s="662"/>
      <c r="FT489" s="662"/>
      <c r="FU489" s="662"/>
      <c r="FV489" s="662"/>
      <c r="FW489" s="662"/>
      <c r="FX489" s="662"/>
      <c r="FY489" s="662"/>
      <c r="FZ489" s="662"/>
      <c r="GA489" s="662"/>
      <c r="GB489" s="662"/>
      <c r="GC489" s="662"/>
      <c r="GD489" s="662"/>
      <c r="GE489" s="662"/>
      <c r="GF489" s="662"/>
      <c r="GG489" s="662"/>
      <c r="GH489" s="662"/>
      <c r="GI489" s="662"/>
      <c r="GJ489" s="662"/>
      <c r="GK489" s="662"/>
      <c r="GL489" s="662"/>
      <c r="GM489" s="662"/>
      <c r="GN489" s="662"/>
      <c r="GO489" s="662"/>
      <c r="GP489" s="662"/>
      <c r="GQ489" s="662"/>
      <c r="GR489" s="662"/>
      <c r="GS489" s="662"/>
      <c r="GT489" s="662"/>
      <c r="GU489" s="662"/>
      <c r="GV489" s="662"/>
      <c r="GW489" s="662"/>
      <c r="GX489" s="662"/>
      <c r="GY489" s="662"/>
      <c r="GZ489" s="662"/>
      <c r="HA489" s="662"/>
      <c r="HB489" s="662"/>
      <c r="HC489" s="662"/>
      <c r="HD489" s="662"/>
      <c r="HE489" s="662"/>
      <c r="HF489" s="662"/>
      <c r="HG489" s="662"/>
      <c r="HH489" s="662"/>
      <c r="HI489" s="662"/>
      <c r="HJ489" s="662"/>
      <c r="HK489" s="662"/>
      <c r="HL489" s="662"/>
      <c r="HM489" s="662"/>
      <c r="HN489" s="662"/>
      <c r="HO489" s="662"/>
      <c r="HP489" s="662"/>
      <c r="HQ489" s="662"/>
      <c r="HR489" s="662"/>
      <c r="HS489" s="662"/>
      <c r="HT489" s="662"/>
      <c r="HU489" s="662"/>
      <c r="HV489" s="662"/>
      <c r="HW489" s="662"/>
      <c r="HX489" s="662"/>
      <c r="HY489" s="662"/>
      <c r="HZ489" s="662"/>
      <c r="IA489" s="662"/>
      <c r="IB489" s="662"/>
      <c r="IC489" s="662"/>
      <c r="ID489" s="662"/>
      <c r="IE489" s="662"/>
      <c r="IF489" s="662"/>
      <c r="IG489" s="662"/>
      <c r="IH489" s="662"/>
      <c r="II489" s="662"/>
      <c r="IJ489" s="662"/>
      <c r="IK489" s="662"/>
      <c r="IL489" s="662"/>
      <c r="IM489" s="662"/>
      <c r="IN489" s="662"/>
      <c r="IO489" s="662"/>
      <c r="IP489" s="662"/>
      <c r="IQ489" s="653"/>
    </row>
    <row r="490" spans="18:251" ht="16.5" hidden="1" customHeight="1">
      <c r="R490" s="648"/>
      <c r="S490" s="648"/>
      <c r="T490" s="648"/>
      <c r="U490" s="653"/>
      <c r="V490" s="649"/>
      <c r="W490" s="653"/>
      <c r="X490" s="653"/>
      <c r="Y490" s="653"/>
      <c r="Z490" s="653"/>
      <c r="AA490" s="653"/>
      <c r="AB490" s="653"/>
      <c r="AC490" s="653"/>
      <c r="AD490" s="653"/>
      <c r="AE490" s="653"/>
      <c r="AF490" s="653"/>
      <c r="AG490" s="653"/>
      <c r="AH490" s="653"/>
      <c r="AI490" s="653"/>
      <c r="AJ490" s="653"/>
      <c r="AK490" s="653"/>
      <c r="AL490" s="653"/>
      <c r="AM490" s="653"/>
      <c r="AN490" s="653"/>
      <c r="AO490" s="653"/>
      <c r="AP490" s="653"/>
      <c r="AQ490" s="653"/>
      <c r="AR490" s="653"/>
      <c r="AS490" s="653"/>
      <c r="AT490" s="653"/>
      <c r="AU490" s="653"/>
      <c r="AV490" s="653"/>
      <c r="AW490" s="653"/>
      <c r="AX490" s="653"/>
      <c r="AY490" s="653"/>
      <c r="AZ490" s="653"/>
      <c r="BA490" s="653"/>
      <c r="BB490" s="653"/>
      <c r="BC490" s="653"/>
      <c r="BD490" s="653"/>
      <c r="BE490" s="653"/>
      <c r="BF490" s="653"/>
      <c r="BG490" s="653"/>
      <c r="BH490" s="653"/>
      <c r="BI490" s="653"/>
      <c r="BJ490" s="653"/>
      <c r="BK490" s="653"/>
      <c r="BL490" s="653"/>
      <c r="BM490" s="653"/>
      <c r="BN490" s="653"/>
      <c r="BO490" s="653"/>
      <c r="BP490" s="653"/>
      <c r="BQ490" s="653"/>
      <c r="BR490" s="653"/>
      <c r="BS490" s="653"/>
      <c r="BT490" s="653"/>
      <c r="BU490" s="653"/>
      <c r="BV490" s="653"/>
      <c r="BW490" s="653"/>
      <c r="BX490" s="653"/>
      <c r="BY490" s="653"/>
      <c r="BZ490" s="653"/>
      <c r="CA490" s="653"/>
      <c r="CB490" s="653"/>
      <c r="CC490" s="653"/>
      <c r="CD490" s="653"/>
      <c r="CE490" s="653"/>
      <c r="CF490" s="653"/>
      <c r="CG490" s="653"/>
      <c r="CH490" s="653"/>
      <c r="CI490" s="653"/>
      <c r="CJ490" s="653"/>
      <c r="CK490" s="653"/>
      <c r="CL490" s="653"/>
      <c r="CM490" s="653"/>
      <c r="CN490" s="653"/>
      <c r="CO490" s="653"/>
      <c r="CP490" s="653"/>
      <c r="CQ490" s="653"/>
      <c r="CR490" s="653"/>
      <c r="CS490" s="653"/>
      <c r="CT490" s="653"/>
      <c r="CU490" s="653"/>
      <c r="CV490" s="653"/>
      <c r="CW490" s="653"/>
      <c r="CX490" s="653"/>
      <c r="CY490" s="653"/>
      <c r="CZ490" s="653"/>
      <c r="DA490" s="653"/>
      <c r="DB490" s="653"/>
      <c r="DC490" s="653"/>
      <c r="DD490" s="653"/>
      <c r="DE490" s="653"/>
      <c r="DF490" s="653"/>
      <c r="DG490" s="653"/>
      <c r="DH490" s="653"/>
      <c r="DI490" s="653"/>
      <c r="DJ490" s="653"/>
      <c r="DK490" s="653"/>
      <c r="DL490" s="653"/>
      <c r="DM490" s="653"/>
      <c r="DN490" s="653"/>
      <c r="DO490" s="653"/>
      <c r="DP490" s="653"/>
      <c r="DQ490" s="653"/>
      <c r="DR490" s="653"/>
      <c r="DS490" s="653"/>
      <c r="DT490" s="653"/>
      <c r="DU490" s="653"/>
      <c r="DV490" s="653"/>
      <c r="DW490" s="653"/>
      <c r="DX490" s="653"/>
      <c r="DY490" s="653"/>
      <c r="DZ490" s="653"/>
      <c r="EA490" s="653"/>
      <c r="EB490" s="653"/>
      <c r="EC490" s="653"/>
      <c r="ED490" s="653"/>
      <c r="EE490" s="648"/>
      <c r="EF490" s="651"/>
      <c r="EG490" s="651"/>
      <c r="EH490" s="651"/>
      <c r="EI490" s="216"/>
      <c r="EJ490" s="662"/>
      <c r="EK490" s="662"/>
      <c r="EL490" s="662"/>
      <c r="EM490" s="662"/>
      <c r="EN490" s="662"/>
      <c r="EO490" s="662"/>
      <c r="EP490" s="662"/>
      <c r="EQ490" s="662"/>
      <c r="ER490" s="662"/>
      <c r="ES490" s="662"/>
      <c r="ET490" s="662"/>
      <c r="EU490" s="662"/>
      <c r="EV490" s="662"/>
      <c r="EW490" s="662"/>
      <c r="EX490" s="662"/>
      <c r="EY490" s="662"/>
      <c r="EZ490" s="662"/>
      <c r="FA490" s="662"/>
      <c r="FB490" s="662"/>
      <c r="FC490" s="662"/>
      <c r="FD490" s="662"/>
      <c r="FE490" s="662"/>
      <c r="FF490" s="662"/>
      <c r="FG490" s="662"/>
      <c r="FH490" s="662"/>
      <c r="FI490" s="662"/>
      <c r="FJ490" s="662"/>
      <c r="FK490" s="662"/>
      <c r="FL490" s="662"/>
      <c r="FM490" s="662"/>
      <c r="FN490" s="662"/>
      <c r="FO490" s="662"/>
      <c r="FP490" s="662"/>
      <c r="FQ490" s="662"/>
      <c r="FR490" s="662"/>
      <c r="FS490" s="662"/>
      <c r="FT490" s="662"/>
      <c r="FU490" s="662"/>
      <c r="FV490" s="662"/>
      <c r="FW490" s="662"/>
      <c r="FX490" s="662"/>
      <c r="FY490" s="662"/>
      <c r="FZ490" s="662"/>
      <c r="GA490" s="662"/>
      <c r="GB490" s="662"/>
      <c r="GC490" s="662"/>
      <c r="GD490" s="662"/>
      <c r="GE490" s="662"/>
      <c r="GF490" s="662"/>
      <c r="GG490" s="662"/>
      <c r="GH490" s="662"/>
      <c r="GI490" s="662"/>
      <c r="GJ490" s="662"/>
      <c r="GK490" s="662"/>
      <c r="GL490" s="662"/>
      <c r="GM490" s="662"/>
      <c r="GN490" s="662"/>
      <c r="GO490" s="662"/>
      <c r="GP490" s="662"/>
      <c r="GQ490" s="662"/>
      <c r="GR490" s="662"/>
      <c r="GS490" s="662"/>
      <c r="GT490" s="662"/>
      <c r="GU490" s="662"/>
      <c r="GV490" s="662"/>
      <c r="GW490" s="662"/>
      <c r="GX490" s="662"/>
      <c r="GY490" s="662"/>
      <c r="GZ490" s="662"/>
      <c r="HA490" s="662"/>
      <c r="HB490" s="662"/>
      <c r="HC490" s="662"/>
      <c r="HD490" s="662"/>
      <c r="HE490" s="662"/>
      <c r="HF490" s="662"/>
      <c r="HG490" s="662"/>
      <c r="HH490" s="662"/>
      <c r="HI490" s="662"/>
      <c r="HJ490" s="662"/>
      <c r="HK490" s="662"/>
      <c r="HL490" s="662"/>
      <c r="HM490" s="662"/>
      <c r="HN490" s="662"/>
      <c r="HO490" s="662"/>
      <c r="HP490" s="662"/>
      <c r="HQ490" s="662"/>
      <c r="HR490" s="662"/>
      <c r="HS490" s="662"/>
      <c r="HT490" s="662"/>
      <c r="HU490" s="662"/>
      <c r="HV490" s="662"/>
      <c r="HW490" s="662"/>
      <c r="HX490" s="662"/>
      <c r="HY490" s="662"/>
      <c r="HZ490" s="662"/>
      <c r="IA490" s="662"/>
      <c r="IB490" s="662"/>
      <c r="IC490" s="662"/>
      <c r="ID490" s="662"/>
      <c r="IE490" s="662"/>
      <c r="IF490" s="662"/>
      <c r="IG490" s="662"/>
      <c r="IH490" s="662"/>
      <c r="II490" s="662"/>
      <c r="IJ490" s="662"/>
      <c r="IK490" s="662"/>
      <c r="IL490" s="662"/>
      <c r="IM490" s="662"/>
      <c r="IN490" s="662"/>
      <c r="IO490" s="662"/>
      <c r="IP490" s="662"/>
      <c r="IQ490" s="653"/>
    </row>
    <row r="491" spans="18:251" ht="16.5" hidden="1" customHeight="1">
      <c r="R491" s="648"/>
      <c r="S491" s="648"/>
      <c r="T491" s="648"/>
      <c r="U491" s="653"/>
      <c r="V491" s="649"/>
      <c r="W491" s="653"/>
      <c r="X491" s="653"/>
      <c r="Y491" s="653"/>
      <c r="Z491" s="653"/>
      <c r="AA491" s="653"/>
      <c r="AB491" s="653"/>
      <c r="AC491" s="653"/>
      <c r="AD491" s="653"/>
      <c r="AE491" s="653"/>
      <c r="AF491" s="653"/>
      <c r="AG491" s="653"/>
      <c r="AH491" s="653"/>
      <c r="AI491" s="653"/>
      <c r="AJ491" s="653"/>
      <c r="AK491" s="653"/>
      <c r="AL491" s="653"/>
      <c r="AM491" s="653"/>
      <c r="AN491" s="653"/>
      <c r="AO491" s="653"/>
      <c r="AP491" s="653"/>
      <c r="AQ491" s="653"/>
      <c r="AR491" s="653"/>
      <c r="AS491" s="653"/>
      <c r="AT491" s="653"/>
      <c r="AU491" s="653"/>
      <c r="AV491" s="653"/>
      <c r="AW491" s="653"/>
      <c r="AX491" s="653"/>
      <c r="AY491" s="653"/>
      <c r="AZ491" s="653"/>
      <c r="BA491" s="653"/>
      <c r="BB491" s="653"/>
      <c r="BC491" s="653"/>
      <c r="BD491" s="653"/>
      <c r="BE491" s="653"/>
      <c r="BF491" s="653"/>
      <c r="BG491" s="653"/>
      <c r="BH491" s="653"/>
      <c r="BI491" s="653"/>
      <c r="BJ491" s="653"/>
      <c r="BK491" s="653"/>
      <c r="BL491" s="653"/>
      <c r="BM491" s="653"/>
      <c r="BN491" s="653"/>
      <c r="BO491" s="653"/>
      <c r="BP491" s="653"/>
      <c r="BQ491" s="653"/>
      <c r="BR491" s="653"/>
      <c r="BS491" s="653"/>
      <c r="BT491" s="653"/>
      <c r="BU491" s="653"/>
      <c r="BV491" s="653"/>
      <c r="BW491" s="653"/>
      <c r="BX491" s="653"/>
      <c r="BY491" s="653"/>
      <c r="BZ491" s="653"/>
      <c r="CA491" s="653"/>
      <c r="CB491" s="653"/>
      <c r="CC491" s="653"/>
      <c r="CD491" s="653"/>
      <c r="CE491" s="653"/>
      <c r="CF491" s="653"/>
      <c r="CG491" s="653"/>
      <c r="CH491" s="653"/>
      <c r="CI491" s="653"/>
      <c r="CJ491" s="653"/>
      <c r="CK491" s="653"/>
      <c r="CL491" s="653"/>
      <c r="CM491" s="653"/>
      <c r="CN491" s="653"/>
      <c r="CO491" s="653"/>
      <c r="CP491" s="653"/>
      <c r="CQ491" s="653"/>
      <c r="CR491" s="653"/>
      <c r="CS491" s="653"/>
      <c r="CT491" s="653"/>
      <c r="CU491" s="653"/>
      <c r="CV491" s="653"/>
      <c r="CW491" s="653"/>
      <c r="CX491" s="653"/>
      <c r="CY491" s="653"/>
      <c r="CZ491" s="653"/>
      <c r="DA491" s="653"/>
      <c r="DB491" s="653"/>
      <c r="DC491" s="653"/>
      <c r="DD491" s="653"/>
      <c r="DE491" s="653"/>
      <c r="DF491" s="653"/>
      <c r="DG491" s="653"/>
      <c r="DH491" s="653"/>
      <c r="DI491" s="653"/>
      <c r="DJ491" s="653"/>
      <c r="DK491" s="653"/>
      <c r="DL491" s="653"/>
      <c r="DM491" s="653"/>
      <c r="DN491" s="653"/>
      <c r="DO491" s="653"/>
      <c r="DP491" s="653"/>
      <c r="DQ491" s="653"/>
      <c r="DR491" s="653"/>
      <c r="DS491" s="653"/>
      <c r="DT491" s="653"/>
      <c r="DU491" s="653"/>
      <c r="DV491" s="653"/>
      <c r="DW491" s="653"/>
      <c r="DX491" s="653"/>
      <c r="DY491" s="653"/>
      <c r="DZ491" s="653"/>
      <c r="EA491" s="653"/>
      <c r="EB491" s="653"/>
      <c r="EC491" s="653"/>
      <c r="ED491" s="653"/>
      <c r="EE491" s="648"/>
      <c r="EF491" s="651"/>
      <c r="EG491" s="651"/>
      <c r="EH491" s="651"/>
      <c r="EI491" s="216"/>
      <c r="EJ491" s="662"/>
      <c r="EK491" s="662"/>
      <c r="EL491" s="662"/>
      <c r="EM491" s="662"/>
      <c r="EN491" s="662"/>
      <c r="EO491" s="662"/>
      <c r="EP491" s="662"/>
      <c r="EQ491" s="662"/>
      <c r="ER491" s="662"/>
      <c r="ES491" s="662"/>
      <c r="ET491" s="662"/>
      <c r="EU491" s="662"/>
      <c r="EV491" s="662"/>
      <c r="EW491" s="662"/>
      <c r="EX491" s="662"/>
      <c r="EY491" s="662"/>
      <c r="EZ491" s="662"/>
      <c r="FA491" s="662"/>
      <c r="FB491" s="662"/>
      <c r="FC491" s="662"/>
      <c r="FD491" s="662"/>
      <c r="FE491" s="662"/>
      <c r="FF491" s="662"/>
      <c r="FG491" s="662"/>
      <c r="FH491" s="662"/>
      <c r="FI491" s="662"/>
      <c r="FJ491" s="662"/>
      <c r="FK491" s="662"/>
      <c r="FL491" s="662"/>
      <c r="FM491" s="662"/>
      <c r="FN491" s="662"/>
      <c r="FO491" s="662"/>
      <c r="FP491" s="662"/>
      <c r="FQ491" s="662"/>
      <c r="FR491" s="662"/>
      <c r="FS491" s="662"/>
      <c r="FT491" s="662"/>
      <c r="FU491" s="662"/>
      <c r="FV491" s="662"/>
      <c r="FW491" s="662"/>
      <c r="FX491" s="662"/>
      <c r="FY491" s="662"/>
      <c r="FZ491" s="662"/>
      <c r="GA491" s="662"/>
      <c r="GB491" s="662"/>
      <c r="GC491" s="662"/>
      <c r="GD491" s="662"/>
      <c r="GE491" s="662"/>
      <c r="GF491" s="662"/>
      <c r="GG491" s="662"/>
      <c r="GH491" s="662"/>
      <c r="GI491" s="662"/>
      <c r="GJ491" s="662"/>
      <c r="GK491" s="662"/>
      <c r="GL491" s="662"/>
      <c r="GM491" s="662"/>
      <c r="GN491" s="662"/>
      <c r="GO491" s="662"/>
      <c r="GP491" s="662"/>
      <c r="GQ491" s="662"/>
      <c r="GR491" s="662"/>
      <c r="GS491" s="662"/>
      <c r="GT491" s="662"/>
      <c r="GU491" s="662"/>
      <c r="GV491" s="662"/>
      <c r="GW491" s="662"/>
      <c r="GX491" s="662"/>
      <c r="GY491" s="662"/>
      <c r="GZ491" s="662"/>
      <c r="HA491" s="662"/>
      <c r="HB491" s="662"/>
      <c r="HC491" s="662"/>
      <c r="HD491" s="662"/>
      <c r="HE491" s="662"/>
      <c r="HF491" s="662"/>
      <c r="HG491" s="662"/>
      <c r="HH491" s="662"/>
      <c r="HI491" s="662"/>
      <c r="HJ491" s="662"/>
      <c r="HK491" s="662"/>
      <c r="HL491" s="662"/>
      <c r="HM491" s="662"/>
      <c r="HN491" s="662"/>
      <c r="HO491" s="662"/>
      <c r="HP491" s="662"/>
      <c r="HQ491" s="662"/>
      <c r="HR491" s="662"/>
      <c r="HS491" s="662"/>
      <c r="HT491" s="662"/>
      <c r="HU491" s="662"/>
      <c r="HV491" s="662"/>
      <c r="HW491" s="662"/>
      <c r="HX491" s="662"/>
      <c r="HY491" s="662"/>
      <c r="HZ491" s="662"/>
      <c r="IA491" s="662"/>
      <c r="IB491" s="662"/>
      <c r="IC491" s="662"/>
      <c r="ID491" s="662"/>
      <c r="IE491" s="662"/>
      <c r="IF491" s="662"/>
      <c r="IG491" s="662"/>
      <c r="IH491" s="662"/>
      <c r="II491" s="662"/>
      <c r="IJ491" s="662"/>
      <c r="IK491" s="662"/>
      <c r="IL491" s="662"/>
      <c r="IM491" s="662"/>
      <c r="IN491" s="662"/>
      <c r="IO491" s="662"/>
      <c r="IP491" s="662"/>
      <c r="IQ491" s="653"/>
    </row>
    <row r="492" spans="18:251" ht="16.5" hidden="1" customHeight="1">
      <c r="R492" s="648"/>
      <c r="S492" s="648"/>
      <c r="T492" s="648"/>
      <c r="U492" s="653"/>
      <c r="V492" s="649"/>
      <c r="W492" s="653"/>
      <c r="X492" s="653"/>
      <c r="Y492" s="653"/>
      <c r="Z492" s="653"/>
      <c r="AA492" s="653"/>
      <c r="AB492" s="653"/>
      <c r="AC492" s="653"/>
      <c r="AD492" s="653"/>
      <c r="AE492" s="653"/>
      <c r="AF492" s="653"/>
      <c r="AG492" s="653"/>
      <c r="AH492" s="653"/>
      <c r="AI492" s="653"/>
      <c r="AJ492" s="653"/>
      <c r="AK492" s="653"/>
      <c r="AL492" s="653"/>
      <c r="AM492" s="653"/>
      <c r="AN492" s="653"/>
      <c r="AO492" s="653"/>
      <c r="AP492" s="653"/>
      <c r="AQ492" s="653"/>
      <c r="AR492" s="653"/>
      <c r="AS492" s="653"/>
      <c r="AT492" s="653"/>
      <c r="AU492" s="653"/>
      <c r="AV492" s="653"/>
      <c r="AW492" s="653"/>
      <c r="AX492" s="653"/>
      <c r="AY492" s="653"/>
      <c r="AZ492" s="653"/>
      <c r="BA492" s="653"/>
      <c r="BB492" s="653"/>
      <c r="BC492" s="653"/>
      <c r="BD492" s="653"/>
      <c r="BE492" s="653"/>
      <c r="BF492" s="653"/>
      <c r="BG492" s="653"/>
      <c r="BH492" s="653"/>
      <c r="BI492" s="653"/>
      <c r="BJ492" s="653"/>
      <c r="BK492" s="653"/>
      <c r="BL492" s="653"/>
      <c r="BM492" s="653"/>
      <c r="BN492" s="653"/>
      <c r="BO492" s="653"/>
      <c r="BP492" s="653"/>
      <c r="BQ492" s="653"/>
      <c r="BR492" s="653"/>
      <c r="BS492" s="653"/>
      <c r="BT492" s="653"/>
      <c r="BU492" s="653"/>
      <c r="BV492" s="653"/>
      <c r="BW492" s="653"/>
      <c r="BX492" s="653"/>
      <c r="BY492" s="653"/>
      <c r="BZ492" s="653"/>
      <c r="CA492" s="653"/>
      <c r="CB492" s="653"/>
      <c r="CC492" s="653"/>
      <c r="CD492" s="653"/>
      <c r="CE492" s="653"/>
      <c r="CF492" s="653"/>
      <c r="CG492" s="653"/>
      <c r="CH492" s="653"/>
      <c r="CI492" s="653"/>
      <c r="CJ492" s="653"/>
      <c r="CK492" s="653"/>
      <c r="CL492" s="653"/>
      <c r="CM492" s="653"/>
      <c r="CN492" s="653"/>
      <c r="CO492" s="653"/>
      <c r="CP492" s="653"/>
      <c r="CQ492" s="653"/>
      <c r="CR492" s="653"/>
      <c r="CS492" s="653"/>
      <c r="CT492" s="653"/>
      <c r="CU492" s="653"/>
      <c r="CV492" s="653"/>
      <c r="CW492" s="653"/>
      <c r="CX492" s="653"/>
      <c r="CY492" s="653"/>
      <c r="CZ492" s="653"/>
      <c r="DA492" s="653"/>
      <c r="DB492" s="653"/>
      <c r="DC492" s="653"/>
      <c r="DD492" s="653"/>
      <c r="DE492" s="653"/>
      <c r="DF492" s="653"/>
      <c r="DG492" s="653"/>
      <c r="DH492" s="653"/>
      <c r="DI492" s="653"/>
      <c r="DJ492" s="653"/>
      <c r="DK492" s="653"/>
      <c r="DL492" s="653"/>
      <c r="DM492" s="653"/>
      <c r="DN492" s="653"/>
      <c r="DO492" s="653"/>
      <c r="DP492" s="653"/>
      <c r="DQ492" s="653"/>
      <c r="DR492" s="653"/>
      <c r="DS492" s="653"/>
      <c r="DT492" s="653"/>
      <c r="DU492" s="653"/>
      <c r="DV492" s="653"/>
      <c r="DW492" s="653"/>
      <c r="DX492" s="653"/>
      <c r="DY492" s="653"/>
      <c r="DZ492" s="653"/>
      <c r="EA492" s="653"/>
      <c r="EB492" s="653"/>
      <c r="EC492" s="653"/>
      <c r="ED492" s="653"/>
      <c r="EE492" s="648"/>
      <c r="EF492" s="651"/>
      <c r="EG492" s="651"/>
      <c r="EH492" s="651"/>
      <c r="EI492" s="216"/>
      <c r="EJ492" s="662"/>
      <c r="EK492" s="662"/>
      <c r="EL492" s="662"/>
      <c r="EM492" s="662"/>
      <c r="EN492" s="662"/>
      <c r="EO492" s="662"/>
      <c r="EP492" s="662"/>
      <c r="EQ492" s="662"/>
      <c r="ER492" s="662"/>
      <c r="ES492" s="662"/>
      <c r="ET492" s="662"/>
      <c r="EU492" s="662"/>
      <c r="EV492" s="662"/>
      <c r="EW492" s="662"/>
      <c r="EX492" s="662"/>
      <c r="EY492" s="662"/>
      <c r="EZ492" s="662"/>
      <c r="FA492" s="662"/>
      <c r="FB492" s="662"/>
      <c r="FC492" s="662"/>
      <c r="FD492" s="662"/>
      <c r="FE492" s="662"/>
      <c r="FF492" s="662"/>
      <c r="FG492" s="662"/>
      <c r="FH492" s="662"/>
      <c r="FI492" s="662"/>
      <c r="FJ492" s="662"/>
      <c r="FK492" s="662"/>
      <c r="FL492" s="662"/>
      <c r="FM492" s="662"/>
      <c r="FN492" s="662"/>
      <c r="FO492" s="662"/>
      <c r="FP492" s="662"/>
      <c r="FQ492" s="662"/>
      <c r="FR492" s="662"/>
      <c r="FS492" s="662"/>
      <c r="FT492" s="662"/>
      <c r="FU492" s="662"/>
      <c r="FV492" s="662"/>
      <c r="FW492" s="662"/>
      <c r="FX492" s="662"/>
      <c r="FY492" s="662"/>
      <c r="FZ492" s="662"/>
      <c r="GA492" s="662"/>
      <c r="GB492" s="662"/>
      <c r="GC492" s="662"/>
      <c r="GD492" s="662"/>
      <c r="GE492" s="662"/>
      <c r="GF492" s="662"/>
      <c r="GG492" s="662"/>
      <c r="GH492" s="662"/>
      <c r="GI492" s="662"/>
      <c r="GJ492" s="662"/>
      <c r="GK492" s="662"/>
      <c r="GL492" s="662"/>
      <c r="GM492" s="662"/>
      <c r="GN492" s="662"/>
      <c r="GO492" s="662"/>
      <c r="GP492" s="662"/>
      <c r="GQ492" s="662"/>
      <c r="GR492" s="662"/>
      <c r="GS492" s="662"/>
      <c r="GT492" s="662"/>
      <c r="GU492" s="662"/>
      <c r="GV492" s="662"/>
      <c r="GW492" s="662"/>
      <c r="GX492" s="662"/>
      <c r="GY492" s="662"/>
      <c r="GZ492" s="662"/>
      <c r="HA492" s="662"/>
      <c r="HB492" s="662"/>
      <c r="HC492" s="662"/>
      <c r="HD492" s="662"/>
      <c r="HE492" s="662"/>
      <c r="HF492" s="662"/>
      <c r="HG492" s="662"/>
      <c r="HH492" s="662"/>
      <c r="HI492" s="662"/>
      <c r="HJ492" s="662"/>
      <c r="HK492" s="662"/>
      <c r="HL492" s="662"/>
      <c r="HM492" s="662"/>
      <c r="HN492" s="662"/>
      <c r="HO492" s="662"/>
      <c r="HP492" s="662"/>
      <c r="HQ492" s="662"/>
      <c r="HR492" s="662"/>
      <c r="HS492" s="662"/>
      <c r="HT492" s="662"/>
      <c r="HU492" s="662"/>
      <c r="HV492" s="662"/>
      <c r="HW492" s="662"/>
      <c r="HX492" s="662"/>
      <c r="HY492" s="662"/>
      <c r="HZ492" s="662"/>
      <c r="IA492" s="662"/>
      <c r="IB492" s="662"/>
      <c r="IC492" s="662"/>
      <c r="ID492" s="662"/>
      <c r="IE492" s="662"/>
      <c r="IF492" s="662"/>
      <c r="IG492" s="662"/>
      <c r="IH492" s="662"/>
      <c r="II492" s="662"/>
      <c r="IJ492" s="662"/>
      <c r="IK492" s="662"/>
      <c r="IL492" s="662"/>
      <c r="IM492" s="662"/>
      <c r="IN492" s="662"/>
      <c r="IO492" s="662"/>
      <c r="IP492" s="662"/>
      <c r="IQ492" s="653"/>
    </row>
    <row r="493" spans="18:251" ht="16.5" hidden="1" customHeight="1">
      <c r="R493" s="648"/>
      <c r="S493" s="648"/>
      <c r="T493" s="648"/>
      <c r="U493" s="653"/>
      <c r="V493" s="649"/>
      <c r="W493" s="653"/>
      <c r="X493" s="653"/>
      <c r="Y493" s="653"/>
      <c r="Z493" s="653"/>
      <c r="AA493" s="653"/>
      <c r="AB493" s="653"/>
      <c r="AC493" s="653"/>
      <c r="AD493" s="653"/>
      <c r="AE493" s="653"/>
      <c r="AF493" s="653"/>
      <c r="AG493" s="653"/>
      <c r="AH493" s="653"/>
      <c r="AI493" s="653"/>
      <c r="AJ493" s="653"/>
      <c r="AK493" s="653"/>
      <c r="AL493" s="653"/>
      <c r="AM493" s="653"/>
      <c r="AN493" s="653"/>
      <c r="AO493" s="653"/>
      <c r="AP493" s="653"/>
      <c r="AQ493" s="653"/>
      <c r="AR493" s="653"/>
      <c r="AS493" s="653"/>
      <c r="AT493" s="653"/>
      <c r="AU493" s="653"/>
      <c r="AV493" s="653"/>
      <c r="AW493" s="653"/>
      <c r="AX493" s="653"/>
      <c r="AY493" s="653"/>
      <c r="AZ493" s="653"/>
      <c r="BA493" s="653"/>
      <c r="BB493" s="653"/>
      <c r="BC493" s="653"/>
      <c r="BD493" s="653"/>
      <c r="BE493" s="653"/>
      <c r="BF493" s="653"/>
      <c r="BG493" s="653"/>
      <c r="BH493" s="653"/>
      <c r="BI493" s="653"/>
      <c r="BJ493" s="653"/>
      <c r="BK493" s="653"/>
      <c r="BL493" s="653"/>
      <c r="BM493" s="653"/>
      <c r="BN493" s="653"/>
      <c r="BO493" s="653"/>
      <c r="BP493" s="653"/>
      <c r="BQ493" s="653"/>
      <c r="BR493" s="653"/>
      <c r="BS493" s="653"/>
      <c r="BT493" s="653"/>
      <c r="BU493" s="653"/>
      <c r="BV493" s="653"/>
      <c r="BW493" s="653"/>
      <c r="BX493" s="653"/>
      <c r="BY493" s="653"/>
      <c r="BZ493" s="653"/>
      <c r="CA493" s="653"/>
      <c r="CB493" s="653"/>
      <c r="CC493" s="653"/>
      <c r="CD493" s="653"/>
      <c r="CE493" s="653"/>
      <c r="CF493" s="653"/>
      <c r="CG493" s="653"/>
      <c r="CH493" s="653"/>
      <c r="CI493" s="653"/>
      <c r="CJ493" s="653"/>
      <c r="CK493" s="653"/>
      <c r="CL493" s="653"/>
      <c r="CM493" s="653"/>
      <c r="CN493" s="653"/>
      <c r="CO493" s="653"/>
      <c r="CP493" s="653"/>
      <c r="CQ493" s="653"/>
      <c r="CR493" s="653"/>
      <c r="CS493" s="653"/>
      <c r="CT493" s="653"/>
      <c r="CU493" s="653"/>
      <c r="CV493" s="653"/>
      <c r="CW493" s="653"/>
      <c r="CX493" s="653"/>
      <c r="CY493" s="653"/>
      <c r="CZ493" s="653"/>
      <c r="DA493" s="653"/>
      <c r="DB493" s="653"/>
      <c r="DC493" s="653"/>
      <c r="DD493" s="653"/>
      <c r="DE493" s="653"/>
      <c r="DF493" s="653"/>
      <c r="DG493" s="653"/>
      <c r="DH493" s="653"/>
      <c r="DI493" s="653"/>
      <c r="DJ493" s="653"/>
      <c r="DK493" s="653"/>
      <c r="DL493" s="653"/>
      <c r="DM493" s="653"/>
      <c r="DN493" s="653"/>
      <c r="DO493" s="653"/>
      <c r="DP493" s="653"/>
      <c r="DQ493" s="653"/>
      <c r="DR493" s="653"/>
      <c r="DS493" s="653"/>
      <c r="DT493" s="653"/>
      <c r="DU493" s="653"/>
      <c r="DV493" s="653"/>
      <c r="DW493" s="653"/>
      <c r="DX493" s="653"/>
      <c r="DY493" s="653"/>
      <c r="DZ493" s="653"/>
      <c r="EA493" s="653"/>
      <c r="EB493" s="653"/>
      <c r="EC493" s="653"/>
      <c r="ED493" s="653"/>
      <c r="EE493" s="648"/>
      <c r="EF493" s="651"/>
      <c r="EG493" s="651"/>
      <c r="EH493" s="651"/>
      <c r="EI493" s="216"/>
      <c r="EJ493" s="662"/>
      <c r="EK493" s="662"/>
      <c r="EL493" s="662"/>
      <c r="EM493" s="662"/>
      <c r="EN493" s="662"/>
      <c r="EO493" s="662"/>
      <c r="EP493" s="662"/>
      <c r="EQ493" s="662"/>
      <c r="ER493" s="662"/>
      <c r="ES493" s="662"/>
      <c r="ET493" s="662"/>
      <c r="EU493" s="662"/>
      <c r="EV493" s="662"/>
      <c r="EW493" s="662"/>
      <c r="EX493" s="662"/>
      <c r="EY493" s="662"/>
      <c r="EZ493" s="662"/>
      <c r="FA493" s="662"/>
      <c r="FB493" s="662"/>
      <c r="FC493" s="662"/>
      <c r="FD493" s="662"/>
      <c r="FE493" s="662"/>
      <c r="FF493" s="662"/>
      <c r="FG493" s="662"/>
      <c r="FH493" s="662"/>
      <c r="FI493" s="662"/>
      <c r="FJ493" s="662"/>
      <c r="FK493" s="662"/>
      <c r="FL493" s="662"/>
      <c r="FM493" s="662"/>
      <c r="FN493" s="662"/>
      <c r="FO493" s="662"/>
      <c r="FP493" s="662"/>
      <c r="FQ493" s="662"/>
      <c r="FR493" s="662"/>
      <c r="FS493" s="662"/>
      <c r="FT493" s="662"/>
      <c r="FU493" s="662"/>
      <c r="FV493" s="662"/>
      <c r="FW493" s="662"/>
      <c r="FX493" s="662"/>
      <c r="FY493" s="662"/>
      <c r="FZ493" s="662"/>
      <c r="GA493" s="662"/>
      <c r="GB493" s="662"/>
      <c r="GC493" s="662"/>
      <c r="GD493" s="662"/>
      <c r="GE493" s="662"/>
      <c r="GF493" s="662"/>
      <c r="GG493" s="662"/>
      <c r="GH493" s="662"/>
      <c r="GI493" s="662"/>
      <c r="GJ493" s="662"/>
      <c r="GK493" s="662"/>
      <c r="GL493" s="662"/>
      <c r="GM493" s="662"/>
      <c r="GN493" s="662"/>
      <c r="GO493" s="662"/>
      <c r="GP493" s="662"/>
      <c r="GQ493" s="662"/>
      <c r="GR493" s="662"/>
      <c r="GS493" s="662"/>
      <c r="GT493" s="662"/>
      <c r="GU493" s="662"/>
      <c r="GV493" s="662"/>
      <c r="GW493" s="662"/>
      <c r="GX493" s="662"/>
      <c r="GY493" s="662"/>
      <c r="GZ493" s="662"/>
      <c r="HA493" s="662"/>
      <c r="HB493" s="662"/>
      <c r="HC493" s="662"/>
      <c r="HD493" s="662"/>
      <c r="HE493" s="662"/>
      <c r="HF493" s="662"/>
      <c r="HG493" s="662"/>
      <c r="HH493" s="662"/>
      <c r="HI493" s="662"/>
      <c r="HJ493" s="662"/>
      <c r="HK493" s="662"/>
      <c r="HL493" s="662"/>
      <c r="HM493" s="662"/>
      <c r="HN493" s="662"/>
      <c r="HO493" s="662"/>
      <c r="HP493" s="662"/>
      <c r="HQ493" s="662"/>
      <c r="HR493" s="662"/>
      <c r="HS493" s="662"/>
      <c r="HT493" s="662"/>
      <c r="HU493" s="662"/>
      <c r="HV493" s="662"/>
      <c r="HW493" s="662"/>
      <c r="HX493" s="662"/>
      <c r="HY493" s="662"/>
      <c r="HZ493" s="662"/>
      <c r="IA493" s="662"/>
      <c r="IB493" s="662"/>
      <c r="IC493" s="662"/>
      <c r="ID493" s="662"/>
      <c r="IE493" s="662"/>
      <c r="IF493" s="662"/>
      <c r="IG493" s="662"/>
      <c r="IH493" s="662"/>
      <c r="II493" s="662"/>
      <c r="IJ493" s="662"/>
      <c r="IK493" s="662"/>
      <c r="IL493" s="662"/>
      <c r="IM493" s="662"/>
      <c r="IN493" s="662"/>
      <c r="IO493" s="662"/>
      <c r="IP493" s="662"/>
      <c r="IQ493" s="653"/>
    </row>
    <row r="494" spans="18:251" ht="16.5" hidden="1" customHeight="1">
      <c r="R494" s="648"/>
      <c r="S494" s="648"/>
      <c r="T494" s="648"/>
      <c r="U494" s="653"/>
      <c r="V494" s="649"/>
      <c r="W494" s="653"/>
      <c r="X494" s="653"/>
      <c r="Y494" s="653"/>
      <c r="Z494" s="653"/>
      <c r="AA494" s="653"/>
      <c r="AB494" s="653"/>
      <c r="AC494" s="653"/>
      <c r="AD494" s="653"/>
      <c r="AE494" s="653"/>
      <c r="AF494" s="653"/>
      <c r="AG494" s="653"/>
      <c r="AH494" s="653"/>
      <c r="AI494" s="653"/>
      <c r="AJ494" s="653"/>
      <c r="AK494" s="653"/>
      <c r="AL494" s="653"/>
      <c r="AM494" s="653"/>
      <c r="AN494" s="653"/>
      <c r="AO494" s="653"/>
      <c r="AP494" s="653"/>
      <c r="AQ494" s="653"/>
      <c r="AR494" s="653"/>
      <c r="AS494" s="653"/>
      <c r="AT494" s="653"/>
      <c r="AU494" s="653"/>
      <c r="AV494" s="653"/>
      <c r="AW494" s="653"/>
      <c r="AX494" s="653"/>
      <c r="AY494" s="653"/>
      <c r="AZ494" s="653"/>
      <c r="BA494" s="653"/>
      <c r="BB494" s="653"/>
      <c r="BC494" s="653"/>
      <c r="BD494" s="653"/>
      <c r="BE494" s="653"/>
      <c r="BF494" s="653"/>
      <c r="BG494" s="653"/>
      <c r="BH494" s="653"/>
      <c r="BI494" s="653"/>
      <c r="BJ494" s="653"/>
      <c r="BK494" s="653"/>
      <c r="BL494" s="653"/>
      <c r="BM494" s="653"/>
      <c r="BN494" s="653"/>
      <c r="BO494" s="653"/>
      <c r="BP494" s="653"/>
      <c r="BQ494" s="653"/>
      <c r="BR494" s="653"/>
      <c r="BS494" s="653"/>
      <c r="BT494" s="653"/>
      <c r="BU494" s="653"/>
      <c r="BV494" s="653"/>
      <c r="BW494" s="653"/>
      <c r="BX494" s="653"/>
      <c r="BY494" s="653"/>
      <c r="BZ494" s="653"/>
      <c r="CA494" s="653"/>
      <c r="CB494" s="653"/>
      <c r="CC494" s="653"/>
      <c r="CD494" s="653"/>
      <c r="CE494" s="653"/>
      <c r="CF494" s="653"/>
      <c r="CG494" s="653"/>
      <c r="CH494" s="653"/>
      <c r="CI494" s="653"/>
      <c r="CJ494" s="653"/>
      <c r="CK494" s="653"/>
      <c r="CL494" s="653"/>
      <c r="CM494" s="653"/>
      <c r="CN494" s="653"/>
      <c r="CO494" s="653"/>
      <c r="CP494" s="653"/>
      <c r="CQ494" s="653"/>
      <c r="CR494" s="653"/>
      <c r="CS494" s="653"/>
      <c r="CT494" s="653"/>
      <c r="CU494" s="653"/>
      <c r="CV494" s="653"/>
      <c r="CW494" s="653"/>
      <c r="CX494" s="653"/>
      <c r="CY494" s="653"/>
      <c r="CZ494" s="653"/>
      <c r="DA494" s="653"/>
      <c r="DB494" s="653"/>
      <c r="DC494" s="653"/>
      <c r="DD494" s="653"/>
      <c r="DE494" s="653"/>
      <c r="DF494" s="653"/>
      <c r="DG494" s="653"/>
      <c r="DH494" s="653"/>
      <c r="DI494" s="653"/>
      <c r="DJ494" s="653"/>
      <c r="DK494" s="653"/>
      <c r="DL494" s="653"/>
      <c r="DM494" s="653"/>
      <c r="DN494" s="653"/>
      <c r="DO494" s="653"/>
      <c r="DP494" s="653"/>
      <c r="DQ494" s="653"/>
      <c r="DR494" s="653"/>
      <c r="DS494" s="653"/>
      <c r="DT494" s="653"/>
      <c r="DU494" s="653"/>
      <c r="DV494" s="653"/>
      <c r="DW494" s="653"/>
      <c r="DX494" s="653"/>
      <c r="DY494" s="653"/>
      <c r="DZ494" s="653"/>
      <c r="EA494" s="653"/>
      <c r="EB494" s="653"/>
      <c r="EC494" s="653"/>
      <c r="ED494" s="653"/>
      <c r="EE494" s="648"/>
      <c r="EF494" s="651"/>
      <c r="EG494" s="651"/>
      <c r="EH494" s="651"/>
      <c r="EI494" s="216"/>
      <c r="EJ494" s="662"/>
      <c r="EK494" s="662"/>
      <c r="EL494" s="662"/>
      <c r="EM494" s="662"/>
      <c r="EN494" s="662"/>
      <c r="EO494" s="662"/>
      <c r="EP494" s="662"/>
      <c r="EQ494" s="662"/>
      <c r="ER494" s="662"/>
      <c r="ES494" s="662"/>
      <c r="ET494" s="662"/>
      <c r="EU494" s="662"/>
      <c r="EV494" s="662"/>
      <c r="EW494" s="662"/>
      <c r="EX494" s="662"/>
      <c r="EY494" s="662"/>
      <c r="EZ494" s="662"/>
      <c r="FA494" s="662"/>
      <c r="FB494" s="662"/>
      <c r="FC494" s="662"/>
      <c r="FD494" s="662"/>
      <c r="FE494" s="662"/>
      <c r="FF494" s="662"/>
      <c r="FG494" s="662"/>
      <c r="FH494" s="662"/>
      <c r="FI494" s="662"/>
      <c r="FJ494" s="662"/>
      <c r="FK494" s="662"/>
      <c r="FL494" s="662"/>
      <c r="FM494" s="662"/>
      <c r="FN494" s="662"/>
      <c r="FO494" s="662"/>
      <c r="FP494" s="662"/>
      <c r="FQ494" s="662"/>
      <c r="FR494" s="662"/>
      <c r="FS494" s="662"/>
      <c r="FT494" s="662"/>
      <c r="FU494" s="662"/>
      <c r="FV494" s="662"/>
      <c r="FW494" s="662"/>
      <c r="FX494" s="662"/>
      <c r="FY494" s="662"/>
      <c r="FZ494" s="662"/>
      <c r="GA494" s="662"/>
      <c r="GB494" s="662"/>
      <c r="GC494" s="662"/>
      <c r="GD494" s="662"/>
      <c r="GE494" s="662"/>
      <c r="GF494" s="662"/>
      <c r="GG494" s="662"/>
      <c r="GH494" s="662"/>
      <c r="GI494" s="662"/>
      <c r="GJ494" s="662"/>
      <c r="GK494" s="662"/>
      <c r="GL494" s="662"/>
      <c r="GM494" s="662"/>
      <c r="GN494" s="662"/>
      <c r="GO494" s="662"/>
      <c r="GP494" s="662"/>
      <c r="GQ494" s="662"/>
      <c r="GR494" s="662"/>
      <c r="GS494" s="662"/>
      <c r="GT494" s="662"/>
      <c r="GU494" s="662"/>
      <c r="GV494" s="662"/>
      <c r="GW494" s="662"/>
      <c r="GX494" s="662"/>
      <c r="GY494" s="662"/>
      <c r="GZ494" s="662"/>
      <c r="HA494" s="662"/>
      <c r="HB494" s="662"/>
      <c r="HC494" s="662"/>
      <c r="HD494" s="662"/>
      <c r="HE494" s="662"/>
      <c r="HF494" s="662"/>
      <c r="HG494" s="662"/>
      <c r="HH494" s="662"/>
      <c r="HI494" s="662"/>
      <c r="HJ494" s="662"/>
      <c r="HK494" s="662"/>
      <c r="HL494" s="662"/>
      <c r="HM494" s="662"/>
      <c r="HN494" s="662"/>
      <c r="HO494" s="662"/>
      <c r="HP494" s="662"/>
      <c r="HQ494" s="662"/>
      <c r="HR494" s="662"/>
      <c r="HS494" s="662"/>
      <c r="HT494" s="662"/>
      <c r="HU494" s="662"/>
      <c r="HV494" s="662"/>
      <c r="HW494" s="662"/>
      <c r="HX494" s="662"/>
      <c r="HY494" s="662"/>
      <c r="HZ494" s="662"/>
      <c r="IA494" s="662"/>
      <c r="IB494" s="662"/>
      <c r="IC494" s="662"/>
      <c r="ID494" s="662"/>
      <c r="IE494" s="662"/>
      <c r="IF494" s="662"/>
      <c r="IG494" s="662"/>
      <c r="IH494" s="662"/>
      <c r="II494" s="662"/>
      <c r="IJ494" s="662"/>
      <c r="IK494" s="662"/>
      <c r="IL494" s="662"/>
      <c r="IM494" s="662"/>
      <c r="IN494" s="662"/>
      <c r="IO494" s="662"/>
      <c r="IP494" s="662"/>
      <c r="IQ494" s="653"/>
    </row>
    <row r="495" spans="18:251" ht="16.5" hidden="1" customHeight="1">
      <c r="R495" s="648"/>
      <c r="S495" s="648"/>
      <c r="T495" s="648"/>
      <c r="U495" s="653"/>
      <c r="V495" s="649"/>
      <c r="W495" s="653"/>
      <c r="X495" s="653"/>
      <c r="Y495" s="653"/>
      <c r="Z495" s="653"/>
      <c r="AA495" s="653"/>
      <c r="AB495" s="653"/>
      <c r="AC495" s="653"/>
      <c r="AD495" s="653"/>
      <c r="AE495" s="653"/>
      <c r="AF495" s="653"/>
      <c r="AG495" s="653"/>
      <c r="AH495" s="653"/>
      <c r="AI495" s="653"/>
      <c r="AJ495" s="653"/>
      <c r="AK495" s="653"/>
      <c r="AL495" s="653"/>
      <c r="AM495" s="653"/>
      <c r="AN495" s="653"/>
      <c r="AO495" s="653"/>
      <c r="AP495" s="653"/>
      <c r="AQ495" s="653"/>
      <c r="AR495" s="653"/>
      <c r="AS495" s="653"/>
      <c r="AT495" s="653"/>
      <c r="AU495" s="653"/>
      <c r="AV495" s="653"/>
      <c r="AW495" s="653"/>
      <c r="AX495" s="653"/>
      <c r="AY495" s="653"/>
      <c r="AZ495" s="653"/>
      <c r="BA495" s="653"/>
      <c r="BB495" s="653"/>
      <c r="BC495" s="653"/>
      <c r="BD495" s="653"/>
      <c r="BE495" s="653"/>
      <c r="BF495" s="653"/>
      <c r="BG495" s="653"/>
      <c r="BH495" s="653"/>
      <c r="BI495" s="653"/>
      <c r="BJ495" s="653"/>
      <c r="BK495" s="653"/>
      <c r="BL495" s="653"/>
      <c r="BM495" s="653"/>
      <c r="BN495" s="653"/>
      <c r="BO495" s="653"/>
      <c r="BP495" s="653"/>
      <c r="BQ495" s="653"/>
      <c r="BR495" s="653"/>
      <c r="BS495" s="653"/>
      <c r="BT495" s="653"/>
      <c r="BU495" s="653"/>
      <c r="BV495" s="653"/>
      <c r="BW495" s="653"/>
      <c r="BX495" s="653"/>
      <c r="BY495" s="653"/>
      <c r="BZ495" s="653"/>
      <c r="CA495" s="653"/>
      <c r="CB495" s="653"/>
      <c r="CC495" s="653"/>
      <c r="CD495" s="653"/>
      <c r="CE495" s="653"/>
      <c r="CF495" s="653"/>
      <c r="CG495" s="653"/>
      <c r="CH495" s="653"/>
      <c r="CI495" s="653"/>
      <c r="CJ495" s="653"/>
      <c r="CK495" s="653"/>
      <c r="CL495" s="653"/>
      <c r="CM495" s="653"/>
      <c r="CN495" s="653"/>
      <c r="CO495" s="653"/>
      <c r="CP495" s="653"/>
      <c r="CQ495" s="653"/>
      <c r="CR495" s="653"/>
      <c r="CS495" s="653"/>
      <c r="CT495" s="653"/>
      <c r="CU495" s="653"/>
      <c r="CV495" s="653"/>
      <c r="CW495" s="653"/>
      <c r="CX495" s="653"/>
      <c r="CY495" s="653"/>
      <c r="CZ495" s="653"/>
      <c r="DA495" s="653"/>
      <c r="DB495" s="653"/>
      <c r="DC495" s="653"/>
      <c r="DD495" s="653"/>
      <c r="DE495" s="653"/>
      <c r="DF495" s="653"/>
      <c r="DG495" s="653"/>
      <c r="DH495" s="653"/>
      <c r="DI495" s="653"/>
      <c r="DJ495" s="653"/>
      <c r="DK495" s="653"/>
      <c r="DL495" s="653"/>
      <c r="DM495" s="653"/>
      <c r="DN495" s="653"/>
      <c r="DO495" s="653"/>
      <c r="DP495" s="653"/>
      <c r="DQ495" s="653"/>
      <c r="DR495" s="653"/>
      <c r="DS495" s="653"/>
      <c r="DT495" s="653"/>
      <c r="DU495" s="653"/>
      <c r="DV495" s="653"/>
      <c r="DW495" s="653"/>
      <c r="DX495" s="653"/>
      <c r="DY495" s="653"/>
      <c r="DZ495" s="653"/>
      <c r="EA495" s="653"/>
      <c r="EB495" s="653"/>
      <c r="EC495" s="653"/>
      <c r="ED495" s="653"/>
      <c r="EE495" s="648"/>
      <c r="EF495" s="651"/>
      <c r="EG495" s="651"/>
      <c r="EH495" s="651"/>
      <c r="EI495" s="216"/>
      <c r="EJ495" s="662"/>
      <c r="EK495" s="662"/>
      <c r="EL495" s="662"/>
      <c r="EM495" s="662"/>
      <c r="EN495" s="662"/>
      <c r="EO495" s="662"/>
      <c r="EP495" s="662"/>
      <c r="EQ495" s="662"/>
      <c r="ER495" s="662"/>
      <c r="ES495" s="662"/>
      <c r="ET495" s="662"/>
      <c r="EU495" s="662"/>
      <c r="EV495" s="662"/>
      <c r="EW495" s="662"/>
      <c r="EX495" s="662"/>
      <c r="EY495" s="662"/>
      <c r="EZ495" s="662"/>
      <c r="FA495" s="662"/>
      <c r="FB495" s="662"/>
      <c r="FC495" s="662"/>
      <c r="FD495" s="662"/>
      <c r="FE495" s="662"/>
      <c r="FF495" s="662"/>
      <c r="FG495" s="662"/>
      <c r="FH495" s="662"/>
      <c r="FI495" s="662"/>
      <c r="FJ495" s="662"/>
      <c r="FK495" s="662"/>
      <c r="FL495" s="662"/>
      <c r="FM495" s="662"/>
      <c r="FN495" s="662"/>
      <c r="FO495" s="662"/>
      <c r="FP495" s="662"/>
      <c r="FQ495" s="662"/>
      <c r="FR495" s="662"/>
      <c r="FS495" s="662"/>
      <c r="FT495" s="662"/>
      <c r="FU495" s="662"/>
      <c r="FV495" s="662"/>
      <c r="FW495" s="662"/>
      <c r="FX495" s="662"/>
      <c r="FY495" s="662"/>
      <c r="FZ495" s="662"/>
      <c r="GA495" s="662"/>
      <c r="GB495" s="662"/>
      <c r="GC495" s="662"/>
      <c r="GD495" s="662"/>
      <c r="GE495" s="662"/>
      <c r="GF495" s="662"/>
      <c r="GG495" s="662"/>
      <c r="GH495" s="662"/>
      <c r="GI495" s="662"/>
      <c r="GJ495" s="662"/>
      <c r="GK495" s="662"/>
      <c r="GL495" s="662"/>
      <c r="GM495" s="662"/>
      <c r="GN495" s="662"/>
      <c r="GO495" s="662"/>
      <c r="GP495" s="662"/>
      <c r="GQ495" s="662"/>
      <c r="GR495" s="662"/>
      <c r="GS495" s="662"/>
      <c r="GT495" s="662"/>
      <c r="GU495" s="662"/>
      <c r="GV495" s="662"/>
      <c r="GW495" s="662"/>
      <c r="GX495" s="662"/>
      <c r="GY495" s="662"/>
      <c r="GZ495" s="662"/>
      <c r="HA495" s="662"/>
      <c r="HB495" s="662"/>
      <c r="HC495" s="662"/>
      <c r="HD495" s="662"/>
      <c r="HE495" s="662"/>
      <c r="HF495" s="662"/>
      <c r="HG495" s="662"/>
      <c r="HH495" s="662"/>
      <c r="HI495" s="662"/>
      <c r="HJ495" s="662"/>
      <c r="HK495" s="662"/>
      <c r="HL495" s="662"/>
      <c r="HM495" s="662"/>
      <c r="HN495" s="662"/>
      <c r="HO495" s="662"/>
      <c r="HP495" s="662"/>
      <c r="HQ495" s="662"/>
      <c r="HR495" s="662"/>
      <c r="HS495" s="662"/>
      <c r="HT495" s="662"/>
      <c r="HU495" s="662"/>
      <c r="HV495" s="662"/>
      <c r="HW495" s="662"/>
      <c r="HX495" s="662"/>
      <c r="HY495" s="662"/>
      <c r="HZ495" s="662"/>
      <c r="IA495" s="662"/>
      <c r="IB495" s="662"/>
      <c r="IC495" s="662"/>
      <c r="ID495" s="662"/>
      <c r="IE495" s="662"/>
      <c r="IF495" s="662"/>
      <c r="IG495" s="662"/>
      <c r="IH495" s="662"/>
      <c r="II495" s="662"/>
      <c r="IJ495" s="662"/>
      <c r="IK495" s="662"/>
      <c r="IL495" s="662"/>
      <c r="IM495" s="662"/>
      <c r="IN495" s="662"/>
      <c r="IO495" s="662"/>
      <c r="IP495" s="662"/>
      <c r="IQ495" s="653"/>
    </row>
    <row r="496" spans="18:251" ht="16.5" hidden="1" customHeight="1">
      <c r="R496" s="648"/>
      <c r="S496" s="648"/>
      <c r="T496" s="648"/>
      <c r="U496" s="653"/>
      <c r="V496" s="649"/>
      <c r="W496" s="653"/>
      <c r="X496" s="653"/>
      <c r="Y496" s="653"/>
      <c r="Z496" s="653"/>
      <c r="AA496" s="653"/>
      <c r="AB496" s="653"/>
      <c r="AC496" s="653"/>
      <c r="AD496" s="653"/>
      <c r="AE496" s="653"/>
      <c r="AF496" s="653"/>
      <c r="AG496" s="653"/>
      <c r="AH496" s="653"/>
      <c r="AI496" s="653"/>
      <c r="AJ496" s="653"/>
      <c r="AK496" s="653"/>
      <c r="AL496" s="653"/>
      <c r="AM496" s="653"/>
      <c r="AN496" s="653"/>
      <c r="AO496" s="653"/>
      <c r="AP496" s="653"/>
      <c r="AQ496" s="653"/>
      <c r="AR496" s="653"/>
      <c r="AS496" s="653"/>
      <c r="AT496" s="653"/>
      <c r="AU496" s="653"/>
      <c r="AV496" s="653"/>
      <c r="AW496" s="653"/>
      <c r="AX496" s="653"/>
      <c r="AY496" s="653"/>
      <c r="AZ496" s="653"/>
      <c r="BA496" s="653"/>
      <c r="BB496" s="653"/>
      <c r="BC496" s="653"/>
      <c r="BD496" s="653"/>
      <c r="BE496" s="653"/>
      <c r="BF496" s="653"/>
      <c r="BG496" s="653"/>
      <c r="BH496" s="653"/>
      <c r="BI496" s="653"/>
      <c r="BJ496" s="653"/>
      <c r="BK496" s="653"/>
      <c r="BL496" s="653"/>
      <c r="BM496" s="653"/>
      <c r="BN496" s="653"/>
      <c r="BO496" s="653"/>
      <c r="BP496" s="653"/>
      <c r="BQ496" s="653"/>
      <c r="BR496" s="653"/>
      <c r="BS496" s="653"/>
      <c r="BT496" s="653"/>
      <c r="BU496" s="653"/>
      <c r="BV496" s="653"/>
      <c r="BW496" s="653"/>
      <c r="BX496" s="653"/>
      <c r="BY496" s="653"/>
      <c r="BZ496" s="653"/>
      <c r="CA496" s="653"/>
      <c r="CB496" s="653"/>
      <c r="CC496" s="653"/>
      <c r="CD496" s="653"/>
      <c r="CE496" s="653"/>
      <c r="CF496" s="653"/>
      <c r="CG496" s="653"/>
      <c r="CH496" s="653"/>
      <c r="CI496" s="653"/>
      <c r="CJ496" s="653"/>
      <c r="CK496" s="653"/>
      <c r="CL496" s="653"/>
      <c r="CM496" s="653"/>
      <c r="CN496" s="653"/>
      <c r="CO496" s="653"/>
      <c r="CP496" s="653"/>
      <c r="CQ496" s="653"/>
      <c r="CR496" s="653"/>
      <c r="CS496" s="653"/>
      <c r="CT496" s="653"/>
      <c r="CU496" s="653"/>
      <c r="CV496" s="653"/>
      <c r="CW496" s="653"/>
      <c r="CX496" s="653"/>
      <c r="CY496" s="653"/>
      <c r="CZ496" s="653"/>
      <c r="DA496" s="653"/>
      <c r="DB496" s="653"/>
      <c r="DC496" s="653"/>
      <c r="DD496" s="653"/>
      <c r="DE496" s="653"/>
      <c r="DF496" s="653"/>
      <c r="DG496" s="653"/>
      <c r="DH496" s="653"/>
      <c r="DI496" s="653"/>
      <c r="DJ496" s="653"/>
      <c r="DK496" s="653"/>
      <c r="DL496" s="653"/>
      <c r="DM496" s="653"/>
      <c r="DN496" s="653"/>
      <c r="DO496" s="653"/>
      <c r="DP496" s="653"/>
      <c r="DQ496" s="653"/>
      <c r="DR496" s="653"/>
      <c r="DS496" s="653"/>
      <c r="DT496" s="653"/>
      <c r="DU496" s="653"/>
      <c r="DV496" s="653"/>
      <c r="DW496" s="653"/>
      <c r="DX496" s="653"/>
      <c r="DY496" s="653"/>
      <c r="DZ496" s="653"/>
      <c r="EA496" s="653"/>
      <c r="EB496" s="653"/>
      <c r="EC496" s="653"/>
      <c r="ED496" s="653"/>
      <c r="EE496" s="648"/>
      <c r="EF496" s="651"/>
      <c r="EG496" s="651"/>
      <c r="EH496" s="651"/>
      <c r="EI496" s="216"/>
      <c r="EJ496" s="662"/>
      <c r="EK496" s="662"/>
      <c r="EL496" s="662"/>
      <c r="EM496" s="662"/>
      <c r="EN496" s="662"/>
      <c r="EO496" s="662"/>
      <c r="EP496" s="662"/>
      <c r="EQ496" s="662"/>
      <c r="ER496" s="662"/>
      <c r="ES496" s="662"/>
      <c r="ET496" s="662"/>
      <c r="EU496" s="662"/>
      <c r="EV496" s="662"/>
      <c r="EW496" s="662"/>
      <c r="EX496" s="662"/>
      <c r="EY496" s="662"/>
      <c r="EZ496" s="662"/>
      <c r="FA496" s="662"/>
      <c r="FB496" s="662"/>
      <c r="FC496" s="662"/>
      <c r="FD496" s="662"/>
      <c r="FE496" s="662"/>
      <c r="FF496" s="662"/>
      <c r="FG496" s="662"/>
      <c r="FH496" s="662"/>
      <c r="FI496" s="662"/>
      <c r="FJ496" s="662"/>
      <c r="FK496" s="662"/>
      <c r="FL496" s="662"/>
      <c r="FM496" s="662"/>
      <c r="FN496" s="662"/>
      <c r="FO496" s="662"/>
      <c r="FP496" s="662"/>
      <c r="FQ496" s="662"/>
      <c r="FR496" s="662"/>
      <c r="FS496" s="662"/>
      <c r="FT496" s="662"/>
      <c r="FU496" s="662"/>
      <c r="FV496" s="662"/>
      <c r="FW496" s="662"/>
      <c r="FX496" s="662"/>
      <c r="FY496" s="662"/>
      <c r="FZ496" s="662"/>
      <c r="GA496" s="662"/>
      <c r="GB496" s="662"/>
      <c r="GC496" s="662"/>
      <c r="GD496" s="662"/>
      <c r="GE496" s="662"/>
      <c r="GF496" s="662"/>
      <c r="GG496" s="662"/>
      <c r="GH496" s="662"/>
      <c r="GI496" s="662"/>
      <c r="GJ496" s="662"/>
      <c r="GK496" s="662"/>
      <c r="GL496" s="662"/>
      <c r="GM496" s="662"/>
      <c r="GN496" s="662"/>
      <c r="GO496" s="662"/>
      <c r="GP496" s="662"/>
      <c r="GQ496" s="662"/>
      <c r="GR496" s="662"/>
      <c r="GS496" s="662"/>
      <c r="GT496" s="662"/>
      <c r="GU496" s="662"/>
      <c r="GV496" s="662"/>
      <c r="GW496" s="662"/>
      <c r="GX496" s="662"/>
      <c r="GY496" s="662"/>
      <c r="GZ496" s="662"/>
      <c r="HA496" s="662"/>
      <c r="HB496" s="662"/>
      <c r="HC496" s="662"/>
      <c r="HD496" s="662"/>
      <c r="HE496" s="662"/>
      <c r="HF496" s="662"/>
      <c r="HG496" s="662"/>
      <c r="HH496" s="662"/>
      <c r="HI496" s="662"/>
      <c r="HJ496" s="662"/>
      <c r="HK496" s="662"/>
      <c r="HL496" s="662"/>
      <c r="HM496" s="662"/>
      <c r="HN496" s="662"/>
      <c r="HO496" s="662"/>
      <c r="HP496" s="662"/>
      <c r="HQ496" s="662"/>
      <c r="HR496" s="662"/>
      <c r="HS496" s="662"/>
      <c r="HT496" s="662"/>
      <c r="HU496" s="662"/>
      <c r="HV496" s="662"/>
      <c r="HW496" s="662"/>
      <c r="HX496" s="662"/>
      <c r="HY496" s="662"/>
      <c r="HZ496" s="662"/>
      <c r="IA496" s="662"/>
      <c r="IB496" s="662"/>
      <c r="IC496" s="662"/>
      <c r="ID496" s="662"/>
      <c r="IE496" s="662"/>
      <c r="IF496" s="662"/>
      <c r="IG496" s="662"/>
      <c r="IH496" s="662"/>
      <c r="II496" s="662"/>
      <c r="IJ496" s="662"/>
      <c r="IK496" s="662"/>
      <c r="IL496" s="662"/>
      <c r="IM496" s="662"/>
      <c r="IN496" s="662"/>
      <c r="IO496" s="662"/>
      <c r="IP496" s="662"/>
      <c r="IQ496" s="653"/>
    </row>
    <row r="497" spans="18:251" ht="16.5" hidden="1" customHeight="1">
      <c r="R497" s="648"/>
      <c r="S497" s="648"/>
      <c r="T497" s="648"/>
      <c r="U497" s="653"/>
      <c r="V497" s="649"/>
      <c r="W497" s="653"/>
      <c r="X497" s="653"/>
      <c r="Y497" s="653"/>
      <c r="Z497" s="653"/>
      <c r="AA497" s="653"/>
      <c r="AB497" s="653"/>
      <c r="AC497" s="653"/>
      <c r="AD497" s="653"/>
      <c r="AE497" s="653"/>
      <c r="AF497" s="653"/>
      <c r="AG497" s="653"/>
      <c r="AH497" s="653"/>
      <c r="AI497" s="653"/>
      <c r="AJ497" s="653"/>
      <c r="AK497" s="653"/>
      <c r="AL497" s="653"/>
      <c r="AM497" s="653"/>
      <c r="AN497" s="653"/>
      <c r="AO497" s="653"/>
      <c r="AP497" s="653"/>
      <c r="AQ497" s="653"/>
      <c r="AR497" s="653"/>
      <c r="AS497" s="653"/>
      <c r="AT497" s="653"/>
      <c r="AU497" s="653"/>
      <c r="AV497" s="653"/>
      <c r="AW497" s="653"/>
      <c r="AX497" s="653"/>
      <c r="AY497" s="653"/>
      <c r="AZ497" s="653"/>
      <c r="BA497" s="653"/>
      <c r="BB497" s="653"/>
      <c r="BC497" s="653"/>
      <c r="BD497" s="653"/>
      <c r="BE497" s="653"/>
      <c r="BF497" s="653"/>
      <c r="BG497" s="653"/>
      <c r="BH497" s="653"/>
      <c r="BI497" s="653"/>
      <c r="BJ497" s="653"/>
      <c r="BK497" s="653"/>
      <c r="BL497" s="653"/>
      <c r="BM497" s="653"/>
      <c r="BN497" s="653"/>
      <c r="BO497" s="653"/>
      <c r="BP497" s="653"/>
      <c r="BQ497" s="653"/>
      <c r="BR497" s="653"/>
      <c r="BS497" s="653"/>
      <c r="BT497" s="653"/>
      <c r="BU497" s="653"/>
      <c r="BV497" s="653"/>
      <c r="BW497" s="653"/>
      <c r="BX497" s="653"/>
      <c r="BY497" s="653"/>
      <c r="BZ497" s="653"/>
      <c r="CA497" s="653"/>
      <c r="CB497" s="653"/>
      <c r="CC497" s="653"/>
      <c r="CD497" s="653"/>
      <c r="CE497" s="653"/>
      <c r="CF497" s="653"/>
      <c r="CG497" s="653"/>
      <c r="CH497" s="653"/>
      <c r="CI497" s="653"/>
      <c r="CJ497" s="653"/>
      <c r="CK497" s="653"/>
      <c r="CL497" s="653"/>
      <c r="CM497" s="653"/>
      <c r="CN497" s="653"/>
      <c r="CO497" s="653"/>
      <c r="CP497" s="653"/>
      <c r="CQ497" s="653"/>
      <c r="CR497" s="653"/>
      <c r="CS497" s="653"/>
      <c r="CT497" s="653"/>
      <c r="CU497" s="653"/>
      <c r="CV497" s="653"/>
      <c r="CW497" s="653"/>
      <c r="CX497" s="653"/>
      <c r="CY497" s="653"/>
      <c r="CZ497" s="653"/>
      <c r="DA497" s="653"/>
      <c r="DB497" s="653"/>
      <c r="DC497" s="653"/>
      <c r="DD497" s="653"/>
      <c r="DE497" s="653"/>
      <c r="DF497" s="653"/>
      <c r="DG497" s="653"/>
      <c r="DH497" s="653"/>
      <c r="DI497" s="653"/>
      <c r="DJ497" s="653"/>
      <c r="DK497" s="653"/>
      <c r="DL497" s="653"/>
      <c r="DM497" s="653"/>
      <c r="DN497" s="653"/>
      <c r="DO497" s="653"/>
      <c r="DP497" s="653"/>
      <c r="DQ497" s="653"/>
      <c r="DR497" s="653"/>
      <c r="DS497" s="653"/>
      <c r="DT497" s="653"/>
      <c r="DU497" s="653"/>
      <c r="DV497" s="653"/>
      <c r="DW497" s="653"/>
      <c r="DX497" s="653"/>
      <c r="DY497" s="653"/>
      <c r="DZ497" s="653"/>
      <c r="EA497" s="653"/>
      <c r="EB497" s="653"/>
      <c r="EC497" s="653"/>
      <c r="ED497" s="653"/>
      <c r="EE497" s="648"/>
      <c r="EF497" s="651"/>
      <c r="EG497" s="651"/>
      <c r="EH497" s="651"/>
      <c r="EI497" s="216"/>
      <c r="EJ497" s="662"/>
      <c r="EK497" s="662"/>
      <c r="EL497" s="662"/>
      <c r="EM497" s="662"/>
      <c r="EN497" s="662"/>
      <c r="EO497" s="662"/>
      <c r="EP497" s="662"/>
      <c r="EQ497" s="662"/>
      <c r="ER497" s="662"/>
      <c r="ES497" s="662"/>
      <c r="ET497" s="662"/>
      <c r="EU497" s="662"/>
      <c r="EV497" s="662"/>
      <c r="EW497" s="662"/>
      <c r="EX497" s="662"/>
      <c r="EY497" s="662"/>
      <c r="EZ497" s="662"/>
      <c r="FA497" s="662"/>
      <c r="FB497" s="662"/>
      <c r="FC497" s="662"/>
      <c r="FD497" s="662"/>
      <c r="FE497" s="662"/>
      <c r="FF497" s="662"/>
      <c r="FG497" s="662"/>
      <c r="FH497" s="662"/>
      <c r="FI497" s="662"/>
      <c r="FJ497" s="662"/>
      <c r="FK497" s="662"/>
      <c r="FL497" s="662"/>
      <c r="FM497" s="662"/>
      <c r="FN497" s="662"/>
      <c r="FO497" s="662"/>
      <c r="FP497" s="662"/>
      <c r="FQ497" s="662"/>
      <c r="FR497" s="662"/>
      <c r="FS497" s="662"/>
      <c r="FT497" s="662"/>
      <c r="FU497" s="662"/>
      <c r="FV497" s="662"/>
      <c r="FW497" s="662"/>
      <c r="FX497" s="662"/>
      <c r="FY497" s="662"/>
      <c r="FZ497" s="662"/>
      <c r="GA497" s="662"/>
      <c r="GB497" s="662"/>
      <c r="GC497" s="662"/>
      <c r="GD497" s="662"/>
      <c r="GE497" s="662"/>
      <c r="GF497" s="662"/>
      <c r="GG497" s="662"/>
      <c r="GH497" s="662"/>
      <c r="GI497" s="662"/>
      <c r="GJ497" s="662"/>
      <c r="GK497" s="662"/>
      <c r="GL497" s="662"/>
      <c r="GM497" s="662"/>
      <c r="GN497" s="662"/>
      <c r="GO497" s="662"/>
      <c r="GP497" s="662"/>
      <c r="GQ497" s="662"/>
      <c r="GR497" s="662"/>
      <c r="GS497" s="662"/>
      <c r="GT497" s="662"/>
      <c r="GU497" s="662"/>
      <c r="GV497" s="662"/>
      <c r="GW497" s="662"/>
      <c r="GX497" s="662"/>
      <c r="GY497" s="662"/>
      <c r="GZ497" s="662"/>
      <c r="HA497" s="662"/>
      <c r="HB497" s="662"/>
      <c r="HC497" s="662"/>
      <c r="HD497" s="662"/>
      <c r="HE497" s="662"/>
      <c r="HF497" s="662"/>
      <c r="HG497" s="662"/>
      <c r="HH497" s="662"/>
      <c r="HI497" s="662"/>
      <c r="HJ497" s="662"/>
      <c r="HK497" s="662"/>
      <c r="HL497" s="662"/>
      <c r="HM497" s="662"/>
      <c r="HN497" s="662"/>
      <c r="HO497" s="662"/>
      <c r="HP497" s="662"/>
      <c r="HQ497" s="662"/>
      <c r="HR497" s="662"/>
      <c r="HS497" s="662"/>
      <c r="HT497" s="662"/>
      <c r="HU497" s="662"/>
      <c r="HV497" s="662"/>
      <c r="HW497" s="662"/>
      <c r="HX497" s="662"/>
      <c r="HY497" s="662"/>
      <c r="HZ497" s="662"/>
      <c r="IA497" s="662"/>
      <c r="IB497" s="662"/>
      <c r="IC497" s="662"/>
      <c r="ID497" s="662"/>
      <c r="IE497" s="662"/>
      <c r="IF497" s="662"/>
      <c r="IG497" s="662"/>
      <c r="IH497" s="662"/>
      <c r="II497" s="662"/>
      <c r="IJ497" s="662"/>
      <c r="IK497" s="662"/>
      <c r="IL497" s="662"/>
      <c r="IM497" s="662"/>
      <c r="IN497" s="662"/>
      <c r="IO497" s="662"/>
      <c r="IP497" s="662"/>
      <c r="IQ497" s="653"/>
    </row>
    <row r="498" spans="18:251" ht="16.5" hidden="1" customHeight="1">
      <c r="R498" s="648"/>
      <c r="S498" s="648"/>
      <c r="T498" s="648"/>
      <c r="U498" s="653"/>
      <c r="V498" s="649"/>
      <c r="W498" s="653"/>
      <c r="X498" s="653"/>
      <c r="Y498" s="653"/>
      <c r="Z498" s="653"/>
      <c r="AA498" s="653"/>
      <c r="AB498" s="653"/>
      <c r="AC498" s="653"/>
      <c r="AD498" s="653"/>
      <c r="AE498" s="653"/>
      <c r="AF498" s="653"/>
      <c r="AG498" s="653"/>
      <c r="AH498" s="653"/>
      <c r="AI498" s="653"/>
      <c r="AJ498" s="653"/>
      <c r="AK498" s="653"/>
      <c r="AL498" s="653"/>
      <c r="AM498" s="653"/>
      <c r="AN498" s="653"/>
      <c r="AO498" s="653"/>
      <c r="AP498" s="653"/>
      <c r="AQ498" s="653"/>
      <c r="AR498" s="653"/>
      <c r="AS498" s="653"/>
      <c r="AT498" s="653"/>
      <c r="AU498" s="653"/>
      <c r="AV498" s="653"/>
      <c r="AW498" s="653"/>
      <c r="AX498" s="653"/>
      <c r="AY498" s="653"/>
      <c r="AZ498" s="653"/>
      <c r="BA498" s="653"/>
      <c r="BB498" s="653"/>
      <c r="BC498" s="653"/>
      <c r="BD498" s="653"/>
      <c r="BE498" s="653"/>
      <c r="BF498" s="653"/>
      <c r="BG498" s="653"/>
      <c r="BH498" s="653"/>
      <c r="BI498" s="653"/>
      <c r="BJ498" s="653"/>
      <c r="BK498" s="653"/>
      <c r="BL498" s="653"/>
      <c r="BM498" s="653"/>
      <c r="BN498" s="653"/>
      <c r="BO498" s="653"/>
      <c r="BP498" s="653"/>
      <c r="BQ498" s="653"/>
      <c r="BR498" s="653"/>
      <c r="BS498" s="653"/>
      <c r="BT498" s="653"/>
      <c r="BU498" s="653"/>
      <c r="BV498" s="653"/>
      <c r="BW498" s="653"/>
      <c r="BX498" s="653"/>
      <c r="BY498" s="653"/>
      <c r="BZ498" s="653"/>
      <c r="CA498" s="653"/>
      <c r="CB498" s="653"/>
      <c r="CC498" s="653"/>
      <c r="CD498" s="653"/>
      <c r="CE498" s="653"/>
      <c r="CF498" s="653"/>
      <c r="CG498" s="653"/>
      <c r="CH498" s="653"/>
      <c r="CI498" s="653"/>
      <c r="CJ498" s="653"/>
      <c r="CK498" s="653"/>
      <c r="CL498" s="653"/>
      <c r="CM498" s="653"/>
      <c r="CN498" s="653"/>
      <c r="CO498" s="653"/>
      <c r="CP498" s="653"/>
      <c r="CQ498" s="653"/>
      <c r="CR498" s="653"/>
      <c r="CS498" s="653"/>
      <c r="CT498" s="653"/>
      <c r="CU498" s="653"/>
      <c r="CV498" s="653"/>
      <c r="CW498" s="653"/>
      <c r="CX498" s="653"/>
      <c r="CY498" s="653"/>
      <c r="CZ498" s="653"/>
      <c r="DA498" s="653"/>
      <c r="DB498" s="653"/>
      <c r="DC498" s="653"/>
      <c r="DD498" s="653"/>
      <c r="DE498" s="653"/>
      <c r="DF498" s="653"/>
      <c r="DG498" s="653"/>
      <c r="DH498" s="653"/>
      <c r="DI498" s="653"/>
      <c r="DJ498" s="653"/>
      <c r="DK498" s="653"/>
      <c r="DL498" s="653"/>
      <c r="DM498" s="653"/>
      <c r="DN498" s="653"/>
      <c r="DO498" s="653"/>
      <c r="DP498" s="653"/>
      <c r="DQ498" s="653"/>
      <c r="DR498" s="653"/>
      <c r="DS498" s="653"/>
      <c r="DT498" s="653"/>
      <c r="DU498" s="653"/>
      <c r="DV498" s="653"/>
      <c r="DW498" s="653"/>
      <c r="DX498" s="653"/>
      <c r="DY498" s="653"/>
      <c r="DZ498" s="653"/>
      <c r="EA498" s="653"/>
      <c r="EB498" s="653"/>
      <c r="EC498" s="653"/>
      <c r="ED498" s="653"/>
      <c r="EE498" s="648"/>
      <c r="EF498" s="651"/>
      <c r="EG498" s="651"/>
      <c r="EH498" s="651"/>
      <c r="EI498" s="216"/>
      <c r="EJ498" s="662"/>
      <c r="EK498" s="662"/>
      <c r="EL498" s="662"/>
      <c r="EM498" s="662"/>
      <c r="EN498" s="662"/>
      <c r="EO498" s="662"/>
      <c r="EP498" s="662"/>
      <c r="EQ498" s="662"/>
      <c r="ER498" s="662"/>
      <c r="ES498" s="662"/>
      <c r="ET498" s="662"/>
      <c r="EU498" s="662"/>
      <c r="EV498" s="662"/>
      <c r="EW498" s="662"/>
      <c r="EX498" s="662"/>
      <c r="EY498" s="662"/>
      <c r="EZ498" s="662"/>
      <c r="FA498" s="662"/>
      <c r="FB498" s="662"/>
      <c r="FC498" s="662"/>
      <c r="FD498" s="662"/>
      <c r="FE498" s="662"/>
      <c r="FF498" s="662"/>
      <c r="FG498" s="662"/>
      <c r="FH498" s="662"/>
      <c r="FI498" s="662"/>
      <c r="FJ498" s="662"/>
      <c r="FK498" s="662"/>
      <c r="FL498" s="662"/>
      <c r="FM498" s="662"/>
      <c r="FN498" s="662"/>
      <c r="FO498" s="662"/>
      <c r="FP498" s="662"/>
      <c r="FQ498" s="662"/>
      <c r="FR498" s="662"/>
      <c r="FS498" s="662"/>
      <c r="FT498" s="662"/>
      <c r="FU498" s="662"/>
      <c r="FV498" s="662"/>
      <c r="FW498" s="662"/>
      <c r="FX498" s="662"/>
      <c r="FY498" s="662"/>
      <c r="FZ498" s="662"/>
      <c r="GA498" s="662"/>
      <c r="GB498" s="662"/>
      <c r="GC498" s="662"/>
      <c r="GD498" s="662"/>
      <c r="GE498" s="662"/>
      <c r="GF498" s="662"/>
      <c r="GG498" s="662"/>
      <c r="GH498" s="662"/>
      <c r="GI498" s="662"/>
      <c r="GJ498" s="662"/>
      <c r="GK498" s="662"/>
      <c r="GL498" s="662"/>
      <c r="GM498" s="662"/>
      <c r="GN498" s="662"/>
      <c r="GO498" s="662"/>
      <c r="GP498" s="662"/>
      <c r="GQ498" s="662"/>
      <c r="GR498" s="662"/>
      <c r="GS498" s="662"/>
      <c r="GT498" s="662"/>
      <c r="GU498" s="662"/>
      <c r="GV498" s="662"/>
      <c r="GW498" s="662"/>
      <c r="GX498" s="662"/>
      <c r="GY498" s="662"/>
      <c r="GZ498" s="662"/>
      <c r="HA498" s="662"/>
      <c r="HB498" s="662"/>
      <c r="HC498" s="662"/>
      <c r="HD498" s="662"/>
      <c r="HE498" s="662"/>
      <c r="HF498" s="662"/>
      <c r="HG498" s="662"/>
      <c r="HH498" s="662"/>
      <c r="HI498" s="662"/>
      <c r="HJ498" s="662"/>
      <c r="HK498" s="662"/>
      <c r="HL498" s="662"/>
      <c r="HM498" s="662"/>
      <c r="HN498" s="662"/>
      <c r="HO498" s="662"/>
      <c r="HP498" s="662"/>
      <c r="HQ498" s="662"/>
      <c r="HR498" s="662"/>
      <c r="HS498" s="662"/>
      <c r="HT498" s="662"/>
      <c r="HU498" s="662"/>
      <c r="HV498" s="662"/>
      <c r="HW498" s="662"/>
      <c r="HX498" s="662"/>
      <c r="HY498" s="662"/>
      <c r="HZ498" s="662"/>
      <c r="IA498" s="662"/>
      <c r="IB498" s="662"/>
      <c r="IC498" s="662"/>
      <c r="ID498" s="662"/>
      <c r="IE498" s="662"/>
      <c r="IF498" s="662"/>
      <c r="IG498" s="662"/>
      <c r="IH498" s="662"/>
      <c r="II498" s="662"/>
      <c r="IJ498" s="662"/>
      <c r="IK498" s="662"/>
      <c r="IL498" s="662"/>
      <c r="IM498" s="662"/>
      <c r="IN498" s="662"/>
      <c r="IO498" s="662"/>
      <c r="IP498" s="662"/>
      <c r="IQ498" s="653"/>
    </row>
    <row r="499" spans="18:251" ht="16.5" hidden="1" customHeight="1">
      <c r="R499" s="648"/>
      <c r="S499" s="648"/>
      <c r="T499" s="648"/>
      <c r="U499" s="653"/>
      <c r="V499" s="649"/>
      <c r="W499" s="653"/>
      <c r="X499" s="653"/>
      <c r="Y499" s="653"/>
      <c r="Z499" s="653"/>
      <c r="AA499" s="653"/>
      <c r="AB499" s="653"/>
      <c r="AC499" s="653"/>
      <c r="AD499" s="653"/>
      <c r="AE499" s="653"/>
      <c r="AF499" s="653"/>
      <c r="AG499" s="653"/>
      <c r="AH499" s="653"/>
      <c r="AI499" s="653"/>
      <c r="AJ499" s="653"/>
      <c r="AK499" s="653"/>
      <c r="AL499" s="653"/>
      <c r="AM499" s="653"/>
      <c r="AN499" s="653"/>
      <c r="AO499" s="653"/>
      <c r="AP499" s="653"/>
      <c r="AQ499" s="653"/>
      <c r="AR499" s="653"/>
      <c r="AS499" s="653"/>
      <c r="AT499" s="653"/>
      <c r="AU499" s="653"/>
      <c r="AV499" s="653"/>
      <c r="AW499" s="653"/>
      <c r="AX499" s="653"/>
      <c r="AY499" s="653"/>
      <c r="AZ499" s="653"/>
      <c r="BA499" s="653"/>
      <c r="BB499" s="653"/>
      <c r="BC499" s="653"/>
      <c r="BD499" s="653"/>
      <c r="BE499" s="653"/>
      <c r="BF499" s="653"/>
      <c r="BG499" s="653"/>
      <c r="BH499" s="653"/>
      <c r="BI499" s="653"/>
      <c r="BJ499" s="653"/>
      <c r="BK499" s="653"/>
      <c r="BL499" s="653"/>
      <c r="BM499" s="653"/>
      <c r="BN499" s="653"/>
      <c r="BO499" s="653"/>
      <c r="BP499" s="653"/>
      <c r="BQ499" s="653"/>
      <c r="BR499" s="653"/>
      <c r="BS499" s="653"/>
      <c r="BT499" s="653"/>
      <c r="BU499" s="653"/>
      <c r="BV499" s="653"/>
      <c r="BW499" s="653"/>
      <c r="BX499" s="653"/>
      <c r="BY499" s="653"/>
      <c r="BZ499" s="653"/>
      <c r="CA499" s="653"/>
      <c r="CB499" s="653"/>
      <c r="CC499" s="653"/>
      <c r="CD499" s="653"/>
      <c r="CE499" s="653"/>
      <c r="CF499" s="653"/>
      <c r="CG499" s="653"/>
      <c r="CH499" s="653"/>
      <c r="CI499" s="653"/>
      <c r="CJ499" s="653"/>
      <c r="CK499" s="653"/>
      <c r="CL499" s="653"/>
      <c r="CM499" s="653"/>
      <c r="CN499" s="653"/>
      <c r="CO499" s="653"/>
      <c r="CP499" s="653"/>
      <c r="CQ499" s="653"/>
      <c r="CR499" s="653"/>
      <c r="CS499" s="653"/>
      <c r="CT499" s="653"/>
      <c r="CU499" s="653"/>
      <c r="CV499" s="653"/>
      <c r="CW499" s="653"/>
      <c r="CX499" s="653"/>
      <c r="CY499" s="653"/>
      <c r="CZ499" s="653"/>
      <c r="DA499" s="653"/>
      <c r="DB499" s="653"/>
      <c r="DC499" s="653"/>
      <c r="DD499" s="653"/>
      <c r="DE499" s="653"/>
      <c r="DF499" s="653"/>
      <c r="DG499" s="653"/>
      <c r="DH499" s="653"/>
      <c r="DI499" s="653"/>
      <c r="DJ499" s="653"/>
      <c r="DK499" s="653"/>
      <c r="DL499" s="653"/>
      <c r="DM499" s="653"/>
      <c r="DN499" s="653"/>
      <c r="DO499" s="653"/>
      <c r="DP499" s="653"/>
      <c r="DQ499" s="653"/>
      <c r="DR499" s="653"/>
      <c r="DS499" s="653"/>
      <c r="DT499" s="653"/>
      <c r="DU499" s="653"/>
      <c r="DV499" s="653"/>
      <c r="DW499" s="653"/>
      <c r="DX499" s="653"/>
      <c r="DY499" s="653"/>
      <c r="DZ499" s="653"/>
      <c r="EA499" s="653"/>
      <c r="EB499" s="653"/>
      <c r="EC499" s="653"/>
      <c r="ED499" s="653"/>
      <c r="EE499" s="648"/>
      <c r="EF499" s="651"/>
      <c r="EG499" s="651"/>
      <c r="EH499" s="651"/>
      <c r="EI499" s="216"/>
      <c r="EJ499" s="662"/>
      <c r="EK499" s="662"/>
      <c r="EL499" s="662"/>
      <c r="EM499" s="662"/>
      <c r="EN499" s="662"/>
      <c r="EO499" s="662"/>
      <c r="EP499" s="662"/>
      <c r="EQ499" s="662"/>
      <c r="ER499" s="662"/>
      <c r="ES499" s="662"/>
      <c r="ET499" s="662"/>
      <c r="EU499" s="662"/>
      <c r="EV499" s="662"/>
      <c r="EW499" s="662"/>
      <c r="EX499" s="662"/>
      <c r="EY499" s="662"/>
      <c r="EZ499" s="662"/>
      <c r="FA499" s="662"/>
      <c r="FB499" s="662"/>
      <c r="FC499" s="662"/>
      <c r="FD499" s="662"/>
      <c r="FE499" s="662"/>
      <c r="FF499" s="662"/>
      <c r="FG499" s="662"/>
      <c r="FH499" s="662"/>
      <c r="FI499" s="662"/>
      <c r="FJ499" s="662"/>
      <c r="FK499" s="662"/>
      <c r="FL499" s="662"/>
      <c r="FM499" s="662"/>
      <c r="FN499" s="662"/>
      <c r="FO499" s="662"/>
      <c r="FP499" s="662"/>
      <c r="FQ499" s="662"/>
      <c r="FR499" s="662"/>
      <c r="FS499" s="662"/>
      <c r="FT499" s="662"/>
      <c r="FU499" s="662"/>
      <c r="FV499" s="662"/>
      <c r="FW499" s="662"/>
      <c r="FX499" s="662"/>
      <c r="FY499" s="662"/>
      <c r="FZ499" s="662"/>
      <c r="GA499" s="662"/>
      <c r="GB499" s="662"/>
      <c r="GC499" s="662"/>
      <c r="GD499" s="662"/>
      <c r="GE499" s="662"/>
      <c r="GF499" s="662"/>
      <c r="GG499" s="662"/>
      <c r="GH499" s="662"/>
      <c r="GI499" s="662"/>
      <c r="GJ499" s="662"/>
      <c r="GK499" s="662"/>
      <c r="GL499" s="662"/>
      <c r="GM499" s="662"/>
      <c r="GN499" s="662"/>
      <c r="GO499" s="662"/>
      <c r="GP499" s="662"/>
      <c r="GQ499" s="662"/>
      <c r="GR499" s="662"/>
      <c r="GS499" s="662"/>
      <c r="GT499" s="662"/>
      <c r="GU499" s="662"/>
      <c r="GV499" s="662"/>
      <c r="GW499" s="662"/>
      <c r="GX499" s="662"/>
      <c r="GY499" s="662"/>
      <c r="GZ499" s="662"/>
      <c r="HA499" s="662"/>
      <c r="HB499" s="662"/>
      <c r="HC499" s="662"/>
      <c r="HD499" s="662"/>
      <c r="HE499" s="662"/>
      <c r="HF499" s="662"/>
      <c r="HG499" s="662"/>
      <c r="HH499" s="662"/>
      <c r="HI499" s="662"/>
      <c r="HJ499" s="662"/>
      <c r="HK499" s="662"/>
      <c r="HL499" s="662"/>
      <c r="HM499" s="662"/>
      <c r="HN499" s="662"/>
      <c r="HO499" s="662"/>
      <c r="HP499" s="662"/>
      <c r="HQ499" s="662"/>
      <c r="HR499" s="662"/>
      <c r="HS499" s="662"/>
      <c r="HT499" s="662"/>
      <c r="HU499" s="662"/>
      <c r="HV499" s="662"/>
      <c r="HW499" s="662"/>
      <c r="HX499" s="662"/>
      <c r="HY499" s="662"/>
      <c r="HZ499" s="662"/>
      <c r="IA499" s="662"/>
      <c r="IB499" s="662"/>
      <c r="IC499" s="662"/>
      <c r="ID499" s="662"/>
      <c r="IE499" s="662"/>
      <c r="IF499" s="662"/>
      <c r="IG499" s="662"/>
      <c r="IH499" s="662"/>
      <c r="II499" s="662"/>
      <c r="IJ499" s="662"/>
      <c r="IK499" s="662"/>
      <c r="IL499" s="662"/>
      <c r="IM499" s="662"/>
      <c r="IN499" s="662"/>
      <c r="IO499" s="662"/>
      <c r="IP499" s="662"/>
      <c r="IQ499" s="653"/>
    </row>
    <row r="500" spans="18:251" ht="16.5" hidden="1" customHeight="1">
      <c r="R500" s="648"/>
      <c r="S500" s="648"/>
      <c r="T500" s="648"/>
      <c r="U500" s="653"/>
      <c r="V500" s="649"/>
      <c r="W500" s="653"/>
      <c r="X500" s="653"/>
      <c r="Y500" s="653"/>
      <c r="Z500" s="653"/>
      <c r="AA500" s="653"/>
      <c r="AB500" s="653"/>
      <c r="AC500" s="653"/>
      <c r="AD500" s="653"/>
      <c r="AE500" s="653"/>
      <c r="AF500" s="653"/>
      <c r="AG500" s="653"/>
      <c r="AH500" s="653"/>
      <c r="AI500" s="653"/>
      <c r="AJ500" s="653"/>
      <c r="AK500" s="653"/>
      <c r="AL500" s="653"/>
      <c r="AM500" s="653"/>
      <c r="AN500" s="653"/>
      <c r="AO500" s="653"/>
      <c r="AP500" s="653"/>
      <c r="AQ500" s="653"/>
      <c r="AR500" s="653"/>
      <c r="AS500" s="653"/>
      <c r="AT500" s="653"/>
      <c r="AU500" s="653"/>
      <c r="AV500" s="653"/>
      <c r="AW500" s="653"/>
      <c r="AX500" s="653"/>
      <c r="AY500" s="653"/>
      <c r="AZ500" s="653"/>
      <c r="BA500" s="653"/>
      <c r="BB500" s="653"/>
      <c r="BC500" s="653"/>
      <c r="BD500" s="653"/>
      <c r="BE500" s="653"/>
      <c r="BF500" s="653"/>
      <c r="BG500" s="653"/>
      <c r="BH500" s="653"/>
      <c r="BI500" s="653"/>
      <c r="BJ500" s="653"/>
      <c r="BK500" s="653"/>
      <c r="BL500" s="653"/>
      <c r="BM500" s="653"/>
      <c r="BN500" s="653"/>
      <c r="BO500" s="653"/>
      <c r="BP500" s="653"/>
      <c r="BQ500" s="653"/>
      <c r="BR500" s="653"/>
      <c r="BS500" s="653"/>
      <c r="BT500" s="653"/>
      <c r="BU500" s="653"/>
      <c r="BV500" s="653"/>
      <c r="BW500" s="653"/>
      <c r="BX500" s="653"/>
      <c r="BY500" s="653"/>
      <c r="BZ500" s="653"/>
      <c r="CA500" s="653"/>
      <c r="CB500" s="653"/>
      <c r="CC500" s="653"/>
      <c r="CD500" s="653"/>
      <c r="CE500" s="653"/>
      <c r="CF500" s="653"/>
      <c r="CG500" s="653"/>
      <c r="CH500" s="653"/>
      <c r="CI500" s="653"/>
      <c r="CJ500" s="653"/>
      <c r="CK500" s="653"/>
      <c r="CL500" s="653"/>
      <c r="CM500" s="653"/>
      <c r="CN500" s="653"/>
      <c r="CO500" s="653"/>
      <c r="CP500" s="653"/>
      <c r="CQ500" s="653"/>
      <c r="CR500" s="653"/>
      <c r="CS500" s="653"/>
      <c r="CT500" s="653"/>
      <c r="CU500" s="653"/>
      <c r="CV500" s="653"/>
      <c r="CW500" s="653"/>
      <c r="CX500" s="653"/>
      <c r="CY500" s="653"/>
      <c r="CZ500" s="653"/>
      <c r="DA500" s="653"/>
      <c r="DB500" s="653"/>
      <c r="DC500" s="653"/>
      <c r="DD500" s="653"/>
      <c r="DE500" s="653"/>
      <c r="DF500" s="653"/>
      <c r="DG500" s="653"/>
      <c r="DH500" s="653"/>
      <c r="DI500" s="653"/>
      <c r="DJ500" s="653"/>
      <c r="DK500" s="653"/>
      <c r="DL500" s="653"/>
      <c r="DM500" s="653"/>
      <c r="DN500" s="653"/>
      <c r="DO500" s="653"/>
      <c r="DP500" s="653"/>
      <c r="DQ500" s="653"/>
      <c r="DR500" s="653"/>
      <c r="DS500" s="653"/>
      <c r="DT500" s="653"/>
      <c r="DU500" s="653"/>
      <c r="DV500" s="653"/>
      <c r="DW500" s="653"/>
      <c r="DX500" s="653"/>
      <c r="DY500" s="653"/>
      <c r="DZ500" s="653"/>
      <c r="EA500" s="653"/>
      <c r="EB500" s="653"/>
      <c r="EC500" s="653"/>
      <c r="ED500" s="653"/>
      <c r="EE500" s="648"/>
      <c r="EF500" s="651"/>
      <c r="EG500" s="651"/>
      <c r="EH500" s="651"/>
      <c r="EI500" s="216"/>
      <c r="EJ500" s="662"/>
      <c r="EK500" s="662"/>
      <c r="EL500" s="662"/>
      <c r="EM500" s="662"/>
      <c r="EN500" s="662"/>
      <c r="EO500" s="662"/>
      <c r="EP500" s="662"/>
      <c r="EQ500" s="662"/>
      <c r="ER500" s="662"/>
      <c r="ES500" s="662"/>
      <c r="ET500" s="662"/>
      <c r="EU500" s="662"/>
      <c r="EV500" s="662"/>
      <c r="EW500" s="662"/>
      <c r="EX500" s="662"/>
      <c r="EY500" s="662"/>
      <c r="EZ500" s="662"/>
      <c r="FA500" s="662"/>
      <c r="FB500" s="662"/>
      <c r="FC500" s="662"/>
      <c r="FD500" s="662"/>
      <c r="FE500" s="662"/>
      <c r="FF500" s="662"/>
      <c r="FG500" s="662"/>
      <c r="FH500" s="662"/>
      <c r="FI500" s="662"/>
      <c r="FJ500" s="662"/>
      <c r="FK500" s="662"/>
      <c r="FL500" s="662"/>
      <c r="FM500" s="662"/>
      <c r="FN500" s="662"/>
      <c r="FO500" s="662"/>
      <c r="FP500" s="662"/>
      <c r="FQ500" s="662"/>
      <c r="FR500" s="662"/>
      <c r="FS500" s="662"/>
      <c r="FT500" s="662"/>
      <c r="FU500" s="662"/>
      <c r="FV500" s="662"/>
      <c r="FW500" s="662"/>
      <c r="FX500" s="662"/>
      <c r="FY500" s="662"/>
      <c r="FZ500" s="662"/>
      <c r="GA500" s="662"/>
      <c r="GB500" s="662"/>
      <c r="GC500" s="662"/>
      <c r="GD500" s="662"/>
      <c r="GE500" s="662"/>
      <c r="GF500" s="662"/>
      <c r="GG500" s="662"/>
      <c r="GH500" s="662"/>
      <c r="GI500" s="662"/>
      <c r="GJ500" s="662"/>
      <c r="GK500" s="662"/>
      <c r="GL500" s="662"/>
      <c r="GM500" s="662"/>
      <c r="GN500" s="662"/>
      <c r="GO500" s="662"/>
      <c r="GP500" s="662"/>
      <c r="GQ500" s="662"/>
      <c r="GR500" s="662"/>
      <c r="GS500" s="662"/>
      <c r="GT500" s="662"/>
      <c r="GU500" s="662"/>
      <c r="GV500" s="662"/>
      <c r="GW500" s="662"/>
      <c r="GX500" s="662"/>
      <c r="GY500" s="662"/>
      <c r="GZ500" s="662"/>
      <c r="HA500" s="662"/>
      <c r="HB500" s="662"/>
      <c r="HC500" s="662"/>
      <c r="HD500" s="662"/>
      <c r="HE500" s="662"/>
      <c r="HF500" s="662"/>
      <c r="HG500" s="662"/>
      <c r="HH500" s="662"/>
      <c r="HI500" s="662"/>
      <c r="HJ500" s="662"/>
      <c r="HK500" s="662"/>
      <c r="HL500" s="662"/>
      <c r="HM500" s="662"/>
      <c r="HN500" s="662"/>
      <c r="HO500" s="662"/>
      <c r="HP500" s="662"/>
      <c r="HQ500" s="662"/>
      <c r="HR500" s="662"/>
      <c r="HS500" s="662"/>
      <c r="HT500" s="662"/>
      <c r="HU500" s="662"/>
      <c r="HV500" s="662"/>
      <c r="HW500" s="662"/>
      <c r="HX500" s="662"/>
      <c r="HY500" s="662"/>
      <c r="HZ500" s="662"/>
      <c r="IA500" s="662"/>
      <c r="IB500" s="662"/>
      <c r="IC500" s="662"/>
      <c r="ID500" s="662"/>
      <c r="IE500" s="662"/>
      <c r="IF500" s="662"/>
      <c r="IG500" s="662"/>
      <c r="IH500" s="662"/>
      <c r="II500" s="662"/>
      <c r="IJ500" s="662"/>
      <c r="IK500" s="662"/>
      <c r="IL500" s="662"/>
      <c r="IM500" s="662"/>
      <c r="IN500" s="662"/>
      <c r="IO500" s="662"/>
      <c r="IP500" s="662"/>
      <c r="IQ500" s="653"/>
    </row>
    <row r="501" spans="18:251" ht="16.5" hidden="1" customHeight="1">
      <c r="R501" s="648"/>
      <c r="S501" s="648"/>
      <c r="T501" s="648"/>
      <c r="U501" s="653"/>
      <c r="V501" s="649"/>
      <c r="W501" s="653"/>
      <c r="X501" s="653"/>
      <c r="Y501" s="653"/>
      <c r="Z501" s="653"/>
      <c r="AA501" s="653"/>
      <c r="AB501" s="653"/>
      <c r="AC501" s="653"/>
      <c r="AD501" s="653"/>
      <c r="AE501" s="653"/>
      <c r="AF501" s="653"/>
      <c r="AG501" s="653"/>
      <c r="AH501" s="653"/>
      <c r="AI501" s="653"/>
      <c r="AJ501" s="653"/>
      <c r="AK501" s="653"/>
      <c r="AL501" s="653"/>
      <c r="AM501" s="653"/>
      <c r="AN501" s="653"/>
      <c r="AO501" s="653"/>
      <c r="AP501" s="653"/>
      <c r="AQ501" s="653"/>
      <c r="AR501" s="653"/>
      <c r="AS501" s="653"/>
      <c r="AT501" s="653"/>
      <c r="AU501" s="653"/>
      <c r="AV501" s="653"/>
      <c r="AW501" s="653"/>
      <c r="AX501" s="653"/>
      <c r="AY501" s="653"/>
      <c r="AZ501" s="653"/>
      <c r="BA501" s="653"/>
      <c r="BB501" s="653"/>
      <c r="BC501" s="653"/>
      <c r="BD501" s="653"/>
      <c r="BE501" s="653"/>
      <c r="BF501" s="653"/>
      <c r="BG501" s="653"/>
      <c r="BH501" s="653"/>
      <c r="BI501" s="653"/>
      <c r="BJ501" s="653"/>
      <c r="BK501" s="653"/>
      <c r="BL501" s="653"/>
      <c r="BM501" s="653"/>
      <c r="BN501" s="653"/>
      <c r="BO501" s="653"/>
      <c r="BP501" s="653"/>
      <c r="BQ501" s="653"/>
      <c r="BR501" s="653"/>
      <c r="BS501" s="653"/>
      <c r="BT501" s="653"/>
      <c r="BU501" s="653"/>
      <c r="BV501" s="653"/>
      <c r="BW501" s="653"/>
      <c r="BX501" s="653"/>
      <c r="BY501" s="653"/>
      <c r="BZ501" s="653"/>
      <c r="CA501" s="653"/>
      <c r="CB501" s="653"/>
      <c r="CC501" s="653"/>
      <c r="CD501" s="653"/>
      <c r="CE501" s="653"/>
      <c r="CF501" s="653"/>
      <c r="CG501" s="653"/>
      <c r="CH501" s="653"/>
      <c r="CI501" s="653"/>
      <c r="CJ501" s="653"/>
      <c r="CK501" s="653"/>
      <c r="CL501" s="653"/>
      <c r="CM501" s="653"/>
      <c r="CN501" s="653"/>
      <c r="CO501" s="653"/>
      <c r="CP501" s="653"/>
      <c r="CQ501" s="653"/>
      <c r="CR501" s="653"/>
      <c r="CS501" s="653"/>
      <c r="CT501" s="653"/>
      <c r="CU501" s="653"/>
      <c r="CV501" s="653"/>
      <c r="CW501" s="653"/>
      <c r="CX501" s="653"/>
      <c r="CY501" s="653"/>
      <c r="CZ501" s="653"/>
      <c r="DA501" s="653"/>
      <c r="DB501" s="653"/>
      <c r="DC501" s="653"/>
      <c r="DD501" s="653"/>
      <c r="DE501" s="653"/>
      <c r="DF501" s="653"/>
      <c r="DG501" s="653"/>
      <c r="DH501" s="653"/>
      <c r="DI501" s="653"/>
      <c r="DJ501" s="653"/>
      <c r="DK501" s="653"/>
      <c r="DL501" s="653"/>
      <c r="DM501" s="653"/>
      <c r="DN501" s="653"/>
      <c r="DO501" s="653"/>
      <c r="DP501" s="653"/>
      <c r="DQ501" s="653"/>
      <c r="DR501" s="653"/>
      <c r="DS501" s="653"/>
      <c r="DT501" s="653"/>
      <c r="DU501" s="653"/>
      <c r="DV501" s="653"/>
      <c r="DW501" s="653"/>
      <c r="DX501" s="653"/>
      <c r="DY501" s="653"/>
      <c r="DZ501" s="653"/>
      <c r="EA501" s="653"/>
      <c r="EB501" s="653"/>
      <c r="EC501" s="653"/>
      <c r="ED501" s="653"/>
      <c r="EE501" s="648"/>
      <c r="EF501" s="651"/>
      <c r="EG501" s="651"/>
      <c r="EH501" s="651"/>
      <c r="EI501" s="216"/>
      <c r="EJ501" s="662"/>
      <c r="EK501" s="662"/>
      <c r="EL501" s="662"/>
      <c r="EM501" s="662"/>
      <c r="EN501" s="662"/>
      <c r="EO501" s="662"/>
      <c r="EP501" s="662"/>
      <c r="EQ501" s="662"/>
      <c r="ER501" s="662"/>
      <c r="ES501" s="662"/>
      <c r="ET501" s="662"/>
      <c r="EU501" s="662"/>
      <c r="EV501" s="662"/>
      <c r="EW501" s="662"/>
      <c r="EX501" s="662"/>
      <c r="EY501" s="662"/>
      <c r="EZ501" s="662"/>
      <c r="FA501" s="662"/>
      <c r="FB501" s="662"/>
      <c r="FC501" s="662"/>
      <c r="FD501" s="662"/>
      <c r="FE501" s="662"/>
      <c r="FF501" s="662"/>
      <c r="FG501" s="662"/>
      <c r="FH501" s="662"/>
      <c r="FI501" s="662"/>
      <c r="FJ501" s="662"/>
      <c r="FK501" s="662"/>
      <c r="FL501" s="662"/>
      <c r="FM501" s="662"/>
      <c r="FN501" s="662"/>
      <c r="FO501" s="662"/>
      <c r="FP501" s="662"/>
      <c r="FQ501" s="662"/>
      <c r="FR501" s="662"/>
      <c r="FS501" s="662"/>
      <c r="FT501" s="662"/>
      <c r="FU501" s="662"/>
      <c r="FV501" s="662"/>
      <c r="FW501" s="662"/>
      <c r="FX501" s="662"/>
      <c r="FY501" s="662"/>
      <c r="FZ501" s="662"/>
      <c r="GA501" s="662"/>
      <c r="GB501" s="662"/>
      <c r="GC501" s="662"/>
      <c r="GD501" s="662"/>
      <c r="GE501" s="662"/>
      <c r="GF501" s="662"/>
      <c r="GG501" s="662"/>
      <c r="GH501" s="662"/>
      <c r="GI501" s="662"/>
      <c r="GJ501" s="662"/>
      <c r="GK501" s="662"/>
      <c r="GL501" s="662"/>
      <c r="GM501" s="662"/>
      <c r="GN501" s="662"/>
      <c r="GO501" s="662"/>
      <c r="GP501" s="662"/>
      <c r="GQ501" s="662"/>
      <c r="GR501" s="662"/>
      <c r="GS501" s="662"/>
      <c r="GT501" s="662"/>
      <c r="GU501" s="662"/>
      <c r="GV501" s="662"/>
      <c r="GW501" s="662"/>
      <c r="GX501" s="662"/>
      <c r="GY501" s="662"/>
      <c r="GZ501" s="662"/>
      <c r="HA501" s="662"/>
      <c r="HB501" s="662"/>
      <c r="HC501" s="662"/>
      <c r="HD501" s="662"/>
      <c r="HE501" s="662"/>
      <c r="HF501" s="662"/>
      <c r="HG501" s="662"/>
      <c r="HH501" s="662"/>
      <c r="HI501" s="662"/>
      <c r="HJ501" s="662"/>
      <c r="HK501" s="662"/>
      <c r="HL501" s="662"/>
      <c r="HM501" s="662"/>
      <c r="HN501" s="662"/>
      <c r="HO501" s="662"/>
      <c r="HP501" s="662"/>
      <c r="HQ501" s="662"/>
      <c r="HR501" s="662"/>
      <c r="HS501" s="662"/>
      <c r="HT501" s="662"/>
      <c r="HU501" s="662"/>
      <c r="HV501" s="662"/>
      <c r="HW501" s="662"/>
      <c r="HX501" s="662"/>
      <c r="HY501" s="662"/>
      <c r="HZ501" s="662"/>
      <c r="IA501" s="662"/>
      <c r="IB501" s="662"/>
      <c r="IC501" s="662"/>
      <c r="ID501" s="662"/>
      <c r="IE501" s="662"/>
      <c r="IF501" s="662"/>
      <c r="IG501" s="662"/>
      <c r="IH501" s="662"/>
      <c r="II501" s="662"/>
      <c r="IJ501" s="662"/>
      <c r="IK501" s="662"/>
      <c r="IL501" s="662"/>
      <c r="IM501" s="662"/>
      <c r="IN501" s="662"/>
      <c r="IO501" s="662"/>
      <c r="IP501" s="662"/>
      <c r="IQ501" s="653"/>
    </row>
    <row r="502" spans="18:251" ht="16.5" hidden="1" customHeight="1">
      <c r="R502" s="648"/>
      <c r="S502" s="648"/>
      <c r="T502" s="648"/>
      <c r="U502" s="653"/>
      <c r="V502" s="649"/>
      <c r="W502" s="653"/>
      <c r="X502" s="653"/>
      <c r="Y502" s="653"/>
      <c r="Z502" s="653"/>
      <c r="AA502" s="653"/>
      <c r="AB502" s="653"/>
      <c r="AC502" s="653"/>
      <c r="AD502" s="653"/>
      <c r="AE502" s="653"/>
      <c r="AF502" s="653"/>
      <c r="AG502" s="653"/>
      <c r="AH502" s="653"/>
      <c r="AI502" s="653"/>
      <c r="AJ502" s="653"/>
      <c r="AK502" s="653"/>
      <c r="AL502" s="653"/>
      <c r="AM502" s="653"/>
      <c r="AN502" s="653"/>
      <c r="AO502" s="653"/>
      <c r="AP502" s="653"/>
      <c r="AQ502" s="653"/>
      <c r="AR502" s="653"/>
      <c r="AS502" s="653"/>
      <c r="AT502" s="653"/>
      <c r="AU502" s="653"/>
      <c r="AV502" s="653"/>
      <c r="AW502" s="653"/>
      <c r="AX502" s="653"/>
      <c r="AY502" s="653"/>
      <c r="AZ502" s="653"/>
      <c r="BA502" s="653"/>
      <c r="BB502" s="653"/>
      <c r="BC502" s="653"/>
      <c r="BD502" s="653"/>
      <c r="BE502" s="653"/>
      <c r="BF502" s="653"/>
      <c r="BG502" s="653"/>
      <c r="BH502" s="653"/>
      <c r="BI502" s="653"/>
      <c r="BJ502" s="653"/>
      <c r="BK502" s="653"/>
      <c r="BL502" s="653"/>
      <c r="BM502" s="653"/>
      <c r="BN502" s="653"/>
      <c r="BO502" s="653"/>
      <c r="BP502" s="653"/>
      <c r="BQ502" s="653"/>
      <c r="BR502" s="653"/>
      <c r="BS502" s="653"/>
      <c r="BT502" s="653"/>
      <c r="BU502" s="653"/>
      <c r="BV502" s="653"/>
      <c r="BW502" s="653"/>
      <c r="BX502" s="653"/>
      <c r="BY502" s="653"/>
      <c r="BZ502" s="653"/>
      <c r="CA502" s="653"/>
      <c r="CB502" s="653"/>
      <c r="CC502" s="653"/>
      <c r="CD502" s="653"/>
      <c r="CE502" s="653"/>
      <c r="CF502" s="653"/>
      <c r="CG502" s="653"/>
      <c r="CH502" s="653"/>
      <c r="CI502" s="653"/>
      <c r="CJ502" s="653"/>
      <c r="CK502" s="653"/>
      <c r="CL502" s="653"/>
      <c r="CM502" s="653"/>
      <c r="CN502" s="653"/>
      <c r="CO502" s="653"/>
      <c r="CP502" s="653"/>
      <c r="CQ502" s="653"/>
      <c r="CR502" s="653"/>
      <c r="CS502" s="653"/>
      <c r="CT502" s="653"/>
      <c r="CU502" s="653"/>
      <c r="CV502" s="653"/>
      <c r="CW502" s="653"/>
      <c r="CX502" s="653"/>
      <c r="CY502" s="653"/>
      <c r="CZ502" s="653"/>
      <c r="DA502" s="653"/>
      <c r="DB502" s="653"/>
      <c r="DC502" s="653"/>
      <c r="DD502" s="653"/>
      <c r="DE502" s="653"/>
      <c r="DF502" s="653"/>
      <c r="DG502" s="653"/>
      <c r="DH502" s="653"/>
      <c r="DI502" s="653"/>
      <c r="DJ502" s="653"/>
      <c r="DK502" s="653"/>
      <c r="DL502" s="653"/>
      <c r="DM502" s="653"/>
      <c r="DN502" s="653"/>
      <c r="DO502" s="653"/>
      <c r="DP502" s="653"/>
      <c r="DQ502" s="653"/>
      <c r="DR502" s="653"/>
      <c r="DS502" s="653"/>
      <c r="DT502" s="653"/>
      <c r="DU502" s="653"/>
      <c r="DV502" s="653"/>
      <c r="DW502" s="653"/>
      <c r="DX502" s="653"/>
      <c r="DY502" s="653"/>
      <c r="DZ502" s="653"/>
      <c r="EA502" s="653"/>
      <c r="EB502" s="653"/>
      <c r="EC502" s="653"/>
      <c r="ED502" s="653"/>
      <c r="EE502" s="648"/>
      <c r="EF502" s="651"/>
      <c r="EG502" s="651"/>
      <c r="EH502" s="651"/>
      <c r="EI502" s="216"/>
      <c r="EJ502" s="662"/>
      <c r="EK502" s="662"/>
      <c r="EL502" s="662"/>
      <c r="EM502" s="662"/>
      <c r="EN502" s="662"/>
      <c r="EO502" s="662"/>
      <c r="EP502" s="662"/>
      <c r="EQ502" s="662"/>
      <c r="ER502" s="662"/>
      <c r="ES502" s="662"/>
      <c r="ET502" s="662"/>
      <c r="EU502" s="662"/>
      <c r="EV502" s="662"/>
      <c r="EW502" s="662"/>
      <c r="EX502" s="662"/>
      <c r="EY502" s="662"/>
      <c r="EZ502" s="662"/>
      <c r="FA502" s="662"/>
      <c r="FB502" s="662"/>
      <c r="FC502" s="662"/>
      <c r="FD502" s="662"/>
      <c r="FE502" s="662"/>
      <c r="FF502" s="662"/>
      <c r="FG502" s="662"/>
      <c r="FH502" s="662"/>
      <c r="FI502" s="662"/>
      <c r="FJ502" s="662"/>
      <c r="FK502" s="662"/>
      <c r="FL502" s="662"/>
      <c r="FM502" s="662"/>
      <c r="FN502" s="662"/>
      <c r="FO502" s="662"/>
      <c r="FP502" s="662"/>
      <c r="FQ502" s="662"/>
      <c r="FR502" s="662"/>
      <c r="FS502" s="662"/>
      <c r="FT502" s="662"/>
      <c r="FU502" s="662"/>
      <c r="FV502" s="662"/>
      <c r="FW502" s="662"/>
      <c r="FX502" s="662"/>
      <c r="FY502" s="662"/>
      <c r="FZ502" s="662"/>
      <c r="GA502" s="662"/>
      <c r="GB502" s="662"/>
      <c r="GC502" s="662"/>
      <c r="GD502" s="662"/>
      <c r="GE502" s="662"/>
      <c r="GF502" s="662"/>
      <c r="GG502" s="662"/>
      <c r="GH502" s="662"/>
      <c r="GI502" s="662"/>
      <c r="GJ502" s="662"/>
      <c r="GK502" s="662"/>
      <c r="GL502" s="662"/>
      <c r="GM502" s="662"/>
      <c r="GN502" s="662"/>
      <c r="GO502" s="662"/>
      <c r="GP502" s="662"/>
      <c r="GQ502" s="662"/>
      <c r="GR502" s="662"/>
      <c r="GS502" s="662"/>
      <c r="GT502" s="662"/>
      <c r="GU502" s="662"/>
      <c r="GV502" s="662"/>
      <c r="GW502" s="662"/>
      <c r="GX502" s="662"/>
      <c r="GY502" s="662"/>
      <c r="GZ502" s="662"/>
      <c r="HA502" s="662"/>
      <c r="HB502" s="662"/>
      <c r="HC502" s="662"/>
      <c r="HD502" s="662"/>
      <c r="HE502" s="662"/>
      <c r="HF502" s="662"/>
      <c r="HG502" s="662"/>
      <c r="HH502" s="662"/>
      <c r="HI502" s="662"/>
      <c r="HJ502" s="662"/>
      <c r="HK502" s="662"/>
      <c r="HL502" s="662"/>
      <c r="HM502" s="662"/>
      <c r="HN502" s="662"/>
      <c r="HO502" s="662"/>
      <c r="HP502" s="662"/>
      <c r="HQ502" s="662"/>
      <c r="HR502" s="662"/>
      <c r="HS502" s="662"/>
      <c r="HT502" s="662"/>
      <c r="HU502" s="662"/>
      <c r="HV502" s="662"/>
      <c r="HW502" s="662"/>
      <c r="HX502" s="662"/>
      <c r="HY502" s="662"/>
      <c r="HZ502" s="662"/>
      <c r="IA502" s="662"/>
      <c r="IB502" s="662"/>
      <c r="IC502" s="662"/>
      <c r="ID502" s="662"/>
      <c r="IE502" s="662"/>
      <c r="IF502" s="662"/>
      <c r="IG502" s="662"/>
      <c r="IH502" s="662"/>
      <c r="II502" s="662"/>
      <c r="IJ502" s="662"/>
      <c r="IK502" s="662"/>
      <c r="IL502" s="662"/>
      <c r="IM502" s="662"/>
      <c r="IN502" s="662"/>
      <c r="IO502" s="662"/>
      <c r="IP502" s="662"/>
      <c r="IQ502" s="653"/>
    </row>
    <row r="503" spans="18:251" ht="16.5" hidden="1" customHeight="1">
      <c r="R503" s="648"/>
      <c r="S503" s="648"/>
      <c r="T503" s="648"/>
      <c r="U503" s="653"/>
      <c r="V503" s="649"/>
      <c r="W503" s="653"/>
      <c r="X503" s="653"/>
      <c r="Y503" s="653"/>
      <c r="Z503" s="653"/>
      <c r="AA503" s="653"/>
      <c r="AB503" s="653"/>
      <c r="AC503" s="653"/>
      <c r="AD503" s="653"/>
      <c r="AE503" s="653"/>
      <c r="AF503" s="653"/>
      <c r="AG503" s="653"/>
      <c r="AH503" s="653"/>
      <c r="AI503" s="653"/>
      <c r="AJ503" s="653"/>
      <c r="AK503" s="653"/>
      <c r="AL503" s="653"/>
      <c r="AM503" s="653"/>
      <c r="AN503" s="653"/>
      <c r="AO503" s="653"/>
      <c r="AP503" s="653"/>
      <c r="AQ503" s="653"/>
      <c r="AR503" s="653"/>
      <c r="AS503" s="653"/>
      <c r="AT503" s="653"/>
      <c r="AU503" s="653"/>
      <c r="AV503" s="653"/>
      <c r="AW503" s="653"/>
      <c r="AX503" s="653"/>
      <c r="AY503" s="653"/>
      <c r="AZ503" s="653"/>
      <c r="BA503" s="653"/>
      <c r="BB503" s="653"/>
      <c r="BC503" s="653"/>
      <c r="BD503" s="653"/>
      <c r="BE503" s="653"/>
      <c r="BF503" s="653"/>
      <c r="BG503" s="653"/>
      <c r="BH503" s="653"/>
      <c r="BI503" s="653"/>
      <c r="BJ503" s="653"/>
      <c r="BK503" s="653"/>
      <c r="BL503" s="653"/>
      <c r="BM503" s="653"/>
      <c r="BN503" s="653"/>
      <c r="BO503" s="653"/>
      <c r="BP503" s="653"/>
      <c r="BQ503" s="653"/>
      <c r="BR503" s="653"/>
      <c r="BS503" s="653"/>
      <c r="BT503" s="653"/>
      <c r="BU503" s="653"/>
      <c r="BV503" s="653"/>
      <c r="BW503" s="653"/>
      <c r="BX503" s="653"/>
      <c r="BY503" s="653"/>
      <c r="BZ503" s="653"/>
      <c r="CA503" s="653"/>
      <c r="CB503" s="653"/>
      <c r="CC503" s="653"/>
      <c r="CD503" s="653"/>
      <c r="CE503" s="653"/>
      <c r="CF503" s="653"/>
      <c r="CG503" s="653"/>
      <c r="CH503" s="653"/>
      <c r="CI503" s="653"/>
      <c r="CJ503" s="653"/>
      <c r="CK503" s="653"/>
      <c r="CL503" s="653"/>
      <c r="CM503" s="653"/>
      <c r="CN503" s="653"/>
      <c r="CO503" s="653"/>
      <c r="CP503" s="653"/>
      <c r="CQ503" s="653"/>
      <c r="CR503" s="653"/>
      <c r="CS503" s="653"/>
      <c r="CT503" s="653"/>
      <c r="CU503" s="653"/>
      <c r="CV503" s="653"/>
      <c r="CW503" s="653"/>
      <c r="CX503" s="653"/>
      <c r="CY503" s="653"/>
      <c r="CZ503" s="653"/>
      <c r="DA503" s="653"/>
      <c r="DB503" s="653"/>
      <c r="DC503" s="653"/>
      <c r="DD503" s="653"/>
      <c r="DE503" s="653"/>
      <c r="DF503" s="653"/>
      <c r="DG503" s="653"/>
      <c r="DH503" s="653"/>
      <c r="DI503" s="653"/>
      <c r="DJ503" s="653"/>
      <c r="DK503" s="653"/>
      <c r="DL503" s="653"/>
      <c r="DM503" s="653"/>
      <c r="DN503" s="653"/>
      <c r="DO503" s="653"/>
      <c r="DP503" s="653"/>
      <c r="DQ503" s="653"/>
      <c r="DR503" s="653"/>
      <c r="DS503" s="653"/>
      <c r="DT503" s="653"/>
      <c r="DU503" s="653"/>
      <c r="DV503" s="653"/>
      <c r="DW503" s="653"/>
      <c r="DX503" s="653"/>
      <c r="DY503" s="653"/>
      <c r="DZ503" s="653"/>
      <c r="EA503" s="653"/>
      <c r="EB503" s="653"/>
      <c r="EC503" s="653"/>
      <c r="ED503" s="653"/>
      <c r="EE503" s="648"/>
      <c r="EF503" s="651"/>
      <c r="EG503" s="651"/>
      <c r="EH503" s="651"/>
      <c r="EI503" s="216"/>
      <c r="EJ503" s="662"/>
      <c r="EK503" s="662"/>
      <c r="EL503" s="662"/>
      <c r="EM503" s="662"/>
      <c r="EN503" s="662"/>
      <c r="EO503" s="662"/>
      <c r="EP503" s="662"/>
      <c r="EQ503" s="662"/>
      <c r="ER503" s="662"/>
      <c r="ES503" s="662"/>
      <c r="ET503" s="662"/>
      <c r="EU503" s="662"/>
      <c r="EV503" s="662"/>
      <c r="EW503" s="662"/>
      <c r="EX503" s="662"/>
      <c r="EY503" s="662"/>
      <c r="EZ503" s="662"/>
      <c r="FA503" s="662"/>
      <c r="FB503" s="662"/>
      <c r="FC503" s="662"/>
      <c r="FD503" s="662"/>
      <c r="FE503" s="662"/>
      <c r="FF503" s="662"/>
      <c r="FG503" s="662"/>
      <c r="FH503" s="662"/>
      <c r="FI503" s="662"/>
      <c r="FJ503" s="662"/>
      <c r="FK503" s="662"/>
      <c r="FL503" s="662"/>
      <c r="FM503" s="662"/>
      <c r="FN503" s="662"/>
      <c r="FO503" s="662"/>
      <c r="FP503" s="662"/>
      <c r="FQ503" s="662"/>
      <c r="FR503" s="662"/>
      <c r="FS503" s="662"/>
      <c r="FT503" s="662"/>
      <c r="FU503" s="662"/>
      <c r="FV503" s="662"/>
      <c r="FW503" s="662"/>
      <c r="FX503" s="662"/>
      <c r="FY503" s="662"/>
      <c r="FZ503" s="662"/>
      <c r="GA503" s="662"/>
      <c r="GB503" s="662"/>
      <c r="GC503" s="662"/>
      <c r="GD503" s="662"/>
      <c r="GE503" s="662"/>
      <c r="GF503" s="662"/>
      <c r="GG503" s="662"/>
      <c r="GH503" s="662"/>
      <c r="GI503" s="662"/>
      <c r="GJ503" s="662"/>
      <c r="GK503" s="662"/>
      <c r="GL503" s="662"/>
      <c r="GM503" s="662"/>
      <c r="GN503" s="662"/>
      <c r="GO503" s="662"/>
      <c r="GP503" s="662"/>
      <c r="GQ503" s="662"/>
      <c r="GR503" s="662"/>
      <c r="GS503" s="662"/>
      <c r="GT503" s="662"/>
      <c r="GU503" s="662"/>
      <c r="GV503" s="662"/>
      <c r="GW503" s="662"/>
      <c r="GX503" s="662"/>
      <c r="GY503" s="662"/>
      <c r="GZ503" s="662"/>
      <c r="HA503" s="662"/>
      <c r="HB503" s="662"/>
      <c r="HC503" s="662"/>
      <c r="HD503" s="662"/>
      <c r="HE503" s="662"/>
      <c r="HF503" s="662"/>
      <c r="HG503" s="662"/>
      <c r="HH503" s="662"/>
      <c r="HI503" s="662"/>
      <c r="HJ503" s="662"/>
      <c r="HK503" s="662"/>
      <c r="HL503" s="662"/>
      <c r="HM503" s="662"/>
      <c r="HN503" s="662"/>
      <c r="HO503" s="662"/>
      <c r="HP503" s="662"/>
      <c r="HQ503" s="662"/>
      <c r="HR503" s="662"/>
      <c r="HS503" s="662"/>
      <c r="HT503" s="662"/>
      <c r="HU503" s="662"/>
      <c r="HV503" s="662"/>
      <c r="HW503" s="662"/>
      <c r="HX503" s="662"/>
      <c r="HY503" s="662"/>
      <c r="HZ503" s="662"/>
      <c r="IA503" s="662"/>
      <c r="IB503" s="662"/>
      <c r="IC503" s="662"/>
      <c r="ID503" s="662"/>
      <c r="IE503" s="662"/>
      <c r="IF503" s="662"/>
      <c r="IG503" s="662"/>
      <c r="IH503" s="662"/>
      <c r="II503" s="662"/>
      <c r="IJ503" s="662"/>
      <c r="IK503" s="662"/>
      <c r="IL503" s="662"/>
      <c r="IM503" s="662"/>
      <c r="IN503" s="662"/>
      <c r="IO503" s="662"/>
      <c r="IP503" s="662"/>
      <c r="IQ503" s="653"/>
    </row>
    <row r="504" spans="18:251" ht="16.5" hidden="1" customHeight="1">
      <c r="R504" s="648"/>
      <c r="S504" s="648"/>
      <c r="T504" s="648"/>
      <c r="U504" s="653"/>
      <c r="V504" s="649"/>
      <c r="W504" s="653"/>
      <c r="X504" s="653"/>
      <c r="Y504" s="653"/>
      <c r="Z504" s="653"/>
      <c r="AA504" s="653"/>
      <c r="AB504" s="653"/>
      <c r="AC504" s="653"/>
      <c r="AD504" s="653"/>
      <c r="AE504" s="653"/>
      <c r="AF504" s="653"/>
      <c r="AG504" s="653"/>
      <c r="AH504" s="653"/>
      <c r="AI504" s="653"/>
      <c r="AJ504" s="653"/>
      <c r="AK504" s="653"/>
      <c r="AL504" s="653"/>
      <c r="AM504" s="653"/>
      <c r="AN504" s="653"/>
      <c r="AO504" s="653"/>
      <c r="AP504" s="653"/>
      <c r="AQ504" s="653"/>
      <c r="AR504" s="653"/>
      <c r="AS504" s="653"/>
      <c r="AT504" s="653"/>
      <c r="AU504" s="653"/>
      <c r="AV504" s="653"/>
      <c r="AW504" s="653"/>
      <c r="AX504" s="653"/>
      <c r="AY504" s="653"/>
      <c r="AZ504" s="653"/>
      <c r="BA504" s="653"/>
      <c r="BB504" s="653"/>
      <c r="BC504" s="653"/>
      <c r="BD504" s="653"/>
      <c r="BE504" s="653"/>
      <c r="BF504" s="653"/>
      <c r="BG504" s="653"/>
      <c r="BH504" s="653"/>
      <c r="BI504" s="653"/>
      <c r="BJ504" s="653"/>
      <c r="BK504" s="653"/>
      <c r="BL504" s="653"/>
      <c r="BM504" s="653"/>
      <c r="BN504" s="653"/>
      <c r="BO504" s="653"/>
      <c r="BP504" s="653"/>
      <c r="BQ504" s="653"/>
      <c r="BR504" s="653"/>
      <c r="BS504" s="653"/>
      <c r="BT504" s="653"/>
      <c r="BU504" s="653"/>
      <c r="BV504" s="653"/>
      <c r="BW504" s="653"/>
      <c r="BX504" s="653"/>
      <c r="BY504" s="653"/>
      <c r="BZ504" s="653"/>
      <c r="CA504" s="653"/>
      <c r="CB504" s="653"/>
      <c r="CC504" s="653"/>
      <c r="CD504" s="653"/>
      <c r="CE504" s="653"/>
      <c r="CF504" s="653"/>
      <c r="CG504" s="653"/>
      <c r="CH504" s="653"/>
      <c r="CI504" s="653"/>
      <c r="CJ504" s="653"/>
      <c r="CK504" s="653"/>
      <c r="CL504" s="653"/>
      <c r="CM504" s="653"/>
      <c r="CN504" s="653"/>
      <c r="CO504" s="653"/>
      <c r="CP504" s="653"/>
      <c r="CQ504" s="653"/>
      <c r="CR504" s="653"/>
      <c r="CS504" s="653"/>
      <c r="CT504" s="653"/>
      <c r="CU504" s="653"/>
      <c r="CV504" s="653"/>
      <c r="CW504" s="653"/>
      <c r="CX504" s="653"/>
      <c r="CY504" s="653"/>
      <c r="CZ504" s="653"/>
      <c r="DA504" s="653"/>
      <c r="DB504" s="653"/>
      <c r="DC504" s="653"/>
      <c r="DD504" s="653"/>
      <c r="DE504" s="653"/>
      <c r="DF504" s="653"/>
      <c r="DG504" s="653"/>
      <c r="DH504" s="653"/>
      <c r="DI504" s="653"/>
      <c r="DJ504" s="653"/>
      <c r="DK504" s="653"/>
      <c r="DL504" s="653"/>
      <c r="DM504" s="653"/>
      <c r="DN504" s="653"/>
      <c r="DO504" s="653"/>
      <c r="DP504" s="653"/>
      <c r="DQ504" s="653"/>
      <c r="DR504" s="653"/>
      <c r="DS504" s="653"/>
      <c r="DT504" s="653"/>
      <c r="DU504" s="653"/>
      <c r="DV504" s="653"/>
      <c r="DW504" s="653"/>
      <c r="DX504" s="653"/>
      <c r="DY504" s="653"/>
      <c r="DZ504" s="653"/>
      <c r="EA504" s="653"/>
      <c r="EB504" s="653"/>
      <c r="EC504" s="653"/>
      <c r="ED504" s="653"/>
      <c r="EE504" s="648"/>
      <c r="EF504" s="651"/>
      <c r="EG504" s="651"/>
      <c r="EH504" s="651"/>
      <c r="EI504" s="216"/>
      <c r="EJ504" s="662"/>
      <c r="EK504" s="662"/>
      <c r="EL504" s="662"/>
      <c r="EM504" s="662"/>
      <c r="EN504" s="662"/>
      <c r="EO504" s="662"/>
      <c r="EP504" s="662"/>
      <c r="EQ504" s="662"/>
      <c r="ER504" s="662"/>
      <c r="ES504" s="662"/>
      <c r="ET504" s="662"/>
      <c r="EU504" s="662"/>
      <c r="EV504" s="662"/>
      <c r="EW504" s="662"/>
      <c r="EX504" s="662"/>
      <c r="EY504" s="662"/>
      <c r="EZ504" s="662"/>
      <c r="FA504" s="662"/>
      <c r="FB504" s="662"/>
      <c r="FC504" s="662"/>
      <c r="FD504" s="662"/>
      <c r="FE504" s="662"/>
      <c r="FF504" s="662"/>
      <c r="FG504" s="662"/>
      <c r="FH504" s="662"/>
      <c r="FI504" s="662"/>
      <c r="FJ504" s="662"/>
      <c r="FK504" s="662"/>
      <c r="FL504" s="662"/>
      <c r="FM504" s="662"/>
      <c r="FN504" s="662"/>
      <c r="FO504" s="662"/>
      <c r="FP504" s="662"/>
      <c r="FQ504" s="662"/>
      <c r="FR504" s="662"/>
      <c r="FS504" s="662"/>
      <c r="FT504" s="662"/>
      <c r="FU504" s="662"/>
      <c r="FV504" s="662"/>
      <c r="FW504" s="662"/>
      <c r="FX504" s="662"/>
      <c r="FY504" s="662"/>
      <c r="FZ504" s="662"/>
      <c r="GA504" s="662"/>
      <c r="GB504" s="662"/>
      <c r="GC504" s="662"/>
      <c r="GD504" s="662"/>
      <c r="GE504" s="662"/>
      <c r="GF504" s="662"/>
      <c r="GG504" s="662"/>
      <c r="GH504" s="662"/>
      <c r="GI504" s="662"/>
      <c r="GJ504" s="662"/>
      <c r="GK504" s="662"/>
      <c r="GL504" s="662"/>
      <c r="GM504" s="662"/>
      <c r="GN504" s="662"/>
      <c r="GO504" s="662"/>
      <c r="GP504" s="662"/>
      <c r="GQ504" s="662"/>
      <c r="GR504" s="662"/>
      <c r="GS504" s="662"/>
      <c r="GT504" s="662"/>
      <c r="GU504" s="662"/>
      <c r="GV504" s="662"/>
      <c r="GW504" s="662"/>
      <c r="GX504" s="662"/>
      <c r="GY504" s="662"/>
      <c r="GZ504" s="662"/>
      <c r="HA504" s="662"/>
      <c r="HB504" s="662"/>
      <c r="HC504" s="662"/>
      <c r="HD504" s="662"/>
      <c r="HE504" s="662"/>
      <c r="HF504" s="662"/>
      <c r="HG504" s="662"/>
      <c r="HH504" s="662"/>
      <c r="HI504" s="662"/>
      <c r="HJ504" s="662"/>
      <c r="HK504" s="662"/>
      <c r="HL504" s="662"/>
      <c r="HM504" s="662"/>
      <c r="HN504" s="662"/>
      <c r="HO504" s="662"/>
      <c r="HP504" s="662"/>
      <c r="HQ504" s="662"/>
      <c r="HR504" s="662"/>
      <c r="HS504" s="662"/>
      <c r="HT504" s="662"/>
      <c r="HU504" s="662"/>
      <c r="HV504" s="662"/>
      <c r="HW504" s="662"/>
      <c r="HX504" s="662"/>
      <c r="HY504" s="662"/>
      <c r="HZ504" s="662"/>
      <c r="IA504" s="662"/>
      <c r="IB504" s="662"/>
      <c r="IC504" s="662"/>
      <c r="ID504" s="662"/>
      <c r="IE504" s="662"/>
      <c r="IF504" s="662"/>
      <c r="IG504" s="662"/>
      <c r="IH504" s="662"/>
      <c r="II504" s="662"/>
      <c r="IJ504" s="662"/>
      <c r="IK504" s="662"/>
      <c r="IL504" s="662"/>
      <c r="IM504" s="662"/>
      <c r="IN504" s="662"/>
      <c r="IO504" s="662"/>
      <c r="IP504" s="662"/>
      <c r="IQ504" s="653"/>
    </row>
    <row r="505" spans="18:251" ht="16.5" hidden="1" customHeight="1">
      <c r="R505" s="648"/>
      <c r="S505" s="648"/>
      <c r="T505" s="648"/>
      <c r="U505" s="653"/>
      <c r="V505" s="649"/>
      <c r="W505" s="653"/>
      <c r="X505" s="653"/>
      <c r="Y505" s="653"/>
      <c r="Z505" s="653"/>
      <c r="AA505" s="653"/>
      <c r="AB505" s="653"/>
      <c r="AC505" s="653"/>
      <c r="AD505" s="653"/>
      <c r="AE505" s="653"/>
      <c r="AF505" s="653"/>
      <c r="AG505" s="653"/>
      <c r="AH505" s="653"/>
      <c r="AI505" s="653"/>
      <c r="AJ505" s="653"/>
      <c r="AK505" s="653"/>
      <c r="AL505" s="653"/>
      <c r="AM505" s="653"/>
      <c r="AN505" s="653"/>
      <c r="AO505" s="653"/>
      <c r="AP505" s="653"/>
      <c r="AQ505" s="653"/>
      <c r="AR505" s="653"/>
      <c r="AS505" s="653"/>
      <c r="AT505" s="653"/>
      <c r="AU505" s="653"/>
      <c r="AV505" s="653"/>
      <c r="AW505" s="653"/>
      <c r="AX505" s="653"/>
      <c r="AY505" s="653"/>
      <c r="AZ505" s="653"/>
      <c r="BA505" s="653"/>
      <c r="BB505" s="653"/>
      <c r="BC505" s="653"/>
      <c r="BD505" s="653"/>
      <c r="BE505" s="653"/>
      <c r="BF505" s="653"/>
      <c r="BG505" s="653"/>
      <c r="BH505" s="653"/>
      <c r="BI505" s="653"/>
      <c r="BJ505" s="653"/>
      <c r="BK505" s="653"/>
      <c r="BL505" s="653"/>
      <c r="BM505" s="653"/>
      <c r="BN505" s="653"/>
      <c r="BO505" s="653"/>
      <c r="BP505" s="653"/>
      <c r="BQ505" s="653"/>
      <c r="BR505" s="653"/>
      <c r="BS505" s="653"/>
      <c r="BT505" s="653"/>
      <c r="BU505" s="653"/>
      <c r="BV505" s="653"/>
      <c r="BW505" s="653"/>
      <c r="BX505" s="653"/>
      <c r="BY505" s="653"/>
      <c r="BZ505" s="653"/>
      <c r="CA505" s="653"/>
      <c r="CB505" s="653"/>
      <c r="CC505" s="653"/>
      <c r="CD505" s="653"/>
      <c r="CE505" s="653"/>
      <c r="CF505" s="653"/>
      <c r="CG505" s="653"/>
      <c r="CH505" s="653"/>
      <c r="CI505" s="653"/>
      <c r="CJ505" s="653"/>
      <c r="CK505" s="653"/>
      <c r="CL505" s="653"/>
      <c r="CM505" s="653"/>
      <c r="CN505" s="653"/>
      <c r="CO505" s="653"/>
      <c r="CP505" s="653"/>
      <c r="CQ505" s="653"/>
      <c r="CR505" s="653"/>
      <c r="CS505" s="653"/>
      <c r="CT505" s="653"/>
      <c r="CU505" s="653"/>
      <c r="CV505" s="653"/>
      <c r="CW505" s="653"/>
      <c r="CX505" s="653"/>
      <c r="CY505" s="653"/>
      <c r="CZ505" s="653"/>
      <c r="DA505" s="653"/>
      <c r="DB505" s="653"/>
      <c r="DC505" s="653"/>
      <c r="DD505" s="653"/>
      <c r="DE505" s="653"/>
      <c r="DF505" s="653"/>
      <c r="DG505" s="653"/>
      <c r="DH505" s="653"/>
      <c r="DI505" s="653"/>
      <c r="DJ505" s="653"/>
      <c r="DK505" s="653"/>
      <c r="DL505" s="653"/>
      <c r="DM505" s="653"/>
      <c r="DN505" s="653"/>
      <c r="DO505" s="653"/>
      <c r="DP505" s="653"/>
      <c r="DQ505" s="653"/>
      <c r="DR505" s="653"/>
      <c r="DS505" s="653"/>
      <c r="DT505" s="653"/>
      <c r="DU505" s="653"/>
      <c r="DV505" s="653"/>
      <c r="DW505" s="653"/>
      <c r="DX505" s="653"/>
      <c r="DY505" s="653"/>
      <c r="DZ505" s="653"/>
      <c r="EA505" s="653"/>
      <c r="EB505" s="653"/>
      <c r="EC505" s="653"/>
      <c r="ED505" s="653"/>
      <c r="EE505" s="648"/>
      <c r="EF505" s="651"/>
      <c r="EG505" s="651"/>
      <c r="EH505" s="651"/>
      <c r="EI505" s="216"/>
      <c r="EJ505" s="662"/>
      <c r="EK505" s="662"/>
      <c r="EL505" s="662"/>
      <c r="EM505" s="662"/>
      <c r="EN505" s="662"/>
      <c r="EO505" s="662"/>
      <c r="EP505" s="662"/>
      <c r="EQ505" s="662"/>
      <c r="ER505" s="662"/>
      <c r="ES505" s="662"/>
      <c r="ET505" s="662"/>
      <c r="EU505" s="662"/>
      <c r="EV505" s="662"/>
      <c r="EW505" s="662"/>
      <c r="EX505" s="662"/>
      <c r="EY505" s="662"/>
      <c r="EZ505" s="662"/>
      <c r="FA505" s="662"/>
      <c r="FB505" s="662"/>
      <c r="FC505" s="662"/>
      <c r="FD505" s="662"/>
      <c r="FE505" s="662"/>
      <c r="FF505" s="662"/>
      <c r="FG505" s="662"/>
      <c r="FH505" s="662"/>
      <c r="FI505" s="662"/>
      <c r="FJ505" s="662"/>
      <c r="FK505" s="662"/>
      <c r="FL505" s="662"/>
      <c r="FM505" s="662"/>
      <c r="FN505" s="662"/>
      <c r="FO505" s="662"/>
      <c r="FP505" s="662"/>
      <c r="FQ505" s="662"/>
      <c r="FR505" s="662"/>
      <c r="FS505" s="662"/>
      <c r="FT505" s="662"/>
      <c r="FU505" s="662"/>
      <c r="FV505" s="662"/>
      <c r="FW505" s="662"/>
      <c r="FX505" s="662"/>
      <c r="FY505" s="662"/>
      <c r="FZ505" s="662"/>
      <c r="GA505" s="662"/>
      <c r="GB505" s="662"/>
      <c r="GC505" s="662"/>
      <c r="GD505" s="662"/>
      <c r="GE505" s="662"/>
      <c r="GF505" s="662"/>
      <c r="GG505" s="662"/>
      <c r="GH505" s="662"/>
      <c r="GI505" s="662"/>
      <c r="GJ505" s="662"/>
      <c r="GK505" s="662"/>
      <c r="GL505" s="662"/>
      <c r="GM505" s="662"/>
      <c r="GN505" s="662"/>
      <c r="GO505" s="662"/>
      <c r="GP505" s="662"/>
      <c r="GQ505" s="662"/>
      <c r="GR505" s="662"/>
      <c r="GS505" s="662"/>
      <c r="GT505" s="662"/>
      <c r="GU505" s="662"/>
      <c r="GV505" s="662"/>
      <c r="GW505" s="662"/>
      <c r="GX505" s="662"/>
      <c r="GY505" s="662"/>
      <c r="GZ505" s="662"/>
      <c r="HA505" s="662"/>
      <c r="HB505" s="662"/>
      <c r="HC505" s="662"/>
      <c r="HD505" s="662"/>
      <c r="HE505" s="662"/>
      <c r="HF505" s="662"/>
      <c r="HG505" s="662"/>
      <c r="HH505" s="662"/>
      <c r="HI505" s="662"/>
      <c r="HJ505" s="662"/>
      <c r="HK505" s="662"/>
      <c r="HL505" s="662"/>
      <c r="HM505" s="662"/>
      <c r="HN505" s="662"/>
      <c r="HO505" s="662"/>
      <c r="HP505" s="662"/>
      <c r="HQ505" s="662"/>
      <c r="HR505" s="662"/>
      <c r="HS505" s="662"/>
      <c r="HT505" s="662"/>
      <c r="HU505" s="662"/>
      <c r="HV505" s="662"/>
      <c r="HW505" s="662"/>
      <c r="HX505" s="662"/>
      <c r="HY505" s="662"/>
      <c r="HZ505" s="662"/>
      <c r="IA505" s="662"/>
      <c r="IB505" s="662"/>
      <c r="IC505" s="662"/>
      <c r="ID505" s="662"/>
      <c r="IE505" s="662"/>
      <c r="IF505" s="662"/>
      <c r="IG505" s="662"/>
      <c r="IH505" s="662"/>
      <c r="II505" s="662"/>
      <c r="IJ505" s="662"/>
      <c r="IK505" s="662"/>
      <c r="IL505" s="662"/>
      <c r="IM505" s="662"/>
      <c r="IN505" s="662"/>
      <c r="IO505" s="662"/>
      <c r="IP505" s="662"/>
      <c r="IQ505" s="653"/>
    </row>
    <row r="506" spans="18:251" ht="16.5" hidden="1" customHeight="1">
      <c r="R506" s="648"/>
      <c r="S506" s="648"/>
      <c r="T506" s="648"/>
      <c r="U506" s="653"/>
      <c r="V506" s="649"/>
      <c r="W506" s="653"/>
      <c r="X506" s="653"/>
      <c r="Y506" s="653"/>
      <c r="Z506" s="653"/>
      <c r="AA506" s="653"/>
      <c r="AB506" s="653"/>
      <c r="AC506" s="653"/>
      <c r="AD506" s="653"/>
      <c r="AE506" s="653"/>
      <c r="AF506" s="653"/>
      <c r="AG506" s="653"/>
      <c r="AH506" s="653"/>
      <c r="AI506" s="653"/>
      <c r="AJ506" s="653"/>
      <c r="AK506" s="653"/>
      <c r="AL506" s="653"/>
      <c r="AM506" s="653"/>
      <c r="AN506" s="653"/>
      <c r="AO506" s="653"/>
      <c r="AP506" s="653"/>
      <c r="AQ506" s="653"/>
      <c r="AR506" s="653"/>
      <c r="AS506" s="653"/>
      <c r="AT506" s="653"/>
      <c r="AU506" s="653"/>
      <c r="AV506" s="653"/>
      <c r="AW506" s="653"/>
      <c r="AX506" s="653"/>
      <c r="AY506" s="653"/>
      <c r="AZ506" s="653"/>
      <c r="BA506" s="653"/>
      <c r="BB506" s="653"/>
      <c r="BC506" s="653"/>
      <c r="BD506" s="653"/>
      <c r="BE506" s="653"/>
      <c r="BF506" s="653"/>
      <c r="BG506" s="653"/>
      <c r="BH506" s="653"/>
      <c r="BI506" s="653"/>
      <c r="BJ506" s="653"/>
      <c r="BK506" s="653"/>
      <c r="BL506" s="653"/>
      <c r="BM506" s="653"/>
      <c r="BN506" s="653"/>
      <c r="BO506" s="653"/>
      <c r="BP506" s="653"/>
      <c r="BQ506" s="653"/>
      <c r="BR506" s="653"/>
      <c r="BS506" s="653"/>
      <c r="BT506" s="653"/>
      <c r="BU506" s="653"/>
      <c r="BV506" s="653"/>
      <c r="BW506" s="653"/>
      <c r="BX506" s="653"/>
      <c r="BY506" s="653"/>
      <c r="BZ506" s="653"/>
      <c r="CA506" s="653"/>
      <c r="CB506" s="653"/>
      <c r="CC506" s="653"/>
      <c r="CD506" s="653"/>
      <c r="CE506" s="653"/>
      <c r="CF506" s="653"/>
      <c r="CG506" s="653"/>
      <c r="CH506" s="653"/>
      <c r="CI506" s="653"/>
      <c r="CJ506" s="653"/>
      <c r="CK506" s="653"/>
      <c r="CL506" s="653"/>
      <c r="CM506" s="653"/>
      <c r="CN506" s="653"/>
      <c r="CO506" s="653"/>
      <c r="CP506" s="653"/>
      <c r="CQ506" s="653"/>
      <c r="CR506" s="653"/>
      <c r="CS506" s="653"/>
      <c r="CT506" s="653"/>
      <c r="CU506" s="653"/>
      <c r="CV506" s="653"/>
      <c r="CW506" s="653"/>
      <c r="CX506" s="653"/>
      <c r="CY506" s="653"/>
      <c r="CZ506" s="653"/>
      <c r="DA506" s="653"/>
      <c r="DB506" s="653"/>
      <c r="DC506" s="653"/>
      <c r="DD506" s="653"/>
      <c r="DE506" s="653"/>
      <c r="DF506" s="653"/>
      <c r="DG506" s="653"/>
      <c r="DH506" s="653"/>
      <c r="DI506" s="653"/>
      <c r="DJ506" s="653"/>
      <c r="DK506" s="653"/>
      <c r="DL506" s="653"/>
      <c r="DM506" s="653"/>
      <c r="DN506" s="653"/>
      <c r="DO506" s="653"/>
      <c r="DP506" s="653"/>
      <c r="DQ506" s="653"/>
      <c r="DR506" s="653"/>
      <c r="DS506" s="653"/>
      <c r="DT506" s="653"/>
      <c r="DU506" s="653"/>
      <c r="DV506" s="653"/>
      <c r="DW506" s="653"/>
      <c r="DX506" s="653"/>
      <c r="DY506" s="653"/>
      <c r="DZ506" s="653"/>
      <c r="EA506" s="653"/>
      <c r="EB506" s="653"/>
      <c r="EC506" s="653"/>
      <c r="ED506" s="653"/>
      <c r="EE506" s="648"/>
      <c r="EF506" s="651"/>
      <c r="EG506" s="651"/>
      <c r="EH506" s="651"/>
      <c r="EI506" s="216"/>
      <c r="EJ506" s="662"/>
      <c r="EK506" s="662"/>
      <c r="EL506" s="662"/>
      <c r="EM506" s="662"/>
      <c r="EN506" s="662"/>
      <c r="EO506" s="662"/>
      <c r="EP506" s="662"/>
      <c r="EQ506" s="662"/>
      <c r="ER506" s="662"/>
      <c r="ES506" s="662"/>
      <c r="ET506" s="662"/>
      <c r="EU506" s="662"/>
      <c r="EV506" s="662"/>
      <c r="EW506" s="662"/>
      <c r="EX506" s="662"/>
      <c r="EY506" s="662"/>
      <c r="EZ506" s="662"/>
      <c r="FA506" s="662"/>
      <c r="FB506" s="662"/>
      <c r="FC506" s="662"/>
      <c r="FD506" s="662"/>
      <c r="FE506" s="662"/>
      <c r="FF506" s="662"/>
      <c r="FG506" s="662"/>
      <c r="FH506" s="662"/>
      <c r="FI506" s="662"/>
      <c r="FJ506" s="662"/>
      <c r="FK506" s="662"/>
      <c r="FL506" s="662"/>
      <c r="FM506" s="662"/>
      <c r="FN506" s="662"/>
      <c r="FO506" s="662"/>
      <c r="FP506" s="662"/>
      <c r="FQ506" s="662"/>
      <c r="FR506" s="662"/>
      <c r="FS506" s="662"/>
      <c r="FT506" s="662"/>
      <c r="FU506" s="662"/>
      <c r="FV506" s="662"/>
      <c r="FW506" s="662"/>
      <c r="FX506" s="662"/>
      <c r="FY506" s="662"/>
      <c r="FZ506" s="662"/>
      <c r="GA506" s="662"/>
      <c r="GB506" s="662"/>
      <c r="GC506" s="662"/>
      <c r="GD506" s="662"/>
      <c r="GE506" s="662"/>
      <c r="GF506" s="662"/>
      <c r="GG506" s="662"/>
      <c r="GH506" s="662"/>
      <c r="GI506" s="662"/>
      <c r="GJ506" s="662"/>
      <c r="GK506" s="662"/>
      <c r="GL506" s="662"/>
      <c r="GM506" s="662"/>
      <c r="GN506" s="662"/>
      <c r="GO506" s="662"/>
      <c r="GP506" s="662"/>
      <c r="GQ506" s="662"/>
      <c r="GR506" s="662"/>
      <c r="GS506" s="662"/>
      <c r="GT506" s="662"/>
      <c r="GU506" s="662"/>
      <c r="GV506" s="662"/>
      <c r="GW506" s="662"/>
      <c r="GX506" s="662"/>
      <c r="GY506" s="662"/>
      <c r="GZ506" s="662"/>
      <c r="HA506" s="662"/>
      <c r="HB506" s="662"/>
      <c r="HC506" s="662"/>
      <c r="HD506" s="662"/>
      <c r="HE506" s="662"/>
      <c r="HF506" s="662"/>
      <c r="HG506" s="662"/>
      <c r="HH506" s="662"/>
      <c r="HI506" s="662"/>
      <c r="HJ506" s="662"/>
      <c r="HK506" s="662"/>
      <c r="HL506" s="662"/>
      <c r="HM506" s="662"/>
      <c r="HN506" s="662"/>
      <c r="HO506" s="662"/>
      <c r="HP506" s="662"/>
      <c r="HQ506" s="662"/>
      <c r="HR506" s="662"/>
      <c r="HS506" s="662"/>
      <c r="HT506" s="662"/>
      <c r="HU506" s="662"/>
      <c r="HV506" s="662"/>
      <c r="HW506" s="662"/>
      <c r="HX506" s="662"/>
      <c r="HY506" s="662"/>
      <c r="HZ506" s="662"/>
      <c r="IA506" s="662"/>
      <c r="IB506" s="662"/>
      <c r="IC506" s="662"/>
      <c r="ID506" s="662"/>
      <c r="IE506" s="662"/>
      <c r="IF506" s="662"/>
      <c r="IG506" s="662"/>
      <c r="IH506" s="662"/>
      <c r="II506" s="662"/>
      <c r="IJ506" s="662"/>
      <c r="IK506" s="662"/>
      <c r="IL506" s="662"/>
      <c r="IM506" s="662"/>
      <c r="IN506" s="662"/>
      <c r="IO506" s="662"/>
      <c r="IP506" s="662"/>
      <c r="IQ506" s="653"/>
    </row>
    <row r="507" spans="18:251" ht="16.5" hidden="1" customHeight="1">
      <c r="R507" s="648"/>
      <c r="S507" s="648"/>
      <c r="T507" s="648"/>
      <c r="U507" s="653"/>
      <c r="V507" s="649"/>
      <c r="W507" s="653"/>
      <c r="X507" s="653"/>
      <c r="Y507" s="653"/>
      <c r="Z507" s="653"/>
      <c r="AA507" s="653"/>
      <c r="AB507" s="653"/>
      <c r="AC507" s="653"/>
      <c r="AD507" s="653"/>
      <c r="AE507" s="653"/>
      <c r="AF507" s="653"/>
      <c r="AG507" s="653"/>
      <c r="AH507" s="653"/>
      <c r="AI507" s="653"/>
      <c r="AJ507" s="653"/>
      <c r="AK507" s="653"/>
      <c r="AL507" s="653"/>
      <c r="AM507" s="653"/>
      <c r="AN507" s="653"/>
      <c r="AO507" s="653"/>
      <c r="AP507" s="653"/>
      <c r="AQ507" s="653"/>
      <c r="AR507" s="653"/>
      <c r="AS507" s="653"/>
      <c r="AT507" s="653"/>
      <c r="AU507" s="653"/>
      <c r="AV507" s="653"/>
      <c r="AW507" s="653"/>
      <c r="AX507" s="653"/>
      <c r="AY507" s="653"/>
      <c r="AZ507" s="653"/>
      <c r="BA507" s="653"/>
      <c r="BB507" s="653"/>
      <c r="BC507" s="653"/>
      <c r="BD507" s="653"/>
      <c r="BE507" s="653"/>
      <c r="BF507" s="653"/>
      <c r="BG507" s="653"/>
      <c r="BH507" s="653"/>
      <c r="BI507" s="653"/>
      <c r="BJ507" s="653"/>
      <c r="BK507" s="653"/>
      <c r="BL507" s="653"/>
      <c r="BM507" s="653"/>
      <c r="BN507" s="653"/>
      <c r="BO507" s="653"/>
      <c r="BP507" s="653"/>
      <c r="BQ507" s="653"/>
      <c r="BR507" s="653"/>
      <c r="BS507" s="653"/>
      <c r="BT507" s="653"/>
      <c r="BU507" s="653"/>
      <c r="BV507" s="653"/>
      <c r="BW507" s="653"/>
      <c r="BX507" s="653"/>
      <c r="BY507" s="653"/>
      <c r="BZ507" s="653"/>
      <c r="CA507" s="653"/>
      <c r="CB507" s="653"/>
      <c r="CC507" s="653"/>
      <c r="CD507" s="653"/>
      <c r="CE507" s="653"/>
      <c r="CF507" s="653"/>
      <c r="CG507" s="653"/>
      <c r="CH507" s="653"/>
      <c r="CI507" s="653"/>
      <c r="CJ507" s="653"/>
      <c r="CK507" s="653"/>
      <c r="CL507" s="653"/>
      <c r="CM507" s="653"/>
      <c r="CN507" s="653"/>
      <c r="CO507" s="653"/>
      <c r="CP507" s="653"/>
      <c r="CQ507" s="653"/>
      <c r="CR507" s="653"/>
      <c r="CS507" s="653"/>
      <c r="CT507" s="653"/>
      <c r="CU507" s="653"/>
      <c r="CV507" s="653"/>
      <c r="CW507" s="653"/>
      <c r="CX507" s="653"/>
      <c r="CY507" s="653"/>
      <c r="CZ507" s="653"/>
      <c r="DA507" s="653"/>
      <c r="DB507" s="653"/>
      <c r="DC507" s="653"/>
      <c r="DD507" s="653"/>
      <c r="DE507" s="653"/>
      <c r="DF507" s="653"/>
      <c r="DG507" s="653"/>
      <c r="DH507" s="653"/>
      <c r="DI507" s="653"/>
      <c r="DJ507" s="653"/>
      <c r="DK507" s="653"/>
      <c r="DL507" s="653"/>
      <c r="DM507" s="653"/>
      <c r="DN507" s="653"/>
      <c r="DO507" s="653"/>
      <c r="DP507" s="653"/>
      <c r="DQ507" s="653"/>
      <c r="DR507" s="653"/>
      <c r="DS507" s="653"/>
      <c r="DT507" s="653"/>
      <c r="DU507" s="653"/>
      <c r="DV507" s="653"/>
      <c r="DW507" s="653"/>
      <c r="DX507" s="653"/>
      <c r="DY507" s="653"/>
      <c r="DZ507" s="653"/>
      <c r="EA507" s="653"/>
      <c r="EB507" s="653"/>
      <c r="EC507" s="653"/>
      <c r="ED507" s="653"/>
      <c r="EE507" s="648"/>
      <c r="EF507" s="651"/>
      <c r="EG507" s="651"/>
      <c r="EH507" s="651"/>
      <c r="EI507" s="216"/>
      <c r="EJ507" s="662"/>
      <c r="EK507" s="662"/>
      <c r="EL507" s="662"/>
      <c r="EM507" s="662"/>
      <c r="EN507" s="662"/>
      <c r="EO507" s="662"/>
      <c r="EP507" s="662"/>
      <c r="EQ507" s="662"/>
      <c r="ER507" s="662"/>
      <c r="ES507" s="662"/>
      <c r="ET507" s="662"/>
      <c r="EU507" s="662"/>
      <c r="EV507" s="662"/>
      <c r="EW507" s="662"/>
      <c r="EX507" s="662"/>
      <c r="EY507" s="662"/>
      <c r="EZ507" s="662"/>
      <c r="FA507" s="662"/>
      <c r="FB507" s="662"/>
      <c r="FC507" s="662"/>
      <c r="FD507" s="662"/>
      <c r="FE507" s="662"/>
      <c r="FF507" s="662"/>
      <c r="FG507" s="662"/>
      <c r="FH507" s="662"/>
      <c r="FI507" s="662"/>
      <c r="FJ507" s="662"/>
      <c r="FK507" s="662"/>
      <c r="FL507" s="662"/>
      <c r="FM507" s="662"/>
      <c r="FN507" s="662"/>
      <c r="FO507" s="662"/>
      <c r="FP507" s="662"/>
      <c r="FQ507" s="662"/>
      <c r="FR507" s="662"/>
      <c r="FS507" s="662"/>
      <c r="FT507" s="662"/>
      <c r="FU507" s="662"/>
      <c r="FV507" s="662"/>
      <c r="FW507" s="662"/>
      <c r="FX507" s="662"/>
      <c r="FY507" s="662"/>
      <c r="FZ507" s="662"/>
      <c r="GA507" s="662"/>
      <c r="GB507" s="662"/>
      <c r="GC507" s="662"/>
      <c r="GD507" s="662"/>
      <c r="GE507" s="662"/>
      <c r="GF507" s="662"/>
      <c r="GG507" s="662"/>
      <c r="GH507" s="662"/>
      <c r="GI507" s="662"/>
      <c r="GJ507" s="662"/>
      <c r="GK507" s="662"/>
      <c r="GL507" s="662"/>
      <c r="GM507" s="662"/>
      <c r="GN507" s="662"/>
      <c r="GO507" s="662"/>
      <c r="GP507" s="662"/>
      <c r="GQ507" s="662"/>
      <c r="GR507" s="662"/>
      <c r="GS507" s="662"/>
      <c r="GT507" s="662"/>
      <c r="GU507" s="662"/>
      <c r="GV507" s="662"/>
      <c r="GW507" s="662"/>
      <c r="GX507" s="662"/>
      <c r="GY507" s="662"/>
      <c r="GZ507" s="662"/>
      <c r="HA507" s="662"/>
      <c r="HB507" s="662"/>
      <c r="HC507" s="662"/>
      <c r="HD507" s="662"/>
      <c r="HE507" s="662"/>
      <c r="HF507" s="662"/>
      <c r="HG507" s="662"/>
      <c r="HH507" s="662"/>
      <c r="HI507" s="662"/>
      <c r="HJ507" s="662"/>
      <c r="HK507" s="662"/>
      <c r="HL507" s="662"/>
      <c r="HM507" s="662"/>
      <c r="HN507" s="662"/>
      <c r="HO507" s="662"/>
      <c r="HP507" s="662"/>
      <c r="HQ507" s="662"/>
      <c r="HR507" s="662"/>
      <c r="HS507" s="662"/>
      <c r="HT507" s="662"/>
      <c r="HU507" s="662"/>
      <c r="HV507" s="662"/>
      <c r="HW507" s="662"/>
      <c r="HX507" s="662"/>
      <c r="HY507" s="662"/>
      <c r="HZ507" s="662"/>
      <c r="IA507" s="662"/>
      <c r="IB507" s="662"/>
      <c r="IC507" s="662"/>
      <c r="ID507" s="662"/>
      <c r="IE507" s="662"/>
      <c r="IF507" s="662"/>
      <c r="IG507" s="662"/>
      <c r="IH507" s="662"/>
      <c r="II507" s="662"/>
      <c r="IJ507" s="662"/>
      <c r="IK507" s="662"/>
      <c r="IL507" s="662"/>
      <c r="IM507" s="662"/>
      <c r="IN507" s="662"/>
      <c r="IO507" s="662"/>
      <c r="IP507" s="662"/>
      <c r="IQ507" s="653"/>
    </row>
    <row r="508" spans="18:251" ht="16.5" hidden="1" customHeight="1">
      <c r="R508" s="648"/>
      <c r="S508" s="648"/>
      <c r="T508" s="648"/>
      <c r="U508" s="653"/>
      <c r="V508" s="649"/>
      <c r="W508" s="653"/>
      <c r="X508" s="653"/>
      <c r="Y508" s="653"/>
      <c r="Z508" s="653"/>
      <c r="AA508" s="653"/>
      <c r="AB508" s="653"/>
      <c r="AC508" s="653"/>
      <c r="AD508" s="653"/>
      <c r="AE508" s="653"/>
      <c r="AF508" s="653"/>
      <c r="AG508" s="653"/>
      <c r="AH508" s="653"/>
      <c r="AI508" s="653"/>
      <c r="AJ508" s="653"/>
      <c r="AK508" s="653"/>
      <c r="AL508" s="653"/>
      <c r="AM508" s="653"/>
      <c r="AN508" s="653"/>
      <c r="AO508" s="653"/>
      <c r="AP508" s="653"/>
      <c r="AQ508" s="653"/>
      <c r="AR508" s="653"/>
      <c r="AS508" s="653"/>
      <c r="AT508" s="653"/>
      <c r="AU508" s="653"/>
      <c r="AV508" s="653"/>
      <c r="AW508" s="653"/>
      <c r="AX508" s="653"/>
      <c r="AY508" s="653"/>
      <c r="AZ508" s="653"/>
      <c r="BA508" s="653"/>
      <c r="BB508" s="653"/>
      <c r="BC508" s="653"/>
      <c r="BD508" s="653"/>
      <c r="BE508" s="653"/>
      <c r="BF508" s="653"/>
      <c r="BG508" s="653"/>
      <c r="BH508" s="653"/>
      <c r="BI508" s="653"/>
      <c r="BJ508" s="653"/>
      <c r="BK508" s="653"/>
      <c r="BL508" s="653"/>
      <c r="BM508" s="653"/>
      <c r="BN508" s="653"/>
      <c r="BO508" s="653"/>
      <c r="BP508" s="653"/>
      <c r="BQ508" s="653"/>
      <c r="BR508" s="653"/>
      <c r="BS508" s="653"/>
      <c r="BT508" s="653"/>
      <c r="BU508" s="653"/>
      <c r="BV508" s="653"/>
      <c r="BW508" s="653"/>
      <c r="BX508" s="653"/>
      <c r="BY508" s="653"/>
      <c r="BZ508" s="653"/>
      <c r="CA508" s="653"/>
      <c r="CB508" s="653"/>
      <c r="CC508" s="653"/>
      <c r="CD508" s="653"/>
      <c r="CE508" s="653"/>
      <c r="CF508" s="653"/>
      <c r="CG508" s="653"/>
      <c r="CH508" s="653"/>
      <c r="CI508" s="653"/>
      <c r="CJ508" s="653"/>
      <c r="CK508" s="653"/>
      <c r="CL508" s="653"/>
      <c r="CM508" s="653"/>
      <c r="CN508" s="653"/>
      <c r="CO508" s="653"/>
      <c r="CP508" s="653"/>
      <c r="CQ508" s="653"/>
      <c r="CR508" s="653"/>
      <c r="CS508" s="653"/>
      <c r="CT508" s="653"/>
      <c r="CU508" s="653"/>
      <c r="CV508" s="653"/>
      <c r="CW508" s="653"/>
      <c r="CX508" s="653"/>
      <c r="CY508" s="653"/>
      <c r="CZ508" s="653"/>
      <c r="DA508" s="653"/>
      <c r="DB508" s="653"/>
      <c r="DC508" s="653"/>
      <c r="DD508" s="653"/>
      <c r="DE508" s="653"/>
      <c r="DF508" s="653"/>
      <c r="DG508" s="653"/>
      <c r="DH508" s="653"/>
      <c r="DI508" s="653"/>
      <c r="DJ508" s="653"/>
      <c r="DK508" s="653"/>
      <c r="DL508" s="653"/>
      <c r="DM508" s="653"/>
      <c r="DN508" s="653"/>
      <c r="DO508" s="653"/>
      <c r="DP508" s="653"/>
      <c r="DQ508" s="653"/>
      <c r="DR508" s="653"/>
      <c r="DS508" s="653"/>
      <c r="DT508" s="653"/>
      <c r="DU508" s="653"/>
      <c r="DV508" s="653"/>
      <c r="DW508" s="653"/>
      <c r="DX508" s="653"/>
      <c r="DY508" s="653"/>
      <c r="DZ508" s="653"/>
      <c r="EA508" s="653"/>
      <c r="EB508" s="653"/>
      <c r="EC508" s="653"/>
      <c r="ED508" s="653"/>
      <c r="EE508" s="648"/>
      <c r="EF508" s="651"/>
      <c r="EG508" s="651"/>
      <c r="EH508" s="651"/>
      <c r="EI508" s="216"/>
      <c r="EJ508" s="662"/>
      <c r="EK508" s="662"/>
      <c r="EL508" s="662"/>
      <c r="EM508" s="662"/>
      <c r="EN508" s="662"/>
      <c r="EO508" s="662"/>
      <c r="EP508" s="662"/>
      <c r="EQ508" s="662"/>
      <c r="ER508" s="662"/>
      <c r="ES508" s="662"/>
      <c r="ET508" s="662"/>
      <c r="EU508" s="662"/>
      <c r="EV508" s="662"/>
      <c r="EW508" s="662"/>
      <c r="EX508" s="662"/>
      <c r="EY508" s="662"/>
      <c r="EZ508" s="662"/>
      <c r="FA508" s="662"/>
      <c r="FB508" s="662"/>
      <c r="FC508" s="662"/>
      <c r="FD508" s="662"/>
      <c r="FE508" s="662"/>
      <c r="FF508" s="662"/>
      <c r="FG508" s="662"/>
      <c r="FH508" s="662"/>
      <c r="FI508" s="662"/>
      <c r="FJ508" s="662"/>
      <c r="FK508" s="662"/>
      <c r="FL508" s="662"/>
      <c r="FM508" s="662"/>
      <c r="FN508" s="662"/>
      <c r="FO508" s="662"/>
      <c r="FP508" s="662"/>
      <c r="FQ508" s="662"/>
      <c r="FR508" s="662"/>
      <c r="FS508" s="662"/>
      <c r="FT508" s="662"/>
      <c r="FU508" s="662"/>
      <c r="FV508" s="662"/>
      <c r="FW508" s="662"/>
      <c r="FX508" s="662"/>
      <c r="FY508" s="662"/>
      <c r="FZ508" s="662"/>
      <c r="GA508" s="662"/>
      <c r="GB508" s="662"/>
      <c r="GC508" s="662"/>
      <c r="GD508" s="662"/>
      <c r="GE508" s="662"/>
      <c r="GF508" s="662"/>
      <c r="GG508" s="662"/>
      <c r="GH508" s="662"/>
      <c r="GI508" s="662"/>
      <c r="GJ508" s="662"/>
      <c r="GK508" s="662"/>
      <c r="GL508" s="662"/>
      <c r="GM508" s="662"/>
      <c r="GN508" s="662"/>
      <c r="GO508" s="662"/>
      <c r="GP508" s="662"/>
      <c r="GQ508" s="662"/>
      <c r="GR508" s="662"/>
      <c r="GS508" s="662"/>
      <c r="GT508" s="662"/>
      <c r="GU508" s="662"/>
      <c r="GV508" s="662"/>
      <c r="GW508" s="662"/>
      <c r="GX508" s="662"/>
      <c r="GY508" s="662"/>
      <c r="GZ508" s="662"/>
      <c r="HA508" s="662"/>
      <c r="HB508" s="662"/>
      <c r="HC508" s="662"/>
      <c r="HD508" s="662"/>
      <c r="HE508" s="662"/>
      <c r="HF508" s="662"/>
      <c r="HG508" s="662"/>
      <c r="HH508" s="662"/>
      <c r="HI508" s="662"/>
      <c r="HJ508" s="662"/>
      <c r="HK508" s="662"/>
      <c r="HL508" s="662"/>
      <c r="HM508" s="662"/>
      <c r="HN508" s="662"/>
      <c r="HO508" s="662"/>
      <c r="HP508" s="662"/>
      <c r="HQ508" s="662"/>
      <c r="HR508" s="662"/>
      <c r="HS508" s="662"/>
      <c r="HT508" s="662"/>
      <c r="HU508" s="662"/>
      <c r="HV508" s="662"/>
      <c r="HW508" s="662"/>
      <c r="HX508" s="662"/>
      <c r="HY508" s="662"/>
      <c r="HZ508" s="662"/>
      <c r="IA508" s="662"/>
      <c r="IB508" s="662"/>
      <c r="IC508" s="662"/>
      <c r="ID508" s="662"/>
      <c r="IE508" s="662"/>
      <c r="IF508" s="662"/>
      <c r="IG508" s="662"/>
      <c r="IH508" s="662"/>
      <c r="II508" s="662"/>
      <c r="IJ508" s="662"/>
      <c r="IK508" s="662"/>
      <c r="IL508" s="662"/>
      <c r="IM508" s="662"/>
      <c r="IN508" s="662"/>
      <c r="IO508" s="662"/>
      <c r="IP508" s="662"/>
      <c r="IQ508" s="653"/>
    </row>
    <row r="509" spans="18:251" ht="16.5" hidden="1" customHeight="1">
      <c r="R509" s="648"/>
      <c r="S509" s="648"/>
      <c r="T509" s="648"/>
      <c r="U509" s="653"/>
      <c r="V509" s="649"/>
      <c r="W509" s="653"/>
      <c r="X509" s="653"/>
      <c r="Y509" s="653"/>
      <c r="Z509" s="653"/>
      <c r="AA509" s="653"/>
      <c r="AB509" s="653"/>
      <c r="AC509" s="653"/>
      <c r="AD509" s="653"/>
      <c r="AE509" s="653"/>
      <c r="AF509" s="653"/>
      <c r="AG509" s="653"/>
      <c r="AH509" s="653"/>
      <c r="AI509" s="653"/>
      <c r="AJ509" s="653"/>
      <c r="AK509" s="653"/>
      <c r="AL509" s="653"/>
      <c r="AM509" s="653"/>
      <c r="AN509" s="653"/>
      <c r="AO509" s="653"/>
      <c r="AP509" s="653"/>
      <c r="AQ509" s="653"/>
      <c r="AR509" s="653"/>
      <c r="AS509" s="653"/>
      <c r="AT509" s="653"/>
      <c r="AU509" s="653"/>
      <c r="AV509" s="653"/>
      <c r="AW509" s="653"/>
      <c r="AX509" s="653"/>
      <c r="AY509" s="653"/>
      <c r="AZ509" s="653"/>
      <c r="BA509" s="653"/>
      <c r="BB509" s="653"/>
      <c r="BC509" s="653"/>
      <c r="BD509" s="653"/>
      <c r="BE509" s="653"/>
      <c r="BF509" s="653"/>
      <c r="BG509" s="653"/>
      <c r="BH509" s="653"/>
      <c r="BI509" s="653"/>
      <c r="BJ509" s="653"/>
      <c r="BK509" s="653"/>
      <c r="BL509" s="653"/>
      <c r="BM509" s="653"/>
      <c r="BN509" s="653"/>
      <c r="BO509" s="653"/>
      <c r="BP509" s="653"/>
      <c r="BQ509" s="653"/>
      <c r="BR509" s="653"/>
      <c r="BS509" s="653"/>
      <c r="BT509" s="653"/>
      <c r="BU509" s="653"/>
      <c r="BV509" s="653"/>
      <c r="BW509" s="653"/>
      <c r="BX509" s="653"/>
      <c r="BY509" s="653"/>
      <c r="BZ509" s="653"/>
      <c r="CA509" s="653"/>
      <c r="CB509" s="653"/>
      <c r="CC509" s="653"/>
      <c r="CD509" s="653"/>
      <c r="CE509" s="653"/>
      <c r="CF509" s="653"/>
      <c r="CG509" s="653"/>
      <c r="CH509" s="653"/>
      <c r="CI509" s="653"/>
      <c r="CJ509" s="653"/>
      <c r="CK509" s="653"/>
      <c r="CL509" s="653"/>
      <c r="CM509" s="653"/>
      <c r="CN509" s="653"/>
      <c r="CO509" s="653"/>
      <c r="CP509" s="653"/>
      <c r="CQ509" s="653"/>
      <c r="CR509" s="653"/>
      <c r="CS509" s="653"/>
      <c r="CT509" s="653"/>
      <c r="CU509" s="653"/>
      <c r="CV509" s="653"/>
      <c r="CW509" s="653"/>
      <c r="CX509" s="653"/>
      <c r="CY509" s="653"/>
      <c r="CZ509" s="653"/>
      <c r="DA509" s="653"/>
      <c r="DB509" s="653"/>
      <c r="DC509" s="653"/>
      <c r="DD509" s="653"/>
      <c r="DE509" s="653"/>
      <c r="DF509" s="653"/>
      <c r="DG509" s="653"/>
      <c r="DH509" s="653"/>
      <c r="DI509" s="653"/>
      <c r="DJ509" s="653"/>
      <c r="DK509" s="653"/>
      <c r="DL509" s="653"/>
      <c r="DM509" s="653"/>
      <c r="DN509" s="653"/>
      <c r="DO509" s="653"/>
      <c r="DP509" s="653"/>
      <c r="DQ509" s="653"/>
      <c r="DR509" s="653"/>
      <c r="DS509" s="653"/>
      <c r="DT509" s="653"/>
      <c r="DU509" s="653"/>
      <c r="DV509" s="653"/>
      <c r="DW509" s="653"/>
      <c r="DX509" s="653"/>
      <c r="DY509" s="653"/>
      <c r="DZ509" s="653"/>
      <c r="EA509" s="653"/>
      <c r="EB509" s="653"/>
      <c r="EC509" s="653"/>
      <c r="ED509" s="653"/>
      <c r="EE509" s="648"/>
      <c r="EF509" s="651"/>
      <c r="EG509" s="651"/>
      <c r="EH509" s="651"/>
      <c r="EI509" s="216"/>
      <c r="EJ509" s="662"/>
      <c r="EK509" s="662"/>
      <c r="EL509" s="662"/>
      <c r="EM509" s="662"/>
      <c r="EN509" s="662"/>
      <c r="EO509" s="662"/>
      <c r="EP509" s="662"/>
      <c r="EQ509" s="662"/>
      <c r="ER509" s="662"/>
      <c r="ES509" s="662"/>
      <c r="ET509" s="662"/>
      <c r="EU509" s="662"/>
      <c r="EV509" s="662"/>
      <c r="EW509" s="662"/>
      <c r="EX509" s="662"/>
      <c r="EY509" s="662"/>
      <c r="EZ509" s="662"/>
      <c r="FA509" s="662"/>
      <c r="FB509" s="662"/>
      <c r="FC509" s="662"/>
      <c r="FD509" s="662"/>
      <c r="FE509" s="662"/>
      <c r="FF509" s="662"/>
      <c r="FG509" s="662"/>
      <c r="FH509" s="662"/>
      <c r="FI509" s="662"/>
      <c r="FJ509" s="662"/>
      <c r="FK509" s="662"/>
      <c r="FL509" s="662"/>
      <c r="FM509" s="662"/>
      <c r="FN509" s="662"/>
      <c r="FO509" s="662"/>
      <c r="FP509" s="662"/>
      <c r="FQ509" s="662"/>
      <c r="FR509" s="662"/>
      <c r="FS509" s="662"/>
      <c r="FT509" s="662"/>
      <c r="FU509" s="662"/>
      <c r="FV509" s="662"/>
      <c r="FW509" s="662"/>
      <c r="FX509" s="662"/>
      <c r="FY509" s="662"/>
      <c r="FZ509" s="662"/>
      <c r="GA509" s="662"/>
      <c r="GB509" s="662"/>
      <c r="GC509" s="662"/>
      <c r="GD509" s="662"/>
      <c r="GE509" s="662"/>
      <c r="GF509" s="662"/>
      <c r="GG509" s="662"/>
      <c r="GH509" s="662"/>
      <c r="GI509" s="662"/>
      <c r="GJ509" s="662"/>
      <c r="GK509" s="662"/>
      <c r="GL509" s="662"/>
      <c r="GM509" s="662"/>
      <c r="GN509" s="662"/>
      <c r="GO509" s="662"/>
      <c r="GP509" s="662"/>
      <c r="GQ509" s="662"/>
      <c r="GR509" s="662"/>
      <c r="GS509" s="662"/>
      <c r="GT509" s="662"/>
      <c r="GU509" s="662"/>
      <c r="GV509" s="662"/>
      <c r="GW509" s="662"/>
      <c r="GX509" s="662"/>
      <c r="GY509" s="662"/>
      <c r="GZ509" s="662"/>
      <c r="HA509" s="662"/>
      <c r="HB509" s="662"/>
      <c r="HC509" s="662"/>
      <c r="HD509" s="662"/>
      <c r="HE509" s="662"/>
      <c r="HF509" s="662"/>
      <c r="HG509" s="662"/>
      <c r="HH509" s="662"/>
      <c r="HI509" s="662"/>
      <c r="HJ509" s="662"/>
      <c r="HK509" s="662"/>
      <c r="HL509" s="662"/>
      <c r="HM509" s="662"/>
      <c r="HN509" s="662"/>
      <c r="HO509" s="662"/>
      <c r="HP509" s="662"/>
      <c r="HQ509" s="662"/>
      <c r="HR509" s="662"/>
      <c r="HS509" s="662"/>
      <c r="HT509" s="662"/>
      <c r="HU509" s="662"/>
      <c r="HV509" s="662"/>
      <c r="HW509" s="662"/>
      <c r="HX509" s="662"/>
      <c r="HY509" s="662"/>
      <c r="HZ509" s="662"/>
      <c r="IA509" s="662"/>
      <c r="IB509" s="662"/>
      <c r="IC509" s="662"/>
      <c r="ID509" s="662"/>
      <c r="IE509" s="662"/>
      <c r="IF509" s="662"/>
      <c r="IG509" s="662"/>
      <c r="IH509" s="662"/>
      <c r="II509" s="662"/>
      <c r="IJ509" s="662"/>
      <c r="IK509" s="662"/>
      <c r="IL509" s="662"/>
      <c r="IM509" s="662"/>
      <c r="IN509" s="662"/>
      <c r="IO509" s="662"/>
      <c r="IP509" s="662"/>
      <c r="IQ509" s="653"/>
    </row>
    <row r="510" spans="18:251" ht="16.5" hidden="1" customHeight="1">
      <c r="R510" s="648"/>
      <c r="S510" s="648"/>
      <c r="T510" s="648"/>
      <c r="U510" s="653"/>
      <c r="V510" s="649"/>
      <c r="W510" s="653"/>
      <c r="X510" s="653"/>
      <c r="Y510" s="653"/>
      <c r="Z510" s="653"/>
      <c r="AA510" s="653"/>
      <c r="AB510" s="653"/>
      <c r="AC510" s="653"/>
      <c r="AD510" s="653"/>
      <c r="AE510" s="653"/>
      <c r="AF510" s="653"/>
      <c r="AG510" s="653"/>
      <c r="AH510" s="653"/>
      <c r="AI510" s="653"/>
      <c r="AJ510" s="653"/>
      <c r="AK510" s="653"/>
      <c r="AL510" s="653"/>
      <c r="AM510" s="653"/>
      <c r="AN510" s="653"/>
      <c r="AO510" s="653"/>
      <c r="AP510" s="653"/>
      <c r="AQ510" s="653"/>
      <c r="AR510" s="653"/>
      <c r="AS510" s="653"/>
      <c r="AT510" s="653"/>
      <c r="AU510" s="653"/>
      <c r="AV510" s="653"/>
      <c r="AW510" s="653"/>
      <c r="AX510" s="653"/>
      <c r="AY510" s="653"/>
      <c r="AZ510" s="653"/>
      <c r="BA510" s="653"/>
      <c r="BB510" s="653"/>
      <c r="BC510" s="653"/>
      <c r="BD510" s="653"/>
      <c r="BE510" s="653"/>
      <c r="BF510" s="653"/>
      <c r="BG510" s="653"/>
      <c r="BH510" s="653"/>
      <c r="BI510" s="653"/>
      <c r="BJ510" s="653"/>
      <c r="BK510" s="653"/>
      <c r="BL510" s="653"/>
      <c r="BM510" s="653"/>
      <c r="BN510" s="653"/>
      <c r="BO510" s="653"/>
      <c r="BP510" s="653"/>
      <c r="BQ510" s="653"/>
      <c r="BR510" s="653"/>
      <c r="BS510" s="653"/>
      <c r="BT510" s="653"/>
      <c r="BU510" s="653"/>
      <c r="BV510" s="653"/>
      <c r="BW510" s="653"/>
      <c r="BX510" s="653"/>
      <c r="BY510" s="653"/>
      <c r="BZ510" s="653"/>
      <c r="CA510" s="653"/>
      <c r="CB510" s="653"/>
      <c r="CC510" s="653"/>
      <c r="CD510" s="653"/>
      <c r="CE510" s="653"/>
      <c r="CF510" s="653"/>
      <c r="CG510" s="653"/>
      <c r="CH510" s="653"/>
      <c r="CI510" s="653"/>
      <c r="CJ510" s="653"/>
      <c r="CK510" s="653"/>
      <c r="CL510" s="653"/>
      <c r="CM510" s="653"/>
      <c r="CN510" s="653"/>
      <c r="CO510" s="653"/>
      <c r="CP510" s="653"/>
      <c r="CQ510" s="653"/>
      <c r="CR510" s="653"/>
      <c r="CS510" s="653"/>
      <c r="CT510" s="653"/>
      <c r="CU510" s="653"/>
      <c r="CV510" s="653"/>
      <c r="CW510" s="653"/>
      <c r="CX510" s="653"/>
      <c r="CY510" s="653"/>
      <c r="CZ510" s="653"/>
      <c r="DA510" s="653"/>
      <c r="DB510" s="653"/>
      <c r="DC510" s="653"/>
      <c r="DD510" s="653"/>
      <c r="DE510" s="653"/>
      <c r="DF510" s="653"/>
      <c r="DG510" s="653"/>
      <c r="DH510" s="653"/>
      <c r="DI510" s="653"/>
      <c r="DJ510" s="653"/>
      <c r="DK510" s="653"/>
      <c r="DL510" s="653"/>
      <c r="DM510" s="653"/>
      <c r="DN510" s="653"/>
      <c r="DO510" s="653"/>
      <c r="DP510" s="653"/>
      <c r="DQ510" s="653"/>
      <c r="DR510" s="653"/>
      <c r="DS510" s="653"/>
      <c r="DT510" s="653"/>
      <c r="DU510" s="653"/>
      <c r="DV510" s="653"/>
      <c r="DW510" s="653"/>
      <c r="DX510" s="653"/>
      <c r="DY510" s="653"/>
      <c r="DZ510" s="653"/>
      <c r="EA510" s="653"/>
      <c r="EB510" s="653"/>
      <c r="EC510" s="653"/>
      <c r="ED510" s="653"/>
      <c r="EE510" s="648"/>
      <c r="EF510" s="651"/>
      <c r="EG510" s="651"/>
      <c r="EH510" s="651"/>
      <c r="EI510" s="216"/>
      <c r="EJ510" s="662"/>
      <c r="EK510" s="662"/>
      <c r="EL510" s="662"/>
      <c r="EM510" s="662"/>
      <c r="EN510" s="662"/>
      <c r="EO510" s="662"/>
      <c r="EP510" s="662"/>
      <c r="EQ510" s="662"/>
      <c r="ER510" s="662"/>
      <c r="ES510" s="662"/>
      <c r="ET510" s="662"/>
      <c r="EU510" s="662"/>
      <c r="EV510" s="662"/>
      <c r="EW510" s="662"/>
      <c r="EX510" s="662"/>
      <c r="EY510" s="662"/>
      <c r="EZ510" s="662"/>
      <c r="FA510" s="662"/>
      <c r="FB510" s="662"/>
      <c r="FC510" s="662"/>
      <c r="FD510" s="662"/>
      <c r="FE510" s="662"/>
      <c r="FF510" s="662"/>
      <c r="FG510" s="662"/>
      <c r="FH510" s="662"/>
      <c r="FI510" s="662"/>
      <c r="FJ510" s="662"/>
      <c r="FK510" s="662"/>
      <c r="FL510" s="662"/>
      <c r="FM510" s="662"/>
      <c r="FN510" s="662"/>
      <c r="FO510" s="662"/>
      <c r="FP510" s="662"/>
      <c r="FQ510" s="662"/>
      <c r="FR510" s="662"/>
      <c r="FS510" s="662"/>
      <c r="FT510" s="662"/>
      <c r="FU510" s="662"/>
      <c r="FV510" s="662"/>
      <c r="FW510" s="662"/>
      <c r="FX510" s="662"/>
      <c r="FY510" s="662"/>
      <c r="FZ510" s="662"/>
      <c r="GA510" s="662"/>
      <c r="GB510" s="662"/>
      <c r="GC510" s="662"/>
      <c r="GD510" s="662"/>
      <c r="GE510" s="662"/>
      <c r="GF510" s="662"/>
      <c r="GG510" s="662"/>
      <c r="GH510" s="662"/>
      <c r="GI510" s="662"/>
      <c r="GJ510" s="662"/>
      <c r="GK510" s="662"/>
      <c r="GL510" s="662"/>
      <c r="GM510" s="662"/>
      <c r="GN510" s="662"/>
      <c r="GO510" s="662"/>
      <c r="GP510" s="662"/>
      <c r="GQ510" s="662"/>
      <c r="GR510" s="662"/>
      <c r="GS510" s="662"/>
      <c r="GT510" s="662"/>
      <c r="GU510" s="662"/>
      <c r="GV510" s="662"/>
      <c r="GW510" s="662"/>
      <c r="GX510" s="662"/>
      <c r="GY510" s="662"/>
      <c r="GZ510" s="662"/>
      <c r="HA510" s="662"/>
      <c r="HB510" s="662"/>
      <c r="HC510" s="662"/>
      <c r="HD510" s="662"/>
      <c r="HE510" s="662"/>
      <c r="HF510" s="662"/>
      <c r="HG510" s="662"/>
      <c r="HH510" s="662"/>
      <c r="HI510" s="662"/>
      <c r="HJ510" s="662"/>
      <c r="HK510" s="662"/>
      <c r="HL510" s="662"/>
      <c r="HM510" s="662"/>
      <c r="HN510" s="662"/>
      <c r="HO510" s="662"/>
      <c r="HP510" s="662"/>
      <c r="HQ510" s="662"/>
      <c r="HR510" s="662"/>
      <c r="HS510" s="662"/>
      <c r="HT510" s="662"/>
      <c r="HU510" s="662"/>
      <c r="HV510" s="662"/>
      <c r="HW510" s="662"/>
      <c r="HX510" s="662"/>
      <c r="HY510" s="662"/>
      <c r="HZ510" s="662"/>
      <c r="IA510" s="662"/>
      <c r="IB510" s="662"/>
      <c r="IC510" s="662"/>
      <c r="ID510" s="662"/>
      <c r="IE510" s="662"/>
      <c r="IF510" s="662"/>
      <c r="IG510" s="662"/>
      <c r="IH510" s="662"/>
      <c r="II510" s="662"/>
      <c r="IJ510" s="662"/>
      <c r="IK510" s="662"/>
      <c r="IL510" s="662"/>
      <c r="IM510" s="662"/>
      <c r="IN510" s="662"/>
      <c r="IO510" s="662"/>
      <c r="IP510" s="662"/>
      <c r="IQ510" s="653"/>
    </row>
    <row r="511" spans="18:251" ht="16.5" hidden="1" customHeight="1">
      <c r="R511" s="648"/>
      <c r="S511" s="648"/>
      <c r="T511" s="648"/>
      <c r="U511" s="653"/>
      <c r="V511" s="649"/>
      <c r="W511" s="653"/>
      <c r="X511" s="653"/>
      <c r="Y511" s="653"/>
      <c r="Z511" s="653"/>
      <c r="AA511" s="653"/>
      <c r="AB511" s="653"/>
      <c r="AC511" s="653"/>
      <c r="AD511" s="653"/>
      <c r="AE511" s="653"/>
      <c r="AF511" s="653"/>
      <c r="AG511" s="653"/>
      <c r="AH511" s="653"/>
      <c r="AI511" s="653"/>
      <c r="AJ511" s="653"/>
      <c r="AK511" s="653"/>
      <c r="AL511" s="653"/>
      <c r="AM511" s="653"/>
      <c r="AN511" s="653"/>
      <c r="AO511" s="653"/>
      <c r="AP511" s="653"/>
      <c r="AQ511" s="653"/>
      <c r="AR511" s="653"/>
      <c r="AS511" s="653"/>
      <c r="AT511" s="653"/>
      <c r="AU511" s="653"/>
      <c r="AV511" s="653"/>
      <c r="AW511" s="653"/>
      <c r="AX511" s="653"/>
      <c r="AY511" s="653"/>
      <c r="AZ511" s="653"/>
      <c r="BA511" s="653"/>
      <c r="BB511" s="653"/>
      <c r="BC511" s="653"/>
      <c r="BD511" s="653"/>
      <c r="BE511" s="653"/>
      <c r="BF511" s="653"/>
      <c r="BG511" s="653"/>
      <c r="BH511" s="653"/>
      <c r="BI511" s="653"/>
      <c r="BJ511" s="653"/>
      <c r="BK511" s="653"/>
      <c r="BL511" s="653"/>
      <c r="BM511" s="653"/>
      <c r="BN511" s="653"/>
      <c r="BO511" s="653"/>
      <c r="BP511" s="653"/>
      <c r="BQ511" s="653"/>
      <c r="BR511" s="653"/>
      <c r="BS511" s="653"/>
      <c r="BT511" s="653"/>
      <c r="BU511" s="653"/>
      <c r="BV511" s="653"/>
      <c r="BW511" s="653"/>
      <c r="BX511" s="653"/>
      <c r="BY511" s="653"/>
      <c r="BZ511" s="653"/>
      <c r="CA511" s="653"/>
      <c r="CB511" s="653"/>
      <c r="CC511" s="653"/>
      <c r="CD511" s="653"/>
      <c r="CE511" s="653"/>
      <c r="CF511" s="653"/>
      <c r="CG511" s="653"/>
      <c r="CH511" s="653"/>
      <c r="CI511" s="653"/>
      <c r="CJ511" s="653"/>
      <c r="CK511" s="653"/>
      <c r="CL511" s="653"/>
      <c r="CM511" s="653"/>
      <c r="CN511" s="653"/>
      <c r="CO511" s="653"/>
      <c r="CP511" s="653"/>
      <c r="CQ511" s="653"/>
      <c r="CR511" s="653"/>
      <c r="CS511" s="653"/>
      <c r="CT511" s="653"/>
      <c r="CU511" s="653"/>
      <c r="CV511" s="653"/>
      <c r="CW511" s="653"/>
      <c r="CX511" s="653"/>
      <c r="CY511" s="653"/>
      <c r="CZ511" s="653"/>
      <c r="DA511" s="653"/>
      <c r="DB511" s="653"/>
      <c r="DC511" s="653"/>
      <c r="DD511" s="653"/>
      <c r="DE511" s="653"/>
      <c r="DF511" s="653"/>
      <c r="DG511" s="653"/>
      <c r="DH511" s="653"/>
      <c r="DI511" s="653"/>
      <c r="DJ511" s="653"/>
      <c r="DK511" s="653"/>
      <c r="DL511" s="653"/>
      <c r="DM511" s="653"/>
      <c r="DN511" s="653"/>
      <c r="DO511" s="653"/>
      <c r="DP511" s="653"/>
      <c r="DQ511" s="653"/>
      <c r="DR511" s="653"/>
      <c r="DS511" s="653"/>
      <c r="DT511" s="653"/>
      <c r="DU511" s="653"/>
      <c r="DV511" s="653"/>
      <c r="DW511" s="653"/>
      <c r="DX511" s="653"/>
      <c r="DY511" s="653"/>
      <c r="DZ511" s="653"/>
      <c r="EA511" s="653"/>
      <c r="EB511" s="653"/>
      <c r="EC511" s="653"/>
      <c r="ED511" s="653"/>
      <c r="EE511" s="648"/>
      <c r="EF511" s="651"/>
      <c r="EG511" s="651"/>
      <c r="EH511" s="651"/>
      <c r="EI511" s="216"/>
      <c r="EJ511" s="662"/>
      <c r="EK511" s="662"/>
      <c r="EL511" s="662"/>
      <c r="EM511" s="662"/>
      <c r="EN511" s="662"/>
      <c r="EO511" s="662"/>
      <c r="EP511" s="662"/>
      <c r="EQ511" s="662"/>
      <c r="ER511" s="662"/>
      <c r="ES511" s="662"/>
      <c r="ET511" s="662"/>
      <c r="EU511" s="662"/>
      <c r="EV511" s="662"/>
      <c r="EW511" s="662"/>
      <c r="EX511" s="662"/>
      <c r="EY511" s="662"/>
      <c r="EZ511" s="662"/>
      <c r="FA511" s="662"/>
      <c r="FB511" s="662"/>
      <c r="FC511" s="662"/>
      <c r="FD511" s="662"/>
      <c r="FE511" s="662"/>
      <c r="FF511" s="662"/>
      <c r="FG511" s="662"/>
      <c r="FH511" s="662"/>
      <c r="FI511" s="662"/>
      <c r="FJ511" s="662"/>
      <c r="FK511" s="662"/>
      <c r="FL511" s="662"/>
      <c r="FM511" s="662"/>
      <c r="FN511" s="662"/>
      <c r="FO511" s="662"/>
      <c r="FP511" s="662"/>
      <c r="FQ511" s="662"/>
      <c r="FR511" s="662"/>
      <c r="FS511" s="662"/>
      <c r="FT511" s="662"/>
      <c r="FU511" s="662"/>
      <c r="FV511" s="662"/>
      <c r="FW511" s="662"/>
      <c r="FX511" s="662"/>
      <c r="FY511" s="662"/>
      <c r="FZ511" s="662"/>
      <c r="GA511" s="662"/>
      <c r="GB511" s="662"/>
      <c r="GC511" s="662"/>
      <c r="GD511" s="662"/>
      <c r="GE511" s="662"/>
      <c r="GF511" s="662"/>
      <c r="GG511" s="662"/>
      <c r="GH511" s="662"/>
      <c r="GI511" s="662"/>
      <c r="GJ511" s="662"/>
      <c r="GK511" s="662"/>
      <c r="GL511" s="662"/>
      <c r="GM511" s="662"/>
      <c r="GN511" s="662"/>
      <c r="GO511" s="662"/>
      <c r="GP511" s="662"/>
      <c r="GQ511" s="662"/>
      <c r="GR511" s="662"/>
      <c r="GS511" s="662"/>
      <c r="GT511" s="662"/>
      <c r="GU511" s="662"/>
      <c r="GV511" s="662"/>
      <c r="GW511" s="662"/>
      <c r="GX511" s="662"/>
      <c r="GY511" s="662"/>
      <c r="GZ511" s="662"/>
      <c r="HA511" s="662"/>
      <c r="HB511" s="662"/>
      <c r="HC511" s="662"/>
      <c r="HD511" s="662"/>
      <c r="HE511" s="662"/>
      <c r="HF511" s="662"/>
      <c r="HG511" s="662"/>
      <c r="HH511" s="662"/>
      <c r="HI511" s="662"/>
      <c r="HJ511" s="662"/>
      <c r="HK511" s="662"/>
      <c r="HL511" s="662"/>
      <c r="HM511" s="662"/>
      <c r="HN511" s="662"/>
      <c r="HO511" s="662"/>
      <c r="HP511" s="662"/>
      <c r="HQ511" s="662"/>
      <c r="HR511" s="662"/>
      <c r="HS511" s="662"/>
      <c r="HT511" s="662"/>
      <c r="HU511" s="662"/>
      <c r="HV511" s="662"/>
      <c r="HW511" s="662"/>
      <c r="HX511" s="662"/>
      <c r="HY511" s="662"/>
      <c r="HZ511" s="662"/>
      <c r="IA511" s="662"/>
      <c r="IB511" s="662"/>
      <c r="IC511" s="662"/>
      <c r="ID511" s="662"/>
      <c r="IE511" s="662"/>
      <c r="IF511" s="662"/>
      <c r="IG511" s="662"/>
      <c r="IH511" s="662"/>
      <c r="II511" s="662"/>
      <c r="IJ511" s="662"/>
      <c r="IK511" s="662"/>
      <c r="IL511" s="662"/>
      <c r="IM511" s="662"/>
      <c r="IN511" s="662"/>
      <c r="IO511" s="662"/>
      <c r="IP511" s="662"/>
      <c r="IQ511" s="653"/>
    </row>
    <row r="512" spans="18:251" ht="16.5" hidden="1" customHeight="1">
      <c r="R512" s="648"/>
      <c r="S512" s="648"/>
      <c r="T512" s="648"/>
      <c r="U512" s="653"/>
      <c r="V512" s="649"/>
      <c r="W512" s="653"/>
      <c r="X512" s="653"/>
      <c r="Y512" s="653"/>
      <c r="Z512" s="653"/>
      <c r="AA512" s="653"/>
      <c r="AB512" s="653"/>
      <c r="AC512" s="653"/>
      <c r="AD512" s="653"/>
      <c r="AE512" s="653"/>
      <c r="AF512" s="653"/>
      <c r="AG512" s="653"/>
      <c r="AH512" s="653"/>
      <c r="AI512" s="653"/>
      <c r="AJ512" s="653"/>
      <c r="AK512" s="653"/>
      <c r="AL512" s="653"/>
      <c r="AM512" s="653"/>
      <c r="AN512" s="653"/>
      <c r="AO512" s="653"/>
      <c r="AP512" s="653"/>
      <c r="AQ512" s="653"/>
      <c r="AR512" s="653"/>
      <c r="AS512" s="653"/>
      <c r="AT512" s="653"/>
      <c r="AU512" s="653"/>
      <c r="AV512" s="653"/>
      <c r="AW512" s="653"/>
      <c r="AX512" s="653"/>
      <c r="AY512" s="653"/>
      <c r="AZ512" s="653"/>
      <c r="BA512" s="653"/>
      <c r="BB512" s="653"/>
      <c r="BC512" s="653"/>
      <c r="BD512" s="653"/>
      <c r="BE512" s="653"/>
      <c r="BF512" s="653"/>
      <c r="BG512" s="653"/>
      <c r="BH512" s="653"/>
      <c r="BI512" s="653"/>
      <c r="BJ512" s="653"/>
      <c r="BK512" s="653"/>
      <c r="BL512" s="653"/>
      <c r="BM512" s="653"/>
      <c r="BN512" s="653"/>
      <c r="BO512" s="653"/>
      <c r="BP512" s="653"/>
      <c r="BQ512" s="653"/>
      <c r="BR512" s="653"/>
      <c r="BS512" s="653"/>
      <c r="BT512" s="653"/>
      <c r="BU512" s="653"/>
      <c r="BV512" s="653"/>
      <c r="BW512" s="653"/>
      <c r="BX512" s="653"/>
      <c r="BY512" s="653"/>
      <c r="BZ512" s="653"/>
      <c r="CA512" s="653"/>
      <c r="CB512" s="653"/>
      <c r="CC512" s="653"/>
      <c r="CD512" s="653"/>
      <c r="CE512" s="653"/>
      <c r="CF512" s="653"/>
      <c r="CG512" s="653"/>
      <c r="CH512" s="653"/>
      <c r="CI512" s="653"/>
      <c r="CJ512" s="653"/>
      <c r="CK512" s="653"/>
      <c r="CL512" s="653"/>
      <c r="CM512" s="653"/>
      <c r="CN512" s="653"/>
      <c r="CO512" s="653"/>
      <c r="CP512" s="653"/>
      <c r="CQ512" s="653"/>
      <c r="CR512" s="653"/>
      <c r="CS512" s="653"/>
      <c r="CT512" s="653"/>
      <c r="CU512" s="653"/>
      <c r="CV512" s="653"/>
      <c r="CW512" s="653"/>
      <c r="CX512" s="653"/>
      <c r="CY512" s="653"/>
      <c r="CZ512" s="653"/>
      <c r="DA512" s="653"/>
      <c r="DB512" s="653"/>
      <c r="DC512" s="653"/>
      <c r="DD512" s="653"/>
      <c r="DE512" s="653"/>
      <c r="DF512" s="653"/>
      <c r="DG512" s="653"/>
      <c r="DH512" s="653"/>
      <c r="DI512" s="653"/>
      <c r="DJ512" s="653"/>
      <c r="DK512" s="653"/>
      <c r="DL512" s="653"/>
      <c r="DM512" s="653"/>
      <c r="DN512" s="653"/>
      <c r="DO512" s="653"/>
      <c r="DP512" s="653"/>
      <c r="DQ512" s="653"/>
      <c r="DR512" s="653"/>
      <c r="DS512" s="653"/>
      <c r="DT512" s="653"/>
      <c r="DU512" s="653"/>
      <c r="DV512" s="653"/>
      <c r="DW512" s="653"/>
      <c r="DX512" s="653"/>
      <c r="DY512" s="653"/>
      <c r="DZ512" s="653"/>
      <c r="EA512" s="653"/>
      <c r="EB512" s="653"/>
      <c r="EC512" s="653"/>
      <c r="ED512" s="653"/>
      <c r="EE512" s="648"/>
      <c r="EF512" s="651"/>
      <c r="EG512" s="651"/>
      <c r="EH512" s="651"/>
      <c r="EI512" s="216"/>
      <c r="EJ512" s="662"/>
      <c r="EK512" s="662"/>
      <c r="EL512" s="662"/>
      <c r="EM512" s="662"/>
      <c r="EN512" s="662"/>
      <c r="EO512" s="662"/>
      <c r="EP512" s="662"/>
      <c r="EQ512" s="662"/>
      <c r="ER512" s="662"/>
      <c r="ES512" s="662"/>
      <c r="ET512" s="662"/>
      <c r="EU512" s="662"/>
      <c r="EV512" s="662"/>
      <c r="EW512" s="662"/>
      <c r="EX512" s="662"/>
      <c r="EY512" s="662"/>
      <c r="EZ512" s="662"/>
      <c r="FA512" s="662"/>
      <c r="FB512" s="662"/>
      <c r="FC512" s="662"/>
      <c r="FD512" s="662"/>
      <c r="FE512" s="662"/>
      <c r="FF512" s="662"/>
      <c r="FG512" s="662"/>
      <c r="FH512" s="662"/>
      <c r="FI512" s="662"/>
      <c r="FJ512" s="662"/>
      <c r="FK512" s="662"/>
      <c r="FL512" s="662"/>
      <c r="FM512" s="662"/>
      <c r="FN512" s="662"/>
      <c r="FO512" s="662"/>
      <c r="FP512" s="662"/>
      <c r="FQ512" s="662"/>
      <c r="FR512" s="662"/>
      <c r="FS512" s="662"/>
      <c r="FT512" s="662"/>
      <c r="FU512" s="662"/>
      <c r="FV512" s="662"/>
      <c r="FW512" s="662"/>
      <c r="FX512" s="662"/>
      <c r="FY512" s="662"/>
      <c r="FZ512" s="662"/>
      <c r="GA512" s="662"/>
      <c r="GB512" s="662"/>
      <c r="GC512" s="662"/>
      <c r="GD512" s="662"/>
      <c r="GE512" s="662"/>
      <c r="GF512" s="662"/>
      <c r="GG512" s="662"/>
      <c r="GH512" s="662"/>
      <c r="GI512" s="662"/>
      <c r="GJ512" s="662"/>
      <c r="GK512" s="662"/>
      <c r="GL512" s="662"/>
      <c r="GM512" s="662"/>
      <c r="GN512" s="662"/>
      <c r="GO512" s="662"/>
      <c r="GP512" s="662"/>
      <c r="GQ512" s="662"/>
      <c r="GR512" s="662"/>
      <c r="GS512" s="662"/>
      <c r="GT512" s="662"/>
      <c r="GU512" s="662"/>
      <c r="GV512" s="662"/>
      <c r="GW512" s="662"/>
      <c r="GX512" s="662"/>
      <c r="GY512" s="662"/>
      <c r="GZ512" s="662"/>
      <c r="HA512" s="662"/>
      <c r="HB512" s="662"/>
      <c r="HC512" s="662"/>
      <c r="HD512" s="662"/>
      <c r="HE512" s="662"/>
      <c r="HF512" s="662"/>
      <c r="HG512" s="662"/>
      <c r="HH512" s="662"/>
      <c r="HI512" s="662"/>
      <c r="HJ512" s="662"/>
      <c r="HK512" s="662"/>
      <c r="HL512" s="662"/>
      <c r="HM512" s="662"/>
      <c r="HN512" s="662"/>
      <c r="HO512" s="662"/>
      <c r="HP512" s="662"/>
      <c r="HQ512" s="662"/>
      <c r="HR512" s="662"/>
      <c r="HS512" s="662"/>
      <c r="HT512" s="662"/>
      <c r="HU512" s="662"/>
      <c r="HV512" s="662"/>
      <c r="HW512" s="662"/>
      <c r="HX512" s="662"/>
      <c r="HY512" s="662"/>
      <c r="HZ512" s="662"/>
      <c r="IA512" s="662"/>
      <c r="IB512" s="662"/>
      <c r="IC512" s="662"/>
      <c r="ID512" s="662"/>
      <c r="IE512" s="662"/>
      <c r="IF512" s="662"/>
      <c r="IG512" s="662"/>
      <c r="IH512" s="662"/>
      <c r="II512" s="662"/>
      <c r="IJ512" s="662"/>
      <c r="IK512" s="662"/>
      <c r="IL512" s="662"/>
      <c r="IM512" s="662"/>
      <c r="IN512" s="662"/>
      <c r="IO512" s="662"/>
      <c r="IP512" s="662"/>
      <c r="IQ512" s="653"/>
    </row>
    <row r="513" spans="18:251" ht="16.5" hidden="1" customHeight="1">
      <c r="R513" s="648"/>
      <c r="S513" s="648"/>
      <c r="T513" s="648"/>
      <c r="U513" s="653"/>
      <c r="V513" s="649"/>
      <c r="W513" s="653"/>
      <c r="X513" s="653"/>
      <c r="Y513" s="653"/>
      <c r="Z513" s="653"/>
      <c r="AA513" s="653"/>
      <c r="AB513" s="653"/>
      <c r="AC513" s="653"/>
      <c r="AD513" s="653"/>
      <c r="AE513" s="653"/>
      <c r="AF513" s="653"/>
      <c r="AG513" s="653"/>
      <c r="AH513" s="653"/>
      <c r="AI513" s="653"/>
      <c r="AJ513" s="653"/>
      <c r="AK513" s="653"/>
      <c r="AL513" s="653"/>
      <c r="AM513" s="653"/>
      <c r="AN513" s="653"/>
      <c r="AO513" s="653"/>
      <c r="AP513" s="653"/>
      <c r="AQ513" s="653"/>
      <c r="AR513" s="653"/>
      <c r="AS513" s="653"/>
      <c r="AT513" s="653"/>
      <c r="AU513" s="653"/>
      <c r="AV513" s="653"/>
      <c r="AW513" s="653"/>
      <c r="AX513" s="653"/>
      <c r="AY513" s="653"/>
      <c r="AZ513" s="653"/>
      <c r="BA513" s="653"/>
      <c r="BB513" s="653"/>
      <c r="BC513" s="653"/>
      <c r="BD513" s="653"/>
      <c r="BE513" s="653"/>
      <c r="BF513" s="653"/>
      <c r="BG513" s="653"/>
      <c r="BH513" s="653"/>
      <c r="BI513" s="653"/>
      <c r="BJ513" s="653"/>
      <c r="BK513" s="653"/>
      <c r="BL513" s="653"/>
      <c r="BM513" s="653"/>
      <c r="BN513" s="653"/>
      <c r="BO513" s="653"/>
      <c r="BP513" s="653"/>
      <c r="BQ513" s="653"/>
      <c r="BR513" s="653"/>
      <c r="BS513" s="653"/>
      <c r="BT513" s="653"/>
      <c r="BU513" s="653"/>
      <c r="BV513" s="653"/>
      <c r="BW513" s="653"/>
      <c r="BX513" s="653"/>
      <c r="BY513" s="653"/>
      <c r="BZ513" s="653"/>
      <c r="CA513" s="653"/>
      <c r="CB513" s="653"/>
      <c r="CC513" s="653"/>
      <c r="CD513" s="653"/>
      <c r="CE513" s="653"/>
      <c r="CF513" s="653"/>
      <c r="CG513" s="653"/>
      <c r="CH513" s="653"/>
      <c r="CI513" s="653"/>
      <c r="CJ513" s="653"/>
      <c r="CK513" s="653"/>
      <c r="CL513" s="653"/>
      <c r="CM513" s="653"/>
      <c r="CN513" s="653"/>
      <c r="CO513" s="653"/>
      <c r="CP513" s="653"/>
      <c r="CQ513" s="653"/>
      <c r="CR513" s="653"/>
      <c r="CS513" s="653"/>
      <c r="CT513" s="653"/>
      <c r="CU513" s="653"/>
      <c r="CV513" s="653"/>
      <c r="CW513" s="653"/>
      <c r="CX513" s="653"/>
      <c r="CY513" s="653"/>
      <c r="CZ513" s="653"/>
      <c r="DA513" s="653"/>
      <c r="DB513" s="653"/>
      <c r="DC513" s="653"/>
      <c r="DD513" s="653"/>
      <c r="DE513" s="653"/>
      <c r="DF513" s="653"/>
      <c r="DG513" s="653"/>
      <c r="DH513" s="653"/>
      <c r="DI513" s="653"/>
      <c r="DJ513" s="653"/>
      <c r="DK513" s="653"/>
      <c r="DL513" s="653"/>
      <c r="DM513" s="653"/>
      <c r="DN513" s="653"/>
      <c r="DO513" s="653"/>
      <c r="DP513" s="653"/>
      <c r="DQ513" s="653"/>
      <c r="DR513" s="653"/>
      <c r="DS513" s="653"/>
      <c r="DT513" s="653"/>
      <c r="DU513" s="653"/>
      <c r="DV513" s="653"/>
      <c r="DW513" s="653"/>
      <c r="DX513" s="653"/>
      <c r="DY513" s="653"/>
      <c r="DZ513" s="653"/>
      <c r="EA513" s="653"/>
      <c r="EB513" s="653"/>
      <c r="EC513" s="653"/>
      <c r="ED513" s="653"/>
      <c r="EE513" s="648"/>
      <c r="EF513" s="651"/>
      <c r="EG513" s="651"/>
      <c r="EH513" s="651"/>
      <c r="EI513" s="216"/>
      <c r="EJ513" s="662"/>
      <c r="EK513" s="662"/>
      <c r="EL513" s="662"/>
      <c r="EM513" s="662"/>
      <c r="EN513" s="662"/>
      <c r="EO513" s="662"/>
      <c r="EP513" s="662"/>
      <c r="EQ513" s="662"/>
      <c r="ER513" s="662"/>
      <c r="ES513" s="662"/>
      <c r="ET513" s="662"/>
      <c r="EU513" s="662"/>
      <c r="EV513" s="662"/>
      <c r="EW513" s="662"/>
      <c r="EX513" s="662"/>
      <c r="EY513" s="662"/>
      <c r="EZ513" s="662"/>
      <c r="FA513" s="662"/>
      <c r="FB513" s="662"/>
      <c r="FC513" s="662"/>
      <c r="FD513" s="662"/>
      <c r="FE513" s="662"/>
      <c r="FF513" s="662"/>
      <c r="FG513" s="662"/>
      <c r="FH513" s="662"/>
      <c r="FI513" s="662"/>
      <c r="FJ513" s="662"/>
      <c r="FK513" s="662"/>
      <c r="FL513" s="662"/>
      <c r="FM513" s="662"/>
      <c r="FN513" s="662"/>
      <c r="FO513" s="662"/>
      <c r="FP513" s="662"/>
      <c r="FQ513" s="662"/>
      <c r="FR513" s="662"/>
      <c r="FS513" s="662"/>
      <c r="FT513" s="662"/>
      <c r="FU513" s="662"/>
      <c r="FV513" s="662"/>
      <c r="FW513" s="662"/>
      <c r="FX513" s="662"/>
      <c r="FY513" s="662"/>
      <c r="FZ513" s="662"/>
      <c r="GA513" s="662"/>
      <c r="GB513" s="662"/>
      <c r="GC513" s="662"/>
      <c r="GD513" s="662"/>
      <c r="GE513" s="662"/>
      <c r="GF513" s="662"/>
      <c r="GG513" s="662"/>
      <c r="GH513" s="662"/>
      <c r="GI513" s="662"/>
      <c r="GJ513" s="662"/>
      <c r="GK513" s="662"/>
      <c r="GL513" s="662"/>
      <c r="GM513" s="662"/>
      <c r="GN513" s="662"/>
      <c r="GO513" s="662"/>
      <c r="GP513" s="662"/>
      <c r="GQ513" s="662"/>
      <c r="GR513" s="662"/>
      <c r="GS513" s="662"/>
      <c r="GT513" s="662"/>
      <c r="GU513" s="662"/>
      <c r="GV513" s="662"/>
      <c r="GW513" s="662"/>
      <c r="GX513" s="662"/>
      <c r="GY513" s="662"/>
      <c r="GZ513" s="662"/>
      <c r="HA513" s="662"/>
      <c r="HB513" s="662"/>
      <c r="HC513" s="662"/>
      <c r="HD513" s="662"/>
      <c r="HE513" s="662"/>
      <c r="HF513" s="662"/>
      <c r="HG513" s="662"/>
      <c r="HH513" s="662"/>
      <c r="HI513" s="662"/>
      <c r="HJ513" s="662"/>
      <c r="HK513" s="662"/>
      <c r="HL513" s="662"/>
      <c r="HM513" s="662"/>
      <c r="HN513" s="662"/>
      <c r="HO513" s="662"/>
      <c r="HP513" s="662"/>
      <c r="HQ513" s="662"/>
      <c r="HR513" s="662"/>
      <c r="HS513" s="662"/>
      <c r="HT513" s="662"/>
      <c r="HU513" s="662"/>
      <c r="HV513" s="662"/>
      <c r="HW513" s="662"/>
      <c r="HX513" s="662"/>
      <c r="HY513" s="662"/>
      <c r="HZ513" s="662"/>
      <c r="IA513" s="662"/>
      <c r="IB513" s="662"/>
      <c r="IC513" s="662"/>
      <c r="ID513" s="662"/>
      <c r="IE513" s="662"/>
      <c r="IF513" s="662"/>
      <c r="IG513" s="662"/>
      <c r="IH513" s="662"/>
      <c r="II513" s="662"/>
      <c r="IJ513" s="662"/>
      <c r="IK513" s="662"/>
      <c r="IL513" s="662"/>
      <c r="IM513" s="662"/>
      <c r="IN513" s="662"/>
      <c r="IO513" s="662"/>
      <c r="IP513" s="662"/>
      <c r="IQ513" s="653"/>
    </row>
    <row r="514" spans="18:251" ht="16.5" hidden="1" customHeight="1">
      <c r="R514" s="648"/>
      <c r="S514" s="648"/>
      <c r="T514" s="648"/>
      <c r="U514" s="653"/>
      <c r="V514" s="649"/>
      <c r="W514" s="653"/>
      <c r="X514" s="653"/>
      <c r="Y514" s="653"/>
      <c r="Z514" s="653"/>
      <c r="AA514" s="653"/>
      <c r="AB514" s="653"/>
      <c r="AC514" s="653"/>
      <c r="AD514" s="653"/>
      <c r="AE514" s="653"/>
      <c r="AF514" s="653"/>
      <c r="AG514" s="653"/>
      <c r="AH514" s="653"/>
      <c r="AI514" s="653"/>
      <c r="AJ514" s="653"/>
      <c r="AK514" s="653"/>
      <c r="AL514" s="653"/>
      <c r="AM514" s="653"/>
      <c r="AN514" s="653"/>
      <c r="AO514" s="653"/>
      <c r="AP514" s="653"/>
      <c r="AQ514" s="653"/>
      <c r="AR514" s="653"/>
      <c r="AS514" s="653"/>
      <c r="AT514" s="653"/>
      <c r="AU514" s="653"/>
      <c r="AV514" s="653"/>
      <c r="AW514" s="653"/>
      <c r="AX514" s="653"/>
      <c r="AY514" s="653"/>
      <c r="AZ514" s="653"/>
      <c r="BA514" s="653"/>
      <c r="BB514" s="653"/>
      <c r="BC514" s="653"/>
      <c r="BD514" s="653"/>
      <c r="BE514" s="653"/>
      <c r="BF514" s="653"/>
      <c r="BG514" s="653"/>
      <c r="BH514" s="653"/>
      <c r="BI514" s="653"/>
      <c r="BJ514" s="653"/>
      <c r="BK514" s="653"/>
      <c r="BL514" s="653"/>
      <c r="BM514" s="653"/>
      <c r="BN514" s="653"/>
      <c r="BO514" s="653"/>
      <c r="BP514" s="653"/>
      <c r="BQ514" s="653"/>
      <c r="BR514" s="653"/>
      <c r="BS514" s="653"/>
      <c r="BT514" s="653"/>
      <c r="BU514" s="653"/>
      <c r="BV514" s="653"/>
      <c r="BW514" s="653"/>
      <c r="BX514" s="653"/>
      <c r="BY514" s="653"/>
      <c r="BZ514" s="653"/>
      <c r="CA514" s="653"/>
      <c r="CB514" s="653"/>
      <c r="CC514" s="653"/>
      <c r="CD514" s="653"/>
      <c r="CE514" s="653"/>
      <c r="CF514" s="653"/>
      <c r="CG514" s="653"/>
      <c r="CH514" s="653"/>
      <c r="CI514" s="653"/>
      <c r="CJ514" s="653"/>
      <c r="CK514" s="653"/>
      <c r="CL514" s="653"/>
      <c r="CM514" s="653"/>
      <c r="CN514" s="653"/>
      <c r="CO514" s="653"/>
      <c r="CP514" s="653"/>
      <c r="CQ514" s="653"/>
      <c r="CR514" s="653"/>
      <c r="CS514" s="653"/>
      <c r="CT514" s="653"/>
      <c r="CU514" s="653"/>
      <c r="CV514" s="653"/>
      <c r="CW514" s="653"/>
      <c r="CX514" s="653"/>
      <c r="CY514" s="653"/>
      <c r="CZ514" s="653"/>
      <c r="DA514" s="653"/>
      <c r="DB514" s="653"/>
      <c r="DC514" s="653"/>
      <c r="DD514" s="653"/>
      <c r="DE514" s="653"/>
      <c r="DF514" s="653"/>
      <c r="DG514" s="653"/>
      <c r="DH514" s="653"/>
      <c r="DI514" s="653"/>
      <c r="DJ514" s="653"/>
      <c r="DK514" s="653"/>
      <c r="DL514" s="653"/>
      <c r="DM514" s="653"/>
      <c r="DN514" s="653"/>
      <c r="DO514" s="653"/>
      <c r="DP514" s="653"/>
      <c r="DQ514" s="653"/>
      <c r="DR514" s="653"/>
      <c r="DS514" s="653"/>
      <c r="DT514" s="653"/>
      <c r="DU514" s="653"/>
      <c r="DV514" s="653"/>
      <c r="DW514" s="653"/>
      <c r="DX514" s="653"/>
      <c r="DY514" s="653"/>
      <c r="DZ514" s="653"/>
      <c r="EA514" s="653"/>
      <c r="EB514" s="653"/>
      <c r="EC514" s="653"/>
      <c r="ED514" s="653"/>
      <c r="EE514" s="648"/>
      <c r="EF514" s="651"/>
      <c r="EG514" s="651"/>
      <c r="EH514" s="651"/>
      <c r="EI514" s="216"/>
      <c r="EJ514" s="662"/>
      <c r="EK514" s="662"/>
      <c r="EL514" s="662"/>
      <c r="EM514" s="662"/>
      <c r="EN514" s="662"/>
      <c r="EO514" s="662"/>
      <c r="EP514" s="662"/>
      <c r="EQ514" s="662"/>
      <c r="ER514" s="662"/>
      <c r="ES514" s="662"/>
      <c r="ET514" s="662"/>
      <c r="EU514" s="662"/>
      <c r="EV514" s="662"/>
      <c r="EW514" s="662"/>
      <c r="EX514" s="662"/>
      <c r="EY514" s="662"/>
      <c r="EZ514" s="662"/>
      <c r="FA514" s="662"/>
      <c r="FB514" s="662"/>
      <c r="FC514" s="662"/>
      <c r="FD514" s="662"/>
      <c r="FE514" s="662"/>
      <c r="FF514" s="662"/>
      <c r="FG514" s="662"/>
      <c r="FH514" s="662"/>
      <c r="FI514" s="662"/>
      <c r="FJ514" s="662"/>
      <c r="FK514" s="662"/>
      <c r="FL514" s="662"/>
      <c r="FM514" s="662"/>
      <c r="FN514" s="662"/>
      <c r="FO514" s="662"/>
      <c r="FP514" s="662"/>
      <c r="FQ514" s="662"/>
      <c r="FR514" s="662"/>
      <c r="FS514" s="662"/>
      <c r="FT514" s="662"/>
      <c r="FU514" s="662"/>
      <c r="FV514" s="662"/>
      <c r="FW514" s="662"/>
      <c r="FX514" s="662"/>
      <c r="FY514" s="662"/>
      <c r="FZ514" s="662"/>
      <c r="GA514" s="662"/>
      <c r="GB514" s="662"/>
      <c r="GC514" s="662"/>
      <c r="GD514" s="662"/>
      <c r="GE514" s="662"/>
      <c r="GF514" s="662"/>
      <c r="GG514" s="662"/>
      <c r="GH514" s="662"/>
      <c r="GI514" s="662"/>
      <c r="GJ514" s="662"/>
      <c r="GK514" s="662"/>
      <c r="GL514" s="662"/>
      <c r="GM514" s="662"/>
      <c r="GN514" s="662"/>
      <c r="GO514" s="662"/>
      <c r="GP514" s="662"/>
      <c r="GQ514" s="662"/>
      <c r="GR514" s="662"/>
      <c r="GS514" s="662"/>
      <c r="GT514" s="662"/>
      <c r="GU514" s="662"/>
      <c r="GV514" s="662"/>
      <c r="GW514" s="662"/>
      <c r="GX514" s="662"/>
      <c r="GY514" s="662"/>
      <c r="GZ514" s="662"/>
      <c r="HA514" s="662"/>
      <c r="HB514" s="662"/>
      <c r="HC514" s="662"/>
      <c r="HD514" s="662"/>
      <c r="HE514" s="662"/>
      <c r="HF514" s="662"/>
      <c r="HG514" s="662"/>
      <c r="HH514" s="662"/>
      <c r="HI514" s="662"/>
      <c r="HJ514" s="662"/>
      <c r="HK514" s="662"/>
      <c r="HL514" s="662"/>
      <c r="HM514" s="662"/>
      <c r="HN514" s="662"/>
      <c r="HO514" s="662"/>
      <c r="HP514" s="662"/>
      <c r="HQ514" s="662"/>
      <c r="HR514" s="662"/>
      <c r="HS514" s="662"/>
      <c r="HT514" s="662"/>
      <c r="HU514" s="662"/>
      <c r="HV514" s="662"/>
      <c r="HW514" s="662"/>
      <c r="HX514" s="662"/>
      <c r="HY514" s="662"/>
      <c r="HZ514" s="662"/>
      <c r="IA514" s="662"/>
      <c r="IB514" s="662"/>
      <c r="IC514" s="662"/>
      <c r="ID514" s="662"/>
      <c r="IE514" s="662"/>
      <c r="IF514" s="662"/>
      <c r="IG514" s="662"/>
      <c r="IH514" s="662"/>
      <c r="II514" s="662"/>
      <c r="IJ514" s="662"/>
      <c r="IK514" s="662"/>
      <c r="IL514" s="662"/>
      <c r="IM514" s="662"/>
      <c r="IN514" s="662"/>
      <c r="IO514" s="662"/>
      <c r="IP514" s="662"/>
      <c r="IQ514" s="653"/>
    </row>
    <row r="515" spans="18:251" ht="16.5" hidden="1" customHeight="1">
      <c r="R515" s="648"/>
      <c r="S515" s="648"/>
      <c r="T515" s="648"/>
      <c r="U515" s="653"/>
      <c r="V515" s="649"/>
      <c r="W515" s="653"/>
      <c r="X515" s="653"/>
      <c r="Y515" s="653"/>
      <c r="Z515" s="653"/>
      <c r="AA515" s="653"/>
      <c r="AB515" s="653"/>
      <c r="AC515" s="653"/>
      <c r="AD515" s="653"/>
      <c r="AE515" s="653"/>
      <c r="AF515" s="653"/>
      <c r="AG515" s="653"/>
      <c r="AH515" s="653"/>
      <c r="AI515" s="653"/>
      <c r="AJ515" s="653"/>
      <c r="AK515" s="653"/>
      <c r="AL515" s="653"/>
      <c r="AM515" s="653"/>
      <c r="AN515" s="653"/>
      <c r="AO515" s="653"/>
      <c r="AP515" s="653"/>
      <c r="AQ515" s="653"/>
      <c r="AR515" s="653"/>
      <c r="AS515" s="653"/>
      <c r="AT515" s="653"/>
      <c r="AU515" s="653"/>
      <c r="AV515" s="653"/>
      <c r="AW515" s="653"/>
      <c r="AX515" s="653"/>
      <c r="AY515" s="653"/>
      <c r="AZ515" s="653"/>
      <c r="BA515" s="653"/>
      <c r="BB515" s="653"/>
      <c r="BC515" s="653"/>
      <c r="BD515" s="653"/>
      <c r="BE515" s="653"/>
      <c r="BF515" s="653"/>
      <c r="BG515" s="653"/>
      <c r="BH515" s="653"/>
      <c r="BI515" s="653"/>
      <c r="BJ515" s="653"/>
      <c r="BK515" s="653"/>
      <c r="BL515" s="653"/>
      <c r="BM515" s="653"/>
      <c r="BN515" s="653"/>
      <c r="BO515" s="653"/>
      <c r="BP515" s="653"/>
      <c r="BQ515" s="653"/>
      <c r="BR515" s="653"/>
      <c r="BS515" s="653"/>
      <c r="BT515" s="653"/>
      <c r="BU515" s="653"/>
      <c r="BV515" s="653"/>
      <c r="BW515" s="653"/>
      <c r="BX515" s="653"/>
      <c r="BY515" s="653"/>
      <c r="BZ515" s="653"/>
      <c r="CA515" s="653"/>
      <c r="CB515" s="653"/>
      <c r="CC515" s="653"/>
      <c r="CD515" s="653"/>
      <c r="CE515" s="653"/>
      <c r="CF515" s="653"/>
      <c r="CG515" s="653"/>
      <c r="CH515" s="653"/>
      <c r="CI515" s="653"/>
      <c r="CJ515" s="653"/>
      <c r="CK515" s="653"/>
      <c r="CL515" s="653"/>
      <c r="CM515" s="653"/>
      <c r="CN515" s="653"/>
      <c r="CO515" s="653"/>
      <c r="CP515" s="653"/>
      <c r="CQ515" s="653"/>
      <c r="CR515" s="653"/>
      <c r="CS515" s="653"/>
      <c r="CT515" s="653"/>
      <c r="CU515" s="653"/>
      <c r="CV515" s="653"/>
      <c r="CW515" s="653"/>
      <c r="CX515" s="653"/>
      <c r="CY515" s="653"/>
      <c r="CZ515" s="653"/>
      <c r="DA515" s="653"/>
      <c r="DB515" s="653"/>
      <c r="DC515" s="653"/>
      <c r="DD515" s="653"/>
      <c r="DE515" s="653"/>
      <c r="DF515" s="653"/>
      <c r="DG515" s="653"/>
      <c r="DH515" s="653"/>
      <c r="DI515" s="653"/>
      <c r="DJ515" s="653"/>
      <c r="DK515" s="653"/>
      <c r="DL515" s="653"/>
      <c r="DM515" s="653"/>
      <c r="DN515" s="653"/>
      <c r="DO515" s="653"/>
      <c r="DP515" s="653"/>
      <c r="DQ515" s="653"/>
      <c r="DR515" s="653"/>
      <c r="DS515" s="653"/>
      <c r="DT515" s="653"/>
      <c r="DU515" s="653"/>
      <c r="DV515" s="653"/>
      <c r="DW515" s="653"/>
      <c r="DX515" s="653"/>
      <c r="DY515" s="653"/>
      <c r="DZ515" s="653"/>
      <c r="EA515" s="653"/>
      <c r="EB515" s="653"/>
      <c r="EC515" s="653"/>
      <c r="ED515" s="653"/>
      <c r="EE515" s="648"/>
      <c r="EF515" s="651"/>
      <c r="EG515" s="651"/>
      <c r="EH515" s="651"/>
      <c r="EI515" s="216"/>
      <c r="EJ515" s="662"/>
      <c r="EK515" s="662"/>
      <c r="EL515" s="662"/>
      <c r="EM515" s="662"/>
      <c r="EN515" s="662"/>
      <c r="EO515" s="662"/>
      <c r="EP515" s="662"/>
      <c r="EQ515" s="662"/>
      <c r="ER515" s="662"/>
      <c r="ES515" s="662"/>
      <c r="ET515" s="662"/>
      <c r="EU515" s="662"/>
      <c r="EV515" s="662"/>
      <c r="EW515" s="662"/>
      <c r="EX515" s="662"/>
      <c r="EY515" s="662"/>
      <c r="EZ515" s="662"/>
      <c r="FA515" s="662"/>
      <c r="FB515" s="662"/>
      <c r="FC515" s="662"/>
      <c r="FD515" s="662"/>
      <c r="FE515" s="662"/>
      <c r="FF515" s="662"/>
      <c r="FG515" s="662"/>
      <c r="FH515" s="662"/>
      <c r="FI515" s="662"/>
      <c r="FJ515" s="662"/>
      <c r="FK515" s="662"/>
      <c r="FL515" s="662"/>
      <c r="FM515" s="662"/>
      <c r="FN515" s="662"/>
      <c r="FO515" s="662"/>
      <c r="FP515" s="662"/>
      <c r="FQ515" s="662"/>
      <c r="FR515" s="662"/>
      <c r="FS515" s="662"/>
      <c r="FT515" s="662"/>
      <c r="FU515" s="662"/>
      <c r="FV515" s="662"/>
      <c r="FW515" s="662"/>
      <c r="FX515" s="662"/>
      <c r="FY515" s="662"/>
      <c r="FZ515" s="662"/>
      <c r="GA515" s="662"/>
      <c r="GB515" s="662"/>
      <c r="GC515" s="662"/>
      <c r="GD515" s="662"/>
      <c r="GE515" s="662"/>
      <c r="GF515" s="662"/>
      <c r="GG515" s="662"/>
      <c r="GH515" s="662"/>
      <c r="GI515" s="662"/>
      <c r="GJ515" s="662"/>
      <c r="GK515" s="662"/>
      <c r="GL515" s="662"/>
      <c r="GM515" s="662"/>
      <c r="GN515" s="662"/>
      <c r="GO515" s="662"/>
      <c r="GP515" s="662"/>
      <c r="GQ515" s="662"/>
      <c r="GR515" s="662"/>
      <c r="GS515" s="662"/>
      <c r="GT515" s="662"/>
      <c r="GU515" s="662"/>
      <c r="GV515" s="662"/>
      <c r="GW515" s="662"/>
      <c r="GX515" s="662"/>
      <c r="GY515" s="662"/>
      <c r="GZ515" s="662"/>
      <c r="HA515" s="662"/>
      <c r="HB515" s="662"/>
      <c r="HC515" s="662"/>
      <c r="HD515" s="662"/>
      <c r="HE515" s="662"/>
      <c r="HF515" s="662"/>
      <c r="HG515" s="662"/>
      <c r="HH515" s="662"/>
      <c r="HI515" s="662"/>
      <c r="HJ515" s="662"/>
      <c r="HK515" s="662"/>
      <c r="HL515" s="662"/>
      <c r="HM515" s="662"/>
      <c r="HN515" s="662"/>
      <c r="HO515" s="662"/>
      <c r="HP515" s="662"/>
      <c r="HQ515" s="662"/>
      <c r="HR515" s="662"/>
      <c r="HS515" s="662"/>
      <c r="HT515" s="662"/>
      <c r="HU515" s="662"/>
      <c r="HV515" s="662"/>
      <c r="HW515" s="662"/>
      <c r="HX515" s="662"/>
      <c r="HY515" s="662"/>
      <c r="HZ515" s="662"/>
      <c r="IA515" s="662"/>
      <c r="IB515" s="662"/>
      <c r="IC515" s="662"/>
      <c r="ID515" s="662"/>
      <c r="IE515" s="662"/>
      <c r="IF515" s="662"/>
      <c r="IG515" s="662"/>
      <c r="IH515" s="662"/>
      <c r="II515" s="662"/>
      <c r="IJ515" s="662"/>
      <c r="IK515" s="662"/>
      <c r="IL515" s="662"/>
      <c r="IM515" s="662"/>
      <c r="IN515" s="662"/>
      <c r="IO515" s="662"/>
      <c r="IP515" s="662"/>
      <c r="IQ515" s="653"/>
    </row>
    <row r="516" spans="18:251" ht="16.5" hidden="1" customHeight="1">
      <c r="R516" s="648"/>
      <c r="S516" s="648"/>
      <c r="T516" s="648"/>
      <c r="U516" s="653"/>
      <c r="V516" s="649"/>
      <c r="W516" s="653"/>
      <c r="X516" s="653"/>
      <c r="Y516" s="653"/>
      <c r="Z516" s="653"/>
      <c r="AA516" s="653"/>
      <c r="AB516" s="653"/>
      <c r="AC516" s="653"/>
      <c r="AD516" s="653"/>
      <c r="AE516" s="653"/>
      <c r="AF516" s="653"/>
      <c r="AG516" s="653"/>
      <c r="AH516" s="653"/>
      <c r="AI516" s="653"/>
      <c r="AJ516" s="653"/>
      <c r="AK516" s="653"/>
      <c r="AL516" s="653"/>
      <c r="AM516" s="653"/>
      <c r="AN516" s="653"/>
      <c r="AO516" s="653"/>
      <c r="AP516" s="653"/>
      <c r="AQ516" s="653"/>
      <c r="AR516" s="653"/>
      <c r="AS516" s="653"/>
      <c r="AT516" s="653"/>
      <c r="AU516" s="653"/>
      <c r="AV516" s="653"/>
      <c r="AW516" s="653"/>
      <c r="AX516" s="653"/>
      <c r="AY516" s="653"/>
      <c r="AZ516" s="653"/>
      <c r="BA516" s="653"/>
      <c r="BB516" s="653"/>
      <c r="BC516" s="653"/>
      <c r="BD516" s="653"/>
      <c r="BE516" s="653"/>
      <c r="BF516" s="653"/>
      <c r="BG516" s="653"/>
      <c r="BH516" s="653"/>
      <c r="BI516" s="653"/>
      <c r="BJ516" s="653"/>
      <c r="BK516" s="653"/>
      <c r="BL516" s="653"/>
      <c r="BM516" s="653"/>
      <c r="BN516" s="653"/>
      <c r="BO516" s="653"/>
      <c r="BP516" s="653"/>
      <c r="BQ516" s="653"/>
      <c r="BR516" s="653"/>
      <c r="BS516" s="653"/>
      <c r="BT516" s="653"/>
      <c r="BU516" s="653"/>
      <c r="BV516" s="653"/>
      <c r="BW516" s="653"/>
      <c r="BX516" s="653"/>
      <c r="BY516" s="653"/>
      <c r="BZ516" s="653"/>
      <c r="CA516" s="653"/>
      <c r="CB516" s="653"/>
      <c r="CC516" s="653"/>
      <c r="CD516" s="653"/>
      <c r="CE516" s="653"/>
      <c r="CF516" s="653"/>
      <c r="CG516" s="653"/>
      <c r="CH516" s="653"/>
      <c r="CI516" s="653"/>
      <c r="CJ516" s="653"/>
      <c r="CK516" s="653"/>
      <c r="CL516" s="653"/>
      <c r="CM516" s="653"/>
      <c r="CN516" s="653"/>
      <c r="CO516" s="653"/>
      <c r="CP516" s="653"/>
      <c r="CQ516" s="653"/>
      <c r="CR516" s="653"/>
      <c r="CS516" s="653"/>
      <c r="CT516" s="653"/>
      <c r="CU516" s="653"/>
      <c r="CV516" s="653"/>
      <c r="CW516" s="653"/>
      <c r="CX516" s="653"/>
      <c r="CY516" s="653"/>
      <c r="CZ516" s="653"/>
      <c r="DA516" s="653"/>
      <c r="DB516" s="653"/>
      <c r="DC516" s="653"/>
      <c r="DD516" s="653"/>
      <c r="DE516" s="653"/>
      <c r="DF516" s="653"/>
      <c r="DG516" s="653"/>
      <c r="DH516" s="653"/>
      <c r="DI516" s="653"/>
      <c r="DJ516" s="653"/>
      <c r="DK516" s="653"/>
      <c r="DL516" s="653"/>
      <c r="DM516" s="653"/>
      <c r="DN516" s="653"/>
      <c r="DO516" s="653"/>
      <c r="DP516" s="653"/>
      <c r="DQ516" s="653"/>
      <c r="DR516" s="653"/>
      <c r="DS516" s="653"/>
      <c r="DT516" s="653"/>
      <c r="DU516" s="653"/>
      <c r="DV516" s="653"/>
      <c r="DW516" s="653"/>
      <c r="DX516" s="653"/>
      <c r="DY516" s="653"/>
      <c r="DZ516" s="653"/>
      <c r="EA516" s="653"/>
      <c r="EB516" s="653"/>
      <c r="EC516" s="653"/>
      <c r="ED516" s="653"/>
      <c r="EE516" s="648"/>
      <c r="EF516" s="651"/>
      <c r="EG516" s="651"/>
      <c r="EH516" s="651"/>
      <c r="EI516" s="216"/>
      <c r="EJ516" s="662"/>
      <c r="EK516" s="662"/>
      <c r="EL516" s="662"/>
      <c r="EM516" s="662"/>
      <c r="EN516" s="662"/>
      <c r="EO516" s="662"/>
      <c r="EP516" s="662"/>
      <c r="EQ516" s="662"/>
      <c r="ER516" s="662"/>
      <c r="ES516" s="662"/>
      <c r="ET516" s="662"/>
      <c r="EU516" s="662"/>
      <c r="EV516" s="662"/>
      <c r="EW516" s="662"/>
      <c r="EX516" s="662"/>
      <c r="EY516" s="662"/>
      <c r="EZ516" s="662"/>
      <c r="FA516" s="662"/>
      <c r="FB516" s="662"/>
      <c r="FC516" s="662"/>
      <c r="FD516" s="662"/>
      <c r="FE516" s="662"/>
      <c r="FF516" s="662"/>
      <c r="FG516" s="662"/>
      <c r="FH516" s="662"/>
      <c r="FI516" s="662"/>
      <c r="FJ516" s="662"/>
      <c r="FK516" s="662"/>
      <c r="FL516" s="662"/>
      <c r="FM516" s="662"/>
      <c r="FN516" s="662"/>
      <c r="FO516" s="662"/>
      <c r="FP516" s="662"/>
      <c r="FQ516" s="662"/>
      <c r="FR516" s="662"/>
      <c r="FS516" s="662"/>
      <c r="FT516" s="662"/>
      <c r="FU516" s="662"/>
      <c r="FV516" s="662"/>
      <c r="FW516" s="662"/>
      <c r="FX516" s="662"/>
      <c r="FY516" s="662"/>
      <c r="FZ516" s="662"/>
      <c r="GA516" s="662"/>
      <c r="GB516" s="662"/>
      <c r="GC516" s="662"/>
      <c r="GD516" s="662"/>
      <c r="GE516" s="662"/>
      <c r="GF516" s="662"/>
      <c r="GG516" s="662"/>
      <c r="GH516" s="662"/>
      <c r="GI516" s="662"/>
      <c r="GJ516" s="662"/>
      <c r="GK516" s="662"/>
      <c r="GL516" s="662"/>
      <c r="GM516" s="662"/>
      <c r="GN516" s="662"/>
      <c r="GO516" s="662"/>
      <c r="GP516" s="662"/>
      <c r="GQ516" s="662"/>
      <c r="GR516" s="662"/>
      <c r="GS516" s="662"/>
      <c r="GT516" s="662"/>
      <c r="GU516" s="662"/>
      <c r="GV516" s="662"/>
      <c r="GW516" s="662"/>
      <c r="GX516" s="662"/>
      <c r="GY516" s="662"/>
      <c r="GZ516" s="662"/>
      <c r="HA516" s="662"/>
      <c r="HB516" s="662"/>
      <c r="HC516" s="662"/>
      <c r="HD516" s="662"/>
      <c r="HE516" s="662"/>
      <c r="HF516" s="662"/>
      <c r="HG516" s="662"/>
      <c r="HH516" s="662"/>
      <c r="HI516" s="662"/>
      <c r="HJ516" s="662"/>
      <c r="HK516" s="662"/>
      <c r="HL516" s="662"/>
      <c r="HM516" s="662"/>
      <c r="HN516" s="662"/>
      <c r="HO516" s="662"/>
      <c r="HP516" s="662"/>
      <c r="HQ516" s="662"/>
      <c r="HR516" s="662"/>
      <c r="HS516" s="662"/>
      <c r="HT516" s="662"/>
      <c r="HU516" s="662"/>
      <c r="HV516" s="662"/>
      <c r="HW516" s="662"/>
      <c r="HX516" s="662"/>
      <c r="HY516" s="662"/>
      <c r="HZ516" s="662"/>
      <c r="IA516" s="662"/>
      <c r="IB516" s="662"/>
      <c r="IC516" s="662"/>
      <c r="ID516" s="662"/>
      <c r="IE516" s="662"/>
      <c r="IF516" s="662"/>
      <c r="IG516" s="662"/>
      <c r="IH516" s="662"/>
      <c r="II516" s="662"/>
      <c r="IJ516" s="662"/>
      <c r="IK516" s="662"/>
      <c r="IL516" s="662"/>
      <c r="IM516" s="662"/>
      <c r="IN516" s="662"/>
      <c r="IO516" s="662"/>
      <c r="IP516" s="662"/>
      <c r="IQ516" s="653"/>
    </row>
    <row r="517" spans="18:251" ht="16.5" hidden="1" customHeight="1">
      <c r="R517" s="648"/>
      <c r="S517" s="648"/>
      <c r="T517" s="648"/>
      <c r="U517" s="653"/>
      <c r="V517" s="649"/>
      <c r="W517" s="653"/>
      <c r="X517" s="653"/>
      <c r="Y517" s="653"/>
      <c r="Z517" s="653"/>
      <c r="AA517" s="653"/>
      <c r="AB517" s="653"/>
      <c r="AC517" s="653"/>
      <c r="AD517" s="653"/>
      <c r="AE517" s="653"/>
      <c r="AF517" s="653"/>
      <c r="AG517" s="653"/>
      <c r="AH517" s="653"/>
      <c r="AI517" s="653"/>
      <c r="AJ517" s="653"/>
      <c r="AK517" s="653"/>
      <c r="AL517" s="653"/>
      <c r="AM517" s="653"/>
      <c r="AN517" s="653"/>
      <c r="AO517" s="653"/>
      <c r="AP517" s="653"/>
      <c r="AQ517" s="653"/>
      <c r="AR517" s="653"/>
      <c r="AS517" s="653"/>
      <c r="AT517" s="653"/>
      <c r="AU517" s="653"/>
      <c r="AV517" s="653"/>
      <c r="AW517" s="653"/>
      <c r="AX517" s="653"/>
      <c r="AY517" s="653"/>
      <c r="AZ517" s="653"/>
      <c r="BA517" s="653"/>
      <c r="BB517" s="653"/>
      <c r="BC517" s="653"/>
      <c r="BD517" s="653"/>
      <c r="BE517" s="653"/>
      <c r="BF517" s="653"/>
      <c r="BG517" s="653"/>
      <c r="BH517" s="653"/>
      <c r="BI517" s="653"/>
      <c r="BJ517" s="653"/>
      <c r="BK517" s="653"/>
      <c r="BL517" s="653"/>
      <c r="BM517" s="653"/>
      <c r="BN517" s="653"/>
      <c r="BO517" s="653"/>
      <c r="BP517" s="653"/>
      <c r="BQ517" s="653"/>
      <c r="BR517" s="653"/>
      <c r="BS517" s="653"/>
      <c r="BT517" s="653"/>
      <c r="BU517" s="653"/>
      <c r="BV517" s="653"/>
      <c r="BW517" s="653"/>
      <c r="BX517" s="653"/>
      <c r="BY517" s="653"/>
      <c r="BZ517" s="653"/>
      <c r="CA517" s="653"/>
      <c r="CB517" s="653"/>
      <c r="CC517" s="653"/>
      <c r="CD517" s="653"/>
      <c r="CE517" s="653"/>
      <c r="CF517" s="653"/>
      <c r="CG517" s="653"/>
      <c r="CH517" s="653"/>
      <c r="CI517" s="653"/>
      <c r="CJ517" s="653"/>
      <c r="CK517" s="653"/>
      <c r="CL517" s="653"/>
      <c r="CM517" s="653"/>
      <c r="CN517" s="653"/>
      <c r="CO517" s="653"/>
      <c r="CP517" s="653"/>
      <c r="CQ517" s="653"/>
      <c r="CR517" s="653"/>
      <c r="CS517" s="653"/>
      <c r="CT517" s="653"/>
      <c r="CU517" s="653"/>
      <c r="CV517" s="653"/>
      <c r="CW517" s="653"/>
      <c r="CX517" s="653"/>
      <c r="CY517" s="653"/>
      <c r="CZ517" s="653"/>
      <c r="DA517" s="653"/>
      <c r="DB517" s="653"/>
      <c r="DC517" s="653"/>
      <c r="DD517" s="653"/>
      <c r="DE517" s="653"/>
      <c r="DF517" s="653"/>
      <c r="DG517" s="653"/>
      <c r="DH517" s="653"/>
      <c r="DI517" s="653"/>
      <c r="DJ517" s="653"/>
      <c r="DK517" s="653"/>
      <c r="DL517" s="653"/>
      <c r="DM517" s="653"/>
      <c r="DN517" s="653"/>
      <c r="DO517" s="653"/>
      <c r="DP517" s="653"/>
      <c r="DQ517" s="653"/>
      <c r="DR517" s="653"/>
      <c r="DS517" s="653"/>
      <c r="DT517" s="653"/>
      <c r="DU517" s="653"/>
      <c r="DV517" s="653"/>
      <c r="DW517" s="653"/>
      <c r="DX517" s="653"/>
      <c r="DY517" s="653"/>
      <c r="DZ517" s="653"/>
      <c r="EA517" s="653"/>
      <c r="EB517" s="653"/>
      <c r="EC517" s="653"/>
      <c r="ED517" s="653"/>
      <c r="EE517" s="648"/>
      <c r="EF517" s="651"/>
      <c r="EG517" s="651"/>
      <c r="EH517" s="651"/>
      <c r="EI517" s="216"/>
      <c r="EJ517" s="662"/>
      <c r="EK517" s="662"/>
      <c r="EL517" s="662"/>
      <c r="EM517" s="662"/>
      <c r="EN517" s="662"/>
      <c r="EO517" s="662"/>
      <c r="EP517" s="662"/>
      <c r="EQ517" s="662"/>
      <c r="ER517" s="662"/>
      <c r="ES517" s="662"/>
      <c r="ET517" s="662"/>
      <c r="EU517" s="662"/>
      <c r="EV517" s="662"/>
      <c r="EW517" s="662"/>
      <c r="EX517" s="662"/>
      <c r="EY517" s="662"/>
      <c r="EZ517" s="662"/>
      <c r="FA517" s="662"/>
      <c r="FB517" s="662"/>
      <c r="FC517" s="662"/>
      <c r="FD517" s="662"/>
      <c r="FE517" s="662"/>
      <c r="FF517" s="662"/>
      <c r="FG517" s="662"/>
      <c r="FH517" s="662"/>
      <c r="FI517" s="662"/>
      <c r="FJ517" s="662"/>
      <c r="FK517" s="662"/>
      <c r="FL517" s="662"/>
      <c r="FM517" s="662"/>
      <c r="FN517" s="662"/>
      <c r="FO517" s="662"/>
      <c r="FP517" s="662"/>
      <c r="FQ517" s="662"/>
      <c r="FR517" s="662"/>
      <c r="FS517" s="662"/>
      <c r="FT517" s="662"/>
      <c r="FU517" s="662"/>
      <c r="FV517" s="662"/>
      <c r="FW517" s="662"/>
      <c r="FX517" s="662"/>
      <c r="FY517" s="662"/>
      <c r="FZ517" s="662"/>
      <c r="GA517" s="662"/>
      <c r="GB517" s="662"/>
      <c r="GC517" s="662"/>
      <c r="GD517" s="662"/>
      <c r="GE517" s="662"/>
      <c r="GF517" s="662"/>
      <c r="GG517" s="662"/>
      <c r="GH517" s="662"/>
      <c r="GI517" s="662"/>
      <c r="GJ517" s="662"/>
      <c r="GK517" s="662"/>
      <c r="GL517" s="662"/>
      <c r="GM517" s="662"/>
      <c r="GN517" s="662"/>
      <c r="GO517" s="662"/>
      <c r="GP517" s="662"/>
      <c r="GQ517" s="662"/>
      <c r="GR517" s="662"/>
      <c r="GS517" s="662"/>
      <c r="GT517" s="662"/>
      <c r="GU517" s="662"/>
      <c r="GV517" s="662"/>
      <c r="GW517" s="662"/>
      <c r="GX517" s="662"/>
      <c r="GY517" s="662"/>
      <c r="GZ517" s="662"/>
      <c r="HA517" s="662"/>
      <c r="HB517" s="662"/>
      <c r="HC517" s="662"/>
      <c r="HD517" s="662"/>
      <c r="HE517" s="662"/>
      <c r="HF517" s="662"/>
      <c r="HG517" s="662"/>
      <c r="HH517" s="662"/>
      <c r="HI517" s="662"/>
      <c r="HJ517" s="662"/>
      <c r="HK517" s="662"/>
      <c r="HL517" s="662"/>
      <c r="HM517" s="662"/>
      <c r="HN517" s="662"/>
      <c r="HO517" s="662"/>
      <c r="HP517" s="662"/>
      <c r="HQ517" s="662"/>
      <c r="HR517" s="662"/>
      <c r="HS517" s="662"/>
      <c r="HT517" s="662"/>
      <c r="HU517" s="662"/>
      <c r="HV517" s="662"/>
      <c r="HW517" s="662"/>
      <c r="HX517" s="662"/>
      <c r="HY517" s="662"/>
      <c r="HZ517" s="662"/>
      <c r="IA517" s="662"/>
      <c r="IB517" s="662"/>
      <c r="IC517" s="662"/>
      <c r="ID517" s="662"/>
      <c r="IE517" s="662"/>
      <c r="IF517" s="662"/>
      <c r="IG517" s="662"/>
      <c r="IH517" s="662"/>
      <c r="II517" s="662"/>
      <c r="IJ517" s="662"/>
      <c r="IK517" s="662"/>
      <c r="IL517" s="662"/>
      <c r="IM517" s="662"/>
      <c r="IN517" s="662"/>
      <c r="IO517" s="662"/>
      <c r="IP517" s="662"/>
      <c r="IQ517" s="653"/>
    </row>
    <row r="518" spans="18:251" ht="16.5" hidden="1" customHeight="1">
      <c r="R518" s="648"/>
      <c r="S518" s="648"/>
      <c r="T518" s="648"/>
      <c r="U518" s="653"/>
      <c r="V518" s="649"/>
      <c r="W518" s="653"/>
      <c r="X518" s="653"/>
      <c r="Y518" s="653"/>
      <c r="Z518" s="653"/>
      <c r="AA518" s="653"/>
      <c r="AB518" s="653"/>
      <c r="AC518" s="653"/>
      <c r="AD518" s="653"/>
      <c r="AE518" s="653"/>
      <c r="AF518" s="653"/>
      <c r="AG518" s="653"/>
      <c r="AH518" s="653"/>
      <c r="AI518" s="653"/>
      <c r="AJ518" s="653"/>
      <c r="AK518" s="653"/>
      <c r="AL518" s="653"/>
      <c r="AM518" s="653"/>
      <c r="AN518" s="653"/>
      <c r="AO518" s="653"/>
      <c r="AP518" s="653"/>
      <c r="AQ518" s="653"/>
      <c r="AR518" s="653"/>
      <c r="AS518" s="653"/>
      <c r="AT518" s="653"/>
      <c r="AU518" s="653"/>
      <c r="AV518" s="653"/>
      <c r="AW518" s="653"/>
      <c r="AX518" s="653"/>
      <c r="AY518" s="653"/>
      <c r="AZ518" s="653"/>
      <c r="BA518" s="653"/>
      <c r="BB518" s="653"/>
      <c r="BC518" s="653"/>
      <c r="BD518" s="653"/>
      <c r="BE518" s="653"/>
      <c r="BF518" s="653"/>
      <c r="BG518" s="653"/>
      <c r="BH518" s="653"/>
      <c r="BI518" s="653"/>
      <c r="BJ518" s="653"/>
      <c r="BK518" s="653"/>
      <c r="BL518" s="653"/>
      <c r="BM518" s="653"/>
      <c r="BN518" s="653"/>
      <c r="BO518" s="653"/>
      <c r="BP518" s="653"/>
      <c r="BQ518" s="653"/>
      <c r="BR518" s="653"/>
      <c r="BS518" s="653"/>
      <c r="BT518" s="653"/>
      <c r="BU518" s="653"/>
      <c r="BV518" s="653"/>
      <c r="BW518" s="653"/>
      <c r="BX518" s="653"/>
      <c r="BY518" s="653"/>
      <c r="BZ518" s="653"/>
      <c r="CA518" s="653"/>
      <c r="CB518" s="653"/>
      <c r="CC518" s="653"/>
      <c r="CD518" s="653"/>
      <c r="CE518" s="653"/>
      <c r="CF518" s="653"/>
      <c r="CG518" s="653"/>
      <c r="CH518" s="653"/>
      <c r="CI518" s="653"/>
      <c r="CJ518" s="653"/>
      <c r="CK518" s="653"/>
      <c r="CL518" s="653"/>
      <c r="CM518" s="653"/>
      <c r="CN518" s="653"/>
      <c r="CO518" s="653"/>
      <c r="CP518" s="653"/>
      <c r="CQ518" s="653"/>
      <c r="CR518" s="653"/>
      <c r="CS518" s="653"/>
      <c r="CT518" s="653"/>
      <c r="CU518" s="653"/>
      <c r="CV518" s="653"/>
      <c r="CW518" s="653"/>
      <c r="CX518" s="653"/>
      <c r="CY518" s="653"/>
      <c r="CZ518" s="653"/>
      <c r="DA518" s="653"/>
      <c r="DB518" s="653"/>
      <c r="DC518" s="653"/>
      <c r="DD518" s="653"/>
      <c r="DE518" s="653"/>
      <c r="DF518" s="653"/>
      <c r="DG518" s="653"/>
      <c r="DH518" s="653"/>
      <c r="DI518" s="653"/>
      <c r="DJ518" s="653"/>
      <c r="DK518" s="653"/>
      <c r="DL518" s="653"/>
      <c r="DM518" s="653"/>
      <c r="DN518" s="653"/>
      <c r="DO518" s="653"/>
      <c r="DP518" s="653"/>
      <c r="DQ518" s="653"/>
      <c r="DR518" s="653"/>
      <c r="DS518" s="653"/>
      <c r="DT518" s="653"/>
      <c r="DU518" s="653"/>
      <c r="DV518" s="653"/>
      <c r="DW518" s="653"/>
      <c r="DX518" s="653"/>
      <c r="DY518" s="653"/>
      <c r="DZ518" s="653"/>
      <c r="EA518" s="653"/>
      <c r="EB518" s="653"/>
      <c r="EC518" s="653"/>
      <c r="ED518" s="653"/>
      <c r="EE518" s="648"/>
      <c r="EF518" s="651"/>
      <c r="EG518" s="651"/>
      <c r="EH518" s="651"/>
      <c r="EI518" s="216"/>
      <c r="EJ518" s="662"/>
      <c r="EK518" s="662"/>
      <c r="EL518" s="662"/>
      <c r="EM518" s="662"/>
      <c r="EN518" s="662"/>
      <c r="EO518" s="662"/>
      <c r="EP518" s="662"/>
      <c r="EQ518" s="662"/>
      <c r="ER518" s="662"/>
      <c r="ES518" s="662"/>
      <c r="ET518" s="662"/>
      <c r="EU518" s="662"/>
      <c r="EV518" s="662"/>
      <c r="EW518" s="662"/>
      <c r="EX518" s="662"/>
      <c r="EY518" s="662"/>
      <c r="EZ518" s="662"/>
      <c r="FA518" s="662"/>
      <c r="FB518" s="662"/>
      <c r="FC518" s="662"/>
      <c r="FD518" s="662"/>
      <c r="FE518" s="662"/>
      <c r="FF518" s="662"/>
      <c r="FG518" s="662"/>
      <c r="FH518" s="662"/>
      <c r="FI518" s="662"/>
      <c r="FJ518" s="662"/>
      <c r="FK518" s="662"/>
      <c r="FL518" s="662"/>
      <c r="FM518" s="662"/>
      <c r="FN518" s="662"/>
      <c r="FO518" s="662"/>
      <c r="FP518" s="662"/>
      <c r="FQ518" s="662"/>
      <c r="FR518" s="662"/>
      <c r="FS518" s="662"/>
      <c r="FT518" s="662"/>
      <c r="FU518" s="662"/>
      <c r="FV518" s="662"/>
      <c r="FW518" s="662"/>
      <c r="FX518" s="662"/>
      <c r="FY518" s="662"/>
      <c r="FZ518" s="662"/>
      <c r="GA518" s="662"/>
      <c r="GB518" s="662"/>
      <c r="GC518" s="662"/>
      <c r="GD518" s="662"/>
      <c r="GE518" s="662"/>
      <c r="GF518" s="662"/>
      <c r="GG518" s="662"/>
      <c r="GH518" s="662"/>
      <c r="GI518" s="662"/>
      <c r="GJ518" s="662"/>
      <c r="GK518" s="662"/>
      <c r="GL518" s="662"/>
      <c r="GM518" s="662"/>
      <c r="GN518" s="662"/>
      <c r="GO518" s="662"/>
      <c r="GP518" s="662"/>
      <c r="GQ518" s="662"/>
      <c r="GR518" s="662"/>
      <c r="GS518" s="662"/>
      <c r="GT518" s="662"/>
      <c r="GU518" s="662"/>
      <c r="GV518" s="662"/>
      <c r="GW518" s="662"/>
      <c r="GX518" s="662"/>
      <c r="GY518" s="662"/>
      <c r="GZ518" s="662"/>
      <c r="HA518" s="662"/>
      <c r="HB518" s="662"/>
      <c r="HC518" s="662"/>
      <c r="HD518" s="662"/>
      <c r="HE518" s="662"/>
      <c r="HF518" s="662"/>
      <c r="HG518" s="662"/>
      <c r="HH518" s="662"/>
      <c r="HI518" s="662"/>
      <c r="HJ518" s="662"/>
      <c r="HK518" s="662"/>
      <c r="HL518" s="662"/>
      <c r="HM518" s="662"/>
      <c r="HN518" s="662"/>
      <c r="HO518" s="662"/>
      <c r="HP518" s="662"/>
      <c r="HQ518" s="662"/>
      <c r="HR518" s="662"/>
      <c r="HS518" s="662"/>
      <c r="HT518" s="662"/>
      <c r="HU518" s="662"/>
      <c r="HV518" s="662"/>
      <c r="HW518" s="662"/>
      <c r="HX518" s="662"/>
      <c r="HY518" s="662"/>
      <c r="HZ518" s="662"/>
      <c r="IA518" s="662"/>
      <c r="IB518" s="662"/>
      <c r="IC518" s="662"/>
      <c r="ID518" s="662"/>
      <c r="IE518" s="662"/>
      <c r="IF518" s="662"/>
      <c r="IG518" s="662"/>
      <c r="IH518" s="662"/>
      <c r="II518" s="662"/>
      <c r="IJ518" s="662"/>
      <c r="IK518" s="662"/>
      <c r="IL518" s="662"/>
      <c r="IM518" s="662"/>
      <c r="IN518" s="662"/>
      <c r="IO518" s="662"/>
      <c r="IP518" s="662"/>
      <c r="IQ518" s="653"/>
    </row>
    <row r="521" spans="18:251" s="215" customFormat="1" ht="16.5" hidden="1" customHeight="1">
      <c r="R521" s="215" t="s">
        <v>316</v>
      </c>
      <c r="V521" s="214" t="str">
        <f t="shared" ref="V521:V522" si="8">S521&amp;TEXT(T521,"00")&amp;TEXT(U521,"00")</f>
        <v>0000</v>
      </c>
      <c r="EE521" s="215" t="s">
        <v>315</v>
      </c>
      <c r="EI521" s="216" t="str">
        <f t="shared" ref="EI521:EI522" si="9">EF521&amp;TEXT(EG521,"00")&amp;TEXT(EH521,"00")</f>
        <v>0000</v>
      </c>
    </row>
    <row r="522" spans="18:251" ht="16.5" hidden="1" customHeight="1">
      <c r="R522" s="69" t="s">
        <v>76</v>
      </c>
      <c r="S522" s="69" t="s">
        <v>77</v>
      </c>
      <c r="T522" s="69" t="s">
        <v>78</v>
      </c>
      <c r="U522" s="69" t="s">
        <v>79</v>
      </c>
      <c r="V522" s="214" t="str">
        <f t="shared" si="8"/>
        <v>商品代號性別年齡</v>
      </c>
      <c r="W522" s="69" t="s">
        <v>80</v>
      </c>
      <c r="X522" s="69" t="s">
        <v>81</v>
      </c>
      <c r="Y522" s="69" t="s">
        <v>82</v>
      </c>
      <c r="Z522" s="69" t="s">
        <v>83</v>
      </c>
      <c r="AA522" s="69" t="s">
        <v>84</v>
      </c>
      <c r="AB522" s="69" t="s">
        <v>85</v>
      </c>
      <c r="AC522" s="69" t="s">
        <v>86</v>
      </c>
      <c r="AD522" s="69" t="s">
        <v>87</v>
      </c>
      <c r="AE522" s="69" t="s">
        <v>88</v>
      </c>
      <c r="AF522" s="69" t="s">
        <v>89</v>
      </c>
      <c r="AG522" s="69" t="s">
        <v>90</v>
      </c>
      <c r="AH522" s="69" t="s">
        <v>91</v>
      </c>
      <c r="AI522" s="69" t="s">
        <v>92</v>
      </c>
      <c r="AJ522" s="69" t="s">
        <v>93</v>
      </c>
      <c r="AK522" s="69" t="s">
        <v>94</v>
      </c>
      <c r="AL522" s="69" t="s">
        <v>95</v>
      </c>
      <c r="AM522" s="69" t="s">
        <v>96</v>
      </c>
      <c r="AN522" s="69" t="s">
        <v>97</v>
      </c>
      <c r="AO522" s="69" t="s">
        <v>98</v>
      </c>
      <c r="AP522" s="69" t="s">
        <v>99</v>
      </c>
      <c r="AQ522" s="69" t="s">
        <v>100</v>
      </c>
      <c r="AR522" s="69" t="s">
        <v>101</v>
      </c>
      <c r="AS522" s="69" t="s">
        <v>102</v>
      </c>
      <c r="AT522" s="69" t="s">
        <v>103</v>
      </c>
      <c r="AU522" s="69" t="s">
        <v>104</v>
      </c>
      <c r="AV522" s="69" t="s">
        <v>105</v>
      </c>
      <c r="AW522" s="69" t="s">
        <v>106</v>
      </c>
      <c r="AX522" s="69" t="s">
        <v>107</v>
      </c>
      <c r="AY522" s="69" t="s">
        <v>108</v>
      </c>
      <c r="AZ522" s="69" t="s">
        <v>109</v>
      </c>
      <c r="BA522" s="69" t="s">
        <v>110</v>
      </c>
      <c r="BB522" s="69" t="s">
        <v>111</v>
      </c>
      <c r="BC522" s="69" t="s">
        <v>112</v>
      </c>
      <c r="BD522" s="69" t="s">
        <v>113</v>
      </c>
      <c r="BE522" s="69" t="s">
        <v>114</v>
      </c>
      <c r="BF522" s="69" t="s">
        <v>115</v>
      </c>
      <c r="BG522" s="69" t="s">
        <v>116</v>
      </c>
      <c r="BH522" s="69" t="s">
        <v>117</v>
      </c>
      <c r="BI522" s="69" t="s">
        <v>118</v>
      </c>
      <c r="BJ522" s="69" t="s">
        <v>119</v>
      </c>
      <c r="BK522" s="69" t="s">
        <v>120</v>
      </c>
      <c r="BL522" s="69" t="s">
        <v>121</v>
      </c>
      <c r="BM522" s="69" t="s">
        <v>122</v>
      </c>
      <c r="BN522" s="69" t="s">
        <v>123</v>
      </c>
      <c r="BO522" s="69" t="s">
        <v>124</v>
      </c>
      <c r="BP522" s="69" t="s">
        <v>125</v>
      </c>
      <c r="BQ522" s="69" t="s">
        <v>126</v>
      </c>
      <c r="BR522" s="69" t="s">
        <v>127</v>
      </c>
      <c r="BS522" s="69" t="s">
        <v>128</v>
      </c>
      <c r="BT522" s="69" t="s">
        <v>129</v>
      </c>
      <c r="BU522" s="69" t="s">
        <v>130</v>
      </c>
      <c r="BV522" s="69" t="s">
        <v>131</v>
      </c>
      <c r="BW522" s="69" t="s">
        <v>132</v>
      </c>
      <c r="BX522" s="69" t="s">
        <v>133</v>
      </c>
      <c r="BY522" s="69" t="s">
        <v>134</v>
      </c>
      <c r="BZ522" s="69" t="s">
        <v>135</v>
      </c>
      <c r="CA522" s="69" t="s">
        <v>136</v>
      </c>
      <c r="CB522" s="69" t="s">
        <v>137</v>
      </c>
      <c r="CC522" s="69" t="s">
        <v>138</v>
      </c>
      <c r="CD522" s="69" t="s">
        <v>139</v>
      </c>
      <c r="CE522" s="69" t="s">
        <v>140</v>
      </c>
      <c r="CF522" s="69" t="s">
        <v>141</v>
      </c>
      <c r="CG522" s="69" t="s">
        <v>142</v>
      </c>
      <c r="CH522" s="69" t="s">
        <v>143</v>
      </c>
      <c r="CI522" s="69" t="s">
        <v>144</v>
      </c>
      <c r="CJ522" s="69" t="s">
        <v>145</v>
      </c>
      <c r="CK522" s="69" t="s">
        <v>146</v>
      </c>
      <c r="CL522" s="69" t="s">
        <v>147</v>
      </c>
      <c r="CM522" s="69" t="s">
        <v>148</v>
      </c>
      <c r="CN522" s="69" t="s">
        <v>149</v>
      </c>
      <c r="CO522" s="69" t="s">
        <v>150</v>
      </c>
      <c r="CP522" s="69" t="s">
        <v>151</v>
      </c>
      <c r="CQ522" s="69" t="s">
        <v>152</v>
      </c>
      <c r="CR522" s="69" t="s">
        <v>153</v>
      </c>
      <c r="CS522" s="69" t="s">
        <v>154</v>
      </c>
      <c r="CT522" s="69" t="s">
        <v>155</v>
      </c>
      <c r="CU522" s="69" t="s">
        <v>156</v>
      </c>
      <c r="CV522" s="69" t="s">
        <v>157</v>
      </c>
      <c r="CW522" s="69" t="s">
        <v>158</v>
      </c>
      <c r="CX522" s="69" t="s">
        <v>159</v>
      </c>
      <c r="CY522" s="69" t="s">
        <v>160</v>
      </c>
      <c r="CZ522" s="69" t="s">
        <v>161</v>
      </c>
      <c r="DA522" s="69" t="s">
        <v>162</v>
      </c>
      <c r="DB522" s="69" t="s">
        <v>163</v>
      </c>
      <c r="DC522" s="69" t="s">
        <v>164</v>
      </c>
      <c r="DD522" s="69" t="s">
        <v>165</v>
      </c>
      <c r="DE522" s="69" t="s">
        <v>166</v>
      </c>
      <c r="DF522" s="69" t="s">
        <v>167</v>
      </c>
      <c r="DG522" s="69" t="s">
        <v>168</v>
      </c>
      <c r="DH522" s="69" t="s">
        <v>169</v>
      </c>
      <c r="DI522" s="69" t="s">
        <v>170</v>
      </c>
      <c r="DJ522" s="69" t="s">
        <v>171</v>
      </c>
      <c r="DK522" s="69" t="s">
        <v>172</v>
      </c>
      <c r="DL522" s="69" t="s">
        <v>173</v>
      </c>
      <c r="DM522" s="69" t="s">
        <v>174</v>
      </c>
      <c r="DN522" s="69" t="s">
        <v>175</v>
      </c>
      <c r="DO522" s="69" t="s">
        <v>176</v>
      </c>
      <c r="DP522" s="69" t="s">
        <v>177</v>
      </c>
      <c r="DQ522" s="69" t="s">
        <v>178</v>
      </c>
      <c r="DR522" s="69" t="s">
        <v>179</v>
      </c>
      <c r="DS522" s="69" t="s">
        <v>180</v>
      </c>
      <c r="DT522" s="69" t="s">
        <v>181</v>
      </c>
      <c r="DU522" s="69" t="s">
        <v>182</v>
      </c>
      <c r="DV522" s="69" t="s">
        <v>183</v>
      </c>
      <c r="DW522" s="69" t="s">
        <v>184</v>
      </c>
      <c r="DX522" s="69" t="s">
        <v>185</v>
      </c>
      <c r="DY522" s="69" t="s">
        <v>186</v>
      </c>
      <c r="DZ522" s="69" t="s">
        <v>187</v>
      </c>
      <c r="EA522" s="69" t="s">
        <v>188</v>
      </c>
      <c r="EB522" s="69" t="s">
        <v>189</v>
      </c>
      <c r="EC522" s="69" t="s">
        <v>190</v>
      </c>
      <c r="EE522" s="69" t="s">
        <v>76</v>
      </c>
      <c r="EF522" s="69" t="s">
        <v>77</v>
      </c>
      <c r="EG522" s="69" t="s">
        <v>78</v>
      </c>
      <c r="EH522" s="69" t="s">
        <v>79</v>
      </c>
      <c r="EI522" s="216" t="str">
        <f t="shared" si="9"/>
        <v>商品代號性別年齡</v>
      </c>
      <c r="EJ522" s="69" t="s">
        <v>451</v>
      </c>
      <c r="EK522" s="69" t="s">
        <v>452</v>
      </c>
      <c r="EL522" s="69" t="s">
        <v>453</v>
      </c>
      <c r="EM522" s="69" t="s">
        <v>454</v>
      </c>
      <c r="EN522" s="69" t="s">
        <v>455</v>
      </c>
      <c r="EO522" s="69" t="s">
        <v>456</v>
      </c>
      <c r="EP522" s="69" t="s">
        <v>457</v>
      </c>
      <c r="EQ522" s="69" t="s">
        <v>458</v>
      </c>
      <c r="ER522" s="69" t="s">
        <v>459</v>
      </c>
      <c r="ES522" s="69" t="s">
        <v>460</v>
      </c>
      <c r="ET522" s="69" t="s">
        <v>461</v>
      </c>
      <c r="EU522" s="69" t="s">
        <v>462</v>
      </c>
      <c r="EV522" s="69" t="s">
        <v>463</v>
      </c>
      <c r="EW522" s="69" t="s">
        <v>464</v>
      </c>
      <c r="EX522" s="69" t="s">
        <v>465</v>
      </c>
      <c r="EY522" s="69" t="s">
        <v>466</v>
      </c>
      <c r="EZ522" s="69" t="s">
        <v>467</v>
      </c>
      <c r="FA522" s="69" t="s">
        <v>468</v>
      </c>
      <c r="FB522" s="69" t="s">
        <v>469</v>
      </c>
      <c r="FC522" s="69" t="s">
        <v>470</v>
      </c>
      <c r="FD522" s="69" t="s">
        <v>471</v>
      </c>
      <c r="FE522" s="69" t="s">
        <v>472</v>
      </c>
      <c r="FF522" s="69" t="s">
        <v>473</v>
      </c>
      <c r="FG522" s="69" t="s">
        <v>474</v>
      </c>
      <c r="FH522" s="69" t="s">
        <v>475</v>
      </c>
      <c r="FI522" s="69" t="s">
        <v>476</v>
      </c>
      <c r="FJ522" s="69" t="s">
        <v>477</v>
      </c>
      <c r="FK522" s="69" t="s">
        <v>478</v>
      </c>
      <c r="FL522" s="69" t="s">
        <v>479</v>
      </c>
      <c r="FM522" s="69" t="s">
        <v>480</v>
      </c>
      <c r="FN522" s="69" t="s">
        <v>481</v>
      </c>
      <c r="FO522" s="69" t="s">
        <v>482</v>
      </c>
      <c r="FP522" s="69" t="s">
        <v>483</v>
      </c>
      <c r="FQ522" s="69" t="s">
        <v>484</v>
      </c>
      <c r="FR522" s="69" t="s">
        <v>485</v>
      </c>
      <c r="FS522" s="69" t="s">
        <v>486</v>
      </c>
      <c r="FT522" s="69" t="s">
        <v>487</v>
      </c>
      <c r="FU522" s="69" t="s">
        <v>488</v>
      </c>
      <c r="FV522" s="69" t="s">
        <v>489</v>
      </c>
      <c r="FW522" s="69" t="s">
        <v>490</v>
      </c>
      <c r="FX522" s="69" t="s">
        <v>491</v>
      </c>
      <c r="FY522" s="69" t="s">
        <v>492</v>
      </c>
      <c r="FZ522" s="69" t="s">
        <v>493</v>
      </c>
      <c r="GA522" s="69" t="s">
        <v>494</v>
      </c>
      <c r="GB522" s="69" t="s">
        <v>495</v>
      </c>
      <c r="GC522" s="69" t="s">
        <v>496</v>
      </c>
      <c r="GD522" s="69" t="s">
        <v>497</v>
      </c>
      <c r="GE522" s="69" t="s">
        <v>498</v>
      </c>
      <c r="GF522" s="69" t="s">
        <v>499</v>
      </c>
      <c r="GG522" s="69" t="s">
        <v>500</v>
      </c>
      <c r="GH522" s="69" t="s">
        <v>501</v>
      </c>
      <c r="GI522" s="69" t="s">
        <v>502</v>
      </c>
      <c r="GJ522" s="69" t="s">
        <v>503</v>
      </c>
      <c r="GK522" s="69" t="s">
        <v>504</v>
      </c>
      <c r="GL522" s="69" t="s">
        <v>505</v>
      </c>
      <c r="GM522" s="69" t="s">
        <v>506</v>
      </c>
      <c r="GN522" s="69" t="s">
        <v>507</v>
      </c>
      <c r="GO522" s="69" t="s">
        <v>508</v>
      </c>
      <c r="GP522" s="69" t="s">
        <v>509</v>
      </c>
      <c r="GQ522" s="69" t="s">
        <v>510</v>
      </c>
      <c r="GR522" s="69" t="s">
        <v>511</v>
      </c>
      <c r="GS522" s="69" t="s">
        <v>512</v>
      </c>
      <c r="GT522" s="69" t="s">
        <v>513</v>
      </c>
      <c r="GU522" s="69" t="s">
        <v>514</v>
      </c>
      <c r="GV522" s="69" t="s">
        <v>515</v>
      </c>
      <c r="GW522" s="69" t="s">
        <v>516</v>
      </c>
      <c r="GX522" s="69" t="s">
        <v>517</v>
      </c>
      <c r="GY522" s="69" t="s">
        <v>518</v>
      </c>
      <c r="GZ522" s="69" t="s">
        <v>519</v>
      </c>
      <c r="HA522" s="69" t="s">
        <v>520</v>
      </c>
      <c r="HB522" s="69" t="s">
        <v>521</v>
      </c>
      <c r="HC522" s="69" t="s">
        <v>522</v>
      </c>
      <c r="HD522" s="69" t="s">
        <v>523</v>
      </c>
      <c r="HE522" s="69" t="s">
        <v>524</v>
      </c>
      <c r="HF522" s="69" t="s">
        <v>525</v>
      </c>
      <c r="HG522" s="69" t="s">
        <v>526</v>
      </c>
      <c r="HH522" s="69" t="s">
        <v>527</v>
      </c>
      <c r="HI522" s="69" t="s">
        <v>528</v>
      </c>
      <c r="HJ522" s="69" t="s">
        <v>529</v>
      </c>
      <c r="HK522" s="69" t="s">
        <v>530</v>
      </c>
      <c r="HL522" s="69" t="s">
        <v>531</v>
      </c>
      <c r="HM522" s="69" t="s">
        <v>532</v>
      </c>
      <c r="HN522" s="69" t="s">
        <v>533</v>
      </c>
      <c r="HO522" s="69" t="s">
        <v>534</v>
      </c>
      <c r="HP522" s="69" t="s">
        <v>535</v>
      </c>
      <c r="HQ522" s="69" t="s">
        <v>536</v>
      </c>
      <c r="HR522" s="69" t="s">
        <v>537</v>
      </c>
      <c r="HS522" s="69" t="s">
        <v>538</v>
      </c>
      <c r="HT522" s="69" t="s">
        <v>539</v>
      </c>
      <c r="HU522" s="69" t="s">
        <v>540</v>
      </c>
      <c r="HV522" s="69" t="s">
        <v>541</v>
      </c>
      <c r="HW522" s="69" t="s">
        <v>542</v>
      </c>
      <c r="HX522" s="69" t="s">
        <v>543</v>
      </c>
      <c r="HY522" s="69" t="s">
        <v>544</v>
      </c>
      <c r="HZ522" s="69" t="s">
        <v>545</v>
      </c>
      <c r="IA522" s="69" t="s">
        <v>546</v>
      </c>
      <c r="IB522" s="69" t="s">
        <v>547</v>
      </c>
      <c r="IC522" s="69" t="s">
        <v>548</v>
      </c>
      <c r="ID522" s="69" t="s">
        <v>549</v>
      </c>
      <c r="IE522" s="69" t="s">
        <v>550</v>
      </c>
      <c r="IF522" s="69" t="s">
        <v>551</v>
      </c>
      <c r="IG522" s="69" t="s">
        <v>552</v>
      </c>
      <c r="IH522" s="69" t="s">
        <v>553</v>
      </c>
      <c r="II522" s="69" t="s">
        <v>554</v>
      </c>
      <c r="IJ522" s="69" t="s">
        <v>555</v>
      </c>
      <c r="IK522" s="69" t="s">
        <v>556</v>
      </c>
      <c r="IL522" s="69" t="s">
        <v>557</v>
      </c>
      <c r="IM522" s="69" t="s">
        <v>558</v>
      </c>
      <c r="IN522" s="69" t="s">
        <v>559</v>
      </c>
      <c r="IO522" s="69" t="s">
        <v>560</v>
      </c>
      <c r="IP522" s="69" t="s">
        <v>561</v>
      </c>
    </row>
    <row r="523" spans="18:251" ht="16.5" hidden="1" customHeight="1">
      <c r="R523" s="95" t="s">
        <v>450</v>
      </c>
      <c r="U523" s="654"/>
      <c r="V523" s="214"/>
      <c r="EE523" s="95" t="s">
        <v>450</v>
      </c>
      <c r="EI523" s="216"/>
    </row>
    <row r="524" spans="18:251" ht="16.5" hidden="1" customHeight="1">
      <c r="R524" s="95" t="s">
        <v>450</v>
      </c>
      <c r="V524" s="214"/>
      <c r="EE524" s="95" t="s">
        <v>450</v>
      </c>
      <c r="EI524" s="216"/>
    </row>
    <row r="525" spans="18:251" ht="16.5" hidden="1" customHeight="1">
      <c r="R525" s="95" t="s">
        <v>450</v>
      </c>
      <c r="V525" s="214"/>
      <c r="EE525" s="95" t="s">
        <v>450</v>
      </c>
      <c r="EI525" s="216"/>
    </row>
    <row r="526" spans="18:251" ht="16.5" hidden="1" customHeight="1">
      <c r="R526" s="95" t="s">
        <v>450</v>
      </c>
      <c r="V526" s="214"/>
      <c r="EE526" s="95" t="s">
        <v>450</v>
      </c>
      <c r="EI526" s="216"/>
    </row>
    <row r="527" spans="18:251" ht="16.5" hidden="1" customHeight="1">
      <c r="R527" s="95" t="s">
        <v>450</v>
      </c>
      <c r="V527" s="214"/>
      <c r="EE527" s="95" t="s">
        <v>450</v>
      </c>
      <c r="EI527" s="216"/>
    </row>
    <row r="528" spans="18:251" ht="16.5" hidden="1" customHeight="1">
      <c r="R528" s="95" t="s">
        <v>450</v>
      </c>
      <c r="V528" s="214"/>
      <c r="EE528" s="95" t="s">
        <v>450</v>
      </c>
      <c r="EI528" s="216"/>
    </row>
    <row r="529" spans="18:139" ht="16.5" hidden="1" customHeight="1">
      <c r="R529" s="95" t="s">
        <v>450</v>
      </c>
      <c r="V529" s="214"/>
      <c r="EE529" s="95" t="s">
        <v>450</v>
      </c>
      <c r="EI529" s="216"/>
    </row>
    <row r="530" spans="18:139" ht="16.5" hidden="1" customHeight="1">
      <c r="R530" s="95" t="s">
        <v>450</v>
      </c>
      <c r="V530" s="214"/>
      <c r="EE530" s="95" t="s">
        <v>450</v>
      </c>
      <c r="EI530" s="216"/>
    </row>
    <row r="531" spans="18:139" ht="16.5" hidden="1" customHeight="1">
      <c r="R531" s="95" t="s">
        <v>450</v>
      </c>
      <c r="V531" s="214"/>
      <c r="EE531" s="95" t="s">
        <v>450</v>
      </c>
      <c r="EI531" s="216"/>
    </row>
    <row r="532" spans="18:139" ht="16.5" hidden="1" customHeight="1">
      <c r="R532" s="95" t="s">
        <v>450</v>
      </c>
      <c r="V532" s="214"/>
      <c r="EE532" s="95" t="s">
        <v>450</v>
      </c>
      <c r="EI532" s="216"/>
    </row>
    <row r="533" spans="18:139" ht="16.5" hidden="1" customHeight="1">
      <c r="R533" s="95" t="s">
        <v>450</v>
      </c>
      <c r="V533" s="214"/>
      <c r="EE533" s="95" t="s">
        <v>450</v>
      </c>
      <c r="EI533" s="216"/>
    </row>
    <row r="534" spans="18:139" ht="16.5" hidden="1" customHeight="1">
      <c r="R534" s="95" t="s">
        <v>450</v>
      </c>
      <c r="V534" s="214"/>
      <c r="EE534" s="95" t="s">
        <v>450</v>
      </c>
      <c r="EI534" s="216"/>
    </row>
    <row r="535" spans="18:139" ht="16.5" hidden="1" customHeight="1">
      <c r="R535" s="95" t="s">
        <v>450</v>
      </c>
      <c r="V535" s="214"/>
      <c r="EE535" s="95" t="s">
        <v>450</v>
      </c>
      <c r="EI535" s="216"/>
    </row>
    <row r="536" spans="18:139" ht="16.5" hidden="1" customHeight="1">
      <c r="R536" s="95" t="s">
        <v>450</v>
      </c>
      <c r="V536" s="214"/>
      <c r="EE536" s="95" t="s">
        <v>450</v>
      </c>
      <c r="EI536" s="216"/>
    </row>
    <row r="537" spans="18:139" ht="16.5" hidden="1" customHeight="1">
      <c r="R537" s="95" t="s">
        <v>450</v>
      </c>
      <c r="V537" s="214"/>
      <c r="EE537" s="95" t="s">
        <v>450</v>
      </c>
      <c r="EI537" s="216"/>
    </row>
    <row r="538" spans="18:139" ht="16.5" hidden="1" customHeight="1">
      <c r="R538" s="95" t="s">
        <v>450</v>
      </c>
      <c r="V538" s="214"/>
      <c r="EE538" s="95" t="s">
        <v>450</v>
      </c>
      <c r="EI538" s="216"/>
    </row>
    <row r="539" spans="18:139" ht="16.5" hidden="1" customHeight="1">
      <c r="R539" s="95" t="s">
        <v>450</v>
      </c>
      <c r="V539" s="214"/>
      <c r="EE539" s="95" t="s">
        <v>450</v>
      </c>
      <c r="EI539" s="216"/>
    </row>
    <row r="540" spans="18:139" ht="16.5" hidden="1" customHeight="1">
      <c r="R540" s="95" t="s">
        <v>450</v>
      </c>
      <c r="V540" s="214"/>
      <c r="EE540" s="95" t="s">
        <v>450</v>
      </c>
      <c r="EI540" s="216"/>
    </row>
    <row r="541" spans="18:139" ht="16.5" hidden="1" customHeight="1">
      <c r="R541" s="95" t="s">
        <v>450</v>
      </c>
      <c r="V541" s="214"/>
      <c r="EE541" s="95" t="s">
        <v>450</v>
      </c>
      <c r="EI541" s="216"/>
    </row>
    <row r="542" spans="18:139" ht="16.5" hidden="1" customHeight="1">
      <c r="R542" s="95" t="s">
        <v>450</v>
      </c>
      <c r="V542" s="214"/>
      <c r="EE542" s="95" t="s">
        <v>450</v>
      </c>
      <c r="EI542" s="216"/>
    </row>
    <row r="543" spans="18:139" ht="16.5" hidden="1" customHeight="1">
      <c r="R543" s="95" t="s">
        <v>450</v>
      </c>
      <c r="V543" s="214"/>
      <c r="EE543" s="95" t="s">
        <v>450</v>
      </c>
      <c r="EI543" s="216"/>
    </row>
    <row r="544" spans="18:139" ht="16.5" hidden="1" customHeight="1">
      <c r="R544" s="95" t="s">
        <v>450</v>
      </c>
      <c r="V544" s="214"/>
      <c r="EE544" s="95" t="s">
        <v>450</v>
      </c>
      <c r="EI544" s="216"/>
    </row>
    <row r="545" spans="18:139" ht="16.5" hidden="1" customHeight="1">
      <c r="R545" s="95" t="s">
        <v>450</v>
      </c>
      <c r="V545" s="214"/>
      <c r="EE545" s="95" t="s">
        <v>450</v>
      </c>
      <c r="EI545" s="216"/>
    </row>
    <row r="546" spans="18:139" ht="16.5" hidden="1" customHeight="1">
      <c r="R546" s="95" t="s">
        <v>450</v>
      </c>
      <c r="V546" s="214"/>
      <c r="EE546" s="95" t="s">
        <v>450</v>
      </c>
      <c r="EI546" s="216"/>
    </row>
    <row r="547" spans="18:139" ht="16.5" hidden="1" customHeight="1">
      <c r="R547" s="95" t="s">
        <v>450</v>
      </c>
      <c r="V547" s="214"/>
      <c r="EE547" s="95" t="s">
        <v>450</v>
      </c>
      <c r="EI547" s="216"/>
    </row>
    <row r="548" spans="18:139" ht="16.5" hidden="1" customHeight="1">
      <c r="R548" s="95" t="s">
        <v>450</v>
      </c>
      <c r="V548" s="214"/>
      <c r="EE548" s="95" t="s">
        <v>450</v>
      </c>
      <c r="EI548" s="216"/>
    </row>
    <row r="549" spans="18:139" ht="16.5" hidden="1" customHeight="1">
      <c r="R549" s="95" t="s">
        <v>450</v>
      </c>
      <c r="V549" s="214"/>
      <c r="EE549" s="95" t="s">
        <v>450</v>
      </c>
      <c r="EI549" s="216"/>
    </row>
    <row r="550" spans="18:139" ht="16.5" hidden="1" customHeight="1">
      <c r="R550" s="95" t="s">
        <v>450</v>
      </c>
      <c r="V550" s="214"/>
      <c r="EE550" s="95" t="s">
        <v>450</v>
      </c>
      <c r="EI550" s="216"/>
    </row>
    <row r="551" spans="18:139" ht="16.5" hidden="1" customHeight="1">
      <c r="R551" s="95" t="s">
        <v>450</v>
      </c>
      <c r="V551" s="214"/>
      <c r="EE551" s="95" t="s">
        <v>450</v>
      </c>
      <c r="EI551" s="216"/>
    </row>
    <row r="552" spans="18:139" ht="16.5" hidden="1" customHeight="1">
      <c r="R552" s="95" t="s">
        <v>450</v>
      </c>
      <c r="V552" s="214"/>
      <c r="EE552" s="95" t="s">
        <v>450</v>
      </c>
      <c r="EI552" s="216"/>
    </row>
    <row r="553" spans="18:139" ht="16.5" hidden="1" customHeight="1">
      <c r="R553" s="95" t="s">
        <v>450</v>
      </c>
      <c r="V553" s="214"/>
      <c r="EE553" s="95" t="s">
        <v>450</v>
      </c>
      <c r="EI553" s="216"/>
    </row>
    <row r="554" spans="18:139" ht="16.5" hidden="1" customHeight="1">
      <c r="R554" s="95" t="s">
        <v>450</v>
      </c>
      <c r="V554" s="214"/>
      <c r="EE554" s="95" t="s">
        <v>450</v>
      </c>
      <c r="EI554" s="216"/>
    </row>
    <row r="555" spans="18:139" ht="16.5" hidden="1" customHeight="1">
      <c r="R555" s="95" t="s">
        <v>450</v>
      </c>
      <c r="V555" s="214"/>
      <c r="EE555" s="95" t="s">
        <v>450</v>
      </c>
      <c r="EI555" s="216"/>
    </row>
    <row r="556" spans="18:139" ht="16.5" hidden="1" customHeight="1">
      <c r="R556" s="95" t="s">
        <v>450</v>
      </c>
      <c r="V556" s="214"/>
      <c r="EE556" s="95" t="s">
        <v>450</v>
      </c>
      <c r="EI556" s="216"/>
    </row>
    <row r="557" spans="18:139" ht="16.5" hidden="1" customHeight="1">
      <c r="R557" s="95" t="s">
        <v>450</v>
      </c>
      <c r="V557" s="214"/>
      <c r="EE557" s="95" t="s">
        <v>450</v>
      </c>
      <c r="EI557" s="216"/>
    </row>
    <row r="558" spans="18:139" ht="16.5" hidden="1" customHeight="1">
      <c r="R558" s="95" t="s">
        <v>450</v>
      </c>
      <c r="V558" s="214"/>
      <c r="EE558" s="95" t="s">
        <v>450</v>
      </c>
      <c r="EI558" s="216"/>
    </row>
    <row r="559" spans="18:139" ht="16.5" hidden="1" customHeight="1">
      <c r="R559" s="95" t="s">
        <v>450</v>
      </c>
      <c r="V559" s="214"/>
      <c r="EE559" s="95" t="s">
        <v>450</v>
      </c>
      <c r="EI559" s="216"/>
    </row>
    <row r="560" spans="18:139" ht="16.5" hidden="1" customHeight="1">
      <c r="R560" s="95" t="s">
        <v>450</v>
      </c>
      <c r="V560" s="214"/>
      <c r="EE560" s="95" t="s">
        <v>450</v>
      </c>
      <c r="EI560" s="216"/>
    </row>
    <row r="561" spans="18:139" ht="16.5" hidden="1" customHeight="1">
      <c r="R561" s="95" t="s">
        <v>450</v>
      </c>
      <c r="V561" s="214"/>
      <c r="EE561" s="95" t="s">
        <v>450</v>
      </c>
      <c r="EI561" s="216"/>
    </row>
    <row r="562" spans="18:139" ht="16.5" hidden="1" customHeight="1">
      <c r="R562" s="95" t="s">
        <v>450</v>
      </c>
      <c r="V562" s="214"/>
      <c r="EE562" s="95" t="s">
        <v>450</v>
      </c>
      <c r="EI562" s="216"/>
    </row>
    <row r="563" spans="18:139" ht="16.5" hidden="1" customHeight="1">
      <c r="R563" s="95" t="s">
        <v>450</v>
      </c>
      <c r="V563" s="214"/>
      <c r="EE563" s="95" t="s">
        <v>450</v>
      </c>
      <c r="EI563" s="216"/>
    </row>
    <row r="564" spans="18:139" ht="16.5" hidden="1" customHeight="1">
      <c r="R564" s="95" t="s">
        <v>450</v>
      </c>
      <c r="V564" s="214"/>
      <c r="EE564" s="95" t="s">
        <v>450</v>
      </c>
      <c r="EI564" s="216"/>
    </row>
    <row r="565" spans="18:139" ht="16.5" hidden="1" customHeight="1">
      <c r="R565" s="95" t="s">
        <v>450</v>
      </c>
      <c r="V565" s="214"/>
      <c r="EE565" s="95" t="s">
        <v>450</v>
      </c>
      <c r="EI565" s="216"/>
    </row>
    <row r="566" spans="18:139" ht="16.5" hidden="1" customHeight="1">
      <c r="R566" s="95" t="s">
        <v>450</v>
      </c>
      <c r="V566" s="214"/>
      <c r="EE566" s="95" t="s">
        <v>450</v>
      </c>
      <c r="EI566" s="216"/>
    </row>
    <row r="567" spans="18:139" ht="16.5" hidden="1" customHeight="1">
      <c r="R567" s="95" t="s">
        <v>450</v>
      </c>
      <c r="V567" s="214"/>
      <c r="EE567" s="95" t="s">
        <v>450</v>
      </c>
      <c r="EI567" s="216"/>
    </row>
    <row r="568" spans="18:139" ht="16.5" hidden="1" customHeight="1">
      <c r="R568" s="95" t="s">
        <v>450</v>
      </c>
      <c r="V568" s="214"/>
      <c r="EE568" s="95" t="s">
        <v>450</v>
      </c>
      <c r="EI568" s="216"/>
    </row>
    <row r="569" spans="18:139" ht="16.5" hidden="1" customHeight="1">
      <c r="R569" s="95" t="s">
        <v>450</v>
      </c>
      <c r="V569" s="214"/>
      <c r="EE569" s="95" t="s">
        <v>450</v>
      </c>
      <c r="EI569" s="216"/>
    </row>
    <row r="570" spans="18:139" ht="16.5" hidden="1" customHeight="1">
      <c r="R570" s="95" t="s">
        <v>450</v>
      </c>
      <c r="V570" s="214"/>
      <c r="EE570" s="95" t="s">
        <v>450</v>
      </c>
      <c r="EI570" s="216"/>
    </row>
    <row r="571" spans="18:139" ht="16.5" hidden="1" customHeight="1">
      <c r="R571" s="95" t="s">
        <v>450</v>
      </c>
      <c r="V571" s="214"/>
      <c r="EE571" s="95" t="s">
        <v>450</v>
      </c>
      <c r="EI571" s="216"/>
    </row>
    <row r="572" spans="18:139" ht="16.5" hidden="1" customHeight="1">
      <c r="R572" s="95" t="s">
        <v>450</v>
      </c>
      <c r="V572" s="214"/>
      <c r="EE572" s="95" t="s">
        <v>450</v>
      </c>
      <c r="EI572" s="216"/>
    </row>
    <row r="573" spans="18:139" ht="16.5" hidden="1" customHeight="1">
      <c r="R573" s="95" t="s">
        <v>450</v>
      </c>
      <c r="V573" s="214"/>
      <c r="EE573" s="95" t="s">
        <v>450</v>
      </c>
      <c r="EI573" s="216"/>
    </row>
    <row r="574" spans="18:139" ht="16.5" hidden="1" customHeight="1">
      <c r="R574" s="95" t="s">
        <v>450</v>
      </c>
      <c r="U574" s="654"/>
      <c r="V574" s="214"/>
      <c r="EE574" s="95" t="s">
        <v>450</v>
      </c>
      <c r="EI574" s="216"/>
    </row>
    <row r="575" spans="18:139" ht="16.5" hidden="1" customHeight="1">
      <c r="R575" s="95" t="s">
        <v>450</v>
      </c>
      <c r="V575" s="214"/>
      <c r="EE575" s="95" t="s">
        <v>450</v>
      </c>
      <c r="EI575" s="216"/>
    </row>
    <row r="576" spans="18:139" ht="16.5" hidden="1" customHeight="1">
      <c r="R576" s="95" t="s">
        <v>450</v>
      </c>
      <c r="V576" s="214"/>
      <c r="EE576" s="95" t="s">
        <v>450</v>
      </c>
      <c r="EI576" s="216"/>
    </row>
    <row r="577" spans="18:139" ht="16.5" hidden="1" customHeight="1">
      <c r="R577" s="95" t="s">
        <v>450</v>
      </c>
      <c r="V577" s="214"/>
      <c r="EE577" s="95" t="s">
        <v>450</v>
      </c>
      <c r="EI577" s="216"/>
    </row>
    <row r="578" spans="18:139" ht="16.5" hidden="1" customHeight="1">
      <c r="R578" s="95" t="s">
        <v>450</v>
      </c>
      <c r="V578" s="214"/>
      <c r="EE578" s="95" t="s">
        <v>450</v>
      </c>
      <c r="EI578" s="216"/>
    </row>
    <row r="579" spans="18:139" ht="16.5" hidden="1" customHeight="1">
      <c r="R579" s="95" t="s">
        <v>450</v>
      </c>
      <c r="V579" s="214"/>
      <c r="EE579" s="95" t="s">
        <v>450</v>
      </c>
      <c r="EI579" s="216"/>
    </row>
    <row r="580" spans="18:139" ht="16.5" hidden="1" customHeight="1">
      <c r="R580" s="95" t="s">
        <v>450</v>
      </c>
      <c r="V580" s="214"/>
      <c r="EE580" s="95" t="s">
        <v>450</v>
      </c>
      <c r="EI580" s="216"/>
    </row>
    <row r="581" spans="18:139" ht="16.5" hidden="1" customHeight="1">
      <c r="R581" s="95" t="s">
        <v>450</v>
      </c>
      <c r="V581" s="214"/>
      <c r="EE581" s="95" t="s">
        <v>450</v>
      </c>
      <c r="EI581" s="216"/>
    </row>
    <row r="582" spans="18:139" ht="16.5" hidden="1" customHeight="1">
      <c r="R582" s="95" t="s">
        <v>450</v>
      </c>
      <c r="V582" s="214"/>
      <c r="EE582" s="95" t="s">
        <v>450</v>
      </c>
      <c r="EI582" s="216"/>
    </row>
    <row r="583" spans="18:139" ht="16.5" hidden="1" customHeight="1">
      <c r="R583" s="95" t="s">
        <v>450</v>
      </c>
      <c r="V583" s="214"/>
      <c r="EE583" s="95" t="s">
        <v>450</v>
      </c>
      <c r="EI583" s="216"/>
    </row>
    <row r="584" spans="18:139" ht="16.5" hidden="1" customHeight="1">
      <c r="R584" s="95" t="s">
        <v>450</v>
      </c>
      <c r="V584" s="214"/>
      <c r="EE584" s="95" t="s">
        <v>450</v>
      </c>
      <c r="EI584" s="216"/>
    </row>
    <row r="585" spans="18:139" ht="16.5" hidden="1" customHeight="1">
      <c r="R585" s="95" t="s">
        <v>450</v>
      </c>
      <c r="V585" s="214"/>
      <c r="EE585" s="95" t="s">
        <v>450</v>
      </c>
      <c r="EI585" s="216"/>
    </row>
    <row r="586" spans="18:139" ht="16.5" hidden="1" customHeight="1">
      <c r="R586" s="95" t="s">
        <v>450</v>
      </c>
      <c r="V586" s="214"/>
      <c r="EE586" s="95" t="s">
        <v>450</v>
      </c>
      <c r="EI586" s="216"/>
    </row>
    <row r="587" spans="18:139" ht="16.5" hidden="1" customHeight="1">
      <c r="R587" s="95" t="s">
        <v>450</v>
      </c>
      <c r="V587" s="214"/>
      <c r="EE587" s="95" t="s">
        <v>450</v>
      </c>
      <c r="EI587" s="216"/>
    </row>
    <row r="588" spans="18:139" ht="16.5" hidden="1" customHeight="1">
      <c r="R588" s="95" t="s">
        <v>450</v>
      </c>
      <c r="V588" s="214"/>
      <c r="EE588" s="95" t="s">
        <v>450</v>
      </c>
      <c r="EI588" s="216"/>
    </row>
    <row r="589" spans="18:139" ht="16.5" hidden="1" customHeight="1">
      <c r="R589" s="95" t="s">
        <v>450</v>
      </c>
      <c r="V589" s="214"/>
      <c r="EE589" s="95" t="s">
        <v>450</v>
      </c>
      <c r="EI589" s="216"/>
    </row>
    <row r="590" spans="18:139" ht="16.5" hidden="1" customHeight="1">
      <c r="R590" s="95" t="s">
        <v>450</v>
      </c>
      <c r="V590" s="214"/>
      <c r="EE590" s="95" t="s">
        <v>450</v>
      </c>
      <c r="EI590" s="216"/>
    </row>
    <row r="591" spans="18:139" ht="16.5" hidden="1" customHeight="1">
      <c r="R591" s="95" t="s">
        <v>450</v>
      </c>
      <c r="V591" s="214"/>
      <c r="EE591" s="95" t="s">
        <v>450</v>
      </c>
      <c r="EI591" s="216"/>
    </row>
    <row r="592" spans="18:139" ht="16.5" hidden="1" customHeight="1">
      <c r="R592" s="95" t="s">
        <v>450</v>
      </c>
      <c r="V592" s="214"/>
      <c r="EE592" s="95" t="s">
        <v>450</v>
      </c>
      <c r="EI592" s="216"/>
    </row>
    <row r="593" spans="18:139" ht="16.5" hidden="1" customHeight="1">
      <c r="R593" s="95" t="s">
        <v>450</v>
      </c>
      <c r="V593" s="214"/>
      <c r="EE593" s="95" t="s">
        <v>450</v>
      </c>
      <c r="EI593" s="216"/>
    </row>
    <row r="594" spans="18:139" ht="16.5" hidden="1" customHeight="1">
      <c r="R594" s="95" t="s">
        <v>450</v>
      </c>
      <c r="V594" s="214"/>
      <c r="EE594" s="95" t="s">
        <v>450</v>
      </c>
      <c r="EI594" s="216"/>
    </row>
    <row r="595" spans="18:139" ht="16.5" hidden="1" customHeight="1">
      <c r="R595" s="95" t="s">
        <v>450</v>
      </c>
      <c r="V595" s="214"/>
      <c r="EE595" s="95" t="s">
        <v>450</v>
      </c>
      <c r="EI595" s="216"/>
    </row>
    <row r="596" spans="18:139" ht="16.5" hidden="1" customHeight="1">
      <c r="R596" s="95" t="s">
        <v>450</v>
      </c>
      <c r="V596" s="214"/>
      <c r="EE596" s="95" t="s">
        <v>450</v>
      </c>
      <c r="EI596" s="216"/>
    </row>
    <row r="597" spans="18:139" ht="16.5" hidden="1" customHeight="1">
      <c r="R597" s="95" t="s">
        <v>450</v>
      </c>
      <c r="V597" s="214"/>
      <c r="EE597" s="95" t="s">
        <v>450</v>
      </c>
      <c r="EI597" s="216"/>
    </row>
    <row r="598" spans="18:139" ht="16.5" hidden="1" customHeight="1">
      <c r="R598" s="95" t="s">
        <v>450</v>
      </c>
      <c r="V598" s="214"/>
      <c r="EE598" s="95" t="s">
        <v>450</v>
      </c>
      <c r="EI598" s="216"/>
    </row>
    <row r="599" spans="18:139" ht="16.5" hidden="1" customHeight="1">
      <c r="R599" s="95" t="s">
        <v>450</v>
      </c>
      <c r="V599" s="214"/>
      <c r="EE599" s="95" t="s">
        <v>450</v>
      </c>
      <c r="EI599" s="216"/>
    </row>
    <row r="600" spans="18:139" ht="16.5" hidden="1" customHeight="1">
      <c r="R600" s="95" t="s">
        <v>450</v>
      </c>
      <c r="V600" s="214"/>
      <c r="EE600" s="95" t="s">
        <v>450</v>
      </c>
      <c r="EI600" s="216"/>
    </row>
    <row r="601" spans="18:139" ht="16.5" hidden="1" customHeight="1">
      <c r="R601" s="95" t="s">
        <v>450</v>
      </c>
      <c r="V601" s="214"/>
      <c r="EE601" s="95" t="s">
        <v>450</v>
      </c>
      <c r="EI601" s="216"/>
    </row>
    <row r="602" spans="18:139" ht="16.5" hidden="1" customHeight="1">
      <c r="R602" s="95" t="s">
        <v>450</v>
      </c>
      <c r="V602" s="214"/>
      <c r="EE602" s="95" t="s">
        <v>450</v>
      </c>
      <c r="EI602" s="216"/>
    </row>
    <row r="603" spans="18:139" ht="16.5" hidden="1" customHeight="1">
      <c r="R603" s="95" t="s">
        <v>450</v>
      </c>
      <c r="V603" s="214"/>
      <c r="EE603" s="95" t="s">
        <v>450</v>
      </c>
      <c r="EI603" s="216"/>
    </row>
    <row r="604" spans="18:139" ht="16.5" hidden="1" customHeight="1">
      <c r="R604" s="95" t="s">
        <v>450</v>
      </c>
      <c r="V604" s="214"/>
      <c r="EE604" s="95" t="s">
        <v>450</v>
      </c>
      <c r="EI604" s="216"/>
    </row>
    <row r="605" spans="18:139" ht="16.5" hidden="1" customHeight="1">
      <c r="R605" s="95" t="s">
        <v>450</v>
      </c>
      <c r="V605" s="214"/>
      <c r="EE605" s="95" t="s">
        <v>450</v>
      </c>
      <c r="EI605" s="216"/>
    </row>
    <row r="606" spans="18:139" ht="16.5" hidden="1" customHeight="1">
      <c r="R606" s="95" t="s">
        <v>450</v>
      </c>
      <c r="V606" s="214"/>
      <c r="EE606" s="95" t="s">
        <v>450</v>
      </c>
      <c r="EI606" s="216"/>
    </row>
    <row r="607" spans="18:139" ht="16.5" hidden="1" customHeight="1">
      <c r="R607" s="95" t="s">
        <v>450</v>
      </c>
      <c r="V607" s="214"/>
      <c r="EE607" s="95" t="s">
        <v>450</v>
      </c>
      <c r="EI607" s="216"/>
    </row>
    <row r="608" spans="18:139" ht="16.5" hidden="1" customHeight="1">
      <c r="R608" s="95" t="s">
        <v>450</v>
      </c>
      <c r="V608" s="214"/>
      <c r="EE608" s="95" t="s">
        <v>450</v>
      </c>
      <c r="EI608" s="216"/>
    </row>
    <row r="609" spans="18:139" ht="16.5" hidden="1" customHeight="1">
      <c r="R609" s="95" t="s">
        <v>450</v>
      </c>
      <c r="V609" s="214"/>
      <c r="EE609" s="95" t="s">
        <v>450</v>
      </c>
      <c r="EI609" s="216"/>
    </row>
    <row r="610" spans="18:139" ht="16.5" hidden="1" customHeight="1">
      <c r="R610" s="95" t="s">
        <v>450</v>
      </c>
      <c r="V610" s="214"/>
      <c r="EE610" s="95" t="s">
        <v>450</v>
      </c>
      <c r="EI610" s="216"/>
    </row>
    <row r="611" spans="18:139" ht="16.5" hidden="1" customHeight="1">
      <c r="R611" s="95" t="s">
        <v>450</v>
      </c>
      <c r="V611" s="214"/>
      <c r="EE611" s="95" t="s">
        <v>450</v>
      </c>
      <c r="EI611" s="216"/>
    </row>
    <row r="612" spans="18:139" ht="16.5" hidden="1" customHeight="1">
      <c r="R612" s="95" t="s">
        <v>450</v>
      </c>
      <c r="V612" s="214"/>
      <c r="EE612" s="95" t="s">
        <v>450</v>
      </c>
      <c r="EI612" s="216"/>
    </row>
    <row r="613" spans="18:139" ht="16.5" hidden="1" customHeight="1">
      <c r="R613" s="95" t="s">
        <v>450</v>
      </c>
      <c r="V613" s="214"/>
      <c r="EE613" s="95" t="s">
        <v>450</v>
      </c>
      <c r="EI613" s="216"/>
    </row>
    <row r="614" spans="18:139" ht="16.5" hidden="1" customHeight="1">
      <c r="R614" s="95" t="s">
        <v>450</v>
      </c>
      <c r="V614" s="214"/>
      <c r="EE614" s="95" t="s">
        <v>450</v>
      </c>
      <c r="EI614" s="216"/>
    </row>
    <row r="615" spans="18:139" ht="16.5" hidden="1" customHeight="1">
      <c r="R615" s="95" t="s">
        <v>450</v>
      </c>
      <c r="V615" s="214"/>
      <c r="EE615" s="95" t="s">
        <v>450</v>
      </c>
      <c r="EI615" s="216"/>
    </row>
    <row r="616" spans="18:139" ht="16.5" hidden="1" customHeight="1">
      <c r="R616" s="95" t="s">
        <v>450</v>
      </c>
      <c r="V616" s="214"/>
      <c r="EE616" s="95" t="s">
        <v>450</v>
      </c>
      <c r="EI616" s="216"/>
    </row>
    <row r="617" spans="18:139" ht="16.5" hidden="1" customHeight="1">
      <c r="R617" s="95" t="s">
        <v>450</v>
      </c>
      <c r="V617" s="214"/>
      <c r="EE617" s="95" t="s">
        <v>450</v>
      </c>
      <c r="EI617" s="216"/>
    </row>
    <row r="618" spans="18:139" ht="16.5" hidden="1" customHeight="1">
      <c r="R618" s="95" t="s">
        <v>450</v>
      </c>
      <c r="V618" s="214"/>
      <c r="EE618" s="95" t="s">
        <v>450</v>
      </c>
      <c r="EI618" s="216"/>
    </row>
    <row r="619" spans="18:139" ht="16.5" hidden="1" customHeight="1">
      <c r="R619" s="95" t="s">
        <v>450</v>
      </c>
      <c r="V619" s="214"/>
      <c r="EE619" s="95" t="s">
        <v>450</v>
      </c>
      <c r="EI619" s="216"/>
    </row>
    <row r="620" spans="18:139" ht="16.5" hidden="1" customHeight="1">
      <c r="R620" s="95" t="s">
        <v>450</v>
      </c>
      <c r="V620" s="214"/>
      <c r="EE620" s="95" t="s">
        <v>450</v>
      </c>
      <c r="EI620" s="216"/>
    </row>
    <row r="621" spans="18:139" ht="16.5" hidden="1" customHeight="1">
      <c r="R621" s="95" t="s">
        <v>450</v>
      </c>
      <c r="V621" s="214"/>
      <c r="EE621" s="95" t="s">
        <v>450</v>
      </c>
      <c r="EI621" s="216"/>
    </row>
    <row r="622" spans="18:139" ht="16.5" hidden="1" customHeight="1">
      <c r="R622" s="95" t="s">
        <v>450</v>
      </c>
      <c r="V622" s="214"/>
      <c r="EE622" s="95" t="s">
        <v>450</v>
      </c>
      <c r="EI622" s="216"/>
    </row>
    <row r="623" spans="18:139" ht="16.5" hidden="1" customHeight="1">
      <c r="R623" s="95" t="s">
        <v>450</v>
      </c>
      <c r="V623" s="214"/>
      <c r="EE623" s="95" t="s">
        <v>450</v>
      </c>
      <c r="EI623" s="216"/>
    </row>
    <row r="624" spans="18:139" ht="16.5" hidden="1" customHeight="1">
      <c r="R624" s="95" t="s">
        <v>450</v>
      </c>
      <c r="V624" s="214"/>
      <c r="EE624" s="95" t="s">
        <v>450</v>
      </c>
      <c r="EI624" s="216"/>
    </row>
    <row r="625" spans="18:139" ht="16.5" hidden="1" customHeight="1">
      <c r="R625" s="95" t="s">
        <v>450</v>
      </c>
      <c r="V625" s="214"/>
      <c r="EE625" s="95" t="s">
        <v>450</v>
      </c>
      <c r="EI625" s="216"/>
    </row>
    <row r="626" spans="18:139" ht="16.5" hidden="1" customHeight="1">
      <c r="R626" s="95" t="s">
        <v>450</v>
      </c>
      <c r="V626" s="214"/>
      <c r="EE626" s="95" t="s">
        <v>450</v>
      </c>
      <c r="EI626" s="216"/>
    </row>
    <row r="627" spans="18:139" ht="16.5" hidden="1" customHeight="1">
      <c r="R627" s="95" t="s">
        <v>450</v>
      </c>
      <c r="V627" s="214"/>
      <c r="EE627" s="95" t="s">
        <v>450</v>
      </c>
      <c r="EI627" s="216"/>
    </row>
    <row r="628" spans="18:139" ht="16.5" hidden="1" customHeight="1">
      <c r="R628" s="95" t="s">
        <v>450</v>
      </c>
      <c r="V628" s="214"/>
      <c r="EE628" s="95" t="s">
        <v>450</v>
      </c>
      <c r="EI628" s="216"/>
    </row>
    <row r="629" spans="18:139" ht="16.5" hidden="1" customHeight="1">
      <c r="R629" s="95" t="s">
        <v>450</v>
      </c>
      <c r="V629" s="214"/>
      <c r="EE629" s="95" t="s">
        <v>450</v>
      </c>
      <c r="EI629" s="216"/>
    </row>
    <row r="630" spans="18:139" ht="16.5" hidden="1" customHeight="1">
      <c r="R630" s="95" t="s">
        <v>450</v>
      </c>
      <c r="V630" s="214"/>
      <c r="EE630" s="95" t="s">
        <v>450</v>
      </c>
      <c r="EI630" s="216"/>
    </row>
    <row r="631" spans="18:139" ht="16.5" hidden="1" customHeight="1">
      <c r="R631" s="95" t="s">
        <v>450</v>
      </c>
      <c r="V631" s="214"/>
      <c r="EE631" s="95" t="s">
        <v>450</v>
      </c>
      <c r="EI631" s="216"/>
    </row>
    <row r="632" spans="18:139" ht="16.5" hidden="1" customHeight="1">
      <c r="R632" s="95" t="s">
        <v>450</v>
      </c>
      <c r="V632" s="214"/>
      <c r="EE632" s="95" t="s">
        <v>450</v>
      </c>
      <c r="EI632" s="216"/>
    </row>
    <row r="633" spans="18:139" ht="16.5" hidden="1" customHeight="1">
      <c r="R633" s="95" t="s">
        <v>450</v>
      </c>
      <c r="V633" s="214"/>
      <c r="EE633" s="95" t="s">
        <v>450</v>
      </c>
      <c r="EI633" s="216"/>
    </row>
    <row r="634" spans="18:139" ht="16.5" hidden="1" customHeight="1">
      <c r="R634" s="95" t="s">
        <v>450</v>
      </c>
      <c r="V634" s="214"/>
      <c r="EE634" s="95" t="s">
        <v>450</v>
      </c>
      <c r="EI634" s="216"/>
    </row>
    <row r="635" spans="18:139" ht="16.5" hidden="1" customHeight="1">
      <c r="R635" s="95" t="s">
        <v>450</v>
      </c>
      <c r="V635" s="214"/>
      <c r="EE635" s="95" t="s">
        <v>450</v>
      </c>
      <c r="EI635" s="216"/>
    </row>
    <row r="636" spans="18:139" ht="16.5" hidden="1" customHeight="1">
      <c r="R636" s="95" t="s">
        <v>450</v>
      </c>
      <c r="V636" s="214"/>
      <c r="EE636" s="95" t="s">
        <v>450</v>
      </c>
      <c r="EI636" s="216"/>
    </row>
    <row r="637" spans="18:139" ht="16.5" hidden="1" customHeight="1">
      <c r="R637" s="95" t="s">
        <v>450</v>
      </c>
      <c r="V637" s="214"/>
      <c r="EE637" s="95" t="s">
        <v>450</v>
      </c>
      <c r="EI637" s="216"/>
    </row>
    <row r="638" spans="18:139" ht="16.5" hidden="1" customHeight="1">
      <c r="R638" s="95" t="s">
        <v>450</v>
      </c>
      <c r="V638" s="214"/>
      <c r="EE638" s="95" t="s">
        <v>450</v>
      </c>
      <c r="EI638" s="216"/>
    </row>
    <row r="639" spans="18:139" ht="16.5" hidden="1" customHeight="1">
      <c r="R639" s="95" t="s">
        <v>450</v>
      </c>
      <c r="V639" s="214"/>
      <c r="EE639" s="95" t="s">
        <v>450</v>
      </c>
      <c r="EI639" s="216"/>
    </row>
    <row r="640" spans="18:139" ht="16.5" hidden="1" customHeight="1">
      <c r="R640" s="95" t="s">
        <v>450</v>
      </c>
      <c r="V640" s="214"/>
      <c r="EE640" s="95" t="s">
        <v>450</v>
      </c>
      <c r="EI640" s="216"/>
    </row>
    <row r="641" spans="18:139" ht="16.5" hidden="1" customHeight="1">
      <c r="R641" s="95" t="s">
        <v>450</v>
      </c>
      <c r="V641" s="214"/>
      <c r="EE641" s="95" t="s">
        <v>450</v>
      </c>
      <c r="EI641" s="216"/>
    </row>
    <row r="642" spans="18:139" ht="16.5" hidden="1" customHeight="1">
      <c r="R642" s="95" t="s">
        <v>450</v>
      </c>
      <c r="V642" s="214"/>
      <c r="EE642" s="95" t="s">
        <v>450</v>
      </c>
      <c r="EI642" s="216"/>
    </row>
    <row r="643" spans="18:139" ht="16.5" hidden="1" customHeight="1">
      <c r="R643" s="95" t="s">
        <v>450</v>
      </c>
      <c r="V643" s="214"/>
      <c r="EE643" s="95" t="s">
        <v>450</v>
      </c>
      <c r="EI643" s="216"/>
    </row>
    <row r="644" spans="18:139" ht="16.5" hidden="1" customHeight="1">
      <c r="R644" s="95" t="s">
        <v>450</v>
      </c>
      <c r="V644" s="214"/>
      <c r="EE644" s="95" t="s">
        <v>450</v>
      </c>
      <c r="EI644" s="216"/>
    </row>
    <row r="645" spans="18:139" ht="16.5" hidden="1" customHeight="1">
      <c r="R645" s="95" t="s">
        <v>450</v>
      </c>
      <c r="V645" s="214"/>
      <c r="EE645" s="95" t="s">
        <v>450</v>
      </c>
      <c r="EI645" s="216"/>
    </row>
    <row r="646" spans="18:139" ht="16.5" hidden="1" customHeight="1">
      <c r="R646" s="95" t="s">
        <v>450</v>
      </c>
      <c r="V646" s="214"/>
      <c r="EE646" s="95" t="s">
        <v>450</v>
      </c>
      <c r="EI646" s="216"/>
    </row>
    <row r="647" spans="18:139" ht="16.5" hidden="1" customHeight="1">
      <c r="R647" s="95" t="s">
        <v>450</v>
      </c>
      <c r="V647" s="214"/>
      <c r="EE647" s="95" t="s">
        <v>450</v>
      </c>
      <c r="EI647" s="216"/>
    </row>
    <row r="648" spans="18:139" ht="16.5" hidden="1" customHeight="1">
      <c r="R648" s="95" t="s">
        <v>450</v>
      </c>
      <c r="V648" s="214"/>
      <c r="EE648" s="95" t="s">
        <v>450</v>
      </c>
      <c r="EI648" s="216"/>
    </row>
    <row r="649" spans="18:139" ht="16.5" hidden="1" customHeight="1">
      <c r="R649" s="95" t="s">
        <v>450</v>
      </c>
      <c r="V649" s="214"/>
      <c r="EE649" s="95" t="s">
        <v>450</v>
      </c>
      <c r="EI649" s="216"/>
    </row>
    <row r="650" spans="18:139" ht="16.5" hidden="1" customHeight="1">
      <c r="R650" s="95" t="s">
        <v>450</v>
      </c>
      <c r="V650" s="214"/>
      <c r="EE650" s="95" t="s">
        <v>450</v>
      </c>
      <c r="EI650" s="216"/>
    </row>
    <row r="651" spans="18:139" ht="16.5" hidden="1" customHeight="1">
      <c r="R651" s="95" t="s">
        <v>450</v>
      </c>
      <c r="V651" s="214"/>
      <c r="EE651" s="95" t="s">
        <v>450</v>
      </c>
      <c r="EI651" s="216"/>
    </row>
    <row r="652" spans="18:139" ht="16.5" hidden="1" customHeight="1">
      <c r="R652" s="95" t="s">
        <v>450</v>
      </c>
      <c r="V652" s="214"/>
      <c r="EE652" s="95" t="s">
        <v>450</v>
      </c>
      <c r="EI652" s="216"/>
    </row>
    <row r="653" spans="18:139" ht="16.5" hidden="1" customHeight="1">
      <c r="R653" s="95" t="s">
        <v>450</v>
      </c>
      <c r="V653" s="214"/>
      <c r="EE653" s="95" t="s">
        <v>450</v>
      </c>
      <c r="EI653" s="216"/>
    </row>
    <row r="654" spans="18:139" ht="16.5" hidden="1" customHeight="1">
      <c r="R654" s="95" t="s">
        <v>450</v>
      </c>
      <c r="V654" s="214"/>
      <c r="EE654" s="95" t="s">
        <v>450</v>
      </c>
      <c r="EI654" s="216"/>
    </row>
    <row r="655" spans="18:139" ht="16.5" hidden="1" customHeight="1">
      <c r="R655" s="95" t="s">
        <v>450</v>
      </c>
      <c r="V655" s="214"/>
      <c r="EE655" s="95" t="s">
        <v>450</v>
      </c>
      <c r="EI655" s="216"/>
    </row>
    <row r="656" spans="18:139" ht="16.5" hidden="1" customHeight="1">
      <c r="R656" s="95" t="s">
        <v>450</v>
      </c>
      <c r="V656" s="214"/>
      <c r="EE656" s="95" t="s">
        <v>450</v>
      </c>
      <c r="EI656" s="216"/>
    </row>
    <row r="657" spans="18:139" ht="16.5" hidden="1" customHeight="1">
      <c r="R657" s="95" t="s">
        <v>450</v>
      </c>
      <c r="V657" s="214"/>
      <c r="EE657" s="95" t="s">
        <v>450</v>
      </c>
      <c r="EI657" s="216"/>
    </row>
    <row r="658" spans="18:139" ht="16.5" hidden="1" customHeight="1">
      <c r="R658" s="95" t="s">
        <v>450</v>
      </c>
      <c r="V658" s="214"/>
      <c r="EE658" s="95" t="s">
        <v>450</v>
      </c>
      <c r="EI658" s="216"/>
    </row>
    <row r="659" spans="18:139" ht="16.5" hidden="1" customHeight="1">
      <c r="R659" s="95" t="s">
        <v>450</v>
      </c>
      <c r="V659" s="214"/>
      <c r="EE659" s="95" t="s">
        <v>450</v>
      </c>
      <c r="EI659" s="216"/>
    </row>
    <row r="660" spans="18:139" ht="16.5" hidden="1" customHeight="1">
      <c r="R660" s="95" t="s">
        <v>450</v>
      </c>
      <c r="V660" s="214"/>
      <c r="EE660" s="95" t="s">
        <v>450</v>
      </c>
      <c r="EI660" s="216"/>
    </row>
    <row r="661" spans="18:139" ht="16.5" hidden="1" customHeight="1">
      <c r="R661" s="95" t="s">
        <v>450</v>
      </c>
      <c r="V661" s="214"/>
      <c r="EE661" s="95" t="s">
        <v>450</v>
      </c>
      <c r="EI661" s="216"/>
    </row>
    <row r="662" spans="18:139" ht="16.5" hidden="1" customHeight="1">
      <c r="R662" s="95" t="s">
        <v>450</v>
      </c>
      <c r="V662" s="214"/>
      <c r="EE662" s="95" t="s">
        <v>450</v>
      </c>
      <c r="EI662" s="216"/>
    </row>
    <row r="663" spans="18:139" ht="16.5" hidden="1" customHeight="1">
      <c r="R663" s="95" t="s">
        <v>450</v>
      </c>
      <c r="V663" s="214"/>
      <c r="EE663" s="95" t="s">
        <v>450</v>
      </c>
      <c r="EI663" s="216"/>
    </row>
    <row r="664" spans="18:139" ht="16.5" hidden="1" customHeight="1">
      <c r="R664" s="95"/>
      <c r="V664" s="214"/>
      <c r="EE664" s="95"/>
      <c r="EI664" s="216"/>
    </row>
    <row r="665" spans="18:139" ht="16.5" hidden="1" customHeight="1">
      <c r="R665" s="95"/>
      <c r="V665" s="214"/>
      <c r="EE665" s="95"/>
      <c r="EI665" s="216"/>
    </row>
    <row r="666" spans="18:139" ht="16.5" hidden="1" customHeight="1">
      <c r="R666" s="95"/>
      <c r="V666" s="214"/>
      <c r="EE666" s="95"/>
      <c r="EI666" s="216"/>
    </row>
    <row r="667" spans="18:139" ht="16.5" hidden="1" customHeight="1">
      <c r="R667" s="95"/>
      <c r="V667" s="214"/>
      <c r="EE667" s="95"/>
      <c r="EI667" s="216"/>
    </row>
    <row r="668" spans="18:139" ht="16.5" hidden="1" customHeight="1">
      <c r="R668" s="95"/>
      <c r="V668" s="214"/>
      <c r="EE668" s="95"/>
      <c r="EI668" s="216"/>
    </row>
    <row r="669" spans="18:139" ht="16.5" hidden="1" customHeight="1">
      <c r="R669" s="95"/>
      <c r="V669" s="214"/>
      <c r="EE669" s="95"/>
      <c r="EI669" s="216"/>
    </row>
    <row r="670" spans="18:139" ht="16.5" hidden="1" customHeight="1">
      <c r="R670" s="95"/>
      <c r="V670" s="214"/>
      <c r="EE670" s="95"/>
      <c r="EI670" s="216"/>
    </row>
    <row r="671" spans="18:139" ht="16.5" hidden="1" customHeight="1">
      <c r="R671" s="95"/>
      <c r="V671" s="214"/>
      <c r="EE671" s="95"/>
      <c r="EI671" s="216"/>
    </row>
    <row r="672" spans="18:139" ht="16.5" hidden="1" customHeight="1">
      <c r="R672" s="95"/>
      <c r="V672" s="214"/>
      <c r="EE672" s="95"/>
      <c r="EI672" s="216"/>
    </row>
    <row r="673" spans="18:139" ht="16.5" hidden="1" customHeight="1">
      <c r="R673" s="95"/>
      <c r="V673" s="214"/>
      <c r="EE673" s="95"/>
      <c r="EI673" s="216"/>
    </row>
    <row r="674" spans="18:139" ht="16.5" hidden="1" customHeight="1">
      <c r="R674" s="95"/>
      <c r="V674" s="214"/>
      <c r="EE674" s="95"/>
      <c r="EI674" s="216"/>
    </row>
    <row r="675" spans="18:139" ht="16.5" hidden="1" customHeight="1">
      <c r="R675" s="95"/>
      <c r="V675" s="214"/>
      <c r="EE675" s="95"/>
      <c r="EI675" s="216"/>
    </row>
    <row r="676" spans="18:139" ht="16.5" hidden="1" customHeight="1">
      <c r="R676" s="95"/>
      <c r="V676" s="214"/>
      <c r="EE676" s="95"/>
      <c r="EI676" s="216"/>
    </row>
    <row r="677" spans="18:139" ht="16.5" hidden="1" customHeight="1">
      <c r="R677" s="95"/>
      <c r="V677" s="214"/>
      <c r="EE677" s="95"/>
      <c r="EI677" s="216"/>
    </row>
    <row r="678" spans="18:139" ht="16.5" hidden="1" customHeight="1">
      <c r="R678" s="95"/>
      <c r="V678" s="214"/>
      <c r="EE678" s="95"/>
      <c r="EI678" s="216"/>
    </row>
    <row r="679" spans="18:139" ht="16.5" hidden="1" customHeight="1">
      <c r="R679" s="95"/>
      <c r="V679" s="214"/>
      <c r="EE679" s="95"/>
      <c r="EI679" s="216"/>
    </row>
    <row r="680" spans="18:139" ht="16.5" hidden="1" customHeight="1">
      <c r="R680" s="95"/>
      <c r="V680" s="214"/>
      <c r="EE680" s="95"/>
      <c r="EI680" s="216"/>
    </row>
    <row r="681" spans="18:139" ht="16.5" hidden="1" customHeight="1">
      <c r="R681" s="95"/>
      <c r="V681" s="214"/>
      <c r="EE681" s="95"/>
      <c r="EI681" s="216"/>
    </row>
    <row r="682" spans="18:139" ht="16.5" hidden="1" customHeight="1">
      <c r="R682" s="95"/>
      <c r="V682" s="214"/>
      <c r="EE682" s="95"/>
      <c r="EI682" s="216"/>
    </row>
    <row r="683" spans="18:139" ht="16.5" hidden="1" customHeight="1">
      <c r="R683" s="95"/>
      <c r="V683" s="214"/>
      <c r="EE683" s="95"/>
      <c r="EI683" s="216"/>
    </row>
    <row r="684" spans="18:139" ht="16.5" hidden="1" customHeight="1">
      <c r="R684" s="648"/>
      <c r="V684" s="214"/>
      <c r="EE684" s="648"/>
      <c r="EI684" s="216"/>
    </row>
    <row r="685" spans="18:139" ht="16.5" hidden="1" customHeight="1">
      <c r="R685" s="648"/>
      <c r="V685" s="214"/>
      <c r="EE685" s="648"/>
      <c r="EI685" s="216"/>
    </row>
    <row r="686" spans="18:139" ht="16.5" hidden="1" customHeight="1">
      <c r="R686" s="648"/>
      <c r="V686" s="214"/>
      <c r="EE686" s="648"/>
      <c r="EI686" s="216"/>
    </row>
    <row r="687" spans="18:139" ht="16.5" hidden="1" customHeight="1">
      <c r="R687" s="648"/>
      <c r="V687" s="214"/>
      <c r="EE687" s="648"/>
      <c r="EI687" s="216"/>
    </row>
    <row r="688" spans="18:139" ht="16.5" hidden="1" customHeight="1">
      <c r="R688" s="648"/>
      <c r="V688" s="214"/>
      <c r="EE688" s="648"/>
      <c r="EI688" s="216"/>
    </row>
    <row r="689" spans="18:139" ht="16.5" hidden="1" customHeight="1">
      <c r="R689" s="648"/>
      <c r="V689" s="214"/>
      <c r="EE689" s="648"/>
      <c r="EI689" s="216"/>
    </row>
    <row r="690" spans="18:139" ht="16.5" hidden="1" customHeight="1">
      <c r="R690" s="648"/>
      <c r="V690" s="214"/>
      <c r="EE690" s="648"/>
      <c r="EI690" s="216"/>
    </row>
    <row r="691" spans="18:139" ht="16.5" hidden="1" customHeight="1">
      <c r="R691" s="648"/>
      <c r="V691" s="214"/>
      <c r="EE691" s="648"/>
      <c r="EI691" s="216"/>
    </row>
    <row r="692" spans="18:139" ht="16.5" hidden="1" customHeight="1">
      <c r="R692" s="648"/>
      <c r="V692" s="214"/>
      <c r="EE692" s="648"/>
      <c r="EI692" s="216"/>
    </row>
    <row r="693" spans="18:139" ht="16.5" hidden="1" customHeight="1">
      <c r="R693" s="648"/>
      <c r="V693" s="214"/>
      <c r="EE693" s="648"/>
      <c r="EI693" s="216"/>
    </row>
    <row r="694" spans="18:139" ht="16.5" hidden="1" customHeight="1">
      <c r="R694" s="648"/>
      <c r="V694" s="214"/>
      <c r="EE694" s="648"/>
      <c r="EI694" s="216"/>
    </row>
    <row r="695" spans="18:139" ht="16.5" hidden="1" customHeight="1">
      <c r="R695" s="648"/>
      <c r="V695" s="214"/>
      <c r="EE695" s="648"/>
      <c r="EI695" s="216"/>
    </row>
    <row r="696" spans="18:139" ht="16.5" hidden="1" customHeight="1">
      <c r="R696" s="648"/>
      <c r="V696" s="214"/>
      <c r="EE696" s="648"/>
      <c r="EI696" s="216"/>
    </row>
    <row r="697" spans="18:139" ht="16.5" hidden="1" customHeight="1">
      <c r="R697" s="648"/>
      <c r="V697" s="214"/>
      <c r="EE697" s="648"/>
      <c r="EI697" s="216"/>
    </row>
    <row r="698" spans="18:139" ht="16.5" hidden="1" customHeight="1">
      <c r="R698" s="648"/>
      <c r="V698" s="214"/>
      <c r="EE698" s="648"/>
      <c r="EI698" s="216"/>
    </row>
    <row r="699" spans="18:139" ht="16.5" hidden="1" customHeight="1">
      <c r="R699" s="648"/>
      <c r="V699" s="214"/>
      <c r="EE699" s="648"/>
      <c r="EI699" s="216"/>
    </row>
    <row r="700" spans="18:139" ht="16.5" hidden="1" customHeight="1">
      <c r="R700" s="648"/>
      <c r="V700" s="214"/>
      <c r="EE700" s="648"/>
      <c r="EI700" s="216"/>
    </row>
    <row r="701" spans="18:139" ht="16.5" hidden="1" customHeight="1">
      <c r="R701" s="648"/>
      <c r="V701" s="214"/>
      <c r="EE701" s="648"/>
      <c r="EI701" s="216"/>
    </row>
    <row r="702" spans="18:139" ht="16.5" hidden="1" customHeight="1">
      <c r="R702" s="648"/>
      <c r="V702" s="214"/>
      <c r="EE702" s="648"/>
      <c r="EI702" s="216"/>
    </row>
    <row r="703" spans="18:139" ht="16.5" hidden="1" customHeight="1">
      <c r="R703" s="648"/>
      <c r="V703" s="214"/>
      <c r="EE703" s="648"/>
      <c r="EI703" s="216"/>
    </row>
    <row r="704" spans="18:139" ht="16.5" hidden="1" customHeight="1">
      <c r="R704" s="648"/>
      <c r="V704" s="214"/>
      <c r="EE704" s="648"/>
      <c r="EI704" s="216"/>
    </row>
    <row r="705" spans="18:139" ht="16.5" hidden="1" customHeight="1">
      <c r="R705" s="648"/>
      <c r="V705" s="214"/>
      <c r="EE705" s="648"/>
      <c r="EI705" s="216"/>
    </row>
    <row r="706" spans="18:139" ht="16.5" hidden="1" customHeight="1">
      <c r="R706" s="648"/>
      <c r="V706" s="214"/>
      <c r="EE706" s="648"/>
      <c r="EI706" s="216"/>
    </row>
    <row r="707" spans="18:139" ht="16.5" hidden="1" customHeight="1">
      <c r="R707" s="648"/>
      <c r="V707" s="214"/>
      <c r="EE707" s="648"/>
      <c r="EI707" s="216"/>
    </row>
    <row r="708" spans="18:139" ht="16.5" hidden="1" customHeight="1">
      <c r="R708" s="648"/>
      <c r="V708" s="214"/>
      <c r="EE708" s="648"/>
      <c r="EI708" s="216"/>
    </row>
    <row r="709" spans="18:139" ht="16.5" hidden="1" customHeight="1">
      <c r="R709" s="648"/>
      <c r="V709" s="214"/>
      <c r="EE709" s="648"/>
      <c r="EI709" s="216"/>
    </row>
    <row r="710" spans="18:139" ht="16.5" hidden="1" customHeight="1">
      <c r="R710" s="648"/>
      <c r="V710" s="214"/>
      <c r="EE710" s="648"/>
      <c r="EI710" s="216"/>
    </row>
    <row r="711" spans="18:139" ht="16.5" hidden="1" customHeight="1">
      <c r="R711" s="648"/>
      <c r="V711" s="214"/>
      <c r="EE711" s="648"/>
      <c r="EI711" s="216"/>
    </row>
    <row r="712" spans="18:139" ht="16.5" hidden="1" customHeight="1">
      <c r="R712" s="648"/>
      <c r="V712" s="214"/>
      <c r="EE712" s="648"/>
      <c r="EI712" s="216"/>
    </row>
    <row r="713" spans="18:139" ht="16.5" hidden="1" customHeight="1">
      <c r="R713" s="648"/>
      <c r="V713" s="214"/>
      <c r="EE713" s="648"/>
      <c r="EI713" s="216"/>
    </row>
    <row r="714" spans="18:139" ht="16.5" hidden="1" customHeight="1">
      <c r="R714" s="648"/>
      <c r="V714" s="214"/>
      <c r="EE714" s="648"/>
      <c r="EI714" s="216"/>
    </row>
    <row r="715" spans="18:139" ht="16.5" hidden="1" customHeight="1">
      <c r="R715" s="648"/>
      <c r="V715" s="214"/>
      <c r="EE715" s="648"/>
      <c r="EI715" s="216"/>
    </row>
    <row r="716" spans="18:139" ht="16.5" hidden="1" customHeight="1">
      <c r="R716" s="648"/>
      <c r="V716" s="214"/>
      <c r="EE716" s="648"/>
      <c r="EI716" s="216"/>
    </row>
    <row r="717" spans="18:139" ht="16.5" hidden="1" customHeight="1">
      <c r="R717" s="648"/>
      <c r="V717" s="214"/>
      <c r="EE717" s="648"/>
      <c r="EI717" s="216"/>
    </row>
    <row r="718" spans="18:139" ht="16.5" hidden="1" customHeight="1">
      <c r="R718" s="648"/>
      <c r="V718" s="214"/>
      <c r="EE718" s="648"/>
      <c r="EI718" s="216"/>
    </row>
    <row r="719" spans="18:139" ht="16.5" hidden="1" customHeight="1">
      <c r="R719" s="648"/>
      <c r="V719" s="214"/>
      <c r="EE719" s="648"/>
      <c r="EI719" s="216"/>
    </row>
    <row r="720" spans="18:139" ht="16.5" hidden="1" customHeight="1">
      <c r="R720" s="648"/>
      <c r="V720" s="214"/>
      <c r="EE720" s="648"/>
      <c r="EI720" s="216"/>
    </row>
    <row r="721" spans="18:139" ht="16.5" hidden="1" customHeight="1">
      <c r="R721" s="648"/>
      <c r="V721" s="214"/>
      <c r="EE721" s="648"/>
      <c r="EI721" s="216"/>
    </row>
    <row r="722" spans="18:139" ht="16.5" hidden="1" customHeight="1">
      <c r="R722" s="648"/>
      <c r="V722" s="214"/>
      <c r="EE722" s="648"/>
      <c r="EI722" s="216"/>
    </row>
    <row r="723" spans="18:139" ht="16.5" hidden="1" customHeight="1">
      <c r="R723" s="648"/>
      <c r="V723" s="214"/>
      <c r="EE723" s="648"/>
      <c r="EI723" s="216"/>
    </row>
    <row r="724" spans="18:139" ht="16.5" hidden="1" customHeight="1">
      <c r="R724" s="648"/>
      <c r="V724" s="214"/>
      <c r="EE724" s="648"/>
      <c r="EI724" s="216"/>
    </row>
    <row r="725" spans="18:139" ht="16.5" hidden="1" customHeight="1">
      <c r="R725" s="648"/>
      <c r="V725" s="214"/>
      <c r="EE725" s="648"/>
      <c r="EI725" s="216"/>
    </row>
    <row r="726" spans="18:139" ht="16.5" hidden="1" customHeight="1">
      <c r="R726" s="648"/>
      <c r="V726" s="214"/>
      <c r="EE726" s="648"/>
      <c r="EI726" s="216"/>
    </row>
    <row r="727" spans="18:139" ht="16.5" hidden="1" customHeight="1">
      <c r="R727" s="648"/>
      <c r="V727" s="214"/>
      <c r="EE727" s="648"/>
      <c r="EI727" s="216"/>
    </row>
    <row r="728" spans="18:139" ht="16.5" hidden="1" customHeight="1">
      <c r="R728" s="648"/>
      <c r="V728" s="214"/>
      <c r="EE728" s="648"/>
      <c r="EI728" s="216"/>
    </row>
    <row r="729" spans="18:139" ht="16.5" hidden="1" customHeight="1">
      <c r="R729" s="648"/>
      <c r="V729" s="214"/>
      <c r="EE729" s="648"/>
      <c r="EI729" s="216"/>
    </row>
    <row r="730" spans="18:139" ht="16.5" hidden="1" customHeight="1">
      <c r="R730" s="648"/>
      <c r="V730" s="214"/>
      <c r="EE730" s="648"/>
      <c r="EI730" s="216"/>
    </row>
    <row r="731" spans="18:139" ht="16.5" hidden="1" customHeight="1">
      <c r="R731" s="648"/>
      <c r="V731" s="214"/>
      <c r="EE731" s="648"/>
      <c r="EI731" s="216"/>
    </row>
    <row r="732" spans="18:139" ht="16.5" hidden="1" customHeight="1">
      <c r="R732" s="648"/>
      <c r="V732" s="214"/>
      <c r="EE732" s="648"/>
      <c r="EI732" s="216"/>
    </row>
    <row r="733" spans="18:139" ht="16.5" hidden="1" customHeight="1">
      <c r="R733" s="648"/>
      <c r="V733" s="214"/>
      <c r="EE733" s="648"/>
      <c r="EI733" s="216"/>
    </row>
    <row r="734" spans="18:139" ht="16.5" hidden="1" customHeight="1">
      <c r="R734" s="648"/>
      <c r="V734" s="214"/>
      <c r="EE734" s="648"/>
      <c r="EI734" s="216"/>
    </row>
    <row r="735" spans="18:139" ht="16.5" hidden="1" customHeight="1">
      <c r="R735" s="648"/>
      <c r="V735" s="214"/>
      <c r="EE735" s="648"/>
      <c r="EI735" s="216"/>
    </row>
    <row r="736" spans="18:139" ht="16.5" hidden="1" customHeight="1">
      <c r="R736" s="648"/>
      <c r="V736" s="214"/>
      <c r="EE736" s="648"/>
      <c r="EI736" s="216"/>
    </row>
    <row r="737" spans="18:139" ht="16.5" hidden="1" customHeight="1">
      <c r="R737" s="648"/>
      <c r="V737" s="214"/>
      <c r="EE737" s="648"/>
      <c r="EI737" s="216"/>
    </row>
    <row r="738" spans="18:139" ht="16.5" hidden="1" customHeight="1">
      <c r="R738" s="648"/>
      <c r="V738" s="214"/>
      <c r="EE738" s="648"/>
      <c r="EI738" s="216"/>
    </row>
    <row r="739" spans="18:139" ht="16.5" hidden="1" customHeight="1">
      <c r="R739" s="648"/>
      <c r="V739" s="214"/>
      <c r="EE739" s="648"/>
      <c r="EI739" s="216"/>
    </row>
    <row r="740" spans="18:139" ht="16.5" hidden="1" customHeight="1">
      <c r="R740" s="648"/>
      <c r="V740" s="214"/>
      <c r="EE740" s="648"/>
      <c r="EI740" s="216"/>
    </row>
    <row r="741" spans="18:139" ht="16.5" hidden="1" customHeight="1">
      <c r="R741" s="648"/>
      <c r="V741" s="214"/>
      <c r="EE741" s="648"/>
      <c r="EI741" s="216"/>
    </row>
    <row r="742" spans="18:139" ht="16.5" hidden="1" customHeight="1">
      <c r="R742" s="648"/>
      <c r="V742" s="214"/>
      <c r="EE742" s="648"/>
      <c r="EI742" s="216"/>
    </row>
    <row r="743" spans="18:139" ht="16.5" hidden="1" customHeight="1">
      <c r="R743" s="648"/>
      <c r="V743" s="214"/>
      <c r="EE743" s="648"/>
      <c r="EI743" s="216"/>
    </row>
    <row r="744" spans="18:139" ht="16.5" hidden="1" customHeight="1">
      <c r="R744" s="648"/>
      <c r="V744" s="214"/>
      <c r="EE744" s="648"/>
      <c r="EI744" s="216"/>
    </row>
    <row r="745" spans="18:139" ht="16.5" hidden="1" customHeight="1">
      <c r="R745" s="648"/>
      <c r="V745" s="214"/>
      <c r="EE745" s="648"/>
      <c r="EI745" s="216"/>
    </row>
    <row r="746" spans="18:139" ht="16.5" hidden="1" customHeight="1">
      <c r="R746" s="648"/>
      <c r="V746" s="214"/>
      <c r="EE746" s="648"/>
      <c r="EI746" s="216"/>
    </row>
    <row r="747" spans="18:139" ht="16.5" hidden="1" customHeight="1">
      <c r="R747" s="648"/>
      <c r="V747" s="214"/>
      <c r="EE747" s="648"/>
      <c r="EI747" s="216"/>
    </row>
    <row r="748" spans="18:139" ht="16.5" hidden="1" customHeight="1">
      <c r="R748" s="648"/>
      <c r="V748" s="214"/>
      <c r="EE748" s="648"/>
      <c r="EI748" s="216"/>
    </row>
    <row r="749" spans="18:139" ht="16.5" hidden="1" customHeight="1">
      <c r="R749" s="648"/>
      <c r="V749" s="214"/>
      <c r="EE749" s="648"/>
      <c r="EI749" s="216"/>
    </row>
    <row r="750" spans="18:139" ht="16.5" hidden="1" customHeight="1">
      <c r="R750" s="648"/>
      <c r="V750" s="214"/>
      <c r="EE750" s="648"/>
      <c r="EI750" s="216"/>
    </row>
    <row r="751" spans="18:139" ht="16.5" hidden="1" customHeight="1">
      <c r="R751" s="648"/>
      <c r="V751" s="214"/>
      <c r="EE751" s="648"/>
      <c r="EI751" s="216"/>
    </row>
    <row r="752" spans="18:139" ht="16.5" hidden="1" customHeight="1">
      <c r="R752" s="648"/>
      <c r="V752" s="214"/>
      <c r="EE752" s="648"/>
      <c r="EI752" s="216"/>
    </row>
    <row r="753" spans="18:139" ht="16.5" hidden="1" customHeight="1">
      <c r="R753" s="648"/>
      <c r="V753" s="214"/>
      <c r="EE753" s="648"/>
      <c r="EI753" s="216"/>
    </row>
    <row r="754" spans="18:139" ht="16.5" hidden="1" customHeight="1">
      <c r="R754" s="648"/>
      <c r="V754" s="214"/>
      <c r="EE754" s="648"/>
      <c r="EI754" s="216"/>
    </row>
    <row r="755" spans="18:139" ht="16.5" hidden="1" customHeight="1">
      <c r="R755" s="648"/>
      <c r="V755" s="214"/>
      <c r="EE755" s="648"/>
      <c r="EI755" s="216"/>
    </row>
    <row r="756" spans="18:139" ht="16.5" hidden="1" customHeight="1">
      <c r="R756" s="648"/>
      <c r="V756" s="214"/>
      <c r="EE756" s="648"/>
      <c r="EI756" s="216"/>
    </row>
    <row r="757" spans="18:139" ht="16.5" hidden="1" customHeight="1">
      <c r="R757" s="648"/>
      <c r="V757" s="214"/>
      <c r="EE757" s="648"/>
      <c r="EI757" s="216"/>
    </row>
    <row r="758" spans="18:139" ht="16.5" hidden="1" customHeight="1">
      <c r="R758" s="648"/>
      <c r="V758" s="214"/>
      <c r="EE758" s="648"/>
      <c r="EI758" s="216"/>
    </row>
    <row r="759" spans="18:139" ht="16.5" hidden="1" customHeight="1">
      <c r="R759" s="648"/>
      <c r="V759" s="214"/>
      <c r="EE759" s="648"/>
      <c r="EI759" s="216"/>
    </row>
    <row r="760" spans="18:139" ht="16.5" hidden="1" customHeight="1">
      <c r="R760" s="648"/>
      <c r="V760" s="214"/>
      <c r="EE760" s="648"/>
      <c r="EI760" s="216"/>
    </row>
    <row r="761" spans="18:139" ht="16.5" hidden="1" customHeight="1">
      <c r="R761" s="648"/>
      <c r="V761" s="214"/>
      <c r="EE761" s="648"/>
      <c r="EI761" s="216"/>
    </row>
    <row r="762" spans="18:139" ht="16.5" hidden="1" customHeight="1">
      <c r="R762" s="648"/>
      <c r="V762" s="214"/>
      <c r="EE762" s="648"/>
      <c r="EI762" s="216"/>
    </row>
    <row r="763" spans="18:139" ht="16.5" hidden="1" customHeight="1">
      <c r="R763" s="648"/>
      <c r="V763" s="214"/>
      <c r="EE763" s="648"/>
      <c r="EI763" s="216"/>
    </row>
    <row r="764" spans="18:139" ht="16.5" hidden="1" customHeight="1">
      <c r="R764" s="648"/>
      <c r="V764" s="214"/>
      <c r="EE764" s="648"/>
      <c r="EI764" s="216"/>
    </row>
    <row r="765" spans="18:139" ht="16.5" hidden="1" customHeight="1">
      <c r="R765" s="648"/>
      <c r="V765" s="214"/>
      <c r="EE765" s="648"/>
      <c r="EI765" s="216"/>
    </row>
    <row r="766" spans="18:139" ht="16.5" hidden="1" customHeight="1">
      <c r="R766" s="648"/>
      <c r="V766" s="214"/>
      <c r="EE766" s="648"/>
      <c r="EI766" s="216"/>
    </row>
    <row r="767" spans="18:139" ht="16.5" hidden="1" customHeight="1">
      <c r="R767" s="648"/>
      <c r="V767" s="214"/>
      <c r="EE767" s="648"/>
      <c r="EI767" s="216"/>
    </row>
    <row r="768" spans="18:139" ht="16.5" hidden="1" customHeight="1">
      <c r="R768" s="648"/>
      <c r="V768" s="214"/>
      <c r="EE768" s="648"/>
      <c r="EI768" s="216"/>
    </row>
    <row r="769" spans="18:139" ht="16.5" hidden="1" customHeight="1">
      <c r="R769" s="648"/>
      <c r="V769" s="214"/>
      <c r="EE769" s="648"/>
      <c r="EI769" s="216"/>
    </row>
    <row r="770" spans="18:139" ht="16.5" hidden="1" customHeight="1">
      <c r="R770" s="648"/>
      <c r="V770" s="214"/>
      <c r="EE770" s="648"/>
      <c r="EI770" s="216"/>
    </row>
    <row r="771" spans="18:139" ht="16.5" hidden="1" customHeight="1">
      <c r="R771" s="648"/>
      <c r="V771" s="214"/>
      <c r="EE771" s="648"/>
      <c r="EI771" s="216"/>
    </row>
    <row r="772" spans="18:139" ht="16.5" hidden="1" customHeight="1">
      <c r="R772" s="648"/>
      <c r="V772" s="214"/>
      <c r="EE772" s="648"/>
      <c r="EI772" s="216"/>
    </row>
    <row r="773" spans="18:139" ht="16.5" hidden="1" customHeight="1">
      <c r="R773" s="648"/>
      <c r="V773" s="214"/>
      <c r="EE773" s="648"/>
      <c r="EI773" s="216"/>
    </row>
    <row r="774" spans="18:139" ht="16.5" hidden="1" customHeight="1">
      <c r="R774" s="648"/>
      <c r="V774" s="214"/>
      <c r="EE774" s="648"/>
      <c r="EI774" s="216"/>
    </row>
    <row r="775" spans="18:139" ht="16.5" hidden="1" customHeight="1">
      <c r="R775" s="648"/>
      <c r="V775" s="214"/>
      <c r="EE775" s="648"/>
      <c r="EI775" s="216"/>
    </row>
    <row r="776" spans="18:139" ht="16.5" hidden="1" customHeight="1">
      <c r="R776" s="648"/>
      <c r="V776" s="214"/>
      <c r="EE776" s="648"/>
      <c r="EI776" s="216"/>
    </row>
    <row r="777" spans="18:139" ht="16.5" hidden="1" customHeight="1">
      <c r="R777" s="648"/>
      <c r="V777" s="214"/>
      <c r="EE777" s="648"/>
      <c r="EI777" s="216"/>
    </row>
    <row r="778" spans="18:139" ht="16.5" hidden="1" customHeight="1">
      <c r="R778" s="648"/>
      <c r="V778" s="214"/>
      <c r="EE778" s="648"/>
      <c r="EI778" s="216"/>
    </row>
    <row r="779" spans="18:139" ht="16.5" hidden="1" customHeight="1">
      <c r="R779" s="648"/>
      <c r="V779" s="214"/>
      <c r="EE779" s="648"/>
      <c r="EI779" s="216"/>
    </row>
    <row r="780" spans="18:139" ht="16.5" hidden="1" customHeight="1">
      <c r="R780" s="648"/>
      <c r="V780" s="214"/>
      <c r="EE780" s="648"/>
      <c r="EI780" s="216"/>
    </row>
    <row r="781" spans="18:139" ht="16.5" hidden="1" customHeight="1">
      <c r="R781" s="648"/>
      <c r="V781" s="214"/>
      <c r="EE781" s="648"/>
      <c r="EI781" s="216"/>
    </row>
    <row r="782" spans="18:139" ht="16.5" hidden="1" customHeight="1">
      <c r="R782" s="648"/>
      <c r="V782" s="214"/>
      <c r="EE782" s="648"/>
      <c r="EI782" s="216"/>
    </row>
    <row r="783" spans="18:139" ht="16.5" hidden="1" customHeight="1">
      <c r="R783" s="648"/>
      <c r="V783" s="214"/>
      <c r="EE783" s="648"/>
      <c r="EI783" s="216"/>
    </row>
    <row r="784" spans="18:139" ht="16.5" hidden="1" customHeight="1">
      <c r="R784" s="648"/>
      <c r="V784" s="214"/>
      <c r="EE784" s="648"/>
      <c r="EI784" s="216"/>
    </row>
    <row r="785" spans="18:139" ht="16.5" hidden="1" customHeight="1">
      <c r="R785" s="648"/>
      <c r="V785" s="214"/>
      <c r="EE785" s="648"/>
      <c r="EI785" s="216"/>
    </row>
    <row r="786" spans="18:139" ht="16.5" hidden="1" customHeight="1">
      <c r="R786" s="648"/>
      <c r="V786" s="214"/>
      <c r="EE786" s="648"/>
      <c r="EI786" s="216"/>
    </row>
    <row r="787" spans="18:139" ht="16.5" hidden="1" customHeight="1">
      <c r="R787" s="648"/>
      <c r="V787" s="214"/>
      <c r="EE787" s="648"/>
      <c r="EI787" s="216"/>
    </row>
    <row r="788" spans="18:139" ht="16.5" hidden="1" customHeight="1">
      <c r="R788" s="648"/>
      <c r="V788" s="214"/>
      <c r="EE788" s="648"/>
      <c r="EI788" s="216"/>
    </row>
    <row r="789" spans="18:139" ht="16.5" hidden="1" customHeight="1">
      <c r="R789" s="648"/>
      <c r="V789" s="214"/>
      <c r="EE789" s="648"/>
      <c r="EI789" s="216"/>
    </row>
    <row r="790" spans="18:139" ht="16.5" hidden="1" customHeight="1">
      <c r="R790" s="648"/>
      <c r="V790" s="214"/>
      <c r="EE790" s="648"/>
      <c r="EI790" s="216"/>
    </row>
    <row r="791" spans="18:139" ht="16.5" hidden="1" customHeight="1">
      <c r="R791" s="648"/>
      <c r="V791" s="214"/>
      <c r="EE791" s="648"/>
      <c r="EI791" s="216"/>
    </row>
    <row r="792" spans="18:139" ht="16.5" hidden="1" customHeight="1">
      <c r="R792" s="648"/>
      <c r="V792" s="214"/>
      <c r="EE792" s="648"/>
      <c r="EI792" s="216"/>
    </row>
    <row r="793" spans="18:139" ht="16.5" hidden="1" customHeight="1">
      <c r="R793" s="648"/>
      <c r="V793" s="214"/>
      <c r="EE793" s="648"/>
      <c r="EI793" s="216"/>
    </row>
    <row r="794" spans="18:139" ht="16.5" hidden="1" customHeight="1">
      <c r="R794" s="648"/>
      <c r="V794" s="214"/>
      <c r="EE794" s="648"/>
      <c r="EI794" s="216"/>
    </row>
    <row r="795" spans="18:139" ht="16.5" hidden="1" customHeight="1">
      <c r="R795" s="648"/>
      <c r="V795" s="214"/>
      <c r="EE795" s="648"/>
      <c r="EI795" s="216"/>
    </row>
    <row r="796" spans="18:139" ht="16.5" hidden="1" customHeight="1">
      <c r="R796" s="648"/>
      <c r="V796" s="214"/>
      <c r="EE796" s="648"/>
      <c r="EI796" s="216"/>
    </row>
    <row r="797" spans="18:139" ht="16.5" hidden="1" customHeight="1">
      <c r="R797" s="648"/>
      <c r="V797" s="214"/>
      <c r="EE797" s="648"/>
      <c r="EI797" s="216"/>
    </row>
    <row r="798" spans="18:139" ht="16.5" hidden="1" customHeight="1">
      <c r="R798" s="648"/>
      <c r="V798" s="214"/>
      <c r="EE798" s="648"/>
      <c r="EI798" s="216"/>
    </row>
    <row r="801" spans="18:251" s="215" customFormat="1" ht="16.5" hidden="1" customHeight="1">
      <c r="R801" s="215" t="s">
        <v>377</v>
      </c>
      <c r="S801" s="215" t="s">
        <v>378</v>
      </c>
      <c r="T801" s="215">
        <v>1051130</v>
      </c>
      <c r="V801" s="214" t="str">
        <f t="shared" ref="V801" si="10">S801&amp;TEXT(T801,"00")&amp;TEXT(U801,"00")</f>
        <v>含105113000</v>
      </c>
      <c r="EE801" s="215" t="s">
        <v>379</v>
      </c>
      <c r="EF801" s="215" t="s">
        <v>380</v>
      </c>
      <c r="EG801" s="215">
        <v>1051128</v>
      </c>
      <c r="EI801" s="216" t="str">
        <f t="shared" ref="EI801" si="11">EF801&amp;TEXT(EG801,"00")&amp;TEXT(EH801,"00")</f>
        <v>領後105112800</v>
      </c>
    </row>
    <row r="802" spans="18:251" ht="16.5" hidden="1" customHeight="1">
      <c r="R802" s="69" t="s">
        <v>76</v>
      </c>
      <c r="S802" s="69" t="s">
        <v>77</v>
      </c>
      <c r="T802" s="69" t="s">
        <v>78</v>
      </c>
      <c r="U802" s="69" t="s">
        <v>79</v>
      </c>
      <c r="V802" s="214"/>
      <c r="W802" s="69"/>
      <c r="X802" s="69"/>
      <c r="Y802" s="69"/>
      <c r="Z802" s="69"/>
      <c r="AA802" s="69"/>
      <c r="AB802" s="69"/>
      <c r="AC802" s="69"/>
      <c r="AD802" s="69"/>
      <c r="AE802" s="69"/>
      <c r="AF802" s="69"/>
      <c r="AG802" s="69"/>
      <c r="AH802" s="69"/>
      <c r="AI802" s="69"/>
      <c r="AJ802" s="69"/>
      <c r="AK802" s="69"/>
      <c r="AL802" s="69"/>
      <c r="AM802" s="69"/>
      <c r="AN802" s="69"/>
      <c r="AO802" s="69"/>
      <c r="AP802" s="69"/>
      <c r="AQ802" s="69"/>
      <c r="AR802" s="69"/>
      <c r="AS802" s="69"/>
      <c r="AT802" s="69"/>
      <c r="AU802" s="69"/>
      <c r="AV802" s="69"/>
      <c r="AW802" s="69"/>
      <c r="AX802" s="69"/>
      <c r="AY802" s="69"/>
      <c r="AZ802" s="69"/>
      <c r="BA802" s="69"/>
      <c r="BB802" s="69"/>
      <c r="BC802" s="69"/>
      <c r="BD802" s="69"/>
      <c r="BE802" s="69"/>
      <c r="BF802" s="69"/>
      <c r="BG802" s="69"/>
      <c r="BH802" s="69"/>
      <c r="BI802" s="69"/>
      <c r="BJ802" s="69"/>
      <c r="BK802" s="69"/>
      <c r="BL802" s="69"/>
      <c r="BM802" s="69"/>
      <c r="BN802" s="69"/>
      <c r="BO802" s="69"/>
      <c r="BP802" s="69"/>
      <c r="BQ802" s="69"/>
      <c r="BR802" s="69"/>
      <c r="BS802" s="69"/>
      <c r="BT802" s="69"/>
      <c r="BU802" s="69"/>
      <c r="BV802" s="69"/>
      <c r="BW802" s="69"/>
      <c r="BX802" s="69"/>
      <c r="BY802" s="69"/>
      <c r="BZ802" s="69"/>
      <c r="CA802" s="69"/>
      <c r="CB802" s="69"/>
      <c r="CC802" s="69"/>
      <c r="CD802" s="69"/>
      <c r="CE802" s="69"/>
      <c r="CF802" s="69"/>
      <c r="CG802" s="69"/>
      <c r="CH802" s="69"/>
      <c r="CI802" s="69"/>
      <c r="CJ802" s="69"/>
      <c r="CK802" s="69"/>
      <c r="CL802" s="69"/>
      <c r="CM802" s="69"/>
      <c r="CN802" s="69"/>
      <c r="CO802" s="69"/>
      <c r="CP802" s="69"/>
      <c r="CQ802" s="69"/>
      <c r="CR802" s="69"/>
      <c r="CS802" s="69"/>
      <c r="CT802" s="69"/>
      <c r="CU802" s="69"/>
      <c r="CV802" s="69"/>
      <c r="CW802" s="69"/>
      <c r="CX802" s="69"/>
      <c r="CY802" s="69"/>
      <c r="CZ802" s="69"/>
      <c r="DA802" s="69"/>
      <c r="DB802" s="69"/>
      <c r="DC802" s="69"/>
      <c r="DD802" s="69"/>
      <c r="DE802" s="69"/>
      <c r="DF802" s="69"/>
      <c r="DG802" s="69"/>
      <c r="DH802" s="69"/>
      <c r="DI802" s="69"/>
      <c r="DJ802" s="69"/>
      <c r="DK802" s="69"/>
      <c r="DL802" s="69"/>
      <c r="DM802" s="69"/>
      <c r="DN802" s="69"/>
      <c r="DO802" s="69"/>
      <c r="DP802" s="69"/>
      <c r="DQ802" s="69"/>
      <c r="DR802" s="69"/>
      <c r="DS802" s="69"/>
      <c r="DT802" s="69"/>
      <c r="DU802" s="69"/>
      <c r="DV802" s="69"/>
      <c r="DW802" s="69"/>
      <c r="DX802" s="69"/>
      <c r="DY802" s="69"/>
      <c r="DZ802" s="69"/>
      <c r="EA802" s="69"/>
      <c r="EB802" s="69"/>
      <c r="EC802" s="69"/>
      <c r="ED802" s="69"/>
      <c r="EE802" s="69" t="s">
        <v>76</v>
      </c>
      <c r="EF802" s="69" t="s">
        <v>77</v>
      </c>
      <c r="EG802" s="69" t="s">
        <v>78</v>
      </c>
      <c r="EH802" s="69" t="s">
        <v>79</v>
      </c>
      <c r="EI802" s="216"/>
      <c r="EJ802" s="69"/>
      <c r="EK802" s="69"/>
      <c r="EL802" s="69"/>
      <c r="EM802" s="69"/>
      <c r="EN802" s="69"/>
      <c r="EO802" s="69"/>
      <c r="EP802" s="69"/>
      <c r="EQ802" s="69"/>
      <c r="ER802" s="69"/>
      <c r="ES802" s="69"/>
      <c r="ET802" s="69"/>
      <c r="EU802" s="69"/>
      <c r="EV802" s="69"/>
      <c r="EW802" s="69"/>
      <c r="EX802" s="69"/>
      <c r="EY802" s="69"/>
      <c r="EZ802" s="69"/>
      <c r="FA802" s="69"/>
      <c r="FB802" s="69"/>
      <c r="FC802" s="69"/>
      <c r="FD802" s="69"/>
      <c r="FE802" s="69"/>
      <c r="FF802" s="69"/>
      <c r="FG802" s="69"/>
      <c r="FH802" s="69"/>
      <c r="FI802" s="69"/>
      <c r="FJ802" s="69"/>
      <c r="FK802" s="69"/>
      <c r="FL802" s="69"/>
      <c r="FM802" s="69"/>
      <c r="FN802" s="69"/>
      <c r="FO802" s="69"/>
      <c r="FP802" s="69"/>
      <c r="FQ802" s="69"/>
      <c r="FR802" s="69"/>
      <c r="FS802" s="69"/>
      <c r="FT802" s="69"/>
      <c r="FU802" s="69"/>
      <c r="FV802" s="69"/>
      <c r="FW802" s="69"/>
      <c r="FX802" s="69"/>
      <c r="FY802" s="69"/>
      <c r="FZ802" s="69"/>
      <c r="GA802" s="69"/>
      <c r="GB802" s="69"/>
      <c r="GC802" s="69"/>
      <c r="GD802" s="69"/>
      <c r="GE802" s="69"/>
      <c r="GF802" s="69"/>
      <c r="GG802" s="69"/>
      <c r="GH802" s="69"/>
      <c r="GI802" s="69"/>
      <c r="GJ802" s="69"/>
      <c r="GK802" s="69"/>
      <c r="GL802" s="69"/>
      <c r="GM802" s="69"/>
      <c r="GN802" s="69"/>
      <c r="GO802" s="69"/>
      <c r="GP802" s="69"/>
      <c r="GQ802" s="69"/>
      <c r="GR802" s="69"/>
      <c r="GS802" s="69"/>
      <c r="GT802" s="69"/>
      <c r="GU802" s="69"/>
      <c r="GV802" s="69"/>
      <c r="GW802" s="69"/>
      <c r="GX802" s="69"/>
      <c r="GY802" s="69"/>
      <c r="GZ802" s="69"/>
      <c r="HA802" s="69"/>
      <c r="HB802" s="69"/>
      <c r="HC802" s="69"/>
      <c r="HD802" s="69"/>
      <c r="HE802" s="69"/>
      <c r="HF802" s="69"/>
      <c r="HG802" s="69"/>
      <c r="HH802" s="69"/>
      <c r="HI802" s="69"/>
      <c r="HJ802" s="69"/>
      <c r="HK802" s="69"/>
      <c r="HL802" s="69"/>
      <c r="HM802" s="69"/>
      <c r="HN802" s="69"/>
      <c r="HO802" s="69"/>
      <c r="HP802" s="69"/>
      <c r="HQ802" s="69"/>
      <c r="HR802" s="69"/>
      <c r="HS802" s="69"/>
      <c r="HT802" s="69"/>
      <c r="HU802" s="69"/>
      <c r="HV802" s="69"/>
      <c r="HW802" s="69"/>
      <c r="HX802" s="69"/>
      <c r="HY802" s="69"/>
      <c r="HZ802" s="69"/>
      <c r="IA802" s="69"/>
      <c r="IB802" s="69"/>
      <c r="IC802" s="69"/>
      <c r="ID802" s="69"/>
      <c r="IE802" s="69"/>
      <c r="IF802" s="69"/>
      <c r="IG802" s="69"/>
      <c r="IH802" s="69"/>
      <c r="II802" s="69"/>
      <c r="IJ802" s="69"/>
      <c r="IK802" s="69"/>
      <c r="IL802" s="69"/>
      <c r="IM802" s="69"/>
      <c r="IN802" s="69"/>
      <c r="IO802" s="69"/>
      <c r="IP802" s="69"/>
      <c r="IQ802" s="69"/>
    </row>
    <row r="803" spans="18:251" ht="16.5" hidden="1" customHeight="1">
      <c r="R803" s="95" t="s">
        <v>450</v>
      </c>
      <c r="S803" s="95"/>
      <c r="T803" s="95"/>
      <c r="U803" s="70"/>
      <c r="V803" s="214"/>
      <c r="W803" s="70"/>
      <c r="X803" s="70"/>
      <c r="Y803" s="70"/>
      <c r="Z803" s="70"/>
      <c r="AA803" s="70"/>
      <c r="AB803" s="70"/>
      <c r="AC803" s="70"/>
      <c r="AD803" s="70"/>
      <c r="AE803" s="70"/>
      <c r="AF803" s="70"/>
      <c r="AG803" s="70"/>
      <c r="AH803" s="70"/>
      <c r="AI803" s="70"/>
      <c r="AJ803" s="70"/>
      <c r="AK803" s="70"/>
      <c r="AL803" s="70"/>
      <c r="AM803" s="70"/>
      <c r="AN803" s="70"/>
      <c r="AO803" s="70"/>
      <c r="AP803" s="70"/>
      <c r="AQ803" s="70"/>
      <c r="AR803" s="70"/>
      <c r="AS803" s="70"/>
      <c r="AT803" s="70"/>
      <c r="AU803" s="70"/>
      <c r="AV803" s="70"/>
      <c r="AW803" s="70"/>
      <c r="AX803" s="70"/>
      <c r="AY803" s="70"/>
      <c r="AZ803" s="70"/>
      <c r="BA803" s="70"/>
      <c r="BB803" s="70"/>
      <c r="BC803" s="70"/>
      <c r="BD803" s="70"/>
      <c r="BE803" s="70"/>
      <c r="BF803" s="70"/>
      <c r="BG803" s="70"/>
      <c r="BH803" s="70"/>
      <c r="BI803" s="70"/>
      <c r="BJ803" s="70"/>
      <c r="BK803" s="70"/>
      <c r="BL803" s="70"/>
      <c r="BM803" s="70"/>
      <c r="BN803" s="70"/>
      <c r="BO803" s="70"/>
      <c r="BP803" s="70"/>
      <c r="BQ803" s="70"/>
      <c r="BR803" s="70"/>
      <c r="BS803" s="70"/>
      <c r="BT803" s="70"/>
      <c r="BU803" s="70"/>
      <c r="BV803" s="70"/>
      <c r="BW803" s="70"/>
      <c r="BX803" s="70"/>
      <c r="BY803" s="70"/>
      <c r="BZ803" s="70"/>
      <c r="CA803" s="70"/>
      <c r="CB803" s="70"/>
      <c r="CC803" s="70"/>
      <c r="CD803" s="70"/>
      <c r="CE803" s="70"/>
      <c r="CF803" s="70"/>
      <c r="CG803" s="70"/>
      <c r="CH803" s="70"/>
      <c r="CI803" s="70"/>
      <c r="CJ803" s="70"/>
      <c r="CK803" s="70"/>
      <c r="CL803" s="70"/>
      <c r="CM803" s="70"/>
      <c r="CN803" s="70"/>
      <c r="CO803" s="70"/>
      <c r="CP803" s="70"/>
      <c r="CQ803" s="70"/>
      <c r="CR803" s="70"/>
      <c r="CS803" s="70"/>
      <c r="CT803" s="70"/>
      <c r="CU803" s="70"/>
      <c r="CV803" s="70"/>
      <c r="CW803" s="70"/>
      <c r="CX803" s="70"/>
      <c r="CY803" s="70"/>
      <c r="CZ803" s="70"/>
      <c r="DA803" s="70"/>
      <c r="DB803" s="70"/>
      <c r="DC803" s="70"/>
      <c r="DD803" s="70"/>
      <c r="DE803" s="70"/>
      <c r="DF803" s="70"/>
      <c r="DG803" s="70"/>
      <c r="DH803" s="70"/>
      <c r="DI803" s="70"/>
      <c r="DJ803" s="70"/>
      <c r="DK803" s="70"/>
      <c r="DL803" s="70"/>
      <c r="DM803" s="70"/>
      <c r="DN803" s="70"/>
      <c r="DO803" s="70"/>
      <c r="DP803" s="70"/>
      <c r="DQ803" s="70"/>
      <c r="DR803" s="70"/>
      <c r="DS803" s="70"/>
      <c r="DT803" s="70"/>
      <c r="DU803" s="70"/>
      <c r="DV803" s="70"/>
      <c r="DW803" s="70"/>
      <c r="DX803" s="70"/>
      <c r="DY803" s="70"/>
      <c r="DZ803" s="70"/>
      <c r="EA803" s="70"/>
      <c r="EB803" s="70"/>
      <c r="EC803" s="70"/>
      <c r="ED803" s="70"/>
      <c r="EE803" s="95" t="s">
        <v>450</v>
      </c>
      <c r="EF803" s="95"/>
      <c r="EG803" s="95"/>
      <c r="EH803" s="70"/>
      <c r="EI803" s="216"/>
      <c r="EJ803" s="70"/>
      <c r="EK803" s="70"/>
      <c r="EL803" s="70"/>
      <c r="EM803" s="70"/>
      <c r="EN803" s="70"/>
      <c r="EO803" s="70"/>
      <c r="EP803" s="70"/>
      <c r="EQ803" s="70"/>
      <c r="ER803" s="70"/>
      <c r="ES803" s="70"/>
      <c r="ET803" s="70"/>
      <c r="EU803" s="70"/>
      <c r="EV803" s="70"/>
      <c r="EW803" s="70"/>
      <c r="EX803" s="70"/>
      <c r="EY803" s="70"/>
      <c r="EZ803" s="70"/>
      <c r="FA803" s="70"/>
      <c r="FB803" s="70"/>
      <c r="FC803" s="70"/>
      <c r="FD803" s="70"/>
      <c r="FE803" s="70"/>
      <c r="FF803" s="70"/>
      <c r="FG803" s="70"/>
      <c r="FH803" s="70"/>
      <c r="FI803" s="70"/>
      <c r="FJ803" s="70"/>
      <c r="FK803" s="70"/>
      <c r="FL803" s="70"/>
      <c r="FM803" s="70"/>
      <c r="FN803" s="70"/>
      <c r="FO803" s="70"/>
      <c r="FP803" s="70"/>
      <c r="FQ803" s="70"/>
      <c r="FR803" s="70"/>
      <c r="FS803" s="70"/>
      <c r="FT803" s="70"/>
      <c r="FU803" s="70"/>
      <c r="FV803" s="70"/>
      <c r="FW803" s="70"/>
      <c r="FX803" s="70"/>
      <c r="FY803" s="70"/>
      <c r="FZ803" s="70"/>
      <c r="GA803" s="70"/>
      <c r="GB803" s="70"/>
      <c r="GC803" s="70"/>
      <c r="GD803" s="70"/>
      <c r="GE803" s="70"/>
      <c r="GF803" s="70"/>
      <c r="GG803" s="70"/>
      <c r="GH803" s="70"/>
      <c r="GI803" s="70"/>
      <c r="GJ803" s="70"/>
      <c r="GK803" s="70"/>
      <c r="GL803" s="70"/>
      <c r="GM803" s="70"/>
      <c r="GN803" s="70"/>
      <c r="GO803" s="70"/>
      <c r="GP803" s="70"/>
      <c r="GQ803" s="70"/>
      <c r="GR803" s="70"/>
      <c r="GS803" s="70"/>
      <c r="GT803" s="70"/>
      <c r="GU803" s="70"/>
      <c r="GV803" s="70"/>
      <c r="GW803" s="70"/>
      <c r="GX803" s="70"/>
      <c r="GY803" s="70"/>
      <c r="GZ803" s="70"/>
      <c r="HA803" s="70"/>
      <c r="HB803" s="70"/>
      <c r="HC803" s="70"/>
      <c r="HD803" s="70"/>
      <c r="HE803" s="70"/>
      <c r="HF803" s="70"/>
      <c r="HG803" s="70"/>
      <c r="HH803" s="70"/>
      <c r="HI803" s="70"/>
      <c r="HJ803" s="70"/>
      <c r="HK803" s="70"/>
      <c r="HL803" s="70"/>
      <c r="HM803" s="70"/>
      <c r="HN803" s="70"/>
      <c r="HO803" s="70"/>
      <c r="HP803" s="70"/>
      <c r="HQ803" s="70"/>
      <c r="HR803" s="70"/>
      <c r="HS803" s="70"/>
      <c r="HT803" s="70"/>
      <c r="HU803" s="70"/>
      <c r="HV803" s="70"/>
      <c r="HW803" s="70"/>
      <c r="HX803" s="70"/>
      <c r="HY803" s="70"/>
      <c r="HZ803" s="70"/>
      <c r="IA803" s="70"/>
      <c r="IB803" s="70"/>
      <c r="IC803" s="70"/>
      <c r="ID803" s="70"/>
      <c r="IE803" s="70"/>
      <c r="IF803" s="70"/>
      <c r="IG803" s="70"/>
      <c r="IH803" s="70"/>
      <c r="II803" s="70"/>
      <c r="IJ803" s="70"/>
      <c r="IK803" s="70"/>
      <c r="IL803" s="70"/>
      <c r="IM803" s="70"/>
      <c r="IN803" s="70"/>
      <c r="IO803" s="70"/>
      <c r="IP803" s="70"/>
      <c r="IQ803" s="70"/>
    </row>
    <row r="804" spans="18:251" ht="16.5" hidden="1" customHeight="1">
      <c r="R804" s="95" t="s">
        <v>450</v>
      </c>
      <c r="S804" s="95"/>
      <c r="T804" s="95"/>
      <c r="U804" s="70"/>
      <c r="V804" s="214"/>
      <c r="W804" s="70"/>
      <c r="X804" s="70"/>
      <c r="Y804" s="70"/>
      <c r="Z804" s="70"/>
      <c r="AA804" s="70"/>
      <c r="AB804" s="70"/>
      <c r="AC804" s="70"/>
      <c r="AD804" s="70"/>
      <c r="AE804" s="70"/>
      <c r="AF804" s="70"/>
      <c r="AG804" s="70"/>
      <c r="AH804" s="70"/>
      <c r="AI804" s="70"/>
      <c r="AJ804" s="70"/>
      <c r="AK804" s="70"/>
      <c r="AL804" s="70"/>
      <c r="AM804" s="70"/>
      <c r="AN804" s="70"/>
      <c r="AO804" s="70"/>
      <c r="AP804" s="70"/>
      <c r="AQ804" s="70"/>
      <c r="AR804" s="70"/>
      <c r="AS804" s="70"/>
      <c r="AT804" s="70"/>
      <c r="AU804" s="70"/>
      <c r="AV804" s="70"/>
      <c r="AW804" s="70"/>
      <c r="AX804" s="70"/>
      <c r="AY804" s="70"/>
      <c r="AZ804" s="70"/>
      <c r="BA804" s="70"/>
      <c r="BB804" s="70"/>
      <c r="BC804" s="70"/>
      <c r="BD804" s="70"/>
      <c r="BE804" s="70"/>
      <c r="BF804" s="70"/>
      <c r="BG804" s="70"/>
      <c r="BH804" s="70"/>
      <c r="BI804" s="70"/>
      <c r="BJ804" s="70"/>
      <c r="BK804" s="70"/>
      <c r="BL804" s="70"/>
      <c r="BM804" s="70"/>
      <c r="BN804" s="70"/>
      <c r="BO804" s="70"/>
      <c r="BP804" s="70"/>
      <c r="BQ804" s="70"/>
      <c r="BR804" s="70"/>
      <c r="BS804" s="70"/>
      <c r="BT804" s="70"/>
      <c r="BU804" s="70"/>
      <c r="BV804" s="70"/>
      <c r="BW804" s="70"/>
      <c r="BX804" s="70"/>
      <c r="BY804" s="70"/>
      <c r="BZ804" s="70"/>
      <c r="CA804" s="70"/>
      <c r="CB804" s="70"/>
      <c r="CC804" s="70"/>
      <c r="CD804" s="70"/>
      <c r="CE804" s="70"/>
      <c r="CF804" s="70"/>
      <c r="CG804" s="70"/>
      <c r="CH804" s="70"/>
      <c r="CI804" s="70"/>
      <c r="CJ804" s="70"/>
      <c r="CK804" s="70"/>
      <c r="CL804" s="70"/>
      <c r="CM804" s="70"/>
      <c r="CN804" s="70"/>
      <c r="CO804" s="70"/>
      <c r="CP804" s="70"/>
      <c r="CQ804" s="70"/>
      <c r="CR804" s="70"/>
      <c r="CS804" s="70"/>
      <c r="CT804" s="70"/>
      <c r="CU804" s="70"/>
      <c r="CV804" s="70"/>
      <c r="CW804" s="70"/>
      <c r="CX804" s="70"/>
      <c r="CY804" s="70"/>
      <c r="CZ804" s="70"/>
      <c r="DA804" s="70"/>
      <c r="DB804" s="70"/>
      <c r="DC804" s="70"/>
      <c r="DD804" s="70"/>
      <c r="DE804" s="70"/>
      <c r="DF804" s="70"/>
      <c r="DG804" s="70"/>
      <c r="DH804" s="70"/>
      <c r="DI804" s="70"/>
      <c r="DJ804" s="70"/>
      <c r="DK804" s="70"/>
      <c r="DL804" s="70"/>
      <c r="DM804" s="70"/>
      <c r="DN804" s="70"/>
      <c r="DO804" s="70"/>
      <c r="DP804" s="70"/>
      <c r="DQ804" s="70"/>
      <c r="DR804" s="70"/>
      <c r="DS804" s="70"/>
      <c r="DT804" s="70"/>
      <c r="DU804" s="70"/>
      <c r="DV804" s="70"/>
      <c r="DW804" s="70"/>
      <c r="DX804" s="70"/>
      <c r="DY804" s="70"/>
      <c r="DZ804" s="70"/>
      <c r="EA804" s="70"/>
      <c r="EB804" s="70"/>
      <c r="EC804" s="70"/>
      <c r="ED804" s="70"/>
      <c r="EE804" s="95" t="s">
        <v>450</v>
      </c>
      <c r="EF804" s="95"/>
      <c r="EG804" s="95"/>
      <c r="EH804" s="70"/>
      <c r="EI804" s="216"/>
      <c r="EJ804" s="70"/>
      <c r="EK804" s="70"/>
      <c r="EL804" s="70"/>
      <c r="EM804" s="70"/>
      <c r="EN804" s="70"/>
      <c r="EO804" s="70"/>
      <c r="EP804" s="70"/>
      <c r="EQ804" s="70"/>
      <c r="ER804" s="70"/>
      <c r="ES804" s="70"/>
      <c r="ET804" s="70"/>
      <c r="EU804" s="70"/>
      <c r="EV804" s="70"/>
      <c r="EW804" s="70"/>
      <c r="EX804" s="70"/>
      <c r="EY804" s="70"/>
      <c r="EZ804" s="70"/>
      <c r="FA804" s="70"/>
      <c r="FB804" s="70"/>
      <c r="FC804" s="70"/>
      <c r="FD804" s="70"/>
      <c r="FE804" s="70"/>
      <c r="FF804" s="70"/>
      <c r="FG804" s="70"/>
      <c r="FH804" s="70"/>
      <c r="FI804" s="70"/>
      <c r="FJ804" s="70"/>
      <c r="FK804" s="70"/>
      <c r="FL804" s="70"/>
      <c r="FM804" s="70"/>
      <c r="FN804" s="70"/>
      <c r="FO804" s="70"/>
      <c r="FP804" s="70"/>
      <c r="FQ804" s="70"/>
      <c r="FR804" s="70"/>
      <c r="FS804" s="70"/>
      <c r="FT804" s="70"/>
      <c r="FU804" s="70"/>
      <c r="FV804" s="70"/>
      <c r="FW804" s="70"/>
      <c r="FX804" s="70"/>
      <c r="FY804" s="70"/>
      <c r="FZ804" s="70"/>
      <c r="GA804" s="70"/>
      <c r="GB804" s="70"/>
      <c r="GC804" s="70"/>
      <c r="GD804" s="70"/>
      <c r="GE804" s="70"/>
      <c r="GF804" s="70"/>
      <c r="GG804" s="70"/>
      <c r="GH804" s="70"/>
      <c r="GI804" s="70"/>
      <c r="GJ804" s="70"/>
      <c r="GK804" s="70"/>
      <c r="GL804" s="70"/>
      <c r="GM804" s="70"/>
      <c r="GN804" s="70"/>
      <c r="GO804" s="70"/>
      <c r="GP804" s="70"/>
      <c r="GQ804" s="70"/>
      <c r="GR804" s="70"/>
      <c r="GS804" s="70"/>
      <c r="GT804" s="70"/>
      <c r="GU804" s="70"/>
      <c r="GV804" s="70"/>
      <c r="GW804" s="70"/>
      <c r="GX804" s="70"/>
      <c r="GY804" s="70"/>
      <c r="GZ804" s="70"/>
      <c r="HA804" s="70"/>
      <c r="HB804" s="70"/>
      <c r="HC804" s="70"/>
      <c r="HD804" s="70"/>
      <c r="HE804" s="70"/>
      <c r="HF804" s="70"/>
      <c r="HG804" s="70"/>
      <c r="HH804" s="70"/>
      <c r="HI804" s="70"/>
      <c r="HJ804" s="70"/>
      <c r="HK804" s="70"/>
      <c r="HL804" s="70"/>
      <c r="HM804" s="70"/>
      <c r="HN804" s="70"/>
      <c r="HO804" s="70"/>
      <c r="HP804" s="70"/>
      <c r="HQ804" s="70"/>
      <c r="HR804" s="70"/>
      <c r="HS804" s="70"/>
      <c r="HT804" s="70"/>
      <c r="HU804" s="70"/>
      <c r="HV804" s="70"/>
      <c r="HW804" s="70"/>
      <c r="HX804" s="70"/>
      <c r="HY804" s="70"/>
      <c r="HZ804" s="70"/>
      <c r="IA804" s="70"/>
      <c r="IB804" s="70"/>
      <c r="IC804" s="70"/>
      <c r="ID804" s="70"/>
      <c r="IE804" s="70"/>
      <c r="IF804" s="70"/>
      <c r="IG804" s="70"/>
      <c r="IH804" s="70"/>
      <c r="II804" s="70"/>
      <c r="IJ804" s="70"/>
      <c r="IK804" s="70"/>
      <c r="IL804" s="70"/>
      <c r="IM804" s="70"/>
      <c r="IN804" s="70"/>
      <c r="IO804" s="70"/>
      <c r="IP804" s="70"/>
      <c r="IQ804" s="70"/>
    </row>
    <row r="805" spans="18:251" ht="16.5" hidden="1" customHeight="1">
      <c r="R805" s="95" t="s">
        <v>450</v>
      </c>
      <c r="S805" s="95"/>
      <c r="T805" s="95"/>
      <c r="U805" s="70"/>
      <c r="V805" s="214"/>
      <c r="W805" s="70"/>
      <c r="X805" s="70"/>
      <c r="Y805" s="70"/>
      <c r="Z805" s="70"/>
      <c r="AA805" s="70"/>
      <c r="AB805" s="70"/>
      <c r="AC805" s="70"/>
      <c r="AD805" s="70"/>
      <c r="AE805" s="70"/>
      <c r="AF805" s="70"/>
      <c r="AG805" s="70"/>
      <c r="AH805" s="70"/>
      <c r="AI805" s="70"/>
      <c r="AJ805" s="70"/>
      <c r="AK805" s="70"/>
      <c r="AL805" s="70"/>
      <c r="AM805" s="70"/>
      <c r="AN805" s="70"/>
      <c r="AO805" s="70"/>
      <c r="AP805" s="70"/>
      <c r="AQ805" s="70"/>
      <c r="AR805" s="70"/>
      <c r="AS805" s="70"/>
      <c r="AT805" s="70"/>
      <c r="AU805" s="70"/>
      <c r="AV805" s="70"/>
      <c r="AW805" s="70"/>
      <c r="AX805" s="70"/>
      <c r="AY805" s="70"/>
      <c r="AZ805" s="70"/>
      <c r="BA805" s="70"/>
      <c r="BB805" s="70"/>
      <c r="BC805" s="70"/>
      <c r="BD805" s="70"/>
      <c r="BE805" s="70"/>
      <c r="BF805" s="70"/>
      <c r="BG805" s="70"/>
      <c r="BH805" s="70"/>
      <c r="BI805" s="70"/>
      <c r="BJ805" s="70"/>
      <c r="BK805" s="70"/>
      <c r="BL805" s="70"/>
      <c r="BM805" s="70"/>
      <c r="BN805" s="70"/>
      <c r="BO805" s="70"/>
      <c r="BP805" s="70"/>
      <c r="BQ805" s="70"/>
      <c r="BR805" s="70"/>
      <c r="BS805" s="70"/>
      <c r="BT805" s="70"/>
      <c r="BU805" s="70"/>
      <c r="BV805" s="70"/>
      <c r="BW805" s="70"/>
      <c r="BX805" s="70"/>
      <c r="BY805" s="70"/>
      <c r="BZ805" s="70"/>
      <c r="CA805" s="70"/>
      <c r="CB805" s="70"/>
      <c r="CC805" s="70"/>
      <c r="CD805" s="70"/>
      <c r="CE805" s="70"/>
      <c r="CF805" s="70"/>
      <c r="CG805" s="70"/>
      <c r="CH805" s="70"/>
      <c r="CI805" s="70"/>
      <c r="CJ805" s="70"/>
      <c r="CK805" s="70"/>
      <c r="CL805" s="70"/>
      <c r="CM805" s="70"/>
      <c r="CN805" s="70"/>
      <c r="CO805" s="70"/>
      <c r="CP805" s="70"/>
      <c r="CQ805" s="70"/>
      <c r="CR805" s="70"/>
      <c r="CS805" s="70"/>
      <c r="CT805" s="70"/>
      <c r="CU805" s="70"/>
      <c r="CV805" s="70"/>
      <c r="CW805" s="70"/>
      <c r="CX805" s="70"/>
      <c r="CY805" s="70"/>
      <c r="CZ805" s="70"/>
      <c r="DA805" s="70"/>
      <c r="DB805" s="70"/>
      <c r="DC805" s="70"/>
      <c r="DD805" s="70"/>
      <c r="DE805" s="70"/>
      <c r="DF805" s="70"/>
      <c r="DG805" s="70"/>
      <c r="DH805" s="70"/>
      <c r="DI805" s="70"/>
      <c r="DJ805" s="70"/>
      <c r="DK805" s="70"/>
      <c r="DL805" s="70"/>
      <c r="DM805" s="70"/>
      <c r="DN805" s="70"/>
      <c r="DO805" s="70"/>
      <c r="DP805" s="70"/>
      <c r="DQ805" s="70"/>
      <c r="DR805" s="70"/>
      <c r="DS805" s="70"/>
      <c r="DT805" s="70"/>
      <c r="DU805" s="70"/>
      <c r="DV805" s="70"/>
      <c r="DW805" s="70"/>
      <c r="DX805" s="70"/>
      <c r="DY805" s="70"/>
      <c r="DZ805" s="70"/>
      <c r="EA805" s="70"/>
      <c r="EB805" s="70"/>
      <c r="EC805" s="70"/>
      <c r="ED805" s="70"/>
      <c r="EE805" s="95" t="s">
        <v>450</v>
      </c>
      <c r="EF805" s="95"/>
      <c r="EG805" s="95"/>
      <c r="EH805" s="70"/>
      <c r="EI805" s="216"/>
      <c r="EJ805" s="70"/>
      <c r="EK805" s="70"/>
      <c r="EL805" s="70"/>
      <c r="EM805" s="70"/>
      <c r="EN805" s="70"/>
      <c r="EO805" s="70"/>
      <c r="EP805" s="70"/>
      <c r="EQ805" s="70"/>
      <c r="ER805" s="70"/>
      <c r="ES805" s="70"/>
      <c r="ET805" s="70"/>
      <c r="EU805" s="70"/>
      <c r="EV805" s="70"/>
      <c r="EW805" s="70"/>
      <c r="EX805" s="70"/>
      <c r="EY805" s="70"/>
      <c r="EZ805" s="70"/>
      <c r="FA805" s="70"/>
      <c r="FB805" s="70"/>
      <c r="FC805" s="70"/>
      <c r="FD805" s="70"/>
      <c r="FE805" s="70"/>
      <c r="FF805" s="70"/>
      <c r="FG805" s="70"/>
      <c r="FH805" s="70"/>
      <c r="FI805" s="70"/>
      <c r="FJ805" s="70"/>
      <c r="FK805" s="70"/>
      <c r="FL805" s="70"/>
      <c r="FM805" s="70"/>
      <c r="FN805" s="70"/>
      <c r="FO805" s="70"/>
      <c r="FP805" s="70"/>
      <c r="FQ805" s="70"/>
      <c r="FR805" s="70"/>
      <c r="FS805" s="70"/>
      <c r="FT805" s="70"/>
      <c r="FU805" s="70"/>
      <c r="FV805" s="70"/>
      <c r="FW805" s="70"/>
      <c r="FX805" s="70"/>
      <c r="FY805" s="70"/>
      <c r="FZ805" s="70"/>
      <c r="GA805" s="70"/>
      <c r="GB805" s="70"/>
      <c r="GC805" s="70"/>
      <c r="GD805" s="70"/>
      <c r="GE805" s="70"/>
      <c r="GF805" s="70"/>
      <c r="GG805" s="70"/>
      <c r="GH805" s="70"/>
      <c r="GI805" s="70"/>
      <c r="GJ805" s="70"/>
      <c r="GK805" s="70"/>
      <c r="GL805" s="70"/>
      <c r="GM805" s="70"/>
      <c r="GN805" s="70"/>
      <c r="GO805" s="70"/>
      <c r="GP805" s="70"/>
      <c r="GQ805" s="70"/>
      <c r="GR805" s="70"/>
      <c r="GS805" s="70"/>
      <c r="GT805" s="70"/>
      <c r="GU805" s="70"/>
      <c r="GV805" s="70"/>
      <c r="GW805" s="70"/>
      <c r="GX805" s="70"/>
      <c r="GY805" s="70"/>
      <c r="GZ805" s="70"/>
      <c r="HA805" s="70"/>
      <c r="HB805" s="70"/>
      <c r="HC805" s="70"/>
      <c r="HD805" s="70"/>
      <c r="HE805" s="70"/>
      <c r="HF805" s="70"/>
      <c r="HG805" s="70"/>
      <c r="HH805" s="70"/>
      <c r="HI805" s="70"/>
      <c r="HJ805" s="70"/>
      <c r="HK805" s="70"/>
      <c r="HL805" s="70"/>
      <c r="HM805" s="70"/>
      <c r="HN805" s="70"/>
      <c r="HO805" s="70"/>
      <c r="HP805" s="70"/>
      <c r="HQ805" s="70"/>
      <c r="HR805" s="70"/>
      <c r="HS805" s="70"/>
      <c r="HT805" s="70"/>
      <c r="HU805" s="70"/>
      <c r="HV805" s="70"/>
      <c r="HW805" s="70"/>
      <c r="HX805" s="70"/>
      <c r="HY805" s="70"/>
      <c r="HZ805" s="70"/>
      <c r="IA805" s="70"/>
      <c r="IB805" s="70"/>
      <c r="IC805" s="70"/>
      <c r="ID805" s="70"/>
      <c r="IE805" s="70"/>
      <c r="IF805" s="70"/>
      <c r="IG805" s="70"/>
      <c r="IH805" s="70"/>
      <c r="II805" s="70"/>
      <c r="IJ805" s="70"/>
      <c r="IK805" s="70"/>
      <c r="IL805" s="70"/>
      <c r="IM805" s="70"/>
      <c r="IN805" s="70"/>
      <c r="IO805" s="70"/>
      <c r="IP805" s="70"/>
      <c r="IQ805" s="70"/>
    </row>
    <row r="806" spans="18:251" ht="16.5" hidden="1" customHeight="1">
      <c r="R806" s="95" t="s">
        <v>450</v>
      </c>
      <c r="S806" s="95"/>
      <c r="T806" s="95"/>
      <c r="U806" s="70"/>
      <c r="V806" s="214"/>
      <c r="W806" s="70"/>
      <c r="X806" s="70"/>
      <c r="Y806" s="70"/>
      <c r="Z806" s="70"/>
      <c r="AA806" s="70"/>
      <c r="AB806" s="70"/>
      <c r="AC806" s="70"/>
      <c r="AD806" s="70"/>
      <c r="AE806" s="70"/>
      <c r="AF806" s="70"/>
      <c r="AG806" s="70"/>
      <c r="AH806" s="70"/>
      <c r="AI806" s="70"/>
      <c r="AJ806" s="70"/>
      <c r="AK806" s="70"/>
      <c r="AL806" s="70"/>
      <c r="AM806" s="70"/>
      <c r="AN806" s="70"/>
      <c r="AO806" s="70"/>
      <c r="AP806" s="70"/>
      <c r="AQ806" s="70"/>
      <c r="AR806" s="70"/>
      <c r="AS806" s="70"/>
      <c r="AT806" s="70"/>
      <c r="AU806" s="70"/>
      <c r="AV806" s="70"/>
      <c r="AW806" s="70"/>
      <c r="AX806" s="70"/>
      <c r="AY806" s="70"/>
      <c r="AZ806" s="70"/>
      <c r="BA806" s="70"/>
      <c r="BB806" s="70"/>
      <c r="BC806" s="70"/>
      <c r="BD806" s="70"/>
      <c r="BE806" s="70"/>
      <c r="BF806" s="70"/>
      <c r="BG806" s="70"/>
      <c r="BH806" s="70"/>
      <c r="BI806" s="70"/>
      <c r="BJ806" s="70"/>
      <c r="BK806" s="70"/>
      <c r="BL806" s="70"/>
      <c r="BM806" s="70"/>
      <c r="BN806" s="70"/>
      <c r="BO806" s="70"/>
      <c r="BP806" s="70"/>
      <c r="BQ806" s="70"/>
      <c r="BR806" s="70"/>
      <c r="BS806" s="70"/>
      <c r="BT806" s="70"/>
      <c r="BU806" s="70"/>
      <c r="BV806" s="70"/>
      <c r="BW806" s="70"/>
      <c r="BX806" s="70"/>
      <c r="BY806" s="70"/>
      <c r="BZ806" s="70"/>
      <c r="CA806" s="70"/>
      <c r="CB806" s="70"/>
      <c r="CC806" s="70"/>
      <c r="CD806" s="70"/>
      <c r="CE806" s="70"/>
      <c r="CF806" s="70"/>
      <c r="CG806" s="70"/>
      <c r="CH806" s="70"/>
      <c r="CI806" s="70"/>
      <c r="CJ806" s="70"/>
      <c r="CK806" s="70"/>
      <c r="CL806" s="70"/>
      <c r="CM806" s="70"/>
      <c r="CN806" s="70"/>
      <c r="CO806" s="70"/>
      <c r="CP806" s="70"/>
      <c r="CQ806" s="70"/>
      <c r="CR806" s="70"/>
      <c r="CS806" s="70"/>
      <c r="CT806" s="70"/>
      <c r="CU806" s="70"/>
      <c r="CV806" s="70"/>
      <c r="CW806" s="70"/>
      <c r="CX806" s="70"/>
      <c r="CY806" s="70"/>
      <c r="CZ806" s="70"/>
      <c r="DA806" s="70"/>
      <c r="DB806" s="70"/>
      <c r="DC806" s="70"/>
      <c r="DD806" s="70"/>
      <c r="DE806" s="70"/>
      <c r="DF806" s="70"/>
      <c r="DG806" s="70"/>
      <c r="DH806" s="70"/>
      <c r="DI806" s="70"/>
      <c r="DJ806" s="70"/>
      <c r="DK806" s="70"/>
      <c r="DL806" s="70"/>
      <c r="DM806" s="70"/>
      <c r="DN806" s="70"/>
      <c r="DO806" s="70"/>
      <c r="DP806" s="70"/>
      <c r="DQ806" s="70"/>
      <c r="DR806" s="70"/>
      <c r="DS806" s="70"/>
      <c r="DT806" s="70"/>
      <c r="DU806" s="70"/>
      <c r="DV806" s="70"/>
      <c r="DW806" s="70"/>
      <c r="DX806" s="70"/>
      <c r="DY806" s="70"/>
      <c r="DZ806" s="70"/>
      <c r="EA806" s="70"/>
      <c r="EB806" s="70"/>
      <c r="EC806" s="70"/>
      <c r="ED806" s="70"/>
      <c r="EE806" s="95" t="s">
        <v>450</v>
      </c>
      <c r="EF806" s="95"/>
      <c r="EG806" s="95"/>
      <c r="EH806" s="70"/>
      <c r="EI806" s="216"/>
      <c r="EJ806" s="70"/>
      <c r="EK806" s="70"/>
      <c r="EL806" s="70"/>
      <c r="EM806" s="70"/>
      <c r="EN806" s="70"/>
      <c r="EO806" s="70"/>
      <c r="EP806" s="70"/>
      <c r="EQ806" s="70"/>
      <c r="ER806" s="70"/>
      <c r="ES806" s="70"/>
      <c r="ET806" s="70"/>
      <c r="EU806" s="70"/>
      <c r="EV806" s="70"/>
      <c r="EW806" s="70"/>
      <c r="EX806" s="70"/>
      <c r="EY806" s="70"/>
      <c r="EZ806" s="70"/>
      <c r="FA806" s="70"/>
      <c r="FB806" s="70"/>
      <c r="FC806" s="70"/>
      <c r="FD806" s="70"/>
      <c r="FE806" s="70"/>
      <c r="FF806" s="70"/>
      <c r="FG806" s="70"/>
      <c r="FH806" s="70"/>
      <c r="FI806" s="70"/>
      <c r="FJ806" s="70"/>
      <c r="FK806" s="70"/>
      <c r="FL806" s="70"/>
      <c r="FM806" s="70"/>
      <c r="FN806" s="70"/>
      <c r="FO806" s="70"/>
      <c r="FP806" s="70"/>
      <c r="FQ806" s="70"/>
      <c r="FR806" s="70"/>
      <c r="FS806" s="70"/>
      <c r="FT806" s="70"/>
      <c r="FU806" s="70"/>
      <c r="FV806" s="70"/>
      <c r="FW806" s="70"/>
      <c r="FX806" s="70"/>
      <c r="FY806" s="70"/>
      <c r="FZ806" s="70"/>
      <c r="GA806" s="70"/>
      <c r="GB806" s="70"/>
      <c r="GC806" s="70"/>
      <c r="GD806" s="70"/>
      <c r="GE806" s="70"/>
      <c r="GF806" s="70"/>
      <c r="GG806" s="70"/>
      <c r="GH806" s="70"/>
      <c r="GI806" s="70"/>
      <c r="GJ806" s="70"/>
      <c r="GK806" s="70"/>
      <c r="GL806" s="70"/>
      <c r="GM806" s="70"/>
      <c r="GN806" s="70"/>
      <c r="GO806" s="70"/>
      <c r="GP806" s="70"/>
      <c r="GQ806" s="70"/>
      <c r="GR806" s="70"/>
      <c r="GS806" s="70"/>
      <c r="GT806" s="70"/>
      <c r="GU806" s="70"/>
      <c r="GV806" s="70"/>
      <c r="GW806" s="70"/>
      <c r="GX806" s="70"/>
      <c r="GY806" s="70"/>
      <c r="GZ806" s="70"/>
      <c r="HA806" s="70"/>
      <c r="HB806" s="70"/>
      <c r="HC806" s="70"/>
      <c r="HD806" s="70"/>
      <c r="HE806" s="70"/>
      <c r="HF806" s="70"/>
      <c r="HG806" s="70"/>
      <c r="HH806" s="70"/>
      <c r="HI806" s="70"/>
      <c r="HJ806" s="70"/>
      <c r="HK806" s="70"/>
      <c r="HL806" s="70"/>
      <c r="HM806" s="70"/>
      <c r="HN806" s="70"/>
      <c r="HO806" s="70"/>
      <c r="HP806" s="70"/>
      <c r="HQ806" s="70"/>
      <c r="HR806" s="70"/>
      <c r="HS806" s="70"/>
      <c r="HT806" s="70"/>
      <c r="HU806" s="70"/>
      <c r="HV806" s="70"/>
      <c r="HW806" s="70"/>
      <c r="HX806" s="70"/>
      <c r="HY806" s="70"/>
      <c r="HZ806" s="70"/>
      <c r="IA806" s="70"/>
      <c r="IB806" s="70"/>
      <c r="IC806" s="70"/>
      <c r="ID806" s="70"/>
      <c r="IE806" s="70"/>
      <c r="IF806" s="70"/>
      <c r="IG806" s="70"/>
      <c r="IH806" s="70"/>
      <c r="II806" s="70"/>
      <c r="IJ806" s="70"/>
      <c r="IK806" s="70"/>
      <c r="IL806" s="70"/>
      <c r="IM806" s="70"/>
      <c r="IN806" s="70"/>
      <c r="IO806" s="70"/>
      <c r="IP806" s="70"/>
      <c r="IQ806" s="70"/>
    </row>
    <row r="807" spans="18:251" ht="16.5" hidden="1" customHeight="1">
      <c r="R807" s="95" t="s">
        <v>450</v>
      </c>
      <c r="S807" s="95"/>
      <c r="T807" s="95"/>
      <c r="U807" s="70"/>
      <c r="V807" s="214"/>
      <c r="W807" s="70"/>
      <c r="X807" s="70"/>
      <c r="Y807" s="70"/>
      <c r="Z807" s="70"/>
      <c r="AA807" s="70"/>
      <c r="AB807" s="70"/>
      <c r="AC807" s="70"/>
      <c r="AD807" s="70"/>
      <c r="AE807" s="70"/>
      <c r="AF807" s="70"/>
      <c r="AG807" s="70"/>
      <c r="AH807" s="70"/>
      <c r="AI807" s="70"/>
      <c r="AJ807" s="70"/>
      <c r="AK807" s="70"/>
      <c r="AL807" s="70"/>
      <c r="AM807" s="70"/>
      <c r="AN807" s="70"/>
      <c r="AO807" s="70"/>
      <c r="AP807" s="70"/>
      <c r="AQ807" s="70"/>
      <c r="AR807" s="70"/>
      <c r="AS807" s="70"/>
      <c r="AT807" s="70"/>
      <c r="AU807" s="70"/>
      <c r="AV807" s="70"/>
      <c r="AW807" s="70"/>
      <c r="AX807" s="70"/>
      <c r="AY807" s="70"/>
      <c r="AZ807" s="70"/>
      <c r="BA807" s="70"/>
      <c r="BB807" s="70"/>
      <c r="BC807" s="70"/>
      <c r="BD807" s="70"/>
      <c r="BE807" s="70"/>
      <c r="BF807" s="70"/>
      <c r="BG807" s="70"/>
      <c r="BH807" s="70"/>
      <c r="BI807" s="70"/>
      <c r="BJ807" s="70"/>
      <c r="BK807" s="70"/>
      <c r="BL807" s="70"/>
      <c r="BM807" s="70"/>
      <c r="BN807" s="70"/>
      <c r="BO807" s="70"/>
      <c r="BP807" s="70"/>
      <c r="BQ807" s="70"/>
      <c r="BR807" s="70"/>
      <c r="BS807" s="70"/>
      <c r="BT807" s="70"/>
      <c r="BU807" s="70"/>
      <c r="BV807" s="70"/>
      <c r="BW807" s="70"/>
      <c r="BX807" s="70"/>
      <c r="BY807" s="70"/>
      <c r="BZ807" s="70"/>
      <c r="CA807" s="70"/>
      <c r="CB807" s="70"/>
      <c r="CC807" s="70"/>
      <c r="CD807" s="70"/>
      <c r="CE807" s="70"/>
      <c r="CF807" s="70"/>
      <c r="CG807" s="70"/>
      <c r="CH807" s="70"/>
      <c r="CI807" s="70"/>
      <c r="CJ807" s="70"/>
      <c r="CK807" s="70"/>
      <c r="CL807" s="70"/>
      <c r="CM807" s="70"/>
      <c r="CN807" s="70"/>
      <c r="CO807" s="70"/>
      <c r="CP807" s="70"/>
      <c r="CQ807" s="70"/>
      <c r="CR807" s="70"/>
      <c r="CS807" s="70"/>
      <c r="CT807" s="70"/>
      <c r="CU807" s="70"/>
      <c r="CV807" s="70"/>
      <c r="CW807" s="70"/>
      <c r="CX807" s="70"/>
      <c r="CY807" s="70"/>
      <c r="CZ807" s="70"/>
      <c r="DA807" s="70"/>
      <c r="DB807" s="70"/>
      <c r="DC807" s="70"/>
      <c r="DD807" s="70"/>
      <c r="DE807" s="70"/>
      <c r="DF807" s="70"/>
      <c r="DG807" s="70"/>
      <c r="DH807" s="70"/>
      <c r="DI807" s="70"/>
      <c r="DJ807" s="70"/>
      <c r="DK807" s="70"/>
      <c r="DL807" s="70"/>
      <c r="DM807" s="70"/>
      <c r="DN807" s="70"/>
      <c r="DO807" s="70"/>
      <c r="DP807" s="70"/>
      <c r="DQ807" s="70"/>
      <c r="DR807" s="70"/>
      <c r="DS807" s="70"/>
      <c r="DT807" s="70"/>
      <c r="DU807" s="70"/>
      <c r="DV807" s="70"/>
      <c r="DW807" s="70"/>
      <c r="DX807" s="70"/>
      <c r="DY807" s="70"/>
      <c r="DZ807" s="70"/>
      <c r="EA807" s="70"/>
      <c r="EB807" s="70"/>
      <c r="EC807" s="70"/>
      <c r="ED807" s="70"/>
      <c r="EE807" s="95" t="s">
        <v>450</v>
      </c>
      <c r="EF807" s="95"/>
      <c r="EG807" s="95"/>
      <c r="EH807" s="70"/>
      <c r="EI807" s="216"/>
      <c r="EJ807" s="70"/>
      <c r="EK807" s="70"/>
      <c r="EL807" s="70"/>
      <c r="EM807" s="70"/>
      <c r="EN807" s="70"/>
      <c r="EO807" s="70"/>
      <c r="EP807" s="70"/>
      <c r="EQ807" s="70"/>
      <c r="ER807" s="70"/>
      <c r="ES807" s="70"/>
      <c r="ET807" s="70"/>
      <c r="EU807" s="70"/>
      <c r="EV807" s="70"/>
      <c r="EW807" s="70"/>
      <c r="EX807" s="70"/>
      <c r="EY807" s="70"/>
      <c r="EZ807" s="70"/>
      <c r="FA807" s="70"/>
      <c r="FB807" s="70"/>
      <c r="FC807" s="70"/>
      <c r="FD807" s="70"/>
      <c r="FE807" s="70"/>
      <c r="FF807" s="70"/>
      <c r="FG807" s="70"/>
      <c r="FH807" s="70"/>
      <c r="FI807" s="70"/>
      <c r="FJ807" s="70"/>
      <c r="FK807" s="70"/>
      <c r="FL807" s="70"/>
      <c r="FM807" s="70"/>
      <c r="FN807" s="70"/>
      <c r="FO807" s="70"/>
      <c r="FP807" s="70"/>
      <c r="FQ807" s="70"/>
      <c r="FR807" s="70"/>
      <c r="FS807" s="70"/>
      <c r="FT807" s="70"/>
      <c r="FU807" s="70"/>
      <c r="FV807" s="70"/>
      <c r="FW807" s="70"/>
      <c r="FX807" s="70"/>
      <c r="FY807" s="70"/>
      <c r="FZ807" s="70"/>
      <c r="GA807" s="70"/>
      <c r="GB807" s="70"/>
      <c r="GC807" s="70"/>
      <c r="GD807" s="70"/>
      <c r="GE807" s="70"/>
      <c r="GF807" s="70"/>
      <c r="GG807" s="70"/>
      <c r="GH807" s="70"/>
      <c r="GI807" s="70"/>
      <c r="GJ807" s="70"/>
      <c r="GK807" s="70"/>
      <c r="GL807" s="70"/>
      <c r="GM807" s="70"/>
      <c r="GN807" s="70"/>
      <c r="GO807" s="70"/>
      <c r="GP807" s="70"/>
      <c r="GQ807" s="70"/>
      <c r="GR807" s="70"/>
      <c r="GS807" s="70"/>
      <c r="GT807" s="70"/>
      <c r="GU807" s="70"/>
      <c r="GV807" s="70"/>
      <c r="GW807" s="70"/>
      <c r="GX807" s="70"/>
      <c r="GY807" s="70"/>
      <c r="GZ807" s="70"/>
      <c r="HA807" s="70"/>
      <c r="HB807" s="70"/>
      <c r="HC807" s="70"/>
      <c r="HD807" s="70"/>
      <c r="HE807" s="70"/>
      <c r="HF807" s="70"/>
      <c r="HG807" s="70"/>
      <c r="HH807" s="70"/>
      <c r="HI807" s="70"/>
      <c r="HJ807" s="70"/>
      <c r="HK807" s="70"/>
      <c r="HL807" s="70"/>
      <c r="HM807" s="70"/>
      <c r="HN807" s="70"/>
      <c r="HO807" s="70"/>
      <c r="HP807" s="70"/>
      <c r="HQ807" s="70"/>
      <c r="HR807" s="70"/>
      <c r="HS807" s="70"/>
      <c r="HT807" s="70"/>
      <c r="HU807" s="70"/>
      <c r="HV807" s="70"/>
      <c r="HW807" s="70"/>
      <c r="HX807" s="70"/>
      <c r="HY807" s="70"/>
      <c r="HZ807" s="70"/>
      <c r="IA807" s="70"/>
      <c r="IB807" s="70"/>
      <c r="IC807" s="70"/>
      <c r="ID807" s="70"/>
      <c r="IE807" s="70"/>
      <c r="IF807" s="70"/>
      <c r="IG807" s="70"/>
      <c r="IH807" s="70"/>
      <c r="II807" s="70"/>
      <c r="IJ807" s="70"/>
      <c r="IK807" s="70"/>
      <c r="IL807" s="70"/>
      <c r="IM807" s="70"/>
      <c r="IN807" s="70"/>
      <c r="IO807" s="70"/>
      <c r="IP807" s="70"/>
      <c r="IQ807" s="70"/>
    </row>
    <row r="808" spans="18:251" ht="16.5" hidden="1" customHeight="1">
      <c r="R808" s="95" t="s">
        <v>450</v>
      </c>
      <c r="S808" s="95"/>
      <c r="T808" s="95"/>
      <c r="U808" s="70"/>
      <c r="V808" s="214"/>
      <c r="W808" s="70"/>
      <c r="X808" s="70"/>
      <c r="Y808" s="70"/>
      <c r="Z808" s="70"/>
      <c r="AA808" s="70"/>
      <c r="AB808" s="70"/>
      <c r="AC808" s="70"/>
      <c r="AD808" s="70"/>
      <c r="AE808" s="70"/>
      <c r="AF808" s="70"/>
      <c r="AG808" s="70"/>
      <c r="AH808" s="70"/>
      <c r="AI808" s="70"/>
      <c r="AJ808" s="70"/>
      <c r="AK808" s="70"/>
      <c r="AL808" s="70"/>
      <c r="AM808" s="70"/>
      <c r="AN808" s="70"/>
      <c r="AO808" s="70"/>
      <c r="AP808" s="70"/>
      <c r="AQ808" s="70"/>
      <c r="AR808" s="70"/>
      <c r="AS808" s="70"/>
      <c r="AT808" s="70"/>
      <c r="AU808" s="70"/>
      <c r="AV808" s="70"/>
      <c r="AW808" s="70"/>
      <c r="AX808" s="70"/>
      <c r="AY808" s="70"/>
      <c r="AZ808" s="70"/>
      <c r="BA808" s="70"/>
      <c r="BB808" s="70"/>
      <c r="BC808" s="70"/>
      <c r="BD808" s="70"/>
      <c r="BE808" s="70"/>
      <c r="BF808" s="70"/>
      <c r="BG808" s="70"/>
      <c r="BH808" s="70"/>
      <c r="BI808" s="70"/>
      <c r="BJ808" s="70"/>
      <c r="BK808" s="70"/>
      <c r="BL808" s="70"/>
      <c r="BM808" s="70"/>
      <c r="BN808" s="70"/>
      <c r="BO808" s="70"/>
      <c r="BP808" s="70"/>
      <c r="BQ808" s="70"/>
      <c r="BR808" s="70"/>
      <c r="BS808" s="70"/>
      <c r="BT808" s="70"/>
      <c r="BU808" s="70"/>
      <c r="BV808" s="70"/>
      <c r="BW808" s="70"/>
      <c r="BX808" s="70"/>
      <c r="BY808" s="70"/>
      <c r="BZ808" s="70"/>
      <c r="CA808" s="70"/>
      <c r="CB808" s="70"/>
      <c r="CC808" s="70"/>
      <c r="CD808" s="70"/>
      <c r="CE808" s="70"/>
      <c r="CF808" s="70"/>
      <c r="CG808" s="70"/>
      <c r="CH808" s="70"/>
      <c r="CI808" s="70"/>
      <c r="CJ808" s="70"/>
      <c r="CK808" s="70"/>
      <c r="CL808" s="70"/>
      <c r="CM808" s="70"/>
      <c r="CN808" s="70"/>
      <c r="CO808" s="70"/>
      <c r="CP808" s="70"/>
      <c r="CQ808" s="70"/>
      <c r="CR808" s="70"/>
      <c r="CS808" s="70"/>
      <c r="CT808" s="70"/>
      <c r="CU808" s="70"/>
      <c r="CV808" s="70"/>
      <c r="CW808" s="70"/>
      <c r="CX808" s="70"/>
      <c r="CY808" s="70"/>
      <c r="CZ808" s="70"/>
      <c r="DA808" s="70"/>
      <c r="DB808" s="70"/>
      <c r="DC808" s="70"/>
      <c r="DD808" s="70"/>
      <c r="DE808" s="70"/>
      <c r="DF808" s="70"/>
      <c r="DG808" s="70"/>
      <c r="DH808" s="70"/>
      <c r="DI808" s="70"/>
      <c r="DJ808" s="70"/>
      <c r="DK808" s="70"/>
      <c r="DL808" s="70"/>
      <c r="DM808" s="70"/>
      <c r="DN808" s="70"/>
      <c r="DO808" s="70"/>
      <c r="DP808" s="70"/>
      <c r="DQ808" s="70"/>
      <c r="DR808" s="70"/>
      <c r="DS808" s="70"/>
      <c r="DT808" s="70"/>
      <c r="DU808" s="70"/>
      <c r="DV808" s="70"/>
      <c r="DW808" s="70"/>
      <c r="DX808" s="70"/>
      <c r="DY808" s="70"/>
      <c r="DZ808" s="70"/>
      <c r="EA808" s="70"/>
      <c r="EB808" s="70"/>
      <c r="EC808" s="70"/>
      <c r="ED808" s="70"/>
      <c r="EE808" s="95" t="s">
        <v>450</v>
      </c>
      <c r="EF808" s="95"/>
      <c r="EG808" s="95"/>
      <c r="EH808" s="70"/>
      <c r="EI808" s="216"/>
      <c r="EJ808" s="70"/>
      <c r="EK808" s="70"/>
      <c r="EL808" s="70"/>
      <c r="EM808" s="70"/>
      <c r="EN808" s="70"/>
      <c r="EO808" s="70"/>
      <c r="EP808" s="70"/>
      <c r="EQ808" s="70"/>
      <c r="ER808" s="70"/>
      <c r="ES808" s="70"/>
      <c r="ET808" s="70"/>
      <c r="EU808" s="70"/>
      <c r="EV808" s="70"/>
      <c r="EW808" s="70"/>
      <c r="EX808" s="70"/>
      <c r="EY808" s="70"/>
      <c r="EZ808" s="70"/>
      <c r="FA808" s="70"/>
      <c r="FB808" s="70"/>
      <c r="FC808" s="70"/>
      <c r="FD808" s="70"/>
      <c r="FE808" s="70"/>
      <c r="FF808" s="70"/>
      <c r="FG808" s="70"/>
      <c r="FH808" s="70"/>
      <c r="FI808" s="70"/>
      <c r="FJ808" s="70"/>
      <c r="FK808" s="70"/>
      <c r="FL808" s="70"/>
      <c r="FM808" s="70"/>
      <c r="FN808" s="70"/>
      <c r="FO808" s="70"/>
      <c r="FP808" s="70"/>
      <c r="FQ808" s="70"/>
      <c r="FR808" s="70"/>
      <c r="FS808" s="70"/>
      <c r="FT808" s="70"/>
      <c r="FU808" s="70"/>
      <c r="FV808" s="70"/>
      <c r="FW808" s="70"/>
      <c r="FX808" s="70"/>
      <c r="FY808" s="70"/>
      <c r="FZ808" s="70"/>
      <c r="GA808" s="70"/>
      <c r="GB808" s="70"/>
      <c r="GC808" s="70"/>
      <c r="GD808" s="70"/>
      <c r="GE808" s="70"/>
      <c r="GF808" s="70"/>
      <c r="GG808" s="70"/>
      <c r="GH808" s="70"/>
      <c r="GI808" s="70"/>
      <c r="GJ808" s="70"/>
      <c r="GK808" s="70"/>
      <c r="GL808" s="70"/>
      <c r="GM808" s="70"/>
      <c r="GN808" s="70"/>
      <c r="GO808" s="70"/>
      <c r="GP808" s="70"/>
      <c r="GQ808" s="70"/>
      <c r="GR808" s="70"/>
      <c r="GS808" s="70"/>
      <c r="GT808" s="70"/>
      <c r="GU808" s="70"/>
      <c r="GV808" s="70"/>
      <c r="GW808" s="70"/>
      <c r="GX808" s="70"/>
      <c r="GY808" s="70"/>
      <c r="GZ808" s="70"/>
      <c r="HA808" s="70"/>
      <c r="HB808" s="70"/>
      <c r="HC808" s="70"/>
      <c r="HD808" s="70"/>
      <c r="HE808" s="70"/>
      <c r="HF808" s="70"/>
      <c r="HG808" s="70"/>
      <c r="HH808" s="70"/>
      <c r="HI808" s="70"/>
      <c r="HJ808" s="70"/>
      <c r="HK808" s="70"/>
      <c r="HL808" s="70"/>
      <c r="HM808" s="70"/>
      <c r="HN808" s="70"/>
      <c r="HO808" s="70"/>
      <c r="HP808" s="70"/>
      <c r="HQ808" s="70"/>
      <c r="HR808" s="70"/>
      <c r="HS808" s="70"/>
      <c r="HT808" s="70"/>
      <c r="HU808" s="70"/>
      <c r="HV808" s="70"/>
      <c r="HW808" s="70"/>
      <c r="HX808" s="70"/>
      <c r="HY808" s="70"/>
      <c r="HZ808" s="70"/>
      <c r="IA808" s="70"/>
      <c r="IB808" s="70"/>
      <c r="IC808" s="70"/>
      <c r="ID808" s="70"/>
      <c r="IE808" s="70"/>
      <c r="IF808" s="70"/>
      <c r="IG808" s="70"/>
      <c r="IH808" s="70"/>
      <c r="II808" s="70"/>
      <c r="IJ808" s="70"/>
      <c r="IK808" s="70"/>
      <c r="IL808" s="70"/>
      <c r="IM808" s="70"/>
      <c r="IN808" s="70"/>
      <c r="IO808" s="70"/>
      <c r="IP808" s="70"/>
      <c r="IQ808" s="70"/>
    </row>
    <row r="809" spans="18:251" ht="16.5" hidden="1" customHeight="1">
      <c r="R809" s="95" t="s">
        <v>450</v>
      </c>
      <c r="S809" s="95"/>
      <c r="T809" s="95"/>
      <c r="U809" s="70"/>
      <c r="V809" s="214"/>
      <c r="W809" s="70"/>
      <c r="X809" s="70"/>
      <c r="Y809" s="70"/>
      <c r="Z809" s="70"/>
      <c r="AA809" s="70"/>
      <c r="AB809" s="70"/>
      <c r="AC809" s="70"/>
      <c r="AD809" s="70"/>
      <c r="AE809" s="70"/>
      <c r="AF809" s="70"/>
      <c r="AG809" s="70"/>
      <c r="AH809" s="70"/>
      <c r="AI809" s="70"/>
      <c r="AJ809" s="70"/>
      <c r="AK809" s="70"/>
      <c r="AL809" s="70"/>
      <c r="AM809" s="70"/>
      <c r="AN809" s="70"/>
      <c r="AO809" s="70"/>
      <c r="AP809" s="70"/>
      <c r="AQ809" s="70"/>
      <c r="AR809" s="70"/>
      <c r="AS809" s="70"/>
      <c r="AT809" s="70"/>
      <c r="AU809" s="70"/>
      <c r="AV809" s="70"/>
      <c r="AW809" s="70"/>
      <c r="AX809" s="70"/>
      <c r="AY809" s="70"/>
      <c r="AZ809" s="70"/>
      <c r="BA809" s="70"/>
      <c r="BB809" s="70"/>
      <c r="BC809" s="70"/>
      <c r="BD809" s="70"/>
      <c r="BE809" s="70"/>
      <c r="BF809" s="70"/>
      <c r="BG809" s="70"/>
      <c r="BH809" s="70"/>
      <c r="BI809" s="70"/>
      <c r="BJ809" s="70"/>
      <c r="BK809" s="70"/>
      <c r="BL809" s="70"/>
      <c r="BM809" s="70"/>
      <c r="BN809" s="70"/>
      <c r="BO809" s="70"/>
      <c r="BP809" s="70"/>
      <c r="BQ809" s="70"/>
      <c r="BR809" s="70"/>
      <c r="BS809" s="70"/>
      <c r="BT809" s="70"/>
      <c r="BU809" s="70"/>
      <c r="BV809" s="70"/>
      <c r="BW809" s="70"/>
      <c r="BX809" s="70"/>
      <c r="BY809" s="70"/>
      <c r="BZ809" s="70"/>
      <c r="CA809" s="70"/>
      <c r="CB809" s="70"/>
      <c r="CC809" s="70"/>
      <c r="CD809" s="70"/>
      <c r="CE809" s="70"/>
      <c r="CF809" s="70"/>
      <c r="CG809" s="70"/>
      <c r="CH809" s="70"/>
      <c r="CI809" s="70"/>
      <c r="CJ809" s="70"/>
      <c r="CK809" s="70"/>
      <c r="CL809" s="70"/>
      <c r="CM809" s="70"/>
      <c r="CN809" s="70"/>
      <c r="CO809" s="70"/>
      <c r="CP809" s="70"/>
      <c r="CQ809" s="70"/>
      <c r="CR809" s="70"/>
      <c r="CS809" s="70"/>
      <c r="CT809" s="70"/>
      <c r="CU809" s="70"/>
      <c r="CV809" s="70"/>
      <c r="CW809" s="70"/>
      <c r="CX809" s="70"/>
      <c r="CY809" s="70"/>
      <c r="CZ809" s="70"/>
      <c r="DA809" s="70"/>
      <c r="DB809" s="70"/>
      <c r="DC809" s="70"/>
      <c r="DD809" s="70"/>
      <c r="DE809" s="70"/>
      <c r="DF809" s="70"/>
      <c r="DG809" s="70"/>
      <c r="DH809" s="70"/>
      <c r="DI809" s="70"/>
      <c r="DJ809" s="70"/>
      <c r="DK809" s="70"/>
      <c r="DL809" s="70"/>
      <c r="DM809" s="70"/>
      <c r="DN809" s="70"/>
      <c r="DO809" s="70"/>
      <c r="DP809" s="70"/>
      <c r="DQ809" s="70"/>
      <c r="DR809" s="70"/>
      <c r="DS809" s="70"/>
      <c r="DT809" s="70"/>
      <c r="DU809" s="70"/>
      <c r="DV809" s="70"/>
      <c r="DW809" s="70"/>
      <c r="DX809" s="70"/>
      <c r="DY809" s="70"/>
      <c r="DZ809" s="70"/>
      <c r="EA809" s="70"/>
      <c r="EB809" s="70"/>
      <c r="EC809" s="70"/>
      <c r="ED809" s="70"/>
      <c r="EE809" s="95" t="s">
        <v>450</v>
      </c>
      <c r="EF809" s="95"/>
      <c r="EG809" s="95"/>
      <c r="EH809" s="70"/>
      <c r="EI809" s="216"/>
      <c r="EJ809" s="70"/>
      <c r="EK809" s="70"/>
      <c r="EL809" s="70"/>
      <c r="EM809" s="70"/>
      <c r="EN809" s="70"/>
      <c r="EO809" s="70"/>
      <c r="EP809" s="70"/>
      <c r="EQ809" s="70"/>
      <c r="ER809" s="70"/>
      <c r="ES809" s="70"/>
      <c r="ET809" s="70"/>
      <c r="EU809" s="70"/>
      <c r="EV809" s="70"/>
      <c r="EW809" s="70"/>
      <c r="EX809" s="70"/>
      <c r="EY809" s="70"/>
      <c r="EZ809" s="70"/>
      <c r="FA809" s="70"/>
      <c r="FB809" s="70"/>
      <c r="FC809" s="70"/>
      <c r="FD809" s="70"/>
      <c r="FE809" s="70"/>
      <c r="FF809" s="70"/>
      <c r="FG809" s="70"/>
      <c r="FH809" s="70"/>
      <c r="FI809" s="70"/>
      <c r="FJ809" s="70"/>
      <c r="FK809" s="70"/>
      <c r="FL809" s="70"/>
      <c r="FM809" s="70"/>
      <c r="FN809" s="70"/>
      <c r="FO809" s="70"/>
      <c r="FP809" s="70"/>
      <c r="FQ809" s="70"/>
      <c r="FR809" s="70"/>
      <c r="FS809" s="70"/>
      <c r="FT809" s="70"/>
      <c r="FU809" s="70"/>
      <c r="FV809" s="70"/>
      <c r="FW809" s="70"/>
      <c r="FX809" s="70"/>
      <c r="FY809" s="70"/>
      <c r="FZ809" s="70"/>
      <c r="GA809" s="70"/>
      <c r="GB809" s="70"/>
      <c r="GC809" s="70"/>
      <c r="GD809" s="70"/>
      <c r="GE809" s="70"/>
      <c r="GF809" s="70"/>
      <c r="GG809" s="70"/>
      <c r="GH809" s="70"/>
      <c r="GI809" s="70"/>
      <c r="GJ809" s="70"/>
      <c r="GK809" s="70"/>
      <c r="GL809" s="70"/>
      <c r="GM809" s="70"/>
      <c r="GN809" s="70"/>
      <c r="GO809" s="70"/>
      <c r="GP809" s="70"/>
      <c r="GQ809" s="70"/>
      <c r="GR809" s="70"/>
      <c r="GS809" s="70"/>
      <c r="GT809" s="70"/>
      <c r="GU809" s="70"/>
      <c r="GV809" s="70"/>
      <c r="GW809" s="70"/>
      <c r="GX809" s="70"/>
      <c r="GY809" s="70"/>
      <c r="GZ809" s="70"/>
      <c r="HA809" s="70"/>
      <c r="HB809" s="70"/>
      <c r="HC809" s="70"/>
      <c r="HD809" s="70"/>
      <c r="HE809" s="70"/>
      <c r="HF809" s="70"/>
      <c r="HG809" s="70"/>
      <c r="HH809" s="70"/>
      <c r="HI809" s="70"/>
      <c r="HJ809" s="70"/>
      <c r="HK809" s="70"/>
      <c r="HL809" s="70"/>
      <c r="HM809" s="70"/>
      <c r="HN809" s="70"/>
      <c r="HO809" s="70"/>
      <c r="HP809" s="70"/>
      <c r="HQ809" s="70"/>
      <c r="HR809" s="70"/>
      <c r="HS809" s="70"/>
      <c r="HT809" s="70"/>
      <c r="HU809" s="70"/>
      <c r="HV809" s="70"/>
      <c r="HW809" s="70"/>
      <c r="HX809" s="70"/>
      <c r="HY809" s="70"/>
      <c r="HZ809" s="70"/>
      <c r="IA809" s="70"/>
      <c r="IB809" s="70"/>
      <c r="IC809" s="70"/>
      <c r="ID809" s="70"/>
      <c r="IE809" s="70"/>
      <c r="IF809" s="70"/>
      <c r="IG809" s="70"/>
      <c r="IH809" s="70"/>
      <c r="II809" s="70"/>
      <c r="IJ809" s="70"/>
      <c r="IK809" s="70"/>
      <c r="IL809" s="70"/>
      <c r="IM809" s="70"/>
      <c r="IN809" s="70"/>
      <c r="IO809" s="70"/>
      <c r="IP809" s="70"/>
      <c r="IQ809" s="70"/>
    </row>
    <row r="810" spans="18:251" ht="16.5" hidden="1" customHeight="1">
      <c r="R810" s="95" t="s">
        <v>450</v>
      </c>
      <c r="S810" s="95"/>
      <c r="T810" s="95"/>
      <c r="U810" s="70"/>
      <c r="V810" s="214"/>
      <c r="W810" s="70"/>
      <c r="X810" s="70"/>
      <c r="Y810" s="70"/>
      <c r="Z810" s="70"/>
      <c r="AA810" s="70"/>
      <c r="AB810" s="70"/>
      <c r="AC810" s="70"/>
      <c r="AD810" s="70"/>
      <c r="AE810" s="70"/>
      <c r="AF810" s="70"/>
      <c r="AG810" s="70"/>
      <c r="AH810" s="70"/>
      <c r="AI810" s="70"/>
      <c r="AJ810" s="70"/>
      <c r="AK810" s="70"/>
      <c r="AL810" s="70"/>
      <c r="AM810" s="70"/>
      <c r="AN810" s="70"/>
      <c r="AO810" s="70"/>
      <c r="AP810" s="70"/>
      <c r="AQ810" s="70"/>
      <c r="AR810" s="70"/>
      <c r="AS810" s="70"/>
      <c r="AT810" s="70"/>
      <c r="AU810" s="70"/>
      <c r="AV810" s="70"/>
      <c r="AW810" s="70"/>
      <c r="AX810" s="70"/>
      <c r="AY810" s="70"/>
      <c r="AZ810" s="70"/>
      <c r="BA810" s="70"/>
      <c r="BB810" s="70"/>
      <c r="BC810" s="70"/>
      <c r="BD810" s="70"/>
      <c r="BE810" s="70"/>
      <c r="BF810" s="70"/>
      <c r="BG810" s="70"/>
      <c r="BH810" s="70"/>
      <c r="BI810" s="70"/>
      <c r="BJ810" s="70"/>
      <c r="BK810" s="70"/>
      <c r="BL810" s="70"/>
      <c r="BM810" s="70"/>
      <c r="BN810" s="70"/>
      <c r="BO810" s="70"/>
      <c r="BP810" s="70"/>
      <c r="BQ810" s="70"/>
      <c r="BR810" s="70"/>
      <c r="BS810" s="70"/>
      <c r="BT810" s="70"/>
      <c r="BU810" s="70"/>
      <c r="BV810" s="70"/>
      <c r="BW810" s="70"/>
      <c r="BX810" s="70"/>
      <c r="BY810" s="70"/>
      <c r="BZ810" s="70"/>
      <c r="CA810" s="70"/>
      <c r="CB810" s="70"/>
      <c r="CC810" s="70"/>
      <c r="CD810" s="70"/>
      <c r="CE810" s="70"/>
      <c r="CF810" s="70"/>
      <c r="CG810" s="70"/>
      <c r="CH810" s="70"/>
      <c r="CI810" s="70"/>
      <c r="CJ810" s="70"/>
      <c r="CK810" s="70"/>
      <c r="CL810" s="70"/>
      <c r="CM810" s="70"/>
      <c r="CN810" s="70"/>
      <c r="CO810" s="70"/>
      <c r="CP810" s="70"/>
      <c r="CQ810" s="70"/>
      <c r="CR810" s="70"/>
      <c r="CS810" s="70"/>
      <c r="CT810" s="70"/>
      <c r="CU810" s="70"/>
      <c r="CV810" s="70"/>
      <c r="CW810" s="70"/>
      <c r="CX810" s="70"/>
      <c r="CY810" s="70"/>
      <c r="CZ810" s="70"/>
      <c r="DA810" s="70"/>
      <c r="DB810" s="70"/>
      <c r="DC810" s="70"/>
      <c r="DD810" s="70"/>
      <c r="DE810" s="70"/>
      <c r="DF810" s="70"/>
      <c r="DG810" s="70"/>
      <c r="DH810" s="70"/>
      <c r="DI810" s="70"/>
      <c r="DJ810" s="70"/>
      <c r="DK810" s="70"/>
      <c r="DL810" s="70"/>
      <c r="DM810" s="70"/>
      <c r="DN810" s="70"/>
      <c r="DO810" s="70"/>
      <c r="DP810" s="70"/>
      <c r="DQ810" s="70"/>
      <c r="DR810" s="70"/>
      <c r="DS810" s="70"/>
      <c r="DT810" s="70"/>
      <c r="DU810" s="70"/>
      <c r="DV810" s="70"/>
      <c r="DW810" s="70"/>
      <c r="DX810" s="70"/>
      <c r="DY810" s="70"/>
      <c r="DZ810" s="70"/>
      <c r="EA810" s="70"/>
      <c r="EB810" s="70"/>
      <c r="EC810" s="70"/>
      <c r="ED810" s="70"/>
      <c r="EE810" s="95" t="s">
        <v>450</v>
      </c>
      <c r="EF810" s="95"/>
      <c r="EG810" s="95"/>
      <c r="EH810" s="70"/>
      <c r="EI810" s="216"/>
      <c r="EJ810" s="70"/>
      <c r="EK810" s="70"/>
      <c r="EL810" s="70"/>
      <c r="EM810" s="70"/>
      <c r="EN810" s="70"/>
      <c r="EO810" s="70"/>
      <c r="EP810" s="70"/>
      <c r="EQ810" s="70"/>
      <c r="ER810" s="70"/>
      <c r="ES810" s="70"/>
      <c r="ET810" s="70"/>
      <c r="EU810" s="70"/>
      <c r="EV810" s="70"/>
      <c r="EW810" s="70"/>
      <c r="EX810" s="70"/>
      <c r="EY810" s="70"/>
      <c r="EZ810" s="70"/>
      <c r="FA810" s="70"/>
      <c r="FB810" s="70"/>
      <c r="FC810" s="70"/>
      <c r="FD810" s="70"/>
      <c r="FE810" s="70"/>
      <c r="FF810" s="70"/>
      <c r="FG810" s="70"/>
      <c r="FH810" s="70"/>
      <c r="FI810" s="70"/>
      <c r="FJ810" s="70"/>
      <c r="FK810" s="70"/>
      <c r="FL810" s="70"/>
      <c r="FM810" s="70"/>
      <c r="FN810" s="70"/>
      <c r="FO810" s="70"/>
      <c r="FP810" s="70"/>
      <c r="FQ810" s="70"/>
      <c r="FR810" s="70"/>
      <c r="FS810" s="70"/>
      <c r="FT810" s="70"/>
      <c r="FU810" s="70"/>
      <c r="FV810" s="70"/>
      <c r="FW810" s="70"/>
      <c r="FX810" s="70"/>
      <c r="FY810" s="70"/>
      <c r="FZ810" s="70"/>
      <c r="GA810" s="70"/>
      <c r="GB810" s="70"/>
      <c r="GC810" s="70"/>
      <c r="GD810" s="70"/>
      <c r="GE810" s="70"/>
      <c r="GF810" s="70"/>
      <c r="GG810" s="70"/>
      <c r="GH810" s="70"/>
      <c r="GI810" s="70"/>
      <c r="GJ810" s="70"/>
      <c r="GK810" s="70"/>
      <c r="GL810" s="70"/>
      <c r="GM810" s="70"/>
      <c r="GN810" s="70"/>
      <c r="GO810" s="70"/>
      <c r="GP810" s="70"/>
      <c r="GQ810" s="70"/>
      <c r="GR810" s="70"/>
      <c r="GS810" s="70"/>
      <c r="GT810" s="70"/>
      <c r="GU810" s="70"/>
      <c r="GV810" s="70"/>
      <c r="GW810" s="70"/>
      <c r="GX810" s="70"/>
      <c r="GY810" s="70"/>
      <c r="GZ810" s="70"/>
      <c r="HA810" s="70"/>
      <c r="HB810" s="70"/>
      <c r="HC810" s="70"/>
      <c r="HD810" s="70"/>
      <c r="HE810" s="70"/>
      <c r="HF810" s="70"/>
      <c r="HG810" s="70"/>
      <c r="HH810" s="70"/>
      <c r="HI810" s="70"/>
      <c r="HJ810" s="70"/>
      <c r="HK810" s="70"/>
      <c r="HL810" s="70"/>
      <c r="HM810" s="70"/>
      <c r="HN810" s="70"/>
      <c r="HO810" s="70"/>
      <c r="HP810" s="70"/>
      <c r="HQ810" s="70"/>
      <c r="HR810" s="70"/>
      <c r="HS810" s="70"/>
      <c r="HT810" s="70"/>
      <c r="HU810" s="70"/>
      <c r="HV810" s="70"/>
      <c r="HW810" s="70"/>
      <c r="HX810" s="70"/>
      <c r="HY810" s="70"/>
      <c r="HZ810" s="70"/>
      <c r="IA810" s="70"/>
      <c r="IB810" s="70"/>
      <c r="IC810" s="70"/>
      <c r="ID810" s="70"/>
      <c r="IE810" s="70"/>
      <c r="IF810" s="70"/>
      <c r="IG810" s="70"/>
      <c r="IH810" s="70"/>
      <c r="II810" s="70"/>
      <c r="IJ810" s="70"/>
      <c r="IK810" s="70"/>
      <c r="IL810" s="70"/>
      <c r="IM810" s="70"/>
      <c r="IN810" s="70"/>
      <c r="IO810" s="70"/>
      <c r="IP810" s="70"/>
      <c r="IQ810" s="70"/>
    </row>
    <row r="811" spans="18:251" ht="16.5" hidden="1" customHeight="1">
      <c r="R811" s="95" t="s">
        <v>450</v>
      </c>
      <c r="S811" s="95"/>
      <c r="T811" s="95"/>
      <c r="U811" s="70"/>
      <c r="V811" s="214"/>
      <c r="W811" s="70"/>
      <c r="X811" s="70"/>
      <c r="Y811" s="70"/>
      <c r="Z811" s="70"/>
      <c r="AA811" s="70"/>
      <c r="AB811" s="70"/>
      <c r="AC811" s="70"/>
      <c r="AD811" s="70"/>
      <c r="AE811" s="70"/>
      <c r="AF811" s="70"/>
      <c r="AG811" s="70"/>
      <c r="AH811" s="70"/>
      <c r="AI811" s="70"/>
      <c r="AJ811" s="70"/>
      <c r="AK811" s="70"/>
      <c r="AL811" s="70"/>
      <c r="AM811" s="70"/>
      <c r="AN811" s="70"/>
      <c r="AO811" s="70"/>
      <c r="AP811" s="70"/>
      <c r="AQ811" s="70"/>
      <c r="AR811" s="70"/>
      <c r="AS811" s="70"/>
      <c r="AT811" s="70"/>
      <c r="AU811" s="70"/>
      <c r="AV811" s="70"/>
      <c r="AW811" s="70"/>
      <c r="AX811" s="70"/>
      <c r="AY811" s="70"/>
      <c r="AZ811" s="70"/>
      <c r="BA811" s="70"/>
      <c r="BB811" s="70"/>
      <c r="BC811" s="70"/>
      <c r="BD811" s="70"/>
      <c r="BE811" s="70"/>
      <c r="BF811" s="70"/>
      <c r="BG811" s="70"/>
      <c r="BH811" s="70"/>
      <c r="BI811" s="70"/>
      <c r="BJ811" s="70"/>
      <c r="BK811" s="70"/>
      <c r="BL811" s="70"/>
      <c r="BM811" s="70"/>
      <c r="BN811" s="70"/>
      <c r="BO811" s="70"/>
      <c r="BP811" s="70"/>
      <c r="BQ811" s="70"/>
      <c r="BR811" s="70"/>
      <c r="BS811" s="70"/>
      <c r="BT811" s="70"/>
      <c r="BU811" s="70"/>
      <c r="BV811" s="70"/>
      <c r="BW811" s="70"/>
      <c r="BX811" s="70"/>
      <c r="BY811" s="70"/>
      <c r="BZ811" s="70"/>
      <c r="CA811" s="70"/>
      <c r="CB811" s="70"/>
      <c r="CC811" s="70"/>
      <c r="CD811" s="70"/>
      <c r="CE811" s="70"/>
      <c r="CF811" s="70"/>
      <c r="CG811" s="70"/>
      <c r="CH811" s="70"/>
      <c r="CI811" s="70"/>
      <c r="CJ811" s="70"/>
      <c r="CK811" s="70"/>
      <c r="CL811" s="70"/>
      <c r="CM811" s="70"/>
      <c r="CN811" s="70"/>
      <c r="CO811" s="70"/>
      <c r="CP811" s="70"/>
      <c r="CQ811" s="70"/>
      <c r="CR811" s="70"/>
      <c r="CS811" s="70"/>
      <c r="CT811" s="70"/>
      <c r="CU811" s="70"/>
      <c r="CV811" s="70"/>
      <c r="CW811" s="70"/>
      <c r="CX811" s="70"/>
      <c r="CY811" s="70"/>
      <c r="CZ811" s="70"/>
      <c r="DA811" s="70"/>
      <c r="DB811" s="70"/>
      <c r="DC811" s="70"/>
      <c r="DD811" s="70"/>
      <c r="DE811" s="70"/>
      <c r="DF811" s="70"/>
      <c r="DG811" s="70"/>
      <c r="DH811" s="70"/>
      <c r="DI811" s="70"/>
      <c r="DJ811" s="70"/>
      <c r="DK811" s="70"/>
      <c r="DL811" s="70"/>
      <c r="DM811" s="70"/>
      <c r="DN811" s="70"/>
      <c r="DO811" s="70"/>
      <c r="DP811" s="70"/>
      <c r="DQ811" s="70"/>
      <c r="DR811" s="70"/>
      <c r="DS811" s="70"/>
      <c r="DT811" s="70"/>
      <c r="DU811" s="70"/>
      <c r="DV811" s="70"/>
      <c r="DW811" s="70"/>
      <c r="DX811" s="70"/>
      <c r="DY811" s="70"/>
      <c r="DZ811" s="70"/>
      <c r="EA811" s="70"/>
      <c r="EB811" s="70"/>
      <c r="EC811" s="70"/>
      <c r="ED811" s="70"/>
      <c r="EE811" s="95" t="s">
        <v>450</v>
      </c>
      <c r="EF811" s="95"/>
      <c r="EG811" s="95"/>
      <c r="EH811" s="70"/>
      <c r="EI811" s="216"/>
      <c r="EJ811" s="70"/>
      <c r="EK811" s="70"/>
      <c r="EL811" s="70"/>
      <c r="EM811" s="70"/>
      <c r="EN811" s="70"/>
      <c r="EO811" s="70"/>
      <c r="EP811" s="70"/>
      <c r="EQ811" s="70"/>
      <c r="ER811" s="70"/>
      <c r="ES811" s="70"/>
      <c r="ET811" s="70"/>
      <c r="EU811" s="70"/>
      <c r="EV811" s="70"/>
      <c r="EW811" s="70"/>
      <c r="EX811" s="70"/>
      <c r="EY811" s="70"/>
      <c r="EZ811" s="70"/>
      <c r="FA811" s="70"/>
      <c r="FB811" s="70"/>
      <c r="FC811" s="70"/>
      <c r="FD811" s="70"/>
      <c r="FE811" s="70"/>
      <c r="FF811" s="70"/>
      <c r="FG811" s="70"/>
      <c r="FH811" s="70"/>
      <c r="FI811" s="70"/>
      <c r="FJ811" s="70"/>
      <c r="FK811" s="70"/>
      <c r="FL811" s="70"/>
      <c r="FM811" s="70"/>
      <c r="FN811" s="70"/>
      <c r="FO811" s="70"/>
      <c r="FP811" s="70"/>
      <c r="FQ811" s="70"/>
      <c r="FR811" s="70"/>
      <c r="FS811" s="70"/>
      <c r="FT811" s="70"/>
      <c r="FU811" s="70"/>
      <c r="FV811" s="70"/>
      <c r="FW811" s="70"/>
      <c r="FX811" s="70"/>
      <c r="FY811" s="70"/>
      <c r="FZ811" s="70"/>
      <c r="GA811" s="70"/>
      <c r="GB811" s="70"/>
      <c r="GC811" s="70"/>
      <c r="GD811" s="70"/>
      <c r="GE811" s="70"/>
      <c r="GF811" s="70"/>
      <c r="GG811" s="70"/>
      <c r="GH811" s="70"/>
      <c r="GI811" s="70"/>
      <c r="GJ811" s="70"/>
      <c r="GK811" s="70"/>
      <c r="GL811" s="70"/>
      <c r="GM811" s="70"/>
      <c r="GN811" s="70"/>
      <c r="GO811" s="70"/>
      <c r="GP811" s="70"/>
      <c r="GQ811" s="70"/>
      <c r="GR811" s="70"/>
      <c r="GS811" s="70"/>
      <c r="GT811" s="70"/>
      <c r="GU811" s="70"/>
      <c r="GV811" s="70"/>
      <c r="GW811" s="70"/>
      <c r="GX811" s="70"/>
      <c r="GY811" s="70"/>
      <c r="GZ811" s="70"/>
      <c r="HA811" s="70"/>
      <c r="HB811" s="70"/>
      <c r="HC811" s="70"/>
      <c r="HD811" s="70"/>
      <c r="HE811" s="70"/>
      <c r="HF811" s="70"/>
      <c r="HG811" s="70"/>
      <c r="HH811" s="70"/>
      <c r="HI811" s="70"/>
      <c r="HJ811" s="70"/>
      <c r="HK811" s="70"/>
      <c r="HL811" s="70"/>
      <c r="HM811" s="70"/>
      <c r="HN811" s="70"/>
      <c r="HO811" s="70"/>
      <c r="HP811" s="70"/>
      <c r="HQ811" s="70"/>
      <c r="HR811" s="70"/>
      <c r="HS811" s="70"/>
      <c r="HT811" s="70"/>
      <c r="HU811" s="70"/>
      <c r="HV811" s="70"/>
      <c r="HW811" s="70"/>
      <c r="HX811" s="70"/>
      <c r="HY811" s="70"/>
      <c r="HZ811" s="70"/>
      <c r="IA811" s="70"/>
      <c r="IB811" s="70"/>
      <c r="IC811" s="70"/>
      <c r="ID811" s="70"/>
      <c r="IE811" s="70"/>
      <c r="IF811" s="70"/>
      <c r="IG811" s="70"/>
      <c r="IH811" s="70"/>
      <c r="II811" s="70"/>
      <c r="IJ811" s="70"/>
      <c r="IK811" s="70"/>
      <c r="IL811" s="70"/>
      <c r="IM811" s="70"/>
      <c r="IN811" s="70"/>
      <c r="IO811" s="70"/>
      <c r="IP811" s="70"/>
      <c r="IQ811" s="70"/>
    </row>
    <row r="812" spans="18:251" ht="16.5" hidden="1" customHeight="1">
      <c r="R812" s="95" t="s">
        <v>450</v>
      </c>
      <c r="S812" s="95"/>
      <c r="T812" s="95"/>
      <c r="U812" s="70"/>
      <c r="V812" s="214"/>
      <c r="W812" s="70"/>
      <c r="X812" s="70"/>
      <c r="Y812" s="70"/>
      <c r="Z812" s="70"/>
      <c r="AA812" s="70"/>
      <c r="AB812" s="70"/>
      <c r="AC812" s="70"/>
      <c r="AD812" s="70"/>
      <c r="AE812" s="70"/>
      <c r="AF812" s="70"/>
      <c r="AG812" s="70"/>
      <c r="AH812" s="70"/>
      <c r="AI812" s="70"/>
      <c r="AJ812" s="70"/>
      <c r="AK812" s="70"/>
      <c r="AL812" s="70"/>
      <c r="AM812" s="70"/>
      <c r="AN812" s="70"/>
      <c r="AO812" s="70"/>
      <c r="AP812" s="70"/>
      <c r="AQ812" s="70"/>
      <c r="AR812" s="70"/>
      <c r="AS812" s="70"/>
      <c r="AT812" s="70"/>
      <c r="AU812" s="70"/>
      <c r="AV812" s="70"/>
      <c r="AW812" s="70"/>
      <c r="AX812" s="70"/>
      <c r="AY812" s="70"/>
      <c r="AZ812" s="70"/>
      <c r="BA812" s="70"/>
      <c r="BB812" s="70"/>
      <c r="BC812" s="70"/>
      <c r="BD812" s="70"/>
      <c r="BE812" s="70"/>
      <c r="BF812" s="70"/>
      <c r="BG812" s="70"/>
      <c r="BH812" s="70"/>
      <c r="BI812" s="70"/>
      <c r="BJ812" s="70"/>
      <c r="BK812" s="70"/>
      <c r="BL812" s="70"/>
      <c r="BM812" s="70"/>
      <c r="BN812" s="70"/>
      <c r="BO812" s="70"/>
      <c r="BP812" s="70"/>
      <c r="BQ812" s="70"/>
      <c r="BR812" s="70"/>
      <c r="BS812" s="70"/>
      <c r="BT812" s="70"/>
      <c r="BU812" s="70"/>
      <c r="BV812" s="70"/>
      <c r="BW812" s="70"/>
      <c r="BX812" s="70"/>
      <c r="BY812" s="70"/>
      <c r="BZ812" s="70"/>
      <c r="CA812" s="70"/>
      <c r="CB812" s="70"/>
      <c r="CC812" s="70"/>
      <c r="CD812" s="70"/>
      <c r="CE812" s="70"/>
      <c r="CF812" s="70"/>
      <c r="CG812" s="70"/>
      <c r="CH812" s="70"/>
      <c r="CI812" s="70"/>
      <c r="CJ812" s="70"/>
      <c r="CK812" s="70"/>
      <c r="CL812" s="70"/>
      <c r="CM812" s="70"/>
      <c r="CN812" s="70"/>
      <c r="CO812" s="70"/>
      <c r="CP812" s="70"/>
      <c r="CQ812" s="70"/>
      <c r="CR812" s="70"/>
      <c r="CS812" s="70"/>
      <c r="CT812" s="70"/>
      <c r="CU812" s="70"/>
      <c r="CV812" s="70"/>
      <c r="CW812" s="70"/>
      <c r="CX812" s="70"/>
      <c r="CY812" s="70"/>
      <c r="CZ812" s="70"/>
      <c r="DA812" s="70"/>
      <c r="DB812" s="70"/>
      <c r="DC812" s="70"/>
      <c r="DD812" s="70"/>
      <c r="DE812" s="70"/>
      <c r="DF812" s="70"/>
      <c r="DG812" s="70"/>
      <c r="DH812" s="70"/>
      <c r="DI812" s="70"/>
      <c r="DJ812" s="70"/>
      <c r="DK812" s="70"/>
      <c r="DL812" s="70"/>
      <c r="DM812" s="70"/>
      <c r="DN812" s="70"/>
      <c r="DO812" s="70"/>
      <c r="DP812" s="70"/>
      <c r="DQ812" s="70"/>
      <c r="DR812" s="70"/>
      <c r="DS812" s="70"/>
      <c r="DT812" s="70"/>
      <c r="DU812" s="70"/>
      <c r="DV812" s="70"/>
      <c r="DW812" s="70"/>
      <c r="DX812" s="70"/>
      <c r="DY812" s="70"/>
      <c r="DZ812" s="70"/>
      <c r="EA812" s="70"/>
      <c r="EB812" s="70"/>
      <c r="EC812" s="70"/>
      <c r="ED812" s="70"/>
      <c r="EE812" s="95" t="s">
        <v>450</v>
      </c>
      <c r="EF812" s="95"/>
      <c r="EG812" s="95"/>
      <c r="EH812" s="70"/>
      <c r="EI812" s="216"/>
      <c r="EJ812" s="70"/>
      <c r="EK812" s="70"/>
      <c r="EL812" s="70"/>
      <c r="EM812" s="70"/>
      <c r="EN812" s="70"/>
      <c r="EO812" s="70"/>
      <c r="EP812" s="70"/>
      <c r="EQ812" s="70"/>
      <c r="ER812" s="70"/>
      <c r="ES812" s="70"/>
      <c r="ET812" s="70"/>
      <c r="EU812" s="70"/>
      <c r="EV812" s="70"/>
      <c r="EW812" s="70"/>
      <c r="EX812" s="70"/>
      <c r="EY812" s="70"/>
      <c r="EZ812" s="70"/>
      <c r="FA812" s="70"/>
      <c r="FB812" s="70"/>
      <c r="FC812" s="70"/>
      <c r="FD812" s="70"/>
      <c r="FE812" s="70"/>
      <c r="FF812" s="70"/>
      <c r="FG812" s="70"/>
      <c r="FH812" s="70"/>
      <c r="FI812" s="70"/>
      <c r="FJ812" s="70"/>
      <c r="FK812" s="70"/>
      <c r="FL812" s="70"/>
      <c r="FM812" s="70"/>
      <c r="FN812" s="70"/>
      <c r="FO812" s="70"/>
      <c r="FP812" s="70"/>
      <c r="FQ812" s="70"/>
      <c r="FR812" s="70"/>
      <c r="FS812" s="70"/>
      <c r="FT812" s="70"/>
      <c r="FU812" s="70"/>
      <c r="FV812" s="70"/>
      <c r="FW812" s="70"/>
      <c r="FX812" s="70"/>
      <c r="FY812" s="70"/>
      <c r="FZ812" s="70"/>
      <c r="GA812" s="70"/>
      <c r="GB812" s="70"/>
      <c r="GC812" s="70"/>
      <c r="GD812" s="70"/>
      <c r="GE812" s="70"/>
      <c r="GF812" s="70"/>
      <c r="GG812" s="70"/>
      <c r="GH812" s="70"/>
      <c r="GI812" s="70"/>
      <c r="GJ812" s="70"/>
      <c r="GK812" s="70"/>
      <c r="GL812" s="70"/>
      <c r="GM812" s="70"/>
      <c r="GN812" s="70"/>
      <c r="GO812" s="70"/>
      <c r="GP812" s="70"/>
      <c r="GQ812" s="70"/>
      <c r="GR812" s="70"/>
      <c r="GS812" s="70"/>
      <c r="GT812" s="70"/>
      <c r="GU812" s="70"/>
      <c r="GV812" s="70"/>
      <c r="GW812" s="70"/>
      <c r="GX812" s="70"/>
      <c r="GY812" s="70"/>
      <c r="GZ812" s="70"/>
      <c r="HA812" s="70"/>
      <c r="HB812" s="70"/>
      <c r="HC812" s="70"/>
      <c r="HD812" s="70"/>
      <c r="HE812" s="70"/>
      <c r="HF812" s="70"/>
      <c r="HG812" s="70"/>
      <c r="HH812" s="70"/>
      <c r="HI812" s="70"/>
      <c r="HJ812" s="70"/>
      <c r="HK812" s="70"/>
      <c r="HL812" s="70"/>
      <c r="HM812" s="70"/>
      <c r="HN812" s="70"/>
      <c r="HO812" s="70"/>
      <c r="HP812" s="70"/>
      <c r="HQ812" s="70"/>
      <c r="HR812" s="70"/>
      <c r="HS812" s="70"/>
      <c r="HT812" s="70"/>
      <c r="HU812" s="70"/>
      <c r="HV812" s="70"/>
      <c r="HW812" s="70"/>
      <c r="HX812" s="70"/>
      <c r="HY812" s="70"/>
      <c r="HZ812" s="70"/>
      <c r="IA812" s="70"/>
      <c r="IB812" s="70"/>
      <c r="IC812" s="70"/>
      <c r="ID812" s="70"/>
      <c r="IE812" s="70"/>
      <c r="IF812" s="70"/>
      <c r="IG812" s="70"/>
      <c r="IH812" s="70"/>
      <c r="II812" s="70"/>
      <c r="IJ812" s="70"/>
      <c r="IK812" s="70"/>
      <c r="IL812" s="70"/>
      <c r="IM812" s="70"/>
      <c r="IN812" s="70"/>
      <c r="IO812" s="70"/>
      <c r="IP812" s="70"/>
      <c r="IQ812" s="70"/>
    </row>
    <row r="813" spans="18:251" ht="16.5" hidden="1" customHeight="1">
      <c r="R813" s="95" t="s">
        <v>450</v>
      </c>
      <c r="S813" s="95"/>
      <c r="T813" s="95"/>
      <c r="U813" s="70"/>
      <c r="V813" s="214"/>
      <c r="W813" s="70"/>
      <c r="X813" s="70"/>
      <c r="Y813" s="70"/>
      <c r="Z813" s="70"/>
      <c r="AA813" s="70"/>
      <c r="AB813" s="70"/>
      <c r="AC813" s="70"/>
      <c r="AD813" s="70"/>
      <c r="AE813" s="70"/>
      <c r="AF813" s="70"/>
      <c r="AG813" s="70"/>
      <c r="AH813" s="70"/>
      <c r="AI813" s="70"/>
      <c r="AJ813" s="70"/>
      <c r="AK813" s="70"/>
      <c r="AL813" s="70"/>
      <c r="AM813" s="70"/>
      <c r="AN813" s="70"/>
      <c r="AO813" s="70"/>
      <c r="AP813" s="70"/>
      <c r="AQ813" s="70"/>
      <c r="AR813" s="70"/>
      <c r="AS813" s="70"/>
      <c r="AT813" s="70"/>
      <c r="AU813" s="70"/>
      <c r="AV813" s="70"/>
      <c r="AW813" s="70"/>
      <c r="AX813" s="70"/>
      <c r="AY813" s="70"/>
      <c r="AZ813" s="70"/>
      <c r="BA813" s="70"/>
      <c r="BB813" s="70"/>
      <c r="BC813" s="70"/>
      <c r="BD813" s="70"/>
      <c r="BE813" s="70"/>
      <c r="BF813" s="70"/>
      <c r="BG813" s="70"/>
      <c r="BH813" s="70"/>
      <c r="BI813" s="70"/>
      <c r="BJ813" s="70"/>
      <c r="BK813" s="70"/>
      <c r="BL813" s="70"/>
      <c r="BM813" s="70"/>
      <c r="BN813" s="70"/>
      <c r="BO813" s="70"/>
      <c r="BP813" s="70"/>
      <c r="BQ813" s="70"/>
      <c r="BR813" s="70"/>
      <c r="BS813" s="70"/>
      <c r="BT813" s="70"/>
      <c r="BU813" s="70"/>
      <c r="BV813" s="70"/>
      <c r="BW813" s="70"/>
      <c r="BX813" s="70"/>
      <c r="BY813" s="70"/>
      <c r="BZ813" s="70"/>
      <c r="CA813" s="70"/>
      <c r="CB813" s="70"/>
      <c r="CC813" s="70"/>
      <c r="CD813" s="70"/>
      <c r="CE813" s="70"/>
      <c r="CF813" s="70"/>
      <c r="CG813" s="70"/>
      <c r="CH813" s="70"/>
      <c r="CI813" s="70"/>
      <c r="CJ813" s="70"/>
      <c r="CK813" s="70"/>
      <c r="CL813" s="70"/>
      <c r="CM813" s="70"/>
      <c r="CN813" s="70"/>
      <c r="CO813" s="70"/>
      <c r="CP813" s="70"/>
      <c r="CQ813" s="70"/>
      <c r="CR813" s="70"/>
      <c r="CS813" s="70"/>
      <c r="CT813" s="70"/>
      <c r="CU813" s="70"/>
      <c r="CV813" s="70"/>
      <c r="CW813" s="70"/>
      <c r="CX813" s="70"/>
      <c r="CY813" s="70"/>
      <c r="CZ813" s="70"/>
      <c r="DA813" s="70"/>
      <c r="DB813" s="70"/>
      <c r="DC813" s="70"/>
      <c r="DD813" s="70"/>
      <c r="DE813" s="70"/>
      <c r="DF813" s="70"/>
      <c r="DG813" s="70"/>
      <c r="DH813" s="70"/>
      <c r="DI813" s="70"/>
      <c r="DJ813" s="70"/>
      <c r="DK813" s="70"/>
      <c r="DL813" s="70"/>
      <c r="DM813" s="70"/>
      <c r="DN813" s="70"/>
      <c r="DO813" s="70"/>
      <c r="DP813" s="70"/>
      <c r="DQ813" s="70"/>
      <c r="DR813" s="70"/>
      <c r="DS813" s="70"/>
      <c r="DT813" s="70"/>
      <c r="DU813" s="70"/>
      <c r="DV813" s="70"/>
      <c r="DW813" s="70"/>
      <c r="DX813" s="70"/>
      <c r="DY813" s="70"/>
      <c r="DZ813" s="70"/>
      <c r="EA813" s="70"/>
      <c r="EB813" s="70"/>
      <c r="EC813" s="70"/>
      <c r="ED813" s="70"/>
      <c r="EE813" s="95" t="s">
        <v>450</v>
      </c>
      <c r="EF813" s="95"/>
      <c r="EG813" s="95"/>
      <c r="EH813" s="70"/>
      <c r="EI813" s="216"/>
      <c r="EJ813" s="70"/>
      <c r="EK813" s="70"/>
      <c r="EL813" s="70"/>
      <c r="EM813" s="70"/>
      <c r="EN813" s="70"/>
      <c r="EO813" s="70"/>
      <c r="EP813" s="70"/>
      <c r="EQ813" s="70"/>
      <c r="ER813" s="70"/>
      <c r="ES813" s="70"/>
      <c r="ET813" s="70"/>
      <c r="EU813" s="70"/>
      <c r="EV813" s="70"/>
      <c r="EW813" s="70"/>
      <c r="EX813" s="70"/>
      <c r="EY813" s="70"/>
      <c r="EZ813" s="70"/>
      <c r="FA813" s="70"/>
      <c r="FB813" s="70"/>
      <c r="FC813" s="70"/>
      <c r="FD813" s="70"/>
      <c r="FE813" s="70"/>
      <c r="FF813" s="70"/>
      <c r="FG813" s="70"/>
      <c r="FH813" s="70"/>
      <c r="FI813" s="70"/>
      <c r="FJ813" s="70"/>
      <c r="FK813" s="70"/>
      <c r="FL813" s="70"/>
      <c r="FM813" s="70"/>
      <c r="FN813" s="70"/>
      <c r="FO813" s="70"/>
      <c r="FP813" s="70"/>
      <c r="FQ813" s="70"/>
      <c r="FR813" s="70"/>
      <c r="FS813" s="70"/>
      <c r="FT813" s="70"/>
      <c r="FU813" s="70"/>
      <c r="FV813" s="70"/>
      <c r="FW813" s="70"/>
      <c r="FX813" s="70"/>
      <c r="FY813" s="70"/>
      <c r="FZ813" s="70"/>
      <c r="GA813" s="70"/>
      <c r="GB813" s="70"/>
      <c r="GC813" s="70"/>
      <c r="GD813" s="70"/>
      <c r="GE813" s="70"/>
      <c r="GF813" s="70"/>
      <c r="GG813" s="70"/>
      <c r="GH813" s="70"/>
      <c r="GI813" s="70"/>
      <c r="GJ813" s="70"/>
      <c r="GK813" s="70"/>
      <c r="GL813" s="70"/>
      <c r="GM813" s="70"/>
      <c r="GN813" s="70"/>
      <c r="GO813" s="70"/>
      <c r="GP813" s="70"/>
      <c r="GQ813" s="70"/>
      <c r="GR813" s="70"/>
      <c r="GS813" s="70"/>
      <c r="GT813" s="70"/>
      <c r="GU813" s="70"/>
      <c r="GV813" s="70"/>
      <c r="GW813" s="70"/>
      <c r="GX813" s="70"/>
      <c r="GY813" s="70"/>
      <c r="GZ813" s="70"/>
      <c r="HA813" s="70"/>
      <c r="HB813" s="70"/>
      <c r="HC813" s="70"/>
      <c r="HD813" s="70"/>
      <c r="HE813" s="70"/>
      <c r="HF813" s="70"/>
      <c r="HG813" s="70"/>
      <c r="HH813" s="70"/>
      <c r="HI813" s="70"/>
      <c r="HJ813" s="70"/>
      <c r="HK813" s="70"/>
      <c r="HL813" s="70"/>
      <c r="HM813" s="70"/>
      <c r="HN813" s="70"/>
      <c r="HO813" s="70"/>
      <c r="HP813" s="70"/>
      <c r="HQ813" s="70"/>
      <c r="HR813" s="70"/>
      <c r="HS813" s="70"/>
      <c r="HT813" s="70"/>
      <c r="HU813" s="70"/>
      <c r="HV813" s="70"/>
      <c r="HW813" s="70"/>
      <c r="HX813" s="70"/>
      <c r="HY813" s="70"/>
      <c r="HZ813" s="70"/>
      <c r="IA813" s="70"/>
      <c r="IB813" s="70"/>
      <c r="IC813" s="70"/>
      <c r="ID813" s="70"/>
      <c r="IE813" s="70"/>
      <c r="IF813" s="70"/>
      <c r="IG813" s="70"/>
      <c r="IH813" s="70"/>
      <c r="II813" s="70"/>
      <c r="IJ813" s="70"/>
      <c r="IK813" s="70"/>
      <c r="IL813" s="70"/>
      <c r="IM813" s="70"/>
      <c r="IN813" s="70"/>
      <c r="IO813" s="70"/>
      <c r="IP813" s="70"/>
      <c r="IQ813" s="70"/>
    </row>
    <row r="814" spans="18:251" ht="16.5" hidden="1" customHeight="1">
      <c r="R814" s="95" t="s">
        <v>450</v>
      </c>
      <c r="S814" s="95"/>
      <c r="T814" s="95"/>
      <c r="U814" s="70"/>
      <c r="V814" s="214"/>
      <c r="W814" s="70"/>
      <c r="X814" s="70"/>
      <c r="Y814" s="70"/>
      <c r="Z814" s="70"/>
      <c r="AA814" s="70"/>
      <c r="AB814" s="70"/>
      <c r="AC814" s="70"/>
      <c r="AD814" s="70"/>
      <c r="AE814" s="70"/>
      <c r="AF814" s="70"/>
      <c r="AG814" s="70"/>
      <c r="AH814" s="70"/>
      <c r="AI814" s="70"/>
      <c r="AJ814" s="70"/>
      <c r="AK814" s="70"/>
      <c r="AL814" s="70"/>
      <c r="AM814" s="70"/>
      <c r="AN814" s="70"/>
      <c r="AO814" s="70"/>
      <c r="AP814" s="70"/>
      <c r="AQ814" s="70"/>
      <c r="AR814" s="70"/>
      <c r="AS814" s="70"/>
      <c r="AT814" s="70"/>
      <c r="AU814" s="70"/>
      <c r="AV814" s="70"/>
      <c r="AW814" s="70"/>
      <c r="AX814" s="70"/>
      <c r="AY814" s="70"/>
      <c r="AZ814" s="70"/>
      <c r="BA814" s="70"/>
      <c r="BB814" s="70"/>
      <c r="BC814" s="70"/>
      <c r="BD814" s="70"/>
      <c r="BE814" s="70"/>
      <c r="BF814" s="70"/>
      <c r="BG814" s="70"/>
      <c r="BH814" s="70"/>
      <c r="BI814" s="70"/>
      <c r="BJ814" s="70"/>
      <c r="BK814" s="70"/>
      <c r="BL814" s="70"/>
      <c r="BM814" s="70"/>
      <c r="BN814" s="70"/>
      <c r="BO814" s="70"/>
      <c r="BP814" s="70"/>
      <c r="BQ814" s="70"/>
      <c r="BR814" s="70"/>
      <c r="BS814" s="70"/>
      <c r="BT814" s="70"/>
      <c r="BU814" s="70"/>
      <c r="BV814" s="70"/>
      <c r="BW814" s="70"/>
      <c r="BX814" s="70"/>
      <c r="BY814" s="70"/>
      <c r="BZ814" s="70"/>
      <c r="CA814" s="70"/>
      <c r="CB814" s="70"/>
      <c r="CC814" s="70"/>
      <c r="CD814" s="70"/>
      <c r="CE814" s="70"/>
      <c r="CF814" s="70"/>
      <c r="CG814" s="70"/>
      <c r="CH814" s="70"/>
      <c r="CI814" s="70"/>
      <c r="CJ814" s="70"/>
      <c r="CK814" s="70"/>
      <c r="CL814" s="70"/>
      <c r="CM814" s="70"/>
      <c r="CN814" s="70"/>
      <c r="CO814" s="70"/>
      <c r="CP814" s="70"/>
      <c r="CQ814" s="70"/>
      <c r="CR814" s="70"/>
      <c r="CS814" s="70"/>
      <c r="CT814" s="70"/>
      <c r="CU814" s="70"/>
      <c r="CV814" s="70"/>
      <c r="CW814" s="70"/>
      <c r="CX814" s="70"/>
      <c r="CY814" s="70"/>
      <c r="CZ814" s="70"/>
      <c r="DA814" s="70"/>
      <c r="DB814" s="70"/>
      <c r="DC814" s="70"/>
      <c r="DD814" s="70"/>
      <c r="DE814" s="70"/>
      <c r="DF814" s="70"/>
      <c r="DG814" s="70"/>
      <c r="DH814" s="70"/>
      <c r="DI814" s="70"/>
      <c r="DJ814" s="70"/>
      <c r="DK814" s="70"/>
      <c r="DL814" s="70"/>
      <c r="DM814" s="70"/>
      <c r="DN814" s="70"/>
      <c r="DO814" s="70"/>
      <c r="DP814" s="70"/>
      <c r="DQ814" s="70"/>
      <c r="DR814" s="70"/>
      <c r="DS814" s="70"/>
      <c r="DT814" s="70"/>
      <c r="DU814" s="70"/>
      <c r="DV814" s="70"/>
      <c r="DW814" s="70"/>
      <c r="DX814" s="70"/>
      <c r="DY814" s="70"/>
      <c r="DZ814" s="70"/>
      <c r="EA814" s="70"/>
      <c r="EB814" s="70"/>
      <c r="EC814" s="70"/>
      <c r="ED814" s="70"/>
      <c r="EE814" s="95" t="s">
        <v>450</v>
      </c>
      <c r="EF814" s="95"/>
      <c r="EG814" s="95"/>
      <c r="EH814" s="70"/>
      <c r="EI814" s="216"/>
      <c r="EJ814" s="70"/>
      <c r="EK814" s="70"/>
      <c r="EL814" s="70"/>
      <c r="EM814" s="70"/>
      <c r="EN814" s="70"/>
      <c r="EO814" s="70"/>
      <c r="EP814" s="70"/>
      <c r="EQ814" s="70"/>
      <c r="ER814" s="70"/>
      <c r="ES814" s="70"/>
      <c r="ET814" s="70"/>
      <c r="EU814" s="70"/>
      <c r="EV814" s="70"/>
      <c r="EW814" s="70"/>
      <c r="EX814" s="70"/>
      <c r="EY814" s="70"/>
      <c r="EZ814" s="70"/>
      <c r="FA814" s="70"/>
      <c r="FB814" s="70"/>
      <c r="FC814" s="70"/>
      <c r="FD814" s="70"/>
      <c r="FE814" s="70"/>
      <c r="FF814" s="70"/>
      <c r="FG814" s="70"/>
      <c r="FH814" s="70"/>
      <c r="FI814" s="70"/>
      <c r="FJ814" s="70"/>
      <c r="FK814" s="70"/>
      <c r="FL814" s="70"/>
      <c r="FM814" s="70"/>
      <c r="FN814" s="70"/>
      <c r="FO814" s="70"/>
      <c r="FP814" s="70"/>
      <c r="FQ814" s="70"/>
      <c r="FR814" s="70"/>
      <c r="FS814" s="70"/>
      <c r="FT814" s="70"/>
      <c r="FU814" s="70"/>
      <c r="FV814" s="70"/>
      <c r="FW814" s="70"/>
      <c r="FX814" s="70"/>
      <c r="FY814" s="70"/>
      <c r="FZ814" s="70"/>
      <c r="GA814" s="70"/>
      <c r="GB814" s="70"/>
      <c r="GC814" s="70"/>
      <c r="GD814" s="70"/>
      <c r="GE814" s="70"/>
      <c r="GF814" s="70"/>
      <c r="GG814" s="70"/>
      <c r="GH814" s="70"/>
      <c r="GI814" s="70"/>
      <c r="GJ814" s="70"/>
      <c r="GK814" s="70"/>
      <c r="GL814" s="70"/>
      <c r="GM814" s="70"/>
      <c r="GN814" s="70"/>
      <c r="GO814" s="70"/>
      <c r="GP814" s="70"/>
      <c r="GQ814" s="70"/>
      <c r="GR814" s="70"/>
      <c r="GS814" s="70"/>
      <c r="GT814" s="70"/>
      <c r="GU814" s="70"/>
      <c r="GV814" s="70"/>
      <c r="GW814" s="70"/>
      <c r="GX814" s="70"/>
      <c r="GY814" s="70"/>
      <c r="GZ814" s="70"/>
      <c r="HA814" s="70"/>
      <c r="HB814" s="70"/>
      <c r="HC814" s="70"/>
      <c r="HD814" s="70"/>
      <c r="HE814" s="70"/>
      <c r="HF814" s="70"/>
      <c r="HG814" s="70"/>
      <c r="HH814" s="70"/>
      <c r="HI814" s="70"/>
      <c r="HJ814" s="70"/>
      <c r="HK814" s="70"/>
      <c r="HL814" s="70"/>
      <c r="HM814" s="70"/>
      <c r="HN814" s="70"/>
      <c r="HO814" s="70"/>
      <c r="HP814" s="70"/>
      <c r="HQ814" s="70"/>
      <c r="HR814" s="70"/>
      <c r="HS814" s="70"/>
      <c r="HT814" s="70"/>
      <c r="HU814" s="70"/>
      <c r="HV814" s="70"/>
      <c r="HW814" s="70"/>
      <c r="HX814" s="70"/>
      <c r="HY814" s="70"/>
      <c r="HZ814" s="70"/>
      <c r="IA814" s="70"/>
      <c r="IB814" s="70"/>
      <c r="IC814" s="70"/>
      <c r="ID814" s="70"/>
      <c r="IE814" s="70"/>
      <c r="IF814" s="70"/>
      <c r="IG814" s="70"/>
      <c r="IH814" s="70"/>
      <c r="II814" s="70"/>
      <c r="IJ814" s="70"/>
      <c r="IK814" s="70"/>
      <c r="IL814" s="70"/>
      <c r="IM814" s="70"/>
      <c r="IN814" s="70"/>
      <c r="IO814" s="70"/>
      <c r="IP814" s="70"/>
      <c r="IQ814" s="70"/>
    </row>
    <row r="815" spans="18:251" ht="16.5" hidden="1" customHeight="1">
      <c r="R815" s="95" t="s">
        <v>450</v>
      </c>
      <c r="S815" s="95"/>
      <c r="T815" s="95"/>
      <c r="U815" s="70"/>
      <c r="V815" s="214"/>
      <c r="W815" s="70"/>
      <c r="X815" s="70"/>
      <c r="Y815" s="70"/>
      <c r="Z815" s="70"/>
      <c r="AA815" s="70"/>
      <c r="AB815" s="70"/>
      <c r="AC815" s="70"/>
      <c r="AD815" s="70"/>
      <c r="AE815" s="70"/>
      <c r="AF815" s="70"/>
      <c r="AG815" s="70"/>
      <c r="AH815" s="70"/>
      <c r="AI815" s="70"/>
      <c r="AJ815" s="70"/>
      <c r="AK815" s="70"/>
      <c r="AL815" s="70"/>
      <c r="AM815" s="70"/>
      <c r="AN815" s="70"/>
      <c r="AO815" s="70"/>
      <c r="AP815" s="70"/>
      <c r="AQ815" s="70"/>
      <c r="AR815" s="70"/>
      <c r="AS815" s="70"/>
      <c r="AT815" s="70"/>
      <c r="AU815" s="70"/>
      <c r="AV815" s="70"/>
      <c r="AW815" s="70"/>
      <c r="AX815" s="70"/>
      <c r="AY815" s="70"/>
      <c r="AZ815" s="70"/>
      <c r="BA815" s="70"/>
      <c r="BB815" s="70"/>
      <c r="BC815" s="70"/>
      <c r="BD815" s="70"/>
      <c r="BE815" s="70"/>
      <c r="BF815" s="70"/>
      <c r="BG815" s="70"/>
      <c r="BH815" s="70"/>
      <c r="BI815" s="70"/>
      <c r="BJ815" s="70"/>
      <c r="BK815" s="70"/>
      <c r="BL815" s="70"/>
      <c r="BM815" s="70"/>
      <c r="BN815" s="70"/>
      <c r="BO815" s="70"/>
      <c r="BP815" s="70"/>
      <c r="BQ815" s="70"/>
      <c r="BR815" s="70"/>
      <c r="BS815" s="70"/>
      <c r="BT815" s="70"/>
      <c r="BU815" s="70"/>
      <c r="BV815" s="70"/>
      <c r="BW815" s="70"/>
      <c r="BX815" s="70"/>
      <c r="BY815" s="70"/>
      <c r="BZ815" s="70"/>
      <c r="CA815" s="70"/>
      <c r="CB815" s="70"/>
      <c r="CC815" s="70"/>
      <c r="CD815" s="70"/>
      <c r="CE815" s="70"/>
      <c r="CF815" s="70"/>
      <c r="CG815" s="70"/>
      <c r="CH815" s="70"/>
      <c r="CI815" s="70"/>
      <c r="CJ815" s="70"/>
      <c r="CK815" s="70"/>
      <c r="CL815" s="70"/>
      <c r="CM815" s="70"/>
      <c r="CN815" s="70"/>
      <c r="CO815" s="70"/>
      <c r="CP815" s="70"/>
      <c r="CQ815" s="70"/>
      <c r="CR815" s="70"/>
      <c r="CS815" s="70"/>
      <c r="CT815" s="70"/>
      <c r="CU815" s="70"/>
      <c r="CV815" s="70"/>
      <c r="CW815" s="70"/>
      <c r="CX815" s="70"/>
      <c r="CY815" s="70"/>
      <c r="CZ815" s="70"/>
      <c r="DA815" s="70"/>
      <c r="DB815" s="70"/>
      <c r="DC815" s="70"/>
      <c r="DD815" s="70"/>
      <c r="DE815" s="70"/>
      <c r="DF815" s="70"/>
      <c r="DG815" s="70"/>
      <c r="DH815" s="70"/>
      <c r="DI815" s="70"/>
      <c r="DJ815" s="70"/>
      <c r="DK815" s="70"/>
      <c r="DL815" s="70"/>
      <c r="DM815" s="70"/>
      <c r="DN815" s="70"/>
      <c r="DO815" s="70"/>
      <c r="DP815" s="70"/>
      <c r="DQ815" s="70"/>
      <c r="DR815" s="70"/>
      <c r="DS815" s="70"/>
      <c r="DT815" s="70"/>
      <c r="DU815" s="70"/>
      <c r="DV815" s="70"/>
      <c r="DW815" s="70"/>
      <c r="DX815" s="70"/>
      <c r="DY815" s="70"/>
      <c r="DZ815" s="70"/>
      <c r="EA815" s="70"/>
      <c r="EB815" s="70"/>
      <c r="EC815" s="70"/>
      <c r="ED815" s="70"/>
      <c r="EE815" s="95" t="s">
        <v>450</v>
      </c>
      <c r="EF815" s="95"/>
      <c r="EG815" s="95"/>
      <c r="EH815" s="70"/>
      <c r="EI815" s="216"/>
      <c r="EJ815" s="70"/>
      <c r="EK815" s="70"/>
      <c r="EL815" s="70"/>
      <c r="EM815" s="70"/>
      <c r="EN815" s="70"/>
      <c r="EO815" s="70"/>
      <c r="EP815" s="70"/>
      <c r="EQ815" s="70"/>
      <c r="ER815" s="70"/>
      <c r="ES815" s="70"/>
      <c r="ET815" s="70"/>
      <c r="EU815" s="70"/>
      <c r="EV815" s="70"/>
      <c r="EW815" s="70"/>
      <c r="EX815" s="70"/>
      <c r="EY815" s="70"/>
      <c r="EZ815" s="70"/>
      <c r="FA815" s="70"/>
      <c r="FB815" s="70"/>
      <c r="FC815" s="70"/>
      <c r="FD815" s="70"/>
      <c r="FE815" s="70"/>
      <c r="FF815" s="70"/>
      <c r="FG815" s="70"/>
      <c r="FH815" s="70"/>
      <c r="FI815" s="70"/>
      <c r="FJ815" s="70"/>
      <c r="FK815" s="70"/>
      <c r="FL815" s="70"/>
      <c r="FM815" s="70"/>
      <c r="FN815" s="70"/>
      <c r="FO815" s="70"/>
      <c r="FP815" s="70"/>
      <c r="FQ815" s="70"/>
      <c r="FR815" s="70"/>
      <c r="FS815" s="70"/>
      <c r="FT815" s="70"/>
      <c r="FU815" s="70"/>
      <c r="FV815" s="70"/>
      <c r="FW815" s="70"/>
      <c r="FX815" s="70"/>
      <c r="FY815" s="70"/>
      <c r="FZ815" s="70"/>
      <c r="GA815" s="70"/>
      <c r="GB815" s="70"/>
      <c r="GC815" s="70"/>
      <c r="GD815" s="70"/>
      <c r="GE815" s="70"/>
      <c r="GF815" s="70"/>
      <c r="GG815" s="70"/>
      <c r="GH815" s="70"/>
      <c r="GI815" s="70"/>
      <c r="GJ815" s="70"/>
      <c r="GK815" s="70"/>
      <c r="GL815" s="70"/>
      <c r="GM815" s="70"/>
      <c r="GN815" s="70"/>
      <c r="GO815" s="70"/>
      <c r="GP815" s="70"/>
      <c r="GQ815" s="70"/>
      <c r="GR815" s="70"/>
      <c r="GS815" s="70"/>
      <c r="GT815" s="70"/>
      <c r="GU815" s="70"/>
      <c r="GV815" s="70"/>
      <c r="GW815" s="70"/>
      <c r="GX815" s="70"/>
      <c r="GY815" s="70"/>
      <c r="GZ815" s="70"/>
      <c r="HA815" s="70"/>
      <c r="HB815" s="70"/>
      <c r="HC815" s="70"/>
      <c r="HD815" s="70"/>
      <c r="HE815" s="70"/>
      <c r="HF815" s="70"/>
      <c r="HG815" s="70"/>
      <c r="HH815" s="70"/>
      <c r="HI815" s="70"/>
      <c r="HJ815" s="70"/>
      <c r="HK815" s="70"/>
      <c r="HL815" s="70"/>
      <c r="HM815" s="70"/>
      <c r="HN815" s="70"/>
      <c r="HO815" s="70"/>
      <c r="HP815" s="70"/>
      <c r="HQ815" s="70"/>
      <c r="HR815" s="70"/>
      <c r="HS815" s="70"/>
      <c r="HT815" s="70"/>
      <c r="HU815" s="70"/>
      <c r="HV815" s="70"/>
      <c r="HW815" s="70"/>
      <c r="HX815" s="70"/>
      <c r="HY815" s="70"/>
      <c r="HZ815" s="70"/>
      <c r="IA815" s="70"/>
      <c r="IB815" s="70"/>
      <c r="IC815" s="70"/>
      <c r="ID815" s="70"/>
      <c r="IE815" s="70"/>
      <c r="IF815" s="70"/>
      <c r="IG815" s="70"/>
      <c r="IH815" s="70"/>
      <c r="II815" s="70"/>
      <c r="IJ815" s="70"/>
      <c r="IK815" s="70"/>
      <c r="IL815" s="70"/>
      <c r="IM815" s="70"/>
      <c r="IN815" s="70"/>
      <c r="IO815" s="70"/>
      <c r="IP815" s="70"/>
      <c r="IQ815" s="70"/>
    </row>
    <row r="816" spans="18:251" ht="16.5" hidden="1" customHeight="1">
      <c r="R816" s="95" t="s">
        <v>450</v>
      </c>
      <c r="S816" s="95"/>
      <c r="T816" s="95"/>
      <c r="U816" s="70"/>
      <c r="V816" s="214"/>
      <c r="W816" s="70"/>
      <c r="X816" s="70"/>
      <c r="Y816" s="70"/>
      <c r="Z816" s="70"/>
      <c r="AA816" s="70"/>
      <c r="AB816" s="70"/>
      <c r="AC816" s="70"/>
      <c r="AD816" s="70"/>
      <c r="AE816" s="70"/>
      <c r="AF816" s="70"/>
      <c r="AG816" s="70"/>
      <c r="AH816" s="70"/>
      <c r="AI816" s="70"/>
      <c r="AJ816" s="70"/>
      <c r="AK816" s="70"/>
      <c r="AL816" s="70"/>
      <c r="AM816" s="70"/>
      <c r="AN816" s="70"/>
      <c r="AO816" s="70"/>
      <c r="AP816" s="70"/>
      <c r="AQ816" s="70"/>
      <c r="AR816" s="70"/>
      <c r="AS816" s="70"/>
      <c r="AT816" s="70"/>
      <c r="AU816" s="70"/>
      <c r="AV816" s="70"/>
      <c r="AW816" s="70"/>
      <c r="AX816" s="70"/>
      <c r="AY816" s="70"/>
      <c r="AZ816" s="70"/>
      <c r="BA816" s="70"/>
      <c r="BB816" s="70"/>
      <c r="BC816" s="70"/>
      <c r="BD816" s="70"/>
      <c r="BE816" s="70"/>
      <c r="BF816" s="70"/>
      <c r="BG816" s="70"/>
      <c r="BH816" s="70"/>
      <c r="BI816" s="70"/>
      <c r="BJ816" s="70"/>
      <c r="BK816" s="70"/>
      <c r="BL816" s="70"/>
      <c r="BM816" s="70"/>
      <c r="BN816" s="70"/>
      <c r="BO816" s="70"/>
      <c r="BP816" s="70"/>
      <c r="BQ816" s="70"/>
      <c r="BR816" s="70"/>
      <c r="BS816" s="70"/>
      <c r="BT816" s="70"/>
      <c r="BU816" s="70"/>
      <c r="BV816" s="70"/>
      <c r="BW816" s="70"/>
      <c r="BX816" s="70"/>
      <c r="BY816" s="70"/>
      <c r="BZ816" s="70"/>
      <c r="CA816" s="70"/>
      <c r="CB816" s="70"/>
      <c r="CC816" s="70"/>
      <c r="CD816" s="70"/>
      <c r="CE816" s="70"/>
      <c r="CF816" s="70"/>
      <c r="CG816" s="70"/>
      <c r="CH816" s="70"/>
      <c r="CI816" s="70"/>
      <c r="CJ816" s="70"/>
      <c r="CK816" s="70"/>
      <c r="CL816" s="70"/>
      <c r="CM816" s="70"/>
      <c r="CN816" s="70"/>
      <c r="CO816" s="70"/>
      <c r="CP816" s="70"/>
      <c r="CQ816" s="70"/>
      <c r="CR816" s="70"/>
      <c r="CS816" s="70"/>
      <c r="CT816" s="70"/>
      <c r="CU816" s="70"/>
      <c r="CV816" s="70"/>
      <c r="CW816" s="70"/>
      <c r="CX816" s="70"/>
      <c r="CY816" s="70"/>
      <c r="CZ816" s="70"/>
      <c r="DA816" s="70"/>
      <c r="DB816" s="70"/>
      <c r="DC816" s="70"/>
      <c r="DD816" s="70"/>
      <c r="DE816" s="70"/>
      <c r="DF816" s="70"/>
      <c r="DG816" s="70"/>
      <c r="DH816" s="70"/>
      <c r="DI816" s="70"/>
      <c r="DJ816" s="70"/>
      <c r="DK816" s="70"/>
      <c r="DL816" s="70"/>
      <c r="DM816" s="70"/>
      <c r="DN816" s="70"/>
      <c r="DO816" s="70"/>
      <c r="DP816" s="70"/>
      <c r="DQ816" s="70"/>
      <c r="DR816" s="70"/>
      <c r="DS816" s="70"/>
      <c r="DT816" s="70"/>
      <c r="DU816" s="70"/>
      <c r="DV816" s="70"/>
      <c r="DW816" s="70"/>
      <c r="DX816" s="70"/>
      <c r="DY816" s="70"/>
      <c r="DZ816" s="70"/>
      <c r="EA816" s="70"/>
      <c r="EB816" s="70"/>
      <c r="EC816" s="70"/>
      <c r="ED816" s="70"/>
      <c r="EE816" s="95" t="s">
        <v>450</v>
      </c>
      <c r="EF816" s="95"/>
      <c r="EG816" s="95"/>
      <c r="EH816" s="70"/>
      <c r="EI816" s="216"/>
      <c r="EJ816" s="70"/>
      <c r="EK816" s="70"/>
      <c r="EL816" s="70"/>
      <c r="EM816" s="70"/>
      <c r="EN816" s="70"/>
      <c r="EO816" s="70"/>
      <c r="EP816" s="70"/>
      <c r="EQ816" s="70"/>
      <c r="ER816" s="70"/>
      <c r="ES816" s="70"/>
      <c r="ET816" s="70"/>
      <c r="EU816" s="70"/>
      <c r="EV816" s="70"/>
      <c r="EW816" s="70"/>
      <c r="EX816" s="70"/>
      <c r="EY816" s="70"/>
      <c r="EZ816" s="70"/>
      <c r="FA816" s="70"/>
      <c r="FB816" s="70"/>
      <c r="FC816" s="70"/>
      <c r="FD816" s="70"/>
      <c r="FE816" s="70"/>
      <c r="FF816" s="70"/>
      <c r="FG816" s="70"/>
      <c r="FH816" s="70"/>
      <c r="FI816" s="70"/>
      <c r="FJ816" s="70"/>
      <c r="FK816" s="70"/>
      <c r="FL816" s="70"/>
      <c r="FM816" s="70"/>
      <c r="FN816" s="70"/>
      <c r="FO816" s="70"/>
      <c r="FP816" s="70"/>
      <c r="FQ816" s="70"/>
      <c r="FR816" s="70"/>
      <c r="FS816" s="70"/>
      <c r="FT816" s="70"/>
      <c r="FU816" s="70"/>
      <c r="FV816" s="70"/>
      <c r="FW816" s="70"/>
      <c r="FX816" s="70"/>
      <c r="FY816" s="70"/>
      <c r="FZ816" s="70"/>
      <c r="GA816" s="70"/>
      <c r="GB816" s="70"/>
      <c r="GC816" s="70"/>
      <c r="GD816" s="70"/>
      <c r="GE816" s="70"/>
      <c r="GF816" s="70"/>
      <c r="GG816" s="70"/>
      <c r="GH816" s="70"/>
      <c r="GI816" s="70"/>
      <c r="GJ816" s="70"/>
      <c r="GK816" s="70"/>
      <c r="GL816" s="70"/>
      <c r="GM816" s="70"/>
      <c r="GN816" s="70"/>
      <c r="GO816" s="70"/>
      <c r="GP816" s="70"/>
      <c r="GQ816" s="70"/>
      <c r="GR816" s="70"/>
      <c r="GS816" s="70"/>
      <c r="GT816" s="70"/>
      <c r="GU816" s="70"/>
      <c r="GV816" s="70"/>
      <c r="GW816" s="70"/>
      <c r="GX816" s="70"/>
      <c r="GY816" s="70"/>
      <c r="GZ816" s="70"/>
      <c r="HA816" s="70"/>
      <c r="HB816" s="70"/>
      <c r="HC816" s="70"/>
      <c r="HD816" s="70"/>
      <c r="HE816" s="70"/>
      <c r="HF816" s="70"/>
      <c r="HG816" s="70"/>
      <c r="HH816" s="70"/>
      <c r="HI816" s="70"/>
      <c r="HJ816" s="70"/>
      <c r="HK816" s="70"/>
      <c r="HL816" s="70"/>
      <c r="HM816" s="70"/>
      <c r="HN816" s="70"/>
      <c r="HO816" s="70"/>
      <c r="HP816" s="70"/>
      <c r="HQ816" s="70"/>
      <c r="HR816" s="70"/>
      <c r="HS816" s="70"/>
      <c r="HT816" s="70"/>
      <c r="HU816" s="70"/>
      <c r="HV816" s="70"/>
      <c r="HW816" s="70"/>
      <c r="HX816" s="70"/>
      <c r="HY816" s="70"/>
      <c r="HZ816" s="70"/>
      <c r="IA816" s="70"/>
      <c r="IB816" s="70"/>
      <c r="IC816" s="70"/>
      <c r="ID816" s="70"/>
      <c r="IE816" s="70"/>
      <c r="IF816" s="70"/>
      <c r="IG816" s="70"/>
      <c r="IH816" s="70"/>
      <c r="II816" s="70"/>
      <c r="IJ816" s="70"/>
      <c r="IK816" s="70"/>
      <c r="IL816" s="70"/>
      <c r="IM816" s="70"/>
      <c r="IN816" s="70"/>
      <c r="IO816" s="70"/>
      <c r="IP816" s="70"/>
      <c r="IQ816" s="70"/>
    </row>
    <row r="817" spans="18:251" ht="16.5" hidden="1" customHeight="1">
      <c r="R817" s="95" t="s">
        <v>450</v>
      </c>
      <c r="S817" s="95"/>
      <c r="T817" s="95"/>
      <c r="U817" s="70"/>
      <c r="V817" s="214"/>
      <c r="W817" s="70"/>
      <c r="X817" s="70"/>
      <c r="Y817" s="70"/>
      <c r="Z817" s="70"/>
      <c r="AA817" s="70"/>
      <c r="AB817" s="70"/>
      <c r="AC817" s="70"/>
      <c r="AD817" s="70"/>
      <c r="AE817" s="70"/>
      <c r="AF817" s="70"/>
      <c r="AG817" s="70"/>
      <c r="AH817" s="70"/>
      <c r="AI817" s="70"/>
      <c r="AJ817" s="70"/>
      <c r="AK817" s="70"/>
      <c r="AL817" s="70"/>
      <c r="AM817" s="70"/>
      <c r="AN817" s="70"/>
      <c r="AO817" s="70"/>
      <c r="AP817" s="70"/>
      <c r="AQ817" s="70"/>
      <c r="AR817" s="70"/>
      <c r="AS817" s="70"/>
      <c r="AT817" s="70"/>
      <c r="AU817" s="70"/>
      <c r="AV817" s="70"/>
      <c r="AW817" s="70"/>
      <c r="AX817" s="70"/>
      <c r="AY817" s="70"/>
      <c r="AZ817" s="70"/>
      <c r="BA817" s="70"/>
      <c r="BB817" s="70"/>
      <c r="BC817" s="70"/>
      <c r="BD817" s="70"/>
      <c r="BE817" s="70"/>
      <c r="BF817" s="70"/>
      <c r="BG817" s="70"/>
      <c r="BH817" s="70"/>
      <c r="BI817" s="70"/>
      <c r="BJ817" s="70"/>
      <c r="BK817" s="70"/>
      <c r="BL817" s="70"/>
      <c r="BM817" s="70"/>
      <c r="BN817" s="70"/>
      <c r="BO817" s="70"/>
      <c r="BP817" s="70"/>
      <c r="BQ817" s="70"/>
      <c r="BR817" s="70"/>
      <c r="BS817" s="70"/>
      <c r="BT817" s="70"/>
      <c r="BU817" s="70"/>
      <c r="BV817" s="70"/>
      <c r="BW817" s="70"/>
      <c r="BX817" s="70"/>
      <c r="BY817" s="70"/>
      <c r="BZ817" s="70"/>
      <c r="CA817" s="70"/>
      <c r="CB817" s="70"/>
      <c r="CC817" s="70"/>
      <c r="CD817" s="70"/>
      <c r="CE817" s="70"/>
      <c r="CF817" s="70"/>
      <c r="CG817" s="70"/>
      <c r="CH817" s="70"/>
      <c r="CI817" s="70"/>
      <c r="CJ817" s="70"/>
      <c r="CK817" s="70"/>
      <c r="CL817" s="70"/>
      <c r="CM817" s="70"/>
      <c r="CN817" s="70"/>
      <c r="CO817" s="70"/>
      <c r="CP817" s="70"/>
      <c r="CQ817" s="70"/>
      <c r="CR817" s="70"/>
      <c r="CS817" s="70"/>
      <c r="CT817" s="70"/>
      <c r="CU817" s="70"/>
      <c r="CV817" s="70"/>
      <c r="CW817" s="70"/>
      <c r="CX817" s="70"/>
      <c r="CY817" s="70"/>
      <c r="CZ817" s="70"/>
      <c r="DA817" s="70"/>
      <c r="DB817" s="70"/>
      <c r="DC817" s="70"/>
      <c r="DD817" s="70"/>
      <c r="DE817" s="70"/>
      <c r="DF817" s="70"/>
      <c r="DG817" s="70"/>
      <c r="DH817" s="70"/>
      <c r="DI817" s="70"/>
      <c r="DJ817" s="70"/>
      <c r="DK817" s="70"/>
      <c r="DL817" s="70"/>
      <c r="DM817" s="70"/>
      <c r="DN817" s="70"/>
      <c r="DO817" s="70"/>
      <c r="DP817" s="70"/>
      <c r="DQ817" s="70"/>
      <c r="DR817" s="70"/>
      <c r="DS817" s="70"/>
      <c r="DT817" s="70"/>
      <c r="DU817" s="70"/>
      <c r="DV817" s="70"/>
      <c r="DW817" s="70"/>
      <c r="DX817" s="70"/>
      <c r="DY817" s="70"/>
      <c r="DZ817" s="70"/>
      <c r="EA817" s="70"/>
      <c r="EB817" s="70"/>
      <c r="EC817" s="70"/>
      <c r="ED817" s="70"/>
      <c r="EE817" s="95" t="s">
        <v>450</v>
      </c>
      <c r="EF817" s="95"/>
      <c r="EG817" s="95"/>
      <c r="EH817" s="70"/>
      <c r="EI817" s="216"/>
      <c r="EJ817" s="70"/>
      <c r="EK817" s="70"/>
      <c r="EL817" s="70"/>
      <c r="EM817" s="70"/>
      <c r="EN817" s="70"/>
      <c r="EO817" s="70"/>
      <c r="EP817" s="70"/>
      <c r="EQ817" s="70"/>
      <c r="ER817" s="70"/>
      <c r="ES817" s="70"/>
      <c r="ET817" s="70"/>
      <c r="EU817" s="70"/>
      <c r="EV817" s="70"/>
      <c r="EW817" s="70"/>
      <c r="EX817" s="70"/>
      <c r="EY817" s="70"/>
      <c r="EZ817" s="70"/>
      <c r="FA817" s="70"/>
      <c r="FB817" s="70"/>
      <c r="FC817" s="70"/>
      <c r="FD817" s="70"/>
      <c r="FE817" s="70"/>
      <c r="FF817" s="70"/>
      <c r="FG817" s="70"/>
      <c r="FH817" s="70"/>
      <c r="FI817" s="70"/>
      <c r="FJ817" s="70"/>
      <c r="FK817" s="70"/>
      <c r="FL817" s="70"/>
      <c r="FM817" s="70"/>
      <c r="FN817" s="70"/>
      <c r="FO817" s="70"/>
      <c r="FP817" s="70"/>
      <c r="FQ817" s="70"/>
      <c r="FR817" s="70"/>
      <c r="FS817" s="70"/>
      <c r="FT817" s="70"/>
      <c r="FU817" s="70"/>
      <c r="FV817" s="70"/>
      <c r="FW817" s="70"/>
      <c r="FX817" s="70"/>
      <c r="FY817" s="70"/>
      <c r="FZ817" s="70"/>
      <c r="GA817" s="70"/>
      <c r="GB817" s="70"/>
      <c r="GC817" s="70"/>
      <c r="GD817" s="70"/>
      <c r="GE817" s="70"/>
      <c r="GF817" s="70"/>
      <c r="GG817" s="70"/>
      <c r="GH817" s="70"/>
      <c r="GI817" s="70"/>
      <c r="GJ817" s="70"/>
      <c r="GK817" s="70"/>
      <c r="GL817" s="70"/>
      <c r="GM817" s="70"/>
      <c r="GN817" s="70"/>
      <c r="GO817" s="70"/>
      <c r="GP817" s="70"/>
      <c r="GQ817" s="70"/>
      <c r="GR817" s="70"/>
      <c r="GS817" s="70"/>
      <c r="GT817" s="70"/>
      <c r="GU817" s="70"/>
      <c r="GV817" s="70"/>
      <c r="GW817" s="70"/>
      <c r="GX817" s="70"/>
      <c r="GY817" s="70"/>
      <c r="GZ817" s="70"/>
      <c r="HA817" s="70"/>
      <c r="HB817" s="70"/>
      <c r="HC817" s="70"/>
      <c r="HD817" s="70"/>
      <c r="HE817" s="70"/>
      <c r="HF817" s="70"/>
      <c r="HG817" s="70"/>
      <c r="HH817" s="70"/>
      <c r="HI817" s="70"/>
      <c r="HJ817" s="70"/>
      <c r="HK817" s="70"/>
      <c r="HL817" s="70"/>
      <c r="HM817" s="70"/>
      <c r="HN817" s="70"/>
      <c r="HO817" s="70"/>
      <c r="HP817" s="70"/>
      <c r="HQ817" s="70"/>
      <c r="HR817" s="70"/>
      <c r="HS817" s="70"/>
      <c r="HT817" s="70"/>
      <c r="HU817" s="70"/>
      <c r="HV817" s="70"/>
      <c r="HW817" s="70"/>
      <c r="HX817" s="70"/>
      <c r="HY817" s="70"/>
      <c r="HZ817" s="70"/>
      <c r="IA817" s="70"/>
      <c r="IB817" s="70"/>
      <c r="IC817" s="70"/>
      <c r="ID817" s="70"/>
      <c r="IE817" s="70"/>
      <c r="IF817" s="70"/>
      <c r="IG817" s="70"/>
      <c r="IH817" s="70"/>
      <c r="II817" s="70"/>
      <c r="IJ817" s="70"/>
      <c r="IK817" s="70"/>
      <c r="IL817" s="70"/>
      <c r="IM817" s="70"/>
      <c r="IN817" s="70"/>
      <c r="IO817" s="70"/>
      <c r="IP817" s="70"/>
      <c r="IQ817" s="70"/>
    </row>
    <row r="818" spans="18:251" ht="16.5" hidden="1" customHeight="1">
      <c r="R818" s="95" t="s">
        <v>450</v>
      </c>
      <c r="S818" s="95"/>
      <c r="T818" s="95"/>
      <c r="U818" s="70"/>
      <c r="V818" s="214"/>
      <c r="W818" s="70"/>
      <c r="X818" s="70"/>
      <c r="Y818" s="70"/>
      <c r="Z818" s="70"/>
      <c r="AA818" s="70"/>
      <c r="AB818" s="70"/>
      <c r="AC818" s="70"/>
      <c r="AD818" s="70"/>
      <c r="AE818" s="70"/>
      <c r="AF818" s="70"/>
      <c r="AG818" s="70"/>
      <c r="AH818" s="70"/>
      <c r="AI818" s="70"/>
      <c r="AJ818" s="70"/>
      <c r="AK818" s="70"/>
      <c r="AL818" s="70"/>
      <c r="AM818" s="70"/>
      <c r="AN818" s="70"/>
      <c r="AO818" s="70"/>
      <c r="AP818" s="70"/>
      <c r="AQ818" s="70"/>
      <c r="AR818" s="70"/>
      <c r="AS818" s="70"/>
      <c r="AT818" s="70"/>
      <c r="AU818" s="70"/>
      <c r="AV818" s="70"/>
      <c r="AW818" s="70"/>
      <c r="AX818" s="70"/>
      <c r="AY818" s="70"/>
      <c r="AZ818" s="70"/>
      <c r="BA818" s="70"/>
      <c r="BB818" s="70"/>
      <c r="BC818" s="70"/>
      <c r="BD818" s="70"/>
      <c r="BE818" s="70"/>
      <c r="BF818" s="70"/>
      <c r="BG818" s="70"/>
      <c r="BH818" s="70"/>
      <c r="BI818" s="70"/>
      <c r="BJ818" s="70"/>
      <c r="BK818" s="70"/>
      <c r="BL818" s="70"/>
      <c r="BM818" s="70"/>
      <c r="BN818" s="70"/>
      <c r="BO818" s="70"/>
      <c r="BP818" s="70"/>
      <c r="BQ818" s="70"/>
      <c r="BR818" s="70"/>
      <c r="BS818" s="70"/>
      <c r="BT818" s="70"/>
      <c r="BU818" s="70"/>
      <c r="BV818" s="70"/>
      <c r="BW818" s="70"/>
      <c r="BX818" s="70"/>
      <c r="BY818" s="70"/>
      <c r="BZ818" s="70"/>
      <c r="CA818" s="70"/>
      <c r="CB818" s="70"/>
      <c r="CC818" s="70"/>
      <c r="CD818" s="70"/>
      <c r="CE818" s="70"/>
      <c r="CF818" s="70"/>
      <c r="CG818" s="70"/>
      <c r="CH818" s="70"/>
      <c r="CI818" s="70"/>
      <c r="CJ818" s="70"/>
      <c r="CK818" s="70"/>
      <c r="CL818" s="70"/>
      <c r="CM818" s="70"/>
      <c r="CN818" s="70"/>
      <c r="CO818" s="70"/>
      <c r="CP818" s="70"/>
      <c r="CQ818" s="70"/>
      <c r="CR818" s="70"/>
      <c r="CS818" s="70"/>
      <c r="CT818" s="70"/>
      <c r="CU818" s="70"/>
      <c r="CV818" s="70"/>
      <c r="CW818" s="70"/>
      <c r="CX818" s="70"/>
      <c r="CY818" s="70"/>
      <c r="CZ818" s="70"/>
      <c r="DA818" s="70"/>
      <c r="DB818" s="70"/>
      <c r="DC818" s="70"/>
      <c r="DD818" s="70"/>
      <c r="DE818" s="70"/>
      <c r="DF818" s="70"/>
      <c r="DG818" s="70"/>
      <c r="DH818" s="70"/>
      <c r="DI818" s="70"/>
      <c r="DJ818" s="70"/>
      <c r="DK818" s="70"/>
      <c r="DL818" s="70"/>
      <c r="DM818" s="70"/>
      <c r="DN818" s="70"/>
      <c r="DO818" s="70"/>
      <c r="DP818" s="70"/>
      <c r="DQ818" s="70"/>
      <c r="DR818" s="70"/>
      <c r="DS818" s="70"/>
      <c r="DT818" s="70"/>
      <c r="DU818" s="70"/>
      <c r="DV818" s="70"/>
      <c r="DW818" s="70"/>
      <c r="DX818" s="70"/>
      <c r="DY818" s="70"/>
      <c r="DZ818" s="70"/>
      <c r="EA818" s="70"/>
      <c r="EB818" s="70"/>
      <c r="EC818" s="70"/>
      <c r="ED818" s="70"/>
      <c r="EE818" s="95" t="s">
        <v>450</v>
      </c>
      <c r="EF818" s="95"/>
      <c r="EG818" s="95"/>
      <c r="EH818" s="70"/>
      <c r="EI818" s="216"/>
      <c r="EJ818" s="70"/>
      <c r="EK818" s="70"/>
      <c r="EL818" s="70"/>
      <c r="EM818" s="70"/>
      <c r="EN818" s="70"/>
      <c r="EO818" s="70"/>
      <c r="EP818" s="70"/>
      <c r="EQ818" s="70"/>
      <c r="ER818" s="70"/>
      <c r="ES818" s="70"/>
      <c r="ET818" s="70"/>
      <c r="EU818" s="70"/>
      <c r="EV818" s="70"/>
      <c r="EW818" s="70"/>
      <c r="EX818" s="70"/>
      <c r="EY818" s="70"/>
      <c r="EZ818" s="70"/>
      <c r="FA818" s="70"/>
      <c r="FB818" s="70"/>
      <c r="FC818" s="70"/>
      <c r="FD818" s="70"/>
      <c r="FE818" s="70"/>
      <c r="FF818" s="70"/>
      <c r="FG818" s="70"/>
      <c r="FH818" s="70"/>
      <c r="FI818" s="70"/>
      <c r="FJ818" s="70"/>
      <c r="FK818" s="70"/>
      <c r="FL818" s="70"/>
      <c r="FM818" s="70"/>
      <c r="FN818" s="70"/>
      <c r="FO818" s="70"/>
      <c r="FP818" s="70"/>
      <c r="FQ818" s="70"/>
      <c r="FR818" s="70"/>
      <c r="FS818" s="70"/>
      <c r="FT818" s="70"/>
      <c r="FU818" s="70"/>
      <c r="FV818" s="70"/>
      <c r="FW818" s="70"/>
      <c r="FX818" s="70"/>
      <c r="FY818" s="70"/>
      <c r="FZ818" s="70"/>
      <c r="GA818" s="70"/>
      <c r="GB818" s="70"/>
      <c r="GC818" s="70"/>
      <c r="GD818" s="70"/>
      <c r="GE818" s="70"/>
      <c r="GF818" s="70"/>
      <c r="GG818" s="70"/>
      <c r="GH818" s="70"/>
      <c r="GI818" s="70"/>
      <c r="GJ818" s="70"/>
      <c r="GK818" s="70"/>
      <c r="GL818" s="70"/>
      <c r="GM818" s="70"/>
      <c r="GN818" s="70"/>
      <c r="GO818" s="70"/>
      <c r="GP818" s="70"/>
      <c r="GQ818" s="70"/>
      <c r="GR818" s="70"/>
      <c r="GS818" s="70"/>
      <c r="GT818" s="70"/>
      <c r="GU818" s="70"/>
      <c r="GV818" s="70"/>
      <c r="GW818" s="70"/>
      <c r="GX818" s="70"/>
      <c r="GY818" s="70"/>
      <c r="GZ818" s="70"/>
      <c r="HA818" s="70"/>
      <c r="HB818" s="70"/>
      <c r="HC818" s="70"/>
      <c r="HD818" s="70"/>
      <c r="HE818" s="70"/>
      <c r="HF818" s="70"/>
      <c r="HG818" s="70"/>
      <c r="HH818" s="70"/>
      <c r="HI818" s="70"/>
      <c r="HJ818" s="70"/>
      <c r="HK818" s="70"/>
      <c r="HL818" s="70"/>
      <c r="HM818" s="70"/>
      <c r="HN818" s="70"/>
      <c r="HO818" s="70"/>
      <c r="HP818" s="70"/>
      <c r="HQ818" s="70"/>
      <c r="HR818" s="70"/>
      <c r="HS818" s="70"/>
      <c r="HT818" s="70"/>
      <c r="HU818" s="70"/>
      <c r="HV818" s="70"/>
      <c r="HW818" s="70"/>
      <c r="HX818" s="70"/>
      <c r="HY818" s="70"/>
      <c r="HZ818" s="70"/>
      <c r="IA818" s="70"/>
      <c r="IB818" s="70"/>
      <c r="IC818" s="70"/>
      <c r="ID818" s="70"/>
      <c r="IE818" s="70"/>
      <c r="IF818" s="70"/>
      <c r="IG818" s="70"/>
      <c r="IH818" s="70"/>
      <c r="II818" s="70"/>
      <c r="IJ818" s="70"/>
      <c r="IK818" s="70"/>
      <c r="IL818" s="70"/>
      <c r="IM818" s="70"/>
      <c r="IN818" s="70"/>
      <c r="IO818" s="70"/>
      <c r="IP818" s="70"/>
      <c r="IQ818" s="70"/>
    </row>
    <row r="819" spans="18:251" ht="16.5" hidden="1" customHeight="1">
      <c r="R819" s="95" t="s">
        <v>450</v>
      </c>
      <c r="S819" s="95"/>
      <c r="T819" s="95"/>
      <c r="U819" s="70"/>
      <c r="V819" s="214"/>
      <c r="W819" s="70"/>
      <c r="X819" s="70"/>
      <c r="Y819" s="70"/>
      <c r="Z819" s="70"/>
      <c r="AA819" s="70"/>
      <c r="AB819" s="70"/>
      <c r="AC819" s="70"/>
      <c r="AD819" s="70"/>
      <c r="AE819" s="70"/>
      <c r="AF819" s="70"/>
      <c r="AG819" s="70"/>
      <c r="AH819" s="70"/>
      <c r="AI819" s="70"/>
      <c r="AJ819" s="70"/>
      <c r="AK819" s="70"/>
      <c r="AL819" s="70"/>
      <c r="AM819" s="70"/>
      <c r="AN819" s="70"/>
      <c r="AO819" s="70"/>
      <c r="AP819" s="70"/>
      <c r="AQ819" s="70"/>
      <c r="AR819" s="70"/>
      <c r="AS819" s="70"/>
      <c r="AT819" s="70"/>
      <c r="AU819" s="70"/>
      <c r="AV819" s="70"/>
      <c r="AW819" s="70"/>
      <c r="AX819" s="70"/>
      <c r="AY819" s="70"/>
      <c r="AZ819" s="70"/>
      <c r="BA819" s="70"/>
      <c r="BB819" s="70"/>
      <c r="BC819" s="70"/>
      <c r="BD819" s="70"/>
      <c r="BE819" s="70"/>
      <c r="BF819" s="70"/>
      <c r="BG819" s="70"/>
      <c r="BH819" s="70"/>
      <c r="BI819" s="70"/>
      <c r="BJ819" s="70"/>
      <c r="BK819" s="70"/>
      <c r="BL819" s="70"/>
      <c r="BM819" s="70"/>
      <c r="BN819" s="70"/>
      <c r="BO819" s="70"/>
      <c r="BP819" s="70"/>
      <c r="BQ819" s="70"/>
      <c r="BR819" s="70"/>
      <c r="BS819" s="70"/>
      <c r="BT819" s="70"/>
      <c r="BU819" s="70"/>
      <c r="BV819" s="70"/>
      <c r="BW819" s="70"/>
      <c r="BX819" s="70"/>
      <c r="BY819" s="70"/>
      <c r="BZ819" s="70"/>
      <c r="CA819" s="70"/>
      <c r="CB819" s="70"/>
      <c r="CC819" s="70"/>
      <c r="CD819" s="70"/>
      <c r="CE819" s="70"/>
      <c r="CF819" s="70"/>
      <c r="CG819" s="70"/>
      <c r="CH819" s="70"/>
      <c r="CI819" s="70"/>
      <c r="CJ819" s="70"/>
      <c r="CK819" s="70"/>
      <c r="CL819" s="70"/>
      <c r="CM819" s="70"/>
      <c r="CN819" s="70"/>
      <c r="CO819" s="70"/>
      <c r="CP819" s="70"/>
      <c r="CQ819" s="70"/>
      <c r="CR819" s="70"/>
      <c r="CS819" s="70"/>
      <c r="CT819" s="70"/>
      <c r="CU819" s="70"/>
      <c r="CV819" s="70"/>
      <c r="CW819" s="70"/>
      <c r="CX819" s="70"/>
      <c r="CY819" s="70"/>
      <c r="CZ819" s="70"/>
      <c r="DA819" s="70"/>
      <c r="DB819" s="70"/>
      <c r="DC819" s="70"/>
      <c r="DD819" s="70"/>
      <c r="DE819" s="70"/>
      <c r="DF819" s="70"/>
      <c r="DG819" s="70"/>
      <c r="DH819" s="70"/>
      <c r="DI819" s="70"/>
      <c r="DJ819" s="70"/>
      <c r="DK819" s="70"/>
      <c r="DL819" s="70"/>
      <c r="DM819" s="70"/>
      <c r="DN819" s="70"/>
      <c r="DO819" s="70"/>
      <c r="DP819" s="70"/>
      <c r="DQ819" s="70"/>
      <c r="DR819" s="70"/>
      <c r="DS819" s="70"/>
      <c r="DT819" s="70"/>
      <c r="DU819" s="70"/>
      <c r="DV819" s="70"/>
      <c r="DW819" s="70"/>
      <c r="DX819" s="70"/>
      <c r="DY819" s="70"/>
      <c r="DZ819" s="70"/>
      <c r="EA819" s="70"/>
      <c r="EB819" s="70"/>
      <c r="EC819" s="70"/>
      <c r="ED819" s="70"/>
      <c r="EE819" s="95" t="s">
        <v>450</v>
      </c>
      <c r="EF819" s="95"/>
      <c r="EG819" s="95"/>
      <c r="EH819" s="70"/>
      <c r="EI819" s="216"/>
      <c r="EJ819" s="70"/>
      <c r="EK819" s="70"/>
      <c r="EL819" s="70"/>
      <c r="EM819" s="70"/>
      <c r="EN819" s="70"/>
      <c r="EO819" s="70"/>
      <c r="EP819" s="70"/>
      <c r="EQ819" s="70"/>
      <c r="ER819" s="70"/>
      <c r="ES819" s="70"/>
      <c r="ET819" s="70"/>
      <c r="EU819" s="70"/>
      <c r="EV819" s="70"/>
      <c r="EW819" s="70"/>
      <c r="EX819" s="70"/>
      <c r="EY819" s="70"/>
      <c r="EZ819" s="70"/>
      <c r="FA819" s="70"/>
      <c r="FB819" s="70"/>
      <c r="FC819" s="70"/>
      <c r="FD819" s="70"/>
      <c r="FE819" s="70"/>
      <c r="FF819" s="70"/>
      <c r="FG819" s="70"/>
      <c r="FH819" s="70"/>
      <c r="FI819" s="70"/>
      <c r="FJ819" s="70"/>
      <c r="FK819" s="70"/>
      <c r="FL819" s="70"/>
      <c r="FM819" s="70"/>
      <c r="FN819" s="70"/>
      <c r="FO819" s="70"/>
      <c r="FP819" s="70"/>
      <c r="FQ819" s="70"/>
      <c r="FR819" s="70"/>
      <c r="FS819" s="70"/>
      <c r="FT819" s="70"/>
      <c r="FU819" s="70"/>
      <c r="FV819" s="70"/>
      <c r="FW819" s="70"/>
      <c r="FX819" s="70"/>
      <c r="FY819" s="70"/>
      <c r="FZ819" s="70"/>
      <c r="GA819" s="70"/>
      <c r="GB819" s="70"/>
      <c r="GC819" s="70"/>
      <c r="GD819" s="70"/>
      <c r="GE819" s="70"/>
      <c r="GF819" s="70"/>
      <c r="GG819" s="70"/>
      <c r="GH819" s="70"/>
      <c r="GI819" s="70"/>
      <c r="GJ819" s="70"/>
      <c r="GK819" s="70"/>
      <c r="GL819" s="70"/>
      <c r="GM819" s="70"/>
      <c r="GN819" s="70"/>
      <c r="GO819" s="70"/>
      <c r="GP819" s="70"/>
      <c r="GQ819" s="70"/>
      <c r="GR819" s="70"/>
      <c r="GS819" s="70"/>
      <c r="GT819" s="70"/>
      <c r="GU819" s="70"/>
      <c r="GV819" s="70"/>
      <c r="GW819" s="70"/>
      <c r="GX819" s="70"/>
      <c r="GY819" s="70"/>
      <c r="GZ819" s="70"/>
      <c r="HA819" s="70"/>
      <c r="HB819" s="70"/>
      <c r="HC819" s="70"/>
      <c r="HD819" s="70"/>
      <c r="HE819" s="70"/>
      <c r="HF819" s="70"/>
      <c r="HG819" s="70"/>
      <c r="HH819" s="70"/>
      <c r="HI819" s="70"/>
      <c r="HJ819" s="70"/>
      <c r="HK819" s="70"/>
      <c r="HL819" s="70"/>
      <c r="HM819" s="70"/>
      <c r="HN819" s="70"/>
      <c r="HO819" s="70"/>
      <c r="HP819" s="70"/>
      <c r="HQ819" s="70"/>
      <c r="HR819" s="70"/>
      <c r="HS819" s="70"/>
      <c r="HT819" s="70"/>
      <c r="HU819" s="70"/>
      <c r="HV819" s="70"/>
      <c r="HW819" s="70"/>
      <c r="HX819" s="70"/>
      <c r="HY819" s="70"/>
      <c r="HZ819" s="70"/>
      <c r="IA819" s="70"/>
      <c r="IB819" s="70"/>
      <c r="IC819" s="70"/>
      <c r="ID819" s="70"/>
      <c r="IE819" s="70"/>
      <c r="IF819" s="70"/>
      <c r="IG819" s="70"/>
      <c r="IH819" s="70"/>
      <c r="II819" s="70"/>
      <c r="IJ819" s="70"/>
      <c r="IK819" s="70"/>
      <c r="IL819" s="70"/>
      <c r="IM819" s="70"/>
      <c r="IN819" s="70"/>
      <c r="IO819" s="70"/>
      <c r="IP819" s="70"/>
      <c r="IQ819" s="70"/>
    </row>
    <row r="820" spans="18:251" ht="16.5" hidden="1" customHeight="1">
      <c r="R820" s="95" t="s">
        <v>450</v>
      </c>
      <c r="S820" s="95"/>
      <c r="T820" s="95"/>
      <c r="U820" s="70"/>
      <c r="V820" s="214"/>
      <c r="W820" s="70"/>
      <c r="X820" s="70"/>
      <c r="Y820" s="70"/>
      <c r="Z820" s="70"/>
      <c r="AA820" s="70"/>
      <c r="AB820" s="70"/>
      <c r="AC820" s="70"/>
      <c r="AD820" s="70"/>
      <c r="AE820" s="70"/>
      <c r="AF820" s="70"/>
      <c r="AG820" s="70"/>
      <c r="AH820" s="70"/>
      <c r="AI820" s="70"/>
      <c r="AJ820" s="70"/>
      <c r="AK820" s="70"/>
      <c r="AL820" s="70"/>
      <c r="AM820" s="70"/>
      <c r="AN820" s="70"/>
      <c r="AO820" s="70"/>
      <c r="AP820" s="70"/>
      <c r="AQ820" s="70"/>
      <c r="AR820" s="70"/>
      <c r="AS820" s="70"/>
      <c r="AT820" s="70"/>
      <c r="AU820" s="70"/>
      <c r="AV820" s="70"/>
      <c r="AW820" s="70"/>
      <c r="AX820" s="70"/>
      <c r="AY820" s="70"/>
      <c r="AZ820" s="70"/>
      <c r="BA820" s="70"/>
      <c r="BB820" s="70"/>
      <c r="BC820" s="70"/>
      <c r="BD820" s="70"/>
      <c r="BE820" s="70"/>
      <c r="BF820" s="70"/>
      <c r="BG820" s="70"/>
      <c r="BH820" s="70"/>
      <c r="BI820" s="70"/>
      <c r="BJ820" s="70"/>
      <c r="BK820" s="70"/>
      <c r="BL820" s="70"/>
      <c r="BM820" s="70"/>
      <c r="BN820" s="70"/>
      <c r="BO820" s="70"/>
      <c r="BP820" s="70"/>
      <c r="BQ820" s="70"/>
      <c r="BR820" s="70"/>
      <c r="BS820" s="70"/>
      <c r="BT820" s="70"/>
      <c r="BU820" s="70"/>
      <c r="BV820" s="70"/>
      <c r="BW820" s="70"/>
      <c r="BX820" s="70"/>
      <c r="BY820" s="70"/>
      <c r="BZ820" s="70"/>
      <c r="CA820" s="70"/>
      <c r="CB820" s="70"/>
      <c r="CC820" s="70"/>
      <c r="CD820" s="70"/>
      <c r="CE820" s="70"/>
      <c r="CF820" s="70"/>
      <c r="CG820" s="70"/>
      <c r="CH820" s="70"/>
      <c r="CI820" s="70"/>
      <c r="CJ820" s="70"/>
      <c r="CK820" s="70"/>
      <c r="CL820" s="70"/>
      <c r="CM820" s="70"/>
      <c r="CN820" s="70"/>
      <c r="CO820" s="70"/>
      <c r="CP820" s="70"/>
      <c r="CQ820" s="70"/>
      <c r="CR820" s="70"/>
      <c r="CS820" s="70"/>
      <c r="CT820" s="70"/>
      <c r="CU820" s="70"/>
      <c r="CV820" s="70"/>
      <c r="CW820" s="70"/>
      <c r="CX820" s="70"/>
      <c r="CY820" s="70"/>
      <c r="CZ820" s="70"/>
      <c r="DA820" s="70"/>
      <c r="DB820" s="70"/>
      <c r="DC820" s="70"/>
      <c r="DD820" s="70"/>
      <c r="DE820" s="70"/>
      <c r="DF820" s="70"/>
      <c r="DG820" s="70"/>
      <c r="DH820" s="70"/>
      <c r="DI820" s="70"/>
      <c r="DJ820" s="70"/>
      <c r="DK820" s="70"/>
      <c r="DL820" s="70"/>
      <c r="DM820" s="70"/>
      <c r="DN820" s="70"/>
      <c r="DO820" s="70"/>
      <c r="DP820" s="70"/>
      <c r="DQ820" s="70"/>
      <c r="DR820" s="70"/>
      <c r="DS820" s="70"/>
      <c r="DT820" s="70"/>
      <c r="DU820" s="70"/>
      <c r="DV820" s="70"/>
      <c r="DW820" s="70"/>
      <c r="DX820" s="70"/>
      <c r="DY820" s="70"/>
      <c r="DZ820" s="70"/>
      <c r="EA820" s="70"/>
      <c r="EB820" s="70"/>
      <c r="EC820" s="70"/>
      <c r="ED820" s="70"/>
      <c r="EE820" s="95" t="s">
        <v>450</v>
      </c>
      <c r="EF820" s="95"/>
      <c r="EG820" s="95"/>
      <c r="EH820" s="70"/>
      <c r="EI820" s="216"/>
      <c r="EJ820" s="70"/>
      <c r="EK820" s="70"/>
      <c r="EL820" s="70"/>
      <c r="EM820" s="70"/>
      <c r="EN820" s="70"/>
      <c r="EO820" s="70"/>
      <c r="EP820" s="70"/>
      <c r="EQ820" s="70"/>
      <c r="ER820" s="70"/>
      <c r="ES820" s="70"/>
      <c r="ET820" s="70"/>
      <c r="EU820" s="70"/>
      <c r="EV820" s="70"/>
      <c r="EW820" s="70"/>
      <c r="EX820" s="70"/>
      <c r="EY820" s="70"/>
      <c r="EZ820" s="70"/>
      <c r="FA820" s="70"/>
      <c r="FB820" s="70"/>
      <c r="FC820" s="70"/>
      <c r="FD820" s="70"/>
      <c r="FE820" s="70"/>
      <c r="FF820" s="70"/>
      <c r="FG820" s="70"/>
      <c r="FH820" s="70"/>
      <c r="FI820" s="70"/>
      <c r="FJ820" s="70"/>
      <c r="FK820" s="70"/>
      <c r="FL820" s="70"/>
      <c r="FM820" s="70"/>
      <c r="FN820" s="70"/>
      <c r="FO820" s="70"/>
      <c r="FP820" s="70"/>
      <c r="FQ820" s="70"/>
      <c r="FR820" s="70"/>
      <c r="FS820" s="70"/>
      <c r="FT820" s="70"/>
      <c r="FU820" s="70"/>
      <c r="FV820" s="70"/>
      <c r="FW820" s="70"/>
      <c r="FX820" s="70"/>
      <c r="FY820" s="70"/>
      <c r="FZ820" s="70"/>
      <c r="GA820" s="70"/>
      <c r="GB820" s="70"/>
      <c r="GC820" s="70"/>
      <c r="GD820" s="70"/>
      <c r="GE820" s="70"/>
      <c r="GF820" s="70"/>
      <c r="GG820" s="70"/>
      <c r="GH820" s="70"/>
      <c r="GI820" s="70"/>
      <c r="GJ820" s="70"/>
      <c r="GK820" s="70"/>
      <c r="GL820" s="70"/>
      <c r="GM820" s="70"/>
      <c r="GN820" s="70"/>
      <c r="GO820" s="70"/>
      <c r="GP820" s="70"/>
      <c r="GQ820" s="70"/>
      <c r="GR820" s="70"/>
      <c r="GS820" s="70"/>
      <c r="GT820" s="70"/>
      <c r="GU820" s="70"/>
      <c r="GV820" s="70"/>
      <c r="GW820" s="70"/>
      <c r="GX820" s="70"/>
      <c r="GY820" s="70"/>
      <c r="GZ820" s="70"/>
      <c r="HA820" s="70"/>
      <c r="HB820" s="70"/>
      <c r="HC820" s="70"/>
      <c r="HD820" s="70"/>
      <c r="HE820" s="70"/>
      <c r="HF820" s="70"/>
      <c r="HG820" s="70"/>
      <c r="HH820" s="70"/>
      <c r="HI820" s="70"/>
      <c r="HJ820" s="70"/>
      <c r="HK820" s="70"/>
      <c r="HL820" s="70"/>
      <c r="HM820" s="70"/>
      <c r="HN820" s="70"/>
      <c r="HO820" s="70"/>
      <c r="HP820" s="70"/>
      <c r="HQ820" s="70"/>
      <c r="HR820" s="70"/>
      <c r="HS820" s="70"/>
      <c r="HT820" s="70"/>
      <c r="HU820" s="70"/>
      <c r="HV820" s="70"/>
      <c r="HW820" s="70"/>
      <c r="HX820" s="70"/>
      <c r="HY820" s="70"/>
      <c r="HZ820" s="70"/>
      <c r="IA820" s="70"/>
      <c r="IB820" s="70"/>
      <c r="IC820" s="70"/>
      <c r="ID820" s="70"/>
      <c r="IE820" s="70"/>
      <c r="IF820" s="70"/>
      <c r="IG820" s="70"/>
      <c r="IH820" s="70"/>
      <c r="II820" s="70"/>
      <c r="IJ820" s="70"/>
      <c r="IK820" s="70"/>
      <c r="IL820" s="70"/>
      <c r="IM820" s="70"/>
      <c r="IN820" s="70"/>
      <c r="IO820" s="70"/>
      <c r="IP820" s="70"/>
      <c r="IQ820" s="70"/>
    </row>
    <row r="821" spans="18:251" ht="16.5" hidden="1" customHeight="1">
      <c r="R821" s="95" t="s">
        <v>450</v>
      </c>
      <c r="S821" s="95"/>
      <c r="T821" s="95"/>
      <c r="U821" s="70"/>
      <c r="V821" s="214"/>
      <c r="W821" s="70"/>
      <c r="X821" s="70"/>
      <c r="Y821" s="70"/>
      <c r="Z821" s="70"/>
      <c r="AA821" s="70"/>
      <c r="AB821" s="70"/>
      <c r="AC821" s="70"/>
      <c r="AD821" s="70"/>
      <c r="AE821" s="70"/>
      <c r="AF821" s="70"/>
      <c r="AG821" s="70"/>
      <c r="AH821" s="70"/>
      <c r="AI821" s="70"/>
      <c r="AJ821" s="70"/>
      <c r="AK821" s="70"/>
      <c r="AL821" s="70"/>
      <c r="AM821" s="70"/>
      <c r="AN821" s="70"/>
      <c r="AO821" s="70"/>
      <c r="AP821" s="70"/>
      <c r="AQ821" s="70"/>
      <c r="AR821" s="70"/>
      <c r="AS821" s="70"/>
      <c r="AT821" s="70"/>
      <c r="AU821" s="70"/>
      <c r="AV821" s="70"/>
      <c r="AW821" s="70"/>
      <c r="AX821" s="70"/>
      <c r="AY821" s="70"/>
      <c r="AZ821" s="70"/>
      <c r="BA821" s="70"/>
      <c r="BB821" s="70"/>
      <c r="BC821" s="70"/>
      <c r="BD821" s="70"/>
      <c r="BE821" s="70"/>
      <c r="BF821" s="70"/>
      <c r="BG821" s="70"/>
      <c r="BH821" s="70"/>
      <c r="BI821" s="70"/>
      <c r="BJ821" s="70"/>
      <c r="BK821" s="70"/>
      <c r="BL821" s="70"/>
      <c r="BM821" s="70"/>
      <c r="BN821" s="70"/>
      <c r="BO821" s="70"/>
      <c r="BP821" s="70"/>
      <c r="BQ821" s="70"/>
      <c r="BR821" s="70"/>
      <c r="BS821" s="70"/>
      <c r="BT821" s="70"/>
      <c r="BU821" s="70"/>
      <c r="BV821" s="70"/>
      <c r="BW821" s="70"/>
      <c r="BX821" s="70"/>
      <c r="BY821" s="70"/>
      <c r="BZ821" s="70"/>
      <c r="CA821" s="70"/>
      <c r="CB821" s="70"/>
      <c r="CC821" s="70"/>
      <c r="CD821" s="70"/>
      <c r="CE821" s="70"/>
      <c r="CF821" s="70"/>
      <c r="CG821" s="70"/>
      <c r="CH821" s="70"/>
      <c r="CI821" s="70"/>
      <c r="CJ821" s="70"/>
      <c r="CK821" s="70"/>
      <c r="CL821" s="70"/>
      <c r="CM821" s="70"/>
      <c r="CN821" s="70"/>
      <c r="CO821" s="70"/>
      <c r="CP821" s="70"/>
      <c r="CQ821" s="70"/>
      <c r="CR821" s="70"/>
      <c r="CS821" s="70"/>
      <c r="CT821" s="70"/>
      <c r="CU821" s="70"/>
      <c r="CV821" s="70"/>
      <c r="CW821" s="70"/>
      <c r="CX821" s="70"/>
      <c r="CY821" s="70"/>
      <c r="CZ821" s="70"/>
      <c r="DA821" s="70"/>
      <c r="DB821" s="70"/>
      <c r="DC821" s="70"/>
      <c r="DD821" s="70"/>
      <c r="DE821" s="70"/>
      <c r="DF821" s="70"/>
      <c r="DG821" s="70"/>
      <c r="DH821" s="70"/>
      <c r="DI821" s="70"/>
      <c r="DJ821" s="70"/>
      <c r="DK821" s="70"/>
      <c r="DL821" s="70"/>
      <c r="DM821" s="70"/>
      <c r="DN821" s="70"/>
      <c r="DO821" s="70"/>
      <c r="DP821" s="70"/>
      <c r="DQ821" s="70"/>
      <c r="DR821" s="70"/>
      <c r="DS821" s="70"/>
      <c r="DT821" s="70"/>
      <c r="DU821" s="70"/>
      <c r="DV821" s="70"/>
      <c r="DW821" s="70"/>
      <c r="DX821" s="70"/>
      <c r="DY821" s="70"/>
      <c r="DZ821" s="70"/>
      <c r="EA821" s="70"/>
      <c r="EB821" s="70"/>
      <c r="EC821" s="70"/>
      <c r="ED821" s="70"/>
      <c r="EE821" s="95" t="s">
        <v>450</v>
      </c>
      <c r="EF821" s="95"/>
      <c r="EG821" s="95"/>
      <c r="EH821" s="70"/>
      <c r="EI821" s="216"/>
      <c r="EJ821" s="70"/>
      <c r="EK821" s="70"/>
      <c r="EL821" s="70"/>
      <c r="EM821" s="70"/>
      <c r="EN821" s="70"/>
      <c r="EO821" s="70"/>
      <c r="EP821" s="70"/>
      <c r="EQ821" s="70"/>
      <c r="ER821" s="70"/>
      <c r="ES821" s="70"/>
      <c r="ET821" s="70"/>
      <c r="EU821" s="70"/>
      <c r="EV821" s="70"/>
      <c r="EW821" s="70"/>
      <c r="EX821" s="70"/>
      <c r="EY821" s="70"/>
      <c r="EZ821" s="70"/>
      <c r="FA821" s="70"/>
      <c r="FB821" s="70"/>
      <c r="FC821" s="70"/>
      <c r="FD821" s="70"/>
      <c r="FE821" s="70"/>
      <c r="FF821" s="70"/>
      <c r="FG821" s="70"/>
      <c r="FH821" s="70"/>
      <c r="FI821" s="70"/>
      <c r="FJ821" s="70"/>
      <c r="FK821" s="70"/>
      <c r="FL821" s="70"/>
      <c r="FM821" s="70"/>
      <c r="FN821" s="70"/>
      <c r="FO821" s="70"/>
      <c r="FP821" s="70"/>
      <c r="FQ821" s="70"/>
      <c r="FR821" s="70"/>
      <c r="FS821" s="70"/>
      <c r="FT821" s="70"/>
      <c r="FU821" s="70"/>
      <c r="FV821" s="70"/>
      <c r="FW821" s="70"/>
      <c r="FX821" s="70"/>
      <c r="FY821" s="70"/>
      <c r="FZ821" s="70"/>
      <c r="GA821" s="70"/>
      <c r="GB821" s="70"/>
      <c r="GC821" s="70"/>
      <c r="GD821" s="70"/>
      <c r="GE821" s="70"/>
      <c r="GF821" s="70"/>
      <c r="GG821" s="70"/>
      <c r="GH821" s="70"/>
      <c r="GI821" s="70"/>
      <c r="GJ821" s="70"/>
      <c r="GK821" s="70"/>
      <c r="GL821" s="70"/>
      <c r="GM821" s="70"/>
      <c r="GN821" s="70"/>
      <c r="GO821" s="70"/>
      <c r="GP821" s="70"/>
      <c r="GQ821" s="70"/>
      <c r="GR821" s="70"/>
      <c r="GS821" s="70"/>
      <c r="GT821" s="70"/>
      <c r="GU821" s="70"/>
      <c r="GV821" s="70"/>
      <c r="GW821" s="70"/>
      <c r="GX821" s="70"/>
      <c r="GY821" s="70"/>
      <c r="GZ821" s="70"/>
      <c r="HA821" s="70"/>
      <c r="HB821" s="70"/>
      <c r="HC821" s="70"/>
      <c r="HD821" s="70"/>
      <c r="HE821" s="70"/>
      <c r="HF821" s="70"/>
      <c r="HG821" s="70"/>
      <c r="HH821" s="70"/>
      <c r="HI821" s="70"/>
      <c r="HJ821" s="70"/>
      <c r="HK821" s="70"/>
      <c r="HL821" s="70"/>
      <c r="HM821" s="70"/>
      <c r="HN821" s="70"/>
      <c r="HO821" s="70"/>
      <c r="HP821" s="70"/>
      <c r="HQ821" s="70"/>
      <c r="HR821" s="70"/>
      <c r="HS821" s="70"/>
      <c r="HT821" s="70"/>
      <c r="HU821" s="70"/>
      <c r="HV821" s="70"/>
      <c r="HW821" s="70"/>
      <c r="HX821" s="70"/>
      <c r="HY821" s="70"/>
      <c r="HZ821" s="70"/>
      <c r="IA821" s="70"/>
      <c r="IB821" s="70"/>
      <c r="IC821" s="70"/>
      <c r="ID821" s="70"/>
      <c r="IE821" s="70"/>
      <c r="IF821" s="70"/>
      <c r="IG821" s="70"/>
      <c r="IH821" s="70"/>
      <c r="II821" s="70"/>
      <c r="IJ821" s="70"/>
      <c r="IK821" s="70"/>
      <c r="IL821" s="70"/>
      <c r="IM821" s="70"/>
      <c r="IN821" s="70"/>
      <c r="IO821" s="70"/>
      <c r="IP821" s="70"/>
      <c r="IQ821" s="70"/>
    </row>
    <row r="822" spans="18:251" ht="16.5" hidden="1" customHeight="1">
      <c r="R822" s="95" t="s">
        <v>450</v>
      </c>
      <c r="S822" s="95"/>
      <c r="T822" s="95"/>
      <c r="U822" s="70"/>
      <c r="V822" s="214"/>
      <c r="W822" s="70"/>
      <c r="X822" s="70"/>
      <c r="Y822" s="70"/>
      <c r="Z822" s="70"/>
      <c r="AA822" s="70"/>
      <c r="AB822" s="70"/>
      <c r="AC822" s="70"/>
      <c r="AD822" s="70"/>
      <c r="AE822" s="70"/>
      <c r="AF822" s="70"/>
      <c r="AG822" s="70"/>
      <c r="AH822" s="70"/>
      <c r="AI822" s="70"/>
      <c r="AJ822" s="70"/>
      <c r="AK822" s="70"/>
      <c r="AL822" s="70"/>
      <c r="AM822" s="70"/>
      <c r="AN822" s="70"/>
      <c r="AO822" s="70"/>
      <c r="AP822" s="70"/>
      <c r="AQ822" s="70"/>
      <c r="AR822" s="70"/>
      <c r="AS822" s="70"/>
      <c r="AT822" s="70"/>
      <c r="AU822" s="70"/>
      <c r="AV822" s="70"/>
      <c r="AW822" s="70"/>
      <c r="AX822" s="70"/>
      <c r="AY822" s="70"/>
      <c r="AZ822" s="70"/>
      <c r="BA822" s="70"/>
      <c r="BB822" s="70"/>
      <c r="BC822" s="70"/>
      <c r="BD822" s="70"/>
      <c r="BE822" s="70"/>
      <c r="BF822" s="70"/>
      <c r="BG822" s="70"/>
      <c r="BH822" s="70"/>
      <c r="BI822" s="70"/>
      <c r="BJ822" s="70"/>
      <c r="BK822" s="70"/>
      <c r="BL822" s="70"/>
      <c r="BM822" s="70"/>
      <c r="BN822" s="70"/>
      <c r="BO822" s="70"/>
      <c r="BP822" s="70"/>
      <c r="BQ822" s="70"/>
      <c r="BR822" s="70"/>
      <c r="BS822" s="70"/>
      <c r="BT822" s="70"/>
      <c r="BU822" s="70"/>
      <c r="BV822" s="70"/>
      <c r="BW822" s="70"/>
      <c r="BX822" s="70"/>
      <c r="BY822" s="70"/>
      <c r="BZ822" s="70"/>
      <c r="CA822" s="70"/>
      <c r="CB822" s="70"/>
      <c r="CC822" s="70"/>
      <c r="CD822" s="70"/>
      <c r="CE822" s="70"/>
      <c r="CF822" s="70"/>
      <c r="CG822" s="70"/>
      <c r="CH822" s="70"/>
      <c r="CI822" s="70"/>
      <c r="CJ822" s="70"/>
      <c r="CK822" s="70"/>
      <c r="CL822" s="70"/>
      <c r="CM822" s="70"/>
      <c r="CN822" s="70"/>
      <c r="CO822" s="70"/>
      <c r="CP822" s="70"/>
      <c r="CQ822" s="70"/>
      <c r="CR822" s="70"/>
      <c r="CS822" s="70"/>
      <c r="CT822" s="70"/>
      <c r="CU822" s="70"/>
      <c r="CV822" s="70"/>
      <c r="CW822" s="70"/>
      <c r="CX822" s="70"/>
      <c r="CY822" s="70"/>
      <c r="CZ822" s="70"/>
      <c r="DA822" s="70"/>
      <c r="DB822" s="70"/>
      <c r="DC822" s="70"/>
      <c r="DD822" s="70"/>
      <c r="DE822" s="70"/>
      <c r="DF822" s="70"/>
      <c r="DG822" s="70"/>
      <c r="DH822" s="70"/>
      <c r="DI822" s="70"/>
      <c r="DJ822" s="70"/>
      <c r="DK822" s="70"/>
      <c r="DL822" s="70"/>
      <c r="DM822" s="70"/>
      <c r="DN822" s="70"/>
      <c r="DO822" s="70"/>
      <c r="DP822" s="70"/>
      <c r="DQ822" s="70"/>
      <c r="DR822" s="70"/>
      <c r="DS822" s="70"/>
      <c r="DT822" s="70"/>
      <c r="DU822" s="70"/>
      <c r="DV822" s="70"/>
      <c r="DW822" s="70"/>
      <c r="DX822" s="70"/>
      <c r="DY822" s="70"/>
      <c r="DZ822" s="70"/>
      <c r="EA822" s="70"/>
      <c r="EB822" s="70"/>
      <c r="EC822" s="70"/>
      <c r="ED822" s="70"/>
      <c r="EE822" s="95" t="s">
        <v>450</v>
      </c>
      <c r="EF822" s="95"/>
      <c r="EG822" s="95"/>
      <c r="EH822" s="70"/>
      <c r="EI822" s="216"/>
      <c r="EJ822" s="70"/>
      <c r="EK822" s="70"/>
      <c r="EL822" s="70"/>
      <c r="EM822" s="70"/>
      <c r="EN822" s="70"/>
      <c r="EO822" s="70"/>
      <c r="EP822" s="70"/>
      <c r="EQ822" s="70"/>
      <c r="ER822" s="70"/>
      <c r="ES822" s="70"/>
      <c r="ET822" s="70"/>
      <c r="EU822" s="70"/>
      <c r="EV822" s="70"/>
      <c r="EW822" s="70"/>
      <c r="EX822" s="70"/>
      <c r="EY822" s="70"/>
      <c r="EZ822" s="70"/>
      <c r="FA822" s="70"/>
      <c r="FB822" s="70"/>
      <c r="FC822" s="70"/>
      <c r="FD822" s="70"/>
      <c r="FE822" s="70"/>
      <c r="FF822" s="70"/>
      <c r="FG822" s="70"/>
      <c r="FH822" s="70"/>
      <c r="FI822" s="70"/>
      <c r="FJ822" s="70"/>
      <c r="FK822" s="70"/>
      <c r="FL822" s="70"/>
      <c r="FM822" s="70"/>
      <c r="FN822" s="70"/>
      <c r="FO822" s="70"/>
      <c r="FP822" s="70"/>
      <c r="FQ822" s="70"/>
      <c r="FR822" s="70"/>
      <c r="FS822" s="70"/>
      <c r="FT822" s="70"/>
      <c r="FU822" s="70"/>
      <c r="FV822" s="70"/>
      <c r="FW822" s="70"/>
      <c r="FX822" s="70"/>
      <c r="FY822" s="70"/>
      <c r="FZ822" s="70"/>
      <c r="GA822" s="70"/>
      <c r="GB822" s="70"/>
      <c r="GC822" s="70"/>
      <c r="GD822" s="70"/>
      <c r="GE822" s="70"/>
      <c r="GF822" s="70"/>
      <c r="GG822" s="70"/>
      <c r="GH822" s="70"/>
      <c r="GI822" s="70"/>
      <c r="GJ822" s="70"/>
      <c r="GK822" s="70"/>
      <c r="GL822" s="70"/>
      <c r="GM822" s="70"/>
      <c r="GN822" s="70"/>
      <c r="GO822" s="70"/>
      <c r="GP822" s="70"/>
      <c r="GQ822" s="70"/>
      <c r="GR822" s="70"/>
      <c r="GS822" s="70"/>
      <c r="GT822" s="70"/>
      <c r="GU822" s="70"/>
      <c r="GV822" s="70"/>
      <c r="GW822" s="70"/>
      <c r="GX822" s="70"/>
      <c r="GY822" s="70"/>
      <c r="GZ822" s="70"/>
      <c r="HA822" s="70"/>
      <c r="HB822" s="70"/>
      <c r="HC822" s="70"/>
      <c r="HD822" s="70"/>
      <c r="HE822" s="70"/>
      <c r="HF822" s="70"/>
      <c r="HG822" s="70"/>
      <c r="HH822" s="70"/>
      <c r="HI822" s="70"/>
      <c r="HJ822" s="70"/>
      <c r="HK822" s="70"/>
      <c r="HL822" s="70"/>
      <c r="HM822" s="70"/>
      <c r="HN822" s="70"/>
      <c r="HO822" s="70"/>
      <c r="HP822" s="70"/>
      <c r="HQ822" s="70"/>
      <c r="HR822" s="70"/>
      <c r="HS822" s="70"/>
      <c r="HT822" s="70"/>
      <c r="HU822" s="70"/>
      <c r="HV822" s="70"/>
      <c r="HW822" s="70"/>
      <c r="HX822" s="70"/>
      <c r="HY822" s="70"/>
      <c r="HZ822" s="70"/>
      <c r="IA822" s="70"/>
      <c r="IB822" s="70"/>
      <c r="IC822" s="70"/>
      <c r="ID822" s="70"/>
      <c r="IE822" s="70"/>
      <c r="IF822" s="70"/>
      <c r="IG822" s="70"/>
      <c r="IH822" s="70"/>
      <c r="II822" s="70"/>
      <c r="IJ822" s="70"/>
      <c r="IK822" s="70"/>
      <c r="IL822" s="70"/>
      <c r="IM822" s="70"/>
      <c r="IN822" s="70"/>
      <c r="IO822" s="70"/>
      <c r="IP822" s="70"/>
      <c r="IQ822" s="70"/>
    </row>
    <row r="823" spans="18:251" ht="16.5" hidden="1" customHeight="1">
      <c r="R823" s="95" t="s">
        <v>450</v>
      </c>
      <c r="S823" s="95"/>
      <c r="T823" s="95"/>
      <c r="U823" s="70"/>
      <c r="V823" s="214"/>
      <c r="W823" s="70"/>
      <c r="X823" s="70"/>
      <c r="Y823" s="70"/>
      <c r="Z823" s="70"/>
      <c r="AA823" s="70"/>
      <c r="AB823" s="70"/>
      <c r="AC823" s="70"/>
      <c r="AD823" s="70"/>
      <c r="AE823" s="70"/>
      <c r="AF823" s="70"/>
      <c r="AG823" s="70"/>
      <c r="AH823" s="70"/>
      <c r="AI823" s="70"/>
      <c r="AJ823" s="70"/>
      <c r="AK823" s="70"/>
      <c r="AL823" s="70"/>
      <c r="AM823" s="70"/>
      <c r="AN823" s="70"/>
      <c r="AO823" s="70"/>
      <c r="AP823" s="70"/>
      <c r="AQ823" s="70"/>
      <c r="AR823" s="70"/>
      <c r="AS823" s="70"/>
      <c r="AT823" s="70"/>
      <c r="AU823" s="70"/>
      <c r="AV823" s="70"/>
      <c r="AW823" s="70"/>
      <c r="AX823" s="70"/>
      <c r="AY823" s="70"/>
      <c r="AZ823" s="70"/>
      <c r="BA823" s="70"/>
      <c r="BB823" s="70"/>
      <c r="BC823" s="70"/>
      <c r="BD823" s="70"/>
      <c r="BE823" s="70"/>
      <c r="BF823" s="70"/>
      <c r="BG823" s="70"/>
      <c r="BH823" s="70"/>
      <c r="BI823" s="70"/>
      <c r="BJ823" s="70"/>
      <c r="BK823" s="70"/>
      <c r="BL823" s="70"/>
      <c r="BM823" s="70"/>
      <c r="BN823" s="70"/>
      <c r="BO823" s="70"/>
      <c r="BP823" s="70"/>
      <c r="BQ823" s="70"/>
      <c r="BR823" s="70"/>
      <c r="BS823" s="70"/>
      <c r="BT823" s="70"/>
      <c r="BU823" s="70"/>
      <c r="BV823" s="70"/>
      <c r="BW823" s="70"/>
      <c r="BX823" s="70"/>
      <c r="BY823" s="70"/>
      <c r="BZ823" s="70"/>
      <c r="CA823" s="70"/>
      <c r="CB823" s="70"/>
      <c r="CC823" s="70"/>
      <c r="CD823" s="70"/>
      <c r="CE823" s="70"/>
      <c r="CF823" s="70"/>
      <c r="CG823" s="70"/>
      <c r="CH823" s="70"/>
      <c r="CI823" s="70"/>
      <c r="CJ823" s="70"/>
      <c r="CK823" s="70"/>
      <c r="CL823" s="70"/>
      <c r="CM823" s="70"/>
      <c r="CN823" s="70"/>
      <c r="CO823" s="70"/>
      <c r="CP823" s="70"/>
      <c r="CQ823" s="70"/>
      <c r="CR823" s="70"/>
      <c r="CS823" s="70"/>
      <c r="CT823" s="70"/>
      <c r="CU823" s="70"/>
      <c r="CV823" s="70"/>
      <c r="CW823" s="70"/>
      <c r="CX823" s="70"/>
      <c r="CY823" s="70"/>
      <c r="CZ823" s="70"/>
      <c r="DA823" s="70"/>
      <c r="DB823" s="70"/>
      <c r="DC823" s="70"/>
      <c r="DD823" s="70"/>
      <c r="DE823" s="70"/>
      <c r="DF823" s="70"/>
      <c r="DG823" s="70"/>
      <c r="DH823" s="70"/>
      <c r="DI823" s="70"/>
      <c r="DJ823" s="70"/>
      <c r="DK823" s="70"/>
      <c r="DL823" s="70"/>
      <c r="DM823" s="70"/>
      <c r="DN823" s="70"/>
      <c r="DO823" s="70"/>
      <c r="DP823" s="70"/>
      <c r="DQ823" s="70"/>
      <c r="DR823" s="70"/>
      <c r="DS823" s="70"/>
      <c r="DT823" s="70"/>
      <c r="DU823" s="70"/>
      <c r="DV823" s="70"/>
      <c r="DW823" s="70"/>
      <c r="DX823" s="70"/>
      <c r="DY823" s="70"/>
      <c r="DZ823" s="70"/>
      <c r="EA823" s="70"/>
      <c r="EB823" s="70"/>
      <c r="EC823" s="70"/>
      <c r="ED823" s="70"/>
      <c r="EE823" s="95" t="s">
        <v>450</v>
      </c>
      <c r="EF823" s="95"/>
      <c r="EG823" s="95"/>
      <c r="EH823" s="70"/>
      <c r="EI823" s="216"/>
      <c r="EJ823" s="70"/>
      <c r="EK823" s="70"/>
      <c r="EL823" s="70"/>
      <c r="EM823" s="70"/>
      <c r="EN823" s="70"/>
      <c r="EO823" s="70"/>
      <c r="EP823" s="70"/>
      <c r="EQ823" s="70"/>
      <c r="ER823" s="70"/>
      <c r="ES823" s="70"/>
      <c r="ET823" s="70"/>
      <c r="EU823" s="70"/>
      <c r="EV823" s="70"/>
      <c r="EW823" s="70"/>
      <c r="EX823" s="70"/>
      <c r="EY823" s="70"/>
      <c r="EZ823" s="70"/>
      <c r="FA823" s="70"/>
      <c r="FB823" s="70"/>
      <c r="FC823" s="70"/>
      <c r="FD823" s="70"/>
      <c r="FE823" s="70"/>
      <c r="FF823" s="70"/>
      <c r="FG823" s="70"/>
      <c r="FH823" s="70"/>
      <c r="FI823" s="70"/>
      <c r="FJ823" s="70"/>
      <c r="FK823" s="70"/>
      <c r="FL823" s="70"/>
      <c r="FM823" s="70"/>
      <c r="FN823" s="70"/>
      <c r="FO823" s="70"/>
      <c r="FP823" s="70"/>
      <c r="FQ823" s="70"/>
      <c r="FR823" s="70"/>
      <c r="FS823" s="70"/>
      <c r="FT823" s="70"/>
      <c r="FU823" s="70"/>
      <c r="FV823" s="70"/>
      <c r="FW823" s="70"/>
      <c r="FX823" s="70"/>
      <c r="FY823" s="70"/>
      <c r="FZ823" s="70"/>
      <c r="GA823" s="70"/>
      <c r="GB823" s="70"/>
      <c r="GC823" s="70"/>
      <c r="GD823" s="70"/>
      <c r="GE823" s="70"/>
      <c r="GF823" s="70"/>
      <c r="GG823" s="70"/>
      <c r="GH823" s="70"/>
      <c r="GI823" s="70"/>
      <c r="GJ823" s="70"/>
      <c r="GK823" s="70"/>
      <c r="GL823" s="70"/>
      <c r="GM823" s="70"/>
      <c r="GN823" s="70"/>
      <c r="GO823" s="70"/>
      <c r="GP823" s="70"/>
      <c r="GQ823" s="70"/>
      <c r="GR823" s="70"/>
      <c r="GS823" s="70"/>
      <c r="GT823" s="70"/>
      <c r="GU823" s="70"/>
      <c r="GV823" s="70"/>
      <c r="GW823" s="70"/>
      <c r="GX823" s="70"/>
      <c r="GY823" s="70"/>
      <c r="GZ823" s="70"/>
      <c r="HA823" s="70"/>
      <c r="HB823" s="70"/>
      <c r="HC823" s="70"/>
      <c r="HD823" s="70"/>
      <c r="HE823" s="70"/>
      <c r="HF823" s="70"/>
      <c r="HG823" s="70"/>
      <c r="HH823" s="70"/>
      <c r="HI823" s="70"/>
      <c r="HJ823" s="70"/>
      <c r="HK823" s="70"/>
      <c r="HL823" s="70"/>
      <c r="HM823" s="70"/>
      <c r="HN823" s="70"/>
      <c r="HO823" s="70"/>
      <c r="HP823" s="70"/>
      <c r="HQ823" s="70"/>
      <c r="HR823" s="70"/>
      <c r="HS823" s="70"/>
      <c r="HT823" s="70"/>
      <c r="HU823" s="70"/>
      <c r="HV823" s="70"/>
      <c r="HW823" s="70"/>
      <c r="HX823" s="70"/>
      <c r="HY823" s="70"/>
      <c r="HZ823" s="70"/>
      <c r="IA823" s="70"/>
      <c r="IB823" s="70"/>
      <c r="IC823" s="70"/>
      <c r="ID823" s="70"/>
      <c r="IE823" s="70"/>
      <c r="IF823" s="70"/>
      <c r="IG823" s="70"/>
      <c r="IH823" s="70"/>
      <c r="II823" s="70"/>
      <c r="IJ823" s="70"/>
      <c r="IK823" s="70"/>
      <c r="IL823" s="70"/>
      <c r="IM823" s="70"/>
      <c r="IN823" s="70"/>
      <c r="IO823" s="70"/>
      <c r="IP823" s="70"/>
      <c r="IQ823" s="70"/>
    </row>
    <row r="824" spans="18:251" ht="16.5" hidden="1" customHeight="1">
      <c r="R824" s="95" t="s">
        <v>450</v>
      </c>
      <c r="S824" s="95"/>
      <c r="T824" s="95"/>
      <c r="U824" s="70"/>
      <c r="V824" s="214"/>
      <c r="W824" s="70"/>
      <c r="X824" s="70"/>
      <c r="Y824" s="70"/>
      <c r="Z824" s="70"/>
      <c r="AA824" s="70"/>
      <c r="AB824" s="70"/>
      <c r="AC824" s="70"/>
      <c r="AD824" s="70"/>
      <c r="AE824" s="70"/>
      <c r="AF824" s="70"/>
      <c r="AG824" s="70"/>
      <c r="AH824" s="70"/>
      <c r="AI824" s="70"/>
      <c r="AJ824" s="70"/>
      <c r="AK824" s="70"/>
      <c r="AL824" s="70"/>
      <c r="AM824" s="70"/>
      <c r="AN824" s="70"/>
      <c r="AO824" s="70"/>
      <c r="AP824" s="70"/>
      <c r="AQ824" s="70"/>
      <c r="AR824" s="70"/>
      <c r="AS824" s="70"/>
      <c r="AT824" s="70"/>
      <c r="AU824" s="70"/>
      <c r="AV824" s="70"/>
      <c r="AW824" s="70"/>
      <c r="AX824" s="70"/>
      <c r="AY824" s="70"/>
      <c r="AZ824" s="70"/>
      <c r="BA824" s="70"/>
      <c r="BB824" s="70"/>
      <c r="BC824" s="70"/>
      <c r="BD824" s="70"/>
      <c r="BE824" s="70"/>
      <c r="BF824" s="70"/>
      <c r="BG824" s="70"/>
      <c r="BH824" s="70"/>
      <c r="BI824" s="70"/>
      <c r="BJ824" s="70"/>
      <c r="BK824" s="70"/>
      <c r="BL824" s="70"/>
      <c r="BM824" s="70"/>
      <c r="BN824" s="70"/>
      <c r="BO824" s="70"/>
      <c r="BP824" s="70"/>
      <c r="BQ824" s="70"/>
      <c r="BR824" s="70"/>
      <c r="BS824" s="70"/>
      <c r="BT824" s="70"/>
      <c r="BU824" s="70"/>
      <c r="BV824" s="70"/>
      <c r="BW824" s="70"/>
      <c r="BX824" s="70"/>
      <c r="BY824" s="70"/>
      <c r="BZ824" s="70"/>
      <c r="CA824" s="70"/>
      <c r="CB824" s="70"/>
      <c r="CC824" s="70"/>
      <c r="CD824" s="70"/>
      <c r="CE824" s="70"/>
      <c r="CF824" s="70"/>
      <c r="CG824" s="70"/>
      <c r="CH824" s="70"/>
      <c r="CI824" s="70"/>
      <c r="CJ824" s="70"/>
      <c r="CK824" s="70"/>
      <c r="CL824" s="70"/>
      <c r="CM824" s="70"/>
      <c r="CN824" s="70"/>
      <c r="CO824" s="70"/>
      <c r="CP824" s="70"/>
      <c r="CQ824" s="70"/>
      <c r="CR824" s="70"/>
      <c r="CS824" s="70"/>
      <c r="CT824" s="70"/>
      <c r="CU824" s="70"/>
      <c r="CV824" s="70"/>
      <c r="CW824" s="70"/>
      <c r="CX824" s="70"/>
      <c r="CY824" s="70"/>
      <c r="CZ824" s="70"/>
      <c r="DA824" s="70"/>
      <c r="DB824" s="70"/>
      <c r="DC824" s="70"/>
      <c r="DD824" s="70"/>
      <c r="DE824" s="70"/>
      <c r="DF824" s="70"/>
      <c r="DG824" s="70"/>
      <c r="DH824" s="70"/>
      <c r="DI824" s="70"/>
      <c r="DJ824" s="70"/>
      <c r="DK824" s="70"/>
      <c r="DL824" s="70"/>
      <c r="DM824" s="70"/>
      <c r="DN824" s="70"/>
      <c r="DO824" s="70"/>
      <c r="DP824" s="70"/>
      <c r="DQ824" s="70"/>
      <c r="DR824" s="70"/>
      <c r="DS824" s="70"/>
      <c r="DT824" s="70"/>
      <c r="DU824" s="70"/>
      <c r="DV824" s="70"/>
      <c r="DW824" s="70"/>
      <c r="DX824" s="70"/>
      <c r="DY824" s="70"/>
      <c r="DZ824" s="70"/>
      <c r="EA824" s="70"/>
      <c r="EB824" s="70"/>
      <c r="EC824" s="70"/>
      <c r="ED824" s="70"/>
      <c r="EE824" s="95" t="s">
        <v>450</v>
      </c>
      <c r="EF824" s="95"/>
      <c r="EG824" s="95"/>
      <c r="EH824" s="70"/>
      <c r="EI824" s="216"/>
      <c r="EJ824" s="70"/>
      <c r="EK824" s="70"/>
      <c r="EL824" s="70"/>
      <c r="EM824" s="70"/>
      <c r="EN824" s="70"/>
      <c r="EO824" s="70"/>
      <c r="EP824" s="70"/>
      <c r="EQ824" s="70"/>
      <c r="ER824" s="70"/>
      <c r="ES824" s="70"/>
      <c r="ET824" s="70"/>
      <c r="EU824" s="70"/>
      <c r="EV824" s="70"/>
      <c r="EW824" s="70"/>
      <c r="EX824" s="70"/>
      <c r="EY824" s="70"/>
      <c r="EZ824" s="70"/>
      <c r="FA824" s="70"/>
      <c r="FB824" s="70"/>
      <c r="FC824" s="70"/>
      <c r="FD824" s="70"/>
      <c r="FE824" s="70"/>
      <c r="FF824" s="70"/>
      <c r="FG824" s="70"/>
      <c r="FH824" s="70"/>
      <c r="FI824" s="70"/>
      <c r="FJ824" s="70"/>
      <c r="FK824" s="70"/>
      <c r="FL824" s="70"/>
      <c r="FM824" s="70"/>
      <c r="FN824" s="70"/>
      <c r="FO824" s="70"/>
      <c r="FP824" s="70"/>
      <c r="FQ824" s="70"/>
      <c r="FR824" s="70"/>
      <c r="FS824" s="70"/>
      <c r="FT824" s="70"/>
      <c r="FU824" s="70"/>
      <c r="FV824" s="70"/>
      <c r="FW824" s="70"/>
      <c r="FX824" s="70"/>
      <c r="FY824" s="70"/>
      <c r="FZ824" s="70"/>
      <c r="GA824" s="70"/>
      <c r="GB824" s="70"/>
      <c r="GC824" s="70"/>
      <c r="GD824" s="70"/>
      <c r="GE824" s="70"/>
      <c r="GF824" s="70"/>
      <c r="GG824" s="70"/>
      <c r="GH824" s="70"/>
      <c r="GI824" s="70"/>
      <c r="GJ824" s="70"/>
      <c r="GK824" s="70"/>
      <c r="GL824" s="70"/>
      <c r="GM824" s="70"/>
      <c r="GN824" s="70"/>
      <c r="GO824" s="70"/>
      <c r="GP824" s="70"/>
      <c r="GQ824" s="70"/>
      <c r="GR824" s="70"/>
      <c r="GS824" s="70"/>
      <c r="GT824" s="70"/>
      <c r="GU824" s="70"/>
      <c r="GV824" s="70"/>
      <c r="GW824" s="70"/>
      <c r="GX824" s="70"/>
      <c r="GY824" s="70"/>
      <c r="GZ824" s="70"/>
      <c r="HA824" s="70"/>
      <c r="HB824" s="70"/>
      <c r="HC824" s="70"/>
      <c r="HD824" s="70"/>
      <c r="HE824" s="70"/>
      <c r="HF824" s="70"/>
      <c r="HG824" s="70"/>
      <c r="HH824" s="70"/>
      <c r="HI824" s="70"/>
      <c r="HJ824" s="70"/>
      <c r="HK824" s="70"/>
      <c r="HL824" s="70"/>
      <c r="HM824" s="70"/>
      <c r="HN824" s="70"/>
      <c r="HO824" s="70"/>
      <c r="HP824" s="70"/>
      <c r="HQ824" s="70"/>
      <c r="HR824" s="70"/>
      <c r="HS824" s="70"/>
      <c r="HT824" s="70"/>
      <c r="HU824" s="70"/>
      <c r="HV824" s="70"/>
      <c r="HW824" s="70"/>
      <c r="HX824" s="70"/>
      <c r="HY824" s="70"/>
      <c r="HZ824" s="70"/>
      <c r="IA824" s="70"/>
      <c r="IB824" s="70"/>
      <c r="IC824" s="70"/>
      <c r="ID824" s="70"/>
      <c r="IE824" s="70"/>
      <c r="IF824" s="70"/>
      <c r="IG824" s="70"/>
      <c r="IH824" s="70"/>
      <c r="II824" s="70"/>
      <c r="IJ824" s="70"/>
      <c r="IK824" s="70"/>
      <c r="IL824" s="70"/>
      <c r="IM824" s="70"/>
      <c r="IN824" s="70"/>
      <c r="IO824" s="70"/>
      <c r="IP824" s="70"/>
      <c r="IQ824" s="70"/>
    </row>
    <row r="825" spans="18:251" ht="16.5" hidden="1" customHeight="1">
      <c r="R825" s="95" t="s">
        <v>450</v>
      </c>
      <c r="S825" s="95"/>
      <c r="T825" s="95"/>
      <c r="U825" s="70"/>
      <c r="V825" s="214"/>
      <c r="W825" s="70"/>
      <c r="X825" s="70"/>
      <c r="Y825" s="70"/>
      <c r="Z825" s="70"/>
      <c r="AA825" s="70"/>
      <c r="AB825" s="70"/>
      <c r="AC825" s="70"/>
      <c r="AD825" s="70"/>
      <c r="AE825" s="70"/>
      <c r="AF825" s="70"/>
      <c r="AG825" s="70"/>
      <c r="AH825" s="70"/>
      <c r="AI825" s="70"/>
      <c r="AJ825" s="70"/>
      <c r="AK825" s="70"/>
      <c r="AL825" s="70"/>
      <c r="AM825" s="70"/>
      <c r="AN825" s="70"/>
      <c r="AO825" s="70"/>
      <c r="AP825" s="70"/>
      <c r="AQ825" s="70"/>
      <c r="AR825" s="70"/>
      <c r="AS825" s="70"/>
      <c r="AT825" s="70"/>
      <c r="AU825" s="70"/>
      <c r="AV825" s="70"/>
      <c r="AW825" s="70"/>
      <c r="AX825" s="70"/>
      <c r="AY825" s="70"/>
      <c r="AZ825" s="70"/>
      <c r="BA825" s="70"/>
      <c r="BB825" s="70"/>
      <c r="BC825" s="70"/>
      <c r="BD825" s="70"/>
      <c r="BE825" s="70"/>
      <c r="BF825" s="70"/>
      <c r="BG825" s="70"/>
      <c r="BH825" s="70"/>
      <c r="BI825" s="70"/>
      <c r="BJ825" s="70"/>
      <c r="BK825" s="70"/>
      <c r="BL825" s="70"/>
      <c r="BM825" s="70"/>
      <c r="BN825" s="70"/>
      <c r="BO825" s="70"/>
      <c r="BP825" s="70"/>
      <c r="BQ825" s="70"/>
      <c r="BR825" s="70"/>
      <c r="BS825" s="70"/>
      <c r="BT825" s="70"/>
      <c r="BU825" s="70"/>
      <c r="BV825" s="70"/>
      <c r="BW825" s="70"/>
      <c r="BX825" s="70"/>
      <c r="BY825" s="70"/>
      <c r="BZ825" s="70"/>
      <c r="CA825" s="70"/>
      <c r="CB825" s="70"/>
      <c r="CC825" s="70"/>
      <c r="CD825" s="70"/>
      <c r="CE825" s="70"/>
      <c r="CF825" s="70"/>
      <c r="CG825" s="70"/>
      <c r="CH825" s="70"/>
      <c r="CI825" s="70"/>
      <c r="CJ825" s="70"/>
      <c r="CK825" s="70"/>
      <c r="CL825" s="70"/>
      <c r="CM825" s="70"/>
      <c r="CN825" s="70"/>
      <c r="CO825" s="70"/>
      <c r="CP825" s="70"/>
      <c r="CQ825" s="70"/>
      <c r="CR825" s="70"/>
      <c r="CS825" s="70"/>
      <c r="CT825" s="70"/>
      <c r="CU825" s="70"/>
      <c r="CV825" s="70"/>
      <c r="CW825" s="70"/>
      <c r="CX825" s="70"/>
      <c r="CY825" s="70"/>
      <c r="CZ825" s="70"/>
      <c r="DA825" s="70"/>
      <c r="DB825" s="70"/>
      <c r="DC825" s="70"/>
      <c r="DD825" s="70"/>
      <c r="DE825" s="70"/>
      <c r="DF825" s="70"/>
      <c r="DG825" s="70"/>
      <c r="DH825" s="70"/>
      <c r="DI825" s="70"/>
      <c r="DJ825" s="70"/>
      <c r="DK825" s="70"/>
      <c r="DL825" s="70"/>
      <c r="DM825" s="70"/>
      <c r="DN825" s="70"/>
      <c r="DO825" s="70"/>
      <c r="DP825" s="70"/>
      <c r="DQ825" s="70"/>
      <c r="DR825" s="70"/>
      <c r="DS825" s="70"/>
      <c r="DT825" s="70"/>
      <c r="DU825" s="70"/>
      <c r="DV825" s="70"/>
      <c r="DW825" s="70"/>
      <c r="DX825" s="70"/>
      <c r="DY825" s="70"/>
      <c r="DZ825" s="70"/>
      <c r="EA825" s="70"/>
      <c r="EB825" s="70"/>
      <c r="EC825" s="70"/>
      <c r="ED825" s="70"/>
      <c r="EE825" s="95" t="s">
        <v>450</v>
      </c>
      <c r="EF825" s="95"/>
      <c r="EG825" s="95"/>
      <c r="EH825" s="70"/>
      <c r="EI825" s="216"/>
      <c r="EJ825" s="70"/>
      <c r="EK825" s="70"/>
      <c r="EL825" s="70"/>
      <c r="EM825" s="70"/>
      <c r="EN825" s="70"/>
      <c r="EO825" s="70"/>
      <c r="EP825" s="70"/>
      <c r="EQ825" s="70"/>
      <c r="ER825" s="70"/>
      <c r="ES825" s="70"/>
      <c r="ET825" s="70"/>
      <c r="EU825" s="70"/>
      <c r="EV825" s="70"/>
      <c r="EW825" s="70"/>
      <c r="EX825" s="70"/>
      <c r="EY825" s="70"/>
      <c r="EZ825" s="70"/>
      <c r="FA825" s="70"/>
      <c r="FB825" s="70"/>
      <c r="FC825" s="70"/>
      <c r="FD825" s="70"/>
      <c r="FE825" s="70"/>
      <c r="FF825" s="70"/>
      <c r="FG825" s="70"/>
      <c r="FH825" s="70"/>
      <c r="FI825" s="70"/>
      <c r="FJ825" s="70"/>
      <c r="FK825" s="70"/>
      <c r="FL825" s="70"/>
      <c r="FM825" s="70"/>
      <c r="FN825" s="70"/>
      <c r="FO825" s="70"/>
      <c r="FP825" s="70"/>
      <c r="FQ825" s="70"/>
      <c r="FR825" s="70"/>
      <c r="FS825" s="70"/>
      <c r="FT825" s="70"/>
      <c r="FU825" s="70"/>
      <c r="FV825" s="70"/>
      <c r="FW825" s="70"/>
      <c r="FX825" s="70"/>
      <c r="FY825" s="70"/>
      <c r="FZ825" s="70"/>
      <c r="GA825" s="70"/>
      <c r="GB825" s="70"/>
      <c r="GC825" s="70"/>
      <c r="GD825" s="70"/>
      <c r="GE825" s="70"/>
      <c r="GF825" s="70"/>
      <c r="GG825" s="70"/>
      <c r="GH825" s="70"/>
      <c r="GI825" s="70"/>
      <c r="GJ825" s="70"/>
      <c r="GK825" s="70"/>
      <c r="GL825" s="70"/>
      <c r="GM825" s="70"/>
      <c r="GN825" s="70"/>
      <c r="GO825" s="70"/>
      <c r="GP825" s="70"/>
      <c r="GQ825" s="70"/>
      <c r="GR825" s="70"/>
      <c r="GS825" s="70"/>
      <c r="GT825" s="70"/>
      <c r="GU825" s="70"/>
      <c r="GV825" s="70"/>
      <c r="GW825" s="70"/>
      <c r="GX825" s="70"/>
      <c r="GY825" s="70"/>
      <c r="GZ825" s="70"/>
      <c r="HA825" s="70"/>
      <c r="HB825" s="70"/>
      <c r="HC825" s="70"/>
      <c r="HD825" s="70"/>
      <c r="HE825" s="70"/>
      <c r="HF825" s="70"/>
      <c r="HG825" s="70"/>
      <c r="HH825" s="70"/>
      <c r="HI825" s="70"/>
      <c r="HJ825" s="70"/>
      <c r="HK825" s="70"/>
      <c r="HL825" s="70"/>
      <c r="HM825" s="70"/>
      <c r="HN825" s="70"/>
      <c r="HO825" s="70"/>
      <c r="HP825" s="70"/>
      <c r="HQ825" s="70"/>
      <c r="HR825" s="70"/>
      <c r="HS825" s="70"/>
      <c r="HT825" s="70"/>
      <c r="HU825" s="70"/>
      <c r="HV825" s="70"/>
      <c r="HW825" s="70"/>
      <c r="HX825" s="70"/>
      <c r="HY825" s="70"/>
      <c r="HZ825" s="70"/>
      <c r="IA825" s="70"/>
      <c r="IB825" s="70"/>
      <c r="IC825" s="70"/>
      <c r="ID825" s="70"/>
      <c r="IE825" s="70"/>
      <c r="IF825" s="70"/>
      <c r="IG825" s="70"/>
      <c r="IH825" s="70"/>
      <c r="II825" s="70"/>
      <c r="IJ825" s="70"/>
      <c r="IK825" s="70"/>
      <c r="IL825" s="70"/>
      <c r="IM825" s="70"/>
      <c r="IN825" s="70"/>
      <c r="IO825" s="70"/>
      <c r="IP825" s="70"/>
      <c r="IQ825" s="70"/>
    </row>
    <row r="826" spans="18:251" ht="16.5" hidden="1" customHeight="1">
      <c r="R826" s="95" t="s">
        <v>450</v>
      </c>
      <c r="S826" s="95"/>
      <c r="T826" s="95"/>
      <c r="U826" s="70"/>
      <c r="V826" s="214"/>
      <c r="W826" s="70"/>
      <c r="X826" s="70"/>
      <c r="Y826" s="70"/>
      <c r="Z826" s="70"/>
      <c r="AA826" s="70"/>
      <c r="AB826" s="70"/>
      <c r="AC826" s="70"/>
      <c r="AD826" s="70"/>
      <c r="AE826" s="70"/>
      <c r="AF826" s="70"/>
      <c r="AG826" s="70"/>
      <c r="AH826" s="70"/>
      <c r="AI826" s="70"/>
      <c r="AJ826" s="70"/>
      <c r="AK826" s="70"/>
      <c r="AL826" s="70"/>
      <c r="AM826" s="70"/>
      <c r="AN826" s="70"/>
      <c r="AO826" s="70"/>
      <c r="AP826" s="70"/>
      <c r="AQ826" s="70"/>
      <c r="AR826" s="70"/>
      <c r="AS826" s="70"/>
      <c r="AT826" s="70"/>
      <c r="AU826" s="70"/>
      <c r="AV826" s="70"/>
      <c r="AW826" s="70"/>
      <c r="AX826" s="70"/>
      <c r="AY826" s="70"/>
      <c r="AZ826" s="70"/>
      <c r="BA826" s="70"/>
      <c r="BB826" s="70"/>
      <c r="BC826" s="70"/>
      <c r="BD826" s="70"/>
      <c r="BE826" s="70"/>
      <c r="BF826" s="70"/>
      <c r="BG826" s="70"/>
      <c r="BH826" s="70"/>
      <c r="BI826" s="70"/>
      <c r="BJ826" s="70"/>
      <c r="BK826" s="70"/>
      <c r="BL826" s="70"/>
      <c r="BM826" s="70"/>
      <c r="BN826" s="70"/>
      <c r="BO826" s="70"/>
      <c r="BP826" s="70"/>
      <c r="BQ826" s="70"/>
      <c r="BR826" s="70"/>
      <c r="BS826" s="70"/>
      <c r="BT826" s="70"/>
      <c r="BU826" s="70"/>
      <c r="BV826" s="70"/>
      <c r="BW826" s="70"/>
      <c r="BX826" s="70"/>
      <c r="BY826" s="70"/>
      <c r="BZ826" s="70"/>
      <c r="CA826" s="70"/>
      <c r="CB826" s="70"/>
      <c r="CC826" s="70"/>
      <c r="CD826" s="70"/>
      <c r="CE826" s="70"/>
      <c r="CF826" s="70"/>
      <c r="CG826" s="70"/>
      <c r="CH826" s="70"/>
      <c r="CI826" s="70"/>
      <c r="CJ826" s="70"/>
      <c r="CK826" s="70"/>
      <c r="CL826" s="70"/>
      <c r="CM826" s="70"/>
      <c r="CN826" s="70"/>
      <c r="CO826" s="70"/>
      <c r="CP826" s="70"/>
      <c r="CQ826" s="70"/>
      <c r="CR826" s="70"/>
      <c r="CS826" s="70"/>
      <c r="CT826" s="70"/>
      <c r="CU826" s="70"/>
      <c r="CV826" s="70"/>
      <c r="CW826" s="70"/>
      <c r="CX826" s="70"/>
      <c r="CY826" s="70"/>
      <c r="CZ826" s="70"/>
      <c r="DA826" s="70"/>
      <c r="DB826" s="70"/>
      <c r="DC826" s="70"/>
      <c r="DD826" s="70"/>
      <c r="DE826" s="70"/>
      <c r="DF826" s="70"/>
      <c r="DG826" s="70"/>
      <c r="DH826" s="70"/>
      <c r="DI826" s="70"/>
      <c r="DJ826" s="70"/>
      <c r="DK826" s="70"/>
      <c r="DL826" s="70"/>
      <c r="DM826" s="70"/>
      <c r="DN826" s="70"/>
      <c r="DO826" s="70"/>
      <c r="DP826" s="70"/>
      <c r="DQ826" s="70"/>
      <c r="DR826" s="70"/>
      <c r="DS826" s="70"/>
      <c r="DT826" s="70"/>
      <c r="DU826" s="70"/>
      <c r="DV826" s="70"/>
      <c r="DW826" s="70"/>
      <c r="DX826" s="70"/>
      <c r="DY826" s="70"/>
      <c r="DZ826" s="70"/>
      <c r="EA826" s="70"/>
      <c r="EB826" s="70"/>
      <c r="EC826" s="70"/>
      <c r="ED826" s="70"/>
      <c r="EE826" s="95" t="s">
        <v>450</v>
      </c>
      <c r="EF826" s="95"/>
      <c r="EG826" s="95"/>
      <c r="EH826" s="70"/>
      <c r="EI826" s="216"/>
      <c r="EJ826" s="70"/>
      <c r="EK826" s="70"/>
      <c r="EL826" s="70"/>
      <c r="EM826" s="70"/>
      <c r="EN826" s="70"/>
      <c r="EO826" s="70"/>
      <c r="EP826" s="70"/>
      <c r="EQ826" s="70"/>
      <c r="ER826" s="70"/>
      <c r="ES826" s="70"/>
      <c r="ET826" s="70"/>
      <c r="EU826" s="70"/>
      <c r="EV826" s="70"/>
      <c r="EW826" s="70"/>
      <c r="EX826" s="70"/>
      <c r="EY826" s="70"/>
      <c r="EZ826" s="70"/>
      <c r="FA826" s="70"/>
      <c r="FB826" s="70"/>
      <c r="FC826" s="70"/>
      <c r="FD826" s="70"/>
      <c r="FE826" s="70"/>
      <c r="FF826" s="70"/>
      <c r="FG826" s="70"/>
      <c r="FH826" s="70"/>
      <c r="FI826" s="70"/>
      <c r="FJ826" s="70"/>
      <c r="FK826" s="70"/>
      <c r="FL826" s="70"/>
      <c r="FM826" s="70"/>
      <c r="FN826" s="70"/>
      <c r="FO826" s="70"/>
      <c r="FP826" s="70"/>
      <c r="FQ826" s="70"/>
      <c r="FR826" s="70"/>
      <c r="FS826" s="70"/>
      <c r="FT826" s="70"/>
      <c r="FU826" s="70"/>
      <c r="FV826" s="70"/>
      <c r="FW826" s="70"/>
      <c r="FX826" s="70"/>
      <c r="FY826" s="70"/>
      <c r="FZ826" s="70"/>
      <c r="GA826" s="70"/>
      <c r="GB826" s="70"/>
      <c r="GC826" s="70"/>
      <c r="GD826" s="70"/>
      <c r="GE826" s="70"/>
      <c r="GF826" s="70"/>
      <c r="GG826" s="70"/>
      <c r="GH826" s="70"/>
      <c r="GI826" s="70"/>
      <c r="GJ826" s="70"/>
      <c r="GK826" s="70"/>
      <c r="GL826" s="70"/>
      <c r="GM826" s="70"/>
      <c r="GN826" s="70"/>
      <c r="GO826" s="70"/>
      <c r="GP826" s="70"/>
      <c r="GQ826" s="70"/>
      <c r="GR826" s="70"/>
      <c r="GS826" s="70"/>
      <c r="GT826" s="70"/>
      <c r="GU826" s="70"/>
      <c r="GV826" s="70"/>
      <c r="GW826" s="70"/>
      <c r="GX826" s="70"/>
      <c r="GY826" s="70"/>
      <c r="GZ826" s="70"/>
      <c r="HA826" s="70"/>
      <c r="HB826" s="70"/>
      <c r="HC826" s="70"/>
      <c r="HD826" s="70"/>
      <c r="HE826" s="70"/>
      <c r="HF826" s="70"/>
      <c r="HG826" s="70"/>
      <c r="HH826" s="70"/>
      <c r="HI826" s="70"/>
      <c r="HJ826" s="70"/>
      <c r="HK826" s="70"/>
      <c r="HL826" s="70"/>
      <c r="HM826" s="70"/>
      <c r="HN826" s="70"/>
      <c r="HO826" s="70"/>
      <c r="HP826" s="70"/>
      <c r="HQ826" s="70"/>
      <c r="HR826" s="70"/>
      <c r="HS826" s="70"/>
      <c r="HT826" s="70"/>
      <c r="HU826" s="70"/>
      <c r="HV826" s="70"/>
      <c r="HW826" s="70"/>
      <c r="HX826" s="70"/>
      <c r="HY826" s="70"/>
      <c r="HZ826" s="70"/>
      <c r="IA826" s="70"/>
      <c r="IB826" s="70"/>
      <c r="IC826" s="70"/>
      <c r="ID826" s="70"/>
      <c r="IE826" s="70"/>
      <c r="IF826" s="70"/>
      <c r="IG826" s="70"/>
      <c r="IH826" s="70"/>
      <c r="II826" s="70"/>
      <c r="IJ826" s="70"/>
      <c r="IK826" s="70"/>
      <c r="IL826" s="70"/>
      <c r="IM826" s="70"/>
      <c r="IN826" s="70"/>
      <c r="IO826" s="70"/>
      <c r="IP826" s="70"/>
      <c r="IQ826" s="70"/>
    </row>
    <row r="827" spans="18:251" ht="16.5" hidden="1" customHeight="1">
      <c r="R827" s="95" t="s">
        <v>450</v>
      </c>
      <c r="S827" s="95"/>
      <c r="T827" s="95"/>
      <c r="U827" s="70"/>
      <c r="V827" s="214"/>
      <c r="W827" s="70"/>
      <c r="X827" s="70"/>
      <c r="Y827" s="70"/>
      <c r="Z827" s="70"/>
      <c r="AA827" s="70"/>
      <c r="AB827" s="70"/>
      <c r="AC827" s="70"/>
      <c r="AD827" s="70"/>
      <c r="AE827" s="70"/>
      <c r="AF827" s="70"/>
      <c r="AG827" s="70"/>
      <c r="AH827" s="70"/>
      <c r="AI827" s="70"/>
      <c r="AJ827" s="70"/>
      <c r="AK827" s="70"/>
      <c r="AL827" s="70"/>
      <c r="AM827" s="70"/>
      <c r="AN827" s="70"/>
      <c r="AO827" s="70"/>
      <c r="AP827" s="70"/>
      <c r="AQ827" s="70"/>
      <c r="AR827" s="70"/>
      <c r="AS827" s="70"/>
      <c r="AT827" s="70"/>
      <c r="AU827" s="70"/>
      <c r="AV827" s="70"/>
      <c r="AW827" s="70"/>
      <c r="AX827" s="70"/>
      <c r="AY827" s="70"/>
      <c r="AZ827" s="70"/>
      <c r="BA827" s="70"/>
      <c r="BB827" s="70"/>
      <c r="BC827" s="70"/>
      <c r="BD827" s="70"/>
      <c r="BE827" s="70"/>
      <c r="BF827" s="70"/>
      <c r="BG827" s="70"/>
      <c r="BH827" s="70"/>
      <c r="BI827" s="70"/>
      <c r="BJ827" s="70"/>
      <c r="BK827" s="70"/>
      <c r="BL827" s="70"/>
      <c r="BM827" s="70"/>
      <c r="BN827" s="70"/>
      <c r="BO827" s="70"/>
      <c r="BP827" s="70"/>
      <c r="BQ827" s="70"/>
      <c r="BR827" s="70"/>
      <c r="BS827" s="70"/>
      <c r="BT827" s="70"/>
      <c r="BU827" s="70"/>
      <c r="BV827" s="70"/>
      <c r="BW827" s="70"/>
      <c r="BX827" s="70"/>
      <c r="BY827" s="70"/>
      <c r="BZ827" s="70"/>
      <c r="CA827" s="70"/>
      <c r="CB827" s="70"/>
      <c r="CC827" s="70"/>
      <c r="CD827" s="70"/>
      <c r="CE827" s="70"/>
      <c r="CF827" s="70"/>
      <c r="CG827" s="70"/>
      <c r="CH827" s="70"/>
      <c r="CI827" s="70"/>
      <c r="CJ827" s="70"/>
      <c r="CK827" s="70"/>
      <c r="CL827" s="70"/>
      <c r="CM827" s="70"/>
      <c r="CN827" s="70"/>
      <c r="CO827" s="70"/>
      <c r="CP827" s="70"/>
      <c r="CQ827" s="70"/>
      <c r="CR827" s="70"/>
      <c r="CS827" s="70"/>
      <c r="CT827" s="70"/>
      <c r="CU827" s="70"/>
      <c r="CV827" s="70"/>
      <c r="CW827" s="70"/>
      <c r="CX827" s="70"/>
      <c r="CY827" s="70"/>
      <c r="CZ827" s="70"/>
      <c r="DA827" s="70"/>
      <c r="DB827" s="70"/>
      <c r="DC827" s="70"/>
      <c r="DD827" s="70"/>
      <c r="DE827" s="70"/>
      <c r="DF827" s="70"/>
      <c r="DG827" s="70"/>
      <c r="DH827" s="70"/>
      <c r="DI827" s="70"/>
      <c r="DJ827" s="70"/>
      <c r="DK827" s="70"/>
      <c r="DL827" s="70"/>
      <c r="DM827" s="70"/>
      <c r="DN827" s="70"/>
      <c r="DO827" s="70"/>
      <c r="DP827" s="70"/>
      <c r="DQ827" s="70"/>
      <c r="DR827" s="70"/>
      <c r="DS827" s="70"/>
      <c r="DT827" s="70"/>
      <c r="DU827" s="70"/>
      <c r="DV827" s="70"/>
      <c r="DW827" s="70"/>
      <c r="DX827" s="70"/>
      <c r="DY827" s="70"/>
      <c r="DZ827" s="70"/>
      <c r="EA827" s="70"/>
      <c r="EB827" s="70"/>
      <c r="EC827" s="70"/>
      <c r="ED827" s="70"/>
      <c r="EE827" s="95" t="s">
        <v>450</v>
      </c>
      <c r="EF827" s="95"/>
      <c r="EG827" s="95"/>
      <c r="EH827" s="70"/>
      <c r="EI827" s="216"/>
      <c r="EJ827" s="70"/>
      <c r="EK827" s="70"/>
      <c r="EL827" s="70"/>
      <c r="EM827" s="70"/>
      <c r="EN827" s="70"/>
      <c r="EO827" s="70"/>
      <c r="EP827" s="70"/>
      <c r="EQ827" s="70"/>
      <c r="ER827" s="70"/>
      <c r="ES827" s="70"/>
      <c r="ET827" s="70"/>
      <c r="EU827" s="70"/>
      <c r="EV827" s="70"/>
      <c r="EW827" s="70"/>
      <c r="EX827" s="70"/>
      <c r="EY827" s="70"/>
      <c r="EZ827" s="70"/>
      <c r="FA827" s="70"/>
      <c r="FB827" s="70"/>
      <c r="FC827" s="70"/>
      <c r="FD827" s="70"/>
      <c r="FE827" s="70"/>
      <c r="FF827" s="70"/>
      <c r="FG827" s="70"/>
      <c r="FH827" s="70"/>
      <c r="FI827" s="70"/>
      <c r="FJ827" s="70"/>
      <c r="FK827" s="70"/>
      <c r="FL827" s="70"/>
      <c r="FM827" s="70"/>
      <c r="FN827" s="70"/>
      <c r="FO827" s="70"/>
      <c r="FP827" s="70"/>
      <c r="FQ827" s="70"/>
      <c r="FR827" s="70"/>
      <c r="FS827" s="70"/>
      <c r="FT827" s="70"/>
      <c r="FU827" s="70"/>
      <c r="FV827" s="70"/>
      <c r="FW827" s="70"/>
      <c r="FX827" s="70"/>
      <c r="FY827" s="70"/>
      <c r="FZ827" s="70"/>
      <c r="GA827" s="70"/>
      <c r="GB827" s="70"/>
      <c r="GC827" s="70"/>
      <c r="GD827" s="70"/>
      <c r="GE827" s="70"/>
      <c r="GF827" s="70"/>
      <c r="GG827" s="70"/>
      <c r="GH827" s="70"/>
      <c r="GI827" s="70"/>
      <c r="GJ827" s="70"/>
      <c r="GK827" s="70"/>
      <c r="GL827" s="70"/>
      <c r="GM827" s="70"/>
      <c r="GN827" s="70"/>
      <c r="GO827" s="70"/>
      <c r="GP827" s="70"/>
      <c r="GQ827" s="70"/>
      <c r="GR827" s="70"/>
      <c r="GS827" s="70"/>
      <c r="GT827" s="70"/>
      <c r="GU827" s="70"/>
      <c r="GV827" s="70"/>
      <c r="GW827" s="70"/>
      <c r="GX827" s="70"/>
      <c r="GY827" s="70"/>
      <c r="GZ827" s="70"/>
      <c r="HA827" s="70"/>
      <c r="HB827" s="70"/>
      <c r="HC827" s="70"/>
      <c r="HD827" s="70"/>
      <c r="HE827" s="70"/>
      <c r="HF827" s="70"/>
      <c r="HG827" s="70"/>
      <c r="HH827" s="70"/>
      <c r="HI827" s="70"/>
      <c r="HJ827" s="70"/>
      <c r="HK827" s="70"/>
      <c r="HL827" s="70"/>
      <c r="HM827" s="70"/>
      <c r="HN827" s="70"/>
      <c r="HO827" s="70"/>
      <c r="HP827" s="70"/>
      <c r="HQ827" s="70"/>
      <c r="HR827" s="70"/>
      <c r="HS827" s="70"/>
      <c r="HT827" s="70"/>
      <c r="HU827" s="70"/>
      <c r="HV827" s="70"/>
      <c r="HW827" s="70"/>
      <c r="HX827" s="70"/>
      <c r="HY827" s="70"/>
      <c r="HZ827" s="70"/>
      <c r="IA827" s="70"/>
      <c r="IB827" s="70"/>
      <c r="IC827" s="70"/>
      <c r="ID827" s="70"/>
      <c r="IE827" s="70"/>
      <c r="IF827" s="70"/>
      <c r="IG827" s="70"/>
      <c r="IH827" s="70"/>
      <c r="II827" s="70"/>
      <c r="IJ827" s="70"/>
      <c r="IK827" s="70"/>
      <c r="IL827" s="70"/>
      <c r="IM827" s="70"/>
      <c r="IN827" s="70"/>
      <c r="IO827" s="70"/>
      <c r="IP827" s="70"/>
      <c r="IQ827" s="70"/>
    </row>
    <row r="828" spans="18:251" ht="16.5" hidden="1" customHeight="1">
      <c r="R828" s="95" t="s">
        <v>450</v>
      </c>
      <c r="S828" s="95"/>
      <c r="T828" s="95"/>
      <c r="U828" s="70"/>
      <c r="V828" s="214"/>
      <c r="W828" s="70"/>
      <c r="X828" s="70"/>
      <c r="Y828" s="70"/>
      <c r="Z828" s="70"/>
      <c r="AA828" s="70"/>
      <c r="AB828" s="70"/>
      <c r="AC828" s="70"/>
      <c r="AD828" s="70"/>
      <c r="AE828" s="70"/>
      <c r="AF828" s="70"/>
      <c r="AG828" s="70"/>
      <c r="AH828" s="70"/>
      <c r="AI828" s="70"/>
      <c r="AJ828" s="70"/>
      <c r="AK828" s="70"/>
      <c r="AL828" s="70"/>
      <c r="AM828" s="70"/>
      <c r="AN828" s="70"/>
      <c r="AO828" s="70"/>
      <c r="AP828" s="70"/>
      <c r="AQ828" s="70"/>
      <c r="AR828" s="70"/>
      <c r="AS828" s="70"/>
      <c r="AT828" s="70"/>
      <c r="AU828" s="70"/>
      <c r="AV828" s="70"/>
      <c r="AW828" s="70"/>
      <c r="AX828" s="70"/>
      <c r="AY828" s="70"/>
      <c r="AZ828" s="70"/>
      <c r="BA828" s="70"/>
      <c r="BB828" s="70"/>
      <c r="BC828" s="70"/>
      <c r="BD828" s="70"/>
      <c r="BE828" s="70"/>
      <c r="BF828" s="70"/>
      <c r="BG828" s="70"/>
      <c r="BH828" s="70"/>
      <c r="BI828" s="70"/>
      <c r="BJ828" s="70"/>
      <c r="BK828" s="70"/>
      <c r="BL828" s="70"/>
      <c r="BM828" s="70"/>
      <c r="BN828" s="70"/>
      <c r="BO828" s="70"/>
      <c r="BP828" s="70"/>
      <c r="BQ828" s="70"/>
      <c r="BR828" s="70"/>
      <c r="BS828" s="70"/>
      <c r="BT828" s="70"/>
      <c r="BU828" s="70"/>
      <c r="BV828" s="70"/>
      <c r="BW828" s="70"/>
      <c r="BX828" s="70"/>
      <c r="BY828" s="70"/>
      <c r="BZ828" s="70"/>
      <c r="CA828" s="70"/>
      <c r="CB828" s="70"/>
      <c r="CC828" s="70"/>
      <c r="CD828" s="70"/>
      <c r="CE828" s="70"/>
      <c r="CF828" s="70"/>
      <c r="CG828" s="70"/>
      <c r="CH828" s="70"/>
      <c r="CI828" s="70"/>
      <c r="CJ828" s="70"/>
      <c r="CK828" s="70"/>
      <c r="CL828" s="70"/>
      <c r="CM828" s="70"/>
      <c r="CN828" s="70"/>
      <c r="CO828" s="70"/>
      <c r="CP828" s="70"/>
      <c r="CQ828" s="70"/>
      <c r="CR828" s="70"/>
      <c r="CS828" s="70"/>
      <c r="CT828" s="70"/>
      <c r="CU828" s="70"/>
      <c r="CV828" s="70"/>
      <c r="CW828" s="70"/>
      <c r="CX828" s="70"/>
      <c r="CY828" s="70"/>
      <c r="CZ828" s="70"/>
      <c r="DA828" s="70"/>
      <c r="DB828" s="70"/>
      <c r="DC828" s="70"/>
      <c r="DD828" s="70"/>
      <c r="DE828" s="70"/>
      <c r="DF828" s="70"/>
      <c r="DG828" s="70"/>
      <c r="DH828" s="70"/>
      <c r="DI828" s="70"/>
      <c r="DJ828" s="70"/>
      <c r="DK828" s="70"/>
      <c r="DL828" s="70"/>
      <c r="DM828" s="70"/>
      <c r="DN828" s="70"/>
      <c r="DO828" s="70"/>
      <c r="DP828" s="70"/>
      <c r="DQ828" s="70"/>
      <c r="DR828" s="70"/>
      <c r="DS828" s="70"/>
      <c r="DT828" s="70"/>
      <c r="DU828" s="70"/>
      <c r="DV828" s="70"/>
      <c r="DW828" s="70"/>
      <c r="DX828" s="70"/>
      <c r="DY828" s="70"/>
      <c r="DZ828" s="70"/>
      <c r="EA828" s="70"/>
      <c r="EB828" s="70"/>
      <c r="EC828" s="70"/>
      <c r="ED828" s="70"/>
      <c r="EE828" s="95" t="s">
        <v>450</v>
      </c>
      <c r="EF828" s="95"/>
      <c r="EG828" s="95"/>
      <c r="EH828" s="70"/>
      <c r="EI828" s="216"/>
      <c r="EJ828" s="70"/>
      <c r="EK828" s="70"/>
      <c r="EL828" s="70"/>
      <c r="EM828" s="70"/>
      <c r="EN828" s="70"/>
      <c r="EO828" s="70"/>
      <c r="EP828" s="70"/>
      <c r="EQ828" s="70"/>
      <c r="ER828" s="70"/>
      <c r="ES828" s="70"/>
      <c r="ET828" s="70"/>
      <c r="EU828" s="70"/>
      <c r="EV828" s="70"/>
      <c r="EW828" s="70"/>
      <c r="EX828" s="70"/>
      <c r="EY828" s="70"/>
      <c r="EZ828" s="70"/>
      <c r="FA828" s="70"/>
      <c r="FB828" s="70"/>
      <c r="FC828" s="70"/>
      <c r="FD828" s="70"/>
      <c r="FE828" s="70"/>
      <c r="FF828" s="70"/>
      <c r="FG828" s="70"/>
      <c r="FH828" s="70"/>
      <c r="FI828" s="70"/>
      <c r="FJ828" s="70"/>
      <c r="FK828" s="70"/>
      <c r="FL828" s="70"/>
      <c r="FM828" s="70"/>
      <c r="FN828" s="70"/>
      <c r="FO828" s="70"/>
      <c r="FP828" s="70"/>
      <c r="FQ828" s="70"/>
      <c r="FR828" s="70"/>
      <c r="FS828" s="70"/>
      <c r="FT828" s="70"/>
      <c r="FU828" s="70"/>
      <c r="FV828" s="70"/>
      <c r="FW828" s="70"/>
      <c r="FX828" s="70"/>
      <c r="FY828" s="70"/>
      <c r="FZ828" s="70"/>
      <c r="GA828" s="70"/>
      <c r="GB828" s="70"/>
      <c r="GC828" s="70"/>
      <c r="GD828" s="70"/>
      <c r="GE828" s="70"/>
      <c r="GF828" s="70"/>
      <c r="GG828" s="70"/>
      <c r="GH828" s="70"/>
      <c r="GI828" s="70"/>
      <c r="GJ828" s="70"/>
      <c r="GK828" s="70"/>
      <c r="GL828" s="70"/>
      <c r="GM828" s="70"/>
      <c r="GN828" s="70"/>
      <c r="GO828" s="70"/>
      <c r="GP828" s="70"/>
      <c r="GQ828" s="70"/>
      <c r="GR828" s="70"/>
      <c r="GS828" s="70"/>
      <c r="GT828" s="70"/>
      <c r="GU828" s="70"/>
      <c r="GV828" s="70"/>
      <c r="GW828" s="70"/>
      <c r="GX828" s="70"/>
      <c r="GY828" s="70"/>
      <c r="GZ828" s="70"/>
      <c r="HA828" s="70"/>
      <c r="HB828" s="70"/>
      <c r="HC828" s="70"/>
      <c r="HD828" s="70"/>
      <c r="HE828" s="70"/>
      <c r="HF828" s="70"/>
      <c r="HG828" s="70"/>
      <c r="HH828" s="70"/>
      <c r="HI828" s="70"/>
      <c r="HJ828" s="70"/>
      <c r="HK828" s="70"/>
      <c r="HL828" s="70"/>
      <c r="HM828" s="70"/>
      <c r="HN828" s="70"/>
      <c r="HO828" s="70"/>
      <c r="HP828" s="70"/>
      <c r="HQ828" s="70"/>
      <c r="HR828" s="70"/>
      <c r="HS828" s="70"/>
      <c r="HT828" s="70"/>
      <c r="HU828" s="70"/>
      <c r="HV828" s="70"/>
      <c r="HW828" s="70"/>
      <c r="HX828" s="70"/>
      <c r="HY828" s="70"/>
      <c r="HZ828" s="70"/>
      <c r="IA828" s="70"/>
      <c r="IB828" s="70"/>
      <c r="IC828" s="70"/>
      <c r="ID828" s="70"/>
      <c r="IE828" s="70"/>
      <c r="IF828" s="70"/>
      <c r="IG828" s="70"/>
      <c r="IH828" s="70"/>
      <c r="II828" s="70"/>
      <c r="IJ828" s="70"/>
      <c r="IK828" s="70"/>
      <c r="IL828" s="70"/>
      <c r="IM828" s="70"/>
      <c r="IN828" s="70"/>
      <c r="IO828" s="70"/>
      <c r="IP828" s="70"/>
      <c r="IQ828" s="70"/>
    </row>
    <row r="829" spans="18:251" ht="16.5" hidden="1" customHeight="1">
      <c r="R829" s="95" t="s">
        <v>450</v>
      </c>
      <c r="S829" s="95"/>
      <c r="T829" s="95"/>
      <c r="U829" s="70"/>
      <c r="V829" s="214"/>
      <c r="W829" s="70"/>
      <c r="X829" s="70"/>
      <c r="Y829" s="70"/>
      <c r="Z829" s="70"/>
      <c r="AA829" s="70"/>
      <c r="AB829" s="70"/>
      <c r="AC829" s="70"/>
      <c r="AD829" s="70"/>
      <c r="AE829" s="70"/>
      <c r="AF829" s="70"/>
      <c r="AG829" s="70"/>
      <c r="AH829" s="70"/>
      <c r="AI829" s="70"/>
      <c r="AJ829" s="70"/>
      <c r="AK829" s="70"/>
      <c r="AL829" s="70"/>
      <c r="AM829" s="70"/>
      <c r="AN829" s="70"/>
      <c r="AO829" s="70"/>
      <c r="AP829" s="70"/>
      <c r="AQ829" s="70"/>
      <c r="AR829" s="70"/>
      <c r="AS829" s="70"/>
      <c r="AT829" s="70"/>
      <c r="AU829" s="70"/>
      <c r="AV829" s="70"/>
      <c r="AW829" s="70"/>
      <c r="AX829" s="70"/>
      <c r="AY829" s="70"/>
      <c r="AZ829" s="70"/>
      <c r="BA829" s="70"/>
      <c r="BB829" s="70"/>
      <c r="BC829" s="70"/>
      <c r="BD829" s="70"/>
      <c r="BE829" s="70"/>
      <c r="BF829" s="70"/>
      <c r="BG829" s="70"/>
      <c r="BH829" s="70"/>
      <c r="BI829" s="70"/>
      <c r="BJ829" s="70"/>
      <c r="BK829" s="70"/>
      <c r="BL829" s="70"/>
      <c r="BM829" s="70"/>
      <c r="BN829" s="70"/>
      <c r="BO829" s="70"/>
      <c r="BP829" s="70"/>
      <c r="BQ829" s="70"/>
      <c r="BR829" s="70"/>
      <c r="BS829" s="70"/>
      <c r="BT829" s="70"/>
      <c r="BU829" s="70"/>
      <c r="BV829" s="70"/>
      <c r="BW829" s="70"/>
      <c r="BX829" s="70"/>
      <c r="BY829" s="70"/>
      <c r="BZ829" s="70"/>
      <c r="CA829" s="70"/>
      <c r="CB829" s="70"/>
      <c r="CC829" s="70"/>
      <c r="CD829" s="70"/>
      <c r="CE829" s="70"/>
      <c r="CF829" s="70"/>
      <c r="CG829" s="70"/>
      <c r="CH829" s="70"/>
      <c r="CI829" s="70"/>
      <c r="CJ829" s="70"/>
      <c r="CK829" s="70"/>
      <c r="CL829" s="70"/>
      <c r="CM829" s="70"/>
      <c r="CN829" s="70"/>
      <c r="CO829" s="70"/>
      <c r="CP829" s="70"/>
      <c r="CQ829" s="70"/>
      <c r="CR829" s="70"/>
      <c r="CS829" s="70"/>
      <c r="CT829" s="70"/>
      <c r="CU829" s="70"/>
      <c r="CV829" s="70"/>
      <c r="CW829" s="70"/>
      <c r="CX829" s="70"/>
      <c r="CY829" s="70"/>
      <c r="CZ829" s="70"/>
      <c r="DA829" s="70"/>
      <c r="DB829" s="70"/>
      <c r="DC829" s="70"/>
      <c r="DD829" s="70"/>
      <c r="DE829" s="70"/>
      <c r="DF829" s="70"/>
      <c r="DG829" s="70"/>
      <c r="DH829" s="70"/>
      <c r="DI829" s="70"/>
      <c r="DJ829" s="70"/>
      <c r="DK829" s="70"/>
      <c r="DL829" s="70"/>
      <c r="DM829" s="70"/>
      <c r="DN829" s="70"/>
      <c r="DO829" s="70"/>
      <c r="DP829" s="70"/>
      <c r="DQ829" s="70"/>
      <c r="DR829" s="70"/>
      <c r="DS829" s="70"/>
      <c r="DT829" s="70"/>
      <c r="DU829" s="70"/>
      <c r="DV829" s="70"/>
      <c r="DW829" s="70"/>
      <c r="DX829" s="70"/>
      <c r="DY829" s="70"/>
      <c r="DZ829" s="70"/>
      <c r="EA829" s="70"/>
      <c r="EB829" s="70"/>
      <c r="EC829" s="70"/>
      <c r="ED829" s="70"/>
      <c r="EE829" s="95" t="s">
        <v>450</v>
      </c>
      <c r="EF829" s="95"/>
      <c r="EG829" s="95"/>
      <c r="EH829" s="70"/>
      <c r="EI829" s="216"/>
      <c r="EJ829" s="70"/>
      <c r="EK829" s="70"/>
      <c r="EL829" s="70"/>
      <c r="EM829" s="70"/>
      <c r="EN829" s="70"/>
      <c r="EO829" s="70"/>
      <c r="EP829" s="70"/>
      <c r="EQ829" s="70"/>
      <c r="ER829" s="70"/>
      <c r="ES829" s="70"/>
      <c r="ET829" s="70"/>
      <c r="EU829" s="70"/>
      <c r="EV829" s="70"/>
      <c r="EW829" s="70"/>
      <c r="EX829" s="70"/>
      <c r="EY829" s="70"/>
      <c r="EZ829" s="70"/>
      <c r="FA829" s="70"/>
      <c r="FB829" s="70"/>
      <c r="FC829" s="70"/>
      <c r="FD829" s="70"/>
      <c r="FE829" s="70"/>
      <c r="FF829" s="70"/>
      <c r="FG829" s="70"/>
      <c r="FH829" s="70"/>
      <c r="FI829" s="70"/>
      <c r="FJ829" s="70"/>
      <c r="FK829" s="70"/>
      <c r="FL829" s="70"/>
      <c r="FM829" s="70"/>
      <c r="FN829" s="70"/>
      <c r="FO829" s="70"/>
      <c r="FP829" s="70"/>
      <c r="FQ829" s="70"/>
      <c r="FR829" s="70"/>
      <c r="FS829" s="70"/>
      <c r="FT829" s="70"/>
      <c r="FU829" s="70"/>
      <c r="FV829" s="70"/>
      <c r="FW829" s="70"/>
      <c r="FX829" s="70"/>
      <c r="FY829" s="70"/>
      <c r="FZ829" s="70"/>
      <c r="GA829" s="70"/>
      <c r="GB829" s="70"/>
      <c r="GC829" s="70"/>
      <c r="GD829" s="70"/>
      <c r="GE829" s="70"/>
      <c r="GF829" s="70"/>
      <c r="GG829" s="70"/>
      <c r="GH829" s="70"/>
      <c r="GI829" s="70"/>
      <c r="GJ829" s="70"/>
      <c r="GK829" s="70"/>
      <c r="GL829" s="70"/>
      <c r="GM829" s="70"/>
      <c r="GN829" s="70"/>
      <c r="GO829" s="70"/>
      <c r="GP829" s="70"/>
      <c r="GQ829" s="70"/>
      <c r="GR829" s="70"/>
      <c r="GS829" s="70"/>
      <c r="GT829" s="70"/>
      <c r="GU829" s="70"/>
      <c r="GV829" s="70"/>
      <c r="GW829" s="70"/>
      <c r="GX829" s="70"/>
      <c r="GY829" s="70"/>
      <c r="GZ829" s="70"/>
      <c r="HA829" s="70"/>
      <c r="HB829" s="70"/>
      <c r="HC829" s="70"/>
      <c r="HD829" s="70"/>
      <c r="HE829" s="70"/>
      <c r="HF829" s="70"/>
      <c r="HG829" s="70"/>
      <c r="HH829" s="70"/>
      <c r="HI829" s="70"/>
      <c r="HJ829" s="70"/>
      <c r="HK829" s="70"/>
      <c r="HL829" s="70"/>
      <c r="HM829" s="70"/>
      <c r="HN829" s="70"/>
      <c r="HO829" s="70"/>
      <c r="HP829" s="70"/>
      <c r="HQ829" s="70"/>
      <c r="HR829" s="70"/>
      <c r="HS829" s="70"/>
      <c r="HT829" s="70"/>
      <c r="HU829" s="70"/>
      <c r="HV829" s="70"/>
      <c r="HW829" s="70"/>
      <c r="HX829" s="70"/>
      <c r="HY829" s="70"/>
      <c r="HZ829" s="70"/>
      <c r="IA829" s="70"/>
      <c r="IB829" s="70"/>
      <c r="IC829" s="70"/>
      <c r="ID829" s="70"/>
      <c r="IE829" s="70"/>
      <c r="IF829" s="70"/>
      <c r="IG829" s="70"/>
      <c r="IH829" s="70"/>
      <c r="II829" s="70"/>
      <c r="IJ829" s="70"/>
      <c r="IK829" s="70"/>
      <c r="IL829" s="70"/>
      <c r="IM829" s="70"/>
      <c r="IN829" s="70"/>
      <c r="IO829" s="70"/>
      <c r="IP829" s="70"/>
      <c r="IQ829" s="70"/>
    </row>
    <row r="830" spans="18:251" ht="16.5" hidden="1" customHeight="1">
      <c r="R830" s="95" t="s">
        <v>450</v>
      </c>
      <c r="S830" s="95"/>
      <c r="T830" s="95"/>
      <c r="U830" s="70"/>
      <c r="V830" s="214"/>
      <c r="W830" s="70"/>
      <c r="X830" s="70"/>
      <c r="Y830" s="70"/>
      <c r="Z830" s="70"/>
      <c r="AA830" s="70"/>
      <c r="AB830" s="70"/>
      <c r="AC830" s="70"/>
      <c r="AD830" s="70"/>
      <c r="AE830" s="70"/>
      <c r="AF830" s="70"/>
      <c r="AG830" s="70"/>
      <c r="AH830" s="70"/>
      <c r="AI830" s="70"/>
      <c r="AJ830" s="70"/>
      <c r="AK830" s="70"/>
      <c r="AL830" s="70"/>
      <c r="AM830" s="70"/>
      <c r="AN830" s="70"/>
      <c r="AO830" s="70"/>
      <c r="AP830" s="70"/>
      <c r="AQ830" s="70"/>
      <c r="AR830" s="70"/>
      <c r="AS830" s="70"/>
      <c r="AT830" s="70"/>
      <c r="AU830" s="70"/>
      <c r="AV830" s="70"/>
      <c r="AW830" s="70"/>
      <c r="AX830" s="70"/>
      <c r="AY830" s="70"/>
      <c r="AZ830" s="70"/>
      <c r="BA830" s="70"/>
      <c r="BB830" s="70"/>
      <c r="BC830" s="70"/>
      <c r="BD830" s="70"/>
      <c r="BE830" s="70"/>
      <c r="BF830" s="70"/>
      <c r="BG830" s="70"/>
      <c r="BH830" s="70"/>
      <c r="BI830" s="70"/>
      <c r="BJ830" s="70"/>
      <c r="BK830" s="70"/>
      <c r="BL830" s="70"/>
      <c r="BM830" s="70"/>
      <c r="BN830" s="70"/>
      <c r="BO830" s="70"/>
      <c r="BP830" s="70"/>
      <c r="BQ830" s="70"/>
      <c r="BR830" s="70"/>
      <c r="BS830" s="70"/>
      <c r="BT830" s="70"/>
      <c r="BU830" s="70"/>
      <c r="BV830" s="70"/>
      <c r="BW830" s="70"/>
      <c r="BX830" s="70"/>
      <c r="BY830" s="70"/>
      <c r="BZ830" s="70"/>
      <c r="CA830" s="70"/>
      <c r="CB830" s="70"/>
      <c r="CC830" s="70"/>
      <c r="CD830" s="70"/>
      <c r="CE830" s="70"/>
      <c r="CF830" s="70"/>
      <c r="CG830" s="70"/>
      <c r="CH830" s="70"/>
      <c r="CI830" s="70"/>
      <c r="CJ830" s="70"/>
      <c r="CK830" s="70"/>
      <c r="CL830" s="70"/>
      <c r="CM830" s="70"/>
      <c r="CN830" s="70"/>
      <c r="CO830" s="70"/>
      <c r="CP830" s="70"/>
      <c r="CQ830" s="70"/>
      <c r="CR830" s="70"/>
      <c r="CS830" s="70"/>
      <c r="CT830" s="70"/>
      <c r="CU830" s="70"/>
      <c r="CV830" s="70"/>
      <c r="CW830" s="70"/>
      <c r="CX830" s="70"/>
      <c r="CY830" s="70"/>
      <c r="CZ830" s="70"/>
      <c r="DA830" s="70"/>
      <c r="DB830" s="70"/>
      <c r="DC830" s="70"/>
      <c r="DD830" s="70"/>
      <c r="DE830" s="70"/>
      <c r="DF830" s="70"/>
      <c r="DG830" s="70"/>
      <c r="DH830" s="70"/>
      <c r="DI830" s="70"/>
      <c r="DJ830" s="70"/>
      <c r="DK830" s="70"/>
      <c r="DL830" s="70"/>
      <c r="DM830" s="70"/>
      <c r="DN830" s="70"/>
      <c r="DO830" s="70"/>
      <c r="DP830" s="70"/>
      <c r="DQ830" s="70"/>
      <c r="DR830" s="70"/>
      <c r="DS830" s="70"/>
      <c r="DT830" s="70"/>
      <c r="DU830" s="70"/>
      <c r="DV830" s="70"/>
      <c r="DW830" s="70"/>
      <c r="DX830" s="70"/>
      <c r="DY830" s="70"/>
      <c r="DZ830" s="70"/>
      <c r="EA830" s="70"/>
      <c r="EB830" s="70"/>
      <c r="EC830" s="70"/>
      <c r="ED830" s="70"/>
      <c r="EE830" s="95" t="s">
        <v>450</v>
      </c>
      <c r="EF830" s="95"/>
      <c r="EG830" s="95"/>
      <c r="EH830" s="70"/>
      <c r="EI830" s="216"/>
      <c r="EJ830" s="70"/>
      <c r="EK830" s="70"/>
      <c r="EL830" s="70"/>
      <c r="EM830" s="70"/>
      <c r="EN830" s="70"/>
      <c r="EO830" s="70"/>
      <c r="EP830" s="70"/>
      <c r="EQ830" s="70"/>
      <c r="ER830" s="70"/>
      <c r="ES830" s="70"/>
      <c r="ET830" s="70"/>
      <c r="EU830" s="70"/>
      <c r="EV830" s="70"/>
      <c r="EW830" s="70"/>
      <c r="EX830" s="70"/>
      <c r="EY830" s="70"/>
      <c r="EZ830" s="70"/>
      <c r="FA830" s="70"/>
      <c r="FB830" s="70"/>
      <c r="FC830" s="70"/>
      <c r="FD830" s="70"/>
      <c r="FE830" s="70"/>
      <c r="FF830" s="70"/>
      <c r="FG830" s="70"/>
      <c r="FH830" s="70"/>
      <c r="FI830" s="70"/>
      <c r="FJ830" s="70"/>
      <c r="FK830" s="70"/>
      <c r="FL830" s="70"/>
      <c r="FM830" s="70"/>
      <c r="FN830" s="70"/>
      <c r="FO830" s="70"/>
      <c r="FP830" s="70"/>
      <c r="FQ830" s="70"/>
      <c r="FR830" s="70"/>
      <c r="FS830" s="70"/>
      <c r="FT830" s="70"/>
      <c r="FU830" s="70"/>
      <c r="FV830" s="70"/>
      <c r="FW830" s="70"/>
      <c r="FX830" s="70"/>
      <c r="FY830" s="70"/>
      <c r="FZ830" s="70"/>
      <c r="GA830" s="70"/>
      <c r="GB830" s="70"/>
      <c r="GC830" s="70"/>
      <c r="GD830" s="70"/>
      <c r="GE830" s="70"/>
      <c r="GF830" s="70"/>
      <c r="GG830" s="70"/>
      <c r="GH830" s="70"/>
      <c r="GI830" s="70"/>
      <c r="GJ830" s="70"/>
      <c r="GK830" s="70"/>
      <c r="GL830" s="70"/>
      <c r="GM830" s="70"/>
      <c r="GN830" s="70"/>
      <c r="GO830" s="70"/>
      <c r="GP830" s="70"/>
      <c r="GQ830" s="70"/>
      <c r="GR830" s="70"/>
      <c r="GS830" s="70"/>
      <c r="GT830" s="70"/>
      <c r="GU830" s="70"/>
      <c r="GV830" s="70"/>
      <c r="GW830" s="70"/>
      <c r="GX830" s="70"/>
      <c r="GY830" s="70"/>
      <c r="GZ830" s="70"/>
      <c r="HA830" s="70"/>
      <c r="HB830" s="70"/>
      <c r="HC830" s="70"/>
      <c r="HD830" s="70"/>
      <c r="HE830" s="70"/>
      <c r="HF830" s="70"/>
      <c r="HG830" s="70"/>
      <c r="HH830" s="70"/>
      <c r="HI830" s="70"/>
      <c r="HJ830" s="70"/>
      <c r="HK830" s="70"/>
      <c r="HL830" s="70"/>
      <c r="HM830" s="70"/>
      <c r="HN830" s="70"/>
      <c r="HO830" s="70"/>
      <c r="HP830" s="70"/>
      <c r="HQ830" s="70"/>
      <c r="HR830" s="70"/>
      <c r="HS830" s="70"/>
      <c r="HT830" s="70"/>
      <c r="HU830" s="70"/>
      <c r="HV830" s="70"/>
      <c r="HW830" s="70"/>
      <c r="HX830" s="70"/>
      <c r="HY830" s="70"/>
      <c r="HZ830" s="70"/>
      <c r="IA830" s="70"/>
      <c r="IB830" s="70"/>
      <c r="IC830" s="70"/>
      <c r="ID830" s="70"/>
      <c r="IE830" s="70"/>
      <c r="IF830" s="70"/>
      <c r="IG830" s="70"/>
      <c r="IH830" s="70"/>
      <c r="II830" s="70"/>
      <c r="IJ830" s="70"/>
      <c r="IK830" s="70"/>
      <c r="IL830" s="70"/>
      <c r="IM830" s="70"/>
      <c r="IN830" s="70"/>
      <c r="IO830" s="70"/>
      <c r="IP830" s="70"/>
      <c r="IQ830" s="70"/>
    </row>
    <row r="831" spans="18:251" ht="16.5" hidden="1" customHeight="1">
      <c r="R831" s="95" t="s">
        <v>450</v>
      </c>
      <c r="S831" s="95"/>
      <c r="T831" s="95"/>
      <c r="U831" s="70"/>
      <c r="V831" s="214"/>
      <c r="W831" s="70"/>
      <c r="X831" s="70"/>
      <c r="Y831" s="70"/>
      <c r="Z831" s="70"/>
      <c r="AA831" s="70"/>
      <c r="AB831" s="70"/>
      <c r="AC831" s="70"/>
      <c r="AD831" s="70"/>
      <c r="AE831" s="70"/>
      <c r="AF831" s="70"/>
      <c r="AG831" s="70"/>
      <c r="AH831" s="70"/>
      <c r="AI831" s="70"/>
      <c r="AJ831" s="70"/>
      <c r="AK831" s="70"/>
      <c r="AL831" s="70"/>
      <c r="AM831" s="70"/>
      <c r="AN831" s="70"/>
      <c r="AO831" s="70"/>
      <c r="AP831" s="70"/>
      <c r="AQ831" s="70"/>
      <c r="AR831" s="70"/>
      <c r="AS831" s="70"/>
      <c r="AT831" s="70"/>
      <c r="AU831" s="70"/>
      <c r="AV831" s="70"/>
      <c r="AW831" s="70"/>
      <c r="AX831" s="70"/>
      <c r="AY831" s="70"/>
      <c r="AZ831" s="70"/>
      <c r="BA831" s="70"/>
      <c r="BB831" s="70"/>
      <c r="BC831" s="70"/>
      <c r="BD831" s="70"/>
      <c r="BE831" s="70"/>
      <c r="BF831" s="70"/>
      <c r="BG831" s="70"/>
      <c r="BH831" s="70"/>
      <c r="BI831" s="70"/>
      <c r="BJ831" s="70"/>
      <c r="BK831" s="70"/>
      <c r="BL831" s="70"/>
      <c r="BM831" s="70"/>
      <c r="BN831" s="70"/>
      <c r="BO831" s="70"/>
      <c r="BP831" s="70"/>
      <c r="BQ831" s="70"/>
      <c r="BR831" s="70"/>
      <c r="BS831" s="70"/>
      <c r="BT831" s="70"/>
      <c r="BU831" s="70"/>
      <c r="BV831" s="70"/>
      <c r="BW831" s="70"/>
      <c r="BX831" s="70"/>
      <c r="BY831" s="70"/>
      <c r="BZ831" s="70"/>
      <c r="CA831" s="70"/>
      <c r="CB831" s="70"/>
      <c r="CC831" s="70"/>
      <c r="CD831" s="70"/>
      <c r="CE831" s="70"/>
      <c r="CF831" s="70"/>
      <c r="CG831" s="70"/>
      <c r="CH831" s="70"/>
      <c r="CI831" s="70"/>
      <c r="CJ831" s="70"/>
      <c r="CK831" s="70"/>
      <c r="CL831" s="70"/>
      <c r="CM831" s="70"/>
      <c r="CN831" s="70"/>
      <c r="CO831" s="70"/>
      <c r="CP831" s="70"/>
      <c r="CQ831" s="70"/>
      <c r="CR831" s="70"/>
      <c r="CS831" s="70"/>
      <c r="CT831" s="70"/>
      <c r="CU831" s="70"/>
      <c r="CV831" s="70"/>
      <c r="CW831" s="70"/>
      <c r="CX831" s="70"/>
      <c r="CY831" s="70"/>
      <c r="CZ831" s="70"/>
      <c r="DA831" s="70"/>
      <c r="DB831" s="70"/>
      <c r="DC831" s="70"/>
      <c r="DD831" s="70"/>
      <c r="DE831" s="70"/>
      <c r="DF831" s="70"/>
      <c r="DG831" s="70"/>
      <c r="DH831" s="70"/>
      <c r="DI831" s="70"/>
      <c r="DJ831" s="70"/>
      <c r="DK831" s="70"/>
      <c r="DL831" s="70"/>
      <c r="DM831" s="70"/>
      <c r="DN831" s="70"/>
      <c r="DO831" s="70"/>
      <c r="DP831" s="70"/>
      <c r="DQ831" s="70"/>
      <c r="DR831" s="70"/>
      <c r="DS831" s="70"/>
      <c r="DT831" s="70"/>
      <c r="DU831" s="70"/>
      <c r="DV831" s="70"/>
      <c r="DW831" s="70"/>
      <c r="DX831" s="70"/>
      <c r="DY831" s="70"/>
      <c r="DZ831" s="70"/>
      <c r="EA831" s="70"/>
      <c r="EB831" s="70"/>
      <c r="EC831" s="70"/>
      <c r="ED831" s="70"/>
      <c r="EE831" s="95" t="s">
        <v>450</v>
      </c>
      <c r="EF831" s="95"/>
      <c r="EG831" s="95"/>
      <c r="EH831" s="70"/>
      <c r="EI831" s="216"/>
      <c r="EJ831" s="70"/>
      <c r="EK831" s="70"/>
      <c r="EL831" s="70"/>
      <c r="EM831" s="70"/>
      <c r="EN831" s="70"/>
      <c r="EO831" s="70"/>
      <c r="EP831" s="70"/>
      <c r="EQ831" s="70"/>
      <c r="ER831" s="70"/>
      <c r="ES831" s="70"/>
      <c r="ET831" s="70"/>
      <c r="EU831" s="70"/>
      <c r="EV831" s="70"/>
      <c r="EW831" s="70"/>
      <c r="EX831" s="70"/>
      <c r="EY831" s="70"/>
      <c r="EZ831" s="70"/>
      <c r="FA831" s="70"/>
      <c r="FB831" s="70"/>
      <c r="FC831" s="70"/>
      <c r="FD831" s="70"/>
      <c r="FE831" s="70"/>
      <c r="FF831" s="70"/>
      <c r="FG831" s="70"/>
      <c r="FH831" s="70"/>
      <c r="FI831" s="70"/>
      <c r="FJ831" s="70"/>
      <c r="FK831" s="70"/>
      <c r="FL831" s="70"/>
      <c r="FM831" s="70"/>
      <c r="FN831" s="70"/>
      <c r="FO831" s="70"/>
      <c r="FP831" s="70"/>
      <c r="FQ831" s="70"/>
      <c r="FR831" s="70"/>
      <c r="FS831" s="70"/>
      <c r="FT831" s="70"/>
      <c r="FU831" s="70"/>
      <c r="FV831" s="70"/>
      <c r="FW831" s="70"/>
      <c r="FX831" s="70"/>
      <c r="FY831" s="70"/>
      <c r="FZ831" s="70"/>
      <c r="GA831" s="70"/>
      <c r="GB831" s="70"/>
      <c r="GC831" s="70"/>
      <c r="GD831" s="70"/>
      <c r="GE831" s="70"/>
      <c r="GF831" s="70"/>
      <c r="GG831" s="70"/>
      <c r="GH831" s="70"/>
      <c r="GI831" s="70"/>
      <c r="GJ831" s="70"/>
      <c r="GK831" s="70"/>
      <c r="GL831" s="70"/>
      <c r="GM831" s="70"/>
      <c r="GN831" s="70"/>
      <c r="GO831" s="70"/>
      <c r="GP831" s="70"/>
      <c r="GQ831" s="70"/>
      <c r="GR831" s="70"/>
      <c r="GS831" s="70"/>
      <c r="GT831" s="70"/>
      <c r="GU831" s="70"/>
      <c r="GV831" s="70"/>
      <c r="GW831" s="70"/>
      <c r="GX831" s="70"/>
      <c r="GY831" s="70"/>
      <c r="GZ831" s="70"/>
      <c r="HA831" s="70"/>
      <c r="HB831" s="70"/>
      <c r="HC831" s="70"/>
      <c r="HD831" s="70"/>
      <c r="HE831" s="70"/>
      <c r="HF831" s="70"/>
      <c r="HG831" s="70"/>
      <c r="HH831" s="70"/>
      <c r="HI831" s="70"/>
      <c r="HJ831" s="70"/>
      <c r="HK831" s="70"/>
      <c r="HL831" s="70"/>
      <c r="HM831" s="70"/>
      <c r="HN831" s="70"/>
      <c r="HO831" s="70"/>
      <c r="HP831" s="70"/>
      <c r="HQ831" s="70"/>
      <c r="HR831" s="70"/>
      <c r="HS831" s="70"/>
      <c r="HT831" s="70"/>
      <c r="HU831" s="70"/>
      <c r="HV831" s="70"/>
      <c r="HW831" s="70"/>
      <c r="HX831" s="70"/>
      <c r="HY831" s="70"/>
      <c r="HZ831" s="70"/>
      <c r="IA831" s="70"/>
      <c r="IB831" s="70"/>
      <c r="IC831" s="70"/>
      <c r="ID831" s="70"/>
      <c r="IE831" s="70"/>
      <c r="IF831" s="70"/>
      <c r="IG831" s="70"/>
      <c r="IH831" s="70"/>
      <c r="II831" s="70"/>
      <c r="IJ831" s="70"/>
      <c r="IK831" s="70"/>
      <c r="IL831" s="70"/>
      <c r="IM831" s="70"/>
      <c r="IN831" s="70"/>
      <c r="IO831" s="70"/>
      <c r="IP831" s="70"/>
      <c r="IQ831" s="70"/>
    </row>
    <row r="832" spans="18:251" ht="16.5" hidden="1" customHeight="1">
      <c r="R832" s="95" t="s">
        <v>450</v>
      </c>
      <c r="S832" s="95"/>
      <c r="T832" s="95"/>
      <c r="U832" s="70"/>
      <c r="V832" s="214"/>
      <c r="W832" s="70"/>
      <c r="X832" s="70"/>
      <c r="Y832" s="70"/>
      <c r="Z832" s="70"/>
      <c r="AA832" s="70"/>
      <c r="AB832" s="70"/>
      <c r="AC832" s="70"/>
      <c r="AD832" s="70"/>
      <c r="AE832" s="70"/>
      <c r="AF832" s="70"/>
      <c r="AG832" s="70"/>
      <c r="AH832" s="70"/>
      <c r="AI832" s="70"/>
      <c r="AJ832" s="70"/>
      <c r="AK832" s="70"/>
      <c r="AL832" s="70"/>
      <c r="AM832" s="70"/>
      <c r="AN832" s="70"/>
      <c r="AO832" s="70"/>
      <c r="AP832" s="70"/>
      <c r="AQ832" s="70"/>
      <c r="AR832" s="70"/>
      <c r="AS832" s="70"/>
      <c r="AT832" s="70"/>
      <c r="AU832" s="70"/>
      <c r="AV832" s="70"/>
      <c r="AW832" s="70"/>
      <c r="AX832" s="70"/>
      <c r="AY832" s="70"/>
      <c r="AZ832" s="70"/>
      <c r="BA832" s="70"/>
      <c r="BB832" s="70"/>
      <c r="BC832" s="70"/>
      <c r="BD832" s="70"/>
      <c r="BE832" s="70"/>
      <c r="BF832" s="70"/>
      <c r="BG832" s="70"/>
      <c r="BH832" s="70"/>
      <c r="BI832" s="70"/>
      <c r="BJ832" s="70"/>
      <c r="BK832" s="70"/>
      <c r="BL832" s="70"/>
      <c r="BM832" s="70"/>
      <c r="BN832" s="70"/>
      <c r="BO832" s="70"/>
      <c r="BP832" s="70"/>
      <c r="BQ832" s="70"/>
      <c r="BR832" s="70"/>
      <c r="BS832" s="70"/>
      <c r="BT832" s="70"/>
      <c r="BU832" s="70"/>
      <c r="BV832" s="70"/>
      <c r="BW832" s="70"/>
      <c r="BX832" s="70"/>
      <c r="BY832" s="70"/>
      <c r="BZ832" s="70"/>
      <c r="CA832" s="70"/>
      <c r="CB832" s="70"/>
      <c r="CC832" s="70"/>
      <c r="CD832" s="70"/>
      <c r="CE832" s="70"/>
      <c r="CF832" s="70"/>
      <c r="CG832" s="70"/>
      <c r="CH832" s="70"/>
      <c r="CI832" s="70"/>
      <c r="CJ832" s="70"/>
      <c r="CK832" s="70"/>
      <c r="CL832" s="70"/>
      <c r="CM832" s="70"/>
      <c r="CN832" s="70"/>
      <c r="CO832" s="70"/>
      <c r="CP832" s="70"/>
      <c r="CQ832" s="70"/>
      <c r="CR832" s="70"/>
      <c r="CS832" s="70"/>
      <c r="CT832" s="70"/>
      <c r="CU832" s="70"/>
      <c r="CV832" s="70"/>
      <c r="CW832" s="70"/>
      <c r="CX832" s="70"/>
      <c r="CY832" s="70"/>
      <c r="CZ832" s="70"/>
      <c r="DA832" s="70"/>
      <c r="DB832" s="70"/>
      <c r="DC832" s="70"/>
      <c r="DD832" s="70"/>
      <c r="DE832" s="70"/>
      <c r="DF832" s="70"/>
      <c r="DG832" s="70"/>
      <c r="DH832" s="70"/>
      <c r="DI832" s="70"/>
      <c r="DJ832" s="70"/>
      <c r="DK832" s="70"/>
      <c r="DL832" s="70"/>
      <c r="DM832" s="70"/>
      <c r="DN832" s="70"/>
      <c r="DO832" s="70"/>
      <c r="DP832" s="70"/>
      <c r="DQ832" s="70"/>
      <c r="DR832" s="70"/>
      <c r="DS832" s="70"/>
      <c r="DT832" s="70"/>
      <c r="DU832" s="70"/>
      <c r="DV832" s="70"/>
      <c r="DW832" s="70"/>
      <c r="DX832" s="70"/>
      <c r="DY832" s="70"/>
      <c r="DZ832" s="70"/>
      <c r="EA832" s="70"/>
      <c r="EB832" s="70"/>
      <c r="EC832" s="70"/>
      <c r="ED832" s="70"/>
      <c r="EE832" s="95" t="s">
        <v>450</v>
      </c>
      <c r="EF832" s="95"/>
      <c r="EG832" s="95"/>
      <c r="EH832" s="70"/>
      <c r="EI832" s="216"/>
      <c r="EJ832" s="70"/>
      <c r="EK832" s="70"/>
      <c r="EL832" s="70"/>
      <c r="EM832" s="70"/>
      <c r="EN832" s="70"/>
      <c r="EO832" s="70"/>
      <c r="EP832" s="70"/>
      <c r="EQ832" s="70"/>
      <c r="ER832" s="70"/>
      <c r="ES832" s="70"/>
      <c r="ET832" s="70"/>
      <c r="EU832" s="70"/>
      <c r="EV832" s="70"/>
      <c r="EW832" s="70"/>
      <c r="EX832" s="70"/>
      <c r="EY832" s="70"/>
      <c r="EZ832" s="70"/>
      <c r="FA832" s="70"/>
      <c r="FB832" s="70"/>
      <c r="FC832" s="70"/>
      <c r="FD832" s="70"/>
      <c r="FE832" s="70"/>
      <c r="FF832" s="70"/>
      <c r="FG832" s="70"/>
      <c r="FH832" s="70"/>
      <c r="FI832" s="70"/>
      <c r="FJ832" s="70"/>
      <c r="FK832" s="70"/>
      <c r="FL832" s="70"/>
      <c r="FM832" s="70"/>
      <c r="FN832" s="70"/>
      <c r="FO832" s="70"/>
      <c r="FP832" s="70"/>
      <c r="FQ832" s="70"/>
      <c r="FR832" s="70"/>
      <c r="FS832" s="70"/>
      <c r="FT832" s="70"/>
      <c r="FU832" s="70"/>
      <c r="FV832" s="70"/>
      <c r="FW832" s="70"/>
      <c r="FX832" s="70"/>
      <c r="FY832" s="70"/>
      <c r="FZ832" s="70"/>
      <c r="GA832" s="70"/>
      <c r="GB832" s="70"/>
      <c r="GC832" s="70"/>
      <c r="GD832" s="70"/>
      <c r="GE832" s="70"/>
      <c r="GF832" s="70"/>
      <c r="GG832" s="70"/>
      <c r="GH832" s="70"/>
      <c r="GI832" s="70"/>
      <c r="GJ832" s="70"/>
      <c r="GK832" s="70"/>
      <c r="GL832" s="70"/>
      <c r="GM832" s="70"/>
      <c r="GN832" s="70"/>
      <c r="GO832" s="70"/>
      <c r="GP832" s="70"/>
      <c r="GQ832" s="70"/>
      <c r="GR832" s="70"/>
      <c r="GS832" s="70"/>
      <c r="GT832" s="70"/>
      <c r="GU832" s="70"/>
      <c r="GV832" s="70"/>
      <c r="GW832" s="70"/>
      <c r="GX832" s="70"/>
      <c r="GY832" s="70"/>
      <c r="GZ832" s="70"/>
      <c r="HA832" s="70"/>
      <c r="HB832" s="70"/>
      <c r="HC832" s="70"/>
      <c r="HD832" s="70"/>
      <c r="HE832" s="70"/>
      <c r="HF832" s="70"/>
      <c r="HG832" s="70"/>
      <c r="HH832" s="70"/>
      <c r="HI832" s="70"/>
      <c r="HJ832" s="70"/>
      <c r="HK832" s="70"/>
      <c r="HL832" s="70"/>
      <c r="HM832" s="70"/>
      <c r="HN832" s="70"/>
      <c r="HO832" s="70"/>
      <c r="HP832" s="70"/>
      <c r="HQ832" s="70"/>
      <c r="HR832" s="70"/>
      <c r="HS832" s="70"/>
      <c r="HT832" s="70"/>
      <c r="HU832" s="70"/>
      <c r="HV832" s="70"/>
      <c r="HW832" s="70"/>
      <c r="HX832" s="70"/>
      <c r="HY832" s="70"/>
      <c r="HZ832" s="70"/>
      <c r="IA832" s="70"/>
      <c r="IB832" s="70"/>
      <c r="IC832" s="70"/>
      <c r="ID832" s="70"/>
      <c r="IE832" s="70"/>
      <c r="IF832" s="70"/>
      <c r="IG832" s="70"/>
      <c r="IH832" s="70"/>
      <c r="II832" s="70"/>
      <c r="IJ832" s="70"/>
      <c r="IK832" s="70"/>
      <c r="IL832" s="70"/>
      <c r="IM832" s="70"/>
      <c r="IN832" s="70"/>
      <c r="IO832" s="70"/>
      <c r="IP832" s="70"/>
      <c r="IQ832" s="70"/>
    </row>
    <row r="833" spans="18:251" ht="16.5" hidden="1" customHeight="1">
      <c r="R833" s="95" t="s">
        <v>450</v>
      </c>
      <c r="S833" s="95"/>
      <c r="T833" s="95"/>
      <c r="U833" s="70"/>
      <c r="V833" s="214"/>
      <c r="W833" s="70"/>
      <c r="X833" s="70"/>
      <c r="Y833" s="70"/>
      <c r="Z833" s="70"/>
      <c r="AA833" s="70"/>
      <c r="AB833" s="70"/>
      <c r="AC833" s="70"/>
      <c r="AD833" s="70"/>
      <c r="AE833" s="70"/>
      <c r="AF833" s="70"/>
      <c r="AG833" s="70"/>
      <c r="AH833" s="70"/>
      <c r="AI833" s="70"/>
      <c r="AJ833" s="70"/>
      <c r="AK833" s="70"/>
      <c r="AL833" s="70"/>
      <c r="AM833" s="70"/>
      <c r="AN833" s="70"/>
      <c r="AO833" s="70"/>
      <c r="AP833" s="70"/>
      <c r="AQ833" s="70"/>
      <c r="AR833" s="70"/>
      <c r="AS833" s="70"/>
      <c r="AT833" s="70"/>
      <c r="AU833" s="70"/>
      <c r="AV833" s="70"/>
      <c r="AW833" s="70"/>
      <c r="AX833" s="70"/>
      <c r="AY833" s="70"/>
      <c r="AZ833" s="70"/>
      <c r="BA833" s="70"/>
      <c r="BB833" s="70"/>
      <c r="BC833" s="70"/>
      <c r="BD833" s="70"/>
      <c r="BE833" s="70"/>
      <c r="BF833" s="70"/>
      <c r="BG833" s="70"/>
      <c r="BH833" s="70"/>
      <c r="BI833" s="70"/>
      <c r="BJ833" s="70"/>
      <c r="BK833" s="70"/>
      <c r="BL833" s="70"/>
      <c r="BM833" s="70"/>
      <c r="BN833" s="70"/>
      <c r="BO833" s="70"/>
      <c r="BP833" s="70"/>
      <c r="BQ833" s="70"/>
      <c r="BR833" s="70"/>
      <c r="BS833" s="70"/>
      <c r="BT833" s="70"/>
      <c r="BU833" s="70"/>
      <c r="BV833" s="70"/>
      <c r="BW833" s="70"/>
      <c r="BX833" s="70"/>
      <c r="BY833" s="70"/>
      <c r="BZ833" s="70"/>
      <c r="CA833" s="70"/>
      <c r="CB833" s="70"/>
      <c r="CC833" s="70"/>
      <c r="CD833" s="70"/>
      <c r="CE833" s="70"/>
      <c r="CF833" s="70"/>
      <c r="CG833" s="70"/>
      <c r="CH833" s="70"/>
      <c r="CI833" s="70"/>
      <c r="CJ833" s="70"/>
      <c r="CK833" s="70"/>
      <c r="CL833" s="70"/>
      <c r="CM833" s="70"/>
      <c r="CN833" s="70"/>
      <c r="CO833" s="70"/>
      <c r="CP833" s="70"/>
      <c r="CQ833" s="70"/>
      <c r="CR833" s="70"/>
      <c r="CS833" s="70"/>
      <c r="CT833" s="70"/>
      <c r="CU833" s="70"/>
      <c r="CV833" s="70"/>
      <c r="CW833" s="70"/>
      <c r="CX833" s="70"/>
      <c r="CY833" s="70"/>
      <c r="CZ833" s="70"/>
      <c r="DA833" s="70"/>
      <c r="DB833" s="70"/>
      <c r="DC833" s="70"/>
      <c r="DD833" s="70"/>
      <c r="DE833" s="70"/>
      <c r="DF833" s="70"/>
      <c r="DG833" s="70"/>
      <c r="DH833" s="70"/>
      <c r="DI833" s="70"/>
      <c r="DJ833" s="70"/>
      <c r="DK833" s="70"/>
      <c r="DL833" s="70"/>
      <c r="DM833" s="70"/>
      <c r="DN833" s="70"/>
      <c r="DO833" s="70"/>
      <c r="DP833" s="70"/>
      <c r="DQ833" s="70"/>
      <c r="DR833" s="70"/>
      <c r="DS833" s="70"/>
      <c r="DT833" s="70"/>
      <c r="DU833" s="70"/>
      <c r="DV833" s="70"/>
      <c r="DW833" s="70"/>
      <c r="DX833" s="70"/>
      <c r="DY833" s="70"/>
      <c r="DZ833" s="70"/>
      <c r="EA833" s="70"/>
      <c r="EB833" s="70"/>
      <c r="EC833" s="70"/>
      <c r="ED833" s="70"/>
      <c r="EE833" s="95" t="s">
        <v>450</v>
      </c>
      <c r="EF833" s="95"/>
      <c r="EG833" s="95"/>
      <c r="EH833" s="70"/>
      <c r="EI833" s="216"/>
      <c r="EJ833" s="70"/>
      <c r="EK833" s="70"/>
      <c r="EL833" s="70"/>
      <c r="EM833" s="70"/>
      <c r="EN833" s="70"/>
      <c r="EO833" s="70"/>
      <c r="EP833" s="70"/>
      <c r="EQ833" s="70"/>
      <c r="ER833" s="70"/>
      <c r="ES833" s="70"/>
      <c r="ET833" s="70"/>
      <c r="EU833" s="70"/>
      <c r="EV833" s="70"/>
      <c r="EW833" s="70"/>
      <c r="EX833" s="70"/>
      <c r="EY833" s="70"/>
      <c r="EZ833" s="70"/>
      <c r="FA833" s="70"/>
      <c r="FB833" s="70"/>
      <c r="FC833" s="70"/>
      <c r="FD833" s="70"/>
      <c r="FE833" s="70"/>
      <c r="FF833" s="70"/>
      <c r="FG833" s="70"/>
      <c r="FH833" s="70"/>
      <c r="FI833" s="70"/>
      <c r="FJ833" s="70"/>
      <c r="FK833" s="70"/>
      <c r="FL833" s="70"/>
      <c r="FM833" s="70"/>
      <c r="FN833" s="70"/>
      <c r="FO833" s="70"/>
      <c r="FP833" s="70"/>
      <c r="FQ833" s="70"/>
      <c r="FR833" s="70"/>
      <c r="FS833" s="70"/>
      <c r="FT833" s="70"/>
      <c r="FU833" s="70"/>
      <c r="FV833" s="70"/>
      <c r="FW833" s="70"/>
      <c r="FX833" s="70"/>
      <c r="FY833" s="70"/>
      <c r="FZ833" s="70"/>
      <c r="GA833" s="70"/>
      <c r="GB833" s="70"/>
      <c r="GC833" s="70"/>
      <c r="GD833" s="70"/>
      <c r="GE833" s="70"/>
      <c r="GF833" s="70"/>
      <c r="GG833" s="70"/>
      <c r="GH833" s="70"/>
      <c r="GI833" s="70"/>
      <c r="GJ833" s="70"/>
      <c r="GK833" s="70"/>
      <c r="GL833" s="70"/>
      <c r="GM833" s="70"/>
      <c r="GN833" s="70"/>
      <c r="GO833" s="70"/>
      <c r="GP833" s="70"/>
      <c r="GQ833" s="70"/>
      <c r="GR833" s="70"/>
      <c r="GS833" s="70"/>
      <c r="GT833" s="70"/>
      <c r="GU833" s="70"/>
      <c r="GV833" s="70"/>
      <c r="GW833" s="70"/>
      <c r="GX833" s="70"/>
      <c r="GY833" s="70"/>
      <c r="GZ833" s="70"/>
      <c r="HA833" s="70"/>
      <c r="HB833" s="70"/>
      <c r="HC833" s="70"/>
      <c r="HD833" s="70"/>
      <c r="HE833" s="70"/>
      <c r="HF833" s="70"/>
      <c r="HG833" s="70"/>
      <c r="HH833" s="70"/>
      <c r="HI833" s="70"/>
      <c r="HJ833" s="70"/>
      <c r="HK833" s="70"/>
      <c r="HL833" s="70"/>
      <c r="HM833" s="70"/>
      <c r="HN833" s="70"/>
      <c r="HO833" s="70"/>
      <c r="HP833" s="70"/>
      <c r="HQ833" s="70"/>
      <c r="HR833" s="70"/>
      <c r="HS833" s="70"/>
      <c r="HT833" s="70"/>
      <c r="HU833" s="70"/>
      <c r="HV833" s="70"/>
      <c r="HW833" s="70"/>
      <c r="HX833" s="70"/>
      <c r="HY833" s="70"/>
      <c r="HZ833" s="70"/>
      <c r="IA833" s="70"/>
      <c r="IB833" s="70"/>
      <c r="IC833" s="70"/>
      <c r="ID833" s="70"/>
      <c r="IE833" s="70"/>
      <c r="IF833" s="70"/>
      <c r="IG833" s="70"/>
      <c r="IH833" s="70"/>
      <c r="II833" s="70"/>
      <c r="IJ833" s="70"/>
      <c r="IK833" s="70"/>
      <c r="IL833" s="70"/>
      <c r="IM833" s="70"/>
      <c r="IN833" s="70"/>
      <c r="IO833" s="70"/>
      <c r="IP833" s="70"/>
      <c r="IQ833" s="70"/>
    </row>
    <row r="834" spans="18:251" ht="16.5" hidden="1" customHeight="1">
      <c r="R834" s="95" t="s">
        <v>450</v>
      </c>
      <c r="S834" s="95"/>
      <c r="T834" s="95"/>
      <c r="U834" s="70"/>
      <c r="V834" s="214"/>
      <c r="W834" s="70"/>
      <c r="X834" s="70"/>
      <c r="Y834" s="70"/>
      <c r="Z834" s="70"/>
      <c r="AA834" s="70"/>
      <c r="AB834" s="70"/>
      <c r="AC834" s="70"/>
      <c r="AD834" s="70"/>
      <c r="AE834" s="70"/>
      <c r="AF834" s="70"/>
      <c r="AG834" s="70"/>
      <c r="AH834" s="70"/>
      <c r="AI834" s="70"/>
      <c r="AJ834" s="70"/>
      <c r="AK834" s="70"/>
      <c r="AL834" s="70"/>
      <c r="AM834" s="70"/>
      <c r="AN834" s="70"/>
      <c r="AO834" s="70"/>
      <c r="AP834" s="70"/>
      <c r="AQ834" s="70"/>
      <c r="AR834" s="70"/>
      <c r="AS834" s="70"/>
      <c r="AT834" s="70"/>
      <c r="AU834" s="70"/>
      <c r="AV834" s="70"/>
      <c r="AW834" s="70"/>
      <c r="AX834" s="70"/>
      <c r="AY834" s="70"/>
      <c r="AZ834" s="70"/>
      <c r="BA834" s="70"/>
      <c r="BB834" s="70"/>
      <c r="BC834" s="70"/>
      <c r="BD834" s="70"/>
      <c r="BE834" s="70"/>
      <c r="BF834" s="70"/>
      <c r="BG834" s="70"/>
      <c r="BH834" s="70"/>
      <c r="BI834" s="70"/>
      <c r="BJ834" s="70"/>
      <c r="BK834" s="70"/>
      <c r="BL834" s="70"/>
      <c r="BM834" s="70"/>
      <c r="BN834" s="70"/>
      <c r="BO834" s="70"/>
      <c r="BP834" s="70"/>
      <c r="BQ834" s="70"/>
      <c r="BR834" s="70"/>
      <c r="BS834" s="70"/>
      <c r="BT834" s="70"/>
      <c r="BU834" s="70"/>
      <c r="BV834" s="70"/>
      <c r="BW834" s="70"/>
      <c r="BX834" s="70"/>
      <c r="BY834" s="70"/>
      <c r="BZ834" s="70"/>
      <c r="CA834" s="70"/>
      <c r="CB834" s="70"/>
      <c r="CC834" s="70"/>
      <c r="CD834" s="70"/>
      <c r="CE834" s="70"/>
      <c r="CF834" s="70"/>
      <c r="CG834" s="70"/>
      <c r="CH834" s="70"/>
      <c r="CI834" s="70"/>
      <c r="CJ834" s="70"/>
      <c r="CK834" s="70"/>
      <c r="CL834" s="70"/>
      <c r="CM834" s="70"/>
      <c r="CN834" s="70"/>
      <c r="CO834" s="70"/>
      <c r="CP834" s="70"/>
      <c r="CQ834" s="70"/>
      <c r="CR834" s="70"/>
      <c r="CS834" s="70"/>
      <c r="CT834" s="70"/>
      <c r="CU834" s="70"/>
      <c r="CV834" s="70"/>
      <c r="CW834" s="70"/>
      <c r="CX834" s="70"/>
      <c r="CY834" s="70"/>
      <c r="CZ834" s="70"/>
      <c r="DA834" s="70"/>
      <c r="DB834" s="70"/>
      <c r="DC834" s="70"/>
      <c r="DD834" s="70"/>
      <c r="DE834" s="70"/>
      <c r="DF834" s="70"/>
      <c r="DG834" s="70"/>
      <c r="DH834" s="70"/>
      <c r="DI834" s="70"/>
      <c r="DJ834" s="70"/>
      <c r="DK834" s="70"/>
      <c r="DL834" s="70"/>
      <c r="DM834" s="70"/>
      <c r="DN834" s="70"/>
      <c r="DO834" s="70"/>
      <c r="DP834" s="70"/>
      <c r="DQ834" s="70"/>
      <c r="DR834" s="70"/>
      <c r="DS834" s="70"/>
      <c r="DT834" s="70"/>
      <c r="DU834" s="70"/>
      <c r="DV834" s="70"/>
      <c r="DW834" s="70"/>
      <c r="DX834" s="70"/>
      <c r="DY834" s="70"/>
      <c r="DZ834" s="70"/>
      <c r="EA834" s="70"/>
      <c r="EB834" s="70"/>
      <c r="EC834" s="70"/>
      <c r="ED834" s="70"/>
      <c r="EE834" s="95" t="s">
        <v>450</v>
      </c>
      <c r="EF834" s="95"/>
      <c r="EG834" s="95"/>
      <c r="EH834" s="70"/>
      <c r="EI834" s="216"/>
      <c r="EJ834" s="70"/>
      <c r="EK834" s="70"/>
      <c r="EL834" s="70"/>
      <c r="EM834" s="70"/>
      <c r="EN834" s="70"/>
      <c r="EO834" s="70"/>
      <c r="EP834" s="70"/>
      <c r="EQ834" s="70"/>
      <c r="ER834" s="70"/>
      <c r="ES834" s="70"/>
      <c r="ET834" s="70"/>
      <c r="EU834" s="70"/>
      <c r="EV834" s="70"/>
      <c r="EW834" s="70"/>
      <c r="EX834" s="70"/>
      <c r="EY834" s="70"/>
      <c r="EZ834" s="70"/>
      <c r="FA834" s="70"/>
      <c r="FB834" s="70"/>
      <c r="FC834" s="70"/>
      <c r="FD834" s="70"/>
      <c r="FE834" s="70"/>
      <c r="FF834" s="70"/>
      <c r="FG834" s="70"/>
      <c r="FH834" s="70"/>
      <c r="FI834" s="70"/>
      <c r="FJ834" s="70"/>
      <c r="FK834" s="70"/>
      <c r="FL834" s="70"/>
      <c r="FM834" s="70"/>
      <c r="FN834" s="70"/>
      <c r="FO834" s="70"/>
      <c r="FP834" s="70"/>
      <c r="FQ834" s="70"/>
      <c r="FR834" s="70"/>
      <c r="FS834" s="70"/>
      <c r="FT834" s="70"/>
      <c r="FU834" s="70"/>
      <c r="FV834" s="70"/>
      <c r="FW834" s="70"/>
      <c r="FX834" s="70"/>
      <c r="FY834" s="70"/>
      <c r="FZ834" s="70"/>
      <c r="GA834" s="70"/>
      <c r="GB834" s="70"/>
      <c r="GC834" s="70"/>
      <c r="GD834" s="70"/>
      <c r="GE834" s="70"/>
      <c r="GF834" s="70"/>
      <c r="GG834" s="70"/>
      <c r="GH834" s="70"/>
      <c r="GI834" s="70"/>
      <c r="GJ834" s="70"/>
      <c r="GK834" s="70"/>
      <c r="GL834" s="70"/>
      <c r="GM834" s="70"/>
      <c r="GN834" s="70"/>
      <c r="GO834" s="70"/>
      <c r="GP834" s="70"/>
      <c r="GQ834" s="70"/>
      <c r="GR834" s="70"/>
      <c r="GS834" s="70"/>
      <c r="GT834" s="70"/>
      <c r="GU834" s="70"/>
      <c r="GV834" s="70"/>
      <c r="GW834" s="70"/>
      <c r="GX834" s="70"/>
      <c r="GY834" s="70"/>
      <c r="GZ834" s="70"/>
      <c r="HA834" s="70"/>
      <c r="HB834" s="70"/>
      <c r="HC834" s="70"/>
      <c r="HD834" s="70"/>
      <c r="HE834" s="70"/>
      <c r="HF834" s="70"/>
      <c r="HG834" s="70"/>
      <c r="HH834" s="70"/>
      <c r="HI834" s="70"/>
      <c r="HJ834" s="70"/>
      <c r="HK834" s="70"/>
      <c r="HL834" s="70"/>
      <c r="HM834" s="70"/>
      <c r="HN834" s="70"/>
      <c r="HO834" s="70"/>
      <c r="HP834" s="70"/>
      <c r="HQ834" s="70"/>
      <c r="HR834" s="70"/>
      <c r="HS834" s="70"/>
      <c r="HT834" s="70"/>
      <c r="HU834" s="70"/>
      <c r="HV834" s="70"/>
      <c r="HW834" s="70"/>
      <c r="HX834" s="70"/>
      <c r="HY834" s="70"/>
      <c r="HZ834" s="70"/>
      <c r="IA834" s="70"/>
      <c r="IB834" s="70"/>
      <c r="IC834" s="70"/>
      <c r="ID834" s="70"/>
      <c r="IE834" s="70"/>
      <c r="IF834" s="70"/>
      <c r="IG834" s="70"/>
      <c r="IH834" s="70"/>
      <c r="II834" s="70"/>
      <c r="IJ834" s="70"/>
      <c r="IK834" s="70"/>
      <c r="IL834" s="70"/>
      <c r="IM834" s="70"/>
      <c r="IN834" s="70"/>
      <c r="IO834" s="70"/>
      <c r="IP834" s="70"/>
      <c r="IQ834" s="70"/>
    </row>
    <row r="835" spans="18:251" ht="16.5" hidden="1" customHeight="1">
      <c r="R835" s="95" t="s">
        <v>450</v>
      </c>
      <c r="S835" s="95"/>
      <c r="T835" s="95"/>
      <c r="U835" s="70"/>
      <c r="V835" s="214"/>
      <c r="W835" s="70"/>
      <c r="X835" s="70"/>
      <c r="Y835" s="70"/>
      <c r="Z835" s="70"/>
      <c r="AA835" s="70"/>
      <c r="AB835" s="70"/>
      <c r="AC835" s="70"/>
      <c r="AD835" s="70"/>
      <c r="AE835" s="70"/>
      <c r="AF835" s="70"/>
      <c r="AG835" s="70"/>
      <c r="AH835" s="70"/>
      <c r="AI835" s="70"/>
      <c r="AJ835" s="70"/>
      <c r="AK835" s="70"/>
      <c r="AL835" s="70"/>
      <c r="AM835" s="70"/>
      <c r="AN835" s="70"/>
      <c r="AO835" s="70"/>
      <c r="AP835" s="70"/>
      <c r="AQ835" s="70"/>
      <c r="AR835" s="70"/>
      <c r="AS835" s="70"/>
      <c r="AT835" s="70"/>
      <c r="AU835" s="70"/>
      <c r="AV835" s="70"/>
      <c r="AW835" s="70"/>
      <c r="AX835" s="70"/>
      <c r="AY835" s="70"/>
      <c r="AZ835" s="70"/>
      <c r="BA835" s="70"/>
      <c r="BB835" s="70"/>
      <c r="BC835" s="70"/>
      <c r="BD835" s="70"/>
      <c r="BE835" s="70"/>
      <c r="BF835" s="70"/>
      <c r="BG835" s="70"/>
      <c r="BH835" s="70"/>
      <c r="BI835" s="70"/>
      <c r="BJ835" s="70"/>
      <c r="BK835" s="70"/>
      <c r="BL835" s="70"/>
      <c r="BM835" s="70"/>
      <c r="BN835" s="70"/>
      <c r="BO835" s="70"/>
      <c r="BP835" s="70"/>
      <c r="BQ835" s="70"/>
      <c r="BR835" s="70"/>
      <c r="BS835" s="70"/>
      <c r="BT835" s="70"/>
      <c r="BU835" s="70"/>
      <c r="BV835" s="70"/>
      <c r="BW835" s="70"/>
      <c r="BX835" s="70"/>
      <c r="BY835" s="70"/>
      <c r="BZ835" s="70"/>
      <c r="CA835" s="70"/>
      <c r="CB835" s="70"/>
      <c r="CC835" s="70"/>
      <c r="CD835" s="70"/>
      <c r="CE835" s="70"/>
      <c r="CF835" s="70"/>
      <c r="CG835" s="70"/>
      <c r="CH835" s="70"/>
      <c r="CI835" s="70"/>
      <c r="CJ835" s="70"/>
      <c r="CK835" s="70"/>
      <c r="CL835" s="70"/>
      <c r="CM835" s="70"/>
      <c r="CN835" s="70"/>
      <c r="CO835" s="70"/>
      <c r="CP835" s="70"/>
      <c r="CQ835" s="70"/>
      <c r="CR835" s="70"/>
      <c r="CS835" s="70"/>
      <c r="CT835" s="70"/>
      <c r="CU835" s="70"/>
      <c r="CV835" s="70"/>
      <c r="CW835" s="70"/>
      <c r="CX835" s="70"/>
      <c r="CY835" s="70"/>
      <c r="CZ835" s="70"/>
      <c r="DA835" s="70"/>
      <c r="DB835" s="70"/>
      <c r="DC835" s="70"/>
      <c r="DD835" s="70"/>
      <c r="DE835" s="70"/>
      <c r="DF835" s="70"/>
      <c r="DG835" s="70"/>
      <c r="DH835" s="70"/>
      <c r="DI835" s="70"/>
      <c r="DJ835" s="70"/>
      <c r="DK835" s="70"/>
      <c r="DL835" s="70"/>
      <c r="DM835" s="70"/>
      <c r="DN835" s="70"/>
      <c r="DO835" s="70"/>
      <c r="DP835" s="70"/>
      <c r="DQ835" s="70"/>
      <c r="DR835" s="70"/>
      <c r="DS835" s="70"/>
      <c r="DT835" s="70"/>
      <c r="DU835" s="70"/>
      <c r="DV835" s="70"/>
      <c r="DW835" s="70"/>
      <c r="DX835" s="70"/>
      <c r="DY835" s="70"/>
      <c r="DZ835" s="70"/>
      <c r="EA835" s="70"/>
      <c r="EB835" s="70"/>
      <c r="EC835" s="70"/>
      <c r="ED835" s="70"/>
      <c r="EE835" s="95" t="s">
        <v>450</v>
      </c>
      <c r="EF835" s="95"/>
      <c r="EG835" s="95"/>
      <c r="EH835" s="70"/>
      <c r="EI835" s="216"/>
      <c r="EJ835" s="70"/>
      <c r="EK835" s="70"/>
      <c r="EL835" s="70"/>
      <c r="EM835" s="70"/>
      <c r="EN835" s="70"/>
      <c r="EO835" s="70"/>
      <c r="EP835" s="70"/>
      <c r="EQ835" s="70"/>
      <c r="ER835" s="70"/>
      <c r="ES835" s="70"/>
      <c r="ET835" s="70"/>
      <c r="EU835" s="70"/>
      <c r="EV835" s="70"/>
      <c r="EW835" s="70"/>
      <c r="EX835" s="70"/>
      <c r="EY835" s="70"/>
      <c r="EZ835" s="70"/>
      <c r="FA835" s="70"/>
      <c r="FB835" s="70"/>
      <c r="FC835" s="70"/>
      <c r="FD835" s="70"/>
      <c r="FE835" s="70"/>
      <c r="FF835" s="70"/>
      <c r="FG835" s="70"/>
      <c r="FH835" s="70"/>
      <c r="FI835" s="70"/>
      <c r="FJ835" s="70"/>
      <c r="FK835" s="70"/>
      <c r="FL835" s="70"/>
      <c r="FM835" s="70"/>
      <c r="FN835" s="70"/>
      <c r="FO835" s="70"/>
      <c r="FP835" s="70"/>
      <c r="FQ835" s="70"/>
      <c r="FR835" s="70"/>
      <c r="FS835" s="70"/>
      <c r="FT835" s="70"/>
      <c r="FU835" s="70"/>
      <c r="FV835" s="70"/>
      <c r="FW835" s="70"/>
      <c r="FX835" s="70"/>
      <c r="FY835" s="70"/>
      <c r="FZ835" s="70"/>
      <c r="GA835" s="70"/>
      <c r="GB835" s="70"/>
      <c r="GC835" s="70"/>
      <c r="GD835" s="70"/>
      <c r="GE835" s="70"/>
      <c r="GF835" s="70"/>
      <c r="GG835" s="70"/>
      <c r="GH835" s="70"/>
      <c r="GI835" s="70"/>
      <c r="GJ835" s="70"/>
      <c r="GK835" s="70"/>
      <c r="GL835" s="70"/>
      <c r="GM835" s="70"/>
      <c r="GN835" s="70"/>
      <c r="GO835" s="70"/>
      <c r="GP835" s="70"/>
      <c r="GQ835" s="70"/>
      <c r="GR835" s="70"/>
      <c r="GS835" s="70"/>
      <c r="GT835" s="70"/>
      <c r="GU835" s="70"/>
      <c r="GV835" s="70"/>
      <c r="GW835" s="70"/>
      <c r="GX835" s="70"/>
      <c r="GY835" s="70"/>
      <c r="GZ835" s="70"/>
      <c r="HA835" s="70"/>
      <c r="HB835" s="70"/>
      <c r="HC835" s="70"/>
      <c r="HD835" s="70"/>
      <c r="HE835" s="70"/>
      <c r="HF835" s="70"/>
      <c r="HG835" s="70"/>
      <c r="HH835" s="70"/>
      <c r="HI835" s="70"/>
      <c r="HJ835" s="70"/>
      <c r="HK835" s="70"/>
      <c r="HL835" s="70"/>
      <c r="HM835" s="70"/>
      <c r="HN835" s="70"/>
      <c r="HO835" s="70"/>
      <c r="HP835" s="70"/>
      <c r="HQ835" s="70"/>
      <c r="HR835" s="70"/>
      <c r="HS835" s="70"/>
      <c r="HT835" s="70"/>
      <c r="HU835" s="70"/>
      <c r="HV835" s="70"/>
      <c r="HW835" s="70"/>
      <c r="HX835" s="70"/>
      <c r="HY835" s="70"/>
      <c r="HZ835" s="70"/>
      <c r="IA835" s="70"/>
      <c r="IB835" s="70"/>
      <c r="IC835" s="70"/>
      <c r="ID835" s="70"/>
      <c r="IE835" s="70"/>
      <c r="IF835" s="70"/>
      <c r="IG835" s="70"/>
      <c r="IH835" s="70"/>
      <c r="II835" s="70"/>
      <c r="IJ835" s="70"/>
      <c r="IK835" s="70"/>
      <c r="IL835" s="70"/>
      <c r="IM835" s="70"/>
      <c r="IN835" s="70"/>
      <c r="IO835" s="70"/>
      <c r="IP835" s="70"/>
      <c r="IQ835" s="70"/>
    </row>
    <row r="836" spans="18:251" ht="16.5" hidden="1" customHeight="1">
      <c r="R836" s="95" t="s">
        <v>450</v>
      </c>
      <c r="S836" s="95"/>
      <c r="T836" s="95"/>
      <c r="U836" s="70"/>
      <c r="V836" s="214"/>
      <c r="W836" s="70"/>
      <c r="X836" s="70"/>
      <c r="Y836" s="70"/>
      <c r="Z836" s="70"/>
      <c r="AA836" s="70"/>
      <c r="AB836" s="70"/>
      <c r="AC836" s="70"/>
      <c r="AD836" s="70"/>
      <c r="AE836" s="70"/>
      <c r="AF836" s="70"/>
      <c r="AG836" s="70"/>
      <c r="AH836" s="70"/>
      <c r="AI836" s="70"/>
      <c r="AJ836" s="70"/>
      <c r="AK836" s="70"/>
      <c r="AL836" s="70"/>
      <c r="AM836" s="70"/>
      <c r="AN836" s="70"/>
      <c r="AO836" s="70"/>
      <c r="AP836" s="70"/>
      <c r="AQ836" s="70"/>
      <c r="AR836" s="70"/>
      <c r="AS836" s="70"/>
      <c r="AT836" s="70"/>
      <c r="AU836" s="70"/>
      <c r="AV836" s="70"/>
      <c r="AW836" s="70"/>
      <c r="AX836" s="70"/>
      <c r="AY836" s="70"/>
      <c r="AZ836" s="70"/>
      <c r="BA836" s="70"/>
      <c r="BB836" s="70"/>
      <c r="BC836" s="70"/>
      <c r="BD836" s="70"/>
      <c r="BE836" s="70"/>
      <c r="BF836" s="70"/>
      <c r="BG836" s="70"/>
      <c r="BH836" s="70"/>
      <c r="BI836" s="70"/>
      <c r="BJ836" s="70"/>
      <c r="BK836" s="70"/>
      <c r="BL836" s="70"/>
      <c r="BM836" s="70"/>
      <c r="BN836" s="70"/>
      <c r="BO836" s="70"/>
      <c r="BP836" s="70"/>
      <c r="BQ836" s="70"/>
      <c r="BR836" s="70"/>
      <c r="BS836" s="70"/>
      <c r="BT836" s="70"/>
      <c r="BU836" s="70"/>
      <c r="BV836" s="70"/>
      <c r="BW836" s="70"/>
      <c r="BX836" s="70"/>
      <c r="BY836" s="70"/>
      <c r="BZ836" s="70"/>
      <c r="CA836" s="70"/>
      <c r="CB836" s="70"/>
      <c r="CC836" s="70"/>
      <c r="CD836" s="70"/>
      <c r="CE836" s="70"/>
      <c r="CF836" s="70"/>
      <c r="CG836" s="70"/>
      <c r="CH836" s="70"/>
      <c r="CI836" s="70"/>
      <c r="CJ836" s="70"/>
      <c r="CK836" s="70"/>
      <c r="CL836" s="70"/>
      <c r="CM836" s="70"/>
      <c r="CN836" s="70"/>
      <c r="CO836" s="70"/>
      <c r="CP836" s="70"/>
      <c r="CQ836" s="70"/>
      <c r="CR836" s="70"/>
      <c r="CS836" s="70"/>
      <c r="CT836" s="70"/>
      <c r="CU836" s="70"/>
      <c r="CV836" s="70"/>
      <c r="CW836" s="70"/>
      <c r="CX836" s="70"/>
      <c r="CY836" s="70"/>
      <c r="CZ836" s="70"/>
      <c r="DA836" s="70"/>
      <c r="DB836" s="70"/>
      <c r="DC836" s="70"/>
      <c r="DD836" s="70"/>
      <c r="DE836" s="70"/>
      <c r="DF836" s="70"/>
      <c r="DG836" s="70"/>
      <c r="DH836" s="70"/>
      <c r="DI836" s="70"/>
      <c r="DJ836" s="70"/>
      <c r="DK836" s="70"/>
      <c r="DL836" s="70"/>
      <c r="DM836" s="70"/>
      <c r="DN836" s="70"/>
      <c r="DO836" s="70"/>
      <c r="DP836" s="70"/>
      <c r="DQ836" s="70"/>
      <c r="DR836" s="70"/>
      <c r="DS836" s="70"/>
      <c r="DT836" s="70"/>
      <c r="DU836" s="70"/>
      <c r="DV836" s="70"/>
      <c r="DW836" s="70"/>
      <c r="DX836" s="70"/>
      <c r="DY836" s="70"/>
      <c r="DZ836" s="70"/>
      <c r="EA836" s="70"/>
      <c r="EB836" s="70"/>
      <c r="EC836" s="70"/>
      <c r="ED836" s="70"/>
      <c r="EE836" s="95" t="s">
        <v>450</v>
      </c>
      <c r="EF836" s="95"/>
      <c r="EG836" s="95"/>
      <c r="EH836" s="70"/>
      <c r="EI836" s="216"/>
      <c r="EJ836" s="70"/>
      <c r="EK836" s="70"/>
      <c r="EL836" s="70"/>
      <c r="EM836" s="70"/>
      <c r="EN836" s="70"/>
      <c r="EO836" s="70"/>
      <c r="EP836" s="70"/>
      <c r="EQ836" s="70"/>
      <c r="ER836" s="70"/>
      <c r="ES836" s="70"/>
      <c r="ET836" s="70"/>
      <c r="EU836" s="70"/>
      <c r="EV836" s="70"/>
      <c r="EW836" s="70"/>
      <c r="EX836" s="70"/>
      <c r="EY836" s="70"/>
      <c r="EZ836" s="70"/>
      <c r="FA836" s="70"/>
      <c r="FB836" s="70"/>
      <c r="FC836" s="70"/>
      <c r="FD836" s="70"/>
      <c r="FE836" s="70"/>
      <c r="FF836" s="70"/>
      <c r="FG836" s="70"/>
      <c r="FH836" s="70"/>
      <c r="FI836" s="70"/>
      <c r="FJ836" s="70"/>
      <c r="FK836" s="70"/>
      <c r="FL836" s="70"/>
      <c r="FM836" s="70"/>
      <c r="FN836" s="70"/>
      <c r="FO836" s="70"/>
      <c r="FP836" s="70"/>
      <c r="FQ836" s="70"/>
      <c r="FR836" s="70"/>
      <c r="FS836" s="70"/>
      <c r="FT836" s="70"/>
      <c r="FU836" s="70"/>
      <c r="FV836" s="70"/>
      <c r="FW836" s="70"/>
      <c r="FX836" s="70"/>
      <c r="FY836" s="70"/>
      <c r="FZ836" s="70"/>
      <c r="GA836" s="70"/>
      <c r="GB836" s="70"/>
      <c r="GC836" s="70"/>
      <c r="GD836" s="70"/>
      <c r="GE836" s="70"/>
      <c r="GF836" s="70"/>
      <c r="GG836" s="70"/>
      <c r="GH836" s="70"/>
      <c r="GI836" s="70"/>
      <c r="GJ836" s="70"/>
      <c r="GK836" s="70"/>
      <c r="GL836" s="70"/>
      <c r="GM836" s="70"/>
      <c r="GN836" s="70"/>
      <c r="GO836" s="70"/>
      <c r="GP836" s="70"/>
      <c r="GQ836" s="70"/>
      <c r="GR836" s="70"/>
      <c r="GS836" s="70"/>
      <c r="GT836" s="70"/>
      <c r="GU836" s="70"/>
      <c r="GV836" s="70"/>
      <c r="GW836" s="70"/>
      <c r="GX836" s="70"/>
      <c r="GY836" s="70"/>
      <c r="GZ836" s="70"/>
      <c r="HA836" s="70"/>
      <c r="HB836" s="70"/>
      <c r="HC836" s="70"/>
      <c r="HD836" s="70"/>
      <c r="HE836" s="70"/>
      <c r="HF836" s="70"/>
      <c r="HG836" s="70"/>
      <c r="HH836" s="70"/>
      <c r="HI836" s="70"/>
      <c r="HJ836" s="70"/>
      <c r="HK836" s="70"/>
      <c r="HL836" s="70"/>
      <c r="HM836" s="70"/>
      <c r="HN836" s="70"/>
      <c r="HO836" s="70"/>
      <c r="HP836" s="70"/>
      <c r="HQ836" s="70"/>
      <c r="HR836" s="70"/>
      <c r="HS836" s="70"/>
      <c r="HT836" s="70"/>
      <c r="HU836" s="70"/>
      <c r="HV836" s="70"/>
      <c r="HW836" s="70"/>
      <c r="HX836" s="70"/>
      <c r="HY836" s="70"/>
      <c r="HZ836" s="70"/>
      <c r="IA836" s="70"/>
      <c r="IB836" s="70"/>
      <c r="IC836" s="70"/>
      <c r="ID836" s="70"/>
      <c r="IE836" s="70"/>
      <c r="IF836" s="70"/>
      <c r="IG836" s="70"/>
      <c r="IH836" s="70"/>
      <c r="II836" s="70"/>
      <c r="IJ836" s="70"/>
      <c r="IK836" s="70"/>
      <c r="IL836" s="70"/>
      <c r="IM836" s="70"/>
      <c r="IN836" s="70"/>
      <c r="IO836" s="70"/>
      <c r="IP836" s="70"/>
      <c r="IQ836" s="70"/>
    </row>
    <row r="837" spans="18:251" ht="16.5" hidden="1" customHeight="1">
      <c r="R837" s="95" t="s">
        <v>450</v>
      </c>
      <c r="S837" s="95"/>
      <c r="T837" s="95"/>
      <c r="U837" s="70"/>
      <c r="V837" s="214"/>
      <c r="W837" s="70"/>
      <c r="X837" s="70"/>
      <c r="Y837" s="70"/>
      <c r="Z837" s="70"/>
      <c r="AA837" s="70"/>
      <c r="AB837" s="70"/>
      <c r="AC837" s="70"/>
      <c r="AD837" s="70"/>
      <c r="AE837" s="70"/>
      <c r="AF837" s="70"/>
      <c r="AG837" s="70"/>
      <c r="AH837" s="70"/>
      <c r="AI837" s="70"/>
      <c r="AJ837" s="70"/>
      <c r="AK837" s="70"/>
      <c r="AL837" s="70"/>
      <c r="AM837" s="70"/>
      <c r="AN837" s="70"/>
      <c r="AO837" s="70"/>
      <c r="AP837" s="70"/>
      <c r="AQ837" s="70"/>
      <c r="AR837" s="70"/>
      <c r="AS837" s="70"/>
      <c r="AT837" s="70"/>
      <c r="AU837" s="70"/>
      <c r="AV837" s="70"/>
      <c r="AW837" s="70"/>
      <c r="AX837" s="70"/>
      <c r="AY837" s="70"/>
      <c r="AZ837" s="70"/>
      <c r="BA837" s="70"/>
      <c r="BB837" s="70"/>
      <c r="BC837" s="70"/>
      <c r="BD837" s="70"/>
      <c r="BE837" s="70"/>
      <c r="BF837" s="70"/>
      <c r="BG837" s="70"/>
      <c r="BH837" s="70"/>
      <c r="BI837" s="70"/>
      <c r="BJ837" s="70"/>
      <c r="BK837" s="70"/>
      <c r="BL837" s="70"/>
      <c r="BM837" s="70"/>
      <c r="BN837" s="70"/>
      <c r="BO837" s="70"/>
      <c r="BP837" s="70"/>
      <c r="BQ837" s="70"/>
      <c r="BR837" s="70"/>
      <c r="BS837" s="70"/>
      <c r="BT837" s="70"/>
      <c r="BU837" s="70"/>
      <c r="BV837" s="70"/>
      <c r="BW837" s="70"/>
      <c r="BX837" s="70"/>
      <c r="BY837" s="70"/>
      <c r="BZ837" s="70"/>
      <c r="CA837" s="70"/>
      <c r="CB837" s="70"/>
      <c r="CC837" s="70"/>
      <c r="CD837" s="70"/>
      <c r="CE837" s="70"/>
      <c r="CF837" s="70"/>
      <c r="CG837" s="70"/>
      <c r="CH837" s="70"/>
      <c r="CI837" s="70"/>
      <c r="CJ837" s="70"/>
      <c r="CK837" s="70"/>
      <c r="CL837" s="70"/>
      <c r="CM837" s="70"/>
      <c r="CN837" s="70"/>
      <c r="CO837" s="70"/>
      <c r="CP837" s="70"/>
      <c r="CQ837" s="70"/>
      <c r="CR837" s="70"/>
      <c r="CS837" s="70"/>
      <c r="CT837" s="70"/>
      <c r="CU837" s="70"/>
      <c r="CV837" s="70"/>
      <c r="CW837" s="70"/>
      <c r="CX837" s="70"/>
      <c r="CY837" s="70"/>
      <c r="CZ837" s="70"/>
      <c r="DA837" s="70"/>
      <c r="DB837" s="70"/>
      <c r="DC837" s="70"/>
      <c r="DD837" s="70"/>
      <c r="DE837" s="70"/>
      <c r="DF837" s="70"/>
      <c r="DG837" s="70"/>
      <c r="DH837" s="70"/>
      <c r="DI837" s="70"/>
      <c r="DJ837" s="70"/>
      <c r="DK837" s="70"/>
      <c r="DL837" s="70"/>
      <c r="DM837" s="70"/>
      <c r="DN837" s="70"/>
      <c r="DO837" s="70"/>
      <c r="DP837" s="70"/>
      <c r="DQ837" s="70"/>
      <c r="DR837" s="70"/>
      <c r="DS837" s="70"/>
      <c r="DT837" s="70"/>
      <c r="DU837" s="70"/>
      <c r="DV837" s="70"/>
      <c r="DW837" s="70"/>
      <c r="DX837" s="70"/>
      <c r="DY837" s="70"/>
      <c r="DZ837" s="70"/>
      <c r="EA837" s="70"/>
      <c r="EB837" s="70"/>
      <c r="EC837" s="70"/>
      <c r="ED837" s="70"/>
      <c r="EE837" s="95" t="s">
        <v>450</v>
      </c>
      <c r="EF837" s="95"/>
      <c r="EG837" s="95"/>
      <c r="EH837" s="70"/>
      <c r="EI837" s="216"/>
      <c r="EJ837" s="70"/>
      <c r="EK837" s="70"/>
      <c r="EL837" s="70"/>
      <c r="EM837" s="70"/>
      <c r="EN837" s="70"/>
      <c r="EO837" s="70"/>
      <c r="EP837" s="70"/>
      <c r="EQ837" s="70"/>
      <c r="ER837" s="70"/>
      <c r="ES837" s="70"/>
      <c r="ET837" s="70"/>
      <c r="EU837" s="70"/>
      <c r="EV837" s="70"/>
      <c r="EW837" s="70"/>
      <c r="EX837" s="70"/>
      <c r="EY837" s="70"/>
      <c r="EZ837" s="70"/>
      <c r="FA837" s="70"/>
      <c r="FB837" s="70"/>
      <c r="FC837" s="70"/>
      <c r="FD837" s="70"/>
      <c r="FE837" s="70"/>
      <c r="FF837" s="70"/>
      <c r="FG837" s="70"/>
      <c r="FH837" s="70"/>
      <c r="FI837" s="70"/>
      <c r="FJ837" s="70"/>
      <c r="FK837" s="70"/>
      <c r="FL837" s="70"/>
      <c r="FM837" s="70"/>
      <c r="FN837" s="70"/>
      <c r="FO837" s="70"/>
      <c r="FP837" s="70"/>
      <c r="FQ837" s="70"/>
      <c r="FR837" s="70"/>
      <c r="FS837" s="70"/>
      <c r="FT837" s="70"/>
      <c r="FU837" s="70"/>
      <c r="FV837" s="70"/>
      <c r="FW837" s="70"/>
      <c r="FX837" s="70"/>
      <c r="FY837" s="70"/>
      <c r="FZ837" s="70"/>
      <c r="GA837" s="70"/>
      <c r="GB837" s="70"/>
      <c r="GC837" s="70"/>
      <c r="GD837" s="70"/>
      <c r="GE837" s="70"/>
      <c r="GF837" s="70"/>
      <c r="GG837" s="70"/>
      <c r="GH837" s="70"/>
      <c r="GI837" s="70"/>
      <c r="GJ837" s="70"/>
      <c r="GK837" s="70"/>
      <c r="GL837" s="70"/>
      <c r="GM837" s="70"/>
      <c r="GN837" s="70"/>
      <c r="GO837" s="70"/>
      <c r="GP837" s="70"/>
      <c r="GQ837" s="70"/>
      <c r="GR837" s="70"/>
      <c r="GS837" s="70"/>
      <c r="GT837" s="70"/>
      <c r="GU837" s="70"/>
      <c r="GV837" s="70"/>
      <c r="GW837" s="70"/>
      <c r="GX837" s="70"/>
      <c r="GY837" s="70"/>
      <c r="GZ837" s="70"/>
      <c r="HA837" s="70"/>
      <c r="HB837" s="70"/>
      <c r="HC837" s="70"/>
      <c r="HD837" s="70"/>
      <c r="HE837" s="70"/>
      <c r="HF837" s="70"/>
      <c r="HG837" s="70"/>
      <c r="HH837" s="70"/>
      <c r="HI837" s="70"/>
      <c r="HJ837" s="70"/>
      <c r="HK837" s="70"/>
      <c r="HL837" s="70"/>
      <c r="HM837" s="70"/>
      <c r="HN837" s="70"/>
      <c r="HO837" s="70"/>
      <c r="HP837" s="70"/>
      <c r="HQ837" s="70"/>
      <c r="HR837" s="70"/>
      <c r="HS837" s="70"/>
      <c r="HT837" s="70"/>
      <c r="HU837" s="70"/>
      <c r="HV837" s="70"/>
      <c r="HW837" s="70"/>
      <c r="HX837" s="70"/>
      <c r="HY837" s="70"/>
      <c r="HZ837" s="70"/>
      <c r="IA837" s="70"/>
      <c r="IB837" s="70"/>
      <c r="IC837" s="70"/>
      <c r="ID837" s="70"/>
      <c r="IE837" s="70"/>
      <c r="IF837" s="70"/>
      <c r="IG837" s="70"/>
      <c r="IH837" s="70"/>
      <c r="II837" s="70"/>
      <c r="IJ837" s="70"/>
      <c r="IK837" s="70"/>
      <c r="IL837" s="70"/>
      <c r="IM837" s="70"/>
      <c r="IN837" s="70"/>
      <c r="IO837" s="70"/>
      <c r="IP837" s="70"/>
      <c r="IQ837" s="70"/>
    </row>
    <row r="838" spans="18:251" ht="16.5" hidden="1" customHeight="1">
      <c r="R838" s="95" t="s">
        <v>450</v>
      </c>
      <c r="S838" s="95"/>
      <c r="T838" s="95"/>
      <c r="U838" s="70"/>
      <c r="V838" s="214"/>
      <c r="W838" s="70"/>
      <c r="X838" s="70"/>
      <c r="Y838" s="70"/>
      <c r="Z838" s="70"/>
      <c r="AA838" s="70"/>
      <c r="AB838" s="70"/>
      <c r="AC838" s="70"/>
      <c r="AD838" s="70"/>
      <c r="AE838" s="70"/>
      <c r="AF838" s="70"/>
      <c r="AG838" s="70"/>
      <c r="AH838" s="70"/>
      <c r="AI838" s="70"/>
      <c r="AJ838" s="70"/>
      <c r="AK838" s="70"/>
      <c r="AL838" s="70"/>
      <c r="AM838" s="70"/>
      <c r="AN838" s="70"/>
      <c r="AO838" s="70"/>
      <c r="AP838" s="70"/>
      <c r="AQ838" s="70"/>
      <c r="AR838" s="70"/>
      <c r="AS838" s="70"/>
      <c r="AT838" s="70"/>
      <c r="AU838" s="70"/>
      <c r="AV838" s="70"/>
      <c r="AW838" s="70"/>
      <c r="AX838" s="70"/>
      <c r="AY838" s="70"/>
      <c r="AZ838" s="70"/>
      <c r="BA838" s="70"/>
      <c r="BB838" s="70"/>
      <c r="BC838" s="70"/>
      <c r="BD838" s="70"/>
      <c r="BE838" s="70"/>
      <c r="BF838" s="70"/>
      <c r="BG838" s="70"/>
      <c r="BH838" s="70"/>
      <c r="BI838" s="70"/>
      <c r="BJ838" s="70"/>
      <c r="BK838" s="70"/>
      <c r="BL838" s="70"/>
      <c r="BM838" s="70"/>
      <c r="BN838" s="70"/>
      <c r="BO838" s="70"/>
      <c r="BP838" s="70"/>
      <c r="BQ838" s="70"/>
      <c r="BR838" s="70"/>
      <c r="BS838" s="70"/>
      <c r="BT838" s="70"/>
      <c r="BU838" s="70"/>
      <c r="BV838" s="70"/>
      <c r="BW838" s="70"/>
      <c r="BX838" s="70"/>
      <c r="BY838" s="70"/>
      <c r="BZ838" s="70"/>
      <c r="CA838" s="70"/>
      <c r="CB838" s="70"/>
      <c r="CC838" s="70"/>
      <c r="CD838" s="70"/>
      <c r="CE838" s="70"/>
      <c r="CF838" s="70"/>
      <c r="CG838" s="70"/>
      <c r="CH838" s="70"/>
      <c r="CI838" s="70"/>
      <c r="CJ838" s="70"/>
      <c r="CK838" s="70"/>
      <c r="CL838" s="70"/>
      <c r="CM838" s="70"/>
      <c r="CN838" s="70"/>
      <c r="CO838" s="70"/>
      <c r="CP838" s="70"/>
      <c r="CQ838" s="70"/>
      <c r="CR838" s="70"/>
      <c r="CS838" s="70"/>
      <c r="CT838" s="70"/>
      <c r="CU838" s="70"/>
      <c r="CV838" s="70"/>
      <c r="CW838" s="70"/>
      <c r="CX838" s="70"/>
      <c r="CY838" s="70"/>
      <c r="CZ838" s="70"/>
      <c r="DA838" s="70"/>
      <c r="DB838" s="70"/>
      <c r="DC838" s="70"/>
      <c r="DD838" s="70"/>
      <c r="DE838" s="70"/>
      <c r="DF838" s="70"/>
      <c r="DG838" s="70"/>
      <c r="DH838" s="70"/>
      <c r="DI838" s="70"/>
      <c r="DJ838" s="70"/>
      <c r="DK838" s="70"/>
      <c r="DL838" s="70"/>
      <c r="DM838" s="70"/>
      <c r="DN838" s="70"/>
      <c r="DO838" s="70"/>
      <c r="DP838" s="70"/>
      <c r="DQ838" s="70"/>
      <c r="DR838" s="70"/>
      <c r="DS838" s="70"/>
      <c r="DT838" s="70"/>
      <c r="DU838" s="70"/>
      <c r="DV838" s="70"/>
      <c r="DW838" s="70"/>
      <c r="DX838" s="70"/>
      <c r="DY838" s="70"/>
      <c r="DZ838" s="70"/>
      <c r="EA838" s="70"/>
      <c r="EB838" s="70"/>
      <c r="EC838" s="70"/>
      <c r="ED838" s="70"/>
      <c r="EE838" s="95" t="s">
        <v>450</v>
      </c>
      <c r="EF838" s="95"/>
      <c r="EG838" s="95"/>
      <c r="EH838" s="70"/>
      <c r="EI838" s="216"/>
      <c r="EJ838" s="70"/>
      <c r="EK838" s="70"/>
      <c r="EL838" s="70"/>
      <c r="EM838" s="70"/>
      <c r="EN838" s="70"/>
      <c r="EO838" s="70"/>
      <c r="EP838" s="70"/>
      <c r="EQ838" s="70"/>
      <c r="ER838" s="70"/>
      <c r="ES838" s="70"/>
      <c r="ET838" s="70"/>
      <c r="EU838" s="70"/>
      <c r="EV838" s="70"/>
      <c r="EW838" s="70"/>
      <c r="EX838" s="70"/>
      <c r="EY838" s="70"/>
      <c r="EZ838" s="70"/>
      <c r="FA838" s="70"/>
      <c r="FB838" s="70"/>
      <c r="FC838" s="70"/>
      <c r="FD838" s="70"/>
      <c r="FE838" s="70"/>
      <c r="FF838" s="70"/>
      <c r="FG838" s="70"/>
      <c r="FH838" s="70"/>
      <c r="FI838" s="70"/>
      <c r="FJ838" s="70"/>
      <c r="FK838" s="70"/>
      <c r="FL838" s="70"/>
      <c r="FM838" s="70"/>
      <c r="FN838" s="70"/>
      <c r="FO838" s="70"/>
      <c r="FP838" s="70"/>
      <c r="FQ838" s="70"/>
      <c r="FR838" s="70"/>
      <c r="FS838" s="70"/>
      <c r="FT838" s="70"/>
      <c r="FU838" s="70"/>
      <c r="FV838" s="70"/>
      <c r="FW838" s="70"/>
      <c r="FX838" s="70"/>
      <c r="FY838" s="70"/>
      <c r="FZ838" s="70"/>
      <c r="GA838" s="70"/>
      <c r="GB838" s="70"/>
      <c r="GC838" s="70"/>
      <c r="GD838" s="70"/>
      <c r="GE838" s="70"/>
      <c r="GF838" s="70"/>
      <c r="GG838" s="70"/>
      <c r="GH838" s="70"/>
      <c r="GI838" s="70"/>
      <c r="GJ838" s="70"/>
      <c r="GK838" s="70"/>
      <c r="GL838" s="70"/>
      <c r="GM838" s="70"/>
      <c r="GN838" s="70"/>
      <c r="GO838" s="70"/>
      <c r="GP838" s="70"/>
      <c r="GQ838" s="70"/>
      <c r="GR838" s="70"/>
      <c r="GS838" s="70"/>
      <c r="GT838" s="70"/>
      <c r="GU838" s="70"/>
      <c r="GV838" s="70"/>
      <c r="GW838" s="70"/>
      <c r="GX838" s="70"/>
      <c r="GY838" s="70"/>
      <c r="GZ838" s="70"/>
      <c r="HA838" s="70"/>
      <c r="HB838" s="70"/>
      <c r="HC838" s="70"/>
      <c r="HD838" s="70"/>
      <c r="HE838" s="70"/>
      <c r="HF838" s="70"/>
      <c r="HG838" s="70"/>
      <c r="HH838" s="70"/>
      <c r="HI838" s="70"/>
      <c r="HJ838" s="70"/>
      <c r="HK838" s="70"/>
      <c r="HL838" s="70"/>
      <c r="HM838" s="70"/>
      <c r="HN838" s="70"/>
      <c r="HO838" s="70"/>
      <c r="HP838" s="70"/>
      <c r="HQ838" s="70"/>
      <c r="HR838" s="70"/>
      <c r="HS838" s="70"/>
      <c r="HT838" s="70"/>
      <c r="HU838" s="70"/>
      <c r="HV838" s="70"/>
      <c r="HW838" s="70"/>
      <c r="HX838" s="70"/>
      <c r="HY838" s="70"/>
      <c r="HZ838" s="70"/>
      <c r="IA838" s="70"/>
      <c r="IB838" s="70"/>
      <c r="IC838" s="70"/>
      <c r="ID838" s="70"/>
      <c r="IE838" s="70"/>
      <c r="IF838" s="70"/>
      <c r="IG838" s="70"/>
      <c r="IH838" s="70"/>
      <c r="II838" s="70"/>
      <c r="IJ838" s="70"/>
      <c r="IK838" s="70"/>
      <c r="IL838" s="70"/>
      <c r="IM838" s="70"/>
      <c r="IN838" s="70"/>
      <c r="IO838" s="70"/>
      <c r="IP838" s="70"/>
      <c r="IQ838" s="70"/>
    </row>
    <row r="839" spans="18:251" ht="16.5" hidden="1" customHeight="1">
      <c r="R839" s="95" t="s">
        <v>450</v>
      </c>
      <c r="S839" s="95"/>
      <c r="T839" s="95"/>
      <c r="U839" s="70"/>
      <c r="V839" s="214"/>
      <c r="W839" s="70"/>
      <c r="X839" s="70"/>
      <c r="Y839" s="70"/>
      <c r="Z839" s="70"/>
      <c r="AA839" s="70"/>
      <c r="AB839" s="70"/>
      <c r="AC839" s="70"/>
      <c r="AD839" s="70"/>
      <c r="AE839" s="70"/>
      <c r="AF839" s="70"/>
      <c r="AG839" s="70"/>
      <c r="AH839" s="70"/>
      <c r="AI839" s="70"/>
      <c r="AJ839" s="70"/>
      <c r="AK839" s="70"/>
      <c r="AL839" s="70"/>
      <c r="AM839" s="70"/>
      <c r="AN839" s="70"/>
      <c r="AO839" s="70"/>
      <c r="AP839" s="70"/>
      <c r="AQ839" s="70"/>
      <c r="AR839" s="70"/>
      <c r="AS839" s="70"/>
      <c r="AT839" s="70"/>
      <c r="AU839" s="70"/>
      <c r="AV839" s="70"/>
      <c r="AW839" s="70"/>
      <c r="AX839" s="70"/>
      <c r="AY839" s="70"/>
      <c r="AZ839" s="70"/>
      <c r="BA839" s="70"/>
      <c r="BB839" s="70"/>
      <c r="BC839" s="70"/>
      <c r="BD839" s="70"/>
      <c r="BE839" s="70"/>
      <c r="BF839" s="70"/>
      <c r="BG839" s="70"/>
      <c r="BH839" s="70"/>
      <c r="BI839" s="70"/>
      <c r="BJ839" s="70"/>
      <c r="BK839" s="70"/>
      <c r="BL839" s="70"/>
      <c r="BM839" s="70"/>
      <c r="BN839" s="70"/>
      <c r="BO839" s="70"/>
      <c r="BP839" s="70"/>
      <c r="BQ839" s="70"/>
      <c r="BR839" s="70"/>
      <c r="BS839" s="70"/>
      <c r="BT839" s="70"/>
      <c r="BU839" s="70"/>
      <c r="BV839" s="70"/>
      <c r="BW839" s="70"/>
      <c r="BX839" s="70"/>
      <c r="BY839" s="70"/>
      <c r="BZ839" s="70"/>
      <c r="CA839" s="70"/>
      <c r="CB839" s="70"/>
      <c r="CC839" s="70"/>
      <c r="CD839" s="70"/>
      <c r="CE839" s="70"/>
      <c r="CF839" s="70"/>
      <c r="CG839" s="70"/>
      <c r="CH839" s="70"/>
      <c r="CI839" s="70"/>
      <c r="CJ839" s="70"/>
      <c r="CK839" s="70"/>
      <c r="CL839" s="70"/>
      <c r="CM839" s="70"/>
      <c r="CN839" s="70"/>
      <c r="CO839" s="70"/>
      <c r="CP839" s="70"/>
      <c r="CQ839" s="70"/>
      <c r="CR839" s="70"/>
      <c r="CS839" s="70"/>
      <c r="CT839" s="70"/>
      <c r="CU839" s="70"/>
      <c r="CV839" s="70"/>
      <c r="CW839" s="70"/>
      <c r="CX839" s="70"/>
      <c r="CY839" s="70"/>
      <c r="CZ839" s="70"/>
      <c r="DA839" s="70"/>
      <c r="DB839" s="70"/>
      <c r="DC839" s="70"/>
      <c r="DD839" s="70"/>
      <c r="DE839" s="70"/>
      <c r="DF839" s="70"/>
      <c r="DG839" s="70"/>
      <c r="DH839" s="70"/>
      <c r="DI839" s="70"/>
      <c r="DJ839" s="70"/>
      <c r="DK839" s="70"/>
      <c r="DL839" s="70"/>
      <c r="DM839" s="70"/>
      <c r="DN839" s="70"/>
      <c r="DO839" s="70"/>
      <c r="DP839" s="70"/>
      <c r="DQ839" s="70"/>
      <c r="DR839" s="70"/>
      <c r="DS839" s="70"/>
      <c r="DT839" s="70"/>
      <c r="DU839" s="70"/>
      <c r="DV839" s="70"/>
      <c r="DW839" s="70"/>
      <c r="DX839" s="70"/>
      <c r="DY839" s="70"/>
      <c r="DZ839" s="70"/>
      <c r="EA839" s="70"/>
      <c r="EB839" s="70"/>
      <c r="EC839" s="70"/>
      <c r="ED839" s="70"/>
      <c r="EE839" s="95" t="s">
        <v>450</v>
      </c>
      <c r="EF839" s="95"/>
      <c r="EG839" s="95"/>
      <c r="EH839" s="70"/>
      <c r="EI839" s="216"/>
      <c r="EJ839" s="70"/>
      <c r="EK839" s="70"/>
      <c r="EL839" s="70"/>
      <c r="EM839" s="70"/>
      <c r="EN839" s="70"/>
      <c r="EO839" s="70"/>
      <c r="EP839" s="70"/>
      <c r="EQ839" s="70"/>
      <c r="ER839" s="70"/>
      <c r="ES839" s="70"/>
      <c r="ET839" s="70"/>
      <c r="EU839" s="70"/>
      <c r="EV839" s="70"/>
      <c r="EW839" s="70"/>
      <c r="EX839" s="70"/>
      <c r="EY839" s="70"/>
      <c r="EZ839" s="70"/>
      <c r="FA839" s="70"/>
      <c r="FB839" s="70"/>
      <c r="FC839" s="70"/>
      <c r="FD839" s="70"/>
      <c r="FE839" s="70"/>
      <c r="FF839" s="70"/>
      <c r="FG839" s="70"/>
      <c r="FH839" s="70"/>
      <c r="FI839" s="70"/>
      <c r="FJ839" s="70"/>
      <c r="FK839" s="70"/>
      <c r="FL839" s="70"/>
      <c r="FM839" s="70"/>
      <c r="FN839" s="70"/>
      <c r="FO839" s="70"/>
      <c r="FP839" s="70"/>
      <c r="FQ839" s="70"/>
      <c r="FR839" s="70"/>
      <c r="FS839" s="70"/>
      <c r="FT839" s="70"/>
      <c r="FU839" s="70"/>
      <c r="FV839" s="70"/>
      <c r="FW839" s="70"/>
      <c r="FX839" s="70"/>
      <c r="FY839" s="70"/>
      <c r="FZ839" s="70"/>
      <c r="GA839" s="70"/>
      <c r="GB839" s="70"/>
      <c r="GC839" s="70"/>
      <c r="GD839" s="70"/>
      <c r="GE839" s="70"/>
      <c r="GF839" s="70"/>
      <c r="GG839" s="70"/>
      <c r="GH839" s="70"/>
      <c r="GI839" s="70"/>
      <c r="GJ839" s="70"/>
      <c r="GK839" s="70"/>
      <c r="GL839" s="70"/>
      <c r="GM839" s="70"/>
      <c r="GN839" s="70"/>
      <c r="GO839" s="70"/>
      <c r="GP839" s="70"/>
      <c r="GQ839" s="70"/>
      <c r="GR839" s="70"/>
      <c r="GS839" s="70"/>
      <c r="GT839" s="70"/>
      <c r="GU839" s="70"/>
      <c r="GV839" s="70"/>
      <c r="GW839" s="70"/>
      <c r="GX839" s="70"/>
      <c r="GY839" s="70"/>
      <c r="GZ839" s="70"/>
      <c r="HA839" s="70"/>
      <c r="HB839" s="70"/>
      <c r="HC839" s="70"/>
      <c r="HD839" s="70"/>
      <c r="HE839" s="70"/>
      <c r="HF839" s="70"/>
      <c r="HG839" s="70"/>
      <c r="HH839" s="70"/>
      <c r="HI839" s="70"/>
      <c r="HJ839" s="70"/>
      <c r="HK839" s="70"/>
      <c r="HL839" s="70"/>
      <c r="HM839" s="70"/>
      <c r="HN839" s="70"/>
      <c r="HO839" s="70"/>
      <c r="HP839" s="70"/>
      <c r="HQ839" s="70"/>
      <c r="HR839" s="70"/>
      <c r="HS839" s="70"/>
      <c r="HT839" s="70"/>
      <c r="HU839" s="70"/>
      <c r="HV839" s="70"/>
      <c r="HW839" s="70"/>
      <c r="HX839" s="70"/>
      <c r="HY839" s="70"/>
      <c r="HZ839" s="70"/>
      <c r="IA839" s="70"/>
      <c r="IB839" s="70"/>
      <c r="IC839" s="70"/>
      <c r="ID839" s="70"/>
      <c r="IE839" s="70"/>
      <c r="IF839" s="70"/>
      <c r="IG839" s="70"/>
      <c r="IH839" s="70"/>
      <c r="II839" s="70"/>
      <c r="IJ839" s="70"/>
      <c r="IK839" s="70"/>
      <c r="IL839" s="70"/>
      <c r="IM839" s="70"/>
      <c r="IN839" s="70"/>
      <c r="IO839" s="70"/>
      <c r="IP839" s="70"/>
      <c r="IQ839" s="70"/>
    </row>
    <row r="840" spans="18:251" ht="16.5" hidden="1" customHeight="1">
      <c r="R840" s="95" t="s">
        <v>450</v>
      </c>
      <c r="S840" s="95"/>
      <c r="T840" s="95"/>
      <c r="U840" s="70"/>
      <c r="V840" s="214"/>
      <c r="W840" s="70"/>
      <c r="X840" s="70"/>
      <c r="Y840" s="70"/>
      <c r="Z840" s="70"/>
      <c r="AA840" s="70"/>
      <c r="AB840" s="70"/>
      <c r="AC840" s="70"/>
      <c r="AD840" s="70"/>
      <c r="AE840" s="70"/>
      <c r="AF840" s="70"/>
      <c r="AG840" s="70"/>
      <c r="AH840" s="70"/>
      <c r="AI840" s="70"/>
      <c r="AJ840" s="70"/>
      <c r="AK840" s="70"/>
      <c r="AL840" s="70"/>
      <c r="AM840" s="70"/>
      <c r="AN840" s="70"/>
      <c r="AO840" s="70"/>
      <c r="AP840" s="70"/>
      <c r="AQ840" s="70"/>
      <c r="AR840" s="70"/>
      <c r="AS840" s="70"/>
      <c r="AT840" s="70"/>
      <c r="AU840" s="70"/>
      <c r="AV840" s="70"/>
      <c r="AW840" s="70"/>
      <c r="AX840" s="70"/>
      <c r="AY840" s="70"/>
      <c r="AZ840" s="70"/>
      <c r="BA840" s="70"/>
      <c r="BB840" s="70"/>
      <c r="BC840" s="70"/>
      <c r="BD840" s="70"/>
      <c r="BE840" s="70"/>
      <c r="BF840" s="70"/>
      <c r="BG840" s="70"/>
      <c r="BH840" s="70"/>
      <c r="BI840" s="70"/>
      <c r="BJ840" s="70"/>
      <c r="BK840" s="70"/>
      <c r="BL840" s="70"/>
      <c r="BM840" s="70"/>
      <c r="BN840" s="70"/>
      <c r="BO840" s="70"/>
      <c r="BP840" s="70"/>
      <c r="BQ840" s="70"/>
      <c r="BR840" s="70"/>
      <c r="BS840" s="70"/>
      <c r="BT840" s="70"/>
      <c r="BU840" s="70"/>
      <c r="BV840" s="70"/>
      <c r="BW840" s="70"/>
      <c r="BX840" s="70"/>
      <c r="BY840" s="70"/>
      <c r="BZ840" s="70"/>
      <c r="CA840" s="70"/>
      <c r="CB840" s="70"/>
      <c r="CC840" s="70"/>
      <c r="CD840" s="70"/>
      <c r="CE840" s="70"/>
      <c r="CF840" s="70"/>
      <c r="CG840" s="70"/>
      <c r="CH840" s="70"/>
      <c r="CI840" s="70"/>
      <c r="CJ840" s="70"/>
      <c r="CK840" s="70"/>
      <c r="CL840" s="70"/>
      <c r="CM840" s="70"/>
      <c r="CN840" s="70"/>
      <c r="CO840" s="70"/>
      <c r="CP840" s="70"/>
      <c r="CQ840" s="70"/>
      <c r="CR840" s="70"/>
      <c r="CS840" s="70"/>
      <c r="CT840" s="70"/>
      <c r="CU840" s="70"/>
      <c r="CV840" s="70"/>
      <c r="CW840" s="70"/>
      <c r="CX840" s="70"/>
      <c r="CY840" s="70"/>
      <c r="CZ840" s="70"/>
      <c r="DA840" s="70"/>
      <c r="DB840" s="70"/>
      <c r="DC840" s="70"/>
      <c r="DD840" s="70"/>
      <c r="DE840" s="70"/>
      <c r="DF840" s="70"/>
      <c r="DG840" s="70"/>
      <c r="DH840" s="70"/>
      <c r="DI840" s="70"/>
      <c r="DJ840" s="70"/>
      <c r="DK840" s="70"/>
      <c r="DL840" s="70"/>
      <c r="DM840" s="70"/>
      <c r="DN840" s="70"/>
      <c r="DO840" s="70"/>
      <c r="DP840" s="70"/>
      <c r="DQ840" s="70"/>
      <c r="DR840" s="70"/>
      <c r="DS840" s="70"/>
      <c r="DT840" s="70"/>
      <c r="DU840" s="70"/>
      <c r="DV840" s="70"/>
      <c r="DW840" s="70"/>
      <c r="DX840" s="70"/>
      <c r="DY840" s="70"/>
      <c r="DZ840" s="70"/>
      <c r="EA840" s="70"/>
      <c r="EB840" s="70"/>
      <c r="EC840" s="70"/>
      <c r="ED840" s="70"/>
      <c r="EE840" s="95" t="s">
        <v>450</v>
      </c>
      <c r="EF840" s="95"/>
      <c r="EG840" s="95"/>
      <c r="EH840" s="70"/>
      <c r="EI840" s="216"/>
      <c r="EJ840" s="70"/>
      <c r="EK840" s="70"/>
      <c r="EL840" s="70"/>
      <c r="EM840" s="70"/>
      <c r="EN840" s="70"/>
      <c r="EO840" s="70"/>
      <c r="EP840" s="70"/>
      <c r="EQ840" s="70"/>
      <c r="ER840" s="70"/>
      <c r="ES840" s="70"/>
      <c r="ET840" s="70"/>
      <c r="EU840" s="70"/>
      <c r="EV840" s="70"/>
      <c r="EW840" s="70"/>
      <c r="EX840" s="70"/>
      <c r="EY840" s="70"/>
      <c r="EZ840" s="70"/>
      <c r="FA840" s="70"/>
      <c r="FB840" s="70"/>
      <c r="FC840" s="70"/>
      <c r="FD840" s="70"/>
      <c r="FE840" s="70"/>
      <c r="FF840" s="70"/>
      <c r="FG840" s="70"/>
      <c r="FH840" s="70"/>
      <c r="FI840" s="70"/>
      <c r="FJ840" s="70"/>
      <c r="FK840" s="70"/>
      <c r="FL840" s="70"/>
      <c r="FM840" s="70"/>
      <c r="FN840" s="70"/>
      <c r="FO840" s="70"/>
      <c r="FP840" s="70"/>
      <c r="FQ840" s="70"/>
      <c r="FR840" s="70"/>
      <c r="FS840" s="70"/>
      <c r="FT840" s="70"/>
      <c r="FU840" s="70"/>
      <c r="FV840" s="70"/>
      <c r="FW840" s="70"/>
      <c r="FX840" s="70"/>
      <c r="FY840" s="70"/>
      <c r="FZ840" s="70"/>
      <c r="GA840" s="70"/>
      <c r="GB840" s="70"/>
      <c r="GC840" s="70"/>
      <c r="GD840" s="70"/>
      <c r="GE840" s="70"/>
      <c r="GF840" s="70"/>
      <c r="GG840" s="70"/>
      <c r="GH840" s="70"/>
      <c r="GI840" s="70"/>
      <c r="GJ840" s="70"/>
      <c r="GK840" s="70"/>
      <c r="GL840" s="70"/>
      <c r="GM840" s="70"/>
      <c r="GN840" s="70"/>
      <c r="GO840" s="70"/>
      <c r="GP840" s="70"/>
      <c r="GQ840" s="70"/>
      <c r="GR840" s="70"/>
      <c r="GS840" s="70"/>
      <c r="GT840" s="70"/>
      <c r="GU840" s="70"/>
      <c r="GV840" s="70"/>
      <c r="GW840" s="70"/>
      <c r="GX840" s="70"/>
      <c r="GY840" s="70"/>
      <c r="GZ840" s="70"/>
      <c r="HA840" s="70"/>
      <c r="HB840" s="70"/>
      <c r="HC840" s="70"/>
      <c r="HD840" s="70"/>
      <c r="HE840" s="70"/>
      <c r="HF840" s="70"/>
      <c r="HG840" s="70"/>
      <c r="HH840" s="70"/>
      <c r="HI840" s="70"/>
      <c r="HJ840" s="70"/>
      <c r="HK840" s="70"/>
      <c r="HL840" s="70"/>
      <c r="HM840" s="70"/>
      <c r="HN840" s="70"/>
      <c r="HO840" s="70"/>
      <c r="HP840" s="70"/>
      <c r="HQ840" s="70"/>
      <c r="HR840" s="70"/>
      <c r="HS840" s="70"/>
      <c r="HT840" s="70"/>
      <c r="HU840" s="70"/>
      <c r="HV840" s="70"/>
      <c r="HW840" s="70"/>
      <c r="HX840" s="70"/>
      <c r="HY840" s="70"/>
      <c r="HZ840" s="70"/>
      <c r="IA840" s="70"/>
      <c r="IB840" s="70"/>
      <c r="IC840" s="70"/>
      <c r="ID840" s="70"/>
      <c r="IE840" s="70"/>
      <c r="IF840" s="70"/>
      <c r="IG840" s="70"/>
      <c r="IH840" s="70"/>
      <c r="II840" s="70"/>
      <c r="IJ840" s="70"/>
      <c r="IK840" s="70"/>
      <c r="IL840" s="70"/>
      <c r="IM840" s="70"/>
      <c r="IN840" s="70"/>
      <c r="IO840" s="70"/>
      <c r="IP840" s="70"/>
      <c r="IQ840" s="70"/>
    </row>
    <row r="841" spans="18:251" ht="16.5" hidden="1" customHeight="1">
      <c r="R841" s="95" t="s">
        <v>450</v>
      </c>
      <c r="S841" s="95"/>
      <c r="T841" s="95"/>
      <c r="U841" s="70"/>
      <c r="V841" s="214"/>
      <c r="W841" s="70"/>
      <c r="X841" s="70"/>
      <c r="Y841" s="70"/>
      <c r="Z841" s="70"/>
      <c r="AA841" s="70"/>
      <c r="AB841" s="70"/>
      <c r="AC841" s="70"/>
      <c r="AD841" s="70"/>
      <c r="AE841" s="70"/>
      <c r="AF841" s="70"/>
      <c r="AG841" s="70"/>
      <c r="AH841" s="70"/>
      <c r="AI841" s="70"/>
      <c r="AJ841" s="70"/>
      <c r="AK841" s="70"/>
      <c r="AL841" s="70"/>
      <c r="AM841" s="70"/>
      <c r="AN841" s="70"/>
      <c r="AO841" s="70"/>
      <c r="AP841" s="70"/>
      <c r="AQ841" s="70"/>
      <c r="AR841" s="70"/>
      <c r="AS841" s="70"/>
      <c r="AT841" s="70"/>
      <c r="AU841" s="70"/>
      <c r="AV841" s="70"/>
      <c r="AW841" s="70"/>
      <c r="AX841" s="70"/>
      <c r="AY841" s="70"/>
      <c r="AZ841" s="70"/>
      <c r="BA841" s="70"/>
      <c r="BB841" s="70"/>
      <c r="BC841" s="70"/>
      <c r="BD841" s="70"/>
      <c r="BE841" s="70"/>
      <c r="BF841" s="70"/>
      <c r="BG841" s="70"/>
      <c r="BH841" s="70"/>
      <c r="BI841" s="70"/>
      <c r="BJ841" s="70"/>
      <c r="BK841" s="70"/>
      <c r="BL841" s="70"/>
      <c r="BM841" s="70"/>
      <c r="BN841" s="70"/>
      <c r="BO841" s="70"/>
      <c r="BP841" s="70"/>
      <c r="BQ841" s="70"/>
      <c r="BR841" s="70"/>
      <c r="BS841" s="70"/>
      <c r="BT841" s="70"/>
      <c r="BU841" s="70"/>
      <c r="BV841" s="70"/>
      <c r="BW841" s="70"/>
      <c r="BX841" s="70"/>
      <c r="BY841" s="70"/>
      <c r="BZ841" s="70"/>
      <c r="CA841" s="70"/>
      <c r="CB841" s="70"/>
      <c r="CC841" s="70"/>
      <c r="CD841" s="70"/>
      <c r="CE841" s="70"/>
      <c r="CF841" s="70"/>
      <c r="CG841" s="70"/>
      <c r="CH841" s="70"/>
      <c r="CI841" s="70"/>
      <c r="CJ841" s="70"/>
      <c r="CK841" s="70"/>
      <c r="CL841" s="70"/>
      <c r="CM841" s="70"/>
      <c r="CN841" s="70"/>
      <c r="CO841" s="70"/>
      <c r="CP841" s="70"/>
      <c r="CQ841" s="70"/>
      <c r="CR841" s="70"/>
      <c r="CS841" s="70"/>
      <c r="CT841" s="70"/>
      <c r="CU841" s="70"/>
      <c r="CV841" s="70"/>
      <c r="CW841" s="70"/>
      <c r="CX841" s="70"/>
      <c r="CY841" s="70"/>
      <c r="CZ841" s="70"/>
      <c r="DA841" s="70"/>
      <c r="DB841" s="70"/>
      <c r="DC841" s="70"/>
      <c r="DD841" s="70"/>
      <c r="DE841" s="70"/>
      <c r="DF841" s="70"/>
      <c r="DG841" s="70"/>
      <c r="DH841" s="70"/>
      <c r="DI841" s="70"/>
      <c r="DJ841" s="70"/>
      <c r="DK841" s="70"/>
      <c r="DL841" s="70"/>
      <c r="DM841" s="70"/>
      <c r="DN841" s="70"/>
      <c r="DO841" s="70"/>
      <c r="DP841" s="70"/>
      <c r="DQ841" s="70"/>
      <c r="DR841" s="70"/>
      <c r="DS841" s="70"/>
      <c r="DT841" s="70"/>
      <c r="DU841" s="70"/>
      <c r="DV841" s="70"/>
      <c r="DW841" s="70"/>
      <c r="DX841" s="70"/>
      <c r="DY841" s="70"/>
      <c r="DZ841" s="70"/>
      <c r="EA841" s="70"/>
      <c r="EB841" s="70"/>
      <c r="EC841" s="70"/>
      <c r="ED841" s="70"/>
      <c r="EE841" s="95" t="s">
        <v>450</v>
      </c>
      <c r="EF841" s="95"/>
      <c r="EG841" s="95"/>
      <c r="EH841" s="70"/>
      <c r="EI841" s="216"/>
      <c r="EJ841" s="70"/>
      <c r="EK841" s="70"/>
      <c r="EL841" s="70"/>
      <c r="EM841" s="70"/>
      <c r="EN841" s="70"/>
      <c r="EO841" s="70"/>
      <c r="EP841" s="70"/>
      <c r="EQ841" s="70"/>
      <c r="ER841" s="70"/>
      <c r="ES841" s="70"/>
      <c r="ET841" s="70"/>
      <c r="EU841" s="70"/>
      <c r="EV841" s="70"/>
      <c r="EW841" s="70"/>
      <c r="EX841" s="70"/>
      <c r="EY841" s="70"/>
      <c r="EZ841" s="70"/>
      <c r="FA841" s="70"/>
      <c r="FB841" s="70"/>
      <c r="FC841" s="70"/>
      <c r="FD841" s="70"/>
      <c r="FE841" s="70"/>
      <c r="FF841" s="70"/>
      <c r="FG841" s="70"/>
      <c r="FH841" s="70"/>
      <c r="FI841" s="70"/>
      <c r="FJ841" s="70"/>
      <c r="FK841" s="70"/>
      <c r="FL841" s="70"/>
      <c r="FM841" s="70"/>
      <c r="FN841" s="70"/>
      <c r="FO841" s="70"/>
      <c r="FP841" s="70"/>
      <c r="FQ841" s="70"/>
      <c r="FR841" s="70"/>
      <c r="FS841" s="70"/>
      <c r="FT841" s="70"/>
      <c r="FU841" s="70"/>
      <c r="FV841" s="70"/>
      <c r="FW841" s="70"/>
      <c r="FX841" s="70"/>
      <c r="FY841" s="70"/>
      <c r="FZ841" s="70"/>
      <c r="GA841" s="70"/>
      <c r="GB841" s="70"/>
      <c r="GC841" s="70"/>
      <c r="GD841" s="70"/>
      <c r="GE841" s="70"/>
      <c r="GF841" s="70"/>
      <c r="GG841" s="70"/>
      <c r="GH841" s="70"/>
      <c r="GI841" s="70"/>
      <c r="GJ841" s="70"/>
      <c r="GK841" s="70"/>
      <c r="GL841" s="70"/>
      <c r="GM841" s="70"/>
      <c r="GN841" s="70"/>
      <c r="GO841" s="70"/>
      <c r="GP841" s="70"/>
      <c r="GQ841" s="70"/>
      <c r="GR841" s="70"/>
      <c r="GS841" s="70"/>
      <c r="GT841" s="70"/>
      <c r="GU841" s="70"/>
      <c r="GV841" s="70"/>
      <c r="GW841" s="70"/>
      <c r="GX841" s="70"/>
      <c r="GY841" s="70"/>
      <c r="GZ841" s="70"/>
      <c r="HA841" s="70"/>
      <c r="HB841" s="70"/>
      <c r="HC841" s="70"/>
      <c r="HD841" s="70"/>
      <c r="HE841" s="70"/>
      <c r="HF841" s="70"/>
      <c r="HG841" s="70"/>
      <c r="HH841" s="70"/>
      <c r="HI841" s="70"/>
      <c r="HJ841" s="70"/>
      <c r="HK841" s="70"/>
      <c r="HL841" s="70"/>
      <c r="HM841" s="70"/>
      <c r="HN841" s="70"/>
      <c r="HO841" s="70"/>
      <c r="HP841" s="70"/>
      <c r="HQ841" s="70"/>
      <c r="HR841" s="70"/>
      <c r="HS841" s="70"/>
      <c r="HT841" s="70"/>
      <c r="HU841" s="70"/>
      <c r="HV841" s="70"/>
      <c r="HW841" s="70"/>
      <c r="HX841" s="70"/>
      <c r="HY841" s="70"/>
      <c r="HZ841" s="70"/>
      <c r="IA841" s="70"/>
      <c r="IB841" s="70"/>
      <c r="IC841" s="70"/>
      <c r="ID841" s="70"/>
      <c r="IE841" s="70"/>
      <c r="IF841" s="70"/>
      <c r="IG841" s="70"/>
      <c r="IH841" s="70"/>
      <c r="II841" s="70"/>
      <c r="IJ841" s="70"/>
      <c r="IK841" s="70"/>
      <c r="IL841" s="70"/>
      <c r="IM841" s="70"/>
      <c r="IN841" s="70"/>
      <c r="IO841" s="70"/>
      <c r="IP841" s="70"/>
      <c r="IQ841" s="70"/>
    </row>
    <row r="842" spans="18:251" ht="16.5" hidden="1" customHeight="1">
      <c r="R842" s="95" t="s">
        <v>450</v>
      </c>
      <c r="S842" s="95"/>
      <c r="T842" s="95"/>
      <c r="U842" s="70"/>
      <c r="V842" s="214"/>
      <c r="W842" s="70"/>
      <c r="X842" s="70"/>
      <c r="Y842" s="70"/>
      <c r="Z842" s="70"/>
      <c r="AA842" s="70"/>
      <c r="AB842" s="70"/>
      <c r="AC842" s="70"/>
      <c r="AD842" s="70"/>
      <c r="AE842" s="70"/>
      <c r="AF842" s="70"/>
      <c r="AG842" s="70"/>
      <c r="AH842" s="70"/>
      <c r="AI842" s="70"/>
      <c r="AJ842" s="70"/>
      <c r="AK842" s="70"/>
      <c r="AL842" s="70"/>
      <c r="AM842" s="70"/>
      <c r="AN842" s="70"/>
      <c r="AO842" s="70"/>
      <c r="AP842" s="70"/>
      <c r="AQ842" s="70"/>
      <c r="AR842" s="70"/>
      <c r="AS842" s="70"/>
      <c r="AT842" s="70"/>
      <c r="AU842" s="70"/>
      <c r="AV842" s="70"/>
      <c r="AW842" s="70"/>
      <c r="AX842" s="70"/>
      <c r="AY842" s="70"/>
      <c r="AZ842" s="70"/>
      <c r="BA842" s="70"/>
      <c r="BB842" s="70"/>
      <c r="BC842" s="70"/>
      <c r="BD842" s="70"/>
      <c r="BE842" s="70"/>
      <c r="BF842" s="70"/>
      <c r="BG842" s="70"/>
      <c r="BH842" s="70"/>
      <c r="BI842" s="70"/>
      <c r="BJ842" s="70"/>
      <c r="BK842" s="70"/>
      <c r="BL842" s="70"/>
      <c r="BM842" s="70"/>
      <c r="BN842" s="70"/>
      <c r="BO842" s="70"/>
      <c r="BP842" s="70"/>
      <c r="BQ842" s="70"/>
      <c r="BR842" s="70"/>
      <c r="BS842" s="70"/>
      <c r="BT842" s="70"/>
      <c r="BU842" s="70"/>
      <c r="BV842" s="70"/>
      <c r="BW842" s="70"/>
      <c r="BX842" s="70"/>
      <c r="BY842" s="70"/>
      <c r="BZ842" s="70"/>
      <c r="CA842" s="70"/>
      <c r="CB842" s="70"/>
      <c r="CC842" s="70"/>
      <c r="CD842" s="70"/>
      <c r="CE842" s="70"/>
      <c r="CF842" s="70"/>
      <c r="CG842" s="70"/>
      <c r="CH842" s="70"/>
      <c r="CI842" s="70"/>
      <c r="CJ842" s="70"/>
      <c r="CK842" s="70"/>
      <c r="CL842" s="70"/>
      <c r="CM842" s="70"/>
      <c r="CN842" s="70"/>
      <c r="CO842" s="70"/>
      <c r="CP842" s="70"/>
      <c r="CQ842" s="70"/>
      <c r="CR842" s="70"/>
      <c r="CS842" s="70"/>
      <c r="CT842" s="70"/>
      <c r="CU842" s="70"/>
      <c r="CV842" s="70"/>
      <c r="CW842" s="70"/>
      <c r="CX842" s="70"/>
      <c r="CY842" s="70"/>
      <c r="CZ842" s="70"/>
      <c r="DA842" s="70"/>
      <c r="DB842" s="70"/>
      <c r="DC842" s="70"/>
      <c r="DD842" s="70"/>
      <c r="DE842" s="70"/>
      <c r="DF842" s="70"/>
      <c r="DG842" s="70"/>
      <c r="DH842" s="70"/>
      <c r="DI842" s="70"/>
      <c r="DJ842" s="70"/>
      <c r="DK842" s="70"/>
      <c r="DL842" s="70"/>
      <c r="DM842" s="70"/>
      <c r="DN842" s="70"/>
      <c r="DO842" s="70"/>
      <c r="DP842" s="70"/>
      <c r="DQ842" s="70"/>
      <c r="DR842" s="70"/>
      <c r="DS842" s="70"/>
      <c r="DT842" s="70"/>
      <c r="DU842" s="70"/>
      <c r="DV842" s="70"/>
      <c r="DW842" s="70"/>
      <c r="DX842" s="70"/>
      <c r="DY842" s="70"/>
      <c r="DZ842" s="70"/>
      <c r="EA842" s="70"/>
      <c r="EB842" s="70"/>
      <c r="EC842" s="70"/>
      <c r="ED842" s="70"/>
      <c r="EE842" s="95" t="s">
        <v>450</v>
      </c>
      <c r="EF842" s="95"/>
      <c r="EG842" s="95"/>
      <c r="EH842" s="70"/>
      <c r="EI842" s="216"/>
      <c r="EJ842" s="70"/>
      <c r="EK842" s="70"/>
      <c r="EL842" s="70"/>
      <c r="EM842" s="70"/>
      <c r="EN842" s="70"/>
      <c r="EO842" s="70"/>
      <c r="EP842" s="70"/>
      <c r="EQ842" s="70"/>
      <c r="ER842" s="70"/>
      <c r="ES842" s="70"/>
      <c r="ET842" s="70"/>
      <c r="EU842" s="70"/>
      <c r="EV842" s="70"/>
      <c r="EW842" s="70"/>
      <c r="EX842" s="70"/>
      <c r="EY842" s="70"/>
      <c r="EZ842" s="70"/>
      <c r="FA842" s="70"/>
      <c r="FB842" s="70"/>
      <c r="FC842" s="70"/>
      <c r="FD842" s="70"/>
      <c r="FE842" s="70"/>
      <c r="FF842" s="70"/>
      <c r="FG842" s="70"/>
      <c r="FH842" s="70"/>
      <c r="FI842" s="70"/>
      <c r="FJ842" s="70"/>
      <c r="FK842" s="70"/>
      <c r="FL842" s="70"/>
      <c r="FM842" s="70"/>
      <c r="FN842" s="70"/>
      <c r="FO842" s="70"/>
      <c r="FP842" s="70"/>
      <c r="FQ842" s="70"/>
      <c r="FR842" s="70"/>
      <c r="FS842" s="70"/>
      <c r="FT842" s="70"/>
      <c r="FU842" s="70"/>
      <c r="FV842" s="70"/>
      <c r="FW842" s="70"/>
      <c r="FX842" s="70"/>
      <c r="FY842" s="70"/>
      <c r="FZ842" s="70"/>
      <c r="GA842" s="70"/>
      <c r="GB842" s="70"/>
      <c r="GC842" s="70"/>
      <c r="GD842" s="70"/>
      <c r="GE842" s="70"/>
      <c r="GF842" s="70"/>
      <c r="GG842" s="70"/>
      <c r="GH842" s="70"/>
      <c r="GI842" s="70"/>
      <c r="GJ842" s="70"/>
      <c r="GK842" s="70"/>
      <c r="GL842" s="70"/>
      <c r="GM842" s="70"/>
      <c r="GN842" s="70"/>
      <c r="GO842" s="70"/>
      <c r="GP842" s="70"/>
      <c r="GQ842" s="70"/>
      <c r="GR842" s="70"/>
      <c r="GS842" s="70"/>
      <c r="GT842" s="70"/>
      <c r="GU842" s="70"/>
      <c r="GV842" s="70"/>
      <c r="GW842" s="70"/>
      <c r="GX842" s="70"/>
      <c r="GY842" s="70"/>
      <c r="GZ842" s="70"/>
      <c r="HA842" s="70"/>
      <c r="HB842" s="70"/>
      <c r="HC842" s="70"/>
      <c r="HD842" s="70"/>
      <c r="HE842" s="70"/>
      <c r="HF842" s="70"/>
      <c r="HG842" s="70"/>
      <c r="HH842" s="70"/>
      <c r="HI842" s="70"/>
      <c r="HJ842" s="70"/>
      <c r="HK842" s="70"/>
      <c r="HL842" s="70"/>
      <c r="HM842" s="70"/>
      <c r="HN842" s="70"/>
      <c r="HO842" s="70"/>
      <c r="HP842" s="70"/>
      <c r="HQ842" s="70"/>
      <c r="HR842" s="70"/>
      <c r="HS842" s="70"/>
      <c r="HT842" s="70"/>
      <c r="HU842" s="70"/>
      <c r="HV842" s="70"/>
      <c r="HW842" s="70"/>
      <c r="HX842" s="70"/>
      <c r="HY842" s="70"/>
      <c r="HZ842" s="70"/>
      <c r="IA842" s="70"/>
      <c r="IB842" s="70"/>
      <c r="IC842" s="70"/>
      <c r="ID842" s="70"/>
      <c r="IE842" s="70"/>
      <c r="IF842" s="70"/>
      <c r="IG842" s="70"/>
      <c r="IH842" s="70"/>
      <c r="II842" s="70"/>
      <c r="IJ842" s="70"/>
      <c r="IK842" s="70"/>
      <c r="IL842" s="70"/>
      <c r="IM842" s="70"/>
      <c r="IN842" s="70"/>
      <c r="IO842" s="70"/>
      <c r="IP842" s="70"/>
      <c r="IQ842" s="70"/>
    </row>
    <row r="843" spans="18:251" ht="16.5" hidden="1" customHeight="1">
      <c r="R843" s="95" t="s">
        <v>450</v>
      </c>
      <c r="S843" s="95"/>
      <c r="T843" s="95"/>
      <c r="U843" s="70"/>
      <c r="V843" s="214"/>
      <c r="W843" s="70"/>
      <c r="X843" s="70"/>
      <c r="Y843" s="70"/>
      <c r="Z843" s="70"/>
      <c r="AA843" s="70"/>
      <c r="AB843" s="70"/>
      <c r="AC843" s="70"/>
      <c r="AD843" s="70"/>
      <c r="AE843" s="70"/>
      <c r="AF843" s="70"/>
      <c r="AG843" s="70"/>
      <c r="AH843" s="70"/>
      <c r="AI843" s="70"/>
      <c r="AJ843" s="70"/>
      <c r="AK843" s="70"/>
      <c r="AL843" s="70"/>
      <c r="AM843" s="70"/>
      <c r="AN843" s="70"/>
      <c r="AO843" s="70"/>
      <c r="AP843" s="70"/>
      <c r="AQ843" s="70"/>
      <c r="AR843" s="70"/>
      <c r="AS843" s="70"/>
      <c r="AT843" s="70"/>
      <c r="AU843" s="70"/>
      <c r="AV843" s="70"/>
      <c r="AW843" s="70"/>
      <c r="AX843" s="70"/>
      <c r="AY843" s="70"/>
      <c r="AZ843" s="70"/>
      <c r="BA843" s="70"/>
      <c r="BB843" s="70"/>
      <c r="BC843" s="70"/>
      <c r="BD843" s="70"/>
      <c r="BE843" s="70"/>
      <c r="BF843" s="70"/>
      <c r="BG843" s="70"/>
      <c r="BH843" s="70"/>
      <c r="BI843" s="70"/>
      <c r="BJ843" s="70"/>
      <c r="BK843" s="70"/>
      <c r="BL843" s="70"/>
      <c r="BM843" s="70"/>
      <c r="BN843" s="70"/>
      <c r="BO843" s="70"/>
      <c r="BP843" s="70"/>
      <c r="BQ843" s="70"/>
      <c r="BR843" s="70"/>
      <c r="BS843" s="70"/>
      <c r="BT843" s="70"/>
      <c r="BU843" s="70"/>
      <c r="BV843" s="70"/>
      <c r="BW843" s="70"/>
      <c r="BX843" s="70"/>
      <c r="BY843" s="70"/>
      <c r="BZ843" s="70"/>
      <c r="CA843" s="70"/>
      <c r="CB843" s="70"/>
      <c r="CC843" s="70"/>
      <c r="CD843" s="70"/>
      <c r="CE843" s="70"/>
      <c r="CF843" s="70"/>
      <c r="CG843" s="70"/>
      <c r="CH843" s="70"/>
      <c r="CI843" s="70"/>
      <c r="CJ843" s="70"/>
      <c r="CK843" s="70"/>
      <c r="CL843" s="70"/>
      <c r="CM843" s="70"/>
      <c r="CN843" s="70"/>
      <c r="CO843" s="70"/>
      <c r="CP843" s="70"/>
      <c r="CQ843" s="70"/>
      <c r="CR843" s="70"/>
      <c r="CS843" s="70"/>
      <c r="CT843" s="70"/>
      <c r="CU843" s="70"/>
      <c r="CV843" s="70"/>
      <c r="CW843" s="70"/>
      <c r="CX843" s="70"/>
      <c r="CY843" s="70"/>
      <c r="CZ843" s="70"/>
      <c r="DA843" s="70"/>
      <c r="DB843" s="70"/>
      <c r="DC843" s="70"/>
      <c r="DD843" s="70"/>
      <c r="DE843" s="70"/>
      <c r="DF843" s="70"/>
      <c r="DG843" s="70"/>
      <c r="DH843" s="70"/>
      <c r="DI843" s="70"/>
      <c r="DJ843" s="70"/>
      <c r="DK843" s="70"/>
      <c r="DL843" s="70"/>
      <c r="DM843" s="70"/>
      <c r="DN843" s="70"/>
      <c r="DO843" s="70"/>
      <c r="DP843" s="70"/>
      <c r="DQ843" s="70"/>
      <c r="DR843" s="70"/>
      <c r="DS843" s="70"/>
      <c r="DT843" s="70"/>
      <c r="DU843" s="70"/>
      <c r="DV843" s="70"/>
      <c r="DW843" s="70"/>
      <c r="DX843" s="70"/>
      <c r="DY843" s="70"/>
      <c r="DZ843" s="70"/>
      <c r="EA843" s="70"/>
      <c r="EB843" s="70"/>
      <c r="EC843" s="70"/>
      <c r="ED843" s="70"/>
      <c r="EE843" s="95" t="s">
        <v>450</v>
      </c>
      <c r="EF843" s="95"/>
      <c r="EG843" s="95"/>
      <c r="EH843" s="70"/>
      <c r="EI843" s="216"/>
      <c r="EJ843" s="70"/>
      <c r="EK843" s="70"/>
      <c r="EL843" s="70"/>
      <c r="EM843" s="70"/>
      <c r="EN843" s="70"/>
      <c r="EO843" s="70"/>
      <c r="EP843" s="70"/>
      <c r="EQ843" s="70"/>
      <c r="ER843" s="70"/>
      <c r="ES843" s="70"/>
      <c r="ET843" s="70"/>
      <c r="EU843" s="70"/>
      <c r="EV843" s="70"/>
      <c r="EW843" s="70"/>
      <c r="EX843" s="70"/>
      <c r="EY843" s="70"/>
      <c r="EZ843" s="70"/>
      <c r="FA843" s="70"/>
      <c r="FB843" s="70"/>
      <c r="FC843" s="70"/>
      <c r="FD843" s="70"/>
      <c r="FE843" s="70"/>
      <c r="FF843" s="70"/>
      <c r="FG843" s="70"/>
      <c r="FH843" s="70"/>
      <c r="FI843" s="70"/>
      <c r="FJ843" s="70"/>
      <c r="FK843" s="70"/>
      <c r="FL843" s="70"/>
      <c r="FM843" s="70"/>
      <c r="FN843" s="70"/>
      <c r="FO843" s="70"/>
      <c r="FP843" s="70"/>
      <c r="FQ843" s="70"/>
      <c r="FR843" s="70"/>
      <c r="FS843" s="70"/>
      <c r="FT843" s="70"/>
      <c r="FU843" s="70"/>
      <c r="FV843" s="70"/>
      <c r="FW843" s="70"/>
      <c r="FX843" s="70"/>
      <c r="FY843" s="70"/>
      <c r="FZ843" s="70"/>
      <c r="GA843" s="70"/>
      <c r="GB843" s="70"/>
      <c r="GC843" s="70"/>
      <c r="GD843" s="70"/>
      <c r="GE843" s="70"/>
      <c r="GF843" s="70"/>
      <c r="GG843" s="70"/>
      <c r="GH843" s="70"/>
      <c r="GI843" s="70"/>
      <c r="GJ843" s="70"/>
      <c r="GK843" s="70"/>
      <c r="GL843" s="70"/>
      <c r="GM843" s="70"/>
      <c r="GN843" s="70"/>
      <c r="GO843" s="70"/>
      <c r="GP843" s="70"/>
      <c r="GQ843" s="70"/>
      <c r="GR843" s="70"/>
      <c r="GS843" s="70"/>
      <c r="GT843" s="70"/>
      <c r="GU843" s="70"/>
      <c r="GV843" s="70"/>
      <c r="GW843" s="70"/>
      <c r="GX843" s="70"/>
      <c r="GY843" s="70"/>
      <c r="GZ843" s="70"/>
      <c r="HA843" s="70"/>
      <c r="HB843" s="70"/>
      <c r="HC843" s="70"/>
      <c r="HD843" s="70"/>
      <c r="HE843" s="70"/>
      <c r="HF843" s="70"/>
      <c r="HG843" s="70"/>
      <c r="HH843" s="70"/>
      <c r="HI843" s="70"/>
      <c r="HJ843" s="70"/>
      <c r="HK843" s="70"/>
      <c r="HL843" s="70"/>
      <c r="HM843" s="70"/>
      <c r="HN843" s="70"/>
      <c r="HO843" s="70"/>
      <c r="HP843" s="70"/>
      <c r="HQ843" s="70"/>
      <c r="HR843" s="70"/>
      <c r="HS843" s="70"/>
      <c r="HT843" s="70"/>
      <c r="HU843" s="70"/>
      <c r="HV843" s="70"/>
      <c r="HW843" s="70"/>
      <c r="HX843" s="70"/>
      <c r="HY843" s="70"/>
      <c r="HZ843" s="70"/>
      <c r="IA843" s="70"/>
      <c r="IB843" s="70"/>
      <c r="IC843" s="70"/>
      <c r="ID843" s="70"/>
      <c r="IE843" s="70"/>
      <c r="IF843" s="70"/>
      <c r="IG843" s="70"/>
      <c r="IH843" s="70"/>
      <c r="II843" s="70"/>
      <c r="IJ843" s="70"/>
      <c r="IK843" s="70"/>
      <c r="IL843" s="70"/>
      <c r="IM843" s="70"/>
      <c r="IN843" s="70"/>
      <c r="IO843" s="70"/>
      <c r="IP843" s="70"/>
      <c r="IQ843" s="70"/>
    </row>
    <row r="844" spans="18:251" ht="16.5" hidden="1" customHeight="1">
      <c r="R844" s="95" t="s">
        <v>450</v>
      </c>
      <c r="S844" s="95"/>
      <c r="T844" s="95"/>
      <c r="U844" s="70"/>
      <c r="V844" s="214"/>
      <c r="W844" s="70"/>
      <c r="X844" s="70"/>
      <c r="Y844" s="70"/>
      <c r="Z844" s="70"/>
      <c r="AA844" s="70"/>
      <c r="AB844" s="70"/>
      <c r="AC844" s="70"/>
      <c r="AD844" s="70"/>
      <c r="AE844" s="70"/>
      <c r="AF844" s="70"/>
      <c r="AG844" s="70"/>
      <c r="AH844" s="70"/>
      <c r="AI844" s="70"/>
      <c r="AJ844" s="70"/>
      <c r="AK844" s="70"/>
      <c r="AL844" s="70"/>
      <c r="AM844" s="70"/>
      <c r="AN844" s="70"/>
      <c r="AO844" s="70"/>
      <c r="AP844" s="70"/>
      <c r="AQ844" s="70"/>
      <c r="AR844" s="70"/>
      <c r="AS844" s="70"/>
      <c r="AT844" s="70"/>
      <c r="AU844" s="70"/>
      <c r="AV844" s="70"/>
      <c r="AW844" s="70"/>
      <c r="AX844" s="70"/>
      <c r="AY844" s="70"/>
      <c r="AZ844" s="70"/>
      <c r="BA844" s="70"/>
      <c r="BB844" s="70"/>
      <c r="BC844" s="70"/>
      <c r="BD844" s="70"/>
      <c r="BE844" s="70"/>
      <c r="BF844" s="70"/>
      <c r="BG844" s="70"/>
      <c r="BH844" s="70"/>
      <c r="BI844" s="70"/>
      <c r="BJ844" s="70"/>
      <c r="BK844" s="70"/>
      <c r="BL844" s="70"/>
      <c r="BM844" s="70"/>
      <c r="BN844" s="70"/>
      <c r="BO844" s="70"/>
      <c r="BP844" s="70"/>
      <c r="BQ844" s="70"/>
      <c r="BR844" s="70"/>
      <c r="BS844" s="70"/>
      <c r="BT844" s="70"/>
      <c r="BU844" s="70"/>
      <c r="BV844" s="70"/>
      <c r="BW844" s="70"/>
      <c r="BX844" s="70"/>
      <c r="BY844" s="70"/>
      <c r="BZ844" s="70"/>
      <c r="CA844" s="70"/>
      <c r="CB844" s="70"/>
      <c r="CC844" s="70"/>
      <c r="CD844" s="70"/>
      <c r="CE844" s="70"/>
      <c r="CF844" s="70"/>
      <c r="CG844" s="70"/>
      <c r="CH844" s="70"/>
      <c r="CI844" s="70"/>
      <c r="CJ844" s="70"/>
      <c r="CK844" s="70"/>
      <c r="CL844" s="70"/>
      <c r="CM844" s="70"/>
      <c r="CN844" s="70"/>
      <c r="CO844" s="70"/>
      <c r="CP844" s="70"/>
      <c r="CQ844" s="70"/>
      <c r="CR844" s="70"/>
      <c r="CS844" s="70"/>
      <c r="CT844" s="70"/>
      <c r="CU844" s="70"/>
      <c r="CV844" s="70"/>
      <c r="CW844" s="70"/>
      <c r="CX844" s="70"/>
      <c r="CY844" s="70"/>
      <c r="CZ844" s="70"/>
      <c r="DA844" s="70"/>
      <c r="DB844" s="70"/>
      <c r="DC844" s="70"/>
      <c r="DD844" s="70"/>
      <c r="DE844" s="70"/>
      <c r="DF844" s="70"/>
      <c r="DG844" s="70"/>
      <c r="DH844" s="70"/>
      <c r="DI844" s="70"/>
      <c r="DJ844" s="70"/>
      <c r="DK844" s="70"/>
      <c r="DL844" s="70"/>
      <c r="DM844" s="70"/>
      <c r="DN844" s="70"/>
      <c r="DO844" s="70"/>
      <c r="DP844" s="70"/>
      <c r="DQ844" s="70"/>
      <c r="DR844" s="70"/>
      <c r="DS844" s="70"/>
      <c r="DT844" s="70"/>
      <c r="DU844" s="70"/>
      <c r="DV844" s="70"/>
      <c r="DW844" s="70"/>
      <c r="DX844" s="70"/>
      <c r="DY844" s="70"/>
      <c r="DZ844" s="70"/>
      <c r="EA844" s="70"/>
      <c r="EB844" s="70"/>
      <c r="EC844" s="70"/>
      <c r="ED844" s="70"/>
      <c r="EE844" s="95" t="s">
        <v>450</v>
      </c>
      <c r="EF844" s="95"/>
      <c r="EG844" s="95"/>
      <c r="EH844" s="70"/>
      <c r="EI844" s="216"/>
      <c r="EJ844" s="70"/>
      <c r="EK844" s="70"/>
      <c r="EL844" s="70"/>
      <c r="EM844" s="70"/>
      <c r="EN844" s="70"/>
      <c r="EO844" s="70"/>
      <c r="EP844" s="70"/>
      <c r="EQ844" s="70"/>
      <c r="ER844" s="70"/>
      <c r="ES844" s="70"/>
      <c r="ET844" s="70"/>
      <c r="EU844" s="70"/>
      <c r="EV844" s="70"/>
      <c r="EW844" s="70"/>
      <c r="EX844" s="70"/>
      <c r="EY844" s="70"/>
      <c r="EZ844" s="70"/>
      <c r="FA844" s="70"/>
      <c r="FB844" s="70"/>
      <c r="FC844" s="70"/>
      <c r="FD844" s="70"/>
      <c r="FE844" s="70"/>
      <c r="FF844" s="70"/>
      <c r="FG844" s="70"/>
      <c r="FH844" s="70"/>
      <c r="FI844" s="70"/>
      <c r="FJ844" s="70"/>
      <c r="FK844" s="70"/>
      <c r="FL844" s="70"/>
      <c r="FM844" s="70"/>
      <c r="FN844" s="70"/>
      <c r="FO844" s="70"/>
      <c r="FP844" s="70"/>
      <c r="FQ844" s="70"/>
      <c r="FR844" s="70"/>
      <c r="FS844" s="70"/>
      <c r="FT844" s="70"/>
      <c r="FU844" s="70"/>
      <c r="FV844" s="70"/>
      <c r="FW844" s="70"/>
      <c r="FX844" s="70"/>
      <c r="FY844" s="70"/>
      <c r="FZ844" s="70"/>
      <c r="GA844" s="70"/>
      <c r="GB844" s="70"/>
      <c r="GC844" s="70"/>
      <c r="GD844" s="70"/>
      <c r="GE844" s="70"/>
      <c r="GF844" s="70"/>
      <c r="GG844" s="70"/>
      <c r="GH844" s="70"/>
      <c r="GI844" s="70"/>
      <c r="GJ844" s="70"/>
      <c r="GK844" s="70"/>
      <c r="GL844" s="70"/>
      <c r="GM844" s="70"/>
      <c r="GN844" s="70"/>
      <c r="GO844" s="70"/>
      <c r="GP844" s="70"/>
      <c r="GQ844" s="70"/>
      <c r="GR844" s="70"/>
      <c r="GS844" s="70"/>
      <c r="GT844" s="70"/>
      <c r="GU844" s="70"/>
      <c r="GV844" s="70"/>
      <c r="GW844" s="70"/>
      <c r="GX844" s="70"/>
      <c r="GY844" s="70"/>
      <c r="GZ844" s="70"/>
      <c r="HA844" s="70"/>
      <c r="HB844" s="70"/>
      <c r="HC844" s="70"/>
      <c r="HD844" s="70"/>
      <c r="HE844" s="70"/>
      <c r="HF844" s="70"/>
      <c r="HG844" s="70"/>
      <c r="HH844" s="70"/>
      <c r="HI844" s="70"/>
      <c r="HJ844" s="70"/>
      <c r="HK844" s="70"/>
      <c r="HL844" s="70"/>
      <c r="HM844" s="70"/>
      <c r="HN844" s="70"/>
      <c r="HO844" s="70"/>
      <c r="HP844" s="70"/>
      <c r="HQ844" s="70"/>
      <c r="HR844" s="70"/>
      <c r="HS844" s="70"/>
      <c r="HT844" s="70"/>
      <c r="HU844" s="70"/>
      <c r="HV844" s="70"/>
      <c r="HW844" s="70"/>
      <c r="HX844" s="70"/>
      <c r="HY844" s="70"/>
      <c r="HZ844" s="70"/>
      <c r="IA844" s="70"/>
      <c r="IB844" s="70"/>
      <c r="IC844" s="70"/>
      <c r="ID844" s="70"/>
      <c r="IE844" s="70"/>
      <c r="IF844" s="70"/>
      <c r="IG844" s="70"/>
      <c r="IH844" s="70"/>
      <c r="II844" s="70"/>
      <c r="IJ844" s="70"/>
      <c r="IK844" s="70"/>
      <c r="IL844" s="70"/>
      <c r="IM844" s="70"/>
      <c r="IN844" s="70"/>
      <c r="IO844" s="70"/>
      <c r="IP844" s="70"/>
      <c r="IQ844" s="70"/>
    </row>
    <row r="845" spans="18:251" ht="16.5" hidden="1" customHeight="1">
      <c r="R845" s="95" t="s">
        <v>450</v>
      </c>
      <c r="S845" s="95"/>
      <c r="T845" s="95"/>
      <c r="U845" s="70"/>
      <c r="V845" s="214"/>
      <c r="W845" s="70"/>
      <c r="X845" s="70"/>
      <c r="Y845" s="70"/>
      <c r="Z845" s="70"/>
      <c r="AA845" s="70"/>
      <c r="AB845" s="70"/>
      <c r="AC845" s="70"/>
      <c r="AD845" s="70"/>
      <c r="AE845" s="70"/>
      <c r="AF845" s="70"/>
      <c r="AG845" s="70"/>
      <c r="AH845" s="70"/>
      <c r="AI845" s="70"/>
      <c r="AJ845" s="70"/>
      <c r="AK845" s="70"/>
      <c r="AL845" s="70"/>
      <c r="AM845" s="70"/>
      <c r="AN845" s="70"/>
      <c r="AO845" s="70"/>
      <c r="AP845" s="70"/>
      <c r="AQ845" s="70"/>
      <c r="AR845" s="70"/>
      <c r="AS845" s="70"/>
      <c r="AT845" s="70"/>
      <c r="AU845" s="70"/>
      <c r="AV845" s="70"/>
      <c r="AW845" s="70"/>
      <c r="AX845" s="70"/>
      <c r="AY845" s="70"/>
      <c r="AZ845" s="70"/>
      <c r="BA845" s="70"/>
      <c r="BB845" s="70"/>
      <c r="BC845" s="70"/>
      <c r="BD845" s="70"/>
      <c r="BE845" s="70"/>
      <c r="BF845" s="70"/>
      <c r="BG845" s="70"/>
      <c r="BH845" s="70"/>
      <c r="BI845" s="70"/>
      <c r="BJ845" s="70"/>
      <c r="BK845" s="70"/>
      <c r="BL845" s="70"/>
      <c r="BM845" s="70"/>
      <c r="BN845" s="70"/>
      <c r="BO845" s="70"/>
      <c r="BP845" s="70"/>
      <c r="BQ845" s="70"/>
      <c r="BR845" s="70"/>
      <c r="BS845" s="70"/>
      <c r="BT845" s="70"/>
      <c r="BU845" s="70"/>
      <c r="BV845" s="70"/>
      <c r="BW845" s="70"/>
      <c r="BX845" s="70"/>
      <c r="BY845" s="70"/>
      <c r="BZ845" s="70"/>
      <c r="CA845" s="70"/>
      <c r="CB845" s="70"/>
      <c r="CC845" s="70"/>
      <c r="CD845" s="70"/>
      <c r="CE845" s="70"/>
      <c r="CF845" s="70"/>
      <c r="CG845" s="70"/>
      <c r="CH845" s="70"/>
      <c r="CI845" s="70"/>
      <c r="CJ845" s="70"/>
      <c r="CK845" s="70"/>
      <c r="CL845" s="70"/>
      <c r="CM845" s="70"/>
      <c r="CN845" s="70"/>
      <c r="CO845" s="70"/>
      <c r="CP845" s="70"/>
      <c r="CQ845" s="70"/>
      <c r="CR845" s="70"/>
      <c r="CS845" s="70"/>
      <c r="CT845" s="70"/>
      <c r="CU845" s="70"/>
      <c r="CV845" s="70"/>
      <c r="CW845" s="70"/>
      <c r="CX845" s="70"/>
      <c r="CY845" s="70"/>
      <c r="CZ845" s="70"/>
      <c r="DA845" s="70"/>
      <c r="DB845" s="70"/>
      <c r="DC845" s="70"/>
      <c r="DD845" s="70"/>
      <c r="DE845" s="70"/>
      <c r="DF845" s="70"/>
      <c r="DG845" s="70"/>
      <c r="DH845" s="70"/>
      <c r="DI845" s="70"/>
      <c r="DJ845" s="70"/>
      <c r="DK845" s="70"/>
      <c r="DL845" s="70"/>
      <c r="DM845" s="70"/>
      <c r="DN845" s="70"/>
      <c r="DO845" s="70"/>
      <c r="DP845" s="70"/>
      <c r="DQ845" s="70"/>
      <c r="DR845" s="70"/>
      <c r="DS845" s="70"/>
      <c r="DT845" s="70"/>
      <c r="DU845" s="70"/>
      <c r="DV845" s="70"/>
      <c r="DW845" s="70"/>
      <c r="DX845" s="70"/>
      <c r="DY845" s="70"/>
      <c r="DZ845" s="70"/>
      <c r="EA845" s="70"/>
      <c r="EB845" s="70"/>
      <c r="EC845" s="70"/>
      <c r="ED845" s="70"/>
      <c r="EE845" s="95" t="s">
        <v>450</v>
      </c>
      <c r="EF845" s="95"/>
      <c r="EG845" s="95"/>
      <c r="EH845" s="70"/>
      <c r="EI845" s="216"/>
      <c r="EJ845" s="70"/>
      <c r="EK845" s="70"/>
      <c r="EL845" s="70"/>
      <c r="EM845" s="70"/>
      <c r="EN845" s="70"/>
      <c r="EO845" s="70"/>
      <c r="EP845" s="70"/>
      <c r="EQ845" s="70"/>
      <c r="ER845" s="70"/>
      <c r="ES845" s="70"/>
      <c r="ET845" s="70"/>
      <c r="EU845" s="70"/>
      <c r="EV845" s="70"/>
      <c r="EW845" s="70"/>
      <c r="EX845" s="70"/>
      <c r="EY845" s="70"/>
      <c r="EZ845" s="70"/>
      <c r="FA845" s="70"/>
      <c r="FB845" s="70"/>
      <c r="FC845" s="70"/>
      <c r="FD845" s="70"/>
      <c r="FE845" s="70"/>
      <c r="FF845" s="70"/>
      <c r="FG845" s="70"/>
      <c r="FH845" s="70"/>
      <c r="FI845" s="70"/>
      <c r="FJ845" s="70"/>
      <c r="FK845" s="70"/>
      <c r="FL845" s="70"/>
      <c r="FM845" s="70"/>
      <c r="FN845" s="70"/>
      <c r="FO845" s="70"/>
      <c r="FP845" s="70"/>
      <c r="FQ845" s="70"/>
      <c r="FR845" s="70"/>
      <c r="FS845" s="70"/>
      <c r="FT845" s="70"/>
      <c r="FU845" s="70"/>
      <c r="FV845" s="70"/>
      <c r="FW845" s="70"/>
      <c r="FX845" s="70"/>
      <c r="FY845" s="70"/>
      <c r="FZ845" s="70"/>
      <c r="GA845" s="70"/>
      <c r="GB845" s="70"/>
      <c r="GC845" s="70"/>
      <c r="GD845" s="70"/>
      <c r="GE845" s="70"/>
      <c r="GF845" s="70"/>
      <c r="GG845" s="70"/>
      <c r="GH845" s="70"/>
      <c r="GI845" s="70"/>
      <c r="GJ845" s="70"/>
      <c r="GK845" s="70"/>
      <c r="GL845" s="70"/>
      <c r="GM845" s="70"/>
      <c r="GN845" s="70"/>
      <c r="GO845" s="70"/>
      <c r="GP845" s="70"/>
      <c r="GQ845" s="70"/>
      <c r="GR845" s="70"/>
      <c r="GS845" s="70"/>
      <c r="GT845" s="70"/>
      <c r="GU845" s="70"/>
      <c r="GV845" s="70"/>
      <c r="GW845" s="70"/>
      <c r="GX845" s="70"/>
      <c r="GY845" s="70"/>
      <c r="GZ845" s="70"/>
      <c r="HA845" s="70"/>
      <c r="HB845" s="70"/>
      <c r="HC845" s="70"/>
      <c r="HD845" s="70"/>
      <c r="HE845" s="70"/>
      <c r="HF845" s="70"/>
      <c r="HG845" s="70"/>
      <c r="HH845" s="70"/>
      <c r="HI845" s="70"/>
      <c r="HJ845" s="70"/>
      <c r="HK845" s="70"/>
      <c r="HL845" s="70"/>
      <c r="HM845" s="70"/>
      <c r="HN845" s="70"/>
      <c r="HO845" s="70"/>
      <c r="HP845" s="70"/>
      <c r="HQ845" s="70"/>
      <c r="HR845" s="70"/>
      <c r="HS845" s="70"/>
      <c r="HT845" s="70"/>
      <c r="HU845" s="70"/>
      <c r="HV845" s="70"/>
      <c r="HW845" s="70"/>
      <c r="HX845" s="70"/>
      <c r="HY845" s="70"/>
      <c r="HZ845" s="70"/>
      <c r="IA845" s="70"/>
      <c r="IB845" s="70"/>
      <c r="IC845" s="70"/>
      <c r="ID845" s="70"/>
      <c r="IE845" s="70"/>
      <c r="IF845" s="70"/>
      <c r="IG845" s="70"/>
      <c r="IH845" s="70"/>
      <c r="II845" s="70"/>
      <c r="IJ845" s="70"/>
      <c r="IK845" s="70"/>
      <c r="IL845" s="70"/>
      <c r="IM845" s="70"/>
      <c r="IN845" s="70"/>
      <c r="IO845" s="70"/>
      <c r="IP845" s="70"/>
      <c r="IQ845" s="70"/>
    </row>
    <row r="846" spans="18:251" ht="16.5" hidden="1" customHeight="1">
      <c r="R846" s="95" t="s">
        <v>450</v>
      </c>
      <c r="S846" s="95"/>
      <c r="T846" s="95"/>
      <c r="U846" s="70"/>
      <c r="V846" s="214"/>
      <c r="W846" s="70"/>
      <c r="X846" s="70"/>
      <c r="Y846" s="70"/>
      <c r="Z846" s="70"/>
      <c r="AA846" s="70"/>
      <c r="AB846" s="70"/>
      <c r="AC846" s="70"/>
      <c r="AD846" s="70"/>
      <c r="AE846" s="70"/>
      <c r="AF846" s="70"/>
      <c r="AG846" s="70"/>
      <c r="AH846" s="70"/>
      <c r="AI846" s="70"/>
      <c r="AJ846" s="70"/>
      <c r="AK846" s="70"/>
      <c r="AL846" s="70"/>
      <c r="AM846" s="70"/>
      <c r="AN846" s="70"/>
      <c r="AO846" s="70"/>
      <c r="AP846" s="70"/>
      <c r="AQ846" s="70"/>
      <c r="AR846" s="70"/>
      <c r="AS846" s="70"/>
      <c r="AT846" s="70"/>
      <c r="AU846" s="70"/>
      <c r="AV846" s="70"/>
      <c r="AW846" s="70"/>
      <c r="AX846" s="70"/>
      <c r="AY846" s="70"/>
      <c r="AZ846" s="70"/>
      <c r="BA846" s="70"/>
      <c r="BB846" s="70"/>
      <c r="BC846" s="70"/>
      <c r="BD846" s="70"/>
      <c r="BE846" s="70"/>
      <c r="BF846" s="70"/>
      <c r="BG846" s="70"/>
      <c r="BH846" s="70"/>
      <c r="BI846" s="70"/>
      <c r="BJ846" s="70"/>
      <c r="BK846" s="70"/>
      <c r="BL846" s="70"/>
      <c r="BM846" s="70"/>
      <c r="BN846" s="70"/>
      <c r="BO846" s="70"/>
      <c r="BP846" s="70"/>
      <c r="BQ846" s="70"/>
      <c r="BR846" s="70"/>
      <c r="BS846" s="70"/>
      <c r="BT846" s="70"/>
      <c r="BU846" s="70"/>
      <c r="BV846" s="70"/>
      <c r="BW846" s="70"/>
      <c r="BX846" s="70"/>
      <c r="BY846" s="70"/>
      <c r="BZ846" s="70"/>
      <c r="CA846" s="70"/>
      <c r="CB846" s="70"/>
      <c r="CC846" s="70"/>
      <c r="CD846" s="70"/>
      <c r="CE846" s="70"/>
      <c r="CF846" s="70"/>
      <c r="CG846" s="70"/>
      <c r="CH846" s="70"/>
      <c r="CI846" s="70"/>
      <c r="CJ846" s="70"/>
      <c r="CK846" s="70"/>
      <c r="CL846" s="70"/>
      <c r="CM846" s="70"/>
      <c r="CN846" s="70"/>
      <c r="CO846" s="70"/>
      <c r="CP846" s="70"/>
      <c r="CQ846" s="70"/>
      <c r="CR846" s="70"/>
      <c r="CS846" s="70"/>
      <c r="CT846" s="70"/>
      <c r="CU846" s="70"/>
      <c r="CV846" s="70"/>
      <c r="CW846" s="70"/>
      <c r="CX846" s="70"/>
      <c r="CY846" s="70"/>
      <c r="CZ846" s="70"/>
      <c r="DA846" s="70"/>
      <c r="DB846" s="70"/>
      <c r="DC846" s="70"/>
      <c r="DD846" s="70"/>
      <c r="DE846" s="70"/>
      <c r="DF846" s="70"/>
      <c r="DG846" s="70"/>
      <c r="DH846" s="70"/>
      <c r="DI846" s="70"/>
      <c r="DJ846" s="70"/>
      <c r="DK846" s="70"/>
      <c r="DL846" s="70"/>
      <c r="DM846" s="70"/>
      <c r="DN846" s="70"/>
      <c r="DO846" s="70"/>
      <c r="DP846" s="70"/>
      <c r="DQ846" s="70"/>
      <c r="DR846" s="70"/>
      <c r="DS846" s="70"/>
      <c r="DT846" s="70"/>
      <c r="DU846" s="70"/>
      <c r="DV846" s="70"/>
      <c r="DW846" s="70"/>
      <c r="DX846" s="70"/>
      <c r="DY846" s="70"/>
      <c r="DZ846" s="70"/>
      <c r="EA846" s="70"/>
      <c r="EB846" s="70"/>
      <c r="EC846" s="70"/>
      <c r="ED846" s="70"/>
      <c r="EE846" s="95" t="s">
        <v>450</v>
      </c>
      <c r="EF846" s="95"/>
      <c r="EG846" s="95"/>
      <c r="EH846" s="70"/>
      <c r="EI846" s="216"/>
      <c r="EJ846" s="70"/>
      <c r="EK846" s="70"/>
      <c r="EL846" s="70"/>
      <c r="EM846" s="70"/>
      <c r="EN846" s="70"/>
      <c r="EO846" s="70"/>
      <c r="EP846" s="70"/>
      <c r="EQ846" s="70"/>
      <c r="ER846" s="70"/>
      <c r="ES846" s="70"/>
      <c r="ET846" s="70"/>
      <c r="EU846" s="70"/>
      <c r="EV846" s="70"/>
      <c r="EW846" s="70"/>
      <c r="EX846" s="70"/>
      <c r="EY846" s="70"/>
      <c r="EZ846" s="70"/>
      <c r="FA846" s="70"/>
      <c r="FB846" s="70"/>
      <c r="FC846" s="70"/>
      <c r="FD846" s="70"/>
      <c r="FE846" s="70"/>
      <c r="FF846" s="70"/>
      <c r="FG846" s="70"/>
      <c r="FH846" s="70"/>
      <c r="FI846" s="70"/>
      <c r="FJ846" s="70"/>
      <c r="FK846" s="70"/>
      <c r="FL846" s="70"/>
      <c r="FM846" s="70"/>
      <c r="FN846" s="70"/>
      <c r="FO846" s="70"/>
      <c r="FP846" s="70"/>
      <c r="FQ846" s="70"/>
      <c r="FR846" s="70"/>
      <c r="FS846" s="70"/>
      <c r="FT846" s="70"/>
      <c r="FU846" s="70"/>
      <c r="FV846" s="70"/>
      <c r="FW846" s="70"/>
      <c r="FX846" s="70"/>
      <c r="FY846" s="70"/>
      <c r="FZ846" s="70"/>
      <c r="GA846" s="70"/>
      <c r="GB846" s="70"/>
      <c r="GC846" s="70"/>
      <c r="GD846" s="70"/>
      <c r="GE846" s="70"/>
      <c r="GF846" s="70"/>
      <c r="GG846" s="70"/>
      <c r="GH846" s="70"/>
      <c r="GI846" s="70"/>
      <c r="GJ846" s="70"/>
      <c r="GK846" s="70"/>
      <c r="GL846" s="70"/>
      <c r="GM846" s="70"/>
      <c r="GN846" s="70"/>
      <c r="GO846" s="70"/>
      <c r="GP846" s="70"/>
      <c r="GQ846" s="70"/>
      <c r="GR846" s="70"/>
      <c r="GS846" s="70"/>
      <c r="GT846" s="70"/>
      <c r="GU846" s="70"/>
      <c r="GV846" s="70"/>
      <c r="GW846" s="70"/>
      <c r="GX846" s="70"/>
      <c r="GY846" s="70"/>
      <c r="GZ846" s="70"/>
      <c r="HA846" s="70"/>
      <c r="HB846" s="70"/>
      <c r="HC846" s="70"/>
      <c r="HD846" s="70"/>
      <c r="HE846" s="70"/>
      <c r="HF846" s="70"/>
      <c r="HG846" s="70"/>
      <c r="HH846" s="70"/>
      <c r="HI846" s="70"/>
      <c r="HJ846" s="70"/>
      <c r="HK846" s="70"/>
      <c r="HL846" s="70"/>
      <c r="HM846" s="70"/>
      <c r="HN846" s="70"/>
      <c r="HO846" s="70"/>
      <c r="HP846" s="70"/>
      <c r="HQ846" s="70"/>
      <c r="HR846" s="70"/>
      <c r="HS846" s="70"/>
      <c r="HT846" s="70"/>
      <c r="HU846" s="70"/>
      <c r="HV846" s="70"/>
      <c r="HW846" s="70"/>
      <c r="HX846" s="70"/>
      <c r="HY846" s="70"/>
      <c r="HZ846" s="70"/>
      <c r="IA846" s="70"/>
      <c r="IB846" s="70"/>
      <c r="IC846" s="70"/>
      <c r="ID846" s="70"/>
      <c r="IE846" s="70"/>
      <c r="IF846" s="70"/>
      <c r="IG846" s="70"/>
      <c r="IH846" s="70"/>
      <c r="II846" s="70"/>
      <c r="IJ846" s="70"/>
      <c r="IK846" s="70"/>
      <c r="IL846" s="70"/>
      <c r="IM846" s="70"/>
      <c r="IN846" s="70"/>
      <c r="IO846" s="70"/>
      <c r="IP846" s="70"/>
      <c r="IQ846" s="70"/>
    </row>
    <row r="847" spans="18:251" ht="16.5" hidden="1" customHeight="1">
      <c r="R847" s="95" t="s">
        <v>450</v>
      </c>
      <c r="S847" s="95"/>
      <c r="T847" s="95"/>
      <c r="U847" s="70"/>
      <c r="V847" s="214"/>
      <c r="W847" s="70"/>
      <c r="X847" s="70"/>
      <c r="Y847" s="70"/>
      <c r="Z847" s="70"/>
      <c r="AA847" s="70"/>
      <c r="AB847" s="70"/>
      <c r="AC847" s="70"/>
      <c r="AD847" s="70"/>
      <c r="AE847" s="70"/>
      <c r="AF847" s="70"/>
      <c r="AG847" s="70"/>
      <c r="AH847" s="70"/>
      <c r="AI847" s="70"/>
      <c r="AJ847" s="70"/>
      <c r="AK847" s="70"/>
      <c r="AL847" s="70"/>
      <c r="AM847" s="70"/>
      <c r="AN847" s="70"/>
      <c r="AO847" s="70"/>
      <c r="AP847" s="70"/>
      <c r="AQ847" s="70"/>
      <c r="AR847" s="70"/>
      <c r="AS847" s="70"/>
      <c r="AT847" s="70"/>
      <c r="AU847" s="70"/>
      <c r="AV847" s="70"/>
      <c r="AW847" s="70"/>
      <c r="AX847" s="70"/>
      <c r="AY847" s="70"/>
      <c r="AZ847" s="70"/>
      <c r="BA847" s="70"/>
      <c r="BB847" s="70"/>
      <c r="BC847" s="70"/>
      <c r="BD847" s="70"/>
      <c r="BE847" s="70"/>
      <c r="BF847" s="70"/>
      <c r="BG847" s="70"/>
      <c r="BH847" s="70"/>
      <c r="BI847" s="70"/>
      <c r="BJ847" s="70"/>
      <c r="BK847" s="70"/>
      <c r="BL847" s="70"/>
      <c r="BM847" s="70"/>
      <c r="BN847" s="70"/>
      <c r="BO847" s="70"/>
      <c r="BP847" s="70"/>
      <c r="BQ847" s="70"/>
      <c r="BR847" s="70"/>
      <c r="BS847" s="70"/>
      <c r="BT847" s="70"/>
      <c r="BU847" s="70"/>
      <c r="BV847" s="70"/>
      <c r="BW847" s="70"/>
      <c r="BX847" s="70"/>
      <c r="BY847" s="70"/>
      <c r="BZ847" s="70"/>
      <c r="CA847" s="70"/>
      <c r="CB847" s="70"/>
      <c r="CC847" s="70"/>
      <c r="CD847" s="70"/>
      <c r="CE847" s="70"/>
      <c r="CF847" s="70"/>
      <c r="CG847" s="70"/>
      <c r="CH847" s="70"/>
      <c r="CI847" s="70"/>
      <c r="CJ847" s="70"/>
      <c r="CK847" s="70"/>
      <c r="CL847" s="70"/>
      <c r="CM847" s="70"/>
      <c r="CN847" s="70"/>
      <c r="CO847" s="70"/>
      <c r="CP847" s="70"/>
      <c r="CQ847" s="70"/>
      <c r="CR847" s="70"/>
      <c r="CS847" s="70"/>
      <c r="CT847" s="70"/>
      <c r="CU847" s="70"/>
      <c r="CV847" s="70"/>
      <c r="CW847" s="70"/>
      <c r="CX847" s="70"/>
      <c r="CY847" s="70"/>
      <c r="CZ847" s="70"/>
      <c r="DA847" s="70"/>
      <c r="DB847" s="70"/>
      <c r="DC847" s="70"/>
      <c r="DD847" s="70"/>
      <c r="DE847" s="70"/>
      <c r="DF847" s="70"/>
      <c r="DG847" s="70"/>
      <c r="DH847" s="70"/>
      <c r="DI847" s="70"/>
      <c r="DJ847" s="70"/>
      <c r="DK847" s="70"/>
      <c r="DL847" s="70"/>
      <c r="DM847" s="70"/>
      <c r="DN847" s="70"/>
      <c r="DO847" s="70"/>
      <c r="DP847" s="70"/>
      <c r="DQ847" s="70"/>
      <c r="DR847" s="70"/>
      <c r="DS847" s="70"/>
      <c r="DT847" s="70"/>
      <c r="DU847" s="70"/>
      <c r="DV847" s="70"/>
      <c r="DW847" s="70"/>
      <c r="DX847" s="70"/>
      <c r="DY847" s="70"/>
      <c r="DZ847" s="70"/>
      <c r="EA847" s="70"/>
      <c r="EB847" s="70"/>
      <c r="EC847" s="70"/>
      <c r="ED847" s="70"/>
      <c r="EE847" s="95" t="s">
        <v>450</v>
      </c>
      <c r="EF847" s="95"/>
      <c r="EG847" s="95"/>
      <c r="EH847" s="70"/>
      <c r="EI847" s="216"/>
      <c r="EJ847" s="70"/>
      <c r="EK847" s="70"/>
      <c r="EL847" s="70"/>
      <c r="EM847" s="70"/>
      <c r="EN847" s="70"/>
      <c r="EO847" s="70"/>
      <c r="EP847" s="70"/>
      <c r="EQ847" s="70"/>
      <c r="ER847" s="70"/>
      <c r="ES847" s="70"/>
      <c r="ET847" s="70"/>
      <c r="EU847" s="70"/>
      <c r="EV847" s="70"/>
      <c r="EW847" s="70"/>
      <c r="EX847" s="70"/>
      <c r="EY847" s="70"/>
      <c r="EZ847" s="70"/>
      <c r="FA847" s="70"/>
      <c r="FB847" s="70"/>
      <c r="FC847" s="70"/>
      <c r="FD847" s="70"/>
      <c r="FE847" s="70"/>
      <c r="FF847" s="70"/>
      <c r="FG847" s="70"/>
      <c r="FH847" s="70"/>
      <c r="FI847" s="70"/>
      <c r="FJ847" s="70"/>
      <c r="FK847" s="70"/>
      <c r="FL847" s="70"/>
      <c r="FM847" s="70"/>
      <c r="FN847" s="70"/>
      <c r="FO847" s="70"/>
      <c r="FP847" s="70"/>
      <c r="FQ847" s="70"/>
      <c r="FR847" s="70"/>
      <c r="FS847" s="70"/>
      <c r="FT847" s="70"/>
      <c r="FU847" s="70"/>
      <c r="FV847" s="70"/>
      <c r="FW847" s="70"/>
      <c r="FX847" s="70"/>
      <c r="FY847" s="70"/>
      <c r="FZ847" s="70"/>
      <c r="GA847" s="70"/>
      <c r="GB847" s="70"/>
      <c r="GC847" s="70"/>
      <c r="GD847" s="70"/>
      <c r="GE847" s="70"/>
      <c r="GF847" s="70"/>
      <c r="GG847" s="70"/>
      <c r="GH847" s="70"/>
      <c r="GI847" s="70"/>
      <c r="GJ847" s="70"/>
      <c r="GK847" s="70"/>
      <c r="GL847" s="70"/>
      <c r="GM847" s="70"/>
      <c r="GN847" s="70"/>
      <c r="GO847" s="70"/>
      <c r="GP847" s="70"/>
      <c r="GQ847" s="70"/>
      <c r="GR847" s="70"/>
      <c r="GS847" s="70"/>
      <c r="GT847" s="70"/>
      <c r="GU847" s="70"/>
      <c r="GV847" s="70"/>
      <c r="GW847" s="70"/>
      <c r="GX847" s="70"/>
      <c r="GY847" s="70"/>
      <c r="GZ847" s="70"/>
      <c r="HA847" s="70"/>
      <c r="HB847" s="70"/>
      <c r="HC847" s="70"/>
      <c r="HD847" s="70"/>
      <c r="HE847" s="70"/>
      <c r="HF847" s="70"/>
      <c r="HG847" s="70"/>
      <c r="HH847" s="70"/>
      <c r="HI847" s="70"/>
      <c r="HJ847" s="70"/>
      <c r="HK847" s="70"/>
      <c r="HL847" s="70"/>
      <c r="HM847" s="70"/>
      <c r="HN847" s="70"/>
      <c r="HO847" s="70"/>
      <c r="HP847" s="70"/>
      <c r="HQ847" s="70"/>
      <c r="HR847" s="70"/>
      <c r="HS847" s="70"/>
      <c r="HT847" s="70"/>
      <c r="HU847" s="70"/>
      <c r="HV847" s="70"/>
      <c r="HW847" s="70"/>
      <c r="HX847" s="70"/>
      <c r="HY847" s="70"/>
      <c r="HZ847" s="70"/>
      <c r="IA847" s="70"/>
      <c r="IB847" s="70"/>
      <c r="IC847" s="70"/>
      <c r="ID847" s="70"/>
      <c r="IE847" s="70"/>
      <c r="IF847" s="70"/>
      <c r="IG847" s="70"/>
      <c r="IH847" s="70"/>
      <c r="II847" s="70"/>
      <c r="IJ847" s="70"/>
      <c r="IK847" s="70"/>
      <c r="IL847" s="70"/>
      <c r="IM847" s="70"/>
      <c r="IN847" s="70"/>
      <c r="IO847" s="70"/>
      <c r="IP847" s="70"/>
      <c r="IQ847" s="70"/>
    </row>
    <row r="848" spans="18:251" ht="16.5" hidden="1" customHeight="1">
      <c r="R848" s="95" t="s">
        <v>450</v>
      </c>
      <c r="S848" s="95"/>
      <c r="T848" s="95"/>
      <c r="U848" s="70"/>
      <c r="V848" s="214"/>
      <c r="W848" s="70"/>
      <c r="X848" s="70"/>
      <c r="Y848" s="70"/>
      <c r="Z848" s="70"/>
      <c r="AA848" s="70"/>
      <c r="AB848" s="70"/>
      <c r="AC848" s="70"/>
      <c r="AD848" s="70"/>
      <c r="AE848" s="70"/>
      <c r="AF848" s="70"/>
      <c r="AG848" s="70"/>
      <c r="AH848" s="70"/>
      <c r="AI848" s="70"/>
      <c r="AJ848" s="70"/>
      <c r="AK848" s="70"/>
      <c r="AL848" s="70"/>
      <c r="AM848" s="70"/>
      <c r="AN848" s="70"/>
      <c r="AO848" s="70"/>
      <c r="AP848" s="70"/>
      <c r="AQ848" s="70"/>
      <c r="AR848" s="70"/>
      <c r="AS848" s="70"/>
      <c r="AT848" s="70"/>
      <c r="AU848" s="70"/>
      <c r="AV848" s="70"/>
      <c r="AW848" s="70"/>
      <c r="AX848" s="70"/>
      <c r="AY848" s="70"/>
      <c r="AZ848" s="70"/>
      <c r="BA848" s="70"/>
      <c r="BB848" s="70"/>
      <c r="BC848" s="70"/>
      <c r="BD848" s="70"/>
      <c r="BE848" s="70"/>
      <c r="BF848" s="70"/>
      <c r="BG848" s="70"/>
      <c r="BH848" s="70"/>
      <c r="BI848" s="70"/>
      <c r="BJ848" s="70"/>
      <c r="BK848" s="70"/>
      <c r="BL848" s="70"/>
      <c r="BM848" s="70"/>
      <c r="BN848" s="70"/>
      <c r="BO848" s="70"/>
      <c r="BP848" s="70"/>
      <c r="BQ848" s="70"/>
      <c r="BR848" s="70"/>
      <c r="BS848" s="70"/>
      <c r="BT848" s="70"/>
      <c r="BU848" s="70"/>
      <c r="BV848" s="70"/>
      <c r="BW848" s="70"/>
      <c r="BX848" s="70"/>
      <c r="BY848" s="70"/>
      <c r="BZ848" s="70"/>
      <c r="CA848" s="70"/>
      <c r="CB848" s="70"/>
      <c r="CC848" s="70"/>
      <c r="CD848" s="70"/>
      <c r="CE848" s="70"/>
      <c r="CF848" s="70"/>
      <c r="CG848" s="70"/>
      <c r="CH848" s="70"/>
      <c r="CI848" s="70"/>
      <c r="CJ848" s="70"/>
      <c r="CK848" s="70"/>
      <c r="CL848" s="70"/>
      <c r="CM848" s="70"/>
      <c r="CN848" s="70"/>
      <c r="CO848" s="70"/>
      <c r="CP848" s="70"/>
      <c r="CQ848" s="70"/>
      <c r="CR848" s="70"/>
      <c r="CS848" s="70"/>
      <c r="CT848" s="70"/>
      <c r="CU848" s="70"/>
      <c r="CV848" s="70"/>
      <c r="CW848" s="70"/>
      <c r="CX848" s="70"/>
      <c r="CY848" s="70"/>
      <c r="CZ848" s="70"/>
      <c r="DA848" s="70"/>
      <c r="DB848" s="70"/>
      <c r="DC848" s="70"/>
      <c r="DD848" s="70"/>
      <c r="DE848" s="70"/>
      <c r="DF848" s="70"/>
      <c r="DG848" s="70"/>
      <c r="DH848" s="70"/>
      <c r="DI848" s="70"/>
      <c r="DJ848" s="70"/>
      <c r="DK848" s="70"/>
      <c r="DL848" s="70"/>
      <c r="DM848" s="70"/>
      <c r="DN848" s="70"/>
      <c r="DO848" s="70"/>
      <c r="DP848" s="70"/>
      <c r="DQ848" s="70"/>
      <c r="DR848" s="70"/>
      <c r="DS848" s="70"/>
      <c r="DT848" s="70"/>
      <c r="DU848" s="70"/>
      <c r="DV848" s="70"/>
      <c r="DW848" s="70"/>
      <c r="DX848" s="70"/>
      <c r="DY848" s="70"/>
      <c r="DZ848" s="70"/>
      <c r="EA848" s="70"/>
      <c r="EB848" s="70"/>
      <c r="EC848" s="70"/>
      <c r="ED848" s="70"/>
      <c r="EE848" s="95" t="s">
        <v>450</v>
      </c>
      <c r="EF848" s="95"/>
      <c r="EG848" s="95"/>
      <c r="EH848" s="70"/>
      <c r="EI848" s="216"/>
      <c r="EJ848" s="70"/>
      <c r="EK848" s="70"/>
      <c r="EL848" s="70"/>
      <c r="EM848" s="70"/>
      <c r="EN848" s="70"/>
      <c r="EO848" s="70"/>
      <c r="EP848" s="70"/>
      <c r="EQ848" s="70"/>
      <c r="ER848" s="70"/>
      <c r="ES848" s="70"/>
      <c r="ET848" s="70"/>
      <c r="EU848" s="70"/>
      <c r="EV848" s="70"/>
      <c r="EW848" s="70"/>
      <c r="EX848" s="70"/>
      <c r="EY848" s="70"/>
      <c r="EZ848" s="70"/>
      <c r="FA848" s="70"/>
      <c r="FB848" s="70"/>
      <c r="FC848" s="70"/>
      <c r="FD848" s="70"/>
      <c r="FE848" s="70"/>
      <c r="FF848" s="70"/>
      <c r="FG848" s="70"/>
      <c r="FH848" s="70"/>
      <c r="FI848" s="70"/>
      <c r="FJ848" s="70"/>
      <c r="FK848" s="70"/>
      <c r="FL848" s="70"/>
      <c r="FM848" s="70"/>
      <c r="FN848" s="70"/>
      <c r="FO848" s="70"/>
      <c r="FP848" s="70"/>
      <c r="FQ848" s="70"/>
      <c r="FR848" s="70"/>
      <c r="FS848" s="70"/>
      <c r="FT848" s="70"/>
      <c r="FU848" s="70"/>
      <c r="FV848" s="70"/>
      <c r="FW848" s="70"/>
      <c r="FX848" s="70"/>
      <c r="FY848" s="70"/>
      <c r="FZ848" s="70"/>
      <c r="GA848" s="70"/>
      <c r="GB848" s="70"/>
      <c r="GC848" s="70"/>
      <c r="GD848" s="70"/>
      <c r="GE848" s="70"/>
      <c r="GF848" s="70"/>
      <c r="GG848" s="70"/>
      <c r="GH848" s="70"/>
      <c r="GI848" s="70"/>
      <c r="GJ848" s="70"/>
      <c r="GK848" s="70"/>
      <c r="GL848" s="70"/>
      <c r="GM848" s="70"/>
      <c r="GN848" s="70"/>
      <c r="GO848" s="70"/>
      <c r="GP848" s="70"/>
      <c r="GQ848" s="70"/>
      <c r="GR848" s="70"/>
      <c r="GS848" s="70"/>
      <c r="GT848" s="70"/>
      <c r="GU848" s="70"/>
      <c r="GV848" s="70"/>
      <c r="GW848" s="70"/>
      <c r="GX848" s="70"/>
      <c r="GY848" s="70"/>
      <c r="GZ848" s="70"/>
      <c r="HA848" s="70"/>
      <c r="HB848" s="70"/>
      <c r="HC848" s="70"/>
      <c r="HD848" s="70"/>
      <c r="HE848" s="70"/>
      <c r="HF848" s="70"/>
      <c r="HG848" s="70"/>
      <c r="HH848" s="70"/>
      <c r="HI848" s="70"/>
      <c r="HJ848" s="70"/>
      <c r="HK848" s="70"/>
      <c r="HL848" s="70"/>
      <c r="HM848" s="70"/>
      <c r="HN848" s="70"/>
      <c r="HO848" s="70"/>
      <c r="HP848" s="70"/>
      <c r="HQ848" s="70"/>
      <c r="HR848" s="70"/>
      <c r="HS848" s="70"/>
      <c r="HT848" s="70"/>
      <c r="HU848" s="70"/>
      <c r="HV848" s="70"/>
      <c r="HW848" s="70"/>
      <c r="HX848" s="70"/>
      <c r="HY848" s="70"/>
      <c r="HZ848" s="70"/>
      <c r="IA848" s="70"/>
      <c r="IB848" s="70"/>
      <c r="IC848" s="70"/>
      <c r="ID848" s="70"/>
      <c r="IE848" s="70"/>
      <c r="IF848" s="70"/>
      <c r="IG848" s="70"/>
      <c r="IH848" s="70"/>
      <c r="II848" s="70"/>
      <c r="IJ848" s="70"/>
      <c r="IK848" s="70"/>
      <c r="IL848" s="70"/>
      <c r="IM848" s="70"/>
      <c r="IN848" s="70"/>
      <c r="IO848" s="70"/>
      <c r="IP848" s="70"/>
      <c r="IQ848" s="70"/>
    </row>
    <row r="849" spans="18:251" ht="16.5" hidden="1" customHeight="1">
      <c r="R849" s="95" t="s">
        <v>450</v>
      </c>
      <c r="S849" s="95"/>
      <c r="T849" s="95"/>
      <c r="U849" s="70"/>
      <c r="V849" s="214"/>
      <c r="W849" s="70"/>
      <c r="X849" s="70"/>
      <c r="Y849" s="70"/>
      <c r="Z849" s="70"/>
      <c r="AA849" s="70"/>
      <c r="AB849" s="70"/>
      <c r="AC849" s="70"/>
      <c r="AD849" s="70"/>
      <c r="AE849" s="70"/>
      <c r="AF849" s="70"/>
      <c r="AG849" s="70"/>
      <c r="AH849" s="70"/>
      <c r="AI849" s="70"/>
      <c r="AJ849" s="70"/>
      <c r="AK849" s="70"/>
      <c r="AL849" s="70"/>
      <c r="AM849" s="70"/>
      <c r="AN849" s="70"/>
      <c r="AO849" s="70"/>
      <c r="AP849" s="70"/>
      <c r="AQ849" s="70"/>
      <c r="AR849" s="70"/>
      <c r="AS849" s="70"/>
      <c r="AT849" s="70"/>
      <c r="AU849" s="70"/>
      <c r="AV849" s="70"/>
      <c r="AW849" s="70"/>
      <c r="AX849" s="70"/>
      <c r="AY849" s="70"/>
      <c r="AZ849" s="70"/>
      <c r="BA849" s="70"/>
      <c r="BB849" s="70"/>
      <c r="BC849" s="70"/>
      <c r="BD849" s="70"/>
      <c r="BE849" s="70"/>
      <c r="BF849" s="70"/>
      <c r="BG849" s="70"/>
      <c r="BH849" s="70"/>
      <c r="BI849" s="70"/>
      <c r="BJ849" s="70"/>
      <c r="BK849" s="70"/>
      <c r="BL849" s="70"/>
      <c r="BM849" s="70"/>
      <c r="BN849" s="70"/>
      <c r="BO849" s="70"/>
      <c r="BP849" s="70"/>
      <c r="BQ849" s="70"/>
      <c r="BR849" s="70"/>
      <c r="BS849" s="70"/>
      <c r="BT849" s="70"/>
      <c r="BU849" s="70"/>
      <c r="BV849" s="70"/>
      <c r="BW849" s="70"/>
      <c r="BX849" s="70"/>
      <c r="BY849" s="70"/>
      <c r="BZ849" s="70"/>
      <c r="CA849" s="70"/>
      <c r="CB849" s="70"/>
      <c r="CC849" s="70"/>
      <c r="CD849" s="70"/>
      <c r="CE849" s="70"/>
      <c r="CF849" s="70"/>
      <c r="CG849" s="70"/>
      <c r="CH849" s="70"/>
      <c r="CI849" s="70"/>
      <c r="CJ849" s="70"/>
      <c r="CK849" s="70"/>
      <c r="CL849" s="70"/>
      <c r="CM849" s="70"/>
      <c r="CN849" s="70"/>
      <c r="CO849" s="70"/>
      <c r="CP849" s="70"/>
      <c r="CQ849" s="70"/>
      <c r="CR849" s="70"/>
      <c r="CS849" s="70"/>
      <c r="CT849" s="70"/>
      <c r="CU849" s="70"/>
      <c r="CV849" s="70"/>
      <c r="CW849" s="70"/>
      <c r="CX849" s="70"/>
      <c r="CY849" s="70"/>
      <c r="CZ849" s="70"/>
      <c r="DA849" s="70"/>
      <c r="DB849" s="70"/>
      <c r="DC849" s="70"/>
      <c r="DD849" s="70"/>
      <c r="DE849" s="70"/>
      <c r="DF849" s="70"/>
      <c r="DG849" s="70"/>
      <c r="DH849" s="70"/>
      <c r="DI849" s="70"/>
      <c r="DJ849" s="70"/>
      <c r="DK849" s="70"/>
      <c r="DL849" s="70"/>
      <c r="DM849" s="70"/>
      <c r="DN849" s="70"/>
      <c r="DO849" s="70"/>
      <c r="DP849" s="70"/>
      <c r="DQ849" s="70"/>
      <c r="DR849" s="70"/>
      <c r="DS849" s="70"/>
      <c r="DT849" s="70"/>
      <c r="DU849" s="70"/>
      <c r="DV849" s="70"/>
      <c r="DW849" s="70"/>
      <c r="DX849" s="70"/>
      <c r="DY849" s="70"/>
      <c r="DZ849" s="70"/>
      <c r="EA849" s="70"/>
      <c r="EB849" s="70"/>
      <c r="EC849" s="70"/>
      <c r="ED849" s="70"/>
      <c r="EE849" s="95" t="s">
        <v>450</v>
      </c>
      <c r="EF849" s="95"/>
      <c r="EG849" s="95"/>
      <c r="EH849" s="70"/>
      <c r="EI849" s="216"/>
      <c r="EJ849" s="70"/>
      <c r="EK849" s="70"/>
      <c r="EL849" s="70"/>
      <c r="EM849" s="70"/>
      <c r="EN849" s="70"/>
      <c r="EO849" s="70"/>
      <c r="EP849" s="70"/>
      <c r="EQ849" s="70"/>
      <c r="ER849" s="70"/>
      <c r="ES849" s="70"/>
      <c r="ET849" s="70"/>
      <c r="EU849" s="70"/>
      <c r="EV849" s="70"/>
      <c r="EW849" s="70"/>
      <c r="EX849" s="70"/>
      <c r="EY849" s="70"/>
      <c r="EZ849" s="70"/>
      <c r="FA849" s="70"/>
      <c r="FB849" s="70"/>
      <c r="FC849" s="70"/>
      <c r="FD849" s="70"/>
      <c r="FE849" s="70"/>
      <c r="FF849" s="70"/>
      <c r="FG849" s="70"/>
      <c r="FH849" s="70"/>
      <c r="FI849" s="70"/>
      <c r="FJ849" s="70"/>
      <c r="FK849" s="70"/>
      <c r="FL849" s="70"/>
      <c r="FM849" s="70"/>
      <c r="FN849" s="70"/>
      <c r="FO849" s="70"/>
      <c r="FP849" s="70"/>
      <c r="FQ849" s="70"/>
      <c r="FR849" s="70"/>
      <c r="FS849" s="70"/>
      <c r="FT849" s="70"/>
      <c r="FU849" s="70"/>
      <c r="FV849" s="70"/>
      <c r="FW849" s="70"/>
      <c r="FX849" s="70"/>
      <c r="FY849" s="70"/>
      <c r="FZ849" s="70"/>
      <c r="GA849" s="70"/>
      <c r="GB849" s="70"/>
      <c r="GC849" s="70"/>
      <c r="GD849" s="70"/>
      <c r="GE849" s="70"/>
      <c r="GF849" s="70"/>
      <c r="GG849" s="70"/>
      <c r="GH849" s="70"/>
      <c r="GI849" s="70"/>
      <c r="GJ849" s="70"/>
      <c r="GK849" s="70"/>
      <c r="GL849" s="70"/>
      <c r="GM849" s="70"/>
      <c r="GN849" s="70"/>
      <c r="GO849" s="70"/>
      <c r="GP849" s="70"/>
      <c r="GQ849" s="70"/>
      <c r="GR849" s="70"/>
      <c r="GS849" s="70"/>
      <c r="GT849" s="70"/>
      <c r="GU849" s="70"/>
      <c r="GV849" s="70"/>
      <c r="GW849" s="70"/>
      <c r="GX849" s="70"/>
      <c r="GY849" s="70"/>
      <c r="GZ849" s="70"/>
      <c r="HA849" s="70"/>
      <c r="HB849" s="70"/>
      <c r="HC849" s="70"/>
      <c r="HD849" s="70"/>
      <c r="HE849" s="70"/>
      <c r="HF849" s="70"/>
      <c r="HG849" s="70"/>
      <c r="HH849" s="70"/>
      <c r="HI849" s="70"/>
      <c r="HJ849" s="70"/>
      <c r="HK849" s="70"/>
      <c r="HL849" s="70"/>
      <c r="HM849" s="70"/>
      <c r="HN849" s="70"/>
      <c r="HO849" s="70"/>
      <c r="HP849" s="70"/>
      <c r="HQ849" s="70"/>
      <c r="HR849" s="70"/>
      <c r="HS849" s="70"/>
      <c r="HT849" s="70"/>
      <c r="HU849" s="70"/>
      <c r="HV849" s="70"/>
      <c r="HW849" s="70"/>
      <c r="HX849" s="70"/>
      <c r="HY849" s="70"/>
      <c r="HZ849" s="70"/>
      <c r="IA849" s="70"/>
      <c r="IB849" s="70"/>
      <c r="IC849" s="70"/>
      <c r="ID849" s="70"/>
      <c r="IE849" s="70"/>
      <c r="IF849" s="70"/>
      <c r="IG849" s="70"/>
      <c r="IH849" s="70"/>
      <c r="II849" s="70"/>
      <c r="IJ849" s="70"/>
      <c r="IK849" s="70"/>
      <c r="IL849" s="70"/>
      <c r="IM849" s="70"/>
      <c r="IN849" s="70"/>
      <c r="IO849" s="70"/>
      <c r="IP849" s="70"/>
      <c r="IQ849" s="70"/>
    </row>
    <row r="850" spans="18:251" ht="16.5" hidden="1" customHeight="1">
      <c r="R850" s="95" t="s">
        <v>450</v>
      </c>
      <c r="S850" s="95"/>
      <c r="T850" s="95"/>
      <c r="U850" s="70"/>
      <c r="V850" s="214"/>
      <c r="W850" s="70"/>
      <c r="X850" s="70"/>
      <c r="Y850" s="70"/>
      <c r="Z850" s="70"/>
      <c r="AA850" s="70"/>
      <c r="AB850" s="70"/>
      <c r="AC850" s="70"/>
      <c r="AD850" s="70"/>
      <c r="AE850" s="70"/>
      <c r="AF850" s="70"/>
      <c r="AG850" s="70"/>
      <c r="AH850" s="70"/>
      <c r="AI850" s="70"/>
      <c r="AJ850" s="70"/>
      <c r="AK850" s="70"/>
      <c r="AL850" s="70"/>
      <c r="AM850" s="70"/>
      <c r="AN850" s="70"/>
      <c r="AO850" s="70"/>
      <c r="AP850" s="70"/>
      <c r="AQ850" s="70"/>
      <c r="AR850" s="70"/>
      <c r="AS850" s="70"/>
      <c r="AT850" s="70"/>
      <c r="AU850" s="70"/>
      <c r="AV850" s="70"/>
      <c r="AW850" s="70"/>
      <c r="AX850" s="70"/>
      <c r="AY850" s="70"/>
      <c r="AZ850" s="70"/>
      <c r="BA850" s="70"/>
      <c r="BB850" s="70"/>
      <c r="BC850" s="70"/>
      <c r="BD850" s="70"/>
      <c r="BE850" s="70"/>
      <c r="BF850" s="70"/>
      <c r="BG850" s="70"/>
      <c r="BH850" s="70"/>
      <c r="BI850" s="70"/>
      <c r="BJ850" s="70"/>
      <c r="BK850" s="70"/>
      <c r="BL850" s="70"/>
      <c r="BM850" s="70"/>
      <c r="BN850" s="70"/>
      <c r="BO850" s="70"/>
      <c r="BP850" s="70"/>
      <c r="BQ850" s="70"/>
      <c r="BR850" s="70"/>
      <c r="BS850" s="70"/>
      <c r="BT850" s="70"/>
      <c r="BU850" s="70"/>
      <c r="BV850" s="70"/>
      <c r="BW850" s="70"/>
      <c r="BX850" s="70"/>
      <c r="BY850" s="70"/>
      <c r="BZ850" s="70"/>
      <c r="CA850" s="70"/>
      <c r="CB850" s="70"/>
      <c r="CC850" s="70"/>
      <c r="CD850" s="70"/>
      <c r="CE850" s="70"/>
      <c r="CF850" s="70"/>
      <c r="CG850" s="70"/>
      <c r="CH850" s="70"/>
      <c r="CI850" s="70"/>
      <c r="CJ850" s="70"/>
      <c r="CK850" s="70"/>
      <c r="CL850" s="70"/>
      <c r="CM850" s="70"/>
      <c r="CN850" s="70"/>
      <c r="CO850" s="70"/>
      <c r="CP850" s="70"/>
      <c r="CQ850" s="70"/>
      <c r="CR850" s="70"/>
      <c r="CS850" s="70"/>
      <c r="CT850" s="70"/>
      <c r="CU850" s="70"/>
      <c r="CV850" s="70"/>
      <c r="CW850" s="70"/>
      <c r="CX850" s="70"/>
      <c r="CY850" s="70"/>
      <c r="CZ850" s="70"/>
      <c r="DA850" s="70"/>
      <c r="DB850" s="70"/>
      <c r="DC850" s="70"/>
      <c r="DD850" s="70"/>
      <c r="DE850" s="70"/>
      <c r="DF850" s="70"/>
      <c r="DG850" s="70"/>
      <c r="DH850" s="70"/>
      <c r="DI850" s="70"/>
      <c r="DJ850" s="70"/>
      <c r="DK850" s="70"/>
      <c r="DL850" s="70"/>
      <c r="DM850" s="70"/>
      <c r="DN850" s="70"/>
      <c r="DO850" s="70"/>
      <c r="DP850" s="70"/>
      <c r="DQ850" s="70"/>
      <c r="DR850" s="70"/>
      <c r="DS850" s="70"/>
      <c r="DT850" s="70"/>
      <c r="DU850" s="70"/>
      <c r="DV850" s="70"/>
      <c r="DW850" s="70"/>
      <c r="DX850" s="70"/>
      <c r="DY850" s="70"/>
      <c r="DZ850" s="70"/>
      <c r="EA850" s="70"/>
      <c r="EB850" s="70"/>
      <c r="EC850" s="70"/>
      <c r="ED850" s="70"/>
      <c r="EE850" s="95" t="s">
        <v>450</v>
      </c>
      <c r="EF850" s="95"/>
      <c r="EG850" s="95"/>
      <c r="EH850" s="70"/>
      <c r="EI850" s="216"/>
      <c r="EJ850" s="70"/>
      <c r="EK850" s="70"/>
      <c r="EL850" s="70"/>
      <c r="EM850" s="70"/>
      <c r="EN850" s="70"/>
      <c r="EO850" s="70"/>
      <c r="EP850" s="70"/>
      <c r="EQ850" s="70"/>
      <c r="ER850" s="70"/>
      <c r="ES850" s="70"/>
      <c r="ET850" s="70"/>
      <c r="EU850" s="70"/>
      <c r="EV850" s="70"/>
      <c r="EW850" s="70"/>
      <c r="EX850" s="70"/>
      <c r="EY850" s="70"/>
      <c r="EZ850" s="70"/>
      <c r="FA850" s="70"/>
      <c r="FB850" s="70"/>
      <c r="FC850" s="70"/>
      <c r="FD850" s="70"/>
      <c r="FE850" s="70"/>
      <c r="FF850" s="70"/>
      <c r="FG850" s="70"/>
      <c r="FH850" s="70"/>
      <c r="FI850" s="70"/>
      <c r="FJ850" s="70"/>
      <c r="FK850" s="70"/>
      <c r="FL850" s="70"/>
      <c r="FM850" s="70"/>
      <c r="FN850" s="70"/>
      <c r="FO850" s="70"/>
      <c r="FP850" s="70"/>
      <c r="FQ850" s="70"/>
      <c r="FR850" s="70"/>
      <c r="FS850" s="70"/>
      <c r="FT850" s="70"/>
      <c r="FU850" s="70"/>
      <c r="FV850" s="70"/>
      <c r="FW850" s="70"/>
      <c r="FX850" s="70"/>
      <c r="FY850" s="70"/>
      <c r="FZ850" s="70"/>
      <c r="GA850" s="70"/>
      <c r="GB850" s="70"/>
      <c r="GC850" s="70"/>
      <c r="GD850" s="70"/>
      <c r="GE850" s="70"/>
      <c r="GF850" s="70"/>
      <c r="GG850" s="70"/>
      <c r="GH850" s="70"/>
      <c r="GI850" s="70"/>
      <c r="GJ850" s="70"/>
      <c r="GK850" s="70"/>
      <c r="GL850" s="70"/>
      <c r="GM850" s="70"/>
      <c r="GN850" s="70"/>
      <c r="GO850" s="70"/>
      <c r="GP850" s="70"/>
      <c r="GQ850" s="70"/>
      <c r="GR850" s="70"/>
      <c r="GS850" s="70"/>
      <c r="GT850" s="70"/>
      <c r="GU850" s="70"/>
      <c r="GV850" s="70"/>
      <c r="GW850" s="70"/>
      <c r="GX850" s="70"/>
      <c r="GY850" s="70"/>
      <c r="GZ850" s="70"/>
      <c r="HA850" s="70"/>
      <c r="HB850" s="70"/>
      <c r="HC850" s="70"/>
      <c r="HD850" s="70"/>
      <c r="HE850" s="70"/>
      <c r="HF850" s="70"/>
      <c r="HG850" s="70"/>
      <c r="HH850" s="70"/>
      <c r="HI850" s="70"/>
      <c r="HJ850" s="70"/>
      <c r="HK850" s="70"/>
      <c r="HL850" s="70"/>
      <c r="HM850" s="70"/>
      <c r="HN850" s="70"/>
      <c r="HO850" s="70"/>
      <c r="HP850" s="70"/>
      <c r="HQ850" s="70"/>
      <c r="HR850" s="70"/>
      <c r="HS850" s="70"/>
      <c r="HT850" s="70"/>
      <c r="HU850" s="70"/>
      <c r="HV850" s="70"/>
      <c r="HW850" s="70"/>
      <c r="HX850" s="70"/>
      <c r="HY850" s="70"/>
      <c r="HZ850" s="70"/>
      <c r="IA850" s="70"/>
      <c r="IB850" s="70"/>
      <c r="IC850" s="70"/>
      <c r="ID850" s="70"/>
      <c r="IE850" s="70"/>
      <c r="IF850" s="70"/>
      <c r="IG850" s="70"/>
      <c r="IH850" s="70"/>
      <c r="II850" s="70"/>
      <c r="IJ850" s="70"/>
      <c r="IK850" s="70"/>
      <c r="IL850" s="70"/>
      <c r="IM850" s="70"/>
      <c r="IN850" s="70"/>
      <c r="IO850" s="70"/>
      <c r="IP850" s="70"/>
      <c r="IQ850" s="70"/>
    </row>
    <row r="851" spans="18:251" ht="16.5" hidden="1" customHeight="1">
      <c r="R851" s="95" t="s">
        <v>450</v>
      </c>
      <c r="S851" s="95"/>
      <c r="T851" s="95"/>
      <c r="U851" s="70"/>
      <c r="V851" s="214"/>
      <c r="W851" s="70"/>
      <c r="X851" s="70"/>
      <c r="Y851" s="70"/>
      <c r="Z851" s="70"/>
      <c r="AA851" s="70"/>
      <c r="AB851" s="70"/>
      <c r="AC851" s="70"/>
      <c r="AD851" s="70"/>
      <c r="AE851" s="70"/>
      <c r="AF851" s="70"/>
      <c r="AG851" s="70"/>
      <c r="AH851" s="70"/>
      <c r="AI851" s="70"/>
      <c r="AJ851" s="70"/>
      <c r="AK851" s="70"/>
      <c r="AL851" s="70"/>
      <c r="AM851" s="70"/>
      <c r="AN851" s="70"/>
      <c r="AO851" s="70"/>
      <c r="AP851" s="70"/>
      <c r="AQ851" s="70"/>
      <c r="AR851" s="70"/>
      <c r="AS851" s="70"/>
      <c r="AT851" s="70"/>
      <c r="AU851" s="70"/>
      <c r="AV851" s="70"/>
      <c r="AW851" s="70"/>
      <c r="AX851" s="70"/>
      <c r="AY851" s="70"/>
      <c r="AZ851" s="70"/>
      <c r="BA851" s="70"/>
      <c r="BB851" s="70"/>
      <c r="BC851" s="70"/>
      <c r="BD851" s="70"/>
      <c r="BE851" s="70"/>
      <c r="BF851" s="70"/>
      <c r="BG851" s="70"/>
      <c r="BH851" s="70"/>
      <c r="BI851" s="70"/>
      <c r="BJ851" s="70"/>
      <c r="BK851" s="70"/>
      <c r="BL851" s="70"/>
      <c r="BM851" s="70"/>
      <c r="BN851" s="70"/>
      <c r="BO851" s="70"/>
      <c r="BP851" s="70"/>
      <c r="BQ851" s="70"/>
      <c r="BR851" s="70"/>
      <c r="BS851" s="70"/>
      <c r="BT851" s="70"/>
      <c r="BU851" s="70"/>
      <c r="BV851" s="70"/>
      <c r="BW851" s="70"/>
      <c r="BX851" s="70"/>
      <c r="BY851" s="70"/>
      <c r="BZ851" s="70"/>
      <c r="CA851" s="70"/>
      <c r="CB851" s="70"/>
      <c r="CC851" s="70"/>
      <c r="CD851" s="70"/>
      <c r="CE851" s="70"/>
      <c r="CF851" s="70"/>
      <c r="CG851" s="70"/>
      <c r="CH851" s="70"/>
      <c r="CI851" s="70"/>
      <c r="CJ851" s="70"/>
      <c r="CK851" s="70"/>
      <c r="CL851" s="70"/>
      <c r="CM851" s="70"/>
      <c r="CN851" s="70"/>
      <c r="CO851" s="70"/>
      <c r="CP851" s="70"/>
      <c r="CQ851" s="70"/>
      <c r="CR851" s="70"/>
      <c r="CS851" s="70"/>
      <c r="CT851" s="70"/>
      <c r="CU851" s="70"/>
      <c r="CV851" s="70"/>
      <c r="CW851" s="70"/>
      <c r="CX851" s="70"/>
      <c r="CY851" s="70"/>
      <c r="CZ851" s="70"/>
      <c r="DA851" s="70"/>
      <c r="DB851" s="70"/>
      <c r="DC851" s="70"/>
      <c r="DD851" s="70"/>
      <c r="DE851" s="70"/>
      <c r="DF851" s="70"/>
      <c r="DG851" s="70"/>
      <c r="DH851" s="70"/>
      <c r="DI851" s="70"/>
      <c r="DJ851" s="70"/>
      <c r="DK851" s="70"/>
      <c r="DL851" s="70"/>
      <c r="DM851" s="70"/>
      <c r="DN851" s="70"/>
      <c r="DO851" s="70"/>
      <c r="DP851" s="70"/>
      <c r="DQ851" s="70"/>
      <c r="DR851" s="70"/>
      <c r="DS851" s="70"/>
      <c r="DT851" s="70"/>
      <c r="DU851" s="70"/>
      <c r="DV851" s="70"/>
      <c r="DW851" s="70"/>
      <c r="DX851" s="70"/>
      <c r="DY851" s="70"/>
      <c r="DZ851" s="70"/>
      <c r="EA851" s="70"/>
      <c r="EB851" s="70"/>
      <c r="EC851" s="70"/>
      <c r="ED851" s="70"/>
      <c r="EE851" s="95" t="s">
        <v>450</v>
      </c>
      <c r="EF851" s="95"/>
      <c r="EG851" s="95"/>
      <c r="EH851" s="70"/>
      <c r="EI851" s="216"/>
      <c r="EJ851" s="70"/>
      <c r="EK851" s="70"/>
      <c r="EL851" s="70"/>
      <c r="EM851" s="70"/>
      <c r="EN851" s="70"/>
      <c r="EO851" s="70"/>
      <c r="EP851" s="70"/>
      <c r="EQ851" s="70"/>
      <c r="ER851" s="70"/>
      <c r="ES851" s="70"/>
      <c r="ET851" s="70"/>
      <c r="EU851" s="70"/>
      <c r="EV851" s="70"/>
      <c r="EW851" s="70"/>
      <c r="EX851" s="70"/>
      <c r="EY851" s="70"/>
      <c r="EZ851" s="70"/>
      <c r="FA851" s="70"/>
      <c r="FB851" s="70"/>
      <c r="FC851" s="70"/>
      <c r="FD851" s="70"/>
      <c r="FE851" s="70"/>
      <c r="FF851" s="70"/>
      <c r="FG851" s="70"/>
      <c r="FH851" s="70"/>
      <c r="FI851" s="70"/>
      <c r="FJ851" s="70"/>
      <c r="FK851" s="70"/>
      <c r="FL851" s="70"/>
      <c r="FM851" s="70"/>
      <c r="FN851" s="70"/>
      <c r="FO851" s="70"/>
      <c r="FP851" s="70"/>
      <c r="FQ851" s="70"/>
      <c r="FR851" s="70"/>
      <c r="FS851" s="70"/>
      <c r="FT851" s="70"/>
      <c r="FU851" s="70"/>
      <c r="FV851" s="70"/>
      <c r="FW851" s="70"/>
      <c r="FX851" s="70"/>
      <c r="FY851" s="70"/>
      <c r="FZ851" s="70"/>
      <c r="GA851" s="70"/>
      <c r="GB851" s="70"/>
      <c r="GC851" s="70"/>
      <c r="GD851" s="70"/>
      <c r="GE851" s="70"/>
      <c r="GF851" s="70"/>
      <c r="GG851" s="70"/>
      <c r="GH851" s="70"/>
      <c r="GI851" s="70"/>
      <c r="GJ851" s="70"/>
      <c r="GK851" s="70"/>
      <c r="GL851" s="70"/>
      <c r="GM851" s="70"/>
      <c r="GN851" s="70"/>
      <c r="GO851" s="70"/>
      <c r="GP851" s="70"/>
      <c r="GQ851" s="70"/>
      <c r="GR851" s="70"/>
      <c r="GS851" s="70"/>
      <c r="GT851" s="70"/>
      <c r="GU851" s="70"/>
      <c r="GV851" s="70"/>
      <c r="GW851" s="70"/>
      <c r="GX851" s="70"/>
      <c r="GY851" s="70"/>
      <c r="GZ851" s="70"/>
      <c r="HA851" s="70"/>
      <c r="HB851" s="70"/>
      <c r="HC851" s="70"/>
      <c r="HD851" s="70"/>
      <c r="HE851" s="70"/>
      <c r="HF851" s="70"/>
      <c r="HG851" s="70"/>
      <c r="HH851" s="70"/>
      <c r="HI851" s="70"/>
      <c r="HJ851" s="70"/>
      <c r="HK851" s="70"/>
      <c r="HL851" s="70"/>
      <c r="HM851" s="70"/>
      <c r="HN851" s="70"/>
      <c r="HO851" s="70"/>
      <c r="HP851" s="70"/>
      <c r="HQ851" s="70"/>
      <c r="HR851" s="70"/>
      <c r="HS851" s="70"/>
      <c r="HT851" s="70"/>
      <c r="HU851" s="70"/>
      <c r="HV851" s="70"/>
      <c r="HW851" s="70"/>
      <c r="HX851" s="70"/>
      <c r="HY851" s="70"/>
      <c r="HZ851" s="70"/>
      <c r="IA851" s="70"/>
      <c r="IB851" s="70"/>
      <c r="IC851" s="70"/>
      <c r="ID851" s="70"/>
      <c r="IE851" s="70"/>
      <c r="IF851" s="70"/>
      <c r="IG851" s="70"/>
      <c r="IH851" s="70"/>
      <c r="II851" s="70"/>
      <c r="IJ851" s="70"/>
      <c r="IK851" s="70"/>
      <c r="IL851" s="70"/>
      <c r="IM851" s="70"/>
      <c r="IN851" s="70"/>
      <c r="IO851" s="70"/>
      <c r="IP851" s="70"/>
      <c r="IQ851" s="70"/>
    </row>
    <row r="852" spans="18:251" ht="16.5" hidden="1" customHeight="1">
      <c r="R852" s="95" t="s">
        <v>450</v>
      </c>
      <c r="S852" s="95"/>
      <c r="T852" s="95"/>
      <c r="U852" s="70"/>
      <c r="V852" s="214"/>
      <c r="W852" s="70"/>
      <c r="X852" s="70"/>
      <c r="Y852" s="70"/>
      <c r="Z852" s="70"/>
      <c r="AA852" s="70"/>
      <c r="AB852" s="70"/>
      <c r="AC852" s="70"/>
      <c r="AD852" s="70"/>
      <c r="AE852" s="70"/>
      <c r="AF852" s="70"/>
      <c r="AG852" s="70"/>
      <c r="AH852" s="70"/>
      <c r="AI852" s="70"/>
      <c r="AJ852" s="70"/>
      <c r="AK852" s="70"/>
      <c r="AL852" s="70"/>
      <c r="AM852" s="70"/>
      <c r="AN852" s="70"/>
      <c r="AO852" s="70"/>
      <c r="AP852" s="70"/>
      <c r="AQ852" s="70"/>
      <c r="AR852" s="70"/>
      <c r="AS852" s="70"/>
      <c r="AT852" s="70"/>
      <c r="AU852" s="70"/>
      <c r="AV852" s="70"/>
      <c r="AW852" s="70"/>
      <c r="AX852" s="70"/>
      <c r="AY852" s="70"/>
      <c r="AZ852" s="70"/>
      <c r="BA852" s="70"/>
      <c r="BB852" s="70"/>
      <c r="BC852" s="70"/>
      <c r="BD852" s="70"/>
      <c r="BE852" s="70"/>
      <c r="BF852" s="70"/>
      <c r="BG852" s="70"/>
      <c r="BH852" s="70"/>
      <c r="BI852" s="70"/>
      <c r="BJ852" s="70"/>
      <c r="BK852" s="70"/>
      <c r="BL852" s="70"/>
      <c r="BM852" s="70"/>
      <c r="BN852" s="70"/>
      <c r="BO852" s="70"/>
      <c r="BP852" s="70"/>
      <c r="BQ852" s="70"/>
      <c r="BR852" s="70"/>
      <c r="BS852" s="70"/>
      <c r="BT852" s="70"/>
      <c r="BU852" s="70"/>
      <c r="BV852" s="70"/>
      <c r="BW852" s="70"/>
      <c r="BX852" s="70"/>
      <c r="BY852" s="70"/>
      <c r="BZ852" s="70"/>
      <c r="CA852" s="70"/>
      <c r="CB852" s="70"/>
      <c r="CC852" s="70"/>
      <c r="CD852" s="70"/>
      <c r="CE852" s="70"/>
      <c r="CF852" s="70"/>
      <c r="CG852" s="70"/>
      <c r="CH852" s="70"/>
      <c r="CI852" s="70"/>
      <c r="CJ852" s="70"/>
      <c r="CK852" s="70"/>
      <c r="CL852" s="70"/>
      <c r="CM852" s="70"/>
      <c r="CN852" s="70"/>
      <c r="CO852" s="70"/>
      <c r="CP852" s="70"/>
      <c r="CQ852" s="70"/>
      <c r="CR852" s="70"/>
      <c r="CS852" s="70"/>
      <c r="CT852" s="70"/>
      <c r="CU852" s="70"/>
      <c r="CV852" s="70"/>
      <c r="CW852" s="70"/>
      <c r="CX852" s="70"/>
      <c r="CY852" s="70"/>
      <c r="CZ852" s="70"/>
      <c r="DA852" s="70"/>
      <c r="DB852" s="70"/>
      <c r="DC852" s="70"/>
      <c r="DD852" s="70"/>
      <c r="DE852" s="70"/>
      <c r="DF852" s="70"/>
      <c r="DG852" s="70"/>
      <c r="DH852" s="70"/>
      <c r="DI852" s="70"/>
      <c r="DJ852" s="70"/>
      <c r="DK852" s="70"/>
      <c r="DL852" s="70"/>
      <c r="DM852" s="70"/>
      <c r="DN852" s="70"/>
      <c r="DO852" s="70"/>
      <c r="DP852" s="70"/>
      <c r="DQ852" s="70"/>
      <c r="DR852" s="70"/>
      <c r="DS852" s="70"/>
      <c r="DT852" s="70"/>
      <c r="DU852" s="70"/>
      <c r="DV852" s="70"/>
      <c r="DW852" s="70"/>
      <c r="DX852" s="70"/>
      <c r="DY852" s="70"/>
      <c r="DZ852" s="70"/>
      <c r="EA852" s="70"/>
      <c r="EB852" s="70"/>
      <c r="EC852" s="70"/>
      <c r="ED852" s="70"/>
      <c r="EE852" s="95" t="s">
        <v>450</v>
      </c>
      <c r="EF852" s="95"/>
      <c r="EG852" s="95"/>
      <c r="EH852" s="70"/>
      <c r="EI852" s="216"/>
      <c r="EJ852" s="70"/>
      <c r="EK852" s="70"/>
      <c r="EL852" s="70"/>
      <c r="EM852" s="70"/>
      <c r="EN852" s="70"/>
      <c r="EO852" s="70"/>
      <c r="EP852" s="70"/>
      <c r="EQ852" s="70"/>
      <c r="ER852" s="70"/>
      <c r="ES852" s="70"/>
      <c r="ET852" s="70"/>
      <c r="EU852" s="70"/>
      <c r="EV852" s="70"/>
      <c r="EW852" s="70"/>
      <c r="EX852" s="70"/>
      <c r="EY852" s="70"/>
      <c r="EZ852" s="70"/>
      <c r="FA852" s="70"/>
      <c r="FB852" s="70"/>
      <c r="FC852" s="70"/>
      <c r="FD852" s="70"/>
      <c r="FE852" s="70"/>
      <c r="FF852" s="70"/>
      <c r="FG852" s="70"/>
      <c r="FH852" s="70"/>
      <c r="FI852" s="70"/>
      <c r="FJ852" s="70"/>
      <c r="FK852" s="70"/>
      <c r="FL852" s="70"/>
      <c r="FM852" s="70"/>
      <c r="FN852" s="70"/>
      <c r="FO852" s="70"/>
      <c r="FP852" s="70"/>
      <c r="FQ852" s="70"/>
      <c r="FR852" s="70"/>
      <c r="FS852" s="70"/>
      <c r="FT852" s="70"/>
      <c r="FU852" s="70"/>
      <c r="FV852" s="70"/>
      <c r="FW852" s="70"/>
      <c r="FX852" s="70"/>
      <c r="FY852" s="70"/>
      <c r="FZ852" s="70"/>
      <c r="GA852" s="70"/>
      <c r="GB852" s="70"/>
      <c r="GC852" s="70"/>
      <c r="GD852" s="70"/>
      <c r="GE852" s="70"/>
      <c r="GF852" s="70"/>
      <c r="GG852" s="70"/>
      <c r="GH852" s="70"/>
      <c r="GI852" s="70"/>
      <c r="GJ852" s="70"/>
      <c r="GK852" s="70"/>
      <c r="GL852" s="70"/>
      <c r="GM852" s="70"/>
      <c r="GN852" s="70"/>
      <c r="GO852" s="70"/>
      <c r="GP852" s="70"/>
      <c r="GQ852" s="70"/>
      <c r="GR852" s="70"/>
      <c r="GS852" s="70"/>
      <c r="GT852" s="70"/>
      <c r="GU852" s="70"/>
      <c r="GV852" s="70"/>
      <c r="GW852" s="70"/>
      <c r="GX852" s="70"/>
      <c r="GY852" s="70"/>
      <c r="GZ852" s="70"/>
      <c r="HA852" s="70"/>
      <c r="HB852" s="70"/>
      <c r="HC852" s="70"/>
      <c r="HD852" s="70"/>
      <c r="HE852" s="70"/>
      <c r="HF852" s="70"/>
      <c r="HG852" s="70"/>
      <c r="HH852" s="70"/>
      <c r="HI852" s="70"/>
      <c r="HJ852" s="70"/>
      <c r="HK852" s="70"/>
      <c r="HL852" s="70"/>
      <c r="HM852" s="70"/>
      <c r="HN852" s="70"/>
      <c r="HO852" s="70"/>
      <c r="HP852" s="70"/>
      <c r="HQ852" s="70"/>
      <c r="HR852" s="70"/>
      <c r="HS852" s="70"/>
      <c r="HT852" s="70"/>
      <c r="HU852" s="70"/>
      <c r="HV852" s="70"/>
      <c r="HW852" s="70"/>
      <c r="HX852" s="70"/>
      <c r="HY852" s="70"/>
      <c r="HZ852" s="70"/>
      <c r="IA852" s="70"/>
      <c r="IB852" s="70"/>
      <c r="IC852" s="70"/>
      <c r="ID852" s="70"/>
      <c r="IE852" s="70"/>
      <c r="IF852" s="70"/>
      <c r="IG852" s="70"/>
      <c r="IH852" s="70"/>
      <c r="II852" s="70"/>
      <c r="IJ852" s="70"/>
      <c r="IK852" s="70"/>
      <c r="IL852" s="70"/>
      <c r="IM852" s="70"/>
      <c r="IN852" s="70"/>
      <c r="IO852" s="70"/>
      <c r="IP852" s="70"/>
      <c r="IQ852" s="70"/>
    </row>
    <row r="853" spans="18:251" ht="16.5" hidden="1" customHeight="1">
      <c r="R853" s="95" t="s">
        <v>450</v>
      </c>
      <c r="S853" s="95"/>
      <c r="T853" s="95"/>
      <c r="U853" s="70"/>
      <c r="V853" s="214"/>
      <c r="W853" s="70"/>
      <c r="X853" s="70"/>
      <c r="Y853" s="70"/>
      <c r="Z853" s="70"/>
      <c r="AA853" s="70"/>
      <c r="AB853" s="70"/>
      <c r="AC853" s="70"/>
      <c r="AD853" s="70"/>
      <c r="AE853" s="70"/>
      <c r="AF853" s="70"/>
      <c r="AG853" s="70"/>
      <c r="AH853" s="70"/>
      <c r="AI853" s="70"/>
      <c r="AJ853" s="70"/>
      <c r="AK853" s="70"/>
      <c r="AL853" s="70"/>
      <c r="AM853" s="70"/>
      <c r="AN853" s="70"/>
      <c r="AO853" s="70"/>
      <c r="AP853" s="70"/>
      <c r="AQ853" s="70"/>
      <c r="AR853" s="70"/>
      <c r="AS853" s="70"/>
      <c r="AT853" s="70"/>
      <c r="AU853" s="70"/>
      <c r="AV853" s="70"/>
      <c r="AW853" s="70"/>
      <c r="AX853" s="70"/>
      <c r="AY853" s="70"/>
      <c r="AZ853" s="70"/>
      <c r="BA853" s="70"/>
      <c r="BB853" s="70"/>
      <c r="BC853" s="70"/>
      <c r="BD853" s="70"/>
      <c r="BE853" s="70"/>
      <c r="BF853" s="70"/>
      <c r="BG853" s="70"/>
      <c r="BH853" s="70"/>
      <c r="BI853" s="70"/>
      <c r="BJ853" s="70"/>
      <c r="BK853" s="70"/>
      <c r="BL853" s="70"/>
      <c r="BM853" s="70"/>
      <c r="BN853" s="70"/>
      <c r="BO853" s="70"/>
      <c r="BP853" s="70"/>
      <c r="BQ853" s="70"/>
      <c r="BR853" s="70"/>
      <c r="BS853" s="70"/>
      <c r="BT853" s="70"/>
      <c r="BU853" s="70"/>
      <c r="BV853" s="70"/>
      <c r="BW853" s="70"/>
      <c r="BX853" s="70"/>
      <c r="BY853" s="70"/>
      <c r="BZ853" s="70"/>
      <c r="CA853" s="70"/>
      <c r="CB853" s="70"/>
      <c r="CC853" s="70"/>
      <c r="CD853" s="70"/>
      <c r="CE853" s="70"/>
      <c r="CF853" s="70"/>
      <c r="CG853" s="70"/>
      <c r="CH853" s="70"/>
      <c r="CI853" s="70"/>
      <c r="CJ853" s="70"/>
      <c r="CK853" s="70"/>
      <c r="CL853" s="70"/>
      <c r="CM853" s="70"/>
      <c r="CN853" s="70"/>
      <c r="CO853" s="70"/>
      <c r="CP853" s="70"/>
      <c r="CQ853" s="70"/>
      <c r="CR853" s="70"/>
      <c r="CS853" s="70"/>
      <c r="CT853" s="70"/>
      <c r="CU853" s="70"/>
      <c r="CV853" s="70"/>
      <c r="CW853" s="70"/>
      <c r="CX853" s="70"/>
      <c r="CY853" s="70"/>
      <c r="CZ853" s="70"/>
      <c r="DA853" s="70"/>
      <c r="DB853" s="70"/>
      <c r="DC853" s="70"/>
      <c r="DD853" s="70"/>
      <c r="DE853" s="70"/>
      <c r="DF853" s="70"/>
      <c r="DG853" s="70"/>
      <c r="DH853" s="70"/>
      <c r="DI853" s="70"/>
      <c r="DJ853" s="70"/>
      <c r="DK853" s="70"/>
      <c r="DL853" s="70"/>
      <c r="DM853" s="70"/>
      <c r="DN853" s="70"/>
      <c r="DO853" s="70"/>
      <c r="DP853" s="70"/>
      <c r="DQ853" s="70"/>
      <c r="DR853" s="70"/>
      <c r="DS853" s="70"/>
      <c r="DT853" s="70"/>
      <c r="DU853" s="70"/>
      <c r="DV853" s="70"/>
      <c r="DW853" s="70"/>
      <c r="DX853" s="70"/>
      <c r="DY853" s="70"/>
      <c r="DZ853" s="70"/>
      <c r="EA853" s="70"/>
      <c r="EB853" s="70"/>
      <c r="EC853" s="70"/>
      <c r="ED853" s="70"/>
      <c r="EE853" s="95" t="s">
        <v>450</v>
      </c>
      <c r="EF853" s="95"/>
      <c r="EG853" s="95"/>
      <c r="EH853" s="70"/>
      <c r="EI853" s="216"/>
      <c r="EJ853" s="70"/>
      <c r="EK853" s="70"/>
      <c r="EL853" s="70"/>
      <c r="EM853" s="70"/>
      <c r="EN853" s="70"/>
      <c r="EO853" s="70"/>
      <c r="EP853" s="70"/>
      <c r="EQ853" s="70"/>
      <c r="ER853" s="70"/>
      <c r="ES853" s="70"/>
      <c r="ET853" s="70"/>
      <c r="EU853" s="70"/>
      <c r="EV853" s="70"/>
      <c r="EW853" s="70"/>
      <c r="EX853" s="70"/>
      <c r="EY853" s="70"/>
      <c r="EZ853" s="70"/>
      <c r="FA853" s="70"/>
      <c r="FB853" s="70"/>
      <c r="FC853" s="70"/>
      <c r="FD853" s="70"/>
      <c r="FE853" s="70"/>
      <c r="FF853" s="70"/>
      <c r="FG853" s="70"/>
      <c r="FH853" s="70"/>
      <c r="FI853" s="70"/>
      <c r="FJ853" s="70"/>
      <c r="FK853" s="70"/>
      <c r="FL853" s="70"/>
      <c r="FM853" s="70"/>
      <c r="FN853" s="70"/>
      <c r="FO853" s="70"/>
      <c r="FP853" s="70"/>
      <c r="FQ853" s="70"/>
      <c r="FR853" s="70"/>
      <c r="FS853" s="70"/>
      <c r="FT853" s="70"/>
      <c r="FU853" s="70"/>
      <c r="FV853" s="70"/>
      <c r="FW853" s="70"/>
      <c r="FX853" s="70"/>
      <c r="FY853" s="70"/>
      <c r="FZ853" s="70"/>
      <c r="GA853" s="70"/>
      <c r="GB853" s="70"/>
      <c r="GC853" s="70"/>
      <c r="GD853" s="70"/>
      <c r="GE853" s="70"/>
      <c r="GF853" s="70"/>
      <c r="GG853" s="70"/>
      <c r="GH853" s="70"/>
      <c r="GI853" s="70"/>
      <c r="GJ853" s="70"/>
      <c r="GK853" s="70"/>
      <c r="GL853" s="70"/>
      <c r="GM853" s="70"/>
      <c r="GN853" s="70"/>
      <c r="GO853" s="70"/>
      <c r="GP853" s="70"/>
      <c r="GQ853" s="70"/>
      <c r="GR853" s="70"/>
      <c r="GS853" s="70"/>
      <c r="GT853" s="70"/>
      <c r="GU853" s="70"/>
      <c r="GV853" s="70"/>
      <c r="GW853" s="70"/>
      <c r="GX853" s="70"/>
      <c r="GY853" s="70"/>
      <c r="GZ853" s="70"/>
      <c r="HA853" s="70"/>
      <c r="HB853" s="70"/>
      <c r="HC853" s="70"/>
      <c r="HD853" s="70"/>
      <c r="HE853" s="70"/>
      <c r="HF853" s="70"/>
      <c r="HG853" s="70"/>
      <c r="HH853" s="70"/>
      <c r="HI853" s="70"/>
      <c r="HJ853" s="70"/>
      <c r="HK853" s="70"/>
      <c r="HL853" s="70"/>
      <c r="HM853" s="70"/>
      <c r="HN853" s="70"/>
      <c r="HO853" s="70"/>
      <c r="HP853" s="70"/>
      <c r="HQ853" s="70"/>
      <c r="HR853" s="70"/>
      <c r="HS853" s="70"/>
      <c r="HT853" s="70"/>
      <c r="HU853" s="70"/>
      <c r="HV853" s="70"/>
      <c r="HW853" s="70"/>
      <c r="HX853" s="70"/>
      <c r="HY853" s="70"/>
      <c r="HZ853" s="70"/>
      <c r="IA853" s="70"/>
      <c r="IB853" s="70"/>
      <c r="IC853" s="70"/>
      <c r="ID853" s="70"/>
      <c r="IE853" s="70"/>
      <c r="IF853" s="70"/>
      <c r="IG853" s="70"/>
      <c r="IH853" s="70"/>
      <c r="II853" s="70"/>
      <c r="IJ853" s="70"/>
      <c r="IK853" s="70"/>
      <c r="IL853" s="70"/>
      <c r="IM853" s="70"/>
      <c r="IN853" s="70"/>
      <c r="IO853" s="70"/>
      <c r="IP853" s="70"/>
      <c r="IQ853" s="70"/>
    </row>
    <row r="854" spans="18:251" ht="16.5" hidden="1" customHeight="1">
      <c r="R854" s="95" t="s">
        <v>450</v>
      </c>
      <c r="S854" s="95"/>
      <c r="T854" s="95"/>
      <c r="U854" s="70"/>
      <c r="V854" s="214"/>
      <c r="W854" s="70"/>
      <c r="X854" s="70"/>
      <c r="Y854" s="70"/>
      <c r="Z854" s="70"/>
      <c r="AA854" s="70"/>
      <c r="AB854" s="70"/>
      <c r="AC854" s="70"/>
      <c r="AD854" s="70"/>
      <c r="AE854" s="70"/>
      <c r="AF854" s="70"/>
      <c r="AG854" s="70"/>
      <c r="AH854" s="70"/>
      <c r="AI854" s="70"/>
      <c r="AJ854" s="70"/>
      <c r="AK854" s="70"/>
      <c r="AL854" s="70"/>
      <c r="AM854" s="70"/>
      <c r="AN854" s="70"/>
      <c r="AO854" s="70"/>
      <c r="AP854" s="70"/>
      <c r="AQ854" s="70"/>
      <c r="AR854" s="70"/>
      <c r="AS854" s="70"/>
      <c r="AT854" s="70"/>
      <c r="AU854" s="70"/>
      <c r="AV854" s="70"/>
      <c r="AW854" s="70"/>
      <c r="AX854" s="70"/>
      <c r="AY854" s="70"/>
      <c r="AZ854" s="70"/>
      <c r="BA854" s="70"/>
      <c r="BB854" s="70"/>
      <c r="BC854" s="70"/>
      <c r="BD854" s="70"/>
      <c r="BE854" s="70"/>
      <c r="BF854" s="70"/>
      <c r="BG854" s="70"/>
      <c r="BH854" s="70"/>
      <c r="BI854" s="70"/>
      <c r="BJ854" s="70"/>
      <c r="BK854" s="70"/>
      <c r="BL854" s="70"/>
      <c r="BM854" s="70"/>
      <c r="BN854" s="70"/>
      <c r="BO854" s="70"/>
      <c r="BP854" s="70"/>
      <c r="BQ854" s="70"/>
      <c r="BR854" s="70"/>
      <c r="BS854" s="70"/>
      <c r="BT854" s="70"/>
      <c r="BU854" s="70"/>
      <c r="BV854" s="70"/>
      <c r="BW854" s="70"/>
      <c r="BX854" s="70"/>
      <c r="BY854" s="70"/>
      <c r="BZ854" s="70"/>
      <c r="CA854" s="70"/>
      <c r="CB854" s="70"/>
      <c r="CC854" s="70"/>
      <c r="CD854" s="70"/>
      <c r="CE854" s="70"/>
      <c r="CF854" s="70"/>
      <c r="CG854" s="70"/>
      <c r="CH854" s="70"/>
      <c r="CI854" s="70"/>
      <c r="CJ854" s="70"/>
      <c r="CK854" s="70"/>
      <c r="CL854" s="70"/>
      <c r="CM854" s="70"/>
      <c r="CN854" s="70"/>
      <c r="CO854" s="70"/>
      <c r="CP854" s="70"/>
      <c r="CQ854" s="70"/>
      <c r="CR854" s="70"/>
      <c r="CS854" s="70"/>
      <c r="CT854" s="70"/>
      <c r="CU854" s="70"/>
      <c r="CV854" s="70"/>
      <c r="CW854" s="70"/>
      <c r="CX854" s="70"/>
      <c r="CY854" s="70"/>
      <c r="CZ854" s="70"/>
      <c r="DA854" s="70"/>
      <c r="DB854" s="70"/>
      <c r="DC854" s="70"/>
      <c r="DD854" s="70"/>
      <c r="DE854" s="70"/>
      <c r="DF854" s="70"/>
      <c r="DG854" s="70"/>
      <c r="DH854" s="70"/>
      <c r="DI854" s="70"/>
      <c r="DJ854" s="70"/>
      <c r="DK854" s="70"/>
      <c r="DL854" s="70"/>
      <c r="DM854" s="70"/>
      <c r="DN854" s="70"/>
      <c r="DO854" s="70"/>
      <c r="DP854" s="70"/>
      <c r="DQ854" s="70"/>
      <c r="DR854" s="70"/>
      <c r="DS854" s="70"/>
      <c r="DT854" s="70"/>
      <c r="DU854" s="70"/>
      <c r="DV854" s="70"/>
      <c r="DW854" s="70"/>
      <c r="DX854" s="70"/>
      <c r="DY854" s="70"/>
      <c r="DZ854" s="70"/>
      <c r="EA854" s="70"/>
      <c r="EB854" s="70"/>
      <c r="EC854" s="70"/>
      <c r="ED854" s="70"/>
      <c r="EE854" s="95" t="s">
        <v>450</v>
      </c>
      <c r="EF854" s="95"/>
      <c r="EG854" s="95"/>
      <c r="EH854" s="70"/>
      <c r="EI854" s="216"/>
      <c r="EJ854" s="70"/>
      <c r="EK854" s="70"/>
      <c r="EL854" s="70"/>
      <c r="EM854" s="70"/>
      <c r="EN854" s="70"/>
      <c r="EO854" s="70"/>
      <c r="EP854" s="70"/>
      <c r="EQ854" s="70"/>
      <c r="ER854" s="70"/>
      <c r="ES854" s="70"/>
      <c r="ET854" s="70"/>
      <c r="EU854" s="70"/>
      <c r="EV854" s="70"/>
      <c r="EW854" s="70"/>
      <c r="EX854" s="70"/>
      <c r="EY854" s="70"/>
      <c r="EZ854" s="70"/>
      <c r="FA854" s="70"/>
      <c r="FB854" s="70"/>
      <c r="FC854" s="70"/>
      <c r="FD854" s="70"/>
      <c r="FE854" s="70"/>
      <c r="FF854" s="70"/>
      <c r="FG854" s="70"/>
      <c r="FH854" s="70"/>
      <c r="FI854" s="70"/>
      <c r="FJ854" s="70"/>
      <c r="FK854" s="70"/>
      <c r="FL854" s="70"/>
      <c r="FM854" s="70"/>
      <c r="FN854" s="70"/>
      <c r="FO854" s="70"/>
      <c r="FP854" s="70"/>
      <c r="FQ854" s="70"/>
      <c r="FR854" s="70"/>
      <c r="FS854" s="70"/>
      <c r="FT854" s="70"/>
      <c r="FU854" s="70"/>
      <c r="FV854" s="70"/>
      <c r="FW854" s="70"/>
      <c r="FX854" s="70"/>
      <c r="FY854" s="70"/>
      <c r="FZ854" s="70"/>
      <c r="GA854" s="70"/>
      <c r="GB854" s="70"/>
      <c r="GC854" s="70"/>
      <c r="GD854" s="70"/>
      <c r="GE854" s="70"/>
      <c r="GF854" s="70"/>
      <c r="GG854" s="70"/>
      <c r="GH854" s="70"/>
      <c r="GI854" s="70"/>
      <c r="GJ854" s="70"/>
      <c r="GK854" s="70"/>
      <c r="GL854" s="70"/>
      <c r="GM854" s="70"/>
      <c r="GN854" s="70"/>
      <c r="GO854" s="70"/>
      <c r="GP854" s="70"/>
      <c r="GQ854" s="70"/>
      <c r="GR854" s="70"/>
      <c r="GS854" s="70"/>
      <c r="GT854" s="70"/>
      <c r="GU854" s="70"/>
      <c r="GV854" s="70"/>
      <c r="GW854" s="70"/>
      <c r="GX854" s="70"/>
      <c r="GY854" s="70"/>
      <c r="GZ854" s="70"/>
      <c r="HA854" s="70"/>
      <c r="HB854" s="70"/>
      <c r="HC854" s="70"/>
      <c r="HD854" s="70"/>
      <c r="HE854" s="70"/>
      <c r="HF854" s="70"/>
      <c r="HG854" s="70"/>
      <c r="HH854" s="70"/>
      <c r="HI854" s="70"/>
      <c r="HJ854" s="70"/>
      <c r="HK854" s="70"/>
      <c r="HL854" s="70"/>
      <c r="HM854" s="70"/>
      <c r="HN854" s="70"/>
      <c r="HO854" s="70"/>
      <c r="HP854" s="70"/>
      <c r="HQ854" s="70"/>
      <c r="HR854" s="70"/>
      <c r="HS854" s="70"/>
      <c r="HT854" s="70"/>
      <c r="HU854" s="70"/>
      <c r="HV854" s="70"/>
      <c r="HW854" s="70"/>
      <c r="HX854" s="70"/>
      <c r="HY854" s="70"/>
      <c r="HZ854" s="70"/>
      <c r="IA854" s="70"/>
      <c r="IB854" s="70"/>
      <c r="IC854" s="70"/>
      <c r="ID854" s="70"/>
      <c r="IE854" s="70"/>
      <c r="IF854" s="70"/>
      <c r="IG854" s="70"/>
      <c r="IH854" s="70"/>
      <c r="II854" s="70"/>
      <c r="IJ854" s="70"/>
      <c r="IK854" s="70"/>
      <c r="IL854" s="70"/>
      <c r="IM854" s="70"/>
      <c r="IN854" s="70"/>
      <c r="IO854" s="70"/>
      <c r="IP854" s="70"/>
      <c r="IQ854" s="70"/>
    </row>
    <row r="855" spans="18:251" ht="16.5" hidden="1" customHeight="1">
      <c r="R855" s="95" t="s">
        <v>450</v>
      </c>
      <c r="S855" s="95"/>
      <c r="T855" s="95"/>
      <c r="U855" s="70"/>
      <c r="V855" s="214"/>
      <c r="W855" s="70"/>
      <c r="X855" s="70"/>
      <c r="Y855" s="70"/>
      <c r="Z855" s="70"/>
      <c r="AA855" s="70"/>
      <c r="AB855" s="70"/>
      <c r="AC855" s="70"/>
      <c r="AD855" s="70"/>
      <c r="AE855" s="70"/>
      <c r="AF855" s="70"/>
      <c r="AG855" s="70"/>
      <c r="AH855" s="70"/>
      <c r="AI855" s="70"/>
      <c r="AJ855" s="70"/>
      <c r="AK855" s="70"/>
      <c r="AL855" s="70"/>
      <c r="AM855" s="70"/>
      <c r="AN855" s="70"/>
      <c r="AO855" s="70"/>
      <c r="AP855" s="70"/>
      <c r="AQ855" s="70"/>
      <c r="AR855" s="70"/>
      <c r="AS855" s="70"/>
      <c r="AT855" s="70"/>
      <c r="AU855" s="70"/>
      <c r="AV855" s="70"/>
      <c r="AW855" s="70"/>
      <c r="AX855" s="70"/>
      <c r="AY855" s="70"/>
      <c r="AZ855" s="70"/>
      <c r="BA855" s="70"/>
      <c r="BB855" s="70"/>
      <c r="BC855" s="70"/>
      <c r="BD855" s="70"/>
      <c r="BE855" s="70"/>
      <c r="BF855" s="70"/>
      <c r="BG855" s="70"/>
      <c r="BH855" s="70"/>
      <c r="BI855" s="70"/>
      <c r="BJ855" s="70"/>
      <c r="BK855" s="70"/>
      <c r="BL855" s="70"/>
      <c r="BM855" s="70"/>
      <c r="BN855" s="70"/>
      <c r="BO855" s="70"/>
      <c r="BP855" s="70"/>
      <c r="BQ855" s="70"/>
      <c r="BR855" s="70"/>
      <c r="BS855" s="70"/>
      <c r="BT855" s="70"/>
      <c r="BU855" s="70"/>
      <c r="BV855" s="70"/>
      <c r="BW855" s="70"/>
      <c r="BX855" s="70"/>
      <c r="BY855" s="70"/>
      <c r="BZ855" s="70"/>
      <c r="CA855" s="70"/>
      <c r="CB855" s="70"/>
      <c r="CC855" s="70"/>
      <c r="CD855" s="70"/>
      <c r="CE855" s="70"/>
      <c r="CF855" s="70"/>
      <c r="CG855" s="70"/>
      <c r="CH855" s="70"/>
      <c r="CI855" s="70"/>
      <c r="CJ855" s="70"/>
      <c r="CK855" s="70"/>
      <c r="CL855" s="70"/>
      <c r="CM855" s="70"/>
      <c r="CN855" s="70"/>
      <c r="CO855" s="70"/>
      <c r="CP855" s="70"/>
      <c r="CQ855" s="70"/>
      <c r="CR855" s="70"/>
      <c r="CS855" s="70"/>
      <c r="CT855" s="70"/>
      <c r="CU855" s="70"/>
      <c r="CV855" s="70"/>
      <c r="CW855" s="70"/>
      <c r="CX855" s="70"/>
      <c r="CY855" s="70"/>
      <c r="CZ855" s="70"/>
      <c r="DA855" s="70"/>
      <c r="DB855" s="70"/>
      <c r="DC855" s="70"/>
      <c r="DD855" s="70"/>
      <c r="DE855" s="70"/>
      <c r="DF855" s="70"/>
      <c r="DG855" s="70"/>
      <c r="DH855" s="70"/>
      <c r="DI855" s="70"/>
      <c r="DJ855" s="70"/>
      <c r="DK855" s="70"/>
      <c r="DL855" s="70"/>
      <c r="DM855" s="70"/>
      <c r="DN855" s="70"/>
      <c r="DO855" s="70"/>
      <c r="DP855" s="70"/>
      <c r="DQ855" s="70"/>
      <c r="DR855" s="70"/>
      <c r="DS855" s="70"/>
      <c r="DT855" s="70"/>
      <c r="DU855" s="70"/>
      <c r="DV855" s="70"/>
      <c r="DW855" s="70"/>
      <c r="DX855" s="70"/>
      <c r="DY855" s="70"/>
      <c r="DZ855" s="70"/>
      <c r="EA855" s="70"/>
      <c r="EB855" s="70"/>
      <c r="EC855" s="70"/>
      <c r="ED855" s="70"/>
      <c r="EE855" s="95" t="s">
        <v>450</v>
      </c>
      <c r="EF855" s="95"/>
      <c r="EG855" s="95"/>
      <c r="EH855" s="70"/>
      <c r="EI855" s="216"/>
      <c r="EJ855" s="70"/>
      <c r="EK855" s="70"/>
      <c r="EL855" s="70"/>
      <c r="EM855" s="70"/>
      <c r="EN855" s="70"/>
      <c r="EO855" s="70"/>
      <c r="EP855" s="70"/>
      <c r="EQ855" s="70"/>
      <c r="ER855" s="70"/>
      <c r="ES855" s="70"/>
      <c r="ET855" s="70"/>
      <c r="EU855" s="70"/>
      <c r="EV855" s="70"/>
      <c r="EW855" s="70"/>
      <c r="EX855" s="70"/>
      <c r="EY855" s="70"/>
      <c r="EZ855" s="70"/>
      <c r="FA855" s="70"/>
      <c r="FB855" s="70"/>
      <c r="FC855" s="70"/>
      <c r="FD855" s="70"/>
      <c r="FE855" s="70"/>
      <c r="FF855" s="70"/>
      <c r="FG855" s="70"/>
      <c r="FH855" s="70"/>
      <c r="FI855" s="70"/>
      <c r="FJ855" s="70"/>
      <c r="FK855" s="70"/>
      <c r="FL855" s="70"/>
      <c r="FM855" s="70"/>
      <c r="FN855" s="70"/>
      <c r="FO855" s="70"/>
      <c r="FP855" s="70"/>
      <c r="FQ855" s="70"/>
      <c r="FR855" s="70"/>
      <c r="FS855" s="70"/>
      <c r="FT855" s="70"/>
      <c r="FU855" s="70"/>
      <c r="FV855" s="70"/>
      <c r="FW855" s="70"/>
      <c r="FX855" s="70"/>
      <c r="FY855" s="70"/>
      <c r="FZ855" s="70"/>
      <c r="GA855" s="70"/>
      <c r="GB855" s="70"/>
      <c r="GC855" s="70"/>
      <c r="GD855" s="70"/>
      <c r="GE855" s="70"/>
      <c r="GF855" s="70"/>
      <c r="GG855" s="70"/>
      <c r="GH855" s="70"/>
      <c r="GI855" s="70"/>
      <c r="GJ855" s="70"/>
      <c r="GK855" s="70"/>
      <c r="GL855" s="70"/>
      <c r="GM855" s="70"/>
      <c r="GN855" s="70"/>
      <c r="GO855" s="70"/>
      <c r="GP855" s="70"/>
      <c r="GQ855" s="70"/>
      <c r="GR855" s="70"/>
      <c r="GS855" s="70"/>
      <c r="GT855" s="70"/>
      <c r="GU855" s="70"/>
      <c r="GV855" s="70"/>
      <c r="GW855" s="70"/>
      <c r="GX855" s="70"/>
      <c r="GY855" s="70"/>
      <c r="GZ855" s="70"/>
      <c r="HA855" s="70"/>
      <c r="HB855" s="70"/>
      <c r="HC855" s="70"/>
      <c r="HD855" s="70"/>
      <c r="HE855" s="70"/>
      <c r="HF855" s="70"/>
      <c r="HG855" s="70"/>
      <c r="HH855" s="70"/>
      <c r="HI855" s="70"/>
      <c r="HJ855" s="70"/>
      <c r="HK855" s="70"/>
      <c r="HL855" s="70"/>
      <c r="HM855" s="70"/>
      <c r="HN855" s="70"/>
      <c r="HO855" s="70"/>
      <c r="HP855" s="70"/>
      <c r="HQ855" s="70"/>
      <c r="HR855" s="70"/>
      <c r="HS855" s="70"/>
      <c r="HT855" s="70"/>
      <c r="HU855" s="70"/>
      <c r="HV855" s="70"/>
      <c r="HW855" s="70"/>
      <c r="HX855" s="70"/>
      <c r="HY855" s="70"/>
      <c r="HZ855" s="70"/>
      <c r="IA855" s="70"/>
      <c r="IB855" s="70"/>
      <c r="IC855" s="70"/>
      <c r="ID855" s="70"/>
      <c r="IE855" s="70"/>
      <c r="IF855" s="70"/>
      <c r="IG855" s="70"/>
      <c r="IH855" s="70"/>
      <c r="II855" s="70"/>
      <c r="IJ855" s="70"/>
      <c r="IK855" s="70"/>
      <c r="IL855" s="70"/>
      <c r="IM855" s="70"/>
      <c r="IN855" s="70"/>
      <c r="IO855" s="70"/>
      <c r="IP855" s="70"/>
      <c r="IQ855" s="70"/>
    </row>
    <row r="856" spans="18:251" ht="16.5" hidden="1" customHeight="1">
      <c r="R856" s="95" t="s">
        <v>450</v>
      </c>
      <c r="S856" s="95"/>
      <c r="T856" s="95"/>
      <c r="U856" s="70"/>
      <c r="V856" s="214"/>
      <c r="W856" s="70"/>
      <c r="X856" s="70"/>
      <c r="Y856" s="70"/>
      <c r="Z856" s="70"/>
      <c r="AA856" s="70"/>
      <c r="AB856" s="70"/>
      <c r="AC856" s="70"/>
      <c r="AD856" s="70"/>
      <c r="AE856" s="70"/>
      <c r="AF856" s="70"/>
      <c r="AG856" s="70"/>
      <c r="AH856" s="70"/>
      <c r="AI856" s="70"/>
      <c r="AJ856" s="70"/>
      <c r="AK856" s="70"/>
      <c r="AL856" s="70"/>
      <c r="AM856" s="70"/>
      <c r="AN856" s="70"/>
      <c r="AO856" s="70"/>
      <c r="AP856" s="70"/>
      <c r="AQ856" s="70"/>
      <c r="AR856" s="70"/>
      <c r="AS856" s="70"/>
      <c r="AT856" s="70"/>
      <c r="AU856" s="70"/>
      <c r="AV856" s="70"/>
      <c r="AW856" s="70"/>
      <c r="AX856" s="70"/>
      <c r="AY856" s="70"/>
      <c r="AZ856" s="70"/>
      <c r="BA856" s="70"/>
      <c r="BB856" s="70"/>
      <c r="BC856" s="70"/>
      <c r="BD856" s="70"/>
      <c r="BE856" s="70"/>
      <c r="BF856" s="70"/>
      <c r="BG856" s="70"/>
      <c r="BH856" s="70"/>
      <c r="BI856" s="70"/>
      <c r="BJ856" s="70"/>
      <c r="BK856" s="70"/>
      <c r="BL856" s="70"/>
      <c r="BM856" s="70"/>
      <c r="BN856" s="70"/>
      <c r="BO856" s="70"/>
      <c r="BP856" s="70"/>
      <c r="BQ856" s="70"/>
      <c r="BR856" s="70"/>
      <c r="BS856" s="70"/>
      <c r="BT856" s="70"/>
      <c r="BU856" s="70"/>
      <c r="BV856" s="70"/>
      <c r="BW856" s="70"/>
      <c r="BX856" s="70"/>
      <c r="BY856" s="70"/>
      <c r="BZ856" s="70"/>
      <c r="CA856" s="70"/>
      <c r="CB856" s="70"/>
      <c r="CC856" s="70"/>
      <c r="CD856" s="70"/>
      <c r="CE856" s="70"/>
      <c r="CF856" s="70"/>
      <c r="CG856" s="70"/>
      <c r="CH856" s="70"/>
      <c r="CI856" s="70"/>
      <c r="CJ856" s="70"/>
      <c r="CK856" s="70"/>
      <c r="CL856" s="70"/>
      <c r="CM856" s="70"/>
      <c r="CN856" s="70"/>
      <c r="CO856" s="70"/>
      <c r="CP856" s="70"/>
      <c r="CQ856" s="70"/>
      <c r="CR856" s="70"/>
      <c r="CS856" s="70"/>
      <c r="CT856" s="70"/>
      <c r="CU856" s="70"/>
      <c r="CV856" s="70"/>
      <c r="CW856" s="70"/>
      <c r="CX856" s="70"/>
      <c r="CY856" s="70"/>
      <c r="CZ856" s="70"/>
      <c r="DA856" s="70"/>
      <c r="DB856" s="70"/>
      <c r="DC856" s="70"/>
      <c r="DD856" s="70"/>
      <c r="DE856" s="70"/>
      <c r="DF856" s="70"/>
      <c r="DG856" s="70"/>
      <c r="DH856" s="70"/>
      <c r="DI856" s="70"/>
      <c r="DJ856" s="70"/>
      <c r="DK856" s="70"/>
      <c r="DL856" s="70"/>
      <c r="DM856" s="70"/>
      <c r="DN856" s="70"/>
      <c r="DO856" s="70"/>
      <c r="DP856" s="70"/>
      <c r="DQ856" s="70"/>
      <c r="DR856" s="70"/>
      <c r="DS856" s="70"/>
      <c r="DT856" s="70"/>
      <c r="DU856" s="70"/>
      <c r="DV856" s="70"/>
      <c r="DW856" s="70"/>
      <c r="DX856" s="70"/>
      <c r="DY856" s="70"/>
      <c r="DZ856" s="70"/>
      <c r="EA856" s="70"/>
      <c r="EB856" s="70"/>
      <c r="EC856" s="70"/>
      <c r="ED856" s="70"/>
      <c r="EE856" s="95" t="s">
        <v>450</v>
      </c>
      <c r="EF856" s="95"/>
      <c r="EG856" s="95"/>
      <c r="EH856" s="70"/>
      <c r="EI856" s="216"/>
      <c r="EJ856" s="70"/>
      <c r="EK856" s="70"/>
      <c r="EL856" s="70"/>
      <c r="EM856" s="70"/>
      <c r="EN856" s="70"/>
      <c r="EO856" s="70"/>
      <c r="EP856" s="70"/>
      <c r="EQ856" s="70"/>
      <c r="ER856" s="70"/>
      <c r="ES856" s="70"/>
      <c r="ET856" s="70"/>
      <c r="EU856" s="70"/>
      <c r="EV856" s="70"/>
      <c r="EW856" s="70"/>
      <c r="EX856" s="70"/>
      <c r="EY856" s="70"/>
      <c r="EZ856" s="70"/>
      <c r="FA856" s="70"/>
      <c r="FB856" s="70"/>
      <c r="FC856" s="70"/>
      <c r="FD856" s="70"/>
      <c r="FE856" s="70"/>
      <c r="FF856" s="70"/>
      <c r="FG856" s="70"/>
      <c r="FH856" s="70"/>
      <c r="FI856" s="70"/>
      <c r="FJ856" s="70"/>
      <c r="FK856" s="70"/>
      <c r="FL856" s="70"/>
      <c r="FM856" s="70"/>
      <c r="FN856" s="70"/>
      <c r="FO856" s="70"/>
      <c r="FP856" s="70"/>
      <c r="FQ856" s="70"/>
      <c r="FR856" s="70"/>
      <c r="FS856" s="70"/>
      <c r="FT856" s="70"/>
      <c r="FU856" s="70"/>
      <c r="FV856" s="70"/>
      <c r="FW856" s="70"/>
      <c r="FX856" s="70"/>
      <c r="FY856" s="70"/>
      <c r="FZ856" s="70"/>
      <c r="GA856" s="70"/>
      <c r="GB856" s="70"/>
      <c r="GC856" s="70"/>
      <c r="GD856" s="70"/>
      <c r="GE856" s="70"/>
      <c r="GF856" s="70"/>
      <c r="GG856" s="70"/>
      <c r="GH856" s="70"/>
      <c r="GI856" s="70"/>
      <c r="GJ856" s="70"/>
      <c r="GK856" s="70"/>
      <c r="GL856" s="70"/>
      <c r="GM856" s="70"/>
      <c r="GN856" s="70"/>
      <c r="GO856" s="70"/>
      <c r="GP856" s="70"/>
      <c r="GQ856" s="70"/>
      <c r="GR856" s="70"/>
      <c r="GS856" s="70"/>
      <c r="GT856" s="70"/>
      <c r="GU856" s="70"/>
      <c r="GV856" s="70"/>
      <c r="GW856" s="70"/>
      <c r="GX856" s="70"/>
      <c r="GY856" s="70"/>
      <c r="GZ856" s="70"/>
      <c r="HA856" s="70"/>
      <c r="HB856" s="70"/>
      <c r="HC856" s="70"/>
      <c r="HD856" s="70"/>
      <c r="HE856" s="70"/>
      <c r="HF856" s="70"/>
      <c r="HG856" s="70"/>
      <c r="HH856" s="70"/>
      <c r="HI856" s="70"/>
      <c r="HJ856" s="70"/>
      <c r="HK856" s="70"/>
      <c r="HL856" s="70"/>
      <c r="HM856" s="70"/>
      <c r="HN856" s="70"/>
      <c r="HO856" s="70"/>
      <c r="HP856" s="70"/>
      <c r="HQ856" s="70"/>
      <c r="HR856" s="70"/>
      <c r="HS856" s="70"/>
      <c r="HT856" s="70"/>
      <c r="HU856" s="70"/>
      <c r="HV856" s="70"/>
      <c r="HW856" s="70"/>
      <c r="HX856" s="70"/>
      <c r="HY856" s="70"/>
      <c r="HZ856" s="70"/>
      <c r="IA856" s="70"/>
      <c r="IB856" s="70"/>
      <c r="IC856" s="70"/>
      <c r="ID856" s="70"/>
      <c r="IE856" s="70"/>
      <c r="IF856" s="70"/>
      <c r="IG856" s="70"/>
      <c r="IH856" s="70"/>
      <c r="II856" s="70"/>
      <c r="IJ856" s="70"/>
      <c r="IK856" s="70"/>
      <c r="IL856" s="70"/>
      <c r="IM856" s="70"/>
      <c r="IN856" s="70"/>
      <c r="IO856" s="70"/>
      <c r="IP856" s="70"/>
      <c r="IQ856" s="70"/>
    </row>
    <row r="857" spans="18:251" ht="16.5" hidden="1" customHeight="1">
      <c r="R857" s="95" t="s">
        <v>450</v>
      </c>
      <c r="S857" s="95"/>
      <c r="T857" s="95"/>
      <c r="U857" s="70"/>
      <c r="V857" s="214"/>
      <c r="W857" s="70"/>
      <c r="X857" s="70"/>
      <c r="Y857" s="70"/>
      <c r="Z857" s="70"/>
      <c r="AA857" s="70"/>
      <c r="AB857" s="70"/>
      <c r="AC857" s="70"/>
      <c r="AD857" s="70"/>
      <c r="AE857" s="70"/>
      <c r="AF857" s="70"/>
      <c r="AG857" s="70"/>
      <c r="AH857" s="70"/>
      <c r="AI857" s="70"/>
      <c r="AJ857" s="70"/>
      <c r="AK857" s="70"/>
      <c r="AL857" s="70"/>
      <c r="AM857" s="70"/>
      <c r="AN857" s="70"/>
      <c r="AO857" s="70"/>
      <c r="AP857" s="70"/>
      <c r="AQ857" s="70"/>
      <c r="AR857" s="70"/>
      <c r="AS857" s="70"/>
      <c r="AT857" s="70"/>
      <c r="AU857" s="70"/>
      <c r="AV857" s="70"/>
      <c r="AW857" s="70"/>
      <c r="AX857" s="70"/>
      <c r="AY857" s="70"/>
      <c r="AZ857" s="70"/>
      <c r="BA857" s="70"/>
      <c r="BB857" s="70"/>
      <c r="BC857" s="70"/>
      <c r="BD857" s="70"/>
      <c r="BE857" s="70"/>
      <c r="BF857" s="70"/>
      <c r="BG857" s="70"/>
      <c r="BH857" s="70"/>
      <c r="BI857" s="70"/>
      <c r="BJ857" s="70"/>
      <c r="BK857" s="70"/>
      <c r="BL857" s="70"/>
      <c r="BM857" s="70"/>
      <c r="BN857" s="70"/>
      <c r="BO857" s="70"/>
      <c r="BP857" s="70"/>
      <c r="BQ857" s="70"/>
      <c r="BR857" s="70"/>
      <c r="BS857" s="70"/>
      <c r="BT857" s="70"/>
      <c r="BU857" s="70"/>
      <c r="BV857" s="70"/>
      <c r="BW857" s="70"/>
      <c r="BX857" s="70"/>
      <c r="BY857" s="70"/>
      <c r="BZ857" s="70"/>
      <c r="CA857" s="70"/>
      <c r="CB857" s="70"/>
      <c r="CC857" s="70"/>
      <c r="CD857" s="70"/>
      <c r="CE857" s="70"/>
      <c r="CF857" s="70"/>
      <c r="CG857" s="70"/>
      <c r="CH857" s="70"/>
      <c r="CI857" s="70"/>
      <c r="CJ857" s="70"/>
      <c r="CK857" s="70"/>
      <c r="CL857" s="70"/>
      <c r="CM857" s="70"/>
      <c r="CN857" s="70"/>
      <c r="CO857" s="70"/>
      <c r="CP857" s="70"/>
      <c r="CQ857" s="70"/>
      <c r="CR857" s="70"/>
      <c r="CS857" s="70"/>
      <c r="CT857" s="70"/>
      <c r="CU857" s="70"/>
      <c r="CV857" s="70"/>
      <c r="CW857" s="70"/>
      <c r="CX857" s="70"/>
      <c r="CY857" s="70"/>
      <c r="CZ857" s="70"/>
      <c r="DA857" s="70"/>
      <c r="DB857" s="70"/>
      <c r="DC857" s="70"/>
      <c r="DD857" s="70"/>
      <c r="DE857" s="70"/>
      <c r="DF857" s="70"/>
      <c r="DG857" s="70"/>
      <c r="DH857" s="70"/>
      <c r="DI857" s="70"/>
      <c r="DJ857" s="70"/>
      <c r="DK857" s="70"/>
      <c r="DL857" s="70"/>
      <c r="DM857" s="70"/>
      <c r="DN857" s="70"/>
      <c r="DO857" s="70"/>
      <c r="DP857" s="70"/>
      <c r="DQ857" s="70"/>
      <c r="DR857" s="70"/>
      <c r="DS857" s="70"/>
      <c r="DT857" s="70"/>
      <c r="DU857" s="70"/>
      <c r="DV857" s="70"/>
      <c r="DW857" s="70"/>
      <c r="DX857" s="70"/>
      <c r="DY857" s="70"/>
      <c r="DZ857" s="70"/>
      <c r="EA857" s="70"/>
      <c r="EB857" s="70"/>
      <c r="EC857" s="70"/>
      <c r="ED857" s="70"/>
      <c r="EE857" s="95" t="s">
        <v>450</v>
      </c>
      <c r="EF857" s="95"/>
      <c r="EG857" s="95"/>
      <c r="EH857" s="70"/>
      <c r="EI857" s="216"/>
      <c r="EJ857" s="70"/>
      <c r="EK857" s="70"/>
      <c r="EL857" s="70"/>
      <c r="EM857" s="70"/>
      <c r="EN857" s="70"/>
      <c r="EO857" s="70"/>
      <c r="EP857" s="70"/>
      <c r="EQ857" s="70"/>
      <c r="ER857" s="70"/>
      <c r="ES857" s="70"/>
      <c r="ET857" s="70"/>
      <c r="EU857" s="70"/>
      <c r="EV857" s="70"/>
      <c r="EW857" s="70"/>
      <c r="EX857" s="70"/>
      <c r="EY857" s="70"/>
      <c r="EZ857" s="70"/>
      <c r="FA857" s="70"/>
      <c r="FB857" s="70"/>
      <c r="FC857" s="70"/>
      <c r="FD857" s="70"/>
      <c r="FE857" s="70"/>
      <c r="FF857" s="70"/>
      <c r="FG857" s="70"/>
      <c r="FH857" s="70"/>
      <c r="FI857" s="70"/>
      <c r="FJ857" s="70"/>
      <c r="FK857" s="70"/>
      <c r="FL857" s="70"/>
      <c r="FM857" s="70"/>
      <c r="FN857" s="70"/>
      <c r="FO857" s="70"/>
      <c r="FP857" s="70"/>
      <c r="FQ857" s="70"/>
      <c r="FR857" s="70"/>
      <c r="FS857" s="70"/>
      <c r="FT857" s="70"/>
      <c r="FU857" s="70"/>
      <c r="FV857" s="70"/>
      <c r="FW857" s="70"/>
      <c r="FX857" s="70"/>
      <c r="FY857" s="70"/>
      <c r="FZ857" s="70"/>
      <c r="GA857" s="70"/>
      <c r="GB857" s="70"/>
      <c r="GC857" s="70"/>
      <c r="GD857" s="70"/>
      <c r="GE857" s="70"/>
      <c r="GF857" s="70"/>
      <c r="GG857" s="70"/>
      <c r="GH857" s="70"/>
      <c r="GI857" s="70"/>
      <c r="GJ857" s="70"/>
      <c r="GK857" s="70"/>
      <c r="GL857" s="70"/>
      <c r="GM857" s="70"/>
      <c r="GN857" s="70"/>
      <c r="GO857" s="70"/>
      <c r="GP857" s="70"/>
      <c r="GQ857" s="70"/>
      <c r="GR857" s="70"/>
      <c r="GS857" s="70"/>
      <c r="GT857" s="70"/>
      <c r="GU857" s="70"/>
      <c r="GV857" s="70"/>
      <c r="GW857" s="70"/>
      <c r="GX857" s="70"/>
      <c r="GY857" s="70"/>
      <c r="GZ857" s="70"/>
      <c r="HA857" s="70"/>
      <c r="HB857" s="70"/>
      <c r="HC857" s="70"/>
      <c r="HD857" s="70"/>
      <c r="HE857" s="70"/>
      <c r="HF857" s="70"/>
      <c r="HG857" s="70"/>
      <c r="HH857" s="70"/>
      <c r="HI857" s="70"/>
      <c r="HJ857" s="70"/>
      <c r="HK857" s="70"/>
      <c r="HL857" s="70"/>
      <c r="HM857" s="70"/>
      <c r="HN857" s="70"/>
      <c r="HO857" s="70"/>
      <c r="HP857" s="70"/>
      <c r="HQ857" s="70"/>
      <c r="HR857" s="70"/>
      <c r="HS857" s="70"/>
      <c r="HT857" s="70"/>
      <c r="HU857" s="70"/>
      <c r="HV857" s="70"/>
      <c r="HW857" s="70"/>
      <c r="HX857" s="70"/>
      <c r="HY857" s="70"/>
      <c r="HZ857" s="70"/>
      <c r="IA857" s="70"/>
      <c r="IB857" s="70"/>
      <c r="IC857" s="70"/>
      <c r="ID857" s="70"/>
      <c r="IE857" s="70"/>
      <c r="IF857" s="70"/>
      <c r="IG857" s="70"/>
      <c r="IH857" s="70"/>
      <c r="II857" s="70"/>
      <c r="IJ857" s="70"/>
      <c r="IK857" s="70"/>
      <c r="IL857" s="70"/>
      <c r="IM857" s="70"/>
      <c r="IN857" s="70"/>
      <c r="IO857" s="70"/>
      <c r="IP857" s="70"/>
      <c r="IQ857" s="70"/>
    </row>
    <row r="858" spans="18:251" ht="16.5" hidden="1" customHeight="1">
      <c r="R858" s="95" t="s">
        <v>450</v>
      </c>
      <c r="S858" s="95"/>
      <c r="T858" s="95"/>
      <c r="U858" s="70"/>
      <c r="V858" s="214"/>
      <c r="W858" s="70"/>
      <c r="X858" s="70"/>
      <c r="Y858" s="70"/>
      <c r="Z858" s="70"/>
      <c r="AA858" s="70"/>
      <c r="AB858" s="70"/>
      <c r="AC858" s="70"/>
      <c r="AD858" s="70"/>
      <c r="AE858" s="70"/>
      <c r="AF858" s="70"/>
      <c r="AG858" s="70"/>
      <c r="AH858" s="70"/>
      <c r="AI858" s="70"/>
      <c r="AJ858" s="70"/>
      <c r="AK858" s="70"/>
      <c r="AL858" s="70"/>
      <c r="AM858" s="70"/>
      <c r="AN858" s="70"/>
      <c r="AO858" s="70"/>
      <c r="AP858" s="70"/>
      <c r="AQ858" s="70"/>
      <c r="AR858" s="70"/>
      <c r="AS858" s="70"/>
      <c r="AT858" s="70"/>
      <c r="AU858" s="70"/>
      <c r="AV858" s="70"/>
      <c r="AW858" s="70"/>
      <c r="AX858" s="70"/>
      <c r="AY858" s="70"/>
      <c r="AZ858" s="70"/>
      <c r="BA858" s="70"/>
      <c r="BB858" s="70"/>
      <c r="BC858" s="70"/>
      <c r="BD858" s="70"/>
      <c r="BE858" s="70"/>
      <c r="BF858" s="70"/>
      <c r="BG858" s="70"/>
      <c r="BH858" s="70"/>
      <c r="BI858" s="70"/>
      <c r="BJ858" s="70"/>
      <c r="BK858" s="70"/>
      <c r="BL858" s="70"/>
      <c r="BM858" s="70"/>
      <c r="BN858" s="70"/>
      <c r="BO858" s="70"/>
      <c r="BP858" s="70"/>
      <c r="BQ858" s="70"/>
      <c r="BR858" s="70"/>
      <c r="BS858" s="70"/>
      <c r="BT858" s="70"/>
      <c r="BU858" s="70"/>
      <c r="BV858" s="70"/>
      <c r="BW858" s="70"/>
      <c r="BX858" s="70"/>
      <c r="BY858" s="70"/>
      <c r="BZ858" s="70"/>
      <c r="CA858" s="70"/>
      <c r="CB858" s="70"/>
      <c r="CC858" s="70"/>
      <c r="CD858" s="70"/>
      <c r="CE858" s="70"/>
      <c r="CF858" s="70"/>
      <c r="CG858" s="70"/>
      <c r="CH858" s="70"/>
      <c r="CI858" s="70"/>
      <c r="CJ858" s="70"/>
      <c r="CK858" s="70"/>
      <c r="CL858" s="70"/>
      <c r="CM858" s="70"/>
      <c r="CN858" s="70"/>
      <c r="CO858" s="70"/>
      <c r="CP858" s="70"/>
      <c r="CQ858" s="70"/>
      <c r="CR858" s="70"/>
      <c r="CS858" s="70"/>
      <c r="CT858" s="70"/>
      <c r="CU858" s="70"/>
      <c r="CV858" s="70"/>
      <c r="CW858" s="70"/>
      <c r="CX858" s="70"/>
      <c r="CY858" s="70"/>
      <c r="CZ858" s="70"/>
      <c r="DA858" s="70"/>
      <c r="DB858" s="70"/>
      <c r="DC858" s="70"/>
      <c r="DD858" s="70"/>
      <c r="DE858" s="70"/>
      <c r="DF858" s="70"/>
      <c r="DG858" s="70"/>
      <c r="DH858" s="70"/>
      <c r="DI858" s="70"/>
      <c r="DJ858" s="70"/>
      <c r="DK858" s="70"/>
      <c r="DL858" s="70"/>
      <c r="DM858" s="70"/>
      <c r="DN858" s="70"/>
      <c r="DO858" s="70"/>
      <c r="DP858" s="70"/>
      <c r="DQ858" s="70"/>
      <c r="DR858" s="70"/>
      <c r="DS858" s="70"/>
      <c r="DT858" s="70"/>
      <c r="DU858" s="70"/>
      <c r="DV858" s="70"/>
      <c r="DW858" s="70"/>
      <c r="DX858" s="70"/>
      <c r="DY858" s="70"/>
      <c r="DZ858" s="70"/>
      <c r="EA858" s="70"/>
      <c r="EB858" s="70"/>
      <c r="EC858" s="70"/>
      <c r="ED858" s="70"/>
      <c r="EE858" s="95" t="s">
        <v>450</v>
      </c>
      <c r="EF858" s="95"/>
      <c r="EG858" s="95"/>
      <c r="EH858" s="70"/>
      <c r="EI858" s="216"/>
      <c r="EJ858" s="70"/>
      <c r="EK858" s="70"/>
      <c r="EL858" s="70"/>
      <c r="EM858" s="70"/>
      <c r="EN858" s="70"/>
      <c r="EO858" s="70"/>
      <c r="EP858" s="70"/>
      <c r="EQ858" s="70"/>
      <c r="ER858" s="70"/>
      <c r="ES858" s="70"/>
      <c r="ET858" s="70"/>
      <c r="EU858" s="70"/>
      <c r="EV858" s="70"/>
      <c r="EW858" s="70"/>
      <c r="EX858" s="70"/>
      <c r="EY858" s="70"/>
      <c r="EZ858" s="70"/>
      <c r="FA858" s="70"/>
      <c r="FB858" s="70"/>
      <c r="FC858" s="70"/>
      <c r="FD858" s="70"/>
      <c r="FE858" s="70"/>
      <c r="FF858" s="70"/>
      <c r="FG858" s="70"/>
      <c r="FH858" s="70"/>
      <c r="FI858" s="70"/>
      <c r="FJ858" s="70"/>
      <c r="FK858" s="70"/>
      <c r="FL858" s="70"/>
      <c r="FM858" s="70"/>
      <c r="FN858" s="70"/>
      <c r="FO858" s="70"/>
      <c r="FP858" s="70"/>
      <c r="FQ858" s="70"/>
      <c r="FR858" s="70"/>
      <c r="FS858" s="70"/>
      <c r="FT858" s="70"/>
      <c r="FU858" s="70"/>
      <c r="FV858" s="70"/>
      <c r="FW858" s="70"/>
      <c r="FX858" s="70"/>
      <c r="FY858" s="70"/>
      <c r="FZ858" s="70"/>
      <c r="GA858" s="70"/>
      <c r="GB858" s="70"/>
      <c r="GC858" s="70"/>
      <c r="GD858" s="70"/>
      <c r="GE858" s="70"/>
      <c r="GF858" s="70"/>
      <c r="GG858" s="70"/>
      <c r="GH858" s="70"/>
      <c r="GI858" s="70"/>
      <c r="GJ858" s="70"/>
      <c r="GK858" s="70"/>
      <c r="GL858" s="70"/>
      <c r="GM858" s="70"/>
      <c r="GN858" s="70"/>
      <c r="GO858" s="70"/>
      <c r="GP858" s="70"/>
      <c r="GQ858" s="70"/>
      <c r="GR858" s="70"/>
      <c r="GS858" s="70"/>
      <c r="GT858" s="70"/>
      <c r="GU858" s="70"/>
      <c r="GV858" s="70"/>
      <c r="GW858" s="70"/>
      <c r="GX858" s="70"/>
      <c r="GY858" s="70"/>
      <c r="GZ858" s="70"/>
      <c r="HA858" s="70"/>
      <c r="HB858" s="70"/>
      <c r="HC858" s="70"/>
      <c r="HD858" s="70"/>
      <c r="HE858" s="70"/>
      <c r="HF858" s="70"/>
      <c r="HG858" s="70"/>
      <c r="HH858" s="70"/>
      <c r="HI858" s="70"/>
      <c r="HJ858" s="70"/>
      <c r="HK858" s="70"/>
      <c r="HL858" s="70"/>
      <c r="HM858" s="70"/>
      <c r="HN858" s="70"/>
      <c r="HO858" s="70"/>
      <c r="HP858" s="70"/>
      <c r="HQ858" s="70"/>
      <c r="HR858" s="70"/>
      <c r="HS858" s="70"/>
      <c r="HT858" s="70"/>
      <c r="HU858" s="70"/>
      <c r="HV858" s="70"/>
      <c r="HW858" s="70"/>
      <c r="HX858" s="70"/>
      <c r="HY858" s="70"/>
      <c r="HZ858" s="70"/>
      <c r="IA858" s="70"/>
      <c r="IB858" s="70"/>
      <c r="IC858" s="70"/>
      <c r="ID858" s="70"/>
      <c r="IE858" s="70"/>
      <c r="IF858" s="70"/>
      <c r="IG858" s="70"/>
      <c r="IH858" s="70"/>
      <c r="II858" s="70"/>
      <c r="IJ858" s="70"/>
      <c r="IK858" s="70"/>
      <c r="IL858" s="70"/>
      <c r="IM858" s="70"/>
      <c r="IN858" s="70"/>
      <c r="IO858" s="70"/>
      <c r="IP858" s="70"/>
      <c r="IQ858" s="70"/>
    </row>
    <row r="859" spans="18:251" ht="16.5" hidden="1" customHeight="1">
      <c r="R859" s="95" t="s">
        <v>450</v>
      </c>
      <c r="S859" s="95"/>
      <c r="T859" s="95"/>
      <c r="U859" s="70"/>
      <c r="V859" s="214"/>
      <c r="W859" s="70"/>
      <c r="X859" s="70"/>
      <c r="Y859" s="70"/>
      <c r="Z859" s="70"/>
      <c r="AA859" s="70"/>
      <c r="AB859" s="70"/>
      <c r="AC859" s="70"/>
      <c r="AD859" s="70"/>
      <c r="AE859" s="70"/>
      <c r="AF859" s="70"/>
      <c r="AG859" s="70"/>
      <c r="AH859" s="70"/>
      <c r="AI859" s="70"/>
      <c r="AJ859" s="70"/>
      <c r="AK859" s="70"/>
      <c r="AL859" s="70"/>
      <c r="AM859" s="70"/>
      <c r="AN859" s="70"/>
      <c r="AO859" s="70"/>
      <c r="AP859" s="70"/>
      <c r="AQ859" s="70"/>
      <c r="AR859" s="70"/>
      <c r="AS859" s="70"/>
      <c r="AT859" s="70"/>
      <c r="AU859" s="70"/>
      <c r="AV859" s="70"/>
      <c r="AW859" s="70"/>
      <c r="AX859" s="70"/>
      <c r="AY859" s="70"/>
      <c r="AZ859" s="70"/>
      <c r="BA859" s="70"/>
      <c r="BB859" s="70"/>
      <c r="BC859" s="70"/>
      <c r="BD859" s="70"/>
      <c r="BE859" s="70"/>
      <c r="BF859" s="70"/>
      <c r="BG859" s="70"/>
      <c r="BH859" s="70"/>
      <c r="BI859" s="70"/>
      <c r="BJ859" s="70"/>
      <c r="BK859" s="70"/>
      <c r="BL859" s="70"/>
      <c r="BM859" s="70"/>
      <c r="BN859" s="70"/>
      <c r="BO859" s="70"/>
      <c r="BP859" s="70"/>
      <c r="BQ859" s="70"/>
      <c r="BR859" s="70"/>
      <c r="BS859" s="70"/>
      <c r="BT859" s="70"/>
      <c r="BU859" s="70"/>
      <c r="BV859" s="70"/>
      <c r="BW859" s="70"/>
      <c r="BX859" s="70"/>
      <c r="BY859" s="70"/>
      <c r="BZ859" s="70"/>
      <c r="CA859" s="70"/>
      <c r="CB859" s="70"/>
      <c r="CC859" s="70"/>
      <c r="CD859" s="70"/>
      <c r="CE859" s="70"/>
      <c r="CF859" s="70"/>
      <c r="CG859" s="70"/>
      <c r="CH859" s="70"/>
      <c r="CI859" s="70"/>
      <c r="CJ859" s="70"/>
      <c r="CK859" s="70"/>
      <c r="CL859" s="70"/>
      <c r="CM859" s="70"/>
      <c r="CN859" s="70"/>
      <c r="CO859" s="70"/>
      <c r="CP859" s="70"/>
      <c r="CQ859" s="70"/>
      <c r="CR859" s="70"/>
      <c r="CS859" s="70"/>
      <c r="CT859" s="70"/>
      <c r="CU859" s="70"/>
      <c r="CV859" s="70"/>
      <c r="CW859" s="70"/>
      <c r="CX859" s="70"/>
      <c r="CY859" s="70"/>
      <c r="CZ859" s="70"/>
      <c r="DA859" s="70"/>
      <c r="DB859" s="70"/>
      <c r="DC859" s="70"/>
      <c r="DD859" s="70"/>
      <c r="DE859" s="70"/>
      <c r="DF859" s="70"/>
      <c r="DG859" s="70"/>
      <c r="DH859" s="70"/>
      <c r="DI859" s="70"/>
      <c r="DJ859" s="70"/>
      <c r="DK859" s="70"/>
      <c r="DL859" s="70"/>
      <c r="DM859" s="70"/>
      <c r="DN859" s="70"/>
      <c r="DO859" s="70"/>
      <c r="DP859" s="70"/>
      <c r="DQ859" s="70"/>
      <c r="DR859" s="70"/>
      <c r="DS859" s="70"/>
      <c r="DT859" s="70"/>
      <c r="DU859" s="70"/>
      <c r="DV859" s="70"/>
      <c r="DW859" s="70"/>
      <c r="DX859" s="70"/>
      <c r="DY859" s="70"/>
      <c r="DZ859" s="70"/>
      <c r="EA859" s="70"/>
      <c r="EB859" s="70"/>
      <c r="EC859" s="70"/>
      <c r="ED859" s="70"/>
      <c r="EE859" s="95" t="s">
        <v>450</v>
      </c>
      <c r="EF859" s="95"/>
      <c r="EG859" s="95"/>
      <c r="EH859" s="70"/>
      <c r="EI859" s="216"/>
      <c r="EJ859" s="70"/>
      <c r="EK859" s="70"/>
      <c r="EL859" s="70"/>
      <c r="EM859" s="70"/>
      <c r="EN859" s="70"/>
      <c r="EO859" s="70"/>
      <c r="EP859" s="70"/>
      <c r="EQ859" s="70"/>
      <c r="ER859" s="70"/>
      <c r="ES859" s="70"/>
      <c r="ET859" s="70"/>
      <c r="EU859" s="70"/>
      <c r="EV859" s="70"/>
      <c r="EW859" s="70"/>
      <c r="EX859" s="70"/>
      <c r="EY859" s="70"/>
      <c r="EZ859" s="70"/>
      <c r="FA859" s="70"/>
      <c r="FB859" s="70"/>
      <c r="FC859" s="70"/>
      <c r="FD859" s="70"/>
      <c r="FE859" s="70"/>
      <c r="FF859" s="70"/>
      <c r="FG859" s="70"/>
      <c r="FH859" s="70"/>
      <c r="FI859" s="70"/>
      <c r="FJ859" s="70"/>
      <c r="FK859" s="70"/>
      <c r="FL859" s="70"/>
      <c r="FM859" s="70"/>
      <c r="FN859" s="70"/>
      <c r="FO859" s="70"/>
      <c r="FP859" s="70"/>
      <c r="FQ859" s="70"/>
      <c r="FR859" s="70"/>
      <c r="FS859" s="70"/>
      <c r="FT859" s="70"/>
      <c r="FU859" s="70"/>
      <c r="FV859" s="70"/>
      <c r="FW859" s="70"/>
      <c r="FX859" s="70"/>
      <c r="FY859" s="70"/>
      <c r="FZ859" s="70"/>
      <c r="GA859" s="70"/>
      <c r="GB859" s="70"/>
      <c r="GC859" s="70"/>
      <c r="GD859" s="70"/>
      <c r="GE859" s="70"/>
      <c r="GF859" s="70"/>
      <c r="GG859" s="70"/>
      <c r="GH859" s="70"/>
      <c r="GI859" s="70"/>
      <c r="GJ859" s="70"/>
      <c r="GK859" s="70"/>
      <c r="GL859" s="70"/>
      <c r="GM859" s="70"/>
      <c r="GN859" s="70"/>
      <c r="GO859" s="70"/>
      <c r="GP859" s="70"/>
      <c r="GQ859" s="70"/>
      <c r="GR859" s="70"/>
      <c r="GS859" s="70"/>
      <c r="GT859" s="70"/>
      <c r="GU859" s="70"/>
      <c r="GV859" s="70"/>
      <c r="GW859" s="70"/>
      <c r="GX859" s="70"/>
      <c r="GY859" s="70"/>
      <c r="GZ859" s="70"/>
      <c r="HA859" s="70"/>
      <c r="HB859" s="70"/>
      <c r="HC859" s="70"/>
      <c r="HD859" s="70"/>
      <c r="HE859" s="70"/>
      <c r="HF859" s="70"/>
      <c r="HG859" s="70"/>
      <c r="HH859" s="70"/>
      <c r="HI859" s="70"/>
      <c r="HJ859" s="70"/>
      <c r="HK859" s="70"/>
      <c r="HL859" s="70"/>
      <c r="HM859" s="70"/>
      <c r="HN859" s="70"/>
      <c r="HO859" s="70"/>
      <c r="HP859" s="70"/>
      <c r="HQ859" s="70"/>
      <c r="HR859" s="70"/>
      <c r="HS859" s="70"/>
      <c r="HT859" s="70"/>
      <c r="HU859" s="70"/>
      <c r="HV859" s="70"/>
      <c r="HW859" s="70"/>
      <c r="HX859" s="70"/>
      <c r="HY859" s="70"/>
      <c r="HZ859" s="70"/>
      <c r="IA859" s="70"/>
      <c r="IB859" s="70"/>
      <c r="IC859" s="70"/>
      <c r="ID859" s="70"/>
      <c r="IE859" s="70"/>
      <c r="IF859" s="70"/>
      <c r="IG859" s="70"/>
      <c r="IH859" s="70"/>
      <c r="II859" s="70"/>
      <c r="IJ859" s="70"/>
      <c r="IK859" s="70"/>
      <c r="IL859" s="70"/>
      <c r="IM859" s="70"/>
      <c r="IN859" s="70"/>
      <c r="IO859" s="70"/>
      <c r="IP859" s="70"/>
      <c r="IQ859" s="70"/>
    </row>
    <row r="860" spans="18:251" ht="16.5" hidden="1" customHeight="1">
      <c r="R860" s="95" t="s">
        <v>450</v>
      </c>
      <c r="S860" s="95"/>
      <c r="T860" s="95"/>
      <c r="U860" s="70"/>
      <c r="V860" s="214"/>
      <c r="W860" s="70"/>
      <c r="X860" s="70"/>
      <c r="Y860" s="70"/>
      <c r="Z860" s="70"/>
      <c r="AA860" s="70"/>
      <c r="AB860" s="70"/>
      <c r="AC860" s="70"/>
      <c r="AD860" s="70"/>
      <c r="AE860" s="70"/>
      <c r="AF860" s="70"/>
      <c r="AG860" s="70"/>
      <c r="AH860" s="70"/>
      <c r="AI860" s="70"/>
      <c r="AJ860" s="70"/>
      <c r="AK860" s="70"/>
      <c r="AL860" s="70"/>
      <c r="AM860" s="70"/>
      <c r="AN860" s="70"/>
      <c r="AO860" s="70"/>
      <c r="AP860" s="70"/>
      <c r="AQ860" s="70"/>
      <c r="AR860" s="70"/>
      <c r="AS860" s="70"/>
      <c r="AT860" s="70"/>
      <c r="AU860" s="70"/>
      <c r="AV860" s="70"/>
      <c r="AW860" s="70"/>
      <c r="AX860" s="70"/>
      <c r="AY860" s="70"/>
      <c r="AZ860" s="70"/>
      <c r="BA860" s="70"/>
      <c r="BB860" s="70"/>
      <c r="BC860" s="70"/>
      <c r="BD860" s="70"/>
      <c r="BE860" s="70"/>
      <c r="BF860" s="70"/>
      <c r="BG860" s="70"/>
      <c r="BH860" s="70"/>
      <c r="BI860" s="70"/>
      <c r="BJ860" s="70"/>
      <c r="BK860" s="70"/>
      <c r="BL860" s="70"/>
      <c r="BM860" s="70"/>
      <c r="BN860" s="70"/>
      <c r="BO860" s="70"/>
      <c r="BP860" s="70"/>
      <c r="BQ860" s="70"/>
      <c r="BR860" s="70"/>
      <c r="BS860" s="70"/>
      <c r="BT860" s="70"/>
      <c r="BU860" s="70"/>
      <c r="BV860" s="70"/>
      <c r="BW860" s="70"/>
      <c r="BX860" s="70"/>
      <c r="BY860" s="70"/>
      <c r="BZ860" s="70"/>
      <c r="CA860" s="70"/>
      <c r="CB860" s="70"/>
      <c r="CC860" s="70"/>
      <c r="CD860" s="70"/>
      <c r="CE860" s="70"/>
      <c r="CF860" s="70"/>
      <c r="CG860" s="70"/>
      <c r="CH860" s="70"/>
      <c r="CI860" s="70"/>
      <c r="CJ860" s="70"/>
      <c r="CK860" s="70"/>
      <c r="CL860" s="70"/>
      <c r="CM860" s="70"/>
      <c r="CN860" s="70"/>
      <c r="CO860" s="70"/>
      <c r="CP860" s="70"/>
      <c r="CQ860" s="70"/>
      <c r="CR860" s="70"/>
      <c r="CS860" s="70"/>
      <c r="CT860" s="70"/>
      <c r="CU860" s="70"/>
      <c r="CV860" s="70"/>
      <c r="CW860" s="70"/>
      <c r="CX860" s="70"/>
      <c r="CY860" s="70"/>
      <c r="CZ860" s="70"/>
      <c r="DA860" s="70"/>
      <c r="DB860" s="70"/>
      <c r="DC860" s="70"/>
      <c r="DD860" s="70"/>
      <c r="DE860" s="70"/>
      <c r="DF860" s="70"/>
      <c r="DG860" s="70"/>
      <c r="DH860" s="70"/>
      <c r="DI860" s="70"/>
      <c r="DJ860" s="70"/>
      <c r="DK860" s="70"/>
      <c r="DL860" s="70"/>
      <c r="DM860" s="70"/>
      <c r="DN860" s="70"/>
      <c r="DO860" s="70"/>
      <c r="DP860" s="70"/>
      <c r="DQ860" s="70"/>
      <c r="DR860" s="70"/>
      <c r="DS860" s="70"/>
      <c r="DT860" s="70"/>
      <c r="DU860" s="70"/>
      <c r="DV860" s="70"/>
      <c r="DW860" s="70"/>
      <c r="DX860" s="70"/>
      <c r="DY860" s="70"/>
      <c r="DZ860" s="70"/>
      <c r="EA860" s="70"/>
      <c r="EB860" s="70"/>
      <c r="EC860" s="70"/>
      <c r="ED860" s="70"/>
      <c r="EE860" s="95" t="s">
        <v>450</v>
      </c>
      <c r="EF860" s="95"/>
      <c r="EG860" s="95"/>
      <c r="EH860" s="70"/>
      <c r="EI860" s="216"/>
      <c r="EJ860" s="70"/>
      <c r="EK860" s="70"/>
      <c r="EL860" s="70"/>
      <c r="EM860" s="70"/>
      <c r="EN860" s="70"/>
      <c r="EO860" s="70"/>
      <c r="EP860" s="70"/>
      <c r="EQ860" s="70"/>
      <c r="ER860" s="70"/>
      <c r="ES860" s="70"/>
      <c r="ET860" s="70"/>
      <c r="EU860" s="70"/>
      <c r="EV860" s="70"/>
      <c r="EW860" s="70"/>
      <c r="EX860" s="70"/>
      <c r="EY860" s="70"/>
      <c r="EZ860" s="70"/>
      <c r="FA860" s="70"/>
      <c r="FB860" s="70"/>
      <c r="FC860" s="70"/>
      <c r="FD860" s="70"/>
      <c r="FE860" s="70"/>
      <c r="FF860" s="70"/>
      <c r="FG860" s="70"/>
      <c r="FH860" s="70"/>
      <c r="FI860" s="70"/>
      <c r="FJ860" s="70"/>
      <c r="FK860" s="70"/>
      <c r="FL860" s="70"/>
      <c r="FM860" s="70"/>
      <c r="FN860" s="70"/>
      <c r="FO860" s="70"/>
      <c r="FP860" s="70"/>
      <c r="FQ860" s="70"/>
      <c r="FR860" s="70"/>
      <c r="FS860" s="70"/>
      <c r="FT860" s="70"/>
      <c r="FU860" s="70"/>
      <c r="FV860" s="70"/>
      <c r="FW860" s="70"/>
      <c r="FX860" s="70"/>
      <c r="FY860" s="70"/>
      <c r="FZ860" s="70"/>
      <c r="GA860" s="70"/>
      <c r="GB860" s="70"/>
      <c r="GC860" s="70"/>
      <c r="GD860" s="70"/>
      <c r="GE860" s="70"/>
      <c r="GF860" s="70"/>
      <c r="GG860" s="70"/>
      <c r="GH860" s="70"/>
      <c r="GI860" s="70"/>
      <c r="GJ860" s="70"/>
      <c r="GK860" s="70"/>
      <c r="GL860" s="70"/>
      <c r="GM860" s="70"/>
      <c r="GN860" s="70"/>
      <c r="GO860" s="70"/>
      <c r="GP860" s="70"/>
      <c r="GQ860" s="70"/>
      <c r="GR860" s="70"/>
      <c r="GS860" s="70"/>
      <c r="GT860" s="70"/>
      <c r="GU860" s="70"/>
      <c r="GV860" s="70"/>
      <c r="GW860" s="70"/>
      <c r="GX860" s="70"/>
      <c r="GY860" s="70"/>
      <c r="GZ860" s="70"/>
      <c r="HA860" s="70"/>
      <c r="HB860" s="70"/>
      <c r="HC860" s="70"/>
      <c r="HD860" s="70"/>
      <c r="HE860" s="70"/>
      <c r="HF860" s="70"/>
      <c r="HG860" s="70"/>
      <c r="HH860" s="70"/>
      <c r="HI860" s="70"/>
      <c r="HJ860" s="70"/>
      <c r="HK860" s="70"/>
      <c r="HL860" s="70"/>
      <c r="HM860" s="70"/>
      <c r="HN860" s="70"/>
      <c r="HO860" s="70"/>
      <c r="HP860" s="70"/>
      <c r="HQ860" s="70"/>
      <c r="HR860" s="70"/>
      <c r="HS860" s="70"/>
      <c r="HT860" s="70"/>
      <c r="HU860" s="70"/>
      <c r="HV860" s="70"/>
      <c r="HW860" s="70"/>
      <c r="HX860" s="70"/>
      <c r="HY860" s="70"/>
      <c r="HZ860" s="70"/>
      <c r="IA860" s="70"/>
      <c r="IB860" s="70"/>
      <c r="IC860" s="70"/>
      <c r="ID860" s="70"/>
      <c r="IE860" s="70"/>
      <c r="IF860" s="70"/>
      <c r="IG860" s="70"/>
      <c r="IH860" s="70"/>
      <c r="II860" s="70"/>
      <c r="IJ860" s="70"/>
      <c r="IK860" s="70"/>
      <c r="IL860" s="70"/>
      <c r="IM860" s="70"/>
      <c r="IN860" s="70"/>
      <c r="IO860" s="70"/>
      <c r="IP860" s="70"/>
      <c r="IQ860" s="70"/>
    </row>
    <row r="861" spans="18:251" ht="16.5" hidden="1" customHeight="1">
      <c r="R861" s="95" t="s">
        <v>450</v>
      </c>
      <c r="S861" s="95"/>
      <c r="T861" s="95"/>
      <c r="U861" s="70"/>
      <c r="V861" s="214"/>
      <c r="W861" s="70"/>
      <c r="X861" s="70"/>
      <c r="Y861" s="70"/>
      <c r="Z861" s="70"/>
      <c r="AA861" s="70"/>
      <c r="AB861" s="70"/>
      <c r="AC861" s="70"/>
      <c r="AD861" s="70"/>
      <c r="AE861" s="70"/>
      <c r="AF861" s="70"/>
      <c r="AG861" s="70"/>
      <c r="AH861" s="70"/>
      <c r="AI861" s="70"/>
      <c r="AJ861" s="70"/>
      <c r="AK861" s="70"/>
      <c r="AL861" s="70"/>
      <c r="AM861" s="70"/>
      <c r="AN861" s="70"/>
      <c r="AO861" s="70"/>
      <c r="AP861" s="70"/>
      <c r="AQ861" s="70"/>
      <c r="AR861" s="70"/>
      <c r="AS861" s="70"/>
      <c r="AT861" s="70"/>
      <c r="AU861" s="70"/>
      <c r="AV861" s="70"/>
      <c r="AW861" s="70"/>
      <c r="AX861" s="70"/>
      <c r="AY861" s="70"/>
      <c r="AZ861" s="70"/>
      <c r="BA861" s="70"/>
      <c r="BB861" s="70"/>
      <c r="BC861" s="70"/>
      <c r="BD861" s="70"/>
      <c r="BE861" s="70"/>
      <c r="BF861" s="70"/>
      <c r="BG861" s="70"/>
      <c r="BH861" s="70"/>
      <c r="BI861" s="70"/>
      <c r="BJ861" s="70"/>
      <c r="BK861" s="70"/>
      <c r="BL861" s="70"/>
      <c r="BM861" s="70"/>
      <c r="BN861" s="70"/>
      <c r="BO861" s="70"/>
      <c r="BP861" s="70"/>
      <c r="BQ861" s="70"/>
      <c r="BR861" s="70"/>
      <c r="BS861" s="70"/>
      <c r="BT861" s="70"/>
      <c r="BU861" s="70"/>
      <c r="BV861" s="70"/>
      <c r="BW861" s="70"/>
      <c r="BX861" s="70"/>
      <c r="BY861" s="70"/>
      <c r="BZ861" s="70"/>
      <c r="CA861" s="70"/>
      <c r="CB861" s="70"/>
      <c r="CC861" s="70"/>
      <c r="CD861" s="70"/>
      <c r="CE861" s="70"/>
      <c r="CF861" s="70"/>
      <c r="CG861" s="70"/>
      <c r="CH861" s="70"/>
      <c r="CI861" s="70"/>
      <c r="CJ861" s="70"/>
      <c r="CK861" s="70"/>
      <c r="CL861" s="70"/>
      <c r="CM861" s="70"/>
      <c r="CN861" s="70"/>
      <c r="CO861" s="70"/>
      <c r="CP861" s="70"/>
      <c r="CQ861" s="70"/>
      <c r="CR861" s="70"/>
      <c r="CS861" s="70"/>
      <c r="CT861" s="70"/>
      <c r="CU861" s="70"/>
      <c r="CV861" s="70"/>
      <c r="CW861" s="70"/>
      <c r="CX861" s="70"/>
      <c r="CY861" s="70"/>
      <c r="CZ861" s="70"/>
      <c r="DA861" s="70"/>
      <c r="DB861" s="70"/>
      <c r="DC861" s="70"/>
      <c r="DD861" s="70"/>
      <c r="DE861" s="70"/>
      <c r="DF861" s="70"/>
      <c r="DG861" s="70"/>
      <c r="DH861" s="70"/>
      <c r="DI861" s="70"/>
      <c r="DJ861" s="70"/>
      <c r="DK861" s="70"/>
      <c r="DL861" s="70"/>
      <c r="DM861" s="70"/>
      <c r="DN861" s="70"/>
      <c r="DO861" s="70"/>
      <c r="DP861" s="70"/>
      <c r="DQ861" s="70"/>
      <c r="DR861" s="70"/>
      <c r="DS861" s="70"/>
      <c r="DT861" s="70"/>
      <c r="DU861" s="70"/>
      <c r="DV861" s="70"/>
      <c r="DW861" s="70"/>
      <c r="DX861" s="70"/>
      <c r="DY861" s="70"/>
      <c r="DZ861" s="70"/>
      <c r="EA861" s="70"/>
      <c r="EB861" s="70"/>
      <c r="EC861" s="70"/>
      <c r="ED861" s="70"/>
      <c r="EE861" s="95" t="s">
        <v>450</v>
      </c>
      <c r="EF861" s="95"/>
      <c r="EG861" s="95"/>
      <c r="EH861" s="70"/>
      <c r="EI861" s="216"/>
      <c r="EJ861" s="70"/>
      <c r="EK861" s="70"/>
      <c r="EL861" s="70"/>
      <c r="EM861" s="70"/>
      <c r="EN861" s="70"/>
      <c r="EO861" s="70"/>
      <c r="EP861" s="70"/>
      <c r="EQ861" s="70"/>
      <c r="ER861" s="70"/>
      <c r="ES861" s="70"/>
      <c r="ET861" s="70"/>
      <c r="EU861" s="70"/>
      <c r="EV861" s="70"/>
      <c r="EW861" s="70"/>
      <c r="EX861" s="70"/>
      <c r="EY861" s="70"/>
      <c r="EZ861" s="70"/>
      <c r="FA861" s="70"/>
      <c r="FB861" s="70"/>
      <c r="FC861" s="70"/>
      <c r="FD861" s="70"/>
      <c r="FE861" s="70"/>
      <c r="FF861" s="70"/>
      <c r="FG861" s="70"/>
      <c r="FH861" s="70"/>
      <c r="FI861" s="70"/>
      <c r="FJ861" s="70"/>
      <c r="FK861" s="70"/>
      <c r="FL861" s="70"/>
      <c r="FM861" s="70"/>
      <c r="FN861" s="70"/>
      <c r="FO861" s="70"/>
      <c r="FP861" s="70"/>
      <c r="FQ861" s="70"/>
      <c r="FR861" s="70"/>
      <c r="FS861" s="70"/>
      <c r="FT861" s="70"/>
      <c r="FU861" s="70"/>
      <c r="FV861" s="70"/>
      <c r="FW861" s="70"/>
      <c r="FX861" s="70"/>
      <c r="FY861" s="70"/>
      <c r="FZ861" s="70"/>
      <c r="GA861" s="70"/>
      <c r="GB861" s="70"/>
      <c r="GC861" s="70"/>
      <c r="GD861" s="70"/>
      <c r="GE861" s="70"/>
      <c r="GF861" s="70"/>
      <c r="GG861" s="70"/>
      <c r="GH861" s="70"/>
      <c r="GI861" s="70"/>
      <c r="GJ861" s="70"/>
      <c r="GK861" s="70"/>
      <c r="GL861" s="70"/>
      <c r="GM861" s="70"/>
      <c r="GN861" s="70"/>
      <c r="GO861" s="70"/>
      <c r="GP861" s="70"/>
      <c r="GQ861" s="70"/>
      <c r="GR861" s="70"/>
      <c r="GS861" s="70"/>
      <c r="GT861" s="70"/>
      <c r="GU861" s="70"/>
      <c r="GV861" s="70"/>
      <c r="GW861" s="70"/>
      <c r="GX861" s="70"/>
      <c r="GY861" s="70"/>
      <c r="GZ861" s="70"/>
      <c r="HA861" s="70"/>
      <c r="HB861" s="70"/>
      <c r="HC861" s="70"/>
      <c r="HD861" s="70"/>
      <c r="HE861" s="70"/>
      <c r="HF861" s="70"/>
      <c r="HG861" s="70"/>
      <c r="HH861" s="70"/>
      <c r="HI861" s="70"/>
      <c r="HJ861" s="70"/>
      <c r="HK861" s="70"/>
      <c r="HL861" s="70"/>
      <c r="HM861" s="70"/>
      <c r="HN861" s="70"/>
      <c r="HO861" s="70"/>
      <c r="HP861" s="70"/>
      <c r="HQ861" s="70"/>
      <c r="HR861" s="70"/>
      <c r="HS861" s="70"/>
      <c r="HT861" s="70"/>
      <c r="HU861" s="70"/>
      <c r="HV861" s="70"/>
      <c r="HW861" s="70"/>
      <c r="HX861" s="70"/>
      <c r="HY861" s="70"/>
      <c r="HZ861" s="70"/>
      <c r="IA861" s="70"/>
      <c r="IB861" s="70"/>
      <c r="IC861" s="70"/>
      <c r="ID861" s="70"/>
      <c r="IE861" s="70"/>
      <c r="IF861" s="70"/>
      <c r="IG861" s="70"/>
      <c r="IH861" s="70"/>
      <c r="II861" s="70"/>
      <c r="IJ861" s="70"/>
      <c r="IK861" s="70"/>
      <c r="IL861" s="70"/>
      <c r="IM861" s="70"/>
      <c r="IN861" s="70"/>
      <c r="IO861" s="70"/>
      <c r="IP861" s="70"/>
      <c r="IQ861" s="70"/>
    </row>
    <row r="862" spans="18:251" ht="16.5" hidden="1" customHeight="1">
      <c r="R862" s="95" t="s">
        <v>450</v>
      </c>
      <c r="S862" s="95"/>
      <c r="T862" s="95"/>
      <c r="U862" s="70"/>
      <c r="V862" s="214"/>
      <c r="W862" s="70"/>
      <c r="X862" s="70"/>
      <c r="Y862" s="70"/>
      <c r="Z862" s="70"/>
      <c r="AA862" s="70"/>
      <c r="AB862" s="70"/>
      <c r="AC862" s="70"/>
      <c r="AD862" s="70"/>
      <c r="AE862" s="70"/>
      <c r="AF862" s="70"/>
      <c r="AG862" s="70"/>
      <c r="AH862" s="70"/>
      <c r="AI862" s="70"/>
      <c r="AJ862" s="70"/>
      <c r="AK862" s="70"/>
      <c r="AL862" s="70"/>
      <c r="AM862" s="70"/>
      <c r="AN862" s="70"/>
      <c r="AO862" s="70"/>
      <c r="AP862" s="70"/>
      <c r="AQ862" s="70"/>
      <c r="AR862" s="70"/>
      <c r="AS862" s="70"/>
      <c r="AT862" s="70"/>
      <c r="AU862" s="70"/>
      <c r="AV862" s="70"/>
      <c r="AW862" s="70"/>
      <c r="AX862" s="70"/>
      <c r="AY862" s="70"/>
      <c r="AZ862" s="70"/>
      <c r="BA862" s="70"/>
      <c r="BB862" s="70"/>
      <c r="BC862" s="70"/>
      <c r="BD862" s="70"/>
      <c r="BE862" s="70"/>
      <c r="BF862" s="70"/>
      <c r="BG862" s="70"/>
      <c r="BH862" s="70"/>
      <c r="BI862" s="70"/>
      <c r="BJ862" s="70"/>
      <c r="BK862" s="70"/>
      <c r="BL862" s="70"/>
      <c r="BM862" s="70"/>
      <c r="BN862" s="70"/>
      <c r="BO862" s="70"/>
      <c r="BP862" s="70"/>
      <c r="BQ862" s="70"/>
      <c r="BR862" s="70"/>
      <c r="BS862" s="70"/>
      <c r="BT862" s="70"/>
      <c r="BU862" s="70"/>
      <c r="BV862" s="70"/>
      <c r="BW862" s="70"/>
      <c r="BX862" s="70"/>
      <c r="BY862" s="70"/>
      <c r="BZ862" s="70"/>
      <c r="CA862" s="70"/>
      <c r="CB862" s="70"/>
      <c r="CC862" s="70"/>
      <c r="CD862" s="70"/>
      <c r="CE862" s="70"/>
      <c r="CF862" s="70"/>
      <c r="CG862" s="70"/>
      <c r="CH862" s="70"/>
      <c r="CI862" s="70"/>
      <c r="CJ862" s="70"/>
      <c r="CK862" s="70"/>
      <c r="CL862" s="70"/>
      <c r="CM862" s="70"/>
      <c r="CN862" s="70"/>
      <c r="CO862" s="70"/>
      <c r="CP862" s="70"/>
      <c r="CQ862" s="70"/>
      <c r="CR862" s="70"/>
      <c r="CS862" s="70"/>
      <c r="CT862" s="70"/>
      <c r="CU862" s="70"/>
      <c r="CV862" s="70"/>
      <c r="CW862" s="70"/>
      <c r="CX862" s="70"/>
      <c r="CY862" s="70"/>
      <c r="CZ862" s="70"/>
      <c r="DA862" s="70"/>
      <c r="DB862" s="70"/>
      <c r="DC862" s="70"/>
      <c r="DD862" s="70"/>
      <c r="DE862" s="70"/>
      <c r="DF862" s="70"/>
      <c r="DG862" s="70"/>
      <c r="DH862" s="70"/>
      <c r="DI862" s="70"/>
      <c r="DJ862" s="70"/>
      <c r="DK862" s="70"/>
      <c r="DL862" s="70"/>
      <c r="DM862" s="70"/>
      <c r="DN862" s="70"/>
      <c r="DO862" s="70"/>
      <c r="DP862" s="70"/>
      <c r="DQ862" s="70"/>
      <c r="DR862" s="70"/>
      <c r="DS862" s="70"/>
      <c r="DT862" s="70"/>
      <c r="DU862" s="70"/>
      <c r="DV862" s="70"/>
      <c r="DW862" s="70"/>
      <c r="DX862" s="70"/>
      <c r="DY862" s="70"/>
      <c r="DZ862" s="70"/>
      <c r="EA862" s="70"/>
      <c r="EB862" s="70"/>
      <c r="EC862" s="70"/>
      <c r="ED862" s="70"/>
      <c r="EE862" s="95" t="s">
        <v>450</v>
      </c>
      <c r="EF862" s="95"/>
      <c r="EG862" s="95"/>
      <c r="EH862" s="70"/>
      <c r="EI862" s="216"/>
      <c r="EJ862" s="70"/>
      <c r="EK862" s="70"/>
      <c r="EL862" s="70"/>
      <c r="EM862" s="70"/>
      <c r="EN862" s="70"/>
      <c r="EO862" s="70"/>
      <c r="EP862" s="70"/>
      <c r="EQ862" s="70"/>
      <c r="ER862" s="70"/>
      <c r="ES862" s="70"/>
      <c r="ET862" s="70"/>
      <c r="EU862" s="70"/>
      <c r="EV862" s="70"/>
      <c r="EW862" s="70"/>
      <c r="EX862" s="70"/>
      <c r="EY862" s="70"/>
      <c r="EZ862" s="70"/>
      <c r="FA862" s="70"/>
      <c r="FB862" s="70"/>
      <c r="FC862" s="70"/>
      <c r="FD862" s="70"/>
      <c r="FE862" s="70"/>
      <c r="FF862" s="70"/>
      <c r="FG862" s="70"/>
      <c r="FH862" s="70"/>
      <c r="FI862" s="70"/>
      <c r="FJ862" s="70"/>
      <c r="FK862" s="70"/>
      <c r="FL862" s="70"/>
      <c r="FM862" s="70"/>
      <c r="FN862" s="70"/>
      <c r="FO862" s="70"/>
      <c r="FP862" s="70"/>
      <c r="FQ862" s="70"/>
      <c r="FR862" s="70"/>
      <c r="FS862" s="70"/>
      <c r="FT862" s="70"/>
      <c r="FU862" s="70"/>
      <c r="FV862" s="70"/>
      <c r="FW862" s="70"/>
      <c r="FX862" s="70"/>
      <c r="FY862" s="70"/>
      <c r="FZ862" s="70"/>
      <c r="GA862" s="70"/>
      <c r="GB862" s="70"/>
      <c r="GC862" s="70"/>
      <c r="GD862" s="70"/>
      <c r="GE862" s="70"/>
      <c r="GF862" s="70"/>
      <c r="GG862" s="70"/>
      <c r="GH862" s="70"/>
      <c r="GI862" s="70"/>
      <c r="GJ862" s="70"/>
      <c r="GK862" s="70"/>
      <c r="GL862" s="70"/>
      <c r="GM862" s="70"/>
      <c r="GN862" s="70"/>
      <c r="GO862" s="70"/>
      <c r="GP862" s="70"/>
      <c r="GQ862" s="70"/>
      <c r="GR862" s="70"/>
      <c r="GS862" s="70"/>
      <c r="GT862" s="70"/>
      <c r="GU862" s="70"/>
      <c r="GV862" s="70"/>
      <c r="GW862" s="70"/>
      <c r="GX862" s="70"/>
      <c r="GY862" s="70"/>
      <c r="GZ862" s="70"/>
      <c r="HA862" s="70"/>
      <c r="HB862" s="70"/>
      <c r="HC862" s="70"/>
      <c r="HD862" s="70"/>
      <c r="HE862" s="70"/>
      <c r="HF862" s="70"/>
      <c r="HG862" s="70"/>
      <c r="HH862" s="70"/>
      <c r="HI862" s="70"/>
      <c r="HJ862" s="70"/>
      <c r="HK862" s="70"/>
      <c r="HL862" s="70"/>
      <c r="HM862" s="70"/>
      <c r="HN862" s="70"/>
      <c r="HO862" s="70"/>
      <c r="HP862" s="70"/>
      <c r="HQ862" s="70"/>
      <c r="HR862" s="70"/>
      <c r="HS862" s="70"/>
      <c r="HT862" s="70"/>
      <c r="HU862" s="70"/>
      <c r="HV862" s="70"/>
      <c r="HW862" s="70"/>
      <c r="HX862" s="70"/>
      <c r="HY862" s="70"/>
      <c r="HZ862" s="70"/>
      <c r="IA862" s="70"/>
      <c r="IB862" s="70"/>
      <c r="IC862" s="70"/>
      <c r="ID862" s="70"/>
      <c r="IE862" s="70"/>
      <c r="IF862" s="70"/>
      <c r="IG862" s="70"/>
      <c r="IH862" s="70"/>
      <c r="II862" s="70"/>
      <c r="IJ862" s="70"/>
      <c r="IK862" s="70"/>
      <c r="IL862" s="70"/>
      <c r="IM862" s="70"/>
      <c r="IN862" s="70"/>
      <c r="IO862" s="70"/>
      <c r="IP862" s="70"/>
      <c r="IQ862" s="70"/>
    </row>
    <row r="863" spans="18:251" ht="16.5" hidden="1" customHeight="1">
      <c r="R863" s="95" t="s">
        <v>450</v>
      </c>
      <c r="S863" s="95"/>
      <c r="T863" s="95"/>
      <c r="U863" s="70"/>
      <c r="V863" s="214"/>
      <c r="W863" s="70"/>
      <c r="X863" s="70"/>
      <c r="Y863" s="70"/>
      <c r="Z863" s="70"/>
      <c r="AA863" s="70"/>
      <c r="AB863" s="70"/>
      <c r="AC863" s="70"/>
      <c r="AD863" s="70"/>
      <c r="AE863" s="70"/>
      <c r="AF863" s="70"/>
      <c r="AG863" s="70"/>
      <c r="AH863" s="70"/>
      <c r="AI863" s="70"/>
      <c r="AJ863" s="70"/>
      <c r="AK863" s="70"/>
      <c r="AL863" s="70"/>
      <c r="AM863" s="70"/>
      <c r="AN863" s="70"/>
      <c r="AO863" s="70"/>
      <c r="AP863" s="70"/>
      <c r="AQ863" s="70"/>
      <c r="AR863" s="70"/>
      <c r="AS863" s="70"/>
      <c r="AT863" s="70"/>
      <c r="AU863" s="70"/>
      <c r="AV863" s="70"/>
      <c r="AW863" s="70"/>
      <c r="AX863" s="70"/>
      <c r="AY863" s="70"/>
      <c r="AZ863" s="70"/>
      <c r="BA863" s="70"/>
      <c r="BB863" s="70"/>
      <c r="BC863" s="70"/>
      <c r="BD863" s="70"/>
      <c r="BE863" s="70"/>
      <c r="BF863" s="70"/>
      <c r="BG863" s="70"/>
      <c r="BH863" s="70"/>
      <c r="BI863" s="70"/>
      <c r="BJ863" s="70"/>
      <c r="BK863" s="70"/>
      <c r="BL863" s="70"/>
      <c r="BM863" s="70"/>
      <c r="BN863" s="70"/>
      <c r="BO863" s="70"/>
      <c r="BP863" s="70"/>
      <c r="BQ863" s="70"/>
      <c r="BR863" s="70"/>
      <c r="BS863" s="70"/>
      <c r="BT863" s="70"/>
      <c r="BU863" s="70"/>
      <c r="BV863" s="70"/>
      <c r="BW863" s="70"/>
      <c r="BX863" s="70"/>
      <c r="BY863" s="70"/>
      <c r="BZ863" s="70"/>
      <c r="CA863" s="70"/>
      <c r="CB863" s="70"/>
      <c r="CC863" s="70"/>
      <c r="CD863" s="70"/>
      <c r="CE863" s="70"/>
      <c r="CF863" s="70"/>
      <c r="CG863" s="70"/>
      <c r="CH863" s="70"/>
      <c r="CI863" s="70"/>
      <c r="CJ863" s="70"/>
      <c r="CK863" s="70"/>
      <c r="CL863" s="70"/>
      <c r="CM863" s="70"/>
      <c r="CN863" s="70"/>
      <c r="CO863" s="70"/>
      <c r="CP863" s="70"/>
      <c r="CQ863" s="70"/>
      <c r="CR863" s="70"/>
      <c r="CS863" s="70"/>
      <c r="CT863" s="70"/>
      <c r="CU863" s="70"/>
      <c r="CV863" s="70"/>
      <c r="CW863" s="70"/>
      <c r="CX863" s="70"/>
      <c r="CY863" s="70"/>
      <c r="CZ863" s="70"/>
      <c r="DA863" s="70"/>
      <c r="DB863" s="70"/>
      <c r="DC863" s="70"/>
      <c r="DD863" s="70"/>
      <c r="DE863" s="70"/>
      <c r="DF863" s="70"/>
      <c r="DG863" s="70"/>
      <c r="DH863" s="70"/>
      <c r="DI863" s="70"/>
      <c r="DJ863" s="70"/>
      <c r="DK863" s="70"/>
      <c r="DL863" s="70"/>
      <c r="DM863" s="70"/>
      <c r="DN863" s="70"/>
      <c r="DO863" s="70"/>
      <c r="DP863" s="70"/>
      <c r="DQ863" s="70"/>
      <c r="DR863" s="70"/>
      <c r="DS863" s="70"/>
      <c r="DT863" s="70"/>
      <c r="DU863" s="70"/>
      <c r="DV863" s="70"/>
      <c r="DW863" s="70"/>
      <c r="DX863" s="70"/>
      <c r="DY863" s="70"/>
      <c r="DZ863" s="70"/>
      <c r="EA863" s="70"/>
      <c r="EB863" s="70"/>
      <c r="EC863" s="70"/>
      <c r="ED863" s="70"/>
      <c r="EE863" s="95" t="s">
        <v>450</v>
      </c>
      <c r="EF863" s="95"/>
      <c r="EG863" s="95"/>
      <c r="EH863" s="70"/>
      <c r="EI863" s="216"/>
      <c r="EJ863" s="70"/>
      <c r="EK863" s="70"/>
      <c r="EL863" s="70"/>
      <c r="EM863" s="70"/>
      <c r="EN863" s="70"/>
      <c r="EO863" s="70"/>
      <c r="EP863" s="70"/>
      <c r="EQ863" s="70"/>
      <c r="ER863" s="70"/>
      <c r="ES863" s="70"/>
      <c r="ET863" s="70"/>
      <c r="EU863" s="70"/>
      <c r="EV863" s="70"/>
      <c r="EW863" s="70"/>
      <c r="EX863" s="70"/>
      <c r="EY863" s="70"/>
      <c r="EZ863" s="70"/>
      <c r="FA863" s="70"/>
      <c r="FB863" s="70"/>
      <c r="FC863" s="70"/>
      <c r="FD863" s="70"/>
      <c r="FE863" s="70"/>
      <c r="FF863" s="70"/>
      <c r="FG863" s="70"/>
      <c r="FH863" s="70"/>
      <c r="FI863" s="70"/>
      <c r="FJ863" s="70"/>
      <c r="FK863" s="70"/>
      <c r="FL863" s="70"/>
      <c r="FM863" s="70"/>
      <c r="FN863" s="70"/>
      <c r="FO863" s="70"/>
      <c r="FP863" s="70"/>
      <c r="FQ863" s="70"/>
      <c r="FR863" s="70"/>
      <c r="FS863" s="70"/>
      <c r="FT863" s="70"/>
      <c r="FU863" s="70"/>
      <c r="FV863" s="70"/>
      <c r="FW863" s="70"/>
      <c r="FX863" s="70"/>
      <c r="FY863" s="70"/>
      <c r="FZ863" s="70"/>
      <c r="GA863" s="70"/>
      <c r="GB863" s="70"/>
      <c r="GC863" s="70"/>
      <c r="GD863" s="70"/>
      <c r="GE863" s="70"/>
      <c r="GF863" s="70"/>
      <c r="GG863" s="70"/>
      <c r="GH863" s="70"/>
      <c r="GI863" s="70"/>
      <c r="GJ863" s="70"/>
      <c r="GK863" s="70"/>
      <c r="GL863" s="70"/>
      <c r="GM863" s="70"/>
      <c r="GN863" s="70"/>
      <c r="GO863" s="70"/>
      <c r="GP863" s="70"/>
      <c r="GQ863" s="70"/>
      <c r="GR863" s="70"/>
      <c r="GS863" s="70"/>
      <c r="GT863" s="70"/>
      <c r="GU863" s="70"/>
      <c r="GV863" s="70"/>
      <c r="GW863" s="70"/>
      <c r="GX863" s="70"/>
      <c r="GY863" s="70"/>
      <c r="GZ863" s="70"/>
      <c r="HA863" s="70"/>
      <c r="HB863" s="70"/>
      <c r="HC863" s="70"/>
      <c r="HD863" s="70"/>
      <c r="HE863" s="70"/>
      <c r="HF863" s="70"/>
      <c r="HG863" s="70"/>
      <c r="HH863" s="70"/>
      <c r="HI863" s="70"/>
      <c r="HJ863" s="70"/>
      <c r="HK863" s="70"/>
      <c r="HL863" s="70"/>
      <c r="HM863" s="70"/>
      <c r="HN863" s="70"/>
      <c r="HO863" s="70"/>
      <c r="HP863" s="70"/>
      <c r="HQ863" s="70"/>
      <c r="HR863" s="70"/>
      <c r="HS863" s="70"/>
      <c r="HT863" s="70"/>
      <c r="HU863" s="70"/>
      <c r="HV863" s="70"/>
      <c r="HW863" s="70"/>
      <c r="HX863" s="70"/>
      <c r="HY863" s="70"/>
      <c r="HZ863" s="70"/>
      <c r="IA863" s="70"/>
      <c r="IB863" s="70"/>
      <c r="IC863" s="70"/>
      <c r="ID863" s="70"/>
      <c r="IE863" s="70"/>
      <c r="IF863" s="70"/>
      <c r="IG863" s="70"/>
      <c r="IH863" s="70"/>
      <c r="II863" s="70"/>
      <c r="IJ863" s="70"/>
      <c r="IK863" s="70"/>
      <c r="IL863" s="70"/>
      <c r="IM863" s="70"/>
      <c r="IN863" s="70"/>
      <c r="IO863" s="70"/>
      <c r="IP863" s="70"/>
      <c r="IQ863" s="70"/>
    </row>
    <row r="864" spans="18:251" ht="16.5" hidden="1" customHeight="1">
      <c r="R864" s="95" t="s">
        <v>450</v>
      </c>
      <c r="S864" s="95"/>
      <c r="T864" s="95"/>
      <c r="U864" s="70"/>
      <c r="V864" s="214"/>
      <c r="W864" s="70"/>
      <c r="X864" s="70"/>
      <c r="Y864" s="70"/>
      <c r="Z864" s="70"/>
      <c r="AA864" s="70"/>
      <c r="AB864" s="70"/>
      <c r="AC864" s="70"/>
      <c r="AD864" s="70"/>
      <c r="AE864" s="70"/>
      <c r="AF864" s="70"/>
      <c r="AG864" s="70"/>
      <c r="AH864" s="70"/>
      <c r="AI864" s="70"/>
      <c r="AJ864" s="70"/>
      <c r="AK864" s="70"/>
      <c r="AL864" s="70"/>
      <c r="AM864" s="70"/>
      <c r="AN864" s="70"/>
      <c r="AO864" s="70"/>
      <c r="AP864" s="70"/>
      <c r="AQ864" s="70"/>
      <c r="AR864" s="70"/>
      <c r="AS864" s="70"/>
      <c r="AT864" s="70"/>
      <c r="AU864" s="70"/>
      <c r="AV864" s="70"/>
      <c r="AW864" s="70"/>
      <c r="AX864" s="70"/>
      <c r="AY864" s="70"/>
      <c r="AZ864" s="70"/>
      <c r="BA864" s="70"/>
      <c r="BB864" s="70"/>
      <c r="BC864" s="70"/>
      <c r="BD864" s="70"/>
      <c r="BE864" s="70"/>
      <c r="BF864" s="70"/>
      <c r="BG864" s="70"/>
      <c r="BH864" s="70"/>
      <c r="BI864" s="70"/>
      <c r="BJ864" s="70"/>
      <c r="BK864" s="70"/>
      <c r="BL864" s="70"/>
      <c r="BM864" s="70"/>
      <c r="BN864" s="70"/>
      <c r="BO864" s="70"/>
      <c r="BP864" s="70"/>
      <c r="BQ864" s="70"/>
      <c r="BR864" s="70"/>
      <c r="BS864" s="70"/>
      <c r="BT864" s="70"/>
      <c r="BU864" s="70"/>
      <c r="BV864" s="70"/>
      <c r="BW864" s="70"/>
      <c r="BX864" s="70"/>
      <c r="BY864" s="70"/>
      <c r="BZ864" s="70"/>
      <c r="CA864" s="70"/>
      <c r="CB864" s="70"/>
      <c r="CC864" s="70"/>
      <c r="CD864" s="70"/>
      <c r="CE864" s="70"/>
      <c r="CF864" s="70"/>
      <c r="CG864" s="70"/>
      <c r="CH864" s="70"/>
      <c r="CI864" s="70"/>
      <c r="CJ864" s="70"/>
      <c r="CK864" s="70"/>
      <c r="CL864" s="70"/>
      <c r="CM864" s="70"/>
      <c r="CN864" s="70"/>
      <c r="CO864" s="70"/>
      <c r="CP864" s="70"/>
      <c r="CQ864" s="70"/>
      <c r="CR864" s="70"/>
      <c r="CS864" s="70"/>
      <c r="CT864" s="70"/>
      <c r="CU864" s="70"/>
      <c r="CV864" s="70"/>
      <c r="CW864" s="70"/>
      <c r="CX864" s="70"/>
      <c r="CY864" s="70"/>
      <c r="CZ864" s="70"/>
      <c r="DA864" s="70"/>
      <c r="DB864" s="70"/>
      <c r="DC864" s="70"/>
      <c r="DD864" s="70"/>
      <c r="DE864" s="70"/>
      <c r="DF864" s="70"/>
      <c r="DG864" s="70"/>
      <c r="DH864" s="70"/>
      <c r="DI864" s="70"/>
      <c r="DJ864" s="70"/>
      <c r="DK864" s="70"/>
      <c r="DL864" s="70"/>
      <c r="DM864" s="70"/>
      <c r="DN864" s="70"/>
      <c r="DO864" s="70"/>
      <c r="DP864" s="70"/>
      <c r="DQ864" s="70"/>
      <c r="DR864" s="70"/>
      <c r="DS864" s="70"/>
      <c r="DT864" s="70"/>
      <c r="DU864" s="70"/>
      <c r="DV864" s="70"/>
      <c r="DW864" s="70"/>
      <c r="DX864" s="70"/>
      <c r="DY864" s="70"/>
      <c r="DZ864" s="70"/>
      <c r="EA864" s="70"/>
      <c r="EB864" s="70"/>
      <c r="EC864" s="70"/>
      <c r="ED864" s="70"/>
      <c r="EE864" s="95" t="s">
        <v>450</v>
      </c>
      <c r="EF864" s="95"/>
      <c r="EG864" s="95"/>
      <c r="EH864" s="70"/>
      <c r="EI864" s="216"/>
      <c r="EJ864" s="70"/>
      <c r="EK864" s="70"/>
      <c r="EL864" s="70"/>
      <c r="EM864" s="70"/>
      <c r="EN864" s="70"/>
      <c r="EO864" s="70"/>
      <c r="EP864" s="70"/>
      <c r="EQ864" s="70"/>
      <c r="ER864" s="70"/>
      <c r="ES864" s="70"/>
      <c r="ET864" s="70"/>
      <c r="EU864" s="70"/>
      <c r="EV864" s="70"/>
      <c r="EW864" s="70"/>
      <c r="EX864" s="70"/>
      <c r="EY864" s="70"/>
      <c r="EZ864" s="70"/>
      <c r="FA864" s="70"/>
      <c r="FB864" s="70"/>
      <c r="FC864" s="70"/>
      <c r="FD864" s="70"/>
      <c r="FE864" s="70"/>
      <c r="FF864" s="70"/>
      <c r="FG864" s="70"/>
      <c r="FH864" s="70"/>
      <c r="FI864" s="70"/>
      <c r="FJ864" s="70"/>
      <c r="FK864" s="70"/>
      <c r="FL864" s="70"/>
      <c r="FM864" s="70"/>
      <c r="FN864" s="70"/>
      <c r="FO864" s="70"/>
      <c r="FP864" s="70"/>
      <c r="FQ864" s="70"/>
      <c r="FR864" s="70"/>
      <c r="FS864" s="70"/>
      <c r="FT864" s="70"/>
      <c r="FU864" s="70"/>
      <c r="FV864" s="70"/>
      <c r="FW864" s="70"/>
      <c r="FX864" s="70"/>
      <c r="FY864" s="70"/>
      <c r="FZ864" s="70"/>
      <c r="GA864" s="70"/>
      <c r="GB864" s="70"/>
      <c r="GC864" s="70"/>
      <c r="GD864" s="70"/>
      <c r="GE864" s="70"/>
      <c r="GF864" s="70"/>
      <c r="GG864" s="70"/>
      <c r="GH864" s="70"/>
      <c r="GI864" s="70"/>
      <c r="GJ864" s="70"/>
      <c r="GK864" s="70"/>
      <c r="GL864" s="70"/>
      <c r="GM864" s="70"/>
      <c r="GN864" s="70"/>
      <c r="GO864" s="70"/>
      <c r="GP864" s="70"/>
      <c r="GQ864" s="70"/>
      <c r="GR864" s="70"/>
      <c r="GS864" s="70"/>
      <c r="GT864" s="70"/>
      <c r="GU864" s="70"/>
      <c r="GV864" s="70"/>
      <c r="GW864" s="70"/>
      <c r="GX864" s="70"/>
      <c r="GY864" s="70"/>
      <c r="GZ864" s="70"/>
      <c r="HA864" s="70"/>
      <c r="HB864" s="70"/>
      <c r="HC864" s="70"/>
      <c r="HD864" s="70"/>
      <c r="HE864" s="70"/>
      <c r="HF864" s="70"/>
      <c r="HG864" s="70"/>
      <c r="HH864" s="70"/>
      <c r="HI864" s="70"/>
      <c r="HJ864" s="70"/>
      <c r="HK864" s="70"/>
      <c r="HL864" s="70"/>
      <c r="HM864" s="70"/>
      <c r="HN864" s="70"/>
      <c r="HO864" s="70"/>
      <c r="HP864" s="70"/>
      <c r="HQ864" s="70"/>
      <c r="HR864" s="70"/>
      <c r="HS864" s="70"/>
      <c r="HT864" s="70"/>
      <c r="HU864" s="70"/>
      <c r="HV864" s="70"/>
      <c r="HW864" s="70"/>
      <c r="HX864" s="70"/>
      <c r="HY864" s="70"/>
      <c r="HZ864" s="70"/>
      <c r="IA864" s="70"/>
      <c r="IB864" s="70"/>
      <c r="IC864" s="70"/>
      <c r="ID864" s="70"/>
      <c r="IE864" s="70"/>
      <c r="IF864" s="70"/>
      <c r="IG864" s="70"/>
      <c r="IH864" s="70"/>
      <c r="II864" s="70"/>
      <c r="IJ864" s="70"/>
      <c r="IK864" s="70"/>
      <c r="IL864" s="70"/>
      <c r="IM864" s="70"/>
      <c r="IN864" s="70"/>
      <c r="IO864" s="70"/>
      <c r="IP864" s="70"/>
      <c r="IQ864" s="70"/>
    </row>
    <row r="865" spans="18:251" ht="16.5" hidden="1" customHeight="1">
      <c r="R865" s="95" t="s">
        <v>450</v>
      </c>
      <c r="S865" s="95"/>
      <c r="T865" s="95"/>
      <c r="U865" s="70"/>
      <c r="V865" s="214"/>
      <c r="W865" s="70"/>
      <c r="X865" s="70"/>
      <c r="Y865" s="70"/>
      <c r="Z865" s="70"/>
      <c r="AA865" s="70"/>
      <c r="AB865" s="70"/>
      <c r="AC865" s="70"/>
      <c r="AD865" s="70"/>
      <c r="AE865" s="70"/>
      <c r="AF865" s="70"/>
      <c r="AG865" s="70"/>
      <c r="AH865" s="70"/>
      <c r="AI865" s="70"/>
      <c r="AJ865" s="70"/>
      <c r="AK865" s="70"/>
      <c r="AL865" s="70"/>
      <c r="AM865" s="70"/>
      <c r="AN865" s="70"/>
      <c r="AO865" s="70"/>
      <c r="AP865" s="70"/>
      <c r="AQ865" s="70"/>
      <c r="AR865" s="70"/>
      <c r="AS865" s="70"/>
      <c r="AT865" s="70"/>
      <c r="AU865" s="70"/>
      <c r="AV865" s="70"/>
      <c r="AW865" s="70"/>
      <c r="AX865" s="70"/>
      <c r="AY865" s="70"/>
      <c r="AZ865" s="70"/>
      <c r="BA865" s="70"/>
      <c r="BB865" s="70"/>
      <c r="BC865" s="70"/>
      <c r="BD865" s="70"/>
      <c r="BE865" s="70"/>
      <c r="BF865" s="70"/>
      <c r="BG865" s="70"/>
      <c r="BH865" s="70"/>
      <c r="BI865" s="70"/>
      <c r="BJ865" s="70"/>
      <c r="BK865" s="70"/>
      <c r="BL865" s="70"/>
      <c r="BM865" s="70"/>
      <c r="BN865" s="70"/>
      <c r="BO865" s="70"/>
      <c r="BP865" s="70"/>
      <c r="BQ865" s="70"/>
      <c r="BR865" s="70"/>
      <c r="BS865" s="70"/>
      <c r="BT865" s="70"/>
      <c r="BU865" s="70"/>
      <c r="BV865" s="70"/>
      <c r="BW865" s="70"/>
      <c r="BX865" s="70"/>
      <c r="BY865" s="70"/>
      <c r="BZ865" s="70"/>
      <c r="CA865" s="70"/>
      <c r="CB865" s="70"/>
      <c r="CC865" s="70"/>
      <c r="CD865" s="70"/>
      <c r="CE865" s="70"/>
      <c r="CF865" s="70"/>
      <c r="CG865" s="70"/>
      <c r="CH865" s="70"/>
      <c r="CI865" s="70"/>
      <c r="CJ865" s="70"/>
      <c r="CK865" s="70"/>
      <c r="CL865" s="70"/>
      <c r="CM865" s="70"/>
      <c r="CN865" s="70"/>
      <c r="CO865" s="70"/>
      <c r="CP865" s="70"/>
      <c r="CQ865" s="70"/>
      <c r="CR865" s="70"/>
      <c r="CS865" s="70"/>
      <c r="CT865" s="70"/>
      <c r="CU865" s="70"/>
      <c r="CV865" s="70"/>
      <c r="CW865" s="70"/>
      <c r="CX865" s="70"/>
      <c r="CY865" s="70"/>
      <c r="CZ865" s="70"/>
      <c r="DA865" s="70"/>
      <c r="DB865" s="70"/>
      <c r="DC865" s="70"/>
      <c r="DD865" s="70"/>
      <c r="DE865" s="70"/>
      <c r="DF865" s="70"/>
      <c r="DG865" s="70"/>
      <c r="DH865" s="70"/>
      <c r="DI865" s="70"/>
      <c r="DJ865" s="70"/>
      <c r="DK865" s="70"/>
      <c r="DL865" s="70"/>
      <c r="DM865" s="70"/>
      <c r="DN865" s="70"/>
      <c r="DO865" s="70"/>
      <c r="DP865" s="70"/>
      <c r="DQ865" s="70"/>
      <c r="DR865" s="70"/>
      <c r="DS865" s="70"/>
      <c r="DT865" s="70"/>
      <c r="DU865" s="70"/>
      <c r="DV865" s="70"/>
      <c r="DW865" s="70"/>
      <c r="DX865" s="70"/>
      <c r="DY865" s="70"/>
      <c r="DZ865" s="70"/>
      <c r="EA865" s="70"/>
      <c r="EB865" s="70"/>
      <c r="EC865" s="70"/>
      <c r="ED865" s="70"/>
      <c r="EE865" s="95" t="s">
        <v>450</v>
      </c>
      <c r="EF865" s="95"/>
      <c r="EG865" s="95"/>
      <c r="EH865" s="70"/>
      <c r="EI865" s="216"/>
      <c r="EJ865" s="70"/>
      <c r="EK865" s="70"/>
      <c r="EL865" s="70"/>
      <c r="EM865" s="70"/>
      <c r="EN865" s="70"/>
      <c r="EO865" s="70"/>
      <c r="EP865" s="70"/>
      <c r="EQ865" s="70"/>
      <c r="ER865" s="70"/>
      <c r="ES865" s="70"/>
      <c r="ET865" s="70"/>
      <c r="EU865" s="70"/>
      <c r="EV865" s="70"/>
      <c r="EW865" s="70"/>
      <c r="EX865" s="70"/>
      <c r="EY865" s="70"/>
      <c r="EZ865" s="70"/>
      <c r="FA865" s="70"/>
      <c r="FB865" s="70"/>
      <c r="FC865" s="70"/>
      <c r="FD865" s="70"/>
      <c r="FE865" s="70"/>
      <c r="FF865" s="70"/>
      <c r="FG865" s="70"/>
      <c r="FH865" s="70"/>
      <c r="FI865" s="70"/>
      <c r="FJ865" s="70"/>
      <c r="FK865" s="70"/>
      <c r="FL865" s="70"/>
      <c r="FM865" s="70"/>
      <c r="FN865" s="70"/>
      <c r="FO865" s="70"/>
      <c r="FP865" s="70"/>
      <c r="FQ865" s="70"/>
      <c r="FR865" s="70"/>
      <c r="FS865" s="70"/>
      <c r="FT865" s="70"/>
      <c r="FU865" s="70"/>
      <c r="FV865" s="70"/>
      <c r="FW865" s="70"/>
      <c r="FX865" s="70"/>
      <c r="FY865" s="70"/>
      <c r="FZ865" s="70"/>
      <c r="GA865" s="70"/>
      <c r="GB865" s="70"/>
      <c r="GC865" s="70"/>
      <c r="GD865" s="70"/>
      <c r="GE865" s="70"/>
      <c r="GF865" s="70"/>
      <c r="GG865" s="70"/>
      <c r="GH865" s="70"/>
      <c r="GI865" s="70"/>
      <c r="GJ865" s="70"/>
      <c r="GK865" s="70"/>
      <c r="GL865" s="70"/>
      <c r="GM865" s="70"/>
      <c r="GN865" s="70"/>
      <c r="GO865" s="70"/>
      <c r="GP865" s="70"/>
      <c r="GQ865" s="70"/>
      <c r="GR865" s="70"/>
      <c r="GS865" s="70"/>
      <c r="GT865" s="70"/>
      <c r="GU865" s="70"/>
      <c r="GV865" s="70"/>
      <c r="GW865" s="70"/>
      <c r="GX865" s="70"/>
      <c r="GY865" s="70"/>
      <c r="GZ865" s="70"/>
      <c r="HA865" s="70"/>
      <c r="HB865" s="70"/>
      <c r="HC865" s="70"/>
      <c r="HD865" s="70"/>
      <c r="HE865" s="70"/>
      <c r="HF865" s="70"/>
      <c r="HG865" s="70"/>
      <c r="HH865" s="70"/>
      <c r="HI865" s="70"/>
      <c r="HJ865" s="70"/>
      <c r="HK865" s="70"/>
      <c r="HL865" s="70"/>
      <c r="HM865" s="70"/>
      <c r="HN865" s="70"/>
      <c r="HO865" s="70"/>
      <c r="HP865" s="70"/>
      <c r="HQ865" s="70"/>
      <c r="HR865" s="70"/>
      <c r="HS865" s="70"/>
      <c r="HT865" s="70"/>
      <c r="HU865" s="70"/>
      <c r="HV865" s="70"/>
      <c r="HW865" s="70"/>
      <c r="HX865" s="70"/>
      <c r="HY865" s="70"/>
      <c r="HZ865" s="70"/>
      <c r="IA865" s="70"/>
      <c r="IB865" s="70"/>
      <c r="IC865" s="70"/>
      <c r="ID865" s="70"/>
      <c r="IE865" s="70"/>
      <c r="IF865" s="70"/>
      <c r="IG865" s="70"/>
      <c r="IH865" s="70"/>
      <c r="II865" s="70"/>
      <c r="IJ865" s="70"/>
      <c r="IK865" s="70"/>
      <c r="IL865" s="70"/>
      <c r="IM865" s="70"/>
      <c r="IN865" s="70"/>
      <c r="IO865" s="70"/>
      <c r="IP865" s="70"/>
      <c r="IQ865" s="70"/>
    </row>
    <row r="866" spans="18:251" ht="16.5" hidden="1" customHeight="1">
      <c r="R866" s="95" t="s">
        <v>450</v>
      </c>
      <c r="S866" s="95"/>
      <c r="T866" s="95"/>
      <c r="U866" s="70"/>
      <c r="V866" s="214"/>
      <c r="W866" s="70"/>
      <c r="X866" s="70"/>
      <c r="Y866" s="70"/>
      <c r="Z866" s="70"/>
      <c r="AA866" s="70"/>
      <c r="AB866" s="70"/>
      <c r="AC866" s="70"/>
      <c r="AD866" s="70"/>
      <c r="AE866" s="70"/>
      <c r="AF866" s="70"/>
      <c r="AG866" s="70"/>
      <c r="AH866" s="70"/>
      <c r="AI866" s="70"/>
      <c r="AJ866" s="70"/>
      <c r="AK866" s="70"/>
      <c r="AL866" s="70"/>
      <c r="AM866" s="70"/>
      <c r="AN866" s="70"/>
      <c r="AO866" s="70"/>
      <c r="AP866" s="70"/>
      <c r="AQ866" s="70"/>
      <c r="AR866" s="70"/>
      <c r="AS866" s="70"/>
      <c r="AT866" s="70"/>
      <c r="AU866" s="70"/>
      <c r="AV866" s="70"/>
      <c r="AW866" s="70"/>
      <c r="AX866" s="70"/>
      <c r="AY866" s="70"/>
      <c r="AZ866" s="70"/>
      <c r="BA866" s="70"/>
      <c r="BB866" s="70"/>
      <c r="BC866" s="70"/>
      <c r="BD866" s="70"/>
      <c r="BE866" s="70"/>
      <c r="BF866" s="70"/>
      <c r="BG866" s="70"/>
      <c r="BH866" s="70"/>
      <c r="BI866" s="70"/>
      <c r="BJ866" s="70"/>
      <c r="BK866" s="70"/>
      <c r="BL866" s="70"/>
      <c r="BM866" s="70"/>
      <c r="BN866" s="70"/>
      <c r="BO866" s="70"/>
      <c r="BP866" s="70"/>
      <c r="BQ866" s="70"/>
      <c r="BR866" s="70"/>
      <c r="BS866" s="70"/>
      <c r="BT866" s="70"/>
      <c r="BU866" s="70"/>
      <c r="BV866" s="70"/>
      <c r="BW866" s="70"/>
      <c r="BX866" s="70"/>
      <c r="BY866" s="70"/>
      <c r="BZ866" s="70"/>
      <c r="CA866" s="70"/>
      <c r="CB866" s="70"/>
      <c r="CC866" s="70"/>
      <c r="CD866" s="70"/>
      <c r="CE866" s="70"/>
      <c r="CF866" s="70"/>
      <c r="CG866" s="70"/>
      <c r="CH866" s="70"/>
      <c r="CI866" s="70"/>
      <c r="CJ866" s="70"/>
      <c r="CK866" s="70"/>
      <c r="CL866" s="70"/>
      <c r="CM866" s="70"/>
      <c r="CN866" s="70"/>
      <c r="CO866" s="70"/>
      <c r="CP866" s="70"/>
      <c r="CQ866" s="70"/>
      <c r="CR866" s="70"/>
      <c r="CS866" s="70"/>
      <c r="CT866" s="70"/>
      <c r="CU866" s="70"/>
      <c r="CV866" s="70"/>
      <c r="CW866" s="70"/>
      <c r="CX866" s="70"/>
      <c r="CY866" s="70"/>
      <c r="CZ866" s="70"/>
      <c r="DA866" s="70"/>
      <c r="DB866" s="70"/>
      <c r="DC866" s="70"/>
      <c r="DD866" s="70"/>
      <c r="DE866" s="70"/>
      <c r="DF866" s="70"/>
      <c r="DG866" s="70"/>
      <c r="DH866" s="70"/>
      <c r="DI866" s="70"/>
      <c r="DJ866" s="70"/>
      <c r="DK866" s="70"/>
      <c r="DL866" s="70"/>
      <c r="DM866" s="70"/>
      <c r="DN866" s="70"/>
      <c r="DO866" s="70"/>
      <c r="DP866" s="70"/>
      <c r="DQ866" s="70"/>
      <c r="DR866" s="70"/>
      <c r="DS866" s="70"/>
      <c r="DT866" s="70"/>
      <c r="DU866" s="70"/>
      <c r="DV866" s="70"/>
      <c r="DW866" s="70"/>
      <c r="DX866" s="70"/>
      <c r="DY866" s="70"/>
      <c r="DZ866" s="70"/>
      <c r="EA866" s="70"/>
      <c r="EB866" s="70"/>
      <c r="EC866" s="70"/>
      <c r="ED866" s="70"/>
      <c r="EE866" s="95" t="s">
        <v>450</v>
      </c>
      <c r="EF866" s="95"/>
      <c r="EG866" s="95"/>
      <c r="EH866" s="70"/>
      <c r="EI866" s="216"/>
      <c r="EJ866" s="70"/>
      <c r="EK866" s="70"/>
      <c r="EL866" s="70"/>
      <c r="EM866" s="70"/>
      <c r="EN866" s="70"/>
      <c r="EO866" s="70"/>
      <c r="EP866" s="70"/>
      <c r="EQ866" s="70"/>
      <c r="ER866" s="70"/>
      <c r="ES866" s="70"/>
      <c r="ET866" s="70"/>
      <c r="EU866" s="70"/>
      <c r="EV866" s="70"/>
      <c r="EW866" s="70"/>
      <c r="EX866" s="70"/>
      <c r="EY866" s="70"/>
      <c r="EZ866" s="70"/>
      <c r="FA866" s="70"/>
      <c r="FB866" s="70"/>
      <c r="FC866" s="70"/>
      <c r="FD866" s="70"/>
      <c r="FE866" s="70"/>
      <c r="FF866" s="70"/>
      <c r="FG866" s="70"/>
      <c r="FH866" s="70"/>
      <c r="FI866" s="70"/>
      <c r="FJ866" s="70"/>
      <c r="FK866" s="70"/>
      <c r="FL866" s="70"/>
      <c r="FM866" s="70"/>
      <c r="FN866" s="70"/>
      <c r="FO866" s="70"/>
      <c r="FP866" s="70"/>
      <c r="FQ866" s="70"/>
      <c r="FR866" s="70"/>
      <c r="FS866" s="70"/>
      <c r="FT866" s="70"/>
      <c r="FU866" s="70"/>
      <c r="FV866" s="70"/>
      <c r="FW866" s="70"/>
      <c r="FX866" s="70"/>
      <c r="FY866" s="70"/>
      <c r="FZ866" s="70"/>
      <c r="GA866" s="70"/>
      <c r="GB866" s="70"/>
      <c r="GC866" s="70"/>
      <c r="GD866" s="70"/>
      <c r="GE866" s="70"/>
      <c r="GF866" s="70"/>
      <c r="GG866" s="70"/>
      <c r="GH866" s="70"/>
      <c r="GI866" s="70"/>
      <c r="GJ866" s="70"/>
      <c r="GK866" s="70"/>
      <c r="GL866" s="70"/>
      <c r="GM866" s="70"/>
      <c r="GN866" s="70"/>
      <c r="GO866" s="70"/>
      <c r="GP866" s="70"/>
      <c r="GQ866" s="70"/>
      <c r="GR866" s="70"/>
      <c r="GS866" s="70"/>
      <c r="GT866" s="70"/>
      <c r="GU866" s="70"/>
      <c r="GV866" s="70"/>
      <c r="GW866" s="70"/>
      <c r="GX866" s="70"/>
      <c r="GY866" s="70"/>
      <c r="GZ866" s="70"/>
      <c r="HA866" s="70"/>
      <c r="HB866" s="70"/>
      <c r="HC866" s="70"/>
      <c r="HD866" s="70"/>
      <c r="HE866" s="70"/>
      <c r="HF866" s="70"/>
      <c r="HG866" s="70"/>
      <c r="HH866" s="70"/>
      <c r="HI866" s="70"/>
      <c r="HJ866" s="70"/>
      <c r="HK866" s="70"/>
      <c r="HL866" s="70"/>
      <c r="HM866" s="70"/>
      <c r="HN866" s="70"/>
      <c r="HO866" s="70"/>
      <c r="HP866" s="70"/>
      <c r="HQ866" s="70"/>
      <c r="HR866" s="70"/>
      <c r="HS866" s="70"/>
      <c r="HT866" s="70"/>
      <c r="HU866" s="70"/>
      <c r="HV866" s="70"/>
      <c r="HW866" s="70"/>
      <c r="HX866" s="70"/>
      <c r="HY866" s="70"/>
      <c r="HZ866" s="70"/>
      <c r="IA866" s="70"/>
      <c r="IB866" s="70"/>
      <c r="IC866" s="70"/>
      <c r="ID866" s="70"/>
      <c r="IE866" s="70"/>
      <c r="IF866" s="70"/>
      <c r="IG866" s="70"/>
      <c r="IH866" s="70"/>
      <c r="II866" s="70"/>
      <c r="IJ866" s="70"/>
      <c r="IK866" s="70"/>
      <c r="IL866" s="70"/>
      <c r="IM866" s="70"/>
      <c r="IN866" s="70"/>
      <c r="IO866" s="70"/>
      <c r="IP866" s="70"/>
      <c r="IQ866" s="70"/>
    </row>
    <row r="867" spans="18:251" ht="16.5" hidden="1" customHeight="1">
      <c r="R867" s="95" t="s">
        <v>450</v>
      </c>
      <c r="S867" s="95"/>
      <c r="T867" s="95"/>
      <c r="U867" s="70"/>
      <c r="V867" s="214"/>
      <c r="W867" s="70"/>
      <c r="X867" s="70"/>
      <c r="Y867" s="70"/>
      <c r="Z867" s="70"/>
      <c r="AA867" s="70"/>
      <c r="AB867" s="70"/>
      <c r="AC867" s="70"/>
      <c r="AD867" s="70"/>
      <c r="AE867" s="70"/>
      <c r="AF867" s="70"/>
      <c r="AG867" s="70"/>
      <c r="AH867" s="70"/>
      <c r="AI867" s="70"/>
      <c r="AJ867" s="70"/>
      <c r="AK867" s="70"/>
      <c r="AL867" s="70"/>
      <c r="AM867" s="70"/>
      <c r="AN867" s="70"/>
      <c r="AO867" s="70"/>
      <c r="AP867" s="70"/>
      <c r="AQ867" s="70"/>
      <c r="AR867" s="70"/>
      <c r="AS867" s="70"/>
      <c r="AT867" s="70"/>
      <c r="AU867" s="70"/>
      <c r="AV867" s="70"/>
      <c r="AW867" s="70"/>
      <c r="AX867" s="70"/>
      <c r="AY867" s="70"/>
      <c r="AZ867" s="70"/>
      <c r="BA867" s="70"/>
      <c r="BB867" s="70"/>
      <c r="BC867" s="70"/>
      <c r="BD867" s="70"/>
      <c r="BE867" s="70"/>
      <c r="BF867" s="70"/>
      <c r="BG867" s="70"/>
      <c r="BH867" s="70"/>
      <c r="BI867" s="70"/>
      <c r="BJ867" s="70"/>
      <c r="BK867" s="70"/>
      <c r="BL867" s="70"/>
      <c r="BM867" s="70"/>
      <c r="BN867" s="70"/>
      <c r="BO867" s="70"/>
      <c r="BP867" s="70"/>
      <c r="BQ867" s="70"/>
      <c r="BR867" s="70"/>
      <c r="BS867" s="70"/>
      <c r="BT867" s="70"/>
      <c r="BU867" s="70"/>
      <c r="BV867" s="70"/>
      <c r="BW867" s="70"/>
      <c r="BX867" s="70"/>
      <c r="BY867" s="70"/>
      <c r="BZ867" s="70"/>
      <c r="CA867" s="70"/>
      <c r="CB867" s="70"/>
      <c r="CC867" s="70"/>
      <c r="CD867" s="70"/>
      <c r="CE867" s="70"/>
      <c r="CF867" s="70"/>
      <c r="CG867" s="70"/>
      <c r="CH867" s="70"/>
      <c r="CI867" s="70"/>
      <c r="CJ867" s="70"/>
      <c r="CK867" s="70"/>
      <c r="CL867" s="70"/>
      <c r="CM867" s="70"/>
      <c r="CN867" s="70"/>
      <c r="CO867" s="70"/>
      <c r="CP867" s="70"/>
      <c r="CQ867" s="70"/>
      <c r="CR867" s="70"/>
      <c r="CS867" s="70"/>
      <c r="CT867" s="70"/>
      <c r="CU867" s="70"/>
      <c r="CV867" s="70"/>
      <c r="CW867" s="70"/>
      <c r="CX867" s="70"/>
      <c r="CY867" s="70"/>
      <c r="CZ867" s="70"/>
      <c r="DA867" s="70"/>
      <c r="DB867" s="70"/>
      <c r="DC867" s="70"/>
      <c r="DD867" s="70"/>
      <c r="DE867" s="70"/>
      <c r="DF867" s="70"/>
      <c r="DG867" s="70"/>
      <c r="DH867" s="70"/>
      <c r="DI867" s="70"/>
      <c r="DJ867" s="70"/>
      <c r="DK867" s="70"/>
      <c r="DL867" s="70"/>
      <c r="DM867" s="70"/>
      <c r="DN867" s="70"/>
      <c r="DO867" s="70"/>
      <c r="DP867" s="70"/>
      <c r="DQ867" s="70"/>
      <c r="DR867" s="70"/>
      <c r="DS867" s="70"/>
      <c r="DT867" s="70"/>
      <c r="DU867" s="70"/>
      <c r="DV867" s="70"/>
      <c r="DW867" s="70"/>
      <c r="DX867" s="70"/>
      <c r="DY867" s="70"/>
      <c r="DZ867" s="70"/>
      <c r="EA867" s="70"/>
      <c r="EB867" s="70"/>
      <c r="EC867" s="70"/>
      <c r="ED867" s="70"/>
      <c r="EE867" s="95" t="s">
        <v>450</v>
      </c>
      <c r="EF867" s="95"/>
      <c r="EG867" s="95"/>
      <c r="EH867" s="70"/>
      <c r="EI867" s="216"/>
      <c r="EJ867" s="70"/>
      <c r="EK867" s="70"/>
      <c r="EL867" s="70"/>
      <c r="EM867" s="70"/>
      <c r="EN867" s="70"/>
      <c r="EO867" s="70"/>
      <c r="EP867" s="70"/>
      <c r="EQ867" s="70"/>
      <c r="ER867" s="70"/>
      <c r="ES867" s="70"/>
      <c r="ET867" s="70"/>
      <c r="EU867" s="70"/>
      <c r="EV867" s="70"/>
      <c r="EW867" s="70"/>
      <c r="EX867" s="70"/>
      <c r="EY867" s="70"/>
      <c r="EZ867" s="70"/>
      <c r="FA867" s="70"/>
      <c r="FB867" s="70"/>
      <c r="FC867" s="70"/>
      <c r="FD867" s="70"/>
      <c r="FE867" s="70"/>
      <c r="FF867" s="70"/>
      <c r="FG867" s="70"/>
      <c r="FH867" s="70"/>
      <c r="FI867" s="70"/>
      <c r="FJ867" s="70"/>
      <c r="FK867" s="70"/>
      <c r="FL867" s="70"/>
      <c r="FM867" s="70"/>
      <c r="FN867" s="70"/>
      <c r="FO867" s="70"/>
      <c r="FP867" s="70"/>
      <c r="FQ867" s="70"/>
      <c r="FR867" s="70"/>
      <c r="FS867" s="70"/>
      <c r="FT867" s="70"/>
      <c r="FU867" s="70"/>
      <c r="FV867" s="70"/>
      <c r="FW867" s="70"/>
      <c r="FX867" s="70"/>
      <c r="FY867" s="70"/>
      <c r="FZ867" s="70"/>
      <c r="GA867" s="70"/>
      <c r="GB867" s="70"/>
      <c r="GC867" s="70"/>
      <c r="GD867" s="70"/>
      <c r="GE867" s="70"/>
      <c r="GF867" s="70"/>
      <c r="GG867" s="70"/>
      <c r="GH867" s="70"/>
      <c r="GI867" s="70"/>
      <c r="GJ867" s="70"/>
      <c r="GK867" s="70"/>
      <c r="GL867" s="70"/>
      <c r="GM867" s="70"/>
      <c r="GN867" s="70"/>
      <c r="GO867" s="70"/>
      <c r="GP867" s="70"/>
      <c r="GQ867" s="70"/>
      <c r="GR867" s="70"/>
      <c r="GS867" s="70"/>
      <c r="GT867" s="70"/>
      <c r="GU867" s="70"/>
      <c r="GV867" s="70"/>
      <c r="GW867" s="70"/>
      <c r="GX867" s="70"/>
      <c r="GY867" s="70"/>
      <c r="GZ867" s="70"/>
      <c r="HA867" s="70"/>
      <c r="HB867" s="70"/>
      <c r="HC867" s="70"/>
      <c r="HD867" s="70"/>
      <c r="HE867" s="70"/>
      <c r="HF867" s="70"/>
      <c r="HG867" s="70"/>
      <c r="HH867" s="70"/>
      <c r="HI867" s="70"/>
      <c r="HJ867" s="70"/>
      <c r="HK867" s="70"/>
      <c r="HL867" s="70"/>
      <c r="HM867" s="70"/>
      <c r="HN867" s="70"/>
      <c r="HO867" s="70"/>
      <c r="HP867" s="70"/>
      <c r="HQ867" s="70"/>
      <c r="HR867" s="70"/>
      <c r="HS867" s="70"/>
      <c r="HT867" s="70"/>
      <c r="HU867" s="70"/>
      <c r="HV867" s="70"/>
      <c r="HW867" s="70"/>
      <c r="HX867" s="70"/>
      <c r="HY867" s="70"/>
      <c r="HZ867" s="70"/>
      <c r="IA867" s="70"/>
      <c r="IB867" s="70"/>
      <c r="IC867" s="70"/>
      <c r="ID867" s="70"/>
      <c r="IE867" s="70"/>
      <c r="IF867" s="70"/>
      <c r="IG867" s="70"/>
      <c r="IH867" s="70"/>
      <c r="II867" s="70"/>
      <c r="IJ867" s="70"/>
      <c r="IK867" s="70"/>
      <c r="IL867" s="70"/>
      <c r="IM867" s="70"/>
      <c r="IN867" s="70"/>
      <c r="IO867" s="70"/>
      <c r="IP867" s="70"/>
      <c r="IQ867" s="70"/>
    </row>
    <row r="868" spans="18:251" ht="16.5" hidden="1" customHeight="1">
      <c r="R868" s="95" t="s">
        <v>450</v>
      </c>
      <c r="S868" s="95"/>
      <c r="T868" s="95"/>
      <c r="U868" s="70"/>
      <c r="V868" s="214"/>
      <c r="W868" s="70"/>
      <c r="X868" s="70"/>
      <c r="Y868" s="70"/>
      <c r="Z868" s="70"/>
      <c r="AA868" s="70"/>
      <c r="AB868" s="70"/>
      <c r="AC868" s="70"/>
      <c r="AD868" s="70"/>
      <c r="AE868" s="70"/>
      <c r="AF868" s="70"/>
      <c r="AG868" s="70"/>
      <c r="AH868" s="70"/>
      <c r="AI868" s="70"/>
      <c r="AJ868" s="70"/>
      <c r="AK868" s="70"/>
      <c r="AL868" s="70"/>
      <c r="AM868" s="70"/>
      <c r="AN868" s="70"/>
      <c r="AO868" s="70"/>
      <c r="AP868" s="70"/>
      <c r="AQ868" s="70"/>
      <c r="AR868" s="70"/>
      <c r="AS868" s="70"/>
      <c r="AT868" s="70"/>
      <c r="AU868" s="70"/>
      <c r="AV868" s="70"/>
      <c r="AW868" s="70"/>
      <c r="AX868" s="70"/>
      <c r="AY868" s="70"/>
      <c r="AZ868" s="70"/>
      <c r="BA868" s="70"/>
      <c r="BB868" s="70"/>
      <c r="BC868" s="70"/>
      <c r="BD868" s="70"/>
      <c r="BE868" s="70"/>
      <c r="BF868" s="70"/>
      <c r="BG868" s="70"/>
      <c r="BH868" s="70"/>
      <c r="BI868" s="70"/>
      <c r="BJ868" s="70"/>
      <c r="BK868" s="70"/>
      <c r="BL868" s="70"/>
      <c r="BM868" s="70"/>
      <c r="BN868" s="70"/>
      <c r="BO868" s="70"/>
      <c r="BP868" s="70"/>
      <c r="BQ868" s="70"/>
      <c r="BR868" s="70"/>
      <c r="BS868" s="70"/>
      <c r="BT868" s="70"/>
      <c r="BU868" s="70"/>
      <c r="BV868" s="70"/>
      <c r="BW868" s="70"/>
      <c r="BX868" s="70"/>
      <c r="BY868" s="70"/>
      <c r="BZ868" s="70"/>
      <c r="CA868" s="70"/>
      <c r="CB868" s="70"/>
      <c r="CC868" s="70"/>
      <c r="CD868" s="70"/>
      <c r="CE868" s="70"/>
      <c r="CF868" s="70"/>
      <c r="CG868" s="70"/>
      <c r="CH868" s="70"/>
      <c r="CI868" s="70"/>
      <c r="CJ868" s="70"/>
      <c r="CK868" s="70"/>
      <c r="CL868" s="70"/>
      <c r="CM868" s="70"/>
      <c r="CN868" s="70"/>
      <c r="CO868" s="70"/>
      <c r="CP868" s="70"/>
      <c r="CQ868" s="70"/>
      <c r="CR868" s="70"/>
      <c r="CS868" s="70"/>
      <c r="CT868" s="70"/>
      <c r="CU868" s="70"/>
      <c r="CV868" s="70"/>
      <c r="CW868" s="70"/>
      <c r="CX868" s="70"/>
      <c r="CY868" s="70"/>
      <c r="CZ868" s="70"/>
      <c r="DA868" s="70"/>
      <c r="DB868" s="70"/>
      <c r="DC868" s="70"/>
      <c r="DD868" s="70"/>
      <c r="DE868" s="70"/>
      <c r="DF868" s="70"/>
      <c r="DG868" s="70"/>
      <c r="DH868" s="70"/>
      <c r="DI868" s="70"/>
      <c r="DJ868" s="70"/>
      <c r="DK868" s="70"/>
      <c r="DL868" s="70"/>
      <c r="DM868" s="70"/>
      <c r="DN868" s="70"/>
      <c r="DO868" s="70"/>
      <c r="DP868" s="70"/>
      <c r="DQ868" s="70"/>
      <c r="DR868" s="70"/>
      <c r="DS868" s="70"/>
      <c r="DT868" s="70"/>
      <c r="DU868" s="70"/>
      <c r="DV868" s="70"/>
      <c r="DW868" s="70"/>
      <c r="DX868" s="70"/>
      <c r="DY868" s="70"/>
      <c r="DZ868" s="70"/>
      <c r="EA868" s="70"/>
      <c r="EB868" s="70"/>
      <c r="EC868" s="70"/>
      <c r="ED868" s="70"/>
      <c r="EE868" s="95" t="s">
        <v>450</v>
      </c>
      <c r="EF868" s="95"/>
      <c r="EG868" s="95"/>
      <c r="EH868" s="70"/>
      <c r="EI868" s="216"/>
      <c r="EJ868" s="70"/>
      <c r="EK868" s="70"/>
      <c r="EL868" s="70"/>
      <c r="EM868" s="70"/>
      <c r="EN868" s="70"/>
      <c r="EO868" s="70"/>
      <c r="EP868" s="70"/>
      <c r="EQ868" s="70"/>
      <c r="ER868" s="70"/>
      <c r="ES868" s="70"/>
      <c r="ET868" s="70"/>
      <c r="EU868" s="70"/>
      <c r="EV868" s="70"/>
      <c r="EW868" s="70"/>
      <c r="EX868" s="70"/>
      <c r="EY868" s="70"/>
      <c r="EZ868" s="70"/>
      <c r="FA868" s="70"/>
      <c r="FB868" s="70"/>
      <c r="FC868" s="70"/>
      <c r="FD868" s="70"/>
      <c r="FE868" s="70"/>
      <c r="FF868" s="70"/>
      <c r="FG868" s="70"/>
      <c r="FH868" s="70"/>
      <c r="FI868" s="70"/>
      <c r="FJ868" s="70"/>
      <c r="FK868" s="70"/>
      <c r="FL868" s="70"/>
      <c r="FM868" s="70"/>
      <c r="FN868" s="70"/>
      <c r="FO868" s="70"/>
      <c r="FP868" s="70"/>
      <c r="FQ868" s="70"/>
      <c r="FR868" s="70"/>
      <c r="FS868" s="70"/>
      <c r="FT868" s="70"/>
      <c r="FU868" s="70"/>
      <c r="FV868" s="70"/>
      <c r="FW868" s="70"/>
      <c r="FX868" s="70"/>
      <c r="FY868" s="70"/>
      <c r="FZ868" s="70"/>
      <c r="GA868" s="70"/>
      <c r="GB868" s="70"/>
      <c r="GC868" s="70"/>
      <c r="GD868" s="70"/>
      <c r="GE868" s="70"/>
      <c r="GF868" s="70"/>
      <c r="GG868" s="70"/>
      <c r="GH868" s="70"/>
      <c r="GI868" s="70"/>
      <c r="GJ868" s="70"/>
      <c r="GK868" s="70"/>
      <c r="GL868" s="70"/>
      <c r="GM868" s="70"/>
      <c r="GN868" s="70"/>
      <c r="GO868" s="70"/>
      <c r="GP868" s="70"/>
      <c r="GQ868" s="70"/>
      <c r="GR868" s="70"/>
      <c r="GS868" s="70"/>
      <c r="GT868" s="70"/>
      <c r="GU868" s="70"/>
      <c r="GV868" s="70"/>
      <c r="GW868" s="70"/>
      <c r="GX868" s="70"/>
      <c r="GY868" s="70"/>
      <c r="GZ868" s="70"/>
      <c r="HA868" s="70"/>
      <c r="HB868" s="70"/>
      <c r="HC868" s="70"/>
      <c r="HD868" s="70"/>
      <c r="HE868" s="70"/>
      <c r="HF868" s="70"/>
      <c r="HG868" s="70"/>
      <c r="HH868" s="70"/>
      <c r="HI868" s="70"/>
      <c r="HJ868" s="70"/>
      <c r="HK868" s="70"/>
      <c r="HL868" s="70"/>
      <c r="HM868" s="70"/>
      <c r="HN868" s="70"/>
      <c r="HO868" s="70"/>
      <c r="HP868" s="70"/>
      <c r="HQ868" s="70"/>
      <c r="HR868" s="70"/>
      <c r="HS868" s="70"/>
      <c r="HT868" s="70"/>
      <c r="HU868" s="70"/>
      <c r="HV868" s="70"/>
      <c r="HW868" s="70"/>
      <c r="HX868" s="70"/>
      <c r="HY868" s="70"/>
      <c r="HZ868" s="70"/>
      <c r="IA868" s="70"/>
      <c r="IB868" s="70"/>
      <c r="IC868" s="70"/>
      <c r="ID868" s="70"/>
      <c r="IE868" s="70"/>
      <c r="IF868" s="70"/>
      <c r="IG868" s="70"/>
      <c r="IH868" s="70"/>
      <c r="II868" s="70"/>
      <c r="IJ868" s="70"/>
      <c r="IK868" s="70"/>
      <c r="IL868" s="70"/>
      <c r="IM868" s="70"/>
      <c r="IN868" s="70"/>
      <c r="IO868" s="70"/>
      <c r="IP868" s="70"/>
      <c r="IQ868" s="70"/>
    </row>
    <row r="869" spans="18:251" ht="16.5" hidden="1" customHeight="1">
      <c r="R869" s="95" t="s">
        <v>450</v>
      </c>
      <c r="S869" s="95"/>
      <c r="T869" s="95"/>
      <c r="U869" s="70"/>
      <c r="V869" s="214"/>
      <c r="W869" s="70"/>
      <c r="X869" s="70"/>
      <c r="Y869" s="70"/>
      <c r="Z869" s="70"/>
      <c r="AA869" s="70"/>
      <c r="AB869" s="70"/>
      <c r="AC869" s="70"/>
      <c r="AD869" s="70"/>
      <c r="AE869" s="70"/>
      <c r="AF869" s="70"/>
      <c r="AG869" s="70"/>
      <c r="AH869" s="70"/>
      <c r="AI869" s="70"/>
      <c r="AJ869" s="70"/>
      <c r="AK869" s="70"/>
      <c r="AL869" s="70"/>
      <c r="AM869" s="70"/>
      <c r="AN869" s="70"/>
      <c r="AO869" s="70"/>
      <c r="AP869" s="70"/>
      <c r="AQ869" s="70"/>
      <c r="AR869" s="70"/>
      <c r="AS869" s="70"/>
      <c r="AT869" s="70"/>
      <c r="AU869" s="70"/>
      <c r="AV869" s="70"/>
      <c r="AW869" s="70"/>
      <c r="AX869" s="70"/>
      <c r="AY869" s="70"/>
      <c r="AZ869" s="70"/>
      <c r="BA869" s="70"/>
      <c r="BB869" s="70"/>
      <c r="BC869" s="70"/>
      <c r="BD869" s="70"/>
      <c r="BE869" s="70"/>
      <c r="BF869" s="70"/>
      <c r="BG869" s="70"/>
      <c r="BH869" s="70"/>
      <c r="BI869" s="70"/>
      <c r="BJ869" s="70"/>
      <c r="BK869" s="70"/>
      <c r="BL869" s="70"/>
      <c r="BM869" s="70"/>
      <c r="BN869" s="70"/>
      <c r="BO869" s="70"/>
      <c r="BP869" s="70"/>
      <c r="BQ869" s="70"/>
      <c r="BR869" s="70"/>
      <c r="BS869" s="70"/>
      <c r="BT869" s="70"/>
      <c r="BU869" s="70"/>
      <c r="BV869" s="70"/>
      <c r="BW869" s="70"/>
      <c r="BX869" s="70"/>
      <c r="BY869" s="70"/>
      <c r="BZ869" s="70"/>
      <c r="CA869" s="70"/>
      <c r="CB869" s="70"/>
      <c r="CC869" s="70"/>
      <c r="CD869" s="70"/>
      <c r="CE869" s="70"/>
      <c r="CF869" s="70"/>
      <c r="CG869" s="70"/>
      <c r="CH869" s="70"/>
      <c r="CI869" s="70"/>
      <c r="CJ869" s="70"/>
      <c r="CK869" s="70"/>
      <c r="CL869" s="70"/>
      <c r="CM869" s="70"/>
      <c r="CN869" s="70"/>
      <c r="CO869" s="70"/>
      <c r="CP869" s="70"/>
      <c r="CQ869" s="70"/>
      <c r="CR869" s="70"/>
      <c r="CS869" s="70"/>
      <c r="CT869" s="70"/>
      <c r="CU869" s="70"/>
      <c r="CV869" s="70"/>
      <c r="CW869" s="70"/>
      <c r="CX869" s="70"/>
      <c r="CY869" s="70"/>
      <c r="CZ869" s="70"/>
      <c r="DA869" s="70"/>
      <c r="DB869" s="70"/>
      <c r="DC869" s="70"/>
      <c r="DD869" s="70"/>
      <c r="DE869" s="70"/>
      <c r="DF869" s="70"/>
      <c r="DG869" s="70"/>
      <c r="DH869" s="70"/>
      <c r="DI869" s="70"/>
      <c r="DJ869" s="70"/>
      <c r="DK869" s="70"/>
      <c r="DL869" s="70"/>
      <c r="DM869" s="70"/>
      <c r="DN869" s="70"/>
      <c r="DO869" s="70"/>
      <c r="DP869" s="70"/>
      <c r="DQ869" s="70"/>
      <c r="DR869" s="70"/>
      <c r="DS869" s="70"/>
      <c r="DT869" s="70"/>
      <c r="DU869" s="70"/>
      <c r="DV869" s="70"/>
      <c r="DW869" s="70"/>
      <c r="DX869" s="70"/>
      <c r="DY869" s="70"/>
      <c r="DZ869" s="70"/>
      <c r="EA869" s="70"/>
      <c r="EB869" s="70"/>
      <c r="EC869" s="70"/>
      <c r="ED869" s="70"/>
      <c r="EE869" s="95" t="s">
        <v>450</v>
      </c>
      <c r="EF869" s="95"/>
      <c r="EG869" s="95"/>
      <c r="EH869" s="70"/>
      <c r="EI869" s="216"/>
      <c r="EJ869" s="70"/>
      <c r="EK869" s="70"/>
      <c r="EL869" s="70"/>
      <c r="EM869" s="70"/>
      <c r="EN869" s="70"/>
      <c r="EO869" s="70"/>
      <c r="EP869" s="70"/>
      <c r="EQ869" s="70"/>
      <c r="ER869" s="70"/>
      <c r="ES869" s="70"/>
      <c r="ET869" s="70"/>
      <c r="EU869" s="70"/>
      <c r="EV869" s="70"/>
      <c r="EW869" s="70"/>
      <c r="EX869" s="70"/>
      <c r="EY869" s="70"/>
      <c r="EZ869" s="70"/>
      <c r="FA869" s="70"/>
      <c r="FB869" s="70"/>
      <c r="FC869" s="70"/>
      <c r="FD869" s="70"/>
      <c r="FE869" s="70"/>
      <c r="FF869" s="70"/>
      <c r="FG869" s="70"/>
      <c r="FH869" s="70"/>
      <c r="FI869" s="70"/>
      <c r="FJ869" s="70"/>
      <c r="FK869" s="70"/>
      <c r="FL869" s="70"/>
      <c r="FM869" s="70"/>
      <c r="FN869" s="70"/>
      <c r="FO869" s="70"/>
      <c r="FP869" s="70"/>
      <c r="FQ869" s="70"/>
      <c r="FR869" s="70"/>
      <c r="FS869" s="70"/>
      <c r="FT869" s="70"/>
      <c r="FU869" s="70"/>
      <c r="FV869" s="70"/>
      <c r="FW869" s="70"/>
      <c r="FX869" s="70"/>
      <c r="FY869" s="70"/>
      <c r="FZ869" s="70"/>
      <c r="GA869" s="70"/>
      <c r="GB869" s="70"/>
      <c r="GC869" s="70"/>
      <c r="GD869" s="70"/>
      <c r="GE869" s="70"/>
      <c r="GF869" s="70"/>
      <c r="GG869" s="70"/>
      <c r="GH869" s="70"/>
      <c r="GI869" s="70"/>
      <c r="GJ869" s="70"/>
      <c r="GK869" s="70"/>
      <c r="GL869" s="70"/>
      <c r="GM869" s="70"/>
      <c r="GN869" s="70"/>
      <c r="GO869" s="70"/>
      <c r="GP869" s="70"/>
      <c r="GQ869" s="70"/>
      <c r="GR869" s="70"/>
      <c r="GS869" s="70"/>
      <c r="GT869" s="70"/>
      <c r="GU869" s="70"/>
      <c r="GV869" s="70"/>
      <c r="GW869" s="70"/>
      <c r="GX869" s="70"/>
      <c r="GY869" s="70"/>
      <c r="GZ869" s="70"/>
      <c r="HA869" s="70"/>
      <c r="HB869" s="70"/>
      <c r="HC869" s="70"/>
      <c r="HD869" s="70"/>
      <c r="HE869" s="70"/>
      <c r="HF869" s="70"/>
      <c r="HG869" s="70"/>
      <c r="HH869" s="70"/>
      <c r="HI869" s="70"/>
      <c r="HJ869" s="70"/>
      <c r="HK869" s="70"/>
      <c r="HL869" s="70"/>
      <c r="HM869" s="70"/>
      <c r="HN869" s="70"/>
      <c r="HO869" s="70"/>
      <c r="HP869" s="70"/>
      <c r="HQ869" s="70"/>
      <c r="HR869" s="70"/>
      <c r="HS869" s="70"/>
      <c r="HT869" s="70"/>
      <c r="HU869" s="70"/>
      <c r="HV869" s="70"/>
      <c r="HW869" s="70"/>
      <c r="HX869" s="70"/>
      <c r="HY869" s="70"/>
      <c r="HZ869" s="70"/>
      <c r="IA869" s="70"/>
      <c r="IB869" s="70"/>
      <c r="IC869" s="70"/>
      <c r="ID869" s="70"/>
      <c r="IE869" s="70"/>
      <c r="IF869" s="70"/>
      <c r="IG869" s="70"/>
      <c r="IH869" s="70"/>
      <c r="II869" s="70"/>
      <c r="IJ869" s="70"/>
      <c r="IK869" s="70"/>
      <c r="IL869" s="70"/>
      <c r="IM869" s="70"/>
      <c r="IN869" s="70"/>
      <c r="IO869" s="70"/>
      <c r="IP869" s="70"/>
      <c r="IQ869" s="70"/>
    </row>
    <row r="870" spans="18:251" ht="16.5" hidden="1" customHeight="1">
      <c r="R870" s="95" t="s">
        <v>450</v>
      </c>
      <c r="S870" s="95"/>
      <c r="T870" s="95"/>
      <c r="U870" s="70"/>
      <c r="V870" s="214"/>
      <c r="W870" s="70"/>
      <c r="X870" s="70"/>
      <c r="Y870" s="70"/>
      <c r="Z870" s="70"/>
      <c r="AA870" s="70"/>
      <c r="AB870" s="70"/>
      <c r="AC870" s="70"/>
      <c r="AD870" s="70"/>
      <c r="AE870" s="70"/>
      <c r="AF870" s="70"/>
      <c r="AG870" s="70"/>
      <c r="AH870" s="70"/>
      <c r="AI870" s="70"/>
      <c r="AJ870" s="70"/>
      <c r="AK870" s="70"/>
      <c r="AL870" s="70"/>
      <c r="AM870" s="70"/>
      <c r="AN870" s="70"/>
      <c r="AO870" s="70"/>
      <c r="AP870" s="70"/>
      <c r="AQ870" s="70"/>
      <c r="AR870" s="70"/>
      <c r="AS870" s="70"/>
      <c r="AT870" s="70"/>
      <c r="AU870" s="70"/>
      <c r="AV870" s="70"/>
      <c r="AW870" s="70"/>
      <c r="AX870" s="70"/>
      <c r="AY870" s="70"/>
      <c r="AZ870" s="70"/>
      <c r="BA870" s="70"/>
      <c r="BB870" s="70"/>
      <c r="BC870" s="70"/>
      <c r="BD870" s="70"/>
      <c r="BE870" s="70"/>
      <c r="BF870" s="70"/>
      <c r="BG870" s="70"/>
      <c r="BH870" s="70"/>
      <c r="BI870" s="70"/>
      <c r="BJ870" s="70"/>
      <c r="BK870" s="70"/>
      <c r="BL870" s="70"/>
      <c r="BM870" s="70"/>
      <c r="BN870" s="70"/>
      <c r="BO870" s="70"/>
      <c r="BP870" s="70"/>
      <c r="BQ870" s="70"/>
      <c r="BR870" s="70"/>
      <c r="BS870" s="70"/>
      <c r="BT870" s="70"/>
      <c r="BU870" s="70"/>
      <c r="BV870" s="70"/>
      <c r="BW870" s="70"/>
      <c r="BX870" s="70"/>
      <c r="BY870" s="70"/>
      <c r="BZ870" s="70"/>
      <c r="CA870" s="70"/>
      <c r="CB870" s="70"/>
      <c r="CC870" s="70"/>
      <c r="CD870" s="70"/>
      <c r="CE870" s="70"/>
      <c r="CF870" s="70"/>
      <c r="CG870" s="70"/>
      <c r="CH870" s="70"/>
      <c r="CI870" s="70"/>
      <c r="CJ870" s="70"/>
      <c r="CK870" s="70"/>
      <c r="CL870" s="70"/>
      <c r="CM870" s="70"/>
      <c r="CN870" s="70"/>
      <c r="CO870" s="70"/>
      <c r="CP870" s="70"/>
      <c r="CQ870" s="70"/>
      <c r="CR870" s="70"/>
      <c r="CS870" s="70"/>
      <c r="CT870" s="70"/>
      <c r="CU870" s="70"/>
      <c r="CV870" s="70"/>
      <c r="CW870" s="70"/>
      <c r="CX870" s="70"/>
      <c r="CY870" s="70"/>
      <c r="CZ870" s="70"/>
      <c r="DA870" s="70"/>
      <c r="DB870" s="70"/>
      <c r="DC870" s="70"/>
      <c r="DD870" s="70"/>
      <c r="DE870" s="70"/>
      <c r="DF870" s="70"/>
      <c r="DG870" s="70"/>
      <c r="DH870" s="70"/>
      <c r="DI870" s="70"/>
      <c r="DJ870" s="70"/>
      <c r="DK870" s="70"/>
      <c r="DL870" s="70"/>
      <c r="DM870" s="70"/>
      <c r="DN870" s="70"/>
      <c r="DO870" s="70"/>
      <c r="DP870" s="70"/>
      <c r="DQ870" s="70"/>
      <c r="DR870" s="70"/>
      <c r="DS870" s="70"/>
      <c r="DT870" s="70"/>
      <c r="DU870" s="70"/>
      <c r="DV870" s="70"/>
      <c r="DW870" s="70"/>
      <c r="DX870" s="70"/>
      <c r="DY870" s="70"/>
      <c r="DZ870" s="70"/>
      <c r="EA870" s="70"/>
      <c r="EB870" s="70"/>
      <c r="EC870" s="70"/>
      <c r="ED870" s="70"/>
      <c r="EE870" s="95" t="s">
        <v>450</v>
      </c>
      <c r="EF870" s="95"/>
      <c r="EG870" s="95"/>
      <c r="EH870" s="70"/>
      <c r="EI870" s="216"/>
      <c r="EJ870" s="70"/>
      <c r="EK870" s="70"/>
      <c r="EL870" s="70"/>
      <c r="EM870" s="70"/>
      <c r="EN870" s="70"/>
      <c r="EO870" s="70"/>
      <c r="EP870" s="70"/>
      <c r="EQ870" s="70"/>
      <c r="ER870" s="70"/>
      <c r="ES870" s="70"/>
      <c r="ET870" s="70"/>
      <c r="EU870" s="70"/>
      <c r="EV870" s="70"/>
      <c r="EW870" s="70"/>
      <c r="EX870" s="70"/>
      <c r="EY870" s="70"/>
      <c r="EZ870" s="70"/>
      <c r="FA870" s="70"/>
      <c r="FB870" s="70"/>
      <c r="FC870" s="70"/>
      <c r="FD870" s="70"/>
      <c r="FE870" s="70"/>
      <c r="FF870" s="70"/>
      <c r="FG870" s="70"/>
      <c r="FH870" s="70"/>
      <c r="FI870" s="70"/>
      <c r="FJ870" s="70"/>
      <c r="FK870" s="70"/>
      <c r="FL870" s="70"/>
      <c r="FM870" s="70"/>
      <c r="FN870" s="70"/>
      <c r="FO870" s="70"/>
      <c r="FP870" s="70"/>
      <c r="FQ870" s="70"/>
      <c r="FR870" s="70"/>
      <c r="FS870" s="70"/>
      <c r="FT870" s="70"/>
      <c r="FU870" s="70"/>
      <c r="FV870" s="70"/>
      <c r="FW870" s="70"/>
      <c r="FX870" s="70"/>
      <c r="FY870" s="70"/>
      <c r="FZ870" s="70"/>
      <c r="GA870" s="70"/>
      <c r="GB870" s="70"/>
      <c r="GC870" s="70"/>
      <c r="GD870" s="70"/>
      <c r="GE870" s="70"/>
      <c r="GF870" s="70"/>
      <c r="GG870" s="70"/>
      <c r="GH870" s="70"/>
      <c r="GI870" s="70"/>
      <c r="GJ870" s="70"/>
      <c r="GK870" s="70"/>
      <c r="GL870" s="70"/>
      <c r="GM870" s="70"/>
      <c r="GN870" s="70"/>
      <c r="GO870" s="70"/>
      <c r="GP870" s="70"/>
      <c r="GQ870" s="70"/>
      <c r="GR870" s="70"/>
      <c r="GS870" s="70"/>
      <c r="GT870" s="70"/>
      <c r="GU870" s="70"/>
      <c r="GV870" s="70"/>
      <c r="GW870" s="70"/>
      <c r="GX870" s="70"/>
      <c r="GY870" s="70"/>
      <c r="GZ870" s="70"/>
      <c r="HA870" s="70"/>
      <c r="HB870" s="70"/>
      <c r="HC870" s="70"/>
      <c r="HD870" s="70"/>
      <c r="HE870" s="70"/>
      <c r="HF870" s="70"/>
      <c r="HG870" s="70"/>
      <c r="HH870" s="70"/>
      <c r="HI870" s="70"/>
      <c r="HJ870" s="70"/>
      <c r="HK870" s="70"/>
      <c r="HL870" s="70"/>
      <c r="HM870" s="70"/>
      <c r="HN870" s="70"/>
      <c r="HO870" s="70"/>
      <c r="HP870" s="70"/>
      <c r="HQ870" s="70"/>
      <c r="HR870" s="70"/>
      <c r="HS870" s="70"/>
      <c r="HT870" s="70"/>
      <c r="HU870" s="70"/>
      <c r="HV870" s="70"/>
      <c r="HW870" s="70"/>
      <c r="HX870" s="70"/>
      <c r="HY870" s="70"/>
      <c r="HZ870" s="70"/>
      <c r="IA870" s="70"/>
      <c r="IB870" s="70"/>
      <c r="IC870" s="70"/>
      <c r="ID870" s="70"/>
      <c r="IE870" s="70"/>
      <c r="IF870" s="70"/>
      <c r="IG870" s="70"/>
      <c r="IH870" s="70"/>
      <c r="II870" s="70"/>
      <c r="IJ870" s="70"/>
      <c r="IK870" s="70"/>
      <c r="IL870" s="70"/>
      <c r="IM870" s="70"/>
      <c r="IN870" s="70"/>
      <c r="IO870" s="70"/>
      <c r="IP870" s="70"/>
      <c r="IQ870" s="70"/>
    </row>
    <row r="871" spans="18:251" ht="16.5" hidden="1" customHeight="1">
      <c r="R871" s="95" t="s">
        <v>450</v>
      </c>
      <c r="S871" s="95"/>
      <c r="T871" s="95"/>
      <c r="U871" s="70"/>
      <c r="V871" s="214"/>
      <c r="W871" s="70"/>
      <c r="X871" s="70"/>
      <c r="Y871" s="70"/>
      <c r="Z871" s="70"/>
      <c r="AA871" s="70"/>
      <c r="AB871" s="70"/>
      <c r="AC871" s="70"/>
      <c r="AD871" s="70"/>
      <c r="AE871" s="70"/>
      <c r="AF871" s="70"/>
      <c r="AG871" s="70"/>
      <c r="AH871" s="70"/>
      <c r="AI871" s="70"/>
      <c r="AJ871" s="70"/>
      <c r="AK871" s="70"/>
      <c r="AL871" s="70"/>
      <c r="AM871" s="70"/>
      <c r="AN871" s="70"/>
      <c r="AO871" s="70"/>
      <c r="AP871" s="70"/>
      <c r="AQ871" s="70"/>
      <c r="AR871" s="70"/>
      <c r="AS871" s="70"/>
      <c r="AT871" s="70"/>
      <c r="AU871" s="70"/>
      <c r="AV871" s="70"/>
      <c r="AW871" s="70"/>
      <c r="AX871" s="70"/>
      <c r="AY871" s="70"/>
      <c r="AZ871" s="70"/>
      <c r="BA871" s="70"/>
      <c r="BB871" s="70"/>
      <c r="BC871" s="70"/>
      <c r="BD871" s="70"/>
      <c r="BE871" s="70"/>
      <c r="BF871" s="70"/>
      <c r="BG871" s="70"/>
      <c r="BH871" s="70"/>
      <c r="BI871" s="70"/>
      <c r="BJ871" s="70"/>
      <c r="BK871" s="70"/>
      <c r="BL871" s="70"/>
      <c r="BM871" s="70"/>
      <c r="BN871" s="70"/>
      <c r="BO871" s="70"/>
      <c r="BP871" s="70"/>
      <c r="BQ871" s="70"/>
      <c r="BR871" s="70"/>
      <c r="BS871" s="70"/>
      <c r="BT871" s="70"/>
      <c r="BU871" s="70"/>
      <c r="BV871" s="70"/>
      <c r="BW871" s="70"/>
      <c r="BX871" s="70"/>
      <c r="BY871" s="70"/>
      <c r="BZ871" s="70"/>
      <c r="CA871" s="70"/>
      <c r="CB871" s="70"/>
      <c r="CC871" s="70"/>
      <c r="CD871" s="70"/>
      <c r="CE871" s="70"/>
      <c r="CF871" s="70"/>
      <c r="CG871" s="70"/>
      <c r="CH871" s="70"/>
      <c r="CI871" s="70"/>
      <c r="CJ871" s="70"/>
      <c r="CK871" s="70"/>
      <c r="CL871" s="70"/>
      <c r="CM871" s="70"/>
      <c r="CN871" s="70"/>
      <c r="CO871" s="70"/>
      <c r="CP871" s="70"/>
      <c r="CQ871" s="70"/>
      <c r="CR871" s="70"/>
      <c r="CS871" s="70"/>
      <c r="CT871" s="70"/>
      <c r="CU871" s="70"/>
      <c r="CV871" s="70"/>
      <c r="CW871" s="70"/>
      <c r="CX871" s="70"/>
      <c r="CY871" s="70"/>
      <c r="CZ871" s="70"/>
      <c r="DA871" s="70"/>
      <c r="DB871" s="70"/>
      <c r="DC871" s="70"/>
      <c r="DD871" s="70"/>
      <c r="DE871" s="70"/>
      <c r="DF871" s="70"/>
      <c r="DG871" s="70"/>
      <c r="DH871" s="70"/>
      <c r="DI871" s="70"/>
      <c r="DJ871" s="70"/>
      <c r="DK871" s="70"/>
      <c r="DL871" s="70"/>
      <c r="DM871" s="70"/>
      <c r="DN871" s="70"/>
      <c r="DO871" s="70"/>
      <c r="DP871" s="70"/>
      <c r="DQ871" s="70"/>
      <c r="DR871" s="70"/>
      <c r="DS871" s="70"/>
      <c r="DT871" s="70"/>
      <c r="DU871" s="70"/>
      <c r="DV871" s="70"/>
      <c r="DW871" s="70"/>
      <c r="DX871" s="70"/>
      <c r="DY871" s="70"/>
      <c r="DZ871" s="70"/>
      <c r="EA871" s="70"/>
      <c r="EB871" s="70"/>
      <c r="EC871" s="70"/>
      <c r="ED871" s="70"/>
      <c r="EE871" s="95" t="s">
        <v>450</v>
      </c>
      <c r="EF871" s="95"/>
      <c r="EG871" s="95"/>
      <c r="EH871" s="70"/>
      <c r="EI871" s="216"/>
      <c r="EJ871" s="70"/>
      <c r="EK871" s="70"/>
      <c r="EL871" s="70"/>
      <c r="EM871" s="70"/>
      <c r="EN871" s="70"/>
      <c r="EO871" s="70"/>
      <c r="EP871" s="70"/>
      <c r="EQ871" s="70"/>
      <c r="ER871" s="70"/>
      <c r="ES871" s="70"/>
      <c r="ET871" s="70"/>
      <c r="EU871" s="70"/>
      <c r="EV871" s="70"/>
      <c r="EW871" s="70"/>
      <c r="EX871" s="70"/>
      <c r="EY871" s="70"/>
      <c r="EZ871" s="70"/>
      <c r="FA871" s="70"/>
      <c r="FB871" s="70"/>
      <c r="FC871" s="70"/>
      <c r="FD871" s="70"/>
      <c r="FE871" s="70"/>
      <c r="FF871" s="70"/>
      <c r="FG871" s="70"/>
      <c r="FH871" s="70"/>
      <c r="FI871" s="70"/>
      <c r="FJ871" s="70"/>
      <c r="FK871" s="70"/>
      <c r="FL871" s="70"/>
      <c r="FM871" s="70"/>
      <c r="FN871" s="70"/>
      <c r="FO871" s="70"/>
      <c r="FP871" s="70"/>
      <c r="FQ871" s="70"/>
      <c r="FR871" s="70"/>
      <c r="FS871" s="70"/>
      <c r="FT871" s="70"/>
      <c r="FU871" s="70"/>
      <c r="FV871" s="70"/>
      <c r="FW871" s="70"/>
      <c r="FX871" s="70"/>
      <c r="FY871" s="70"/>
      <c r="FZ871" s="70"/>
      <c r="GA871" s="70"/>
      <c r="GB871" s="70"/>
      <c r="GC871" s="70"/>
      <c r="GD871" s="70"/>
      <c r="GE871" s="70"/>
      <c r="GF871" s="70"/>
      <c r="GG871" s="70"/>
      <c r="GH871" s="70"/>
      <c r="GI871" s="70"/>
      <c r="GJ871" s="70"/>
      <c r="GK871" s="70"/>
      <c r="GL871" s="70"/>
      <c r="GM871" s="70"/>
      <c r="GN871" s="70"/>
      <c r="GO871" s="70"/>
      <c r="GP871" s="70"/>
      <c r="GQ871" s="70"/>
      <c r="GR871" s="70"/>
      <c r="GS871" s="70"/>
      <c r="GT871" s="70"/>
      <c r="GU871" s="70"/>
      <c r="GV871" s="70"/>
      <c r="GW871" s="70"/>
      <c r="GX871" s="70"/>
      <c r="GY871" s="70"/>
      <c r="GZ871" s="70"/>
      <c r="HA871" s="70"/>
      <c r="HB871" s="70"/>
      <c r="HC871" s="70"/>
      <c r="HD871" s="70"/>
      <c r="HE871" s="70"/>
      <c r="HF871" s="70"/>
      <c r="HG871" s="70"/>
      <c r="HH871" s="70"/>
      <c r="HI871" s="70"/>
      <c r="HJ871" s="70"/>
      <c r="HK871" s="70"/>
      <c r="HL871" s="70"/>
      <c r="HM871" s="70"/>
      <c r="HN871" s="70"/>
      <c r="HO871" s="70"/>
      <c r="HP871" s="70"/>
      <c r="HQ871" s="70"/>
      <c r="HR871" s="70"/>
      <c r="HS871" s="70"/>
      <c r="HT871" s="70"/>
      <c r="HU871" s="70"/>
      <c r="HV871" s="70"/>
      <c r="HW871" s="70"/>
      <c r="HX871" s="70"/>
      <c r="HY871" s="70"/>
      <c r="HZ871" s="70"/>
      <c r="IA871" s="70"/>
      <c r="IB871" s="70"/>
      <c r="IC871" s="70"/>
      <c r="ID871" s="70"/>
      <c r="IE871" s="70"/>
      <c r="IF871" s="70"/>
      <c r="IG871" s="70"/>
      <c r="IH871" s="70"/>
      <c r="II871" s="70"/>
      <c r="IJ871" s="70"/>
      <c r="IK871" s="70"/>
      <c r="IL871" s="70"/>
      <c r="IM871" s="70"/>
      <c r="IN871" s="70"/>
      <c r="IO871" s="70"/>
      <c r="IP871" s="70"/>
      <c r="IQ871" s="70"/>
    </row>
    <row r="872" spans="18:251" ht="16.5" hidden="1" customHeight="1">
      <c r="R872" s="95" t="s">
        <v>450</v>
      </c>
      <c r="S872" s="95"/>
      <c r="T872" s="95"/>
      <c r="U872" s="70"/>
      <c r="V872" s="214"/>
      <c r="W872" s="70"/>
      <c r="X872" s="70"/>
      <c r="Y872" s="70"/>
      <c r="Z872" s="70"/>
      <c r="AA872" s="70"/>
      <c r="AB872" s="70"/>
      <c r="AC872" s="70"/>
      <c r="AD872" s="70"/>
      <c r="AE872" s="70"/>
      <c r="AF872" s="70"/>
      <c r="AG872" s="70"/>
      <c r="AH872" s="70"/>
      <c r="AI872" s="70"/>
      <c r="AJ872" s="70"/>
      <c r="AK872" s="70"/>
      <c r="AL872" s="70"/>
      <c r="AM872" s="70"/>
      <c r="AN872" s="70"/>
      <c r="AO872" s="70"/>
      <c r="AP872" s="70"/>
      <c r="AQ872" s="70"/>
      <c r="AR872" s="70"/>
      <c r="AS872" s="70"/>
      <c r="AT872" s="70"/>
      <c r="AU872" s="70"/>
      <c r="AV872" s="70"/>
      <c r="AW872" s="70"/>
      <c r="AX872" s="70"/>
      <c r="AY872" s="70"/>
      <c r="AZ872" s="70"/>
      <c r="BA872" s="70"/>
      <c r="BB872" s="70"/>
      <c r="BC872" s="70"/>
      <c r="BD872" s="70"/>
      <c r="BE872" s="70"/>
      <c r="BF872" s="70"/>
      <c r="BG872" s="70"/>
      <c r="BH872" s="70"/>
      <c r="BI872" s="70"/>
      <c r="BJ872" s="70"/>
      <c r="BK872" s="70"/>
      <c r="BL872" s="70"/>
      <c r="BM872" s="70"/>
      <c r="BN872" s="70"/>
      <c r="BO872" s="70"/>
      <c r="BP872" s="70"/>
      <c r="BQ872" s="70"/>
      <c r="BR872" s="70"/>
      <c r="BS872" s="70"/>
      <c r="BT872" s="70"/>
      <c r="BU872" s="70"/>
      <c r="BV872" s="70"/>
      <c r="BW872" s="70"/>
      <c r="BX872" s="70"/>
      <c r="BY872" s="70"/>
      <c r="BZ872" s="70"/>
      <c r="CA872" s="70"/>
      <c r="CB872" s="70"/>
      <c r="CC872" s="70"/>
      <c r="CD872" s="70"/>
      <c r="CE872" s="70"/>
      <c r="CF872" s="70"/>
      <c r="CG872" s="70"/>
      <c r="CH872" s="70"/>
      <c r="CI872" s="70"/>
      <c r="CJ872" s="70"/>
      <c r="CK872" s="70"/>
      <c r="CL872" s="70"/>
      <c r="CM872" s="70"/>
      <c r="CN872" s="70"/>
      <c r="CO872" s="70"/>
      <c r="CP872" s="70"/>
      <c r="CQ872" s="70"/>
      <c r="CR872" s="70"/>
      <c r="CS872" s="70"/>
      <c r="CT872" s="70"/>
      <c r="CU872" s="70"/>
      <c r="CV872" s="70"/>
      <c r="CW872" s="70"/>
      <c r="CX872" s="70"/>
      <c r="CY872" s="70"/>
      <c r="CZ872" s="70"/>
      <c r="DA872" s="70"/>
      <c r="DB872" s="70"/>
      <c r="DC872" s="70"/>
      <c r="DD872" s="70"/>
      <c r="DE872" s="70"/>
      <c r="DF872" s="70"/>
      <c r="DG872" s="70"/>
      <c r="DH872" s="70"/>
      <c r="DI872" s="70"/>
      <c r="DJ872" s="70"/>
      <c r="DK872" s="70"/>
      <c r="DL872" s="70"/>
      <c r="DM872" s="70"/>
      <c r="DN872" s="70"/>
      <c r="DO872" s="70"/>
      <c r="DP872" s="70"/>
      <c r="DQ872" s="70"/>
      <c r="DR872" s="70"/>
      <c r="DS872" s="70"/>
      <c r="DT872" s="70"/>
      <c r="DU872" s="70"/>
      <c r="DV872" s="70"/>
      <c r="DW872" s="70"/>
      <c r="DX872" s="70"/>
      <c r="DY872" s="70"/>
      <c r="DZ872" s="70"/>
      <c r="EA872" s="70"/>
      <c r="EB872" s="70"/>
      <c r="EC872" s="70"/>
      <c r="ED872" s="70"/>
      <c r="EE872" s="95" t="s">
        <v>450</v>
      </c>
      <c r="EF872" s="95"/>
      <c r="EG872" s="95"/>
      <c r="EH872" s="70"/>
      <c r="EI872" s="216"/>
      <c r="EJ872" s="70"/>
      <c r="EK872" s="70"/>
      <c r="EL872" s="70"/>
      <c r="EM872" s="70"/>
      <c r="EN872" s="70"/>
      <c r="EO872" s="70"/>
      <c r="EP872" s="70"/>
      <c r="EQ872" s="70"/>
      <c r="ER872" s="70"/>
      <c r="ES872" s="70"/>
      <c r="ET872" s="70"/>
      <c r="EU872" s="70"/>
      <c r="EV872" s="70"/>
      <c r="EW872" s="70"/>
      <c r="EX872" s="70"/>
      <c r="EY872" s="70"/>
      <c r="EZ872" s="70"/>
      <c r="FA872" s="70"/>
      <c r="FB872" s="70"/>
      <c r="FC872" s="70"/>
      <c r="FD872" s="70"/>
      <c r="FE872" s="70"/>
      <c r="FF872" s="70"/>
      <c r="FG872" s="70"/>
      <c r="FH872" s="70"/>
      <c r="FI872" s="70"/>
      <c r="FJ872" s="70"/>
      <c r="FK872" s="70"/>
      <c r="FL872" s="70"/>
      <c r="FM872" s="70"/>
      <c r="FN872" s="70"/>
      <c r="FO872" s="70"/>
      <c r="FP872" s="70"/>
      <c r="FQ872" s="70"/>
      <c r="FR872" s="70"/>
      <c r="FS872" s="70"/>
      <c r="FT872" s="70"/>
      <c r="FU872" s="70"/>
      <c r="FV872" s="70"/>
      <c r="FW872" s="70"/>
      <c r="FX872" s="70"/>
      <c r="FY872" s="70"/>
      <c r="FZ872" s="70"/>
      <c r="GA872" s="70"/>
      <c r="GB872" s="70"/>
      <c r="GC872" s="70"/>
      <c r="GD872" s="70"/>
      <c r="GE872" s="70"/>
      <c r="GF872" s="70"/>
      <c r="GG872" s="70"/>
      <c r="GH872" s="70"/>
      <c r="GI872" s="70"/>
      <c r="GJ872" s="70"/>
      <c r="GK872" s="70"/>
      <c r="GL872" s="70"/>
      <c r="GM872" s="70"/>
      <c r="GN872" s="70"/>
      <c r="GO872" s="70"/>
      <c r="GP872" s="70"/>
      <c r="GQ872" s="70"/>
      <c r="GR872" s="70"/>
      <c r="GS872" s="70"/>
      <c r="GT872" s="70"/>
      <c r="GU872" s="70"/>
      <c r="GV872" s="70"/>
      <c r="GW872" s="70"/>
      <c r="GX872" s="70"/>
      <c r="GY872" s="70"/>
      <c r="GZ872" s="70"/>
      <c r="HA872" s="70"/>
      <c r="HB872" s="70"/>
      <c r="HC872" s="70"/>
      <c r="HD872" s="70"/>
      <c r="HE872" s="70"/>
      <c r="HF872" s="70"/>
      <c r="HG872" s="70"/>
      <c r="HH872" s="70"/>
      <c r="HI872" s="70"/>
      <c r="HJ872" s="70"/>
      <c r="HK872" s="70"/>
      <c r="HL872" s="70"/>
      <c r="HM872" s="70"/>
      <c r="HN872" s="70"/>
      <c r="HO872" s="70"/>
      <c r="HP872" s="70"/>
      <c r="HQ872" s="70"/>
      <c r="HR872" s="70"/>
      <c r="HS872" s="70"/>
      <c r="HT872" s="70"/>
      <c r="HU872" s="70"/>
      <c r="HV872" s="70"/>
      <c r="HW872" s="70"/>
      <c r="HX872" s="70"/>
      <c r="HY872" s="70"/>
      <c r="HZ872" s="70"/>
      <c r="IA872" s="70"/>
      <c r="IB872" s="70"/>
      <c r="IC872" s="70"/>
      <c r="ID872" s="70"/>
      <c r="IE872" s="70"/>
      <c r="IF872" s="70"/>
      <c r="IG872" s="70"/>
      <c r="IH872" s="70"/>
      <c r="II872" s="70"/>
      <c r="IJ872" s="70"/>
      <c r="IK872" s="70"/>
      <c r="IL872" s="70"/>
      <c r="IM872" s="70"/>
      <c r="IN872" s="70"/>
      <c r="IO872" s="70"/>
      <c r="IP872" s="70"/>
      <c r="IQ872" s="70"/>
    </row>
    <row r="873" spans="18:251" ht="16.5" hidden="1" customHeight="1">
      <c r="R873" s="95" t="s">
        <v>450</v>
      </c>
      <c r="S873" s="95"/>
      <c r="T873" s="95"/>
      <c r="U873" s="70"/>
      <c r="V873" s="214"/>
      <c r="W873" s="70"/>
      <c r="X873" s="70"/>
      <c r="Y873" s="70"/>
      <c r="Z873" s="70"/>
      <c r="AA873" s="70"/>
      <c r="AB873" s="70"/>
      <c r="AC873" s="70"/>
      <c r="AD873" s="70"/>
      <c r="AE873" s="70"/>
      <c r="AF873" s="70"/>
      <c r="AG873" s="70"/>
      <c r="AH873" s="70"/>
      <c r="AI873" s="70"/>
      <c r="AJ873" s="70"/>
      <c r="AK873" s="70"/>
      <c r="AL873" s="70"/>
      <c r="AM873" s="70"/>
      <c r="AN873" s="70"/>
      <c r="AO873" s="70"/>
      <c r="AP873" s="70"/>
      <c r="AQ873" s="70"/>
      <c r="AR873" s="70"/>
      <c r="AS873" s="70"/>
      <c r="AT873" s="70"/>
      <c r="AU873" s="70"/>
      <c r="AV873" s="70"/>
      <c r="AW873" s="70"/>
      <c r="AX873" s="70"/>
      <c r="AY873" s="70"/>
      <c r="AZ873" s="70"/>
      <c r="BA873" s="70"/>
      <c r="BB873" s="70"/>
      <c r="BC873" s="70"/>
      <c r="BD873" s="70"/>
      <c r="BE873" s="70"/>
      <c r="BF873" s="70"/>
      <c r="BG873" s="70"/>
      <c r="BH873" s="70"/>
      <c r="BI873" s="70"/>
      <c r="BJ873" s="70"/>
      <c r="BK873" s="70"/>
      <c r="BL873" s="70"/>
      <c r="BM873" s="70"/>
      <c r="BN873" s="70"/>
      <c r="BO873" s="70"/>
      <c r="BP873" s="70"/>
      <c r="BQ873" s="70"/>
      <c r="BR873" s="70"/>
      <c r="BS873" s="70"/>
      <c r="BT873" s="70"/>
      <c r="BU873" s="70"/>
      <c r="BV873" s="70"/>
      <c r="BW873" s="70"/>
      <c r="BX873" s="70"/>
      <c r="BY873" s="70"/>
      <c r="BZ873" s="70"/>
      <c r="CA873" s="70"/>
      <c r="CB873" s="70"/>
      <c r="CC873" s="70"/>
      <c r="CD873" s="70"/>
      <c r="CE873" s="70"/>
      <c r="CF873" s="70"/>
      <c r="CG873" s="70"/>
      <c r="CH873" s="70"/>
      <c r="CI873" s="70"/>
      <c r="CJ873" s="70"/>
      <c r="CK873" s="70"/>
      <c r="CL873" s="70"/>
      <c r="CM873" s="70"/>
      <c r="CN873" s="70"/>
      <c r="CO873" s="70"/>
      <c r="CP873" s="70"/>
      <c r="CQ873" s="70"/>
      <c r="CR873" s="70"/>
      <c r="CS873" s="70"/>
      <c r="CT873" s="70"/>
      <c r="CU873" s="70"/>
      <c r="CV873" s="70"/>
      <c r="CW873" s="70"/>
      <c r="CX873" s="70"/>
      <c r="CY873" s="70"/>
      <c r="CZ873" s="70"/>
      <c r="DA873" s="70"/>
      <c r="DB873" s="70"/>
      <c r="DC873" s="70"/>
      <c r="DD873" s="70"/>
      <c r="DE873" s="70"/>
      <c r="DF873" s="70"/>
      <c r="DG873" s="70"/>
      <c r="DH873" s="70"/>
      <c r="DI873" s="70"/>
      <c r="DJ873" s="70"/>
      <c r="DK873" s="70"/>
      <c r="DL873" s="70"/>
      <c r="DM873" s="70"/>
      <c r="DN873" s="70"/>
      <c r="DO873" s="70"/>
      <c r="DP873" s="70"/>
      <c r="DQ873" s="70"/>
      <c r="DR873" s="70"/>
      <c r="DS873" s="70"/>
      <c r="DT873" s="70"/>
      <c r="DU873" s="70"/>
      <c r="DV873" s="70"/>
      <c r="DW873" s="70"/>
      <c r="DX873" s="70"/>
      <c r="DY873" s="70"/>
      <c r="DZ873" s="70"/>
      <c r="EA873" s="70"/>
      <c r="EB873" s="70"/>
      <c r="EC873" s="70"/>
      <c r="ED873" s="70"/>
      <c r="EE873" s="95" t="s">
        <v>450</v>
      </c>
      <c r="EF873" s="95"/>
      <c r="EG873" s="95"/>
      <c r="EH873" s="70"/>
      <c r="EI873" s="216"/>
      <c r="EJ873" s="70"/>
      <c r="EK873" s="70"/>
      <c r="EL873" s="70"/>
      <c r="EM873" s="70"/>
      <c r="EN873" s="70"/>
      <c r="EO873" s="70"/>
      <c r="EP873" s="70"/>
      <c r="EQ873" s="70"/>
      <c r="ER873" s="70"/>
      <c r="ES873" s="70"/>
      <c r="ET873" s="70"/>
      <c r="EU873" s="70"/>
      <c r="EV873" s="70"/>
      <c r="EW873" s="70"/>
      <c r="EX873" s="70"/>
      <c r="EY873" s="70"/>
      <c r="EZ873" s="70"/>
      <c r="FA873" s="70"/>
      <c r="FB873" s="70"/>
      <c r="FC873" s="70"/>
      <c r="FD873" s="70"/>
      <c r="FE873" s="70"/>
      <c r="FF873" s="70"/>
      <c r="FG873" s="70"/>
      <c r="FH873" s="70"/>
      <c r="FI873" s="70"/>
      <c r="FJ873" s="70"/>
      <c r="FK873" s="70"/>
      <c r="FL873" s="70"/>
      <c r="FM873" s="70"/>
      <c r="FN873" s="70"/>
      <c r="FO873" s="70"/>
      <c r="FP873" s="70"/>
      <c r="FQ873" s="70"/>
      <c r="FR873" s="70"/>
      <c r="FS873" s="70"/>
      <c r="FT873" s="70"/>
      <c r="FU873" s="70"/>
      <c r="FV873" s="70"/>
      <c r="FW873" s="70"/>
      <c r="FX873" s="70"/>
      <c r="FY873" s="70"/>
      <c r="FZ873" s="70"/>
      <c r="GA873" s="70"/>
      <c r="GB873" s="70"/>
      <c r="GC873" s="70"/>
      <c r="GD873" s="70"/>
      <c r="GE873" s="70"/>
      <c r="GF873" s="70"/>
      <c r="GG873" s="70"/>
      <c r="GH873" s="70"/>
      <c r="GI873" s="70"/>
      <c r="GJ873" s="70"/>
      <c r="GK873" s="70"/>
      <c r="GL873" s="70"/>
      <c r="GM873" s="70"/>
      <c r="GN873" s="70"/>
      <c r="GO873" s="70"/>
      <c r="GP873" s="70"/>
      <c r="GQ873" s="70"/>
      <c r="GR873" s="70"/>
      <c r="GS873" s="70"/>
      <c r="GT873" s="70"/>
      <c r="GU873" s="70"/>
      <c r="GV873" s="70"/>
      <c r="GW873" s="70"/>
      <c r="GX873" s="70"/>
      <c r="GY873" s="70"/>
      <c r="GZ873" s="70"/>
      <c r="HA873" s="70"/>
      <c r="HB873" s="70"/>
      <c r="HC873" s="70"/>
      <c r="HD873" s="70"/>
      <c r="HE873" s="70"/>
      <c r="HF873" s="70"/>
      <c r="HG873" s="70"/>
      <c r="HH873" s="70"/>
      <c r="HI873" s="70"/>
      <c r="HJ873" s="70"/>
      <c r="HK873" s="70"/>
      <c r="HL873" s="70"/>
      <c r="HM873" s="70"/>
      <c r="HN873" s="70"/>
      <c r="HO873" s="70"/>
      <c r="HP873" s="70"/>
      <c r="HQ873" s="70"/>
      <c r="HR873" s="70"/>
      <c r="HS873" s="70"/>
      <c r="HT873" s="70"/>
      <c r="HU873" s="70"/>
      <c r="HV873" s="70"/>
      <c r="HW873" s="70"/>
      <c r="HX873" s="70"/>
      <c r="HY873" s="70"/>
      <c r="HZ873" s="70"/>
      <c r="IA873" s="70"/>
      <c r="IB873" s="70"/>
      <c r="IC873" s="70"/>
      <c r="ID873" s="70"/>
      <c r="IE873" s="70"/>
      <c r="IF873" s="70"/>
      <c r="IG873" s="70"/>
      <c r="IH873" s="70"/>
      <c r="II873" s="70"/>
      <c r="IJ873" s="70"/>
      <c r="IK873" s="70"/>
      <c r="IL873" s="70"/>
      <c r="IM873" s="70"/>
      <c r="IN873" s="70"/>
      <c r="IO873" s="70"/>
      <c r="IP873" s="70"/>
      <c r="IQ873" s="70"/>
    </row>
    <row r="874" spans="18:251" ht="16.5" hidden="1" customHeight="1">
      <c r="R874" s="95" t="s">
        <v>450</v>
      </c>
      <c r="S874" s="95"/>
      <c r="T874" s="95"/>
      <c r="U874" s="70"/>
      <c r="V874" s="214"/>
      <c r="W874" s="70"/>
      <c r="X874" s="70"/>
      <c r="Y874" s="70"/>
      <c r="Z874" s="70"/>
      <c r="AA874" s="70"/>
      <c r="AB874" s="70"/>
      <c r="AC874" s="70"/>
      <c r="AD874" s="70"/>
      <c r="AE874" s="70"/>
      <c r="AF874" s="70"/>
      <c r="AG874" s="70"/>
      <c r="AH874" s="70"/>
      <c r="AI874" s="70"/>
      <c r="AJ874" s="70"/>
      <c r="AK874" s="70"/>
      <c r="AL874" s="70"/>
      <c r="AM874" s="70"/>
      <c r="AN874" s="70"/>
      <c r="AO874" s="70"/>
      <c r="AP874" s="70"/>
      <c r="AQ874" s="70"/>
      <c r="AR874" s="70"/>
      <c r="AS874" s="70"/>
      <c r="AT874" s="70"/>
      <c r="AU874" s="70"/>
      <c r="AV874" s="70"/>
      <c r="AW874" s="70"/>
      <c r="AX874" s="70"/>
      <c r="AY874" s="70"/>
      <c r="AZ874" s="70"/>
      <c r="BA874" s="70"/>
      <c r="BB874" s="70"/>
      <c r="BC874" s="70"/>
      <c r="BD874" s="70"/>
      <c r="BE874" s="70"/>
      <c r="BF874" s="70"/>
      <c r="BG874" s="70"/>
      <c r="BH874" s="70"/>
      <c r="BI874" s="70"/>
      <c r="BJ874" s="70"/>
      <c r="BK874" s="70"/>
      <c r="BL874" s="70"/>
      <c r="BM874" s="70"/>
      <c r="BN874" s="70"/>
      <c r="BO874" s="70"/>
      <c r="BP874" s="70"/>
      <c r="BQ874" s="70"/>
      <c r="BR874" s="70"/>
      <c r="BS874" s="70"/>
      <c r="BT874" s="70"/>
      <c r="BU874" s="70"/>
      <c r="BV874" s="70"/>
      <c r="BW874" s="70"/>
      <c r="BX874" s="70"/>
      <c r="BY874" s="70"/>
      <c r="BZ874" s="70"/>
      <c r="CA874" s="70"/>
      <c r="CB874" s="70"/>
      <c r="CC874" s="70"/>
      <c r="CD874" s="70"/>
      <c r="CE874" s="70"/>
      <c r="CF874" s="70"/>
      <c r="CG874" s="70"/>
      <c r="CH874" s="70"/>
      <c r="CI874" s="70"/>
      <c r="CJ874" s="70"/>
      <c r="CK874" s="70"/>
      <c r="CL874" s="70"/>
      <c r="CM874" s="70"/>
      <c r="CN874" s="70"/>
      <c r="CO874" s="70"/>
      <c r="CP874" s="70"/>
      <c r="CQ874" s="70"/>
      <c r="CR874" s="70"/>
      <c r="CS874" s="70"/>
      <c r="CT874" s="70"/>
      <c r="CU874" s="70"/>
      <c r="CV874" s="70"/>
      <c r="CW874" s="70"/>
      <c r="CX874" s="70"/>
      <c r="CY874" s="70"/>
      <c r="CZ874" s="70"/>
      <c r="DA874" s="70"/>
      <c r="DB874" s="70"/>
      <c r="DC874" s="70"/>
      <c r="DD874" s="70"/>
      <c r="DE874" s="70"/>
      <c r="DF874" s="70"/>
      <c r="DG874" s="70"/>
      <c r="DH874" s="70"/>
      <c r="DI874" s="70"/>
      <c r="DJ874" s="70"/>
      <c r="DK874" s="70"/>
      <c r="DL874" s="70"/>
      <c r="DM874" s="70"/>
      <c r="DN874" s="70"/>
      <c r="DO874" s="70"/>
      <c r="DP874" s="70"/>
      <c r="DQ874" s="70"/>
      <c r="DR874" s="70"/>
      <c r="DS874" s="70"/>
      <c r="DT874" s="70"/>
      <c r="DU874" s="70"/>
      <c r="DV874" s="70"/>
      <c r="DW874" s="70"/>
      <c r="DX874" s="70"/>
      <c r="DY874" s="70"/>
      <c r="DZ874" s="70"/>
      <c r="EA874" s="70"/>
      <c r="EB874" s="70"/>
      <c r="EC874" s="70"/>
      <c r="ED874" s="70"/>
      <c r="EE874" s="95" t="s">
        <v>450</v>
      </c>
      <c r="EF874" s="95"/>
      <c r="EG874" s="95"/>
      <c r="EH874" s="70"/>
      <c r="EI874" s="216"/>
      <c r="EJ874" s="70"/>
      <c r="EK874" s="70"/>
      <c r="EL874" s="70"/>
      <c r="EM874" s="70"/>
      <c r="EN874" s="70"/>
      <c r="EO874" s="70"/>
      <c r="EP874" s="70"/>
      <c r="EQ874" s="70"/>
      <c r="ER874" s="70"/>
      <c r="ES874" s="70"/>
      <c r="ET874" s="70"/>
      <c r="EU874" s="70"/>
      <c r="EV874" s="70"/>
      <c r="EW874" s="70"/>
      <c r="EX874" s="70"/>
      <c r="EY874" s="70"/>
      <c r="EZ874" s="70"/>
      <c r="FA874" s="70"/>
      <c r="FB874" s="70"/>
      <c r="FC874" s="70"/>
      <c r="FD874" s="70"/>
      <c r="FE874" s="70"/>
      <c r="FF874" s="70"/>
      <c r="FG874" s="70"/>
      <c r="FH874" s="70"/>
      <c r="FI874" s="70"/>
      <c r="FJ874" s="70"/>
      <c r="FK874" s="70"/>
      <c r="FL874" s="70"/>
      <c r="FM874" s="70"/>
      <c r="FN874" s="70"/>
      <c r="FO874" s="70"/>
      <c r="FP874" s="70"/>
      <c r="FQ874" s="70"/>
      <c r="FR874" s="70"/>
      <c r="FS874" s="70"/>
      <c r="FT874" s="70"/>
      <c r="FU874" s="70"/>
      <c r="FV874" s="70"/>
      <c r="FW874" s="70"/>
      <c r="FX874" s="70"/>
      <c r="FY874" s="70"/>
      <c r="FZ874" s="70"/>
      <c r="GA874" s="70"/>
      <c r="GB874" s="70"/>
      <c r="GC874" s="70"/>
      <c r="GD874" s="70"/>
      <c r="GE874" s="70"/>
      <c r="GF874" s="70"/>
      <c r="GG874" s="70"/>
      <c r="GH874" s="70"/>
      <c r="GI874" s="70"/>
      <c r="GJ874" s="70"/>
      <c r="GK874" s="70"/>
      <c r="GL874" s="70"/>
      <c r="GM874" s="70"/>
      <c r="GN874" s="70"/>
      <c r="GO874" s="70"/>
      <c r="GP874" s="70"/>
      <c r="GQ874" s="70"/>
      <c r="GR874" s="70"/>
      <c r="GS874" s="70"/>
      <c r="GT874" s="70"/>
      <c r="GU874" s="70"/>
      <c r="GV874" s="70"/>
      <c r="GW874" s="70"/>
      <c r="GX874" s="70"/>
      <c r="GY874" s="70"/>
      <c r="GZ874" s="70"/>
      <c r="HA874" s="70"/>
      <c r="HB874" s="70"/>
      <c r="HC874" s="70"/>
      <c r="HD874" s="70"/>
      <c r="HE874" s="70"/>
      <c r="HF874" s="70"/>
      <c r="HG874" s="70"/>
      <c r="HH874" s="70"/>
      <c r="HI874" s="70"/>
      <c r="HJ874" s="70"/>
      <c r="HK874" s="70"/>
      <c r="HL874" s="70"/>
      <c r="HM874" s="70"/>
      <c r="HN874" s="70"/>
      <c r="HO874" s="70"/>
      <c r="HP874" s="70"/>
      <c r="HQ874" s="70"/>
      <c r="HR874" s="70"/>
      <c r="HS874" s="70"/>
      <c r="HT874" s="70"/>
      <c r="HU874" s="70"/>
      <c r="HV874" s="70"/>
      <c r="HW874" s="70"/>
      <c r="HX874" s="70"/>
      <c r="HY874" s="70"/>
      <c r="HZ874" s="70"/>
      <c r="IA874" s="70"/>
      <c r="IB874" s="70"/>
      <c r="IC874" s="70"/>
      <c r="ID874" s="70"/>
      <c r="IE874" s="70"/>
      <c r="IF874" s="70"/>
      <c r="IG874" s="70"/>
      <c r="IH874" s="70"/>
      <c r="II874" s="70"/>
      <c r="IJ874" s="70"/>
      <c r="IK874" s="70"/>
      <c r="IL874" s="70"/>
      <c r="IM874" s="70"/>
      <c r="IN874" s="70"/>
      <c r="IO874" s="70"/>
      <c r="IP874" s="70"/>
      <c r="IQ874" s="70"/>
    </row>
    <row r="875" spans="18:251" ht="16.5" hidden="1" customHeight="1">
      <c r="R875" s="95" t="s">
        <v>450</v>
      </c>
      <c r="S875" s="95"/>
      <c r="T875" s="95"/>
      <c r="U875" s="70"/>
      <c r="V875" s="214"/>
      <c r="W875" s="70"/>
      <c r="X875" s="70"/>
      <c r="Y875" s="70"/>
      <c r="Z875" s="70"/>
      <c r="AA875" s="70"/>
      <c r="AB875" s="70"/>
      <c r="AC875" s="70"/>
      <c r="AD875" s="70"/>
      <c r="AE875" s="70"/>
      <c r="AF875" s="70"/>
      <c r="AG875" s="70"/>
      <c r="AH875" s="70"/>
      <c r="AI875" s="70"/>
      <c r="AJ875" s="70"/>
      <c r="AK875" s="70"/>
      <c r="AL875" s="70"/>
      <c r="AM875" s="70"/>
      <c r="AN875" s="70"/>
      <c r="AO875" s="70"/>
      <c r="AP875" s="70"/>
      <c r="AQ875" s="70"/>
      <c r="AR875" s="70"/>
      <c r="AS875" s="70"/>
      <c r="AT875" s="70"/>
      <c r="AU875" s="70"/>
      <c r="AV875" s="70"/>
      <c r="AW875" s="70"/>
      <c r="AX875" s="70"/>
      <c r="AY875" s="70"/>
      <c r="AZ875" s="70"/>
      <c r="BA875" s="70"/>
      <c r="BB875" s="70"/>
      <c r="BC875" s="70"/>
      <c r="BD875" s="70"/>
      <c r="BE875" s="70"/>
      <c r="BF875" s="70"/>
      <c r="BG875" s="70"/>
      <c r="BH875" s="70"/>
      <c r="BI875" s="70"/>
      <c r="BJ875" s="70"/>
      <c r="BK875" s="70"/>
      <c r="BL875" s="70"/>
      <c r="BM875" s="70"/>
      <c r="BN875" s="70"/>
      <c r="BO875" s="70"/>
      <c r="BP875" s="70"/>
      <c r="BQ875" s="70"/>
      <c r="BR875" s="70"/>
      <c r="BS875" s="70"/>
      <c r="BT875" s="70"/>
      <c r="BU875" s="70"/>
      <c r="BV875" s="70"/>
      <c r="BW875" s="70"/>
      <c r="BX875" s="70"/>
      <c r="BY875" s="70"/>
      <c r="BZ875" s="70"/>
      <c r="CA875" s="70"/>
      <c r="CB875" s="70"/>
      <c r="CC875" s="70"/>
      <c r="CD875" s="70"/>
      <c r="CE875" s="70"/>
      <c r="CF875" s="70"/>
      <c r="CG875" s="70"/>
      <c r="CH875" s="70"/>
      <c r="CI875" s="70"/>
      <c r="CJ875" s="70"/>
      <c r="CK875" s="70"/>
      <c r="CL875" s="70"/>
      <c r="CM875" s="70"/>
      <c r="CN875" s="70"/>
      <c r="CO875" s="70"/>
      <c r="CP875" s="70"/>
      <c r="CQ875" s="70"/>
      <c r="CR875" s="70"/>
      <c r="CS875" s="70"/>
      <c r="CT875" s="70"/>
      <c r="CU875" s="70"/>
      <c r="CV875" s="70"/>
      <c r="CW875" s="70"/>
      <c r="CX875" s="70"/>
      <c r="CY875" s="70"/>
      <c r="CZ875" s="70"/>
      <c r="DA875" s="70"/>
      <c r="DB875" s="70"/>
      <c r="DC875" s="70"/>
      <c r="DD875" s="70"/>
      <c r="DE875" s="70"/>
      <c r="DF875" s="70"/>
      <c r="DG875" s="70"/>
      <c r="DH875" s="70"/>
      <c r="DI875" s="70"/>
      <c r="DJ875" s="70"/>
      <c r="DK875" s="70"/>
      <c r="DL875" s="70"/>
      <c r="DM875" s="70"/>
      <c r="DN875" s="70"/>
      <c r="DO875" s="70"/>
      <c r="DP875" s="70"/>
      <c r="DQ875" s="70"/>
      <c r="DR875" s="70"/>
      <c r="DS875" s="70"/>
      <c r="DT875" s="70"/>
      <c r="DU875" s="70"/>
      <c r="DV875" s="70"/>
      <c r="DW875" s="70"/>
      <c r="DX875" s="70"/>
      <c r="DY875" s="70"/>
      <c r="DZ875" s="70"/>
      <c r="EA875" s="70"/>
      <c r="EB875" s="70"/>
      <c r="EC875" s="70"/>
      <c r="ED875" s="70"/>
      <c r="EE875" s="95" t="s">
        <v>450</v>
      </c>
      <c r="EF875" s="95"/>
      <c r="EG875" s="95"/>
      <c r="EH875" s="70"/>
      <c r="EI875" s="216"/>
      <c r="EJ875" s="70"/>
      <c r="EK875" s="70"/>
      <c r="EL875" s="70"/>
      <c r="EM875" s="70"/>
      <c r="EN875" s="70"/>
      <c r="EO875" s="70"/>
      <c r="EP875" s="70"/>
      <c r="EQ875" s="70"/>
      <c r="ER875" s="70"/>
      <c r="ES875" s="70"/>
      <c r="ET875" s="70"/>
      <c r="EU875" s="70"/>
      <c r="EV875" s="70"/>
      <c r="EW875" s="70"/>
      <c r="EX875" s="70"/>
      <c r="EY875" s="70"/>
      <c r="EZ875" s="70"/>
      <c r="FA875" s="70"/>
      <c r="FB875" s="70"/>
      <c r="FC875" s="70"/>
      <c r="FD875" s="70"/>
      <c r="FE875" s="70"/>
      <c r="FF875" s="70"/>
      <c r="FG875" s="70"/>
      <c r="FH875" s="70"/>
      <c r="FI875" s="70"/>
      <c r="FJ875" s="70"/>
      <c r="FK875" s="70"/>
      <c r="FL875" s="70"/>
      <c r="FM875" s="70"/>
      <c r="FN875" s="70"/>
      <c r="FO875" s="70"/>
      <c r="FP875" s="70"/>
      <c r="FQ875" s="70"/>
      <c r="FR875" s="70"/>
      <c r="FS875" s="70"/>
      <c r="FT875" s="70"/>
      <c r="FU875" s="70"/>
      <c r="FV875" s="70"/>
      <c r="FW875" s="70"/>
      <c r="FX875" s="70"/>
      <c r="FY875" s="70"/>
      <c r="FZ875" s="70"/>
      <c r="GA875" s="70"/>
      <c r="GB875" s="70"/>
      <c r="GC875" s="70"/>
      <c r="GD875" s="70"/>
      <c r="GE875" s="70"/>
      <c r="GF875" s="70"/>
      <c r="GG875" s="70"/>
      <c r="GH875" s="70"/>
      <c r="GI875" s="70"/>
      <c r="GJ875" s="70"/>
      <c r="GK875" s="70"/>
      <c r="GL875" s="70"/>
      <c r="GM875" s="70"/>
      <c r="GN875" s="70"/>
      <c r="GO875" s="70"/>
      <c r="GP875" s="70"/>
      <c r="GQ875" s="70"/>
      <c r="GR875" s="70"/>
      <c r="GS875" s="70"/>
      <c r="GT875" s="70"/>
      <c r="GU875" s="70"/>
      <c r="GV875" s="70"/>
      <c r="GW875" s="70"/>
      <c r="GX875" s="70"/>
      <c r="GY875" s="70"/>
      <c r="GZ875" s="70"/>
      <c r="HA875" s="70"/>
      <c r="HB875" s="70"/>
      <c r="HC875" s="70"/>
      <c r="HD875" s="70"/>
      <c r="HE875" s="70"/>
      <c r="HF875" s="70"/>
      <c r="HG875" s="70"/>
      <c r="HH875" s="70"/>
      <c r="HI875" s="70"/>
      <c r="HJ875" s="70"/>
      <c r="HK875" s="70"/>
      <c r="HL875" s="70"/>
      <c r="HM875" s="70"/>
      <c r="HN875" s="70"/>
      <c r="HO875" s="70"/>
      <c r="HP875" s="70"/>
      <c r="HQ875" s="70"/>
      <c r="HR875" s="70"/>
      <c r="HS875" s="70"/>
      <c r="HT875" s="70"/>
      <c r="HU875" s="70"/>
      <c r="HV875" s="70"/>
      <c r="HW875" s="70"/>
      <c r="HX875" s="70"/>
      <c r="HY875" s="70"/>
      <c r="HZ875" s="70"/>
      <c r="IA875" s="70"/>
      <c r="IB875" s="70"/>
      <c r="IC875" s="70"/>
      <c r="ID875" s="70"/>
      <c r="IE875" s="70"/>
      <c r="IF875" s="70"/>
      <c r="IG875" s="70"/>
      <c r="IH875" s="70"/>
      <c r="II875" s="70"/>
      <c r="IJ875" s="70"/>
      <c r="IK875" s="70"/>
      <c r="IL875" s="70"/>
      <c r="IM875" s="70"/>
      <c r="IN875" s="70"/>
      <c r="IO875" s="70"/>
      <c r="IP875" s="70"/>
      <c r="IQ875" s="70"/>
    </row>
    <row r="876" spans="18:251" ht="16.5" hidden="1" customHeight="1">
      <c r="R876" s="95" t="s">
        <v>450</v>
      </c>
      <c r="S876" s="95"/>
      <c r="T876" s="95"/>
      <c r="U876" s="70"/>
      <c r="V876" s="214"/>
      <c r="W876" s="70"/>
      <c r="X876" s="70"/>
      <c r="Y876" s="70"/>
      <c r="Z876" s="70"/>
      <c r="AA876" s="70"/>
      <c r="AB876" s="70"/>
      <c r="AC876" s="70"/>
      <c r="AD876" s="70"/>
      <c r="AE876" s="70"/>
      <c r="AF876" s="70"/>
      <c r="AG876" s="70"/>
      <c r="AH876" s="70"/>
      <c r="AI876" s="70"/>
      <c r="AJ876" s="70"/>
      <c r="AK876" s="70"/>
      <c r="AL876" s="70"/>
      <c r="AM876" s="70"/>
      <c r="AN876" s="70"/>
      <c r="AO876" s="70"/>
      <c r="AP876" s="70"/>
      <c r="AQ876" s="70"/>
      <c r="AR876" s="70"/>
      <c r="AS876" s="70"/>
      <c r="AT876" s="70"/>
      <c r="AU876" s="70"/>
      <c r="AV876" s="70"/>
      <c r="AW876" s="70"/>
      <c r="AX876" s="70"/>
      <c r="AY876" s="70"/>
      <c r="AZ876" s="70"/>
      <c r="BA876" s="70"/>
      <c r="BB876" s="70"/>
      <c r="BC876" s="70"/>
      <c r="BD876" s="70"/>
      <c r="BE876" s="70"/>
      <c r="BF876" s="70"/>
      <c r="BG876" s="70"/>
      <c r="BH876" s="70"/>
      <c r="BI876" s="70"/>
      <c r="BJ876" s="70"/>
      <c r="BK876" s="70"/>
      <c r="BL876" s="70"/>
      <c r="BM876" s="70"/>
      <c r="BN876" s="70"/>
      <c r="BO876" s="70"/>
      <c r="BP876" s="70"/>
      <c r="BQ876" s="70"/>
      <c r="BR876" s="70"/>
      <c r="BS876" s="70"/>
      <c r="BT876" s="70"/>
      <c r="BU876" s="70"/>
      <c r="BV876" s="70"/>
      <c r="BW876" s="70"/>
      <c r="BX876" s="70"/>
      <c r="BY876" s="70"/>
      <c r="BZ876" s="70"/>
      <c r="CA876" s="70"/>
      <c r="CB876" s="70"/>
      <c r="CC876" s="70"/>
      <c r="CD876" s="70"/>
      <c r="CE876" s="70"/>
      <c r="CF876" s="70"/>
      <c r="CG876" s="70"/>
      <c r="CH876" s="70"/>
      <c r="CI876" s="70"/>
      <c r="CJ876" s="70"/>
      <c r="CK876" s="70"/>
      <c r="CL876" s="70"/>
      <c r="CM876" s="70"/>
      <c r="CN876" s="70"/>
      <c r="CO876" s="70"/>
      <c r="CP876" s="70"/>
      <c r="CQ876" s="70"/>
      <c r="CR876" s="70"/>
      <c r="CS876" s="70"/>
      <c r="CT876" s="70"/>
      <c r="CU876" s="70"/>
      <c r="CV876" s="70"/>
      <c r="CW876" s="70"/>
      <c r="CX876" s="70"/>
      <c r="CY876" s="70"/>
      <c r="CZ876" s="70"/>
      <c r="DA876" s="70"/>
      <c r="DB876" s="70"/>
      <c r="DC876" s="70"/>
      <c r="DD876" s="70"/>
      <c r="DE876" s="70"/>
      <c r="DF876" s="70"/>
      <c r="DG876" s="70"/>
      <c r="DH876" s="70"/>
      <c r="DI876" s="70"/>
      <c r="DJ876" s="70"/>
      <c r="DK876" s="70"/>
      <c r="DL876" s="70"/>
      <c r="DM876" s="70"/>
      <c r="DN876" s="70"/>
      <c r="DO876" s="70"/>
      <c r="DP876" s="70"/>
      <c r="DQ876" s="70"/>
      <c r="DR876" s="70"/>
      <c r="DS876" s="70"/>
      <c r="DT876" s="70"/>
      <c r="DU876" s="70"/>
      <c r="DV876" s="70"/>
      <c r="DW876" s="70"/>
      <c r="DX876" s="70"/>
      <c r="DY876" s="70"/>
      <c r="DZ876" s="70"/>
      <c r="EA876" s="70"/>
      <c r="EB876" s="70"/>
      <c r="EC876" s="70"/>
      <c r="ED876" s="70"/>
      <c r="EE876" s="95" t="s">
        <v>450</v>
      </c>
      <c r="EF876" s="95"/>
      <c r="EG876" s="95"/>
      <c r="EH876" s="70"/>
      <c r="EI876" s="216"/>
      <c r="EJ876" s="70"/>
      <c r="EK876" s="70"/>
      <c r="EL876" s="70"/>
      <c r="EM876" s="70"/>
      <c r="EN876" s="70"/>
      <c r="EO876" s="70"/>
      <c r="EP876" s="70"/>
      <c r="EQ876" s="70"/>
      <c r="ER876" s="70"/>
      <c r="ES876" s="70"/>
      <c r="ET876" s="70"/>
      <c r="EU876" s="70"/>
      <c r="EV876" s="70"/>
      <c r="EW876" s="70"/>
      <c r="EX876" s="70"/>
      <c r="EY876" s="70"/>
      <c r="EZ876" s="70"/>
      <c r="FA876" s="70"/>
      <c r="FB876" s="70"/>
      <c r="FC876" s="70"/>
      <c r="FD876" s="70"/>
      <c r="FE876" s="70"/>
      <c r="FF876" s="70"/>
      <c r="FG876" s="70"/>
      <c r="FH876" s="70"/>
      <c r="FI876" s="70"/>
      <c r="FJ876" s="70"/>
      <c r="FK876" s="70"/>
      <c r="FL876" s="70"/>
      <c r="FM876" s="70"/>
      <c r="FN876" s="70"/>
      <c r="FO876" s="70"/>
      <c r="FP876" s="70"/>
      <c r="FQ876" s="70"/>
      <c r="FR876" s="70"/>
      <c r="FS876" s="70"/>
      <c r="FT876" s="70"/>
      <c r="FU876" s="70"/>
      <c r="FV876" s="70"/>
      <c r="FW876" s="70"/>
      <c r="FX876" s="70"/>
      <c r="FY876" s="70"/>
      <c r="FZ876" s="70"/>
      <c r="GA876" s="70"/>
      <c r="GB876" s="70"/>
      <c r="GC876" s="70"/>
      <c r="GD876" s="70"/>
      <c r="GE876" s="70"/>
      <c r="GF876" s="70"/>
      <c r="GG876" s="70"/>
      <c r="GH876" s="70"/>
      <c r="GI876" s="70"/>
      <c r="GJ876" s="70"/>
      <c r="GK876" s="70"/>
      <c r="GL876" s="70"/>
      <c r="GM876" s="70"/>
      <c r="GN876" s="70"/>
      <c r="GO876" s="70"/>
      <c r="GP876" s="70"/>
      <c r="GQ876" s="70"/>
      <c r="GR876" s="70"/>
      <c r="GS876" s="70"/>
      <c r="GT876" s="70"/>
      <c r="GU876" s="70"/>
      <c r="GV876" s="70"/>
      <c r="GW876" s="70"/>
      <c r="GX876" s="70"/>
      <c r="GY876" s="70"/>
      <c r="GZ876" s="70"/>
      <c r="HA876" s="70"/>
      <c r="HB876" s="70"/>
      <c r="HC876" s="70"/>
      <c r="HD876" s="70"/>
      <c r="HE876" s="70"/>
      <c r="HF876" s="70"/>
      <c r="HG876" s="70"/>
      <c r="HH876" s="70"/>
      <c r="HI876" s="70"/>
      <c r="HJ876" s="70"/>
      <c r="HK876" s="70"/>
      <c r="HL876" s="70"/>
      <c r="HM876" s="70"/>
      <c r="HN876" s="70"/>
      <c r="HO876" s="70"/>
      <c r="HP876" s="70"/>
      <c r="HQ876" s="70"/>
      <c r="HR876" s="70"/>
      <c r="HS876" s="70"/>
      <c r="HT876" s="70"/>
      <c r="HU876" s="70"/>
      <c r="HV876" s="70"/>
      <c r="HW876" s="70"/>
      <c r="HX876" s="70"/>
      <c r="HY876" s="70"/>
      <c r="HZ876" s="70"/>
      <c r="IA876" s="70"/>
      <c r="IB876" s="70"/>
      <c r="IC876" s="70"/>
      <c r="ID876" s="70"/>
      <c r="IE876" s="70"/>
      <c r="IF876" s="70"/>
      <c r="IG876" s="70"/>
      <c r="IH876" s="70"/>
      <c r="II876" s="70"/>
      <c r="IJ876" s="70"/>
      <c r="IK876" s="70"/>
      <c r="IL876" s="70"/>
      <c r="IM876" s="70"/>
      <c r="IN876" s="70"/>
      <c r="IO876" s="70"/>
      <c r="IP876" s="70"/>
      <c r="IQ876" s="70"/>
    </row>
    <row r="877" spans="18:251" ht="16.5" hidden="1" customHeight="1">
      <c r="R877" s="95" t="s">
        <v>450</v>
      </c>
      <c r="S877" s="95"/>
      <c r="T877" s="95"/>
      <c r="U877" s="70"/>
      <c r="V877" s="214"/>
      <c r="W877" s="70"/>
      <c r="X877" s="70"/>
      <c r="Y877" s="70"/>
      <c r="Z877" s="70"/>
      <c r="AA877" s="70"/>
      <c r="AB877" s="70"/>
      <c r="AC877" s="70"/>
      <c r="AD877" s="70"/>
      <c r="AE877" s="70"/>
      <c r="AF877" s="70"/>
      <c r="AG877" s="70"/>
      <c r="AH877" s="70"/>
      <c r="AI877" s="70"/>
      <c r="AJ877" s="70"/>
      <c r="AK877" s="70"/>
      <c r="AL877" s="70"/>
      <c r="AM877" s="70"/>
      <c r="AN877" s="70"/>
      <c r="AO877" s="70"/>
      <c r="AP877" s="70"/>
      <c r="AQ877" s="70"/>
      <c r="AR877" s="70"/>
      <c r="AS877" s="70"/>
      <c r="AT877" s="70"/>
      <c r="AU877" s="70"/>
      <c r="AV877" s="70"/>
      <c r="AW877" s="70"/>
      <c r="AX877" s="70"/>
      <c r="AY877" s="70"/>
      <c r="AZ877" s="70"/>
      <c r="BA877" s="70"/>
      <c r="BB877" s="70"/>
      <c r="BC877" s="70"/>
      <c r="BD877" s="70"/>
      <c r="BE877" s="70"/>
      <c r="BF877" s="70"/>
      <c r="BG877" s="70"/>
      <c r="BH877" s="70"/>
      <c r="BI877" s="70"/>
      <c r="BJ877" s="70"/>
      <c r="BK877" s="70"/>
      <c r="BL877" s="70"/>
      <c r="BM877" s="70"/>
      <c r="BN877" s="70"/>
      <c r="BO877" s="70"/>
      <c r="BP877" s="70"/>
      <c r="BQ877" s="70"/>
      <c r="BR877" s="70"/>
      <c r="BS877" s="70"/>
      <c r="BT877" s="70"/>
      <c r="BU877" s="70"/>
      <c r="BV877" s="70"/>
      <c r="BW877" s="70"/>
      <c r="BX877" s="70"/>
      <c r="BY877" s="70"/>
      <c r="BZ877" s="70"/>
      <c r="CA877" s="70"/>
      <c r="CB877" s="70"/>
      <c r="CC877" s="70"/>
      <c r="CD877" s="70"/>
      <c r="CE877" s="70"/>
      <c r="CF877" s="70"/>
      <c r="CG877" s="70"/>
      <c r="CH877" s="70"/>
      <c r="CI877" s="70"/>
      <c r="CJ877" s="70"/>
      <c r="CK877" s="70"/>
      <c r="CL877" s="70"/>
      <c r="CM877" s="70"/>
      <c r="CN877" s="70"/>
      <c r="CO877" s="70"/>
      <c r="CP877" s="70"/>
      <c r="CQ877" s="70"/>
      <c r="CR877" s="70"/>
      <c r="CS877" s="70"/>
      <c r="CT877" s="70"/>
      <c r="CU877" s="70"/>
      <c r="CV877" s="70"/>
      <c r="CW877" s="70"/>
      <c r="CX877" s="70"/>
      <c r="CY877" s="70"/>
      <c r="CZ877" s="70"/>
      <c r="DA877" s="70"/>
      <c r="DB877" s="70"/>
      <c r="DC877" s="70"/>
      <c r="DD877" s="70"/>
      <c r="DE877" s="70"/>
      <c r="DF877" s="70"/>
      <c r="DG877" s="70"/>
      <c r="DH877" s="70"/>
      <c r="DI877" s="70"/>
      <c r="DJ877" s="70"/>
      <c r="DK877" s="70"/>
      <c r="DL877" s="70"/>
      <c r="DM877" s="70"/>
      <c r="DN877" s="70"/>
      <c r="DO877" s="70"/>
      <c r="DP877" s="70"/>
      <c r="DQ877" s="70"/>
      <c r="DR877" s="70"/>
      <c r="DS877" s="70"/>
      <c r="DT877" s="70"/>
      <c r="DU877" s="70"/>
      <c r="DV877" s="70"/>
      <c r="DW877" s="70"/>
      <c r="DX877" s="70"/>
      <c r="DY877" s="70"/>
      <c r="DZ877" s="70"/>
      <c r="EA877" s="70"/>
      <c r="EB877" s="70"/>
      <c r="EC877" s="70"/>
      <c r="ED877" s="70"/>
      <c r="EE877" s="95" t="s">
        <v>450</v>
      </c>
      <c r="EF877" s="95"/>
      <c r="EG877" s="95"/>
      <c r="EH877" s="70"/>
      <c r="EI877" s="216"/>
      <c r="EJ877" s="70"/>
      <c r="EK877" s="70"/>
      <c r="EL877" s="70"/>
      <c r="EM877" s="70"/>
      <c r="EN877" s="70"/>
      <c r="EO877" s="70"/>
      <c r="EP877" s="70"/>
      <c r="EQ877" s="70"/>
      <c r="ER877" s="70"/>
      <c r="ES877" s="70"/>
      <c r="ET877" s="70"/>
      <c r="EU877" s="70"/>
      <c r="EV877" s="70"/>
      <c r="EW877" s="70"/>
      <c r="EX877" s="70"/>
      <c r="EY877" s="70"/>
      <c r="EZ877" s="70"/>
      <c r="FA877" s="70"/>
      <c r="FB877" s="70"/>
      <c r="FC877" s="70"/>
      <c r="FD877" s="70"/>
      <c r="FE877" s="70"/>
      <c r="FF877" s="70"/>
      <c r="FG877" s="70"/>
      <c r="FH877" s="70"/>
      <c r="FI877" s="70"/>
      <c r="FJ877" s="70"/>
      <c r="FK877" s="70"/>
      <c r="FL877" s="70"/>
      <c r="FM877" s="70"/>
      <c r="FN877" s="70"/>
      <c r="FO877" s="70"/>
      <c r="FP877" s="70"/>
      <c r="FQ877" s="70"/>
      <c r="FR877" s="70"/>
      <c r="FS877" s="70"/>
      <c r="FT877" s="70"/>
      <c r="FU877" s="70"/>
      <c r="FV877" s="70"/>
      <c r="FW877" s="70"/>
      <c r="FX877" s="70"/>
      <c r="FY877" s="70"/>
      <c r="FZ877" s="70"/>
      <c r="GA877" s="70"/>
      <c r="GB877" s="70"/>
      <c r="GC877" s="70"/>
      <c r="GD877" s="70"/>
      <c r="GE877" s="70"/>
      <c r="GF877" s="70"/>
      <c r="GG877" s="70"/>
      <c r="GH877" s="70"/>
      <c r="GI877" s="70"/>
      <c r="GJ877" s="70"/>
      <c r="GK877" s="70"/>
      <c r="GL877" s="70"/>
      <c r="GM877" s="70"/>
      <c r="GN877" s="70"/>
      <c r="GO877" s="70"/>
      <c r="GP877" s="70"/>
      <c r="GQ877" s="70"/>
      <c r="GR877" s="70"/>
      <c r="GS877" s="70"/>
      <c r="GT877" s="70"/>
      <c r="GU877" s="70"/>
      <c r="GV877" s="70"/>
      <c r="GW877" s="70"/>
      <c r="GX877" s="70"/>
      <c r="GY877" s="70"/>
      <c r="GZ877" s="70"/>
      <c r="HA877" s="70"/>
      <c r="HB877" s="70"/>
      <c r="HC877" s="70"/>
      <c r="HD877" s="70"/>
      <c r="HE877" s="70"/>
      <c r="HF877" s="70"/>
      <c r="HG877" s="70"/>
      <c r="HH877" s="70"/>
      <c r="HI877" s="70"/>
      <c r="HJ877" s="70"/>
      <c r="HK877" s="70"/>
      <c r="HL877" s="70"/>
      <c r="HM877" s="70"/>
      <c r="HN877" s="70"/>
      <c r="HO877" s="70"/>
      <c r="HP877" s="70"/>
      <c r="HQ877" s="70"/>
      <c r="HR877" s="70"/>
      <c r="HS877" s="70"/>
      <c r="HT877" s="70"/>
      <c r="HU877" s="70"/>
      <c r="HV877" s="70"/>
      <c r="HW877" s="70"/>
      <c r="HX877" s="70"/>
      <c r="HY877" s="70"/>
      <c r="HZ877" s="70"/>
      <c r="IA877" s="70"/>
      <c r="IB877" s="70"/>
      <c r="IC877" s="70"/>
      <c r="ID877" s="70"/>
      <c r="IE877" s="70"/>
      <c r="IF877" s="70"/>
      <c r="IG877" s="70"/>
      <c r="IH877" s="70"/>
      <c r="II877" s="70"/>
      <c r="IJ877" s="70"/>
      <c r="IK877" s="70"/>
      <c r="IL877" s="70"/>
      <c r="IM877" s="70"/>
      <c r="IN877" s="70"/>
      <c r="IO877" s="70"/>
      <c r="IP877" s="70"/>
      <c r="IQ877" s="70"/>
    </row>
    <row r="878" spans="18:251" ht="16.5" hidden="1" customHeight="1">
      <c r="R878" s="95" t="s">
        <v>450</v>
      </c>
      <c r="S878" s="95"/>
      <c r="T878" s="95"/>
      <c r="U878" s="70"/>
      <c r="V878" s="214"/>
      <c r="W878" s="70"/>
      <c r="X878" s="70"/>
      <c r="Y878" s="70"/>
      <c r="Z878" s="70"/>
      <c r="AA878" s="70"/>
      <c r="AB878" s="70"/>
      <c r="AC878" s="70"/>
      <c r="AD878" s="70"/>
      <c r="AE878" s="70"/>
      <c r="AF878" s="70"/>
      <c r="AG878" s="70"/>
      <c r="AH878" s="70"/>
      <c r="AI878" s="70"/>
      <c r="AJ878" s="70"/>
      <c r="AK878" s="70"/>
      <c r="AL878" s="70"/>
      <c r="AM878" s="70"/>
      <c r="AN878" s="70"/>
      <c r="AO878" s="70"/>
      <c r="AP878" s="70"/>
      <c r="AQ878" s="70"/>
      <c r="AR878" s="70"/>
      <c r="AS878" s="70"/>
      <c r="AT878" s="70"/>
      <c r="AU878" s="70"/>
      <c r="AV878" s="70"/>
      <c r="AW878" s="70"/>
      <c r="AX878" s="70"/>
      <c r="AY878" s="70"/>
      <c r="AZ878" s="70"/>
      <c r="BA878" s="70"/>
      <c r="BB878" s="70"/>
      <c r="BC878" s="70"/>
      <c r="BD878" s="70"/>
      <c r="BE878" s="70"/>
      <c r="BF878" s="70"/>
      <c r="BG878" s="70"/>
      <c r="BH878" s="70"/>
      <c r="BI878" s="70"/>
      <c r="BJ878" s="70"/>
      <c r="BK878" s="70"/>
      <c r="BL878" s="70"/>
      <c r="BM878" s="70"/>
      <c r="BN878" s="70"/>
      <c r="BO878" s="70"/>
      <c r="BP878" s="70"/>
      <c r="BQ878" s="70"/>
      <c r="BR878" s="70"/>
      <c r="BS878" s="70"/>
      <c r="BT878" s="70"/>
      <c r="BU878" s="70"/>
      <c r="BV878" s="70"/>
      <c r="BW878" s="70"/>
      <c r="BX878" s="70"/>
      <c r="BY878" s="70"/>
      <c r="BZ878" s="70"/>
      <c r="CA878" s="70"/>
      <c r="CB878" s="70"/>
      <c r="CC878" s="70"/>
      <c r="CD878" s="70"/>
      <c r="CE878" s="70"/>
      <c r="CF878" s="70"/>
      <c r="CG878" s="70"/>
      <c r="CH878" s="70"/>
      <c r="CI878" s="70"/>
      <c r="CJ878" s="70"/>
      <c r="CK878" s="70"/>
      <c r="CL878" s="70"/>
      <c r="CM878" s="70"/>
      <c r="CN878" s="70"/>
      <c r="CO878" s="70"/>
      <c r="CP878" s="70"/>
      <c r="CQ878" s="70"/>
      <c r="CR878" s="70"/>
      <c r="CS878" s="70"/>
      <c r="CT878" s="70"/>
      <c r="CU878" s="70"/>
      <c r="CV878" s="70"/>
      <c r="CW878" s="70"/>
      <c r="CX878" s="70"/>
      <c r="CY878" s="70"/>
      <c r="CZ878" s="70"/>
      <c r="DA878" s="70"/>
      <c r="DB878" s="70"/>
      <c r="DC878" s="70"/>
      <c r="DD878" s="70"/>
      <c r="DE878" s="70"/>
      <c r="DF878" s="70"/>
      <c r="DG878" s="70"/>
      <c r="DH878" s="70"/>
      <c r="DI878" s="70"/>
      <c r="DJ878" s="70"/>
      <c r="DK878" s="70"/>
      <c r="DL878" s="70"/>
      <c r="DM878" s="70"/>
      <c r="DN878" s="70"/>
      <c r="DO878" s="70"/>
      <c r="DP878" s="70"/>
      <c r="DQ878" s="70"/>
      <c r="DR878" s="70"/>
      <c r="DS878" s="70"/>
      <c r="DT878" s="70"/>
      <c r="DU878" s="70"/>
      <c r="DV878" s="70"/>
      <c r="DW878" s="70"/>
      <c r="DX878" s="70"/>
      <c r="DY878" s="70"/>
      <c r="DZ878" s="70"/>
      <c r="EA878" s="70"/>
      <c r="EB878" s="70"/>
      <c r="EC878" s="70"/>
      <c r="ED878" s="70"/>
      <c r="EE878" s="95" t="s">
        <v>450</v>
      </c>
      <c r="EF878" s="95"/>
      <c r="EG878" s="95"/>
      <c r="EH878" s="70"/>
      <c r="EI878" s="216"/>
      <c r="EJ878" s="70"/>
      <c r="EK878" s="70"/>
      <c r="EL878" s="70"/>
      <c r="EM878" s="70"/>
      <c r="EN878" s="70"/>
      <c r="EO878" s="70"/>
      <c r="EP878" s="70"/>
      <c r="EQ878" s="70"/>
      <c r="ER878" s="70"/>
      <c r="ES878" s="70"/>
      <c r="ET878" s="70"/>
      <c r="EU878" s="70"/>
      <c r="EV878" s="70"/>
      <c r="EW878" s="70"/>
      <c r="EX878" s="70"/>
      <c r="EY878" s="70"/>
      <c r="EZ878" s="70"/>
      <c r="FA878" s="70"/>
      <c r="FB878" s="70"/>
      <c r="FC878" s="70"/>
      <c r="FD878" s="70"/>
      <c r="FE878" s="70"/>
      <c r="FF878" s="70"/>
      <c r="FG878" s="70"/>
      <c r="FH878" s="70"/>
      <c r="FI878" s="70"/>
      <c r="FJ878" s="70"/>
      <c r="FK878" s="70"/>
      <c r="FL878" s="70"/>
      <c r="FM878" s="70"/>
      <c r="FN878" s="70"/>
      <c r="FO878" s="70"/>
      <c r="FP878" s="70"/>
      <c r="FQ878" s="70"/>
      <c r="FR878" s="70"/>
      <c r="FS878" s="70"/>
      <c r="FT878" s="70"/>
      <c r="FU878" s="70"/>
      <c r="FV878" s="70"/>
      <c r="FW878" s="70"/>
      <c r="FX878" s="70"/>
      <c r="FY878" s="70"/>
      <c r="FZ878" s="70"/>
      <c r="GA878" s="70"/>
      <c r="GB878" s="70"/>
      <c r="GC878" s="70"/>
      <c r="GD878" s="70"/>
      <c r="GE878" s="70"/>
      <c r="GF878" s="70"/>
      <c r="GG878" s="70"/>
      <c r="GH878" s="70"/>
      <c r="GI878" s="70"/>
      <c r="GJ878" s="70"/>
      <c r="GK878" s="70"/>
      <c r="GL878" s="70"/>
      <c r="GM878" s="70"/>
      <c r="GN878" s="70"/>
      <c r="GO878" s="70"/>
      <c r="GP878" s="70"/>
      <c r="GQ878" s="70"/>
      <c r="GR878" s="70"/>
      <c r="GS878" s="70"/>
      <c r="GT878" s="70"/>
      <c r="GU878" s="70"/>
      <c r="GV878" s="70"/>
      <c r="GW878" s="70"/>
      <c r="GX878" s="70"/>
      <c r="GY878" s="70"/>
      <c r="GZ878" s="70"/>
      <c r="HA878" s="70"/>
      <c r="HB878" s="70"/>
      <c r="HC878" s="70"/>
      <c r="HD878" s="70"/>
      <c r="HE878" s="70"/>
      <c r="HF878" s="70"/>
      <c r="HG878" s="70"/>
      <c r="HH878" s="70"/>
      <c r="HI878" s="70"/>
      <c r="HJ878" s="70"/>
      <c r="HK878" s="70"/>
      <c r="HL878" s="70"/>
      <c r="HM878" s="70"/>
      <c r="HN878" s="70"/>
      <c r="HO878" s="70"/>
      <c r="HP878" s="70"/>
      <c r="HQ878" s="70"/>
      <c r="HR878" s="70"/>
      <c r="HS878" s="70"/>
      <c r="HT878" s="70"/>
      <c r="HU878" s="70"/>
      <c r="HV878" s="70"/>
      <c r="HW878" s="70"/>
      <c r="HX878" s="70"/>
      <c r="HY878" s="70"/>
      <c r="HZ878" s="70"/>
      <c r="IA878" s="70"/>
      <c r="IB878" s="70"/>
      <c r="IC878" s="70"/>
      <c r="ID878" s="70"/>
      <c r="IE878" s="70"/>
      <c r="IF878" s="70"/>
      <c r="IG878" s="70"/>
      <c r="IH878" s="70"/>
      <c r="II878" s="70"/>
      <c r="IJ878" s="70"/>
      <c r="IK878" s="70"/>
      <c r="IL878" s="70"/>
      <c r="IM878" s="70"/>
      <c r="IN878" s="70"/>
      <c r="IO878" s="70"/>
      <c r="IP878" s="70"/>
      <c r="IQ878" s="70"/>
    </row>
    <row r="879" spans="18:251" ht="16.5" hidden="1" customHeight="1">
      <c r="R879" s="95" t="s">
        <v>450</v>
      </c>
      <c r="S879" s="95"/>
      <c r="T879" s="95"/>
      <c r="U879" s="70"/>
      <c r="V879" s="214"/>
      <c r="W879" s="70"/>
      <c r="X879" s="70"/>
      <c r="Y879" s="70"/>
      <c r="Z879" s="70"/>
      <c r="AA879" s="70"/>
      <c r="AB879" s="70"/>
      <c r="AC879" s="70"/>
      <c r="AD879" s="70"/>
      <c r="AE879" s="70"/>
      <c r="AF879" s="70"/>
      <c r="AG879" s="70"/>
      <c r="AH879" s="70"/>
      <c r="AI879" s="70"/>
      <c r="AJ879" s="70"/>
      <c r="AK879" s="70"/>
      <c r="AL879" s="70"/>
      <c r="AM879" s="70"/>
      <c r="AN879" s="70"/>
      <c r="AO879" s="70"/>
      <c r="AP879" s="70"/>
      <c r="AQ879" s="70"/>
      <c r="AR879" s="70"/>
      <c r="AS879" s="70"/>
      <c r="AT879" s="70"/>
      <c r="AU879" s="70"/>
      <c r="AV879" s="70"/>
      <c r="AW879" s="70"/>
      <c r="AX879" s="70"/>
      <c r="AY879" s="70"/>
      <c r="AZ879" s="70"/>
      <c r="BA879" s="70"/>
      <c r="BB879" s="70"/>
      <c r="BC879" s="70"/>
      <c r="BD879" s="70"/>
      <c r="BE879" s="70"/>
      <c r="BF879" s="70"/>
      <c r="BG879" s="70"/>
      <c r="BH879" s="70"/>
      <c r="BI879" s="70"/>
      <c r="BJ879" s="70"/>
      <c r="BK879" s="70"/>
      <c r="BL879" s="70"/>
      <c r="BM879" s="70"/>
      <c r="BN879" s="70"/>
      <c r="BO879" s="70"/>
      <c r="BP879" s="70"/>
      <c r="BQ879" s="70"/>
      <c r="BR879" s="70"/>
      <c r="BS879" s="70"/>
      <c r="BT879" s="70"/>
      <c r="BU879" s="70"/>
      <c r="BV879" s="70"/>
      <c r="BW879" s="70"/>
      <c r="BX879" s="70"/>
      <c r="BY879" s="70"/>
      <c r="BZ879" s="70"/>
      <c r="CA879" s="70"/>
      <c r="CB879" s="70"/>
      <c r="CC879" s="70"/>
      <c r="CD879" s="70"/>
      <c r="CE879" s="70"/>
      <c r="CF879" s="70"/>
      <c r="CG879" s="70"/>
      <c r="CH879" s="70"/>
      <c r="CI879" s="70"/>
      <c r="CJ879" s="70"/>
      <c r="CK879" s="70"/>
      <c r="CL879" s="70"/>
      <c r="CM879" s="70"/>
      <c r="CN879" s="70"/>
      <c r="CO879" s="70"/>
      <c r="CP879" s="70"/>
      <c r="CQ879" s="70"/>
      <c r="CR879" s="70"/>
      <c r="CS879" s="70"/>
      <c r="CT879" s="70"/>
      <c r="CU879" s="70"/>
      <c r="CV879" s="70"/>
      <c r="CW879" s="70"/>
      <c r="CX879" s="70"/>
      <c r="CY879" s="70"/>
      <c r="CZ879" s="70"/>
      <c r="DA879" s="70"/>
      <c r="DB879" s="70"/>
      <c r="DC879" s="70"/>
      <c r="DD879" s="70"/>
      <c r="DE879" s="70"/>
      <c r="DF879" s="70"/>
      <c r="DG879" s="70"/>
      <c r="DH879" s="70"/>
      <c r="DI879" s="70"/>
      <c r="DJ879" s="70"/>
      <c r="DK879" s="70"/>
      <c r="DL879" s="70"/>
      <c r="DM879" s="70"/>
      <c r="DN879" s="70"/>
      <c r="DO879" s="70"/>
      <c r="DP879" s="70"/>
      <c r="DQ879" s="70"/>
      <c r="DR879" s="70"/>
      <c r="DS879" s="70"/>
      <c r="DT879" s="70"/>
      <c r="DU879" s="70"/>
      <c r="DV879" s="70"/>
      <c r="DW879" s="70"/>
      <c r="DX879" s="70"/>
      <c r="DY879" s="70"/>
      <c r="DZ879" s="70"/>
      <c r="EA879" s="70"/>
      <c r="EB879" s="70"/>
      <c r="EC879" s="70"/>
      <c r="ED879" s="70"/>
      <c r="EE879" s="95" t="s">
        <v>450</v>
      </c>
      <c r="EF879" s="95"/>
      <c r="EG879" s="95"/>
      <c r="EH879" s="70"/>
      <c r="EI879" s="216"/>
      <c r="EJ879" s="70"/>
      <c r="EK879" s="70"/>
      <c r="EL879" s="70"/>
      <c r="EM879" s="70"/>
      <c r="EN879" s="70"/>
      <c r="EO879" s="70"/>
      <c r="EP879" s="70"/>
      <c r="EQ879" s="70"/>
      <c r="ER879" s="70"/>
      <c r="ES879" s="70"/>
      <c r="ET879" s="70"/>
      <c r="EU879" s="70"/>
      <c r="EV879" s="70"/>
      <c r="EW879" s="70"/>
      <c r="EX879" s="70"/>
      <c r="EY879" s="70"/>
      <c r="EZ879" s="70"/>
      <c r="FA879" s="70"/>
      <c r="FB879" s="70"/>
      <c r="FC879" s="70"/>
      <c r="FD879" s="70"/>
      <c r="FE879" s="70"/>
      <c r="FF879" s="70"/>
      <c r="FG879" s="70"/>
      <c r="FH879" s="70"/>
      <c r="FI879" s="70"/>
      <c r="FJ879" s="70"/>
      <c r="FK879" s="70"/>
      <c r="FL879" s="70"/>
      <c r="FM879" s="70"/>
      <c r="FN879" s="70"/>
      <c r="FO879" s="70"/>
      <c r="FP879" s="70"/>
      <c r="FQ879" s="70"/>
      <c r="FR879" s="70"/>
      <c r="FS879" s="70"/>
      <c r="FT879" s="70"/>
      <c r="FU879" s="70"/>
      <c r="FV879" s="70"/>
      <c r="FW879" s="70"/>
      <c r="FX879" s="70"/>
      <c r="FY879" s="70"/>
      <c r="FZ879" s="70"/>
      <c r="GA879" s="70"/>
      <c r="GB879" s="70"/>
      <c r="GC879" s="70"/>
      <c r="GD879" s="70"/>
      <c r="GE879" s="70"/>
      <c r="GF879" s="70"/>
      <c r="GG879" s="70"/>
      <c r="GH879" s="70"/>
      <c r="GI879" s="70"/>
      <c r="GJ879" s="70"/>
      <c r="GK879" s="70"/>
      <c r="GL879" s="70"/>
      <c r="GM879" s="70"/>
      <c r="GN879" s="70"/>
      <c r="GO879" s="70"/>
      <c r="GP879" s="70"/>
      <c r="GQ879" s="70"/>
      <c r="GR879" s="70"/>
      <c r="GS879" s="70"/>
      <c r="GT879" s="70"/>
      <c r="GU879" s="70"/>
      <c r="GV879" s="70"/>
      <c r="GW879" s="70"/>
      <c r="GX879" s="70"/>
      <c r="GY879" s="70"/>
      <c r="GZ879" s="70"/>
      <c r="HA879" s="70"/>
      <c r="HB879" s="70"/>
      <c r="HC879" s="70"/>
      <c r="HD879" s="70"/>
      <c r="HE879" s="70"/>
      <c r="HF879" s="70"/>
      <c r="HG879" s="70"/>
      <c r="HH879" s="70"/>
      <c r="HI879" s="70"/>
      <c r="HJ879" s="70"/>
      <c r="HK879" s="70"/>
      <c r="HL879" s="70"/>
      <c r="HM879" s="70"/>
      <c r="HN879" s="70"/>
      <c r="HO879" s="70"/>
      <c r="HP879" s="70"/>
      <c r="HQ879" s="70"/>
      <c r="HR879" s="70"/>
      <c r="HS879" s="70"/>
      <c r="HT879" s="70"/>
      <c r="HU879" s="70"/>
      <c r="HV879" s="70"/>
      <c r="HW879" s="70"/>
      <c r="HX879" s="70"/>
      <c r="HY879" s="70"/>
      <c r="HZ879" s="70"/>
      <c r="IA879" s="70"/>
      <c r="IB879" s="70"/>
      <c r="IC879" s="70"/>
      <c r="ID879" s="70"/>
      <c r="IE879" s="70"/>
      <c r="IF879" s="70"/>
      <c r="IG879" s="70"/>
      <c r="IH879" s="70"/>
      <c r="II879" s="70"/>
      <c r="IJ879" s="70"/>
      <c r="IK879" s="70"/>
      <c r="IL879" s="70"/>
      <c r="IM879" s="70"/>
      <c r="IN879" s="70"/>
      <c r="IO879" s="70"/>
      <c r="IP879" s="70"/>
      <c r="IQ879" s="70"/>
    </row>
    <row r="880" spans="18:251" ht="16.5" hidden="1" customHeight="1">
      <c r="R880" s="95" t="s">
        <v>450</v>
      </c>
      <c r="S880" s="95"/>
      <c r="T880" s="95"/>
      <c r="U880" s="70"/>
      <c r="V880" s="214"/>
      <c r="W880" s="70"/>
      <c r="X880" s="70"/>
      <c r="Y880" s="70"/>
      <c r="Z880" s="70"/>
      <c r="AA880" s="70"/>
      <c r="AB880" s="70"/>
      <c r="AC880" s="70"/>
      <c r="AD880" s="70"/>
      <c r="AE880" s="70"/>
      <c r="AF880" s="70"/>
      <c r="AG880" s="70"/>
      <c r="AH880" s="70"/>
      <c r="AI880" s="70"/>
      <c r="AJ880" s="70"/>
      <c r="AK880" s="70"/>
      <c r="AL880" s="70"/>
      <c r="AM880" s="70"/>
      <c r="AN880" s="70"/>
      <c r="AO880" s="70"/>
      <c r="AP880" s="70"/>
      <c r="AQ880" s="70"/>
      <c r="AR880" s="70"/>
      <c r="AS880" s="70"/>
      <c r="AT880" s="70"/>
      <c r="AU880" s="70"/>
      <c r="AV880" s="70"/>
      <c r="AW880" s="70"/>
      <c r="AX880" s="70"/>
      <c r="AY880" s="70"/>
      <c r="AZ880" s="70"/>
      <c r="BA880" s="70"/>
      <c r="BB880" s="70"/>
      <c r="BC880" s="70"/>
      <c r="BD880" s="70"/>
      <c r="BE880" s="70"/>
      <c r="BF880" s="70"/>
      <c r="BG880" s="70"/>
      <c r="BH880" s="70"/>
      <c r="BI880" s="70"/>
      <c r="BJ880" s="70"/>
      <c r="BK880" s="70"/>
      <c r="BL880" s="70"/>
      <c r="BM880" s="70"/>
      <c r="BN880" s="70"/>
      <c r="BO880" s="70"/>
      <c r="BP880" s="70"/>
      <c r="BQ880" s="70"/>
      <c r="BR880" s="70"/>
      <c r="BS880" s="70"/>
      <c r="BT880" s="70"/>
      <c r="BU880" s="70"/>
      <c r="BV880" s="70"/>
      <c r="BW880" s="70"/>
      <c r="BX880" s="70"/>
      <c r="BY880" s="70"/>
      <c r="BZ880" s="70"/>
      <c r="CA880" s="70"/>
      <c r="CB880" s="70"/>
      <c r="CC880" s="70"/>
      <c r="CD880" s="70"/>
      <c r="CE880" s="70"/>
      <c r="CF880" s="70"/>
      <c r="CG880" s="70"/>
      <c r="CH880" s="70"/>
      <c r="CI880" s="70"/>
      <c r="CJ880" s="70"/>
      <c r="CK880" s="70"/>
      <c r="CL880" s="70"/>
      <c r="CM880" s="70"/>
      <c r="CN880" s="70"/>
      <c r="CO880" s="70"/>
      <c r="CP880" s="70"/>
      <c r="CQ880" s="70"/>
      <c r="CR880" s="70"/>
      <c r="CS880" s="70"/>
      <c r="CT880" s="70"/>
      <c r="CU880" s="70"/>
      <c r="CV880" s="70"/>
      <c r="CW880" s="70"/>
      <c r="CX880" s="70"/>
      <c r="CY880" s="70"/>
      <c r="CZ880" s="70"/>
      <c r="DA880" s="70"/>
      <c r="DB880" s="70"/>
      <c r="DC880" s="70"/>
      <c r="DD880" s="70"/>
      <c r="DE880" s="70"/>
      <c r="DF880" s="70"/>
      <c r="DG880" s="70"/>
      <c r="DH880" s="70"/>
      <c r="DI880" s="70"/>
      <c r="DJ880" s="70"/>
      <c r="DK880" s="70"/>
      <c r="DL880" s="70"/>
      <c r="DM880" s="70"/>
      <c r="DN880" s="70"/>
      <c r="DO880" s="70"/>
      <c r="DP880" s="70"/>
      <c r="DQ880" s="70"/>
      <c r="DR880" s="70"/>
      <c r="DS880" s="70"/>
      <c r="DT880" s="70"/>
      <c r="DU880" s="70"/>
      <c r="DV880" s="70"/>
      <c r="DW880" s="70"/>
      <c r="DX880" s="70"/>
      <c r="DY880" s="70"/>
      <c r="DZ880" s="70"/>
      <c r="EA880" s="70"/>
      <c r="EB880" s="70"/>
      <c r="EC880" s="70"/>
      <c r="ED880" s="70"/>
      <c r="EE880" s="95" t="s">
        <v>450</v>
      </c>
      <c r="EF880" s="95"/>
      <c r="EG880" s="95"/>
      <c r="EH880" s="70"/>
      <c r="EI880" s="216"/>
      <c r="EJ880" s="70"/>
      <c r="EK880" s="70"/>
      <c r="EL880" s="70"/>
      <c r="EM880" s="70"/>
      <c r="EN880" s="70"/>
      <c r="EO880" s="70"/>
      <c r="EP880" s="70"/>
      <c r="EQ880" s="70"/>
      <c r="ER880" s="70"/>
      <c r="ES880" s="70"/>
      <c r="ET880" s="70"/>
      <c r="EU880" s="70"/>
      <c r="EV880" s="70"/>
      <c r="EW880" s="70"/>
      <c r="EX880" s="70"/>
      <c r="EY880" s="70"/>
      <c r="EZ880" s="70"/>
      <c r="FA880" s="70"/>
      <c r="FB880" s="70"/>
      <c r="FC880" s="70"/>
      <c r="FD880" s="70"/>
      <c r="FE880" s="70"/>
      <c r="FF880" s="70"/>
      <c r="FG880" s="70"/>
      <c r="FH880" s="70"/>
      <c r="FI880" s="70"/>
      <c r="FJ880" s="70"/>
      <c r="FK880" s="70"/>
      <c r="FL880" s="70"/>
      <c r="FM880" s="70"/>
      <c r="FN880" s="70"/>
      <c r="FO880" s="70"/>
      <c r="FP880" s="70"/>
      <c r="FQ880" s="70"/>
      <c r="FR880" s="70"/>
      <c r="FS880" s="70"/>
      <c r="FT880" s="70"/>
      <c r="FU880" s="70"/>
      <c r="FV880" s="70"/>
      <c r="FW880" s="70"/>
      <c r="FX880" s="70"/>
      <c r="FY880" s="70"/>
      <c r="FZ880" s="70"/>
      <c r="GA880" s="70"/>
      <c r="GB880" s="70"/>
      <c r="GC880" s="70"/>
      <c r="GD880" s="70"/>
      <c r="GE880" s="70"/>
      <c r="GF880" s="70"/>
      <c r="GG880" s="70"/>
      <c r="GH880" s="70"/>
      <c r="GI880" s="70"/>
      <c r="GJ880" s="70"/>
      <c r="GK880" s="70"/>
      <c r="GL880" s="70"/>
      <c r="GM880" s="70"/>
      <c r="GN880" s="70"/>
      <c r="GO880" s="70"/>
      <c r="GP880" s="70"/>
      <c r="GQ880" s="70"/>
      <c r="GR880" s="70"/>
      <c r="GS880" s="70"/>
      <c r="GT880" s="70"/>
      <c r="GU880" s="70"/>
      <c r="GV880" s="70"/>
      <c r="GW880" s="70"/>
      <c r="GX880" s="70"/>
      <c r="GY880" s="70"/>
      <c r="GZ880" s="70"/>
      <c r="HA880" s="70"/>
      <c r="HB880" s="70"/>
      <c r="HC880" s="70"/>
      <c r="HD880" s="70"/>
      <c r="HE880" s="70"/>
      <c r="HF880" s="70"/>
      <c r="HG880" s="70"/>
      <c r="HH880" s="70"/>
      <c r="HI880" s="70"/>
      <c r="HJ880" s="70"/>
      <c r="HK880" s="70"/>
      <c r="HL880" s="70"/>
      <c r="HM880" s="70"/>
      <c r="HN880" s="70"/>
      <c r="HO880" s="70"/>
      <c r="HP880" s="70"/>
      <c r="HQ880" s="70"/>
      <c r="HR880" s="70"/>
      <c r="HS880" s="70"/>
      <c r="HT880" s="70"/>
      <c r="HU880" s="70"/>
      <c r="HV880" s="70"/>
      <c r="HW880" s="70"/>
      <c r="HX880" s="70"/>
      <c r="HY880" s="70"/>
      <c r="HZ880" s="70"/>
      <c r="IA880" s="70"/>
      <c r="IB880" s="70"/>
      <c r="IC880" s="70"/>
      <c r="ID880" s="70"/>
      <c r="IE880" s="70"/>
      <c r="IF880" s="70"/>
      <c r="IG880" s="70"/>
      <c r="IH880" s="70"/>
      <c r="II880" s="70"/>
      <c r="IJ880" s="70"/>
      <c r="IK880" s="70"/>
      <c r="IL880" s="70"/>
      <c r="IM880" s="70"/>
      <c r="IN880" s="70"/>
      <c r="IO880" s="70"/>
      <c r="IP880" s="70"/>
      <c r="IQ880" s="70"/>
    </row>
    <row r="881" spans="18:251" ht="16.5" hidden="1" customHeight="1">
      <c r="R881" s="95" t="s">
        <v>450</v>
      </c>
      <c r="S881" s="95"/>
      <c r="T881" s="95"/>
      <c r="U881" s="70"/>
      <c r="V881" s="214"/>
      <c r="W881" s="70"/>
      <c r="X881" s="70"/>
      <c r="Y881" s="70"/>
      <c r="Z881" s="70"/>
      <c r="AA881" s="70"/>
      <c r="AB881" s="70"/>
      <c r="AC881" s="70"/>
      <c r="AD881" s="70"/>
      <c r="AE881" s="70"/>
      <c r="AF881" s="70"/>
      <c r="AG881" s="70"/>
      <c r="AH881" s="70"/>
      <c r="AI881" s="70"/>
      <c r="AJ881" s="70"/>
      <c r="AK881" s="70"/>
      <c r="AL881" s="70"/>
      <c r="AM881" s="70"/>
      <c r="AN881" s="70"/>
      <c r="AO881" s="70"/>
      <c r="AP881" s="70"/>
      <c r="AQ881" s="70"/>
      <c r="AR881" s="70"/>
      <c r="AS881" s="70"/>
      <c r="AT881" s="70"/>
      <c r="AU881" s="70"/>
      <c r="AV881" s="70"/>
      <c r="AW881" s="70"/>
      <c r="AX881" s="70"/>
      <c r="AY881" s="70"/>
      <c r="AZ881" s="70"/>
      <c r="BA881" s="70"/>
      <c r="BB881" s="70"/>
      <c r="BC881" s="70"/>
      <c r="BD881" s="70"/>
      <c r="BE881" s="70"/>
      <c r="BF881" s="70"/>
      <c r="BG881" s="70"/>
      <c r="BH881" s="70"/>
      <c r="BI881" s="70"/>
      <c r="BJ881" s="70"/>
      <c r="BK881" s="70"/>
      <c r="BL881" s="70"/>
      <c r="BM881" s="70"/>
      <c r="BN881" s="70"/>
      <c r="BO881" s="70"/>
      <c r="BP881" s="70"/>
      <c r="BQ881" s="70"/>
      <c r="BR881" s="70"/>
      <c r="BS881" s="70"/>
      <c r="BT881" s="70"/>
      <c r="BU881" s="70"/>
      <c r="BV881" s="70"/>
      <c r="BW881" s="70"/>
      <c r="BX881" s="70"/>
      <c r="BY881" s="70"/>
      <c r="BZ881" s="70"/>
      <c r="CA881" s="70"/>
      <c r="CB881" s="70"/>
      <c r="CC881" s="70"/>
      <c r="CD881" s="70"/>
      <c r="CE881" s="70"/>
      <c r="CF881" s="70"/>
      <c r="CG881" s="70"/>
      <c r="CH881" s="70"/>
      <c r="CI881" s="70"/>
      <c r="CJ881" s="70"/>
      <c r="CK881" s="70"/>
      <c r="CL881" s="70"/>
      <c r="CM881" s="70"/>
      <c r="CN881" s="70"/>
      <c r="CO881" s="70"/>
      <c r="CP881" s="70"/>
      <c r="CQ881" s="70"/>
      <c r="CR881" s="70"/>
      <c r="CS881" s="70"/>
      <c r="CT881" s="70"/>
      <c r="CU881" s="70"/>
      <c r="CV881" s="70"/>
      <c r="CW881" s="70"/>
      <c r="CX881" s="70"/>
      <c r="CY881" s="70"/>
      <c r="CZ881" s="70"/>
      <c r="DA881" s="70"/>
      <c r="DB881" s="70"/>
      <c r="DC881" s="70"/>
      <c r="DD881" s="70"/>
      <c r="DE881" s="70"/>
      <c r="DF881" s="70"/>
      <c r="DG881" s="70"/>
      <c r="DH881" s="70"/>
      <c r="DI881" s="70"/>
      <c r="DJ881" s="70"/>
      <c r="DK881" s="70"/>
      <c r="DL881" s="70"/>
      <c r="DM881" s="70"/>
      <c r="DN881" s="70"/>
      <c r="DO881" s="70"/>
      <c r="DP881" s="70"/>
      <c r="DQ881" s="70"/>
      <c r="DR881" s="70"/>
      <c r="DS881" s="70"/>
      <c r="DT881" s="70"/>
      <c r="DU881" s="70"/>
      <c r="DV881" s="70"/>
      <c r="DW881" s="70"/>
      <c r="DX881" s="70"/>
      <c r="DY881" s="70"/>
      <c r="DZ881" s="70"/>
      <c r="EA881" s="70"/>
      <c r="EB881" s="70"/>
      <c r="EC881" s="70"/>
      <c r="ED881" s="70"/>
      <c r="EE881" s="95" t="s">
        <v>450</v>
      </c>
      <c r="EF881" s="95"/>
      <c r="EG881" s="95"/>
      <c r="EH881" s="70"/>
      <c r="EI881" s="216"/>
      <c r="EJ881" s="70"/>
      <c r="EK881" s="70"/>
      <c r="EL881" s="70"/>
      <c r="EM881" s="70"/>
      <c r="EN881" s="70"/>
      <c r="EO881" s="70"/>
      <c r="EP881" s="70"/>
      <c r="EQ881" s="70"/>
      <c r="ER881" s="70"/>
      <c r="ES881" s="70"/>
      <c r="ET881" s="70"/>
      <c r="EU881" s="70"/>
      <c r="EV881" s="70"/>
      <c r="EW881" s="70"/>
      <c r="EX881" s="70"/>
      <c r="EY881" s="70"/>
      <c r="EZ881" s="70"/>
      <c r="FA881" s="70"/>
      <c r="FB881" s="70"/>
      <c r="FC881" s="70"/>
      <c r="FD881" s="70"/>
      <c r="FE881" s="70"/>
      <c r="FF881" s="70"/>
      <c r="FG881" s="70"/>
      <c r="FH881" s="70"/>
      <c r="FI881" s="70"/>
      <c r="FJ881" s="70"/>
      <c r="FK881" s="70"/>
      <c r="FL881" s="70"/>
      <c r="FM881" s="70"/>
      <c r="FN881" s="70"/>
      <c r="FO881" s="70"/>
      <c r="FP881" s="70"/>
      <c r="FQ881" s="70"/>
      <c r="FR881" s="70"/>
      <c r="FS881" s="70"/>
      <c r="FT881" s="70"/>
      <c r="FU881" s="70"/>
      <c r="FV881" s="70"/>
      <c r="FW881" s="70"/>
      <c r="FX881" s="70"/>
      <c r="FY881" s="70"/>
      <c r="FZ881" s="70"/>
      <c r="GA881" s="70"/>
      <c r="GB881" s="70"/>
      <c r="GC881" s="70"/>
      <c r="GD881" s="70"/>
      <c r="GE881" s="70"/>
      <c r="GF881" s="70"/>
      <c r="GG881" s="70"/>
      <c r="GH881" s="70"/>
      <c r="GI881" s="70"/>
      <c r="GJ881" s="70"/>
      <c r="GK881" s="70"/>
      <c r="GL881" s="70"/>
      <c r="GM881" s="70"/>
      <c r="GN881" s="70"/>
      <c r="GO881" s="70"/>
      <c r="GP881" s="70"/>
      <c r="GQ881" s="70"/>
      <c r="GR881" s="70"/>
      <c r="GS881" s="70"/>
      <c r="GT881" s="70"/>
      <c r="GU881" s="70"/>
      <c r="GV881" s="70"/>
      <c r="GW881" s="70"/>
      <c r="GX881" s="70"/>
      <c r="GY881" s="70"/>
      <c r="GZ881" s="70"/>
      <c r="HA881" s="70"/>
      <c r="HB881" s="70"/>
      <c r="HC881" s="70"/>
      <c r="HD881" s="70"/>
      <c r="HE881" s="70"/>
      <c r="HF881" s="70"/>
      <c r="HG881" s="70"/>
      <c r="HH881" s="70"/>
      <c r="HI881" s="70"/>
      <c r="HJ881" s="70"/>
      <c r="HK881" s="70"/>
      <c r="HL881" s="70"/>
      <c r="HM881" s="70"/>
      <c r="HN881" s="70"/>
      <c r="HO881" s="70"/>
      <c r="HP881" s="70"/>
      <c r="HQ881" s="70"/>
      <c r="HR881" s="70"/>
      <c r="HS881" s="70"/>
      <c r="HT881" s="70"/>
      <c r="HU881" s="70"/>
      <c r="HV881" s="70"/>
      <c r="HW881" s="70"/>
      <c r="HX881" s="70"/>
      <c r="HY881" s="70"/>
      <c r="HZ881" s="70"/>
      <c r="IA881" s="70"/>
      <c r="IB881" s="70"/>
      <c r="IC881" s="70"/>
      <c r="ID881" s="70"/>
      <c r="IE881" s="70"/>
      <c r="IF881" s="70"/>
      <c r="IG881" s="70"/>
      <c r="IH881" s="70"/>
      <c r="II881" s="70"/>
      <c r="IJ881" s="70"/>
      <c r="IK881" s="70"/>
      <c r="IL881" s="70"/>
      <c r="IM881" s="70"/>
      <c r="IN881" s="70"/>
      <c r="IO881" s="70"/>
      <c r="IP881" s="70"/>
      <c r="IQ881" s="70"/>
    </row>
    <row r="882" spans="18:251" ht="16.5" hidden="1" customHeight="1">
      <c r="R882" s="95" t="s">
        <v>450</v>
      </c>
      <c r="S882" s="95"/>
      <c r="T882" s="95"/>
      <c r="U882" s="70"/>
      <c r="V882" s="214"/>
      <c r="W882" s="70"/>
      <c r="X882" s="70"/>
      <c r="Y882" s="70"/>
      <c r="Z882" s="70"/>
      <c r="AA882" s="70"/>
      <c r="AB882" s="70"/>
      <c r="AC882" s="70"/>
      <c r="AD882" s="70"/>
      <c r="AE882" s="70"/>
      <c r="AF882" s="70"/>
      <c r="AG882" s="70"/>
      <c r="AH882" s="70"/>
      <c r="AI882" s="70"/>
      <c r="AJ882" s="70"/>
      <c r="AK882" s="70"/>
      <c r="AL882" s="70"/>
      <c r="AM882" s="70"/>
      <c r="AN882" s="70"/>
      <c r="AO882" s="70"/>
      <c r="AP882" s="70"/>
      <c r="AQ882" s="70"/>
      <c r="AR882" s="70"/>
      <c r="AS882" s="70"/>
      <c r="AT882" s="70"/>
      <c r="AU882" s="70"/>
      <c r="AV882" s="70"/>
      <c r="AW882" s="70"/>
      <c r="AX882" s="70"/>
      <c r="AY882" s="70"/>
      <c r="AZ882" s="70"/>
      <c r="BA882" s="70"/>
      <c r="BB882" s="70"/>
      <c r="BC882" s="70"/>
      <c r="BD882" s="70"/>
      <c r="BE882" s="70"/>
      <c r="BF882" s="70"/>
      <c r="BG882" s="70"/>
      <c r="BH882" s="70"/>
      <c r="BI882" s="70"/>
      <c r="BJ882" s="70"/>
      <c r="BK882" s="70"/>
      <c r="BL882" s="70"/>
      <c r="BM882" s="70"/>
      <c r="BN882" s="70"/>
      <c r="BO882" s="70"/>
      <c r="BP882" s="70"/>
      <c r="BQ882" s="70"/>
      <c r="BR882" s="70"/>
      <c r="BS882" s="70"/>
      <c r="BT882" s="70"/>
      <c r="BU882" s="70"/>
      <c r="BV882" s="70"/>
      <c r="BW882" s="70"/>
      <c r="BX882" s="70"/>
      <c r="BY882" s="70"/>
      <c r="BZ882" s="70"/>
      <c r="CA882" s="70"/>
      <c r="CB882" s="70"/>
      <c r="CC882" s="70"/>
      <c r="CD882" s="70"/>
      <c r="CE882" s="70"/>
      <c r="CF882" s="70"/>
      <c r="CG882" s="70"/>
      <c r="CH882" s="70"/>
      <c r="CI882" s="70"/>
      <c r="CJ882" s="70"/>
      <c r="CK882" s="70"/>
      <c r="CL882" s="70"/>
      <c r="CM882" s="70"/>
      <c r="CN882" s="70"/>
      <c r="CO882" s="70"/>
      <c r="CP882" s="70"/>
      <c r="CQ882" s="70"/>
      <c r="CR882" s="70"/>
      <c r="CS882" s="70"/>
      <c r="CT882" s="70"/>
      <c r="CU882" s="70"/>
      <c r="CV882" s="70"/>
      <c r="CW882" s="70"/>
      <c r="CX882" s="70"/>
      <c r="CY882" s="70"/>
      <c r="CZ882" s="70"/>
      <c r="DA882" s="70"/>
      <c r="DB882" s="70"/>
      <c r="DC882" s="70"/>
      <c r="DD882" s="70"/>
      <c r="DE882" s="70"/>
      <c r="DF882" s="70"/>
      <c r="DG882" s="70"/>
      <c r="DH882" s="70"/>
      <c r="DI882" s="70"/>
      <c r="DJ882" s="70"/>
      <c r="DK882" s="70"/>
      <c r="DL882" s="70"/>
      <c r="DM882" s="70"/>
      <c r="DN882" s="70"/>
      <c r="DO882" s="70"/>
      <c r="DP882" s="70"/>
      <c r="DQ882" s="70"/>
      <c r="DR882" s="70"/>
      <c r="DS882" s="70"/>
      <c r="DT882" s="70"/>
      <c r="DU882" s="70"/>
      <c r="DV882" s="70"/>
      <c r="DW882" s="70"/>
      <c r="DX882" s="70"/>
      <c r="DY882" s="70"/>
      <c r="DZ882" s="70"/>
      <c r="EA882" s="70"/>
      <c r="EB882" s="70"/>
      <c r="EC882" s="70"/>
      <c r="ED882" s="70"/>
      <c r="EE882" s="95" t="s">
        <v>450</v>
      </c>
      <c r="EF882" s="95"/>
      <c r="EG882" s="95"/>
      <c r="EH882" s="70"/>
      <c r="EI882" s="216"/>
      <c r="EJ882" s="70"/>
      <c r="EK882" s="70"/>
      <c r="EL882" s="70"/>
      <c r="EM882" s="70"/>
      <c r="EN882" s="70"/>
      <c r="EO882" s="70"/>
      <c r="EP882" s="70"/>
      <c r="EQ882" s="70"/>
      <c r="ER882" s="70"/>
      <c r="ES882" s="70"/>
      <c r="ET882" s="70"/>
      <c r="EU882" s="70"/>
      <c r="EV882" s="70"/>
      <c r="EW882" s="70"/>
      <c r="EX882" s="70"/>
      <c r="EY882" s="70"/>
      <c r="EZ882" s="70"/>
      <c r="FA882" s="70"/>
      <c r="FB882" s="70"/>
      <c r="FC882" s="70"/>
      <c r="FD882" s="70"/>
      <c r="FE882" s="70"/>
      <c r="FF882" s="70"/>
      <c r="FG882" s="70"/>
      <c r="FH882" s="70"/>
      <c r="FI882" s="70"/>
      <c r="FJ882" s="70"/>
      <c r="FK882" s="70"/>
      <c r="FL882" s="70"/>
      <c r="FM882" s="70"/>
      <c r="FN882" s="70"/>
      <c r="FO882" s="70"/>
      <c r="FP882" s="70"/>
      <c r="FQ882" s="70"/>
      <c r="FR882" s="70"/>
      <c r="FS882" s="70"/>
      <c r="FT882" s="70"/>
      <c r="FU882" s="70"/>
      <c r="FV882" s="70"/>
      <c r="FW882" s="70"/>
      <c r="FX882" s="70"/>
      <c r="FY882" s="70"/>
      <c r="FZ882" s="70"/>
      <c r="GA882" s="70"/>
      <c r="GB882" s="70"/>
      <c r="GC882" s="70"/>
      <c r="GD882" s="70"/>
      <c r="GE882" s="70"/>
      <c r="GF882" s="70"/>
      <c r="GG882" s="70"/>
      <c r="GH882" s="70"/>
      <c r="GI882" s="70"/>
      <c r="GJ882" s="70"/>
      <c r="GK882" s="70"/>
      <c r="GL882" s="70"/>
      <c r="GM882" s="70"/>
      <c r="GN882" s="70"/>
      <c r="GO882" s="70"/>
      <c r="GP882" s="70"/>
      <c r="GQ882" s="70"/>
      <c r="GR882" s="70"/>
      <c r="GS882" s="70"/>
      <c r="GT882" s="70"/>
      <c r="GU882" s="70"/>
      <c r="GV882" s="70"/>
      <c r="GW882" s="70"/>
      <c r="GX882" s="70"/>
      <c r="GY882" s="70"/>
      <c r="GZ882" s="70"/>
      <c r="HA882" s="70"/>
      <c r="HB882" s="70"/>
      <c r="HC882" s="70"/>
      <c r="HD882" s="70"/>
      <c r="HE882" s="70"/>
      <c r="HF882" s="70"/>
      <c r="HG882" s="70"/>
      <c r="HH882" s="70"/>
      <c r="HI882" s="70"/>
      <c r="HJ882" s="70"/>
      <c r="HK882" s="70"/>
      <c r="HL882" s="70"/>
      <c r="HM882" s="70"/>
      <c r="HN882" s="70"/>
      <c r="HO882" s="70"/>
      <c r="HP882" s="70"/>
      <c r="HQ882" s="70"/>
      <c r="HR882" s="70"/>
      <c r="HS882" s="70"/>
      <c r="HT882" s="70"/>
      <c r="HU882" s="70"/>
      <c r="HV882" s="70"/>
      <c r="HW882" s="70"/>
      <c r="HX882" s="70"/>
      <c r="HY882" s="70"/>
      <c r="HZ882" s="70"/>
      <c r="IA882" s="70"/>
      <c r="IB882" s="70"/>
      <c r="IC882" s="70"/>
      <c r="ID882" s="70"/>
      <c r="IE882" s="70"/>
      <c r="IF882" s="70"/>
      <c r="IG882" s="70"/>
      <c r="IH882" s="70"/>
      <c r="II882" s="70"/>
      <c r="IJ882" s="70"/>
      <c r="IK882" s="70"/>
      <c r="IL882" s="70"/>
      <c r="IM882" s="70"/>
      <c r="IN882" s="70"/>
      <c r="IO882" s="70"/>
      <c r="IP882" s="70"/>
      <c r="IQ882" s="70"/>
    </row>
    <row r="883" spans="18:251" ht="16.5" hidden="1" customHeight="1">
      <c r="R883" s="95" t="s">
        <v>450</v>
      </c>
      <c r="S883" s="95"/>
      <c r="T883" s="95"/>
      <c r="U883" s="70"/>
      <c r="V883" s="214"/>
      <c r="W883" s="70"/>
      <c r="X883" s="70"/>
      <c r="Y883" s="70"/>
      <c r="Z883" s="70"/>
      <c r="AA883" s="70"/>
      <c r="AB883" s="70"/>
      <c r="AC883" s="70"/>
      <c r="AD883" s="70"/>
      <c r="AE883" s="70"/>
      <c r="AF883" s="70"/>
      <c r="AG883" s="70"/>
      <c r="AH883" s="70"/>
      <c r="AI883" s="70"/>
      <c r="AJ883" s="70"/>
      <c r="AK883" s="70"/>
      <c r="AL883" s="70"/>
      <c r="AM883" s="70"/>
      <c r="AN883" s="70"/>
      <c r="AO883" s="70"/>
      <c r="AP883" s="70"/>
      <c r="AQ883" s="70"/>
      <c r="AR883" s="70"/>
      <c r="AS883" s="70"/>
      <c r="AT883" s="70"/>
      <c r="AU883" s="70"/>
      <c r="AV883" s="70"/>
      <c r="AW883" s="70"/>
      <c r="AX883" s="70"/>
      <c r="AY883" s="70"/>
      <c r="AZ883" s="70"/>
      <c r="BA883" s="70"/>
      <c r="BB883" s="70"/>
      <c r="BC883" s="70"/>
      <c r="BD883" s="70"/>
      <c r="BE883" s="70"/>
      <c r="BF883" s="70"/>
      <c r="BG883" s="70"/>
      <c r="BH883" s="70"/>
      <c r="BI883" s="70"/>
      <c r="BJ883" s="70"/>
      <c r="BK883" s="70"/>
      <c r="BL883" s="70"/>
      <c r="BM883" s="70"/>
      <c r="BN883" s="70"/>
      <c r="BO883" s="70"/>
      <c r="BP883" s="70"/>
      <c r="BQ883" s="70"/>
      <c r="BR883" s="70"/>
      <c r="BS883" s="70"/>
      <c r="BT883" s="70"/>
      <c r="BU883" s="70"/>
      <c r="BV883" s="70"/>
      <c r="BW883" s="70"/>
      <c r="BX883" s="70"/>
      <c r="BY883" s="70"/>
      <c r="BZ883" s="70"/>
      <c r="CA883" s="70"/>
      <c r="CB883" s="70"/>
      <c r="CC883" s="70"/>
      <c r="CD883" s="70"/>
      <c r="CE883" s="70"/>
      <c r="CF883" s="70"/>
      <c r="CG883" s="70"/>
      <c r="CH883" s="70"/>
      <c r="CI883" s="70"/>
      <c r="CJ883" s="70"/>
      <c r="CK883" s="70"/>
      <c r="CL883" s="70"/>
      <c r="CM883" s="70"/>
      <c r="CN883" s="70"/>
      <c r="CO883" s="70"/>
      <c r="CP883" s="70"/>
      <c r="CQ883" s="70"/>
      <c r="CR883" s="70"/>
      <c r="CS883" s="70"/>
      <c r="CT883" s="70"/>
      <c r="CU883" s="70"/>
      <c r="CV883" s="70"/>
      <c r="CW883" s="70"/>
      <c r="CX883" s="70"/>
      <c r="CY883" s="70"/>
      <c r="CZ883" s="70"/>
      <c r="DA883" s="70"/>
      <c r="DB883" s="70"/>
      <c r="DC883" s="70"/>
      <c r="DD883" s="70"/>
      <c r="DE883" s="70"/>
      <c r="DF883" s="70"/>
      <c r="DG883" s="70"/>
      <c r="DH883" s="70"/>
      <c r="DI883" s="70"/>
      <c r="DJ883" s="70"/>
      <c r="DK883" s="70"/>
      <c r="DL883" s="70"/>
      <c r="DM883" s="70"/>
      <c r="DN883" s="70"/>
      <c r="DO883" s="70"/>
      <c r="DP883" s="70"/>
      <c r="DQ883" s="70"/>
      <c r="DR883" s="70"/>
      <c r="DS883" s="70"/>
      <c r="DT883" s="70"/>
      <c r="DU883" s="70"/>
      <c r="DV883" s="70"/>
      <c r="DW883" s="70"/>
      <c r="DX883" s="70"/>
      <c r="DY883" s="70"/>
      <c r="DZ883" s="70"/>
      <c r="EA883" s="70"/>
      <c r="EB883" s="70"/>
      <c r="EC883" s="70"/>
      <c r="ED883" s="70"/>
      <c r="EE883" s="95" t="s">
        <v>450</v>
      </c>
      <c r="EF883" s="95"/>
      <c r="EG883" s="95"/>
      <c r="EH883" s="70"/>
      <c r="EI883" s="216"/>
      <c r="EJ883" s="70"/>
      <c r="EK883" s="70"/>
      <c r="EL883" s="70"/>
      <c r="EM883" s="70"/>
      <c r="EN883" s="70"/>
      <c r="EO883" s="70"/>
      <c r="EP883" s="70"/>
      <c r="EQ883" s="70"/>
      <c r="ER883" s="70"/>
      <c r="ES883" s="70"/>
      <c r="ET883" s="70"/>
      <c r="EU883" s="70"/>
      <c r="EV883" s="70"/>
      <c r="EW883" s="70"/>
      <c r="EX883" s="70"/>
      <c r="EY883" s="70"/>
      <c r="EZ883" s="70"/>
      <c r="FA883" s="70"/>
      <c r="FB883" s="70"/>
      <c r="FC883" s="70"/>
      <c r="FD883" s="70"/>
      <c r="FE883" s="70"/>
      <c r="FF883" s="70"/>
      <c r="FG883" s="70"/>
      <c r="FH883" s="70"/>
      <c r="FI883" s="70"/>
      <c r="FJ883" s="70"/>
      <c r="FK883" s="70"/>
      <c r="FL883" s="70"/>
      <c r="FM883" s="70"/>
      <c r="FN883" s="70"/>
      <c r="FO883" s="70"/>
      <c r="FP883" s="70"/>
      <c r="FQ883" s="70"/>
      <c r="FR883" s="70"/>
      <c r="FS883" s="70"/>
      <c r="FT883" s="70"/>
      <c r="FU883" s="70"/>
      <c r="FV883" s="70"/>
      <c r="FW883" s="70"/>
      <c r="FX883" s="70"/>
      <c r="FY883" s="70"/>
      <c r="FZ883" s="70"/>
      <c r="GA883" s="70"/>
      <c r="GB883" s="70"/>
      <c r="GC883" s="70"/>
      <c r="GD883" s="70"/>
      <c r="GE883" s="70"/>
      <c r="GF883" s="70"/>
      <c r="GG883" s="70"/>
      <c r="GH883" s="70"/>
      <c r="GI883" s="70"/>
      <c r="GJ883" s="70"/>
      <c r="GK883" s="70"/>
      <c r="GL883" s="70"/>
      <c r="GM883" s="70"/>
      <c r="GN883" s="70"/>
      <c r="GO883" s="70"/>
      <c r="GP883" s="70"/>
      <c r="GQ883" s="70"/>
      <c r="GR883" s="70"/>
      <c r="GS883" s="70"/>
      <c r="GT883" s="70"/>
      <c r="GU883" s="70"/>
      <c r="GV883" s="70"/>
      <c r="GW883" s="70"/>
      <c r="GX883" s="70"/>
      <c r="GY883" s="70"/>
      <c r="GZ883" s="70"/>
      <c r="HA883" s="70"/>
      <c r="HB883" s="70"/>
      <c r="HC883" s="70"/>
      <c r="HD883" s="70"/>
      <c r="HE883" s="70"/>
      <c r="HF883" s="70"/>
      <c r="HG883" s="70"/>
      <c r="HH883" s="70"/>
      <c r="HI883" s="70"/>
      <c r="HJ883" s="70"/>
      <c r="HK883" s="70"/>
      <c r="HL883" s="70"/>
      <c r="HM883" s="70"/>
      <c r="HN883" s="70"/>
      <c r="HO883" s="70"/>
      <c r="HP883" s="70"/>
      <c r="HQ883" s="70"/>
      <c r="HR883" s="70"/>
      <c r="HS883" s="70"/>
      <c r="HT883" s="70"/>
      <c r="HU883" s="70"/>
      <c r="HV883" s="70"/>
      <c r="HW883" s="70"/>
      <c r="HX883" s="70"/>
      <c r="HY883" s="70"/>
      <c r="HZ883" s="70"/>
      <c r="IA883" s="70"/>
      <c r="IB883" s="70"/>
      <c r="IC883" s="70"/>
      <c r="ID883" s="70"/>
      <c r="IE883" s="70"/>
      <c r="IF883" s="70"/>
      <c r="IG883" s="70"/>
      <c r="IH883" s="70"/>
      <c r="II883" s="70"/>
      <c r="IJ883" s="70"/>
      <c r="IK883" s="70"/>
      <c r="IL883" s="70"/>
      <c r="IM883" s="70"/>
      <c r="IN883" s="70"/>
      <c r="IO883" s="70"/>
      <c r="IP883" s="70"/>
      <c r="IQ883" s="70"/>
    </row>
    <row r="884" spans="18:251" ht="16.5" hidden="1" customHeight="1">
      <c r="R884" s="95" t="s">
        <v>450</v>
      </c>
      <c r="S884" s="95"/>
      <c r="T884" s="95"/>
      <c r="U884" s="70"/>
      <c r="V884" s="214"/>
      <c r="W884" s="70"/>
      <c r="X884" s="70"/>
      <c r="Y884" s="70"/>
      <c r="Z884" s="70"/>
      <c r="AA884" s="70"/>
      <c r="AB884" s="70"/>
      <c r="AC884" s="70"/>
      <c r="AD884" s="70"/>
      <c r="AE884" s="70"/>
      <c r="AF884" s="70"/>
      <c r="AG884" s="70"/>
      <c r="AH884" s="70"/>
      <c r="AI884" s="70"/>
      <c r="AJ884" s="70"/>
      <c r="AK884" s="70"/>
      <c r="AL884" s="70"/>
      <c r="AM884" s="70"/>
      <c r="AN884" s="70"/>
      <c r="AO884" s="70"/>
      <c r="AP884" s="70"/>
      <c r="AQ884" s="70"/>
      <c r="AR884" s="70"/>
      <c r="AS884" s="70"/>
      <c r="AT884" s="70"/>
      <c r="AU884" s="70"/>
      <c r="AV884" s="70"/>
      <c r="AW884" s="70"/>
      <c r="AX884" s="70"/>
      <c r="AY884" s="70"/>
      <c r="AZ884" s="70"/>
      <c r="BA884" s="70"/>
      <c r="BB884" s="70"/>
      <c r="BC884" s="70"/>
      <c r="BD884" s="70"/>
      <c r="BE884" s="70"/>
      <c r="BF884" s="70"/>
      <c r="BG884" s="70"/>
      <c r="BH884" s="70"/>
      <c r="BI884" s="70"/>
      <c r="BJ884" s="70"/>
      <c r="BK884" s="70"/>
      <c r="BL884" s="70"/>
      <c r="BM884" s="70"/>
      <c r="BN884" s="70"/>
      <c r="BO884" s="70"/>
      <c r="BP884" s="70"/>
      <c r="BQ884" s="70"/>
      <c r="BR884" s="70"/>
      <c r="BS884" s="70"/>
      <c r="BT884" s="70"/>
      <c r="BU884" s="70"/>
      <c r="BV884" s="70"/>
      <c r="BW884" s="70"/>
      <c r="BX884" s="70"/>
      <c r="BY884" s="70"/>
      <c r="BZ884" s="70"/>
      <c r="CA884" s="70"/>
      <c r="CB884" s="70"/>
      <c r="CC884" s="70"/>
      <c r="CD884" s="70"/>
      <c r="CE884" s="70"/>
      <c r="CF884" s="70"/>
      <c r="CG884" s="70"/>
      <c r="CH884" s="70"/>
      <c r="CI884" s="70"/>
      <c r="CJ884" s="70"/>
      <c r="CK884" s="70"/>
      <c r="CL884" s="70"/>
      <c r="CM884" s="70"/>
      <c r="CN884" s="70"/>
      <c r="CO884" s="70"/>
      <c r="CP884" s="70"/>
      <c r="CQ884" s="70"/>
      <c r="CR884" s="70"/>
      <c r="CS884" s="70"/>
      <c r="CT884" s="70"/>
      <c r="CU884" s="70"/>
      <c r="CV884" s="70"/>
      <c r="CW884" s="70"/>
      <c r="CX884" s="70"/>
      <c r="CY884" s="70"/>
      <c r="CZ884" s="70"/>
      <c r="DA884" s="70"/>
      <c r="DB884" s="70"/>
      <c r="DC884" s="70"/>
      <c r="DD884" s="70"/>
      <c r="DE884" s="70"/>
      <c r="DF884" s="70"/>
      <c r="DG884" s="70"/>
      <c r="DH884" s="70"/>
      <c r="DI884" s="70"/>
      <c r="DJ884" s="70"/>
      <c r="DK884" s="70"/>
      <c r="DL884" s="70"/>
      <c r="DM884" s="70"/>
      <c r="DN884" s="70"/>
      <c r="DO884" s="70"/>
      <c r="DP884" s="70"/>
      <c r="DQ884" s="70"/>
      <c r="DR884" s="70"/>
      <c r="DS884" s="70"/>
      <c r="DT884" s="70"/>
      <c r="DU884" s="70"/>
      <c r="DV884" s="70"/>
      <c r="DW884" s="70"/>
      <c r="DX884" s="70"/>
      <c r="DY884" s="70"/>
      <c r="DZ884" s="70"/>
      <c r="EA884" s="70"/>
      <c r="EB884" s="70"/>
      <c r="EC884" s="70"/>
      <c r="ED884" s="70"/>
      <c r="EE884" s="95" t="s">
        <v>450</v>
      </c>
      <c r="EF884" s="95"/>
      <c r="EG884" s="95"/>
      <c r="EH884" s="70"/>
      <c r="EI884" s="216"/>
      <c r="EJ884" s="70"/>
      <c r="EK884" s="70"/>
      <c r="EL884" s="70"/>
      <c r="EM884" s="70"/>
      <c r="EN884" s="70"/>
      <c r="EO884" s="70"/>
      <c r="EP884" s="70"/>
      <c r="EQ884" s="70"/>
      <c r="ER884" s="70"/>
      <c r="ES884" s="70"/>
      <c r="ET884" s="70"/>
      <c r="EU884" s="70"/>
      <c r="EV884" s="70"/>
      <c r="EW884" s="70"/>
      <c r="EX884" s="70"/>
      <c r="EY884" s="70"/>
      <c r="EZ884" s="70"/>
      <c r="FA884" s="70"/>
      <c r="FB884" s="70"/>
      <c r="FC884" s="70"/>
      <c r="FD884" s="70"/>
      <c r="FE884" s="70"/>
      <c r="FF884" s="70"/>
      <c r="FG884" s="70"/>
      <c r="FH884" s="70"/>
      <c r="FI884" s="70"/>
      <c r="FJ884" s="70"/>
      <c r="FK884" s="70"/>
      <c r="FL884" s="70"/>
      <c r="FM884" s="70"/>
      <c r="FN884" s="70"/>
      <c r="FO884" s="70"/>
      <c r="FP884" s="70"/>
      <c r="FQ884" s="70"/>
      <c r="FR884" s="70"/>
      <c r="FS884" s="70"/>
      <c r="FT884" s="70"/>
      <c r="FU884" s="70"/>
      <c r="FV884" s="70"/>
      <c r="FW884" s="70"/>
      <c r="FX884" s="70"/>
      <c r="FY884" s="70"/>
      <c r="FZ884" s="70"/>
      <c r="GA884" s="70"/>
      <c r="GB884" s="70"/>
      <c r="GC884" s="70"/>
      <c r="GD884" s="70"/>
      <c r="GE884" s="70"/>
      <c r="GF884" s="70"/>
      <c r="GG884" s="70"/>
      <c r="GH884" s="70"/>
      <c r="GI884" s="70"/>
      <c r="GJ884" s="70"/>
      <c r="GK884" s="70"/>
      <c r="GL884" s="70"/>
      <c r="GM884" s="70"/>
      <c r="GN884" s="70"/>
      <c r="GO884" s="70"/>
      <c r="GP884" s="70"/>
      <c r="GQ884" s="70"/>
      <c r="GR884" s="70"/>
      <c r="GS884" s="70"/>
      <c r="GT884" s="70"/>
      <c r="GU884" s="70"/>
      <c r="GV884" s="70"/>
      <c r="GW884" s="70"/>
      <c r="GX884" s="70"/>
      <c r="GY884" s="70"/>
      <c r="GZ884" s="70"/>
      <c r="HA884" s="70"/>
      <c r="HB884" s="70"/>
      <c r="HC884" s="70"/>
      <c r="HD884" s="70"/>
      <c r="HE884" s="70"/>
      <c r="HF884" s="70"/>
      <c r="HG884" s="70"/>
      <c r="HH884" s="70"/>
      <c r="HI884" s="70"/>
      <c r="HJ884" s="70"/>
      <c r="HK884" s="70"/>
      <c r="HL884" s="70"/>
      <c r="HM884" s="70"/>
      <c r="HN884" s="70"/>
      <c r="HO884" s="70"/>
      <c r="HP884" s="70"/>
      <c r="HQ884" s="70"/>
      <c r="HR884" s="70"/>
      <c r="HS884" s="70"/>
      <c r="HT884" s="70"/>
      <c r="HU884" s="70"/>
      <c r="HV884" s="70"/>
      <c r="HW884" s="70"/>
      <c r="HX884" s="70"/>
      <c r="HY884" s="70"/>
      <c r="HZ884" s="70"/>
      <c r="IA884" s="70"/>
      <c r="IB884" s="70"/>
      <c r="IC884" s="70"/>
      <c r="ID884" s="70"/>
      <c r="IE884" s="70"/>
      <c r="IF884" s="70"/>
      <c r="IG884" s="70"/>
      <c r="IH884" s="70"/>
      <c r="II884" s="70"/>
      <c r="IJ884" s="70"/>
      <c r="IK884" s="70"/>
      <c r="IL884" s="70"/>
      <c r="IM884" s="70"/>
      <c r="IN884" s="70"/>
      <c r="IO884" s="70"/>
      <c r="IP884" s="70"/>
      <c r="IQ884" s="70"/>
    </row>
    <row r="885" spans="18:251" ht="16.5" hidden="1" customHeight="1">
      <c r="R885" s="95" t="s">
        <v>450</v>
      </c>
      <c r="S885" s="95"/>
      <c r="T885" s="95"/>
      <c r="U885" s="70"/>
      <c r="V885" s="214"/>
      <c r="W885" s="70"/>
      <c r="X885" s="70"/>
      <c r="Y885" s="70"/>
      <c r="Z885" s="70"/>
      <c r="AA885" s="70"/>
      <c r="AB885" s="70"/>
      <c r="AC885" s="70"/>
      <c r="AD885" s="70"/>
      <c r="AE885" s="70"/>
      <c r="AF885" s="70"/>
      <c r="AG885" s="70"/>
      <c r="AH885" s="70"/>
      <c r="AI885" s="70"/>
      <c r="AJ885" s="70"/>
      <c r="AK885" s="70"/>
      <c r="AL885" s="70"/>
      <c r="AM885" s="70"/>
      <c r="AN885" s="70"/>
      <c r="AO885" s="70"/>
      <c r="AP885" s="70"/>
      <c r="AQ885" s="70"/>
      <c r="AR885" s="70"/>
      <c r="AS885" s="70"/>
      <c r="AT885" s="70"/>
      <c r="AU885" s="70"/>
      <c r="AV885" s="70"/>
      <c r="AW885" s="70"/>
      <c r="AX885" s="70"/>
      <c r="AY885" s="70"/>
      <c r="AZ885" s="70"/>
      <c r="BA885" s="70"/>
      <c r="BB885" s="70"/>
      <c r="BC885" s="70"/>
      <c r="BD885" s="70"/>
      <c r="BE885" s="70"/>
      <c r="BF885" s="70"/>
      <c r="BG885" s="70"/>
      <c r="BH885" s="70"/>
      <c r="BI885" s="70"/>
      <c r="BJ885" s="70"/>
      <c r="BK885" s="70"/>
      <c r="BL885" s="70"/>
      <c r="BM885" s="70"/>
      <c r="BN885" s="70"/>
      <c r="BO885" s="70"/>
      <c r="BP885" s="70"/>
      <c r="BQ885" s="70"/>
      <c r="BR885" s="70"/>
      <c r="BS885" s="70"/>
      <c r="BT885" s="70"/>
      <c r="BU885" s="70"/>
      <c r="BV885" s="70"/>
      <c r="BW885" s="70"/>
      <c r="BX885" s="70"/>
      <c r="BY885" s="70"/>
      <c r="BZ885" s="70"/>
      <c r="CA885" s="70"/>
      <c r="CB885" s="70"/>
      <c r="CC885" s="70"/>
      <c r="CD885" s="70"/>
      <c r="CE885" s="70"/>
      <c r="CF885" s="70"/>
      <c r="CG885" s="70"/>
      <c r="CH885" s="70"/>
      <c r="CI885" s="70"/>
      <c r="CJ885" s="70"/>
      <c r="CK885" s="70"/>
      <c r="CL885" s="70"/>
      <c r="CM885" s="70"/>
      <c r="CN885" s="70"/>
      <c r="CO885" s="70"/>
      <c r="CP885" s="70"/>
      <c r="CQ885" s="70"/>
      <c r="CR885" s="70"/>
      <c r="CS885" s="70"/>
      <c r="CT885" s="70"/>
      <c r="CU885" s="70"/>
      <c r="CV885" s="70"/>
      <c r="CW885" s="70"/>
      <c r="CX885" s="70"/>
      <c r="CY885" s="70"/>
      <c r="CZ885" s="70"/>
      <c r="DA885" s="70"/>
      <c r="DB885" s="70"/>
      <c r="DC885" s="70"/>
      <c r="DD885" s="70"/>
      <c r="DE885" s="70"/>
      <c r="DF885" s="70"/>
      <c r="DG885" s="70"/>
      <c r="DH885" s="70"/>
      <c r="DI885" s="70"/>
      <c r="DJ885" s="70"/>
      <c r="DK885" s="70"/>
      <c r="DL885" s="70"/>
      <c r="DM885" s="70"/>
      <c r="DN885" s="70"/>
      <c r="DO885" s="70"/>
      <c r="DP885" s="70"/>
      <c r="DQ885" s="70"/>
      <c r="DR885" s="70"/>
      <c r="DS885" s="70"/>
      <c r="DT885" s="70"/>
      <c r="DU885" s="70"/>
      <c r="DV885" s="70"/>
      <c r="DW885" s="70"/>
      <c r="DX885" s="70"/>
      <c r="DY885" s="70"/>
      <c r="DZ885" s="70"/>
      <c r="EA885" s="70"/>
      <c r="EB885" s="70"/>
      <c r="EC885" s="70"/>
      <c r="ED885" s="70"/>
      <c r="EE885" s="95" t="s">
        <v>450</v>
      </c>
      <c r="EF885" s="95"/>
      <c r="EG885" s="95"/>
      <c r="EH885" s="70"/>
      <c r="EI885" s="216"/>
      <c r="EJ885" s="70"/>
      <c r="EK885" s="70"/>
      <c r="EL885" s="70"/>
      <c r="EM885" s="70"/>
      <c r="EN885" s="70"/>
      <c r="EO885" s="70"/>
      <c r="EP885" s="70"/>
      <c r="EQ885" s="70"/>
      <c r="ER885" s="70"/>
      <c r="ES885" s="70"/>
      <c r="ET885" s="70"/>
      <c r="EU885" s="70"/>
      <c r="EV885" s="70"/>
      <c r="EW885" s="70"/>
      <c r="EX885" s="70"/>
      <c r="EY885" s="70"/>
      <c r="EZ885" s="70"/>
      <c r="FA885" s="70"/>
      <c r="FB885" s="70"/>
      <c r="FC885" s="70"/>
      <c r="FD885" s="70"/>
      <c r="FE885" s="70"/>
      <c r="FF885" s="70"/>
      <c r="FG885" s="70"/>
      <c r="FH885" s="70"/>
      <c r="FI885" s="70"/>
      <c r="FJ885" s="70"/>
      <c r="FK885" s="70"/>
      <c r="FL885" s="70"/>
      <c r="FM885" s="70"/>
      <c r="FN885" s="70"/>
      <c r="FO885" s="70"/>
      <c r="FP885" s="70"/>
      <c r="FQ885" s="70"/>
      <c r="FR885" s="70"/>
      <c r="FS885" s="70"/>
      <c r="FT885" s="70"/>
      <c r="FU885" s="70"/>
      <c r="FV885" s="70"/>
      <c r="FW885" s="70"/>
      <c r="FX885" s="70"/>
      <c r="FY885" s="70"/>
      <c r="FZ885" s="70"/>
      <c r="GA885" s="70"/>
      <c r="GB885" s="70"/>
      <c r="GC885" s="70"/>
      <c r="GD885" s="70"/>
      <c r="GE885" s="70"/>
      <c r="GF885" s="70"/>
      <c r="GG885" s="70"/>
      <c r="GH885" s="70"/>
      <c r="GI885" s="70"/>
      <c r="GJ885" s="70"/>
      <c r="GK885" s="70"/>
      <c r="GL885" s="70"/>
      <c r="GM885" s="70"/>
      <c r="GN885" s="70"/>
      <c r="GO885" s="70"/>
      <c r="GP885" s="70"/>
      <c r="GQ885" s="70"/>
      <c r="GR885" s="70"/>
      <c r="GS885" s="70"/>
      <c r="GT885" s="70"/>
      <c r="GU885" s="70"/>
      <c r="GV885" s="70"/>
      <c r="GW885" s="70"/>
      <c r="GX885" s="70"/>
      <c r="GY885" s="70"/>
      <c r="GZ885" s="70"/>
      <c r="HA885" s="70"/>
      <c r="HB885" s="70"/>
      <c r="HC885" s="70"/>
      <c r="HD885" s="70"/>
      <c r="HE885" s="70"/>
      <c r="HF885" s="70"/>
      <c r="HG885" s="70"/>
      <c r="HH885" s="70"/>
      <c r="HI885" s="70"/>
      <c r="HJ885" s="70"/>
      <c r="HK885" s="70"/>
      <c r="HL885" s="70"/>
      <c r="HM885" s="70"/>
      <c r="HN885" s="70"/>
      <c r="HO885" s="70"/>
      <c r="HP885" s="70"/>
      <c r="HQ885" s="70"/>
      <c r="HR885" s="70"/>
      <c r="HS885" s="70"/>
      <c r="HT885" s="70"/>
      <c r="HU885" s="70"/>
      <c r="HV885" s="70"/>
      <c r="HW885" s="70"/>
      <c r="HX885" s="70"/>
      <c r="HY885" s="70"/>
      <c r="HZ885" s="70"/>
      <c r="IA885" s="70"/>
      <c r="IB885" s="70"/>
      <c r="IC885" s="70"/>
      <c r="ID885" s="70"/>
      <c r="IE885" s="70"/>
      <c r="IF885" s="70"/>
      <c r="IG885" s="70"/>
      <c r="IH885" s="70"/>
      <c r="II885" s="70"/>
      <c r="IJ885" s="70"/>
      <c r="IK885" s="70"/>
      <c r="IL885" s="70"/>
      <c r="IM885" s="70"/>
      <c r="IN885" s="70"/>
      <c r="IO885" s="70"/>
      <c r="IP885" s="70"/>
      <c r="IQ885" s="70"/>
    </row>
    <row r="886" spans="18:251" ht="16.5" hidden="1" customHeight="1">
      <c r="R886" s="95" t="s">
        <v>450</v>
      </c>
      <c r="S886" s="95"/>
      <c r="T886" s="95"/>
      <c r="U886" s="70"/>
      <c r="V886" s="214"/>
      <c r="W886" s="70"/>
      <c r="X886" s="70"/>
      <c r="Y886" s="70"/>
      <c r="Z886" s="70"/>
      <c r="AA886" s="70"/>
      <c r="AB886" s="70"/>
      <c r="AC886" s="70"/>
      <c r="AD886" s="70"/>
      <c r="AE886" s="70"/>
      <c r="AF886" s="70"/>
      <c r="AG886" s="70"/>
      <c r="AH886" s="70"/>
      <c r="AI886" s="70"/>
      <c r="AJ886" s="70"/>
      <c r="AK886" s="70"/>
      <c r="AL886" s="70"/>
      <c r="AM886" s="70"/>
      <c r="AN886" s="70"/>
      <c r="AO886" s="70"/>
      <c r="AP886" s="70"/>
      <c r="AQ886" s="70"/>
      <c r="AR886" s="70"/>
      <c r="AS886" s="70"/>
      <c r="AT886" s="70"/>
      <c r="AU886" s="70"/>
      <c r="AV886" s="70"/>
      <c r="AW886" s="70"/>
      <c r="AX886" s="70"/>
      <c r="AY886" s="70"/>
      <c r="AZ886" s="70"/>
      <c r="BA886" s="70"/>
      <c r="BB886" s="70"/>
      <c r="BC886" s="70"/>
      <c r="BD886" s="70"/>
      <c r="BE886" s="70"/>
      <c r="BF886" s="70"/>
      <c r="BG886" s="70"/>
      <c r="BH886" s="70"/>
      <c r="BI886" s="70"/>
      <c r="BJ886" s="70"/>
      <c r="BK886" s="70"/>
      <c r="BL886" s="70"/>
      <c r="BM886" s="70"/>
      <c r="BN886" s="70"/>
      <c r="BO886" s="70"/>
      <c r="BP886" s="70"/>
      <c r="BQ886" s="70"/>
      <c r="BR886" s="70"/>
      <c r="BS886" s="70"/>
      <c r="BT886" s="70"/>
      <c r="BU886" s="70"/>
      <c r="BV886" s="70"/>
      <c r="BW886" s="70"/>
      <c r="BX886" s="70"/>
      <c r="BY886" s="70"/>
      <c r="BZ886" s="70"/>
      <c r="CA886" s="70"/>
      <c r="CB886" s="70"/>
      <c r="CC886" s="70"/>
      <c r="CD886" s="70"/>
      <c r="CE886" s="70"/>
      <c r="CF886" s="70"/>
      <c r="CG886" s="70"/>
      <c r="CH886" s="70"/>
      <c r="CI886" s="70"/>
      <c r="CJ886" s="70"/>
      <c r="CK886" s="70"/>
      <c r="CL886" s="70"/>
      <c r="CM886" s="70"/>
      <c r="CN886" s="70"/>
      <c r="CO886" s="70"/>
      <c r="CP886" s="70"/>
      <c r="CQ886" s="70"/>
      <c r="CR886" s="70"/>
      <c r="CS886" s="70"/>
      <c r="CT886" s="70"/>
      <c r="CU886" s="70"/>
      <c r="CV886" s="70"/>
      <c r="CW886" s="70"/>
      <c r="CX886" s="70"/>
      <c r="CY886" s="70"/>
      <c r="CZ886" s="70"/>
      <c r="DA886" s="70"/>
      <c r="DB886" s="70"/>
      <c r="DC886" s="70"/>
      <c r="DD886" s="70"/>
      <c r="DE886" s="70"/>
      <c r="DF886" s="70"/>
      <c r="DG886" s="70"/>
      <c r="DH886" s="70"/>
      <c r="DI886" s="70"/>
      <c r="DJ886" s="70"/>
      <c r="DK886" s="70"/>
      <c r="DL886" s="70"/>
      <c r="DM886" s="70"/>
      <c r="DN886" s="70"/>
      <c r="DO886" s="70"/>
      <c r="DP886" s="70"/>
      <c r="DQ886" s="70"/>
      <c r="DR886" s="70"/>
      <c r="DS886" s="70"/>
      <c r="DT886" s="70"/>
      <c r="DU886" s="70"/>
      <c r="DV886" s="70"/>
      <c r="DW886" s="70"/>
      <c r="DX886" s="70"/>
      <c r="DY886" s="70"/>
      <c r="DZ886" s="70"/>
      <c r="EA886" s="70"/>
      <c r="EB886" s="70"/>
      <c r="EC886" s="70"/>
      <c r="ED886" s="70"/>
      <c r="EE886" s="95" t="s">
        <v>450</v>
      </c>
      <c r="EF886" s="95"/>
      <c r="EG886" s="95"/>
      <c r="EH886" s="70"/>
      <c r="EI886" s="216"/>
      <c r="EJ886" s="70"/>
      <c r="EK886" s="70"/>
      <c r="EL886" s="70"/>
      <c r="EM886" s="70"/>
      <c r="EN886" s="70"/>
      <c r="EO886" s="70"/>
      <c r="EP886" s="70"/>
      <c r="EQ886" s="70"/>
      <c r="ER886" s="70"/>
      <c r="ES886" s="70"/>
      <c r="ET886" s="70"/>
      <c r="EU886" s="70"/>
      <c r="EV886" s="70"/>
      <c r="EW886" s="70"/>
      <c r="EX886" s="70"/>
      <c r="EY886" s="70"/>
      <c r="EZ886" s="70"/>
      <c r="FA886" s="70"/>
      <c r="FB886" s="70"/>
      <c r="FC886" s="70"/>
      <c r="FD886" s="70"/>
      <c r="FE886" s="70"/>
      <c r="FF886" s="70"/>
      <c r="FG886" s="70"/>
      <c r="FH886" s="70"/>
      <c r="FI886" s="70"/>
      <c r="FJ886" s="70"/>
      <c r="FK886" s="70"/>
      <c r="FL886" s="70"/>
      <c r="FM886" s="70"/>
      <c r="FN886" s="70"/>
      <c r="FO886" s="70"/>
      <c r="FP886" s="70"/>
      <c r="FQ886" s="70"/>
      <c r="FR886" s="70"/>
      <c r="FS886" s="70"/>
      <c r="FT886" s="70"/>
      <c r="FU886" s="70"/>
      <c r="FV886" s="70"/>
      <c r="FW886" s="70"/>
      <c r="FX886" s="70"/>
      <c r="FY886" s="70"/>
      <c r="FZ886" s="70"/>
      <c r="GA886" s="70"/>
      <c r="GB886" s="70"/>
      <c r="GC886" s="70"/>
      <c r="GD886" s="70"/>
      <c r="GE886" s="70"/>
      <c r="GF886" s="70"/>
      <c r="GG886" s="70"/>
      <c r="GH886" s="70"/>
      <c r="GI886" s="70"/>
      <c r="GJ886" s="70"/>
      <c r="GK886" s="70"/>
      <c r="GL886" s="70"/>
      <c r="GM886" s="70"/>
      <c r="GN886" s="70"/>
      <c r="GO886" s="70"/>
      <c r="GP886" s="70"/>
      <c r="GQ886" s="70"/>
      <c r="GR886" s="70"/>
      <c r="GS886" s="70"/>
      <c r="GT886" s="70"/>
      <c r="GU886" s="70"/>
      <c r="GV886" s="70"/>
      <c r="GW886" s="70"/>
      <c r="GX886" s="70"/>
      <c r="GY886" s="70"/>
      <c r="GZ886" s="70"/>
      <c r="HA886" s="70"/>
      <c r="HB886" s="70"/>
      <c r="HC886" s="70"/>
      <c r="HD886" s="70"/>
      <c r="HE886" s="70"/>
      <c r="HF886" s="70"/>
      <c r="HG886" s="70"/>
      <c r="HH886" s="70"/>
      <c r="HI886" s="70"/>
      <c r="HJ886" s="70"/>
      <c r="HK886" s="70"/>
      <c r="HL886" s="70"/>
      <c r="HM886" s="70"/>
      <c r="HN886" s="70"/>
      <c r="HO886" s="70"/>
      <c r="HP886" s="70"/>
      <c r="HQ886" s="70"/>
      <c r="HR886" s="70"/>
      <c r="HS886" s="70"/>
      <c r="HT886" s="70"/>
      <c r="HU886" s="70"/>
      <c r="HV886" s="70"/>
      <c r="HW886" s="70"/>
      <c r="HX886" s="70"/>
      <c r="HY886" s="70"/>
      <c r="HZ886" s="70"/>
      <c r="IA886" s="70"/>
      <c r="IB886" s="70"/>
      <c r="IC886" s="70"/>
      <c r="ID886" s="70"/>
      <c r="IE886" s="70"/>
      <c r="IF886" s="70"/>
      <c r="IG886" s="70"/>
      <c r="IH886" s="70"/>
      <c r="II886" s="70"/>
      <c r="IJ886" s="70"/>
      <c r="IK886" s="70"/>
      <c r="IL886" s="70"/>
      <c r="IM886" s="70"/>
      <c r="IN886" s="70"/>
      <c r="IO886" s="70"/>
      <c r="IP886" s="70"/>
      <c r="IQ886" s="70"/>
    </row>
    <row r="887" spans="18:251" ht="16.5" hidden="1" customHeight="1">
      <c r="R887" s="95" t="s">
        <v>450</v>
      </c>
      <c r="S887" s="95"/>
      <c r="T887" s="95"/>
      <c r="U887" s="70"/>
      <c r="V887" s="214"/>
      <c r="W887" s="70"/>
      <c r="X887" s="70"/>
      <c r="Y887" s="70"/>
      <c r="Z887" s="70"/>
      <c r="AA887" s="70"/>
      <c r="AB887" s="70"/>
      <c r="AC887" s="70"/>
      <c r="AD887" s="70"/>
      <c r="AE887" s="70"/>
      <c r="AF887" s="70"/>
      <c r="AG887" s="70"/>
      <c r="AH887" s="70"/>
      <c r="AI887" s="70"/>
      <c r="AJ887" s="70"/>
      <c r="AK887" s="70"/>
      <c r="AL887" s="70"/>
      <c r="AM887" s="70"/>
      <c r="AN887" s="70"/>
      <c r="AO887" s="70"/>
      <c r="AP887" s="70"/>
      <c r="AQ887" s="70"/>
      <c r="AR887" s="70"/>
      <c r="AS887" s="70"/>
      <c r="AT887" s="70"/>
      <c r="AU887" s="70"/>
      <c r="AV887" s="70"/>
      <c r="AW887" s="70"/>
      <c r="AX887" s="70"/>
      <c r="AY887" s="70"/>
      <c r="AZ887" s="70"/>
      <c r="BA887" s="70"/>
      <c r="BB887" s="70"/>
      <c r="BC887" s="70"/>
      <c r="BD887" s="70"/>
      <c r="BE887" s="70"/>
      <c r="BF887" s="70"/>
      <c r="BG887" s="70"/>
      <c r="BH887" s="70"/>
      <c r="BI887" s="70"/>
      <c r="BJ887" s="70"/>
      <c r="BK887" s="70"/>
      <c r="BL887" s="70"/>
      <c r="BM887" s="70"/>
      <c r="BN887" s="70"/>
      <c r="BO887" s="70"/>
      <c r="BP887" s="70"/>
      <c r="BQ887" s="70"/>
      <c r="BR887" s="70"/>
      <c r="BS887" s="70"/>
      <c r="BT887" s="70"/>
      <c r="BU887" s="70"/>
      <c r="BV887" s="70"/>
      <c r="BW887" s="70"/>
      <c r="BX887" s="70"/>
      <c r="BY887" s="70"/>
      <c r="BZ887" s="70"/>
      <c r="CA887" s="70"/>
      <c r="CB887" s="70"/>
      <c r="CC887" s="70"/>
      <c r="CD887" s="70"/>
      <c r="CE887" s="70"/>
      <c r="CF887" s="70"/>
      <c r="CG887" s="70"/>
      <c r="CH887" s="70"/>
      <c r="CI887" s="70"/>
      <c r="CJ887" s="70"/>
      <c r="CK887" s="70"/>
      <c r="CL887" s="70"/>
      <c r="CM887" s="70"/>
      <c r="CN887" s="70"/>
      <c r="CO887" s="70"/>
      <c r="CP887" s="70"/>
      <c r="CQ887" s="70"/>
      <c r="CR887" s="70"/>
      <c r="CS887" s="70"/>
      <c r="CT887" s="70"/>
      <c r="CU887" s="70"/>
      <c r="CV887" s="70"/>
      <c r="CW887" s="70"/>
      <c r="CX887" s="70"/>
      <c r="CY887" s="70"/>
      <c r="CZ887" s="70"/>
      <c r="DA887" s="70"/>
      <c r="DB887" s="70"/>
      <c r="DC887" s="70"/>
      <c r="DD887" s="70"/>
      <c r="DE887" s="70"/>
      <c r="DF887" s="70"/>
      <c r="DG887" s="70"/>
      <c r="DH887" s="70"/>
      <c r="DI887" s="70"/>
      <c r="DJ887" s="70"/>
      <c r="DK887" s="70"/>
      <c r="DL887" s="70"/>
      <c r="DM887" s="70"/>
      <c r="DN887" s="70"/>
      <c r="DO887" s="70"/>
      <c r="DP887" s="70"/>
      <c r="DQ887" s="70"/>
      <c r="DR887" s="70"/>
      <c r="DS887" s="70"/>
      <c r="DT887" s="70"/>
      <c r="DU887" s="70"/>
      <c r="DV887" s="70"/>
      <c r="DW887" s="70"/>
      <c r="DX887" s="70"/>
      <c r="DY887" s="70"/>
      <c r="DZ887" s="70"/>
      <c r="EA887" s="70"/>
      <c r="EB887" s="70"/>
      <c r="EC887" s="70"/>
      <c r="ED887" s="70"/>
      <c r="EE887" s="95" t="s">
        <v>450</v>
      </c>
      <c r="EF887" s="95"/>
      <c r="EG887" s="95"/>
      <c r="EH887" s="70"/>
      <c r="EI887" s="216"/>
      <c r="EJ887" s="70"/>
      <c r="EK887" s="70"/>
      <c r="EL887" s="70"/>
      <c r="EM887" s="70"/>
      <c r="EN887" s="70"/>
      <c r="EO887" s="70"/>
      <c r="EP887" s="70"/>
      <c r="EQ887" s="70"/>
      <c r="ER887" s="70"/>
      <c r="ES887" s="70"/>
      <c r="ET887" s="70"/>
      <c r="EU887" s="70"/>
      <c r="EV887" s="70"/>
      <c r="EW887" s="70"/>
      <c r="EX887" s="70"/>
      <c r="EY887" s="70"/>
      <c r="EZ887" s="70"/>
      <c r="FA887" s="70"/>
      <c r="FB887" s="70"/>
      <c r="FC887" s="70"/>
      <c r="FD887" s="70"/>
      <c r="FE887" s="70"/>
      <c r="FF887" s="70"/>
      <c r="FG887" s="70"/>
      <c r="FH887" s="70"/>
      <c r="FI887" s="70"/>
      <c r="FJ887" s="70"/>
      <c r="FK887" s="70"/>
      <c r="FL887" s="70"/>
      <c r="FM887" s="70"/>
      <c r="FN887" s="70"/>
      <c r="FO887" s="70"/>
      <c r="FP887" s="70"/>
      <c r="FQ887" s="70"/>
      <c r="FR887" s="70"/>
      <c r="FS887" s="70"/>
      <c r="FT887" s="70"/>
      <c r="FU887" s="70"/>
      <c r="FV887" s="70"/>
      <c r="FW887" s="70"/>
      <c r="FX887" s="70"/>
      <c r="FY887" s="70"/>
      <c r="FZ887" s="70"/>
      <c r="GA887" s="70"/>
      <c r="GB887" s="70"/>
      <c r="GC887" s="70"/>
      <c r="GD887" s="70"/>
      <c r="GE887" s="70"/>
      <c r="GF887" s="70"/>
      <c r="GG887" s="70"/>
      <c r="GH887" s="70"/>
      <c r="GI887" s="70"/>
      <c r="GJ887" s="70"/>
      <c r="GK887" s="70"/>
      <c r="GL887" s="70"/>
      <c r="GM887" s="70"/>
      <c r="GN887" s="70"/>
      <c r="GO887" s="70"/>
      <c r="GP887" s="70"/>
      <c r="GQ887" s="70"/>
      <c r="GR887" s="70"/>
      <c r="GS887" s="70"/>
      <c r="GT887" s="70"/>
      <c r="GU887" s="70"/>
      <c r="GV887" s="70"/>
      <c r="GW887" s="70"/>
      <c r="GX887" s="70"/>
      <c r="GY887" s="70"/>
      <c r="GZ887" s="70"/>
      <c r="HA887" s="70"/>
      <c r="HB887" s="70"/>
      <c r="HC887" s="70"/>
      <c r="HD887" s="70"/>
      <c r="HE887" s="70"/>
      <c r="HF887" s="70"/>
      <c r="HG887" s="70"/>
      <c r="HH887" s="70"/>
      <c r="HI887" s="70"/>
      <c r="HJ887" s="70"/>
      <c r="HK887" s="70"/>
      <c r="HL887" s="70"/>
      <c r="HM887" s="70"/>
      <c r="HN887" s="70"/>
      <c r="HO887" s="70"/>
      <c r="HP887" s="70"/>
      <c r="HQ887" s="70"/>
      <c r="HR887" s="70"/>
      <c r="HS887" s="70"/>
      <c r="HT887" s="70"/>
      <c r="HU887" s="70"/>
      <c r="HV887" s="70"/>
      <c r="HW887" s="70"/>
      <c r="HX887" s="70"/>
      <c r="HY887" s="70"/>
      <c r="HZ887" s="70"/>
      <c r="IA887" s="70"/>
      <c r="IB887" s="70"/>
      <c r="IC887" s="70"/>
      <c r="ID887" s="70"/>
      <c r="IE887" s="70"/>
      <c r="IF887" s="70"/>
      <c r="IG887" s="70"/>
      <c r="IH887" s="70"/>
      <c r="II887" s="70"/>
      <c r="IJ887" s="70"/>
      <c r="IK887" s="70"/>
      <c r="IL887" s="70"/>
      <c r="IM887" s="70"/>
      <c r="IN887" s="70"/>
      <c r="IO887" s="70"/>
      <c r="IP887" s="70"/>
      <c r="IQ887" s="70"/>
    </row>
    <row r="888" spans="18:251" ht="16.5" hidden="1" customHeight="1">
      <c r="R888" s="95" t="s">
        <v>450</v>
      </c>
      <c r="S888" s="95"/>
      <c r="T888" s="95"/>
      <c r="U888" s="70"/>
      <c r="V888" s="214"/>
      <c r="W888" s="70"/>
      <c r="X888" s="70"/>
      <c r="Y888" s="70"/>
      <c r="Z888" s="70"/>
      <c r="AA888" s="70"/>
      <c r="AB888" s="70"/>
      <c r="AC888" s="70"/>
      <c r="AD888" s="70"/>
      <c r="AE888" s="70"/>
      <c r="AF888" s="70"/>
      <c r="AG888" s="70"/>
      <c r="AH888" s="70"/>
      <c r="AI888" s="70"/>
      <c r="AJ888" s="70"/>
      <c r="AK888" s="70"/>
      <c r="AL888" s="70"/>
      <c r="AM888" s="70"/>
      <c r="AN888" s="70"/>
      <c r="AO888" s="70"/>
      <c r="AP888" s="70"/>
      <c r="AQ888" s="70"/>
      <c r="AR888" s="70"/>
      <c r="AS888" s="70"/>
      <c r="AT888" s="70"/>
      <c r="AU888" s="70"/>
      <c r="AV888" s="70"/>
      <c r="AW888" s="70"/>
      <c r="AX888" s="70"/>
      <c r="AY888" s="70"/>
      <c r="AZ888" s="70"/>
      <c r="BA888" s="70"/>
      <c r="BB888" s="70"/>
      <c r="BC888" s="70"/>
      <c r="BD888" s="70"/>
      <c r="BE888" s="70"/>
      <c r="BF888" s="70"/>
      <c r="BG888" s="70"/>
      <c r="BH888" s="70"/>
      <c r="BI888" s="70"/>
      <c r="BJ888" s="70"/>
      <c r="BK888" s="70"/>
      <c r="BL888" s="70"/>
      <c r="BM888" s="70"/>
      <c r="BN888" s="70"/>
      <c r="BO888" s="70"/>
      <c r="BP888" s="70"/>
      <c r="BQ888" s="70"/>
      <c r="BR888" s="70"/>
      <c r="BS888" s="70"/>
      <c r="BT888" s="70"/>
      <c r="BU888" s="70"/>
      <c r="BV888" s="70"/>
      <c r="BW888" s="70"/>
      <c r="BX888" s="70"/>
      <c r="BY888" s="70"/>
      <c r="BZ888" s="70"/>
      <c r="CA888" s="70"/>
      <c r="CB888" s="70"/>
      <c r="CC888" s="70"/>
      <c r="CD888" s="70"/>
      <c r="CE888" s="70"/>
      <c r="CF888" s="70"/>
      <c r="CG888" s="70"/>
      <c r="CH888" s="70"/>
      <c r="CI888" s="70"/>
      <c r="CJ888" s="70"/>
      <c r="CK888" s="70"/>
      <c r="CL888" s="70"/>
      <c r="CM888" s="70"/>
      <c r="CN888" s="70"/>
      <c r="CO888" s="70"/>
      <c r="CP888" s="70"/>
      <c r="CQ888" s="70"/>
      <c r="CR888" s="70"/>
      <c r="CS888" s="70"/>
      <c r="CT888" s="70"/>
      <c r="CU888" s="70"/>
      <c r="CV888" s="70"/>
      <c r="CW888" s="70"/>
      <c r="CX888" s="70"/>
      <c r="CY888" s="70"/>
      <c r="CZ888" s="70"/>
      <c r="DA888" s="70"/>
      <c r="DB888" s="70"/>
      <c r="DC888" s="70"/>
      <c r="DD888" s="70"/>
      <c r="DE888" s="70"/>
      <c r="DF888" s="70"/>
      <c r="DG888" s="70"/>
      <c r="DH888" s="70"/>
      <c r="DI888" s="70"/>
      <c r="DJ888" s="70"/>
      <c r="DK888" s="70"/>
      <c r="DL888" s="70"/>
      <c r="DM888" s="70"/>
      <c r="DN888" s="70"/>
      <c r="DO888" s="70"/>
      <c r="DP888" s="70"/>
      <c r="DQ888" s="70"/>
      <c r="DR888" s="70"/>
      <c r="DS888" s="70"/>
      <c r="DT888" s="70"/>
      <c r="DU888" s="70"/>
      <c r="DV888" s="70"/>
      <c r="DW888" s="70"/>
      <c r="DX888" s="70"/>
      <c r="DY888" s="70"/>
      <c r="DZ888" s="70"/>
      <c r="EA888" s="70"/>
      <c r="EB888" s="70"/>
      <c r="EC888" s="70"/>
      <c r="ED888" s="70"/>
      <c r="EE888" s="95" t="s">
        <v>450</v>
      </c>
      <c r="EF888" s="95"/>
      <c r="EG888" s="95"/>
      <c r="EH888" s="70"/>
      <c r="EI888" s="216"/>
      <c r="EJ888" s="70"/>
      <c r="EK888" s="70"/>
      <c r="EL888" s="70"/>
      <c r="EM888" s="70"/>
      <c r="EN888" s="70"/>
      <c r="EO888" s="70"/>
      <c r="EP888" s="70"/>
      <c r="EQ888" s="70"/>
      <c r="ER888" s="70"/>
      <c r="ES888" s="70"/>
      <c r="ET888" s="70"/>
      <c r="EU888" s="70"/>
      <c r="EV888" s="70"/>
      <c r="EW888" s="70"/>
      <c r="EX888" s="70"/>
      <c r="EY888" s="70"/>
      <c r="EZ888" s="70"/>
      <c r="FA888" s="70"/>
      <c r="FB888" s="70"/>
      <c r="FC888" s="70"/>
      <c r="FD888" s="70"/>
      <c r="FE888" s="70"/>
      <c r="FF888" s="70"/>
      <c r="FG888" s="70"/>
      <c r="FH888" s="70"/>
      <c r="FI888" s="70"/>
      <c r="FJ888" s="70"/>
      <c r="FK888" s="70"/>
      <c r="FL888" s="70"/>
      <c r="FM888" s="70"/>
      <c r="FN888" s="70"/>
      <c r="FO888" s="70"/>
      <c r="FP888" s="70"/>
      <c r="FQ888" s="70"/>
      <c r="FR888" s="70"/>
      <c r="FS888" s="70"/>
      <c r="FT888" s="70"/>
      <c r="FU888" s="70"/>
      <c r="FV888" s="70"/>
      <c r="FW888" s="70"/>
      <c r="FX888" s="70"/>
      <c r="FY888" s="70"/>
      <c r="FZ888" s="70"/>
      <c r="GA888" s="70"/>
      <c r="GB888" s="70"/>
      <c r="GC888" s="70"/>
      <c r="GD888" s="70"/>
      <c r="GE888" s="70"/>
      <c r="GF888" s="70"/>
      <c r="GG888" s="70"/>
      <c r="GH888" s="70"/>
      <c r="GI888" s="70"/>
      <c r="GJ888" s="70"/>
      <c r="GK888" s="70"/>
      <c r="GL888" s="70"/>
      <c r="GM888" s="70"/>
      <c r="GN888" s="70"/>
      <c r="GO888" s="70"/>
      <c r="GP888" s="70"/>
      <c r="GQ888" s="70"/>
      <c r="GR888" s="70"/>
      <c r="GS888" s="70"/>
      <c r="GT888" s="70"/>
      <c r="GU888" s="70"/>
      <c r="GV888" s="70"/>
      <c r="GW888" s="70"/>
      <c r="GX888" s="70"/>
      <c r="GY888" s="70"/>
      <c r="GZ888" s="70"/>
      <c r="HA888" s="70"/>
      <c r="HB888" s="70"/>
      <c r="HC888" s="70"/>
      <c r="HD888" s="70"/>
      <c r="HE888" s="70"/>
      <c r="HF888" s="70"/>
      <c r="HG888" s="70"/>
      <c r="HH888" s="70"/>
      <c r="HI888" s="70"/>
      <c r="HJ888" s="70"/>
      <c r="HK888" s="70"/>
      <c r="HL888" s="70"/>
      <c r="HM888" s="70"/>
      <c r="HN888" s="70"/>
      <c r="HO888" s="70"/>
      <c r="HP888" s="70"/>
      <c r="HQ888" s="70"/>
      <c r="HR888" s="70"/>
      <c r="HS888" s="70"/>
      <c r="HT888" s="70"/>
      <c r="HU888" s="70"/>
      <c r="HV888" s="70"/>
      <c r="HW888" s="70"/>
      <c r="HX888" s="70"/>
      <c r="HY888" s="70"/>
      <c r="HZ888" s="70"/>
      <c r="IA888" s="70"/>
      <c r="IB888" s="70"/>
      <c r="IC888" s="70"/>
      <c r="ID888" s="70"/>
      <c r="IE888" s="70"/>
      <c r="IF888" s="70"/>
      <c r="IG888" s="70"/>
      <c r="IH888" s="70"/>
      <c r="II888" s="70"/>
      <c r="IJ888" s="70"/>
      <c r="IK888" s="70"/>
      <c r="IL888" s="70"/>
      <c r="IM888" s="70"/>
      <c r="IN888" s="70"/>
      <c r="IO888" s="70"/>
      <c r="IP888" s="70"/>
      <c r="IQ888" s="70"/>
    </row>
    <row r="889" spans="18:251" ht="16.5" hidden="1" customHeight="1">
      <c r="R889" s="95" t="s">
        <v>450</v>
      </c>
      <c r="S889" s="95"/>
      <c r="T889" s="95"/>
      <c r="U889" s="70"/>
      <c r="V889" s="214"/>
      <c r="W889" s="70"/>
      <c r="X889" s="70"/>
      <c r="Y889" s="70"/>
      <c r="Z889" s="70"/>
      <c r="AA889" s="70"/>
      <c r="AB889" s="70"/>
      <c r="AC889" s="70"/>
      <c r="AD889" s="70"/>
      <c r="AE889" s="70"/>
      <c r="AF889" s="70"/>
      <c r="AG889" s="70"/>
      <c r="AH889" s="70"/>
      <c r="AI889" s="70"/>
      <c r="AJ889" s="70"/>
      <c r="AK889" s="70"/>
      <c r="AL889" s="70"/>
      <c r="AM889" s="70"/>
      <c r="AN889" s="70"/>
      <c r="AO889" s="70"/>
      <c r="AP889" s="70"/>
      <c r="AQ889" s="70"/>
      <c r="AR889" s="70"/>
      <c r="AS889" s="70"/>
      <c r="AT889" s="70"/>
      <c r="AU889" s="70"/>
      <c r="AV889" s="70"/>
      <c r="AW889" s="70"/>
      <c r="AX889" s="70"/>
      <c r="AY889" s="70"/>
      <c r="AZ889" s="70"/>
      <c r="BA889" s="70"/>
      <c r="BB889" s="70"/>
      <c r="BC889" s="70"/>
      <c r="BD889" s="70"/>
      <c r="BE889" s="70"/>
      <c r="BF889" s="70"/>
      <c r="BG889" s="70"/>
      <c r="BH889" s="70"/>
      <c r="BI889" s="70"/>
      <c r="BJ889" s="70"/>
      <c r="BK889" s="70"/>
      <c r="BL889" s="70"/>
      <c r="BM889" s="70"/>
      <c r="BN889" s="70"/>
      <c r="BO889" s="70"/>
      <c r="BP889" s="70"/>
      <c r="BQ889" s="70"/>
      <c r="BR889" s="70"/>
      <c r="BS889" s="70"/>
      <c r="BT889" s="70"/>
      <c r="BU889" s="70"/>
      <c r="BV889" s="70"/>
      <c r="BW889" s="70"/>
      <c r="BX889" s="70"/>
      <c r="BY889" s="70"/>
      <c r="BZ889" s="70"/>
      <c r="CA889" s="70"/>
      <c r="CB889" s="70"/>
      <c r="CC889" s="70"/>
      <c r="CD889" s="70"/>
      <c r="CE889" s="70"/>
      <c r="CF889" s="70"/>
      <c r="CG889" s="70"/>
      <c r="CH889" s="70"/>
      <c r="CI889" s="70"/>
      <c r="CJ889" s="70"/>
      <c r="CK889" s="70"/>
      <c r="CL889" s="70"/>
      <c r="CM889" s="70"/>
      <c r="CN889" s="70"/>
      <c r="CO889" s="70"/>
      <c r="CP889" s="70"/>
      <c r="CQ889" s="70"/>
      <c r="CR889" s="70"/>
      <c r="CS889" s="70"/>
      <c r="CT889" s="70"/>
      <c r="CU889" s="70"/>
      <c r="CV889" s="70"/>
      <c r="CW889" s="70"/>
      <c r="CX889" s="70"/>
      <c r="CY889" s="70"/>
      <c r="CZ889" s="70"/>
      <c r="DA889" s="70"/>
      <c r="DB889" s="70"/>
      <c r="DC889" s="70"/>
      <c r="DD889" s="70"/>
      <c r="DE889" s="70"/>
      <c r="DF889" s="70"/>
      <c r="DG889" s="70"/>
      <c r="DH889" s="70"/>
      <c r="DI889" s="70"/>
      <c r="DJ889" s="70"/>
      <c r="DK889" s="70"/>
      <c r="DL889" s="70"/>
      <c r="DM889" s="70"/>
      <c r="DN889" s="70"/>
      <c r="DO889" s="70"/>
      <c r="DP889" s="70"/>
      <c r="DQ889" s="70"/>
      <c r="DR889" s="70"/>
      <c r="DS889" s="70"/>
      <c r="DT889" s="70"/>
      <c r="DU889" s="70"/>
      <c r="DV889" s="70"/>
      <c r="DW889" s="70"/>
      <c r="DX889" s="70"/>
      <c r="DY889" s="70"/>
      <c r="DZ889" s="70"/>
      <c r="EA889" s="70"/>
      <c r="EB889" s="70"/>
      <c r="EC889" s="70"/>
      <c r="ED889" s="70"/>
      <c r="EE889" s="95" t="s">
        <v>450</v>
      </c>
      <c r="EF889" s="95"/>
      <c r="EG889" s="95"/>
      <c r="EH889" s="70"/>
      <c r="EI889" s="216"/>
      <c r="EJ889" s="70"/>
      <c r="EK889" s="70"/>
      <c r="EL889" s="70"/>
      <c r="EM889" s="70"/>
      <c r="EN889" s="70"/>
      <c r="EO889" s="70"/>
      <c r="EP889" s="70"/>
      <c r="EQ889" s="70"/>
      <c r="ER889" s="70"/>
      <c r="ES889" s="70"/>
      <c r="ET889" s="70"/>
      <c r="EU889" s="70"/>
      <c r="EV889" s="70"/>
      <c r="EW889" s="70"/>
      <c r="EX889" s="70"/>
      <c r="EY889" s="70"/>
      <c r="EZ889" s="70"/>
      <c r="FA889" s="70"/>
      <c r="FB889" s="70"/>
      <c r="FC889" s="70"/>
      <c r="FD889" s="70"/>
      <c r="FE889" s="70"/>
      <c r="FF889" s="70"/>
      <c r="FG889" s="70"/>
      <c r="FH889" s="70"/>
      <c r="FI889" s="70"/>
      <c r="FJ889" s="70"/>
      <c r="FK889" s="70"/>
      <c r="FL889" s="70"/>
      <c r="FM889" s="70"/>
      <c r="FN889" s="70"/>
      <c r="FO889" s="70"/>
      <c r="FP889" s="70"/>
      <c r="FQ889" s="70"/>
      <c r="FR889" s="70"/>
      <c r="FS889" s="70"/>
      <c r="FT889" s="70"/>
      <c r="FU889" s="70"/>
      <c r="FV889" s="70"/>
      <c r="FW889" s="70"/>
      <c r="FX889" s="70"/>
      <c r="FY889" s="70"/>
      <c r="FZ889" s="70"/>
      <c r="GA889" s="70"/>
      <c r="GB889" s="70"/>
      <c r="GC889" s="70"/>
      <c r="GD889" s="70"/>
      <c r="GE889" s="70"/>
      <c r="GF889" s="70"/>
      <c r="GG889" s="70"/>
      <c r="GH889" s="70"/>
      <c r="GI889" s="70"/>
      <c r="GJ889" s="70"/>
      <c r="GK889" s="70"/>
      <c r="GL889" s="70"/>
      <c r="GM889" s="70"/>
      <c r="GN889" s="70"/>
      <c r="GO889" s="70"/>
      <c r="GP889" s="70"/>
      <c r="GQ889" s="70"/>
      <c r="GR889" s="70"/>
      <c r="GS889" s="70"/>
      <c r="GT889" s="70"/>
      <c r="GU889" s="70"/>
      <c r="GV889" s="70"/>
      <c r="GW889" s="70"/>
      <c r="GX889" s="70"/>
      <c r="GY889" s="70"/>
      <c r="GZ889" s="70"/>
      <c r="HA889" s="70"/>
      <c r="HB889" s="70"/>
      <c r="HC889" s="70"/>
      <c r="HD889" s="70"/>
      <c r="HE889" s="70"/>
      <c r="HF889" s="70"/>
      <c r="HG889" s="70"/>
      <c r="HH889" s="70"/>
      <c r="HI889" s="70"/>
      <c r="HJ889" s="70"/>
      <c r="HK889" s="70"/>
      <c r="HL889" s="70"/>
      <c r="HM889" s="70"/>
      <c r="HN889" s="70"/>
      <c r="HO889" s="70"/>
      <c r="HP889" s="70"/>
      <c r="HQ889" s="70"/>
      <c r="HR889" s="70"/>
      <c r="HS889" s="70"/>
      <c r="HT889" s="70"/>
      <c r="HU889" s="70"/>
      <c r="HV889" s="70"/>
      <c r="HW889" s="70"/>
      <c r="HX889" s="70"/>
      <c r="HY889" s="70"/>
      <c r="HZ889" s="70"/>
      <c r="IA889" s="70"/>
      <c r="IB889" s="70"/>
      <c r="IC889" s="70"/>
      <c r="ID889" s="70"/>
      <c r="IE889" s="70"/>
      <c r="IF889" s="70"/>
      <c r="IG889" s="70"/>
      <c r="IH889" s="70"/>
      <c r="II889" s="70"/>
      <c r="IJ889" s="70"/>
      <c r="IK889" s="70"/>
      <c r="IL889" s="70"/>
      <c r="IM889" s="70"/>
      <c r="IN889" s="70"/>
      <c r="IO889" s="70"/>
      <c r="IP889" s="70"/>
      <c r="IQ889" s="70"/>
    </row>
    <row r="890" spans="18:251" ht="16.5" hidden="1" customHeight="1">
      <c r="R890" s="95" t="s">
        <v>450</v>
      </c>
      <c r="S890" s="95"/>
      <c r="T890" s="95"/>
      <c r="U890" s="70"/>
      <c r="V890" s="214"/>
      <c r="W890" s="70"/>
      <c r="X890" s="70"/>
      <c r="Y890" s="70"/>
      <c r="Z890" s="70"/>
      <c r="AA890" s="70"/>
      <c r="AB890" s="70"/>
      <c r="AC890" s="70"/>
      <c r="AD890" s="70"/>
      <c r="AE890" s="70"/>
      <c r="AF890" s="70"/>
      <c r="AG890" s="70"/>
      <c r="AH890" s="70"/>
      <c r="AI890" s="70"/>
      <c r="AJ890" s="70"/>
      <c r="AK890" s="70"/>
      <c r="AL890" s="70"/>
      <c r="AM890" s="70"/>
      <c r="AN890" s="70"/>
      <c r="AO890" s="70"/>
      <c r="AP890" s="70"/>
      <c r="AQ890" s="70"/>
      <c r="AR890" s="70"/>
      <c r="AS890" s="70"/>
      <c r="AT890" s="70"/>
      <c r="AU890" s="70"/>
      <c r="AV890" s="70"/>
      <c r="AW890" s="70"/>
      <c r="AX890" s="70"/>
      <c r="AY890" s="70"/>
      <c r="AZ890" s="70"/>
      <c r="BA890" s="70"/>
      <c r="BB890" s="70"/>
      <c r="BC890" s="70"/>
      <c r="BD890" s="70"/>
      <c r="BE890" s="70"/>
      <c r="BF890" s="70"/>
      <c r="BG890" s="70"/>
      <c r="BH890" s="70"/>
      <c r="BI890" s="70"/>
      <c r="BJ890" s="70"/>
      <c r="BK890" s="70"/>
      <c r="BL890" s="70"/>
      <c r="BM890" s="70"/>
      <c r="BN890" s="70"/>
      <c r="BO890" s="70"/>
      <c r="BP890" s="70"/>
      <c r="BQ890" s="70"/>
      <c r="BR890" s="70"/>
      <c r="BS890" s="70"/>
      <c r="BT890" s="70"/>
      <c r="BU890" s="70"/>
      <c r="BV890" s="70"/>
      <c r="BW890" s="70"/>
      <c r="BX890" s="70"/>
      <c r="BY890" s="70"/>
      <c r="BZ890" s="70"/>
      <c r="CA890" s="70"/>
      <c r="CB890" s="70"/>
      <c r="CC890" s="70"/>
      <c r="CD890" s="70"/>
      <c r="CE890" s="70"/>
      <c r="CF890" s="70"/>
      <c r="CG890" s="70"/>
      <c r="CH890" s="70"/>
      <c r="CI890" s="70"/>
      <c r="CJ890" s="70"/>
      <c r="CK890" s="70"/>
      <c r="CL890" s="70"/>
      <c r="CM890" s="70"/>
      <c r="CN890" s="70"/>
      <c r="CO890" s="70"/>
      <c r="CP890" s="70"/>
      <c r="CQ890" s="70"/>
      <c r="CR890" s="70"/>
      <c r="CS890" s="70"/>
      <c r="CT890" s="70"/>
      <c r="CU890" s="70"/>
      <c r="CV890" s="70"/>
      <c r="CW890" s="70"/>
      <c r="CX890" s="70"/>
      <c r="CY890" s="70"/>
      <c r="CZ890" s="70"/>
      <c r="DA890" s="70"/>
      <c r="DB890" s="70"/>
      <c r="DC890" s="70"/>
      <c r="DD890" s="70"/>
      <c r="DE890" s="70"/>
      <c r="DF890" s="70"/>
      <c r="DG890" s="70"/>
      <c r="DH890" s="70"/>
      <c r="DI890" s="70"/>
      <c r="DJ890" s="70"/>
      <c r="DK890" s="70"/>
      <c r="DL890" s="70"/>
      <c r="DM890" s="70"/>
      <c r="DN890" s="70"/>
      <c r="DO890" s="70"/>
      <c r="DP890" s="70"/>
      <c r="DQ890" s="70"/>
      <c r="DR890" s="70"/>
      <c r="DS890" s="70"/>
      <c r="DT890" s="70"/>
      <c r="DU890" s="70"/>
      <c r="DV890" s="70"/>
      <c r="DW890" s="70"/>
      <c r="DX890" s="70"/>
      <c r="DY890" s="70"/>
      <c r="DZ890" s="70"/>
      <c r="EA890" s="70"/>
      <c r="EB890" s="70"/>
      <c r="EC890" s="70"/>
      <c r="ED890" s="70"/>
      <c r="EE890" s="95" t="s">
        <v>450</v>
      </c>
      <c r="EF890" s="95"/>
      <c r="EG890" s="95"/>
      <c r="EH890" s="70"/>
      <c r="EI890" s="216"/>
      <c r="EJ890" s="70"/>
      <c r="EK890" s="70"/>
      <c r="EL890" s="70"/>
      <c r="EM890" s="70"/>
      <c r="EN890" s="70"/>
      <c r="EO890" s="70"/>
      <c r="EP890" s="70"/>
      <c r="EQ890" s="70"/>
      <c r="ER890" s="70"/>
      <c r="ES890" s="70"/>
      <c r="ET890" s="70"/>
      <c r="EU890" s="70"/>
      <c r="EV890" s="70"/>
      <c r="EW890" s="70"/>
      <c r="EX890" s="70"/>
      <c r="EY890" s="70"/>
      <c r="EZ890" s="70"/>
      <c r="FA890" s="70"/>
      <c r="FB890" s="70"/>
      <c r="FC890" s="70"/>
      <c r="FD890" s="70"/>
      <c r="FE890" s="70"/>
      <c r="FF890" s="70"/>
      <c r="FG890" s="70"/>
      <c r="FH890" s="70"/>
      <c r="FI890" s="70"/>
      <c r="FJ890" s="70"/>
      <c r="FK890" s="70"/>
      <c r="FL890" s="70"/>
      <c r="FM890" s="70"/>
      <c r="FN890" s="70"/>
      <c r="FO890" s="70"/>
      <c r="FP890" s="70"/>
      <c r="FQ890" s="70"/>
      <c r="FR890" s="70"/>
      <c r="FS890" s="70"/>
      <c r="FT890" s="70"/>
      <c r="FU890" s="70"/>
      <c r="FV890" s="70"/>
      <c r="FW890" s="70"/>
      <c r="FX890" s="70"/>
      <c r="FY890" s="70"/>
      <c r="FZ890" s="70"/>
      <c r="GA890" s="70"/>
      <c r="GB890" s="70"/>
      <c r="GC890" s="70"/>
      <c r="GD890" s="70"/>
      <c r="GE890" s="70"/>
      <c r="GF890" s="70"/>
      <c r="GG890" s="70"/>
      <c r="GH890" s="70"/>
      <c r="GI890" s="70"/>
      <c r="GJ890" s="70"/>
      <c r="GK890" s="70"/>
      <c r="GL890" s="70"/>
      <c r="GM890" s="70"/>
      <c r="GN890" s="70"/>
      <c r="GO890" s="70"/>
      <c r="GP890" s="70"/>
      <c r="GQ890" s="70"/>
      <c r="GR890" s="70"/>
      <c r="GS890" s="70"/>
      <c r="GT890" s="70"/>
      <c r="GU890" s="70"/>
      <c r="GV890" s="70"/>
      <c r="GW890" s="70"/>
      <c r="GX890" s="70"/>
      <c r="GY890" s="70"/>
      <c r="GZ890" s="70"/>
      <c r="HA890" s="70"/>
      <c r="HB890" s="70"/>
      <c r="HC890" s="70"/>
      <c r="HD890" s="70"/>
      <c r="HE890" s="70"/>
      <c r="HF890" s="70"/>
      <c r="HG890" s="70"/>
      <c r="HH890" s="70"/>
      <c r="HI890" s="70"/>
      <c r="HJ890" s="70"/>
      <c r="HK890" s="70"/>
      <c r="HL890" s="70"/>
      <c r="HM890" s="70"/>
      <c r="HN890" s="70"/>
      <c r="HO890" s="70"/>
      <c r="HP890" s="70"/>
      <c r="HQ890" s="70"/>
      <c r="HR890" s="70"/>
      <c r="HS890" s="70"/>
      <c r="HT890" s="70"/>
      <c r="HU890" s="70"/>
      <c r="HV890" s="70"/>
      <c r="HW890" s="70"/>
      <c r="HX890" s="70"/>
      <c r="HY890" s="70"/>
      <c r="HZ890" s="70"/>
      <c r="IA890" s="70"/>
      <c r="IB890" s="70"/>
      <c r="IC890" s="70"/>
      <c r="ID890" s="70"/>
      <c r="IE890" s="70"/>
      <c r="IF890" s="70"/>
      <c r="IG890" s="70"/>
      <c r="IH890" s="70"/>
      <c r="II890" s="70"/>
      <c r="IJ890" s="70"/>
      <c r="IK890" s="70"/>
      <c r="IL890" s="70"/>
      <c r="IM890" s="70"/>
      <c r="IN890" s="70"/>
      <c r="IO890" s="70"/>
      <c r="IP890" s="70"/>
      <c r="IQ890" s="70"/>
    </row>
    <row r="891" spans="18:251" ht="16.5" hidden="1" customHeight="1">
      <c r="R891" s="95" t="s">
        <v>450</v>
      </c>
      <c r="S891" s="95"/>
      <c r="T891" s="95"/>
      <c r="U891" s="70"/>
      <c r="V891" s="214"/>
      <c r="W891" s="70"/>
      <c r="X891" s="70"/>
      <c r="Y891" s="70"/>
      <c r="Z891" s="70"/>
      <c r="AA891" s="70"/>
      <c r="AB891" s="70"/>
      <c r="AC891" s="70"/>
      <c r="AD891" s="70"/>
      <c r="AE891" s="70"/>
      <c r="AF891" s="70"/>
      <c r="AG891" s="70"/>
      <c r="AH891" s="70"/>
      <c r="AI891" s="70"/>
      <c r="AJ891" s="70"/>
      <c r="AK891" s="70"/>
      <c r="AL891" s="70"/>
      <c r="AM891" s="70"/>
      <c r="AN891" s="70"/>
      <c r="AO891" s="70"/>
      <c r="AP891" s="70"/>
      <c r="AQ891" s="70"/>
      <c r="AR891" s="70"/>
      <c r="AS891" s="70"/>
      <c r="AT891" s="70"/>
      <c r="AU891" s="70"/>
      <c r="AV891" s="70"/>
      <c r="AW891" s="70"/>
      <c r="AX891" s="70"/>
      <c r="AY891" s="70"/>
      <c r="AZ891" s="70"/>
      <c r="BA891" s="70"/>
      <c r="BB891" s="70"/>
      <c r="BC891" s="70"/>
      <c r="BD891" s="70"/>
      <c r="BE891" s="70"/>
      <c r="BF891" s="70"/>
      <c r="BG891" s="70"/>
      <c r="BH891" s="70"/>
      <c r="BI891" s="70"/>
      <c r="BJ891" s="70"/>
      <c r="BK891" s="70"/>
      <c r="BL891" s="70"/>
      <c r="BM891" s="70"/>
      <c r="BN891" s="70"/>
      <c r="BO891" s="70"/>
      <c r="BP891" s="70"/>
      <c r="BQ891" s="70"/>
      <c r="BR891" s="70"/>
      <c r="BS891" s="70"/>
      <c r="BT891" s="70"/>
      <c r="BU891" s="70"/>
      <c r="BV891" s="70"/>
      <c r="BW891" s="70"/>
      <c r="BX891" s="70"/>
      <c r="BY891" s="70"/>
      <c r="BZ891" s="70"/>
      <c r="CA891" s="70"/>
      <c r="CB891" s="70"/>
      <c r="CC891" s="70"/>
      <c r="CD891" s="70"/>
      <c r="CE891" s="70"/>
      <c r="CF891" s="70"/>
      <c r="CG891" s="70"/>
      <c r="CH891" s="70"/>
      <c r="CI891" s="70"/>
      <c r="CJ891" s="70"/>
      <c r="CK891" s="70"/>
      <c r="CL891" s="70"/>
      <c r="CM891" s="70"/>
      <c r="CN891" s="70"/>
      <c r="CO891" s="70"/>
      <c r="CP891" s="70"/>
      <c r="CQ891" s="70"/>
      <c r="CR891" s="70"/>
      <c r="CS891" s="70"/>
      <c r="CT891" s="70"/>
      <c r="CU891" s="70"/>
      <c r="CV891" s="70"/>
      <c r="CW891" s="70"/>
      <c r="CX891" s="70"/>
      <c r="CY891" s="70"/>
      <c r="CZ891" s="70"/>
      <c r="DA891" s="70"/>
      <c r="DB891" s="70"/>
      <c r="DC891" s="70"/>
      <c r="DD891" s="70"/>
      <c r="DE891" s="70"/>
      <c r="DF891" s="70"/>
      <c r="DG891" s="70"/>
      <c r="DH891" s="70"/>
      <c r="DI891" s="70"/>
      <c r="DJ891" s="70"/>
      <c r="DK891" s="70"/>
      <c r="DL891" s="70"/>
      <c r="DM891" s="70"/>
      <c r="DN891" s="70"/>
      <c r="DO891" s="70"/>
      <c r="DP891" s="70"/>
      <c r="DQ891" s="70"/>
      <c r="DR891" s="70"/>
      <c r="DS891" s="70"/>
      <c r="DT891" s="70"/>
      <c r="DU891" s="70"/>
      <c r="DV891" s="70"/>
      <c r="DW891" s="70"/>
      <c r="DX891" s="70"/>
      <c r="DY891" s="70"/>
      <c r="DZ891" s="70"/>
      <c r="EA891" s="70"/>
      <c r="EB891" s="70"/>
      <c r="EC891" s="70"/>
      <c r="ED891" s="70"/>
      <c r="EE891" s="95" t="s">
        <v>450</v>
      </c>
      <c r="EF891" s="95"/>
      <c r="EG891" s="95"/>
      <c r="EH891" s="70"/>
      <c r="EI891" s="216"/>
      <c r="EJ891" s="70"/>
      <c r="EK891" s="70"/>
      <c r="EL891" s="70"/>
      <c r="EM891" s="70"/>
      <c r="EN891" s="70"/>
      <c r="EO891" s="70"/>
      <c r="EP891" s="70"/>
      <c r="EQ891" s="70"/>
      <c r="ER891" s="70"/>
      <c r="ES891" s="70"/>
      <c r="ET891" s="70"/>
      <c r="EU891" s="70"/>
      <c r="EV891" s="70"/>
      <c r="EW891" s="70"/>
      <c r="EX891" s="70"/>
      <c r="EY891" s="70"/>
      <c r="EZ891" s="70"/>
      <c r="FA891" s="70"/>
      <c r="FB891" s="70"/>
      <c r="FC891" s="70"/>
      <c r="FD891" s="70"/>
      <c r="FE891" s="70"/>
      <c r="FF891" s="70"/>
      <c r="FG891" s="70"/>
      <c r="FH891" s="70"/>
      <c r="FI891" s="70"/>
      <c r="FJ891" s="70"/>
      <c r="FK891" s="70"/>
      <c r="FL891" s="70"/>
      <c r="FM891" s="70"/>
      <c r="FN891" s="70"/>
      <c r="FO891" s="70"/>
      <c r="FP891" s="70"/>
      <c r="FQ891" s="70"/>
      <c r="FR891" s="70"/>
      <c r="FS891" s="70"/>
      <c r="FT891" s="70"/>
      <c r="FU891" s="70"/>
      <c r="FV891" s="70"/>
      <c r="FW891" s="70"/>
      <c r="FX891" s="70"/>
      <c r="FY891" s="70"/>
      <c r="FZ891" s="70"/>
      <c r="GA891" s="70"/>
      <c r="GB891" s="70"/>
      <c r="GC891" s="70"/>
      <c r="GD891" s="70"/>
      <c r="GE891" s="70"/>
      <c r="GF891" s="70"/>
      <c r="GG891" s="70"/>
      <c r="GH891" s="70"/>
      <c r="GI891" s="70"/>
      <c r="GJ891" s="70"/>
      <c r="GK891" s="70"/>
      <c r="GL891" s="70"/>
      <c r="GM891" s="70"/>
      <c r="GN891" s="70"/>
      <c r="GO891" s="70"/>
      <c r="GP891" s="70"/>
      <c r="GQ891" s="70"/>
      <c r="GR891" s="70"/>
      <c r="GS891" s="70"/>
      <c r="GT891" s="70"/>
      <c r="GU891" s="70"/>
      <c r="GV891" s="70"/>
      <c r="GW891" s="70"/>
      <c r="GX891" s="70"/>
      <c r="GY891" s="70"/>
      <c r="GZ891" s="70"/>
      <c r="HA891" s="70"/>
      <c r="HB891" s="70"/>
      <c r="HC891" s="70"/>
      <c r="HD891" s="70"/>
      <c r="HE891" s="70"/>
      <c r="HF891" s="70"/>
      <c r="HG891" s="70"/>
      <c r="HH891" s="70"/>
      <c r="HI891" s="70"/>
      <c r="HJ891" s="70"/>
      <c r="HK891" s="70"/>
      <c r="HL891" s="70"/>
      <c r="HM891" s="70"/>
      <c r="HN891" s="70"/>
      <c r="HO891" s="70"/>
      <c r="HP891" s="70"/>
      <c r="HQ891" s="70"/>
      <c r="HR891" s="70"/>
      <c r="HS891" s="70"/>
      <c r="HT891" s="70"/>
      <c r="HU891" s="70"/>
      <c r="HV891" s="70"/>
      <c r="HW891" s="70"/>
      <c r="HX891" s="70"/>
      <c r="HY891" s="70"/>
      <c r="HZ891" s="70"/>
      <c r="IA891" s="70"/>
      <c r="IB891" s="70"/>
      <c r="IC891" s="70"/>
      <c r="ID891" s="70"/>
      <c r="IE891" s="70"/>
      <c r="IF891" s="70"/>
      <c r="IG891" s="70"/>
      <c r="IH891" s="70"/>
      <c r="II891" s="70"/>
      <c r="IJ891" s="70"/>
      <c r="IK891" s="70"/>
      <c r="IL891" s="70"/>
      <c r="IM891" s="70"/>
      <c r="IN891" s="70"/>
      <c r="IO891" s="70"/>
      <c r="IP891" s="70"/>
      <c r="IQ891" s="70"/>
    </row>
    <row r="892" spans="18:251" ht="16.5" hidden="1" customHeight="1">
      <c r="R892" s="95" t="s">
        <v>450</v>
      </c>
      <c r="S892" s="95"/>
      <c r="T892" s="95"/>
      <c r="U892" s="70"/>
      <c r="V892" s="214"/>
      <c r="W892" s="70"/>
      <c r="X892" s="70"/>
      <c r="Y892" s="70"/>
      <c r="Z892" s="70"/>
      <c r="AA892" s="70"/>
      <c r="AB892" s="70"/>
      <c r="AC892" s="70"/>
      <c r="AD892" s="70"/>
      <c r="AE892" s="70"/>
      <c r="AF892" s="70"/>
      <c r="AG892" s="70"/>
      <c r="AH892" s="70"/>
      <c r="AI892" s="70"/>
      <c r="AJ892" s="70"/>
      <c r="AK892" s="70"/>
      <c r="AL892" s="70"/>
      <c r="AM892" s="70"/>
      <c r="AN892" s="70"/>
      <c r="AO892" s="70"/>
      <c r="AP892" s="70"/>
      <c r="AQ892" s="70"/>
      <c r="AR892" s="70"/>
      <c r="AS892" s="70"/>
      <c r="AT892" s="70"/>
      <c r="AU892" s="70"/>
      <c r="AV892" s="70"/>
      <c r="AW892" s="70"/>
      <c r="AX892" s="70"/>
      <c r="AY892" s="70"/>
      <c r="AZ892" s="70"/>
      <c r="BA892" s="70"/>
      <c r="BB892" s="70"/>
      <c r="BC892" s="70"/>
      <c r="BD892" s="70"/>
      <c r="BE892" s="70"/>
      <c r="BF892" s="70"/>
      <c r="BG892" s="70"/>
      <c r="BH892" s="70"/>
      <c r="BI892" s="70"/>
      <c r="BJ892" s="70"/>
      <c r="BK892" s="70"/>
      <c r="BL892" s="70"/>
      <c r="BM892" s="70"/>
      <c r="BN892" s="70"/>
      <c r="BO892" s="70"/>
      <c r="BP892" s="70"/>
      <c r="BQ892" s="70"/>
      <c r="BR892" s="70"/>
      <c r="BS892" s="70"/>
      <c r="BT892" s="70"/>
      <c r="BU892" s="70"/>
      <c r="BV892" s="70"/>
      <c r="BW892" s="70"/>
      <c r="BX892" s="70"/>
      <c r="BY892" s="70"/>
      <c r="BZ892" s="70"/>
      <c r="CA892" s="70"/>
      <c r="CB892" s="70"/>
      <c r="CC892" s="70"/>
      <c r="CD892" s="70"/>
      <c r="CE892" s="70"/>
      <c r="CF892" s="70"/>
      <c r="CG892" s="70"/>
      <c r="CH892" s="70"/>
      <c r="CI892" s="70"/>
      <c r="CJ892" s="70"/>
      <c r="CK892" s="70"/>
      <c r="CL892" s="70"/>
      <c r="CM892" s="70"/>
      <c r="CN892" s="70"/>
      <c r="CO892" s="70"/>
      <c r="CP892" s="70"/>
      <c r="CQ892" s="70"/>
      <c r="CR892" s="70"/>
      <c r="CS892" s="70"/>
      <c r="CT892" s="70"/>
      <c r="CU892" s="70"/>
      <c r="CV892" s="70"/>
      <c r="CW892" s="70"/>
      <c r="CX892" s="70"/>
      <c r="CY892" s="70"/>
      <c r="CZ892" s="70"/>
      <c r="DA892" s="70"/>
      <c r="DB892" s="70"/>
      <c r="DC892" s="70"/>
      <c r="DD892" s="70"/>
      <c r="DE892" s="70"/>
      <c r="DF892" s="70"/>
      <c r="DG892" s="70"/>
      <c r="DH892" s="70"/>
      <c r="DI892" s="70"/>
      <c r="DJ892" s="70"/>
      <c r="DK892" s="70"/>
      <c r="DL892" s="70"/>
      <c r="DM892" s="70"/>
      <c r="DN892" s="70"/>
      <c r="DO892" s="70"/>
      <c r="DP892" s="70"/>
      <c r="DQ892" s="70"/>
      <c r="DR892" s="70"/>
      <c r="DS892" s="70"/>
      <c r="DT892" s="70"/>
      <c r="DU892" s="70"/>
      <c r="DV892" s="70"/>
      <c r="DW892" s="70"/>
      <c r="DX892" s="70"/>
      <c r="DY892" s="70"/>
      <c r="DZ892" s="70"/>
      <c r="EA892" s="70"/>
      <c r="EB892" s="70"/>
      <c r="EC892" s="70"/>
      <c r="ED892" s="70"/>
      <c r="EE892" s="95" t="s">
        <v>450</v>
      </c>
      <c r="EF892" s="95"/>
      <c r="EG892" s="95"/>
      <c r="EH892" s="70"/>
      <c r="EI892" s="216"/>
      <c r="EJ892" s="70"/>
      <c r="EK892" s="70"/>
      <c r="EL892" s="70"/>
      <c r="EM892" s="70"/>
      <c r="EN892" s="70"/>
      <c r="EO892" s="70"/>
      <c r="EP892" s="70"/>
      <c r="EQ892" s="70"/>
      <c r="ER892" s="70"/>
      <c r="ES892" s="70"/>
      <c r="ET892" s="70"/>
      <c r="EU892" s="70"/>
      <c r="EV892" s="70"/>
      <c r="EW892" s="70"/>
      <c r="EX892" s="70"/>
      <c r="EY892" s="70"/>
      <c r="EZ892" s="70"/>
      <c r="FA892" s="70"/>
      <c r="FB892" s="70"/>
      <c r="FC892" s="70"/>
      <c r="FD892" s="70"/>
      <c r="FE892" s="70"/>
      <c r="FF892" s="70"/>
      <c r="FG892" s="70"/>
      <c r="FH892" s="70"/>
      <c r="FI892" s="70"/>
      <c r="FJ892" s="70"/>
      <c r="FK892" s="70"/>
      <c r="FL892" s="70"/>
      <c r="FM892" s="70"/>
      <c r="FN892" s="70"/>
      <c r="FO892" s="70"/>
      <c r="FP892" s="70"/>
      <c r="FQ892" s="70"/>
      <c r="FR892" s="70"/>
      <c r="FS892" s="70"/>
      <c r="FT892" s="70"/>
      <c r="FU892" s="70"/>
      <c r="FV892" s="70"/>
      <c r="FW892" s="70"/>
      <c r="FX892" s="70"/>
      <c r="FY892" s="70"/>
      <c r="FZ892" s="70"/>
      <c r="GA892" s="70"/>
      <c r="GB892" s="70"/>
      <c r="GC892" s="70"/>
      <c r="GD892" s="70"/>
      <c r="GE892" s="70"/>
      <c r="GF892" s="70"/>
      <c r="GG892" s="70"/>
      <c r="GH892" s="70"/>
      <c r="GI892" s="70"/>
      <c r="GJ892" s="70"/>
      <c r="GK892" s="70"/>
      <c r="GL892" s="70"/>
      <c r="GM892" s="70"/>
      <c r="GN892" s="70"/>
      <c r="GO892" s="70"/>
      <c r="GP892" s="70"/>
      <c r="GQ892" s="70"/>
      <c r="GR892" s="70"/>
      <c r="GS892" s="70"/>
      <c r="GT892" s="70"/>
      <c r="GU892" s="70"/>
      <c r="GV892" s="70"/>
      <c r="GW892" s="70"/>
      <c r="GX892" s="70"/>
      <c r="GY892" s="70"/>
      <c r="GZ892" s="70"/>
      <c r="HA892" s="70"/>
      <c r="HB892" s="70"/>
      <c r="HC892" s="70"/>
      <c r="HD892" s="70"/>
      <c r="HE892" s="70"/>
      <c r="HF892" s="70"/>
      <c r="HG892" s="70"/>
      <c r="HH892" s="70"/>
      <c r="HI892" s="70"/>
      <c r="HJ892" s="70"/>
      <c r="HK892" s="70"/>
      <c r="HL892" s="70"/>
      <c r="HM892" s="70"/>
      <c r="HN892" s="70"/>
      <c r="HO892" s="70"/>
      <c r="HP892" s="70"/>
      <c r="HQ892" s="70"/>
      <c r="HR892" s="70"/>
      <c r="HS892" s="70"/>
      <c r="HT892" s="70"/>
      <c r="HU892" s="70"/>
      <c r="HV892" s="70"/>
      <c r="HW892" s="70"/>
      <c r="HX892" s="70"/>
      <c r="HY892" s="70"/>
      <c r="HZ892" s="70"/>
      <c r="IA892" s="70"/>
      <c r="IB892" s="70"/>
      <c r="IC892" s="70"/>
      <c r="ID892" s="70"/>
      <c r="IE892" s="70"/>
      <c r="IF892" s="70"/>
      <c r="IG892" s="70"/>
      <c r="IH892" s="70"/>
      <c r="II892" s="70"/>
      <c r="IJ892" s="70"/>
      <c r="IK892" s="70"/>
      <c r="IL892" s="70"/>
      <c r="IM892" s="70"/>
      <c r="IN892" s="70"/>
      <c r="IO892" s="70"/>
      <c r="IP892" s="70"/>
      <c r="IQ892" s="70"/>
    </row>
    <row r="893" spans="18:251" ht="16.5" hidden="1" customHeight="1">
      <c r="R893" s="95" t="s">
        <v>450</v>
      </c>
      <c r="S893" s="95"/>
      <c r="T893" s="95"/>
      <c r="U893" s="70"/>
      <c r="V893" s="214"/>
      <c r="W893" s="70"/>
      <c r="X893" s="70"/>
      <c r="Y893" s="70"/>
      <c r="Z893" s="70"/>
      <c r="AA893" s="70"/>
      <c r="AB893" s="70"/>
      <c r="AC893" s="70"/>
      <c r="AD893" s="70"/>
      <c r="AE893" s="70"/>
      <c r="AF893" s="70"/>
      <c r="AG893" s="70"/>
      <c r="AH893" s="70"/>
      <c r="AI893" s="70"/>
      <c r="AJ893" s="70"/>
      <c r="AK893" s="70"/>
      <c r="AL893" s="70"/>
      <c r="AM893" s="70"/>
      <c r="AN893" s="70"/>
      <c r="AO893" s="70"/>
      <c r="AP893" s="70"/>
      <c r="AQ893" s="70"/>
      <c r="AR893" s="70"/>
      <c r="AS893" s="70"/>
      <c r="AT893" s="70"/>
      <c r="AU893" s="70"/>
      <c r="AV893" s="70"/>
      <c r="AW893" s="70"/>
      <c r="AX893" s="70"/>
      <c r="AY893" s="70"/>
      <c r="AZ893" s="70"/>
      <c r="BA893" s="70"/>
      <c r="BB893" s="70"/>
      <c r="BC893" s="70"/>
      <c r="BD893" s="70"/>
      <c r="BE893" s="70"/>
      <c r="BF893" s="70"/>
      <c r="BG893" s="70"/>
      <c r="BH893" s="70"/>
      <c r="BI893" s="70"/>
      <c r="BJ893" s="70"/>
      <c r="BK893" s="70"/>
      <c r="BL893" s="70"/>
      <c r="BM893" s="70"/>
      <c r="BN893" s="70"/>
      <c r="BO893" s="70"/>
      <c r="BP893" s="70"/>
      <c r="BQ893" s="70"/>
      <c r="BR893" s="70"/>
      <c r="BS893" s="70"/>
      <c r="BT893" s="70"/>
      <c r="BU893" s="70"/>
      <c r="BV893" s="70"/>
      <c r="BW893" s="70"/>
      <c r="BX893" s="70"/>
      <c r="BY893" s="70"/>
      <c r="BZ893" s="70"/>
      <c r="CA893" s="70"/>
      <c r="CB893" s="70"/>
      <c r="CC893" s="70"/>
      <c r="CD893" s="70"/>
      <c r="CE893" s="70"/>
      <c r="CF893" s="70"/>
      <c r="CG893" s="70"/>
      <c r="CH893" s="70"/>
      <c r="CI893" s="70"/>
      <c r="CJ893" s="70"/>
      <c r="CK893" s="70"/>
      <c r="CL893" s="70"/>
      <c r="CM893" s="70"/>
      <c r="CN893" s="70"/>
      <c r="CO893" s="70"/>
      <c r="CP893" s="70"/>
      <c r="CQ893" s="70"/>
      <c r="CR893" s="70"/>
      <c r="CS893" s="70"/>
      <c r="CT893" s="70"/>
      <c r="CU893" s="70"/>
      <c r="CV893" s="70"/>
      <c r="CW893" s="70"/>
      <c r="CX893" s="70"/>
      <c r="CY893" s="70"/>
      <c r="CZ893" s="70"/>
      <c r="DA893" s="70"/>
      <c r="DB893" s="70"/>
      <c r="DC893" s="70"/>
      <c r="DD893" s="70"/>
      <c r="DE893" s="70"/>
      <c r="DF893" s="70"/>
      <c r="DG893" s="70"/>
      <c r="DH893" s="70"/>
      <c r="DI893" s="70"/>
      <c r="DJ893" s="70"/>
      <c r="DK893" s="70"/>
      <c r="DL893" s="70"/>
      <c r="DM893" s="70"/>
      <c r="DN893" s="70"/>
      <c r="DO893" s="70"/>
      <c r="DP893" s="70"/>
      <c r="DQ893" s="70"/>
      <c r="DR893" s="70"/>
      <c r="DS893" s="70"/>
      <c r="DT893" s="70"/>
      <c r="DU893" s="70"/>
      <c r="DV893" s="70"/>
      <c r="DW893" s="70"/>
      <c r="DX893" s="70"/>
      <c r="DY893" s="70"/>
      <c r="DZ893" s="70"/>
      <c r="EA893" s="70"/>
      <c r="EB893" s="70"/>
      <c r="EC893" s="70"/>
      <c r="ED893" s="70"/>
      <c r="EE893" s="95" t="s">
        <v>450</v>
      </c>
      <c r="EF893" s="95"/>
      <c r="EG893" s="95"/>
      <c r="EH893" s="70"/>
      <c r="EI893" s="216"/>
      <c r="EJ893" s="70"/>
      <c r="EK893" s="70"/>
      <c r="EL893" s="70"/>
      <c r="EM893" s="70"/>
      <c r="EN893" s="70"/>
      <c r="EO893" s="70"/>
      <c r="EP893" s="70"/>
      <c r="EQ893" s="70"/>
      <c r="ER893" s="70"/>
      <c r="ES893" s="70"/>
      <c r="ET893" s="70"/>
      <c r="EU893" s="70"/>
      <c r="EV893" s="70"/>
      <c r="EW893" s="70"/>
      <c r="EX893" s="70"/>
      <c r="EY893" s="70"/>
      <c r="EZ893" s="70"/>
      <c r="FA893" s="70"/>
      <c r="FB893" s="70"/>
      <c r="FC893" s="70"/>
      <c r="FD893" s="70"/>
      <c r="FE893" s="70"/>
      <c r="FF893" s="70"/>
      <c r="FG893" s="70"/>
      <c r="FH893" s="70"/>
      <c r="FI893" s="70"/>
      <c r="FJ893" s="70"/>
      <c r="FK893" s="70"/>
      <c r="FL893" s="70"/>
      <c r="FM893" s="70"/>
      <c r="FN893" s="70"/>
      <c r="FO893" s="70"/>
      <c r="FP893" s="70"/>
      <c r="FQ893" s="70"/>
      <c r="FR893" s="70"/>
      <c r="FS893" s="70"/>
      <c r="FT893" s="70"/>
      <c r="FU893" s="70"/>
      <c r="FV893" s="70"/>
      <c r="FW893" s="70"/>
      <c r="FX893" s="70"/>
      <c r="FY893" s="70"/>
      <c r="FZ893" s="70"/>
      <c r="GA893" s="70"/>
      <c r="GB893" s="70"/>
      <c r="GC893" s="70"/>
      <c r="GD893" s="70"/>
      <c r="GE893" s="70"/>
      <c r="GF893" s="70"/>
      <c r="GG893" s="70"/>
      <c r="GH893" s="70"/>
      <c r="GI893" s="70"/>
      <c r="GJ893" s="70"/>
      <c r="GK893" s="70"/>
      <c r="GL893" s="70"/>
      <c r="GM893" s="70"/>
      <c r="GN893" s="70"/>
      <c r="GO893" s="70"/>
      <c r="GP893" s="70"/>
      <c r="GQ893" s="70"/>
      <c r="GR893" s="70"/>
      <c r="GS893" s="70"/>
      <c r="GT893" s="70"/>
      <c r="GU893" s="70"/>
      <c r="GV893" s="70"/>
      <c r="GW893" s="70"/>
      <c r="GX893" s="70"/>
      <c r="GY893" s="70"/>
      <c r="GZ893" s="70"/>
      <c r="HA893" s="70"/>
      <c r="HB893" s="70"/>
      <c r="HC893" s="70"/>
      <c r="HD893" s="70"/>
      <c r="HE893" s="70"/>
      <c r="HF893" s="70"/>
      <c r="HG893" s="70"/>
      <c r="HH893" s="70"/>
      <c r="HI893" s="70"/>
      <c r="HJ893" s="70"/>
      <c r="HK893" s="70"/>
      <c r="HL893" s="70"/>
      <c r="HM893" s="70"/>
      <c r="HN893" s="70"/>
      <c r="HO893" s="70"/>
      <c r="HP893" s="70"/>
      <c r="HQ893" s="70"/>
      <c r="HR893" s="70"/>
      <c r="HS893" s="70"/>
      <c r="HT893" s="70"/>
      <c r="HU893" s="70"/>
      <c r="HV893" s="70"/>
      <c r="HW893" s="70"/>
      <c r="HX893" s="70"/>
      <c r="HY893" s="70"/>
      <c r="HZ893" s="70"/>
      <c r="IA893" s="70"/>
      <c r="IB893" s="70"/>
      <c r="IC893" s="70"/>
      <c r="ID893" s="70"/>
      <c r="IE893" s="70"/>
      <c r="IF893" s="70"/>
      <c r="IG893" s="70"/>
      <c r="IH893" s="70"/>
      <c r="II893" s="70"/>
      <c r="IJ893" s="70"/>
      <c r="IK893" s="70"/>
      <c r="IL893" s="70"/>
      <c r="IM893" s="70"/>
      <c r="IN893" s="70"/>
      <c r="IO893" s="70"/>
      <c r="IP893" s="70"/>
      <c r="IQ893" s="70"/>
    </row>
    <row r="894" spans="18:251" ht="16.5" hidden="1" customHeight="1">
      <c r="R894" s="95" t="s">
        <v>450</v>
      </c>
      <c r="S894" s="95"/>
      <c r="T894" s="95"/>
      <c r="U894" s="70"/>
      <c r="V894" s="214"/>
      <c r="W894" s="70"/>
      <c r="X894" s="70"/>
      <c r="Y894" s="70"/>
      <c r="Z894" s="70"/>
      <c r="AA894" s="70"/>
      <c r="AB894" s="70"/>
      <c r="AC894" s="70"/>
      <c r="AD894" s="70"/>
      <c r="AE894" s="70"/>
      <c r="AF894" s="70"/>
      <c r="AG894" s="70"/>
      <c r="AH894" s="70"/>
      <c r="AI894" s="70"/>
      <c r="AJ894" s="70"/>
      <c r="AK894" s="70"/>
      <c r="AL894" s="70"/>
      <c r="AM894" s="70"/>
      <c r="AN894" s="70"/>
      <c r="AO894" s="70"/>
      <c r="AP894" s="70"/>
      <c r="AQ894" s="70"/>
      <c r="AR894" s="70"/>
      <c r="AS894" s="70"/>
      <c r="AT894" s="70"/>
      <c r="AU894" s="70"/>
      <c r="AV894" s="70"/>
      <c r="AW894" s="70"/>
      <c r="AX894" s="70"/>
      <c r="AY894" s="70"/>
      <c r="AZ894" s="70"/>
      <c r="BA894" s="70"/>
      <c r="BB894" s="70"/>
      <c r="BC894" s="70"/>
      <c r="BD894" s="70"/>
      <c r="BE894" s="70"/>
      <c r="BF894" s="70"/>
      <c r="BG894" s="70"/>
      <c r="BH894" s="70"/>
      <c r="BI894" s="70"/>
      <c r="BJ894" s="70"/>
      <c r="BK894" s="70"/>
      <c r="BL894" s="70"/>
      <c r="BM894" s="70"/>
      <c r="BN894" s="70"/>
      <c r="BO894" s="70"/>
      <c r="BP894" s="70"/>
      <c r="BQ894" s="70"/>
      <c r="BR894" s="70"/>
      <c r="BS894" s="70"/>
      <c r="BT894" s="70"/>
      <c r="BU894" s="70"/>
      <c r="BV894" s="70"/>
      <c r="BW894" s="70"/>
      <c r="BX894" s="70"/>
      <c r="BY894" s="70"/>
      <c r="BZ894" s="70"/>
      <c r="CA894" s="70"/>
      <c r="CB894" s="70"/>
      <c r="CC894" s="70"/>
      <c r="CD894" s="70"/>
      <c r="CE894" s="70"/>
      <c r="CF894" s="70"/>
      <c r="CG894" s="70"/>
      <c r="CH894" s="70"/>
      <c r="CI894" s="70"/>
      <c r="CJ894" s="70"/>
      <c r="CK894" s="70"/>
      <c r="CL894" s="70"/>
      <c r="CM894" s="70"/>
      <c r="CN894" s="70"/>
      <c r="CO894" s="70"/>
      <c r="CP894" s="70"/>
      <c r="CQ894" s="70"/>
      <c r="CR894" s="70"/>
      <c r="CS894" s="70"/>
      <c r="CT894" s="70"/>
      <c r="CU894" s="70"/>
      <c r="CV894" s="70"/>
      <c r="CW894" s="70"/>
      <c r="CX894" s="70"/>
      <c r="CY894" s="70"/>
      <c r="CZ894" s="70"/>
      <c r="DA894" s="70"/>
      <c r="DB894" s="70"/>
      <c r="DC894" s="70"/>
      <c r="DD894" s="70"/>
      <c r="DE894" s="70"/>
      <c r="DF894" s="70"/>
      <c r="DG894" s="70"/>
      <c r="DH894" s="70"/>
      <c r="DI894" s="70"/>
      <c r="DJ894" s="70"/>
      <c r="DK894" s="70"/>
      <c r="DL894" s="70"/>
      <c r="DM894" s="70"/>
      <c r="DN894" s="70"/>
      <c r="DO894" s="70"/>
      <c r="DP894" s="70"/>
      <c r="DQ894" s="70"/>
      <c r="DR894" s="70"/>
      <c r="DS894" s="70"/>
      <c r="DT894" s="70"/>
      <c r="DU894" s="70"/>
      <c r="DV894" s="70"/>
      <c r="DW894" s="70"/>
      <c r="DX894" s="70"/>
      <c r="DY894" s="70"/>
      <c r="DZ894" s="70"/>
      <c r="EA894" s="70"/>
      <c r="EB894" s="70"/>
      <c r="EC894" s="70"/>
      <c r="ED894" s="70"/>
      <c r="EE894" s="95" t="s">
        <v>450</v>
      </c>
      <c r="EF894" s="95"/>
      <c r="EG894" s="95"/>
      <c r="EH894" s="70"/>
      <c r="EI894" s="216"/>
      <c r="EJ894" s="70"/>
      <c r="EK894" s="70"/>
      <c r="EL894" s="70"/>
      <c r="EM894" s="70"/>
      <c r="EN894" s="70"/>
      <c r="EO894" s="70"/>
      <c r="EP894" s="70"/>
      <c r="EQ894" s="70"/>
      <c r="ER894" s="70"/>
      <c r="ES894" s="70"/>
      <c r="ET894" s="70"/>
      <c r="EU894" s="70"/>
      <c r="EV894" s="70"/>
      <c r="EW894" s="70"/>
      <c r="EX894" s="70"/>
      <c r="EY894" s="70"/>
      <c r="EZ894" s="70"/>
      <c r="FA894" s="70"/>
      <c r="FB894" s="70"/>
      <c r="FC894" s="70"/>
      <c r="FD894" s="70"/>
      <c r="FE894" s="70"/>
      <c r="FF894" s="70"/>
      <c r="FG894" s="70"/>
      <c r="FH894" s="70"/>
      <c r="FI894" s="70"/>
      <c r="FJ894" s="70"/>
      <c r="FK894" s="70"/>
      <c r="FL894" s="70"/>
      <c r="FM894" s="70"/>
      <c r="FN894" s="70"/>
      <c r="FO894" s="70"/>
      <c r="FP894" s="70"/>
      <c r="FQ894" s="70"/>
      <c r="FR894" s="70"/>
      <c r="FS894" s="70"/>
      <c r="FT894" s="70"/>
      <c r="FU894" s="70"/>
      <c r="FV894" s="70"/>
      <c r="FW894" s="70"/>
      <c r="FX894" s="70"/>
      <c r="FY894" s="70"/>
      <c r="FZ894" s="70"/>
      <c r="GA894" s="70"/>
      <c r="GB894" s="70"/>
      <c r="GC894" s="70"/>
      <c r="GD894" s="70"/>
      <c r="GE894" s="70"/>
      <c r="GF894" s="70"/>
      <c r="GG894" s="70"/>
      <c r="GH894" s="70"/>
      <c r="GI894" s="70"/>
      <c r="GJ894" s="70"/>
      <c r="GK894" s="70"/>
      <c r="GL894" s="70"/>
      <c r="GM894" s="70"/>
      <c r="GN894" s="70"/>
      <c r="GO894" s="70"/>
      <c r="GP894" s="70"/>
      <c r="GQ894" s="70"/>
      <c r="GR894" s="70"/>
      <c r="GS894" s="70"/>
      <c r="GT894" s="70"/>
      <c r="GU894" s="70"/>
      <c r="GV894" s="70"/>
      <c r="GW894" s="70"/>
      <c r="GX894" s="70"/>
      <c r="GY894" s="70"/>
      <c r="GZ894" s="70"/>
      <c r="HA894" s="70"/>
      <c r="HB894" s="70"/>
      <c r="HC894" s="70"/>
      <c r="HD894" s="70"/>
      <c r="HE894" s="70"/>
      <c r="HF894" s="70"/>
      <c r="HG894" s="70"/>
      <c r="HH894" s="70"/>
      <c r="HI894" s="70"/>
      <c r="HJ894" s="70"/>
      <c r="HK894" s="70"/>
      <c r="HL894" s="70"/>
      <c r="HM894" s="70"/>
      <c r="HN894" s="70"/>
      <c r="HO894" s="70"/>
      <c r="HP894" s="70"/>
      <c r="HQ894" s="70"/>
      <c r="HR894" s="70"/>
      <c r="HS894" s="70"/>
      <c r="HT894" s="70"/>
      <c r="HU894" s="70"/>
      <c r="HV894" s="70"/>
      <c r="HW894" s="70"/>
      <c r="HX894" s="70"/>
      <c r="HY894" s="70"/>
      <c r="HZ894" s="70"/>
      <c r="IA894" s="70"/>
      <c r="IB894" s="70"/>
      <c r="IC894" s="70"/>
      <c r="ID894" s="70"/>
      <c r="IE894" s="70"/>
      <c r="IF894" s="70"/>
      <c r="IG894" s="70"/>
      <c r="IH894" s="70"/>
      <c r="II894" s="70"/>
      <c r="IJ894" s="70"/>
      <c r="IK894" s="70"/>
      <c r="IL894" s="70"/>
      <c r="IM894" s="70"/>
      <c r="IN894" s="70"/>
      <c r="IO894" s="70"/>
      <c r="IP894" s="70"/>
      <c r="IQ894" s="70"/>
    </row>
    <row r="895" spans="18:251" ht="16.5" hidden="1" customHeight="1">
      <c r="R895" s="95" t="s">
        <v>450</v>
      </c>
      <c r="S895" s="95"/>
      <c r="T895" s="95"/>
      <c r="U895" s="70"/>
      <c r="V895" s="214"/>
      <c r="W895" s="70"/>
      <c r="X895" s="70"/>
      <c r="Y895" s="70"/>
      <c r="Z895" s="70"/>
      <c r="AA895" s="70"/>
      <c r="AB895" s="70"/>
      <c r="AC895" s="70"/>
      <c r="AD895" s="70"/>
      <c r="AE895" s="70"/>
      <c r="AF895" s="70"/>
      <c r="AG895" s="70"/>
      <c r="AH895" s="70"/>
      <c r="AI895" s="70"/>
      <c r="AJ895" s="70"/>
      <c r="AK895" s="70"/>
      <c r="AL895" s="70"/>
      <c r="AM895" s="70"/>
      <c r="AN895" s="70"/>
      <c r="AO895" s="70"/>
      <c r="AP895" s="70"/>
      <c r="AQ895" s="70"/>
      <c r="AR895" s="70"/>
      <c r="AS895" s="70"/>
      <c r="AT895" s="70"/>
      <c r="AU895" s="70"/>
      <c r="AV895" s="70"/>
      <c r="AW895" s="70"/>
      <c r="AX895" s="70"/>
      <c r="AY895" s="70"/>
      <c r="AZ895" s="70"/>
      <c r="BA895" s="70"/>
      <c r="BB895" s="70"/>
      <c r="BC895" s="70"/>
      <c r="BD895" s="70"/>
      <c r="BE895" s="70"/>
      <c r="BF895" s="70"/>
      <c r="BG895" s="70"/>
      <c r="BH895" s="70"/>
      <c r="BI895" s="70"/>
      <c r="BJ895" s="70"/>
      <c r="BK895" s="70"/>
      <c r="BL895" s="70"/>
      <c r="BM895" s="70"/>
      <c r="BN895" s="70"/>
      <c r="BO895" s="70"/>
      <c r="BP895" s="70"/>
      <c r="BQ895" s="70"/>
      <c r="BR895" s="70"/>
      <c r="BS895" s="70"/>
      <c r="BT895" s="70"/>
      <c r="BU895" s="70"/>
      <c r="BV895" s="70"/>
      <c r="BW895" s="70"/>
      <c r="BX895" s="70"/>
      <c r="BY895" s="70"/>
      <c r="BZ895" s="70"/>
      <c r="CA895" s="70"/>
      <c r="CB895" s="70"/>
      <c r="CC895" s="70"/>
      <c r="CD895" s="70"/>
      <c r="CE895" s="70"/>
      <c r="CF895" s="70"/>
      <c r="CG895" s="70"/>
      <c r="CH895" s="70"/>
      <c r="CI895" s="70"/>
      <c r="CJ895" s="70"/>
      <c r="CK895" s="70"/>
      <c r="CL895" s="70"/>
      <c r="CM895" s="70"/>
      <c r="CN895" s="70"/>
      <c r="CO895" s="70"/>
      <c r="CP895" s="70"/>
      <c r="CQ895" s="70"/>
      <c r="CR895" s="70"/>
      <c r="CS895" s="70"/>
      <c r="CT895" s="70"/>
      <c r="CU895" s="70"/>
      <c r="CV895" s="70"/>
      <c r="CW895" s="70"/>
      <c r="CX895" s="70"/>
      <c r="CY895" s="70"/>
      <c r="CZ895" s="70"/>
      <c r="DA895" s="70"/>
      <c r="DB895" s="70"/>
      <c r="DC895" s="70"/>
      <c r="DD895" s="70"/>
      <c r="DE895" s="70"/>
      <c r="DF895" s="70"/>
      <c r="DG895" s="70"/>
      <c r="DH895" s="70"/>
      <c r="DI895" s="70"/>
      <c r="DJ895" s="70"/>
      <c r="DK895" s="70"/>
      <c r="DL895" s="70"/>
      <c r="DM895" s="70"/>
      <c r="DN895" s="70"/>
      <c r="DO895" s="70"/>
      <c r="DP895" s="70"/>
      <c r="DQ895" s="70"/>
      <c r="DR895" s="70"/>
      <c r="DS895" s="70"/>
      <c r="DT895" s="70"/>
      <c r="DU895" s="70"/>
      <c r="DV895" s="70"/>
      <c r="DW895" s="70"/>
      <c r="DX895" s="70"/>
      <c r="DY895" s="70"/>
      <c r="DZ895" s="70"/>
      <c r="EA895" s="70"/>
      <c r="EB895" s="70"/>
      <c r="EC895" s="70"/>
      <c r="ED895" s="70"/>
      <c r="EE895" s="95" t="s">
        <v>450</v>
      </c>
      <c r="EF895" s="95"/>
      <c r="EG895" s="95"/>
      <c r="EH895" s="70"/>
      <c r="EI895" s="216"/>
      <c r="EJ895" s="70"/>
      <c r="EK895" s="70"/>
      <c r="EL895" s="70"/>
      <c r="EM895" s="70"/>
      <c r="EN895" s="70"/>
      <c r="EO895" s="70"/>
      <c r="EP895" s="70"/>
      <c r="EQ895" s="70"/>
      <c r="ER895" s="70"/>
      <c r="ES895" s="70"/>
      <c r="ET895" s="70"/>
      <c r="EU895" s="70"/>
      <c r="EV895" s="70"/>
      <c r="EW895" s="70"/>
      <c r="EX895" s="70"/>
      <c r="EY895" s="70"/>
      <c r="EZ895" s="70"/>
      <c r="FA895" s="70"/>
      <c r="FB895" s="70"/>
      <c r="FC895" s="70"/>
      <c r="FD895" s="70"/>
      <c r="FE895" s="70"/>
      <c r="FF895" s="70"/>
      <c r="FG895" s="70"/>
      <c r="FH895" s="70"/>
      <c r="FI895" s="70"/>
      <c r="FJ895" s="70"/>
      <c r="FK895" s="70"/>
      <c r="FL895" s="70"/>
      <c r="FM895" s="70"/>
      <c r="FN895" s="70"/>
      <c r="FO895" s="70"/>
      <c r="FP895" s="70"/>
      <c r="FQ895" s="70"/>
      <c r="FR895" s="70"/>
      <c r="FS895" s="70"/>
      <c r="FT895" s="70"/>
      <c r="FU895" s="70"/>
      <c r="FV895" s="70"/>
      <c r="FW895" s="70"/>
      <c r="FX895" s="70"/>
      <c r="FY895" s="70"/>
      <c r="FZ895" s="70"/>
      <c r="GA895" s="70"/>
      <c r="GB895" s="70"/>
      <c r="GC895" s="70"/>
      <c r="GD895" s="70"/>
      <c r="GE895" s="70"/>
      <c r="GF895" s="70"/>
      <c r="GG895" s="70"/>
      <c r="GH895" s="70"/>
      <c r="GI895" s="70"/>
      <c r="GJ895" s="70"/>
      <c r="GK895" s="70"/>
      <c r="GL895" s="70"/>
      <c r="GM895" s="70"/>
      <c r="GN895" s="70"/>
      <c r="GO895" s="70"/>
      <c r="GP895" s="70"/>
      <c r="GQ895" s="70"/>
      <c r="GR895" s="70"/>
      <c r="GS895" s="70"/>
      <c r="GT895" s="70"/>
      <c r="GU895" s="70"/>
      <c r="GV895" s="70"/>
      <c r="GW895" s="70"/>
      <c r="GX895" s="70"/>
      <c r="GY895" s="70"/>
      <c r="GZ895" s="70"/>
      <c r="HA895" s="70"/>
      <c r="HB895" s="70"/>
      <c r="HC895" s="70"/>
      <c r="HD895" s="70"/>
      <c r="HE895" s="70"/>
      <c r="HF895" s="70"/>
      <c r="HG895" s="70"/>
      <c r="HH895" s="70"/>
      <c r="HI895" s="70"/>
      <c r="HJ895" s="70"/>
      <c r="HK895" s="70"/>
      <c r="HL895" s="70"/>
      <c r="HM895" s="70"/>
      <c r="HN895" s="70"/>
      <c r="HO895" s="70"/>
      <c r="HP895" s="70"/>
      <c r="HQ895" s="70"/>
      <c r="HR895" s="70"/>
      <c r="HS895" s="70"/>
      <c r="HT895" s="70"/>
      <c r="HU895" s="70"/>
      <c r="HV895" s="70"/>
      <c r="HW895" s="70"/>
      <c r="HX895" s="70"/>
      <c r="HY895" s="70"/>
      <c r="HZ895" s="70"/>
      <c r="IA895" s="70"/>
      <c r="IB895" s="70"/>
      <c r="IC895" s="70"/>
      <c r="ID895" s="70"/>
      <c r="IE895" s="70"/>
      <c r="IF895" s="70"/>
      <c r="IG895" s="70"/>
      <c r="IH895" s="70"/>
      <c r="II895" s="70"/>
      <c r="IJ895" s="70"/>
      <c r="IK895" s="70"/>
      <c r="IL895" s="70"/>
      <c r="IM895" s="70"/>
      <c r="IN895" s="70"/>
      <c r="IO895" s="70"/>
      <c r="IP895" s="70"/>
      <c r="IQ895" s="70"/>
    </row>
    <row r="896" spans="18:251" ht="16.5" hidden="1" customHeight="1">
      <c r="R896" s="95" t="s">
        <v>450</v>
      </c>
      <c r="S896" s="95"/>
      <c r="T896" s="95"/>
      <c r="U896" s="70"/>
      <c r="V896" s="214"/>
      <c r="W896" s="70"/>
      <c r="X896" s="70"/>
      <c r="Y896" s="70"/>
      <c r="Z896" s="70"/>
      <c r="AA896" s="70"/>
      <c r="AB896" s="70"/>
      <c r="AC896" s="70"/>
      <c r="AD896" s="70"/>
      <c r="AE896" s="70"/>
      <c r="AF896" s="70"/>
      <c r="AG896" s="70"/>
      <c r="AH896" s="70"/>
      <c r="AI896" s="70"/>
      <c r="AJ896" s="70"/>
      <c r="AK896" s="70"/>
      <c r="AL896" s="70"/>
      <c r="AM896" s="70"/>
      <c r="AN896" s="70"/>
      <c r="AO896" s="70"/>
      <c r="AP896" s="70"/>
      <c r="AQ896" s="70"/>
      <c r="AR896" s="70"/>
      <c r="AS896" s="70"/>
      <c r="AT896" s="70"/>
      <c r="AU896" s="70"/>
      <c r="AV896" s="70"/>
      <c r="AW896" s="70"/>
      <c r="AX896" s="70"/>
      <c r="AY896" s="70"/>
      <c r="AZ896" s="70"/>
      <c r="BA896" s="70"/>
      <c r="BB896" s="70"/>
      <c r="BC896" s="70"/>
      <c r="BD896" s="70"/>
      <c r="BE896" s="70"/>
      <c r="BF896" s="70"/>
      <c r="BG896" s="70"/>
      <c r="BH896" s="70"/>
      <c r="BI896" s="70"/>
      <c r="BJ896" s="70"/>
      <c r="BK896" s="70"/>
      <c r="BL896" s="70"/>
      <c r="BM896" s="70"/>
      <c r="BN896" s="70"/>
      <c r="BO896" s="70"/>
      <c r="BP896" s="70"/>
      <c r="BQ896" s="70"/>
      <c r="BR896" s="70"/>
      <c r="BS896" s="70"/>
      <c r="BT896" s="70"/>
      <c r="BU896" s="70"/>
      <c r="BV896" s="70"/>
      <c r="BW896" s="70"/>
      <c r="BX896" s="70"/>
      <c r="BY896" s="70"/>
      <c r="BZ896" s="70"/>
      <c r="CA896" s="70"/>
      <c r="CB896" s="70"/>
      <c r="CC896" s="70"/>
      <c r="CD896" s="70"/>
      <c r="CE896" s="70"/>
      <c r="CF896" s="70"/>
      <c r="CG896" s="70"/>
      <c r="CH896" s="70"/>
      <c r="CI896" s="70"/>
      <c r="CJ896" s="70"/>
      <c r="CK896" s="70"/>
      <c r="CL896" s="70"/>
      <c r="CM896" s="70"/>
      <c r="CN896" s="70"/>
      <c r="CO896" s="70"/>
      <c r="CP896" s="70"/>
      <c r="CQ896" s="70"/>
      <c r="CR896" s="70"/>
      <c r="CS896" s="70"/>
      <c r="CT896" s="70"/>
      <c r="CU896" s="70"/>
      <c r="CV896" s="70"/>
      <c r="CW896" s="70"/>
      <c r="CX896" s="70"/>
      <c r="CY896" s="70"/>
      <c r="CZ896" s="70"/>
      <c r="DA896" s="70"/>
      <c r="DB896" s="70"/>
      <c r="DC896" s="70"/>
      <c r="DD896" s="70"/>
      <c r="DE896" s="70"/>
      <c r="DF896" s="70"/>
      <c r="DG896" s="70"/>
      <c r="DH896" s="70"/>
      <c r="DI896" s="70"/>
      <c r="DJ896" s="70"/>
      <c r="DK896" s="70"/>
      <c r="DL896" s="70"/>
      <c r="DM896" s="70"/>
      <c r="DN896" s="70"/>
      <c r="DO896" s="70"/>
      <c r="DP896" s="70"/>
      <c r="DQ896" s="70"/>
      <c r="DR896" s="70"/>
      <c r="DS896" s="70"/>
      <c r="DT896" s="70"/>
      <c r="DU896" s="70"/>
      <c r="DV896" s="70"/>
      <c r="DW896" s="70"/>
      <c r="DX896" s="70"/>
      <c r="DY896" s="70"/>
      <c r="DZ896" s="70"/>
      <c r="EA896" s="70"/>
      <c r="EB896" s="70"/>
      <c r="EC896" s="70"/>
      <c r="ED896" s="70"/>
      <c r="EE896" s="95" t="s">
        <v>450</v>
      </c>
      <c r="EF896" s="95"/>
      <c r="EG896" s="95"/>
      <c r="EH896" s="70"/>
      <c r="EI896" s="216"/>
      <c r="EJ896" s="70"/>
      <c r="EK896" s="70"/>
      <c r="EL896" s="70"/>
      <c r="EM896" s="70"/>
      <c r="EN896" s="70"/>
      <c r="EO896" s="70"/>
      <c r="EP896" s="70"/>
      <c r="EQ896" s="70"/>
      <c r="ER896" s="70"/>
      <c r="ES896" s="70"/>
      <c r="ET896" s="70"/>
      <c r="EU896" s="70"/>
      <c r="EV896" s="70"/>
      <c r="EW896" s="70"/>
      <c r="EX896" s="70"/>
      <c r="EY896" s="70"/>
      <c r="EZ896" s="70"/>
      <c r="FA896" s="70"/>
      <c r="FB896" s="70"/>
      <c r="FC896" s="70"/>
      <c r="FD896" s="70"/>
      <c r="FE896" s="70"/>
      <c r="FF896" s="70"/>
      <c r="FG896" s="70"/>
      <c r="FH896" s="70"/>
      <c r="FI896" s="70"/>
      <c r="FJ896" s="70"/>
      <c r="FK896" s="70"/>
      <c r="FL896" s="70"/>
      <c r="FM896" s="70"/>
      <c r="FN896" s="70"/>
      <c r="FO896" s="70"/>
      <c r="FP896" s="70"/>
      <c r="FQ896" s="70"/>
      <c r="FR896" s="70"/>
      <c r="FS896" s="70"/>
      <c r="FT896" s="70"/>
      <c r="FU896" s="70"/>
      <c r="FV896" s="70"/>
      <c r="FW896" s="70"/>
      <c r="FX896" s="70"/>
      <c r="FY896" s="70"/>
      <c r="FZ896" s="70"/>
      <c r="GA896" s="70"/>
      <c r="GB896" s="70"/>
      <c r="GC896" s="70"/>
      <c r="GD896" s="70"/>
      <c r="GE896" s="70"/>
      <c r="GF896" s="70"/>
      <c r="GG896" s="70"/>
      <c r="GH896" s="70"/>
      <c r="GI896" s="70"/>
      <c r="GJ896" s="70"/>
      <c r="GK896" s="70"/>
      <c r="GL896" s="70"/>
      <c r="GM896" s="70"/>
      <c r="GN896" s="70"/>
      <c r="GO896" s="70"/>
      <c r="GP896" s="70"/>
      <c r="GQ896" s="70"/>
      <c r="GR896" s="70"/>
      <c r="GS896" s="70"/>
      <c r="GT896" s="70"/>
      <c r="GU896" s="70"/>
      <c r="GV896" s="70"/>
      <c r="GW896" s="70"/>
      <c r="GX896" s="70"/>
      <c r="GY896" s="70"/>
      <c r="GZ896" s="70"/>
      <c r="HA896" s="70"/>
      <c r="HB896" s="70"/>
      <c r="HC896" s="70"/>
      <c r="HD896" s="70"/>
      <c r="HE896" s="70"/>
      <c r="HF896" s="70"/>
      <c r="HG896" s="70"/>
      <c r="HH896" s="70"/>
      <c r="HI896" s="70"/>
      <c r="HJ896" s="70"/>
      <c r="HK896" s="70"/>
      <c r="HL896" s="70"/>
      <c r="HM896" s="70"/>
      <c r="HN896" s="70"/>
      <c r="HO896" s="70"/>
      <c r="HP896" s="70"/>
      <c r="HQ896" s="70"/>
      <c r="HR896" s="70"/>
      <c r="HS896" s="70"/>
      <c r="HT896" s="70"/>
      <c r="HU896" s="70"/>
      <c r="HV896" s="70"/>
      <c r="HW896" s="70"/>
      <c r="HX896" s="70"/>
      <c r="HY896" s="70"/>
      <c r="HZ896" s="70"/>
      <c r="IA896" s="70"/>
      <c r="IB896" s="70"/>
      <c r="IC896" s="70"/>
      <c r="ID896" s="70"/>
      <c r="IE896" s="70"/>
      <c r="IF896" s="70"/>
      <c r="IG896" s="70"/>
      <c r="IH896" s="70"/>
      <c r="II896" s="70"/>
      <c r="IJ896" s="70"/>
      <c r="IK896" s="70"/>
      <c r="IL896" s="70"/>
      <c r="IM896" s="70"/>
      <c r="IN896" s="70"/>
      <c r="IO896" s="70"/>
      <c r="IP896" s="70"/>
      <c r="IQ896" s="70"/>
    </row>
    <row r="897" spans="18:251" ht="16.5" hidden="1" customHeight="1">
      <c r="R897" s="95" t="s">
        <v>450</v>
      </c>
      <c r="S897" s="95"/>
      <c r="T897" s="95"/>
      <c r="U897" s="70"/>
      <c r="V897" s="214"/>
      <c r="W897" s="70"/>
      <c r="X897" s="70"/>
      <c r="Y897" s="70"/>
      <c r="Z897" s="70"/>
      <c r="AA897" s="70"/>
      <c r="AB897" s="70"/>
      <c r="AC897" s="70"/>
      <c r="AD897" s="70"/>
      <c r="AE897" s="70"/>
      <c r="AF897" s="70"/>
      <c r="AG897" s="70"/>
      <c r="AH897" s="70"/>
      <c r="AI897" s="70"/>
      <c r="AJ897" s="70"/>
      <c r="AK897" s="70"/>
      <c r="AL897" s="70"/>
      <c r="AM897" s="70"/>
      <c r="AN897" s="70"/>
      <c r="AO897" s="70"/>
      <c r="AP897" s="70"/>
      <c r="AQ897" s="70"/>
      <c r="AR897" s="70"/>
      <c r="AS897" s="70"/>
      <c r="AT897" s="70"/>
      <c r="AU897" s="70"/>
      <c r="AV897" s="70"/>
      <c r="AW897" s="70"/>
      <c r="AX897" s="70"/>
      <c r="AY897" s="70"/>
      <c r="AZ897" s="70"/>
      <c r="BA897" s="70"/>
      <c r="BB897" s="70"/>
      <c r="BC897" s="70"/>
      <c r="BD897" s="70"/>
      <c r="BE897" s="70"/>
      <c r="BF897" s="70"/>
      <c r="BG897" s="70"/>
      <c r="BH897" s="70"/>
      <c r="BI897" s="70"/>
      <c r="BJ897" s="70"/>
      <c r="BK897" s="70"/>
      <c r="BL897" s="70"/>
      <c r="BM897" s="70"/>
      <c r="BN897" s="70"/>
      <c r="BO897" s="70"/>
      <c r="BP897" s="70"/>
      <c r="BQ897" s="70"/>
      <c r="BR897" s="70"/>
      <c r="BS897" s="70"/>
      <c r="BT897" s="70"/>
      <c r="BU897" s="70"/>
      <c r="BV897" s="70"/>
      <c r="BW897" s="70"/>
      <c r="BX897" s="70"/>
      <c r="BY897" s="70"/>
      <c r="BZ897" s="70"/>
      <c r="CA897" s="70"/>
      <c r="CB897" s="70"/>
      <c r="CC897" s="70"/>
      <c r="CD897" s="70"/>
      <c r="CE897" s="70"/>
      <c r="CF897" s="70"/>
      <c r="CG897" s="70"/>
      <c r="CH897" s="70"/>
      <c r="CI897" s="70"/>
      <c r="CJ897" s="70"/>
      <c r="CK897" s="70"/>
      <c r="CL897" s="70"/>
      <c r="CM897" s="70"/>
      <c r="CN897" s="70"/>
      <c r="CO897" s="70"/>
      <c r="CP897" s="70"/>
      <c r="CQ897" s="70"/>
      <c r="CR897" s="70"/>
      <c r="CS897" s="70"/>
      <c r="CT897" s="70"/>
      <c r="CU897" s="70"/>
      <c r="CV897" s="70"/>
      <c r="CW897" s="70"/>
      <c r="CX897" s="70"/>
      <c r="CY897" s="70"/>
      <c r="CZ897" s="70"/>
      <c r="DA897" s="70"/>
      <c r="DB897" s="70"/>
      <c r="DC897" s="70"/>
      <c r="DD897" s="70"/>
      <c r="DE897" s="70"/>
      <c r="DF897" s="70"/>
      <c r="DG897" s="70"/>
      <c r="DH897" s="70"/>
      <c r="DI897" s="70"/>
      <c r="DJ897" s="70"/>
      <c r="DK897" s="70"/>
      <c r="DL897" s="70"/>
      <c r="DM897" s="70"/>
      <c r="DN897" s="70"/>
      <c r="DO897" s="70"/>
      <c r="DP897" s="70"/>
      <c r="DQ897" s="70"/>
      <c r="DR897" s="70"/>
      <c r="DS897" s="70"/>
      <c r="DT897" s="70"/>
      <c r="DU897" s="70"/>
      <c r="DV897" s="70"/>
      <c r="DW897" s="70"/>
      <c r="DX897" s="70"/>
      <c r="DY897" s="70"/>
      <c r="DZ897" s="70"/>
      <c r="EA897" s="70"/>
      <c r="EB897" s="70"/>
      <c r="EC897" s="70"/>
      <c r="ED897" s="70"/>
      <c r="EE897" s="95" t="s">
        <v>450</v>
      </c>
      <c r="EF897" s="95"/>
      <c r="EG897" s="95"/>
      <c r="EH897" s="70"/>
      <c r="EI897" s="216"/>
      <c r="EJ897" s="70"/>
      <c r="EK897" s="70"/>
      <c r="EL897" s="70"/>
      <c r="EM897" s="70"/>
      <c r="EN897" s="70"/>
      <c r="EO897" s="70"/>
      <c r="EP897" s="70"/>
      <c r="EQ897" s="70"/>
      <c r="ER897" s="70"/>
      <c r="ES897" s="70"/>
      <c r="ET897" s="70"/>
      <c r="EU897" s="70"/>
      <c r="EV897" s="70"/>
      <c r="EW897" s="70"/>
      <c r="EX897" s="70"/>
      <c r="EY897" s="70"/>
      <c r="EZ897" s="70"/>
      <c r="FA897" s="70"/>
      <c r="FB897" s="70"/>
      <c r="FC897" s="70"/>
      <c r="FD897" s="70"/>
      <c r="FE897" s="70"/>
      <c r="FF897" s="70"/>
      <c r="FG897" s="70"/>
      <c r="FH897" s="70"/>
      <c r="FI897" s="70"/>
      <c r="FJ897" s="70"/>
      <c r="FK897" s="70"/>
      <c r="FL897" s="70"/>
      <c r="FM897" s="70"/>
      <c r="FN897" s="70"/>
      <c r="FO897" s="70"/>
      <c r="FP897" s="70"/>
      <c r="FQ897" s="70"/>
      <c r="FR897" s="70"/>
      <c r="FS897" s="70"/>
      <c r="FT897" s="70"/>
      <c r="FU897" s="70"/>
      <c r="FV897" s="70"/>
      <c r="FW897" s="70"/>
      <c r="FX897" s="70"/>
      <c r="FY897" s="70"/>
      <c r="FZ897" s="70"/>
      <c r="GA897" s="70"/>
      <c r="GB897" s="70"/>
      <c r="GC897" s="70"/>
      <c r="GD897" s="70"/>
      <c r="GE897" s="70"/>
      <c r="GF897" s="70"/>
      <c r="GG897" s="70"/>
      <c r="GH897" s="70"/>
      <c r="GI897" s="70"/>
      <c r="GJ897" s="70"/>
      <c r="GK897" s="70"/>
      <c r="GL897" s="70"/>
      <c r="GM897" s="70"/>
      <c r="GN897" s="70"/>
      <c r="GO897" s="70"/>
      <c r="GP897" s="70"/>
      <c r="GQ897" s="70"/>
      <c r="GR897" s="70"/>
      <c r="GS897" s="70"/>
      <c r="GT897" s="70"/>
      <c r="GU897" s="70"/>
      <c r="GV897" s="70"/>
      <c r="GW897" s="70"/>
      <c r="GX897" s="70"/>
      <c r="GY897" s="70"/>
      <c r="GZ897" s="70"/>
      <c r="HA897" s="70"/>
      <c r="HB897" s="70"/>
      <c r="HC897" s="70"/>
      <c r="HD897" s="70"/>
      <c r="HE897" s="70"/>
      <c r="HF897" s="70"/>
      <c r="HG897" s="70"/>
      <c r="HH897" s="70"/>
      <c r="HI897" s="70"/>
      <c r="HJ897" s="70"/>
      <c r="HK897" s="70"/>
      <c r="HL897" s="70"/>
      <c r="HM897" s="70"/>
      <c r="HN897" s="70"/>
      <c r="HO897" s="70"/>
      <c r="HP897" s="70"/>
      <c r="HQ897" s="70"/>
      <c r="HR897" s="70"/>
      <c r="HS897" s="70"/>
      <c r="HT897" s="70"/>
      <c r="HU897" s="70"/>
      <c r="HV897" s="70"/>
      <c r="HW897" s="70"/>
      <c r="HX897" s="70"/>
      <c r="HY897" s="70"/>
      <c r="HZ897" s="70"/>
      <c r="IA897" s="70"/>
      <c r="IB897" s="70"/>
      <c r="IC897" s="70"/>
      <c r="ID897" s="70"/>
      <c r="IE897" s="70"/>
      <c r="IF897" s="70"/>
      <c r="IG897" s="70"/>
      <c r="IH897" s="70"/>
      <c r="II897" s="70"/>
      <c r="IJ897" s="70"/>
      <c r="IK897" s="70"/>
      <c r="IL897" s="70"/>
      <c r="IM897" s="70"/>
      <c r="IN897" s="70"/>
      <c r="IO897" s="70"/>
      <c r="IP897" s="70"/>
      <c r="IQ897" s="70"/>
    </row>
    <row r="898" spans="18:251" ht="16.5" hidden="1" customHeight="1">
      <c r="R898" s="95" t="s">
        <v>450</v>
      </c>
      <c r="S898" s="95"/>
      <c r="T898" s="95"/>
      <c r="U898" s="70"/>
      <c r="V898" s="214"/>
      <c r="W898" s="70"/>
      <c r="X898" s="70"/>
      <c r="Y898" s="70"/>
      <c r="Z898" s="70"/>
      <c r="AA898" s="70"/>
      <c r="AB898" s="70"/>
      <c r="AC898" s="70"/>
      <c r="AD898" s="70"/>
      <c r="AE898" s="70"/>
      <c r="AF898" s="70"/>
      <c r="AG898" s="70"/>
      <c r="AH898" s="70"/>
      <c r="AI898" s="70"/>
      <c r="AJ898" s="70"/>
      <c r="AK898" s="70"/>
      <c r="AL898" s="70"/>
      <c r="AM898" s="70"/>
      <c r="AN898" s="70"/>
      <c r="AO898" s="70"/>
      <c r="AP898" s="70"/>
      <c r="AQ898" s="70"/>
      <c r="AR898" s="70"/>
      <c r="AS898" s="70"/>
      <c r="AT898" s="70"/>
      <c r="AU898" s="70"/>
      <c r="AV898" s="70"/>
      <c r="AW898" s="70"/>
      <c r="AX898" s="70"/>
      <c r="AY898" s="70"/>
      <c r="AZ898" s="70"/>
      <c r="BA898" s="70"/>
      <c r="BB898" s="70"/>
      <c r="BC898" s="70"/>
      <c r="BD898" s="70"/>
      <c r="BE898" s="70"/>
      <c r="BF898" s="70"/>
      <c r="BG898" s="70"/>
      <c r="BH898" s="70"/>
      <c r="BI898" s="70"/>
      <c r="BJ898" s="70"/>
      <c r="BK898" s="70"/>
      <c r="BL898" s="70"/>
      <c r="BM898" s="70"/>
      <c r="BN898" s="70"/>
      <c r="BO898" s="70"/>
      <c r="BP898" s="70"/>
      <c r="BQ898" s="70"/>
      <c r="BR898" s="70"/>
      <c r="BS898" s="70"/>
      <c r="BT898" s="70"/>
      <c r="BU898" s="70"/>
      <c r="BV898" s="70"/>
      <c r="BW898" s="70"/>
      <c r="BX898" s="70"/>
      <c r="BY898" s="70"/>
      <c r="BZ898" s="70"/>
      <c r="CA898" s="70"/>
      <c r="CB898" s="70"/>
      <c r="CC898" s="70"/>
      <c r="CD898" s="70"/>
      <c r="CE898" s="70"/>
      <c r="CF898" s="70"/>
      <c r="CG898" s="70"/>
      <c r="CH898" s="70"/>
      <c r="CI898" s="70"/>
      <c r="CJ898" s="70"/>
      <c r="CK898" s="70"/>
      <c r="CL898" s="70"/>
      <c r="CM898" s="70"/>
      <c r="CN898" s="70"/>
      <c r="CO898" s="70"/>
      <c r="CP898" s="70"/>
      <c r="CQ898" s="70"/>
      <c r="CR898" s="70"/>
      <c r="CS898" s="70"/>
      <c r="CT898" s="70"/>
      <c r="CU898" s="70"/>
      <c r="CV898" s="70"/>
      <c r="CW898" s="70"/>
      <c r="CX898" s="70"/>
      <c r="CY898" s="70"/>
      <c r="CZ898" s="70"/>
      <c r="DA898" s="70"/>
      <c r="DB898" s="70"/>
      <c r="DC898" s="70"/>
      <c r="DD898" s="70"/>
      <c r="DE898" s="70"/>
      <c r="DF898" s="70"/>
      <c r="DG898" s="70"/>
      <c r="DH898" s="70"/>
      <c r="DI898" s="70"/>
      <c r="DJ898" s="70"/>
      <c r="DK898" s="70"/>
      <c r="DL898" s="70"/>
      <c r="DM898" s="70"/>
      <c r="DN898" s="70"/>
      <c r="DO898" s="70"/>
      <c r="DP898" s="70"/>
      <c r="DQ898" s="70"/>
      <c r="DR898" s="70"/>
      <c r="DS898" s="70"/>
      <c r="DT898" s="70"/>
      <c r="DU898" s="70"/>
      <c r="DV898" s="70"/>
      <c r="DW898" s="70"/>
      <c r="DX898" s="70"/>
      <c r="DY898" s="70"/>
      <c r="DZ898" s="70"/>
      <c r="EA898" s="70"/>
      <c r="EB898" s="70"/>
      <c r="EC898" s="70"/>
      <c r="ED898" s="70"/>
      <c r="EE898" s="95" t="s">
        <v>450</v>
      </c>
      <c r="EF898" s="95"/>
      <c r="EG898" s="95"/>
      <c r="EH898" s="70"/>
      <c r="EI898" s="216"/>
      <c r="EJ898" s="70"/>
      <c r="EK898" s="70"/>
      <c r="EL898" s="70"/>
      <c r="EM898" s="70"/>
      <c r="EN898" s="70"/>
      <c r="EO898" s="70"/>
      <c r="EP898" s="70"/>
      <c r="EQ898" s="70"/>
      <c r="ER898" s="70"/>
      <c r="ES898" s="70"/>
      <c r="ET898" s="70"/>
      <c r="EU898" s="70"/>
      <c r="EV898" s="70"/>
      <c r="EW898" s="70"/>
      <c r="EX898" s="70"/>
      <c r="EY898" s="70"/>
      <c r="EZ898" s="70"/>
      <c r="FA898" s="70"/>
      <c r="FB898" s="70"/>
      <c r="FC898" s="70"/>
      <c r="FD898" s="70"/>
      <c r="FE898" s="70"/>
      <c r="FF898" s="70"/>
      <c r="FG898" s="70"/>
      <c r="FH898" s="70"/>
      <c r="FI898" s="70"/>
      <c r="FJ898" s="70"/>
      <c r="FK898" s="70"/>
      <c r="FL898" s="70"/>
      <c r="FM898" s="70"/>
      <c r="FN898" s="70"/>
      <c r="FO898" s="70"/>
      <c r="FP898" s="70"/>
      <c r="FQ898" s="70"/>
      <c r="FR898" s="70"/>
      <c r="FS898" s="70"/>
      <c r="FT898" s="70"/>
      <c r="FU898" s="70"/>
      <c r="FV898" s="70"/>
      <c r="FW898" s="70"/>
      <c r="FX898" s="70"/>
      <c r="FY898" s="70"/>
      <c r="FZ898" s="70"/>
      <c r="GA898" s="70"/>
      <c r="GB898" s="70"/>
      <c r="GC898" s="70"/>
      <c r="GD898" s="70"/>
      <c r="GE898" s="70"/>
      <c r="GF898" s="70"/>
      <c r="GG898" s="70"/>
      <c r="GH898" s="70"/>
      <c r="GI898" s="70"/>
      <c r="GJ898" s="70"/>
      <c r="GK898" s="70"/>
      <c r="GL898" s="70"/>
      <c r="GM898" s="70"/>
      <c r="GN898" s="70"/>
      <c r="GO898" s="70"/>
      <c r="GP898" s="70"/>
      <c r="GQ898" s="70"/>
      <c r="GR898" s="70"/>
      <c r="GS898" s="70"/>
      <c r="GT898" s="70"/>
      <c r="GU898" s="70"/>
      <c r="GV898" s="70"/>
      <c r="GW898" s="70"/>
      <c r="GX898" s="70"/>
      <c r="GY898" s="70"/>
      <c r="GZ898" s="70"/>
      <c r="HA898" s="70"/>
      <c r="HB898" s="70"/>
      <c r="HC898" s="70"/>
      <c r="HD898" s="70"/>
      <c r="HE898" s="70"/>
      <c r="HF898" s="70"/>
      <c r="HG898" s="70"/>
      <c r="HH898" s="70"/>
      <c r="HI898" s="70"/>
      <c r="HJ898" s="70"/>
      <c r="HK898" s="70"/>
      <c r="HL898" s="70"/>
      <c r="HM898" s="70"/>
      <c r="HN898" s="70"/>
      <c r="HO898" s="70"/>
      <c r="HP898" s="70"/>
      <c r="HQ898" s="70"/>
      <c r="HR898" s="70"/>
      <c r="HS898" s="70"/>
      <c r="HT898" s="70"/>
      <c r="HU898" s="70"/>
      <c r="HV898" s="70"/>
      <c r="HW898" s="70"/>
      <c r="HX898" s="70"/>
      <c r="HY898" s="70"/>
      <c r="HZ898" s="70"/>
      <c r="IA898" s="70"/>
      <c r="IB898" s="70"/>
      <c r="IC898" s="70"/>
      <c r="ID898" s="70"/>
      <c r="IE898" s="70"/>
      <c r="IF898" s="70"/>
      <c r="IG898" s="70"/>
      <c r="IH898" s="70"/>
      <c r="II898" s="70"/>
      <c r="IJ898" s="70"/>
      <c r="IK898" s="70"/>
      <c r="IL898" s="70"/>
      <c r="IM898" s="70"/>
      <c r="IN898" s="70"/>
      <c r="IO898" s="70"/>
      <c r="IP898" s="70"/>
      <c r="IQ898" s="70"/>
    </row>
    <row r="899" spans="18:251" ht="16.5" hidden="1" customHeight="1">
      <c r="R899" s="95" t="s">
        <v>450</v>
      </c>
      <c r="S899" s="95"/>
      <c r="T899" s="95"/>
      <c r="U899" s="70"/>
      <c r="V899" s="214"/>
      <c r="W899" s="70"/>
      <c r="X899" s="70"/>
      <c r="Y899" s="70"/>
      <c r="Z899" s="70"/>
      <c r="AA899" s="70"/>
      <c r="AB899" s="70"/>
      <c r="AC899" s="70"/>
      <c r="AD899" s="70"/>
      <c r="AE899" s="70"/>
      <c r="AF899" s="70"/>
      <c r="AG899" s="70"/>
      <c r="AH899" s="70"/>
      <c r="AI899" s="70"/>
      <c r="AJ899" s="70"/>
      <c r="AK899" s="70"/>
      <c r="AL899" s="70"/>
      <c r="AM899" s="70"/>
      <c r="AN899" s="70"/>
      <c r="AO899" s="70"/>
      <c r="AP899" s="70"/>
      <c r="AQ899" s="70"/>
      <c r="AR899" s="70"/>
      <c r="AS899" s="70"/>
      <c r="AT899" s="70"/>
      <c r="AU899" s="70"/>
      <c r="AV899" s="70"/>
      <c r="AW899" s="70"/>
      <c r="AX899" s="70"/>
      <c r="AY899" s="70"/>
      <c r="AZ899" s="70"/>
      <c r="BA899" s="70"/>
      <c r="BB899" s="70"/>
      <c r="BC899" s="70"/>
      <c r="BD899" s="70"/>
      <c r="BE899" s="70"/>
      <c r="BF899" s="70"/>
      <c r="BG899" s="70"/>
      <c r="BH899" s="70"/>
      <c r="BI899" s="70"/>
      <c r="BJ899" s="70"/>
      <c r="BK899" s="70"/>
      <c r="BL899" s="70"/>
      <c r="BM899" s="70"/>
      <c r="BN899" s="70"/>
      <c r="BO899" s="70"/>
      <c r="BP899" s="70"/>
      <c r="BQ899" s="70"/>
      <c r="BR899" s="70"/>
      <c r="BS899" s="70"/>
      <c r="BT899" s="70"/>
      <c r="BU899" s="70"/>
      <c r="BV899" s="70"/>
      <c r="BW899" s="70"/>
      <c r="BX899" s="70"/>
      <c r="BY899" s="70"/>
      <c r="BZ899" s="70"/>
      <c r="CA899" s="70"/>
      <c r="CB899" s="70"/>
      <c r="CC899" s="70"/>
      <c r="CD899" s="70"/>
      <c r="CE899" s="70"/>
      <c r="CF899" s="70"/>
      <c r="CG899" s="70"/>
      <c r="CH899" s="70"/>
      <c r="CI899" s="70"/>
      <c r="CJ899" s="70"/>
      <c r="CK899" s="70"/>
      <c r="CL899" s="70"/>
      <c r="CM899" s="70"/>
      <c r="CN899" s="70"/>
      <c r="CO899" s="70"/>
      <c r="CP899" s="70"/>
      <c r="CQ899" s="70"/>
      <c r="CR899" s="70"/>
      <c r="CS899" s="70"/>
      <c r="CT899" s="70"/>
      <c r="CU899" s="70"/>
      <c r="CV899" s="70"/>
      <c r="CW899" s="70"/>
      <c r="CX899" s="70"/>
      <c r="CY899" s="70"/>
      <c r="CZ899" s="70"/>
      <c r="DA899" s="70"/>
      <c r="DB899" s="70"/>
      <c r="DC899" s="70"/>
      <c r="DD899" s="70"/>
      <c r="DE899" s="70"/>
      <c r="DF899" s="70"/>
      <c r="DG899" s="70"/>
      <c r="DH899" s="70"/>
      <c r="DI899" s="70"/>
      <c r="DJ899" s="70"/>
      <c r="DK899" s="70"/>
      <c r="DL899" s="70"/>
      <c r="DM899" s="70"/>
      <c r="DN899" s="70"/>
      <c r="DO899" s="70"/>
      <c r="DP899" s="70"/>
      <c r="DQ899" s="70"/>
      <c r="DR899" s="70"/>
      <c r="DS899" s="70"/>
      <c r="DT899" s="70"/>
      <c r="DU899" s="70"/>
      <c r="DV899" s="70"/>
      <c r="DW899" s="70"/>
      <c r="DX899" s="70"/>
      <c r="DY899" s="70"/>
      <c r="DZ899" s="70"/>
      <c r="EA899" s="70"/>
      <c r="EB899" s="70"/>
      <c r="EC899" s="70"/>
      <c r="ED899" s="70"/>
      <c r="EE899" s="95" t="s">
        <v>450</v>
      </c>
      <c r="EF899" s="95"/>
      <c r="EG899" s="95"/>
      <c r="EH899" s="70"/>
      <c r="EI899" s="216"/>
      <c r="EJ899" s="70"/>
      <c r="EK899" s="70"/>
      <c r="EL899" s="70"/>
      <c r="EM899" s="70"/>
      <c r="EN899" s="70"/>
      <c r="EO899" s="70"/>
      <c r="EP899" s="70"/>
      <c r="EQ899" s="70"/>
      <c r="ER899" s="70"/>
      <c r="ES899" s="70"/>
      <c r="ET899" s="70"/>
      <c r="EU899" s="70"/>
      <c r="EV899" s="70"/>
      <c r="EW899" s="70"/>
      <c r="EX899" s="70"/>
      <c r="EY899" s="70"/>
      <c r="EZ899" s="70"/>
      <c r="FA899" s="70"/>
      <c r="FB899" s="70"/>
      <c r="FC899" s="70"/>
      <c r="FD899" s="70"/>
      <c r="FE899" s="70"/>
      <c r="FF899" s="70"/>
      <c r="FG899" s="70"/>
      <c r="FH899" s="70"/>
      <c r="FI899" s="70"/>
      <c r="FJ899" s="70"/>
      <c r="FK899" s="70"/>
      <c r="FL899" s="70"/>
      <c r="FM899" s="70"/>
      <c r="FN899" s="70"/>
      <c r="FO899" s="70"/>
      <c r="FP899" s="70"/>
      <c r="FQ899" s="70"/>
      <c r="FR899" s="70"/>
      <c r="FS899" s="70"/>
      <c r="FT899" s="70"/>
      <c r="FU899" s="70"/>
      <c r="FV899" s="70"/>
      <c r="FW899" s="70"/>
      <c r="FX899" s="70"/>
      <c r="FY899" s="70"/>
      <c r="FZ899" s="70"/>
      <c r="GA899" s="70"/>
      <c r="GB899" s="70"/>
      <c r="GC899" s="70"/>
      <c r="GD899" s="70"/>
      <c r="GE899" s="70"/>
      <c r="GF899" s="70"/>
      <c r="GG899" s="70"/>
      <c r="GH899" s="70"/>
      <c r="GI899" s="70"/>
      <c r="GJ899" s="70"/>
      <c r="GK899" s="70"/>
      <c r="GL899" s="70"/>
      <c r="GM899" s="70"/>
      <c r="GN899" s="70"/>
      <c r="GO899" s="70"/>
      <c r="GP899" s="70"/>
      <c r="GQ899" s="70"/>
      <c r="GR899" s="70"/>
      <c r="GS899" s="70"/>
      <c r="GT899" s="70"/>
      <c r="GU899" s="70"/>
      <c r="GV899" s="70"/>
      <c r="GW899" s="70"/>
      <c r="GX899" s="70"/>
      <c r="GY899" s="70"/>
      <c r="GZ899" s="70"/>
      <c r="HA899" s="70"/>
      <c r="HB899" s="70"/>
      <c r="HC899" s="70"/>
      <c r="HD899" s="70"/>
      <c r="HE899" s="70"/>
      <c r="HF899" s="70"/>
      <c r="HG899" s="70"/>
      <c r="HH899" s="70"/>
      <c r="HI899" s="70"/>
      <c r="HJ899" s="70"/>
      <c r="HK899" s="70"/>
      <c r="HL899" s="70"/>
      <c r="HM899" s="70"/>
      <c r="HN899" s="70"/>
      <c r="HO899" s="70"/>
      <c r="HP899" s="70"/>
      <c r="HQ899" s="70"/>
      <c r="HR899" s="70"/>
      <c r="HS899" s="70"/>
      <c r="HT899" s="70"/>
      <c r="HU899" s="70"/>
      <c r="HV899" s="70"/>
      <c r="HW899" s="70"/>
      <c r="HX899" s="70"/>
      <c r="HY899" s="70"/>
      <c r="HZ899" s="70"/>
      <c r="IA899" s="70"/>
      <c r="IB899" s="70"/>
      <c r="IC899" s="70"/>
      <c r="ID899" s="70"/>
      <c r="IE899" s="70"/>
      <c r="IF899" s="70"/>
      <c r="IG899" s="70"/>
      <c r="IH899" s="70"/>
      <c r="II899" s="70"/>
      <c r="IJ899" s="70"/>
      <c r="IK899" s="70"/>
      <c r="IL899" s="70"/>
      <c r="IM899" s="70"/>
      <c r="IN899" s="70"/>
      <c r="IO899" s="70"/>
      <c r="IP899" s="70"/>
      <c r="IQ899" s="70"/>
    </row>
    <row r="900" spans="18:251" ht="16.5" hidden="1" customHeight="1">
      <c r="R900" s="95" t="s">
        <v>450</v>
      </c>
      <c r="S900" s="95"/>
      <c r="T900" s="95"/>
      <c r="U900" s="70"/>
      <c r="V900" s="214"/>
      <c r="W900" s="70"/>
      <c r="X900" s="70"/>
      <c r="Y900" s="70"/>
      <c r="Z900" s="70"/>
      <c r="AA900" s="70"/>
      <c r="AB900" s="70"/>
      <c r="AC900" s="70"/>
      <c r="AD900" s="70"/>
      <c r="AE900" s="70"/>
      <c r="AF900" s="70"/>
      <c r="AG900" s="70"/>
      <c r="AH900" s="70"/>
      <c r="AI900" s="70"/>
      <c r="AJ900" s="70"/>
      <c r="AK900" s="70"/>
      <c r="AL900" s="70"/>
      <c r="AM900" s="70"/>
      <c r="AN900" s="70"/>
      <c r="AO900" s="70"/>
      <c r="AP900" s="70"/>
      <c r="AQ900" s="70"/>
      <c r="AR900" s="70"/>
      <c r="AS900" s="70"/>
      <c r="AT900" s="70"/>
      <c r="AU900" s="70"/>
      <c r="AV900" s="70"/>
      <c r="AW900" s="70"/>
      <c r="AX900" s="70"/>
      <c r="AY900" s="70"/>
      <c r="AZ900" s="70"/>
      <c r="BA900" s="70"/>
      <c r="BB900" s="70"/>
      <c r="BC900" s="70"/>
      <c r="BD900" s="70"/>
      <c r="BE900" s="70"/>
      <c r="BF900" s="70"/>
      <c r="BG900" s="70"/>
      <c r="BH900" s="70"/>
      <c r="BI900" s="70"/>
      <c r="BJ900" s="70"/>
      <c r="BK900" s="70"/>
      <c r="BL900" s="70"/>
      <c r="BM900" s="70"/>
      <c r="BN900" s="70"/>
      <c r="BO900" s="70"/>
      <c r="BP900" s="70"/>
      <c r="BQ900" s="70"/>
      <c r="BR900" s="70"/>
      <c r="BS900" s="70"/>
      <c r="BT900" s="70"/>
      <c r="BU900" s="70"/>
      <c r="BV900" s="70"/>
      <c r="BW900" s="70"/>
      <c r="BX900" s="70"/>
      <c r="BY900" s="70"/>
      <c r="BZ900" s="70"/>
      <c r="CA900" s="70"/>
      <c r="CB900" s="70"/>
      <c r="CC900" s="70"/>
      <c r="CD900" s="70"/>
      <c r="CE900" s="70"/>
      <c r="CF900" s="70"/>
      <c r="CG900" s="70"/>
      <c r="CH900" s="70"/>
      <c r="CI900" s="70"/>
      <c r="CJ900" s="70"/>
      <c r="CK900" s="70"/>
      <c r="CL900" s="70"/>
      <c r="CM900" s="70"/>
      <c r="CN900" s="70"/>
      <c r="CO900" s="70"/>
      <c r="CP900" s="70"/>
      <c r="CQ900" s="70"/>
      <c r="CR900" s="70"/>
      <c r="CS900" s="70"/>
      <c r="CT900" s="70"/>
      <c r="CU900" s="70"/>
      <c r="CV900" s="70"/>
      <c r="CW900" s="70"/>
      <c r="CX900" s="70"/>
      <c r="CY900" s="70"/>
      <c r="CZ900" s="70"/>
      <c r="DA900" s="70"/>
      <c r="DB900" s="70"/>
      <c r="DC900" s="70"/>
      <c r="DD900" s="70"/>
      <c r="DE900" s="70"/>
      <c r="DF900" s="70"/>
      <c r="DG900" s="70"/>
      <c r="DH900" s="70"/>
      <c r="DI900" s="70"/>
      <c r="DJ900" s="70"/>
      <c r="DK900" s="70"/>
      <c r="DL900" s="70"/>
      <c r="DM900" s="70"/>
      <c r="DN900" s="70"/>
      <c r="DO900" s="70"/>
      <c r="DP900" s="70"/>
      <c r="DQ900" s="70"/>
      <c r="DR900" s="70"/>
      <c r="DS900" s="70"/>
      <c r="DT900" s="70"/>
      <c r="DU900" s="70"/>
      <c r="DV900" s="70"/>
      <c r="DW900" s="70"/>
      <c r="DX900" s="70"/>
      <c r="DY900" s="70"/>
      <c r="DZ900" s="70"/>
      <c r="EA900" s="70"/>
      <c r="EB900" s="70"/>
      <c r="EC900" s="70"/>
      <c r="ED900" s="70"/>
      <c r="EE900" s="95" t="s">
        <v>450</v>
      </c>
      <c r="EF900" s="95"/>
      <c r="EG900" s="95"/>
      <c r="EH900" s="70"/>
      <c r="EI900" s="216"/>
      <c r="EJ900" s="70"/>
      <c r="EK900" s="70"/>
      <c r="EL900" s="70"/>
      <c r="EM900" s="70"/>
      <c r="EN900" s="70"/>
      <c r="EO900" s="70"/>
      <c r="EP900" s="70"/>
      <c r="EQ900" s="70"/>
      <c r="ER900" s="70"/>
      <c r="ES900" s="70"/>
      <c r="ET900" s="70"/>
      <c r="EU900" s="70"/>
      <c r="EV900" s="70"/>
      <c r="EW900" s="70"/>
      <c r="EX900" s="70"/>
      <c r="EY900" s="70"/>
      <c r="EZ900" s="70"/>
      <c r="FA900" s="70"/>
      <c r="FB900" s="70"/>
      <c r="FC900" s="70"/>
      <c r="FD900" s="70"/>
      <c r="FE900" s="70"/>
      <c r="FF900" s="70"/>
      <c r="FG900" s="70"/>
      <c r="FH900" s="70"/>
      <c r="FI900" s="70"/>
      <c r="FJ900" s="70"/>
      <c r="FK900" s="70"/>
      <c r="FL900" s="70"/>
      <c r="FM900" s="70"/>
      <c r="FN900" s="70"/>
      <c r="FO900" s="70"/>
      <c r="FP900" s="70"/>
      <c r="FQ900" s="70"/>
      <c r="FR900" s="70"/>
      <c r="FS900" s="70"/>
      <c r="FT900" s="70"/>
      <c r="FU900" s="70"/>
      <c r="FV900" s="70"/>
      <c r="FW900" s="70"/>
      <c r="FX900" s="70"/>
      <c r="FY900" s="70"/>
      <c r="FZ900" s="70"/>
      <c r="GA900" s="70"/>
      <c r="GB900" s="70"/>
      <c r="GC900" s="70"/>
      <c r="GD900" s="70"/>
      <c r="GE900" s="70"/>
      <c r="GF900" s="70"/>
      <c r="GG900" s="70"/>
      <c r="GH900" s="70"/>
      <c r="GI900" s="70"/>
      <c r="GJ900" s="70"/>
      <c r="GK900" s="70"/>
      <c r="GL900" s="70"/>
      <c r="GM900" s="70"/>
      <c r="GN900" s="70"/>
      <c r="GO900" s="70"/>
      <c r="GP900" s="70"/>
      <c r="GQ900" s="70"/>
      <c r="GR900" s="70"/>
      <c r="GS900" s="70"/>
      <c r="GT900" s="70"/>
      <c r="GU900" s="70"/>
      <c r="GV900" s="70"/>
      <c r="GW900" s="70"/>
      <c r="GX900" s="70"/>
      <c r="GY900" s="70"/>
      <c r="GZ900" s="70"/>
      <c r="HA900" s="70"/>
      <c r="HB900" s="70"/>
      <c r="HC900" s="70"/>
      <c r="HD900" s="70"/>
      <c r="HE900" s="70"/>
      <c r="HF900" s="70"/>
      <c r="HG900" s="70"/>
      <c r="HH900" s="70"/>
      <c r="HI900" s="70"/>
      <c r="HJ900" s="70"/>
      <c r="HK900" s="70"/>
      <c r="HL900" s="70"/>
      <c r="HM900" s="70"/>
      <c r="HN900" s="70"/>
      <c r="HO900" s="70"/>
      <c r="HP900" s="70"/>
      <c r="HQ900" s="70"/>
      <c r="HR900" s="70"/>
      <c r="HS900" s="70"/>
      <c r="HT900" s="70"/>
      <c r="HU900" s="70"/>
      <c r="HV900" s="70"/>
      <c r="HW900" s="70"/>
      <c r="HX900" s="70"/>
      <c r="HY900" s="70"/>
      <c r="HZ900" s="70"/>
      <c r="IA900" s="70"/>
      <c r="IB900" s="70"/>
      <c r="IC900" s="70"/>
      <c r="ID900" s="70"/>
      <c r="IE900" s="70"/>
      <c r="IF900" s="70"/>
      <c r="IG900" s="70"/>
      <c r="IH900" s="70"/>
      <c r="II900" s="70"/>
      <c r="IJ900" s="70"/>
      <c r="IK900" s="70"/>
      <c r="IL900" s="70"/>
      <c r="IM900" s="70"/>
      <c r="IN900" s="70"/>
      <c r="IO900" s="70"/>
      <c r="IP900" s="70"/>
      <c r="IQ900" s="70"/>
    </row>
    <row r="901" spans="18:251" ht="16.5" hidden="1" customHeight="1">
      <c r="R901" s="95" t="s">
        <v>450</v>
      </c>
      <c r="S901" s="95"/>
      <c r="T901" s="95"/>
      <c r="U901" s="70"/>
      <c r="V901" s="214"/>
      <c r="W901" s="70"/>
      <c r="X901" s="70"/>
      <c r="Y901" s="70"/>
      <c r="Z901" s="70"/>
      <c r="AA901" s="70"/>
      <c r="AB901" s="70"/>
      <c r="AC901" s="70"/>
      <c r="AD901" s="70"/>
      <c r="AE901" s="70"/>
      <c r="AF901" s="70"/>
      <c r="AG901" s="70"/>
      <c r="AH901" s="70"/>
      <c r="AI901" s="70"/>
      <c r="AJ901" s="70"/>
      <c r="AK901" s="70"/>
      <c r="AL901" s="70"/>
      <c r="AM901" s="70"/>
      <c r="AN901" s="70"/>
      <c r="AO901" s="70"/>
      <c r="AP901" s="70"/>
      <c r="AQ901" s="70"/>
      <c r="AR901" s="70"/>
      <c r="AS901" s="70"/>
      <c r="AT901" s="70"/>
      <c r="AU901" s="70"/>
      <c r="AV901" s="70"/>
      <c r="AW901" s="70"/>
      <c r="AX901" s="70"/>
      <c r="AY901" s="70"/>
      <c r="AZ901" s="70"/>
      <c r="BA901" s="70"/>
      <c r="BB901" s="70"/>
      <c r="BC901" s="70"/>
      <c r="BD901" s="70"/>
      <c r="BE901" s="70"/>
      <c r="BF901" s="70"/>
      <c r="BG901" s="70"/>
      <c r="BH901" s="70"/>
      <c r="BI901" s="70"/>
      <c r="BJ901" s="70"/>
      <c r="BK901" s="70"/>
      <c r="BL901" s="70"/>
      <c r="BM901" s="70"/>
      <c r="BN901" s="70"/>
      <c r="BO901" s="70"/>
      <c r="BP901" s="70"/>
      <c r="BQ901" s="70"/>
      <c r="BR901" s="70"/>
      <c r="BS901" s="70"/>
      <c r="BT901" s="70"/>
      <c r="BU901" s="70"/>
      <c r="BV901" s="70"/>
      <c r="BW901" s="70"/>
      <c r="BX901" s="70"/>
      <c r="BY901" s="70"/>
      <c r="BZ901" s="70"/>
      <c r="CA901" s="70"/>
      <c r="CB901" s="70"/>
      <c r="CC901" s="70"/>
      <c r="CD901" s="70"/>
      <c r="CE901" s="70"/>
      <c r="CF901" s="70"/>
      <c r="CG901" s="70"/>
      <c r="CH901" s="70"/>
      <c r="CI901" s="70"/>
      <c r="CJ901" s="70"/>
      <c r="CK901" s="70"/>
      <c r="CL901" s="70"/>
      <c r="CM901" s="70"/>
      <c r="CN901" s="70"/>
      <c r="CO901" s="70"/>
      <c r="CP901" s="70"/>
      <c r="CQ901" s="70"/>
      <c r="CR901" s="70"/>
      <c r="CS901" s="70"/>
      <c r="CT901" s="70"/>
      <c r="CU901" s="70"/>
      <c r="CV901" s="70"/>
      <c r="CW901" s="70"/>
      <c r="CX901" s="70"/>
      <c r="CY901" s="70"/>
      <c r="CZ901" s="70"/>
      <c r="DA901" s="70"/>
      <c r="DB901" s="70"/>
      <c r="DC901" s="70"/>
      <c r="DD901" s="70"/>
      <c r="DE901" s="70"/>
      <c r="DF901" s="70"/>
      <c r="DG901" s="70"/>
      <c r="DH901" s="70"/>
      <c r="DI901" s="70"/>
      <c r="DJ901" s="70"/>
      <c r="DK901" s="70"/>
      <c r="DL901" s="70"/>
      <c r="DM901" s="70"/>
      <c r="DN901" s="70"/>
      <c r="DO901" s="70"/>
      <c r="DP901" s="70"/>
      <c r="DQ901" s="70"/>
      <c r="DR901" s="70"/>
      <c r="DS901" s="70"/>
      <c r="DT901" s="70"/>
      <c r="DU901" s="70"/>
      <c r="DV901" s="70"/>
      <c r="DW901" s="70"/>
      <c r="DX901" s="70"/>
      <c r="DY901" s="70"/>
      <c r="DZ901" s="70"/>
      <c r="EA901" s="70"/>
      <c r="EB901" s="70"/>
      <c r="EC901" s="70"/>
      <c r="ED901" s="70"/>
      <c r="EE901" s="95" t="s">
        <v>450</v>
      </c>
      <c r="EF901" s="95"/>
      <c r="EG901" s="95"/>
      <c r="EH901" s="70"/>
      <c r="EI901" s="216"/>
      <c r="EJ901" s="70"/>
      <c r="EK901" s="70"/>
      <c r="EL901" s="70"/>
      <c r="EM901" s="70"/>
      <c r="EN901" s="70"/>
      <c r="EO901" s="70"/>
      <c r="EP901" s="70"/>
      <c r="EQ901" s="70"/>
      <c r="ER901" s="70"/>
      <c r="ES901" s="70"/>
      <c r="ET901" s="70"/>
      <c r="EU901" s="70"/>
      <c r="EV901" s="70"/>
      <c r="EW901" s="70"/>
      <c r="EX901" s="70"/>
      <c r="EY901" s="70"/>
      <c r="EZ901" s="70"/>
      <c r="FA901" s="70"/>
      <c r="FB901" s="70"/>
      <c r="FC901" s="70"/>
      <c r="FD901" s="70"/>
      <c r="FE901" s="70"/>
      <c r="FF901" s="70"/>
      <c r="FG901" s="70"/>
      <c r="FH901" s="70"/>
      <c r="FI901" s="70"/>
      <c r="FJ901" s="70"/>
      <c r="FK901" s="70"/>
      <c r="FL901" s="70"/>
      <c r="FM901" s="70"/>
      <c r="FN901" s="70"/>
      <c r="FO901" s="70"/>
      <c r="FP901" s="70"/>
      <c r="FQ901" s="70"/>
      <c r="FR901" s="70"/>
      <c r="FS901" s="70"/>
      <c r="FT901" s="70"/>
      <c r="FU901" s="70"/>
      <c r="FV901" s="70"/>
      <c r="FW901" s="70"/>
      <c r="FX901" s="70"/>
      <c r="FY901" s="70"/>
      <c r="FZ901" s="70"/>
      <c r="GA901" s="70"/>
      <c r="GB901" s="70"/>
      <c r="GC901" s="70"/>
      <c r="GD901" s="70"/>
      <c r="GE901" s="70"/>
      <c r="GF901" s="70"/>
      <c r="GG901" s="70"/>
      <c r="GH901" s="70"/>
      <c r="GI901" s="70"/>
      <c r="GJ901" s="70"/>
      <c r="GK901" s="70"/>
      <c r="GL901" s="70"/>
      <c r="GM901" s="70"/>
      <c r="GN901" s="70"/>
      <c r="GO901" s="70"/>
      <c r="GP901" s="70"/>
      <c r="GQ901" s="70"/>
      <c r="GR901" s="70"/>
      <c r="GS901" s="70"/>
      <c r="GT901" s="70"/>
      <c r="GU901" s="70"/>
      <c r="GV901" s="70"/>
      <c r="GW901" s="70"/>
      <c r="GX901" s="70"/>
      <c r="GY901" s="70"/>
      <c r="GZ901" s="70"/>
      <c r="HA901" s="70"/>
      <c r="HB901" s="70"/>
      <c r="HC901" s="70"/>
      <c r="HD901" s="70"/>
      <c r="HE901" s="70"/>
      <c r="HF901" s="70"/>
      <c r="HG901" s="70"/>
      <c r="HH901" s="70"/>
      <c r="HI901" s="70"/>
      <c r="HJ901" s="70"/>
      <c r="HK901" s="70"/>
      <c r="HL901" s="70"/>
      <c r="HM901" s="70"/>
      <c r="HN901" s="70"/>
      <c r="HO901" s="70"/>
      <c r="HP901" s="70"/>
      <c r="HQ901" s="70"/>
      <c r="HR901" s="70"/>
      <c r="HS901" s="70"/>
      <c r="HT901" s="70"/>
      <c r="HU901" s="70"/>
      <c r="HV901" s="70"/>
      <c r="HW901" s="70"/>
      <c r="HX901" s="70"/>
      <c r="HY901" s="70"/>
      <c r="HZ901" s="70"/>
      <c r="IA901" s="70"/>
      <c r="IB901" s="70"/>
      <c r="IC901" s="70"/>
      <c r="ID901" s="70"/>
      <c r="IE901" s="70"/>
      <c r="IF901" s="70"/>
      <c r="IG901" s="70"/>
      <c r="IH901" s="70"/>
      <c r="II901" s="70"/>
      <c r="IJ901" s="70"/>
      <c r="IK901" s="70"/>
      <c r="IL901" s="70"/>
      <c r="IM901" s="70"/>
      <c r="IN901" s="70"/>
      <c r="IO901" s="70"/>
      <c r="IP901" s="70"/>
      <c r="IQ901" s="70"/>
    </row>
    <row r="902" spans="18:251" ht="16.5" hidden="1" customHeight="1">
      <c r="R902" s="95" t="s">
        <v>450</v>
      </c>
      <c r="S902" s="95"/>
      <c r="T902" s="95"/>
      <c r="U902" s="70"/>
      <c r="V902" s="214"/>
      <c r="W902" s="70"/>
      <c r="X902" s="70"/>
      <c r="Y902" s="70"/>
      <c r="Z902" s="70"/>
      <c r="AA902" s="70"/>
      <c r="AB902" s="70"/>
      <c r="AC902" s="70"/>
      <c r="AD902" s="70"/>
      <c r="AE902" s="70"/>
      <c r="AF902" s="70"/>
      <c r="AG902" s="70"/>
      <c r="AH902" s="70"/>
      <c r="AI902" s="70"/>
      <c r="AJ902" s="70"/>
      <c r="AK902" s="70"/>
      <c r="AL902" s="70"/>
      <c r="AM902" s="70"/>
      <c r="AN902" s="70"/>
      <c r="AO902" s="70"/>
      <c r="AP902" s="70"/>
      <c r="AQ902" s="70"/>
      <c r="AR902" s="70"/>
      <c r="AS902" s="70"/>
      <c r="AT902" s="70"/>
      <c r="AU902" s="70"/>
      <c r="AV902" s="70"/>
      <c r="AW902" s="70"/>
      <c r="AX902" s="70"/>
      <c r="AY902" s="70"/>
      <c r="AZ902" s="70"/>
      <c r="BA902" s="70"/>
      <c r="BB902" s="70"/>
      <c r="BC902" s="70"/>
      <c r="BD902" s="70"/>
      <c r="BE902" s="70"/>
      <c r="BF902" s="70"/>
      <c r="BG902" s="70"/>
      <c r="BH902" s="70"/>
      <c r="BI902" s="70"/>
      <c r="BJ902" s="70"/>
      <c r="BK902" s="70"/>
      <c r="BL902" s="70"/>
      <c r="BM902" s="70"/>
      <c r="BN902" s="70"/>
      <c r="BO902" s="70"/>
      <c r="BP902" s="70"/>
      <c r="BQ902" s="70"/>
      <c r="BR902" s="70"/>
      <c r="BS902" s="70"/>
      <c r="BT902" s="70"/>
      <c r="BU902" s="70"/>
      <c r="BV902" s="70"/>
      <c r="BW902" s="70"/>
      <c r="BX902" s="70"/>
      <c r="BY902" s="70"/>
      <c r="BZ902" s="70"/>
      <c r="CA902" s="70"/>
      <c r="CB902" s="70"/>
      <c r="CC902" s="70"/>
      <c r="CD902" s="70"/>
      <c r="CE902" s="70"/>
      <c r="CF902" s="70"/>
      <c r="CG902" s="70"/>
      <c r="CH902" s="70"/>
      <c r="CI902" s="70"/>
      <c r="CJ902" s="70"/>
      <c r="CK902" s="70"/>
      <c r="CL902" s="70"/>
      <c r="CM902" s="70"/>
      <c r="CN902" s="70"/>
      <c r="CO902" s="70"/>
      <c r="CP902" s="70"/>
      <c r="CQ902" s="70"/>
      <c r="CR902" s="70"/>
      <c r="CS902" s="70"/>
      <c r="CT902" s="70"/>
      <c r="CU902" s="70"/>
      <c r="CV902" s="70"/>
      <c r="CW902" s="70"/>
      <c r="CX902" s="70"/>
      <c r="CY902" s="70"/>
      <c r="CZ902" s="70"/>
      <c r="DA902" s="70"/>
      <c r="DB902" s="70"/>
      <c r="DC902" s="70"/>
      <c r="DD902" s="70"/>
      <c r="DE902" s="70"/>
      <c r="DF902" s="70"/>
      <c r="DG902" s="70"/>
      <c r="DH902" s="70"/>
      <c r="DI902" s="70"/>
      <c r="DJ902" s="70"/>
      <c r="DK902" s="70"/>
      <c r="DL902" s="70"/>
      <c r="DM902" s="70"/>
      <c r="DN902" s="70"/>
      <c r="DO902" s="70"/>
      <c r="DP902" s="70"/>
      <c r="DQ902" s="70"/>
      <c r="DR902" s="70"/>
      <c r="DS902" s="70"/>
      <c r="DT902" s="70"/>
      <c r="DU902" s="70"/>
      <c r="DV902" s="70"/>
      <c r="DW902" s="70"/>
      <c r="DX902" s="70"/>
      <c r="DY902" s="70"/>
      <c r="DZ902" s="70"/>
      <c r="EA902" s="70"/>
      <c r="EB902" s="70"/>
      <c r="EC902" s="70"/>
      <c r="ED902" s="70"/>
      <c r="EE902" s="95" t="s">
        <v>450</v>
      </c>
      <c r="EF902" s="95"/>
      <c r="EG902" s="95"/>
      <c r="EH902" s="70"/>
      <c r="EI902" s="216"/>
      <c r="EJ902" s="70"/>
      <c r="EK902" s="70"/>
      <c r="EL902" s="70"/>
      <c r="EM902" s="70"/>
      <c r="EN902" s="70"/>
      <c r="EO902" s="70"/>
      <c r="EP902" s="70"/>
      <c r="EQ902" s="70"/>
      <c r="ER902" s="70"/>
      <c r="ES902" s="70"/>
      <c r="ET902" s="70"/>
      <c r="EU902" s="70"/>
      <c r="EV902" s="70"/>
      <c r="EW902" s="70"/>
      <c r="EX902" s="70"/>
      <c r="EY902" s="70"/>
      <c r="EZ902" s="70"/>
      <c r="FA902" s="70"/>
      <c r="FB902" s="70"/>
      <c r="FC902" s="70"/>
      <c r="FD902" s="70"/>
      <c r="FE902" s="70"/>
      <c r="FF902" s="70"/>
      <c r="FG902" s="70"/>
      <c r="FH902" s="70"/>
      <c r="FI902" s="70"/>
      <c r="FJ902" s="70"/>
      <c r="FK902" s="70"/>
      <c r="FL902" s="70"/>
      <c r="FM902" s="70"/>
      <c r="FN902" s="70"/>
      <c r="FO902" s="70"/>
      <c r="FP902" s="70"/>
      <c r="FQ902" s="70"/>
      <c r="FR902" s="70"/>
      <c r="FS902" s="70"/>
      <c r="FT902" s="70"/>
      <c r="FU902" s="70"/>
      <c r="FV902" s="70"/>
      <c r="FW902" s="70"/>
      <c r="FX902" s="70"/>
      <c r="FY902" s="70"/>
      <c r="FZ902" s="70"/>
      <c r="GA902" s="70"/>
      <c r="GB902" s="70"/>
      <c r="GC902" s="70"/>
      <c r="GD902" s="70"/>
      <c r="GE902" s="70"/>
      <c r="GF902" s="70"/>
      <c r="GG902" s="70"/>
      <c r="GH902" s="70"/>
      <c r="GI902" s="70"/>
      <c r="GJ902" s="70"/>
      <c r="GK902" s="70"/>
      <c r="GL902" s="70"/>
      <c r="GM902" s="70"/>
      <c r="GN902" s="70"/>
      <c r="GO902" s="70"/>
      <c r="GP902" s="70"/>
      <c r="GQ902" s="70"/>
      <c r="GR902" s="70"/>
      <c r="GS902" s="70"/>
      <c r="GT902" s="70"/>
      <c r="GU902" s="70"/>
      <c r="GV902" s="70"/>
      <c r="GW902" s="70"/>
      <c r="GX902" s="70"/>
      <c r="GY902" s="70"/>
      <c r="GZ902" s="70"/>
      <c r="HA902" s="70"/>
      <c r="HB902" s="70"/>
      <c r="HC902" s="70"/>
      <c r="HD902" s="70"/>
      <c r="HE902" s="70"/>
      <c r="HF902" s="70"/>
      <c r="HG902" s="70"/>
      <c r="HH902" s="70"/>
      <c r="HI902" s="70"/>
      <c r="HJ902" s="70"/>
      <c r="HK902" s="70"/>
      <c r="HL902" s="70"/>
      <c r="HM902" s="70"/>
      <c r="HN902" s="70"/>
      <c r="HO902" s="70"/>
      <c r="HP902" s="70"/>
      <c r="HQ902" s="70"/>
      <c r="HR902" s="70"/>
      <c r="HS902" s="70"/>
      <c r="HT902" s="70"/>
      <c r="HU902" s="70"/>
      <c r="HV902" s="70"/>
      <c r="HW902" s="70"/>
      <c r="HX902" s="70"/>
      <c r="HY902" s="70"/>
      <c r="HZ902" s="70"/>
      <c r="IA902" s="70"/>
      <c r="IB902" s="70"/>
      <c r="IC902" s="70"/>
      <c r="ID902" s="70"/>
      <c r="IE902" s="70"/>
      <c r="IF902" s="70"/>
      <c r="IG902" s="70"/>
      <c r="IH902" s="70"/>
      <c r="II902" s="70"/>
      <c r="IJ902" s="70"/>
      <c r="IK902" s="70"/>
      <c r="IL902" s="70"/>
      <c r="IM902" s="70"/>
      <c r="IN902" s="70"/>
      <c r="IO902" s="70"/>
      <c r="IP902" s="70"/>
      <c r="IQ902" s="70"/>
    </row>
    <row r="903" spans="18:251" ht="16.5" hidden="1" customHeight="1">
      <c r="R903" s="95" t="s">
        <v>450</v>
      </c>
      <c r="S903" s="95"/>
      <c r="T903" s="95"/>
      <c r="U903" s="70"/>
      <c r="V903" s="214"/>
      <c r="W903" s="70"/>
      <c r="X903" s="70"/>
      <c r="Y903" s="70"/>
      <c r="Z903" s="70"/>
      <c r="AA903" s="70"/>
      <c r="AB903" s="70"/>
      <c r="AC903" s="70"/>
      <c r="AD903" s="70"/>
      <c r="AE903" s="70"/>
      <c r="AF903" s="70"/>
      <c r="AG903" s="70"/>
      <c r="AH903" s="70"/>
      <c r="AI903" s="70"/>
      <c r="AJ903" s="70"/>
      <c r="AK903" s="70"/>
      <c r="AL903" s="70"/>
      <c r="AM903" s="70"/>
      <c r="AN903" s="70"/>
      <c r="AO903" s="70"/>
      <c r="AP903" s="70"/>
      <c r="AQ903" s="70"/>
      <c r="AR903" s="70"/>
      <c r="AS903" s="70"/>
      <c r="AT903" s="70"/>
      <c r="AU903" s="70"/>
      <c r="AV903" s="70"/>
      <c r="AW903" s="70"/>
      <c r="AX903" s="70"/>
      <c r="AY903" s="70"/>
      <c r="AZ903" s="70"/>
      <c r="BA903" s="70"/>
      <c r="BB903" s="70"/>
      <c r="BC903" s="70"/>
      <c r="BD903" s="70"/>
      <c r="BE903" s="70"/>
      <c r="BF903" s="70"/>
      <c r="BG903" s="70"/>
      <c r="BH903" s="70"/>
      <c r="BI903" s="70"/>
      <c r="BJ903" s="70"/>
      <c r="BK903" s="70"/>
      <c r="BL903" s="70"/>
      <c r="BM903" s="70"/>
      <c r="BN903" s="70"/>
      <c r="BO903" s="70"/>
      <c r="BP903" s="70"/>
      <c r="BQ903" s="70"/>
      <c r="BR903" s="70"/>
      <c r="BS903" s="70"/>
      <c r="BT903" s="70"/>
      <c r="BU903" s="70"/>
      <c r="BV903" s="70"/>
      <c r="BW903" s="70"/>
      <c r="BX903" s="70"/>
      <c r="BY903" s="70"/>
      <c r="BZ903" s="70"/>
      <c r="CA903" s="70"/>
      <c r="CB903" s="70"/>
      <c r="CC903" s="70"/>
      <c r="CD903" s="70"/>
      <c r="CE903" s="70"/>
      <c r="CF903" s="70"/>
      <c r="CG903" s="70"/>
      <c r="CH903" s="70"/>
      <c r="CI903" s="70"/>
      <c r="CJ903" s="70"/>
      <c r="CK903" s="70"/>
      <c r="CL903" s="70"/>
      <c r="CM903" s="70"/>
      <c r="CN903" s="70"/>
      <c r="CO903" s="70"/>
      <c r="CP903" s="70"/>
      <c r="CQ903" s="70"/>
      <c r="CR903" s="70"/>
      <c r="CS903" s="70"/>
      <c r="CT903" s="70"/>
      <c r="CU903" s="70"/>
      <c r="CV903" s="70"/>
      <c r="CW903" s="70"/>
      <c r="CX903" s="70"/>
      <c r="CY903" s="70"/>
      <c r="CZ903" s="70"/>
      <c r="DA903" s="70"/>
      <c r="DB903" s="70"/>
      <c r="DC903" s="70"/>
      <c r="DD903" s="70"/>
      <c r="DE903" s="70"/>
      <c r="DF903" s="70"/>
      <c r="DG903" s="70"/>
      <c r="DH903" s="70"/>
      <c r="DI903" s="70"/>
      <c r="DJ903" s="70"/>
      <c r="DK903" s="70"/>
      <c r="DL903" s="70"/>
      <c r="DM903" s="70"/>
      <c r="DN903" s="70"/>
      <c r="DO903" s="70"/>
      <c r="DP903" s="70"/>
      <c r="DQ903" s="70"/>
      <c r="DR903" s="70"/>
      <c r="DS903" s="70"/>
      <c r="DT903" s="70"/>
      <c r="DU903" s="70"/>
      <c r="DV903" s="70"/>
      <c r="DW903" s="70"/>
      <c r="DX903" s="70"/>
      <c r="DY903" s="70"/>
      <c r="DZ903" s="70"/>
      <c r="EA903" s="70"/>
      <c r="EB903" s="70"/>
      <c r="EC903" s="70"/>
      <c r="ED903" s="70"/>
      <c r="EE903" s="95" t="s">
        <v>450</v>
      </c>
      <c r="EF903" s="95"/>
      <c r="EG903" s="95"/>
      <c r="EH903" s="70"/>
      <c r="EI903" s="216"/>
      <c r="EJ903" s="70"/>
      <c r="EK903" s="70"/>
      <c r="EL903" s="70"/>
      <c r="EM903" s="70"/>
      <c r="EN903" s="70"/>
      <c r="EO903" s="70"/>
      <c r="EP903" s="70"/>
      <c r="EQ903" s="70"/>
      <c r="ER903" s="70"/>
      <c r="ES903" s="70"/>
      <c r="ET903" s="70"/>
      <c r="EU903" s="70"/>
      <c r="EV903" s="70"/>
      <c r="EW903" s="70"/>
      <c r="EX903" s="70"/>
      <c r="EY903" s="70"/>
      <c r="EZ903" s="70"/>
      <c r="FA903" s="70"/>
      <c r="FB903" s="70"/>
      <c r="FC903" s="70"/>
      <c r="FD903" s="70"/>
      <c r="FE903" s="70"/>
      <c r="FF903" s="70"/>
      <c r="FG903" s="70"/>
      <c r="FH903" s="70"/>
      <c r="FI903" s="70"/>
      <c r="FJ903" s="70"/>
      <c r="FK903" s="70"/>
      <c r="FL903" s="70"/>
      <c r="FM903" s="70"/>
      <c r="FN903" s="70"/>
      <c r="FO903" s="70"/>
      <c r="FP903" s="70"/>
      <c r="FQ903" s="70"/>
      <c r="FR903" s="70"/>
      <c r="FS903" s="70"/>
      <c r="FT903" s="70"/>
      <c r="FU903" s="70"/>
      <c r="FV903" s="70"/>
      <c r="FW903" s="70"/>
      <c r="FX903" s="70"/>
      <c r="FY903" s="70"/>
      <c r="FZ903" s="70"/>
      <c r="GA903" s="70"/>
      <c r="GB903" s="70"/>
      <c r="GC903" s="70"/>
      <c r="GD903" s="70"/>
      <c r="GE903" s="70"/>
      <c r="GF903" s="70"/>
      <c r="GG903" s="70"/>
      <c r="GH903" s="70"/>
      <c r="GI903" s="70"/>
      <c r="GJ903" s="70"/>
      <c r="GK903" s="70"/>
      <c r="GL903" s="70"/>
      <c r="GM903" s="70"/>
      <c r="GN903" s="70"/>
      <c r="GO903" s="70"/>
      <c r="GP903" s="70"/>
      <c r="GQ903" s="70"/>
      <c r="GR903" s="70"/>
      <c r="GS903" s="70"/>
      <c r="GT903" s="70"/>
      <c r="GU903" s="70"/>
      <c r="GV903" s="70"/>
      <c r="GW903" s="70"/>
      <c r="GX903" s="70"/>
      <c r="GY903" s="70"/>
      <c r="GZ903" s="70"/>
      <c r="HA903" s="70"/>
      <c r="HB903" s="70"/>
      <c r="HC903" s="70"/>
      <c r="HD903" s="70"/>
      <c r="HE903" s="70"/>
      <c r="HF903" s="70"/>
      <c r="HG903" s="70"/>
      <c r="HH903" s="70"/>
      <c r="HI903" s="70"/>
      <c r="HJ903" s="70"/>
      <c r="HK903" s="70"/>
      <c r="HL903" s="70"/>
      <c r="HM903" s="70"/>
      <c r="HN903" s="70"/>
      <c r="HO903" s="70"/>
      <c r="HP903" s="70"/>
      <c r="HQ903" s="70"/>
      <c r="HR903" s="70"/>
      <c r="HS903" s="70"/>
      <c r="HT903" s="70"/>
      <c r="HU903" s="70"/>
      <c r="HV903" s="70"/>
      <c r="HW903" s="70"/>
      <c r="HX903" s="70"/>
      <c r="HY903" s="70"/>
      <c r="HZ903" s="70"/>
      <c r="IA903" s="70"/>
      <c r="IB903" s="70"/>
      <c r="IC903" s="70"/>
      <c r="ID903" s="70"/>
      <c r="IE903" s="70"/>
      <c r="IF903" s="70"/>
      <c r="IG903" s="70"/>
      <c r="IH903" s="70"/>
      <c r="II903" s="70"/>
      <c r="IJ903" s="70"/>
      <c r="IK903" s="70"/>
      <c r="IL903" s="70"/>
      <c r="IM903" s="70"/>
      <c r="IN903" s="70"/>
      <c r="IO903" s="70"/>
      <c r="IP903" s="70"/>
      <c r="IQ903" s="70"/>
    </row>
    <row r="904" spans="18:251" ht="16.5" hidden="1" customHeight="1">
      <c r="R904" s="95" t="s">
        <v>450</v>
      </c>
      <c r="S904" s="95"/>
      <c r="T904" s="95"/>
      <c r="U904" s="70"/>
      <c r="V904" s="214"/>
      <c r="W904" s="70"/>
      <c r="X904" s="70"/>
      <c r="Y904" s="70"/>
      <c r="Z904" s="70"/>
      <c r="AA904" s="70"/>
      <c r="AB904" s="70"/>
      <c r="AC904" s="70"/>
      <c r="AD904" s="70"/>
      <c r="AE904" s="70"/>
      <c r="AF904" s="70"/>
      <c r="AG904" s="70"/>
      <c r="AH904" s="70"/>
      <c r="AI904" s="70"/>
      <c r="AJ904" s="70"/>
      <c r="AK904" s="70"/>
      <c r="AL904" s="70"/>
      <c r="AM904" s="70"/>
      <c r="AN904" s="70"/>
      <c r="AO904" s="70"/>
      <c r="AP904" s="70"/>
      <c r="AQ904" s="70"/>
      <c r="AR904" s="70"/>
      <c r="AS904" s="70"/>
      <c r="AT904" s="70"/>
      <c r="AU904" s="70"/>
      <c r="AV904" s="70"/>
      <c r="AW904" s="70"/>
      <c r="AX904" s="70"/>
      <c r="AY904" s="70"/>
      <c r="AZ904" s="70"/>
      <c r="BA904" s="70"/>
      <c r="BB904" s="70"/>
      <c r="BC904" s="70"/>
      <c r="BD904" s="70"/>
      <c r="BE904" s="70"/>
      <c r="BF904" s="70"/>
      <c r="BG904" s="70"/>
      <c r="BH904" s="70"/>
      <c r="BI904" s="70"/>
      <c r="BJ904" s="70"/>
      <c r="BK904" s="70"/>
      <c r="BL904" s="70"/>
      <c r="BM904" s="70"/>
      <c r="BN904" s="70"/>
      <c r="BO904" s="70"/>
      <c r="BP904" s="70"/>
      <c r="BQ904" s="70"/>
      <c r="BR904" s="70"/>
      <c r="BS904" s="70"/>
      <c r="BT904" s="70"/>
      <c r="BU904" s="70"/>
      <c r="BV904" s="70"/>
      <c r="BW904" s="70"/>
      <c r="BX904" s="70"/>
      <c r="BY904" s="70"/>
      <c r="BZ904" s="70"/>
      <c r="CA904" s="70"/>
      <c r="CB904" s="70"/>
      <c r="CC904" s="70"/>
      <c r="CD904" s="70"/>
      <c r="CE904" s="70"/>
      <c r="CF904" s="70"/>
      <c r="CG904" s="70"/>
      <c r="CH904" s="70"/>
      <c r="CI904" s="70"/>
      <c r="CJ904" s="70"/>
      <c r="CK904" s="70"/>
      <c r="CL904" s="70"/>
      <c r="CM904" s="70"/>
      <c r="CN904" s="70"/>
      <c r="CO904" s="70"/>
      <c r="CP904" s="70"/>
      <c r="CQ904" s="70"/>
      <c r="CR904" s="70"/>
      <c r="CS904" s="70"/>
      <c r="CT904" s="70"/>
      <c r="CU904" s="70"/>
      <c r="CV904" s="70"/>
      <c r="CW904" s="70"/>
      <c r="CX904" s="70"/>
      <c r="CY904" s="70"/>
      <c r="CZ904" s="70"/>
      <c r="DA904" s="70"/>
      <c r="DB904" s="70"/>
      <c r="DC904" s="70"/>
      <c r="DD904" s="70"/>
      <c r="DE904" s="70"/>
      <c r="DF904" s="70"/>
      <c r="DG904" s="70"/>
      <c r="DH904" s="70"/>
      <c r="DI904" s="70"/>
      <c r="DJ904" s="70"/>
      <c r="DK904" s="70"/>
      <c r="DL904" s="70"/>
      <c r="DM904" s="70"/>
      <c r="DN904" s="70"/>
      <c r="DO904" s="70"/>
      <c r="DP904" s="70"/>
      <c r="DQ904" s="70"/>
      <c r="DR904" s="70"/>
      <c r="DS904" s="70"/>
      <c r="DT904" s="70"/>
      <c r="DU904" s="70"/>
      <c r="DV904" s="70"/>
      <c r="DW904" s="70"/>
      <c r="DX904" s="70"/>
      <c r="DY904" s="70"/>
      <c r="DZ904" s="70"/>
      <c r="EA904" s="70"/>
      <c r="EB904" s="70"/>
      <c r="EC904" s="70"/>
      <c r="ED904" s="70"/>
      <c r="EE904" s="95" t="s">
        <v>450</v>
      </c>
      <c r="EF904" s="95"/>
      <c r="EG904" s="95"/>
      <c r="EH904" s="70"/>
      <c r="EI904" s="216"/>
      <c r="EJ904" s="70"/>
      <c r="EK904" s="70"/>
      <c r="EL904" s="70"/>
      <c r="EM904" s="70"/>
      <c r="EN904" s="70"/>
      <c r="EO904" s="70"/>
      <c r="EP904" s="70"/>
      <c r="EQ904" s="70"/>
      <c r="ER904" s="70"/>
      <c r="ES904" s="70"/>
      <c r="ET904" s="70"/>
      <c r="EU904" s="70"/>
      <c r="EV904" s="70"/>
      <c r="EW904" s="70"/>
      <c r="EX904" s="70"/>
      <c r="EY904" s="70"/>
      <c r="EZ904" s="70"/>
      <c r="FA904" s="70"/>
      <c r="FB904" s="70"/>
      <c r="FC904" s="70"/>
      <c r="FD904" s="70"/>
      <c r="FE904" s="70"/>
      <c r="FF904" s="70"/>
      <c r="FG904" s="70"/>
      <c r="FH904" s="70"/>
      <c r="FI904" s="70"/>
      <c r="FJ904" s="70"/>
      <c r="FK904" s="70"/>
      <c r="FL904" s="70"/>
      <c r="FM904" s="70"/>
      <c r="FN904" s="70"/>
      <c r="FO904" s="70"/>
      <c r="FP904" s="70"/>
      <c r="FQ904" s="70"/>
      <c r="FR904" s="70"/>
      <c r="FS904" s="70"/>
      <c r="FT904" s="70"/>
      <c r="FU904" s="70"/>
      <c r="FV904" s="70"/>
      <c r="FW904" s="70"/>
      <c r="FX904" s="70"/>
      <c r="FY904" s="70"/>
      <c r="FZ904" s="70"/>
      <c r="GA904" s="70"/>
      <c r="GB904" s="70"/>
      <c r="GC904" s="70"/>
      <c r="GD904" s="70"/>
      <c r="GE904" s="70"/>
      <c r="GF904" s="70"/>
      <c r="GG904" s="70"/>
      <c r="GH904" s="70"/>
      <c r="GI904" s="70"/>
      <c r="GJ904" s="70"/>
      <c r="GK904" s="70"/>
      <c r="GL904" s="70"/>
      <c r="GM904" s="70"/>
      <c r="GN904" s="70"/>
      <c r="GO904" s="70"/>
      <c r="GP904" s="70"/>
      <c r="GQ904" s="70"/>
      <c r="GR904" s="70"/>
      <c r="GS904" s="70"/>
      <c r="GT904" s="70"/>
      <c r="GU904" s="70"/>
      <c r="GV904" s="70"/>
      <c r="GW904" s="70"/>
      <c r="GX904" s="70"/>
      <c r="GY904" s="70"/>
      <c r="GZ904" s="70"/>
      <c r="HA904" s="70"/>
      <c r="HB904" s="70"/>
      <c r="HC904" s="70"/>
      <c r="HD904" s="70"/>
      <c r="HE904" s="70"/>
      <c r="HF904" s="70"/>
      <c r="HG904" s="70"/>
      <c r="HH904" s="70"/>
      <c r="HI904" s="70"/>
      <c r="HJ904" s="70"/>
      <c r="HK904" s="70"/>
      <c r="HL904" s="70"/>
      <c r="HM904" s="70"/>
      <c r="HN904" s="70"/>
      <c r="HO904" s="70"/>
      <c r="HP904" s="70"/>
      <c r="HQ904" s="70"/>
      <c r="HR904" s="70"/>
      <c r="HS904" s="70"/>
      <c r="HT904" s="70"/>
      <c r="HU904" s="70"/>
      <c r="HV904" s="70"/>
      <c r="HW904" s="70"/>
      <c r="HX904" s="70"/>
      <c r="HY904" s="70"/>
      <c r="HZ904" s="70"/>
      <c r="IA904" s="70"/>
      <c r="IB904" s="70"/>
      <c r="IC904" s="70"/>
      <c r="ID904" s="70"/>
      <c r="IE904" s="70"/>
      <c r="IF904" s="70"/>
      <c r="IG904" s="70"/>
      <c r="IH904" s="70"/>
      <c r="II904" s="70"/>
      <c r="IJ904" s="70"/>
      <c r="IK904" s="70"/>
      <c r="IL904" s="70"/>
      <c r="IM904" s="70"/>
      <c r="IN904" s="70"/>
      <c r="IO904" s="70"/>
      <c r="IP904" s="70"/>
      <c r="IQ904" s="70"/>
    </row>
    <row r="905" spans="18:251" ht="16.5" hidden="1" customHeight="1">
      <c r="R905" s="95" t="s">
        <v>450</v>
      </c>
      <c r="S905" s="95"/>
      <c r="T905" s="95"/>
      <c r="U905" s="70"/>
      <c r="V905" s="214"/>
      <c r="W905" s="70"/>
      <c r="X905" s="70"/>
      <c r="Y905" s="70"/>
      <c r="Z905" s="70"/>
      <c r="AA905" s="70"/>
      <c r="AB905" s="70"/>
      <c r="AC905" s="70"/>
      <c r="AD905" s="70"/>
      <c r="AE905" s="70"/>
      <c r="AF905" s="70"/>
      <c r="AG905" s="70"/>
      <c r="AH905" s="70"/>
      <c r="AI905" s="70"/>
      <c r="AJ905" s="70"/>
      <c r="AK905" s="70"/>
      <c r="AL905" s="70"/>
      <c r="AM905" s="70"/>
      <c r="AN905" s="70"/>
      <c r="AO905" s="70"/>
      <c r="AP905" s="70"/>
      <c r="AQ905" s="70"/>
      <c r="AR905" s="70"/>
      <c r="AS905" s="70"/>
      <c r="AT905" s="70"/>
      <c r="AU905" s="70"/>
      <c r="AV905" s="70"/>
      <c r="AW905" s="70"/>
      <c r="AX905" s="70"/>
      <c r="AY905" s="70"/>
      <c r="AZ905" s="70"/>
      <c r="BA905" s="70"/>
      <c r="BB905" s="70"/>
      <c r="BC905" s="70"/>
      <c r="BD905" s="70"/>
      <c r="BE905" s="70"/>
      <c r="BF905" s="70"/>
      <c r="BG905" s="70"/>
      <c r="BH905" s="70"/>
      <c r="BI905" s="70"/>
      <c r="BJ905" s="70"/>
      <c r="BK905" s="70"/>
      <c r="BL905" s="70"/>
      <c r="BM905" s="70"/>
      <c r="BN905" s="70"/>
      <c r="BO905" s="70"/>
      <c r="BP905" s="70"/>
      <c r="BQ905" s="70"/>
      <c r="BR905" s="70"/>
      <c r="BS905" s="70"/>
      <c r="BT905" s="70"/>
      <c r="BU905" s="70"/>
      <c r="BV905" s="70"/>
      <c r="BW905" s="70"/>
      <c r="BX905" s="70"/>
      <c r="BY905" s="70"/>
      <c r="BZ905" s="70"/>
      <c r="CA905" s="70"/>
      <c r="CB905" s="70"/>
      <c r="CC905" s="70"/>
      <c r="CD905" s="70"/>
      <c r="CE905" s="70"/>
      <c r="CF905" s="70"/>
      <c r="CG905" s="70"/>
      <c r="CH905" s="70"/>
      <c r="CI905" s="70"/>
      <c r="CJ905" s="70"/>
      <c r="CK905" s="70"/>
      <c r="CL905" s="70"/>
      <c r="CM905" s="70"/>
      <c r="CN905" s="70"/>
      <c r="CO905" s="70"/>
      <c r="CP905" s="70"/>
      <c r="CQ905" s="70"/>
      <c r="CR905" s="70"/>
      <c r="CS905" s="70"/>
      <c r="CT905" s="70"/>
      <c r="CU905" s="70"/>
      <c r="CV905" s="70"/>
      <c r="CW905" s="70"/>
      <c r="CX905" s="70"/>
      <c r="CY905" s="70"/>
      <c r="CZ905" s="70"/>
      <c r="DA905" s="70"/>
      <c r="DB905" s="70"/>
      <c r="DC905" s="70"/>
      <c r="DD905" s="70"/>
      <c r="DE905" s="70"/>
      <c r="DF905" s="70"/>
      <c r="DG905" s="70"/>
      <c r="DH905" s="70"/>
      <c r="DI905" s="70"/>
      <c r="DJ905" s="70"/>
      <c r="DK905" s="70"/>
      <c r="DL905" s="70"/>
      <c r="DM905" s="70"/>
      <c r="DN905" s="70"/>
      <c r="DO905" s="70"/>
      <c r="DP905" s="70"/>
      <c r="DQ905" s="70"/>
      <c r="DR905" s="70"/>
      <c r="DS905" s="70"/>
      <c r="DT905" s="70"/>
      <c r="DU905" s="70"/>
      <c r="DV905" s="70"/>
      <c r="DW905" s="70"/>
      <c r="DX905" s="70"/>
      <c r="DY905" s="70"/>
      <c r="DZ905" s="70"/>
      <c r="EA905" s="70"/>
      <c r="EB905" s="70"/>
      <c r="EC905" s="70"/>
      <c r="ED905" s="70"/>
      <c r="EE905" s="95" t="s">
        <v>450</v>
      </c>
      <c r="EF905" s="95"/>
      <c r="EG905" s="95"/>
      <c r="EH905" s="70"/>
      <c r="EI905" s="216"/>
      <c r="EJ905" s="70"/>
      <c r="EK905" s="70"/>
      <c r="EL905" s="70"/>
      <c r="EM905" s="70"/>
      <c r="EN905" s="70"/>
      <c r="EO905" s="70"/>
      <c r="EP905" s="70"/>
      <c r="EQ905" s="70"/>
      <c r="ER905" s="70"/>
      <c r="ES905" s="70"/>
      <c r="ET905" s="70"/>
      <c r="EU905" s="70"/>
      <c r="EV905" s="70"/>
      <c r="EW905" s="70"/>
      <c r="EX905" s="70"/>
      <c r="EY905" s="70"/>
      <c r="EZ905" s="70"/>
      <c r="FA905" s="70"/>
      <c r="FB905" s="70"/>
      <c r="FC905" s="70"/>
      <c r="FD905" s="70"/>
      <c r="FE905" s="70"/>
      <c r="FF905" s="70"/>
      <c r="FG905" s="70"/>
      <c r="FH905" s="70"/>
      <c r="FI905" s="70"/>
      <c r="FJ905" s="70"/>
      <c r="FK905" s="70"/>
      <c r="FL905" s="70"/>
      <c r="FM905" s="70"/>
      <c r="FN905" s="70"/>
      <c r="FO905" s="70"/>
      <c r="FP905" s="70"/>
      <c r="FQ905" s="70"/>
      <c r="FR905" s="70"/>
      <c r="FS905" s="70"/>
      <c r="FT905" s="70"/>
      <c r="FU905" s="70"/>
      <c r="FV905" s="70"/>
      <c r="FW905" s="70"/>
      <c r="FX905" s="70"/>
      <c r="FY905" s="70"/>
      <c r="FZ905" s="70"/>
      <c r="GA905" s="70"/>
      <c r="GB905" s="70"/>
      <c r="GC905" s="70"/>
      <c r="GD905" s="70"/>
      <c r="GE905" s="70"/>
      <c r="GF905" s="70"/>
      <c r="GG905" s="70"/>
      <c r="GH905" s="70"/>
      <c r="GI905" s="70"/>
      <c r="GJ905" s="70"/>
      <c r="GK905" s="70"/>
      <c r="GL905" s="70"/>
      <c r="GM905" s="70"/>
      <c r="GN905" s="70"/>
      <c r="GO905" s="70"/>
      <c r="GP905" s="70"/>
      <c r="GQ905" s="70"/>
      <c r="GR905" s="70"/>
      <c r="GS905" s="70"/>
      <c r="GT905" s="70"/>
      <c r="GU905" s="70"/>
      <c r="GV905" s="70"/>
      <c r="GW905" s="70"/>
      <c r="GX905" s="70"/>
      <c r="GY905" s="70"/>
      <c r="GZ905" s="70"/>
      <c r="HA905" s="70"/>
      <c r="HB905" s="70"/>
      <c r="HC905" s="70"/>
      <c r="HD905" s="70"/>
      <c r="HE905" s="70"/>
      <c r="HF905" s="70"/>
      <c r="HG905" s="70"/>
      <c r="HH905" s="70"/>
      <c r="HI905" s="70"/>
      <c r="HJ905" s="70"/>
      <c r="HK905" s="70"/>
      <c r="HL905" s="70"/>
      <c r="HM905" s="70"/>
      <c r="HN905" s="70"/>
      <c r="HO905" s="70"/>
      <c r="HP905" s="70"/>
      <c r="HQ905" s="70"/>
      <c r="HR905" s="70"/>
      <c r="HS905" s="70"/>
      <c r="HT905" s="70"/>
      <c r="HU905" s="70"/>
      <c r="HV905" s="70"/>
      <c r="HW905" s="70"/>
      <c r="HX905" s="70"/>
      <c r="HY905" s="70"/>
      <c r="HZ905" s="70"/>
      <c r="IA905" s="70"/>
      <c r="IB905" s="70"/>
      <c r="IC905" s="70"/>
      <c r="ID905" s="70"/>
      <c r="IE905" s="70"/>
      <c r="IF905" s="70"/>
      <c r="IG905" s="70"/>
      <c r="IH905" s="70"/>
      <c r="II905" s="70"/>
      <c r="IJ905" s="70"/>
      <c r="IK905" s="70"/>
      <c r="IL905" s="70"/>
      <c r="IM905" s="70"/>
      <c r="IN905" s="70"/>
      <c r="IO905" s="70"/>
      <c r="IP905" s="70"/>
      <c r="IQ905" s="70"/>
    </row>
    <row r="906" spans="18:251" ht="16.5" hidden="1" customHeight="1">
      <c r="R906" s="95" t="s">
        <v>450</v>
      </c>
      <c r="S906" s="95"/>
      <c r="T906" s="95"/>
      <c r="U906" s="70"/>
      <c r="V906" s="214"/>
      <c r="W906" s="70"/>
      <c r="X906" s="70"/>
      <c r="Y906" s="70"/>
      <c r="Z906" s="70"/>
      <c r="AA906" s="70"/>
      <c r="AB906" s="70"/>
      <c r="AC906" s="70"/>
      <c r="AD906" s="70"/>
      <c r="AE906" s="70"/>
      <c r="AF906" s="70"/>
      <c r="AG906" s="70"/>
      <c r="AH906" s="70"/>
      <c r="AI906" s="70"/>
      <c r="AJ906" s="70"/>
      <c r="AK906" s="70"/>
      <c r="AL906" s="70"/>
      <c r="AM906" s="70"/>
      <c r="AN906" s="70"/>
      <c r="AO906" s="70"/>
      <c r="AP906" s="70"/>
      <c r="AQ906" s="70"/>
      <c r="AR906" s="70"/>
      <c r="AS906" s="70"/>
      <c r="AT906" s="70"/>
      <c r="AU906" s="70"/>
      <c r="AV906" s="70"/>
      <c r="AW906" s="70"/>
      <c r="AX906" s="70"/>
      <c r="AY906" s="70"/>
      <c r="AZ906" s="70"/>
      <c r="BA906" s="70"/>
      <c r="BB906" s="70"/>
      <c r="BC906" s="70"/>
      <c r="BD906" s="70"/>
      <c r="BE906" s="70"/>
      <c r="BF906" s="70"/>
      <c r="BG906" s="70"/>
      <c r="BH906" s="70"/>
      <c r="BI906" s="70"/>
      <c r="BJ906" s="70"/>
      <c r="BK906" s="70"/>
      <c r="BL906" s="70"/>
      <c r="BM906" s="70"/>
      <c r="BN906" s="70"/>
      <c r="BO906" s="70"/>
      <c r="BP906" s="70"/>
      <c r="BQ906" s="70"/>
      <c r="BR906" s="70"/>
      <c r="BS906" s="70"/>
      <c r="BT906" s="70"/>
      <c r="BU906" s="70"/>
      <c r="BV906" s="70"/>
      <c r="BW906" s="70"/>
      <c r="BX906" s="70"/>
      <c r="BY906" s="70"/>
      <c r="BZ906" s="70"/>
      <c r="CA906" s="70"/>
      <c r="CB906" s="70"/>
      <c r="CC906" s="70"/>
      <c r="CD906" s="70"/>
      <c r="CE906" s="70"/>
      <c r="CF906" s="70"/>
      <c r="CG906" s="70"/>
      <c r="CH906" s="70"/>
      <c r="CI906" s="70"/>
      <c r="CJ906" s="70"/>
      <c r="CK906" s="70"/>
      <c r="CL906" s="70"/>
      <c r="CM906" s="70"/>
      <c r="CN906" s="70"/>
      <c r="CO906" s="70"/>
      <c r="CP906" s="70"/>
      <c r="CQ906" s="70"/>
      <c r="CR906" s="70"/>
      <c r="CS906" s="70"/>
      <c r="CT906" s="70"/>
      <c r="CU906" s="70"/>
      <c r="CV906" s="70"/>
      <c r="CW906" s="70"/>
      <c r="CX906" s="70"/>
      <c r="CY906" s="70"/>
      <c r="CZ906" s="70"/>
      <c r="DA906" s="70"/>
      <c r="DB906" s="70"/>
      <c r="DC906" s="70"/>
      <c r="DD906" s="70"/>
      <c r="DE906" s="70"/>
      <c r="DF906" s="70"/>
      <c r="DG906" s="70"/>
      <c r="DH906" s="70"/>
      <c r="DI906" s="70"/>
      <c r="DJ906" s="70"/>
      <c r="DK906" s="70"/>
      <c r="DL906" s="70"/>
      <c r="DM906" s="70"/>
      <c r="DN906" s="70"/>
      <c r="DO906" s="70"/>
      <c r="DP906" s="70"/>
      <c r="DQ906" s="70"/>
      <c r="DR906" s="70"/>
      <c r="DS906" s="70"/>
      <c r="DT906" s="70"/>
      <c r="DU906" s="70"/>
      <c r="DV906" s="70"/>
      <c r="DW906" s="70"/>
      <c r="DX906" s="70"/>
      <c r="DY906" s="70"/>
      <c r="DZ906" s="70"/>
      <c r="EA906" s="70"/>
      <c r="EB906" s="70"/>
      <c r="EC906" s="70"/>
      <c r="ED906" s="70"/>
      <c r="EE906" s="95" t="s">
        <v>450</v>
      </c>
      <c r="EF906" s="95"/>
      <c r="EG906" s="95"/>
      <c r="EH906" s="70"/>
      <c r="EI906" s="216"/>
      <c r="EJ906" s="70"/>
      <c r="EK906" s="70"/>
      <c r="EL906" s="70"/>
      <c r="EM906" s="70"/>
      <c r="EN906" s="70"/>
      <c r="EO906" s="70"/>
      <c r="EP906" s="70"/>
      <c r="EQ906" s="70"/>
      <c r="ER906" s="70"/>
      <c r="ES906" s="70"/>
      <c r="ET906" s="70"/>
      <c r="EU906" s="70"/>
      <c r="EV906" s="70"/>
      <c r="EW906" s="70"/>
      <c r="EX906" s="70"/>
      <c r="EY906" s="70"/>
      <c r="EZ906" s="70"/>
      <c r="FA906" s="70"/>
      <c r="FB906" s="70"/>
      <c r="FC906" s="70"/>
      <c r="FD906" s="70"/>
      <c r="FE906" s="70"/>
      <c r="FF906" s="70"/>
      <c r="FG906" s="70"/>
      <c r="FH906" s="70"/>
      <c r="FI906" s="70"/>
      <c r="FJ906" s="70"/>
      <c r="FK906" s="70"/>
      <c r="FL906" s="70"/>
      <c r="FM906" s="70"/>
      <c r="FN906" s="70"/>
      <c r="FO906" s="70"/>
      <c r="FP906" s="70"/>
      <c r="FQ906" s="70"/>
      <c r="FR906" s="70"/>
      <c r="FS906" s="70"/>
      <c r="FT906" s="70"/>
      <c r="FU906" s="70"/>
      <c r="FV906" s="70"/>
      <c r="FW906" s="70"/>
      <c r="FX906" s="70"/>
      <c r="FY906" s="70"/>
      <c r="FZ906" s="70"/>
      <c r="GA906" s="70"/>
      <c r="GB906" s="70"/>
      <c r="GC906" s="70"/>
      <c r="GD906" s="70"/>
      <c r="GE906" s="70"/>
      <c r="GF906" s="70"/>
      <c r="GG906" s="70"/>
      <c r="GH906" s="70"/>
      <c r="GI906" s="70"/>
      <c r="GJ906" s="70"/>
      <c r="GK906" s="70"/>
      <c r="GL906" s="70"/>
      <c r="GM906" s="70"/>
      <c r="GN906" s="70"/>
      <c r="GO906" s="70"/>
      <c r="GP906" s="70"/>
      <c r="GQ906" s="70"/>
      <c r="GR906" s="70"/>
      <c r="GS906" s="70"/>
      <c r="GT906" s="70"/>
      <c r="GU906" s="70"/>
      <c r="GV906" s="70"/>
      <c r="GW906" s="70"/>
      <c r="GX906" s="70"/>
      <c r="GY906" s="70"/>
      <c r="GZ906" s="70"/>
      <c r="HA906" s="70"/>
      <c r="HB906" s="70"/>
      <c r="HC906" s="70"/>
      <c r="HD906" s="70"/>
      <c r="HE906" s="70"/>
      <c r="HF906" s="70"/>
      <c r="HG906" s="70"/>
      <c r="HH906" s="70"/>
      <c r="HI906" s="70"/>
      <c r="HJ906" s="70"/>
      <c r="HK906" s="70"/>
      <c r="HL906" s="70"/>
      <c r="HM906" s="70"/>
      <c r="HN906" s="70"/>
      <c r="HO906" s="70"/>
      <c r="HP906" s="70"/>
      <c r="HQ906" s="70"/>
      <c r="HR906" s="70"/>
      <c r="HS906" s="70"/>
      <c r="HT906" s="70"/>
      <c r="HU906" s="70"/>
      <c r="HV906" s="70"/>
      <c r="HW906" s="70"/>
      <c r="HX906" s="70"/>
      <c r="HY906" s="70"/>
      <c r="HZ906" s="70"/>
      <c r="IA906" s="70"/>
      <c r="IB906" s="70"/>
      <c r="IC906" s="70"/>
      <c r="ID906" s="70"/>
      <c r="IE906" s="70"/>
      <c r="IF906" s="70"/>
      <c r="IG906" s="70"/>
      <c r="IH906" s="70"/>
      <c r="II906" s="70"/>
      <c r="IJ906" s="70"/>
      <c r="IK906" s="70"/>
      <c r="IL906" s="70"/>
      <c r="IM906" s="70"/>
      <c r="IN906" s="70"/>
      <c r="IO906" s="70"/>
      <c r="IP906" s="70"/>
      <c r="IQ906" s="70"/>
    </row>
    <row r="907" spans="18:251" ht="16.5" hidden="1" customHeight="1">
      <c r="R907" s="95" t="s">
        <v>450</v>
      </c>
      <c r="S907" s="95"/>
      <c r="T907" s="95"/>
      <c r="U907" s="70"/>
      <c r="V907" s="214"/>
      <c r="W907" s="70"/>
      <c r="X907" s="70"/>
      <c r="Y907" s="70"/>
      <c r="Z907" s="70"/>
      <c r="AA907" s="70"/>
      <c r="AB907" s="70"/>
      <c r="AC907" s="70"/>
      <c r="AD907" s="70"/>
      <c r="AE907" s="70"/>
      <c r="AF907" s="70"/>
      <c r="AG907" s="70"/>
      <c r="AH907" s="70"/>
      <c r="AI907" s="70"/>
      <c r="AJ907" s="70"/>
      <c r="AK907" s="70"/>
      <c r="AL907" s="70"/>
      <c r="AM907" s="70"/>
      <c r="AN907" s="70"/>
      <c r="AO907" s="70"/>
      <c r="AP907" s="70"/>
      <c r="AQ907" s="70"/>
      <c r="AR907" s="70"/>
      <c r="AS907" s="70"/>
      <c r="AT907" s="70"/>
      <c r="AU907" s="70"/>
      <c r="AV907" s="70"/>
      <c r="AW907" s="70"/>
      <c r="AX907" s="70"/>
      <c r="AY907" s="70"/>
      <c r="AZ907" s="70"/>
      <c r="BA907" s="70"/>
      <c r="BB907" s="70"/>
      <c r="BC907" s="70"/>
      <c r="BD907" s="70"/>
      <c r="BE907" s="70"/>
      <c r="BF907" s="70"/>
      <c r="BG907" s="70"/>
      <c r="BH907" s="70"/>
      <c r="BI907" s="70"/>
      <c r="BJ907" s="70"/>
      <c r="BK907" s="70"/>
      <c r="BL907" s="70"/>
      <c r="BM907" s="70"/>
      <c r="BN907" s="70"/>
      <c r="BO907" s="70"/>
      <c r="BP907" s="70"/>
      <c r="BQ907" s="70"/>
      <c r="BR907" s="70"/>
      <c r="BS907" s="70"/>
      <c r="BT907" s="70"/>
      <c r="BU907" s="70"/>
      <c r="BV907" s="70"/>
      <c r="BW907" s="70"/>
      <c r="BX907" s="70"/>
      <c r="BY907" s="70"/>
      <c r="BZ907" s="70"/>
      <c r="CA907" s="70"/>
      <c r="CB907" s="70"/>
      <c r="CC907" s="70"/>
      <c r="CD907" s="70"/>
      <c r="CE907" s="70"/>
      <c r="CF907" s="70"/>
      <c r="CG907" s="70"/>
      <c r="CH907" s="70"/>
      <c r="CI907" s="70"/>
      <c r="CJ907" s="70"/>
      <c r="CK907" s="70"/>
      <c r="CL907" s="70"/>
      <c r="CM907" s="70"/>
      <c r="CN907" s="70"/>
      <c r="CO907" s="70"/>
      <c r="CP907" s="70"/>
      <c r="CQ907" s="70"/>
      <c r="CR907" s="70"/>
      <c r="CS907" s="70"/>
      <c r="CT907" s="70"/>
      <c r="CU907" s="70"/>
      <c r="CV907" s="70"/>
      <c r="CW907" s="70"/>
      <c r="CX907" s="70"/>
      <c r="CY907" s="70"/>
      <c r="CZ907" s="70"/>
      <c r="DA907" s="70"/>
      <c r="DB907" s="70"/>
      <c r="DC907" s="70"/>
      <c r="DD907" s="70"/>
      <c r="DE907" s="70"/>
      <c r="DF907" s="70"/>
      <c r="DG907" s="70"/>
      <c r="DH907" s="70"/>
      <c r="DI907" s="70"/>
      <c r="DJ907" s="70"/>
      <c r="DK907" s="70"/>
      <c r="DL907" s="70"/>
      <c r="DM907" s="70"/>
      <c r="DN907" s="70"/>
      <c r="DO907" s="70"/>
      <c r="DP907" s="70"/>
      <c r="DQ907" s="70"/>
      <c r="DR907" s="70"/>
      <c r="DS907" s="70"/>
      <c r="DT907" s="70"/>
      <c r="DU907" s="70"/>
      <c r="DV907" s="70"/>
      <c r="DW907" s="70"/>
      <c r="DX907" s="70"/>
      <c r="DY907" s="70"/>
      <c r="DZ907" s="70"/>
      <c r="EA907" s="70"/>
      <c r="EB907" s="70"/>
      <c r="EC907" s="70"/>
      <c r="ED907" s="70"/>
      <c r="EE907" s="95" t="s">
        <v>450</v>
      </c>
      <c r="EF907" s="95"/>
      <c r="EG907" s="95"/>
      <c r="EH907" s="70"/>
      <c r="EI907" s="216"/>
      <c r="EJ907" s="70"/>
      <c r="EK907" s="70"/>
      <c r="EL907" s="70"/>
      <c r="EM907" s="70"/>
      <c r="EN907" s="70"/>
      <c r="EO907" s="70"/>
      <c r="EP907" s="70"/>
      <c r="EQ907" s="70"/>
      <c r="ER907" s="70"/>
      <c r="ES907" s="70"/>
      <c r="ET907" s="70"/>
      <c r="EU907" s="70"/>
      <c r="EV907" s="70"/>
      <c r="EW907" s="70"/>
      <c r="EX907" s="70"/>
      <c r="EY907" s="70"/>
      <c r="EZ907" s="70"/>
      <c r="FA907" s="70"/>
      <c r="FB907" s="70"/>
      <c r="FC907" s="70"/>
      <c r="FD907" s="70"/>
      <c r="FE907" s="70"/>
      <c r="FF907" s="70"/>
      <c r="FG907" s="70"/>
      <c r="FH907" s="70"/>
      <c r="FI907" s="70"/>
      <c r="FJ907" s="70"/>
      <c r="FK907" s="70"/>
      <c r="FL907" s="70"/>
      <c r="FM907" s="70"/>
      <c r="FN907" s="70"/>
      <c r="FO907" s="70"/>
      <c r="FP907" s="70"/>
      <c r="FQ907" s="70"/>
      <c r="FR907" s="70"/>
      <c r="FS907" s="70"/>
      <c r="FT907" s="70"/>
      <c r="FU907" s="70"/>
      <c r="FV907" s="70"/>
      <c r="FW907" s="70"/>
      <c r="FX907" s="70"/>
      <c r="FY907" s="70"/>
      <c r="FZ907" s="70"/>
      <c r="GA907" s="70"/>
      <c r="GB907" s="70"/>
      <c r="GC907" s="70"/>
      <c r="GD907" s="70"/>
      <c r="GE907" s="70"/>
      <c r="GF907" s="70"/>
      <c r="GG907" s="70"/>
      <c r="GH907" s="70"/>
      <c r="GI907" s="70"/>
      <c r="GJ907" s="70"/>
      <c r="GK907" s="70"/>
      <c r="GL907" s="70"/>
      <c r="GM907" s="70"/>
      <c r="GN907" s="70"/>
      <c r="GO907" s="70"/>
      <c r="GP907" s="70"/>
      <c r="GQ907" s="70"/>
      <c r="GR907" s="70"/>
      <c r="GS907" s="70"/>
      <c r="GT907" s="70"/>
      <c r="GU907" s="70"/>
      <c r="GV907" s="70"/>
      <c r="GW907" s="70"/>
      <c r="GX907" s="70"/>
      <c r="GY907" s="70"/>
      <c r="GZ907" s="70"/>
      <c r="HA907" s="70"/>
      <c r="HB907" s="70"/>
      <c r="HC907" s="70"/>
      <c r="HD907" s="70"/>
      <c r="HE907" s="70"/>
      <c r="HF907" s="70"/>
      <c r="HG907" s="70"/>
      <c r="HH907" s="70"/>
      <c r="HI907" s="70"/>
      <c r="HJ907" s="70"/>
      <c r="HK907" s="70"/>
      <c r="HL907" s="70"/>
      <c r="HM907" s="70"/>
      <c r="HN907" s="70"/>
      <c r="HO907" s="70"/>
      <c r="HP907" s="70"/>
      <c r="HQ907" s="70"/>
      <c r="HR907" s="70"/>
      <c r="HS907" s="70"/>
      <c r="HT907" s="70"/>
      <c r="HU907" s="70"/>
      <c r="HV907" s="70"/>
      <c r="HW907" s="70"/>
      <c r="HX907" s="70"/>
      <c r="HY907" s="70"/>
      <c r="HZ907" s="70"/>
      <c r="IA907" s="70"/>
      <c r="IB907" s="70"/>
      <c r="IC907" s="70"/>
      <c r="ID907" s="70"/>
      <c r="IE907" s="70"/>
      <c r="IF907" s="70"/>
      <c r="IG907" s="70"/>
      <c r="IH907" s="70"/>
      <c r="II907" s="70"/>
      <c r="IJ907" s="70"/>
      <c r="IK907" s="70"/>
      <c r="IL907" s="70"/>
      <c r="IM907" s="70"/>
      <c r="IN907" s="70"/>
      <c r="IO907" s="70"/>
      <c r="IP907" s="70"/>
      <c r="IQ907" s="70"/>
    </row>
    <row r="908" spans="18:251" ht="16.5" hidden="1" customHeight="1">
      <c r="R908" s="95" t="s">
        <v>450</v>
      </c>
      <c r="S908" s="95"/>
      <c r="T908" s="95"/>
      <c r="U908" s="70"/>
      <c r="V908" s="214"/>
      <c r="W908" s="70"/>
      <c r="X908" s="70"/>
      <c r="Y908" s="70"/>
      <c r="Z908" s="70"/>
      <c r="AA908" s="70"/>
      <c r="AB908" s="70"/>
      <c r="AC908" s="70"/>
      <c r="AD908" s="70"/>
      <c r="AE908" s="70"/>
      <c r="AF908" s="70"/>
      <c r="AG908" s="70"/>
      <c r="AH908" s="70"/>
      <c r="AI908" s="70"/>
      <c r="AJ908" s="70"/>
      <c r="AK908" s="70"/>
      <c r="AL908" s="70"/>
      <c r="AM908" s="70"/>
      <c r="AN908" s="70"/>
      <c r="AO908" s="70"/>
      <c r="AP908" s="70"/>
      <c r="AQ908" s="70"/>
      <c r="AR908" s="70"/>
      <c r="AS908" s="70"/>
      <c r="AT908" s="70"/>
      <c r="AU908" s="70"/>
      <c r="AV908" s="70"/>
      <c r="AW908" s="70"/>
      <c r="AX908" s="70"/>
      <c r="AY908" s="70"/>
      <c r="AZ908" s="70"/>
      <c r="BA908" s="70"/>
      <c r="BB908" s="70"/>
      <c r="BC908" s="70"/>
      <c r="BD908" s="70"/>
      <c r="BE908" s="70"/>
      <c r="BF908" s="70"/>
      <c r="BG908" s="70"/>
      <c r="BH908" s="70"/>
      <c r="BI908" s="70"/>
      <c r="BJ908" s="70"/>
      <c r="BK908" s="70"/>
      <c r="BL908" s="70"/>
      <c r="BM908" s="70"/>
      <c r="BN908" s="70"/>
      <c r="BO908" s="70"/>
      <c r="BP908" s="70"/>
      <c r="BQ908" s="70"/>
      <c r="BR908" s="70"/>
      <c r="BS908" s="70"/>
      <c r="BT908" s="70"/>
      <c r="BU908" s="70"/>
      <c r="BV908" s="70"/>
      <c r="BW908" s="70"/>
      <c r="BX908" s="70"/>
      <c r="BY908" s="70"/>
      <c r="BZ908" s="70"/>
      <c r="CA908" s="70"/>
      <c r="CB908" s="70"/>
      <c r="CC908" s="70"/>
      <c r="CD908" s="70"/>
      <c r="CE908" s="70"/>
      <c r="CF908" s="70"/>
      <c r="CG908" s="70"/>
      <c r="CH908" s="70"/>
      <c r="CI908" s="70"/>
      <c r="CJ908" s="70"/>
      <c r="CK908" s="70"/>
      <c r="CL908" s="70"/>
      <c r="CM908" s="70"/>
      <c r="CN908" s="70"/>
      <c r="CO908" s="70"/>
      <c r="CP908" s="70"/>
      <c r="CQ908" s="70"/>
      <c r="CR908" s="70"/>
      <c r="CS908" s="70"/>
      <c r="CT908" s="70"/>
      <c r="CU908" s="70"/>
      <c r="CV908" s="70"/>
      <c r="CW908" s="70"/>
      <c r="CX908" s="70"/>
      <c r="CY908" s="70"/>
      <c r="CZ908" s="70"/>
      <c r="DA908" s="70"/>
      <c r="DB908" s="70"/>
      <c r="DC908" s="70"/>
      <c r="DD908" s="70"/>
      <c r="DE908" s="70"/>
      <c r="DF908" s="70"/>
      <c r="DG908" s="70"/>
      <c r="DH908" s="70"/>
      <c r="DI908" s="70"/>
      <c r="DJ908" s="70"/>
      <c r="DK908" s="70"/>
      <c r="DL908" s="70"/>
      <c r="DM908" s="70"/>
      <c r="DN908" s="70"/>
      <c r="DO908" s="70"/>
      <c r="DP908" s="70"/>
      <c r="DQ908" s="70"/>
      <c r="DR908" s="70"/>
      <c r="DS908" s="70"/>
      <c r="DT908" s="70"/>
      <c r="DU908" s="70"/>
      <c r="DV908" s="70"/>
      <c r="DW908" s="70"/>
      <c r="DX908" s="70"/>
      <c r="DY908" s="70"/>
      <c r="DZ908" s="70"/>
      <c r="EA908" s="70"/>
      <c r="EB908" s="70"/>
      <c r="EC908" s="70"/>
      <c r="ED908" s="70"/>
      <c r="EE908" s="95" t="s">
        <v>450</v>
      </c>
      <c r="EF908" s="95"/>
      <c r="EG908" s="95"/>
      <c r="EH908" s="70"/>
      <c r="EI908" s="216"/>
      <c r="EJ908" s="70"/>
      <c r="EK908" s="70"/>
      <c r="EL908" s="70"/>
      <c r="EM908" s="70"/>
      <c r="EN908" s="70"/>
      <c r="EO908" s="70"/>
      <c r="EP908" s="70"/>
      <c r="EQ908" s="70"/>
      <c r="ER908" s="70"/>
      <c r="ES908" s="70"/>
      <c r="ET908" s="70"/>
      <c r="EU908" s="70"/>
      <c r="EV908" s="70"/>
      <c r="EW908" s="70"/>
      <c r="EX908" s="70"/>
      <c r="EY908" s="70"/>
      <c r="EZ908" s="70"/>
      <c r="FA908" s="70"/>
      <c r="FB908" s="70"/>
      <c r="FC908" s="70"/>
      <c r="FD908" s="70"/>
      <c r="FE908" s="70"/>
      <c r="FF908" s="70"/>
      <c r="FG908" s="70"/>
      <c r="FH908" s="70"/>
      <c r="FI908" s="70"/>
      <c r="FJ908" s="70"/>
      <c r="FK908" s="70"/>
      <c r="FL908" s="70"/>
      <c r="FM908" s="70"/>
      <c r="FN908" s="70"/>
      <c r="FO908" s="70"/>
      <c r="FP908" s="70"/>
      <c r="FQ908" s="70"/>
      <c r="FR908" s="70"/>
      <c r="FS908" s="70"/>
      <c r="FT908" s="70"/>
      <c r="FU908" s="70"/>
      <c r="FV908" s="70"/>
      <c r="FW908" s="70"/>
      <c r="FX908" s="70"/>
      <c r="FY908" s="70"/>
      <c r="FZ908" s="70"/>
      <c r="GA908" s="70"/>
      <c r="GB908" s="70"/>
      <c r="GC908" s="70"/>
      <c r="GD908" s="70"/>
      <c r="GE908" s="70"/>
      <c r="GF908" s="70"/>
      <c r="GG908" s="70"/>
      <c r="GH908" s="70"/>
      <c r="GI908" s="70"/>
      <c r="GJ908" s="70"/>
      <c r="GK908" s="70"/>
      <c r="GL908" s="70"/>
      <c r="GM908" s="70"/>
      <c r="GN908" s="70"/>
      <c r="GO908" s="70"/>
      <c r="GP908" s="70"/>
      <c r="GQ908" s="70"/>
      <c r="GR908" s="70"/>
      <c r="GS908" s="70"/>
      <c r="GT908" s="70"/>
      <c r="GU908" s="70"/>
      <c r="GV908" s="70"/>
      <c r="GW908" s="70"/>
      <c r="GX908" s="70"/>
      <c r="GY908" s="70"/>
      <c r="GZ908" s="70"/>
      <c r="HA908" s="70"/>
      <c r="HB908" s="70"/>
      <c r="HC908" s="70"/>
      <c r="HD908" s="70"/>
      <c r="HE908" s="70"/>
      <c r="HF908" s="70"/>
      <c r="HG908" s="70"/>
      <c r="HH908" s="70"/>
      <c r="HI908" s="70"/>
      <c r="HJ908" s="70"/>
      <c r="HK908" s="70"/>
      <c r="HL908" s="70"/>
      <c r="HM908" s="70"/>
      <c r="HN908" s="70"/>
      <c r="HO908" s="70"/>
      <c r="HP908" s="70"/>
      <c r="HQ908" s="70"/>
      <c r="HR908" s="70"/>
      <c r="HS908" s="70"/>
      <c r="HT908" s="70"/>
      <c r="HU908" s="70"/>
      <c r="HV908" s="70"/>
      <c r="HW908" s="70"/>
      <c r="HX908" s="70"/>
      <c r="HY908" s="70"/>
      <c r="HZ908" s="70"/>
      <c r="IA908" s="70"/>
      <c r="IB908" s="70"/>
      <c r="IC908" s="70"/>
      <c r="ID908" s="70"/>
      <c r="IE908" s="70"/>
      <c r="IF908" s="70"/>
      <c r="IG908" s="70"/>
      <c r="IH908" s="70"/>
      <c r="II908" s="70"/>
      <c r="IJ908" s="70"/>
      <c r="IK908" s="70"/>
      <c r="IL908" s="70"/>
      <c r="IM908" s="70"/>
      <c r="IN908" s="70"/>
      <c r="IO908" s="70"/>
      <c r="IP908" s="70"/>
      <c r="IQ908" s="70"/>
    </row>
    <row r="909" spans="18:251" ht="16.5" hidden="1" customHeight="1">
      <c r="R909" s="95" t="s">
        <v>450</v>
      </c>
      <c r="S909" s="95"/>
      <c r="T909" s="95"/>
      <c r="U909" s="70"/>
      <c r="V909" s="214"/>
      <c r="W909" s="70"/>
      <c r="X909" s="70"/>
      <c r="Y909" s="70"/>
      <c r="Z909" s="70"/>
      <c r="AA909" s="70"/>
      <c r="AB909" s="70"/>
      <c r="AC909" s="70"/>
      <c r="AD909" s="70"/>
      <c r="AE909" s="70"/>
      <c r="AF909" s="70"/>
      <c r="AG909" s="70"/>
      <c r="AH909" s="70"/>
      <c r="AI909" s="70"/>
      <c r="AJ909" s="70"/>
      <c r="AK909" s="70"/>
      <c r="AL909" s="70"/>
      <c r="AM909" s="70"/>
      <c r="AN909" s="70"/>
      <c r="AO909" s="70"/>
      <c r="AP909" s="70"/>
      <c r="AQ909" s="70"/>
      <c r="AR909" s="70"/>
      <c r="AS909" s="70"/>
      <c r="AT909" s="70"/>
      <c r="AU909" s="70"/>
      <c r="AV909" s="70"/>
      <c r="AW909" s="70"/>
      <c r="AX909" s="70"/>
      <c r="AY909" s="70"/>
      <c r="AZ909" s="70"/>
      <c r="BA909" s="70"/>
      <c r="BB909" s="70"/>
      <c r="BC909" s="70"/>
      <c r="BD909" s="70"/>
      <c r="BE909" s="70"/>
      <c r="BF909" s="70"/>
      <c r="BG909" s="70"/>
      <c r="BH909" s="70"/>
      <c r="BI909" s="70"/>
      <c r="BJ909" s="70"/>
      <c r="BK909" s="70"/>
      <c r="BL909" s="70"/>
      <c r="BM909" s="70"/>
      <c r="BN909" s="70"/>
      <c r="BO909" s="70"/>
      <c r="BP909" s="70"/>
      <c r="BQ909" s="70"/>
      <c r="BR909" s="70"/>
      <c r="BS909" s="70"/>
      <c r="BT909" s="70"/>
      <c r="BU909" s="70"/>
      <c r="BV909" s="70"/>
      <c r="BW909" s="70"/>
      <c r="BX909" s="70"/>
      <c r="BY909" s="70"/>
      <c r="BZ909" s="70"/>
      <c r="CA909" s="70"/>
      <c r="CB909" s="70"/>
      <c r="CC909" s="70"/>
      <c r="CD909" s="70"/>
      <c r="CE909" s="70"/>
      <c r="CF909" s="70"/>
      <c r="CG909" s="70"/>
      <c r="CH909" s="70"/>
      <c r="CI909" s="70"/>
      <c r="CJ909" s="70"/>
      <c r="CK909" s="70"/>
      <c r="CL909" s="70"/>
      <c r="CM909" s="70"/>
      <c r="CN909" s="70"/>
      <c r="CO909" s="70"/>
      <c r="CP909" s="70"/>
      <c r="CQ909" s="70"/>
      <c r="CR909" s="70"/>
      <c r="CS909" s="70"/>
      <c r="CT909" s="70"/>
      <c r="CU909" s="70"/>
      <c r="CV909" s="70"/>
      <c r="CW909" s="70"/>
      <c r="CX909" s="70"/>
      <c r="CY909" s="70"/>
      <c r="CZ909" s="70"/>
      <c r="DA909" s="70"/>
      <c r="DB909" s="70"/>
      <c r="DC909" s="70"/>
      <c r="DD909" s="70"/>
      <c r="DE909" s="70"/>
      <c r="DF909" s="70"/>
      <c r="DG909" s="70"/>
      <c r="DH909" s="70"/>
      <c r="DI909" s="70"/>
      <c r="DJ909" s="70"/>
      <c r="DK909" s="70"/>
      <c r="DL909" s="70"/>
      <c r="DM909" s="70"/>
      <c r="DN909" s="70"/>
      <c r="DO909" s="70"/>
      <c r="DP909" s="70"/>
      <c r="DQ909" s="70"/>
      <c r="DR909" s="70"/>
      <c r="DS909" s="70"/>
      <c r="DT909" s="70"/>
      <c r="DU909" s="70"/>
      <c r="DV909" s="70"/>
      <c r="DW909" s="70"/>
      <c r="DX909" s="70"/>
      <c r="DY909" s="70"/>
      <c r="DZ909" s="70"/>
      <c r="EA909" s="70"/>
      <c r="EB909" s="70"/>
      <c r="EC909" s="70"/>
      <c r="ED909" s="70"/>
      <c r="EE909" s="95" t="s">
        <v>450</v>
      </c>
      <c r="EF909" s="95"/>
      <c r="EG909" s="95"/>
      <c r="EH909" s="70"/>
      <c r="EI909" s="216"/>
      <c r="EJ909" s="70"/>
      <c r="EK909" s="70"/>
      <c r="EL909" s="70"/>
      <c r="EM909" s="70"/>
      <c r="EN909" s="70"/>
      <c r="EO909" s="70"/>
      <c r="EP909" s="70"/>
      <c r="EQ909" s="70"/>
      <c r="ER909" s="70"/>
      <c r="ES909" s="70"/>
      <c r="ET909" s="70"/>
      <c r="EU909" s="70"/>
      <c r="EV909" s="70"/>
      <c r="EW909" s="70"/>
      <c r="EX909" s="70"/>
      <c r="EY909" s="70"/>
      <c r="EZ909" s="70"/>
      <c r="FA909" s="70"/>
      <c r="FB909" s="70"/>
      <c r="FC909" s="70"/>
      <c r="FD909" s="70"/>
      <c r="FE909" s="70"/>
      <c r="FF909" s="70"/>
      <c r="FG909" s="70"/>
      <c r="FH909" s="70"/>
      <c r="FI909" s="70"/>
      <c r="FJ909" s="70"/>
      <c r="FK909" s="70"/>
      <c r="FL909" s="70"/>
      <c r="FM909" s="70"/>
      <c r="FN909" s="70"/>
      <c r="FO909" s="70"/>
      <c r="FP909" s="70"/>
      <c r="FQ909" s="70"/>
      <c r="FR909" s="70"/>
      <c r="FS909" s="70"/>
      <c r="FT909" s="70"/>
      <c r="FU909" s="70"/>
      <c r="FV909" s="70"/>
      <c r="FW909" s="70"/>
      <c r="FX909" s="70"/>
      <c r="FY909" s="70"/>
      <c r="FZ909" s="70"/>
      <c r="GA909" s="70"/>
      <c r="GB909" s="70"/>
      <c r="GC909" s="70"/>
      <c r="GD909" s="70"/>
      <c r="GE909" s="70"/>
      <c r="GF909" s="70"/>
      <c r="GG909" s="70"/>
      <c r="GH909" s="70"/>
      <c r="GI909" s="70"/>
      <c r="GJ909" s="70"/>
      <c r="GK909" s="70"/>
      <c r="GL909" s="70"/>
      <c r="GM909" s="70"/>
      <c r="GN909" s="70"/>
      <c r="GO909" s="70"/>
      <c r="GP909" s="70"/>
      <c r="GQ909" s="70"/>
      <c r="GR909" s="70"/>
      <c r="GS909" s="70"/>
      <c r="GT909" s="70"/>
      <c r="GU909" s="70"/>
      <c r="GV909" s="70"/>
      <c r="GW909" s="70"/>
      <c r="GX909" s="70"/>
      <c r="GY909" s="70"/>
      <c r="GZ909" s="70"/>
      <c r="HA909" s="70"/>
      <c r="HB909" s="70"/>
      <c r="HC909" s="70"/>
      <c r="HD909" s="70"/>
      <c r="HE909" s="70"/>
      <c r="HF909" s="70"/>
      <c r="HG909" s="70"/>
      <c r="HH909" s="70"/>
      <c r="HI909" s="70"/>
      <c r="HJ909" s="70"/>
      <c r="HK909" s="70"/>
      <c r="HL909" s="70"/>
      <c r="HM909" s="70"/>
      <c r="HN909" s="70"/>
      <c r="HO909" s="70"/>
      <c r="HP909" s="70"/>
      <c r="HQ909" s="70"/>
      <c r="HR909" s="70"/>
      <c r="HS909" s="70"/>
      <c r="HT909" s="70"/>
      <c r="HU909" s="70"/>
      <c r="HV909" s="70"/>
      <c r="HW909" s="70"/>
      <c r="HX909" s="70"/>
      <c r="HY909" s="70"/>
      <c r="HZ909" s="70"/>
      <c r="IA909" s="70"/>
      <c r="IB909" s="70"/>
      <c r="IC909" s="70"/>
      <c r="ID909" s="70"/>
      <c r="IE909" s="70"/>
      <c r="IF909" s="70"/>
      <c r="IG909" s="70"/>
      <c r="IH909" s="70"/>
      <c r="II909" s="70"/>
      <c r="IJ909" s="70"/>
      <c r="IK909" s="70"/>
      <c r="IL909" s="70"/>
      <c r="IM909" s="70"/>
      <c r="IN909" s="70"/>
      <c r="IO909" s="70"/>
      <c r="IP909" s="70"/>
      <c r="IQ909" s="70"/>
    </row>
    <row r="910" spans="18:251" ht="16.5" hidden="1" customHeight="1">
      <c r="R910" s="95" t="s">
        <v>450</v>
      </c>
      <c r="S910" s="95"/>
      <c r="T910" s="95"/>
      <c r="U910" s="70"/>
      <c r="V910" s="214"/>
      <c r="W910" s="70"/>
      <c r="X910" s="70"/>
      <c r="Y910" s="70"/>
      <c r="Z910" s="70"/>
      <c r="AA910" s="70"/>
      <c r="AB910" s="70"/>
      <c r="AC910" s="70"/>
      <c r="AD910" s="70"/>
      <c r="AE910" s="70"/>
      <c r="AF910" s="70"/>
      <c r="AG910" s="70"/>
      <c r="AH910" s="70"/>
      <c r="AI910" s="70"/>
      <c r="AJ910" s="70"/>
      <c r="AK910" s="70"/>
      <c r="AL910" s="70"/>
      <c r="AM910" s="70"/>
      <c r="AN910" s="70"/>
      <c r="AO910" s="70"/>
      <c r="AP910" s="70"/>
      <c r="AQ910" s="70"/>
      <c r="AR910" s="70"/>
      <c r="AS910" s="70"/>
      <c r="AT910" s="70"/>
      <c r="AU910" s="70"/>
      <c r="AV910" s="70"/>
      <c r="AW910" s="70"/>
      <c r="AX910" s="70"/>
      <c r="AY910" s="70"/>
      <c r="AZ910" s="70"/>
      <c r="BA910" s="70"/>
      <c r="BB910" s="70"/>
      <c r="BC910" s="70"/>
      <c r="BD910" s="70"/>
      <c r="BE910" s="70"/>
      <c r="BF910" s="70"/>
      <c r="BG910" s="70"/>
      <c r="BH910" s="70"/>
      <c r="BI910" s="70"/>
      <c r="BJ910" s="70"/>
      <c r="BK910" s="70"/>
      <c r="BL910" s="70"/>
      <c r="BM910" s="70"/>
      <c r="BN910" s="70"/>
      <c r="BO910" s="70"/>
      <c r="BP910" s="70"/>
      <c r="BQ910" s="70"/>
      <c r="BR910" s="70"/>
      <c r="BS910" s="70"/>
      <c r="BT910" s="70"/>
      <c r="BU910" s="70"/>
      <c r="BV910" s="70"/>
      <c r="BW910" s="70"/>
      <c r="BX910" s="70"/>
      <c r="BY910" s="70"/>
      <c r="BZ910" s="70"/>
      <c r="CA910" s="70"/>
      <c r="CB910" s="70"/>
      <c r="CC910" s="70"/>
      <c r="CD910" s="70"/>
      <c r="CE910" s="70"/>
      <c r="CF910" s="70"/>
      <c r="CG910" s="70"/>
      <c r="CH910" s="70"/>
      <c r="CI910" s="70"/>
      <c r="CJ910" s="70"/>
      <c r="CK910" s="70"/>
      <c r="CL910" s="70"/>
      <c r="CM910" s="70"/>
      <c r="CN910" s="70"/>
      <c r="CO910" s="70"/>
      <c r="CP910" s="70"/>
      <c r="CQ910" s="70"/>
      <c r="CR910" s="70"/>
      <c r="CS910" s="70"/>
      <c r="CT910" s="70"/>
      <c r="CU910" s="70"/>
      <c r="CV910" s="70"/>
      <c r="CW910" s="70"/>
      <c r="CX910" s="70"/>
      <c r="CY910" s="70"/>
      <c r="CZ910" s="70"/>
      <c r="DA910" s="70"/>
      <c r="DB910" s="70"/>
      <c r="DC910" s="70"/>
      <c r="DD910" s="70"/>
      <c r="DE910" s="70"/>
      <c r="DF910" s="70"/>
      <c r="DG910" s="70"/>
      <c r="DH910" s="70"/>
      <c r="DI910" s="70"/>
      <c r="DJ910" s="70"/>
      <c r="DK910" s="70"/>
      <c r="DL910" s="70"/>
      <c r="DM910" s="70"/>
      <c r="DN910" s="70"/>
      <c r="DO910" s="70"/>
      <c r="DP910" s="70"/>
      <c r="DQ910" s="70"/>
      <c r="DR910" s="70"/>
      <c r="DS910" s="70"/>
      <c r="DT910" s="70"/>
      <c r="DU910" s="70"/>
      <c r="DV910" s="70"/>
      <c r="DW910" s="70"/>
      <c r="DX910" s="70"/>
      <c r="DY910" s="70"/>
      <c r="DZ910" s="70"/>
      <c r="EA910" s="70"/>
      <c r="EB910" s="70"/>
      <c r="EC910" s="70"/>
      <c r="ED910" s="70"/>
      <c r="EE910" s="95" t="s">
        <v>450</v>
      </c>
      <c r="EF910" s="95"/>
      <c r="EG910" s="95"/>
      <c r="EH910" s="70"/>
      <c r="EI910" s="216"/>
      <c r="EJ910" s="70"/>
      <c r="EK910" s="70"/>
      <c r="EL910" s="70"/>
      <c r="EM910" s="70"/>
      <c r="EN910" s="70"/>
      <c r="EO910" s="70"/>
      <c r="EP910" s="70"/>
      <c r="EQ910" s="70"/>
      <c r="ER910" s="70"/>
      <c r="ES910" s="70"/>
      <c r="ET910" s="70"/>
      <c r="EU910" s="70"/>
      <c r="EV910" s="70"/>
      <c r="EW910" s="70"/>
      <c r="EX910" s="70"/>
      <c r="EY910" s="70"/>
      <c r="EZ910" s="70"/>
      <c r="FA910" s="70"/>
      <c r="FB910" s="70"/>
      <c r="FC910" s="70"/>
      <c r="FD910" s="70"/>
      <c r="FE910" s="70"/>
      <c r="FF910" s="70"/>
      <c r="FG910" s="70"/>
      <c r="FH910" s="70"/>
      <c r="FI910" s="70"/>
      <c r="FJ910" s="70"/>
      <c r="FK910" s="70"/>
      <c r="FL910" s="70"/>
      <c r="FM910" s="70"/>
      <c r="FN910" s="70"/>
      <c r="FO910" s="70"/>
      <c r="FP910" s="70"/>
      <c r="FQ910" s="70"/>
      <c r="FR910" s="70"/>
      <c r="FS910" s="70"/>
      <c r="FT910" s="70"/>
      <c r="FU910" s="70"/>
      <c r="FV910" s="70"/>
      <c r="FW910" s="70"/>
      <c r="FX910" s="70"/>
      <c r="FY910" s="70"/>
      <c r="FZ910" s="70"/>
      <c r="GA910" s="70"/>
      <c r="GB910" s="70"/>
      <c r="GC910" s="70"/>
      <c r="GD910" s="70"/>
      <c r="GE910" s="70"/>
      <c r="GF910" s="70"/>
      <c r="GG910" s="70"/>
      <c r="GH910" s="70"/>
      <c r="GI910" s="70"/>
      <c r="GJ910" s="70"/>
      <c r="GK910" s="70"/>
      <c r="GL910" s="70"/>
      <c r="GM910" s="70"/>
      <c r="GN910" s="70"/>
      <c r="GO910" s="70"/>
      <c r="GP910" s="70"/>
      <c r="GQ910" s="70"/>
      <c r="GR910" s="70"/>
      <c r="GS910" s="70"/>
      <c r="GT910" s="70"/>
      <c r="GU910" s="70"/>
      <c r="GV910" s="70"/>
      <c r="GW910" s="70"/>
      <c r="GX910" s="70"/>
      <c r="GY910" s="70"/>
      <c r="GZ910" s="70"/>
      <c r="HA910" s="70"/>
      <c r="HB910" s="70"/>
      <c r="HC910" s="70"/>
      <c r="HD910" s="70"/>
      <c r="HE910" s="70"/>
      <c r="HF910" s="70"/>
      <c r="HG910" s="70"/>
      <c r="HH910" s="70"/>
      <c r="HI910" s="70"/>
      <c r="HJ910" s="70"/>
      <c r="HK910" s="70"/>
      <c r="HL910" s="70"/>
      <c r="HM910" s="70"/>
      <c r="HN910" s="70"/>
      <c r="HO910" s="70"/>
      <c r="HP910" s="70"/>
      <c r="HQ910" s="70"/>
      <c r="HR910" s="70"/>
      <c r="HS910" s="70"/>
      <c r="HT910" s="70"/>
      <c r="HU910" s="70"/>
      <c r="HV910" s="70"/>
      <c r="HW910" s="70"/>
      <c r="HX910" s="70"/>
      <c r="HY910" s="70"/>
      <c r="HZ910" s="70"/>
      <c r="IA910" s="70"/>
      <c r="IB910" s="70"/>
      <c r="IC910" s="70"/>
      <c r="ID910" s="70"/>
      <c r="IE910" s="70"/>
      <c r="IF910" s="70"/>
      <c r="IG910" s="70"/>
      <c r="IH910" s="70"/>
      <c r="II910" s="70"/>
      <c r="IJ910" s="70"/>
      <c r="IK910" s="70"/>
      <c r="IL910" s="70"/>
      <c r="IM910" s="70"/>
      <c r="IN910" s="70"/>
      <c r="IO910" s="70"/>
      <c r="IP910" s="70"/>
      <c r="IQ910" s="70"/>
    </row>
    <row r="911" spans="18:251" ht="16.5" hidden="1" customHeight="1">
      <c r="R911" s="95" t="s">
        <v>450</v>
      </c>
      <c r="S911" s="95"/>
      <c r="T911" s="95"/>
      <c r="U911" s="70"/>
      <c r="V911" s="214"/>
      <c r="W911" s="70"/>
      <c r="X911" s="70"/>
      <c r="Y911" s="70"/>
      <c r="Z911" s="70"/>
      <c r="AA911" s="70"/>
      <c r="AB911" s="70"/>
      <c r="AC911" s="70"/>
      <c r="AD911" s="70"/>
      <c r="AE911" s="70"/>
      <c r="AF911" s="70"/>
      <c r="AG911" s="70"/>
      <c r="AH911" s="70"/>
      <c r="AI911" s="70"/>
      <c r="AJ911" s="70"/>
      <c r="AK911" s="70"/>
      <c r="AL911" s="70"/>
      <c r="AM911" s="70"/>
      <c r="AN911" s="70"/>
      <c r="AO911" s="70"/>
      <c r="AP911" s="70"/>
      <c r="AQ911" s="70"/>
      <c r="AR911" s="70"/>
      <c r="AS911" s="70"/>
      <c r="AT911" s="70"/>
      <c r="AU911" s="70"/>
      <c r="AV911" s="70"/>
      <c r="AW911" s="70"/>
      <c r="AX911" s="70"/>
      <c r="AY911" s="70"/>
      <c r="AZ911" s="70"/>
      <c r="BA911" s="70"/>
      <c r="BB911" s="70"/>
      <c r="BC911" s="70"/>
      <c r="BD911" s="70"/>
      <c r="BE911" s="70"/>
      <c r="BF911" s="70"/>
      <c r="BG911" s="70"/>
      <c r="BH911" s="70"/>
      <c r="BI911" s="70"/>
      <c r="BJ911" s="70"/>
      <c r="BK911" s="70"/>
      <c r="BL911" s="70"/>
      <c r="BM911" s="70"/>
      <c r="BN911" s="70"/>
      <c r="BO911" s="70"/>
      <c r="BP911" s="70"/>
      <c r="BQ911" s="70"/>
      <c r="BR911" s="70"/>
      <c r="BS911" s="70"/>
      <c r="BT911" s="70"/>
      <c r="BU911" s="70"/>
      <c r="BV911" s="70"/>
      <c r="BW911" s="70"/>
      <c r="BX911" s="70"/>
      <c r="BY911" s="70"/>
      <c r="BZ911" s="70"/>
      <c r="CA911" s="70"/>
      <c r="CB911" s="70"/>
      <c r="CC911" s="70"/>
      <c r="CD911" s="70"/>
      <c r="CE911" s="70"/>
      <c r="CF911" s="70"/>
      <c r="CG911" s="70"/>
      <c r="CH911" s="70"/>
      <c r="CI911" s="70"/>
      <c r="CJ911" s="70"/>
      <c r="CK911" s="70"/>
      <c r="CL911" s="70"/>
      <c r="CM911" s="70"/>
      <c r="CN911" s="70"/>
      <c r="CO911" s="70"/>
      <c r="CP911" s="70"/>
      <c r="CQ911" s="70"/>
      <c r="CR911" s="70"/>
      <c r="CS911" s="70"/>
      <c r="CT911" s="70"/>
      <c r="CU911" s="70"/>
      <c r="CV911" s="70"/>
      <c r="CW911" s="70"/>
      <c r="CX911" s="70"/>
      <c r="CY911" s="70"/>
      <c r="CZ911" s="70"/>
      <c r="DA911" s="70"/>
      <c r="DB911" s="70"/>
      <c r="DC911" s="70"/>
      <c r="DD911" s="70"/>
      <c r="DE911" s="70"/>
      <c r="DF911" s="70"/>
      <c r="DG911" s="70"/>
      <c r="DH911" s="70"/>
      <c r="DI911" s="70"/>
      <c r="DJ911" s="70"/>
      <c r="DK911" s="70"/>
      <c r="DL911" s="70"/>
      <c r="DM911" s="70"/>
      <c r="DN911" s="70"/>
      <c r="DO911" s="70"/>
      <c r="DP911" s="70"/>
      <c r="DQ911" s="70"/>
      <c r="DR911" s="70"/>
      <c r="DS911" s="70"/>
      <c r="DT911" s="70"/>
      <c r="DU911" s="70"/>
      <c r="DV911" s="70"/>
      <c r="DW911" s="70"/>
      <c r="DX911" s="70"/>
      <c r="DY911" s="70"/>
      <c r="DZ911" s="70"/>
      <c r="EA911" s="70"/>
      <c r="EB911" s="70"/>
      <c r="EC911" s="70"/>
      <c r="ED911" s="70"/>
      <c r="EE911" s="95" t="s">
        <v>450</v>
      </c>
      <c r="EF911" s="95"/>
      <c r="EG911" s="95"/>
      <c r="EH911" s="70"/>
      <c r="EI911" s="216"/>
      <c r="EJ911" s="70"/>
      <c r="EK911" s="70"/>
      <c r="EL911" s="70"/>
      <c r="EM911" s="70"/>
      <c r="EN911" s="70"/>
      <c r="EO911" s="70"/>
      <c r="EP911" s="70"/>
      <c r="EQ911" s="70"/>
      <c r="ER911" s="70"/>
      <c r="ES911" s="70"/>
      <c r="ET911" s="70"/>
      <c r="EU911" s="70"/>
      <c r="EV911" s="70"/>
      <c r="EW911" s="70"/>
      <c r="EX911" s="70"/>
      <c r="EY911" s="70"/>
      <c r="EZ911" s="70"/>
      <c r="FA911" s="70"/>
      <c r="FB911" s="70"/>
      <c r="FC911" s="70"/>
      <c r="FD911" s="70"/>
      <c r="FE911" s="70"/>
      <c r="FF911" s="70"/>
      <c r="FG911" s="70"/>
      <c r="FH911" s="70"/>
      <c r="FI911" s="70"/>
      <c r="FJ911" s="70"/>
      <c r="FK911" s="70"/>
      <c r="FL911" s="70"/>
      <c r="FM911" s="70"/>
      <c r="FN911" s="70"/>
      <c r="FO911" s="70"/>
      <c r="FP911" s="70"/>
      <c r="FQ911" s="70"/>
      <c r="FR911" s="70"/>
      <c r="FS911" s="70"/>
      <c r="FT911" s="70"/>
      <c r="FU911" s="70"/>
      <c r="FV911" s="70"/>
      <c r="FW911" s="70"/>
      <c r="FX911" s="70"/>
      <c r="FY911" s="70"/>
      <c r="FZ911" s="70"/>
      <c r="GA911" s="70"/>
      <c r="GB911" s="70"/>
      <c r="GC911" s="70"/>
      <c r="GD911" s="70"/>
      <c r="GE911" s="70"/>
      <c r="GF911" s="70"/>
      <c r="GG911" s="70"/>
      <c r="GH911" s="70"/>
      <c r="GI911" s="70"/>
      <c r="GJ911" s="70"/>
      <c r="GK911" s="70"/>
      <c r="GL911" s="70"/>
      <c r="GM911" s="70"/>
      <c r="GN911" s="70"/>
      <c r="GO911" s="70"/>
      <c r="GP911" s="70"/>
      <c r="GQ911" s="70"/>
      <c r="GR911" s="70"/>
      <c r="GS911" s="70"/>
      <c r="GT911" s="70"/>
      <c r="GU911" s="70"/>
      <c r="GV911" s="70"/>
      <c r="GW911" s="70"/>
      <c r="GX911" s="70"/>
      <c r="GY911" s="70"/>
      <c r="GZ911" s="70"/>
      <c r="HA911" s="70"/>
      <c r="HB911" s="70"/>
      <c r="HC911" s="70"/>
      <c r="HD911" s="70"/>
      <c r="HE911" s="70"/>
      <c r="HF911" s="70"/>
      <c r="HG911" s="70"/>
      <c r="HH911" s="70"/>
      <c r="HI911" s="70"/>
      <c r="HJ911" s="70"/>
      <c r="HK911" s="70"/>
      <c r="HL911" s="70"/>
      <c r="HM911" s="70"/>
      <c r="HN911" s="70"/>
      <c r="HO911" s="70"/>
      <c r="HP911" s="70"/>
      <c r="HQ911" s="70"/>
      <c r="HR911" s="70"/>
      <c r="HS911" s="70"/>
      <c r="HT911" s="70"/>
      <c r="HU911" s="70"/>
      <c r="HV911" s="70"/>
      <c r="HW911" s="70"/>
      <c r="HX911" s="70"/>
      <c r="HY911" s="70"/>
      <c r="HZ911" s="70"/>
      <c r="IA911" s="70"/>
      <c r="IB911" s="70"/>
      <c r="IC911" s="70"/>
      <c r="ID911" s="70"/>
      <c r="IE911" s="70"/>
      <c r="IF911" s="70"/>
      <c r="IG911" s="70"/>
      <c r="IH911" s="70"/>
      <c r="II911" s="70"/>
      <c r="IJ911" s="70"/>
      <c r="IK911" s="70"/>
      <c r="IL911" s="70"/>
      <c r="IM911" s="70"/>
      <c r="IN911" s="70"/>
      <c r="IO911" s="70"/>
      <c r="IP911" s="70"/>
      <c r="IQ911" s="70"/>
    </row>
    <row r="912" spans="18:251" ht="16.5" hidden="1" customHeight="1">
      <c r="R912" s="95" t="s">
        <v>450</v>
      </c>
      <c r="S912" s="95"/>
      <c r="T912" s="95"/>
      <c r="U912" s="70"/>
      <c r="V912" s="214"/>
      <c r="W912" s="70"/>
      <c r="X912" s="70"/>
      <c r="Y912" s="70"/>
      <c r="Z912" s="70"/>
      <c r="AA912" s="70"/>
      <c r="AB912" s="70"/>
      <c r="AC912" s="70"/>
      <c r="AD912" s="70"/>
      <c r="AE912" s="70"/>
      <c r="AF912" s="70"/>
      <c r="AG912" s="70"/>
      <c r="AH912" s="70"/>
      <c r="AI912" s="70"/>
      <c r="AJ912" s="70"/>
      <c r="AK912" s="70"/>
      <c r="AL912" s="70"/>
      <c r="AM912" s="70"/>
      <c r="AN912" s="70"/>
      <c r="AO912" s="70"/>
      <c r="AP912" s="70"/>
      <c r="AQ912" s="70"/>
      <c r="AR912" s="70"/>
      <c r="AS912" s="70"/>
      <c r="AT912" s="70"/>
      <c r="AU912" s="70"/>
      <c r="AV912" s="70"/>
      <c r="AW912" s="70"/>
      <c r="AX912" s="70"/>
      <c r="AY912" s="70"/>
      <c r="AZ912" s="70"/>
      <c r="BA912" s="70"/>
      <c r="BB912" s="70"/>
      <c r="BC912" s="70"/>
      <c r="BD912" s="70"/>
      <c r="BE912" s="70"/>
      <c r="BF912" s="70"/>
      <c r="BG912" s="70"/>
      <c r="BH912" s="70"/>
      <c r="BI912" s="70"/>
      <c r="BJ912" s="70"/>
      <c r="BK912" s="70"/>
      <c r="BL912" s="70"/>
      <c r="BM912" s="70"/>
      <c r="BN912" s="70"/>
      <c r="BO912" s="70"/>
      <c r="BP912" s="70"/>
      <c r="BQ912" s="70"/>
      <c r="BR912" s="70"/>
      <c r="BS912" s="70"/>
      <c r="BT912" s="70"/>
      <c r="BU912" s="70"/>
      <c r="BV912" s="70"/>
      <c r="BW912" s="70"/>
      <c r="BX912" s="70"/>
      <c r="BY912" s="70"/>
      <c r="BZ912" s="70"/>
      <c r="CA912" s="70"/>
      <c r="CB912" s="70"/>
      <c r="CC912" s="70"/>
      <c r="CD912" s="70"/>
      <c r="CE912" s="70"/>
      <c r="CF912" s="70"/>
      <c r="CG912" s="70"/>
      <c r="CH912" s="70"/>
      <c r="CI912" s="70"/>
      <c r="CJ912" s="70"/>
      <c r="CK912" s="70"/>
      <c r="CL912" s="70"/>
      <c r="CM912" s="70"/>
      <c r="CN912" s="70"/>
      <c r="CO912" s="70"/>
      <c r="CP912" s="70"/>
      <c r="CQ912" s="70"/>
      <c r="CR912" s="70"/>
      <c r="CS912" s="70"/>
      <c r="CT912" s="70"/>
      <c r="CU912" s="70"/>
      <c r="CV912" s="70"/>
      <c r="CW912" s="70"/>
      <c r="CX912" s="70"/>
      <c r="CY912" s="70"/>
      <c r="CZ912" s="70"/>
      <c r="DA912" s="70"/>
      <c r="DB912" s="70"/>
      <c r="DC912" s="70"/>
      <c r="DD912" s="70"/>
      <c r="DE912" s="70"/>
      <c r="DF912" s="70"/>
      <c r="DG912" s="70"/>
      <c r="DH912" s="70"/>
      <c r="DI912" s="70"/>
      <c r="DJ912" s="70"/>
      <c r="DK912" s="70"/>
      <c r="DL912" s="70"/>
      <c r="DM912" s="70"/>
      <c r="DN912" s="70"/>
      <c r="DO912" s="70"/>
      <c r="DP912" s="70"/>
      <c r="DQ912" s="70"/>
      <c r="DR912" s="70"/>
      <c r="DS912" s="70"/>
      <c r="DT912" s="70"/>
      <c r="DU912" s="70"/>
      <c r="DV912" s="70"/>
      <c r="DW912" s="70"/>
      <c r="DX912" s="70"/>
      <c r="DY912" s="70"/>
      <c r="DZ912" s="70"/>
      <c r="EA912" s="70"/>
      <c r="EB912" s="70"/>
      <c r="EC912" s="70"/>
      <c r="ED912" s="70"/>
      <c r="EE912" s="95" t="s">
        <v>450</v>
      </c>
      <c r="EF912" s="95"/>
      <c r="EG912" s="95"/>
      <c r="EH912" s="70"/>
      <c r="EI912" s="216"/>
      <c r="EJ912" s="70"/>
      <c r="EK912" s="70"/>
      <c r="EL912" s="70"/>
      <c r="EM912" s="70"/>
      <c r="EN912" s="70"/>
      <c r="EO912" s="70"/>
      <c r="EP912" s="70"/>
      <c r="EQ912" s="70"/>
      <c r="ER912" s="70"/>
      <c r="ES912" s="70"/>
      <c r="ET912" s="70"/>
      <c r="EU912" s="70"/>
      <c r="EV912" s="70"/>
      <c r="EW912" s="70"/>
      <c r="EX912" s="70"/>
      <c r="EY912" s="70"/>
      <c r="EZ912" s="70"/>
      <c r="FA912" s="70"/>
      <c r="FB912" s="70"/>
      <c r="FC912" s="70"/>
      <c r="FD912" s="70"/>
      <c r="FE912" s="70"/>
      <c r="FF912" s="70"/>
      <c r="FG912" s="70"/>
      <c r="FH912" s="70"/>
      <c r="FI912" s="70"/>
      <c r="FJ912" s="70"/>
      <c r="FK912" s="70"/>
      <c r="FL912" s="70"/>
      <c r="FM912" s="70"/>
      <c r="FN912" s="70"/>
      <c r="FO912" s="70"/>
      <c r="FP912" s="70"/>
      <c r="FQ912" s="70"/>
      <c r="FR912" s="70"/>
      <c r="FS912" s="70"/>
      <c r="FT912" s="70"/>
      <c r="FU912" s="70"/>
      <c r="FV912" s="70"/>
      <c r="FW912" s="70"/>
      <c r="FX912" s="70"/>
      <c r="FY912" s="70"/>
      <c r="FZ912" s="70"/>
      <c r="GA912" s="70"/>
      <c r="GB912" s="70"/>
      <c r="GC912" s="70"/>
      <c r="GD912" s="70"/>
      <c r="GE912" s="70"/>
      <c r="GF912" s="70"/>
      <c r="GG912" s="70"/>
      <c r="GH912" s="70"/>
      <c r="GI912" s="70"/>
      <c r="GJ912" s="70"/>
      <c r="GK912" s="70"/>
      <c r="GL912" s="70"/>
      <c r="GM912" s="70"/>
      <c r="GN912" s="70"/>
      <c r="GO912" s="70"/>
      <c r="GP912" s="70"/>
      <c r="GQ912" s="70"/>
      <c r="GR912" s="70"/>
      <c r="GS912" s="70"/>
      <c r="GT912" s="70"/>
      <c r="GU912" s="70"/>
      <c r="GV912" s="70"/>
      <c r="GW912" s="70"/>
      <c r="GX912" s="70"/>
      <c r="GY912" s="70"/>
      <c r="GZ912" s="70"/>
      <c r="HA912" s="70"/>
      <c r="HB912" s="70"/>
      <c r="HC912" s="70"/>
      <c r="HD912" s="70"/>
      <c r="HE912" s="70"/>
      <c r="HF912" s="70"/>
      <c r="HG912" s="70"/>
      <c r="HH912" s="70"/>
      <c r="HI912" s="70"/>
      <c r="HJ912" s="70"/>
      <c r="HK912" s="70"/>
      <c r="HL912" s="70"/>
      <c r="HM912" s="70"/>
      <c r="HN912" s="70"/>
      <c r="HO912" s="70"/>
      <c r="HP912" s="70"/>
      <c r="HQ912" s="70"/>
      <c r="HR912" s="70"/>
      <c r="HS912" s="70"/>
      <c r="HT912" s="70"/>
      <c r="HU912" s="70"/>
      <c r="HV912" s="70"/>
      <c r="HW912" s="70"/>
      <c r="HX912" s="70"/>
      <c r="HY912" s="70"/>
      <c r="HZ912" s="70"/>
      <c r="IA912" s="70"/>
      <c r="IB912" s="70"/>
      <c r="IC912" s="70"/>
      <c r="ID912" s="70"/>
      <c r="IE912" s="70"/>
      <c r="IF912" s="70"/>
      <c r="IG912" s="70"/>
      <c r="IH912" s="70"/>
      <c r="II912" s="70"/>
      <c r="IJ912" s="70"/>
      <c r="IK912" s="70"/>
      <c r="IL912" s="70"/>
      <c r="IM912" s="70"/>
      <c r="IN912" s="70"/>
      <c r="IO912" s="70"/>
      <c r="IP912" s="70"/>
      <c r="IQ912" s="70"/>
    </row>
    <row r="913" spans="18:251" ht="16.5" hidden="1" customHeight="1">
      <c r="R913" s="95" t="s">
        <v>450</v>
      </c>
      <c r="S913" s="95"/>
      <c r="T913" s="95"/>
      <c r="U913" s="70"/>
      <c r="V913" s="214"/>
      <c r="W913" s="70"/>
      <c r="X913" s="70"/>
      <c r="Y913" s="70"/>
      <c r="Z913" s="70"/>
      <c r="AA913" s="70"/>
      <c r="AB913" s="70"/>
      <c r="AC913" s="70"/>
      <c r="AD913" s="70"/>
      <c r="AE913" s="70"/>
      <c r="AF913" s="70"/>
      <c r="AG913" s="70"/>
      <c r="AH913" s="70"/>
      <c r="AI913" s="70"/>
      <c r="AJ913" s="70"/>
      <c r="AK913" s="70"/>
      <c r="AL913" s="70"/>
      <c r="AM913" s="70"/>
      <c r="AN913" s="70"/>
      <c r="AO913" s="70"/>
      <c r="AP913" s="70"/>
      <c r="AQ913" s="70"/>
      <c r="AR913" s="70"/>
      <c r="AS913" s="70"/>
      <c r="AT913" s="70"/>
      <c r="AU913" s="70"/>
      <c r="AV913" s="70"/>
      <c r="AW913" s="70"/>
      <c r="AX913" s="70"/>
      <c r="AY913" s="70"/>
      <c r="AZ913" s="70"/>
      <c r="BA913" s="70"/>
      <c r="BB913" s="70"/>
      <c r="BC913" s="70"/>
      <c r="BD913" s="70"/>
      <c r="BE913" s="70"/>
      <c r="BF913" s="70"/>
      <c r="BG913" s="70"/>
      <c r="BH913" s="70"/>
      <c r="BI913" s="70"/>
      <c r="BJ913" s="70"/>
      <c r="BK913" s="70"/>
      <c r="BL913" s="70"/>
      <c r="BM913" s="70"/>
      <c r="BN913" s="70"/>
      <c r="BO913" s="70"/>
      <c r="BP913" s="70"/>
      <c r="BQ913" s="70"/>
      <c r="BR913" s="70"/>
      <c r="BS913" s="70"/>
      <c r="BT913" s="70"/>
      <c r="BU913" s="70"/>
      <c r="BV913" s="70"/>
      <c r="BW913" s="70"/>
      <c r="BX913" s="70"/>
      <c r="BY913" s="70"/>
      <c r="BZ913" s="70"/>
      <c r="CA913" s="70"/>
      <c r="CB913" s="70"/>
      <c r="CC913" s="70"/>
      <c r="CD913" s="70"/>
      <c r="CE913" s="70"/>
      <c r="CF913" s="70"/>
      <c r="CG913" s="70"/>
      <c r="CH913" s="70"/>
      <c r="CI913" s="70"/>
      <c r="CJ913" s="70"/>
      <c r="CK913" s="70"/>
      <c r="CL913" s="70"/>
      <c r="CM913" s="70"/>
      <c r="CN913" s="70"/>
      <c r="CO913" s="70"/>
      <c r="CP913" s="70"/>
      <c r="CQ913" s="70"/>
      <c r="CR913" s="70"/>
      <c r="CS913" s="70"/>
      <c r="CT913" s="70"/>
      <c r="CU913" s="70"/>
      <c r="CV913" s="70"/>
      <c r="CW913" s="70"/>
      <c r="CX913" s="70"/>
      <c r="CY913" s="70"/>
      <c r="CZ913" s="70"/>
      <c r="DA913" s="70"/>
      <c r="DB913" s="70"/>
      <c r="DC913" s="70"/>
      <c r="DD913" s="70"/>
      <c r="DE913" s="70"/>
      <c r="DF913" s="70"/>
      <c r="DG913" s="70"/>
      <c r="DH913" s="70"/>
      <c r="DI913" s="70"/>
      <c r="DJ913" s="70"/>
      <c r="DK913" s="70"/>
      <c r="DL913" s="70"/>
      <c r="DM913" s="70"/>
      <c r="DN913" s="70"/>
      <c r="DO913" s="70"/>
      <c r="DP913" s="70"/>
      <c r="DQ913" s="70"/>
      <c r="DR913" s="70"/>
      <c r="DS913" s="70"/>
      <c r="DT913" s="70"/>
      <c r="DU913" s="70"/>
      <c r="DV913" s="70"/>
      <c r="DW913" s="70"/>
      <c r="DX913" s="70"/>
      <c r="DY913" s="70"/>
      <c r="DZ913" s="70"/>
      <c r="EA913" s="70"/>
      <c r="EB913" s="70"/>
      <c r="EC913" s="70"/>
      <c r="ED913" s="70"/>
      <c r="EE913" s="95" t="s">
        <v>450</v>
      </c>
      <c r="EF913" s="95"/>
      <c r="EG913" s="95"/>
      <c r="EH913" s="70"/>
      <c r="EI913" s="216"/>
      <c r="EJ913" s="70"/>
      <c r="EK913" s="70"/>
      <c r="EL913" s="70"/>
      <c r="EM913" s="70"/>
      <c r="EN913" s="70"/>
      <c r="EO913" s="70"/>
      <c r="EP913" s="70"/>
      <c r="EQ913" s="70"/>
      <c r="ER913" s="70"/>
      <c r="ES913" s="70"/>
      <c r="ET913" s="70"/>
      <c r="EU913" s="70"/>
      <c r="EV913" s="70"/>
      <c r="EW913" s="70"/>
      <c r="EX913" s="70"/>
      <c r="EY913" s="70"/>
      <c r="EZ913" s="70"/>
      <c r="FA913" s="70"/>
      <c r="FB913" s="70"/>
      <c r="FC913" s="70"/>
      <c r="FD913" s="70"/>
      <c r="FE913" s="70"/>
      <c r="FF913" s="70"/>
      <c r="FG913" s="70"/>
      <c r="FH913" s="70"/>
      <c r="FI913" s="70"/>
      <c r="FJ913" s="70"/>
      <c r="FK913" s="70"/>
      <c r="FL913" s="70"/>
      <c r="FM913" s="70"/>
      <c r="FN913" s="70"/>
      <c r="FO913" s="70"/>
      <c r="FP913" s="70"/>
      <c r="FQ913" s="70"/>
      <c r="FR913" s="70"/>
      <c r="FS913" s="70"/>
      <c r="FT913" s="70"/>
      <c r="FU913" s="70"/>
      <c r="FV913" s="70"/>
      <c r="FW913" s="70"/>
      <c r="FX913" s="70"/>
      <c r="FY913" s="70"/>
      <c r="FZ913" s="70"/>
      <c r="GA913" s="70"/>
      <c r="GB913" s="70"/>
      <c r="GC913" s="70"/>
      <c r="GD913" s="70"/>
      <c r="GE913" s="70"/>
      <c r="GF913" s="70"/>
      <c r="GG913" s="70"/>
      <c r="GH913" s="70"/>
      <c r="GI913" s="70"/>
      <c r="GJ913" s="70"/>
      <c r="GK913" s="70"/>
      <c r="GL913" s="70"/>
      <c r="GM913" s="70"/>
      <c r="GN913" s="70"/>
      <c r="GO913" s="70"/>
      <c r="GP913" s="70"/>
      <c r="GQ913" s="70"/>
      <c r="GR913" s="70"/>
      <c r="GS913" s="70"/>
      <c r="GT913" s="70"/>
      <c r="GU913" s="70"/>
      <c r="GV913" s="70"/>
      <c r="GW913" s="70"/>
      <c r="GX913" s="70"/>
      <c r="GY913" s="70"/>
      <c r="GZ913" s="70"/>
      <c r="HA913" s="70"/>
      <c r="HB913" s="70"/>
      <c r="HC913" s="70"/>
      <c r="HD913" s="70"/>
      <c r="HE913" s="70"/>
      <c r="HF913" s="70"/>
      <c r="HG913" s="70"/>
      <c r="HH913" s="70"/>
      <c r="HI913" s="70"/>
      <c r="HJ913" s="70"/>
      <c r="HK913" s="70"/>
      <c r="HL913" s="70"/>
      <c r="HM913" s="70"/>
      <c r="HN913" s="70"/>
      <c r="HO913" s="70"/>
      <c r="HP913" s="70"/>
      <c r="HQ913" s="70"/>
      <c r="HR913" s="70"/>
      <c r="HS913" s="70"/>
      <c r="HT913" s="70"/>
      <c r="HU913" s="70"/>
      <c r="HV913" s="70"/>
      <c r="HW913" s="70"/>
      <c r="HX913" s="70"/>
      <c r="HY913" s="70"/>
      <c r="HZ913" s="70"/>
      <c r="IA913" s="70"/>
      <c r="IB913" s="70"/>
      <c r="IC913" s="70"/>
      <c r="ID913" s="70"/>
      <c r="IE913" s="70"/>
      <c r="IF913" s="70"/>
      <c r="IG913" s="70"/>
      <c r="IH913" s="70"/>
      <c r="II913" s="70"/>
      <c r="IJ913" s="70"/>
      <c r="IK913" s="70"/>
      <c r="IL913" s="70"/>
      <c r="IM913" s="70"/>
      <c r="IN913" s="70"/>
      <c r="IO913" s="70"/>
      <c r="IP913" s="70"/>
      <c r="IQ913" s="70"/>
    </row>
    <row r="914" spans="18:251" ht="16.5" hidden="1" customHeight="1">
      <c r="R914" s="95" t="s">
        <v>450</v>
      </c>
      <c r="S914" s="95"/>
      <c r="T914" s="95"/>
      <c r="U914" s="70"/>
      <c r="V914" s="214"/>
      <c r="W914" s="70"/>
      <c r="X914" s="70"/>
      <c r="Y914" s="70"/>
      <c r="Z914" s="70"/>
      <c r="AA914" s="70"/>
      <c r="AB914" s="70"/>
      <c r="AC914" s="70"/>
      <c r="AD914" s="70"/>
      <c r="AE914" s="70"/>
      <c r="AF914" s="70"/>
      <c r="AG914" s="70"/>
      <c r="AH914" s="70"/>
      <c r="AI914" s="70"/>
      <c r="AJ914" s="70"/>
      <c r="AK914" s="70"/>
      <c r="AL914" s="70"/>
      <c r="AM914" s="70"/>
      <c r="AN914" s="70"/>
      <c r="AO914" s="70"/>
      <c r="AP914" s="70"/>
      <c r="AQ914" s="70"/>
      <c r="AR914" s="70"/>
      <c r="AS914" s="70"/>
      <c r="AT914" s="70"/>
      <c r="AU914" s="70"/>
      <c r="AV914" s="70"/>
      <c r="AW914" s="70"/>
      <c r="AX914" s="70"/>
      <c r="AY914" s="70"/>
      <c r="AZ914" s="70"/>
      <c r="BA914" s="70"/>
      <c r="BB914" s="70"/>
      <c r="BC914" s="70"/>
      <c r="BD914" s="70"/>
      <c r="BE914" s="70"/>
      <c r="BF914" s="70"/>
      <c r="BG914" s="70"/>
      <c r="BH914" s="70"/>
      <c r="BI914" s="70"/>
      <c r="BJ914" s="70"/>
      <c r="BK914" s="70"/>
      <c r="BL914" s="70"/>
      <c r="BM914" s="70"/>
      <c r="BN914" s="70"/>
      <c r="BO914" s="70"/>
      <c r="BP914" s="70"/>
      <c r="BQ914" s="70"/>
      <c r="BR914" s="70"/>
      <c r="BS914" s="70"/>
      <c r="BT914" s="70"/>
      <c r="BU914" s="70"/>
      <c r="BV914" s="70"/>
      <c r="BW914" s="70"/>
      <c r="BX914" s="70"/>
      <c r="BY914" s="70"/>
      <c r="BZ914" s="70"/>
      <c r="CA914" s="70"/>
      <c r="CB914" s="70"/>
      <c r="CC914" s="70"/>
      <c r="CD914" s="70"/>
      <c r="CE914" s="70"/>
      <c r="CF914" s="70"/>
      <c r="CG914" s="70"/>
      <c r="CH914" s="70"/>
      <c r="CI914" s="70"/>
      <c r="CJ914" s="70"/>
      <c r="CK914" s="70"/>
      <c r="CL914" s="70"/>
      <c r="CM914" s="70"/>
      <c r="CN914" s="70"/>
      <c r="CO914" s="70"/>
      <c r="CP914" s="70"/>
      <c r="CQ914" s="70"/>
      <c r="CR914" s="70"/>
      <c r="CS914" s="70"/>
      <c r="CT914" s="70"/>
      <c r="CU914" s="70"/>
      <c r="CV914" s="70"/>
      <c r="CW914" s="70"/>
      <c r="CX914" s="70"/>
      <c r="CY914" s="70"/>
      <c r="CZ914" s="70"/>
      <c r="DA914" s="70"/>
      <c r="DB914" s="70"/>
      <c r="DC914" s="70"/>
      <c r="DD914" s="70"/>
      <c r="DE914" s="70"/>
      <c r="DF914" s="70"/>
      <c r="DG914" s="70"/>
      <c r="DH914" s="70"/>
      <c r="DI914" s="70"/>
      <c r="DJ914" s="70"/>
      <c r="DK914" s="70"/>
      <c r="DL914" s="70"/>
      <c r="DM914" s="70"/>
      <c r="DN914" s="70"/>
      <c r="DO914" s="70"/>
      <c r="DP914" s="70"/>
      <c r="DQ914" s="70"/>
      <c r="DR914" s="70"/>
      <c r="DS914" s="70"/>
      <c r="DT914" s="70"/>
      <c r="DU914" s="70"/>
      <c r="DV914" s="70"/>
      <c r="DW914" s="70"/>
      <c r="DX914" s="70"/>
      <c r="DY914" s="70"/>
      <c r="DZ914" s="70"/>
      <c r="EA914" s="70"/>
      <c r="EB914" s="70"/>
      <c r="EC914" s="70"/>
      <c r="ED914" s="70"/>
      <c r="EE914" s="95" t="s">
        <v>450</v>
      </c>
      <c r="EF914" s="95"/>
      <c r="EG914" s="95"/>
      <c r="EH914" s="70"/>
      <c r="EI914" s="216"/>
      <c r="EJ914" s="70"/>
      <c r="EK914" s="70"/>
      <c r="EL914" s="70"/>
      <c r="EM914" s="70"/>
      <c r="EN914" s="70"/>
      <c r="EO914" s="70"/>
      <c r="EP914" s="70"/>
      <c r="EQ914" s="70"/>
      <c r="ER914" s="70"/>
      <c r="ES914" s="70"/>
      <c r="ET914" s="70"/>
      <c r="EU914" s="70"/>
      <c r="EV914" s="70"/>
      <c r="EW914" s="70"/>
      <c r="EX914" s="70"/>
      <c r="EY914" s="70"/>
      <c r="EZ914" s="70"/>
      <c r="FA914" s="70"/>
      <c r="FB914" s="70"/>
      <c r="FC914" s="70"/>
      <c r="FD914" s="70"/>
      <c r="FE914" s="70"/>
      <c r="FF914" s="70"/>
      <c r="FG914" s="70"/>
      <c r="FH914" s="70"/>
      <c r="FI914" s="70"/>
      <c r="FJ914" s="70"/>
      <c r="FK914" s="70"/>
      <c r="FL914" s="70"/>
      <c r="FM914" s="70"/>
      <c r="FN914" s="70"/>
      <c r="FO914" s="70"/>
      <c r="FP914" s="70"/>
      <c r="FQ914" s="70"/>
      <c r="FR914" s="70"/>
      <c r="FS914" s="70"/>
      <c r="FT914" s="70"/>
      <c r="FU914" s="70"/>
      <c r="FV914" s="70"/>
      <c r="FW914" s="70"/>
      <c r="FX914" s="70"/>
      <c r="FY914" s="70"/>
      <c r="FZ914" s="70"/>
      <c r="GA914" s="70"/>
      <c r="GB914" s="70"/>
      <c r="GC914" s="70"/>
      <c r="GD914" s="70"/>
      <c r="GE914" s="70"/>
      <c r="GF914" s="70"/>
      <c r="GG914" s="70"/>
      <c r="GH914" s="70"/>
      <c r="GI914" s="70"/>
      <c r="GJ914" s="70"/>
      <c r="GK914" s="70"/>
      <c r="GL914" s="70"/>
      <c r="GM914" s="70"/>
      <c r="GN914" s="70"/>
      <c r="GO914" s="70"/>
      <c r="GP914" s="70"/>
      <c r="GQ914" s="70"/>
      <c r="GR914" s="70"/>
      <c r="GS914" s="70"/>
      <c r="GT914" s="70"/>
      <c r="GU914" s="70"/>
      <c r="GV914" s="70"/>
      <c r="GW914" s="70"/>
      <c r="GX914" s="70"/>
      <c r="GY914" s="70"/>
      <c r="GZ914" s="70"/>
      <c r="HA914" s="70"/>
      <c r="HB914" s="70"/>
      <c r="HC914" s="70"/>
      <c r="HD914" s="70"/>
      <c r="HE914" s="70"/>
      <c r="HF914" s="70"/>
      <c r="HG914" s="70"/>
      <c r="HH914" s="70"/>
      <c r="HI914" s="70"/>
      <c r="HJ914" s="70"/>
      <c r="HK914" s="70"/>
      <c r="HL914" s="70"/>
      <c r="HM914" s="70"/>
      <c r="HN914" s="70"/>
      <c r="HO914" s="70"/>
      <c r="HP914" s="70"/>
      <c r="HQ914" s="70"/>
      <c r="HR914" s="70"/>
      <c r="HS914" s="70"/>
      <c r="HT914" s="70"/>
      <c r="HU914" s="70"/>
      <c r="HV914" s="70"/>
      <c r="HW914" s="70"/>
      <c r="HX914" s="70"/>
      <c r="HY914" s="70"/>
      <c r="HZ914" s="70"/>
      <c r="IA914" s="70"/>
      <c r="IB914" s="70"/>
      <c r="IC914" s="70"/>
      <c r="ID914" s="70"/>
      <c r="IE914" s="70"/>
      <c r="IF914" s="70"/>
      <c r="IG914" s="70"/>
      <c r="IH914" s="70"/>
      <c r="II914" s="70"/>
      <c r="IJ914" s="70"/>
      <c r="IK914" s="70"/>
      <c r="IL914" s="70"/>
      <c r="IM914" s="70"/>
      <c r="IN914" s="70"/>
      <c r="IO914" s="70"/>
      <c r="IP914" s="70"/>
      <c r="IQ914" s="70"/>
    </row>
    <row r="915" spans="18:251" ht="16.5" hidden="1" customHeight="1">
      <c r="R915" s="95" t="s">
        <v>450</v>
      </c>
      <c r="S915" s="95"/>
      <c r="T915" s="95"/>
      <c r="U915" s="70"/>
      <c r="V915" s="214"/>
      <c r="W915" s="70"/>
      <c r="X915" s="70"/>
      <c r="Y915" s="70"/>
      <c r="Z915" s="70"/>
      <c r="AA915" s="70"/>
      <c r="AB915" s="70"/>
      <c r="AC915" s="70"/>
      <c r="AD915" s="70"/>
      <c r="AE915" s="70"/>
      <c r="AF915" s="70"/>
      <c r="AG915" s="70"/>
      <c r="AH915" s="70"/>
      <c r="AI915" s="70"/>
      <c r="AJ915" s="70"/>
      <c r="AK915" s="70"/>
      <c r="AL915" s="70"/>
      <c r="AM915" s="70"/>
      <c r="AN915" s="70"/>
      <c r="AO915" s="70"/>
      <c r="AP915" s="70"/>
      <c r="AQ915" s="70"/>
      <c r="AR915" s="70"/>
      <c r="AS915" s="70"/>
      <c r="AT915" s="70"/>
      <c r="AU915" s="70"/>
      <c r="AV915" s="70"/>
      <c r="AW915" s="70"/>
      <c r="AX915" s="70"/>
      <c r="AY915" s="70"/>
      <c r="AZ915" s="70"/>
      <c r="BA915" s="70"/>
      <c r="BB915" s="70"/>
      <c r="BC915" s="70"/>
      <c r="BD915" s="70"/>
      <c r="BE915" s="70"/>
      <c r="BF915" s="70"/>
      <c r="BG915" s="70"/>
      <c r="BH915" s="70"/>
      <c r="BI915" s="70"/>
      <c r="BJ915" s="70"/>
      <c r="BK915" s="70"/>
      <c r="BL915" s="70"/>
      <c r="BM915" s="70"/>
      <c r="BN915" s="70"/>
      <c r="BO915" s="70"/>
      <c r="BP915" s="70"/>
      <c r="BQ915" s="70"/>
      <c r="BR915" s="70"/>
      <c r="BS915" s="70"/>
      <c r="BT915" s="70"/>
      <c r="BU915" s="70"/>
      <c r="BV915" s="70"/>
      <c r="BW915" s="70"/>
      <c r="BX915" s="70"/>
      <c r="BY915" s="70"/>
      <c r="BZ915" s="70"/>
      <c r="CA915" s="70"/>
      <c r="CB915" s="70"/>
      <c r="CC915" s="70"/>
      <c r="CD915" s="70"/>
      <c r="CE915" s="70"/>
      <c r="CF915" s="70"/>
      <c r="CG915" s="70"/>
      <c r="CH915" s="70"/>
      <c r="CI915" s="70"/>
      <c r="CJ915" s="70"/>
      <c r="CK915" s="70"/>
      <c r="CL915" s="70"/>
      <c r="CM915" s="70"/>
      <c r="CN915" s="70"/>
      <c r="CO915" s="70"/>
      <c r="CP915" s="70"/>
      <c r="CQ915" s="70"/>
      <c r="CR915" s="70"/>
      <c r="CS915" s="70"/>
      <c r="CT915" s="70"/>
      <c r="CU915" s="70"/>
      <c r="CV915" s="70"/>
      <c r="CW915" s="70"/>
      <c r="CX915" s="70"/>
      <c r="CY915" s="70"/>
      <c r="CZ915" s="70"/>
      <c r="DA915" s="70"/>
      <c r="DB915" s="70"/>
      <c r="DC915" s="70"/>
      <c r="DD915" s="70"/>
      <c r="DE915" s="70"/>
      <c r="DF915" s="70"/>
      <c r="DG915" s="70"/>
      <c r="DH915" s="70"/>
      <c r="DI915" s="70"/>
      <c r="DJ915" s="70"/>
      <c r="DK915" s="70"/>
      <c r="DL915" s="70"/>
      <c r="DM915" s="70"/>
      <c r="DN915" s="70"/>
      <c r="DO915" s="70"/>
      <c r="DP915" s="70"/>
      <c r="DQ915" s="70"/>
      <c r="DR915" s="70"/>
      <c r="DS915" s="70"/>
      <c r="DT915" s="70"/>
      <c r="DU915" s="70"/>
      <c r="DV915" s="70"/>
      <c r="DW915" s="70"/>
      <c r="DX915" s="70"/>
      <c r="DY915" s="70"/>
      <c r="DZ915" s="70"/>
      <c r="EA915" s="70"/>
      <c r="EB915" s="70"/>
      <c r="EC915" s="70"/>
      <c r="ED915" s="70"/>
      <c r="EE915" s="95" t="s">
        <v>450</v>
      </c>
      <c r="EF915" s="95"/>
      <c r="EG915" s="95"/>
      <c r="EH915" s="70"/>
      <c r="EI915" s="216"/>
      <c r="EJ915" s="70"/>
      <c r="EK915" s="70"/>
      <c r="EL915" s="70"/>
      <c r="EM915" s="70"/>
      <c r="EN915" s="70"/>
      <c r="EO915" s="70"/>
      <c r="EP915" s="70"/>
      <c r="EQ915" s="70"/>
      <c r="ER915" s="70"/>
      <c r="ES915" s="70"/>
      <c r="ET915" s="70"/>
      <c r="EU915" s="70"/>
      <c r="EV915" s="70"/>
      <c r="EW915" s="70"/>
      <c r="EX915" s="70"/>
      <c r="EY915" s="70"/>
      <c r="EZ915" s="70"/>
      <c r="FA915" s="70"/>
      <c r="FB915" s="70"/>
      <c r="FC915" s="70"/>
      <c r="FD915" s="70"/>
      <c r="FE915" s="70"/>
      <c r="FF915" s="70"/>
      <c r="FG915" s="70"/>
      <c r="FH915" s="70"/>
      <c r="FI915" s="70"/>
      <c r="FJ915" s="70"/>
      <c r="FK915" s="70"/>
      <c r="FL915" s="70"/>
      <c r="FM915" s="70"/>
      <c r="FN915" s="70"/>
      <c r="FO915" s="70"/>
      <c r="FP915" s="70"/>
      <c r="FQ915" s="70"/>
      <c r="FR915" s="70"/>
      <c r="FS915" s="70"/>
      <c r="FT915" s="70"/>
      <c r="FU915" s="70"/>
      <c r="FV915" s="70"/>
      <c r="FW915" s="70"/>
      <c r="FX915" s="70"/>
      <c r="FY915" s="70"/>
      <c r="FZ915" s="70"/>
      <c r="GA915" s="70"/>
      <c r="GB915" s="70"/>
      <c r="GC915" s="70"/>
      <c r="GD915" s="70"/>
      <c r="GE915" s="70"/>
      <c r="GF915" s="70"/>
      <c r="GG915" s="70"/>
      <c r="GH915" s="70"/>
      <c r="GI915" s="70"/>
      <c r="GJ915" s="70"/>
      <c r="GK915" s="70"/>
      <c r="GL915" s="70"/>
      <c r="GM915" s="70"/>
      <c r="GN915" s="70"/>
      <c r="GO915" s="70"/>
      <c r="GP915" s="70"/>
      <c r="GQ915" s="70"/>
      <c r="GR915" s="70"/>
      <c r="GS915" s="70"/>
      <c r="GT915" s="70"/>
      <c r="GU915" s="70"/>
      <c r="GV915" s="70"/>
      <c r="GW915" s="70"/>
      <c r="GX915" s="70"/>
      <c r="GY915" s="70"/>
      <c r="GZ915" s="70"/>
      <c r="HA915" s="70"/>
      <c r="HB915" s="70"/>
      <c r="HC915" s="70"/>
      <c r="HD915" s="70"/>
      <c r="HE915" s="70"/>
      <c r="HF915" s="70"/>
      <c r="HG915" s="70"/>
      <c r="HH915" s="70"/>
      <c r="HI915" s="70"/>
      <c r="HJ915" s="70"/>
      <c r="HK915" s="70"/>
      <c r="HL915" s="70"/>
      <c r="HM915" s="70"/>
      <c r="HN915" s="70"/>
      <c r="HO915" s="70"/>
      <c r="HP915" s="70"/>
      <c r="HQ915" s="70"/>
      <c r="HR915" s="70"/>
      <c r="HS915" s="70"/>
      <c r="HT915" s="70"/>
      <c r="HU915" s="70"/>
      <c r="HV915" s="70"/>
      <c r="HW915" s="70"/>
      <c r="HX915" s="70"/>
      <c r="HY915" s="70"/>
      <c r="HZ915" s="70"/>
      <c r="IA915" s="70"/>
      <c r="IB915" s="70"/>
      <c r="IC915" s="70"/>
      <c r="ID915" s="70"/>
      <c r="IE915" s="70"/>
      <c r="IF915" s="70"/>
      <c r="IG915" s="70"/>
      <c r="IH915" s="70"/>
      <c r="II915" s="70"/>
      <c r="IJ915" s="70"/>
      <c r="IK915" s="70"/>
      <c r="IL915" s="70"/>
      <c r="IM915" s="70"/>
      <c r="IN915" s="70"/>
      <c r="IO915" s="70"/>
      <c r="IP915" s="70"/>
      <c r="IQ915" s="70"/>
    </row>
    <row r="916" spans="18:251" ht="16.5" hidden="1" customHeight="1">
      <c r="R916" s="95" t="s">
        <v>450</v>
      </c>
      <c r="S916" s="95"/>
      <c r="T916" s="95"/>
      <c r="U916" s="70"/>
      <c r="V916" s="214"/>
      <c r="W916" s="70"/>
      <c r="X916" s="70"/>
      <c r="Y916" s="70"/>
      <c r="Z916" s="70"/>
      <c r="AA916" s="70"/>
      <c r="AB916" s="70"/>
      <c r="AC916" s="70"/>
      <c r="AD916" s="70"/>
      <c r="AE916" s="70"/>
      <c r="AF916" s="70"/>
      <c r="AG916" s="70"/>
      <c r="AH916" s="70"/>
      <c r="AI916" s="70"/>
      <c r="AJ916" s="70"/>
      <c r="AK916" s="70"/>
      <c r="AL916" s="70"/>
      <c r="AM916" s="70"/>
      <c r="AN916" s="70"/>
      <c r="AO916" s="70"/>
      <c r="AP916" s="70"/>
      <c r="AQ916" s="70"/>
      <c r="AR916" s="70"/>
      <c r="AS916" s="70"/>
      <c r="AT916" s="70"/>
      <c r="AU916" s="70"/>
      <c r="AV916" s="70"/>
      <c r="AW916" s="70"/>
      <c r="AX916" s="70"/>
      <c r="AY916" s="70"/>
      <c r="AZ916" s="70"/>
      <c r="BA916" s="70"/>
      <c r="BB916" s="70"/>
      <c r="BC916" s="70"/>
      <c r="BD916" s="70"/>
      <c r="BE916" s="70"/>
      <c r="BF916" s="70"/>
      <c r="BG916" s="70"/>
      <c r="BH916" s="70"/>
      <c r="BI916" s="70"/>
      <c r="BJ916" s="70"/>
      <c r="BK916" s="70"/>
      <c r="BL916" s="70"/>
      <c r="BM916" s="70"/>
      <c r="BN916" s="70"/>
      <c r="BO916" s="70"/>
      <c r="BP916" s="70"/>
      <c r="BQ916" s="70"/>
      <c r="BR916" s="70"/>
      <c r="BS916" s="70"/>
      <c r="BT916" s="70"/>
      <c r="BU916" s="70"/>
      <c r="BV916" s="70"/>
      <c r="BW916" s="70"/>
      <c r="BX916" s="70"/>
      <c r="BY916" s="70"/>
      <c r="BZ916" s="70"/>
      <c r="CA916" s="70"/>
      <c r="CB916" s="70"/>
      <c r="CC916" s="70"/>
      <c r="CD916" s="70"/>
      <c r="CE916" s="70"/>
      <c r="CF916" s="70"/>
      <c r="CG916" s="70"/>
      <c r="CH916" s="70"/>
      <c r="CI916" s="70"/>
      <c r="CJ916" s="70"/>
      <c r="CK916" s="70"/>
      <c r="CL916" s="70"/>
      <c r="CM916" s="70"/>
      <c r="CN916" s="70"/>
      <c r="CO916" s="70"/>
      <c r="CP916" s="70"/>
      <c r="CQ916" s="70"/>
      <c r="CR916" s="70"/>
      <c r="CS916" s="70"/>
      <c r="CT916" s="70"/>
      <c r="CU916" s="70"/>
      <c r="CV916" s="70"/>
      <c r="CW916" s="70"/>
      <c r="CX916" s="70"/>
      <c r="CY916" s="70"/>
      <c r="CZ916" s="70"/>
      <c r="DA916" s="70"/>
      <c r="DB916" s="70"/>
      <c r="DC916" s="70"/>
      <c r="DD916" s="70"/>
      <c r="DE916" s="70"/>
      <c r="DF916" s="70"/>
      <c r="DG916" s="70"/>
      <c r="DH916" s="70"/>
      <c r="DI916" s="70"/>
      <c r="DJ916" s="70"/>
      <c r="DK916" s="70"/>
      <c r="DL916" s="70"/>
      <c r="DM916" s="70"/>
      <c r="DN916" s="70"/>
      <c r="DO916" s="70"/>
      <c r="DP916" s="70"/>
      <c r="DQ916" s="70"/>
      <c r="DR916" s="70"/>
      <c r="DS916" s="70"/>
      <c r="DT916" s="70"/>
      <c r="DU916" s="70"/>
      <c r="DV916" s="70"/>
      <c r="DW916" s="70"/>
      <c r="DX916" s="70"/>
      <c r="DY916" s="70"/>
      <c r="DZ916" s="70"/>
      <c r="EA916" s="70"/>
      <c r="EB916" s="70"/>
      <c r="EC916" s="70"/>
      <c r="ED916" s="70"/>
      <c r="EE916" s="95" t="s">
        <v>450</v>
      </c>
      <c r="EF916" s="95"/>
      <c r="EG916" s="95"/>
      <c r="EH916" s="70"/>
      <c r="EI916" s="216"/>
      <c r="EJ916" s="70"/>
      <c r="EK916" s="70"/>
      <c r="EL916" s="70"/>
      <c r="EM916" s="70"/>
      <c r="EN916" s="70"/>
      <c r="EO916" s="70"/>
      <c r="EP916" s="70"/>
      <c r="EQ916" s="70"/>
      <c r="ER916" s="70"/>
      <c r="ES916" s="70"/>
      <c r="ET916" s="70"/>
      <c r="EU916" s="70"/>
      <c r="EV916" s="70"/>
      <c r="EW916" s="70"/>
      <c r="EX916" s="70"/>
      <c r="EY916" s="70"/>
      <c r="EZ916" s="70"/>
      <c r="FA916" s="70"/>
      <c r="FB916" s="70"/>
      <c r="FC916" s="70"/>
      <c r="FD916" s="70"/>
      <c r="FE916" s="70"/>
      <c r="FF916" s="70"/>
      <c r="FG916" s="70"/>
      <c r="FH916" s="70"/>
      <c r="FI916" s="70"/>
      <c r="FJ916" s="70"/>
      <c r="FK916" s="70"/>
      <c r="FL916" s="70"/>
      <c r="FM916" s="70"/>
      <c r="FN916" s="70"/>
      <c r="FO916" s="70"/>
      <c r="FP916" s="70"/>
      <c r="FQ916" s="70"/>
      <c r="FR916" s="70"/>
      <c r="FS916" s="70"/>
      <c r="FT916" s="70"/>
      <c r="FU916" s="70"/>
      <c r="FV916" s="70"/>
      <c r="FW916" s="70"/>
      <c r="FX916" s="70"/>
      <c r="FY916" s="70"/>
      <c r="FZ916" s="70"/>
      <c r="GA916" s="70"/>
      <c r="GB916" s="70"/>
      <c r="GC916" s="70"/>
      <c r="GD916" s="70"/>
      <c r="GE916" s="70"/>
      <c r="GF916" s="70"/>
      <c r="GG916" s="70"/>
      <c r="GH916" s="70"/>
      <c r="GI916" s="70"/>
      <c r="GJ916" s="70"/>
      <c r="GK916" s="70"/>
      <c r="GL916" s="70"/>
      <c r="GM916" s="70"/>
      <c r="GN916" s="70"/>
      <c r="GO916" s="70"/>
      <c r="GP916" s="70"/>
      <c r="GQ916" s="70"/>
      <c r="GR916" s="70"/>
      <c r="GS916" s="70"/>
      <c r="GT916" s="70"/>
      <c r="GU916" s="70"/>
      <c r="GV916" s="70"/>
      <c r="GW916" s="70"/>
      <c r="GX916" s="70"/>
      <c r="GY916" s="70"/>
      <c r="GZ916" s="70"/>
      <c r="HA916" s="70"/>
      <c r="HB916" s="70"/>
      <c r="HC916" s="70"/>
      <c r="HD916" s="70"/>
      <c r="HE916" s="70"/>
      <c r="HF916" s="70"/>
      <c r="HG916" s="70"/>
      <c r="HH916" s="70"/>
      <c r="HI916" s="70"/>
      <c r="HJ916" s="70"/>
      <c r="HK916" s="70"/>
      <c r="HL916" s="70"/>
      <c r="HM916" s="70"/>
      <c r="HN916" s="70"/>
      <c r="HO916" s="70"/>
      <c r="HP916" s="70"/>
      <c r="HQ916" s="70"/>
      <c r="HR916" s="70"/>
      <c r="HS916" s="70"/>
      <c r="HT916" s="70"/>
      <c r="HU916" s="70"/>
      <c r="HV916" s="70"/>
      <c r="HW916" s="70"/>
      <c r="HX916" s="70"/>
      <c r="HY916" s="70"/>
      <c r="HZ916" s="70"/>
      <c r="IA916" s="70"/>
      <c r="IB916" s="70"/>
      <c r="IC916" s="70"/>
      <c r="ID916" s="70"/>
      <c r="IE916" s="70"/>
      <c r="IF916" s="70"/>
      <c r="IG916" s="70"/>
      <c r="IH916" s="70"/>
      <c r="II916" s="70"/>
      <c r="IJ916" s="70"/>
      <c r="IK916" s="70"/>
      <c r="IL916" s="70"/>
      <c r="IM916" s="70"/>
      <c r="IN916" s="70"/>
      <c r="IO916" s="70"/>
      <c r="IP916" s="70"/>
      <c r="IQ916" s="70"/>
    </row>
    <row r="917" spans="18:251" ht="16.5" hidden="1" customHeight="1">
      <c r="R917" s="95" t="s">
        <v>450</v>
      </c>
      <c r="S917" s="95"/>
      <c r="T917" s="95"/>
      <c r="U917" s="70"/>
      <c r="V917" s="214"/>
      <c r="W917" s="70"/>
      <c r="X917" s="70"/>
      <c r="Y917" s="70"/>
      <c r="Z917" s="70"/>
      <c r="AA917" s="70"/>
      <c r="AB917" s="70"/>
      <c r="AC917" s="70"/>
      <c r="AD917" s="70"/>
      <c r="AE917" s="70"/>
      <c r="AF917" s="70"/>
      <c r="AG917" s="70"/>
      <c r="AH917" s="70"/>
      <c r="AI917" s="70"/>
      <c r="AJ917" s="70"/>
      <c r="AK917" s="70"/>
      <c r="AL917" s="70"/>
      <c r="AM917" s="70"/>
      <c r="AN917" s="70"/>
      <c r="AO917" s="70"/>
      <c r="AP917" s="70"/>
      <c r="AQ917" s="70"/>
      <c r="AR917" s="70"/>
      <c r="AS917" s="70"/>
      <c r="AT917" s="70"/>
      <c r="AU917" s="70"/>
      <c r="AV917" s="70"/>
      <c r="AW917" s="70"/>
      <c r="AX917" s="70"/>
      <c r="AY917" s="70"/>
      <c r="AZ917" s="70"/>
      <c r="BA917" s="70"/>
      <c r="BB917" s="70"/>
      <c r="BC917" s="70"/>
      <c r="BD917" s="70"/>
      <c r="BE917" s="70"/>
      <c r="BF917" s="70"/>
      <c r="BG917" s="70"/>
      <c r="BH917" s="70"/>
      <c r="BI917" s="70"/>
      <c r="BJ917" s="70"/>
      <c r="BK917" s="70"/>
      <c r="BL917" s="70"/>
      <c r="BM917" s="70"/>
      <c r="BN917" s="70"/>
      <c r="BO917" s="70"/>
      <c r="BP917" s="70"/>
      <c r="BQ917" s="70"/>
      <c r="BR917" s="70"/>
      <c r="BS917" s="70"/>
      <c r="BT917" s="70"/>
      <c r="BU917" s="70"/>
      <c r="BV917" s="70"/>
      <c r="BW917" s="70"/>
      <c r="BX917" s="70"/>
      <c r="BY917" s="70"/>
      <c r="BZ917" s="70"/>
      <c r="CA917" s="70"/>
      <c r="CB917" s="70"/>
      <c r="CC917" s="70"/>
      <c r="CD917" s="70"/>
      <c r="CE917" s="70"/>
      <c r="CF917" s="70"/>
      <c r="CG917" s="70"/>
      <c r="CH917" s="70"/>
      <c r="CI917" s="70"/>
      <c r="CJ917" s="70"/>
      <c r="CK917" s="70"/>
      <c r="CL917" s="70"/>
      <c r="CM917" s="70"/>
      <c r="CN917" s="70"/>
      <c r="CO917" s="70"/>
      <c r="CP917" s="70"/>
      <c r="CQ917" s="70"/>
      <c r="CR917" s="70"/>
      <c r="CS917" s="70"/>
      <c r="CT917" s="70"/>
      <c r="CU917" s="70"/>
      <c r="CV917" s="70"/>
      <c r="CW917" s="70"/>
      <c r="CX917" s="70"/>
      <c r="CY917" s="70"/>
      <c r="CZ917" s="70"/>
      <c r="DA917" s="70"/>
      <c r="DB917" s="70"/>
      <c r="DC917" s="70"/>
      <c r="DD917" s="70"/>
      <c r="DE917" s="70"/>
      <c r="DF917" s="70"/>
      <c r="DG917" s="70"/>
      <c r="DH917" s="70"/>
      <c r="DI917" s="70"/>
      <c r="DJ917" s="70"/>
      <c r="DK917" s="70"/>
      <c r="DL917" s="70"/>
      <c r="DM917" s="70"/>
      <c r="DN917" s="70"/>
      <c r="DO917" s="70"/>
      <c r="DP917" s="70"/>
      <c r="DQ917" s="70"/>
      <c r="DR917" s="70"/>
      <c r="DS917" s="70"/>
      <c r="DT917" s="70"/>
      <c r="DU917" s="70"/>
      <c r="DV917" s="70"/>
      <c r="DW917" s="70"/>
      <c r="DX917" s="70"/>
      <c r="DY917" s="70"/>
      <c r="DZ917" s="70"/>
      <c r="EA917" s="70"/>
      <c r="EB917" s="70"/>
      <c r="EC917" s="70"/>
      <c r="ED917" s="70"/>
      <c r="EE917" s="95" t="s">
        <v>450</v>
      </c>
      <c r="EF917" s="95"/>
      <c r="EG917" s="95"/>
      <c r="EH917" s="70"/>
      <c r="EI917" s="216"/>
      <c r="EJ917" s="70"/>
      <c r="EK917" s="70"/>
      <c r="EL917" s="70"/>
      <c r="EM917" s="70"/>
      <c r="EN917" s="70"/>
      <c r="EO917" s="70"/>
      <c r="EP917" s="70"/>
      <c r="EQ917" s="70"/>
      <c r="ER917" s="70"/>
      <c r="ES917" s="70"/>
      <c r="ET917" s="70"/>
      <c r="EU917" s="70"/>
      <c r="EV917" s="70"/>
      <c r="EW917" s="70"/>
      <c r="EX917" s="70"/>
      <c r="EY917" s="70"/>
      <c r="EZ917" s="70"/>
      <c r="FA917" s="70"/>
      <c r="FB917" s="70"/>
      <c r="FC917" s="70"/>
      <c r="FD917" s="70"/>
      <c r="FE917" s="70"/>
      <c r="FF917" s="70"/>
      <c r="FG917" s="70"/>
      <c r="FH917" s="70"/>
      <c r="FI917" s="70"/>
      <c r="FJ917" s="70"/>
      <c r="FK917" s="70"/>
      <c r="FL917" s="70"/>
      <c r="FM917" s="70"/>
      <c r="FN917" s="70"/>
      <c r="FO917" s="70"/>
      <c r="FP917" s="70"/>
      <c r="FQ917" s="70"/>
      <c r="FR917" s="70"/>
      <c r="FS917" s="70"/>
      <c r="FT917" s="70"/>
      <c r="FU917" s="70"/>
      <c r="FV917" s="70"/>
      <c r="FW917" s="70"/>
      <c r="FX917" s="70"/>
      <c r="FY917" s="70"/>
      <c r="FZ917" s="70"/>
      <c r="GA917" s="70"/>
      <c r="GB917" s="70"/>
      <c r="GC917" s="70"/>
      <c r="GD917" s="70"/>
      <c r="GE917" s="70"/>
      <c r="GF917" s="70"/>
      <c r="GG917" s="70"/>
      <c r="GH917" s="70"/>
      <c r="GI917" s="70"/>
      <c r="GJ917" s="70"/>
      <c r="GK917" s="70"/>
      <c r="GL917" s="70"/>
      <c r="GM917" s="70"/>
      <c r="GN917" s="70"/>
      <c r="GO917" s="70"/>
      <c r="GP917" s="70"/>
      <c r="GQ917" s="70"/>
      <c r="GR917" s="70"/>
      <c r="GS917" s="70"/>
      <c r="GT917" s="70"/>
      <c r="GU917" s="70"/>
      <c r="GV917" s="70"/>
      <c r="GW917" s="70"/>
      <c r="GX917" s="70"/>
      <c r="GY917" s="70"/>
      <c r="GZ917" s="70"/>
      <c r="HA917" s="70"/>
      <c r="HB917" s="70"/>
      <c r="HC917" s="70"/>
      <c r="HD917" s="70"/>
      <c r="HE917" s="70"/>
      <c r="HF917" s="70"/>
      <c r="HG917" s="70"/>
      <c r="HH917" s="70"/>
      <c r="HI917" s="70"/>
      <c r="HJ917" s="70"/>
      <c r="HK917" s="70"/>
      <c r="HL917" s="70"/>
      <c r="HM917" s="70"/>
      <c r="HN917" s="70"/>
      <c r="HO917" s="70"/>
      <c r="HP917" s="70"/>
      <c r="HQ917" s="70"/>
      <c r="HR917" s="70"/>
      <c r="HS917" s="70"/>
      <c r="HT917" s="70"/>
      <c r="HU917" s="70"/>
      <c r="HV917" s="70"/>
      <c r="HW917" s="70"/>
      <c r="HX917" s="70"/>
      <c r="HY917" s="70"/>
      <c r="HZ917" s="70"/>
      <c r="IA917" s="70"/>
      <c r="IB917" s="70"/>
      <c r="IC917" s="70"/>
      <c r="ID917" s="70"/>
      <c r="IE917" s="70"/>
      <c r="IF917" s="70"/>
      <c r="IG917" s="70"/>
      <c r="IH917" s="70"/>
      <c r="II917" s="70"/>
      <c r="IJ917" s="70"/>
      <c r="IK917" s="70"/>
      <c r="IL917" s="70"/>
      <c r="IM917" s="70"/>
      <c r="IN917" s="70"/>
      <c r="IO917" s="70"/>
      <c r="IP917" s="70"/>
      <c r="IQ917" s="70"/>
    </row>
    <row r="918" spans="18:251" ht="16.5" hidden="1" customHeight="1">
      <c r="R918" s="95" t="s">
        <v>450</v>
      </c>
      <c r="S918" s="95"/>
      <c r="T918" s="95"/>
      <c r="U918" s="70"/>
      <c r="V918" s="214"/>
      <c r="W918" s="70"/>
      <c r="X918" s="70"/>
      <c r="Y918" s="70"/>
      <c r="Z918" s="70"/>
      <c r="AA918" s="70"/>
      <c r="AB918" s="70"/>
      <c r="AC918" s="70"/>
      <c r="AD918" s="70"/>
      <c r="AE918" s="70"/>
      <c r="AF918" s="70"/>
      <c r="AG918" s="70"/>
      <c r="AH918" s="70"/>
      <c r="AI918" s="70"/>
      <c r="AJ918" s="70"/>
      <c r="AK918" s="70"/>
      <c r="AL918" s="70"/>
      <c r="AM918" s="70"/>
      <c r="AN918" s="70"/>
      <c r="AO918" s="70"/>
      <c r="AP918" s="70"/>
      <c r="AQ918" s="70"/>
      <c r="AR918" s="70"/>
      <c r="AS918" s="70"/>
      <c r="AT918" s="70"/>
      <c r="AU918" s="70"/>
      <c r="AV918" s="70"/>
      <c r="AW918" s="70"/>
      <c r="AX918" s="70"/>
      <c r="AY918" s="70"/>
      <c r="AZ918" s="70"/>
      <c r="BA918" s="70"/>
      <c r="BB918" s="70"/>
      <c r="BC918" s="70"/>
      <c r="BD918" s="70"/>
      <c r="BE918" s="70"/>
      <c r="BF918" s="70"/>
      <c r="BG918" s="70"/>
      <c r="BH918" s="70"/>
      <c r="BI918" s="70"/>
      <c r="BJ918" s="70"/>
      <c r="BK918" s="70"/>
      <c r="BL918" s="70"/>
      <c r="BM918" s="70"/>
      <c r="BN918" s="70"/>
      <c r="BO918" s="70"/>
      <c r="BP918" s="70"/>
      <c r="BQ918" s="70"/>
      <c r="BR918" s="70"/>
      <c r="BS918" s="70"/>
      <c r="BT918" s="70"/>
      <c r="BU918" s="70"/>
      <c r="BV918" s="70"/>
      <c r="BW918" s="70"/>
      <c r="BX918" s="70"/>
      <c r="BY918" s="70"/>
      <c r="BZ918" s="70"/>
      <c r="CA918" s="70"/>
      <c r="CB918" s="70"/>
      <c r="CC918" s="70"/>
      <c r="CD918" s="70"/>
      <c r="CE918" s="70"/>
      <c r="CF918" s="70"/>
      <c r="CG918" s="70"/>
      <c r="CH918" s="70"/>
      <c r="CI918" s="70"/>
      <c r="CJ918" s="70"/>
      <c r="CK918" s="70"/>
      <c r="CL918" s="70"/>
      <c r="CM918" s="70"/>
      <c r="CN918" s="70"/>
      <c r="CO918" s="70"/>
      <c r="CP918" s="70"/>
      <c r="CQ918" s="70"/>
      <c r="CR918" s="70"/>
      <c r="CS918" s="70"/>
      <c r="CT918" s="70"/>
      <c r="CU918" s="70"/>
      <c r="CV918" s="70"/>
      <c r="CW918" s="70"/>
      <c r="CX918" s="70"/>
      <c r="CY918" s="70"/>
      <c r="CZ918" s="70"/>
      <c r="DA918" s="70"/>
      <c r="DB918" s="70"/>
      <c r="DC918" s="70"/>
      <c r="DD918" s="70"/>
      <c r="DE918" s="70"/>
      <c r="DF918" s="70"/>
      <c r="DG918" s="70"/>
      <c r="DH918" s="70"/>
      <c r="DI918" s="70"/>
      <c r="DJ918" s="70"/>
      <c r="DK918" s="70"/>
      <c r="DL918" s="70"/>
      <c r="DM918" s="70"/>
      <c r="DN918" s="70"/>
      <c r="DO918" s="70"/>
      <c r="DP918" s="70"/>
      <c r="DQ918" s="70"/>
      <c r="DR918" s="70"/>
      <c r="DS918" s="70"/>
      <c r="DT918" s="70"/>
      <c r="DU918" s="70"/>
      <c r="DV918" s="70"/>
      <c r="DW918" s="70"/>
      <c r="DX918" s="70"/>
      <c r="DY918" s="70"/>
      <c r="DZ918" s="70"/>
      <c r="EA918" s="70"/>
      <c r="EB918" s="70"/>
      <c r="EC918" s="70"/>
      <c r="ED918" s="70"/>
      <c r="EE918" s="95" t="s">
        <v>450</v>
      </c>
      <c r="EF918" s="95"/>
      <c r="EG918" s="95"/>
      <c r="EH918" s="70"/>
      <c r="EI918" s="216"/>
      <c r="EJ918" s="70"/>
      <c r="EK918" s="70"/>
      <c r="EL918" s="70"/>
      <c r="EM918" s="70"/>
      <c r="EN918" s="70"/>
      <c r="EO918" s="70"/>
      <c r="EP918" s="70"/>
      <c r="EQ918" s="70"/>
      <c r="ER918" s="70"/>
      <c r="ES918" s="70"/>
      <c r="ET918" s="70"/>
      <c r="EU918" s="70"/>
      <c r="EV918" s="70"/>
      <c r="EW918" s="70"/>
      <c r="EX918" s="70"/>
      <c r="EY918" s="70"/>
      <c r="EZ918" s="70"/>
      <c r="FA918" s="70"/>
      <c r="FB918" s="70"/>
      <c r="FC918" s="70"/>
      <c r="FD918" s="70"/>
      <c r="FE918" s="70"/>
      <c r="FF918" s="70"/>
      <c r="FG918" s="70"/>
      <c r="FH918" s="70"/>
      <c r="FI918" s="70"/>
      <c r="FJ918" s="70"/>
      <c r="FK918" s="70"/>
      <c r="FL918" s="70"/>
      <c r="FM918" s="70"/>
      <c r="FN918" s="70"/>
      <c r="FO918" s="70"/>
      <c r="FP918" s="70"/>
      <c r="FQ918" s="70"/>
      <c r="FR918" s="70"/>
      <c r="FS918" s="70"/>
      <c r="FT918" s="70"/>
      <c r="FU918" s="70"/>
      <c r="FV918" s="70"/>
      <c r="FW918" s="70"/>
      <c r="FX918" s="70"/>
      <c r="FY918" s="70"/>
      <c r="FZ918" s="70"/>
      <c r="GA918" s="70"/>
      <c r="GB918" s="70"/>
      <c r="GC918" s="70"/>
      <c r="GD918" s="70"/>
      <c r="GE918" s="70"/>
      <c r="GF918" s="70"/>
      <c r="GG918" s="70"/>
      <c r="GH918" s="70"/>
      <c r="GI918" s="70"/>
      <c r="GJ918" s="70"/>
      <c r="GK918" s="70"/>
      <c r="GL918" s="70"/>
      <c r="GM918" s="70"/>
      <c r="GN918" s="70"/>
      <c r="GO918" s="70"/>
      <c r="GP918" s="70"/>
      <c r="GQ918" s="70"/>
      <c r="GR918" s="70"/>
      <c r="GS918" s="70"/>
      <c r="GT918" s="70"/>
      <c r="GU918" s="70"/>
      <c r="GV918" s="70"/>
      <c r="GW918" s="70"/>
      <c r="GX918" s="70"/>
      <c r="GY918" s="70"/>
      <c r="GZ918" s="70"/>
      <c r="HA918" s="70"/>
      <c r="HB918" s="70"/>
      <c r="HC918" s="70"/>
      <c r="HD918" s="70"/>
      <c r="HE918" s="70"/>
      <c r="HF918" s="70"/>
      <c r="HG918" s="70"/>
      <c r="HH918" s="70"/>
      <c r="HI918" s="70"/>
      <c r="HJ918" s="70"/>
      <c r="HK918" s="70"/>
      <c r="HL918" s="70"/>
      <c r="HM918" s="70"/>
      <c r="HN918" s="70"/>
      <c r="HO918" s="70"/>
      <c r="HP918" s="70"/>
      <c r="HQ918" s="70"/>
      <c r="HR918" s="70"/>
      <c r="HS918" s="70"/>
      <c r="HT918" s="70"/>
      <c r="HU918" s="70"/>
      <c r="HV918" s="70"/>
      <c r="HW918" s="70"/>
      <c r="HX918" s="70"/>
      <c r="HY918" s="70"/>
      <c r="HZ918" s="70"/>
      <c r="IA918" s="70"/>
      <c r="IB918" s="70"/>
      <c r="IC918" s="70"/>
      <c r="ID918" s="70"/>
      <c r="IE918" s="70"/>
      <c r="IF918" s="70"/>
      <c r="IG918" s="70"/>
      <c r="IH918" s="70"/>
      <c r="II918" s="70"/>
      <c r="IJ918" s="70"/>
      <c r="IK918" s="70"/>
      <c r="IL918" s="70"/>
      <c r="IM918" s="70"/>
      <c r="IN918" s="70"/>
      <c r="IO918" s="70"/>
      <c r="IP918" s="70"/>
      <c r="IQ918" s="70"/>
    </row>
    <row r="919" spans="18:251" ht="16.5" hidden="1" customHeight="1">
      <c r="R919" s="95" t="s">
        <v>450</v>
      </c>
      <c r="S919" s="95"/>
      <c r="T919" s="95"/>
      <c r="U919" s="70"/>
      <c r="V919" s="214"/>
      <c r="W919" s="70"/>
      <c r="X919" s="70"/>
      <c r="Y919" s="70"/>
      <c r="Z919" s="70"/>
      <c r="AA919" s="70"/>
      <c r="AB919" s="70"/>
      <c r="AC919" s="70"/>
      <c r="AD919" s="70"/>
      <c r="AE919" s="70"/>
      <c r="AF919" s="70"/>
      <c r="AG919" s="70"/>
      <c r="AH919" s="70"/>
      <c r="AI919" s="70"/>
      <c r="AJ919" s="70"/>
      <c r="AK919" s="70"/>
      <c r="AL919" s="70"/>
      <c r="AM919" s="70"/>
      <c r="AN919" s="70"/>
      <c r="AO919" s="70"/>
      <c r="AP919" s="70"/>
      <c r="AQ919" s="70"/>
      <c r="AR919" s="70"/>
      <c r="AS919" s="70"/>
      <c r="AT919" s="70"/>
      <c r="AU919" s="70"/>
      <c r="AV919" s="70"/>
      <c r="AW919" s="70"/>
      <c r="AX919" s="70"/>
      <c r="AY919" s="70"/>
      <c r="AZ919" s="70"/>
      <c r="BA919" s="70"/>
      <c r="BB919" s="70"/>
      <c r="BC919" s="70"/>
      <c r="BD919" s="70"/>
      <c r="BE919" s="70"/>
      <c r="BF919" s="70"/>
      <c r="BG919" s="70"/>
      <c r="BH919" s="70"/>
      <c r="BI919" s="70"/>
      <c r="BJ919" s="70"/>
      <c r="BK919" s="70"/>
      <c r="BL919" s="70"/>
      <c r="BM919" s="70"/>
      <c r="BN919" s="70"/>
      <c r="BO919" s="70"/>
      <c r="BP919" s="70"/>
      <c r="BQ919" s="70"/>
      <c r="BR919" s="70"/>
      <c r="BS919" s="70"/>
      <c r="BT919" s="70"/>
      <c r="BU919" s="70"/>
      <c r="BV919" s="70"/>
      <c r="BW919" s="70"/>
      <c r="BX919" s="70"/>
      <c r="BY919" s="70"/>
      <c r="BZ919" s="70"/>
      <c r="CA919" s="70"/>
      <c r="CB919" s="70"/>
      <c r="CC919" s="70"/>
      <c r="CD919" s="70"/>
      <c r="CE919" s="70"/>
      <c r="CF919" s="70"/>
      <c r="CG919" s="70"/>
      <c r="CH919" s="70"/>
      <c r="CI919" s="70"/>
      <c r="CJ919" s="70"/>
      <c r="CK919" s="70"/>
      <c r="CL919" s="70"/>
      <c r="CM919" s="70"/>
      <c r="CN919" s="70"/>
      <c r="CO919" s="70"/>
      <c r="CP919" s="70"/>
      <c r="CQ919" s="70"/>
      <c r="CR919" s="70"/>
      <c r="CS919" s="70"/>
      <c r="CT919" s="70"/>
      <c r="CU919" s="70"/>
      <c r="CV919" s="70"/>
      <c r="CW919" s="70"/>
      <c r="CX919" s="70"/>
      <c r="CY919" s="70"/>
      <c r="CZ919" s="70"/>
      <c r="DA919" s="70"/>
      <c r="DB919" s="70"/>
      <c r="DC919" s="70"/>
      <c r="DD919" s="70"/>
      <c r="DE919" s="70"/>
      <c r="DF919" s="70"/>
      <c r="DG919" s="70"/>
      <c r="DH919" s="70"/>
      <c r="DI919" s="70"/>
      <c r="DJ919" s="70"/>
      <c r="DK919" s="70"/>
      <c r="DL919" s="70"/>
      <c r="DM919" s="70"/>
      <c r="DN919" s="70"/>
      <c r="DO919" s="70"/>
      <c r="DP919" s="70"/>
      <c r="DQ919" s="70"/>
      <c r="DR919" s="70"/>
      <c r="DS919" s="70"/>
      <c r="DT919" s="70"/>
      <c r="DU919" s="70"/>
      <c r="DV919" s="70"/>
      <c r="DW919" s="70"/>
      <c r="DX919" s="70"/>
      <c r="DY919" s="70"/>
      <c r="DZ919" s="70"/>
      <c r="EA919" s="70"/>
      <c r="EB919" s="70"/>
      <c r="EC919" s="70"/>
      <c r="ED919" s="70"/>
      <c r="EE919" s="95" t="s">
        <v>450</v>
      </c>
      <c r="EF919" s="95"/>
      <c r="EG919" s="95"/>
      <c r="EH919" s="70"/>
      <c r="EI919" s="216"/>
      <c r="EJ919" s="70"/>
      <c r="EK919" s="70"/>
      <c r="EL919" s="70"/>
      <c r="EM919" s="70"/>
      <c r="EN919" s="70"/>
      <c r="EO919" s="70"/>
      <c r="EP919" s="70"/>
      <c r="EQ919" s="70"/>
      <c r="ER919" s="70"/>
      <c r="ES919" s="70"/>
      <c r="ET919" s="70"/>
      <c r="EU919" s="70"/>
      <c r="EV919" s="70"/>
      <c r="EW919" s="70"/>
      <c r="EX919" s="70"/>
      <c r="EY919" s="70"/>
      <c r="EZ919" s="70"/>
      <c r="FA919" s="70"/>
      <c r="FB919" s="70"/>
      <c r="FC919" s="70"/>
      <c r="FD919" s="70"/>
      <c r="FE919" s="70"/>
      <c r="FF919" s="70"/>
      <c r="FG919" s="70"/>
      <c r="FH919" s="70"/>
      <c r="FI919" s="70"/>
      <c r="FJ919" s="70"/>
      <c r="FK919" s="70"/>
      <c r="FL919" s="70"/>
      <c r="FM919" s="70"/>
      <c r="FN919" s="70"/>
      <c r="FO919" s="70"/>
      <c r="FP919" s="70"/>
      <c r="FQ919" s="70"/>
      <c r="FR919" s="70"/>
      <c r="FS919" s="70"/>
      <c r="FT919" s="70"/>
      <c r="FU919" s="70"/>
      <c r="FV919" s="70"/>
      <c r="FW919" s="70"/>
      <c r="FX919" s="70"/>
      <c r="FY919" s="70"/>
      <c r="FZ919" s="70"/>
      <c r="GA919" s="70"/>
      <c r="GB919" s="70"/>
      <c r="GC919" s="70"/>
      <c r="GD919" s="70"/>
      <c r="GE919" s="70"/>
      <c r="GF919" s="70"/>
      <c r="GG919" s="70"/>
      <c r="GH919" s="70"/>
      <c r="GI919" s="70"/>
      <c r="GJ919" s="70"/>
      <c r="GK919" s="70"/>
      <c r="GL919" s="70"/>
      <c r="GM919" s="70"/>
      <c r="GN919" s="70"/>
      <c r="GO919" s="70"/>
      <c r="GP919" s="70"/>
      <c r="GQ919" s="70"/>
      <c r="GR919" s="70"/>
      <c r="GS919" s="70"/>
      <c r="GT919" s="70"/>
      <c r="GU919" s="70"/>
      <c r="GV919" s="70"/>
      <c r="GW919" s="70"/>
      <c r="GX919" s="70"/>
      <c r="GY919" s="70"/>
      <c r="GZ919" s="70"/>
      <c r="HA919" s="70"/>
      <c r="HB919" s="70"/>
      <c r="HC919" s="70"/>
      <c r="HD919" s="70"/>
      <c r="HE919" s="70"/>
      <c r="HF919" s="70"/>
      <c r="HG919" s="70"/>
      <c r="HH919" s="70"/>
      <c r="HI919" s="70"/>
      <c r="HJ919" s="70"/>
      <c r="HK919" s="70"/>
      <c r="HL919" s="70"/>
      <c r="HM919" s="70"/>
      <c r="HN919" s="70"/>
      <c r="HO919" s="70"/>
      <c r="HP919" s="70"/>
      <c r="HQ919" s="70"/>
      <c r="HR919" s="70"/>
      <c r="HS919" s="70"/>
      <c r="HT919" s="70"/>
      <c r="HU919" s="70"/>
      <c r="HV919" s="70"/>
      <c r="HW919" s="70"/>
      <c r="HX919" s="70"/>
      <c r="HY919" s="70"/>
      <c r="HZ919" s="70"/>
      <c r="IA919" s="70"/>
      <c r="IB919" s="70"/>
      <c r="IC919" s="70"/>
      <c r="ID919" s="70"/>
      <c r="IE919" s="70"/>
      <c r="IF919" s="70"/>
      <c r="IG919" s="70"/>
      <c r="IH919" s="70"/>
      <c r="II919" s="70"/>
      <c r="IJ919" s="70"/>
      <c r="IK919" s="70"/>
      <c r="IL919" s="70"/>
      <c r="IM919" s="70"/>
      <c r="IN919" s="70"/>
      <c r="IO919" s="70"/>
      <c r="IP919" s="70"/>
      <c r="IQ919" s="70"/>
    </row>
    <row r="920" spans="18:251" ht="16.5" hidden="1" customHeight="1">
      <c r="R920" s="95" t="s">
        <v>450</v>
      </c>
      <c r="S920" s="95"/>
      <c r="T920" s="95"/>
      <c r="U920" s="70"/>
      <c r="V920" s="214"/>
      <c r="W920" s="70"/>
      <c r="X920" s="70"/>
      <c r="Y920" s="70"/>
      <c r="Z920" s="70"/>
      <c r="AA920" s="70"/>
      <c r="AB920" s="70"/>
      <c r="AC920" s="70"/>
      <c r="AD920" s="70"/>
      <c r="AE920" s="70"/>
      <c r="AF920" s="70"/>
      <c r="AG920" s="70"/>
      <c r="AH920" s="70"/>
      <c r="AI920" s="70"/>
      <c r="AJ920" s="70"/>
      <c r="AK920" s="70"/>
      <c r="AL920" s="70"/>
      <c r="AM920" s="70"/>
      <c r="AN920" s="70"/>
      <c r="AO920" s="70"/>
      <c r="AP920" s="70"/>
      <c r="AQ920" s="70"/>
      <c r="AR920" s="70"/>
      <c r="AS920" s="70"/>
      <c r="AT920" s="70"/>
      <c r="AU920" s="70"/>
      <c r="AV920" s="70"/>
      <c r="AW920" s="70"/>
      <c r="AX920" s="70"/>
      <c r="AY920" s="70"/>
      <c r="AZ920" s="70"/>
      <c r="BA920" s="70"/>
      <c r="BB920" s="70"/>
      <c r="BC920" s="70"/>
      <c r="BD920" s="70"/>
      <c r="BE920" s="70"/>
      <c r="BF920" s="70"/>
      <c r="BG920" s="70"/>
      <c r="BH920" s="70"/>
      <c r="BI920" s="70"/>
      <c r="BJ920" s="70"/>
      <c r="BK920" s="70"/>
      <c r="BL920" s="70"/>
      <c r="BM920" s="70"/>
      <c r="BN920" s="70"/>
      <c r="BO920" s="70"/>
      <c r="BP920" s="70"/>
      <c r="BQ920" s="70"/>
      <c r="BR920" s="70"/>
      <c r="BS920" s="70"/>
      <c r="BT920" s="70"/>
      <c r="BU920" s="70"/>
      <c r="BV920" s="70"/>
      <c r="BW920" s="70"/>
      <c r="BX920" s="70"/>
      <c r="BY920" s="70"/>
      <c r="BZ920" s="70"/>
      <c r="CA920" s="70"/>
      <c r="CB920" s="70"/>
      <c r="CC920" s="70"/>
      <c r="CD920" s="70"/>
      <c r="CE920" s="70"/>
      <c r="CF920" s="70"/>
      <c r="CG920" s="70"/>
      <c r="CH920" s="70"/>
      <c r="CI920" s="70"/>
      <c r="CJ920" s="70"/>
      <c r="CK920" s="70"/>
      <c r="CL920" s="70"/>
      <c r="CM920" s="70"/>
      <c r="CN920" s="70"/>
      <c r="CO920" s="70"/>
      <c r="CP920" s="70"/>
      <c r="CQ920" s="70"/>
      <c r="CR920" s="70"/>
      <c r="CS920" s="70"/>
      <c r="CT920" s="70"/>
      <c r="CU920" s="70"/>
      <c r="CV920" s="70"/>
      <c r="CW920" s="70"/>
      <c r="CX920" s="70"/>
      <c r="CY920" s="70"/>
      <c r="CZ920" s="70"/>
      <c r="DA920" s="70"/>
      <c r="DB920" s="70"/>
      <c r="DC920" s="70"/>
      <c r="DD920" s="70"/>
      <c r="DE920" s="70"/>
      <c r="DF920" s="70"/>
      <c r="DG920" s="70"/>
      <c r="DH920" s="70"/>
      <c r="DI920" s="70"/>
      <c r="DJ920" s="70"/>
      <c r="DK920" s="70"/>
      <c r="DL920" s="70"/>
      <c r="DM920" s="70"/>
      <c r="DN920" s="70"/>
      <c r="DO920" s="70"/>
      <c r="DP920" s="70"/>
      <c r="DQ920" s="70"/>
      <c r="DR920" s="70"/>
      <c r="DS920" s="70"/>
      <c r="DT920" s="70"/>
      <c r="DU920" s="70"/>
      <c r="DV920" s="70"/>
      <c r="DW920" s="70"/>
      <c r="DX920" s="70"/>
      <c r="DY920" s="70"/>
      <c r="DZ920" s="70"/>
      <c r="EA920" s="70"/>
      <c r="EB920" s="70"/>
      <c r="EC920" s="70"/>
      <c r="ED920" s="70"/>
      <c r="EE920" s="95" t="s">
        <v>450</v>
      </c>
      <c r="EF920" s="95"/>
      <c r="EG920" s="95"/>
      <c r="EH920" s="70"/>
      <c r="EI920" s="216"/>
      <c r="EJ920" s="70"/>
      <c r="EK920" s="70"/>
      <c r="EL920" s="70"/>
      <c r="EM920" s="70"/>
      <c r="EN920" s="70"/>
      <c r="EO920" s="70"/>
      <c r="EP920" s="70"/>
      <c r="EQ920" s="70"/>
      <c r="ER920" s="70"/>
      <c r="ES920" s="70"/>
      <c r="ET920" s="70"/>
      <c r="EU920" s="70"/>
      <c r="EV920" s="70"/>
      <c r="EW920" s="70"/>
      <c r="EX920" s="70"/>
      <c r="EY920" s="70"/>
      <c r="EZ920" s="70"/>
      <c r="FA920" s="70"/>
      <c r="FB920" s="70"/>
      <c r="FC920" s="70"/>
      <c r="FD920" s="70"/>
      <c r="FE920" s="70"/>
      <c r="FF920" s="70"/>
      <c r="FG920" s="70"/>
      <c r="FH920" s="70"/>
      <c r="FI920" s="70"/>
      <c r="FJ920" s="70"/>
      <c r="FK920" s="70"/>
      <c r="FL920" s="70"/>
      <c r="FM920" s="70"/>
      <c r="FN920" s="70"/>
      <c r="FO920" s="70"/>
      <c r="FP920" s="70"/>
      <c r="FQ920" s="70"/>
      <c r="FR920" s="70"/>
      <c r="FS920" s="70"/>
      <c r="FT920" s="70"/>
      <c r="FU920" s="70"/>
      <c r="FV920" s="70"/>
      <c r="FW920" s="70"/>
      <c r="FX920" s="70"/>
      <c r="FY920" s="70"/>
      <c r="FZ920" s="70"/>
      <c r="GA920" s="70"/>
      <c r="GB920" s="70"/>
      <c r="GC920" s="70"/>
      <c r="GD920" s="70"/>
      <c r="GE920" s="70"/>
      <c r="GF920" s="70"/>
      <c r="GG920" s="70"/>
      <c r="GH920" s="70"/>
      <c r="GI920" s="70"/>
      <c r="GJ920" s="70"/>
      <c r="GK920" s="70"/>
      <c r="GL920" s="70"/>
      <c r="GM920" s="70"/>
      <c r="GN920" s="70"/>
      <c r="GO920" s="70"/>
      <c r="GP920" s="70"/>
      <c r="GQ920" s="70"/>
      <c r="GR920" s="70"/>
      <c r="GS920" s="70"/>
      <c r="GT920" s="70"/>
      <c r="GU920" s="70"/>
      <c r="GV920" s="70"/>
      <c r="GW920" s="70"/>
      <c r="GX920" s="70"/>
      <c r="GY920" s="70"/>
      <c r="GZ920" s="70"/>
      <c r="HA920" s="70"/>
      <c r="HB920" s="70"/>
      <c r="HC920" s="70"/>
      <c r="HD920" s="70"/>
      <c r="HE920" s="70"/>
      <c r="HF920" s="70"/>
      <c r="HG920" s="70"/>
      <c r="HH920" s="70"/>
      <c r="HI920" s="70"/>
      <c r="HJ920" s="70"/>
      <c r="HK920" s="70"/>
      <c r="HL920" s="70"/>
      <c r="HM920" s="70"/>
      <c r="HN920" s="70"/>
      <c r="HO920" s="70"/>
      <c r="HP920" s="70"/>
      <c r="HQ920" s="70"/>
      <c r="HR920" s="70"/>
      <c r="HS920" s="70"/>
      <c r="HT920" s="70"/>
      <c r="HU920" s="70"/>
      <c r="HV920" s="70"/>
      <c r="HW920" s="70"/>
      <c r="HX920" s="70"/>
      <c r="HY920" s="70"/>
      <c r="HZ920" s="70"/>
      <c r="IA920" s="70"/>
      <c r="IB920" s="70"/>
      <c r="IC920" s="70"/>
      <c r="ID920" s="70"/>
      <c r="IE920" s="70"/>
      <c r="IF920" s="70"/>
      <c r="IG920" s="70"/>
      <c r="IH920" s="70"/>
      <c r="II920" s="70"/>
      <c r="IJ920" s="70"/>
      <c r="IK920" s="70"/>
      <c r="IL920" s="70"/>
      <c r="IM920" s="70"/>
      <c r="IN920" s="70"/>
      <c r="IO920" s="70"/>
      <c r="IP920" s="70"/>
      <c r="IQ920" s="70"/>
    </row>
    <row r="921" spans="18:251" ht="16.5" hidden="1" customHeight="1">
      <c r="R921" s="95" t="s">
        <v>450</v>
      </c>
      <c r="S921" s="95"/>
      <c r="T921" s="95"/>
      <c r="U921" s="70"/>
      <c r="V921" s="214"/>
      <c r="W921" s="70"/>
      <c r="X921" s="70"/>
      <c r="Y921" s="70"/>
      <c r="Z921" s="70"/>
      <c r="AA921" s="70"/>
      <c r="AB921" s="70"/>
      <c r="AC921" s="70"/>
      <c r="AD921" s="70"/>
      <c r="AE921" s="70"/>
      <c r="AF921" s="70"/>
      <c r="AG921" s="70"/>
      <c r="AH921" s="70"/>
      <c r="AI921" s="70"/>
      <c r="AJ921" s="70"/>
      <c r="AK921" s="70"/>
      <c r="AL921" s="70"/>
      <c r="AM921" s="70"/>
      <c r="AN921" s="70"/>
      <c r="AO921" s="70"/>
      <c r="AP921" s="70"/>
      <c r="AQ921" s="70"/>
      <c r="AR921" s="70"/>
      <c r="AS921" s="70"/>
      <c r="AT921" s="70"/>
      <c r="AU921" s="70"/>
      <c r="AV921" s="70"/>
      <c r="AW921" s="70"/>
      <c r="AX921" s="70"/>
      <c r="AY921" s="70"/>
      <c r="AZ921" s="70"/>
      <c r="BA921" s="70"/>
      <c r="BB921" s="70"/>
      <c r="BC921" s="70"/>
      <c r="BD921" s="70"/>
      <c r="BE921" s="70"/>
      <c r="BF921" s="70"/>
      <c r="BG921" s="70"/>
      <c r="BH921" s="70"/>
      <c r="BI921" s="70"/>
      <c r="BJ921" s="70"/>
      <c r="BK921" s="70"/>
      <c r="BL921" s="70"/>
      <c r="BM921" s="70"/>
      <c r="BN921" s="70"/>
      <c r="BO921" s="70"/>
      <c r="BP921" s="70"/>
      <c r="BQ921" s="70"/>
      <c r="BR921" s="70"/>
      <c r="BS921" s="70"/>
      <c r="BT921" s="70"/>
      <c r="BU921" s="70"/>
      <c r="BV921" s="70"/>
      <c r="BW921" s="70"/>
      <c r="BX921" s="70"/>
      <c r="BY921" s="70"/>
      <c r="BZ921" s="70"/>
      <c r="CA921" s="70"/>
      <c r="CB921" s="70"/>
      <c r="CC921" s="70"/>
      <c r="CD921" s="70"/>
      <c r="CE921" s="70"/>
      <c r="CF921" s="70"/>
      <c r="CG921" s="70"/>
      <c r="CH921" s="70"/>
      <c r="CI921" s="70"/>
      <c r="CJ921" s="70"/>
      <c r="CK921" s="70"/>
      <c r="CL921" s="70"/>
      <c r="CM921" s="70"/>
      <c r="CN921" s="70"/>
      <c r="CO921" s="70"/>
      <c r="CP921" s="70"/>
      <c r="CQ921" s="70"/>
      <c r="CR921" s="70"/>
      <c r="CS921" s="70"/>
      <c r="CT921" s="70"/>
      <c r="CU921" s="70"/>
      <c r="CV921" s="70"/>
      <c r="CW921" s="70"/>
      <c r="CX921" s="70"/>
      <c r="CY921" s="70"/>
      <c r="CZ921" s="70"/>
      <c r="DA921" s="70"/>
      <c r="DB921" s="70"/>
      <c r="DC921" s="70"/>
      <c r="DD921" s="70"/>
      <c r="DE921" s="70"/>
      <c r="DF921" s="70"/>
      <c r="DG921" s="70"/>
      <c r="DH921" s="70"/>
      <c r="DI921" s="70"/>
      <c r="DJ921" s="70"/>
      <c r="DK921" s="70"/>
      <c r="DL921" s="70"/>
      <c r="DM921" s="70"/>
      <c r="DN921" s="70"/>
      <c r="DO921" s="70"/>
      <c r="DP921" s="70"/>
      <c r="DQ921" s="70"/>
      <c r="DR921" s="70"/>
      <c r="DS921" s="70"/>
      <c r="DT921" s="70"/>
      <c r="DU921" s="70"/>
      <c r="DV921" s="70"/>
      <c r="DW921" s="70"/>
      <c r="DX921" s="70"/>
      <c r="DY921" s="70"/>
      <c r="DZ921" s="70"/>
      <c r="EA921" s="70"/>
      <c r="EB921" s="70"/>
      <c r="EC921" s="70"/>
      <c r="ED921" s="70"/>
      <c r="EE921" s="95" t="s">
        <v>450</v>
      </c>
      <c r="EF921" s="95"/>
      <c r="EG921" s="95"/>
      <c r="EH921" s="70"/>
      <c r="EI921" s="216"/>
      <c r="EJ921" s="70"/>
      <c r="EK921" s="70"/>
      <c r="EL921" s="70"/>
      <c r="EM921" s="70"/>
      <c r="EN921" s="70"/>
      <c r="EO921" s="70"/>
      <c r="EP921" s="70"/>
      <c r="EQ921" s="70"/>
      <c r="ER921" s="70"/>
      <c r="ES921" s="70"/>
      <c r="ET921" s="70"/>
      <c r="EU921" s="70"/>
      <c r="EV921" s="70"/>
      <c r="EW921" s="70"/>
      <c r="EX921" s="70"/>
      <c r="EY921" s="70"/>
      <c r="EZ921" s="70"/>
      <c r="FA921" s="70"/>
      <c r="FB921" s="70"/>
      <c r="FC921" s="70"/>
      <c r="FD921" s="70"/>
      <c r="FE921" s="70"/>
      <c r="FF921" s="70"/>
      <c r="FG921" s="70"/>
      <c r="FH921" s="70"/>
      <c r="FI921" s="70"/>
      <c r="FJ921" s="70"/>
      <c r="FK921" s="70"/>
      <c r="FL921" s="70"/>
      <c r="FM921" s="70"/>
      <c r="FN921" s="70"/>
      <c r="FO921" s="70"/>
      <c r="FP921" s="70"/>
      <c r="FQ921" s="70"/>
      <c r="FR921" s="70"/>
      <c r="FS921" s="70"/>
      <c r="FT921" s="70"/>
      <c r="FU921" s="70"/>
      <c r="FV921" s="70"/>
      <c r="FW921" s="70"/>
      <c r="FX921" s="70"/>
      <c r="FY921" s="70"/>
      <c r="FZ921" s="70"/>
      <c r="GA921" s="70"/>
      <c r="GB921" s="70"/>
      <c r="GC921" s="70"/>
      <c r="GD921" s="70"/>
      <c r="GE921" s="70"/>
      <c r="GF921" s="70"/>
      <c r="GG921" s="70"/>
      <c r="GH921" s="70"/>
      <c r="GI921" s="70"/>
      <c r="GJ921" s="70"/>
      <c r="GK921" s="70"/>
      <c r="GL921" s="70"/>
      <c r="GM921" s="70"/>
      <c r="GN921" s="70"/>
      <c r="GO921" s="70"/>
      <c r="GP921" s="70"/>
      <c r="GQ921" s="70"/>
      <c r="GR921" s="70"/>
      <c r="GS921" s="70"/>
      <c r="GT921" s="70"/>
      <c r="GU921" s="70"/>
      <c r="GV921" s="70"/>
      <c r="GW921" s="70"/>
      <c r="GX921" s="70"/>
      <c r="GY921" s="70"/>
      <c r="GZ921" s="70"/>
      <c r="HA921" s="70"/>
      <c r="HB921" s="70"/>
      <c r="HC921" s="70"/>
      <c r="HD921" s="70"/>
      <c r="HE921" s="70"/>
      <c r="HF921" s="70"/>
      <c r="HG921" s="70"/>
      <c r="HH921" s="70"/>
      <c r="HI921" s="70"/>
      <c r="HJ921" s="70"/>
      <c r="HK921" s="70"/>
      <c r="HL921" s="70"/>
      <c r="HM921" s="70"/>
      <c r="HN921" s="70"/>
      <c r="HO921" s="70"/>
      <c r="HP921" s="70"/>
      <c r="HQ921" s="70"/>
      <c r="HR921" s="70"/>
      <c r="HS921" s="70"/>
      <c r="HT921" s="70"/>
      <c r="HU921" s="70"/>
      <c r="HV921" s="70"/>
      <c r="HW921" s="70"/>
      <c r="HX921" s="70"/>
      <c r="HY921" s="70"/>
      <c r="HZ921" s="70"/>
      <c r="IA921" s="70"/>
      <c r="IB921" s="70"/>
      <c r="IC921" s="70"/>
      <c r="ID921" s="70"/>
      <c r="IE921" s="70"/>
      <c r="IF921" s="70"/>
      <c r="IG921" s="70"/>
      <c r="IH921" s="70"/>
      <c r="II921" s="70"/>
      <c r="IJ921" s="70"/>
      <c r="IK921" s="70"/>
      <c r="IL921" s="70"/>
      <c r="IM921" s="70"/>
      <c r="IN921" s="70"/>
      <c r="IO921" s="70"/>
      <c r="IP921" s="70"/>
      <c r="IQ921" s="70"/>
    </row>
    <row r="922" spans="18:251" ht="16.5" hidden="1" customHeight="1">
      <c r="R922" s="95" t="s">
        <v>450</v>
      </c>
      <c r="S922" s="95"/>
      <c r="T922" s="95"/>
      <c r="U922" s="70"/>
      <c r="V922" s="214"/>
      <c r="W922" s="70"/>
      <c r="X922" s="70"/>
      <c r="Y922" s="70"/>
      <c r="Z922" s="70"/>
      <c r="AA922" s="70"/>
      <c r="AB922" s="70"/>
      <c r="AC922" s="70"/>
      <c r="AD922" s="70"/>
      <c r="AE922" s="70"/>
      <c r="AF922" s="70"/>
      <c r="AG922" s="70"/>
      <c r="AH922" s="70"/>
      <c r="AI922" s="70"/>
      <c r="AJ922" s="70"/>
      <c r="AK922" s="70"/>
      <c r="AL922" s="70"/>
      <c r="AM922" s="70"/>
      <c r="AN922" s="70"/>
      <c r="AO922" s="70"/>
      <c r="AP922" s="70"/>
      <c r="AQ922" s="70"/>
      <c r="AR922" s="70"/>
      <c r="AS922" s="70"/>
      <c r="AT922" s="70"/>
      <c r="AU922" s="70"/>
      <c r="AV922" s="70"/>
      <c r="AW922" s="70"/>
      <c r="AX922" s="70"/>
      <c r="AY922" s="70"/>
      <c r="AZ922" s="70"/>
      <c r="BA922" s="70"/>
      <c r="BB922" s="70"/>
      <c r="BC922" s="70"/>
      <c r="BD922" s="70"/>
      <c r="BE922" s="70"/>
      <c r="BF922" s="70"/>
      <c r="BG922" s="70"/>
      <c r="BH922" s="70"/>
      <c r="BI922" s="70"/>
      <c r="BJ922" s="70"/>
      <c r="BK922" s="70"/>
      <c r="BL922" s="70"/>
      <c r="BM922" s="70"/>
      <c r="BN922" s="70"/>
      <c r="BO922" s="70"/>
      <c r="BP922" s="70"/>
      <c r="BQ922" s="70"/>
      <c r="BR922" s="70"/>
      <c r="BS922" s="70"/>
      <c r="BT922" s="70"/>
      <c r="BU922" s="70"/>
      <c r="BV922" s="70"/>
      <c r="BW922" s="70"/>
      <c r="BX922" s="70"/>
      <c r="BY922" s="70"/>
      <c r="BZ922" s="70"/>
      <c r="CA922" s="70"/>
      <c r="CB922" s="70"/>
      <c r="CC922" s="70"/>
      <c r="CD922" s="70"/>
      <c r="CE922" s="70"/>
      <c r="CF922" s="70"/>
      <c r="CG922" s="70"/>
      <c r="CH922" s="70"/>
      <c r="CI922" s="70"/>
      <c r="CJ922" s="70"/>
      <c r="CK922" s="70"/>
      <c r="CL922" s="70"/>
      <c r="CM922" s="70"/>
      <c r="CN922" s="70"/>
      <c r="CO922" s="70"/>
      <c r="CP922" s="70"/>
      <c r="CQ922" s="70"/>
      <c r="CR922" s="70"/>
      <c r="CS922" s="70"/>
      <c r="CT922" s="70"/>
      <c r="CU922" s="70"/>
      <c r="CV922" s="70"/>
      <c r="CW922" s="70"/>
      <c r="CX922" s="70"/>
      <c r="CY922" s="70"/>
      <c r="CZ922" s="70"/>
      <c r="DA922" s="70"/>
      <c r="DB922" s="70"/>
      <c r="DC922" s="70"/>
      <c r="DD922" s="70"/>
      <c r="DE922" s="70"/>
      <c r="DF922" s="70"/>
      <c r="DG922" s="70"/>
      <c r="DH922" s="70"/>
      <c r="DI922" s="70"/>
      <c r="DJ922" s="70"/>
      <c r="DK922" s="70"/>
      <c r="DL922" s="70"/>
      <c r="DM922" s="70"/>
      <c r="DN922" s="70"/>
      <c r="DO922" s="70"/>
      <c r="DP922" s="70"/>
      <c r="DQ922" s="70"/>
      <c r="DR922" s="70"/>
      <c r="DS922" s="70"/>
      <c r="DT922" s="70"/>
      <c r="DU922" s="70"/>
      <c r="DV922" s="70"/>
      <c r="DW922" s="70"/>
      <c r="DX922" s="70"/>
      <c r="DY922" s="70"/>
      <c r="DZ922" s="70"/>
      <c r="EA922" s="70"/>
      <c r="EB922" s="70"/>
      <c r="EC922" s="70"/>
      <c r="ED922" s="70"/>
      <c r="EE922" s="95" t="s">
        <v>450</v>
      </c>
      <c r="EF922" s="95"/>
      <c r="EG922" s="95"/>
      <c r="EH922" s="70"/>
      <c r="EI922" s="216"/>
      <c r="EJ922" s="70"/>
      <c r="EK922" s="70"/>
      <c r="EL922" s="70"/>
      <c r="EM922" s="70"/>
      <c r="EN922" s="70"/>
      <c r="EO922" s="70"/>
      <c r="EP922" s="70"/>
      <c r="EQ922" s="70"/>
      <c r="ER922" s="70"/>
      <c r="ES922" s="70"/>
      <c r="ET922" s="70"/>
      <c r="EU922" s="70"/>
      <c r="EV922" s="70"/>
      <c r="EW922" s="70"/>
      <c r="EX922" s="70"/>
      <c r="EY922" s="70"/>
      <c r="EZ922" s="70"/>
      <c r="FA922" s="70"/>
      <c r="FB922" s="70"/>
      <c r="FC922" s="70"/>
      <c r="FD922" s="70"/>
      <c r="FE922" s="70"/>
      <c r="FF922" s="70"/>
      <c r="FG922" s="70"/>
      <c r="FH922" s="70"/>
      <c r="FI922" s="70"/>
      <c r="FJ922" s="70"/>
      <c r="FK922" s="70"/>
      <c r="FL922" s="70"/>
      <c r="FM922" s="70"/>
      <c r="FN922" s="70"/>
      <c r="FO922" s="70"/>
      <c r="FP922" s="70"/>
      <c r="FQ922" s="70"/>
      <c r="FR922" s="70"/>
      <c r="FS922" s="70"/>
      <c r="FT922" s="70"/>
      <c r="FU922" s="70"/>
      <c r="FV922" s="70"/>
      <c r="FW922" s="70"/>
      <c r="FX922" s="70"/>
      <c r="FY922" s="70"/>
      <c r="FZ922" s="70"/>
      <c r="GA922" s="70"/>
      <c r="GB922" s="70"/>
      <c r="GC922" s="70"/>
      <c r="GD922" s="70"/>
      <c r="GE922" s="70"/>
      <c r="GF922" s="70"/>
      <c r="GG922" s="70"/>
      <c r="GH922" s="70"/>
      <c r="GI922" s="70"/>
      <c r="GJ922" s="70"/>
      <c r="GK922" s="70"/>
      <c r="GL922" s="70"/>
      <c r="GM922" s="70"/>
      <c r="GN922" s="70"/>
      <c r="GO922" s="70"/>
      <c r="GP922" s="70"/>
      <c r="GQ922" s="70"/>
      <c r="GR922" s="70"/>
      <c r="GS922" s="70"/>
      <c r="GT922" s="70"/>
      <c r="GU922" s="70"/>
      <c r="GV922" s="70"/>
      <c r="GW922" s="70"/>
      <c r="GX922" s="70"/>
      <c r="GY922" s="70"/>
      <c r="GZ922" s="70"/>
      <c r="HA922" s="70"/>
      <c r="HB922" s="70"/>
      <c r="HC922" s="70"/>
      <c r="HD922" s="70"/>
      <c r="HE922" s="70"/>
      <c r="HF922" s="70"/>
      <c r="HG922" s="70"/>
      <c r="HH922" s="70"/>
      <c r="HI922" s="70"/>
      <c r="HJ922" s="70"/>
      <c r="HK922" s="70"/>
      <c r="HL922" s="70"/>
      <c r="HM922" s="70"/>
      <c r="HN922" s="70"/>
      <c r="HO922" s="70"/>
      <c r="HP922" s="70"/>
      <c r="HQ922" s="70"/>
      <c r="HR922" s="70"/>
      <c r="HS922" s="70"/>
      <c r="HT922" s="70"/>
      <c r="HU922" s="70"/>
      <c r="HV922" s="70"/>
      <c r="HW922" s="70"/>
      <c r="HX922" s="70"/>
      <c r="HY922" s="70"/>
      <c r="HZ922" s="70"/>
      <c r="IA922" s="70"/>
      <c r="IB922" s="70"/>
      <c r="IC922" s="70"/>
      <c r="ID922" s="70"/>
      <c r="IE922" s="70"/>
      <c r="IF922" s="70"/>
      <c r="IG922" s="70"/>
      <c r="IH922" s="70"/>
      <c r="II922" s="70"/>
      <c r="IJ922" s="70"/>
      <c r="IK922" s="70"/>
      <c r="IL922" s="70"/>
      <c r="IM922" s="70"/>
      <c r="IN922" s="70"/>
      <c r="IO922" s="70"/>
      <c r="IP922" s="70"/>
      <c r="IQ922" s="70"/>
    </row>
    <row r="923" spans="18:251" ht="16.5" hidden="1" customHeight="1">
      <c r="R923" s="95" t="s">
        <v>450</v>
      </c>
      <c r="S923" s="95"/>
      <c r="T923" s="95"/>
      <c r="U923" s="70"/>
      <c r="V923" s="214"/>
      <c r="W923" s="70"/>
      <c r="X923" s="70"/>
      <c r="Y923" s="70"/>
      <c r="Z923" s="70"/>
      <c r="AA923" s="70"/>
      <c r="AB923" s="70"/>
      <c r="AC923" s="70"/>
      <c r="AD923" s="70"/>
      <c r="AE923" s="70"/>
      <c r="AF923" s="70"/>
      <c r="AG923" s="70"/>
      <c r="AH923" s="70"/>
      <c r="AI923" s="70"/>
      <c r="AJ923" s="70"/>
      <c r="AK923" s="70"/>
      <c r="AL923" s="70"/>
      <c r="AM923" s="70"/>
      <c r="AN923" s="70"/>
      <c r="AO923" s="70"/>
      <c r="AP923" s="70"/>
      <c r="AQ923" s="70"/>
      <c r="AR923" s="70"/>
      <c r="AS923" s="70"/>
      <c r="AT923" s="70"/>
      <c r="AU923" s="70"/>
      <c r="AV923" s="70"/>
      <c r="AW923" s="70"/>
      <c r="AX923" s="70"/>
      <c r="AY923" s="70"/>
      <c r="AZ923" s="70"/>
      <c r="BA923" s="70"/>
      <c r="BB923" s="70"/>
      <c r="BC923" s="70"/>
      <c r="BD923" s="70"/>
      <c r="BE923" s="70"/>
      <c r="BF923" s="70"/>
      <c r="BG923" s="70"/>
      <c r="BH923" s="70"/>
      <c r="BI923" s="70"/>
      <c r="BJ923" s="70"/>
      <c r="BK923" s="70"/>
      <c r="BL923" s="70"/>
      <c r="BM923" s="70"/>
      <c r="BN923" s="70"/>
      <c r="BO923" s="70"/>
      <c r="BP923" s="70"/>
      <c r="BQ923" s="70"/>
      <c r="BR923" s="70"/>
      <c r="BS923" s="70"/>
      <c r="BT923" s="70"/>
      <c r="BU923" s="70"/>
      <c r="BV923" s="70"/>
      <c r="BW923" s="70"/>
      <c r="BX923" s="70"/>
      <c r="BY923" s="70"/>
      <c r="BZ923" s="70"/>
      <c r="CA923" s="70"/>
      <c r="CB923" s="70"/>
      <c r="CC923" s="70"/>
      <c r="CD923" s="70"/>
      <c r="CE923" s="70"/>
      <c r="CF923" s="70"/>
      <c r="CG923" s="70"/>
      <c r="CH923" s="70"/>
      <c r="CI923" s="70"/>
      <c r="CJ923" s="70"/>
      <c r="CK923" s="70"/>
      <c r="CL923" s="70"/>
      <c r="CM923" s="70"/>
      <c r="CN923" s="70"/>
      <c r="CO923" s="70"/>
      <c r="CP923" s="70"/>
      <c r="CQ923" s="70"/>
      <c r="CR923" s="70"/>
      <c r="CS923" s="70"/>
      <c r="CT923" s="70"/>
      <c r="CU923" s="70"/>
      <c r="CV923" s="70"/>
      <c r="CW923" s="70"/>
      <c r="CX923" s="70"/>
      <c r="CY923" s="70"/>
      <c r="CZ923" s="70"/>
      <c r="DA923" s="70"/>
      <c r="DB923" s="70"/>
      <c r="DC923" s="70"/>
      <c r="DD923" s="70"/>
      <c r="DE923" s="70"/>
      <c r="DF923" s="70"/>
      <c r="DG923" s="70"/>
      <c r="DH923" s="70"/>
      <c r="DI923" s="70"/>
      <c r="DJ923" s="70"/>
      <c r="DK923" s="70"/>
      <c r="DL923" s="70"/>
      <c r="DM923" s="70"/>
      <c r="DN923" s="70"/>
      <c r="DO923" s="70"/>
      <c r="DP923" s="70"/>
      <c r="DQ923" s="70"/>
      <c r="DR923" s="70"/>
      <c r="DS923" s="70"/>
      <c r="DT923" s="70"/>
      <c r="DU923" s="70"/>
      <c r="DV923" s="70"/>
      <c r="DW923" s="70"/>
      <c r="DX923" s="70"/>
      <c r="DY923" s="70"/>
      <c r="DZ923" s="70"/>
      <c r="EA923" s="70"/>
      <c r="EB923" s="70"/>
      <c r="EC923" s="70"/>
      <c r="ED923" s="70"/>
      <c r="EE923" s="95" t="s">
        <v>450</v>
      </c>
      <c r="EF923" s="95"/>
      <c r="EG923" s="95"/>
      <c r="EH923" s="70"/>
      <c r="EI923" s="216"/>
      <c r="EJ923" s="70"/>
      <c r="EK923" s="70"/>
      <c r="EL923" s="70"/>
      <c r="EM923" s="70"/>
      <c r="EN923" s="70"/>
      <c r="EO923" s="70"/>
      <c r="EP923" s="70"/>
      <c r="EQ923" s="70"/>
      <c r="ER923" s="70"/>
      <c r="ES923" s="70"/>
      <c r="ET923" s="70"/>
      <c r="EU923" s="70"/>
      <c r="EV923" s="70"/>
      <c r="EW923" s="70"/>
      <c r="EX923" s="70"/>
      <c r="EY923" s="70"/>
      <c r="EZ923" s="70"/>
      <c r="FA923" s="70"/>
      <c r="FB923" s="70"/>
      <c r="FC923" s="70"/>
      <c r="FD923" s="70"/>
      <c r="FE923" s="70"/>
      <c r="FF923" s="70"/>
      <c r="FG923" s="70"/>
      <c r="FH923" s="70"/>
      <c r="FI923" s="70"/>
      <c r="FJ923" s="70"/>
      <c r="FK923" s="70"/>
      <c r="FL923" s="70"/>
      <c r="FM923" s="70"/>
      <c r="FN923" s="70"/>
      <c r="FO923" s="70"/>
      <c r="FP923" s="70"/>
      <c r="FQ923" s="70"/>
      <c r="FR923" s="70"/>
      <c r="FS923" s="70"/>
      <c r="FT923" s="70"/>
      <c r="FU923" s="70"/>
      <c r="FV923" s="70"/>
      <c r="FW923" s="70"/>
      <c r="FX923" s="70"/>
      <c r="FY923" s="70"/>
      <c r="FZ923" s="70"/>
      <c r="GA923" s="70"/>
      <c r="GB923" s="70"/>
      <c r="GC923" s="70"/>
      <c r="GD923" s="70"/>
      <c r="GE923" s="70"/>
      <c r="GF923" s="70"/>
      <c r="GG923" s="70"/>
      <c r="GH923" s="70"/>
      <c r="GI923" s="70"/>
      <c r="GJ923" s="70"/>
      <c r="GK923" s="70"/>
      <c r="GL923" s="70"/>
      <c r="GM923" s="70"/>
      <c r="GN923" s="70"/>
      <c r="GO923" s="70"/>
      <c r="GP923" s="70"/>
      <c r="GQ923" s="70"/>
      <c r="GR923" s="70"/>
      <c r="GS923" s="70"/>
      <c r="GT923" s="70"/>
      <c r="GU923" s="70"/>
      <c r="GV923" s="70"/>
      <c r="GW923" s="70"/>
      <c r="GX923" s="70"/>
      <c r="GY923" s="70"/>
      <c r="GZ923" s="70"/>
      <c r="HA923" s="70"/>
      <c r="HB923" s="70"/>
      <c r="HC923" s="70"/>
      <c r="HD923" s="70"/>
      <c r="HE923" s="70"/>
      <c r="HF923" s="70"/>
      <c r="HG923" s="70"/>
      <c r="HH923" s="70"/>
      <c r="HI923" s="70"/>
      <c r="HJ923" s="70"/>
      <c r="HK923" s="70"/>
      <c r="HL923" s="70"/>
      <c r="HM923" s="70"/>
      <c r="HN923" s="70"/>
      <c r="HO923" s="70"/>
      <c r="HP923" s="70"/>
      <c r="HQ923" s="70"/>
      <c r="HR923" s="70"/>
      <c r="HS923" s="70"/>
      <c r="HT923" s="70"/>
      <c r="HU923" s="70"/>
      <c r="HV923" s="70"/>
      <c r="HW923" s="70"/>
      <c r="HX923" s="70"/>
      <c r="HY923" s="70"/>
      <c r="HZ923" s="70"/>
      <c r="IA923" s="70"/>
      <c r="IB923" s="70"/>
      <c r="IC923" s="70"/>
      <c r="ID923" s="70"/>
      <c r="IE923" s="70"/>
      <c r="IF923" s="70"/>
      <c r="IG923" s="70"/>
      <c r="IH923" s="70"/>
      <c r="II923" s="70"/>
      <c r="IJ923" s="70"/>
      <c r="IK923" s="70"/>
      <c r="IL923" s="70"/>
      <c r="IM923" s="70"/>
      <c r="IN923" s="70"/>
      <c r="IO923" s="70"/>
      <c r="IP923" s="70"/>
      <c r="IQ923" s="70"/>
    </row>
    <row r="924" spans="18:251" ht="16.5" hidden="1" customHeight="1">
      <c r="R924" s="95" t="s">
        <v>450</v>
      </c>
      <c r="S924" s="95"/>
      <c r="T924" s="95"/>
      <c r="U924" s="70"/>
      <c r="V924" s="214"/>
      <c r="W924" s="70"/>
      <c r="X924" s="70"/>
      <c r="Y924" s="70"/>
      <c r="Z924" s="70"/>
      <c r="AA924" s="70"/>
      <c r="AB924" s="70"/>
      <c r="AC924" s="70"/>
      <c r="AD924" s="70"/>
      <c r="AE924" s="70"/>
      <c r="AF924" s="70"/>
      <c r="AG924" s="70"/>
      <c r="AH924" s="70"/>
      <c r="AI924" s="70"/>
      <c r="AJ924" s="70"/>
      <c r="AK924" s="70"/>
      <c r="AL924" s="70"/>
      <c r="AM924" s="70"/>
      <c r="AN924" s="70"/>
      <c r="AO924" s="70"/>
      <c r="AP924" s="70"/>
      <c r="AQ924" s="70"/>
      <c r="AR924" s="70"/>
      <c r="AS924" s="70"/>
      <c r="AT924" s="70"/>
      <c r="AU924" s="70"/>
      <c r="AV924" s="70"/>
      <c r="AW924" s="70"/>
      <c r="AX924" s="70"/>
      <c r="AY924" s="70"/>
      <c r="AZ924" s="70"/>
      <c r="BA924" s="70"/>
      <c r="BB924" s="70"/>
      <c r="BC924" s="70"/>
      <c r="BD924" s="70"/>
      <c r="BE924" s="70"/>
      <c r="BF924" s="70"/>
      <c r="BG924" s="70"/>
      <c r="BH924" s="70"/>
      <c r="BI924" s="70"/>
      <c r="BJ924" s="70"/>
      <c r="BK924" s="70"/>
      <c r="BL924" s="70"/>
      <c r="BM924" s="70"/>
      <c r="BN924" s="70"/>
      <c r="BO924" s="70"/>
      <c r="BP924" s="70"/>
      <c r="BQ924" s="70"/>
      <c r="BR924" s="70"/>
      <c r="BS924" s="70"/>
      <c r="BT924" s="70"/>
      <c r="BU924" s="70"/>
      <c r="BV924" s="70"/>
      <c r="BW924" s="70"/>
      <c r="BX924" s="70"/>
      <c r="BY924" s="70"/>
      <c r="BZ924" s="70"/>
      <c r="CA924" s="70"/>
      <c r="CB924" s="70"/>
      <c r="CC924" s="70"/>
      <c r="CD924" s="70"/>
      <c r="CE924" s="70"/>
      <c r="CF924" s="70"/>
      <c r="CG924" s="70"/>
      <c r="CH924" s="70"/>
      <c r="CI924" s="70"/>
      <c r="CJ924" s="70"/>
      <c r="CK924" s="70"/>
      <c r="CL924" s="70"/>
      <c r="CM924" s="70"/>
      <c r="CN924" s="70"/>
      <c r="CO924" s="70"/>
      <c r="CP924" s="70"/>
      <c r="CQ924" s="70"/>
      <c r="CR924" s="70"/>
      <c r="CS924" s="70"/>
      <c r="CT924" s="70"/>
      <c r="CU924" s="70"/>
      <c r="CV924" s="70"/>
      <c r="CW924" s="70"/>
      <c r="CX924" s="70"/>
      <c r="CY924" s="70"/>
      <c r="CZ924" s="70"/>
      <c r="DA924" s="70"/>
      <c r="DB924" s="70"/>
      <c r="DC924" s="70"/>
      <c r="DD924" s="70"/>
      <c r="DE924" s="70"/>
      <c r="DF924" s="70"/>
      <c r="DG924" s="70"/>
      <c r="DH924" s="70"/>
      <c r="DI924" s="70"/>
      <c r="DJ924" s="70"/>
      <c r="DK924" s="70"/>
      <c r="DL924" s="70"/>
      <c r="DM924" s="70"/>
      <c r="DN924" s="70"/>
      <c r="DO924" s="70"/>
      <c r="DP924" s="70"/>
      <c r="DQ924" s="70"/>
      <c r="DR924" s="70"/>
      <c r="DS924" s="70"/>
      <c r="DT924" s="70"/>
      <c r="DU924" s="70"/>
      <c r="DV924" s="70"/>
      <c r="DW924" s="70"/>
      <c r="DX924" s="70"/>
      <c r="DY924" s="70"/>
      <c r="DZ924" s="70"/>
      <c r="EA924" s="70"/>
      <c r="EB924" s="70"/>
      <c r="EC924" s="70"/>
      <c r="ED924" s="70"/>
      <c r="EE924" s="95" t="s">
        <v>450</v>
      </c>
      <c r="EF924" s="95"/>
      <c r="EG924" s="95"/>
      <c r="EH924" s="70"/>
      <c r="EI924" s="216"/>
      <c r="EJ924" s="70"/>
      <c r="EK924" s="70"/>
      <c r="EL924" s="70"/>
      <c r="EM924" s="70"/>
      <c r="EN924" s="70"/>
      <c r="EO924" s="70"/>
      <c r="EP924" s="70"/>
      <c r="EQ924" s="70"/>
      <c r="ER924" s="70"/>
      <c r="ES924" s="70"/>
      <c r="ET924" s="70"/>
      <c r="EU924" s="70"/>
      <c r="EV924" s="70"/>
      <c r="EW924" s="70"/>
      <c r="EX924" s="70"/>
      <c r="EY924" s="70"/>
      <c r="EZ924" s="70"/>
      <c r="FA924" s="70"/>
      <c r="FB924" s="70"/>
      <c r="FC924" s="70"/>
      <c r="FD924" s="70"/>
      <c r="FE924" s="70"/>
      <c r="FF924" s="70"/>
      <c r="FG924" s="70"/>
      <c r="FH924" s="70"/>
      <c r="FI924" s="70"/>
      <c r="FJ924" s="70"/>
      <c r="FK924" s="70"/>
      <c r="FL924" s="70"/>
      <c r="FM924" s="70"/>
      <c r="FN924" s="70"/>
      <c r="FO924" s="70"/>
      <c r="FP924" s="70"/>
      <c r="FQ924" s="70"/>
      <c r="FR924" s="70"/>
      <c r="FS924" s="70"/>
      <c r="FT924" s="70"/>
      <c r="FU924" s="70"/>
      <c r="FV924" s="70"/>
      <c r="FW924" s="70"/>
      <c r="FX924" s="70"/>
      <c r="FY924" s="70"/>
      <c r="FZ924" s="70"/>
      <c r="GA924" s="70"/>
      <c r="GB924" s="70"/>
      <c r="GC924" s="70"/>
      <c r="GD924" s="70"/>
      <c r="GE924" s="70"/>
      <c r="GF924" s="70"/>
      <c r="GG924" s="70"/>
      <c r="GH924" s="70"/>
      <c r="GI924" s="70"/>
      <c r="GJ924" s="70"/>
      <c r="GK924" s="70"/>
      <c r="GL924" s="70"/>
      <c r="GM924" s="70"/>
      <c r="GN924" s="70"/>
      <c r="GO924" s="70"/>
      <c r="GP924" s="70"/>
      <c r="GQ924" s="70"/>
      <c r="GR924" s="70"/>
      <c r="GS924" s="70"/>
      <c r="GT924" s="70"/>
      <c r="GU924" s="70"/>
      <c r="GV924" s="70"/>
      <c r="GW924" s="70"/>
      <c r="GX924" s="70"/>
      <c r="GY924" s="70"/>
      <c r="GZ924" s="70"/>
      <c r="HA924" s="70"/>
      <c r="HB924" s="70"/>
      <c r="HC924" s="70"/>
      <c r="HD924" s="70"/>
      <c r="HE924" s="70"/>
      <c r="HF924" s="70"/>
      <c r="HG924" s="70"/>
      <c r="HH924" s="70"/>
      <c r="HI924" s="70"/>
      <c r="HJ924" s="70"/>
      <c r="HK924" s="70"/>
      <c r="HL924" s="70"/>
      <c r="HM924" s="70"/>
      <c r="HN924" s="70"/>
      <c r="HO924" s="70"/>
      <c r="HP924" s="70"/>
      <c r="HQ924" s="70"/>
      <c r="HR924" s="70"/>
      <c r="HS924" s="70"/>
      <c r="HT924" s="70"/>
      <c r="HU924" s="70"/>
      <c r="HV924" s="70"/>
      <c r="HW924" s="70"/>
      <c r="HX924" s="70"/>
      <c r="HY924" s="70"/>
      <c r="HZ924" s="70"/>
      <c r="IA924" s="70"/>
      <c r="IB924" s="70"/>
      <c r="IC924" s="70"/>
      <c r="ID924" s="70"/>
      <c r="IE924" s="70"/>
      <c r="IF924" s="70"/>
      <c r="IG924" s="70"/>
      <c r="IH924" s="70"/>
      <c r="II924" s="70"/>
      <c r="IJ924" s="70"/>
      <c r="IK924" s="70"/>
      <c r="IL924" s="70"/>
      <c r="IM924" s="70"/>
      <c r="IN924" s="70"/>
      <c r="IO924" s="70"/>
      <c r="IP924" s="70"/>
      <c r="IQ924" s="70"/>
    </row>
    <row r="925" spans="18:251" ht="16.5" hidden="1" customHeight="1">
      <c r="R925" s="95" t="s">
        <v>450</v>
      </c>
      <c r="S925" s="95"/>
      <c r="T925" s="95"/>
      <c r="U925" s="70"/>
      <c r="V925" s="214"/>
      <c r="W925" s="70"/>
      <c r="X925" s="70"/>
      <c r="Y925" s="70"/>
      <c r="Z925" s="70"/>
      <c r="AA925" s="70"/>
      <c r="AB925" s="70"/>
      <c r="AC925" s="70"/>
      <c r="AD925" s="70"/>
      <c r="AE925" s="70"/>
      <c r="AF925" s="70"/>
      <c r="AG925" s="70"/>
      <c r="AH925" s="70"/>
      <c r="AI925" s="70"/>
      <c r="AJ925" s="70"/>
      <c r="AK925" s="70"/>
      <c r="AL925" s="70"/>
      <c r="AM925" s="70"/>
      <c r="AN925" s="70"/>
      <c r="AO925" s="70"/>
      <c r="AP925" s="70"/>
      <c r="AQ925" s="70"/>
      <c r="AR925" s="70"/>
      <c r="AS925" s="70"/>
      <c r="AT925" s="70"/>
      <c r="AU925" s="70"/>
      <c r="AV925" s="70"/>
      <c r="AW925" s="70"/>
      <c r="AX925" s="70"/>
      <c r="AY925" s="70"/>
      <c r="AZ925" s="70"/>
      <c r="BA925" s="70"/>
      <c r="BB925" s="70"/>
      <c r="BC925" s="70"/>
      <c r="BD925" s="70"/>
      <c r="BE925" s="70"/>
      <c r="BF925" s="70"/>
      <c r="BG925" s="70"/>
      <c r="BH925" s="70"/>
      <c r="BI925" s="70"/>
      <c r="BJ925" s="70"/>
      <c r="BK925" s="70"/>
      <c r="BL925" s="70"/>
      <c r="BM925" s="70"/>
      <c r="BN925" s="70"/>
      <c r="BO925" s="70"/>
      <c r="BP925" s="70"/>
      <c r="BQ925" s="70"/>
      <c r="BR925" s="70"/>
      <c r="BS925" s="70"/>
      <c r="BT925" s="70"/>
      <c r="BU925" s="70"/>
      <c r="BV925" s="70"/>
      <c r="BW925" s="70"/>
      <c r="BX925" s="70"/>
      <c r="BY925" s="70"/>
      <c r="BZ925" s="70"/>
      <c r="CA925" s="70"/>
      <c r="CB925" s="70"/>
      <c r="CC925" s="70"/>
      <c r="CD925" s="70"/>
      <c r="CE925" s="70"/>
      <c r="CF925" s="70"/>
      <c r="CG925" s="70"/>
      <c r="CH925" s="70"/>
      <c r="CI925" s="70"/>
      <c r="CJ925" s="70"/>
      <c r="CK925" s="70"/>
      <c r="CL925" s="70"/>
      <c r="CM925" s="70"/>
      <c r="CN925" s="70"/>
      <c r="CO925" s="70"/>
      <c r="CP925" s="70"/>
      <c r="CQ925" s="70"/>
      <c r="CR925" s="70"/>
      <c r="CS925" s="70"/>
      <c r="CT925" s="70"/>
      <c r="CU925" s="70"/>
      <c r="CV925" s="70"/>
      <c r="CW925" s="70"/>
      <c r="CX925" s="70"/>
      <c r="CY925" s="70"/>
      <c r="CZ925" s="70"/>
      <c r="DA925" s="70"/>
      <c r="DB925" s="70"/>
      <c r="DC925" s="70"/>
      <c r="DD925" s="70"/>
      <c r="DE925" s="70"/>
      <c r="DF925" s="70"/>
      <c r="DG925" s="70"/>
      <c r="DH925" s="70"/>
      <c r="DI925" s="70"/>
      <c r="DJ925" s="70"/>
      <c r="DK925" s="70"/>
      <c r="DL925" s="70"/>
      <c r="DM925" s="70"/>
      <c r="DN925" s="70"/>
      <c r="DO925" s="70"/>
      <c r="DP925" s="70"/>
      <c r="DQ925" s="70"/>
      <c r="DR925" s="70"/>
      <c r="DS925" s="70"/>
      <c r="DT925" s="70"/>
      <c r="DU925" s="70"/>
      <c r="DV925" s="70"/>
      <c r="DW925" s="70"/>
      <c r="DX925" s="70"/>
      <c r="DY925" s="70"/>
      <c r="DZ925" s="70"/>
      <c r="EA925" s="70"/>
      <c r="EB925" s="70"/>
      <c r="EC925" s="70"/>
      <c r="ED925" s="70"/>
      <c r="EE925" s="95" t="s">
        <v>450</v>
      </c>
      <c r="EF925" s="95"/>
      <c r="EG925" s="95"/>
      <c r="EH925" s="70"/>
      <c r="EI925" s="216"/>
      <c r="EJ925" s="70"/>
      <c r="EK925" s="70"/>
      <c r="EL925" s="70"/>
      <c r="EM925" s="70"/>
      <c r="EN925" s="70"/>
      <c r="EO925" s="70"/>
      <c r="EP925" s="70"/>
      <c r="EQ925" s="70"/>
      <c r="ER925" s="70"/>
      <c r="ES925" s="70"/>
      <c r="ET925" s="70"/>
      <c r="EU925" s="70"/>
      <c r="EV925" s="70"/>
      <c r="EW925" s="70"/>
      <c r="EX925" s="70"/>
      <c r="EY925" s="70"/>
      <c r="EZ925" s="70"/>
      <c r="FA925" s="70"/>
      <c r="FB925" s="70"/>
      <c r="FC925" s="70"/>
      <c r="FD925" s="70"/>
      <c r="FE925" s="70"/>
      <c r="FF925" s="70"/>
      <c r="FG925" s="70"/>
      <c r="FH925" s="70"/>
      <c r="FI925" s="70"/>
      <c r="FJ925" s="70"/>
      <c r="FK925" s="70"/>
      <c r="FL925" s="70"/>
      <c r="FM925" s="70"/>
      <c r="FN925" s="70"/>
      <c r="FO925" s="70"/>
      <c r="FP925" s="70"/>
      <c r="FQ925" s="70"/>
      <c r="FR925" s="70"/>
      <c r="FS925" s="70"/>
      <c r="FT925" s="70"/>
      <c r="FU925" s="70"/>
      <c r="FV925" s="70"/>
      <c r="FW925" s="70"/>
      <c r="FX925" s="70"/>
      <c r="FY925" s="70"/>
      <c r="FZ925" s="70"/>
      <c r="GA925" s="70"/>
      <c r="GB925" s="70"/>
      <c r="GC925" s="70"/>
      <c r="GD925" s="70"/>
      <c r="GE925" s="70"/>
      <c r="GF925" s="70"/>
      <c r="GG925" s="70"/>
      <c r="GH925" s="70"/>
      <c r="GI925" s="70"/>
      <c r="GJ925" s="70"/>
      <c r="GK925" s="70"/>
      <c r="GL925" s="70"/>
      <c r="GM925" s="70"/>
      <c r="GN925" s="70"/>
      <c r="GO925" s="70"/>
      <c r="GP925" s="70"/>
      <c r="GQ925" s="70"/>
      <c r="GR925" s="70"/>
      <c r="GS925" s="70"/>
      <c r="GT925" s="70"/>
      <c r="GU925" s="70"/>
      <c r="GV925" s="70"/>
      <c r="GW925" s="70"/>
      <c r="GX925" s="70"/>
      <c r="GY925" s="70"/>
      <c r="GZ925" s="70"/>
      <c r="HA925" s="70"/>
      <c r="HB925" s="70"/>
      <c r="HC925" s="70"/>
      <c r="HD925" s="70"/>
      <c r="HE925" s="70"/>
      <c r="HF925" s="70"/>
      <c r="HG925" s="70"/>
      <c r="HH925" s="70"/>
      <c r="HI925" s="70"/>
      <c r="HJ925" s="70"/>
      <c r="HK925" s="70"/>
      <c r="HL925" s="70"/>
      <c r="HM925" s="70"/>
      <c r="HN925" s="70"/>
      <c r="HO925" s="70"/>
      <c r="HP925" s="70"/>
      <c r="HQ925" s="70"/>
      <c r="HR925" s="70"/>
      <c r="HS925" s="70"/>
      <c r="HT925" s="70"/>
      <c r="HU925" s="70"/>
      <c r="HV925" s="70"/>
      <c r="HW925" s="70"/>
      <c r="HX925" s="70"/>
      <c r="HY925" s="70"/>
      <c r="HZ925" s="70"/>
      <c r="IA925" s="70"/>
      <c r="IB925" s="70"/>
      <c r="IC925" s="70"/>
      <c r="ID925" s="70"/>
      <c r="IE925" s="70"/>
      <c r="IF925" s="70"/>
      <c r="IG925" s="70"/>
      <c r="IH925" s="70"/>
      <c r="II925" s="70"/>
      <c r="IJ925" s="70"/>
      <c r="IK925" s="70"/>
      <c r="IL925" s="70"/>
      <c r="IM925" s="70"/>
      <c r="IN925" s="70"/>
      <c r="IO925" s="70"/>
      <c r="IP925" s="70"/>
      <c r="IQ925" s="70"/>
    </row>
    <row r="926" spans="18:251" ht="16.5" hidden="1" customHeight="1">
      <c r="R926" s="95" t="s">
        <v>450</v>
      </c>
      <c r="S926" s="95"/>
      <c r="T926" s="95"/>
      <c r="U926" s="70"/>
      <c r="V926" s="214"/>
      <c r="W926" s="70"/>
      <c r="X926" s="70"/>
      <c r="Y926" s="70"/>
      <c r="Z926" s="70"/>
      <c r="AA926" s="70"/>
      <c r="AB926" s="70"/>
      <c r="AC926" s="70"/>
      <c r="AD926" s="70"/>
      <c r="AE926" s="70"/>
      <c r="AF926" s="70"/>
      <c r="AG926" s="70"/>
      <c r="AH926" s="70"/>
      <c r="AI926" s="70"/>
      <c r="AJ926" s="70"/>
      <c r="AK926" s="70"/>
      <c r="AL926" s="70"/>
      <c r="AM926" s="70"/>
      <c r="AN926" s="70"/>
      <c r="AO926" s="70"/>
      <c r="AP926" s="70"/>
      <c r="AQ926" s="70"/>
      <c r="AR926" s="70"/>
      <c r="AS926" s="70"/>
      <c r="AT926" s="70"/>
      <c r="AU926" s="70"/>
      <c r="AV926" s="70"/>
      <c r="AW926" s="70"/>
      <c r="AX926" s="70"/>
      <c r="AY926" s="70"/>
      <c r="AZ926" s="70"/>
      <c r="BA926" s="70"/>
      <c r="BB926" s="70"/>
      <c r="BC926" s="70"/>
      <c r="BD926" s="70"/>
      <c r="BE926" s="70"/>
      <c r="BF926" s="70"/>
      <c r="BG926" s="70"/>
      <c r="BH926" s="70"/>
      <c r="BI926" s="70"/>
      <c r="BJ926" s="70"/>
      <c r="BK926" s="70"/>
      <c r="BL926" s="70"/>
      <c r="BM926" s="70"/>
      <c r="BN926" s="70"/>
      <c r="BO926" s="70"/>
      <c r="BP926" s="70"/>
      <c r="BQ926" s="70"/>
      <c r="BR926" s="70"/>
      <c r="BS926" s="70"/>
      <c r="BT926" s="70"/>
      <c r="BU926" s="70"/>
      <c r="BV926" s="70"/>
      <c r="BW926" s="70"/>
      <c r="BX926" s="70"/>
      <c r="BY926" s="70"/>
      <c r="BZ926" s="70"/>
      <c r="CA926" s="70"/>
      <c r="CB926" s="70"/>
      <c r="CC926" s="70"/>
      <c r="CD926" s="70"/>
      <c r="CE926" s="70"/>
      <c r="CF926" s="70"/>
      <c r="CG926" s="70"/>
      <c r="CH926" s="70"/>
      <c r="CI926" s="70"/>
      <c r="CJ926" s="70"/>
      <c r="CK926" s="70"/>
      <c r="CL926" s="70"/>
      <c r="CM926" s="70"/>
      <c r="CN926" s="70"/>
      <c r="CO926" s="70"/>
      <c r="CP926" s="70"/>
      <c r="CQ926" s="70"/>
      <c r="CR926" s="70"/>
      <c r="CS926" s="70"/>
      <c r="CT926" s="70"/>
      <c r="CU926" s="70"/>
      <c r="CV926" s="70"/>
      <c r="CW926" s="70"/>
      <c r="CX926" s="70"/>
      <c r="CY926" s="70"/>
      <c r="CZ926" s="70"/>
      <c r="DA926" s="70"/>
      <c r="DB926" s="70"/>
      <c r="DC926" s="70"/>
      <c r="DD926" s="70"/>
      <c r="DE926" s="70"/>
      <c r="DF926" s="70"/>
      <c r="DG926" s="70"/>
      <c r="DH926" s="70"/>
      <c r="DI926" s="70"/>
      <c r="DJ926" s="70"/>
      <c r="DK926" s="70"/>
      <c r="DL926" s="70"/>
      <c r="DM926" s="70"/>
      <c r="DN926" s="70"/>
      <c r="DO926" s="70"/>
      <c r="DP926" s="70"/>
      <c r="DQ926" s="70"/>
      <c r="DR926" s="70"/>
      <c r="DS926" s="70"/>
      <c r="DT926" s="70"/>
      <c r="DU926" s="70"/>
      <c r="DV926" s="70"/>
      <c r="DW926" s="70"/>
      <c r="DX926" s="70"/>
      <c r="DY926" s="70"/>
      <c r="DZ926" s="70"/>
      <c r="EA926" s="70"/>
      <c r="EB926" s="70"/>
      <c r="EC926" s="70"/>
      <c r="ED926" s="70"/>
      <c r="EE926" s="95" t="s">
        <v>450</v>
      </c>
      <c r="EF926" s="95"/>
      <c r="EG926" s="95"/>
      <c r="EH926" s="70"/>
      <c r="EI926" s="216"/>
      <c r="EJ926" s="70"/>
      <c r="EK926" s="70"/>
      <c r="EL926" s="70"/>
      <c r="EM926" s="70"/>
      <c r="EN926" s="70"/>
      <c r="EO926" s="70"/>
      <c r="EP926" s="70"/>
      <c r="EQ926" s="70"/>
      <c r="ER926" s="70"/>
      <c r="ES926" s="70"/>
      <c r="ET926" s="70"/>
      <c r="EU926" s="70"/>
      <c r="EV926" s="70"/>
      <c r="EW926" s="70"/>
      <c r="EX926" s="70"/>
      <c r="EY926" s="70"/>
      <c r="EZ926" s="70"/>
      <c r="FA926" s="70"/>
      <c r="FB926" s="70"/>
      <c r="FC926" s="70"/>
      <c r="FD926" s="70"/>
      <c r="FE926" s="70"/>
      <c r="FF926" s="70"/>
      <c r="FG926" s="70"/>
      <c r="FH926" s="70"/>
      <c r="FI926" s="70"/>
      <c r="FJ926" s="70"/>
      <c r="FK926" s="70"/>
      <c r="FL926" s="70"/>
      <c r="FM926" s="70"/>
      <c r="FN926" s="70"/>
      <c r="FO926" s="70"/>
      <c r="FP926" s="70"/>
      <c r="FQ926" s="70"/>
      <c r="FR926" s="70"/>
      <c r="FS926" s="70"/>
      <c r="FT926" s="70"/>
      <c r="FU926" s="70"/>
      <c r="FV926" s="70"/>
      <c r="FW926" s="70"/>
      <c r="FX926" s="70"/>
      <c r="FY926" s="70"/>
      <c r="FZ926" s="70"/>
      <c r="GA926" s="70"/>
      <c r="GB926" s="70"/>
      <c r="GC926" s="70"/>
      <c r="GD926" s="70"/>
      <c r="GE926" s="70"/>
      <c r="GF926" s="70"/>
      <c r="GG926" s="70"/>
      <c r="GH926" s="70"/>
      <c r="GI926" s="70"/>
      <c r="GJ926" s="70"/>
      <c r="GK926" s="70"/>
      <c r="GL926" s="70"/>
      <c r="GM926" s="70"/>
      <c r="GN926" s="70"/>
      <c r="GO926" s="70"/>
      <c r="GP926" s="70"/>
      <c r="GQ926" s="70"/>
      <c r="GR926" s="70"/>
      <c r="GS926" s="70"/>
      <c r="GT926" s="70"/>
      <c r="GU926" s="70"/>
      <c r="GV926" s="70"/>
      <c r="GW926" s="70"/>
      <c r="GX926" s="70"/>
      <c r="GY926" s="70"/>
      <c r="GZ926" s="70"/>
      <c r="HA926" s="70"/>
      <c r="HB926" s="70"/>
      <c r="HC926" s="70"/>
      <c r="HD926" s="70"/>
      <c r="HE926" s="70"/>
      <c r="HF926" s="70"/>
      <c r="HG926" s="70"/>
      <c r="HH926" s="70"/>
      <c r="HI926" s="70"/>
      <c r="HJ926" s="70"/>
      <c r="HK926" s="70"/>
      <c r="HL926" s="70"/>
      <c r="HM926" s="70"/>
      <c r="HN926" s="70"/>
      <c r="HO926" s="70"/>
      <c r="HP926" s="70"/>
      <c r="HQ926" s="70"/>
      <c r="HR926" s="70"/>
      <c r="HS926" s="70"/>
      <c r="HT926" s="70"/>
      <c r="HU926" s="70"/>
      <c r="HV926" s="70"/>
      <c r="HW926" s="70"/>
      <c r="HX926" s="70"/>
      <c r="HY926" s="70"/>
      <c r="HZ926" s="70"/>
      <c r="IA926" s="70"/>
      <c r="IB926" s="70"/>
      <c r="IC926" s="70"/>
      <c r="ID926" s="70"/>
      <c r="IE926" s="70"/>
      <c r="IF926" s="70"/>
      <c r="IG926" s="70"/>
      <c r="IH926" s="70"/>
      <c r="II926" s="70"/>
      <c r="IJ926" s="70"/>
      <c r="IK926" s="70"/>
      <c r="IL926" s="70"/>
      <c r="IM926" s="70"/>
      <c r="IN926" s="70"/>
      <c r="IO926" s="70"/>
      <c r="IP926" s="70"/>
      <c r="IQ926" s="70"/>
    </row>
    <row r="927" spans="18:251" ht="16.5" hidden="1" customHeight="1">
      <c r="R927" s="95" t="s">
        <v>450</v>
      </c>
      <c r="S927" s="95"/>
      <c r="T927" s="95"/>
      <c r="U927" s="70"/>
      <c r="V927" s="214"/>
      <c r="W927" s="70"/>
      <c r="X927" s="70"/>
      <c r="Y927" s="70"/>
      <c r="Z927" s="70"/>
      <c r="AA927" s="70"/>
      <c r="AB927" s="70"/>
      <c r="AC927" s="70"/>
      <c r="AD927" s="70"/>
      <c r="AE927" s="70"/>
      <c r="AF927" s="70"/>
      <c r="AG927" s="70"/>
      <c r="AH927" s="70"/>
      <c r="AI927" s="70"/>
      <c r="AJ927" s="70"/>
      <c r="AK927" s="70"/>
      <c r="AL927" s="70"/>
      <c r="AM927" s="70"/>
      <c r="AN927" s="70"/>
      <c r="AO927" s="70"/>
      <c r="AP927" s="70"/>
      <c r="AQ927" s="70"/>
      <c r="AR927" s="70"/>
      <c r="AS927" s="70"/>
      <c r="AT927" s="70"/>
      <c r="AU927" s="70"/>
      <c r="AV927" s="70"/>
      <c r="AW927" s="70"/>
      <c r="AX927" s="70"/>
      <c r="AY927" s="70"/>
      <c r="AZ927" s="70"/>
      <c r="BA927" s="70"/>
      <c r="BB927" s="70"/>
      <c r="BC927" s="70"/>
      <c r="BD927" s="70"/>
      <c r="BE927" s="70"/>
      <c r="BF927" s="70"/>
      <c r="BG927" s="70"/>
      <c r="BH927" s="70"/>
      <c r="BI927" s="70"/>
      <c r="BJ927" s="70"/>
      <c r="BK927" s="70"/>
      <c r="BL927" s="70"/>
      <c r="BM927" s="70"/>
      <c r="BN927" s="70"/>
      <c r="BO927" s="70"/>
      <c r="BP927" s="70"/>
      <c r="BQ927" s="70"/>
      <c r="BR927" s="70"/>
      <c r="BS927" s="70"/>
      <c r="BT927" s="70"/>
      <c r="BU927" s="70"/>
      <c r="BV927" s="70"/>
      <c r="BW927" s="70"/>
      <c r="BX927" s="70"/>
      <c r="BY927" s="70"/>
      <c r="BZ927" s="70"/>
      <c r="CA927" s="70"/>
      <c r="CB927" s="70"/>
      <c r="CC927" s="70"/>
      <c r="CD927" s="70"/>
      <c r="CE927" s="70"/>
      <c r="CF927" s="70"/>
      <c r="CG927" s="70"/>
      <c r="CH927" s="70"/>
      <c r="CI927" s="70"/>
      <c r="CJ927" s="70"/>
      <c r="CK927" s="70"/>
      <c r="CL927" s="70"/>
      <c r="CM927" s="70"/>
      <c r="CN927" s="70"/>
      <c r="CO927" s="70"/>
      <c r="CP927" s="70"/>
      <c r="CQ927" s="70"/>
      <c r="CR927" s="70"/>
      <c r="CS927" s="70"/>
      <c r="CT927" s="70"/>
      <c r="CU927" s="70"/>
      <c r="CV927" s="70"/>
      <c r="CW927" s="70"/>
      <c r="CX927" s="70"/>
      <c r="CY927" s="70"/>
      <c r="CZ927" s="70"/>
      <c r="DA927" s="70"/>
      <c r="DB927" s="70"/>
      <c r="DC927" s="70"/>
      <c r="DD927" s="70"/>
      <c r="DE927" s="70"/>
      <c r="DF927" s="70"/>
      <c r="DG927" s="70"/>
      <c r="DH927" s="70"/>
      <c r="DI927" s="70"/>
      <c r="DJ927" s="70"/>
      <c r="DK927" s="70"/>
      <c r="DL927" s="70"/>
      <c r="DM927" s="70"/>
      <c r="DN927" s="70"/>
      <c r="DO927" s="70"/>
      <c r="DP927" s="70"/>
      <c r="DQ927" s="70"/>
      <c r="DR927" s="70"/>
      <c r="DS927" s="70"/>
      <c r="DT927" s="70"/>
      <c r="DU927" s="70"/>
      <c r="DV927" s="70"/>
      <c r="DW927" s="70"/>
      <c r="DX927" s="70"/>
      <c r="DY927" s="70"/>
      <c r="DZ927" s="70"/>
      <c r="EA927" s="70"/>
      <c r="EB927" s="70"/>
      <c r="EC927" s="70"/>
      <c r="ED927" s="70"/>
      <c r="EE927" s="95" t="s">
        <v>450</v>
      </c>
      <c r="EF927" s="95"/>
      <c r="EG927" s="95"/>
      <c r="EH927" s="70"/>
      <c r="EI927" s="216"/>
      <c r="EJ927" s="70"/>
      <c r="EK927" s="70"/>
      <c r="EL927" s="70"/>
      <c r="EM927" s="70"/>
      <c r="EN927" s="70"/>
      <c r="EO927" s="70"/>
      <c r="EP927" s="70"/>
      <c r="EQ927" s="70"/>
      <c r="ER927" s="70"/>
      <c r="ES927" s="70"/>
      <c r="ET927" s="70"/>
      <c r="EU927" s="70"/>
      <c r="EV927" s="70"/>
      <c r="EW927" s="70"/>
      <c r="EX927" s="70"/>
      <c r="EY927" s="70"/>
      <c r="EZ927" s="70"/>
      <c r="FA927" s="70"/>
      <c r="FB927" s="70"/>
      <c r="FC927" s="70"/>
      <c r="FD927" s="70"/>
      <c r="FE927" s="70"/>
      <c r="FF927" s="70"/>
      <c r="FG927" s="70"/>
      <c r="FH927" s="70"/>
      <c r="FI927" s="70"/>
      <c r="FJ927" s="70"/>
      <c r="FK927" s="70"/>
      <c r="FL927" s="70"/>
      <c r="FM927" s="70"/>
      <c r="FN927" s="70"/>
      <c r="FO927" s="70"/>
      <c r="FP927" s="70"/>
      <c r="FQ927" s="70"/>
      <c r="FR927" s="70"/>
      <c r="FS927" s="70"/>
      <c r="FT927" s="70"/>
      <c r="FU927" s="70"/>
      <c r="FV927" s="70"/>
      <c r="FW927" s="70"/>
      <c r="FX927" s="70"/>
      <c r="FY927" s="70"/>
      <c r="FZ927" s="70"/>
      <c r="GA927" s="70"/>
      <c r="GB927" s="70"/>
      <c r="GC927" s="70"/>
      <c r="GD927" s="70"/>
      <c r="GE927" s="70"/>
      <c r="GF927" s="70"/>
      <c r="GG927" s="70"/>
      <c r="GH927" s="70"/>
      <c r="GI927" s="70"/>
      <c r="GJ927" s="70"/>
      <c r="GK927" s="70"/>
      <c r="GL927" s="70"/>
      <c r="GM927" s="70"/>
      <c r="GN927" s="70"/>
      <c r="GO927" s="70"/>
      <c r="GP927" s="70"/>
      <c r="GQ927" s="70"/>
      <c r="GR927" s="70"/>
      <c r="GS927" s="70"/>
      <c r="GT927" s="70"/>
      <c r="GU927" s="70"/>
      <c r="GV927" s="70"/>
      <c r="GW927" s="70"/>
      <c r="GX927" s="70"/>
      <c r="GY927" s="70"/>
      <c r="GZ927" s="70"/>
      <c r="HA927" s="70"/>
      <c r="HB927" s="70"/>
      <c r="HC927" s="70"/>
      <c r="HD927" s="70"/>
      <c r="HE927" s="70"/>
      <c r="HF927" s="70"/>
      <c r="HG927" s="70"/>
      <c r="HH927" s="70"/>
      <c r="HI927" s="70"/>
      <c r="HJ927" s="70"/>
      <c r="HK927" s="70"/>
      <c r="HL927" s="70"/>
      <c r="HM927" s="70"/>
      <c r="HN927" s="70"/>
      <c r="HO927" s="70"/>
      <c r="HP927" s="70"/>
      <c r="HQ927" s="70"/>
      <c r="HR927" s="70"/>
      <c r="HS927" s="70"/>
      <c r="HT927" s="70"/>
      <c r="HU927" s="70"/>
      <c r="HV927" s="70"/>
      <c r="HW927" s="70"/>
      <c r="HX927" s="70"/>
      <c r="HY927" s="70"/>
      <c r="HZ927" s="70"/>
      <c r="IA927" s="70"/>
      <c r="IB927" s="70"/>
      <c r="IC927" s="70"/>
      <c r="ID927" s="70"/>
      <c r="IE927" s="70"/>
      <c r="IF927" s="70"/>
      <c r="IG927" s="70"/>
      <c r="IH927" s="70"/>
      <c r="II927" s="70"/>
      <c r="IJ927" s="70"/>
      <c r="IK927" s="70"/>
      <c r="IL927" s="70"/>
      <c r="IM927" s="70"/>
      <c r="IN927" s="70"/>
      <c r="IO927" s="70"/>
      <c r="IP927" s="70"/>
      <c r="IQ927" s="70"/>
    </row>
    <row r="928" spans="18:251" ht="16.5" hidden="1" customHeight="1">
      <c r="R928" s="95" t="s">
        <v>450</v>
      </c>
      <c r="S928" s="95"/>
      <c r="T928" s="95"/>
      <c r="U928" s="70"/>
      <c r="V928" s="214"/>
      <c r="W928" s="70"/>
      <c r="X928" s="70"/>
      <c r="Y928" s="70"/>
      <c r="Z928" s="70"/>
      <c r="AA928" s="70"/>
      <c r="AB928" s="70"/>
      <c r="AC928" s="70"/>
      <c r="AD928" s="70"/>
      <c r="AE928" s="70"/>
      <c r="AF928" s="70"/>
      <c r="AG928" s="70"/>
      <c r="AH928" s="70"/>
      <c r="AI928" s="70"/>
      <c r="AJ928" s="70"/>
      <c r="AK928" s="70"/>
      <c r="AL928" s="70"/>
      <c r="AM928" s="70"/>
      <c r="AN928" s="70"/>
      <c r="AO928" s="70"/>
      <c r="AP928" s="70"/>
      <c r="AQ928" s="70"/>
      <c r="AR928" s="70"/>
      <c r="AS928" s="70"/>
      <c r="AT928" s="70"/>
      <c r="AU928" s="70"/>
      <c r="AV928" s="70"/>
      <c r="AW928" s="70"/>
      <c r="AX928" s="70"/>
      <c r="AY928" s="70"/>
      <c r="AZ928" s="70"/>
      <c r="BA928" s="70"/>
      <c r="BB928" s="70"/>
      <c r="BC928" s="70"/>
      <c r="BD928" s="70"/>
      <c r="BE928" s="70"/>
      <c r="BF928" s="70"/>
      <c r="BG928" s="70"/>
      <c r="BH928" s="70"/>
      <c r="BI928" s="70"/>
      <c r="BJ928" s="70"/>
      <c r="BK928" s="70"/>
      <c r="BL928" s="70"/>
      <c r="BM928" s="70"/>
      <c r="BN928" s="70"/>
      <c r="BO928" s="70"/>
      <c r="BP928" s="70"/>
      <c r="BQ928" s="70"/>
      <c r="BR928" s="70"/>
      <c r="BS928" s="70"/>
      <c r="BT928" s="70"/>
      <c r="BU928" s="70"/>
      <c r="BV928" s="70"/>
      <c r="BW928" s="70"/>
      <c r="BX928" s="70"/>
      <c r="BY928" s="70"/>
      <c r="BZ928" s="70"/>
      <c r="CA928" s="70"/>
      <c r="CB928" s="70"/>
      <c r="CC928" s="70"/>
      <c r="CD928" s="70"/>
      <c r="CE928" s="70"/>
      <c r="CF928" s="70"/>
      <c r="CG928" s="70"/>
      <c r="CH928" s="70"/>
      <c r="CI928" s="70"/>
      <c r="CJ928" s="70"/>
      <c r="CK928" s="70"/>
      <c r="CL928" s="70"/>
      <c r="CM928" s="70"/>
      <c r="CN928" s="70"/>
      <c r="CO928" s="70"/>
      <c r="CP928" s="70"/>
      <c r="CQ928" s="70"/>
      <c r="CR928" s="70"/>
      <c r="CS928" s="70"/>
      <c r="CT928" s="70"/>
      <c r="CU928" s="70"/>
      <c r="CV928" s="70"/>
      <c r="CW928" s="70"/>
      <c r="CX928" s="70"/>
      <c r="CY928" s="70"/>
      <c r="CZ928" s="70"/>
      <c r="DA928" s="70"/>
      <c r="DB928" s="70"/>
      <c r="DC928" s="70"/>
      <c r="DD928" s="70"/>
      <c r="DE928" s="70"/>
      <c r="DF928" s="70"/>
      <c r="DG928" s="70"/>
      <c r="DH928" s="70"/>
      <c r="DI928" s="70"/>
      <c r="DJ928" s="70"/>
      <c r="DK928" s="70"/>
      <c r="DL928" s="70"/>
      <c r="DM928" s="70"/>
      <c r="DN928" s="70"/>
      <c r="DO928" s="70"/>
      <c r="DP928" s="70"/>
      <c r="DQ928" s="70"/>
      <c r="DR928" s="70"/>
      <c r="DS928" s="70"/>
      <c r="DT928" s="70"/>
      <c r="DU928" s="70"/>
      <c r="DV928" s="70"/>
      <c r="DW928" s="70"/>
      <c r="DX928" s="70"/>
      <c r="DY928" s="70"/>
      <c r="DZ928" s="70"/>
      <c r="EA928" s="70"/>
      <c r="EB928" s="70"/>
      <c r="EC928" s="70"/>
      <c r="ED928" s="70"/>
      <c r="EE928" s="95" t="s">
        <v>450</v>
      </c>
      <c r="EF928" s="95"/>
      <c r="EG928" s="95"/>
      <c r="EH928" s="70"/>
      <c r="EI928" s="216"/>
      <c r="EJ928" s="70"/>
      <c r="EK928" s="70"/>
      <c r="EL928" s="70"/>
      <c r="EM928" s="70"/>
      <c r="EN928" s="70"/>
      <c r="EO928" s="70"/>
      <c r="EP928" s="70"/>
      <c r="EQ928" s="70"/>
      <c r="ER928" s="70"/>
      <c r="ES928" s="70"/>
      <c r="ET928" s="70"/>
      <c r="EU928" s="70"/>
      <c r="EV928" s="70"/>
      <c r="EW928" s="70"/>
      <c r="EX928" s="70"/>
      <c r="EY928" s="70"/>
      <c r="EZ928" s="70"/>
      <c r="FA928" s="70"/>
      <c r="FB928" s="70"/>
      <c r="FC928" s="70"/>
      <c r="FD928" s="70"/>
      <c r="FE928" s="70"/>
      <c r="FF928" s="70"/>
      <c r="FG928" s="70"/>
      <c r="FH928" s="70"/>
      <c r="FI928" s="70"/>
      <c r="FJ928" s="70"/>
      <c r="FK928" s="70"/>
      <c r="FL928" s="70"/>
      <c r="FM928" s="70"/>
      <c r="FN928" s="70"/>
      <c r="FO928" s="70"/>
      <c r="FP928" s="70"/>
      <c r="FQ928" s="70"/>
      <c r="FR928" s="70"/>
      <c r="FS928" s="70"/>
      <c r="FT928" s="70"/>
      <c r="FU928" s="70"/>
      <c r="FV928" s="70"/>
      <c r="FW928" s="70"/>
      <c r="FX928" s="70"/>
      <c r="FY928" s="70"/>
      <c r="FZ928" s="70"/>
      <c r="GA928" s="70"/>
      <c r="GB928" s="70"/>
      <c r="GC928" s="70"/>
      <c r="GD928" s="70"/>
      <c r="GE928" s="70"/>
      <c r="GF928" s="70"/>
      <c r="GG928" s="70"/>
      <c r="GH928" s="70"/>
      <c r="GI928" s="70"/>
      <c r="GJ928" s="70"/>
      <c r="GK928" s="70"/>
      <c r="GL928" s="70"/>
      <c r="GM928" s="70"/>
      <c r="GN928" s="70"/>
      <c r="GO928" s="70"/>
      <c r="GP928" s="70"/>
      <c r="GQ928" s="70"/>
      <c r="GR928" s="70"/>
      <c r="GS928" s="70"/>
      <c r="GT928" s="70"/>
      <c r="GU928" s="70"/>
      <c r="GV928" s="70"/>
      <c r="GW928" s="70"/>
      <c r="GX928" s="70"/>
      <c r="GY928" s="70"/>
      <c r="GZ928" s="70"/>
      <c r="HA928" s="70"/>
      <c r="HB928" s="70"/>
      <c r="HC928" s="70"/>
      <c r="HD928" s="70"/>
      <c r="HE928" s="70"/>
      <c r="HF928" s="70"/>
      <c r="HG928" s="70"/>
      <c r="HH928" s="70"/>
      <c r="HI928" s="70"/>
      <c r="HJ928" s="70"/>
      <c r="HK928" s="70"/>
      <c r="HL928" s="70"/>
      <c r="HM928" s="70"/>
      <c r="HN928" s="70"/>
      <c r="HO928" s="70"/>
      <c r="HP928" s="70"/>
      <c r="HQ928" s="70"/>
      <c r="HR928" s="70"/>
      <c r="HS928" s="70"/>
      <c r="HT928" s="70"/>
      <c r="HU928" s="70"/>
      <c r="HV928" s="70"/>
      <c r="HW928" s="70"/>
      <c r="HX928" s="70"/>
      <c r="HY928" s="70"/>
      <c r="HZ928" s="70"/>
      <c r="IA928" s="70"/>
      <c r="IB928" s="70"/>
      <c r="IC928" s="70"/>
      <c r="ID928" s="70"/>
      <c r="IE928" s="70"/>
      <c r="IF928" s="70"/>
      <c r="IG928" s="70"/>
      <c r="IH928" s="70"/>
      <c r="II928" s="70"/>
      <c r="IJ928" s="70"/>
      <c r="IK928" s="70"/>
      <c r="IL928" s="70"/>
      <c r="IM928" s="70"/>
      <c r="IN928" s="70"/>
      <c r="IO928" s="70"/>
      <c r="IP928" s="70"/>
      <c r="IQ928" s="70"/>
    </row>
    <row r="929" spans="18:251" ht="16.5" hidden="1" customHeight="1">
      <c r="R929" s="95" t="s">
        <v>450</v>
      </c>
      <c r="S929" s="95"/>
      <c r="T929" s="95"/>
      <c r="U929" s="70"/>
      <c r="V929" s="214"/>
      <c r="W929" s="70"/>
      <c r="X929" s="70"/>
      <c r="Y929" s="70"/>
      <c r="Z929" s="70"/>
      <c r="AA929" s="70"/>
      <c r="AB929" s="70"/>
      <c r="AC929" s="70"/>
      <c r="AD929" s="70"/>
      <c r="AE929" s="70"/>
      <c r="AF929" s="70"/>
      <c r="AG929" s="70"/>
      <c r="AH929" s="70"/>
      <c r="AI929" s="70"/>
      <c r="AJ929" s="70"/>
      <c r="AK929" s="70"/>
      <c r="AL929" s="70"/>
      <c r="AM929" s="70"/>
      <c r="AN929" s="70"/>
      <c r="AO929" s="70"/>
      <c r="AP929" s="70"/>
      <c r="AQ929" s="70"/>
      <c r="AR929" s="70"/>
      <c r="AS929" s="70"/>
      <c r="AT929" s="70"/>
      <c r="AU929" s="70"/>
      <c r="AV929" s="70"/>
      <c r="AW929" s="70"/>
      <c r="AX929" s="70"/>
      <c r="AY929" s="70"/>
      <c r="AZ929" s="70"/>
      <c r="BA929" s="70"/>
      <c r="BB929" s="70"/>
      <c r="BC929" s="70"/>
      <c r="BD929" s="70"/>
      <c r="BE929" s="70"/>
      <c r="BF929" s="70"/>
      <c r="BG929" s="70"/>
      <c r="BH929" s="70"/>
      <c r="BI929" s="70"/>
      <c r="BJ929" s="70"/>
      <c r="BK929" s="70"/>
      <c r="BL929" s="70"/>
      <c r="BM929" s="70"/>
      <c r="BN929" s="70"/>
      <c r="BO929" s="70"/>
      <c r="BP929" s="70"/>
      <c r="BQ929" s="70"/>
      <c r="BR929" s="70"/>
      <c r="BS929" s="70"/>
      <c r="BT929" s="70"/>
      <c r="BU929" s="70"/>
      <c r="BV929" s="70"/>
      <c r="BW929" s="70"/>
      <c r="BX929" s="70"/>
      <c r="BY929" s="70"/>
      <c r="BZ929" s="70"/>
      <c r="CA929" s="70"/>
      <c r="CB929" s="70"/>
      <c r="CC929" s="70"/>
      <c r="CD929" s="70"/>
      <c r="CE929" s="70"/>
      <c r="CF929" s="70"/>
      <c r="CG929" s="70"/>
      <c r="CH929" s="70"/>
      <c r="CI929" s="70"/>
      <c r="CJ929" s="70"/>
      <c r="CK929" s="70"/>
      <c r="CL929" s="70"/>
      <c r="CM929" s="70"/>
      <c r="CN929" s="70"/>
      <c r="CO929" s="70"/>
      <c r="CP929" s="70"/>
      <c r="CQ929" s="70"/>
      <c r="CR929" s="70"/>
      <c r="CS929" s="70"/>
      <c r="CT929" s="70"/>
      <c r="CU929" s="70"/>
      <c r="CV929" s="70"/>
      <c r="CW929" s="70"/>
      <c r="CX929" s="70"/>
      <c r="CY929" s="70"/>
      <c r="CZ929" s="70"/>
      <c r="DA929" s="70"/>
      <c r="DB929" s="70"/>
      <c r="DC929" s="70"/>
      <c r="DD929" s="70"/>
      <c r="DE929" s="70"/>
      <c r="DF929" s="70"/>
      <c r="DG929" s="70"/>
      <c r="DH929" s="70"/>
      <c r="DI929" s="70"/>
      <c r="DJ929" s="70"/>
      <c r="DK929" s="70"/>
      <c r="DL929" s="70"/>
      <c r="DM929" s="70"/>
      <c r="DN929" s="70"/>
      <c r="DO929" s="70"/>
      <c r="DP929" s="70"/>
      <c r="DQ929" s="70"/>
      <c r="DR929" s="70"/>
      <c r="DS929" s="70"/>
      <c r="DT929" s="70"/>
      <c r="DU929" s="70"/>
      <c r="DV929" s="70"/>
      <c r="DW929" s="70"/>
      <c r="DX929" s="70"/>
      <c r="DY929" s="70"/>
      <c r="DZ929" s="70"/>
      <c r="EA929" s="70"/>
      <c r="EB929" s="70"/>
      <c r="EC929" s="70"/>
      <c r="ED929" s="70"/>
      <c r="EE929" s="95" t="s">
        <v>450</v>
      </c>
      <c r="EF929" s="95"/>
      <c r="EG929" s="95"/>
      <c r="EH929" s="70"/>
      <c r="EI929" s="216"/>
      <c r="EJ929" s="70"/>
      <c r="EK929" s="70"/>
      <c r="EL929" s="70"/>
      <c r="EM929" s="70"/>
      <c r="EN929" s="70"/>
      <c r="EO929" s="70"/>
      <c r="EP929" s="70"/>
      <c r="EQ929" s="70"/>
      <c r="ER929" s="70"/>
      <c r="ES929" s="70"/>
      <c r="ET929" s="70"/>
      <c r="EU929" s="70"/>
      <c r="EV929" s="70"/>
      <c r="EW929" s="70"/>
      <c r="EX929" s="70"/>
      <c r="EY929" s="70"/>
      <c r="EZ929" s="70"/>
      <c r="FA929" s="70"/>
      <c r="FB929" s="70"/>
      <c r="FC929" s="70"/>
      <c r="FD929" s="70"/>
      <c r="FE929" s="70"/>
      <c r="FF929" s="70"/>
      <c r="FG929" s="70"/>
      <c r="FH929" s="70"/>
      <c r="FI929" s="70"/>
      <c r="FJ929" s="70"/>
      <c r="FK929" s="70"/>
      <c r="FL929" s="70"/>
      <c r="FM929" s="70"/>
      <c r="FN929" s="70"/>
      <c r="FO929" s="70"/>
      <c r="FP929" s="70"/>
      <c r="FQ929" s="70"/>
      <c r="FR929" s="70"/>
      <c r="FS929" s="70"/>
      <c r="FT929" s="70"/>
      <c r="FU929" s="70"/>
      <c r="FV929" s="70"/>
      <c r="FW929" s="70"/>
      <c r="FX929" s="70"/>
      <c r="FY929" s="70"/>
      <c r="FZ929" s="70"/>
      <c r="GA929" s="70"/>
      <c r="GB929" s="70"/>
      <c r="GC929" s="70"/>
      <c r="GD929" s="70"/>
      <c r="GE929" s="70"/>
      <c r="GF929" s="70"/>
      <c r="GG929" s="70"/>
      <c r="GH929" s="70"/>
      <c r="GI929" s="70"/>
      <c r="GJ929" s="70"/>
      <c r="GK929" s="70"/>
      <c r="GL929" s="70"/>
      <c r="GM929" s="70"/>
      <c r="GN929" s="70"/>
      <c r="GO929" s="70"/>
      <c r="GP929" s="70"/>
      <c r="GQ929" s="70"/>
      <c r="GR929" s="70"/>
      <c r="GS929" s="70"/>
      <c r="GT929" s="70"/>
      <c r="GU929" s="70"/>
      <c r="GV929" s="70"/>
      <c r="GW929" s="70"/>
      <c r="GX929" s="70"/>
      <c r="GY929" s="70"/>
      <c r="GZ929" s="70"/>
      <c r="HA929" s="70"/>
      <c r="HB929" s="70"/>
      <c r="HC929" s="70"/>
      <c r="HD929" s="70"/>
      <c r="HE929" s="70"/>
      <c r="HF929" s="70"/>
      <c r="HG929" s="70"/>
      <c r="HH929" s="70"/>
      <c r="HI929" s="70"/>
      <c r="HJ929" s="70"/>
      <c r="HK929" s="70"/>
      <c r="HL929" s="70"/>
      <c r="HM929" s="70"/>
      <c r="HN929" s="70"/>
      <c r="HO929" s="70"/>
      <c r="HP929" s="70"/>
      <c r="HQ929" s="70"/>
      <c r="HR929" s="70"/>
      <c r="HS929" s="70"/>
      <c r="HT929" s="70"/>
      <c r="HU929" s="70"/>
      <c r="HV929" s="70"/>
      <c r="HW929" s="70"/>
      <c r="HX929" s="70"/>
      <c r="HY929" s="70"/>
      <c r="HZ929" s="70"/>
      <c r="IA929" s="70"/>
      <c r="IB929" s="70"/>
      <c r="IC929" s="70"/>
      <c r="ID929" s="70"/>
      <c r="IE929" s="70"/>
      <c r="IF929" s="70"/>
      <c r="IG929" s="70"/>
      <c r="IH929" s="70"/>
      <c r="II929" s="70"/>
      <c r="IJ929" s="70"/>
      <c r="IK929" s="70"/>
      <c r="IL929" s="70"/>
      <c r="IM929" s="70"/>
      <c r="IN929" s="70"/>
      <c r="IO929" s="70"/>
      <c r="IP929" s="70"/>
      <c r="IQ929" s="70"/>
    </row>
    <row r="930" spans="18:251" ht="16.5" hidden="1" customHeight="1">
      <c r="R930" s="95" t="s">
        <v>450</v>
      </c>
      <c r="S930" s="95"/>
      <c r="T930" s="95"/>
      <c r="U930" s="70"/>
      <c r="V930" s="214"/>
      <c r="W930" s="70"/>
      <c r="X930" s="70"/>
      <c r="Y930" s="70"/>
      <c r="Z930" s="70"/>
      <c r="AA930" s="70"/>
      <c r="AB930" s="70"/>
      <c r="AC930" s="70"/>
      <c r="AD930" s="70"/>
      <c r="AE930" s="70"/>
      <c r="AF930" s="70"/>
      <c r="AG930" s="70"/>
      <c r="AH930" s="70"/>
      <c r="AI930" s="70"/>
      <c r="AJ930" s="70"/>
      <c r="AK930" s="70"/>
      <c r="AL930" s="70"/>
      <c r="AM930" s="70"/>
      <c r="AN930" s="70"/>
      <c r="AO930" s="70"/>
      <c r="AP930" s="70"/>
      <c r="AQ930" s="70"/>
      <c r="AR930" s="70"/>
      <c r="AS930" s="70"/>
      <c r="AT930" s="70"/>
      <c r="AU930" s="70"/>
      <c r="AV930" s="70"/>
      <c r="AW930" s="70"/>
      <c r="AX930" s="70"/>
      <c r="AY930" s="70"/>
      <c r="AZ930" s="70"/>
      <c r="BA930" s="70"/>
      <c r="BB930" s="70"/>
      <c r="BC930" s="70"/>
      <c r="BD930" s="70"/>
      <c r="BE930" s="70"/>
      <c r="BF930" s="70"/>
      <c r="BG930" s="70"/>
      <c r="BH930" s="70"/>
      <c r="BI930" s="70"/>
      <c r="BJ930" s="70"/>
      <c r="BK930" s="70"/>
      <c r="BL930" s="70"/>
      <c r="BM930" s="70"/>
      <c r="BN930" s="70"/>
      <c r="BO930" s="70"/>
      <c r="BP930" s="70"/>
      <c r="BQ930" s="70"/>
      <c r="BR930" s="70"/>
      <c r="BS930" s="70"/>
      <c r="BT930" s="70"/>
      <c r="BU930" s="70"/>
      <c r="BV930" s="70"/>
      <c r="BW930" s="70"/>
      <c r="BX930" s="70"/>
      <c r="BY930" s="70"/>
      <c r="BZ930" s="70"/>
      <c r="CA930" s="70"/>
      <c r="CB930" s="70"/>
      <c r="CC930" s="70"/>
      <c r="CD930" s="70"/>
      <c r="CE930" s="70"/>
      <c r="CF930" s="70"/>
      <c r="CG930" s="70"/>
      <c r="CH930" s="70"/>
      <c r="CI930" s="70"/>
      <c r="CJ930" s="70"/>
      <c r="CK930" s="70"/>
      <c r="CL930" s="70"/>
      <c r="CM930" s="70"/>
      <c r="CN930" s="70"/>
      <c r="CO930" s="70"/>
      <c r="CP930" s="70"/>
      <c r="CQ930" s="70"/>
      <c r="CR930" s="70"/>
      <c r="CS930" s="70"/>
      <c r="CT930" s="70"/>
      <c r="CU930" s="70"/>
      <c r="CV930" s="70"/>
      <c r="CW930" s="70"/>
      <c r="CX930" s="70"/>
      <c r="CY930" s="70"/>
      <c r="CZ930" s="70"/>
      <c r="DA930" s="70"/>
      <c r="DB930" s="70"/>
      <c r="DC930" s="70"/>
      <c r="DD930" s="70"/>
      <c r="DE930" s="70"/>
      <c r="DF930" s="70"/>
      <c r="DG930" s="70"/>
      <c r="DH930" s="70"/>
      <c r="DI930" s="70"/>
      <c r="DJ930" s="70"/>
      <c r="DK930" s="70"/>
      <c r="DL930" s="70"/>
      <c r="DM930" s="70"/>
      <c r="DN930" s="70"/>
      <c r="DO930" s="70"/>
      <c r="DP930" s="70"/>
      <c r="DQ930" s="70"/>
      <c r="DR930" s="70"/>
      <c r="DS930" s="70"/>
      <c r="DT930" s="70"/>
      <c r="DU930" s="70"/>
      <c r="DV930" s="70"/>
      <c r="DW930" s="70"/>
      <c r="DX930" s="70"/>
      <c r="DY930" s="70"/>
      <c r="DZ930" s="70"/>
      <c r="EA930" s="70"/>
      <c r="EB930" s="70"/>
      <c r="EC930" s="70"/>
      <c r="ED930" s="70"/>
      <c r="EE930" s="95" t="s">
        <v>450</v>
      </c>
      <c r="EF930" s="95"/>
      <c r="EG930" s="95"/>
      <c r="EH930" s="70"/>
      <c r="EI930" s="216"/>
      <c r="EJ930" s="70"/>
      <c r="EK930" s="70"/>
      <c r="EL930" s="70"/>
      <c r="EM930" s="70"/>
      <c r="EN930" s="70"/>
      <c r="EO930" s="70"/>
      <c r="EP930" s="70"/>
      <c r="EQ930" s="70"/>
      <c r="ER930" s="70"/>
      <c r="ES930" s="70"/>
      <c r="ET930" s="70"/>
      <c r="EU930" s="70"/>
      <c r="EV930" s="70"/>
      <c r="EW930" s="70"/>
      <c r="EX930" s="70"/>
      <c r="EY930" s="70"/>
      <c r="EZ930" s="70"/>
      <c r="FA930" s="70"/>
      <c r="FB930" s="70"/>
      <c r="FC930" s="70"/>
      <c r="FD930" s="70"/>
      <c r="FE930" s="70"/>
      <c r="FF930" s="70"/>
      <c r="FG930" s="70"/>
      <c r="FH930" s="70"/>
      <c r="FI930" s="70"/>
      <c r="FJ930" s="70"/>
      <c r="FK930" s="70"/>
      <c r="FL930" s="70"/>
      <c r="FM930" s="70"/>
      <c r="FN930" s="70"/>
      <c r="FO930" s="70"/>
      <c r="FP930" s="70"/>
      <c r="FQ930" s="70"/>
      <c r="FR930" s="70"/>
      <c r="FS930" s="70"/>
      <c r="FT930" s="70"/>
      <c r="FU930" s="70"/>
      <c r="FV930" s="70"/>
      <c r="FW930" s="70"/>
      <c r="FX930" s="70"/>
      <c r="FY930" s="70"/>
      <c r="FZ930" s="70"/>
      <c r="GA930" s="70"/>
      <c r="GB930" s="70"/>
      <c r="GC930" s="70"/>
      <c r="GD930" s="70"/>
      <c r="GE930" s="70"/>
      <c r="GF930" s="70"/>
      <c r="GG930" s="70"/>
      <c r="GH930" s="70"/>
      <c r="GI930" s="70"/>
      <c r="GJ930" s="70"/>
      <c r="GK930" s="70"/>
      <c r="GL930" s="70"/>
      <c r="GM930" s="70"/>
      <c r="GN930" s="70"/>
      <c r="GO930" s="70"/>
      <c r="GP930" s="70"/>
      <c r="GQ930" s="70"/>
      <c r="GR930" s="70"/>
      <c r="GS930" s="70"/>
      <c r="GT930" s="70"/>
      <c r="GU930" s="70"/>
      <c r="GV930" s="70"/>
      <c r="GW930" s="70"/>
      <c r="GX930" s="70"/>
      <c r="GY930" s="70"/>
      <c r="GZ930" s="70"/>
      <c r="HA930" s="70"/>
      <c r="HB930" s="70"/>
      <c r="HC930" s="70"/>
      <c r="HD930" s="70"/>
      <c r="HE930" s="70"/>
      <c r="HF930" s="70"/>
      <c r="HG930" s="70"/>
      <c r="HH930" s="70"/>
      <c r="HI930" s="70"/>
      <c r="HJ930" s="70"/>
      <c r="HK930" s="70"/>
      <c r="HL930" s="70"/>
      <c r="HM930" s="70"/>
      <c r="HN930" s="70"/>
      <c r="HO930" s="70"/>
      <c r="HP930" s="70"/>
      <c r="HQ930" s="70"/>
      <c r="HR930" s="70"/>
      <c r="HS930" s="70"/>
      <c r="HT930" s="70"/>
      <c r="HU930" s="70"/>
      <c r="HV930" s="70"/>
      <c r="HW930" s="70"/>
      <c r="HX930" s="70"/>
      <c r="HY930" s="70"/>
      <c r="HZ930" s="70"/>
      <c r="IA930" s="70"/>
      <c r="IB930" s="70"/>
      <c r="IC930" s="70"/>
      <c r="ID930" s="70"/>
      <c r="IE930" s="70"/>
      <c r="IF930" s="70"/>
      <c r="IG930" s="70"/>
      <c r="IH930" s="70"/>
      <c r="II930" s="70"/>
      <c r="IJ930" s="70"/>
      <c r="IK930" s="70"/>
      <c r="IL930" s="70"/>
      <c r="IM930" s="70"/>
      <c r="IN930" s="70"/>
      <c r="IO930" s="70"/>
      <c r="IP930" s="70"/>
      <c r="IQ930" s="70"/>
    </row>
    <row r="931" spans="18:251" ht="16.5" hidden="1" customHeight="1">
      <c r="R931" s="95" t="s">
        <v>450</v>
      </c>
      <c r="S931" s="95"/>
      <c r="T931" s="95"/>
      <c r="U931" s="70"/>
      <c r="V931" s="214"/>
      <c r="W931" s="70"/>
      <c r="X931" s="70"/>
      <c r="Y931" s="70"/>
      <c r="Z931" s="70"/>
      <c r="AA931" s="70"/>
      <c r="AB931" s="70"/>
      <c r="AC931" s="70"/>
      <c r="AD931" s="70"/>
      <c r="AE931" s="70"/>
      <c r="AF931" s="70"/>
      <c r="AG931" s="70"/>
      <c r="AH931" s="70"/>
      <c r="AI931" s="70"/>
      <c r="AJ931" s="70"/>
      <c r="AK931" s="70"/>
      <c r="AL931" s="70"/>
      <c r="AM931" s="70"/>
      <c r="AN931" s="70"/>
      <c r="AO931" s="70"/>
      <c r="AP931" s="70"/>
      <c r="AQ931" s="70"/>
      <c r="AR931" s="70"/>
      <c r="AS931" s="70"/>
      <c r="AT931" s="70"/>
      <c r="AU931" s="70"/>
      <c r="AV931" s="70"/>
      <c r="AW931" s="70"/>
      <c r="AX931" s="70"/>
      <c r="AY931" s="70"/>
      <c r="AZ931" s="70"/>
      <c r="BA931" s="70"/>
      <c r="BB931" s="70"/>
      <c r="BC931" s="70"/>
      <c r="BD931" s="70"/>
      <c r="BE931" s="70"/>
      <c r="BF931" s="70"/>
      <c r="BG931" s="70"/>
      <c r="BH931" s="70"/>
      <c r="BI931" s="70"/>
      <c r="BJ931" s="70"/>
      <c r="BK931" s="70"/>
      <c r="BL931" s="70"/>
      <c r="BM931" s="70"/>
      <c r="BN931" s="70"/>
      <c r="BO931" s="70"/>
      <c r="BP931" s="70"/>
      <c r="BQ931" s="70"/>
      <c r="BR931" s="70"/>
      <c r="BS931" s="70"/>
      <c r="BT931" s="70"/>
      <c r="BU931" s="70"/>
      <c r="BV931" s="70"/>
      <c r="BW931" s="70"/>
      <c r="BX931" s="70"/>
      <c r="BY931" s="70"/>
      <c r="BZ931" s="70"/>
      <c r="CA931" s="70"/>
      <c r="CB931" s="70"/>
      <c r="CC931" s="70"/>
      <c r="CD931" s="70"/>
      <c r="CE931" s="70"/>
      <c r="CF931" s="70"/>
      <c r="CG931" s="70"/>
      <c r="CH931" s="70"/>
      <c r="CI931" s="70"/>
      <c r="CJ931" s="70"/>
      <c r="CK931" s="70"/>
      <c r="CL931" s="70"/>
      <c r="CM931" s="70"/>
      <c r="CN931" s="70"/>
      <c r="CO931" s="70"/>
      <c r="CP931" s="70"/>
      <c r="CQ931" s="70"/>
      <c r="CR931" s="70"/>
      <c r="CS931" s="70"/>
      <c r="CT931" s="70"/>
      <c r="CU931" s="70"/>
      <c r="CV931" s="70"/>
      <c r="CW931" s="70"/>
      <c r="CX931" s="70"/>
      <c r="CY931" s="70"/>
      <c r="CZ931" s="70"/>
      <c r="DA931" s="70"/>
      <c r="DB931" s="70"/>
      <c r="DC931" s="70"/>
      <c r="DD931" s="70"/>
      <c r="DE931" s="70"/>
      <c r="DF931" s="70"/>
      <c r="DG931" s="70"/>
      <c r="DH931" s="70"/>
      <c r="DI931" s="70"/>
      <c r="DJ931" s="70"/>
      <c r="DK931" s="70"/>
      <c r="DL931" s="70"/>
      <c r="DM931" s="70"/>
      <c r="DN931" s="70"/>
      <c r="DO931" s="70"/>
      <c r="DP931" s="70"/>
      <c r="DQ931" s="70"/>
      <c r="DR931" s="70"/>
      <c r="DS931" s="70"/>
      <c r="DT931" s="70"/>
      <c r="DU931" s="70"/>
      <c r="DV931" s="70"/>
      <c r="DW931" s="70"/>
      <c r="DX931" s="70"/>
      <c r="DY931" s="70"/>
      <c r="DZ931" s="70"/>
      <c r="EA931" s="70"/>
      <c r="EB931" s="70"/>
      <c r="EC931" s="70"/>
      <c r="ED931" s="70"/>
      <c r="EE931" s="95" t="s">
        <v>450</v>
      </c>
      <c r="EF931" s="95"/>
      <c r="EG931" s="95"/>
      <c r="EH931" s="70"/>
      <c r="EI931" s="216"/>
      <c r="EJ931" s="70"/>
      <c r="EK931" s="70"/>
      <c r="EL931" s="70"/>
      <c r="EM931" s="70"/>
      <c r="EN931" s="70"/>
      <c r="EO931" s="70"/>
      <c r="EP931" s="70"/>
      <c r="EQ931" s="70"/>
      <c r="ER931" s="70"/>
      <c r="ES931" s="70"/>
      <c r="ET931" s="70"/>
      <c r="EU931" s="70"/>
      <c r="EV931" s="70"/>
      <c r="EW931" s="70"/>
      <c r="EX931" s="70"/>
      <c r="EY931" s="70"/>
      <c r="EZ931" s="70"/>
      <c r="FA931" s="70"/>
      <c r="FB931" s="70"/>
      <c r="FC931" s="70"/>
      <c r="FD931" s="70"/>
      <c r="FE931" s="70"/>
      <c r="FF931" s="70"/>
      <c r="FG931" s="70"/>
      <c r="FH931" s="70"/>
      <c r="FI931" s="70"/>
      <c r="FJ931" s="70"/>
      <c r="FK931" s="70"/>
      <c r="FL931" s="70"/>
      <c r="FM931" s="70"/>
      <c r="FN931" s="70"/>
      <c r="FO931" s="70"/>
      <c r="FP931" s="70"/>
      <c r="FQ931" s="70"/>
      <c r="FR931" s="70"/>
      <c r="FS931" s="70"/>
      <c r="FT931" s="70"/>
      <c r="FU931" s="70"/>
      <c r="FV931" s="70"/>
      <c r="FW931" s="70"/>
      <c r="FX931" s="70"/>
      <c r="FY931" s="70"/>
      <c r="FZ931" s="70"/>
      <c r="GA931" s="70"/>
      <c r="GB931" s="70"/>
      <c r="GC931" s="70"/>
      <c r="GD931" s="70"/>
      <c r="GE931" s="70"/>
      <c r="GF931" s="70"/>
      <c r="GG931" s="70"/>
      <c r="GH931" s="70"/>
      <c r="GI931" s="70"/>
      <c r="GJ931" s="70"/>
      <c r="GK931" s="70"/>
      <c r="GL931" s="70"/>
      <c r="GM931" s="70"/>
      <c r="GN931" s="70"/>
      <c r="GO931" s="70"/>
      <c r="GP931" s="70"/>
      <c r="GQ931" s="70"/>
      <c r="GR931" s="70"/>
      <c r="GS931" s="70"/>
      <c r="GT931" s="70"/>
      <c r="GU931" s="70"/>
      <c r="GV931" s="70"/>
      <c r="GW931" s="70"/>
      <c r="GX931" s="70"/>
      <c r="GY931" s="70"/>
      <c r="GZ931" s="70"/>
      <c r="HA931" s="70"/>
      <c r="HB931" s="70"/>
      <c r="HC931" s="70"/>
      <c r="HD931" s="70"/>
      <c r="HE931" s="70"/>
      <c r="HF931" s="70"/>
      <c r="HG931" s="70"/>
      <c r="HH931" s="70"/>
      <c r="HI931" s="70"/>
      <c r="HJ931" s="70"/>
      <c r="HK931" s="70"/>
      <c r="HL931" s="70"/>
      <c r="HM931" s="70"/>
      <c r="HN931" s="70"/>
      <c r="HO931" s="70"/>
      <c r="HP931" s="70"/>
      <c r="HQ931" s="70"/>
      <c r="HR931" s="70"/>
      <c r="HS931" s="70"/>
      <c r="HT931" s="70"/>
      <c r="HU931" s="70"/>
      <c r="HV931" s="70"/>
      <c r="HW931" s="70"/>
      <c r="HX931" s="70"/>
      <c r="HY931" s="70"/>
      <c r="HZ931" s="70"/>
      <c r="IA931" s="70"/>
      <c r="IB931" s="70"/>
      <c r="IC931" s="70"/>
      <c r="ID931" s="70"/>
      <c r="IE931" s="70"/>
      <c r="IF931" s="70"/>
      <c r="IG931" s="70"/>
      <c r="IH931" s="70"/>
      <c r="II931" s="70"/>
      <c r="IJ931" s="70"/>
      <c r="IK931" s="70"/>
      <c r="IL931" s="70"/>
      <c r="IM931" s="70"/>
      <c r="IN931" s="70"/>
      <c r="IO931" s="70"/>
      <c r="IP931" s="70"/>
      <c r="IQ931" s="70"/>
    </row>
    <row r="932" spans="18:251" ht="16.5" hidden="1" customHeight="1">
      <c r="R932" s="95" t="s">
        <v>450</v>
      </c>
      <c r="S932" s="95"/>
      <c r="T932" s="95"/>
      <c r="U932" s="70"/>
      <c r="V932" s="214"/>
      <c r="W932" s="70"/>
      <c r="X932" s="70"/>
      <c r="Y932" s="70"/>
      <c r="Z932" s="70"/>
      <c r="AA932" s="70"/>
      <c r="AB932" s="70"/>
      <c r="AC932" s="70"/>
      <c r="AD932" s="70"/>
      <c r="AE932" s="70"/>
      <c r="AF932" s="70"/>
      <c r="AG932" s="70"/>
      <c r="AH932" s="70"/>
      <c r="AI932" s="70"/>
      <c r="AJ932" s="70"/>
      <c r="AK932" s="70"/>
      <c r="AL932" s="70"/>
      <c r="AM932" s="70"/>
      <c r="AN932" s="70"/>
      <c r="AO932" s="70"/>
      <c r="AP932" s="70"/>
      <c r="AQ932" s="70"/>
      <c r="AR932" s="70"/>
      <c r="AS932" s="70"/>
      <c r="AT932" s="70"/>
      <c r="AU932" s="70"/>
      <c r="AV932" s="70"/>
      <c r="AW932" s="70"/>
      <c r="AX932" s="70"/>
      <c r="AY932" s="70"/>
      <c r="AZ932" s="70"/>
      <c r="BA932" s="70"/>
      <c r="BB932" s="70"/>
      <c r="BC932" s="70"/>
      <c r="BD932" s="70"/>
      <c r="BE932" s="70"/>
      <c r="BF932" s="70"/>
      <c r="BG932" s="70"/>
      <c r="BH932" s="70"/>
      <c r="BI932" s="70"/>
      <c r="BJ932" s="70"/>
      <c r="BK932" s="70"/>
      <c r="BL932" s="70"/>
      <c r="BM932" s="70"/>
      <c r="BN932" s="70"/>
      <c r="BO932" s="70"/>
      <c r="BP932" s="70"/>
      <c r="BQ932" s="70"/>
      <c r="BR932" s="70"/>
      <c r="BS932" s="70"/>
      <c r="BT932" s="70"/>
      <c r="BU932" s="70"/>
      <c r="BV932" s="70"/>
      <c r="BW932" s="70"/>
      <c r="BX932" s="70"/>
      <c r="BY932" s="70"/>
      <c r="BZ932" s="70"/>
      <c r="CA932" s="70"/>
      <c r="CB932" s="70"/>
      <c r="CC932" s="70"/>
      <c r="CD932" s="70"/>
      <c r="CE932" s="70"/>
      <c r="CF932" s="70"/>
      <c r="CG932" s="70"/>
      <c r="CH932" s="70"/>
      <c r="CI932" s="70"/>
      <c r="CJ932" s="70"/>
      <c r="CK932" s="70"/>
      <c r="CL932" s="70"/>
      <c r="CM932" s="70"/>
      <c r="CN932" s="70"/>
      <c r="CO932" s="70"/>
      <c r="CP932" s="70"/>
      <c r="CQ932" s="70"/>
      <c r="CR932" s="70"/>
      <c r="CS932" s="70"/>
      <c r="CT932" s="70"/>
      <c r="CU932" s="70"/>
      <c r="CV932" s="70"/>
      <c r="CW932" s="70"/>
      <c r="CX932" s="70"/>
      <c r="CY932" s="70"/>
      <c r="CZ932" s="70"/>
      <c r="DA932" s="70"/>
      <c r="DB932" s="70"/>
      <c r="DC932" s="70"/>
      <c r="DD932" s="70"/>
      <c r="DE932" s="70"/>
      <c r="DF932" s="70"/>
      <c r="DG932" s="70"/>
      <c r="DH932" s="70"/>
      <c r="DI932" s="70"/>
      <c r="DJ932" s="70"/>
      <c r="DK932" s="70"/>
      <c r="DL932" s="70"/>
      <c r="DM932" s="70"/>
      <c r="DN932" s="70"/>
      <c r="DO932" s="70"/>
      <c r="DP932" s="70"/>
      <c r="DQ932" s="70"/>
      <c r="DR932" s="70"/>
      <c r="DS932" s="70"/>
      <c r="DT932" s="70"/>
      <c r="DU932" s="70"/>
      <c r="DV932" s="70"/>
      <c r="DW932" s="70"/>
      <c r="DX932" s="70"/>
      <c r="DY932" s="70"/>
      <c r="DZ932" s="70"/>
      <c r="EA932" s="70"/>
      <c r="EB932" s="70"/>
      <c r="EC932" s="70"/>
      <c r="ED932" s="70"/>
      <c r="EE932" s="95" t="s">
        <v>450</v>
      </c>
      <c r="EF932" s="95"/>
      <c r="EG932" s="95"/>
      <c r="EH932" s="70"/>
      <c r="EI932" s="216"/>
      <c r="EJ932" s="70"/>
      <c r="EK932" s="70"/>
      <c r="EL932" s="70"/>
      <c r="EM932" s="70"/>
      <c r="EN932" s="70"/>
      <c r="EO932" s="70"/>
      <c r="EP932" s="70"/>
      <c r="EQ932" s="70"/>
      <c r="ER932" s="70"/>
      <c r="ES932" s="70"/>
      <c r="ET932" s="70"/>
      <c r="EU932" s="70"/>
      <c r="EV932" s="70"/>
      <c r="EW932" s="70"/>
      <c r="EX932" s="70"/>
      <c r="EY932" s="70"/>
      <c r="EZ932" s="70"/>
      <c r="FA932" s="70"/>
      <c r="FB932" s="70"/>
      <c r="FC932" s="70"/>
      <c r="FD932" s="70"/>
      <c r="FE932" s="70"/>
      <c r="FF932" s="70"/>
      <c r="FG932" s="70"/>
      <c r="FH932" s="70"/>
      <c r="FI932" s="70"/>
      <c r="FJ932" s="70"/>
      <c r="FK932" s="70"/>
      <c r="FL932" s="70"/>
      <c r="FM932" s="70"/>
      <c r="FN932" s="70"/>
      <c r="FO932" s="70"/>
      <c r="FP932" s="70"/>
      <c r="FQ932" s="70"/>
      <c r="FR932" s="70"/>
      <c r="FS932" s="70"/>
      <c r="FT932" s="70"/>
      <c r="FU932" s="70"/>
      <c r="FV932" s="70"/>
      <c r="FW932" s="70"/>
      <c r="FX932" s="70"/>
      <c r="FY932" s="70"/>
      <c r="FZ932" s="70"/>
      <c r="GA932" s="70"/>
      <c r="GB932" s="70"/>
      <c r="GC932" s="70"/>
      <c r="GD932" s="70"/>
      <c r="GE932" s="70"/>
      <c r="GF932" s="70"/>
      <c r="GG932" s="70"/>
      <c r="GH932" s="70"/>
      <c r="GI932" s="70"/>
      <c r="GJ932" s="70"/>
      <c r="GK932" s="70"/>
      <c r="GL932" s="70"/>
      <c r="GM932" s="70"/>
      <c r="GN932" s="70"/>
      <c r="GO932" s="70"/>
      <c r="GP932" s="70"/>
      <c r="GQ932" s="70"/>
      <c r="GR932" s="70"/>
      <c r="GS932" s="70"/>
      <c r="GT932" s="70"/>
      <c r="GU932" s="70"/>
      <c r="GV932" s="70"/>
      <c r="GW932" s="70"/>
      <c r="GX932" s="70"/>
      <c r="GY932" s="70"/>
      <c r="GZ932" s="70"/>
      <c r="HA932" s="70"/>
      <c r="HB932" s="70"/>
      <c r="HC932" s="70"/>
      <c r="HD932" s="70"/>
      <c r="HE932" s="70"/>
      <c r="HF932" s="70"/>
      <c r="HG932" s="70"/>
      <c r="HH932" s="70"/>
      <c r="HI932" s="70"/>
      <c r="HJ932" s="70"/>
      <c r="HK932" s="70"/>
      <c r="HL932" s="70"/>
      <c r="HM932" s="70"/>
      <c r="HN932" s="70"/>
      <c r="HO932" s="70"/>
      <c r="HP932" s="70"/>
      <c r="HQ932" s="70"/>
      <c r="HR932" s="70"/>
      <c r="HS932" s="70"/>
      <c r="HT932" s="70"/>
      <c r="HU932" s="70"/>
      <c r="HV932" s="70"/>
      <c r="HW932" s="70"/>
      <c r="HX932" s="70"/>
      <c r="HY932" s="70"/>
      <c r="HZ932" s="70"/>
      <c r="IA932" s="70"/>
      <c r="IB932" s="70"/>
      <c r="IC932" s="70"/>
      <c r="ID932" s="70"/>
      <c r="IE932" s="70"/>
      <c r="IF932" s="70"/>
      <c r="IG932" s="70"/>
      <c r="IH932" s="70"/>
      <c r="II932" s="70"/>
      <c r="IJ932" s="70"/>
      <c r="IK932" s="70"/>
      <c r="IL932" s="70"/>
      <c r="IM932" s="70"/>
      <c r="IN932" s="70"/>
      <c r="IO932" s="70"/>
      <c r="IP932" s="70"/>
      <c r="IQ932" s="70"/>
    </row>
    <row r="933" spans="18:251" ht="16.5" hidden="1" customHeight="1">
      <c r="R933" s="95" t="s">
        <v>450</v>
      </c>
      <c r="S933" s="95"/>
      <c r="T933" s="95"/>
      <c r="U933" s="70"/>
      <c r="V933" s="214"/>
      <c r="W933" s="70"/>
      <c r="X933" s="70"/>
      <c r="Y933" s="70"/>
      <c r="Z933" s="70"/>
      <c r="AA933" s="70"/>
      <c r="AB933" s="70"/>
      <c r="AC933" s="70"/>
      <c r="AD933" s="70"/>
      <c r="AE933" s="70"/>
      <c r="AF933" s="70"/>
      <c r="AG933" s="70"/>
      <c r="AH933" s="70"/>
      <c r="AI933" s="70"/>
      <c r="AJ933" s="70"/>
      <c r="AK933" s="70"/>
      <c r="AL933" s="70"/>
      <c r="AM933" s="70"/>
      <c r="AN933" s="70"/>
      <c r="AO933" s="70"/>
      <c r="AP933" s="70"/>
      <c r="AQ933" s="70"/>
      <c r="AR933" s="70"/>
      <c r="AS933" s="70"/>
      <c r="AT933" s="70"/>
      <c r="AU933" s="70"/>
      <c r="AV933" s="70"/>
      <c r="AW933" s="70"/>
      <c r="AX933" s="70"/>
      <c r="AY933" s="70"/>
      <c r="AZ933" s="70"/>
      <c r="BA933" s="70"/>
      <c r="BB933" s="70"/>
      <c r="BC933" s="70"/>
      <c r="BD933" s="70"/>
      <c r="BE933" s="70"/>
      <c r="BF933" s="70"/>
      <c r="BG933" s="70"/>
      <c r="BH933" s="70"/>
      <c r="BI933" s="70"/>
      <c r="BJ933" s="70"/>
      <c r="BK933" s="70"/>
      <c r="BL933" s="70"/>
      <c r="BM933" s="70"/>
      <c r="BN933" s="70"/>
      <c r="BO933" s="70"/>
      <c r="BP933" s="70"/>
      <c r="BQ933" s="70"/>
      <c r="BR933" s="70"/>
      <c r="BS933" s="70"/>
      <c r="BT933" s="70"/>
      <c r="BU933" s="70"/>
      <c r="BV933" s="70"/>
      <c r="BW933" s="70"/>
      <c r="BX933" s="70"/>
      <c r="BY933" s="70"/>
      <c r="BZ933" s="70"/>
      <c r="CA933" s="70"/>
      <c r="CB933" s="70"/>
      <c r="CC933" s="70"/>
      <c r="CD933" s="70"/>
      <c r="CE933" s="70"/>
      <c r="CF933" s="70"/>
      <c r="CG933" s="70"/>
      <c r="CH933" s="70"/>
      <c r="CI933" s="70"/>
      <c r="CJ933" s="70"/>
      <c r="CK933" s="70"/>
      <c r="CL933" s="70"/>
      <c r="CM933" s="70"/>
      <c r="CN933" s="70"/>
      <c r="CO933" s="70"/>
      <c r="CP933" s="70"/>
      <c r="CQ933" s="70"/>
      <c r="CR933" s="70"/>
      <c r="CS933" s="70"/>
      <c r="CT933" s="70"/>
      <c r="CU933" s="70"/>
      <c r="CV933" s="70"/>
      <c r="CW933" s="70"/>
      <c r="CX933" s="70"/>
      <c r="CY933" s="70"/>
      <c r="CZ933" s="70"/>
      <c r="DA933" s="70"/>
      <c r="DB933" s="70"/>
      <c r="DC933" s="70"/>
      <c r="DD933" s="70"/>
      <c r="DE933" s="70"/>
      <c r="DF933" s="70"/>
      <c r="DG933" s="70"/>
      <c r="DH933" s="70"/>
      <c r="DI933" s="70"/>
      <c r="DJ933" s="70"/>
      <c r="DK933" s="70"/>
      <c r="DL933" s="70"/>
      <c r="DM933" s="70"/>
      <c r="DN933" s="70"/>
      <c r="DO933" s="70"/>
      <c r="DP933" s="70"/>
      <c r="DQ933" s="70"/>
      <c r="DR933" s="70"/>
      <c r="DS933" s="70"/>
      <c r="DT933" s="70"/>
      <c r="DU933" s="70"/>
      <c r="DV933" s="70"/>
      <c r="DW933" s="70"/>
      <c r="DX933" s="70"/>
      <c r="DY933" s="70"/>
      <c r="DZ933" s="70"/>
      <c r="EA933" s="70"/>
      <c r="EB933" s="70"/>
      <c r="EC933" s="70"/>
      <c r="ED933" s="70"/>
      <c r="EE933" s="95" t="s">
        <v>450</v>
      </c>
      <c r="EF933" s="95"/>
      <c r="EG933" s="95"/>
      <c r="EH933" s="70"/>
      <c r="EI933" s="216"/>
      <c r="EJ933" s="70"/>
      <c r="EK933" s="70"/>
      <c r="EL933" s="70"/>
      <c r="EM933" s="70"/>
      <c r="EN933" s="70"/>
      <c r="EO933" s="70"/>
      <c r="EP933" s="70"/>
      <c r="EQ933" s="70"/>
      <c r="ER933" s="70"/>
      <c r="ES933" s="70"/>
      <c r="ET933" s="70"/>
      <c r="EU933" s="70"/>
      <c r="EV933" s="70"/>
      <c r="EW933" s="70"/>
      <c r="EX933" s="70"/>
      <c r="EY933" s="70"/>
      <c r="EZ933" s="70"/>
      <c r="FA933" s="70"/>
      <c r="FB933" s="70"/>
      <c r="FC933" s="70"/>
      <c r="FD933" s="70"/>
      <c r="FE933" s="70"/>
      <c r="FF933" s="70"/>
      <c r="FG933" s="70"/>
      <c r="FH933" s="70"/>
      <c r="FI933" s="70"/>
      <c r="FJ933" s="70"/>
      <c r="FK933" s="70"/>
      <c r="FL933" s="70"/>
      <c r="FM933" s="70"/>
      <c r="FN933" s="70"/>
      <c r="FO933" s="70"/>
      <c r="FP933" s="70"/>
      <c r="FQ933" s="70"/>
      <c r="FR933" s="70"/>
      <c r="FS933" s="70"/>
      <c r="FT933" s="70"/>
      <c r="FU933" s="70"/>
      <c r="FV933" s="70"/>
      <c r="FW933" s="70"/>
      <c r="FX933" s="70"/>
      <c r="FY933" s="70"/>
      <c r="FZ933" s="70"/>
      <c r="GA933" s="70"/>
      <c r="GB933" s="70"/>
      <c r="GC933" s="70"/>
      <c r="GD933" s="70"/>
      <c r="GE933" s="70"/>
      <c r="GF933" s="70"/>
      <c r="GG933" s="70"/>
      <c r="GH933" s="70"/>
      <c r="GI933" s="70"/>
      <c r="GJ933" s="70"/>
      <c r="GK933" s="70"/>
      <c r="GL933" s="70"/>
      <c r="GM933" s="70"/>
      <c r="GN933" s="70"/>
      <c r="GO933" s="70"/>
      <c r="GP933" s="70"/>
      <c r="GQ933" s="70"/>
      <c r="GR933" s="70"/>
      <c r="GS933" s="70"/>
      <c r="GT933" s="70"/>
      <c r="GU933" s="70"/>
      <c r="GV933" s="70"/>
      <c r="GW933" s="70"/>
      <c r="GX933" s="70"/>
      <c r="GY933" s="70"/>
      <c r="GZ933" s="70"/>
      <c r="HA933" s="70"/>
      <c r="HB933" s="70"/>
      <c r="HC933" s="70"/>
      <c r="HD933" s="70"/>
      <c r="HE933" s="70"/>
      <c r="HF933" s="70"/>
      <c r="HG933" s="70"/>
      <c r="HH933" s="70"/>
      <c r="HI933" s="70"/>
      <c r="HJ933" s="70"/>
      <c r="HK933" s="70"/>
      <c r="HL933" s="70"/>
      <c r="HM933" s="70"/>
      <c r="HN933" s="70"/>
      <c r="HO933" s="70"/>
      <c r="HP933" s="70"/>
      <c r="HQ933" s="70"/>
      <c r="HR933" s="70"/>
      <c r="HS933" s="70"/>
      <c r="HT933" s="70"/>
      <c r="HU933" s="70"/>
      <c r="HV933" s="70"/>
      <c r="HW933" s="70"/>
      <c r="HX933" s="70"/>
      <c r="HY933" s="70"/>
      <c r="HZ933" s="70"/>
      <c r="IA933" s="70"/>
      <c r="IB933" s="70"/>
      <c r="IC933" s="70"/>
      <c r="ID933" s="70"/>
      <c r="IE933" s="70"/>
      <c r="IF933" s="70"/>
      <c r="IG933" s="70"/>
      <c r="IH933" s="70"/>
      <c r="II933" s="70"/>
      <c r="IJ933" s="70"/>
      <c r="IK933" s="70"/>
      <c r="IL933" s="70"/>
      <c r="IM933" s="70"/>
      <c r="IN933" s="70"/>
      <c r="IO933" s="70"/>
      <c r="IP933" s="70"/>
      <c r="IQ933" s="70"/>
    </row>
    <row r="934" spans="18:251" ht="16.5" hidden="1" customHeight="1">
      <c r="R934" s="95" t="s">
        <v>450</v>
      </c>
      <c r="S934" s="95"/>
      <c r="T934" s="95"/>
      <c r="U934" s="70"/>
      <c r="V934" s="214"/>
      <c r="W934" s="70"/>
      <c r="X934" s="70"/>
      <c r="Y934" s="70"/>
      <c r="Z934" s="70"/>
      <c r="AA934" s="70"/>
      <c r="AB934" s="70"/>
      <c r="AC934" s="70"/>
      <c r="AD934" s="70"/>
      <c r="AE934" s="70"/>
      <c r="AF934" s="70"/>
      <c r="AG934" s="70"/>
      <c r="AH934" s="70"/>
      <c r="AI934" s="70"/>
      <c r="AJ934" s="70"/>
      <c r="AK934" s="70"/>
      <c r="AL934" s="70"/>
      <c r="AM934" s="70"/>
      <c r="AN934" s="70"/>
      <c r="AO934" s="70"/>
      <c r="AP934" s="70"/>
      <c r="AQ934" s="70"/>
      <c r="AR934" s="70"/>
      <c r="AS934" s="70"/>
      <c r="AT934" s="70"/>
      <c r="AU934" s="70"/>
      <c r="AV934" s="70"/>
      <c r="AW934" s="70"/>
      <c r="AX934" s="70"/>
      <c r="AY934" s="70"/>
      <c r="AZ934" s="70"/>
      <c r="BA934" s="70"/>
      <c r="BB934" s="70"/>
      <c r="BC934" s="70"/>
      <c r="BD934" s="70"/>
      <c r="BE934" s="70"/>
      <c r="BF934" s="70"/>
      <c r="BG934" s="70"/>
      <c r="BH934" s="70"/>
      <c r="BI934" s="70"/>
      <c r="BJ934" s="70"/>
      <c r="BK934" s="70"/>
      <c r="BL934" s="70"/>
      <c r="BM934" s="70"/>
      <c r="BN934" s="70"/>
      <c r="BO934" s="70"/>
      <c r="BP934" s="70"/>
      <c r="BQ934" s="70"/>
      <c r="BR934" s="70"/>
      <c r="BS934" s="70"/>
      <c r="BT934" s="70"/>
      <c r="BU934" s="70"/>
      <c r="BV934" s="70"/>
      <c r="BW934" s="70"/>
      <c r="BX934" s="70"/>
      <c r="BY934" s="70"/>
      <c r="BZ934" s="70"/>
      <c r="CA934" s="70"/>
      <c r="CB934" s="70"/>
      <c r="CC934" s="70"/>
      <c r="CD934" s="70"/>
      <c r="CE934" s="70"/>
      <c r="CF934" s="70"/>
      <c r="CG934" s="70"/>
      <c r="CH934" s="70"/>
      <c r="CI934" s="70"/>
      <c r="CJ934" s="70"/>
      <c r="CK934" s="70"/>
      <c r="CL934" s="70"/>
      <c r="CM934" s="70"/>
      <c r="CN934" s="70"/>
      <c r="CO934" s="70"/>
      <c r="CP934" s="70"/>
      <c r="CQ934" s="70"/>
      <c r="CR934" s="70"/>
      <c r="CS934" s="70"/>
      <c r="CT934" s="70"/>
      <c r="CU934" s="70"/>
      <c r="CV934" s="70"/>
      <c r="CW934" s="70"/>
      <c r="CX934" s="70"/>
      <c r="CY934" s="70"/>
      <c r="CZ934" s="70"/>
      <c r="DA934" s="70"/>
      <c r="DB934" s="70"/>
      <c r="DC934" s="70"/>
      <c r="DD934" s="70"/>
      <c r="DE934" s="70"/>
      <c r="DF934" s="70"/>
      <c r="DG934" s="70"/>
      <c r="DH934" s="70"/>
      <c r="DI934" s="70"/>
      <c r="DJ934" s="70"/>
      <c r="DK934" s="70"/>
      <c r="DL934" s="70"/>
      <c r="DM934" s="70"/>
      <c r="DN934" s="70"/>
      <c r="DO934" s="70"/>
      <c r="DP934" s="70"/>
      <c r="DQ934" s="70"/>
      <c r="DR934" s="70"/>
      <c r="DS934" s="70"/>
      <c r="DT934" s="70"/>
      <c r="DU934" s="70"/>
      <c r="DV934" s="70"/>
      <c r="DW934" s="70"/>
      <c r="DX934" s="70"/>
      <c r="DY934" s="70"/>
      <c r="DZ934" s="70"/>
      <c r="EA934" s="70"/>
      <c r="EB934" s="70"/>
      <c r="EC934" s="70"/>
      <c r="ED934" s="70"/>
      <c r="EE934" s="95" t="s">
        <v>450</v>
      </c>
      <c r="EF934" s="95"/>
      <c r="EG934" s="95"/>
      <c r="EH934" s="70"/>
      <c r="EI934" s="216"/>
      <c r="EJ934" s="70"/>
      <c r="EK934" s="70"/>
      <c r="EL934" s="70"/>
      <c r="EM934" s="70"/>
      <c r="EN934" s="70"/>
      <c r="EO934" s="70"/>
      <c r="EP934" s="70"/>
      <c r="EQ934" s="70"/>
      <c r="ER934" s="70"/>
      <c r="ES934" s="70"/>
      <c r="ET934" s="70"/>
      <c r="EU934" s="70"/>
      <c r="EV934" s="70"/>
      <c r="EW934" s="70"/>
      <c r="EX934" s="70"/>
      <c r="EY934" s="70"/>
      <c r="EZ934" s="70"/>
      <c r="FA934" s="70"/>
      <c r="FB934" s="70"/>
      <c r="FC934" s="70"/>
      <c r="FD934" s="70"/>
      <c r="FE934" s="70"/>
      <c r="FF934" s="70"/>
      <c r="FG934" s="70"/>
      <c r="FH934" s="70"/>
      <c r="FI934" s="70"/>
      <c r="FJ934" s="70"/>
      <c r="FK934" s="70"/>
      <c r="FL934" s="70"/>
      <c r="FM934" s="70"/>
      <c r="FN934" s="70"/>
      <c r="FO934" s="70"/>
      <c r="FP934" s="70"/>
      <c r="FQ934" s="70"/>
      <c r="FR934" s="70"/>
      <c r="FS934" s="70"/>
      <c r="FT934" s="70"/>
      <c r="FU934" s="70"/>
      <c r="FV934" s="70"/>
      <c r="FW934" s="70"/>
      <c r="FX934" s="70"/>
      <c r="FY934" s="70"/>
      <c r="FZ934" s="70"/>
      <c r="GA934" s="70"/>
      <c r="GB934" s="70"/>
      <c r="GC934" s="70"/>
      <c r="GD934" s="70"/>
      <c r="GE934" s="70"/>
      <c r="GF934" s="70"/>
      <c r="GG934" s="70"/>
      <c r="GH934" s="70"/>
      <c r="GI934" s="70"/>
      <c r="GJ934" s="70"/>
      <c r="GK934" s="70"/>
      <c r="GL934" s="70"/>
      <c r="GM934" s="70"/>
      <c r="GN934" s="70"/>
      <c r="GO934" s="70"/>
      <c r="GP934" s="70"/>
      <c r="GQ934" s="70"/>
      <c r="GR934" s="70"/>
      <c r="GS934" s="70"/>
      <c r="GT934" s="70"/>
      <c r="GU934" s="70"/>
      <c r="GV934" s="70"/>
      <c r="GW934" s="70"/>
      <c r="GX934" s="70"/>
      <c r="GY934" s="70"/>
      <c r="GZ934" s="70"/>
      <c r="HA934" s="70"/>
      <c r="HB934" s="70"/>
      <c r="HC934" s="70"/>
      <c r="HD934" s="70"/>
      <c r="HE934" s="70"/>
      <c r="HF934" s="70"/>
      <c r="HG934" s="70"/>
      <c r="HH934" s="70"/>
      <c r="HI934" s="70"/>
      <c r="HJ934" s="70"/>
      <c r="HK934" s="70"/>
      <c r="HL934" s="70"/>
      <c r="HM934" s="70"/>
      <c r="HN934" s="70"/>
      <c r="HO934" s="70"/>
      <c r="HP934" s="70"/>
      <c r="HQ934" s="70"/>
      <c r="HR934" s="70"/>
      <c r="HS934" s="70"/>
      <c r="HT934" s="70"/>
      <c r="HU934" s="70"/>
      <c r="HV934" s="70"/>
      <c r="HW934" s="70"/>
      <c r="HX934" s="70"/>
      <c r="HY934" s="70"/>
      <c r="HZ934" s="70"/>
      <c r="IA934" s="70"/>
      <c r="IB934" s="70"/>
      <c r="IC934" s="70"/>
      <c r="ID934" s="70"/>
      <c r="IE934" s="70"/>
      <c r="IF934" s="70"/>
      <c r="IG934" s="70"/>
      <c r="IH934" s="70"/>
      <c r="II934" s="70"/>
      <c r="IJ934" s="70"/>
      <c r="IK934" s="70"/>
      <c r="IL934" s="70"/>
      <c r="IM934" s="70"/>
      <c r="IN934" s="70"/>
      <c r="IO934" s="70"/>
      <c r="IP934" s="70"/>
      <c r="IQ934" s="70"/>
    </row>
    <row r="935" spans="18:251" ht="16.5" hidden="1" customHeight="1">
      <c r="R935" s="95" t="s">
        <v>450</v>
      </c>
      <c r="S935" s="95"/>
      <c r="T935" s="95"/>
      <c r="U935" s="70"/>
      <c r="V935" s="214"/>
      <c r="W935" s="70"/>
      <c r="X935" s="70"/>
      <c r="Y935" s="70"/>
      <c r="Z935" s="70"/>
      <c r="AA935" s="70"/>
      <c r="AB935" s="70"/>
      <c r="AC935" s="70"/>
      <c r="AD935" s="70"/>
      <c r="AE935" s="70"/>
      <c r="AF935" s="70"/>
      <c r="AG935" s="70"/>
      <c r="AH935" s="70"/>
      <c r="AI935" s="70"/>
      <c r="AJ935" s="70"/>
      <c r="AK935" s="70"/>
      <c r="AL935" s="70"/>
      <c r="AM935" s="70"/>
      <c r="AN935" s="70"/>
      <c r="AO935" s="70"/>
      <c r="AP935" s="70"/>
      <c r="AQ935" s="70"/>
      <c r="AR935" s="70"/>
      <c r="AS935" s="70"/>
      <c r="AT935" s="70"/>
      <c r="AU935" s="70"/>
      <c r="AV935" s="70"/>
      <c r="AW935" s="70"/>
      <c r="AX935" s="70"/>
      <c r="AY935" s="70"/>
      <c r="AZ935" s="70"/>
      <c r="BA935" s="70"/>
      <c r="BB935" s="70"/>
      <c r="BC935" s="70"/>
      <c r="BD935" s="70"/>
      <c r="BE935" s="70"/>
      <c r="BF935" s="70"/>
      <c r="BG935" s="70"/>
      <c r="BH935" s="70"/>
      <c r="BI935" s="70"/>
      <c r="BJ935" s="70"/>
      <c r="BK935" s="70"/>
      <c r="BL935" s="70"/>
      <c r="BM935" s="70"/>
      <c r="BN935" s="70"/>
      <c r="BO935" s="70"/>
      <c r="BP935" s="70"/>
      <c r="BQ935" s="70"/>
      <c r="BR935" s="70"/>
      <c r="BS935" s="70"/>
      <c r="BT935" s="70"/>
      <c r="BU935" s="70"/>
      <c r="BV935" s="70"/>
      <c r="BW935" s="70"/>
      <c r="BX935" s="70"/>
      <c r="BY935" s="70"/>
      <c r="BZ935" s="70"/>
      <c r="CA935" s="70"/>
      <c r="CB935" s="70"/>
      <c r="CC935" s="70"/>
      <c r="CD935" s="70"/>
      <c r="CE935" s="70"/>
      <c r="CF935" s="70"/>
      <c r="CG935" s="70"/>
      <c r="CH935" s="70"/>
      <c r="CI935" s="70"/>
      <c r="CJ935" s="70"/>
      <c r="CK935" s="70"/>
      <c r="CL935" s="70"/>
      <c r="CM935" s="70"/>
      <c r="CN935" s="70"/>
      <c r="CO935" s="70"/>
      <c r="CP935" s="70"/>
      <c r="CQ935" s="70"/>
      <c r="CR935" s="70"/>
      <c r="CS935" s="70"/>
      <c r="CT935" s="70"/>
      <c r="CU935" s="70"/>
      <c r="CV935" s="70"/>
      <c r="CW935" s="70"/>
      <c r="CX935" s="70"/>
      <c r="CY935" s="70"/>
      <c r="CZ935" s="70"/>
      <c r="DA935" s="70"/>
      <c r="DB935" s="70"/>
      <c r="DC935" s="70"/>
      <c r="DD935" s="70"/>
      <c r="DE935" s="70"/>
      <c r="DF935" s="70"/>
      <c r="DG935" s="70"/>
      <c r="DH935" s="70"/>
      <c r="DI935" s="70"/>
      <c r="DJ935" s="70"/>
      <c r="DK935" s="70"/>
      <c r="DL935" s="70"/>
      <c r="DM935" s="70"/>
      <c r="DN935" s="70"/>
      <c r="DO935" s="70"/>
      <c r="DP935" s="70"/>
      <c r="DQ935" s="70"/>
      <c r="DR935" s="70"/>
      <c r="DS935" s="70"/>
      <c r="DT935" s="70"/>
      <c r="DU935" s="70"/>
      <c r="DV935" s="70"/>
      <c r="DW935" s="70"/>
      <c r="DX935" s="70"/>
      <c r="DY935" s="70"/>
      <c r="DZ935" s="70"/>
      <c r="EA935" s="70"/>
      <c r="EB935" s="70"/>
      <c r="EC935" s="70"/>
      <c r="ED935" s="70"/>
      <c r="EE935" s="95" t="s">
        <v>450</v>
      </c>
      <c r="EF935" s="95"/>
      <c r="EG935" s="95"/>
      <c r="EH935" s="70"/>
      <c r="EI935" s="216"/>
      <c r="EJ935" s="70"/>
      <c r="EK935" s="70"/>
      <c r="EL935" s="70"/>
      <c r="EM935" s="70"/>
      <c r="EN935" s="70"/>
      <c r="EO935" s="70"/>
      <c r="EP935" s="70"/>
      <c r="EQ935" s="70"/>
      <c r="ER935" s="70"/>
      <c r="ES935" s="70"/>
      <c r="ET935" s="70"/>
      <c r="EU935" s="70"/>
      <c r="EV935" s="70"/>
      <c r="EW935" s="70"/>
      <c r="EX935" s="70"/>
      <c r="EY935" s="70"/>
      <c r="EZ935" s="70"/>
      <c r="FA935" s="70"/>
      <c r="FB935" s="70"/>
      <c r="FC935" s="70"/>
      <c r="FD935" s="70"/>
      <c r="FE935" s="70"/>
      <c r="FF935" s="70"/>
      <c r="FG935" s="70"/>
      <c r="FH935" s="70"/>
      <c r="FI935" s="70"/>
      <c r="FJ935" s="70"/>
      <c r="FK935" s="70"/>
      <c r="FL935" s="70"/>
      <c r="FM935" s="70"/>
      <c r="FN935" s="70"/>
      <c r="FO935" s="70"/>
      <c r="FP935" s="70"/>
      <c r="FQ935" s="70"/>
      <c r="FR935" s="70"/>
      <c r="FS935" s="70"/>
      <c r="FT935" s="70"/>
      <c r="FU935" s="70"/>
      <c r="FV935" s="70"/>
      <c r="FW935" s="70"/>
      <c r="FX935" s="70"/>
      <c r="FY935" s="70"/>
      <c r="FZ935" s="70"/>
      <c r="GA935" s="70"/>
      <c r="GB935" s="70"/>
      <c r="GC935" s="70"/>
      <c r="GD935" s="70"/>
      <c r="GE935" s="70"/>
      <c r="GF935" s="70"/>
      <c r="GG935" s="70"/>
      <c r="GH935" s="70"/>
      <c r="GI935" s="70"/>
      <c r="GJ935" s="70"/>
      <c r="GK935" s="70"/>
      <c r="GL935" s="70"/>
      <c r="GM935" s="70"/>
      <c r="GN935" s="70"/>
      <c r="GO935" s="70"/>
      <c r="GP935" s="70"/>
      <c r="GQ935" s="70"/>
      <c r="GR935" s="70"/>
      <c r="GS935" s="70"/>
      <c r="GT935" s="70"/>
      <c r="GU935" s="70"/>
      <c r="GV935" s="70"/>
      <c r="GW935" s="70"/>
      <c r="GX935" s="70"/>
      <c r="GY935" s="70"/>
      <c r="GZ935" s="70"/>
      <c r="HA935" s="70"/>
      <c r="HB935" s="70"/>
      <c r="HC935" s="70"/>
      <c r="HD935" s="70"/>
      <c r="HE935" s="70"/>
      <c r="HF935" s="70"/>
      <c r="HG935" s="70"/>
      <c r="HH935" s="70"/>
      <c r="HI935" s="70"/>
      <c r="HJ935" s="70"/>
      <c r="HK935" s="70"/>
      <c r="HL935" s="70"/>
      <c r="HM935" s="70"/>
      <c r="HN935" s="70"/>
      <c r="HO935" s="70"/>
      <c r="HP935" s="70"/>
      <c r="HQ935" s="70"/>
      <c r="HR935" s="70"/>
      <c r="HS935" s="70"/>
      <c r="HT935" s="70"/>
      <c r="HU935" s="70"/>
      <c r="HV935" s="70"/>
      <c r="HW935" s="70"/>
      <c r="HX935" s="70"/>
      <c r="HY935" s="70"/>
      <c r="HZ935" s="70"/>
      <c r="IA935" s="70"/>
      <c r="IB935" s="70"/>
      <c r="IC935" s="70"/>
      <c r="ID935" s="70"/>
      <c r="IE935" s="70"/>
      <c r="IF935" s="70"/>
      <c r="IG935" s="70"/>
      <c r="IH935" s="70"/>
      <c r="II935" s="70"/>
      <c r="IJ935" s="70"/>
      <c r="IK935" s="70"/>
      <c r="IL935" s="70"/>
      <c r="IM935" s="70"/>
      <c r="IN935" s="70"/>
      <c r="IO935" s="70"/>
      <c r="IP935" s="70"/>
      <c r="IQ935" s="70"/>
    </row>
    <row r="936" spans="18:251" ht="16.5" hidden="1" customHeight="1">
      <c r="R936" s="95" t="s">
        <v>450</v>
      </c>
      <c r="S936" s="95"/>
      <c r="T936" s="95"/>
      <c r="U936" s="70"/>
      <c r="V936" s="214"/>
      <c r="W936" s="70"/>
      <c r="X936" s="70"/>
      <c r="Y936" s="70"/>
      <c r="Z936" s="70"/>
      <c r="AA936" s="70"/>
      <c r="AB936" s="70"/>
      <c r="AC936" s="70"/>
      <c r="AD936" s="70"/>
      <c r="AE936" s="70"/>
      <c r="AF936" s="70"/>
      <c r="AG936" s="70"/>
      <c r="AH936" s="70"/>
      <c r="AI936" s="70"/>
      <c r="AJ936" s="70"/>
      <c r="AK936" s="70"/>
      <c r="AL936" s="70"/>
      <c r="AM936" s="70"/>
      <c r="AN936" s="70"/>
      <c r="AO936" s="70"/>
      <c r="AP936" s="70"/>
      <c r="AQ936" s="70"/>
      <c r="AR936" s="70"/>
      <c r="AS936" s="70"/>
      <c r="AT936" s="70"/>
      <c r="AU936" s="70"/>
      <c r="AV936" s="70"/>
      <c r="AW936" s="70"/>
      <c r="AX936" s="70"/>
      <c r="AY936" s="70"/>
      <c r="AZ936" s="70"/>
      <c r="BA936" s="70"/>
      <c r="BB936" s="70"/>
      <c r="BC936" s="70"/>
      <c r="BD936" s="70"/>
      <c r="BE936" s="70"/>
      <c r="BF936" s="70"/>
      <c r="BG936" s="70"/>
      <c r="BH936" s="70"/>
      <c r="BI936" s="70"/>
      <c r="BJ936" s="70"/>
      <c r="BK936" s="70"/>
      <c r="BL936" s="70"/>
      <c r="BM936" s="70"/>
      <c r="BN936" s="70"/>
      <c r="BO936" s="70"/>
      <c r="BP936" s="70"/>
      <c r="BQ936" s="70"/>
      <c r="BR936" s="70"/>
      <c r="BS936" s="70"/>
      <c r="BT936" s="70"/>
      <c r="BU936" s="70"/>
      <c r="BV936" s="70"/>
      <c r="BW936" s="70"/>
      <c r="BX936" s="70"/>
      <c r="BY936" s="70"/>
      <c r="BZ936" s="70"/>
      <c r="CA936" s="70"/>
      <c r="CB936" s="70"/>
      <c r="CC936" s="70"/>
      <c r="CD936" s="70"/>
      <c r="CE936" s="70"/>
      <c r="CF936" s="70"/>
      <c r="CG936" s="70"/>
      <c r="CH936" s="70"/>
      <c r="CI936" s="70"/>
      <c r="CJ936" s="70"/>
      <c r="CK936" s="70"/>
      <c r="CL936" s="70"/>
      <c r="CM936" s="70"/>
      <c r="CN936" s="70"/>
      <c r="CO936" s="70"/>
      <c r="CP936" s="70"/>
      <c r="CQ936" s="70"/>
      <c r="CR936" s="70"/>
      <c r="CS936" s="70"/>
      <c r="CT936" s="70"/>
      <c r="CU936" s="70"/>
      <c r="CV936" s="70"/>
      <c r="CW936" s="70"/>
      <c r="CX936" s="70"/>
      <c r="CY936" s="70"/>
      <c r="CZ936" s="70"/>
      <c r="DA936" s="70"/>
      <c r="DB936" s="70"/>
      <c r="DC936" s="70"/>
      <c r="DD936" s="70"/>
      <c r="DE936" s="70"/>
      <c r="DF936" s="70"/>
      <c r="DG936" s="70"/>
      <c r="DH936" s="70"/>
      <c r="DI936" s="70"/>
      <c r="DJ936" s="70"/>
      <c r="DK936" s="70"/>
      <c r="DL936" s="70"/>
      <c r="DM936" s="70"/>
      <c r="DN936" s="70"/>
      <c r="DO936" s="70"/>
      <c r="DP936" s="70"/>
      <c r="DQ936" s="70"/>
      <c r="DR936" s="70"/>
      <c r="DS936" s="70"/>
      <c r="DT936" s="70"/>
      <c r="DU936" s="70"/>
      <c r="DV936" s="70"/>
      <c r="DW936" s="70"/>
      <c r="DX936" s="70"/>
      <c r="DY936" s="70"/>
      <c r="DZ936" s="70"/>
      <c r="EA936" s="70"/>
      <c r="EB936" s="70"/>
      <c r="EC936" s="70"/>
      <c r="ED936" s="70"/>
      <c r="EE936" s="95" t="s">
        <v>450</v>
      </c>
      <c r="EF936" s="95"/>
      <c r="EG936" s="95"/>
      <c r="EH936" s="70"/>
      <c r="EI936" s="216"/>
      <c r="EJ936" s="70"/>
      <c r="EK936" s="70"/>
      <c r="EL936" s="70"/>
      <c r="EM936" s="70"/>
      <c r="EN936" s="70"/>
      <c r="EO936" s="70"/>
      <c r="EP936" s="70"/>
      <c r="EQ936" s="70"/>
      <c r="ER936" s="70"/>
      <c r="ES936" s="70"/>
      <c r="ET936" s="70"/>
      <c r="EU936" s="70"/>
      <c r="EV936" s="70"/>
      <c r="EW936" s="70"/>
      <c r="EX936" s="70"/>
      <c r="EY936" s="70"/>
      <c r="EZ936" s="70"/>
      <c r="FA936" s="70"/>
      <c r="FB936" s="70"/>
      <c r="FC936" s="70"/>
      <c r="FD936" s="70"/>
      <c r="FE936" s="70"/>
      <c r="FF936" s="70"/>
      <c r="FG936" s="70"/>
      <c r="FH936" s="70"/>
      <c r="FI936" s="70"/>
      <c r="FJ936" s="70"/>
      <c r="FK936" s="70"/>
      <c r="FL936" s="70"/>
      <c r="FM936" s="70"/>
      <c r="FN936" s="70"/>
      <c r="FO936" s="70"/>
      <c r="FP936" s="70"/>
      <c r="FQ936" s="70"/>
      <c r="FR936" s="70"/>
      <c r="FS936" s="70"/>
      <c r="FT936" s="70"/>
      <c r="FU936" s="70"/>
      <c r="FV936" s="70"/>
      <c r="FW936" s="70"/>
      <c r="FX936" s="70"/>
      <c r="FY936" s="70"/>
      <c r="FZ936" s="70"/>
      <c r="GA936" s="70"/>
      <c r="GB936" s="70"/>
      <c r="GC936" s="70"/>
      <c r="GD936" s="70"/>
      <c r="GE936" s="70"/>
      <c r="GF936" s="70"/>
      <c r="GG936" s="70"/>
      <c r="GH936" s="70"/>
      <c r="GI936" s="70"/>
      <c r="GJ936" s="70"/>
      <c r="GK936" s="70"/>
      <c r="GL936" s="70"/>
      <c r="GM936" s="70"/>
      <c r="GN936" s="70"/>
      <c r="GO936" s="70"/>
      <c r="GP936" s="70"/>
      <c r="GQ936" s="70"/>
      <c r="GR936" s="70"/>
      <c r="GS936" s="70"/>
      <c r="GT936" s="70"/>
      <c r="GU936" s="70"/>
      <c r="GV936" s="70"/>
      <c r="GW936" s="70"/>
      <c r="GX936" s="70"/>
      <c r="GY936" s="70"/>
      <c r="GZ936" s="70"/>
      <c r="HA936" s="70"/>
      <c r="HB936" s="70"/>
      <c r="HC936" s="70"/>
      <c r="HD936" s="70"/>
      <c r="HE936" s="70"/>
      <c r="HF936" s="70"/>
      <c r="HG936" s="70"/>
      <c r="HH936" s="70"/>
      <c r="HI936" s="70"/>
      <c r="HJ936" s="70"/>
      <c r="HK936" s="70"/>
      <c r="HL936" s="70"/>
      <c r="HM936" s="70"/>
      <c r="HN936" s="70"/>
      <c r="HO936" s="70"/>
      <c r="HP936" s="70"/>
      <c r="HQ936" s="70"/>
      <c r="HR936" s="70"/>
      <c r="HS936" s="70"/>
      <c r="HT936" s="70"/>
      <c r="HU936" s="70"/>
      <c r="HV936" s="70"/>
      <c r="HW936" s="70"/>
      <c r="HX936" s="70"/>
      <c r="HY936" s="70"/>
      <c r="HZ936" s="70"/>
      <c r="IA936" s="70"/>
      <c r="IB936" s="70"/>
      <c r="IC936" s="70"/>
      <c r="ID936" s="70"/>
      <c r="IE936" s="70"/>
      <c r="IF936" s="70"/>
      <c r="IG936" s="70"/>
      <c r="IH936" s="70"/>
      <c r="II936" s="70"/>
      <c r="IJ936" s="70"/>
      <c r="IK936" s="70"/>
      <c r="IL936" s="70"/>
      <c r="IM936" s="70"/>
      <c r="IN936" s="70"/>
      <c r="IO936" s="70"/>
      <c r="IP936" s="70"/>
      <c r="IQ936" s="70"/>
    </row>
    <row r="937" spans="18:251" ht="16.5" hidden="1" customHeight="1">
      <c r="R937" s="95" t="s">
        <v>450</v>
      </c>
      <c r="S937" s="95"/>
      <c r="T937" s="95"/>
      <c r="U937" s="70"/>
      <c r="V937" s="214"/>
      <c r="W937" s="70"/>
      <c r="X937" s="70"/>
      <c r="Y937" s="70"/>
      <c r="Z937" s="70"/>
      <c r="AA937" s="70"/>
      <c r="AB937" s="70"/>
      <c r="AC937" s="70"/>
      <c r="AD937" s="70"/>
      <c r="AE937" s="70"/>
      <c r="AF937" s="70"/>
      <c r="AG937" s="70"/>
      <c r="AH937" s="70"/>
      <c r="AI937" s="70"/>
      <c r="AJ937" s="70"/>
      <c r="AK937" s="70"/>
      <c r="AL937" s="70"/>
      <c r="AM937" s="70"/>
      <c r="AN937" s="70"/>
      <c r="AO937" s="70"/>
      <c r="AP937" s="70"/>
      <c r="AQ937" s="70"/>
      <c r="AR937" s="70"/>
      <c r="AS937" s="70"/>
      <c r="AT937" s="70"/>
      <c r="AU937" s="70"/>
      <c r="AV937" s="70"/>
      <c r="AW937" s="70"/>
      <c r="AX937" s="70"/>
      <c r="AY937" s="70"/>
      <c r="AZ937" s="70"/>
      <c r="BA937" s="70"/>
      <c r="BB937" s="70"/>
      <c r="BC937" s="70"/>
      <c r="BD937" s="70"/>
      <c r="BE937" s="70"/>
      <c r="BF937" s="70"/>
      <c r="BG937" s="70"/>
      <c r="BH937" s="70"/>
      <c r="BI937" s="70"/>
      <c r="BJ937" s="70"/>
      <c r="BK937" s="70"/>
      <c r="BL937" s="70"/>
      <c r="BM937" s="70"/>
      <c r="BN937" s="70"/>
      <c r="BO937" s="70"/>
      <c r="BP937" s="70"/>
      <c r="BQ937" s="70"/>
      <c r="BR937" s="70"/>
      <c r="BS937" s="70"/>
      <c r="BT937" s="70"/>
      <c r="BU937" s="70"/>
      <c r="BV937" s="70"/>
      <c r="BW937" s="70"/>
      <c r="BX937" s="70"/>
      <c r="BY937" s="70"/>
      <c r="BZ937" s="70"/>
      <c r="CA937" s="70"/>
      <c r="CB937" s="70"/>
      <c r="CC937" s="70"/>
      <c r="CD937" s="70"/>
      <c r="CE937" s="70"/>
      <c r="CF937" s="70"/>
      <c r="CG937" s="70"/>
      <c r="CH937" s="70"/>
      <c r="CI937" s="70"/>
      <c r="CJ937" s="70"/>
      <c r="CK937" s="70"/>
      <c r="CL937" s="70"/>
      <c r="CM937" s="70"/>
      <c r="CN937" s="70"/>
      <c r="CO937" s="70"/>
      <c r="CP937" s="70"/>
      <c r="CQ937" s="70"/>
      <c r="CR937" s="70"/>
      <c r="CS937" s="70"/>
      <c r="CT937" s="70"/>
      <c r="CU937" s="70"/>
      <c r="CV937" s="70"/>
      <c r="CW937" s="70"/>
      <c r="CX937" s="70"/>
      <c r="CY937" s="70"/>
      <c r="CZ937" s="70"/>
      <c r="DA937" s="70"/>
      <c r="DB937" s="70"/>
      <c r="DC937" s="70"/>
      <c r="DD937" s="70"/>
      <c r="DE937" s="70"/>
      <c r="DF937" s="70"/>
      <c r="DG937" s="70"/>
      <c r="DH937" s="70"/>
      <c r="DI937" s="70"/>
      <c r="DJ937" s="70"/>
      <c r="DK937" s="70"/>
      <c r="DL937" s="70"/>
      <c r="DM937" s="70"/>
      <c r="DN937" s="70"/>
      <c r="DO937" s="70"/>
      <c r="DP937" s="70"/>
      <c r="DQ937" s="70"/>
      <c r="DR937" s="70"/>
      <c r="DS937" s="70"/>
      <c r="DT937" s="70"/>
      <c r="DU937" s="70"/>
      <c r="DV937" s="70"/>
      <c r="DW937" s="70"/>
      <c r="DX937" s="70"/>
      <c r="DY937" s="70"/>
      <c r="DZ937" s="70"/>
      <c r="EA937" s="70"/>
      <c r="EB937" s="70"/>
      <c r="EC937" s="70"/>
      <c r="ED937" s="70"/>
      <c r="EE937" s="95" t="s">
        <v>450</v>
      </c>
      <c r="EF937" s="95"/>
      <c r="EG937" s="95"/>
      <c r="EH937" s="70"/>
      <c r="EI937" s="216"/>
      <c r="EJ937" s="70"/>
      <c r="EK937" s="70"/>
      <c r="EL937" s="70"/>
      <c r="EM937" s="70"/>
      <c r="EN937" s="70"/>
      <c r="EO937" s="70"/>
      <c r="EP937" s="70"/>
      <c r="EQ937" s="70"/>
      <c r="ER937" s="70"/>
      <c r="ES937" s="70"/>
      <c r="ET937" s="70"/>
      <c r="EU937" s="70"/>
      <c r="EV937" s="70"/>
      <c r="EW937" s="70"/>
      <c r="EX937" s="70"/>
      <c r="EY937" s="70"/>
      <c r="EZ937" s="70"/>
      <c r="FA937" s="70"/>
      <c r="FB937" s="70"/>
      <c r="FC937" s="70"/>
      <c r="FD937" s="70"/>
      <c r="FE937" s="70"/>
      <c r="FF937" s="70"/>
      <c r="FG937" s="70"/>
      <c r="FH937" s="70"/>
      <c r="FI937" s="70"/>
      <c r="FJ937" s="70"/>
      <c r="FK937" s="70"/>
      <c r="FL937" s="70"/>
      <c r="FM937" s="70"/>
      <c r="FN937" s="70"/>
      <c r="FO937" s="70"/>
      <c r="FP937" s="70"/>
      <c r="FQ937" s="70"/>
      <c r="FR937" s="70"/>
      <c r="FS937" s="70"/>
      <c r="FT937" s="70"/>
      <c r="FU937" s="70"/>
      <c r="FV937" s="70"/>
      <c r="FW937" s="70"/>
      <c r="FX937" s="70"/>
      <c r="FY937" s="70"/>
      <c r="FZ937" s="70"/>
      <c r="GA937" s="70"/>
      <c r="GB937" s="70"/>
      <c r="GC937" s="70"/>
      <c r="GD937" s="70"/>
      <c r="GE937" s="70"/>
      <c r="GF937" s="70"/>
      <c r="GG937" s="70"/>
      <c r="GH937" s="70"/>
      <c r="GI937" s="70"/>
      <c r="GJ937" s="70"/>
      <c r="GK937" s="70"/>
      <c r="GL937" s="70"/>
      <c r="GM937" s="70"/>
      <c r="GN937" s="70"/>
      <c r="GO937" s="70"/>
      <c r="GP937" s="70"/>
      <c r="GQ937" s="70"/>
      <c r="GR937" s="70"/>
      <c r="GS937" s="70"/>
      <c r="GT937" s="70"/>
      <c r="GU937" s="70"/>
      <c r="GV937" s="70"/>
      <c r="GW937" s="70"/>
      <c r="GX937" s="70"/>
      <c r="GY937" s="70"/>
      <c r="GZ937" s="70"/>
      <c r="HA937" s="70"/>
      <c r="HB937" s="70"/>
      <c r="HC937" s="70"/>
      <c r="HD937" s="70"/>
      <c r="HE937" s="70"/>
      <c r="HF937" s="70"/>
      <c r="HG937" s="70"/>
      <c r="HH937" s="70"/>
      <c r="HI937" s="70"/>
      <c r="HJ937" s="70"/>
      <c r="HK937" s="70"/>
      <c r="HL937" s="70"/>
      <c r="HM937" s="70"/>
      <c r="HN937" s="70"/>
      <c r="HO937" s="70"/>
      <c r="HP937" s="70"/>
      <c r="HQ937" s="70"/>
      <c r="HR937" s="70"/>
      <c r="HS937" s="70"/>
      <c r="HT937" s="70"/>
      <c r="HU937" s="70"/>
      <c r="HV937" s="70"/>
      <c r="HW937" s="70"/>
      <c r="HX937" s="70"/>
      <c r="HY937" s="70"/>
      <c r="HZ937" s="70"/>
      <c r="IA937" s="70"/>
      <c r="IB937" s="70"/>
      <c r="IC937" s="70"/>
      <c r="ID937" s="70"/>
      <c r="IE937" s="70"/>
      <c r="IF937" s="70"/>
      <c r="IG937" s="70"/>
      <c r="IH937" s="70"/>
      <c r="II937" s="70"/>
      <c r="IJ937" s="70"/>
      <c r="IK937" s="70"/>
      <c r="IL937" s="70"/>
      <c r="IM937" s="70"/>
      <c r="IN937" s="70"/>
      <c r="IO937" s="70"/>
      <c r="IP937" s="70"/>
      <c r="IQ937" s="70"/>
    </row>
    <row r="938" spans="18:251" ht="16.5" hidden="1" customHeight="1">
      <c r="R938" s="95" t="s">
        <v>450</v>
      </c>
      <c r="S938" s="95"/>
      <c r="T938" s="95"/>
      <c r="U938" s="70"/>
      <c r="V938" s="214"/>
      <c r="W938" s="70"/>
      <c r="X938" s="70"/>
      <c r="Y938" s="70"/>
      <c r="Z938" s="70"/>
      <c r="AA938" s="70"/>
      <c r="AB938" s="70"/>
      <c r="AC938" s="70"/>
      <c r="AD938" s="70"/>
      <c r="AE938" s="70"/>
      <c r="AF938" s="70"/>
      <c r="AG938" s="70"/>
      <c r="AH938" s="70"/>
      <c r="AI938" s="70"/>
      <c r="AJ938" s="70"/>
      <c r="AK938" s="70"/>
      <c r="AL938" s="70"/>
      <c r="AM938" s="70"/>
      <c r="AN938" s="70"/>
      <c r="AO938" s="70"/>
      <c r="AP938" s="70"/>
      <c r="AQ938" s="70"/>
      <c r="AR938" s="70"/>
      <c r="AS938" s="70"/>
      <c r="AT938" s="70"/>
      <c r="AU938" s="70"/>
      <c r="AV938" s="70"/>
      <c r="AW938" s="70"/>
      <c r="AX938" s="70"/>
      <c r="AY938" s="70"/>
      <c r="AZ938" s="70"/>
      <c r="BA938" s="70"/>
      <c r="BB938" s="70"/>
      <c r="BC938" s="70"/>
      <c r="BD938" s="70"/>
      <c r="BE938" s="70"/>
      <c r="BF938" s="70"/>
      <c r="BG938" s="70"/>
      <c r="BH938" s="70"/>
      <c r="BI938" s="70"/>
      <c r="BJ938" s="70"/>
      <c r="BK938" s="70"/>
      <c r="BL938" s="70"/>
      <c r="BM938" s="70"/>
      <c r="BN938" s="70"/>
      <c r="BO938" s="70"/>
      <c r="BP938" s="70"/>
      <c r="BQ938" s="70"/>
      <c r="BR938" s="70"/>
      <c r="BS938" s="70"/>
      <c r="BT938" s="70"/>
      <c r="BU938" s="70"/>
      <c r="BV938" s="70"/>
      <c r="BW938" s="70"/>
      <c r="BX938" s="70"/>
      <c r="BY938" s="70"/>
      <c r="BZ938" s="70"/>
      <c r="CA938" s="70"/>
      <c r="CB938" s="70"/>
      <c r="CC938" s="70"/>
      <c r="CD938" s="70"/>
      <c r="CE938" s="70"/>
      <c r="CF938" s="70"/>
      <c r="CG938" s="70"/>
      <c r="CH938" s="70"/>
      <c r="CI938" s="70"/>
      <c r="CJ938" s="70"/>
      <c r="CK938" s="70"/>
      <c r="CL938" s="70"/>
      <c r="CM938" s="70"/>
      <c r="CN938" s="70"/>
      <c r="CO938" s="70"/>
      <c r="CP938" s="70"/>
      <c r="CQ938" s="70"/>
      <c r="CR938" s="70"/>
      <c r="CS938" s="70"/>
      <c r="CT938" s="70"/>
      <c r="CU938" s="70"/>
      <c r="CV938" s="70"/>
      <c r="CW938" s="70"/>
      <c r="CX938" s="70"/>
      <c r="CY938" s="70"/>
      <c r="CZ938" s="70"/>
      <c r="DA938" s="70"/>
      <c r="DB938" s="70"/>
      <c r="DC938" s="70"/>
      <c r="DD938" s="70"/>
      <c r="DE938" s="70"/>
      <c r="DF938" s="70"/>
      <c r="DG938" s="70"/>
      <c r="DH938" s="70"/>
      <c r="DI938" s="70"/>
      <c r="DJ938" s="70"/>
      <c r="DK938" s="70"/>
      <c r="DL938" s="70"/>
      <c r="DM938" s="70"/>
      <c r="DN938" s="70"/>
      <c r="DO938" s="70"/>
      <c r="DP938" s="70"/>
      <c r="DQ938" s="70"/>
      <c r="DR938" s="70"/>
      <c r="DS938" s="70"/>
      <c r="DT938" s="70"/>
      <c r="DU938" s="70"/>
      <c r="DV938" s="70"/>
      <c r="DW938" s="70"/>
      <c r="DX938" s="70"/>
      <c r="DY938" s="70"/>
      <c r="DZ938" s="70"/>
      <c r="EA938" s="70"/>
      <c r="EB938" s="70"/>
      <c r="EC938" s="70"/>
      <c r="ED938" s="70"/>
      <c r="EE938" s="95" t="s">
        <v>450</v>
      </c>
      <c r="EF938" s="95"/>
      <c r="EG938" s="95"/>
      <c r="EH938" s="70"/>
      <c r="EI938" s="216"/>
      <c r="EJ938" s="70"/>
      <c r="EK938" s="70"/>
      <c r="EL938" s="70"/>
      <c r="EM938" s="70"/>
      <c r="EN938" s="70"/>
      <c r="EO938" s="70"/>
      <c r="EP938" s="70"/>
      <c r="EQ938" s="70"/>
      <c r="ER938" s="70"/>
      <c r="ES938" s="70"/>
      <c r="ET938" s="70"/>
      <c r="EU938" s="70"/>
      <c r="EV938" s="70"/>
      <c r="EW938" s="70"/>
      <c r="EX938" s="70"/>
      <c r="EY938" s="70"/>
      <c r="EZ938" s="70"/>
      <c r="FA938" s="70"/>
      <c r="FB938" s="70"/>
      <c r="FC938" s="70"/>
      <c r="FD938" s="70"/>
      <c r="FE938" s="70"/>
      <c r="FF938" s="70"/>
      <c r="FG938" s="70"/>
      <c r="FH938" s="70"/>
      <c r="FI938" s="70"/>
      <c r="FJ938" s="70"/>
      <c r="FK938" s="70"/>
      <c r="FL938" s="70"/>
      <c r="FM938" s="70"/>
      <c r="FN938" s="70"/>
      <c r="FO938" s="70"/>
      <c r="FP938" s="70"/>
      <c r="FQ938" s="70"/>
      <c r="FR938" s="70"/>
      <c r="FS938" s="70"/>
      <c r="FT938" s="70"/>
      <c r="FU938" s="70"/>
      <c r="FV938" s="70"/>
      <c r="FW938" s="70"/>
      <c r="FX938" s="70"/>
      <c r="FY938" s="70"/>
      <c r="FZ938" s="70"/>
      <c r="GA938" s="70"/>
      <c r="GB938" s="70"/>
      <c r="GC938" s="70"/>
      <c r="GD938" s="70"/>
      <c r="GE938" s="70"/>
      <c r="GF938" s="70"/>
      <c r="GG938" s="70"/>
      <c r="GH938" s="70"/>
      <c r="GI938" s="70"/>
      <c r="GJ938" s="70"/>
      <c r="GK938" s="70"/>
      <c r="GL938" s="70"/>
      <c r="GM938" s="70"/>
      <c r="GN938" s="70"/>
      <c r="GO938" s="70"/>
      <c r="GP938" s="70"/>
      <c r="GQ938" s="70"/>
      <c r="GR938" s="70"/>
      <c r="GS938" s="70"/>
      <c r="GT938" s="70"/>
      <c r="GU938" s="70"/>
      <c r="GV938" s="70"/>
      <c r="GW938" s="70"/>
      <c r="GX938" s="70"/>
      <c r="GY938" s="70"/>
      <c r="GZ938" s="70"/>
      <c r="HA938" s="70"/>
      <c r="HB938" s="70"/>
      <c r="HC938" s="70"/>
      <c r="HD938" s="70"/>
      <c r="HE938" s="70"/>
      <c r="HF938" s="70"/>
      <c r="HG938" s="70"/>
      <c r="HH938" s="70"/>
      <c r="HI938" s="70"/>
      <c r="HJ938" s="70"/>
      <c r="HK938" s="70"/>
      <c r="HL938" s="70"/>
      <c r="HM938" s="70"/>
      <c r="HN938" s="70"/>
      <c r="HO938" s="70"/>
      <c r="HP938" s="70"/>
      <c r="HQ938" s="70"/>
      <c r="HR938" s="70"/>
      <c r="HS938" s="70"/>
      <c r="HT938" s="70"/>
      <c r="HU938" s="70"/>
      <c r="HV938" s="70"/>
      <c r="HW938" s="70"/>
      <c r="HX938" s="70"/>
      <c r="HY938" s="70"/>
      <c r="HZ938" s="70"/>
      <c r="IA938" s="70"/>
      <c r="IB938" s="70"/>
      <c r="IC938" s="70"/>
      <c r="ID938" s="70"/>
      <c r="IE938" s="70"/>
      <c r="IF938" s="70"/>
      <c r="IG938" s="70"/>
      <c r="IH938" s="70"/>
      <c r="II938" s="70"/>
      <c r="IJ938" s="70"/>
      <c r="IK938" s="70"/>
      <c r="IL938" s="70"/>
      <c r="IM938" s="70"/>
      <c r="IN938" s="70"/>
      <c r="IO938" s="70"/>
      <c r="IP938" s="70"/>
      <c r="IQ938" s="70"/>
    </row>
    <row r="939" spans="18:251" ht="16.5" hidden="1" customHeight="1">
      <c r="R939" s="95" t="s">
        <v>450</v>
      </c>
      <c r="S939" s="95"/>
      <c r="T939" s="95"/>
      <c r="U939" s="70"/>
      <c r="V939" s="214"/>
      <c r="W939" s="70"/>
      <c r="X939" s="70"/>
      <c r="Y939" s="70"/>
      <c r="Z939" s="70"/>
      <c r="AA939" s="70"/>
      <c r="AB939" s="70"/>
      <c r="AC939" s="70"/>
      <c r="AD939" s="70"/>
      <c r="AE939" s="70"/>
      <c r="AF939" s="70"/>
      <c r="AG939" s="70"/>
      <c r="AH939" s="70"/>
      <c r="AI939" s="70"/>
      <c r="AJ939" s="70"/>
      <c r="AK939" s="70"/>
      <c r="AL939" s="70"/>
      <c r="AM939" s="70"/>
      <c r="AN939" s="70"/>
      <c r="AO939" s="70"/>
      <c r="AP939" s="70"/>
      <c r="AQ939" s="70"/>
      <c r="AR939" s="70"/>
      <c r="AS939" s="70"/>
      <c r="AT939" s="70"/>
      <c r="AU939" s="70"/>
      <c r="AV939" s="70"/>
      <c r="AW939" s="70"/>
      <c r="AX939" s="70"/>
      <c r="AY939" s="70"/>
      <c r="AZ939" s="70"/>
      <c r="BA939" s="70"/>
      <c r="BB939" s="70"/>
      <c r="BC939" s="70"/>
      <c r="BD939" s="70"/>
      <c r="BE939" s="70"/>
      <c r="BF939" s="70"/>
      <c r="BG939" s="70"/>
      <c r="BH939" s="70"/>
      <c r="BI939" s="70"/>
      <c r="BJ939" s="70"/>
      <c r="BK939" s="70"/>
      <c r="BL939" s="70"/>
      <c r="BM939" s="70"/>
      <c r="BN939" s="70"/>
      <c r="BO939" s="70"/>
      <c r="BP939" s="70"/>
      <c r="BQ939" s="70"/>
      <c r="BR939" s="70"/>
      <c r="BS939" s="70"/>
      <c r="BT939" s="70"/>
      <c r="BU939" s="70"/>
      <c r="BV939" s="70"/>
      <c r="BW939" s="70"/>
      <c r="BX939" s="70"/>
      <c r="BY939" s="70"/>
      <c r="BZ939" s="70"/>
      <c r="CA939" s="70"/>
      <c r="CB939" s="70"/>
      <c r="CC939" s="70"/>
      <c r="CD939" s="70"/>
      <c r="CE939" s="70"/>
      <c r="CF939" s="70"/>
      <c r="CG939" s="70"/>
      <c r="CH939" s="70"/>
      <c r="CI939" s="70"/>
      <c r="CJ939" s="70"/>
      <c r="CK939" s="70"/>
      <c r="CL939" s="70"/>
      <c r="CM939" s="70"/>
      <c r="CN939" s="70"/>
      <c r="CO939" s="70"/>
      <c r="CP939" s="70"/>
      <c r="CQ939" s="70"/>
      <c r="CR939" s="70"/>
      <c r="CS939" s="70"/>
      <c r="CT939" s="70"/>
      <c r="CU939" s="70"/>
      <c r="CV939" s="70"/>
      <c r="CW939" s="70"/>
      <c r="CX939" s="70"/>
      <c r="CY939" s="70"/>
      <c r="CZ939" s="70"/>
      <c r="DA939" s="70"/>
      <c r="DB939" s="70"/>
      <c r="DC939" s="70"/>
      <c r="DD939" s="70"/>
      <c r="DE939" s="70"/>
      <c r="DF939" s="70"/>
      <c r="DG939" s="70"/>
      <c r="DH939" s="70"/>
      <c r="DI939" s="70"/>
      <c r="DJ939" s="70"/>
      <c r="DK939" s="70"/>
      <c r="DL939" s="70"/>
      <c r="DM939" s="70"/>
      <c r="DN939" s="70"/>
      <c r="DO939" s="70"/>
      <c r="DP939" s="70"/>
      <c r="DQ939" s="70"/>
      <c r="DR939" s="70"/>
      <c r="DS939" s="70"/>
      <c r="DT939" s="70"/>
      <c r="DU939" s="70"/>
      <c r="DV939" s="70"/>
      <c r="DW939" s="70"/>
      <c r="DX939" s="70"/>
      <c r="DY939" s="70"/>
      <c r="DZ939" s="70"/>
      <c r="EA939" s="70"/>
      <c r="EB939" s="70"/>
      <c r="EC939" s="70"/>
      <c r="ED939" s="70"/>
      <c r="EE939" s="95" t="s">
        <v>450</v>
      </c>
      <c r="EF939" s="95"/>
      <c r="EG939" s="95"/>
      <c r="EH939" s="70"/>
      <c r="EI939" s="216"/>
      <c r="EJ939" s="70"/>
      <c r="EK939" s="70"/>
      <c r="EL939" s="70"/>
      <c r="EM939" s="70"/>
      <c r="EN939" s="70"/>
      <c r="EO939" s="70"/>
      <c r="EP939" s="70"/>
      <c r="EQ939" s="70"/>
      <c r="ER939" s="70"/>
      <c r="ES939" s="70"/>
      <c r="ET939" s="70"/>
      <c r="EU939" s="70"/>
      <c r="EV939" s="70"/>
      <c r="EW939" s="70"/>
      <c r="EX939" s="70"/>
      <c r="EY939" s="70"/>
      <c r="EZ939" s="70"/>
      <c r="FA939" s="70"/>
      <c r="FB939" s="70"/>
      <c r="FC939" s="70"/>
      <c r="FD939" s="70"/>
      <c r="FE939" s="70"/>
      <c r="FF939" s="70"/>
      <c r="FG939" s="70"/>
      <c r="FH939" s="70"/>
      <c r="FI939" s="70"/>
      <c r="FJ939" s="70"/>
      <c r="FK939" s="70"/>
      <c r="FL939" s="70"/>
      <c r="FM939" s="70"/>
      <c r="FN939" s="70"/>
      <c r="FO939" s="70"/>
      <c r="FP939" s="70"/>
      <c r="FQ939" s="70"/>
      <c r="FR939" s="70"/>
      <c r="FS939" s="70"/>
      <c r="FT939" s="70"/>
      <c r="FU939" s="70"/>
      <c r="FV939" s="70"/>
      <c r="FW939" s="70"/>
      <c r="FX939" s="70"/>
      <c r="FY939" s="70"/>
      <c r="FZ939" s="70"/>
      <c r="GA939" s="70"/>
      <c r="GB939" s="70"/>
      <c r="GC939" s="70"/>
      <c r="GD939" s="70"/>
      <c r="GE939" s="70"/>
      <c r="GF939" s="70"/>
      <c r="GG939" s="70"/>
      <c r="GH939" s="70"/>
      <c r="GI939" s="70"/>
      <c r="GJ939" s="70"/>
      <c r="GK939" s="70"/>
      <c r="GL939" s="70"/>
      <c r="GM939" s="70"/>
      <c r="GN939" s="70"/>
      <c r="GO939" s="70"/>
      <c r="GP939" s="70"/>
      <c r="GQ939" s="70"/>
      <c r="GR939" s="70"/>
      <c r="GS939" s="70"/>
      <c r="GT939" s="70"/>
      <c r="GU939" s="70"/>
      <c r="GV939" s="70"/>
      <c r="GW939" s="70"/>
      <c r="GX939" s="70"/>
      <c r="GY939" s="70"/>
      <c r="GZ939" s="70"/>
      <c r="HA939" s="70"/>
      <c r="HB939" s="70"/>
      <c r="HC939" s="70"/>
      <c r="HD939" s="70"/>
      <c r="HE939" s="70"/>
      <c r="HF939" s="70"/>
      <c r="HG939" s="70"/>
      <c r="HH939" s="70"/>
      <c r="HI939" s="70"/>
      <c r="HJ939" s="70"/>
      <c r="HK939" s="70"/>
      <c r="HL939" s="70"/>
      <c r="HM939" s="70"/>
      <c r="HN939" s="70"/>
      <c r="HO939" s="70"/>
      <c r="HP939" s="70"/>
      <c r="HQ939" s="70"/>
      <c r="HR939" s="70"/>
      <c r="HS939" s="70"/>
      <c r="HT939" s="70"/>
      <c r="HU939" s="70"/>
      <c r="HV939" s="70"/>
      <c r="HW939" s="70"/>
      <c r="HX939" s="70"/>
      <c r="HY939" s="70"/>
      <c r="HZ939" s="70"/>
      <c r="IA939" s="70"/>
      <c r="IB939" s="70"/>
      <c r="IC939" s="70"/>
      <c r="ID939" s="70"/>
      <c r="IE939" s="70"/>
      <c r="IF939" s="70"/>
      <c r="IG939" s="70"/>
      <c r="IH939" s="70"/>
      <c r="II939" s="70"/>
      <c r="IJ939" s="70"/>
      <c r="IK939" s="70"/>
      <c r="IL939" s="70"/>
      <c r="IM939" s="70"/>
      <c r="IN939" s="70"/>
      <c r="IO939" s="70"/>
      <c r="IP939" s="70"/>
      <c r="IQ939" s="70"/>
    </row>
    <row r="940" spans="18:251" ht="16.5" hidden="1" customHeight="1">
      <c r="R940" s="95" t="s">
        <v>450</v>
      </c>
      <c r="S940" s="95"/>
      <c r="T940" s="95"/>
      <c r="U940" s="70"/>
      <c r="V940" s="214"/>
      <c r="W940" s="70"/>
      <c r="X940" s="70"/>
      <c r="Y940" s="70"/>
      <c r="Z940" s="70"/>
      <c r="AA940" s="70"/>
      <c r="AB940" s="70"/>
      <c r="AC940" s="70"/>
      <c r="AD940" s="70"/>
      <c r="AE940" s="70"/>
      <c r="AF940" s="70"/>
      <c r="AG940" s="70"/>
      <c r="AH940" s="70"/>
      <c r="AI940" s="70"/>
      <c r="AJ940" s="70"/>
      <c r="AK940" s="70"/>
      <c r="AL940" s="70"/>
      <c r="AM940" s="70"/>
      <c r="AN940" s="70"/>
      <c r="AO940" s="70"/>
      <c r="AP940" s="70"/>
      <c r="AQ940" s="70"/>
      <c r="AR940" s="70"/>
      <c r="AS940" s="70"/>
      <c r="AT940" s="70"/>
      <c r="AU940" s="70"/>
      <c r="AV940" s="70"/>
      <c r="AW940" s="70"/>
      <c r="AX940" s="70"/>
      <c r="AY940" s="70"/>
      <c r="AZ940" s="70"/>
      <c r="BA940" s="70"/>
      <c r="BB940" s="70"/>
      <c r="BC940" s="70"/>
      <c r="BD940" s="70"/>
      <c r="BE940" s="70"/>
      <c r="BF940" s="70"/>
      <c r="BG940" s="70"/>
      <c r="BH940" s="70"/>
      <c r="BI940" s="70"/>
      <c r="BJ940" s="70"/>
      <c r="BK940" s="70"/>
      <c r="BL940" s="70"/>
      <c r="BM940" s="70"/>
      <c r="BN940" s="70"/>
      <c r="BO940" s="70"/>
      <c r="BP940" s="70"/>
      <c r="BQ940" s="70"/>
      <c r="BR940" s="70"/>
      <c r="BS940" s="70"/>
      <c r="BT940" s="70"/>
      <c r="BU940" s="70"/>
      <c r="BV940" s="70"/>
      <c r="BW940" s="70"/>
      <c r="BX940" s="70"/>
      <c r="BY940" s="70"/>
      <c r="BZ940" s="70"/>
      <c r="CA940" s="70"/>
      <c r="CB940" s="70"/>
      <c r="CC940" s="70"/>
      <c r="CD940" s="70"/>
      <c r="CE940" s="70"/>
      <c r="CF940" s="70"/>
      <c r="CG940" s="70"/>
      <c r="CH940" s="70"/>
      <c r="CI940" s="70"/>
      <c r="CJ940" s="70"/>
      <c r="CK940" s="70"/>
      <c r="CL940" s="70"/>
      <c r="CM940" s="70"/>
      <c r="CN940" s="70"/>
      <c r="CO940" s="70"/>
      <c r="CP940" s="70"/>
      <c r="CQ940" s="70"/>
      <c r="CR940" s="70"/>
      <c r="CS940" s="70"/>
      <c r="CT940" s="70"/>
      <c r="CU940" s="70"/>
      <c r="CV940" s="70"/>
      <c r="CW940" s="70"/>
      <c r="CX940" s="70"/>
      <c r="CY940" s="70"/>
      <c r="CZ940" s="70"/>
      <c r="DA940" s="70"/>
      <c r="DB940" s="70"/>
      <c r="DC940" s="70"/>
      <c r="DD940" s="70"/>
      <c r="DE940" s="70"/>
      <c r="DF940" s="70"/>
      <c r="DG940" s="70"/>
      <c r="DH940" s="70"/>
      <c r="DI940" s="70"/>
      <c r="DJ940" s="70"/>
      <c r="DK940" s="70"/>
      <c r="DL940" s="70"/>
      <c r="DM940" s="70"/>
      <c r="DN940" s="70"/>
      <c r="DO940" s="70"/>
      <c r="DP940" s="70"/>
      <c r="DQ940" s="70"/>
      <c r="DR940" s="70"/>
      <c r="DS940" s="70"/>
      <c r="DT940" s="70"/>
      <c r="DU940" s="70"/>
      <c r="DV940" s="70"/>
      <c r="DW940" s="70"/>
      <c r="DX940" s="70"/>
      <c r="DY940" s="70"/>
      <c r="DZ940" s="70"/>
      <c r="EA940" s="70"/>
      <c r="EB940" s="70"/>
      <c r="EC940" s="70"/>
      <c r="ED940" s="70"/>
      <c r="EE940" s="95" t="s">
        <v>450</v>
      </c>
      <c r="EF940" s="95"/>
      <c r="EG940" s="95"/>
      <c r="EH940" s="70"/>
      <c r="EI940" s="216"/>
      <c r="EJ940" s="70"/>
      <c r="EK940" s="70"/>
      <c r="EL940" s="70"/>
      <c r="EM940" s="70"/>
      <c r="EN940" s="70"/>
      <c r="EO940" s="70"/>
      <c r="EP940" s="70"/>
      <c r="EQ940" s="70"/>
      <c r="ER940" s="70"/>
      <c r="ES940" s="70"/>
      <c r="ET940" s="70"/>
      <c r="EU940" s="70"/>
      <c r="EV940" s="70"/>
      <c r="EW940" s="70"/>
      <c r="EX940" s="70"/>
      <c r="EY940" s="70"/>
      <c r="EZ940" s="70"/>
      <c r="FA940" s="70"/>
      <c r="FB940" s="70"/>
      <c r="FC940" s="70"/>
      <c r="FD940" s="70"/>
      <c r="FE940" s="70"/>
      <c r="FF940" s="70"/>
      <c r="FG940" s="70"/>
      <c r="FH940" s="70"/>
      <c r="FI940" s="70"/>
      <c r="FJ940" s="70"/>
      <c r="FK940" s="70"/>
      <c r="FL940" s="70"/>
      <c r="FM940" s="70"/>
      <c r="FN940" s="70"/>
      <c r="FO940" s="70"/>
      <c r="FP940" s="70"/>
      <c r="FQ940" s="70"/>
      <c r="FR940" s="70"/>
      <c r="FS940" s="70"/>
      <c r="FT940" s="70"/>
      <c r="FU940" s="70"/>
      <c r="FV940" s="70"/>
      <c r="FW940" s="70"/>
      <c r="FX940" s="70"/>
      <c r="FY940" s="70"/>
      <c r="FZ940" s="70"/>
      <c r="GA940" s="70"/>
      <c r="GB940" s="70"/>
      <c r="GC940" s="70"/>
      <c r="GD940" s="70"/>
      <c r="GE940" s="70"/>
      <c r="GF940" s="70"/>
      <c r="GG940" s="70"/>
      <c r="GH940" s="70"/>
      <c r="GI940" s="70"/>
      <c r="GJ940" s="70"/>
      <c r="GK940" s="70"/>
      <c r="GL940" s="70"/>
      <c r="GM940" s="70"/>
      <c r="GN940" s="70"/>
      <c r="GO940" s="70"/>
      <c r="GP940" s="70"/>
      <c r="GQ940" s="70"/>
      <c r="GR940" s="70"/>
      <c r="GS940" s="70"/>
      <c r="GT940" s="70"/>
      <c r="GU940" s="70"/>
      <c r="GV940" s="70"/>
      <c r="GW940" s="70"/>
      <c r="GX940" s="70"/>
      <c r="GY940" s="70"/>
      <c r="GZ940" s="70"/>
      <c r="HA940" s="70"/>
      <c r="HB940" s="70"/>
      <c r="HC940" s="70"/>
      <c r="HD940" s="70"/>
      <c r="HE940" s="70"/>
      <c r="HF940" s="70"/>
      <c r="HG940" s="70"/>
      <c r="HH940" s="70"/>
      <c r="HI940" s="70"/>
      <c r="HJ940" s="70"/>
      <c r="HK940" s="70"/>
      <c r="HL940" s="70"/>
      <c r="HM940" s="70"/>
      <c r="HN940" s="70"/>
      <c r="HO940" s="70"/>
      <c r="HP940" s="70"/>
      <c r="HQ940" s="70"/>
      <c r="HR940" s="70"/>
      <c r="HS940" s="70"/>
      <c r="HT940" s="70"/>
      <c r="HU940" s="70"/>
      <c r="HV940" s="70"/>
      <c r="HW940" s="70"/>
      <c r="HX940" s="70"/>
      <c r="HY940" s="70"/>
      <c r="HZ940" s="70"/>
      <c r="IA940" s="70"/>
      <c r="IB940" s="70"/>
      <c r="IC940" s="70"/>
      <c r="ID940" s="70"/>
      <c r="IE940" s="70"/>
      <c r="IF940" s="70"/>
      <c r="IG940" s="70"/>
      <c r="IH940" s="70"/>
      <c r="II940" s="70"/>
      <c r="IJ940" s="70"/>
      <c r="IK940" s="70"/>
      <c r="IL940" s="70"/>
      <c r="IM940" s="70"/>
      <c r="IN940" s="70"/>
      <c r="IO940" s="70"/>
      <c r="IP940" s="70"/>
      <c r="IQ940" s="70"/>
    </row>
    <row r="941" spans="18:251" ht="16.5" hidden="1" customHeight="1">
      <c r="R941" s="95" t="s">
        <v>450</v>
      </c>
      <c r="S941" s="95"/>
      <c r="T941" s="95"/>
      <c r="U941" s="70"/>
      <c r="V941" s="214"/>
      <c r="W941" s="70"/>
      <c r="X941" s="70"/>
      <c r="Y941" s="70"/>
      <c r="Z941" s="70"/>
      <c r="AA941" s="70"/>
      <c r="AB941" s="70"/>
      <c r="AC941" s="70"/>
      <c r="AD941" s="70"/>
      <c r="AE941" s="70"/>
      <c r="AF941" s="70"/>
      <c r="AG941" s="70"/>
      <c r="AH941" s="70"/>
      <c r="AI941" s="70"/>
      <c r="AJ941" s="70"/>
      <c r="AK941" s="70"/>
      <c r="AL941" s="70"/>
      <c r="AM941" s="70"/>
      <c r="AN941" s="70"/>
      <c r="AO941" s="70"/>
      <c r="AP941" s="70"/>
      <c r="AQ941" s="70"/>
      <c r="AR941" s="70"/>
      <c r="AS941" s="70"/>
      <c r="AT941" s="70"/>
      <c r="AU941" s="70"/>
      <c r="AV941" s="70"/>
      <c r="AW941" s="70"/>
      <c r="AX941" s="70"/>
      <c r="AY941" s="70"/>
      <c r="AZ941" s="70"/>
      <c r="BA941" s="70"/>
      <c r="BB941" s="70"/>
      <c r="BC941" s="70"/>
      <c r="BD941" s="70"/>
      <c r="BE941" s="70"/>
      <c r="BF941" s="70"/>
      <c r="BG941" s="70"/>
      <c r="BH941" s="70"/>
      <c r="BI941" s="70"/>
      <c r="BJ941" s="70"/>
      <c r="BK941" s="70"/>
      <c r="BL941" s="70"/>
      <c r="BM941" s="70"/>
      <c r="BN941" s="70"/>
      <c r="BO941" s="70"/>
      <c r="BP941" s="70"/>
      <c r="BQ941" s="70"/>
      <c r="BR941" s="70"/>
      <c r="BS941" s="70"/>
      <c r="BT941" s="70"/>
      <c r="BU941" s="70"/>
      <c r="BV941" s="70"/>
      <c r="BW941" s="70"/>
      <c r="BX941" s="70"/>
      <c r="BY941" s="70"/>
      <c r="BZ941" s="70"/>
      <c r="CA941" s="70"/>
      <c r="CB941" s="70"/>
      <c r="CC941" s="70"/>
      <c r="CD941" s="70"/>
      <c r="CE941" s="70"/>
      <c r="CF941" s="70"/>
      <c r="CG941" s="70"/>
      <c r="CH941" s="70"/>
      <c r="CI941" s="70"/>
      <c r="CJ941" s="70"/>
      <c r="CK941" s="70"/>
      <c r="CL941" s="70"/>
      <c r="CM941" s="70"/>
      <c r="CN941" s="70"/>
      <c r="CO941" s="70"/>
      <c r="CP941" s="70"/>
      <c r="CQ941" s="70"/>
      <c r="CR941" s="70"/>
      <c r="CS941" s="70"/>
      <c r="CT941" s="70"/>
      <c r="CU941" s="70"/>
      <c r="CV941" s="70"/>
      <c r="CW941" s="70"/>
      <c r="CX941" s="70"/>
      <c r="CY941" s="70"/>
      <c r="CZ941" s="70"/>
      <c r="DA941" s="70"/>
      <c r="DB941" s="70"/>
      <c r="DC941" s="70"/>
      <c r="DD941" s="70"/>
      <c r="DE941" s="70"/>
      <c r="DF941" s="70"/>
      <c r="DG941" s="70"/>
      <c r="DH941" s="70"/>
      <c r="DI941" s="70"/>
      <c r="DJ941" s="70"/>
      <c r="DK941" s="70"/>
      <c r="DL941" s="70"/>
      <c r="DM941" s="70"/>
      <c r="DN941" s="70"/>
      <c r="DO941" s="70"/>
      <c r="DP941" s="70"/>
      <c r="DQ941" s="70"/>
      <c r="DR941" s="70"/>
      <c r="DS941" s="70"/>
      <c r="DT941" s="70"/>
      <c r="DU941" s="70"/>
      <c r="DV941" s="70"/>
      <c r="DW941" s="70"/>
      <c r="DX941" s="70"/>
      <c r="DY941" s="70"/>
      <c r="DZ941" s="70"/>
      <c r="EA941" s="70"/>
      <c r="EB941" s="70"/>
      <c r="EC941" s="70"/>
      <c r="ED941" s="70"/>
      <c r="EE941" s="95" t="s">
        <v>450</v>
      </c>
      <c r="EF941" s="95"/>
      <c r="EG941" s="95"/>
      <c r="EH941" s="70"/>
      <c r="EI941" s="216"/>
      <c r="EJ941" s="70"/>
      <c r="EK941" s="70"/>
      <c r="EL941" s="70"/>
      <c r="EM941" s="70"/>
      <c r="EN941" s="70"/>
      <c r="EO941" s="70"/>
      <c r="EP941" s="70"/>
      <c r="EQ941" s="70"/>
      <c r="ER941" s="70"/>
      <c r="ES941" s="70"/>
      <c r="ET941" s="70"/>
      <c r="EU941" s="70"/>
      <c r="EV941" s="70"/>
      <c r="EW941" s="70"/>
      <c r="EX941" s="70"/>
      <c r="EY941" s="70"/>
      <c r="EZ941" s="70"/>
      <c r="FA941" s="70"/>
      <c r="FB941" s="70"/>
      <c r="FC941" s="70"/>
      <c r="FD941" s="70"/>
      <c r="FE941" s="70"/>
      <c r="FF941" s="70"/>
      <c r="FG941" s="70"/>
      <c r="FH941" s="70"/>
      <c r="FI941" s="70"/>
      <c r="FJ941" s="70"/>
      <c r="FK941" s="70"/>
      <c r="FL941" s="70"/>
      <c r="FM941" s="70"/>
      <c r="FN941" s="70"/>
      <c r="FO941" s="70"/>
      <c r="FP941" s="70"/>
      <c r="FQ941" s="70"/>
      <c r="FR941" s="70"/>
      <c r="FS941" s="70"/>
      <c r="FT941" s="70"/>
      <c r="FU941" s="70"/>
      <c r="FV941" s="70"/>
      <c r="FW941" s="70"/>
      <c r="FX941" s="70"/>
      <c r="FY941" s="70"/>
      <c r="FZ941" s="70"/>
      <c r="GA941" s="70"/>
      <c r="GB941" s="70"/>
      <c r="GC941" s="70"/>
      <c r="GD941" s="70"/>
      <c r="GE941" s="70"/>
      <c r="GF941" s="70"/>
      <c r="GG941" s="70"/>
      <c r="GH941" s="70"/>
      <c r="GI941" s="70"/>
      <c r="GJ941" s="70"/>
      <c r="GK941" s="70"/>
      <c r="GL941" s="70"/>
      <c r="GM941" s="70"/>
      <c r="GN941" s="70"/>
      <c r="GO941" s="70"/>
      <c r="GP941" s="70"/>
      <c r="GQ941" s="70"/>
      <c r="GR941" s="70"/>
      <c r="GS941" s="70"/>
      <c r="GT941" s="70"/>
      <c r="GU941" s="70"/>
      <c r="GV941" s="70"/>
      <c r="GW941" s="70"/>
      <c r="GX941" s="70"/>
      <c r="GY941" s="70"/>
      <c r="GZ941" s="70"/>
      <c r="HA941" s="70"/>
      <c r="HB941" s="70"/>
      <c r="HC941" s="70"/>
      <c r="HD941" s="70"/>
      <c r="HE941" s="70"/>
      <c r="HF941" s="70"/>
      <c r="HG941" s="70"/>
      <c r="HH941" s="70"/>
      <c r="HI941" s="70"/>
      <c r="HJ941" s="70"/>
      <c r="HK941" s="70"/>
      <c r="HL941" s="70"/>
      <c r="HM941" s="70"/>
      <c r="HN941" s="70"/>
      <c r="HO941" s="70"/>
      <c r="HP941" s="70"/>
      <c r="HQ941" s="70"/>
      <c r="HR941" s="70"/>
      <c r="HS941" s="70"/>
      <c r="HT941" s="70"/>
      <c r="HU941" s="70"/>
      <c r="HV941" s="70"/>
      <c r="HW941" s="70"/>
      <c r="HX941" s="70"/>
      <c r="HY941" s="70"/>
      <c r="HZ941" s="70"/>
      <c r="IA941" s="70"/>
      <c r="IB941" s="70"/>
      <c r="IC941" s="70"/>
      <c r="ID941" s="70"/>
      <c r="IE941" s="70"/>
      <c r="IF941" s="70"/>
      <c r="IG941" s="70"/>
      <c r="IH941" s="70"/>
      <c r="II941" s="70"/>
      <c r="IJ941" s="70"/>
      <c r="IK941" s="70"/>
      <c r="IL941" s="70"/>
      <c r="IM941" s="70"/>
      <c r="IN941" s="70"/>
      <c r="IO941" s="70"/>
      <c r="IP941" s="70"/>
      <c r="IQ941" s="70"/>
    </row>
    <row r="942" spans="18:251" ht="16.5" hidden="1" customHeight="1">
      <c r="R942" s="95" t="s">
        <v>450</v>
      </c>
      <c r="S942" s="95"/>
      <c r="T942" s="95"/>
      <c r="U942" s="70"/>
      <c r="V942" s="214"/>
      <c r="W942" s="70"/>
      <c r="X942" s="70"/>
      <c r="Y942" s="70"/>
      <c r="Z942" s="70"/>
      <c r="AA942" s="70"/>
      <c r="AB942" s="70"/>
      <c r="AC942" s="70"/>
      <c r="AD942" s="70"/>
      <c r="AE942" s="70"/>
      <c r="AF942" s="70"/>
      <c r="AG942" s="70"/>
      <c r="AH942" s="70"/>
      <c r="AI942" s="70"/>
      <c r="AJ942" s="70"/>
      <c r="AK942" s="70"/>
      <c r="AL942" s="70"/>
      <c r="AM942" s="70"/>
      <c r="AN942" s="70"/>
      <c r="AO942" s="70"/>
      <c r="AP942" s="70"/>
      <c r="AQ942" s="70"/>
      <c r="AR942" s="70"/>
      <c r="AS942" s="70"/>
      <c r="AT942" s="70"/>
      <c r="AU942" s="70"/>
      <c r="AV942" s="70"/>
      <c r="AW942" s="70"/>
      <c r="AX942" s="70"/>
      <c r="AY942" s="70"/>
      <c r="AZ942" s="70"/>
      <c r="BA942" s="70"/>
      <c r="BB942" s="70"/>
      <c r="BC942" s="70"/>
      <c r="BD942" s="70"/>
      <c r="BE942" s="70"/>
      <c r="BF942" s="70"/>
      <c r="BG942" s="70"/>
      <c r="BH942" s="70"/>
      <c r="BI942" s="70"/>
      <c r="BJ942" s="70"/>
      <c r="BK942" s="70"/>
      <c r="BL942" s="70"/>
      <c r="BM942" s="70"/>
      <c r="BN942" s="70"/>
      <c r="BO942" s="70"/>
      <c r="BP942" s="70"/>
      <c r="BQ942" s="70"/>
      <c r="BR942" s="70"/>
      <c r="BS942" s="70"/>
      <c r="BT942" s="70"/>
      <c r="BU942" s="70"/>
      <c r="BV942" s="70"/>
      <c r="BW942" s="70"/>
      <c r="BX942" s="70"/>
      <c r="BY942" s="70"/>
      <c r="BZ942" s="70"/>
      <c r="CA942" s="70"/>
      <c r="CB942" s="70"/>
      <c r="CC942" s="70"/>
      <c r="CD942" s="70"/>
      <c r="CE942" s="70"/>
      <c r="CF942" s="70"/>
      <c r="CG942" s="70"/>
      <c r="CH942" s="70"/>
      <c r="CI942" s="70"/>
      <c r="CJ942" s="70"/>
      <c r="CK942" s="70"/>
      <c r="CL942" s="70"/>
      <c r="CM942" s="70"/>
      <c r="CN942" s="70"/>
      <c r="CO942" s="70"/>
      <c r="CP942" s="70"/>
      <c r="CQ942" s="70"/>
      <c r="CR942" s="70"/>
      <c r="CS942" s="70"/>
      <c r="CT942" s="70"/>
      <c r="CU942" s="70"/>
      <c r="CV942" s="70"/>
      <c r="CW942" s="70"/>
      <c r="CX942" s="70"/>
      <c r="CY942" s="70"/>
      <c r="CZ942" s="70"/>
      <c r="DA942" s="70"/>
      <c r="DB942" s="70"/>
      <c r="DC942" s="70"/>
      <c r="DD942" s="70"/>
      <c r="DE942" s="70"/>
      <c r="DF942" s="70"/>
      <c r="DG942" s="70"/>
      <c r="DH942" s="70"/>
      <c r="DI942" s="70"/>
      <c r="DJ942" s="70"/>
      <c r="DK942" s="70"/>
      <c r="DL942" s="70"/>
      <c r="DM942" s="70"/>
      <c r="DN942" s="70"/>
      <c r="DO942" s="70"/>
      <c r="DP942" s="70"/>
      <c r="DQ942" s="70"/>
      <c r="DR942" s="70"/>
      <c r="DS942" s="70"/>
      <c r="DT942" s="70"/>
      <c r="DU942" s="70"/>
      <c r="DV942" s="70"/>
      <c r="DW942" s="70"/>
      <c r="DX942" s="70"/>
      <c r="DY942" s="70"/>
      <c r="DZ942" s="70"/>
      <c r="EA942" s="70"/>
      <c r="EB942" s="70"/>
      <c r="EC942" s="70"/>
      <c r="ED942" s="70"/>
      <c r="EE942" s="95" t="s">
        <v>450</v>
      </c>
      <c r="EF942" s="95"/>
      <c r="EG942" s="95"/>
      <c r="EH942" s="70"/>
      <c r="EI942" s="216"/>
      <c r="EJ942" s="70"/>
      <c r="EK942" s="70"/>
      <c r="EL942" s="70"/>
      <c r="EM942" s="70"/>
      <c r="EN942" s="70"/>
      <c r="EO942" s="70"/>
      <c r="EP942" s="70"/>
      <c r="EQ942" s="70"/>
      <c r="ER942" s="70"/>
      <c r="ES942" s="70"/>
      <c r="ET942" s="70"/>
      <c r="EU942" s="70"/>
      <c r="EV942" s="70"/>
      <c r="EW942" s="70"/>
      <c r="EX942" s="70"/>
      <c r="EY942" s="70"/>
      <c r="EZ942" s="70"/>
      <c r="FA942" s="70"/>
      <c r="FB942" s="70"/>
      <c r="FC942" s="70"/>
      <c r="FD942" s="70"/>
      <c r="FE942" s="70"/>
      <c r="FF942" s="70"/>
      <c r="FG942" s="70"/>
      <c r="FH942" s="70"/>
      <c r="FI942" s="70"/>
      <c r="FJ942" s="70"/>
      <c r="FK942" s="70"/>
      <c r="FL942" s="70"/>
      <c r="FM942" s="70"/>
      <c r="FN942" s="70"/>
      <c r="FO942" s="70"/>
      <c r="FP942" s="70"/>
      <c r="FQ942" s="70"/>
      <c r="FR942" s="70"/>
      <c r="FS942" s="70"/>
      <c r="FT942" s="70"/>
      <c r="FU942" s="70"/>
      <c r="FV942" s="70"/>
      <c r="FW942" s="70"/>
      <c r="FX942" s="70"/>
      <c r="FY942" s="70"/>
      <c r="FZ942" s="70"/>
      <c r="GA942" s="70"/>
      <c r="GB942" s="70"/>
      <c r="GC942" s="70"/>
      <c r="GD942" s="70"/>
      <c r="GE942" s="70"/>
      <c r="GF942" s="70"/>
      <c r="GG942" s="70"/>
      <c r="GH942" s="70"/>
      <c r="GI942" s="70"/>
      <c r="GJ942" s="70"/>
      <c r="GK942" s="70"/>
      <c r="GL942" s="70"/>
      <c r="GM942" s="70"/>
      <c r="GN942" s="70"/>
      <c r="GO942" s="70"/>
      <c r="GP942" s="70"/>
      <c r="GQ942" s="70"/>
      <c r="GR942" s="70"/>
      <c r="GS942" s="70"/>
      <c r="GT942" s="70"/>
      <c r="GU942" s="70"/>
      <c r="GV942" s="70"/>
      <c r="GW942" s="70"/>
      <c r="GX942" s="70"/>
      <c r="GY942" s="70"/>
      <c r="GZ942" s="70"/>
      <c r="HA942" s="70"/>
      <c r="HB942" s="70"/>
      <c r="HC942" s="70"/>
      <c r="HD942" s="70"/>
      <c r="HE942" s="70"/>
      <c r="HF942" s="70"/>
      <c r="HG942" s="70"/>
      <c r="HH942" s="70"/>
      <c r="HI942" s="70"/>
      <c r="HJ942" s="70"/>
      <c r="HK942" s="70"/>
      <c r="HL942" s="70"/>
      <c r="HM942" s="70"/>
      <c r="HN942" s="70"/>
      <c r="HO942" s="70"/>
      <c r="HP942" s="70"/>
      <c r="HQ942" s="70"/>
      <c r="HR942" s="70"/>
      <c r="HS942" s="70"/>
      <c r="HT942" s="70"/>
      <c r="HU942" s="70"/>
      <c r="HV942" s="70"/>
      <c r="HW942" s="70"/>
      <c r="HX942" s="70"/>
      <c r="HY942" s="70"/>
      <c r="HZ942" s="70"/>
      <c r="IA942" s="70"/>
      <c r="IB942" s="70"/>
      <c r="IC942" s="70"/>
      <c r="ID942" s="70"/>
      <c r="IE942" s="70"/>
      <c r="IF942" s="70"/>
      <c r="IG942" s="70"/>
      <c r="IH942" s="70"/>
      <c r="II942" s="70"/>
      <c r="IJ942" s="70"/>
      <c r="IK942" s="70"/>
      <c r="IL942" s="70"/>
      <c r="IM942" s="70"/>
      <c r="IN942" s="70"/>
      <c r="IO942" s="70"/>
      <c r="IP942" s="70"/>
      <c r="IQ942" s="70"/>
    </row>
    <row r="943" spans="18:251" ht="16.5" hidden="1" customHeight="1">
      <c r="R943" s="95" t="s">
        <v>450</v>
      </c>
      <c r="S943" s="95"/>
      <c r="T943" s="95"/>
      <c r="U943" s="70"/>
      <c r="V943" s="214"/>
      <c r="W943" s="70"/>
      <c r="X943" s="70"/>
      <c r="Y943" s="70"/>
      <c r="Z943" s="70"/>
      <c r="AA943" s="70"/>
      <c r="AB943" s="70"/>
      <c r="AC943" s="70"/>
      <c r="AD943" s="70"/>
      <c r="AE943" s="70"/>
      <c r="AF943" s="70"/>
      <c r="AG943" s="70"/>
      <c r="AH943" s="70"/>
      <c r="AI943" s="70"/>
      <c r="AJ943" s="70"/>
      <c r="AK943" s="70"/>
      <c r="AL943" s="70"/>
      <c r="AM943" s="70"/>
      <c r="AN943" s="70"/>
      <c r="AO943" s="70"/>
      <c r="AP943" s="70"/>
      <c r="AQ943" s="70"/>
      <c r="AR943" s="70"/>
      <c r="AS943" s="70"/>
      <c r="AT943" s="70"/>
      <c r="AU943" s="70"/>
      <c r="AV943" s="70"/>
      <c r="AW943" s="70"/>
      <c r="AX943" s="70"/>
      <c r="AY943" s="70"/>
      <c r="AZ943" s="70"/>
      <c r="BA943" s="70"/>
      <c r="BB943" s="70"/>
      <c r="BC943" s="70"/>
      <c r="BD943" s="70"/>
      <c r="BE943" s="70"/>
      <c r="BF943" s="70"/>
      <c r="BG943" s="70"/>
      <c r="BH943" s="70"/>
      <c r="BI943" s="70"/>
      <c r="BJ943" s="70"/>
      <c r="BK943" s="70"/>
      <c r="BL943" s="70"/>
      <c r="BM943" s="70"/>
      <c r="BN943" s="70"/>
      <c r="BO943" s="70"/>
      <c r="BP943" s="70"/>
      <c r="BQ943" s="70"/>
      <c r="BR943" s="70"/>
      <c r="BS943" s="70"/>
      <c r="BT943" s="70"/>
      <c r="BU943" s="70"/>
      <c r="BV943" s="70"/>
      <c r="BW943" s="70"/>
      <c r="BX943" s="70"/>
      <c r="BY943" s="70"/>
      <c r="BZ943" s="70"/>
      <c r="CA943" s="70"/>
      <c r="CB943" s="70"/>
      <c r="CC943" s="70"/>
      <c r="CD943" s="70"/>
      <c r="CE943" s="70"/>
      <c r="CF943" s="70"/>
      <c r="CG943" s="70"/>
      <c r="CH943" s="70"/>
      <c r="CI943" s="70"/>
      <c r="CJ943" s="70"/>
      <c r="CK943" s="70"/>
      <c r="CL943" s="70"/>
      <c r="CM943" s="70"/>
      <c r="CN943" s="70"/>
      <c r="CO943" s="70"/>
      <c r="CP943" s="70"/>
      <c r="CQ943" s="70"/>
      <c r="CR943" s="70"/>
      <c r="CS943" s="70"/>
      <c r="CT943" s="70"/>
      <c r="CU943" s="70"/>
      <c r="CV943" s="70"/>
      <c r="CW943" s="70"/>
      <c r="CX943" s="70"/>
      <c r="CY943" s="70"/>
      <c r="CZ943" s="70"/>
      <c r="DA943" s="70"/>
      <c r="DB943" s="70"/>
      <c r="DC943" s="70"/>
      <c r="DD943" s="70"/>
      <c r="DE943" s="70"/>
      <c r="DF943" s="70"/>
      <c r="DG943" s="70"/>
      <c r="DH943" s="70"/>
      <c r="DI943" s="70"/>
      <c r="DJ943" s="70"/>
      <c r="DK943" s="70"/>
      <c r="DL943" s="70"/>
      <c r="DM943" s="70"/>
      <c r="DN943" s="70"/>
      <c r="DO943" s="70"/>
      <c r="DP943" s="70"/>
      <c r="DQ943" s="70"/>
      <c r="DR943" s="70"/>
      <c r="DS943" s="70"/>
      <c r="DT943" s="70"/>
      <c r="DU943" s="70"/>
      <c r="DV943" s="70"/>
      <c r="DW943" s="70"/>
      <c r="DX943" s="70"/>
      <c r="DY943" s="70"/>
      <c r="DZ943" s="70"/>
      <c r="EA943" s="70"/>
      <c r="EB943" s="70"/>
      <c r="EC943" s="70"/>
      <c r="ED943" s="70"/>
      <c r="EE943" s="95" t="s">
        <v>450</v>
      </c>
      <c r="EF943" s="95"/>
      <c r="EG943" s="95"/>
      <c r="EH943" s="70"/>
      <c r="EI943" s="216"/>
      <c r="EJ943" s="70"/>
      <c r="EK943" s="70"/>
      <c r="EL943" s="70"/>
      <c r="EM943" s="70"/>
      <c r="EN943" s="70"/>
      <c r="EO943" s="70"/>
      <c r="EP943" s="70"/>
      <c r="EQ943" s="70"/>
      <c r="ER943" s="70"/>
      <c r="ES943" s="70"/>
      <c r="ET943" s="70"/>
      <c r="EU943" s="70"/>
      <c r="EV943" s="70"/>
      <c r="EW943" s="70"/>
      <c r="EX943" s="70"/>
      <c r="EY943" s="70"/>
      <c r="EZ943" s="70"/>
      <c r="FA943" s="70"/>
      <c r="FB943" s="70"/>
      <c r="FC943" s="70"/>
      <c r="FD943" s="70"/>
      <c r="FE943" s="70"/>
      <c r="FF943" s="70"/>
      <c r="FG943" s="70"/>
      <c r="FH943" s="70"/>
      <c r="FI943" s="70"/>
      <c r="FJ943" s="70"/>
      <c r="FK943" s="70"/>
      <c r="FL943" s="70"/>
      <c r="FM943" s="70"/>
      <c r="FN943" s="70"/>
      <c r="FO943" s="70"/>
      <c r="FP943" s="70"/>
      <c r="FQ943" s="70"/>
      <c r="FR943" s="70"/>
      <c r="FS943" s="70"/>
      <c r="FT943" s="70"/>
      <c r="FU943" s="70"/>
      <c r="FV943" s="70"/>
      <c r="FW943" s="70"/>
      <c r="FX943" s="70"/>
      <c r="FY943" s="70"/>
      <c r="FZ943" s="70"/>
      <c r="GA943" s="70"/>
      <c r="GB943" s="70"/>
      <c r="GC943" s="70"/>
      <c r="GD943" s="70"/>
      <c r="GE943" s="70"/>
      <c r="GF943" s="70"/>
      <c r="GG943" s="70"/>
      <c r="GH943" s="70"/>
      <c r="GI943" s="70"/>
      <c r="GJ943" s="70"/>
      <c r="GK943" s="70"/>
      <c r="GL943" s="70"/>
      <c r="GM943" s="70"/>
      <c r="GN943" s="70"/>
      <c r="GO943" s="70"/>
      <c r="GP943" s="70"/>
      <c r="GQ943" s="70"/>
      <c r="GR943" s="70"/>
      <c r="GS943" s="70"/>
      <c r="GT943" s="70"/>
      <c r="GU943" s="70"/>
      <c r="GV943" s="70"/>
      <c r="GW943" s="70"/>
      <c r="GX943" s="70"/>
      <c r="GY943" s="70"/>
      <c r="GZ943" s="70"/>
      <c r="HA943" s="70"/>
      <c r="HB943" s="70"/>
      <c r="HC943" s="70"/>
      <c r="HD943" s="70"/>
      <c r="HE943" s="70"/>
      <c r="HF943" s="70"/>
      <c r="HG943" s="70"/>
      <c r="HH943" s="70"/>
      <c r="HI943" s="70"/>
      <c r="HJ943" s="70"/>
      <c r="HK943" s="70"/>
      <c r="HL943" s="70"/>
      <c r="HM943" s="70"/>
      <c r="HN943" s="70"/>
      <c r="HO943" s="70"/>
      <c r="HP943" s="70"/>
      <c r="HQ943" s="70"/>
      <c r="HR943" s="70"/>
      <c r="HS943" s="70"/>
      <c r="HT943" s="70"/>
      <c r="HU943" s="70"/>
      <c r="HV943" s="70"/>
      <c r="HW943" s="70"/>
      <c r="HX943" s="70"/>
      <c r="HY943" s="70"/>
      <c r="HZ943" s="70"/>
      <c r="IA943" s="70"/>
      <c r="IB943" s="70"/>
      <c r="IC943" s="70"/>
      <c r="ID943" s="70"/>
      <c r="IE943" s="70"/>
      <c r="IF943" s="70"/>
      <c r="IG943" s="70"/>
      <c r="IH943" s="70"/>
      <c r="II943" s="70"/>
      <c r="IJ943" s="70"/>
      <c r="IK943" s="70"/>
      <c r="IL943" s="70"/>
      <c r="IM943" s="70"/>
      <c r="IN943" s="70"/>
      <c r="IO943" s="70"/>
      <c r="IP943" s="70"/>
      <c r="IQ943" s="70"/>
    </row>
    <row r="944" spans="18:251" ht="16.5" hidden="1" customHeight="1">
      <c r="R944" s="95" t="s">
        <v>450</v>
      </c>
      <c r="S944" s="95"/>
      <c r="T944" s="95"/>
      <c r="U944" s="70"/>
      <c r="V944" s="214"/>
      <c r="W944" s="70"/>
      <c r="X944" s="70"/>
      <c r="Y944" s="70"/>
      <c r="Z944" s="70"/>
      <c r="AA944" s="70"/>
      <c r="AB944" s="70"/>
      <c r="AC944" s="70"/>
      <c r="AD944" s="70"/>
      <c r="AE944" s="70"/>
      <c r="AF944" s="70"/>
      <c r="AG944" s="70"/>
      <c r="AH944" s="70"/>
      <c r="AI944" s="70"/>
      <c r="AJ944" s="70"/>
      <c r="AK944" s="70"/>
      <c r="AL944" s="70"/>
      <c r="AM944" s="70"/>
      <c r="AN944" s="70"/>
      <c r="AO944" s="70"/>
      <c r="AP944" s="70"/>
      <c r="AQ944" s="70"/>
      <c r="AR944" s="70"/>
      <c r="AS944" s="70"/>
      <c r="AT944" s="70"/>
      <c r="AU944" s="70"/>
      <c r="AV944" s="70"/>
      <c r="AW944" s="70"/>
      <c r="AX944" s="70"/>
      <c r="AY944" s="70"/>
      <c r="AZ944" s="70"/>
      <c r="BA944" s="70"/>
      <c r="BB944" s="70"/>
      <c r="BC944" s="70"/>
      <c r="BD944" s="70"/>
      <c r="BE944" s="70"/>
      <c r="BF944" s="70"/>
      <c r="BG944" s="70"/>
      <c r="BH944" s="70"/>
      <c r="BI944" s="70"/>
      <c r="BJ944" s="70"/>
      <c r="BK944" s="70"/>
      <c r="BL944" s="70"/>
      <c r="BM944" s="70"/>
      <c r="BN944" s="70"/>
      <c r="BO944" s="70"/>
      <c r="BP944" s="70"/>
      <c r="BQ944" s="70"/>
      <c r="BR944" s="70"/>
      <c r="BS944" s="70"/>
      <c r="BT944" s="70"/>
      <c r="BU944" s="70"/>
      <c r="BV944" s="70"/>
      <c r="BW944" s="70"/>
      <c r="BX944" s="70"/>
      <c r="BY944" s="70"/>
      <c r="BZ944" s="70"/>
      <c r="CA944" s="70"/>
      <c r="CB944" s="70"/>
      <c r="CC944" s="70"/>
      <c r="CD944" s="70"/>
      <c r="CE944" s="70"/>
      <c r="CF944" s="70"/>
      <c r="CG944" s="70"/>
      <c r="CH944" s="70"/>
      <c r="CI944" s="70"/>
      <c r="CJ944" s="70"/>
      <c r="CK944" s="70"/>
      <c r="CL944" s="70"/>
      <c r="CM944" s="70"/>
      <c r="CN944" s="70"/>
      <c r="CO944" s="70"/>
      <c r="CP944" s="70"/>
      <c r="CQ944" s="70"/>
      <c r="CR944" s="70"/>
      <c r="CS944" s="70"/>
      <c r="CT944" s="70"/>
      <c r="CU944" s="70"/>
      <c r="CV944" s="70"/>
      <c r="CW944" s="70"/>
      <c r="CX944" s="70"/>
      <c r="CY944" s="70"/>
      <c r="CZ944" s="70"/>
      <c r="DA944" s="70"/>
      <c r="DB944" s="70"/>
      <c r="DC944" s="70"/>
      <c r="DD944" s="70"/>
      <c r="DE944" s="70"/>
      <c r="DF944" s="70"/>
      <c r="DG944" s="70"/>
      <c r="DH944" s="70"/>
      <c r="DI944" s="70"/>
      <c r="DJ944" s="70"/>
      <c r="DK944" s="70"/>
      <c r="DL944" s="70"/>
      <c r="DM944" s="70"/>
      <c r="DN944" s="70"/>
      <c r="DO944" s="70"/>
      <c r="DP944" s="70"/>
      <c r="DQ944" s="70"/>
      <c r="DR944" s="70"/>
      <c r="DS944" s="70"/>
      <c r="DT944" s="70"/>
      <c r="DU944" s="70"/>
      <c r="DV944" s="70"/>
      <c r="DW944" s="70"/>
      <c r="DX944" s="70"/>
      <c r="DY944" s="70"/>
      <c r="DZ944" s="70"/>
      <c r="EA944" s="70"/>
      <c r="EB944" s="70"/>
      <c r="EC944" s="70"/>
      <c r="ED944" s="70"/>
      <c r="EE944" s="95" t="s">
        <v>450</v>
      </c>
      <c r="EF944" s="95"/>
      <c r="EG944" s="95"/>
      <c r="EH944" s="70"/>
      <c r="EI944" s="216"/>
      <c r="EJ944" s="70"/>
      <c r="EK944" s="70"/>
      <c r="EL944" s="70"/>
      <c r="EM944" s="70"/>
      <c r="EN944" s="70"/>
      <c r="EO944" s="70"/>
      <c r="EP944" s="70"/>
      <c r="EQ944" s="70"/>
      <c r="ER944" s="70"/>
      <c r="ES944" s="70"/>
      <c r="ET944" s="70"/>
      <c r="EU944" s="70"/>
      <c r="EV944" s="70"/>
      <c r="EW944" s="70"/>
      <c r="EX944" s="70"/>
      <c r="EY944" s="70"/>
      <c r="EZ944" s="70"/>
      <c r="FA944" s="70"/>
      <c r="FB944" s="70"/>
      <c r="FC944" s="70"/>
      <c r="FD944" s="70"/>
      <c r="FE944" s="70"/>
      <c r="FF944" s="70"/>
      <c r="FG944" s="70"/>
      <c r="FH944" s="70"/>
      <c r="FI944" s="70"/>
      <c r="FJ944" s="70"/>
      <c r="FK944" s="70"/>
      <c r="FL944" s="70"/>
      <c r="FM944" s="70"/>
      <c r="FN944" s="70"/>
      <c r="FO944" s="70"/>
      <c r="FP944" s="70"/>
      <c r="FQ944" s="70"/>
      <c r="FR944" s="70"/>
      <c r="FS944" s="70"/>
      <c r="FT944" s="70"/>
      <c r="FU944" s="70"/>
      <c r="FV944" s="70"/>
      <c r="FW944" s="70"/>
      <c r="FX944" s="70"/>
      <c r="FY944" s="70"/>
      <c r="FZ944" s="70"/>
      <c r="GA944" s="70"/>
      <c r="GB944" s="70"/>
      <c r="GC944" s="70"/>
      <c r="GD944" s="70"/>
      <c r="GE944" s="70"/>
      <c r="GF944" s="70"/>
      <c r="GG944" s="70"/>
      <c r="GH944" s="70"/>
      <c r="GI944" s="70"/>
      <c r="GJ944" s="70"/>
      <c r="GK944" s="70"/>
      <c r="GL944" s="70"/>
      <c r="GM944" s="70"/>
      <c r="GN944" s="70"/>
      <c r="GO944" s="70"/>
      <c r="GP944" s="70"/>
      <c r="GQ944" s="70"/>
      <c r="GR944" s="70"/>
      <c r="GS944" s="70"/>
      <c r="GT944" s="70"/>
      <c r="GU944" s="70"/>
      <c r="GV944" s="70"/>
      <c r="GW944" s="70"/>
      <c r="GX944" s="70"/>
      <c r="GY944" s="70"/>
      <c r="GZ944" s="70"/>
      <c r="HA944" s="70"/>
      <c r="HB944" s="70"/>
      <c r="HC944" s="70"/>
      <c r="HD944" s="70"/>
      <c r="HE944" s="70"/>
      <c r="HF944" s="70"/>
      <c r="HG944" s="70"/>
      <c r="HH944" s="70"/>
      <c r="HI944" s="70"/>
      <c r="HJ944" s="70"/>
      <c r="HK944" s="70"/>
      <c r="HL944" s="70"/>
      <c r="HM944" s="70"/>
      <c r="HN944" s="70"/>
      <c r="HO944" s="70"/>
      <c r="HP944" s="70"/>
      <c r="HQ944" s="70"/>
      <c r="HR944" s="70"/>
      <c r="HS944" s="70"/>
      <c r="HT944" s="70"/>
      <c r="HU944" s="70"/>
      <c r="HV944" s="70"/>
      <c r="HW944" s="70"/>
      <c r="HX944" s="70"/>
      <c r="HY944" s="70"/>
      <c r="HZ944" s="70"/>
      <c r="IA944" s="70"/>
      <c r="IB944" s="70"/>
      <c r="IC944" s="70"/>
      <c r="ID944" s="70"/>
      <c r="IE944" s="70"/>
      <c r="IF944" s="70"/>
      <c r="IG944" s="70"/>
      <c r="IH944" s="70"/>
      <c r="II944" s="70"/>
      <c r="IJ944" s="70"/>
      <c r="IK944" s="70"/>
      <c r="IL944" s="70"/>
      <c r="IM944" s="70"/>
      <c r="IN944" s="70"/>
      <c r="IO944" s="70"/>
      <c r="IP944" s="70"/>
      <c r="IQ944" s="70"/>
    </row>
    <row r="945" spans="18:251" ht="16.5" hidden="1" customHeight="1">
      <c r="R945" s="95" t="s">
        <v>450</v>
      </c>
      <c r="S945" s="95"/>
      <c r="T945" s="95"/>
      <c r="U945" s="70"/>
      <c r="V945" s="214"/>
      <c r="W945" s="70"/>
      <c r="X945" s="70"/>
      <c r="Y945" s="70"/>
      <c r="Z945" s="70"/>
      <c r="AA945" s="70"/>
      <c r="AB945" s="70"/>
      <c r="AC945" s="70"/>
      <c r="AD945" s="70"/>
      <c r="AE945" s="70"/>
      <c r="AF945" s="70"/>
      <c r="AG945" s="70"/>
      <c r="AH945" s="70"/>
      <c r="AI945" s="70"/>
      <c r="AJ945" s="70"/>
      <c r="AK945" s="70"/>
      <c r="AL945" s="70"/>
      <c r="AM945" s="70"/>
      <c r="AN945" s="70"/>
      <c r="AO945" s="70"/>
      <c r="AP945" s="70"/>
      <c r="AQ945" s="70"/>
      <c r="AR945" s="70"/>
      <c r="AS945" s="70"/>
      <c r="AT945" s="70"/>
      <c r="AU945" s="70"/>
      <c r="AV945" s="70"/>
      <c r="AW945" s="70"/>
      <c r="AX945" s="70"/>
      <c r="AY945" s="70"/>
      <c r="AZ945" s="70"/>
      <c r="BA945" s="70"/>
      <c r="BB945" s="70"/>
      <c r="BC945" s="70"/>
      <c r="BD945" s="70"/>
      <c r="BE945" s="70"/>
      <c r="BF945" s="70"/>
      <c r="BG945" s="70"/>
      <c r="BH945" s="70"/>
      <c r="BI945" s="70"/>
      <c r="BJ945" s="70"/>
      <c r="BK945" s="70"/>
      <c r="BL945" s="70"/>
      <c r="BM945" s="70"/>
      <c r="BN945" s="70"/>
      <c r="BO945" s="70"/>
      <c r="BP945" s="70"/>
      <c r="BQ945" s="70"/>
      <c r="BR945" s="70"/>
      <c r="BS945" s="70"/>
      <c r="BT945" s="70"/>
      <c r="BU945" s="70"/>
      <c r="BV945" s="70"/>
      <c r="BW945" s="70"/>
      <c r="BX945" s="70"/>
      <c r="BY945" s="70"/>
      <c r="BZ945" s="70"/>
      <c r="CA945" s="70"/>
      <c r="CB945" s="70"/>
      <c r="CC945" s="70"/>
      <c r="CD945" s="70"/>
      <c r="CE945" s="70"/>
      <c r="CF945" s="70"/>
      <c r="CG945" s="70"/>
      <c r="CH945" s="70"/>
      <c r="CI945" s="70"/>
      <c r="CJ945" s="70"/>
      <c r="CK945" s="70"/>
      <c r="CL945" s="70"/>
      <c r="CM945" s="70"/>
      <c r="CN945" s="70"/>
      <c r="CO945" s="70"/>
      <c r="CP945" s="70"/>
      <c r="CQ945" s="70"/>
      <c r="CR945" s="70"/>
      <c r="CS945" s="70"/>
      <c r="CT945" s="70"/>
      <c r="CU945" s="70"/>
      <c r="CV945" s="70"/>
      <c r="CW945" s="70"/>
      <c r="CX945" s="70"/>
      <c r="CY945" s="70"/>
      <c r="CZ945" s="70"/>
      <c r="DA945" s="70"/>
      <c r="DB945" s="70"/>
      <c r="DC945" s="70"/>
      <c r="DD945" s="70"/>
      <c r="DE945" s="70"/>
      <c r="DF945" s="70"/>
      <c r="DG945" s="70"/>
      <c r="DH945" s="70"/>
      <c r="DI945" s="70"/>
      <c r="DJ945" s="70"/>
      <c r="DK945" s="70"/>
      <c r="DL945" s="70"/>
      <c r="DM945" s="70"/>
      <c r="DN945" s="70"/>
      <c r="DO945" s="70"/>
      <c r="DP945" s="70"/>
      <c r="DQ945" s="70"/>
      <c r="DR945" s="70"/>
      <c r="DS945" s="70"/>
      <c r="DT945" s="70"/>
      <c r="DU945" s="70"/>
      <c r="DV945" s="70"/>
      <c r="DW945" s="70"/>
      <c r="DX945" s="70"/>
      <c r="DY945" s="70"/>
      <c r="DZ945" s="70"/>
      <c r="EA945" s="70"/>
      <c r="EB945" s="70"/>
      <c r="EC945" s="70"/>
      <c r="ED945" s="70"/>
      <c r="EE945" s="95" t="s">
        <v>450</v>
      </c>
      <c r="EF945" s="95"/>
      <c r="EG945" s="95"/>
      <c r="EH945" s="70"/>
      <c r="EI945" s="216"/>
      <c r="EJ945" s="70"/>
      <c r="EK945" s="70"/>
      <c r="EL945" s="70"/>
      <c r="EM945" s="70"/>
      <c r="EN945" s="70"/>
      <c r="EO945" s="70"/>
      <c r="EP945" s="70"/>
      <c r="EQ945" s="70"/>
      <c r="ER945" s="70"/>
      <c r="ES945" s="70"/>
      <c r="ET945" s="70"/>
      <c r="EU945" s="70"/>
      <c r="EV945" s="70"/>
      <c r="EW945" s="70"/>
      <c r="EX945" s="70"/>
      <c r="EY945" s="70"/>
      <c r="EZ945" s="70"/>
      <c r="FA945" s="70"/>
      <c r="FB945" s="70"/>
      <c r="FC945" s="70"/>
      <c r="FD945" s="70"/>
      <c r="FE945" s="70"/>
      <c r="FF945" s="70"/>
      <c r="FG945" s="70"/>
      <c r="FH945" s="70"/>
      <c r="FI945" s="70"/>
      <c r="FJ945" s="70"/>
      <c r="FK945" s="70"/>
      <c r="FL945" s="70"/>
      <c r="FM945" s="70"/>
      <c r="FN945" s="70"/>
      <c r="FO945" s="70"/>
      <c r="FP945" s="70"/>
      <c r="FQ945" s="70"/>
      <c r="FR945" s="70"/>
      <c r="FS945" s="70"/>
      <c r="FT945" s="70"/>
      <c r="FU945" s="70"/>
      <c r="FV945" s="70"/>
      <c r="FW945" s="70"/>
      <c r="FX945" s="70"/>
      <c r="FY945" s="70"/>
      <c r="FZ945" s="70"/>
      <c r="GA945" s="70"/>
      <c r="GB945" s="70"/>
      <c r="GC945" s="70"/>
      <c r="GD945" s="70"/>
      <c r="GE945" s="70"/>
      <c r="GF945" s="70"/>
      <c r="GG945" s="70"/>
      <c r="GH945" s="70"/>
      <c r="GI945" s="70"/>
      <c r="GJ945" s="70"/>
      <c r="GK945" s="70"/>
      <c r="GL945" s="70"/>
      <c r="GM945" s="70"/>
      <c r="GN945" s="70"/>
      <c r="GO945" s="70"/>
      <c r="GP945" s="70"/>
      <c r="GQ945" s="70"/>
      <c r="GR945" s="70"/>
      <c r="GS945" s="70"/>
      <c r="GT945" s="70"/>
      <c r="GU945" s="70"/>
      <c r="GV945" s="70"/>
      <c r="GW945" s="70"/>
      <c r="GX945" s="70"/>
      <c r="GY945" s="70"/>
      <c r="GZ945" s="70"/>
      <c r="HA945" s="70"/>
      <c r="HB945" s="70"/>
      <c r="HC945" s="70"/>
      <c r="HD945" s="70"/>
      <c r="HE945" s="70"/>
      <c r="HF945" s="70"/>
      <c r="HG945" s="70"/>
      <c r="HH945" s="70"/>
      <c r="HI945" s="70"/>
      <c r="HJ945" s="70"/>
      <c r="HK945" s="70"/>
      <c r="HL945" s="70"/>
      <c r="HM945" s="70"/>
      <c r="HN945" s="70"/>
      <c r="HO945" s="70"/>
      <c r="HP945" s="70"/>
      <c r="HQ945" s="70"/>
      <c r="HR945" s="70"/>
      <c r="HS945" s="70"/>
      <c r="HT945" s="70"/>
      <c r="HU945" s="70"/>
      <c r="HV945" s="70"/>
      <c r="HW945" s="70"/>
      <c r="HX945" s="70"/>
      <c r="HY945" s="70"/>
      <c r="HZ945" s="70"/>
      <c r="IA945" s="70"/>
      <c r="IB945" s="70"/>
      <c r="IC945" s="70"/>
      <c r="ID945" s="70"/>
      <c r="IE945" s="70"/>
      <c r="IF945" s="70"/>
      <c r="IG945" s="70"/>
      <c r="IH945" s="70"/>
      <c r="II945" s="70"/>
      <c r="IJ945" s="70"/>
      <c r="IK945" s="70"/>
      <c r="IL945" s="70"/>
      <c r="IM945" s="70"/>
      <c r="IN945" s="70"/>
      <c r="IO945" s="70"/>
      <c r="IP945" s="70"/>
      <c r="IQ945" s="70"/>
    </row>
    <row r="946" spans="18:251" ht="16.5" hidden="1" customHeight="1">
      <c r="R946" s="95" t="s">
        <v>450</v>
      </c>
      <c r="S946" s="95"/>
      <c r="T946" s="95"/>
      <c r="U946" s="70"/>
      <c r="V946" s="214"/>
      <c r="W946" s="70"/>
      <c r="X946" s="70"/>
      <c r="Y946" s="70"/>
      <c r="Z946" s="70"/>
      <c r="AA946" s="70"/>
      <c r="AB946" s="70"/>
      <c r="AC946" s="70"/>
      <c r="AD946" s="70"/>
      <c r="AE946" s="70"/>
      <c r="AF946" s="70"/>
      <c r="AG946" s="70"/>
      <c r="AH946" s="70"/>
      <c r="AI946" s="70"/>
      <c r="AJ946" s="70"/>
      <c r="AK946" s="70"/>
      <c r="AL946" s="70"/>
      <c r="AM946" s="70"/>
      <c r="AN946" s="70"/>
      <c r="AO946" s="70"/>
      <c r="AP946" s="70"/>
      <c r="AQ946" s="70"/>
      <c r="AR946" s="70"/>
      <c r="AS946" s="70"/>
      <c r="AT946" s="70"/>
      <c r="AU946" s="70"/>
      <c r="AV946" s="70"/>
      <c r="AW946" s="70"/>
      <c r="AX946" s="70"/>
      <c r="AY946" s="70"/>
      <c r="AZ946" s="70"/>
      <c r="BA946" s="70"/>
      <c r="BB946" s="70"/>
      <c r="BC946" s="70"/>
      <c r="BD946" s="70"/>
      <c r="BE946" s="70"/>
      <c r="BF946" s="70"/>
      <c r="BG946" s="70"/>
      <c r="BH946" s="70"/>
      <c r="BI946" s="70"/>
      <c r="BJ946" s="70"/>
      <c r="BK946" s="70"/>
      <c r="BL946" s="70"/>
      <c r="BM946" s="70"/>
      <c r="BN946" s="70"/>
      <c r="BO946" s="70"/>
      <c r="BP946" s="70"/>
      <c r="BQ946" s="70"/>
      <c r="BR946" s="70"/>
      <c r="BS946" s="70"/>
      <c r="BT946" s="70"/>
      <c r="BU946" s="70"/>
      <c r="BV946" s="70"/>
      <c r="BW946" s="70"/>
      <c r="BX946" s="70"/>
      <c r="BY946" s="70"/>
      <c r="BZ946" s="70"/>
      <c r="CA946" s="70"/>
      <c r="CB946" s="70"/>
      <c r="CC946" s="70"/>
      <c r="CD946" s="70"/>
      <c r="CE946" s="70"/>
      <c r="CF946" s="70"/>
      <c r="CG946" s="70"/>
      <c r="CH946" s="70"/>
      <c r="CI946" s="70"/>
      <c r="CJ946" s="70"/>
      <c r="CK946" s="70"/>
      <c r="CL946" s="70"/>
      <c r="CM946" s="70"/>
      <c r="CN946" s="70"/>
      <c r="CO946" s="70"/>
      <c r="CP946" s="70"/>
      <c r="CQ946" s="70"/>
      <c r="CR946" s="70"/>
      <c r="CS946" s="70"/>
      <c r="CT946" s="70"/>
      <c r="CU946" s="70"/>
      <c r="CV946" s="70"/>
      <c r="CW946" s="70"/>
      <c r="CX946" s="70"/>
      <c r="CY946" s="70"/>
      <c r="CZ946" s="70"/>
      <c r="DA946" s="70"/>
      <c r="DB946" s="70"/>
      <c r="DC946" s="70"/>
      <c r="DD946" s="70"/>
      <c r="DE946" s="70"/>
      <c r="DF946" s="70"/>
      <c r="DG946" s="70"/>
      <c r="DH946" s="70"/>
      <c r="DI946" s="70"/>
      <c r="DJ946" s="70"/>
      <c r="DK946" s="70"/>
      <c r="DL946" s="70"/>
      <c r="DM946" s="70"/>
      <c r="DN946" s="70"/>
      <c r="DO946" s="70"/>
      <c r="DP946" s="70"/>
      <c r="DQ946" s="70"/>
      <c r="DR946" s="70"/>
      <c r="DS946" s="70"/>
      <c r="DT946" s="70"/>
      <c r="DU946" s="70"/>
      <c r="DV946" s="70"/>
      <c r="DW946" s="70"/>
      <c r="DX946" s="70"/>
      <c r="DY946" s="70"/>
      <c r="DZ946" s="70"/>
      <c r="EA946" s="70"/>
      <c r="EB946" s="70"/>
      <c r="EC946" s="70"/>
      <c r="ED946" s="70"/>
      <c r="EE946" s="95" t="s">
        <v>450</v>
      </c>
      <c r="EF946" s="95"/>
      <c r="EG946" s="95"/>
      <c r="EH946" s="70"/>
      <c r="EI946" s="216"/>
      <c r="EJ946" s="70"/>
      <c r="EK946" s="70"/>
      <c r="EL946" s="70"/>
      <c r="EM946" s="70"/>
      <c r="EN946" s="70"/>
      <c r="EO946" s="70"/>
      <c r="EP946" s="70"/>
      <c r="EQ946" s="70"/>
      <c r="ER946" s="70"/>
      <c r="ES946" s="70"/>
      <c r="ET946" s="70"/>
      <c r="EU946" s="70"/>
      <c r="EV946" s="70"/>
      <c r="EW946" s="70"/>
      <c r="EX946" s="70"/>
      <c r="EY946" s="70"/>
      <c r="EZ946" s="70"/>
      <c r="FA946" s="70"/>
      <c r="FB946" s="70"/>
      <c r="FC946" s="70"/>
      <c r="FD946" s="70"/>
      <c r="FE946" s="70"/>
      <c r="FF946" s="70"/>
      <c r="FG946" s="70"/>
      <c r="FH946" s="70"/>
      <c r="FI946" s="70"/>
      <c r="FJ946" s="70"/>
      <c r="FK946" s="70"/>
      <c r="FL946" s="70"/>
      <c r="FM946" s="70"/>
      <c r="FN946" s="70"/>
      <c r="FO946" s="70"/>
      <c r="FP946" s="70"/>
      <c r="FQ946" s="70"/>
      <c r="FR946" s="70"/>
      <c r="FS946" s="70"/>
      <c r="FT946" s="70"/>
      <c r="FU946" s="70"/>
      <c r="FV946" s="70"/>
      <c r="FW946" s="70"/>
      <c r="FX946" s="70"/>
      <c r="FY946" s="70"/>
      <c r="FZ946" s="70"/>
      <c r="GA946" s="70"/>
      <c r="GB946" s="70"/>
      <c r="GC946" s="70"/>
      <c r="GD946" s="70"/>
      <c r="GE946" s="70"/>
      <c r="GF946" s="70"/>
      <c r="GG946" s="70"/>
      <c r="GH946" s="70"/>
      <c r="GI946" s="70"/>
      <c r="GJ946" s="70"/>
      <c r="GK946" s="70"/>
      <c r="GL946" s="70"/>
      <c r="GM946" s="70"/>
      <c r="GN946" s="70"/>
      <c r="GO946" s="70"/>
      <c r="GP946" s="70"/>
      <c r="GQ946" s="70"/>
      <c r="GR946" s="70"/>
      <c r="GS946" s="70"/>
      <c r="GT946" s="70"/>
      <c r="GU946" s="70"/>
      <c r="GV946" s="70"/>
      <c r="GW946" s="70"/>
      <c r="GX946" s="70"/>
      <c r="GY946" s="70"/>
      <c r="GZ946" s="70"/>
      <c r="HA946" s="70"/>
      <c r="HB946" s="70"/>
      <c r="HC946" s="70"/>
      <c r="HD946" s="70"/>
      <c r="HE946" s="70"/>
      <c r="HF946" s="70"/>
      <c r="HG946" s="70"/>
      <c r="HH946" s="70"/>
      <c r="HI946" s="70"/>
      <c r="HJ946" s="70"/>
      <c r="HK946" s="70"/>
      <c r="HL946" s="70"/>
      <c r="HM946" s="70"/>
      <c r="HN946" s="70"/>
      <c r="HO946" s="70"/>
      <c r="HP946" s="70"/>
      <c r="HQ946" s="70"/>
      <c r="HR946" s="70"/>
      <c r="HS946" s="70"/>
      <c r="HT946" s="70"/>
      <c r="HU946" s="70"/>
      <c r="HV946" s="70"/>
      <c r="HW946" s="70"/>
      <c r="HX946" s="70"/>
      <c r="HY946" s="70"/>
      <c r="HZ946" s="70"/>
      <c r="IA946" s="70"/>
      <c r="IB946" s="70"/>
      <c r="IC946" s="70"/>
      <c r="ID946" s="70"/>
      <c r="IE946" s="70"/>
      <c r="IF946" s="70"/>
      <c r="IG946" s="70"/>
      <c r="IH946" s="70"/>
      <c r="II946" s="70"/>
      <c r="IJ946" s="70"/>
      <c r="IK946" s="70"/>
      <c r="IL946" s="70"/>
      <c r="IM946" s="70"/>
      <c r="IN946" s="70"/>
      <c r="IO946" s="70"/>
      <c r="IP946" s="70"/>
      <c r="IQ946" s="70"/>
    </row>
    <row r="947" spans="18:251" ht="16.5" hidden="1" customHeight="1">
      <c r="R947" s="95" t="s">
        <v>450</v>
      </c>
      <c r="S947" s="95"/>
      <c r="T947" s="95"/>
      <c r="U947" s="70"/>
      <c r="V947" s="214"/>
      <c r="W947" s="70"/>
      <c r="X947" s="70"/>
      <c r="Y947" s="70"/>
      <c r="Z947" s="70"/>
      <c r="AA947" s="70"/>
      <c r="AB947" s="70"/>
      <c r="AC947" s="70"/>
      <c r="AD947" s="70"/>
      <c r="AE947" s="70"/>
      <c r="AF947" s="70"/>
      <c r="AG947" s="70"/>
      <c r="AH947" s="70"/>
      <c r="AI947" s="70"/>
      <c r="AJ947" s="70"/>
      <c r="AK947" s="70"/>
      <c r="AL947" s="70"/>
      <c r="AM947" s="70"/>
      <c r="AN947" s="70"/>
      <c r="AO947" s="70"/>
      <c r="AP947" s="70"/>
      <c r="AQ947" s="70"/>
      <c r="AR947" s="70"/>
      <c r="AS947" s="70"/>
      <c r="AT947" s="70"/>
      <c r="AU947" s="70"/>
      <c r="AV947" s="70"/>
      <c r="AW947" s="70"/>
      <c r="AX947" s="70"/>
      <c r="AY947" s="70"/>
      <c r="AZ947" s="70"/>
      <c r="BA947" s="70"/>
      <c r="BB947" s="70"/>
      <c r="BC947" s="70"/>
      <c r="BD947" s="70"/>
      <c r="BE947" s="70"/>
      <c r="BF947" s="70"/>
      <c r="BG947" s="70"/>
      <c r="BH947" s="70"/>
      <c r="BI947" s="70"/>
      <c r="BJ947" s="70"/>
      <c r="BK947" s="70"/>
      <c r="BL947" s="70"/>
      <c r="BM947" s="70"/>
      <c r="BN947" s="70"/>
      <c r="BO947" s="70"/>
      <c r="BP947" s="70"/>
      <c r="BQ947" s="70"/>
      <c r="BR947" s="70"/>
      <c r="BS947" s="70"/>
      <c r="BT947" s="70"/>
      <c r="BU947" s="70"/>
      <c r="BV947" s="70"/>
      <c r="BW947" s="70"/>
      <c r="BX947" s="70"/>
      <c r="BY947" s="70"/>
      <c r="BZ947" s="70"/>
      <c r="CA947" s="70"/>
      <c r="CB947" s="70"/>
      <c r="CC947" s="70"/>
      <c r="CD947" s="70"/>
      <c r="CE947" s="70"/>
      <c r="CF947" s="70"/>
      <c r="CG947" s="70"/>
      <c r="CH947" s="70"/>
      <c r="CI947" s="70"/>
      <c r="CJ947" s="70"/>
      <c r="CK947" s="70"/>
      <c r="CL947" s="70"/>
      <c r="CM947" s="70"/>
      <c r="CN947" s="70"/>
      <c r="CO947" s="70"/>
      <c r="CP947" s="70"/>
      <c r="CQ947" s="70"/>
      <c r="CR947" s="70"/>
      <c r="CS947" s="70"/>
      <c r="CT947" s="70"/>
      <c r="CU947" s="70"/>
      <c r="CV947" s="70"/>
      <c r="CW947" s="70"/>
      <c r="CX947" s="70"/>
      <c r="CY947" s="70"/>
      <c r="CZ947" s="70"/>
      <c r="DA947" s="70"/>
      <c r="DB947" s="70"/>
      <c r="DC947" s="70"/>
      <c r="DD947" s="70"/>
      <c r="DE947" s="70"/>
      <c r="DF947" s="70"/>
      <c r="DG947" s="70"/>
      <c r="DH947" s="70"/>
      <c r="DI947" s="70"/>
      <c r="DJ947" s="70"/>
      <c r="DK947" s="70"/>
      <c r="DL947" s="70"/>
      <c r="DM947" s="70"/>
      <c r="DN947" s="70"/>
      <c r="DO947" s="70"/>
      <c r="DP947" s="70"/>
      <c r="DQ947" s="70"/>
      <c r="DR947" s="70"/>
      <c r="DS947" s="70"/>
      <c r="DT947" s="70"/>
      <c r="DU947" s="70"/>
      <c r="DV947" s="70"/>
      <c r="DW947" s="70"/>
      <c r="DX947" s="70"/>
      <c r="DY947" s="70"/>
      <c r="DZ947" s="70"/>
      <c r="EA947" s="70"/>
      <c r="EB947" s="70"/>
      <c r="EC947" s="70"/>
      <c r="ED947" s="70"/>
      <c r="EE947" s="95" t="s">
        <v>450</v>
      </c>
      <c r="EF947" s="95"/>
      <c r="EG947" s="95"/>
      <c r="EH947" s="70"/>
      <c r="EI947" s="216"/>
      <c r="EJ947" s="70"/>
      <c r="EK947" s="70"/>
      <c r="EL947" s="70"/>
      <c r="EM947" s="70"/>
      <c r="EN947" s="70"/>
      <c r="EO947" s="70"/>
      <c r="EP947" s="70"/>
      <c r="EQ947" s="70"/>
      <c r="ER947" s="70"/>
      <c r="ES947" s="70"/>
      <c r="ET947" s="70"/>
      <c r="EU947" s="70"/>
      <c r="EV947" s="70"/>
      <c r="EW947" s="70"/>
      <c r="EX947" s="70"/>
      <c r="EY947" s="70"/>
      <c r="EZ947" s="70"/>
      <c r="FA947" s="70"/>
      <c r="FB947" s="70"/>
      <c r="FC947" s="70"/>
      <c r="FD947" s="70"/>
      <c r="FE947" s="70"/>
      <c r="FF947" s="70"/>
      <c r="FG947" s="70"/>
      <c r="FH947" s="70"/>
      <c r="FI947" s="70"/>
      <c r="FJ947" s="70"/>
      <c r="FK947" s="70"/>
      <c r="FL947" s="70"/>
      <c r="FM947" s="70"/>
      <c r="FN947" s="70"/>
      <c r="FO947" s="70"/>
      <c r="FP947" s="70"/>
      <c r="FQ947" s="70"/>
      <c r="FR947" s="70"/>
      <c r="FS947" s="70"/>
      <c r="FT947" s="70"/>
      <c r="FU947" s="70"/>
      <c r="FV947" s="70"/>
      <c r="FW947" s="70"/>
      <c r="FX947" s="70"/>
      <c r="FY947" s="70"/>
      <c r="FZ947" s="70"/>
      <c r="GA947" s="70"/>
      <c r="GB947" s="70"/>
      <c r="GC947" s="70"/>
      <c r="GD947" s="70"/>
      <c r="GE947" s="70"/>
      <c r="GF947" s="70"/>
      <c r="GG947" s="70"/>
      <c r="GH947" s="70"/>
      <c r="GI947" s="70"/>
      <c r="GJ947" s="70"/>
      <c r="GK947" s="70"/>
      <c r="GL947" s="70"/>
      <c r="GM947" s="70"/>
      <c r="GN947" s="70"/>
      <c r="GO947" s="70"/>
      <c r="GP947" s="70"/>
      <c r="GQ947" s="70"/>
      <c r="GR947" s="70"/>
      <c r="GS947" s="70"/>
      <c r="GT947" s="70"/>
      <c r="GU947" s="70"/>
      <c r="GV947" s="70"/>
      <c r="GW947" s="70"/>
      <c r="GX947" s="70"/>
      <c r="GY947" s="70"/>
      <c r="GZ947" s="70"/>
      <c r="HA947" s="70"/>
      <c r="HB947" s="70"/>
      <c r="HC947" s="70"/>
      <c r="HD947" s="70"/>
      <c r="HE947" s="70"/>
      <c r="HF947" s="70"/>
      <c r="HG947" s="70"/>
      <c r="HH947" s="70"/>
      <c r="HI947" s="70"/>
      <c r="HJ947" s="70"/>
      <c r="HK947" s="70"/>
      <c r="HL947" s="70"/>
      <c r="HM947" s="70"/>
      <c r="HN947" s="70"/>
      <c r="HO947" s="70"/>
      <c r="HP947" s="70"/>
      <c r="HQ947" s="70"/>
      <c r="HR947" s="70"/>
      <c r="HS947" s="70"/>
      <c r="HT947" s="70"/>
      <c r="HU947" s="70"/>
      <c r="HV947" s="70"/>
      <c r="HW947" s="70"/>
      <c r="HX947" s="70"/>
      <c r="HY947" s="70"/>
      <c r="HZ947" s="70"/>
      <c r="IA947" s="70"/>
      <c r="IB947" s="70"/>
      <c r="IC947" s="70"/>
      <c r="ID947" s="70"/>
      <c r="IE947" s="70"/>
      <c r="IF947" s="70"/>
      <c r="IG947" s="70"/>
      <c r="IH947" s="70"/>
      <c r="II947" s="70"/>
      <c r="IJ947" s="70"/>
      <c r="IK947" s="70"/>
      <c r="IL947" s="70"/>
      <c r="IM947" s="70"/>
      <c r="IN947" s="70"/>
      <c r="IO947" s="70"/>
      <c r="IP947" s="70"/>
      <c r="IQ947" s="70"/>
    </row>
    <row r="948" spans="18:251" ht="16.5" hidden="1" customHeight="1">
      <c r="R948" s="95" t="s">
        <v>450</v>
      </c>
      <c r="S948" s="95"/>
      <c r="T948" s="95"/>
      <c r="U948" s="70"/>
      <c r="V948" s="214"/>
      <c r="W948" s="70"/>
      <c r="X948" s="70"/>
      <c r="Y948" s="70"/>
      <c r="Z948" s="70"/>
      <c r="AA948" s="70"/>
      <c r="AB948" s="70"/>
      <c r="AC948" s="70"/>
      <c r="AD948" s="70"/>
      <c r="AE948" s="70"/>
      <c r="AF948" s="70"/>
      <c r="AG948" s="70"/>
      <c r="AH948" s="70"/>
      <c r="AI948" s="70"/>
      <c r="AJ948" s="70"/>
      <c r="AK948" s="70"/>
      <c r="AL948" s="70"/>
      <c r="AM948" s="70"/>
      <c r="AN948" s="70"/>
      <c r="AO948" s="70"/>
      <c r="AP948" s="70"/>
      <c r="AQ948" s="70"/>
      <c r="AR948" s="70"/>
      <c r="AS948" s="70"/>
      <c r="AT948" s="70"/>
      <c r="AU948" s="70"/>
      <c r="AV948" s="70"/>
      <c r="AW948" s="70"/>
      <c r="AX948" s="70"/>
      <c r="AY948" s="70"/>
      <c r="AZ948" s="70"/>
      <c r="BA948" s="70"/>
      <c r="BB948" s="70"/>
      <c r="BC948" s="70"/>
      <c r="BD948" s="70"/>
      <c r="BE948" s="70"/>
      <c r="BF948" s="70"/>
      <c r="BG948" s="70"/>
      <c r="BH948" s="70"/>
      <c r="BI948" s="70"/>
      <c r="BJ948" s="70"/>
      <c r="BK948" s="70"/>
      <c r="BL948" s="70"/>
      <c r="BM948" s="70"/>
      <c r="BN948" s="70"/>
      <c r="BO948" s="70"/>
      <c r="BP948" s="70"/>
      <c r="BQ948" s="70"/>
      <c r="BR948" s="70"/>
      <c r="BS948" s="70"/>
      <c r="BT948" s="70"/>
      <c r="BU948" s="70"/>
      <c r="BV948" s="70"/>
      <c r="BW948" s="70"/>
      <c r="BX948" s="70"/>
      <c r="BY948" s="70"/>
      <c r="BZ948" s="70"/>
      <c r="CA948" s="70"/>
      <c r="CB948" s="70"/>
      <c r="CC948" s="70"/>
      <c r="CD948" s="70"/>
      <c r="CE948" s="70"/>
      <c r="CF948" s="70"/>
      <c r="CG948" s="70"/>
      <c r="CH948" s="70"/>
      <c r="CI948" s="70"/>
      <c r="CJ948" s="70"/>
      <c r="CK948" s="70"/>
      <c r="CL948" s="70"/>
      <c r="CM948" s="70"/>
      <c r="CN948" s="70"/>
      <c r="CO948" s="70"/>
      <c r="CP948" s="70"/>
      <c r="CQ948" s="70"/>
      <c r="CR948" s="70"/>
      <c r="CS948" s="70"/>
      <c r="CT948" s="70"/>
      <c r="CU948" s="70"/>
      <c r="CV948" s="70"/>
      <c r="CW948" s="70"/>
      <c r="CX948" s="70"/>
      <c r="CY948" s="70"/>
      <c r="CZ948" s="70"/>
      <c r="DA948" s="70"/>
      <c r="DB948" s="70"/>
      <c r="DC948" s="70"/>
      <c r="DD948" s="70"/>
      <c r="DE948" s="70"/>
      <c r="DF948" s="70"/>
      <c r="DG948" s="70"/>
      <c r="DH948" s="70"/>
      <c r="DI948" s="70"/>
      <c r="DJ948" s="70"/>
      <c r="DK948" s="70"/>
      <c r="DL948" s="70"/>
      <c r="DM948" s="70"/>
      <c r="DN948" s="70"/>
      <c r="DO948" s="70"/>
      <c r="DP948" s="70"/>
      <c r="DQ948" s="70"/>
      <c r="DR948" s="70"/>
      <c r="DS948" s="70"/>
      <c r="DT948" s="70"/>
      <c r="DU948" s="70"/>
      <c r="DV948" s="70"/>
      <c r="DW948" s="70"/>
      <c r="DX948" s="70"/>
      <c r="DY948" s="70"/>
      <c r="DZ948" s="70"/>
      <c r="EA948" s="70"/>
      <c r="EB948" s="70"/>
      <c r="EC948" s="70"/>
      <c r="ED948" s="70"/>
      <c r="EE948" s="95" t="s">
        <v>450</v>
      </c>
      <c r="EF948" s="95"/>
      <c r="EG948" s="95"/>
      <c r="EH948" s="70"/>
      <c r="EI948" s="216"/>
      <c r="EJ948" s="70"/>
      <c r="EK948" s="70"/>
      <c r="EL948" s="70"/>
      <c r="EM948" s="70"/>
      <c r="EN948" s="70"/>
      <c r="EO948" s="70"/>
      <c r="EP948" s="70"/>
      <c r="EQ948" s="70"/>
      <c r="ER948" s="70"/>
      <c r="ES948" s="70"/>
      <c r="ET948" s="70"/>
      <c r="EU948" s="70"/>
      <c r="EV948" s="70"/>
      <c r="EW948" s="70"/>
      <c r="EX948" s="70"/>
      <c r="EY948" s="70"/>
      <c r="EZ948" s="70"/>
      <c r="FA948" s="70"/>
      <c r="FB948" s="70"/>
      <c r="FC948" s="70"/>
      <c r="FD948" s="70"/>
      <c r="FE948" s="70"/>
      <c r="FF948" s="70"/>
      <c r="FG948" s="70"/>
      <c r="FH948" s="70"/>
      <c r="FI948" s="70"/>
      <c r="FJ948" s="70"/>
      <c r="FK948" s="70"/>
      <c r="FL948" s="70"/>
      <c r="FM948" s="70"/>
      <c r="FN948" s="70"/>
      <c r="FO948" s="70"/>
      <c r="FP948" s="70"/>
      <c r="FQ948" s="70"/>
      <c r="FR948" s="70"/>
      <c r="FS948" s="70"/>
      <c r="FT948" s="70"/>
      <c r="FU948" s="70"/>
      <c r="FV948" s="70"/>
      <c r="FW948" s="70"/>
      <c r="FX948" s="70"/>
      <c r="FY948" s="70"/>
      <c r="FZ948" s="70"/>
      <c r="GA948" s="70"/>
      <c r="GB948" s="70"/>
      <c r="GC948" s="70"/>
      <c r="GD948" s="70"/>
      <c r="GE948" s="70"/>
      <c r="GF948" s="70"/>
      <c r="GG948" s="70"/>
      <c r="GH948" s="70"/>
      <c r="GI948" s="70"/>
      <c r="GJ948" s="70"/>
      <c r="GK948" s="70"/>
      <c r="GL948" s="70"/>
      <c r="GM948" s="70"/>
      <c r="GN948" s="70"/>
      <c r="GO948" s="70"/>
      <c r="GP948" s="70"/>
      <c r="GQ948" s="70"/>
      <c r="GR948" s="70"/>
      <c r="GS948" s="70"/>
      <c r="GT948" s="70"/>
      <c r="GU948" s="70"/>
      <c r="GV948" s="70"/>
      <c r="GW948" s="70"/>
      <c r="GX948" s="70"/>
      <c r="GY948" s="70"/>
      <c r="GZ948" s="70"/>
      <c r="HA948" s="70"/>
      <c r="HB948" s="70"/>
      <c r="HC948" s="70"/>
      <c r="HD948" s="70"/>
      <c r="HE948" s="70"/>
      <c r="HF948" s="70"/>
      <c r="HG948" s="70"/>
      <c r="HH948" s="70"/>
      <c r="HI948" s="70"/>
      <c r="HJ948" s="70"/>
      <c r="HK948" s="70"/>
      <c r="HL948" s="70"/>
      <c r="HM948" s="70"/>
      <c r="HN948" s="70"/>
      <c r="HO948" s="70"/>
      <c r="HP948" s="70"/>
      <c r="HQ948" s="70"/>
      <c r="HR948" s="70"/>
      <c r="HS948" s="70"/>
      <c r="HT948" s="70"/>
      <c r="HU948" s="70"/>
      <c r="HV948" s="70"/>
      <c r="HW948" s="70"/>
      <c r="HX948" s="70"/>
      <c r="HY948" s="70"/>
      <c r="HZ948" s="70"/>
      <c r="IA948" s="70"/>
      <c r="IB948" s="70"/>
      <c r="IC948" s="70"/>
      <c r="ID948" s="70"/>
      <c r="IE948" s="70"/>
      <c r="IF948" s="70"/>
      <c r="IG948" s="70"/>
      <c r="IH948" s="70"/>
      <c r="II948" s="70"/>
      <c r="IJ948" s="70"/>
      <c r="IK948" s="70"/>
      <c r="IL948" s="70"/>
      <c r="IM948" s="70"/>
      <c r="IN948" s="70"/>
      <c r="IO948" s="70"/>
      <c r="IP948" s="70"/>
      <c r="IQ948" s="70"/>
    </row>
    <row r="949" spans="18:251" ht="16.5" hidden="1" customHeight="1">
      <c r="R949" s="95" t="s">
        <v>450</v>
      </c>
      <c r="S949" s="95"/>
      <c r="T949" s="95"/>
      <c r="U949" s="70"/>
      <c r="V949" s="214"/>
      <c r="W949" s="70"/>
      <c r="X949" s="70"/>
      <c r="Y949" s="70"/>
      <c r="Z949" s="70"/>
      <c r="AA949" s="70"/>
      <c r="AB949" s="70"/>
      <c r="AC949" s="70"/>
      <c r="AD949" s="70"/>
      <c r="AE949" s="70"/>
      <c r="AF949" s="70"/>
      <c r="AG949" s="70"/>
      <c r="AH949" s="70"/>
      <c r="AI949" s="70"/>
      <c r="AJ949" s="70"/>
      <c r="AK949" s="70"/>
      <c r="AL949" s="70"/>
      <c r="AM949" s="70"/>
      <c r="AN949" s="70"/>
      <c r="AO949" s="70"/>
      <c r="AP949" s="70"/>
      <c r="AQ949" s="70"/>
      <c r="AR949" s="70"/>
      <c r="AS949" s="70"/>
      <c r="AT949" s="70"/>
      <c r="AU949" s="70"/>
      <c r="AV949" s="70"/>
      <c r="AW949" s="70"/>
      <c r="AX949" s="70"/>
      <c r="AY949" s="70"/>
      <c r="AZ949" s="70"/>
      <c r="BA949" s="70"/>
      <c r="BB949" s="70"/>
      <c r="BC949" s="70"/>
      <c r="BD949" s="70"/>
      <c r="BE949" s="70"/>
      <c r="BF949" s="70"/>
      <c r="BG949" s="70"/>
      <c r="BH949" s="70"/>
      <c r="BI949" s="70"/>
      <c r="BJ949" s="70"/>
      <c r="BK949" s="70"/>
      <c r="BL949" s="70"/>
      <c r="BM949" s="70"/>
      <c r="BN949" s="70"/>
      <c r="BO949" s="70"/>
      <c r="BP949" s="70"/>
      <c r="BQ949" s="70"/>
      <c r="BR949" s="70"/>
      <c r="BS949" s="70"/>
      <c r="BT949" s="70"/>
      <c r="BU949" s="70"/>
      <c r="BV949" s="70"/>
      <c r="BW949" s="70"/>
      <c r="BX949" s="70"/>
      <c r="BY949" s="70"/>
      <c r="BZ949" s="70"/>
      <c r="CA949" s="70"/>
      <c r="CB949" s="70"/>
      <c r="CC949" s="70"/>
      <c r="CD949" s="70"/>
      <c r="CE949" s="70"/>
      <c r="CF949" s="70"/>
      <c r="CG949" s="70"/>
      <c r="CH949" s="70"/>
      <c r="CI949" s="70"/>
      <c r="CJ949" s="70"/>
      <c r="CK949" s="70"/>
      <c r="CL949" s="70"/>
      <c r="CM949" s="70"/>
      <c r="CN949" s="70"/>
      <c r="CO949" s="70"/>
      <c r="CP949" s="70"/>
      <c r="CQ949" s="70"/>
      <c r="CR949" s="70"/>
      <c r="CS949" s="70"/>
      <c r="CT949" s="70"/>
      <c r="CU949" s="70"/>
      <c r="CV949" s="70"/>
      <c r="CW949" s="70"/>
      <c r="CX949" s="70"/>
      <c r="CY949" s="70"/>
      <c r="CZ949" s="70"/>
      <c r="DA949" s="70"/>
      <c r="DB949" s="70"/>
      <c r="DC949" s="70"/>
      <c r="DD949" s="70"/>
      <c r="DE949" s="70"/>
      <c r="DF949" s="70"/>
      <c r="DG949" s="70"/>
      <c r="DH949" s="70"/>
      <c r="DI949" s="70"/>
      <c r="DJ949" s="70"/>
      <c r="DK949" s="70"/>
      <c r="DL949" s="70"/>
      <c r="DM949" s="70"/>
      <c r="DN949" s="70"/>
      <c r="DO949" s="70"/>
      <c r="DP949" s="70"/>
      <c r="DQ949" s="70"/>
      <c r="DR949" s="70"/>
      <c r="DS949" s="70"/>
      <c r="DT949" s="70"/>
      <c r="DU949" s="70"/>
      <c r="DV949" s="70"/>
      <c r="DW949" s="70"/>
      <c r="DX949" s="70"/>
      <c r="DY949" s="70"/>
      <c r="DZ949" s="70"/>
      <c r="EA949" s="70"/>
      <c r="EB949" s="70"/>
      <c r="EC949" s="70"/>
      <c r="ED949" s="70"/>
      <c r="EE949" s="95" t="s">
        <v>450</v>
      </c>
      <c r="EF949" s="95"/>
      <c r="EG949" s="95"/>
      <c r="EH949" s="70"/>
      <c r="EI949" s="216"/>
      <c r="EJ949" s="70"/>
      <c r="EK949" s="70"/>
      <c r="EL949" s="70"/>
      <c r="EM949" s="70"/>
      <c r="EN949" s="70"/>
      <c r="EO949" s="70"/>
      <c r="EP949" s="70"/>
      <c r="EQ949" s="70"/>
      <c r="ER949" s="70"/>
      <c r="ES949" s="70"/>
      <c r="ET949" s="70"/>
      <c r="EU949" s="70"/>
      <c r="EV949" s="70"/>
      <c r="EW949" s="70"/>
      <c r="EX949" s="70"/>
      <c r="EY949" s="70"/>
      <c r="EZ949" s="70"/>
      <c r="FA949" s="70"/>
      <c r="FB949" s="70"/>
      <c r="FC949" s="70"/>
      <c r="FD949" s="70"/>
      <c r="FE949" s="70"/>
      <c r="FF949" s="70"/>
      <c r="FG949" s="70"/>
      <c r="FH949" s="70"/>
      <c r="FI949" s="70"/>
      <c r="FJ949" s="70"/>
      <c r="FK949" s="70"/>
      <c r="FL949" s="70"/>
      <c r="FM949" s="70"/>
      <c r="FN949" s="70"/>
      <c r="FO949" s="70"/>
      <c r="FP949" s="70"/>
      <c r="FQ949" s="70"/>
      <c r="FR949" s="70"/>
      <c r="FS949" s="70"/>
      <c r="FT949" s="70"/>
      <c r="FU949" s="70"/>
      <c r="FV949" s="70"/>
      <c r="FW949" s="70"/>
      <c r="FX949" s="70"/>
      <c r="FY949" s="70"/>
      <c r="FZ949" s="70"/>
      <c r="GA949" s="70"/>
      <c r="GB949" s="70"/>
      <c r="GC949" s="70"/>
      <c r="GD949" s="70"/>
      <c r="GE949" s="70"/>
      <c r="GF949" s="70"/>
      <c r="GG949" s="70"/>
      <c r="GH949" s="70"/>
      <c r="GI949" s="70"/>
      <c r="GJ949" s="70"/>
      <c r="GK949" s="70"/>
      <c r="GL949" s="70"/>
      <c r="GM949" s="70"/>
      <c r="GN949" s="70"/>
      <c r="GO949" s="70"/>
      <c r="GP949" s="70"/>
      <c r="GQ949" s="70"/>
      <c r="GR949" s="70"/>
      <c r="GS949" s="70"/>
      <c r="GT949" s="70"/>
      <c r="GU949" s="70"/>
      <c r="GV949" s="70"/>
      <c r="GW949" s="70"/>
      <c r="GX949" s="70"/>
      <c r="GY949" s="70"/>
      <c r="GZ949" s="70"/>
      <c r="HA949" s="70"/>
      <c r="HB949" s="70"/>
      <c r="HC949" s="70"/>
      <c r="HD949" s="70"/>
      <c r="HE949" s="70"/>
      <c r="HF949" s="70"/>
      <c r="HG949" s="70"/>
      <c r="HH949" s="70"/>
      <c r="HI949" s="70"/>
      <c r="HJ949" s="70"/>
      <c r="HK949" s="70"/>
      <c r="HL949" s="70"/>
      <c r="HM949" s="70"/>
      <c r="HN949" s="70"/>
      <c r="HO949" s="70"/>
      <c r="HP949" s="70"/>
      <c r="HQ949" s="70"/>
      <c r="HR949" s="70"/>
      <c r="HS949" s="70"/>
      <c r="HT949" s="70"/>
      <c r="HU949" s="70"/>
      <c r="HV949" s="70"/>
      <c r="HW949" s="70"/>
      <c r="HX949" s="70"/>
      <c r="HY949" s="70"/>
      <c r="HZ949" s="70"/>
      <c r="IA949" s="70"/>
      <c r="IB949" s="70"/>
      <c r="IC949" s="70"/>
      <c r="ID949" s="70"/>
      <c r="IE949" s="70"/>
      <c r="IF949" s="70"/>
      <c r="IG949" s="70"/>
      <c r="IH949" s="70"/>
      <c r="II949" s="70"/>
      <c r="IJ949" s="70"/>
      <c r="IK949" s="70"/>
      <c r="IL949" s="70"/>
      <c r="IM949" s="70"/>
      <c r="IN949" s="70"/>
      <c r="IO949" s="70"/>
      <c r="IP949" s="70"/>
      <c r="IQ949" s="70"/>
    </row>
    <row r="950" spans="18:251" ht="16.5" hidden="1" customHeight="1">
      <c r="R950" s="95" t="s">
        <v>450</v>
      </c>
      <c r="S950" s="95"/>
      <c r="T950" s="95"/>
      <c r="U950" s="70"/>
      <c r="V950" s="214"/>
      <c r="W950" s="70"/>
      <c r="X950" s="70"/>
      <c r="Y950" s="70"/>
      <c r="Z950" s="70"/>
      <c r="AA950" s="70"/>
      <c r="AB950" s="70"/>
      <c r="AC950" s="70"/>
      <c r="AD950" s="70"/>
      <c r="AE950" s="70"/>
      <c r="AF950" s="70"/>
      <c r="AG950" s="70"/>
      <c r="AH950" s="70"/>
      <c r="AI950" s="70"/>
      <c r="AJ950" s="70"/>
      <c r="AK950" s="70"/>
      <c r="AL950" s="70"/>
      <c r="AM950" s="70"/>
      <c r="AN950" s="70"/>
      <c r="AO950" s="70"/>
      <c r="AP950" s="70"/>
      <c r="AQ950" s="70"/>
      <c r="AR950" s="70"/>
      <c r="AS950" s="70"/>
      <c r="AT950" s="70"/>
      <c r="AU950" s="70"/>
      <c r="AV950" s="70"/>
      <c r="AW950" s="70"/>
      <c r="AX950" s="70"/>
      <c r="AY950" s="70"/>
      <c r="AZ950" s="70"/>
      <c r="BA950" s="70"/>
      <c r="BB950" s="70"/>
      <c r="BC950" s="70"/>
      <c r="BD950" s="70"/>
      <c r="BE950" s="70"/>
      <c r="BF950" s="70"/>
      <c r="BG950" s="70"/>
      <c r="BH950" s="70"/>
      <c r="BI950" s="70"/>
      <c r="BJ950" s="70"/>
      <c r="BK950" s="70"/>
      <c r="BL950" s="70"/>
      <c r="BM950" s="70"/>
      <c r="BN950" s="70"/>
      <c r="BO950" s="70"/>
      <c r="BP950" s="70"/>
      <c r="BQ950" s="70"/>
      <c r="BR950" s="70"/>
      <c r="BS950" s="70"/>
      <c r="BT950" s="70"/>
      <c r="BU950" s="70"/>
      <c r="BV950" s="70"/>
      <c r="BW950" s="70"/>
      <c r="BX950" s="70"/>
      <c r="BY950" s="70"/>
      <c r="BZ950" s="70"/>
      <c r="CA950" s="70"/>
      <c r="CB950" s="70"/>
      <c r="CC950" s="70"/>
      <c r="CD950" s="70"/>
      <c r="CE950" s="70"/>
      <c r="CF950" s="70"/>
      <c r="CG950" s="70"/>
      <c r="CH950" s="70"/>
      <c r="CI950" s="70"/>
      <c r="CJ950" s="70"/>
      <c r="CK950" s="70"/>
      <c r="CL950" s="70"/>
      <c r="CM950" s="70"/>
      <c r="CN950" s="70"/>
      <c r="CO950" s="70"/>
      <c r="CP950" s="70"/>
      <c r="CQ950" s="70"/>
      <c r="CR950" s="70"/>
      <c r="CS950" s="70"/>
      <c r="CT950" s="70"/>
      <c r="CU950" s="70"/>
      <c r="CV950" s="70"/>
      <c r="CW950" s="70"/>
      <c r="CX950" s="70"/>
      <c r="CY950" s="70"/>
      <c r="CZ950" s="70"/>
      <c r="DA950" s="70"/>
      <c r="DB950" s="70"/>
      <c r="DC950" s="70"/>
      <c r="DD950" s="70"/>
      <c r="DE950" s="70"/>
      <c r="DF950" s="70"/>
      <c r="DG950" s="70"/>
      <c r="DH950" s="70"/>
      <c r="DI950" s="70"/>
      <c r="DJ950" s="70"/>
      <c r="DK950" s="70"/>
      <c r="DL950" s="70"/>
      <c r="DM950" s="70"/>
      <c r="DN950" s="70"/>
      <c r="DO950" s="70"/>
      <c r="DP950" s="70"/>
      <c r="DQ950" s="70"/>
      <c r="DR950" s="70"/>
      <c r="DS950" s="70"/>
      <c r="DT950" s="70"/>
      <c r="DU950" s="70"/>
      <c r="DV950" s="70"/>
      <c r="DW950" s="70"/>
      <c r="DX950" s="70"/>
      <c r="DY950" s="70"/>
      <c r="DZ950" s="70"/>
      <c r="EA950" s="70"/>
      <c r="EB950" s="70"/>
      <c r="EC950" s="70"/>
      <c r="ED950" s="70"/>
      <c r="EE950" s="95" t="s">
        <v>450</v>
      </c>
      <c r="EF950" s="95"/>
      <c r="EG950" s="95"/>
      <c r="EH950" s="70"/>
      <c r="EI950" s="216"/>
      <c r="EJ950" s="70"/>
      <c r="EK950" s="70"/>
      <c r="EL950" s="70"/>
      <c r="EM950" s="70"/>
      <c r="EN950" s="70"/>
      <c r="EO950" s="70"/>
      <c r="EP950" s="70"/>
      <c r="EQ950" s="70"/>
      <c r="ER950" s="70"/>
      <c r="ES950" s="70"/>
      <c r="ET950" s="70"/>
      <c r="EU950" s="70"/>
      <c r="EV950" s="70"/>
      <c r="EW950" s="70"/>
      <c r="EX950" s="70"/>
      <c r="EY950" s="70"/>
      <c r="EZ950" s="70"/>
      <c r="FA950" s="70"/>
      <c r="FB950" s="70"/>
      <c r="FC950" s="70"/>
      <c r="FD950" s="70"/>
      <c r="FE950" s="70"/>
      <c r="FF950" s="70"/>
      <c r="FG950" s="70"/>
      <c r="FH950" s="70"/>
      <c r="FI950" s="70"/>
      <c r="FJ950" s="70"/>
      <c r="FK950" s="70"/>
      <c r="FL950" s="70"/>
      <c r="FM950" s="70"/>
      <c r="FN950" s="70"/>
      <c r="FO950" s="70"/>
      <c r="FP950" s="70"/>
      <c r="FQ950" s="70"/>
      <c r="FR950" s="70"/>
      <c r="FS950" s="70"/>
      <c r="FT950" s="70"/>
      <c r="FU950" s="70"/>
      <c r="FV950" s="70"/>
      <c r="FW950" s="70"/>
      <c r="FX950" s="70"/>
      <c r="FY950" s="70"/>
      <c r="FZ950" s="70"/>
      <c r="GA950" s="70"/>
      <c r="GB950" s="70"/>
      <c r="GC950" s="70"/>
      <c r="GD950" s="70"/>
      <c r="GE950" s="70"/>
      <c r="GF950" s="70"/>
      <c r="GG950" s="70"/>
      <c r="GH950" s="70"/>
      <c r="GI950" s="70"/>
      <c r="GJ950" s="70"/>
      <c r="GK950" s="70"/>
      <c r="GL950" s="70"/>
      <c r="GM950" s="70"/>
      <c r="GN950" s="70"/>
      <c r="GO950" s="70"/>
      <c r="GP950" s="70"/>
      <c r="GQ950" s="70"/>
      <c r="GR950" s="70"/>
      <c r="GS950" s="70"/>
      <c r="GT950" s="70"/>
      <c r="GU950" s="70"/>
      <c r="GV950" s="70"/>
      <c r="GW950" s="70"/>
      <c r="GX950" s="70"/>
      <c r="GY950" s="70"/>
      <c r="GZ950" s="70"/>
      <c r="HA950" s="70"/>
      <c r="HB950" s="70"/>
      <c r="HC950" s="70"/>
      <c r="HD950" s="70"/>
      <c r="HE950" s="70"/>
      <c r="HF950" s="70"/>
      <c r="HG950" s="70"/>
      <c r="HH950" s="70"/>
      <c r="HI950" s="70"/>
      <c r="HJ950" s="70"/>
      <c r="HK950" s="70"/>
      <c r="HL950" s="70"/>
      <c r="HM950" s="70"/>
      <c r="HN950" s="70"/>
      <c r="HO950" s="70"/>
      <c r="HP950" s="70"/>
      <c r="HQ950" s="70"/>
      <c r="HR950" s="70"/>
      <c r="HS950" s="70"/>
      <c r="HT950" s="70"/>
      <c r="HU950" s="70"/>
      <c r="HV950" s="70"/>
      <c r="HW950" s="70"/>
      <c r="HX950" s="70"/>
      <c r="HY950" s="70"/>
      <c r="HZ950" s="70"/>
      <c r="IA950" s="70"/>
      <c r="IB950" s="70"/>
      <c r="IC950" s="70"/>
      <c r="ID950" s="70"/>
      <c r="IE950" s="70"/>
      <c r="IF950" s="70"/>
      <c r="IG950" s="70"/>
      <c r="IH950" s="70"/>
      <c r="II950" s="70"/>
      <c r="IJ950" s="70"/>
      <c r="IK950" s="70"/>
      <c r="IL950" s="70"/>
      <c r="IM950" s="70"/>
      <c r="IN950" s="70"/>
      <c r="IO950" s="70"/>
      <c r="IP950" s="70"/>
      <c r="IQ950" s="70"/>
    </row>
    <row r="951" spans="18:251" ht="16.5" hidden="1" customHeight="1">
      <c r="R951" s="95" t="s">
        <v>450</v>
      </c>
      <c r="S951" s="95"/>
      <c r="T951" s="95"/>
      <c r="U951" s="70"/>
      <c r="V951" s="214"/>
      <c r="W951" s="70"/>
      <c r="X951" s="70"/>
      <c r="Y951" s="70"/>
      <c r="Z951" s="70"/>
      <c r="AA951" s="70"/>
      <c r="AB951" s="70"/>
      <c r="AC951" s="70"/>
      <c r="AD951" s="70"/>
      <c r="AE951" s="70"/>
      <c r="AF951" s="70"/>
      <c r="AG951" s="70"/>
      <c r="AH951" s="70"/>
      <c r="AI951" s="70"/>
      <c r="AJ951" s="70"/>
      <c r="AK951" s="70"/>
      <c r="AL951" s="70"/>
      <c r="AM951" s="70"/>
      <c r="AN951" s="70"/>
      <c r="AO951" s="70"/>
      <c r="AP951" s="70"/>
      <c r="AQ951" s="70"/>
      <c r="AR951" s="70"/>
      <c r="AS951" s="70"/>
      <c r="AT951" s="70"/>
      <c r="AU951" s="70"/>
      <c r="AV951" s="70"/>
      <c r="AW951" s="70"/>
      <c r="AX951" s="70"/>
      <c r="AY951" s="70"/>
      <c r="AZ951" s="70"/>
      <c r="BA951" s="70"/>
      <c r="BB951" s="70"/>
      <c r="BC951" s="70"/>
      <c r="BD951" s="70"/>
      <c r="BE951" s="70"/>
      <c r="BF951" s="70"/>
      <c r="BG951" s="70"/>
      <c r="BH951" s="70"/>
      <c r="BI951" s="70"/>
      <c r="BJ951" s="70"/>
      <c r="BK951" s="70"/>
      <c r="BL951" s="70"/>
      <c r="BM951" s="70"/>
      <c r="BN951" s="70"/>
      <c r="BO951" s="70"/>
      <c r="BP951" s="70"/>
      <c r="BQ951" s="70"/>
      <c r="BR951" s="70"/>
      <c r="BS951" s="70"/>
      <c r="BT951" s="70"/>
      <c r="BU951" s="70"/>
      <c r="BV951" s="70"/>
      <c r="BW951" s="70"/>
      <c r="BX951" s="70"/>
      <c r="BY951" s="70"/>
      <c r="BZ951" s="70"/>
      <c r="CA951" s="70"/>
      <c r="CB951" s="70"/>
      <c r="CC951" s="70"/>
      <c r="CD951" s="70"/>
      <c r="CE951" s="70"/>
      <c r="CF951" s="70"/>
      <c r="CG951" s="70"/>
      <c r="CH951" s="70"/>
      <c r="CI951" s="70"/>
      <c r="CJ951" s="70"/>
      <c r="CK951" s="70"/>
      <c r="CL951" s="70"/>
      <c r="CM951" s="70"/>
      <c r="CN951" s="70"/>
      <c r="CO951" s="70"/>
      <c r="CP951" s="70"/>
      <c r="CQ951" s="70"/>
      <c r="CR951" s="70"/>
      <c r="CS951" s="70"/>
      <c r="CT951" s="70"/>
      <c r="CU951" s="70"/>
      <c r="CV951" s="70"/>
      <c r="CW951" s="70"/>
      <c r="CX951" s="70"/>
      <c r="CY951" s="70"/>
      <c r="CZ951" s="70"/>
      <c r="DA951" s="70"/>
      <c r="DB951" s="70"/>
      <c r="DC951" s="70"/>
      <c r="DD951" s="70"/>
      <c r="DE951" s="70"/>
      <c r="DF951" s="70"/>
      <c r="DG951" s="70"/>
      <c r="DH951" s="70"/>
      <c r="DI951" s="70"/>
      <c r="DJ951" s="70"/>
      <c r="DK951" s="70"/>
      <c r="DL951" s="70"/>
      <c r="DM951" s="70"/>
      <c r="DN951" s="70"/>
      <c r="DO951" s="70"/>
      <c r="DP951" s="70"/>
      <c r="DQ951" s="70"/>
      <c r="DR951" s="70"/>
      <c r="DS951" s="70"/>
      <c r="DT951" s="70"/>
      <c r="DU951" s="70"/>
      <c r="DV951" s="70"/>
      <c r="DW951" s="70"/>
      <c r="DX951" s="70"/>
      <c r="DY951" s="70"/>
      <c r="DZ951" s="70"/>
      <c r="EA951" s="70"/>
      <c r="EB951" s="70"/>
      <c r="EC951" s="70"/>
      <c r="ED951" s="70"/>
      <c r="EE951" s="95" t="s">
        <v>450</v>
      </c>
      <c r="EF951" s="95"/>
      <c r="EG951" s="95"/>
      <c r="EH951" s="70"/>
      <c r="EI951" s="216"/>
      <c r="EJ951" s="70"/>
      <c r="EK951" s="70"/>
      <c r="EL951" s="70"/>
      <c r="EM951" s="70"/>
      <c r="EN951" s="70"/>
      <c r="EO951" s="70"/>
      <c r="EP951" s="70"/>
      <c r="EQ951" s="70"/>
      <c r="ER951" s="70"/>
      <c r="ES951" s="70"/>
      <c r="ET951" s="70"/>
      <c r="EU951" s="70"/>
      <c r="EV951" s="70"/>
      <c r="EW951" s="70"/>
      <c r="EX951" s="70"/>
      <c r="EY951" s="70"/>
      <c r="EZ951" s="70"/>
      <c r="FA951" s="70"/>
      <c r="FB951" s="70"/>
      <c r="FC951" s="70"/>
      <c r="FD951" s="70"/>
      <c r="FE951" s="70"/>
      <c r="FF951" s="70"/>
      <c r="FG951" s="70"/>
      <c r="FH951" s="70"/>
      <c r="FI951" s="70"/>
      <c r="FJ951" s="70"/>
      <c r="FK951" s="70"/>
      <c r="FL951" s="70"/>
      <c r="FM951" s="70"/>
      <c r="FN951" s="70"/>
      <c r="FO951" s="70"/>
      <c r="FP951" s="70"/>
      <c r="FQ951" s="70"/>
      <c r="FR951" s="70"/>
      <c r="FS951" s="70"/>
      <c r="FT951" s="70"/>
      <c r="FU951" s="70"/>
      <c r="FV951" s="70"/>
      <c r="FW951" s="70"/>
      <c r="FX951" s="70"/>
      <c r="FY951" s="70"/>
      <c r="FZ951" s="70"/>
      <c r="GA951" s="70"/>
      <c r="GB951" s="70"/>
      <c r="GC951" s="70"/>
      <c r="GD951" s="70"/>
      <c r="GE951" s="70"/>
      <c r="GF951" s="70"/>
      <c r="GG951" s="70"/>
      <c r="GH951" s="70"/>
      <c r="GI951" s="70"/>
      <c r="GJ951" s="70"/>
      <c r="GK951" s="70"/>
      <c r="GL951" s="70"/>
      <c r="GM951" s="70"/>
      <c r="GN951" s="70"/>
      <c r="GO951" s="70"/>
      <c r="GP951" s="70"/>
      <c r="GQ951" s="70"/>
      <c r="GR951" s="70"/>
      <c r="GS951" s="70"/>
      <c r="GT951" s="70"/>
      <c r="GU951" s="70"/>
      <c r="GV951" s="70"/>
      <c r="GW951" s="70"/>
      <c r="GX951" s="70"/>
      <c r="GY951" s="70"/>
      <c r="GZ951" s="70"/>
      <c r="HA951" s="70"/>
      <c r="HB951" s="70"/>
      <c r="HC951" s="70"/>
      <c r="HD951" s="70"/>
      <c r="HE951" s="70"/>
      <c r="HF951" s="70"/>
      <c r="HG951" s="70"/>
      <c r="HH951" s="70"/>
      <c r="HI951" s="70"/>
      <c r="HJ951" s="70"/>
      <c r="HK951" s="70"/>
      <c r="HL951" s="70"/>
      <c r="HM951" s="70"/>
      <c r="HN951" s="70"/>
      <c r="HO951" s="70"/>
      <c r="HP951" s="70"/>
      <c r="HQ951" s="70"/>
      <c r="HR951" s="70"/>
      <c r="HS951" s="70"/>
      <c r="HT951" s="70"/>
      <c r="HU951" s="70"/>
      <c r="HV951" s="70"/>
      <c r="HW951" s="70"/>
      <c r="HX951" s="70"/>
      <c r="HY951" s="70"/>
      <c r="HZ951" s="70"/>
      <c r="IA951" s="70"/>
      <c r="IB951" s="70"/>
      <c r="IC951" s="70"/>
      <c r="ID951" s="70"/>
      <c r="IE951" s="70"/>
      <c r="IF951" s="70"/>
      <c r="IG951" s="70"/>
      <c r="IH951" s="70"/>
      <c r="II951" s="70"/>
      <c r="IJ951" s="70"/>
      <c r="IK951" s="70"/>
      <c r="IL951" s="70"/>
      <c r="IM951" s="70"/>
      <c r="IN951" s="70"/>
      <c r="IO951" s="70"/>
      <c r="IP951" s="70"/>
      <c r="IQ951" s="70"/>
    </row>
    <row r="952" spans="18:251" ht="16.5" hidden="1" customHeight="1">
      <c r="R952" s="95" t="s">
        <v>450</v>
      </c>
      <c r="S952" s="95"/>
      <c r="T952" s="95"/>
      <c r="U952" s="70"/>
      <c r="V952" s="214"/>
      <c r="W952" s="70"/>
      <c r="X952" s="70"/>
      <c r="Y952" s="70"/>
      <c r="Z952" s="70"/>
      <c r="AA952" s="70"/>
      <c r="AB952" s="70"/>
      <c r="AC952" s="70"/>
      <c r="AD952" s="70"/>
      <c r="AE952" s="70"/>
      <c r="AF952" s="70"/>
      <c r="AG952" s="70"/>
      <c r="AH952" s="70"/>
      <c r="AI952" s="70"/>
      <c r="AJ952" s="70"/>
      <c r="AK952" s="70"/>
      <c r="AL952" s="70"/>
      <c r="AM952" s="70"/>
      <c r="AN952" s="70"/>
      <c r="AO952" s="70"/>
      <c r="AP952" s="70"/>
      <c r="AQ952" s="70"/>
      <c r="AR952" s="70"/>
      <c r="AS952" s="70"/>
      <c r="AT952" s="70"/>
      <c r="AU952" s="70"/>
      <c r="AV952" s="70"/>
      <c r="AW952" s="70"/>
      <c r="AX952" s="70"/>
      <c r="AY952" s="70"/>
      <c r="AZ952" s="70"/>
      <c r="BA952" s="70"/>
      <c r="BB952" s="70"/>
      <c r="BC952" s="70"/>
      <c r="BD952" s="70"/>
      <c r="BE952" s="70"/>
      <c r="BF952" s="70"/>
      <c r="BG952" s="70"/>
      <c r="BH952" s="70"/>
      <c r="BI952" s="70"/>
      <c r="BJ952" s="70"/>
      <c r="BK952" s="70"/>
      <c r="BL952" s="70"/>
      <c r="BM952" s="70"/>
      <c r="BN952" s="70"/>
      <c r="BO952" s="70"/>
      <c r="BP952" s="70"/>
      <c r="BQ952" s="70"/>
      <c r="BR952" s="70"/>
      <c r="BS952" s="70"/>
      <c r="BT952" s="70"/>
      <c r="BU952" s="70"/>
      <c r="BV952" s="70"/>
      <c r="BW952" s="70"/>
      <c r="BX952" s="70"/>
      <c r="BY952" s="70"/>
      <c r="BZ952" s="70"/>
      <c r="CA952" s="70"/>
      <c r="CB952" s="70"/>
      <c r="CC952" s="70"/>
      <c r="CD952" s="70"/>
      <c r="CE952" s="70"/>
      <c r="CF952" s="70"/>
      <c r="CG952" s="70"/>
      <c r="CH952" s="70"/>
      <c r="CI952" s="70"/>
      <c r="CJ952" s="70"/>
      <c r="CK952" s="70"/>
      <c r="CL952" s="70"/>
      <c r="CM952" s="70"/>
      <c r="CN952" s="70"/>
      <c r="CO952" s="70"/>
      <c r="CP952" s="70"/>
      <c r="CQ952" s="70"/>
      <c r="CR952" s="70"/>
      <c r="CS952" s="70"/>
      <c r="CT952" s="70"/>
      <c r="CU952" s="70"/>
      <c r="CV952" s="70"/>
      <c r="CW952" s="70"/>
      <c r="CX952" s="70"/>
      <c r="CY952" s="70"/>
      <c r="CZ952" s="70"/>
      <c r="DA952" s="70"/>
      <c r="DB952" s="70"/>
      <c r="DC952" s="70"/>
      <c r="DD952" s="70"/>
      <c r="DE952" s="70"/>
      <c r="DF952" s="70"/>
      <c r="DG952" s="70"/>
      <c r="DH952" s="70"/>
      <c r="DI952" s="70"/>
      <c r="DJ952" s="70"/>
      <c r="DK952" s="70"/>
      <c r="DL952" s="70"/>
      <c r="DM952" s="70"/>
      <c r="DN952" s="70"/>
      <c r="DO952" s="70"/>
      <c r="DP952" s="70"/>
      <c r="DQ952" s="70"/>
      <c r="DR952" s="70"/>
      <c r="DS952" s="70"/>
      <c r="DT952" s="70"/>
      <c r="DU952" s="70"/>
      <c r="DV952" s="70"/>
      <c r="DW952" s="70"/>
      <c r="DX952" s="70"/>
      <c r="DY952" s="70"/>
      <c r="DZ952" s="70"/>
      <c r="EA952" s="70"/>
      <c r="EB952" s="70"/>
      <c r="EC952" s="70"/>
      <c r="ED952" s="70"/>
      <c r="EE952" s="95" t="s">
        <v>450</v>
      </c>
      <c r="EF952" s="95"/>
      <c r="EG952" s="95"/>
      <c r="EH952" s="70"/>
      <c r="EI952" s="216"/>
      <c r="EJ952" s="70"/>
      <c r="EK952" s="70"/>
      <c r="EL952" s="70"/>
      <c r="EM952" s="70"/>
      <c r="EN952" s="70"/>
      <c r="EO952" s="70"/>
      <c r="EP952" s="70"/>
      <c r="EQ952" s="70"/>
      <c r="ER952" s="70"/>
      <c r="ES952" s="70"/>
      <c r="ET952" s="70"/>
      <c r="EU952" s="70"/>
      <c r="EV952" s="70"/>
      <c r="EW952" s="70"/>
      <c r="EX952" s="70"/>
      <c r="EY952" s="70"/>
      <c r="EZ952" s="70"/>
      <c r="FA952" s="70"/>
      <c r="FB952" s="70"/>
      <c r="FC952" s="70"/>
      <c r="FD952" s="70"/>
      <c r="FE952" s="70"/>
      <c r="FF952" s="70"/>
      <c r="FG952" s="70"/>
      <c r="FH952" s="70"/>
      <c r="FI952" s="70"/>
      <c r="FJ952" s="70"/>
      <c r="FK952" s="70"/>
      <c r="FL952" s="70"/>
      <c r="FM952" s="70"/>
      <c r="FN952" s="70"/>
      <c r="FO952" s="70"/>
      <c r="FP952" s="70"/>
      <c r="FQ952" s="70"/>
      <c r="FR952" s="70"/>
      <c r="FS952" s="70"/>
      <c r="FT952" s="70"/>
      <c r="FU952" s="70"/>
      <c r="FV952" s="70"/>
      <c r="FW952" s="70"/>
      <c r="FX952" s="70"/>
      <c r="FY952" s="70"/>
      <c r="FZ952" s="70"/>
      <c r="GA952" s="70"/>
      <c r="GB952" s="70"/>
      <c r="GC952" s="70"/>
      <c r="GD952" s="70"/>
      <c r="GE952" s="70"/>
      <c r="GF952" s="70"/>
      <c r="GG952" s="70"/>
      <c r="GH952" s="70"/>
      <c r="GI952" s="70"/>
      <c r="GJ952" s="70"/>
      <c r="GK952" s="70"/>
      <c r="GL952" s="70"/>
      <c r="GM952" s="70"/>
      <c r="GN952" s="70"/>
      <c r="GO952" s="70"/>
      <c r="GP952" s="70"/>
      <c r="GQ952" s="70"/>
      <c r="GR952" s="70"/>
      <c r="GS952" s="70"/>
      <c r="GT952" s="70"/>
      <c r="GU952" s="70"/>
      <c r="GV952" s="70"/>
      <c r="GW952" s="70"/>
      <c r="GX952" s="70"/>
      <c r="GY952" s="70"/>
      <c r="GZ952" s="70"/>
      <c r="HA952" s="70"/>
      <c r="HB952" s="70"/>
      <c r="HC952" s="70"/>
      <c r="HD952" s="70"/>
      <c r="HE952" s="70"/>
      <c r="HF952" s="70"/>
      <c r="HG952" s="70"/>
      <c r="HH952" s="70"/>
      <c r="HI952" s="70"/>
      <c r="HJ952" s="70"/>
      <c r="HK952" s="70"/>
      <c r="HL952" s="70"/>
      <c r="HM952" s="70"/>
      <c r="HN952" s="70"/>
      <c r="HO952" s="70"/>
      <c r="HP952" s="70"/>
      <c r="HQ952" s="70"/>
      <c r="HR952" s="70"/>
      <c r="HS952" s="70"/>
      <c r="HT952" s="70"/>
      <c r="HU952" s="70"/>
      <c r="HV952" s="70"/>
      <c r="HW952" s="70"/>
      <c r="HX952" s="70"/>
      <c r="HY952" s="70"/>
      <c r="HZ952" s="70"/>
      <c r="IA952" s="70"/>
      <c r="IB952" s="70"/>
      <c r="IC952" s="70"/>
      <c r="ID952" s="70"/>
      <c r="IE952" s="70"/>
      <c r="IF952" s="70"/>
      <c r="IG952" s="70"/>
      <c r="IH952" s="70"/>
      <c r="II952" s="70"/>
      <c r="IJ952" s="70"/>
      <c r="IK952" s="70"/>
      <c r="IL952" s="70"/>
      <c r="IM952" s="70"/>
      <c r="IN952" s="70"/>
      <c r="IO952" s="70"/>
      <c r="IP952" s="70"/>
      <c r="IQ952" s="70"/>
    </row>
    <row r="953" spans="18:251" ht="16.5" hidden="1" customHeight="1">
      <c r="R953" s="95" t="s">
        <v>450</v>
      </c>
      <c r="S953" s="95"/>
      <c r="T953" s="95"/>
      <c r="U953" s="70"/>
      <c r="V953" s="214"/>
      <c r="W953" s="70"/>
      <c r="X953" s="70"/>
      <c r="Y953" s="70"/>
      <c r="Z953" s="70"/>
      <c r="AA953" s="70"/>
      <c r="AB953" s="70"/>
      <c r="AC953" s="70"/>
      <c r="AD953" s="70"/>
      <c r="AE953" s="70"/>
      <c r="AF953" s="70"/>
      <c r="AG953" s="70"/>
      <c r="AH953" s="70"/>
      <c r="AI953" s="70"/>
      <c r="AJ953" s="70"/>
      <c r="AK953" s="70"/>
      <c r="AL953" s="70"/>
      <c r="AM953" s="70"/>
      <c r="AN953" s="70"/>
      <c r="AO953" s="70"/>
      <c r="AP953" s="70"/>
      <c r="AQ953" s="70"/>
      <c r="AR953" s="70"/>
      <c r="AS953" s="70"/>
      <c r="AT953" s="70"/>
      <c r="AU953" s="70"/>
      <c r="AV953" s="70"/>
      <c r="AW953" s="70"/>
      <c r="AX953" s="70"/>
      <c r="AY953" s="70"/>
      <c r="AZ953" s="70"/>
      <c r="BA953" s="70"/>
      <c r="BB953" s="70"/>
      <c r="BC953" s="70"/>
      <c r="BD953" s="70"/>
      <c r="BE953" s="70"/>
      <c r="BF953" s="70"/>
      <c r="BG953" s="70"/>
      <c r="BH953" s="70"/>
      <c r="BI953" s="70"/>
      <c r="BJ953" s="70"/>
      <c r="BK953" s="70"/>
      <c r="BL953" s="70"/>
      <c r="BM953" s="70"/>
      <c r="BN953" s="70"/>
      <c r="BO953" s="70"/>
      <c r="BP953" s="70"/>
      <c r="BQ953" s="70"/>
      <c r="BR953" s="70"/>
      <c r="BS953" s="70"/>
      <c r="BT953" s="70"/>
      <c r="BU953" s="70"/>
      <c r="BV953" s="70"/>
      <c r="BW953" s="70"/>
      <c r="BX953" s="70"/>
      <c r="BY953" s="70"/>
      <c r="BZ953" s="70"/>
      <c r="CA953" s="70"/>
      <c r="CB953" s="70"/>
      <c r="CC953" s="70"/>
      <c r="CD953" s="70"/>
      <c r="CE953" s="70"/>
      <c r="CF953" s="70"/>
      <c r="CG953" s="70"/>
      <c r="CH953" s="70"/>
      <c r="CI953" s="70"/>
      <c r="CJ953" s="70"/>
      <c r="CK953" s="70"/>
      <c r="CL953" s="70"/>
      <c r="CM953" s="70"/>
      <c r="CN953" s="70"/>
      <c r="CO953" s="70"/>
      <c r="CP953" s="70"/>
      <c r="CQ953" s="70"/>
      <c r="CR953" s="70"/>
      <c r="CS953" s="70"/>
      <c r="CT953" s="70"/>
      <c r="CU953" s="70"/>
      <c r="CV953" s="70"/>
      <c r="CW953" s="70"/>
      <c r="CX953" s="70"/>
      <c r="CY953" s="70"/>
      <c r="CZ953" s="70"/>
      <c r="DA953" s="70"/>
      <c r="DB953" s="70"/>
      <c r="DC953" s="70"/>
      <c r="DD953" s="70"/>
      <c r="DE953" s="70"/>
      <c r="DF953" s="70"/>
      <c r="DG953" s="70"/>
      <c r="DH953" s="70"/>
      <c r="DI953" s="70"/>
      <c r="DJ953" s="70"/>
      <c r="DK953" s="70"/>
      <c r="DL953" s="70"/>
      <c r="DM953" s="70"/>
      <c r="DN953" s="70"/>
      <c r="DO953" s="70"/>
      <c r="DP953" s="70"/>
      <c r="DQ953" s="70"/>
      <c r="DR953" s="70"/>
      <c r="DS953" s="70"/>
      <c r="DT953" s="70"/>
      <c r="DU953" s="70"/>
      <c r="DV953" s="70"/>
      <c r="DW953" s="70"/>
      <c r="DX953" s="70"/>
      <c r="DY953" s="70"/>
      <c r="DZ953" s="70"/>
      <c r="EA953" s="70"/>
      <c r="EB953" s="70"/>
      <c r="EC953" s="70"/>
      <c r="ED953" s="70"/>
      <c r="EE953" s="95" t="s">
        <v>450</v>
      </c>
      <c r="EF953" s="95"/>
      <c r="EG953" s="95"/>
      <c r="EH953" s="70"/>
      <c r="EI953" s="216"/>
      <c r="EJ953" s="70"/>
      <c r="EK953" s="70"/>
      <c r="EL953" s="70"/>
      <c r="EM953" s="70"/>
      <c r="EN953" s="70"/>
      <c r="EO953" s="70"/>
      <c r="EP953" s="70"/>
      <c r="EQ953" s="70"/>
      <c r="ER953" s="70"/>
      <c r="ES953" s="70"/>
      <c r="ET953" s="70"/>
      <c r="EU953" s="70"/>
      <c r="EV953" s="70"/>
      <c r="EW953" s="70"/>
      <c r="EX953" s="70"/>
      <c r="EY953" s="70"/>
      <c r="EZ953" s="70"/>
      <c r="FA953" s="70"/>
      <c r="FB953" s="70"/>
      <c r="FC953" s="70"/>
      <c r="FD953" s="70"/>
      <c r="FE953" s="70"/>
      <c r="FF953" s="70"/>
      <c r="FG953" s="70"/>
      <c r="FH953" s="70"/>
      <c r="FI953" s="70"/>
      <c r="FJ953" s="70"/>
      <c r="FK953" s="70"/>
      <c r="FL953" s="70"/>
      <c r="FM953" s="70"/>
      <c r="FN953" s="70"/>
      <c r="FO953" s="70"/>
      <c r="FP953" s="70"/>
      <c r="FQ953" s="70"/>
      <c r="FR953" s="70"/>
      <c r="FS953" s="70"/>
      <c r="FT953" s="70"/>
      <c r="FU953" s="70"/>
      <c r="FV953" s="70"/>
      <c r="FW953" s="70"/>
      <c r="FX953" s="70"/>
      <c r="FY953" s="70"/>
      <c r="FZ953" s="70"/>
      <c r="GA953" s="70"/>
      <c r="GB953" s="70"/>
      <c r="GC953" s="70"/>
      <c r="GD953" s="70"/>
      <c r="GE953" s="70"/>
      <c r="GF953" s="70"/>
      <c r="GG953" s="70"/>
      <c r="GH953" s="70"/>
      <c r="GI953" s="70"/>
      <c r="GJ953" s="70"/>
      <c r="GK953" s="70"/>
      <c r="GL953" s="70"/>
      <c r="GM953" s="70"/>
      <c r="GN953" s="70"/>
      <c r="GO953" s="70"/>
      <c r="GP953" s="70"/>
      <c r="GQ953" s="70"/>
      <c r="GR953" s="70"/>
      <c r="GS953" s="70"/>
      <c r="GT953" s="70"/>
      <c r="GU953" s="70"/>
      <c r="GV953" s="70"/>
      <c r="GW953" s="70"/>
      <c r="GX953" s="70"/>
      <c r="GY953" s="70"/>
      <c r="GZ953" s="70"/>
      <c r="HA953" s="70"/>
      <c r="HB953" s="70"/>
      <c r="HC953" s="70"/>
      <c r="HD953" s="70"/>
      <c r="HE953" s="70"/>
      <c r="HF953" s="70"/>
      <c r="HG953" s="70"/>
      <c r="HH953" s="70"/>
      <c r="HI953" s="70"/>
      <c r="HJ953" s="70"/>
      <c r="HK953" s="70"/>
      <c r="HL953" s="70"/>
      <c r="HM953" s="70"/>
      <c r="HN953" s="70"/>
      <c r="HO953" s="70"/>
      <c r="HP953" s="70"/>
      <c r="HQ953" s="70"/>
      <c r="HR953" s="70"/>
      <c r="HS953" s="70"/>
      <c r="HT953" s="70"/>
      <c r="HU953" s="70"/>
      <c r="HV953" s="70"/>
      <c r="HW953" s="70"/>
      <c r="HX953" s="70"/>
      <c r="HY953" s="70"/>
      <c r="HZ953" s="70"/>
      <c r="IA953" s="70"/>
      <c r="IB953" s="70"/>
      <c r="IC953" s="70"/>
      <c r="ID953" s="70"/>
      <c r="IE953" s="70"/>
      <c r="IF953" s="70"/>
      <c r="IG953" s="70"/>
      <c r="IH953" s="70"/>
      <c r="II953" s="70"/>
      <c r="IJ953" s="70"/>
      <c r="IK953" s="70"/>
      <c r="IL953" s="70"/>
      <c r="IM953" s="70"/>
      <c r="IN953" s="70"/>
      <c r="IO953" s="70"/>
      <c r="IP953" s="70"/>
      <c r="IQ953" s="70"/>
    </row>
    <row r="954" spans="18:251" ht="16.5" hidden="1" customHeight="1">
      <c r="R954" s="95" t="s">
        <v>450</v>
      </c>
      <c r="S954" s="95"/>
      <c r="T954" s="95"/>
      <c r="U954" s="70"/>
      <c r="V954" s="214"/>
      <c r="W954" s="70"/>
      <c r="X954" s="70"/>
      <c r="Y954" s="70"/>
      <c r="Z954" s="70"/>
      <c r="AA954" s="70"/>
      <c r="AB954" s="70"/>
      <c r="AC954" s="70"/>
      <c r="AD954" s="70"/>
      <c r="AE954" s="70"/>
      <c r="AF954" s="70"/>
      <c r="AG954" s="70"/>
      <c r="AH954" s="70"/>
      <c r="AI954" s="70"/>
      <c r="AJ954" s="70"/>
      <c r="AK954" s="70"/>
      <c r="AL954" s="70"/>
      <c r="AM954" s="70"/>
      <c r="AN954" s="70"/>
      <c r="AO954" s="70"/>
      <c r="AP954" s="70"/>
      <c r="AQ954" s="70"/>
      <c r="AR954" s="70"/>
      <c r="AS954" s="70"/>
      <c r="AT954" s="70"/>
      <c r="AU954" s="70"/>
      <c r="AV954" s="70"/>
      <c r="AW954" s="70"/>
      <c r="AX954" s="70"/>
      <c r="AY954" s="70"/>
      <c r="AZ954" s="70"/>
      <c r="BA954" s="70"/>
      <c r="BB954" s="70"/>
      <c r="BC954" s="70"/>
      <c r="BD954" s="70"/>
      <c r="BE954" s="70"/>
      <c r="BF954" s="70"/>
      <c r="BG954" s="70"/>
      <c r="BH954" s="70"/>
      <c r="BI954" s="70"/>
      <c r="BJ954" s="70"/>
      <c r="BK954" s="70"/>
      <c r="BL954" s="70"/>
      <c r="BM954" s="70"/>
      <c r="BN954" s="70"/>
      <c r="BO954" s="70"/>
      <c r="BP954" s="70"/>
      <c r="BQ954" s="70"/>
      <c r="BR954" s="70"/>
      <c r="BS954" s="70"/>
      <c r="BT954" s="70"/>
      <c r="BU954" s="70"/>
      <c r="BV954" s="70"/>
      <c r="BW954" s="70"/>
      <c r="BX954" s="70"/>
      <c r="BY954" s="70"/>
      <c r="BZ954" s="70"/>
      <c r="CA954" s="70"/>
      <c r="CB954" s="70"/>
      <c r="CC954" s="70"/>
      <c r="CD954" s="70"/>
      <c r="CE954" s="70"/>
      <c r="CF954" s="70"/>
      <c r="CG954" s="70"/>
      <c r="CH954" s="70"/>
      <c r="CI954" s="70"/>
      <c r="CJ954" s="70"/>
      <c r="CK954" s="70"/>
      <c r="CL954" s="70"/>
      <c r="CM954" s="70"/>
      <c r="CN954" s="70"/>
      <c r="CO954" s="70"/>
      <c r="CP954" s="70"/>
      <c r="CQ954" s="70"/>
      <c r="CR954" s="70"/>
      <c r="CS954" s="70"/>
      <c r="CT954" s="70"/>
      <c r="CU954" s="70"/>
      <c r="CV954" s="70"/>
      <c r="CW954" s="70"/>
      <c r="CX954" s="70"/>
      <c r="CY954" s="70"/>
      <c r="CZ954" s="70"/>
      <c r="DA954" s="70"/>
      <c r="DB954" s="70"/>
      <c r="DC954" s="70"/>
      <c r="DD954" s="70"/>
      <c r="DE954" s="70"/>
      <c r="DF954" s="70"/>
      <c r="DG954" s="70"/>
      <c r="DH954" s="70"/>
      <c r="DI954" s="70"/>
      <c r="DJ954" s="70"/>
      <c r="DK954" s="70"/>
      <c r="DL954" s="70"/>
      <c r="DM954" s="70"/>
      <c r="DN954" s="70"/>
      <c r="DO954" s="70"/>
      <c r="DP954" s="70"/>
      <c r="DQ954" s="70"/>
      <c r="DR954" s="70"/>
      <c r="DS954" s="70"/>
      <c r="DT954" s="70"/>
      <c r="DU954" s="70"/>
      <c r="DV954" s="70"/>
      <c r="DW954" s="70"/>
      <c r="DX954" s="70"/>
      <c r="DY954" s="70"/>
      <c r="DZ954" s="70"/>
      <c r="EA954" s="70"/>
      <c r="EB954" s="70"/>
      <c r="EC954" s="70"/>
      <c r="ED954" s="70"/>
      <c r="EE954" s="95" t="s">
        <v>450</v>
      </c>
      <c r="EF954" s="95"/>
      <c r="EG954" s="95"/>
      <c r="EH954" s="70"/>
      <c r="EI954" s="216"/>
      <c r="EJ954" s="70"/>
      <c r="EK954" s="70"/>
      <c r="EL954" s="70"/>
      <c r="EM954" s="70"/>
      <c r="EN954" s="70"/>
      <c r="EO954" s="70"/>
      <c r="EP954" s="70"/>
      <c r="EQ954" s="70"/>
      <c r="ER954" s="70"/>
      <c r="ES954" s="70"/>
      <c r="ET954" s="70"/>
      <c r="EU954" s="70"/>
      <c r="EV954" s="70"/>
      <c r="EW954" s="70"/>
      <c r="EX954" s="70"/>
      <c r="EY954" s="70"/>
      <c r="EZ954" s="70"/>
      <c r="FA954" s="70"/>
      <c r="FB954" s="70"/>
      <c r="FC954" s="70"/>
      <c r="FD954" s="70"/>
      <c r="FE954" s="70"/>
      <c r="FF954" s="70"/>
      <c r="FG954" s="70"/>
      <c r="FH954" s="70"/>
      <c r="FI954" s="70"/>
      <c r="FJ954" s="70"/>
      <c r="FK954" s="70"/>
      <c r="FL954" s="70"/>
      <c r="FM954" s="70"/>
      <c r="FN954" s="70"/>
      <c r="FO954" s="70"/>
      <c r="FP954" s="70"/>
      <c r="FQ954" s="70"/>
      <c r="FR954" s="70"/>
      <c r="FS954" s="70"/>
      <c r="FT954" s="70"/>
      <c r="FU954" s="70"/>
      <c r="FV954" s="70"/>
      <c r="FW954" s="70"/>
      <c r="FX954" s="70"/>
      <c r="FY954" s="70"/>
      <c r="FZ954" s="70"/>
      <c r="GA954" s="70"/>
      <c r="GB954" s="70"/>
      <c r="GC954" s="70"/>
      <c r="GD954" s="70"/>
      <c r="GE954" s="70"/>
      <c r="GF954" s="70"/>
      <c r="GG954" s="70"/>
      <c r="GH954" s="70"/>
      <c r="GI954" s="70"/>
      <c r="GJ954" s="70"/>
      <c r="GK954" s="70"/>
      <c r="GL954" s="70"/>
      <c r="GM954" s="70"/>
      <c r="GN954" s="70"/>
      <c r="GO954" s="70"/>
      <c r="GP954" s="70"/>
      <c r="GQ954" s="70"/>
      <c r="GR954" s="70"/>
      <c r="GS954" s="70"/>
      <c r="GT954" s="70"/>
      <c r="GU954" s="70"/>
      <c r="GV954" s="70"/>
      <c r="GW954" s="70"/>
      <c r="GX954" s="70"/>
      <c r="GY954" s="70"/>
      <c r="GZ954" s="70"/>
      <c r="HA954" s="70"/>
      <c r="HB954" s="70"/>
      <c r="HC954" s="70"/>
      <c r="HD954" s="70"/>
      <c r="HE954" s="70"/>
      <c r="HF954" s="70"/>
      <c r="HG954" s="70"/>
      <c r="HH954" s="70"/>
      <c r="HI954" s="70"/>
      <c r="HJ954" s="70"/>
      <c r="HK954" s="70"/>
      <c r="HL954" s="70"/>
      <c r="HM954" s="70"/>
      <c r="HN954" s="70"/>
      <c r="HO954" s="70"/>
      <c r="HP954" s="70"/>
      <c r="HQ954" s="70"/>
      <c r="HR954" s="70"/>
      <c r="HS954" s="70"/>
      <c r="HT954" s="70"/>
      <c r="HU954" s="70"/>
      <c r="HV954" s="70"/>
      <c r="HW954" s="70"/>
      <c r="HX954" s="70"/>
      <c r="HY954" s="70"/>
      <c r="HZ954" s="70"/>
      <c r="IA954" s="70"/>
      <c r="IB954" s="70"/>
      <c r="IC954" s="70"/>
      <c r="ID954" s="70"/>
      <c r="IE954" s="70"/>
      <c r="IF954" s="70"/>
      <c r="IG954" s="70"/>
      <c r="IH954" s="70"/>
      <c r="II954" s="70"/>
      <c r="IJ954" s="70"/>
      <c r="IK954" s="70"/>
      <c r="IL954" s="70"/>
      <c r="IM954" s="70"/>
      <c r="IN954" s="70"/>
      <c r="IO954" s="70"/>
      <c r="IP954" s="70"/>
      <c r="IQ954" s="70"/>
    </row>
    <row r="957" spans="18:251" s="215" customFormat="1" ht="16.5" hidden="1" customHeight="1">
      <c r="R957" s="215" t="s">
        <v>790</v>
      </c>
      <c r="V957" s="214" t="str">
        <f t="shared" ref="V957" si="12">S957&amp;TEXT(T957,"00")&amp;TEXT(U957,"00")</f>
        <v>0000</v>
      </c>
      <c r="EE957" s="215" t="s">
        <v>384</v>
      </c>
      <c r="EI957" s="216" t="str">
        <f t="shared" ref="EI957" si="13">EF957&amp;TEXT(EG957,"00")&amp;TEXT(EH957,"00")</f>
        <v>0000</v>
      </c>
    </row>
    <row r="958" spans="18:251" ht="16.5" hidden="1" customHeight="1">
      <c r="R958" s="69"/>
      <c r="S958" s="69"/>
      <c r="T958" s="69"/>
      <c r="U958" s="69"/>
      <c r="V958" s="214"/>
      <c r="W958" s="69"/>
      <c r="X958" s="69"/>
      <c r="Y958" s="69"/>
      <c r="Z958" s="69"/>
      <c r="AA958" s="69"/>
      <c r="AB958" s="69"/>
      <c r="AC958" s="69"/>
      <c r="AD958" s="69"/>
      <c r="AE958" s="69"/>
      <c r="AF958" s="69"/>
      <c r="AG958" s="69"/>
      <c r="AH958" s="69"/>
      <c r="AI958" s="69"/>
      <c r="AJ958" s="69"/>
      <c r="AK958" s="69"/>
      <c r="AL958" s="69"/>
      <c r="AM958" s="69"/>
      <c r="AN958" s="69"/>
      <c r="AO958" s="69"/>
      <c r="AP958" s="69"/>
      <c r="AQ958" s="69"/>
      <c r="AR958" s="69"/>
      <c r="AS958" s="69"/>
      <c r="AT958" s="69"/>
      <c r="AU958" s="69"/>
      <c r="AV958" s="69"/>
      <c r="AW958" s="69"/>
      <c r="AX958" s="69"/>
      <c r="AY958" s="69"/>
      <c r="AZ958" s="69"/>
      <c r="BA958" s="69"/>
      <c r="BB958" s="69"/>
      <c r="BC958" s="69"/>
      <c r="BD958" s="69"/>
      <c r="BE958" s="69"/>
      <c r="BF958" s="69"/>
      <c r="BG958" s="69"/>
      <c r="BH958" s="69"/>
      <c r="BI958" s="69"/>
      <c r="BJ958" s="69"/>
      <c r="BK958" s="69"/>
      <c r="BL958" s="69"/>
      <c r="BM958" s="69"/>
      <c r="BN958" s="69"/>
      <c r="BO958" s="69"/>
      <c r="BP958" s="69"/>
      <c r="BQ958" s="69"/>
      <c r="BR958" s="69"/>
      <c r="BS958" s="69"/>
      <c r="BT958" s="69"/>
      <c r="BU958" s="69"/>
      <c r="BV958" s="69"/>
      <c r="BW958" s="69"/>
      <c r="BX958" s="69"/>
      <c r="BY958" s="69"/>
      <c r="BZ958" s="69"/>
      <c r="CA958" s="69"/>
      <c r="CB958" s="69"/>
      <c r="CC958" s="69"/>
      <c r="CD958" s="69"/>
      <c r="CE958" s="69"/>
      <c r="CF958" s="69"/>
      <c r="CG958" s="69"/>
      <c r="CH958" s="69"/>
      <c r="CI958" s="69"/>
      <c r="CJ958" s="69"/>
      <c r="CK958" s="69"/>
      <c r="CL958" s="69"/>
      <c r="CM958" s="69"/>
      <c r="CN958" s="69"/>
      <c r="CO958" s="69"/>
      <c r="CP958" s="69"/>
      <c r="CQ958" s="69"/>
      <c r="CR958" s="69"/>
      <c r="CS958" s="69"/>
      <c r="CT958" s="69"/>
      <c r="CU958" s="69"/>
      <c r="CV958" s="69"/>
      <c r="CW958" s="69"/>
      <c r="CX958" s="69"/>
      <c r="CY958" s="69"/>
      <c r="CZ958" s="69"/>
      <c r="DA958" s="69"/>
      <c r="DB958" s="69"/>
      <c r="DC958" s="69"/>
      <c r="DD958" s="69"/>
      <c r="DE958" s="69"/>
      <c r="DF958" s="69"/>
      <c r="DG958" s="69"/>
      <c r="DH958" s="69"/>
      <c r="DI958" s="69"/>
      <c r="DJ958" s="69"/>
      <c r="DK958" s="69"/>
      <c r="DL958" s="69"/>
      <c r="DM958" s="69"/>
      <c r="DN958" s="69"/>
      <c r="DO958" s="69"/>
      <c r="DP958" s="69"/>
      <c r="DQ958" s="69"/>
      <c r="DR958" s="69"/>
      <c r="DS958" s="69"/>
      <c r="DT958" s="69"/>
      <c r="DU958" s="69"/>
      <c r="DV958" s="69"/>
      <c r="DW958" s="69"/>
      <c r="DX958" s="69"/>
      <c r="DY958" s="69"/>
      <c r="DZ958" s="69"/>
      <c r="EA958" s="69"/>
      <c r="EB958" s="69"/>
      <c r="EC958" s="69"/>
      <c r="ED958" s="69"/>
      <c r="EE958" s="69" t="s">
        <v>76</v>
      </c>
      <c r="EF958" s="69" t="s">
        <v>77</v>
      </c>
      <c r="EG958" s="69" t="s">
        <v>78</v>
      </c>
      <c r="EH958" s="69" t="s">
        <v>79</v>
      </c>
      <c r="EI958" s="216"/>
      <c r="EJ958" s="69"/>
      <c r="EK958" s="69"/>
      <c r="EL958" s="69"/>
      <c r="EM958" s="69"/>
      <c r="EN958" s="69"/>
      <c r="EO958" s="69"/>
      <c r="EP958" s="69"/>
      <c r="EQ958" s="69"/>
      <c r="ER958" s="69"/>
      <c r="ES958" s="69"/>
      <c r="ET958" s="69"/>
      <c r="EU958" s="69"/>
      <c r="EV958" s="69"/>
      <c r="EW958" s="69"/>
      <c r="EX958" s="69"/>
      <c r="EY958" s="69"/>
      <c r="EZ958" s="69"/>
      <c r="FA958" s="69"/>
      <c r="FB958" s="69"/>
      <c r="FC958" s="69"/>
      <c r="FD958" s="69"/>
      <c r="FE958" s="69"/>
      <c r="FF958" s="69"/>
      <c r="FG958" s="69"/>
      <c r="FH958" s="69"/>
      <c r="FI958" s="69"/>
      <c r="FJ958" s="69"/>
      <c r="FK958" s="69"/>
      <c r="FL958" s="69"/>
      <c r="FM958" s="69"/>
      <c r="FN958" s="69"/>
      <c r="FO958" s="69"/>
      <c r="FP958" s="69"/>
      <c r="FQ958" s="69"/>
      <c r="FR958" s="69"/>
      <c r="FS958" s="69"/>
      <c r="FT958" s="69"/>
      <c r="FU958" s="69"/>
      <c r="FV958" s="69"/>
      <c r="FW958" s="69"/>
      <c r="FX958" s="69"/>
      <c r="FY958" s="69"/>
      <c r="FZ958" s="69"/>
      <c r="GA958" s="69"/>
      <c r="GB958" s="69"/>
      <c r="GC958" s="69"/>
      <c r="GD958" s="69"/>
      <c r="GE958" s="69"/>
      <c r="GF958" s="69"/>
      <c r="GG958" s="69"/>
      <c r="GH958" s="69"/>
      <c r="GI958" s="69"/>
      <c r="GJ958" s="69"/>
      <c r="GK958" s="69"/>
      <c r="GL958" s="69"/>
      <c r="GM958" s="69"/>
      <c r="GN958" s="69"/>
      <c r="GO958" s="69"/>
      <c r="GP958" s="69"/>
      <c r="GQ958" s="69"/>
      <c r="GR958" s="69"/>
      <c r="GS958" s="69"/>
      <c r="GT958" s="69"/>
      <c r="GU958" s="69"/>
      <c r="GV958" s="69"/>
      <c r="GW958" s="69"/>
      <c r="GX958" s="69"/>
      <c r="GY958" s="69"/>
      <c r="GZ958" s="69"/>
      <c r="HA958" s="69"/>
      <c r="HB958" s="69"/>
      <c r="HC958" s="69"/>
      <c r="HD958" s="69"/>
      <c r="HE958" s="69"/>
      <c r="HF958" s="69"/>
      <c r="HG958" s="69"/>
      <c r="HH958" s="69"/>
      <c r="HI958" s="69"/>
      <c r="HJ958" s="69"/>
      <c r="HK958" s="69"/>
      <c r="HL958" s="69"/>
      <c r="HM958" s="69"/>
      <c r="HN958" s="69"/>
      <c r="HO958" s="69"/>
      <c r="HP958" s="69"/>
      <c r="HQ958" s="69"/>
      <c r="HR958" s="69"/>
      <c r="HS958" s="69"/>
      <c r="HT958" s="69"/>
      <c r="HU958" s="69"/>
      <c r="HV958" s="69"/>
      <c r="HW958" s="69"/>
      <c r="HX958" s="69"/>
      <c r="HY958" s="69"/>
      <c r="HZ958" s="69"/>
      <c r="IA958" s="69"/>
      <c r="IB958" s="69"/>
      <c r="IC958" s="69"/>
      <c r="ID958" s="69"/>
      <c r="IE958" s="69"/>
      <c r="IF958" s="69"/>
      <c r="IG958" s="69"/>
      <c r="IH958" s="69"/>
      <c r="II958" s="69"/>
      <c r="IJ958" s="69"/>
      <c r="IK958" s="69"/>
      <c r="IL958" s="69"/>
      <c r="IM958" s="69"/>
      <c r="IN958" s="69"/>
      <c r="IO958" s="69"/>
      <c r="IP958" s="69"/>
    </row>
    <row r="959" spans="18:251" ht="16.5" hidden="1" customHeight="1">
      <c r="R959" s="95"/>
      <c r="S959" s="95"/>
      <c r="T959" s="95"/>
      <c r="U959" s="70"/>
      <c r="V959" s="214"/>
      <c r="W959" s="70"/>
      <c r="X959" s="70"/>
      <c r="Y959" s="70"/>
      <c r="Z959" s="70"/>
      <c r="AA959" s="70"/>
      <c r="AB959" s="70"/>
      <c r="AC959" s="70"/>
      <c r="AD959" s="70"/>
      <c r="AE959" s="70"/>
      <c r="AF959" s="70"/>
      <c r="AG959" s="70"/>
      <c r="AH959" s="70"/>
      <c r="AI959" s="70"/>
      <c r="AJ959" s="70"/>
      <c r="AK959" s="70"/>
      <c r="AL959" s="70"/>
      <c r="AM959" s="70"/>
      <c r="AN959" s="70"/>
      <c r="AO959" s="70"/>
      <c r="AP959" s="70"/>
      <c r="AQ959" s="70"/>
      <c r="AR959" s="70"/>
      <c r="AS959" s="70"/>
      <c r="AT959" s="70"/>
      <c r="AU959" s="70"/>
      <c r="AV959" s="70"/>
      <c r="AW959" s="70"/>
      <c r="AX959" s="70"/>
      <c r="AY959" s="70"/>
      <c r="AZ959" s="70"/>
      <c r="BA959" s="70"/>
      <c r="BB959" s="70"/>
      <c r="BC959" s="70"/>
      <c r="BD959" s="70"/>
      <c r="BE959" s="70"/>
      <c r="BF959" s="70"/>
      <c r="BG959" s="70"/>
      <c r="BH959" s="70"/>
      <c r="BI959" s="70"/>
      <c r="BJ959" s="70"/>
      <c r="BK959" s="70"/>
      <c r="BL959" s="70"/>
      <c r="BM959" s="70"/>
      <c r="BN959" s="70"/>
      <c r="BO959" s="70"/>
      <c r="BP959" s="70"/>
      <c r="BQ959" s="70"/>
      <c r="BR959" s="70"/>
      <c r="BS959" s="70"/>
      <c r="BT959" s="70"/>
      <c r="BU959" s="70"/>
      <c r="BV959" s="70"/>
      <c r="BW959" s="70"/>
      <c r="BX959" s="70"/>
      <c r="BY959" s="70"/>
      <c r="BZ959" s="70"/>
      <c r="CA959" s="70"/>
      <c r="CB959" s="70"/>
      <c r="CC959" s="70"/>
      <c r="CD959" s="70"/>
      <c r="CE959" s="70"/>
      <c r="CF959" s="70"/>
      <c r="CG959" s="70"/>
      <c r="CH959" s="70"/>
      <c r="CI959" s="70"/>
      <c r="CJ959" s="70"/>
      <c r="CK959" s="70"/>
      <c r="CL959" s="70"/>
      <c r="CM959" s="70"/>
      <c r="CN959" s="70"/>
      <c r="CO959" s="70"/>
      <c r="CP959" s="70"/>
      <c r="CQ959" s="70"/>
      <c r="CR959" s="70"/>
      <c r="CS959" s="70"/>
      <c r="CT959" s="70"/>
      <c r="CU959" s="70"/>
      <c r="CV959" s="70"/>
      <c r="CW959" s="70"/>
      <c r="CX959" s="70"/>
      <c r="CY959" s="70"/>
      <c r="CZ959" s="70"/>
      <c r="DA959" s="70"/>
      <c r="DB959" s="70"/>
      <c r="DC959" s="70"/>
      <c r="DD959" s="70"/>
      <c r="DE959" s="70"/>
      <c r="DF959" s="70"/>
      <c r="DG959" s="70"/>
      <c r="DH959" s="70"/>
      <c r="DI959" s="70"/>
      <c r="DJ959" s="70"/>
      <c r="DK959" s="70"/>
      <c r="DL959" s="70"/>
      <c r="DM959" s="70"/>
      <c r="DN959" s="70"/>
      <c r="DO959" s="70"/>
      <c r="DP959" s="70"/>
      <c r="DQ959" s="70"/>
      <c r="DR959" s="70"/>
      <c r="DS959" s="70"/>
      <c r="DT959" s="70"/>
      <c r="DU959" s="70"/>
      <c r="DV959" s="70"/>
      <c r="DW959" s="70"/>
      <c r="DX959" s="70"/>
      <c r="DY959" s="70"/>
      <c r="DZ959" s="70"/>
      <c r="EA959" s="70"/>
      <c r="EB959" s="70"/>
      <c r="EC959" s="70"/>
      <c r="ED959" s="70"/>
      <c r="EE959" s="95" t="s">
        <v>450</v>
      </c>
      <c r="EF959" s="110"/>
      <c r="EG959" s="110"/>
      <c r="EH959" s="110"/>
      <c r="EI959" s="216"/>
      <c r="EJ959" s="110"/>
      <c r="EK959" s="110"/>
      <c r="EL959" s="110"/>
      <c r="EM959" s="110"/>
      <c r="EN959" s="110"/>
      <c r="EO959" s="110"/>
      <c r="EP959" s="110"/>
      <c r="EQ959" s="110"/>
      <c r="ER959" s="110"/>
      <c r="ES959" s="110"/>
      <c r="ET959" s="110"/>
      <c r="EU959" s="110"/>
      <c r="EV959" s="110"/>
      <c r="EW959" s="110"/>
      <c r="EX959" s="110"/>
      <c r="EY959" s="110"/>
      <c r="EZ959" s="110"/>
      <c r="FA959" s="110"/>
      <c r="FB959" s="110"/>
      <c r="FC959" s="110"/>
      <c r="FD959" s="110"/>
      <c r="FE959" s="110"/>
      <c r="FF959" s="110"/>
      <c r="FG959" s="110"/>
      <c r="FH959" s="110"/>
      <c r="FI959" s="110"/>
      <c r="FJ959" s="110"/>
      <c r="FK959" s="110"/>
      <c r="FL959" s="110"/>
      <c r="FM959" s="110"/>
      <c r="FN959" s="110"/>
      <c r="FO959" s="110"/>
      <c r="FP959" s="110"/>
      <c r="FQ959" s="110"/>
      <c r="FR959" s="110"/>
      <c r="FS959" s="110"/>
      <c r="FT959" s="110"/>
      <c r="FU959" s="110"/>
      <c r="FV959" s="110"/>
      <c r="FW959" s="110"/>
      <c r="FX959" s="110"/>
      <c r="FY959" s="110"/>
      <c r="FZ959" s="110"/>
      <c r="GA959" s="110"/>
      <c r="GB959" s="110"/>
      <c r="GC959" s="110"/>
      <c r="GD959" s="110"/>
      <c r="GE959" s="110"/>
      <c r="GF959" s="110"/>
      <c r="GG959" s="110"/>
      <c r="GH959" s="110"/>
      <c r="GI959" s="110"/>
      <c r="GJ959" s="110"/>
      <c r="GK959" s="110"/>
      <c r="GL959" s="110"/>
      <c r="GM959" s="110"/>
      <c r="GN959" s="110"/>
      <c r="GO959" s="110"/>
      <c r="GP959" s="110"/>
      <c r="GQ959" s="110"/>
      <c r="GR959" s="110"/>
      <c r="GS959" s="110"/>
      <c r="GT959" s="110"/>
      <c r="GU959" s="110"/>
      <c r="GV959" s="110"/>
      <c r="GW959" s="110"/>
      <c r="GX959" s="110"/>
      <c r="GY959" s="110"/>
      <c r="GZ959" s="110"/>
      <c r="HA959" s="110"/>
      <c r="HB959" s="110"/>
      <c r="HC959" s="110"/>
      <c r="HD959" s="110"/>
      <c r="HE959" s="110"/>
      <c r="HF959" s="110"/>
      <c r="HG959" s="110"/>
      <c r="HH959" s="110"/>
      <c r="HI959" s="110"/>
      <c r="HJ959" s="110"/>
      <c r="HK959" s="110"/>
      <c r="HL959" s="110"/>
      <c r="HM959" s="110"/>
      <c r="HN959" s="110"/>
      <c r="HO959" s="110"/>
      <c r="HP959" s="110"/>
      <c r="HQ959" s="110"/>
      <c r="HR959" s="110"/>
      <c r="HS959" s="110"/>
      <c r="HT959" s="110"/>
      <c r="HU959" s="110"/>
      <c r="HV959" s="110"/>
      <c r="HW959" s="110"/>
      <c r="HX959" s="110"/>
      <c r="HY959" s="110"/>
      <c r="HZ959" s="110"/>
      <c r="IA959" s="110"/>
      <c r="IB959" s="110"/>
      <c r="IC959" s="110"/>
      <c r="ID959" s="110"/>
      <c r="IE959" s="110"/>
      <c r="IF959" s="110"/>
      <c r="IG959" s="110"/>
      <c r="IH959" s="110"/>
      <c r="II959" s="110"/>
      <c r="IJ959" s="110"/>
      <c r="IK959" s="110"/>
      <c r="IL959" s="110"/>
      <c r="IM959" s="110"/>
      <c r="IN959" s="110"/>
      <c r="IO959" s="110"/>
      <c r="IP959" s="110"/>
    </row>
    <row r="960" spans="18:251" ht="16.5" hidden="1" customHeight="1">
      <c r="R960" s="95"/>
      <c r="S960" s="95"/>
      <c r="T960" s="95"/>
      <c r="U960" s="70"/>
      <c r="V960" s="214"/>
      <c r="W960" s="70"/>
      <c r="X960" s="70"/>
      <c r="Y960" s="70"/>
      <c r="Z960" s="70"/>
      <c r="AA960" s="70"/>
      <c r="AB960" s="70"/>
      <c r="AC960" s="70"/>
      <c r="AD960" s="70"/>
      <c r="AE960" s="70"/>
      <c r="AF960" s="70"/>
      <c r="AG960" s="70"/>
      <c r="AH960" s="70"/>
      <c r="AI960" s="70"/>
      <c r="AJ960" s="70"/>
      <c r="AK960" s="70"/>
      <c r="AL960" s="70"/>
      <c r="AM960" s="70"/>
      <c r="AN960" s="70"/>
      <c r="AO960" s="70"/>
      <c r="AP960" s="70"/>
      <c r="AQ960" s="70"/>
      <c r="AR960" s="70"/>
      <c r="AS960" s="70"/>
      <c r="AT960" s="70"/>
      <c r="AU960" s="70"/>
      <c r="AV960" s="70"/>
      <c r="AW960" s="70"/>
      <c r="AX960" s="70"/>
      <c r="AY960" s="70"/>
      <c r="AZ960" s="70"/>
      <c r="BA960" s="70"/>
      <c r="BB960" s="70"/>
      <c r="BC960" s="70"/>
      <c r="BD960" s="70"/>
      <c r="BE960" s="70"/>
      <c r="BF960" s="70"/>
      <c r="BG960" s="70"/>
      <c r="BH960" s="70"/>
      <c r="BI960" s="70"/>
      <c r="BJ960" s="70"/>
      <c r="BK960" s="70"/>
      <c r="BL960" s="70"/>
      <c r="BM960" s="70"/>
      <c r="BN960" s="70"/>
      <c r="BO960" s="70"/>
      <c r="BP960" s="70"/>
      <c r="BQ960" s="70"/>
      <c r="BR960" s="70"/>
      <c r="BS960" s="70"/>
      <c r="BT960" s="70"/>
      <c r="BU960" s="70"/>
      <c r="BV960" s="70"/>
      <c r="BW960" s="70"/>
      <c r="BX960" s="70"/>
      <c r="BY960" s="70"/>
      <c r="BZ960" s="70"/>
      <c r="CA960" s="70"/>
      <c r="CB960" s="70"/>
      <c r="CC960" s="70"/>
      <c r="CD960" s="70"/>
      <c r="CE960" s="70"/>
      <c r="CF960" s="70"/>
      <c r="CG960" s="70"/>
      <c r="CH960" s="70"/>
      <c r="CI960" s="70"/>
      <c r="CJ960" s="70"/>
      <c r="CK960" s="70"/>
      <c r="CL960" s="70"/>
      <c r="CM960" s="70"/>
      <c r="CN960" s="70"/>
      <c r="CO960" s="70"/>
      <c r="CP960" s="70"/>
      <c r="CQ960" s="70"/>
      <c r="CR960" s="70"/>
      <c r="CS960" s="70"/>
      <c r="CT960" s="70"/>
      <c r="CU960" s="70"/>
      <c r="CV960" s="70"/>
      <c r="CW960" s="70"/>
      <c r="CX960" s="70"/>
      <c r="CY960" s="70"/>
      <c r="CZ960" s="70"/>
      <c r="DA960" s="70"/>
      <c r="DB960" s="70"/>
      <c r="DC960" s="70"/>
      <c r="DD960" s="70"/>
      <c r="DE960" s="70"/>
      <c r="DF960" s="70"/>
      <c r="DG960" s="70"/>
      <c r="DH960" s="70"/>
      <c r="DI960" s="70"/>
      <c r="DJ960" s="70"/>
      <c r="DK960" s="70"/>
      <c r="DL960" s="70"/>
      <c r="DM960" s="70"/>
      <c r="DN960" s="70"/>
      <c r="DO960" s="70"/>
      <c r="DP960" s="70"/>
      <c r="DQ960" s="70"/>
      <c r="DR960" s="70"/>
      <c r="DS960" s="70"/>
      <c r="DT960" s="70"/>
      <c r="DU960" s="70"/>
      <c r="DV960" s="70"/>
      <c r="DW960" s="70"/>
      <c r="DX960" s="70"/>
      <c r="DY960" s="70"/>
      <c r="DZ960" s="70"/>
      <c r="EA960" s="70"/>
      <c r="EB960" s="70"/>
      <c r="EC960" s="70"/>
      <c r="ED960" s="70"/>
      <c r="EE960" s="95" t="s">
        <v>450</v>
      </c>
      <c r="EF960" s="110"/>
      <c r="EG960" s="110"/>
      <c r="EH960" s="110"/>
      <c r="EI960" s="216"/>
      <c r="EJ960" s="110"/>
      <c r="EK960" s="110"/>
      <c r="EL960" s="110"/>
      <c r="EM960" s="110"/>
      <c r="EN960" s="110"/>
      <c r="EO960" s="110"/>
      <c r="EP960" s="110"/>
      <c r="EQ960" s="110"/>
      <c r="ER960" s="110"/>
      <c r="ES960" s="110"/>
      <c r="ET960" s="110"/>
      <c r="EU960" s="110"/>
      <c r="EV960" s="110"/>
      <c r="EW960" s="110"/>
      <c r="EX960" s="110"/>
      <c r="EY960" s="110"/>
      <c r="EZ960" s="110"/>
      <c r="FA960" s="110"/>
      <c r="FB960" s="110"/>
      <c r="FC960" s="110"/>
      <c r="FD960" s="110"/>
      <c r="FE960" s="110"/>
      <c r="FF960" s="110"/>
      <c r="FG960" s="110"/>
      <c r="FH960" s="110"/>
      <c r="FI960" s="110"/>
      <c r="FJ960" s="110"/>
      <c r="FK960" s="110"/>
      <c r="FL960" s="110"/>
      <c r="FM960" s="110"/>
      <c r="FN960" s="110"/>
      <c r="FO960" s="110"/>
      <c r="FP960" s="110"/>
      <c r="FQ960" s="110"/>
      <c r="FR960" s="110"/>
      <c r="FS960" s="110"/>
      <c r="FT960" s="110"/>
      <c r="FU960" s="110"/>
      <c r="FV960" s="110"/>
      <c r="FW960" s="110"/>
      <c r="FX960" s="110"/>
      <c r="FY960" s="110"/>
      <c r="FZ960" s="110"/>
      <c r="GA960" s="110"/>
      <c r="GB960" s="110"/>
      <c r="GC960" s="110"/>
      <c r="GD960" s="110"/>
      <c r="GE960" s="110"/>
      <c r="GF960" s="110"/>
      <c r="GG960" s="110"/>
      <c r="GH960" s="110"/>
      <c r="GI960" s="110"/>
      <c r="GJ960" s="110"/>
      <c r="GK960" s="110"/>
      <c r="GL960" s="110"/>
      <c r="GM960" s="110"/>
      <c r="GN960" s="110"/>
      <c r="GO960" s="110"/>
      <c r="GP960" s="110"/>
      <c r="GQ960" s="110"/>
      <c r="GR960" s="110"/>
      <c r="GS960" s="110"/>
      <c r="GT960" s="110"/>
      <c r="GU960" s="110"/>
      <c r="GV960" s="110"/>
      <c r="GW960" s="110"/>
      <c r="GX960" s="110"/>
      <c r="GY960" s="110"/>
      <c r="GZ960" s="110"/>
      <c r="HA960" s="110"/>
      <c r="HB960" s="110"/>
      <c r="HC960" s="110"/>
      <c r="HD960" s="110"/>
      <c r="HE960" s="110"/>
      <c r="HF960" s="110"/>
      <c r="HG960" s="110"/>
      <c r="HH960" s="110"/>
      <c r="HI960" s="110"/>
      <c r="HJ960" s="110"/>
      <c r="HK960" s="110"/>
      <c r="HL960" s="110"/>
      <c r="HM960" s="110"/>
      <c r="HN960" s="110"/>
      <c r="HO960" s="110"/>
      <c r="HP960" s="110"/>
      <c r="HQ960" s="110"/>
      <c r="HR960" s="110"/>
      <c r="HS960" s="110"/>
      <c r="HT960" s="110"/>
      <c r="HU960" s="110"/>
      <c r="HV960" s="110"/>
      <c r="HW960" s="110"/>
      <c r="HX960" s="110"/>
      <c r="HY960" s="110"/>
      <c r="HZ960" s="110"/>
      <c r="IA960" s="110"/>
      <c r="IB960" s="110"/>
      <c r="IC960" s="110"/>
      <c r="ID960" s="110"/>
      <c r="IE960" s="110"/>
      <c r="IF960" s="110"/>
      <c r="IG960" s="110"/>
      <c r="IH960" s="110"/>
      <c r="II960" s="110"/>
      <c r="IJ960" s="110"/>
      <c r="IK960" s="110"/>
      <c r="IL960" s="110"/>
      <c r="IM960" s="110"/>
      <c r="IN960" s="110"/>
      <c r="IO960" s="110"/>
      <c r="IP960" s="110"/>
    </row>
    <row r="961" spans="18:250" ht="16.5" hidden="1" customHeight="1">
      <c r="R961" s="95"/>
      <c r="S961" s="95"/>
      <c r="T961" s="95"/>
      <c r="U961" s="70"/>
      <c r="V961" s="214"/>
      <c r="W961" s="70"/>
      <c r="X961" s="70"/>
      <c r="Y961" s="70"/>
      <c r="Z961" s="70"/>
      <c r="AA961" s="70"/>
      <c r="AB961" s="70"/>
      <c r="AC961" s="70"/>
      <c r="AD961" s="70"/>
      <c r="AE961" s="70"/>
      <c r="AF961" s="70"/>
      <c r="AG961" s="70"/>
      <c r="AH961" s="70"/>
      <c r="AI961" s="70"/>
      <c r="AJ961" s="70"/>
      <c r="AK961" s="70"/>
      <c r="AL961" s="70"/>
      <c r="AM961" s="70"/>
      <c r="AN961" s="70"/>
      <c r="AO961" s="70"/>
      <c r="AP961" s="70"/>
      <c r="AQ961" s="70"/>
      <c r="AR961" s="70"/>
      <c r="AS961" s="70"/>
      <c r="AT961" s="70"/>
      <c r="AU961" s="70"/>
      <c r="AV961" s="70"/>
      <c r="AW961" s="70"/>
      <c r="AX961" s="70"/>
      <c r="AY961" s="70"/>
      <c r="AZ961" s="70"/>
      <c r="BA961" s="70"/>
      <c r="BB961" s="70"/>
      <c r="BC961" s="70"/>
      <c r="BD961" s="70"/>
      <c r="BE961" s="70"/>
      <c r="BF961" s="70"/>
      <c r="BG961" s="70"/>
      <c r="BH961" s="70"/>
      <c r="BI961" s="70"/>
      <c r="BJ961" s="70"/>
      <c r="BK961" s="70"/>
      <c r="BL961" s="70"/>
      <c r="BM961" s="70"/>
      <c r="BN961" s="70"/>
      <c r="BO961" s="70"/>
      <c r="BP961" s="70"/>
      <c r="BQ961" s="70"/>
      <c r="BR961" s="70"/>
      <c r="BS961" s="70"/>
      <c r="BT961" s="70"/>
      <c r="BU961" s="70"/>
      <c r="BV961" s="70"/>
      <c r="BW961" s="70"/>
      <c r="BX961" s="70"/>
      <c r="BY961" s="70"/>
      <c r="BZ961" s="70"/>
      <c r="CA961" s="70"/>
      <c r="CB961" s="70"/>
      <c r="CC961" s="70"/>
      <c r="CD961" s="70"/>
      <c r="CE961" s="70"/>
      <c r="CF961" s="70"/>
      <c r="CG961" s="70"/>
      <c r="CH961" s="70"/>
      <c r="CI961" s="70"/>
      <c r="CJ961" s="70"/>
      <c r="CK961" s="70"/>
      <c r="CL961" s="70"/>
      <c r="CM961" s="70"/>
      <c r="CN961" s="70"/>
      <c r="CO961" s="70"/>
      <c r="CP961" s="70"/>
      <c r="CQ961" s="70"/>
      <c r="CR961" s="70"/>
      <c r="CS961" s="70"/>
      <c r="CT961" s="70"/>
      <c r="CU961" s="70"/>
      <c r="CV961" s="70"/>
      <c r="CW961" s="70"/>
      <c r="CX961" s="70"/>
      <c r="CY961" s="70"/>
      <c r="CZ961" s="70"/>
      <c r="DA961" s="70"/>
      <c r="DB961" s="70"/>
      <c r="DC961" s="70"/>
      <c r="DD961" s="70"/>
      <c r="DE961" s="70"/>
      <c r="DF961" s="70"/>
      <c r="DG961" s="70"/>
      <c r="DH961" s="70"/>
      <c r="DI961" s="70"/>
      <c r="DJ961" s="70"/>
      <c r="DK961" s="70"/>
      <c r="DL961" s="70"/>
      <c r="DM961" s="70"/>
      <c r="DN961" s="70"/>
      <c r="DO961" s="70"/>
      <c r="DP961" s="70"/>
      <c r="DQ961" s="70"/>
      <c r="DR961" s="70"/>
      <c r="DS961" s="70"/>
      <c r="DT961" s="70"/>
      <c r="DU961" s="70"/>
      <c r="DV961" s="70"/>
      <c r="DW961" s="70"/>
      <c r="DX961" s="70"/>
      <c r="DY961" s="70"/>
      <c r="DZ961" s="70"/>
      <c r="EA961" s="70"/>
      <c r="EB961" s="70"/>
      <c r="EC961" s="70"/>
      <c r="ED961" s="70"/>
      <c r="EE961" s="95" t="s">
        <v>450</v>
      </c>
      <c r="EF961" s="110"/>
      <c r="EG961" s="110"/>
      <c r="EH961" s="110"/>
      <c r="EI961" s="216"/>
      <c r="EJ961" s="110"/>
      <c r="EK961" s="110"/>
      <c r="EL961" s="110"/>
      <c r="EM961" s="110"/>
      <c r="EN961" s="110"/>
      <c r="EO961" s="110"/>
      <c r="EP961" s="110"/>
      <c r="EQ961" s="110"/>
      <c r="ER961" s="110"/>
      <c r="ES961" s="110"/>
      <c r="ET961" s="110"/>
      <c r="EU961" s="110"/>
      <c r="EV961" s="110"/>
      <c r="EW961" s="110"/>
      <c r="EX961" s="110"/>
      <c r="EY961" s="110"/>
      <c r="EZ961" s="110"/>
      <c r="FA961" s="110"/>
      <c r="FB961" s="110"/>
      <c r="FC961" s="110"/>
      <c r="FD961" s="110"/>
      <c r="FE961" s="110"/>
      <c r="FF961" s="110"/>
      <c r="FG961" s="110"/>
      <c r="FH961" s="110"/>
      <c r="FI961" s="110"/>
      <c r="FJ961" s="110"/>
      <c r="FK961" s="110"/>
      <c r="FL961" s="110"/>
      <c r="FM961" s="110"/>
      <c r="FN961" s="110"/>
      <c r="FO961" s="110"/>
      <c r="FP961" s="110"/>
      <c r="FQ961" s="110"/>
      <c r="FR961" s="110"/>
      <c r="FS961" s="110"/>
      <c r="FT961" s="110"/>
      <c r="FU961" s="110"/>
      <c r="FV961" s="110"/>
      <c r="FW961" s="110"/>
      <c r="FX961" s="110"/>
      <c r="FY961" s="110"/>
      <c r="FZ961" s="110"/>
      <c r="GA961" s="110"/>
      <c r="GB961" s="110"/>
      <c r="GC961" s="110"/>
      <c r="GD961" s="110"/>
      <c r="GE961" s="110"/>
      <c r="GF961" s="110"/>
      <c r="GG961" s="110"/>
      <c r="GH961" s="110"/>
      <c r="GI961" s="110"/>
      <c r="GJ961" s="110"/>
      <c r="GK961" s="110"/>
      <c r="GL961" s="110"/>
      <c r="GM961" s="110"/>
      <c r="GN961" s="110"/>
      <c r="GO961" s="110"/>
      <c r="GP961" s="110"/>
      <c r="GQ961" s="110"/>
      <c r="GR961" s="110"/>
      <c r="GS961" s="110"/>
      <c r="GT961" s="110"/>
      <c r="GU961" s="110"/>
      <c r="GV961" s="110"/>
      <c r="GW961" s="110"/>
      <c r="GX961" s="110"/>
      <c r="GY961" s="110"/>
      <c r="GZ961" s="110"/>
      <c r="HA961" s="110"/>
      <c r="HB961" s="110"/>
      <c r="HC961" s="110"/>
      <c r="HD961" s="110"/>
      <c r="HE961" s="110"/>
      <c r="HF961" s="110"/>
      <c r="HG961" s="110"/>
      <c r="HH961" s="110"/>
      <c r="HI961" s="110"/>
      <c r="HJ961" s="110"/>
      <c r="HK961" s="110"/>
      <c r="HL961" s="110"/>
      <c r="HM961" s="110"/>
      <c r="HN961" s="110"/>
      <c r="HO961" s="110"/>
      <c r="HP961" s="110"/>
      <c r="HQ961" s="110"/>
      <c r="HR961" s="110"/>
      <c r="HS961" s="110"/>
      <c r="HT961" s="110"/>
      <c r="HU961" s="110"/>
      <c r="HV961" s="110"/>
      <c r="HW961" s="110"/>
      <c r="HX961" s="110"/>
      <c r="HY961" s="110"/>
      <c r="HZ961" s="110"/>
      <c r="IA961" s="110"/>
      <c r="IB961" s="110"/>
      <c r="IC961" s="110"/>
      <c r="ID961" s="110"/>
      <c r="IE961" s="110"/>
      <c r="IF961" s="110"/>
      <c r="IG961" s="110"/>
      <c r="IH961" s="110"/>
      <c r="II961" s="110"/>
      <c r="IJ961" s="110"/>
      <c r="IK961" s="110"/>
      <c r="IL961" s="110"/>
      <c r="IM961" s="110"/>
      <c r="IN961" s="110"/>
      <c r="IO961" s="110"/>
      <c r="IP961" s="110"/>
    </row>
    <row r="962" spans="18:250" ht="16.5" hidden="1" customHeight="1">
      <c r="R962" s="95"/>
      <c r="S962" s="95"/>
      <c r="T962" s="95"/>
      <c r="U962" s="70"/>
      <c r="V962" s="214"/>
      <c r="W962" s="70"/>
      <c r="X962" s="70"/>
      <c r="Y962" s="70"/>
      <c r="Z962" s="70"/>
      <c r="AA962" s="70"/>
      <c r="AB962" s="70"/>
      <c r="AC962" s="70"/>
      <c r="AD962" s="70"/>
      <c r="AE962" s="70"/>
      <c r="AF962" s="70"/>
      <c r="AG962" s="70"/>
      <c r="AH962" s="70"/>
      <c r="AI962" s="70"/>
      <c r="AJ962" s="70"/>
      <c r="AK962" s="70"/>
      <c r="AL962" s="70"/>
      <c r="AM962" s="70"/>
      <c r="AN962" s="70"/>
      <c r="AO962" s="70"/>
      <c r="AP962" s="70"/>
      <c r="AQ962" s="70"/>
      <c r="AR962" s="70"/>
      <c r="AS962" s="70"/>
      <c r="AT962" s="70"/>
      <c r="AU962" s="70"/>
      <c r="AV962" s="70"/>
      <c r="AW962" s="70"/>
      <c r="AX962" s="70"/>
      <c r="AY962" s="70"/>
      <c r="AZ962" s="70"/>
      <c r="BA962" s="70"/>
      <c r="BB962" s="70"/>
      <c r="BC962" s="70"/>
      <c r="BD962" s="70"/>
      <c r="BE962" s="70"/>
      <c r="BF962" s="70"/>
      <c r="BG962" s="70"/>
      <c r="BH962" s="70"/>
      <c r="BI962" s="70"/>
      <c r="BJ962" s="70"/>
      <c r="BK962" s="70"/>
      <c r="BL962" s="70"/>
      <c r="BM962" s="70"/>
      <c r="BN962" s="70"/>
      <c r="BO962" s="70"/>
      <c r="BP962" s="70"/>
      <c r="BQ962" s="70"/>
      <c r="BR962" s="70"/>
      <c r="BS962" s="70"/>
      <c r="BT962" s="70"/>
      <c r="BU962" s="70"/>
      <c r="BV962" s="70"/>
      <c r="BW962" s="70"/>
      <c r="BX962" s="70"/>
      <c r="BY962" s="70"/>
      <c r="BZ962" s="70"/>
      <c r="CA962" s="70"/>
      <c r="CB962" s="70"/>
      <c r="CC962" s="70"/>
      <c r="CD962" s="70"/>
      <c r="CE962" s="70"/>
      <c r="CF962" s="70"/>
      <c r="CG962" s="70"/>
      <c r="CH962" s="70"/>
      <c r="CI962" s="70"/>
      <c r="CJ962" s="70"/>
      <c r="CK962" s="70"/>
      <c r="CL962" s="70"/>
      <c r="CM962" s="70"/>
      <c r="CN962" s="70"/>
      <c r="CO962" s="70"/>
      <c r="CP962" s="70"/>
      <c r="CQ962" s="70"/>
      <c r="CR962" s="70"/>
      <c r="CS962" s="70"/>
      <c r="CT962" s="70"/>
      <c r="CU962" s="70"/>
      <c r="CV962" s="70"/>
      <c r="CW962" s="70"/>
      <c r="CX962" s="70"/>
      <c r="CY962" s="70"/>
      <c r="CZ962" s="70"/>
      <c r="DA962" s="70"/>
      <c r="DB962" s="70"/>
      <c r="DC962" s="70"/>
      <c r="DD962" s="70"/>
      <c r="DE962" s="70"/>
      <c r="DF962" s="70"/>
      <c r="DG962" s="70"/>
      <c r="DH962" s="70"/>
      <c r="DI962" s="70"/>
      <c r="DJ962" s="70"/>
      <c r="DK962" s="70"/>
      <c r="DL962" s="70"/>
      <c r="DM962" s="70"/>
      <c r="DN962" s="70"/>
      <c r="DO962" s="70"/>
      <c r="DP962" s="70"/>
      <c r="DQ962" s="70"/>
      <c r="DR962" s="70"/>
      <c r="DS962" s="70"/>
      <c r="DT962" s="70"/>
      <c r="DU962" s="70"/>
      <c r="DV962" s="70"/>
      <c r="DW962" s="70"/>
      <c r="DX962" s="70"/>
      <c r="DY962" s="70"/>
      <c r="DZ962" s="70"/>
      <c r="EA962" s="70"/>
      <c r="EB962" s="70"/>
      <c r="EC962" s="70"/>
      <c r="ED962" s="70"/>
      <c r="EE962" s="95" t="s">
        <v>450</v>
      </c>
      <c r="EF962" s="110"/>
      <c r="EG962" s="110"/>
      <c r="EH962" s="110"/>
      <c r="EI962" s="216"/>
      <c r="EJ962" s="110"/>
      <c r="EK962" s="110"/>
      <c r="EL962" s="110"/>
      <c r="EM962" s="110"/>
      <c r="EN962" s="110"/>
      <c r="EO962" s="110"/>
      <c r="EP962" s="110"/>
      <c r="EQ962" s="110"/>
      <c r="ER962" s="110"/>
      <c r="ES962" s="110"/>
      <c r="ET962" s="110"/>
      <c r="EU962" s="110"/>
      <c r="EV962" s="110"/>
      <c r="EW962" s="110"/>
      <c r="EX962" s="110"/>
      <c r="EY962" s="110"/>
      <c r="EZ962" s="110"/>
      <c r="FA962" s="110"/>
      <c r="FB962" s="110"/>
      <c r="FC962" s="110"/>
      <c r="FD962" s="110"/>
      <c r="FE962" s="110"/>
      <c r="FF962" s="110"/>
      <c r="FG962" s="110"/>
      <c r="FH962" s="110"/>
      <c r="FI962" s="110"/>
      <c r="FJ962" s="110"/>
      <c r="FK962" s="110"/>
      <c r="FL962" s="110"/>
      <c r="FM962" s="110"/>
      <c r="FN962" s="110"/>
      <c r="FO962" s="110"/>
      <c r="FP962" s="110"/>
      <c r="FQ962" s="110"/>
      <c r="FR962" s="110"/>
      <c r="FS962" s="110"/>
      <c r="FT962" s="110"/>
      <c r="FU962" s="110"/>
      <c r="FV962" s="110"/>
      <c r="FW962" s="110"/>
      <c r="FX962" s="110"/>
      <c r="FY962" s="110"/>
      <c r="FZ962" s="110"/>
      <c r="GA962" s="110"/>
      <c r="GB962" s="110"/>
      <c r="GC962" s="110"/>
      <c r="GD962" s="110"/>
      <c r="GE962" s="110"/>
      <c r="GF962" s="110"/>
      <c r="GG962" s="110"/>
      <c r="GH962" s="110"/>
      <c r="GI962" s="110"/>
      <c r="GJ962" s="110"/>
      <c r="GK962" s="110"/>
      <c r="GL962" s="110"/>
      <c r="GM962" s="110"/>
      <c r="GN962" s="110"/>
      <c r="GO962" s="110"/>
      <c r="GP962" s="110"/>
      <c r="GQ962" s="110"/>
      <c r="GR962" s="110"/>
      <c r="GS962" s="110"/>
      <c r="GT962" s="110"/>
      <c r="GU962" s="110"/>
      <c r="GV962" s="110"/>
      <c r="GW962" s="110"/>
      <c r="GX962" s="110"/>
      <c r="GY962" s="110"/>
      <c r="GZ962" s="110"/>
      <c r="HA962" s="110"/>
      <c r="HB962" s="110"/>
      <c r="HC962" s="110"/>
      <c r="HD962" s="110"/>
      <c r="HE962" s="110"/>
      <c r="HF962" s="110"/>
      <c r="HG962" s="110"/>
      <c r="HH962" s="110"/>
      <c r="HI962" s="110"/>
      <c r="HJ962" s="110"/>
      <c r="HK962" s="110"/>
      <c r="HL962" s="110"/>
      <c r="HM962" s="110"/>
      <c r="HN962" s="110"/>
      <c r="HO962" s="110"/>
      <c r="HP962" s="110"/>
      <c r="HQ962" s="110"/>
      <c r="HR962" s="110"/>
      <c r="HS962" s="110"/>
      <c r="HT962" s="110"/>
      <c r="HU962" s="110"/>
      <c r="HV962" s="110"/>
      <c r="HW962" s="110"/>
      <c r="HX962" s="110"/>
      <c r="HY962" s="110"/>
      <c r="HZ962" s="110"/>
      <c r="IA962" s="110"/>
      <c r="IB962" s="110"/>
      <c r="IC962" s="110"/>
      <c r="ID962" s="110"/>
      <c r="IE962" s="110"/>
      <c r="IF962" s="110"/>
      <c r="IG962" s="110"/>
      <c r="IH962" s="110"/>
      <c r="II962" s="110"/>
      <c r="IJ962" s="110"/>
      <c r="IK962" s="110"/>
      <c r="IL962" s="110"/>
      <c r="IM962" s="110"/>
      <c r="IN962" s="110"/>
      <c r="IO962" s="110"/>
      <c r="IP962" s="110"/>
    </row>
    <row r="963" spans="18:250" ht="16.5" hidden="1" customHeight="1">
      <c r="R963" s="95"/>
      <c r="S963" s="95"/>
      <c r="T963" s="95"/>
      <c r="U963" s="70"/>
      <c r="V963" s="214"/>
      <c r="W963" s="70"/>
      <c r="X963" s="70"/>
      <c r="Y963" s="70"/>
      <c r="Z963" s="70"/>
      <c r="AA963" s="70"/>
      <c r="AB963" s="70"/>
      <c r="AC963" s="70"/>
      <c r="AD963" s="70"/>
      <c r="AE963" s="70"/>
      <c r="AF963" s="70"/>
      <c r="AG963" s="70"/>
      <c r="AH963" s="70"/>
      <c r="AI963" s="70"/>
      <c r="AJ963" s="70"/>
      <c r="AK963" s="70"/>
      <c r="AL963" s="70"/>
      <c r="AM963" s="70"/>
      <c r="AN963" s="70"/>
      <c r="AO963" s="70"/>
      <c r="AP963" s="70"/>
      <c r="AQ963" s="70"/>
      <c r="AR963" s="70"/>
      <c r="AS963" s="70"/>
      <c r="AT963" s="70"/>
      <c r="AU963" s="70"/>
      <c r="AV963" s="70"/>
      <c r="AW963" s="70"/>
      <c r="AX963" s="70"/>
      <c r="AY963" s="70"/>
      <c r="AZ963" s="70"/>
      <c r="BA963" s="70"/>
      <c r="BB963" s="70"/>
      <c r="BC963" s="70"/>
      <c r="BD963" s="70"/>
      <c r="BE963" s="70"/>
      <c r="BF963" s="70"/>
      <c r="BG963" s="70"/>
      <c r="BH963" s="70"/>
      <c r="BI963" s="70"/>
      <c r="BJ963" s="70"/>
      <c r="BK963" s="70"/>
      <c r="BL963" s="70"/>
      <c r="BM963" s="70"/>
      <c r="BN963" s="70"/>
      <c r="BO963" s="70"/>
      <c r="BP963" s="70"/>
      <c r="BQ963" s="70"/>
      <c r="BR963" s="70"/>
      <c r="BS963" s="70"/>
      <c r="BT963" s="70"/>
      <c r="BU963" s="70"/>
      <c r="BV963" s="70"/>
      <c r="BW963" s="70"/>
      <c r="BX963" s="70"/>
      <c r="BY963" s="70"/>
      <c r="BZ963" s="70"/>
      <c r="CA963" s="70"/>
      <c r="CB963" s="70"/>
      <c r="CC963" s="70"/>
      <c r="CD963" s="70"/>
      <c r="CE963" s="70"/>
      <c r="CF963" s="70"/>
      <c r="CG963" s="70"/>
      <c r="CH963" s="70"/>
      <c r="CI963" s="70"/>
      <c r="CJ963" s="70"/>
      <c r="CK963" s="70"/>
      <c r="CL963" s="70"/>
      <c r="CM963" s="70"/>
      <c r="CN963" s="70"/>
      <c r="CO963" s="70"/>
      <c r="CP963" s="70"/>
      <c r="CQ963" s="70"/>
      <c r="CR963" s="70"/>
      <c r="CS963" s="70"/>
      <c r="CT963" s="70"/>
      <c r="CU963" s="70"/>
      <c r="CV963" s="70"/>
      <c r="CW963" s="70"/>
      <c r="CX963" s="70"/>
      <c r="CY963" s="70"/>
      <c r="CZ963" s="70"/>
      <c r="DA963" s="70"/>
      <c r="DB963" s="70"/>
      <c r="DC963" s="70"/>
      <c r="DD963" s="70"/>
      <c r="DE963" s="70"/>
      <c r="DF963" s="70"/>
      <c r="DG963" s="70"/>
      <c r="DH963" s="70"/>
      <c r="DI963" s="70"/>
      <c r="DJ963" s="70"/>
      <c r="DK963" s="70"/>
      <c r="DL963" s="70"/>
      <c r="DM963" s="70"/>
      <c r="DN963" s="70"/>
      <c r="DO963" s="70"/>
      <c r="DP963" s="70"/>
      <c r="DQ963" s="70"/>
      <c r="DR963" s="70"/>
      <c r="DS963" s="70"/>
      <c r="DT963" s="70"/>
      <c r="DU963" s="70"/>
      <c r="DV963" s="70"/>
      <c r="DW963" s="70"/>
      <c r="DX963" s="70"/>
      <c r="DY963" s="70"/>
      <c r="DZ963" s="70"/>
      <c r="EA963" s="70"/>
      <c r="EB963" s="70"/>
      <c r="EC963" s="70"/>
      <c r="ED963" s="70"/>
      <c r="EE963" s="95" t="s">
        <v>450</v>
      </c>
      <c r="EF963" s="110"/>
      <c r="EG963" s="110"/>
      <c r="EH963" s="110"/>
      <c r="EI963" s="216"/>
      <c r="EJ963" s="110"/>
      <c r="EK963" s="110"/>
      <c r="EL963" s="110"/>
      <c r="EM963" s="110"/>
      <c r="EN963" s="110"/>
      <c r="EO963" s="110"/>
      <c r="EP963" s="110"/>
      <c r="EQ963" s="110"/>
      <c r="ER963" s="110"/>
      <c r="ES963" s="110"/>
      <c r="ET963" s="110"/>
      <c r="EU963" s="110"/>
      <c r="EV963" s="110"/>
      <c r="EW963" s="110"/>
      <c r="EX963" s="110"/>
      <c r="EY963" s="110"/>
      <c r="EZ963" s="110"/>
      <c r="FA963" s="110"/>
      <c r="FB963" s="110"/>
      <c r="FC963" s="110"/>
      <c r="FD963" s="110"/>
      <c r="FE963" s="110"/>
      <c r="FF963" s="110"/>
      <c r="FG963" s="110"/>
      <c r="FH963" s="110"/>
      <c r="FI963" s="110"/>
      <c r="FJ963" s="110"/>
      <c r="FK963" s="110"/>
      <c r="FL963" s="110"/>
      <c r="FM963" s="110"/>
      <c r="FN963" s="110"/>
      <c r="FO963" s="110"/>
      <c r="FP963" s="110"/>
      <c r="FQ963" s="110"/>
      <c r="FR963" s="110"/>
      <c r="FS963" s="110"/>
      <c r="FT963" s="110"/>
      <c r="FU963" s="110"/>
      <c r="FV963" s="110"/>
      <c r="FW963" s="110"/>
      <c r="FX963" s="110"/>
      <c r="FY963" s="110"/>
      <c r="FZ963" s="110"/>
      <c r="GA963" s="110"/>
      <c r="GB963" s="110"/>
      <c r="GC963" s="110"/>
      <c r="GD963" s="110"/>
      <c r="GE963" s="110"/>
      <c r="GF963" s="110"/>
      <c r="GG963" s="110"/>
      <c r="GH963" s="110"/>
      <c r="GI963" s="110"/>
      <c r="GJ963" s="110"/>
      <c r="GK963" s="110"/>
      <c r="GL963" s="110"/>
      <c r="GM963" s="110"/>
      <c r="GN963" s="110"/>
      <c r="GO963" s="110"/>
      <c r="GP963" s="110"/>
      <c r="GQ963" s="110"/>
      <c r="GR963" s="110"/>
      <c r="GS963" s="110"/>
      <c r="GT963" s="110"/>
      <c r="GU963" s="110"/>
      <c r="GV963" s="110"/>
      <c r="GW963" s="110"/>
      <c r="GX963" s="110"/>
      <c r="GY963" s="110"/>
      <c r="GZ963" s="110"/>
      <c r="HA963" s="110"/>
      <c r="HB963" s="110"/>
      <c r="HC963" s="110"/>
      <c r="HD963" s="110"/>
      <c r="HE963" s="110"/>
      <c r="HF963" s="110"/>
      <c r="HG963" s="110"/>
      <c r="HH963" s="110"/>
      <c r="HI963" s="110"/>
      <c r="HJ963" s="110"/>
      <c r="HK963" s="110"/>
      <c r="HL963" s="110"/>
      <c r="HM963" s="110"/>
      <c r="HN963" s="110"/>
      <c r="HO963" s="110"/>
      <c r="HP963" s="110"/>
      <c r="HQ963" s="110"/>
      <c r="HR963" s="110"/>
      <c r="HS963" s="110"/>
      <c r="HT963" s="110"/>
      <c r="HU963" s="110"/>
      <c r="HV963" s="110"/>
      <c r="HW963" s="110"/>
      <c r="HX963" s="110"/>
      <c r="HY963" s="110"/>
      <c r="HZ963" s="110"/>
      <c r="IA963" s="110"/>
      <c r="IB963" s="110"/>
      <c r="IC963" s="110"/>
      <c r="ID963" s="110"/>
      <c r="IE963" s="110"/>
      <c r="IF963" s="110"/>
      <c r="IG963" s="110"/>
      <c r="IH963" s="110"/>
      <c r="II963" s="110"/>
      <c r="IJ963" s="110"/>
      <c r="IK963" s="110"/>
      <c r="IL963" s="110"/>
      <c r="IM963" s="110"/>
      <c r="IN963" s="110"/>
      <c r="IO963" s="110"/>
      <c r="IP963" s="110"/>
    </row>
    <row r="964" spans="18:250" ht="16.5" hidden="1" customHeight="1">
      <c r="R964" s="95"/>
      <c r="S964" s="95"/>
      <c r="T964" s="95"/>
      <c r="U964" s="70"/>
      <c r="V964" s="214"/>
      <c r="W964" s="70"/>
      <c r="X964" s="70"/>
      <c r="Y964" s="70"/>
      <c r="Z964" s="70"/>
      <c r="AA964" s="70"/>
      <c r="AB964" s="70"/>
      <c r="AC964" s="70"/>
      <c r="AD964" s="70"/>
      <c r="AE964" s="70"/>
      <c r="AF964" s="70"/>
      <c r="AG964" s="70"/>
      <c r="AH964" s="70"/>
      <c r="AI964" s="70"/>
      <c r="AJ964" s="70"/>
      <c r="AK964" s="70"/>
      <c r="AL964" s="70"/>
      <c r="AM964" s="70"/>
      <c r="AN964" s="70"/>
      <c r="AO964" s="70"/>
      <c r="AP964" s="70"/>
      <c r="AQ964" s="70"/>
      <c r="AR964" s="70"/>
      <c r="AS964" s="70"/>
      <c r="AT964" s="70"/>
      <c r="AU964" s="70"/>
      <c r="AV964" s="70"/>
      <c r="AW964" s="70"/>
      <c r="AX964" s="70"/>
      <c r="AY964" s="70"/>
      <c r="AZ964" s="70"/>
      <c r="BA964" s="70"/>
      <c r="BB964" s="70"/>
      <c r="BC964" s="70"/>
      <c r="BD964" s="70"/>
      <c r="BE964" s="70"/>
      <c r="BF964" s="70"/>
      <c r="BG964" s="70"/>
      <c r="BH964" s="70"/>
      <c r="BI964" s="70"/>
      <c r="BJ964" s="70"/>
      <c r="BK964" s="70"/>
      <c r="BL964" s="70"/>
      <c r="BM964" s="70"/>
      <c r="BN964" s="70"/>
      <c r="BO964" s="70"/>
      <c r="BP964" s="70"/>
      <c r="BQ964" s="70"/>
      <c r="BR964" s="70"/>
      <c r="BS964" s="70"/>
      <c r="BT964" s="70"/>
      <c r="BU964" s="70"/>
      <c r="BV964" s="70"/>
      <c r="BW964" s="70"/>
      <c r="BX964" s="70"/>
      <c r="BY964" s="70"/>
      <c r="BZ964" s="70"/>
      <c r="CA964" s="70"/>
      <c r="CB964" s="70"/>
      <c r="CC964" s="70"/>
      <c r="CD964" s="70"/>
      <c r="CE964" s="70"/>
      <c r="CF964" s="70"/>
      <c r="CG964" s="70"/>
      <c r="CH964" s="70"/>
      <c r="CI964" s="70"/>
      <c r="CJ964" s="70"/>
      <c r="CK964" s="70"/>
      <c r="CL964" s="70"/>
      <c r="CM964" s="70"/>
      <c r="CN964" s="70"/>
      <c r="CO964" s="70"/>
      <c r="CP964" s="70"/>
      <c r="CQ964" s="70"/>
      <c r="CR964" s="70"/>
      <c r="CS964" s="70"/>
      <c r="CT964" s="70"/>
      <c r="CU964" s="70"/>
      <c r="CV964" s="70"/>
      <c r="CW964" s="70"/>
      <c r="CX964" s="70"/>
      <c r="CY964" s="70"/>
      <c r="CZ964" s="70"/>
      <c r="DA964" s="70"/>
      <c r="DB964" s="70"/>
      <c r="DC964" s="70"/>
      <c r="DD964" s="70"/>
      <c r="DE964" s="70"/>
      <c r="DF964" s="70"/>
      <c r="DG964" s="70"/>
      <c r="DH964" s="70"/>
      <c r="DI964" s="70"/>
      <c r="DJ964" s="70"/>
      <c r="DK964" s="70"/>
      <c r="DL964" s="70"/>
      <c r="DM964" s="70"/>
      <c r="DN964" s="70"/>
      <c r="DO964" s="70"/>
      <c r="DP964" s="70"/>
      <c r="DQ964" s="70"/>
      <c r="DR964" s="70"/>
      <c r="DS964" s="70"/>
      <c r="DT964" s="70"/>
      <c r="DU964" s="70"/>
      <c r="DV964" s="70"/>
      <c r="DW964" s="70"/>
      <c r="DX964" s="70"/>
      <c r="DY964" s="70"/>
      <c r="DZ964" s="70"/>
      <c r="EA964" s="70"/>
      <c r="EB964" s="70"/>
      <c r="EC964" s="70"/>
      <c r="ED964" s="70"/>
      <c r="EE964" s="95" t="s">
        <v>450</v>
      </c>
      <c r="EF964" s="110"/>
      <c r="EG964" s="110"/>
      <c r="EH964" s="110"/>
      <c r="EI964" s="216"/>
      <c r="EJ964" s="110"/>
      <c r="EK964" s="110"/>
      <c r="EL964" s="110"/>
      <c r="EM964" s="110"/>
      <c r="EN964" s="110"/>
      <c r="EO964" s="110"/>
      <c r="EP964" s="110"/>
      <c r="EQ964" s="110"/>
      <c r="ER964" s="110"/>
      <c r="ES964" s="110"/>
      <c r="ET964" s="110"/>
      <c r="EU964" s="110"/>
      <c r="EV964" s="110"/>
      <c r="EW964" s="110"/>
      <c r="EX964" s="110"/>
      <c r="EY964" s="110"/>
      <c r="EZ964" s="110"/>
      <c r="FA964" s="110"/>
      <c r="FB964" s="110"/>
      <c r="FC964" s="110"/>
      <c r="FD964" s="110"/>
      <c r="FE964" s="110"/>
      <c r="FF964" s="110"/>
      <c r="FG964" s="110"/>
      <c r="FH964" s="110"/>
      <c r="FI964" s="110"/>
      <c r="FJ964" s="110"/>
      <c r="FK964" s="110"/>
      <c r="FL964" s="110"/>
      <c r="FM964" s="110"/>
      <c r="FN964" s="110"/>
      <c r="FO964" s="110"/>
      <c r="FP964" s="110"/>
      <c r="FQ964" s="110"/>
      <c r="FR964" s="110"/>
      <c r="FS964" s="110"/>
      <c r="FT964" s="110"/>
      <c r="FU964" s="110"/>
      <c r="FV964" s="110"/>
      <c r="FW964" s="110"/>
      <c r="FX964" s="110"/>
      <c r="FY964" s="110"/>
      <c r="FZ964" s="110"/>
      <c r="GA964" s="110"/>
      <c r="GB964" s="110"/>
      <c r="GC964" s="110"/>
      <c r="GD964" s="110"/>
      <c r="GE964" s="110"/>
      <c r="GF964" s="110"/>
      <c r="GG964" s="110"/>
      <c r="GH964" s="110"/>
      <c r="GI964" s="110"/>
      <c r="GJ964" s="110"/>
      <c r="GK964" s="110"/>
      <c r="GL964" s="110"/>
      <c r="GM964" s="110"/>
      <c r="GN964" s="110"/>
      <c r="GO964" s="110"/>
      <c r="GP964" s="110"/>
      <c r="GQ964" s="110"/>
      <c r="GR964" s="110"/>
      <c r="GS964" s="110"/>
      <c r="GT964" s="110"/>
      <c r="GU964" s="110"/>
      <c r="GV964" s="110"/>
      <c r="GW964" s="110"/>
      <c r="GX964" s="110"/>
      <c r="GY964" s="110"/>
      <c r="GZ964" s="110"/>
      <c r="HA964" s="110"/>
      <c r="HB964" s="110"/>
      <c r="HC964" s="110"/>
      <c r="HD964" s="110"/>
      <c r="HE964" s="110"/>
      <c r="HF964" s="110"/>
      <c r="HG964" s="110"/>
      <c r="HH964" s="110"/>
      <c r="HI964" s="110"/>
      <c r="HJ964" s="110"/>
      <c r="HK964" s="110"/>
      <c r="HL964" s="110"/>
      <c r="HM964" s="110"/>
      <c r="HN964" s="110"/>
      <c r="HO964" s="110"/>
      <c r="HP964" s="110"/>
      <c r="HQ964" s="110"/>
      <c r="HR964" s="110"/>
      <c r="HS964" s="110"/>
      <c r="HT964" s="110"/>
      <c r="HU964" s="110"/>
      <c r="HV964" s="110"/>
      <c r="HW964" s="110"/>
      <c r="HX964" s="110"/>
      <c r="HY964" s="110"/>
      <c r="HZ964" s="110"/>
      <c r="IA964" s="110"/>
      <c r="IB964" s="110"/>
      <c r="IC964" s="110"/>
      <c r="ID964" s="110"/>
      <c r="IE964" s="110"/>
      <c r="IF964" s="110"/>
      <c r="IG964" s="110"/>
      <c r="IH964" s="110"/>
      <c r="II964" s="110"/>
      <c r="IJ964" s="110"/>
      <c r="IK964" s="110"/>
      <c r="IL964" s="110"/>
      <c r="IM964" s="110"/>
      <c r="IN964" s="110"/>
      <c r="IO964" s="110"/>
      <c r="IP964" s="110"/>
    </row>
    <row r="965" spans="18:250" ht="16.5" hidden="1" customHeight="1">
      <c r="R965" s="95"/>
      <c r="S965" s="95"/>
      <c r="T965" s="95"/>
      <c r="U965" s="70"/>
      <c r="V965" s="214"/>
      <c r="W965" s="70"/>
      <c r="X965" s="70"/>
      <c r="Y965" s="70"/>
      <c r="Z965" s="70"/>
      <c r="AA965" s="70"/>
      <c r="AB965" s="70"/>
      <c r="AC965" s="70"/>
      <c r="AD965" s="70"/>
      <c r="AE965" s="70"/>
      <c r="AF965" s="70"/>
      <c r="AG965" s="70"/>
      <c r="AH965" s="70"/>
      <c r="AI965" s="70"/>
      <c r="AJ965" s="70"/>
      <c r="AK965" s="70"/>
      <c r="AL965" s="70"/>
      <c r="AM965" s="70"/>
      <c r="AN965" s="70"/>
      <c r="AO965" s="70"/>
      <c r="AP965" s="70"/>
      <c r="AQ965" s="70"/>
      <c r="AR965" s="70"/>
      <c r="AS965" s="70"/>
      <c r="AT965" s="70"/>
      <c r="AU965" s="70"/>
      <c r="AV965" s="70"/>
      <c r="AW965" s="70"/>
      <c r="AX965" s="70"/>
      <c r="AY965" s="70"/>
      <c r="AZ965" s="70"/>
      <c r="BA965" s="70"/>
      <c r="BB965" s="70"/>
      <c r="BC965" s="70"/>
      <c r="BD965" s="70"/>
      <c r="BE965" s="70"/>
      <c r="BF965" s="70"/>
      <c r="BG965" s="70"/>
      <c r="BH965" s="70"/>
      <c r="BI965" s="70"/>
      <c r="BJ965" s="70"/>
      <c r="BK965" s="70"/>
      <c r="BL965" s="70"/>
      <c r="BM965" s="70"/>
      <c r="BN965" s="70"/>
      <c r="BO965" s="70"/>
      <c r="BP965" s="70"/>
      <c r="BQ965" s="70"/>
      <c r="BR965" s="70"/>
      <c r="BS965" s="70"/>
      <c r="BT965" s="70"/>
      <c r="BU965" s="70"/>
      <c r="BV965" s="70"/>
      <c r="BW965" s="70"/>
      <c r="BX965" s="70"/>
      <c r="BY965" s="70"/>
      <c r="BZ965" s="70"/>
      <c r="CA965" s="70"/>
      <c r="CB965" s="70"/>
      <c r="CC965" s="70"/>
      <c r="CD965" s="70"/>
      <c r="CE965" s="70"/>
      <c r="CF965" s="70"/>
      <c r="CG965" s="70"/>
      <c r="CH965" s="70"/>
      <c r="CI965" s="70"/>
      <c r="CJ965" s="70"/>
      <c r="CK965" s="70"/>
      <c r="CL965" s="70"/>
      <c r="CM965" s="70"/>
      <c r="CN965" s="70"/>
      <c r="CO965" s="70"/>
      <c r="CP965" s="70"/>
      <c r="CQ965" s="70"/>
      <c r="CR965" s="70"/>
      <c r="CS965" s="70"/>
      <c r="CT965" s="70"/>
      <c r="CU965" s="70"/>
      <c r="CV965" s="70"/>
      <c r="CW965" s="70"/>
      <c r="CX965" s="70"/>
      <c r="CY965" s="70"/>
      <c r="CZ965" s="70"/>
      <c r="DA965" s="70"/>
      <c r="DB965" s="70"/>
      <c r="DC965" s="70"/>
      <c r="DD965" s="70"/>
      <c r="DE965" s="70"/>
      <c r="DF965" s="70"/>
      <c r="DG965" s="70"/>
      <c r="DH965" s="70"/>
      <c r="DI965" s="70"/>
      <c r="DJ965" s="70"/>
      <c r="DK965" s="70"/>
      <c r="DL965" s="70"/>
      <c r="DM965" s="70"/>
      <c r="DN965" s="70"/>
      <c r="DO965" s="70"/>
      <c r="DP965" s="70"/>
      <c r="DQ965" s="70"/>
      <c r="DR965" s="70"/>
      <c r="DS965" s="70"/>
      <c r="DT965" s="70"/>
      <c r="DU965" s="70"/>
      <c r="DV965" s="70"/>
      <c r="DW965" s="70"/>
      <c r="DX965" s="70"/>
      <c r="DY965" s="70"/>
      <c r="DZ965" s="70"/>
      <c r="EA965" s="70"/>
      <c r="EB965" s="70"/>
      <c r="EC965" s="70"/>
      <c r="ED965" s="70"/>
      <c r="EE965" s="95" t="s">
        <v>450</v>
      </c>
      <c r="EF965" s="110"/>
      <c r="EG965" s="110"/>
      <c r="EH965" s="110"/>
      <c r="EI965" s="216"/>
      <c r="EJ965" s="110"/>
      <c r="EK965" s="110"/>
      <c r="EL965" s="110"/>
      <c r="EM965" s="110"/>
      <c r="EN965" s="110"/>
      <c r="EO965" s="110"/>
      <c r="EP965" s="110"/>
      <c r="EQ965" s="110"/>
      <c r="ER965" s="110"/>
      <c r="ES965" s="110"/>
      <c r="ET965" s="110"/>
      <c r="EU965" s="110"/>
      <c r="EV965" s="110"/>
      <c r="EW965" s="110"/>
      <c r="EX965" s="110"/>
      <c r="EY965" s="110"/>
      <c r="EZ965" s="110"/>
      <c r="FA965" s="110"/>
      <c r="FB965" s="110"/>
      <c r="FC965" s="110"/>
      <c r="FD965" s="110"/>
      <c r="FE965" s="110"/>
      <c r="FF965" s="110"/>
      <c r="FG965" s="110"/>
      <c r="FH965" s="110"/>
      <c r="FI965" s="110"/>
      <c r="FJ965" s="110"/>
      <c r="FK965" s="110"/>
      <c r="FL965" s="110"/>
      <c r="FM965" s="110"/>
      <c r="FN965" s="110"/>
      <c r="FO965" s="110"/>
      <c r="FP965" s="110"/>
      <c r="FQ965" s="110"/>
      <c r="FR965" s="110"/>
      <c r="FS965" s="110"/>
      <c r="FT965" s="110"/>
      <c r="FU965" s="110"/>
      <c r="FV965" s="110"/>
      <c r="FW965" s="110"/>
      <c r="FX965" s="110"/>
      <c r="FY965" s="110"/>
      <c r="FZ965" s="110"/>
      <c r="GA965" s="110"/>
      <c r="GB965" s="110"/>
      <c r="GC965" s="110"/>
      <c r="GD965" s="110"/>
      <c r="GE965" s="110"/>
      <c r="GF965" s="110"/>
      <c r="GG965" s="110"/>
      <c r="GH965" s="110"/>
      <c r="GI965" s="110"/>
      <c r="GJ965" s="110"/>
      <c r="GK965" s="110"/>
      <c r="GL965" s="110"/>
      <c r="GM965" s="110"/>
      <c r="GN965" s="110"/>
      <c r="GO965" s="110"/>
      <c r="GP965" s="110"/>
      <c r="GQ965" s="110"/>
      <c r="GR965" s="110"/>
      <c r="GS965" s="110"/>
      <c r="GT965" s="110"/>
      <c r="GU965" s="110"/>
      <c r="GV965" s="110"/>
      <c r="GW965" s="110"/>
      <c r="GX965" s="110"/>
      <c r="GY965" s="110"/>
      <c r="GZ965" s="110"/>
      <c r="HA965" s="110"/>
      <c r="HB965" s="110"/>
      <c r="HC965" s="110"/>
      <c r="HD965" s="110"/>
      <c r="HE965" s="110"/>
      <c r="HF965" s="110"/>
      <c r="HG965" s="110"/>
      <c r="HH965" s="110"/>
      <c r="HI965" s="110"/>
      <c r="HJ965" s="110"/>
      <c r="HK965" s="110"/>
      <c r="HL965" s="110"/>
      <c r="HM965" s="110"/>
      <c r="HN965" s="110"/>
      <c r="HO965" s="110"/>
      <c r="HP965" s="110"/>
      <c r="HQ965" s="110"/>
      <c r="HR965" s="110"/>
      <c r="HS965" s="110"/>
      <c r="HT965" s="110"/>
      <c r="HU965" s="110"/>
      <c r="HV965" s="110"/>
      <c r="HW965" s="110"/>
      <c r="HX965" s="110"/>
      <c r="HY965" s="110"/>
      <c r="HZ965" s="110"/>
      <c r="IA965" s="110"/>
      <c r="IB965" s="110"/>
      <c r="IC965" s="110"/>
      <c r="ID965" s="110"/>
      <c r="IE965" s="110"/>
      <c r="IF965" s="110"/>
      <c r="IG965" s="110"/>
      <c r="IH965" s="110"/>
      <c r="II965" s="110"/>
      <c r="IJ965" s="110"/>
      <c r="IK965" s="110"/>
      <c r="IL965" s="110"/>
      <c r="IM965" s="110"/>
      <c r="IN965" s="110"/>
      <c r="IO965" s="110"/>
      <c r="IP965" s="110"/>
    </row>
    <row r="966" spans="18:250" ht="16.5" hidden="1" customHeight="1">
      <c r="R966" s="95"/>
      <c r="S966" s="95"/>
      <c r="T966" s="95"/>
      <c r="U966" s="70"/>
      <c r="V966" s="214"/>
      <c r="W966" s="70"/>
      <c r="X966" s="70"/>
      <c r="Y966" s="70"/>
      <c r="Z966" s="70"/>
      <c r="AA966" s="70"/>
      <c r="AB966" s="70"/>
      <c r="AC966" s="70"/>
      <c r="AD966" s="70"/>
      <c r="AE966" s="70"/>
      <c r="AF966" s="70"/>
      <c r="AG966" s="70"/>
      <c r="AH966" s="70"/>
      <c r="AI966" s="70"/>
      <c r="AJ966" s="70"/>
      <c r="AK966" s="70"/>
      <c r="AL966" s="70"/>
      <c r="AM966" s="70"/>
      <c r="AN966" s="70"/>
      <c r="AO966" s="70"/>
      <c r="AP966" s="70"/>
      <c r="AQ966" s="70"/>
      <c r="AR966" s="70"/>
      <c r="AS966" s="70"/>
      <c r="AT966" s="70"/>
      <c r="AU966" s="70"/>
      <c r="AV966" s="70"/>
      <c r="AW966" s="70"/>
      <c r="AX966" s="70"/>
      <c r="AY966" s="70"/>
      <c r="AZ966" s="70"/>
      <c r="BA966" s="70"/>
      <c r="BB966" s="70"/>
      <c r="BC966" s="70"/>
      <c r="BD966" s="70"/>
      <c r="BE966" s="70"/>
      <c r="BF966" s="70"/>
      <c r="BG966" s="70"/>
      <c r="BH966" s="70"/>
      <c r="BI966" s="70"/>
      <c r="BJ966" s="70"/>
      <c r="BK966" s="70"/>
      <c r="BL966" s="70"/>
      <c r="BM966" s="70"/>
      <c r="BN966" s="70"/>
      <c r="BO966" s="70"/>
      <c r="BP966" s="70"/>
      <c r="BQ966" s="70"/>
      <c r="BR966" s="70"/>
      <c r="BS966" s="70"/>
      <c r="BT966" s="70"/>
      <c r="BU966" s="70"/>
      <c r="BV966" s="70"/>
      <c r="BW966" s="70"/>
      <c r="BX966" s="70"/>
      <c r="BY966" s="70"/>
      <c r="BZ966" s="70"/>
      <c r="CA966" s="70"/>
      <c r="CB966" s="70"/>
      <c r="CC966" s="70"/>
      <c r="CD966" s="70"/>
      <c r="CE966" s="70"/>
      <c r="CF966" s="70"/>
      <c r="CG966" s="70"/>
      <c r="CH966" s="70"/>
      <c r="CI966" s="70"/>
      <c r="CJ966" s="70"/>
      <c r="CK966" s="70"/>
      <c r="CL966" s="70"/>
      <c r="CM966" s="70"/>
      <c r="CN966" s="70"/>
      <c r="CO966" s="70"/>
      <c r="CP966" s="70"/>
      <c r="CQ966" s="70"/>
      <c r="CR966" s="70"/>
      <c r="CS966" s="70"/>
      <c r="CT966" s="70"/>
      <c r="CU966" s="70"/>
      <c r="CV966" s="70"/>
      <c r="CW966" s="70"/>
      <c r="CX966" s="70"/>
      <c r="CY966" s="70"/>
      <c r="CZ966" s="70"/>
      <c r="DA966" s="70"/>
      <c r="DB966" s="70"/>
      <c r="DC966" s="70"/>
      <c r="DD966" s="70"/>
      <c r="DE966" s="70"/>
      <c r="DF966" s="70"/>
      <c r="DG966" s="70"/>
      <c r="DH966" s="70"/>
      <c r="DI966" s="70"/>
      <c r="DJ966" s="70"/>
      <c r="DK966" s="70"/>
      <c r="DL966" s="70"/>
      <c r="DM966" s="70"/>
      <c r="DN966" s="70"/>
      <c r="DO966" s="70"/>
      <c r="DP966" s="70"/>
      <c r="DQ966" s="70"/>
      <c r="DR966" s="70"/>
      <c r="DS966" s="70"/>
      <c r="DT966" s="70"/>
      <c r="DU966" s="70"/>
      <c r="DV966" s="70"/>
      <c r="DW966" s="70"/>
      <c r="DX966" s="70"/>
      <c r="DY966" s="70"/>
      <c r="DZ966" s="70"/>
      <c r="EA966" s="70"/>
      <c r="EB966" s="70"/>
      <c r="EC966" s="70"/>
      <c r="ED966" s="70"/>
      <c r="EE966" s="95" t="s">
        <v>450</v>
      </c>
      <c r="EF966" s="110"/>
      <c r="EG966" s="110"/>
      <c r="EH966" s="110"/>
      <c r="EI966" s="216"/>
      <c r="EJ966" s="110"/>
      <c r="EK966" s="110"/>
      <c r="EL966" s="110"/>
      <c r="EM966" s="110"/>
      <c r="EN966" s="110"/>
      <c r="EO966" s="110"/>
      <c r="EP966" s="110"/>
      <c r="EQ966" s="110"/>
      <c r="ER966" s="110"/>
      <c r="ES966" s="110"/>
      <c r="ET966" s="110"/>
      <c r="EU966" s="110"/>
      <c r="EV966" s="110"/>
      <c r="EW966" s="110"/>
      <c r="EX966" s="110"/>
      <c r="EY966" s="110"/>
      <c r="EZ966" s="110"/>
      <c r="FA966" s="110"/>
      <c r="FB966" s="110"/>
      <c r="FC966" s="110"/>
      <c r="FD966" s="110"/>
      <c r="FE966" s="110"/>
      <c r="FF966" s="110"/>
      <c r="FG966" s="110"/>
      <c r="FH966" s="110"/>
      <c r="FI966" s="110"/>
      <c r="FJ966" s="110"/>
      <c r="FK966" s="110"/>
      <c r="FL966" s="110"/>
      <c r="FM966" s="110"/>
      <c r="FN966" s="110"/>
      <c r="FO966" s="110"/>
      <c r="FP966" s="110"/>
      <c r="FQ966" s="110"/>
      <c r="FR966" s="110"/>
      <c r="FS966" s="110"/>
      <c r="FT966" s="110"/>
      <c r="FU966" s="110"/>
      <c r="FV966" s="110"/>
      <c r="FW966" s="110"/>
      <c r="FX966" s="110"/>
      <c r="FY966" s="110"/>
      <c r="FZ966" s="110"/>
      <c r="GA966" s="110"/>
      <c r="GB966" s="110"/>
      <c r="GC966" s="110"/>
      <c r="GD966" s="110"/>
      <c r="GE966" s="110"/>
      <c r="GF966" s="110"/>
      <c r="GG966" s="110"/>
      <c r="GH966" s="110"/>
      <c r="GI966" s="110"/>
      <c r="GJ966" s="110"/>
      <c r="GK966" s="110"/>
      <c r="GL966" s="110"/>
      <c r="GM966" s="110"/>
      <c r="GN966" s="110"/>
      <c r="GO966" s="110"/>
      <c r="GP966" s="110"/>
      <c r="GQ966" s="110"/>
      <c r="GR966" s="110"/>
      <c r="GS966" s="110"/>
      <c r="GT966" s="110"/>
      <c r="GU966" s="110"/>
      <c r="GV966" s="110"/>
      <c r="GW966" s="110"/>
      <c r="GX966" s="110"/>
      <c r="GY966" s="110"/>
      <c r="GZ966" s="110"/>
      <c r="HA966" s="110"/>
      <c r="HB966" s="110"/>
      <c r="HC966" s="110"/>
      <c r="HD966" s="110"/>
      <c r="HE966" s="110"/>
      <c r="HF966" s="110"/>
      <c r="HG966" s="110"/>
      <c r="HH966" s="110"/>
      <c r="HI966" s="110"/>
      <c r="HJ966" s="110"/>
      <c r="HK966" s="110"/>
      <c r="HL966" s="110"/>
      <c r="HM966" s="110"/>
      <c r="HN966" s="110"/>
      <c r="HO966" s="110"/>
      <c r="HP966" s="110"/>
      <c r="HQ966" s="110"/>
      <c r="HR966" s="110"/>
      <c r="HS966" s="110"/>
      <c r="HT966" s="110"/>
      <c r="HU966" s="110"/>
      <c r="HV966" s="110"/>
      <c r="HW966" s="110"/>
      <c r="HX966" s="110"/>
      <c r="HY966" s="110"/>
      <c r="HZ966" s="110"/>
      <c r="IA966" s="110"/>
      <c r="IB966" s="110"/>
      <c r="IC966" s="110"/>
      <c r="ID966" s="110"/>
      <c r="IE966" s="110"/>
      <c r="IF966" s="110"/>
      <c r="IG966" s="110"/>
      <c r="IH966" s="110"/>
      <c r="II966" s="110"/>
      <c r="IJ966" s="110"/>
      <c r="IK966" s="110"/>
      <c r="IL966" s="110"/>
      <c r="IM966" s="110"/>
      <c r="IN966" s="110"/>
      <c r="IO966" s="110"/>
      <c r="IP966" s="110"/>
    </row>
    <row r="967" spans="18:250" ht="16.5" hidden="1" customHeight="1">
      <c r="R967" s="95"/>
      <c r="S967" s="95"/>
      <c r="T967" s="95"/>
      <c r="U967" s="70"/>
      <c r="V967" s="214"/>
      <c r="W967" s="70"/>
      <c r="X967" s="70"/>
      <c r="Y967" s="70"/>
      <c r="Z967" s="70"/>
      <c r="AA967" s="70"/>
      <c r="AB967" s="70"/>
      <c r="AC967" s="70"/>
      <c r="AD967" s="70"/>
      <c r="AE967" s="70"/>
      <c r="AF967" s="70"/>
      <c r="AG967" s="70"/>
      <c r="AH967" s="70"/>
      <c r="AI967" s="70"/>
      <c r="AJ967" s="70"/>
      <c r="AK967" s="70"/>
      <c r="AL967" s="70"/>
      <c r="AM967" s="70"/>
      <c r="AN967" s="70"/>
      <c r="AO967" s="70"/>
      <c r="AP967" s="70"/>
      <c r="AQ967" s="70"/>
      <c r="AR967" s="70"/>
      <c r="AS967" s="70"/>
      <c r="AT967" s="70"/>
      <c r="AU967" s="70"/>
      <c r="AV967" s="70"/>
      <c r="AW967" s="70"/>
      <c r="AX967" s="70"/>
      <c r="AY967" s="70"/>
      <c r="AZ967" s="70"/>
      <c r="BA967" s="70"/>
      <c r="BB967" s="70"/>
      <c r="BC967" s="70"/>
      <c r="BD967" s="70"/>
      <c r="BE967" s="70"/>
      <c r="BF967" s="70"/>
      <c r="BG967" s="70"/>
      <c r="BH967" s="70"/>
      <c r="BI967" s="70"/>
      <c r="BJ967" s="70"/>
      <c r="BK967" s="70"/>
      <c r="BL967" s="70"/>
      <c r="BM967" s="70"/>
      <c r="BN967" s="70"/>
      <c r="BO967" s="70"/>
      <c r="BP967" s="70"/>
      <c r="BQ967" s="70"/>
      <c r="BR967" s="70"/>
      <c r="BS967" s="70"/>
      <c r="BT967" s="70"/>
      <c r="BU967" s="70"/>
      <c r="BV967" s="70"/>
      <c r="BW967" s="70"/>
      <c r="BX967" s="70"/>
      <c r="BY967" s="70"/>
      <c r="BZ967" s="70"/>
      <c r="CA967" s="70"/>
      <c r="CB967" s="70"/>
      <c r="CC967" s="70"/>
      <c r="CD967" s="70"/>
      <c r="CE967" s="70"/>
      <c r="CF967" s="70"/>
      <c r="CG967" s="70"/>
      <c r="CH967" s="70"/>
      <c r="CI967" s="70"/>
      <c r="CJ967" s="70"/>
      <c r="CK967" s="70"/>
      <c r="CL967" s="70"/>
      <c r="CM967" s="70"/>
      <c r="CN967" s="70"/>
      <c r="CO967" s="70"/>
      <c r="CP967" s="70"/>
      <c r="CQ967" s="70"/>
      <c r="CR967" s="70"/>
      <c r="CS967" s="70"/>
      <c r="CT967" s="70"/>
      <c r="CU967" s="70"/>
      <c r="CV967" s="70"/>
      <c r="CW967" s="70"/>
      <c r="CX967" s="70"/>
      <c r="CY967" s="70"/>
      <c r="CZ967" s="70"/>
      <c r="DA967" s="70"/>
      <c r="DB967" s="70"/>
      <c r="DC967" s="70"/>
      <c r="DD967" s="70"/>
      <c r="DE967" s="70"/>
      <c r="DF967" s="70"/>
      <c r="DG967" s="70"/>
      <c r="DH967" s="70"/>
      <c r="DI967" s="70"/>
      <c r="DJ967" s="70"/>
      <c r="DK967" s="70"/>
      <c r="DL967" s="70"/>
      <c r="DM967" s="70"/>
      <c r="DN967" s="70"/>
      <c r="DO967" s="70"/>
      <c r="DP967" s="70"/>
      <c r="DQ967" s="70"/>
      <c r="DR967" s="70"/>
      <c r="DS967" s="70"/>
      <c r="DT967" s="70"/>
      <c r="DU967" s="70"/>
      <c r="DV967" s="70"/>
      <c r="DW967" s="70"/>
      <c r="DX967" s="70"/>
      <c r="DY967" s="70"/>
      <c r="DZ967" s="70"/>
      <c r="EA967" s="70"/>
      <c r="EB967" s="70"/>
      <c r="EC967" s="70"/>
      <c r="ED967" s="70"/>
      <c r="EE967" s="95" t="s">
        <v>450</v>
      </c>
      <c r="EF967" s="110"/>
      <c r="EG967" s="110"/>
      <c r="EH967" s="110"/>
      <c r="EI967" s="216"/>
      <c r="EJ967" s="110"/>
      <c r="EK967" s="110"/>
      <c r="EL967" s="110"/>
      <c r="EM967" s="110"/>
      <c r="EN967" s="110"/>
      <c r="EO967" s="110"/>
      <c r="EP967" s="110"/>
      <c r="EQ967" s="110"/>
      <c r="ER967" s="110"/>
      <c r="ES967" s="110"/>
      <c r="ET967" s="110"/>
      <c r="EU967" s="110"/>
      <c r="EV967" s="110"/>
      <c r="EW967" s="110"/>
      <c r="EX967" s="110"/>
      <c r="EY967" s="110"/>
      <c r="EZ967" s="110"/>
      <c r="FA967" s="110"/>
      <c r="FB967" s="110"/>
      <c r="FC967" s="110"/>
      <c r="FD967" s="110"/>
      <c r="FE967" s="110"/>
      <c r="FF967" s="110"/>
      <c r="FG967" s="110"/>
      <c r="FH967" s="110"/>
      <c r="FI967" s="110"/>
      <c r="FJ967" s="110"/>
      <c r="FK967" s="110"/>
      <c r="FL967" s="110"/>
      <c r="FM967" s="110"/>
      <c r="FN967" s="110"/>
      <c r="FO967" s="110"/>
      <c r="FP967" s="110"/>
      <c r="FQ967" s="110"/>
      <c r="FR967" s="110"/>
      <c r="FS967" s="110"/>
      <c r="FT967" s="110"/>
      <c r="FU967" s="110"/>
      <c r="FV967" s="110"/>
      <c r="FW967" s="110"/>
      <c r="FX967" s="110"/>
      <c r="FY967" s="110"/>
      <c r="FZ967" s="110"/>
      <c r="GA967" s="110"/>
      <c r="GB967" s="110"/>
      <c r="GC967" s="110"/>
      <c r="GD967" s="110"/>
      <c r="GE967" s="110"/>
      <c r="GF967" s="110"/>
      <c r="GG967" s="110"/>
      <c r="GH967" s="110"/>
      <c r="GI967" s="110"/>
      <c r="GJ967" s="110"/>
      <c r="GK967" s="110"/>
      <c r="GL967" s="110"/>
      <c r="GM967" s="110"/>
      <c r="GN967" s="110"/>
      <c r="GO967" s="110"/>
      <c r="GP967" s="110"/>
      <c r="GQ967" s="110"/>
      <c r="GR967" s="110"/>
      <c r="GS967" s="110"/>
      <c r="GT967" s="110"/>
      <c r="GU967" s="110"/>
      <c r="GV967" s="110"/>
      <c r="GW967" s="110"/>
      <c r="GX967" s="110"/>
      <c r="GY967" s="110"/>
      <c r="GZ967" s="110"/>
      <c r="HA967" s="110"/>
      <c r="HB967" s="110"/>
      <c r="HC967" s="110"/>
      <c r="HD967" s="110"/>
      <c r="HE967" s="110"/>
      <c r="HF967" s="110"/>
      <c r="HG967" s="110"/>
      <c r="HH967" s="110"/>
      <c r="HI967" s="110"/>
      <c r="HJ967" s="110"/>
      <c r="HK967" s="110"/>
      <c r="HL967" s="110"/>
      <c r="HM967" s="110"/>
      <c r="HN967" s="110"/>
      <c r="HO967" s="110"/>
      <c r="HP967" s="110"/>
      <c r="HQ967" s="110"/>
      <c r="HR967" s="110"/>
      <c r="HS967" s="110"/>
      <c r="HT967" s="110"/>
      <c r="HU967" s="110"/>
      <c r="HV967" s="110"/>
      <c r="HW967" s="110"/>
      <c r="HX967" s="110"/>
      <c r="HY967" s="110"/>
      <c r="HZ967" s="110"/>
      <c r="IA967" s="110"/>
      <c r="IB967" s="110"/>
      <c r="IC967" s="110"/>
      <c r="ID967" s="110"/>
      <c r="IE967" s="110"/>
      <c r="IF967" s="110"/>
      <c r="IG967" s="110"/>
      <c r="IH967" s="110"/>
      <c r="II967" s="110"/>
      <c r="IJ967" s="110"/>
      <c r="IK967" s="110"/>
      <c r="IL967" s="110"/>
      <c r="IM967" s="110"/>
      <c r="IN967" s="110"/>
      <c r="IO967" s="110"/>
      <c r="IP967" s="110"/>
    </row>
    <row r="968" spans="18:250" ht="16.5" hidden="1" customHeight="1">
      <c r="R968" s="95"/>
      <c r="S968" s="95"/>
      <c r="T968" s="95"/>
      <c r="U968" s="70"/>
      <c r="V968" s="214"/>
      <c r="W968" s="70"/>
      <c r="X968" s="70"/>
      <c r="Y968" s="70"/>
      <c r="Z968" s="70"/>
      <c r="AA968" s="70"/>
      <c r="AB968" s="70"/>
      <c r="AC968" s="70"/>
      <c r="AD968" s="70"/>
      <c r="AE968" s="70"/>
      <c r="AF968" s="70"/>
      <c r="AG968" s="70"/>
      <c r="AH968" s="70"/>
      <c r="AI968" s="70"/>
      <c r="AJ968" s="70"/>
      <c r="AK968" s="70"/>
      <c r="AL968" s="70"/>
      <c r="AM968" s="70"/>
      <c r="AN968" s="70"/>
      <c r="AO968" s="70"/>
      <c r="AP968" s="70"/>
      <c r="AQ968" s="70"/>
      <c r="AR968" s="70"/>
      <c r="AS968" s="70"/>
      <c r="AT968" s="70"/>
      <c r="AU968" s="70"/>
      <c r="AV968" s="70"/>
      <c r="AW968" s="70"/>
      <c r="AX968" s="70"/>
      <c r="AY968" s="70"/>
      <c r="AZ968" s="70"/>
      <c r="BA968" s="70"/>
      <c r="BB968" s="70"/>
      <c r="BC968" s="70"/>
      <c r="BD968" s="70"/>
      <c r="BE968" s="70"/>
      <c r="BF968" s="70"/>
      <c r="BG968" s="70"/>
      <c r="BH968" s="70"/>
      <c r="BI968" s="70"/>
      <c r="BJ968" s="70"/>
      <c r="BK968" s="70"/>
      <c r="BL968" s="70"/>
      <c r="BM968" s="70"/>
      <c r="BN968" s="70"/>
      <c r="BO968" s="70"/>
      <c r="BP968" s="70"/>
      <c r="BQ968" s="70"/>
      <c r="BR968" s="70"/>
      <c r="BS968" s="70"/>
      <c r="BT968" s="70"/>
      <c r="BU968" s="70"/>
      <c r="BV968" s="70"/>
      <c r="BW968" s="70"/>
      <c r="BX968" s="70"/>
      <c r="BY968" s="70"/>
      <c r="BZ968" s="70"/>
      <c r="CA968" s="70"/>
      <c r="CB968" s="70"/>
      <c r="CC968" s="70"/>
      <c r="CD968" s="70"/>
      <c r="CE968" s="70"/>
      <c r="CF968" s="70"/>
      <c r="CG968" s="70"/>
      <c r="CH968" s="70"/>
      <c r="CI968" s="70"/>
      <c r="CJ968" s="70"/>
      <c r="CK968" s="70"/>
      <c r="CL968" s="70"/>
      <c r="CM968" s="70"/>
      <c r="CN968" s="70"/>
      <c r="CO968" s="70"/>
      <c r="CP968" s="70"/>
      <c r="CQ968" s="70"/>
      <c r="CR968" s="70"/>
      <c r="CS968" s="70"/>
      <c r="CT968" s="70"/>
      <c r="CU968" s="70"/>
      <c r="CV968" s="70"/>
      <c r="CW968" s="70"/>
      <c r="CX968" s="70"/>
      <c r="CY968" s="70"/>
      <c r="CZ968" s="70"/>
      <c r="DA968" s="70"/>
      <c r="DB968" s="70"/>
      <c r="DC968" s="70"/>
      <c r="DD968" s="70"/>
      <c r="DE968" s="70"/>
      <c r="DF968" s="70"/>
      <c r="DG968" s="70"/>
      <c r="DH968" s="70"/>
      <c r="DI968" s="70"/>
      <c r="DJ968" s="70"/>
      <c r="DK968" s="70"/>
      <c r="DL968" s="70"/>
      <c r="DM968" s="70"/>
      <c r="DN968" s="70"/>
      <c r="DO968" s="70"/>
      <c r="DP968" s="70"/>
      <c r="DQ968" s="70"/>
      <c r="DR968" s="70"/>
      <c r="DS968" s="70"/>
      <c r="DT968" s="70"/>
      <c r="DU968" s="70"/>
      <c r="DV968" s="70"/>
      <c r="DW968" s="70"/>
      <c r="DX968" s="70"/>
      <c r="DY968" s="70"/>
      <c r="DZ968" s="70"/>
      <c r="EA968" s="70"/>
      <c r="EB968" s="70"/>
      <c r="EC968" s="70"/>
      <c r="ED968" s="70"/>
      <c r="EE968" s="95" t="s">
        <v>450</v>
      </c>
      <c r="EF968" s="110"/>
      <c r="EG968" s="110"/>
      <c r="EH968" s="110"/>
      <c r="EI968" s="216"/>
      <c r="EJ968" s="110"/>
      <c r="EK968" s="110"/>
      <c r="EL968" s="110"/>
      <c r="EM968" s="110"/>
      <c r="EN968" s="110"/>
      <c r="EO968" s="110"/>
      <c r="EP968" s="110"/>
      <c r="EQ968" s="110"/>
      <c r="ER968" s="110"/>
      <c r="ES968" s="110"/>
      <c r="ET968" s="110"/>
      <c r="EU968" s="110"/>
      <c r="EV968" s="110"/>
      <c r="EW968" s="110"/>
      <c r="EX968" s="110"/>
      <c r="EY968" s="110"/>
      <c r="EZ968" s="110"/>
      <c r="FA968" s="110"/>
      <c r="FB968" s="110"/>
      <c r="FC968" s="110"/>
      <c r="FD968" s="110"/>
      <c r="FE968" s="110"/>
      <c r="FF968" s="110"/>
      <c r="FG968" s="110"/>
      <c r="FH968" s="110"/>
      <c r="FI968" s="110"/>
      <c r="FJ968" s="110"/>
      <c r="FK968" s="110"/>
      <c r="FL968" s="110"/>
      <c r="FM968" s="110"/>
      <c r="FN968" s="110"/>
      <c r="FO968" s="110"/>
      <c r="FP968" s="110"/>
      <c r="FQ968" s="110"/>
      <c r="FR968" s="110"/>
      <c r="FS968" s="110"/>
      <c r="FT968" s="110"/>
      <c r="FU968" s="110"/>
      <c r="FV968" s="110"/>
      <c r="FW968" s="110"/>
      <c r="FX968" s="110"/>
      <c r="FY968" s="110"/>
      <c r="FZ968" s="110"/>
      <c r="GA968" s="110"/>
      <c r="GB968" s="110"/>
      <c r="GC968" s="110"/>
      <c r="GD968" s="110"/>
      <c r="GE968" s="110"/>
      <c r="GF968" s="110"/>
      <c r="GG968" s="110"/>
      <c r="GH968" s="110"/>
      <c r="GI968" s="110"/>
      <c r="GJ968" s="110"/>
      <c r="GK968" s="110"/>
      <c r="GL968" s="110"/>
      <c r="GM968" s="110"/>
      <c r="GN968" s="110"/>
      <c r="GO968" s="110"/>
      <c r="GP968" s="110"/>
      <c r="GQ968" s="110"/>
      <c r="GR968" s="110"/>
      <c r="GS968" s="110"/>
      <c r="GT968" s="110"/>
      <c r="GU968" s="110"/>
      <c r="GV968" s="110"/>
      <c r="GW968" s="110"/>
      <c r="GX968" s="110"/>
      <c r="GY968" s="110"/>
      <c r="GZ968" s="110"/>
      <c r="HA968" s="110"/>
      <c r="HB968" s="110"/>
      <c r="HC968" s="110"/>
      <c r="HD968" s="110"/>
      <c r="HE968" s="110"/>
      <c r="HF968" s="110"/>
      <c r="HG968" s="110"/>
      <c r="HH968" s="110"/>
      <c r="HI968" s="110"/>
      <c r="HJ968" s="110"/>
      <c r="HK968" s="110"/>
      <c r="HL968" s="110"/>
      <c r="HM968" s="110"/>
      <c r="HN968" s="110"/>
      <c r="HO968" s="110"/>
      <c r="HP968" s="110"/>
      <c r="HQ968" s="110"/>
      <c r="HR968" s="110"/>
      <c r="HS968" s="110"/>
      <c r="HT968" s="110"/>
      <c r="HU968" s="110"/>
      <c r="HV968" s="110"/>
      <c r="HW968" s="110"/>
      <c r="HX968" s="110"/>
      <c r="HY968" s="110"/>
      <c r="HZ968" s="110"/>
      <c r="IA968" s="110"/>
      <c r="IB968" s="110"/>
      <c r="IC968" s="110"/>
      <c r="ID968" s="110"/>
      <c r="IE968" s="110"/>
      <c r="IF968" s="110"/>
      <c r="IG968" s="110"/>
      <c r="IH968" s="110"/>
      <c r="II968" s="110"/>
      <c r="IJ968" s="110"/>
      <c r="IK968" s="110"/>
      <c r="IL968" s="110"/>
      <c r="IM968" s="110"/>
      <c r="IN968" s="110"/>
      <c r="IO968" s="110"/>
      <c r="IP968" s="110"/>
    </row>
    <row r="969" spans="18:250" ht="16.5" hidden="1" customHeight="1">
      <c r="R969" s="95"/>
      <c r="S969" s="95"/>
      <c r="T969" s="95"/>
      <c r="U969" s="70"/>
      <c r="V969" s="214"/>
      <c r="W969" s="70"/>
      <c r="X969" s="70"/>
      <c r="Y969" s="70"/>
      <c r="Z969" s="70"/>
      <c r="AA969" s="70"/>
      <c r="AB969" s="70"/>
      <c r="AC969" s="70"/>
      <c r="AD969" s="70"/>
      <c r="AE969" s="70"/>
      <c r="AF969" s="70"/>
      <c r="AG969" s="70"/>
      <c r="AH969" s="70"/>
      <c r="AI969" s="70"/>
      <c r="AJ969" s="70"/>
      <c r="AK969" s="70"/>
      <c r="AL969" s="70"/>
      <c r="AM969" s="70"/>
      <c r="AN969" s="70"/>
      <c r="AO969" s="70"/>
      <c r="AP969" s="70"/>
      <c r="AQ969" s="70"/>
      <c r="AR969" s="70"/>
      <c r="AS969" s="70"/>
      <c r="AT969" s="70"/>
      <c r="AU969" s="70"/>
      <c r="AV969" s="70"/>
      <c r="AW969" s="70"/>
      <c r="AX969" s="70"/>
      <c r="AY969" s="70"/>
      <c r="AZ969" s="70"/>
      <c r="BA969" s="70"/>
      <c r="BB969" s="70"/>
      <c r="BC969" s="70"/>
      <c r="BD969" s="70"/>
      <c r="BE969" s="70"/>
      <c r="BF969" s="70"/>
      <c r="BG969" s="70"/>
      <c r="BH969" s="70"/>
      <c r="BI969" s="70"/>
      <c r="BJ969" s="70"/>
      <c r="BK969" s="70"/>
      <c r="BL969" s="70"/>
      <c r="BM969" s="70"/>
      <c r="BN969" s="70"/>
      <c r="BO969" s="70"/>
      <c r="BP969" s="70"/>
      <c r="BQ969" s="70"/>
      <c r="BR969" s="70"/>
      <c r="BS969" s="70"/>
      <c r="BT969" s="70"/>
      <c r="BU969" s="70"/>
      <c r="BV969" s="70"/>
      <c r="BW969" s="70"/>
      <c r="BX969" s="70"/>
      <c r="BY969" s="70"/>
      <c r="BZ969" s="70"/>
      <c r="CA969" s="70"/>
      <c r="CB969" s="70"/>
      <c r="CC969" s="70"/>
      <c r="CD969" s="70"/>
      <c r="CE969" s="70"/>
      <c r="CF969" s="70"/>
      <c r="CG969" s="70"/>
      <c r="CH969" s="70"/>
      <c r="CI969" s="70"/>
      <c r="CJ969" s="70"/>
      <c r="CK969" s="70"/>
      <c r="CL969" s="70"/>
      <c r="CM969" s="70"/>
      <c r="CN969" s="70"/>
      <c r="CO969" s="70"/>
      <c r="CP969" s="70"/>
      <c r="CQ969" s="70"/>
      <c r="CR969" s="70"/>
      <c r="CS969" s="70"/>
      <c r="CT969" s="70"/>
      <c r="CU969" s="70"/>
      <c r="CV969" s="70"/>
      <c r="CW969" s="70"/>
      <c r="CX969" s="70"/>
      <c r="CY969" s="70"/>
      <c r="CZ969" s="70"/>
      <c r="DA969" s="70"/>
      <c r="DB969" s="70"/>
      <c r="DC969" s="70"/>
      <c r="DD969" s="70"/>
      <c r="DE969" s="70"/>
      <c r="DF969" s="70"/>
      <c r="DG969" s="70"/>
      <c r="DH969" s="70"/>
      <c r="DI969" s="70"/>
      <c r="DJ969" s="70"/>
      <c r="DK969" s="70"/>
      <c r="DL969" s="70"/>
      <c r="DM969" s="70"/>
      <c r="DN969" s="70"/>
      <c r="DO969" s="70"/>
      <c r="DP969" s="70"/>
      <c r="DQ969" s="70"/>
      <c r="DR969" s="70"/>
      <c r="DS969" s="70"/>
      <c r="DT969" s="70"/>
      <c r="DU969" s="70"/>
      <c r="DV969" s="70"/>
      <c r="DW969" s="70"/>
      <c r="DX969" s="70"/>
      <c r="DY969" s="70"/>
      <c r="DZ969" s="70"/>
      <c r="EA969" s="70"/>
      <c r="EB969" s="70"/>
      <c r="EC969" s="70"/>
      <c r="ED969" s="70"/>
      <c r="EE969" s="95" t="s">
        <v>450</v>
      </c>
      <c r="EF969" s="110"/>
      <c r="EG969" s="110"/>
      <c r="EH969" s="110"/>
      <c r="EI969" s="216"/>
      <c r="EJ969" s="110"/>
      <c r="EK969" s="110"/>
      <c r="EL969" s="110"/>
      <c r="EM969" s="110"/>
      <c r="EN969" s="110"/>
      <c r="EO969" s="110"/>
      <c r="EP969" s="110"/>
      <c r="EQ969" s="110"/>
      <c r="ER969" s="110"/>
      <c r="ES969" s="110"/>
      <c r="ET969" s="110"/>
      <c r="EU969" s="110"/>
      <c r="EV969" s="110"/>
      <c r="EW969" s="110"/>
      <c r="EX969" s="110"/>
      <c r="EY969" s="110"/>
      <c r="EZ969" s="110"/>
      <c r="FA969" s="110"/>
      <c r="FB969" s="110"/>
      <c r="FC969" s="110"/>
      <c r="FD969" s="110"/>
      <c r="FE969" s="110"/>
      <c r="FF969" s="110"/>
      <c r="FG969" s="110"/>
      <c r="FH969" s="110"/>
      <c r="FI969" s="110"/>
      <c r="FJ969" s="110"/>
      <c r="FK969" s="110"/>
      <c r="FL969" s="110"/>
      <c r="FM969" s="110"/>
      <c r="FN969" s="110"/>
      <c r="FO969" s="110"/>
      <c r="FP969" s="110"/>
      <c r="FQ969" s="110"/>
      <c r="FR969" s="110"/>
      <c r="FS969" s="110"/>
      <c r="FT969" s="110"/>
      <c r="FU969" s="110"/>
      <c r="FV969" s="110"/>
      <c r="FW969" s="110"/>
      <c r="FX969" s="110"/>
      <c r="FY969" s="110"/>
      <c r="FZ969" s="110"/>
      <c r="GA969" s="110"/>
      <c r="GB969" s="110"/>
      <c r="GC969" s="110"/>
      <c r="GD969" s="110"/>
      <c r="GE969" s="110"/>
      <c r="GF969" s="110"/>
      <c r="GG969" s="110"/>
      <c r="GH969" s="110"/>
      <c r="GI969" s="110"/>
      <c r="GJ969" s="110"/>
      <c r="GK969" s="110"/>
      <c r="GL969" s="110"/>
      <c r="GM969" s="110"/>
      <c r="GN969" s="110"/>
      <c r="GO969" s="110"/>
      <c r="GP969" s="110"/>
      <c r="GQ969" s="110"/>
      <c r="GR969" s="110"/>
      <c r="GS969" s="110"/>
      <c r="GT969" s="110"/>
      <c r="GU969" s="110"/>
      <c r="GV969" s="110"/>
      <c r="GW969" s="110"/>
      <c r="GX969" s="110"/>
      <c r="GY969" s="110"/>
      <c r="GZ969" s="110"/>
      <c r="HA969" s="110"/>
      <c r="HB969" s="110"/>
      <c r="HC969" s="110"/>
      <c r="HD969" s="110"/>
      <c r="HE969" s="110"/>
      <c r="HF969" s="110"/>
      <c r="HG969" s="110"/>
      <c r="HH969" s="110"/>
      <c r="HI969" s="110"/>
      <c r="HJ969" s="110"/>
      <c r="HK969" s="110"/>
      <c r="HL969" s="110"/>
      <c r="HM969" s="110"/>
      <c r="HN969" s="110"/>
      <c r="HO969" s="110"/>
      <c r="HP969" s="110"/>
      <c r="HQ969" s="110"/>
      <c r="HR969" s="110"/>
      <c r="HS969" s="110"/>
      <c r="HT969" s="110"/>
      <c r="HU969" s="110"/>
      <c r="HV969" s="110"/>
      <c r="HW969" s="110"/>
      <c r="HX969" s="110"/>
      <c r="HY969" s="110"/>
      <c r="HZ969" s="110"/>
      <c r="IA969" s="110"/>
      <c r="IB969" s="110"/>
      <c r="IC969" s="110"/>
      <c r="ID969" s="110"/>
      <c r="IE969" s="110"/>
      <c r="IF969" s="110"/>
      <c r="IG969" s="110"/>
      <c r="IH969" s="110"/>
      <c r="II969" s="110"/>
      <c r="IJ969" s="110"/>
      <c r="IK969" s="110"/>
      <c r="IL969" s="110"/>
      <c r="IM969" s="110"/>
      <c r="IN969" s="110"/>
      <c r="IO969" s="110"/>
      <c r="IP969" s="110"/>
    </row>
    <row r="970" spans="18:250" ht="16.5" hidden="1" customHeight="1">
      <c r="R970" s="95"/>
      <c r="S970" s="95"/>
      <c r="T970" s="95"/>
      <c r="U970" s="70"/>
      <c r="V970" s="214"/>
      <c r="W970" s="70"/>
      <c r="X970" s="70"/>
      <c r="Y970" s="70"/>
      <c r="Z970" s="70"/>
      <c r="AA970" s="70"/>
      <c r="AB970" s="70"/>
      <c r="AC970" s="70"/>
      <c r="AD970" s="70"/>
      <c r="AE970" s="70"/>
      <c r="AF970" s="70"/>
      <c r="AG970" s="70"/>
      <c r="AH970" s="70"/>
      <c r="AI970" s="70"/>
      <c r="AJ970" s="70"/>
      <c r="AK970" s="70"/>
      <c r="AL970" s="70"/>
      <c r="AM970" s="70"/>
      <c r="AN970" s="70"/>
      <c r="AO970" s="70"/>
      <c r="AP970" s="70"/>
      <c r="AQ970" s="70"/>
      <c r="AR970" s="70"/>
      <c r="AS970" s="70"/>
      <c r="AT970" s="70"/>
      <c r="AU970" s="70"/>
      <c r="AV970" s="70"/>
      <c r="AW970" s="70"/>
      <c r="AX970" s="70"/>
      <c r="AY970" s="70"/>
      <c r="AZ970" s="70"/>
      <c r="BA970" s="70"/>
      <c r="BB970" s="70"/>
      <c r="BC970" s="70"/>
      <c r="BD970" s="70"/>
      <c r="BE970" s="70"/>
      <c r="BF970" s="70"/>
      <c r="BG970" s="70"/>
      <c r="BH970" s="70"/>
      <c r="BI970" s="70"/>
      <c r="BJ970" s="70"/>
      <c r="BK970" s="70"/>
      <c r="BL970" s="70"/>
      <c r="BM970" s="70"/>
      <c r="BN970" s="70"/>
      <c r="BO970" s="70"/>
      <c r="BP970" s="70"/>
      <c r="BQ970" s="70"/>
      <c r="BR970" s="70"/>
      <c r="BS970" s="70"/>
      <c r="BT970" s="70"/>
      <c r="BU970" s="70"/>
      <c r="BV970" s="70"/>
      <c r="BW970" s="70"/>
      <c r="BX970" s="70"/>
      <c r="BY970" s="70"/>
      <c r="BZ970" s="70"/>
      <c r="CA970" s="70"/>
      <c r="CB970" s="70"/>
      <c r="CC970" s="70"/>
      <c r="CD970" s="70"/>
      <c r="CE970" s="70"/>
      <c r="CF970" s="70"/>
      <c r="CG970" s="70"/>
      <c r="CH970" s="70"/>
      <c r="CI970" s="70"/>
      <c r="CJ970" s="70"/>
      <c r="CK970" s="70"/>
      <c r="CL970" s="70"/>
      <c r="CM970" s="70"/>
      <c r="CN970" s="70"/>
      <c r="CO970" s="70"/>
      <c r="CP970" s="70"/>
      <c r="CQ970" s="70"/>
      <c r="CR970" s="70"/>
      <c r="CS970" s="70"/>
      <c r="CT970" s="70"/>
      <c r="CU970" s="70"/>
      <c r="CV970" s="70"/>
      <c r="CW970" s="70"/>
      <c r="CX970" s="70"/>
      <c r="CY970" s="70"/>
      <c r="CZ970" s="70"/>
      <c r="DA970" s="70"/>
      <c r="DB970" s="70"/>
      <c r="DC970" s="70"/>
      <c r="DD970" s="70"/>
      <c r="DE970" s="70"/>
      <c r="DF970" s="70"/>
      <c r="DG970" s="70"/>
      <c r="DH970" s="70"/>
      <c r="DI970" s="70"/>
      <c r="DJ970" s="70"/>
      <c r="DK970" s="70"/>
      <c r="DL970" s="70"/>
      <c r="DM970" s="70"/>
      <c r="DN970" s="70"/>
      <c r="DO970" s="70"/>
      <c r="DP970" s="70"/>
      <c r="DQ970" s="70"/>
      <c r="DR970" s="70"/>
      <c r="DS970" s="70"/>
      <c r="DT970" s="70"/>
      <c r="DU970" s="70"/>
      <c r="DV970" s="70"/>
      <c r="DW970" s="70"/>
      <c r="DX970" s="70"/>
      <c r="DY970" s="70"/>
      <c r="DZ970" s="70"/>
      <c r="EA970" s="70"/>
      <c r="EB970" s="70"/>
      <c r="EC970" s="70"/>
      <c r="ED970" s="70"/>
      <c r="EE970" s="95" t="s">
        <v>450</v>
      </c>
      <c r="EF970" s="110"/>
      <c r="EG970" s="110"/>
      <c r="EH970" s="110"/>
      <c r="EI970" s="216"/>
      <c r="EJ970" s="110"/>
      <c r="EK970" s="110"/>
      <c r="EL970" s="110"/>
      <c r="EM970" s="110"/>
      <c r="EN970" s="110"/>
      <c r="EO970" s="110"/>
      <c r="EP970" s="110"/>
      <c r="EQ970" s="110"/>
      <c r="ER970" s="110"/>
      <c r="ES970" s="110"/>
      <c r="ET970" s="110"/>
      <c r="EU970" s="110"/>
      <c r="EV970" s="110"/>
      <c r="EW970" s="110"/>
      <c r="EX970" s="110"/>
      <c r="EY970" s="110"/>
      <c r="EZ970" s="110"/>
      <c r="FA970" s="110"/>
      <c r="FB970" s="110"/>
      <c r="FC970" s="110"/>
      <c r="FD970" s="110"/>
      <c r="FE970" s="110"/>
      <c r="FF970" s="110"/>
      <c r="FG970" s="110"/>
      <c r="FH970" s="110"/>
      <c r="FI970" s="110"/>
      <c r="FJ970" s="110"/>
      <c r="FK970" s="110"/>
      <c r="FL970" s="110"/>
      <c r="FM970" s="110"/>
      <c r="FN970" s="110"/>
      <c r="FO970" s="110"/>
      <c r="FP970" s="110"/>
      <c r="FQ970" s="110"/>
      <c r="FR970" s="110"/>
      <c r="FS970" s="110"/>
      <c r="FT970" s="110"/>
      <c r="FU970" s="110"/>
      <c r="FV970" s="110"/>
      <c r="FW970" s="110"/>
      <c r="FX970" s="110"/>
      <c r="FY970" s="110"/>
      <c r="FZ970" s="110"/>
      <c r="GA970" s="110"/>
      <c r="GB970" s="110"/>
      <c r="GC970" s="110"/>
      <c r="GD970" s="110"/>
      <c r="GE970" s="110"/>
      <c r="GF970" s="110"/>
      <c r="GG970" s="110"/>
      <c r="GH970" s="110"/>
      <c r="GI970" s="110"/>
      <c r="GJ970" s="110"/>
      <c r="GK970" s="110"/>
      <c r="GL970" s="110"/>
      <c r="GM970" s="110"/>
      <c r="GN970" s="110"/>
      <c r="GO970" s="110"/>
      <c r="GP970" s="110"/>
      <c r="GQ970" s="110"/>
      <c r="GR970" s="110"/>
      <c r="GS970" s="110"/>
      <c r="GT970" s="110"/>
      <c r="GU970" s="110"/>
      <c r="GV970" s="110"/>
      <c r="GW970" s="110"/>
      <c r="GX970" s="110"/>
      <c r="GY970" s="110"/>
      <c r="GZ970" s="110"/>
      <c r="HA970" s="110"/>
      <c r="HB970" s="110"/>
      <c r="HC970" s="110"/>
      <c r="HD970" s="110"/>
      <c r="HE970" s="110"/>
      <c r="HF970" s="110"/>
      <c r="HG970" s="110"/>
      <c r="HH970" s="110"/>
      <c r="HI970" s="110"/>
      <c r="HJ970" s="110"/>
      <c r="HK970" s="110"/>
      <c r="HL970" s="110"/>
      <c r="HM970" s="110"/>
      <c r="HN970" s="110"/>
      <c r="HO970" s="110"/>
      <c r="HP970" s="110"/>
      <c r="HQ970" s="110"/>
      <c r="HR970" s="110"/>
      <c r="HS970" s="110"/>
      <c r="HT970" s="110"/>
      <c r="HU970" s="110"/>
      <c r="HV970" s="110"/>
      <c r="HW970" s="110"/>
      <c r="HX970" s="110"/>
      <c r="HY970" s="110"/>
      <c r="HZ970" s="110"/>
      <c r="IA970" s="110"/>
      <c r="IB970" s="110"/>
      <c r="IC970" s="110"/>
      <c r="ID970" s="110"/>
      <c r="IE970" s="110"/>
      <c r="IF970" s="110"/>
      <c r="IG970" s="110"/>
      <c r="IH970" s="110"/>
      <c r="II970" s="110"/>
      <c r="IJ970" s="110"/>
      <c r="IK970" s="110"/>
      <c r="IL970" s="110"/>
      <c r="IM970" s="110"/>
      <c r="IN970" s="110"/>
      <c r="IO970" s="110"/>
      <c r="IP970" s="110"/>
    </row>
    <row r="971" spans="18:250" ht="16.5" hidden="1" customHeight="1">
      <c r="R971" s="95"/>
      <c r="S971" s="95"/>
      <c r="T971" s="95"/>
      <c r="U971" s="70"/>
      <c r="V971" s="214"/>
      <c r="W971" s="70"/>
      <c r="X971" s="70"/>
      <c r="Y971" s="70"/>
      <c r="Z971" s="70"/>
      <c r="AA971" s="70"/>
      <c r="AB971" s="70"/>
      <c r="AC971" s="70"/>
      <c r="AD971" s="70"/>
      <c r="AE971" s="70"/>
      <c r="AF971" s="70"/>
      <c r="AG971" s="70"/>
      <c r="AH971" s="70"/>
      <c r="AI971" s="70"/>
      <c r="AJ971" s="70"/>
      <c r="AK971" s="70"/>
      <c r="AL971" s="70"/>
      <c r="AM971" s="70"/>
      <c r="AN971" s="70"/>
      <c r="AO971" s="70"/>
      <c r="AP971" s="70"/>
      <c r="AQ971" s="70"/>
      <c r="AR971" s="70"/>
      <c r="AS971" s="70"/>
      <c r="AT971" s="70"/>
      <c r="AU971" s="70"/>
      <c r="AV971" s="70"/>
      <c r="AW971" s="70"/>
      <c r="AX971" s="70"/>
      <c r="AY971" s="70"/>
      <c r="AZ971" s="70"/>
      <c r="BA971" s="70"/>
      <c r="BB971" s="70"/>
      <c r="BC971" s="70"/>
      <c r="BD971" s="70"/>
      <c r="BE971" s="70"/>
      <c r="BF971" s="70"/>
      <c r="BG971" s="70"/>
      <c r="BH971" s="70"/>
      <c r="BI971" s="70"/>
      <c r="BJ971" s="70"/>
      <c r="BK971" s="70"/>
      <c r="BL971" s="70"/>
      <c r="BM971" s="70"/>
      <c r="BN971" s="70"/>
      <c r="BO971" s="70"/>
      <c r="BP971" s="70"/>
      <c r="BQ971" s="70"/>
      <c r="BR971" s="70"/>
      <c r="BS971" s="70"/>
      <c r="BT971" s="70"/>
      <c r="BU971" s="70"/>
      <c r="BV971" s="70"/>
      <c r="BW971" s="70"/>
      <c r="BX971" s="70"/>
      <c r="BY971" s="70"/>
      <c r="BZ971" s="70"/>
      <c r="CA971" s="70"/>
      <c r="CB971" s="70"/>
      <c r="CC971" s="70"/>
      <c r="CD971" s="70"/>
      <c r="CE971" s="70"/>
      <c r="CF971" s="70"/>
      <c r="CG971" s="70"/>
      <c r="CH971" s="70"/>
      <c r="CI971" s="70"/>
      <c r="CJ971" s="70"/>
      <c r="CK971" s="70"/>
      <c r="CL971" s="70"/>
      <c r="CM971" s="70"/>
      <c r="CN971" s="70"/>
      <c r="CO971" s="70"/>
      <c r="CP971" s="70"/>
      <c r="CQ971" s="70"/>
      <c r="CR971" s="70"/>
      <c r="CS971" s="70"/>
      <c r="CT971" s="70"/>
      <c r="CU971" s="70"/>
      <c r="CV971" s="70"/>
      <c r="CW971" s="70"/>
      <c r="CX971" s="70"/>
      <c r="CY971" s="70"/>
      <c r="CZ971" s="70"/>
      <c r="DA971" s="70"/>
      <c r="DB971" s="70"/>
      <c r="DC971" s="70"/>
      <c r="DD971" s="70"/>
      <c r="DE971" s="70"/>
      <c r="DF971" s="70"/>
      <c r="DG971" s="70"/>
      <c r="DH971" s="70"/>
      <c r="DI971" s="70"/>
      <c r="DJ971" s="70"/>
      <c r="DK971" s="70"/>
      <c r="DL971" s="70"/>
      <c r="DM971" s="70"/>
      <c r="DN971" s="70"/>
      <c r="DO971" s="70"/>
      <c r="DP971" s="70"/>
      <c r="DQ971" s="70"/>
      <c r="DR971" s="70"/>
      <c r="DS971" s="70"/>
      <c r="DT971" s="70"/>
      <c r="DU971" s="70"/>
      <c r="DV971" s="70"/>
      <c r="DW971" s="70"/>
      <c r="DX971" s="70"/>
      <c r="DY971" s="70"/>
      <c r="DZ971" s="70"/>
      <c r="EA971" s="70"/>
      <c r="EB971" s="70"/>
      <c r="EC971" s="70"/>
      <c r="ED971" s="70"/>
      <c r="EE971" s="95" t="s">
        <v>450</v>
      </c>
      <c r="EF971" s="110"/>
      <c r="EG971" s="110"/>
      <c r="EH971" s="110"/>
      <c r="EI971" s="216"/>
      <c r="EJ971" s="110"/>
      <c r="EK971" s="110"/>
      <c r="EL971" s="110"/>
      <c r="EM971" s="110"/>
      <c r="EN971" s="110"/>
      <c r="EO971" s="110"/>
      <c r="EP971" s="110"/>
      <c r="EQ971" s="110"/>
      <c r="ER971" s="110"/>
      <c r="ES971" s="110"/>
      <c r="ET971" s="110"/>
      <c r="EU971" s="110"/>
      <c r="EV971" s="110"/>
      <c r="EW971" s="110"/>
      <c r="EX971" s="110"/>
      <c r="EY971" s="110"/>
      <c r="EZ971" s="110"/>
      <c r="FA971" s="110"/>
      <c r="FB971" s="110"/>
      <c r="FC971" s="110"/>
      <c r="FD971" s="110"/>
      <c r="FE971" s="110"/>
      <c r="FF971" s="110"/>
      <c r="FG971" s="110"/>
      <c r="FH971" s="110"/>
      <c r="FI971" s="110"/>
      <c r="FJ971" s="110"/>
      <c r="FK971" s="110"/>
      <c r="FL971" s="110"/>
      <c r="FM971" s="110"/>
      <c r="FN971" s="110"/>
      <c r="FO971" s="110"/>
      <c r="FP971" s="110"/>
      <c r="FQ971" s="110"/>
      <c r="FR971" s="110"/>
      <c r="FS971" s="110"/>
      <c r="FT971" s="110"/>
      <c r="FU971" s="110"/>
      <c r="FV971" s="110"/>
      <c r="FW971" s="110"/>
      <c r="FX971" s="110"/>
      <c r="FY971" s="110"/>
      <c r="FZ971" s="110"/>
      <c r="GA971" s="110"/>
      <c r="GB971" s="110"/>
      <c r="GC971" s="110"/>
      <c r="GD971" s="110"/>
      <c r="GE971" s="110"/>
      <c r="GF971" s="110"/>
      <c r="GG971" s="110"/>
      <c r="GH971" s="110"/>
      <c r="GI971" s="110"/>
      <c r="GJ971" s="110"/>
      <c r="GK971" s="110"/>
      <c r="GL971" s="110"/>
      <c r="GM971" s="110"/>
      <c r="GN971" s="110"/>
      <c r="GO971" s="110"/>
      <c r="GP971" s="110"/>
      <c r="GQ971" s="110"/>
      <c r="GR971" s="110"/>
      <c r="GS971" s="110"/>
      <c r="GT971" s="110"/>
      <c r="GU971" s="110"/>
      <c r="GV971" s="110"/>
      <c r="GW971" s="110"/>
      <c r="GX971" s="110"/>
      <c r="GY971" s="110"/>
      <c r="GZ971" s="110"/>
      <c r="HA971" s="110"/>
      <c r="HB971" s="110"/>
      <c r="HC971" s="110"/>
      <c r="HD971" s="110"/>
      <c r="HE971" s="110"/>
      <c r="HF971" s="110"/>
      <c r="HG971" s="110"/>
      <c r="HH971" s="110"/>
      <c r="HI971" s="110"/>
      <c r="HJ971" s="110"/>
      <c r="HK971" s="110"/>
      <c r="HL971" s="110"/>
      <c r="HM971" s="110"/>
      <c r="HN971" s="110"/>
      <c r="HO971" s="110"/>
      <c r="HP971" s="110"/>
      <c r="HQ971" s="110"/>
      <c r="HR971" s="110"/>
      <c r="HS971" s="110"/>
      <c r="HT971" s="110"/>
      <c r="HU971" s="110"/>
      <c r="HV971" s="110"/>
      <c r="HW971" s="110"/>
      <c r="HX971" s="110"/>
      <c r="HY971" s="110"/>
      <c r="HZ971" s="110"/>
      <c r="IA971" s="110"/>
      <c r="IB971" s="110"/>
      <c r="IC971" s="110"/>
      <c r="ID971" s="110"/>
      <c r="IE971" s="110"/>
      <c r="IF971" s="110"/>
      <c r="IG971" s="110"/>
      <c r="IH971" s="110"/>
      <c r="II971" s="110"/>
      <c r="IJ971" s="110"/>
      <c r="IK971" s="110"/>
      <c r="IL971" s="110"/>
      <c r="IM971" s="110"/>
      <c r="IN971" s="110"/>
      <c r="IO971" s="110"/>
      <c r="IP971" s="110"/>
    </row>
    <row r="972" spans="18:250" ht="16.5" hidden="1" customHeight="1">
      <c r="R972" s="95"/>
      <c r="S972" s="95"/>
      <c r="T972" s="95"/>
      <c r="U972" s="70"/>
      <c r="V972" s="214"/>
      <c r="W972" s="70"/>
      <c r="X972" s="70"/>
      <c r="Y972" s="70"/>
      <c r="Z972" s="70"/>
      <c r="AA972" s="70"/>
      <c r="AB972" s="70"/>
      <c r="AC972" s="70"/>
      <c r="AD972" s="70"/>
      <c r="AE972" s="70"/>
      <c r="AF972" s="70"/>
      <c r="AG972" s="70"/>
      <c r="AH972" s="70"/>
      <c r="AI972" s="70"/>
      <c r="AJ972" s="70"/>
      <c r="AK972" s="70"/>
      <c r="AL972" s="70"/>
      <c r="AM972" s="70"/>
      <c r="AN972" s="70"/>
      <c r="AO972" s="70"/>
      <c r="AP972" s="70"/>
      <c r="AQ972" s="70"/>
      <c r="AR972" s="70"/>
      <c r="AS972" s="70"/>
      <c r="AT972" s="70"/>
      <c r="AU972" s="70"/>
      <c r="AV972" s="70"/>
      <c r="AW972" s="70"/>
      <c r="AX972" s="70"/>
      <c r="AY972" s="70"/>
      <c r="AZ972" s="70"/>
      <c r="BA972" s="70"/>
      <c r="BB972" s="70"/>
      <c r="BC972" s="70"/>
      <c r="BD972" s="70"/>
      <c r="BE972" s="70"/>
      <c r="BF972" s="70"/>
      <c r="BG972" s="70"/>
      <c r="BH972" s="70"/>
      <c r="BI972" s="70"/>
      <c r="BJ972" s="70"/>
      <c r="BK972" s="70"/>
      <c r="BL972" s="70"/>
      <c r="BM972" s="70"/>
      <c r="BN972" s="70"/>
      <c r="BO972" s="70"/>
      <c r="BP972" s="70"/>
      <c r="BQ972" s="70"/>
      <c r="BR972" s="70"/>
      <c r="BS972" s="70"/>
      <c r="BT972" s="70"/>
      <c r="BU972" s="70"/>
      <c r="BV972" s="70"/>
      <c r="BW972" s="70"/>
      <c r="BX972" s="70"/>
      <c r="BY972" s="70"/>
      <c r="BZ972" s="70"/>
      <c r="CA972" s="70"/>
      <c r="CB972" s="70"/>
      <c r="CC972" s="70"/>
      <c r="CD972" s="70"/>
      <c r="CE972" s="70"/>
      <c r="CF972" s="70"/>
      <c r="CG972" s="70"/>
      <c r="CH972" s="70"/>
      <c r="CI972" s="70"/>
      <c r="CJ972" s="70"/>
      <c r="CK972" s="70"/>
      <c r="CL972" s="70"/>
      <c r="CM972" s="70"/>
      <c r="CN972" s="70"/>
      <c r="CO972" s="70"/>
      <c r="CP972" s="70"/>
      <c r="CQ972" s="70"/>
      <c r="CR972" s="70"/>
      <c r="CS972" s="70"/>
      <c r="CT972" s="70"/>
      <c r="CU972" s="70"/>
      <c r="CV972" s="70"/>
      <c r="CW972" s="70"/>
      <c r="CX972" s="70"/>
      <c r="CY972" s="70"/>
      <c r="CZ972" s="70"/>
      <c r="DA972" s="70"/>
      <c r="DB972" s="70"/>
      <c r="DC972" s="70"/>
      <c r="DD972" s="70"/>
      <c r="DE972" s="70"/>
      <c r="DF972" s="70"/>
      <c r="DG972" s="70"/>
      <c r="DH972" s="70"/>
      <c r="DI972" s="70"/>
      <c r="DJ972" s="70"/>
      <c r="DK972" s="70"/>
      <c r="DL972" s="70"/>
      <c r="DM972" s="70"/>
      <c r="DN972" s="70"/>
      <c r="DO972" s="70"/>
      <c r="DP972" s="70"/>
      <c r="DQ972" s="70"/>
      <c r="DR972" s="70"/>
      <c r="DS972" s="70"/>
      <c r="DT972" s="70"/>
      <c r="DU972" s="70"/>
      <c r="DV972" s="70"/>
      <c r="DW972" s="70"/>
      <c r="DX972" s="70"/>
      <c r="DY972" s="70"/>
      <c r="DZ972" s="70"/>
      <c r="EA972" s="70"/>
      <c r="EB972" s="70"/>
      <c r="EC972" s="70"/>
      <c r="ED972" s="70"/>
      <c r="EE972" s="95" t="s">
        <v>450</v>
      </c>
      <c r="EF972" s="110"/>
      <c r="EG972" s="110"/>
      <c r="EH972" s="110"/>
      <c r="EI972" s="216"/>
      <c r="EJ972" s="110"/>
      <c r="EK972" s="110"/>
      <c r="EL972" s="110"/>
      <c r="EM972" s="110"/>
      <c r="EN972" s="110"/>
      <c r="EO972" s="110"/>
      <c r="EP972" s="110"/>
      <c r="EQ972" s="110"/>
      <c r="ER972" s="110"/>
      <c r="ES972" s="110"/>
      <c r="ET972" s="110"/>
      <c r="EU972" s="110"/>
      <c r="EV972" s="110"/>
      <c r="EW972" s="110"/>
      <c r="EX972" s="110"/>
      <c r="EY972" s="110"/>
      <c r="EZ972" s="110"/>
      <c r="FA972" s="110"/>
      <c r="FB972" s="110"/>
      <c r="FC972" s="110"/>
      <c r="FD972" s="110"/>
      <c r="FE972" s="110"/>
      <c r="FF972" s="110"/>
      <c r="FG972" s="110"/>
      <c r="FH972" s="110"/>
      <c r="FI972" s="110"/>
      <c r="FJ972" s="110"/>
      <c r="FK972" s="110"/>
      <c r="FL972" s="110"/>
      <c r="FM972" s="110"/>
      <c r="FN972" s="110"/>
      <c r="FO972" s="110"/>
      <c r="FP972" s="110"/>
      <c r="FQ972" s="110"/>
      <c r="FR972" s="110"/>
      <c r="FS972" s="110"/>
      <c r="FT972" s="110"/>
      <c r="FU972" s="110"/>
      <c r="FV972" s="110"/>
      <c r="FW972" s="110"/>
      <c r="FX972" s="110"/>
      <c r="FY972" s="110"/>
      <c r="FZ972" s="110"/>
      <c r="GA972" s="110"/>
      <c r="GB972" s="110"/>
      <c r="GC972" s="110"/>
      <c r="GD972" s="110"/>
      <c r="GE972" s="110"/>
      <c r="GF972" s="110"/>
      <c r="GG972" s="110"/>
      <c r="GH972" s="110"/>
      <c r="GI972" s="110"/>
      <c r="GJ972" s="110"/>
      <c r="GK972" s="110"/>
      <c r="GL972" s="110"/>
      <c r="GM972" s="110"/>
      <c r="GN972" s="110"/>
      <c r="GO972" s="110"/>
      <c r="GP972" s="110"/>
      <c r="GQ972" s="110"/>
      <c r="GR972" s="110"/>
      <c r="GS972" s="110"/>
      <c r="GT972" s="110"/>
      <c r="GU972" s="110"/>
      <c r="GV972" s="110"/>
      <c r="GW972" s="110"/>
      <c r="GX972" s="110"/>
      <c r="GY972" s="110"/>
      <c r="GZ972" s="110"/>
      <c r="HA972" s="110"/>
      <c r="HB972" s="110"/>
      <c r="HC972" s="110"/>
      <c r="HD972" s="110"/>
      <c r="HE972" s="110"/>
      <c r="HF972" s="110"/>
      <c r="HG972" s="110"/>
      <c r="HH972" s="110"/>
      <c r="HI972" s="110"/>
      <c r="HJ972" s="110"/>
      <c r="HK972" s="110"/>
      <c r="HL972" s="110"/>
      <c r="HM972" s="110"/>
      <c r="HN972" s="110"/>
      <c r="HO972" s="110"/>
      <c r="HP972" s="110"/>
      <c r="HQ972" s="110"/>
      <c r="HR972" s="110"/>
      <c r="HS972" s="110"/>
      <c r="HT972" s="110"/>
      <c r="HU972" s="110"/>
      <c r="HV972" s="110"/>
      <c r="HW972" s="110"/>
      <c r="HX972" s="110"/>
      <c r="HY972" s="110"/>
      <c r="HZ972" s="110"/>
      <c r="IA972" s="110"/>
      <c r="IB972" s="110"/>
      <c r="IC972" s="110"/>
      <c r="ID972" s="110"/>
      <c r="IE972" s="110"/>
      <c r="IF972" s="110"/>
      <c r="IG972" s="110"/>
      <c r="IH972" s="110"/>
      <c r="II972" s="110"/>
      <c r="IJ972" s="110"/>
      <c r="IK972" s="110"/>
      <c r="IL972" s="110"/>
      <c r="IM972" s="110"/>
      <c r="IN972" s="110"/>
      <c r="IO972" s="110"/>
      <c r="IP972" s="110"/>
    </row>
    <row r="973" spans="18:250" ht="16.5" hidden="1" customHeight="1">
      <c r="R973" s="95"/>
      <c r="S973" s="95"/>
      <c r="T973" s="95"/>
      <c r="U973" s="70"/>
      <c r="V973" s="214"/>
      <c r="W973" s="70"/>
      <c r="X973" s="70"/>
      <c r="Y973" s="70"/>
      <c r="Z973" s="70"/>
      <c r="AA973" s="70"/>
      <c r="AB973" s="70"/>
      <c r="AC973" s="70"/>
      <c r="AD973" s="70"/>
      <c r="AE973" s="70"/>
      <c r="AF973" s="70"/>
      <c r="AG973" s="70"/>
      <c r="AH973" s="70"/>
      <c r="AI973" s="70"/>
      <c r="AJ973" s="70"/>
      <c r="AK973" s="70"/>
      <c r="AL973" s="70"/>
      <c r="AM973" s="70"/>
      <c r="AN973" s="70"/>
      <c r="AO973" s="70"/>
      <c r="AP973" s="70"/>
      <c r="AQ973" s="70"/>
      <c r="AR973" s="70"/>
      <c r="AS973" s="70"/>
      <c r="AT973" s="70"/>
      <c r="AU973" s="70"/>
      <c r="AV973" s="70"/>
      <c r="AW973" s="70"/>
      <c r="AX973" s="70"/>
      <c r="AY973" s="70"/>
      <c r="AZ973" s="70"/>
      <c r="BA973" s="70"/>
      <c r="BB973" s="70"/>
      <c r="BC973" s="70"/>
      <c r="BD973" s="70"/>
      <c r="BE973" s="70"/>
      <c r="BF973" s="70"/>
      <c r="BG973" s="70"/>
      <c r="BH973" s="70"/>
      <c r="BI973" s="70"/>
      <c r="BJ973" s="70"/>
      <c r="BK973" s="70"/>
      <c r="BL973" s="70"/>
      <c r="BM973" s="70"/>
      <c r="BN973" s="70"/>
      <c r="BO973" s="70"/>
      <c r="BP973" s="70"/>
      <c r="BQ973" s="70"/>
      <c r="BR973" s="70"/>
      <c r="BS973" s="70"/>
      <c r="BT973" s="70"/>
      <c r="BU973" s="70"/>
      <c r="BV973" s="70"/>
      <c r="BW973" s="70"/>
      <c r="BX973" s="70"/>
      <c r="BY973" s="70"/>
      <c r="BZ973" s="70"/>
      <c r="CA973" s="70"/>
      <c r="CB973" s="70"/>
      <c r="CC973" s="70"/>
      <c r="CD973" s="70"/>
      <c r="CE973" s="70"/>
      <c r="CF973" s="70"/>
      <c r="CG973" s="70"/>
      <c r="CH973" s="70"/>
      <c r="CI973" s="70"/>
      <c r="CJ973" s="70"/>
      <c r="CK973" s="70"/>
      <c r="CL973" s="70"/>
      <c r="CM973" s="70"/>
      <c r="CN973" s="70"/>
      <c r="CO973" s="70"/>
      <c r="CP973" s="70"/>
      <c r="CQ973" s="70"/>
      <c r="CR973" s="70"/>
      <c r="CS973" s="70"/>
      <c r="CT973" s="70"/>
      <c r="CU973" s="70"/>
      <c r="CV973" s="70"/>
      <c r="CW973" s="70"/>
      <c r="CX973" s="70"/>
      <c r="CY973" s="70"/>
      <c r="CZ973" s="70"/>
      <c r="DA973" s="70"/>
      <c r="DB973" s="70"/>
      <c r="DC973" s="70"/>
      <c r="DD973" s="70"/>
      <c r="DE973" s="70"/>
      <c r="DF973" s="70"/>
      <c r="DG973" s="70"/>
      <c r="DH973" s="70"/>
      <c r="DI973" s="70"/>
      <c r="DJ973" s="70"/>
      <c r="DK973" s="70"/>
      <c r="DL973" s="70"/>
      <c r="DM973" s="70"/>
      <c r="DN973" s="70"/>
      <c r="DO973" s="70"/>
      <c r="DP973" s="70"/>
      <c r="DQ973" s="70"/>
      <c r="DR973" s="70"/>
      <c r="DS973" s="70"/>
      <c r="DT973" s="70"/>
      <c r="DU973" s="70"/>
      <c r="DV973" s="70"/>
      <c r="DW973" s="70"/>
      <c r="DX973" s="70"/>
      <c r="DY973" s="70"/>
      <c r="DZ973" s="70"/>
      <c r="EA973" s="70"/>
      <c r="EB973" s="70"/>
      <c r="EC973" s="70"/>
      <c r="ED973" s="70"/>
      <c r="EE973" s="95" t="s">
        <v>450</v>
      </c>
      <c r="EF973" s="110"/>
      <c r="EG973" s="110"/>
      <c r="EH973" s="110"/>
      <c r="EI973" s="216"/>
      <c r="EJ973" s="110"/>
      <c r="EK973" s="110"/>
      <c r="EL973" s="110"/>
      <c r="EM973" s="110"/>
      <c r="EN973" s="110"/>
      <c r="EO973" s="110"/>
      <c r="EP973" s="110"/>
      <c r="EQ973" s="110"/>
      <c r="ER973" s="110"/>
      <c r="ES973" s="110"/>
      <c r="ET973" s="110"/>
      <c r="EU973" s="110"/>
      <c r="EV973" s="110"/>
      <c r="EW973" s="110"/>
      <c r="EX973" s="110"/>
      <c r="EY973" s="110"/>
      <c r="EZ973" s="110"/>
      <c r="FA973" s="110"/>
      <c r="FB973" s="110"/>
      <c r="FC973" s="110"/>
      <c r="FD973" s="110"/>
      <c r="FE973" s="110"/>
      <c r="FF973" s="110"/>
      <c r="FG973" s="110"/>
      <c r="FH973" s="110"/>
      <c r="FI973" s="110"/>
      <c r="FJ973" s="110"/>
      <c r="FK973" s="110"/>
      <c r="FL973" s="110"/>
      <c r="FM973" s="110"/>
      <c r="FN973" s="110"/>
      <c r="FO973" s="110"/>
      <c r="FP973" s="110"/>
      <c r="FQ973" s="110"/>
      <c r="FR973" s="110"/>
      <c r="FS973" s="110"/>
      <c r="FT973" s="110"/>
      <c r="FU973" s="110"/>
      <c r="FV973" s="110"/>
      <c r="FW973" s="110"/>
      <c r="FX973" s="110"/>
      <c r="FY973" s="110"/>
      <c r="FZ973" s="110"/>
      <c r="GA973" s="110"/>
      <c r="GB973" s="110"/>
      <c r="GC973" s="110"/>
      <c r="GD973" s="110"/>
      <c r="GE973" s="110"/>
      <c r="GF973" s="110"/>
      <c r="GG973" s="110"/>
      <c r="GH973" s="110"/>
      <c r="GI973" s="110"/>
      <c r="GJ973" s="110"/>
      <c r="GK973" s="110"/>
      <c r="GL973" s="110"/>
      <c r="GM973" s="110"/>
      <c r="GN973" s="110"/>
      <c r="GO973" s="110"/>
      <c r="GP973" s="110"/>
      <c r="GQ973" s="110"/>
      <c r="GR973" s="110"/>
      <c r="GS973" s="110"/>
      <c r="GT973" s="110"/>
      <c r="GU973" s="110"/>
      <c r="GV973" s="110"/>
      <c r="GW973" s="110"/>
      <c r="GX973" s="110"/>
      <c r="GY973" s="110"/>
      <c r="GZ973" s="110"/>
      <c r="HA973" s="110"/>
      <c r="HB973" s="110"/>
      <c r="HC973" s="110"/>
      <c r="HD973" s="110"/>
      <c r="HE973" s="110"/>
      <c r="HF973" s="110"/>
      <c r="HG973" s="110"/>
      <c r="HH973" s="110"/>
      <c r="HI973" s="110"/>
      <c r="HJ973" s="110"/>
      <c r="HK973" s="110"/>
      <c r="HL973" s="110"/>
      <c r="HM973" s="110"/>
      <c r="HN973" s="110"/>
      <c r="HO973" s="110"/>
      <c r="HP973" s="110"/>
      <c r="HQ973" s="110"/>
      <c r="HR973" s="110"/>
      <c r="HS973" s="110"/>
      <c r="HT973" s="110"/>
      <c r="HU973" s="110"/>
      <c r="HV973" s="110"/>
      <c r="HW973" s="110"/>
      <c r="HX973" s="110"/>
      <c r="HY973" s="110"/>
      <c r="HZ973" s="110"/>
      <c r="IA973" s="110"/>
      <c r="IB973" s="110"/>
      <c r="IC973" s="110"/>
      <c r="ID973" s="110"/>
      <c r="IE973" s="110"/>
      <c r="IF973" s="110"/>
      <c r="IG973" s="110"/>
      <c r="IH973" s="110"/>
      <c r="II973" s="110"/>
      <c r="IJ973" s="110"/>
      <c r="IK973" s="110"/>
      <c r="IL973" s="110"/>
      <c r="IM973" s="110"/>
      <c r="IN973" s="110"/>
      <c r="IO973" s="110"/>
      <c r="IP973" s="110"/>
    </row>
    <row r="974" spans="18:250" ht="16.5" hidden="1" customHeight="1">
      <c r="R974" s="95"/>
      <c r="S974" s="95"/>
      <c r="T974" s="95"/>
      <c r="U974" s="70"/>
      <c r="V974" s="214"/>
      <c r="W974" s="70"/>
      <c r="X974" s="70"/>
      <c r="Y974" s="70"/>
      <c r="Z974" s="70"/>
      <c r="AA974" s="70"/>
      <c r="AB974" s="70"/>
      <c r="AC974" s="70"/>
      <c r="AD974" s="70"/>
      <c r="AE974" s="70"/>
      <c r="AF974" s="70"/>
      <c r="AG974" s="70"/>
      <c r="AH974" s="70"/>
      <c r="AI974" s="70"/>
      <c r="AJ974" s="70"/>
      <c r="AK974" s="70"/>
      <c r="AL974" s="70"/>
      <c r="AM974" s="70"/>
      <c r="AN974" s="70"/>
      <c r="AO974" s="70"/>
      <c r="AP974" s="70"/>
      <c r="AQ974" s="70"/>
      <c r="AR974" s="70"/>
      <c r="AS974" s="70"/>
      <c r="AT974" s="70"/>
      <c r="AU974" s="70"/>
      <c r="AV974" s="70"/>
      <c r="AW974" s="70"/>
      <c r="AX974" s="70"/>
      <c r="AY974" s="70"/>
      <c r="AZ974" s="70"/>
      <c r="BA974" s="70"/>
      <c r="BB974" s="70"/>
      <c r="BC974" s="70"/>
      <c r="BD974" s="70"/>
      <c r="BE974" s="70"/>
      <c r="BF974" s="70"/>
      <c r="BG974" s="70"/>
      <c r="BH974" s="70"/>
      <c r="BI974" s="70"/>
      <c r="BJ974" s="70"/>
      <c r="BK974" s="70"/>
      <c r="BL974" s="70"/>
      <c r="BM974" s="70"/>
      <c r="BN974" s="70"/>
      <c r="BO974" s="70"/>
      <c r="BP974" s="70"/>
      <c r="BQ974" s="70"/>
      <c r="BR974" s="70"/>
      <c r="BS974" s="70"/>
      <c r="BT974" s="70"/>
      <c r="BU974" s="70"/>
      <c r="BV974" s="70"/>
      <c r="BW974" s="70"/>
      <c r="BX974" s="70"/>
      <c r="BY974" s="70"/>
      <c r="BZ974" s="70"/>
      <c r="CA974" s="70"/>
      <c r="CB974" s="70"/>
      <c r="CC974" s="70"/>
      <c r="CD974" s="70"/>
      <c r="CE974" s="70"/>
      <c r="CF974" s="70"/>
      <c r="CG974" s="70"/>
      <c r="CH974" s="70"/>
      <c r="CI974" s="70"/>
      <c r="CJ974" s="70"/>
      <c r="CK974" s="70"/>
      <c r="CL974" s="70"/>
      <c r="CM974" s="70"/>
      <c r="CN974" s="70"/>
      <c r="CO974" s="70"/>
      <c r="CP974" s="70"/>
      <c r="CQ974" s="70"/>
      <c r="CR974" s="70"/>
      <c r="CS974" s="70"/>
      <c r="CT974" s="70"/>
      <c r="CU974" s="70"/>
      <c r="CV974" s="70"/>
      <c r="CW974" s="70"/>
      <c r="CX974" s="70"/>
      <c r="CY974" s="70"/>
      <c r="CZ974" s="70"/>
      <c r="DA974" s="70"/>
      <c r="DB974" s="70"/>
      <c r="DC974" s="70"/>
      <c r="DD974" s="70"/>
      <c r="DE974" s="70"/>
      <c r="DF974" s="70"/>
      <c r="DG974" s="70"/>
      <c r="DH974" s="70"/>
      <c r="DI974" s="70"/>
      <c r="DJ974" s="70"/>
      <c r="DK974" s="70"/>
      <c r="DL974" s="70"/>
      <c r="DM974" s="70"/>
      <c r="DN974" s="70"/>
      <c r="DO974" s="70"/>
      <c r="DP974" s="70"/>
      <c r="DQ974" s="70"/>
      <c r="DR974" s="70"/>
      <c r="DS974" s="70"/>
      <c r="DT974" s="70"/>
      <c r="DU974" s="70"/>
      <c r="DV974" s="70"/>
      <c r="DW974" s="70"/>
      <c r="DX974" s="70"/>
      <c r="DY974" s="70"/>
      <c r="DZ974" s="70"/>
      <c r="EA974" s="70"/>
      <c r="EB974" s="70"/>
      <c r="EC974" s="70"/>
      <c r="ED974" s="70"/>
      <c r="EE974" s="95" t="s">
        <v>450</v>
      </c>
      <c r="EF974" s="110"/>
      <c r="EG974" s="110"/>
      <c r="EH974" s="110"/>
      <c r="EI974" s="216"/>
      <c r="EJ974" s="110"/>
      <c r="EK974" s="110"/>
      <c r="EL974" s="110"/>
      <c r="EM974" s="110"/>
      <c r="EN974" s="110"/>
      <c r="EO974" s="110"/>
      <c r="EP974" s="110"/>
      <c r="EQ974" s="110"/>
      <c r="ER974" s="110"/>
      <c r="ES974" s="110"/>
      <c r="ET974" s="110"/>
      <c r="EU974" s="110"/>
      <c r="EV974" s="110"/>
      <c r="EW974" s="110"/>
      <c r="EX974" s="110"/>
      <c r="EY974" s="110"/>
      <c r="EZ974" s="110"/>
      <c r="FA974" s="110"/>
      <c r="FB974" s="110"/>
      <c r="FC974" s="110"/>
      <c r="FD974" s="110"/>
      <c r="FE974" s="110"/>
      <c r="FF974" s="110"/>
      <c r="FG974" s="110"/>
      <c r="FH974" s="110"/>
      <c r="FI974" s="110"/>
      <c r="FJ974" s="110"/>
      <c r="FK974" s="110"/>
      <c r="FL974" s="110"/>
      <c r="FM974" s="110"/>
      <c r="FN974" s="110"/>
      <c r="FO974" s="110"/>
      <c r="FP974" s="110"/>
      <c r="FQ974" s="110"/>
      <c r="FR974" s="110"/>
      <c r="FS974" s="110"/>
      <c r="FT974" s="110"/>
      <c r="FU974" s="110"/>
      <c r="FV974" s="110"/>
      <c r="FW974" s="110"/>
      <c r="FX974" s="110"/>
      <c r="FY974" s="110"/>
      <c r="FZ974" s="110"/>
      <c r="GA974" s="110"/>
      <c r="GB974" s="110"/>
      <c r="GC974" s="110"/>
      <c r="GD974" s="110"/>
      <c r="GE974" s="110"/>
      <c r="GF974" s="110"/>
      <c r="GG974" s="110"/>
      <c r="GH974" s="110"/>
      <c r="GI974" s="110"/>
      <c r="GJ974" s="110"/>
      <c r="GK974" s="110"/>
      <c r="GL974" s="110"/>
      <c r="GM974" s="110"/>
      <c r="GN974" s="110"/>
      <c r="GO974" s="110"/>
      <c r="GP974" s="110"/>
      <c r="GQ974" s="110"/>
      <c r="GR974" s="110"/>
      <c r="GS974" s="110"/>
      <c r="GT974" s="110"/>
      <c r="GU974" s="110"/>
      <c r="GV974" s="110"/>
      <c r="GW974" s="110"/>
      <c r="GX974" s="110"/>
      <c r="GY974" s="110"/>
      <c r="GZ974" s="110"/>
      <c r="HA974" s="110"/>
      <c r="HB974" s="110"/>
      <c r="HC974" s="110"/>
      <c r="HD974" s="110"/>
      <c r="HE974" s="110"/>
      <c r="HF974" s="110"/>
      <c r="HG974" s="110"/>
      <c r="HH974" s="110"/>
      <c r="HI974" s="110"/>
      <c r="HJ974" s="110"/>
      <c r="HK974" s="110"/>
      <c r="HL974" s="110"/>
      <c r="HM974" s="110"/>
      <c r="HN974" s="110"/>
      <c r="HO974" s="110"/>
      <c r="HP974" s="110"/>
      <c r="HQ974" s="110"/>
      <c r="HR974" s="110"/>
      <c r="HS974" s="110"/>
      <c r="HT974" s="110"/>
      <c r="HU974" s="110"/>
      <c r="HV974" s="110"/>
      <c r="HW974" s="110"/>
      <c r="HX974" s="110"/>
      <c r="HY974" s="110"/>
      <c r="HZ974" s="110"/>
      <c r="IA974" s="110"/>
      <c r="IB974" s="110"/>
      <c r="IC974" s="110"/>
      <c r="ID974" s="110"/>
      <c r="IE974" s="110"/>
      <c r="IF974" s="110"/>
      <c r="IG974" s="110"/>
      <c r="IH974" s="110"/>
      <c r="II974" s="110"/>
      <c r="IJ974" s="110"/>
      <c r="IK974" s="110"/>
      <c r="IL974" s="110"/>
      <c r="IM974" s="110"/>
      <c r="IN974" s="110"/>
      <c r="IO974" s="110"/>
      <c r="IP974" s="110"/>
    </row>
    <row r="975" spans="18:250" ht="16.5" hidden="1" customHeight="1">
      <c r="R975" s="95"/>
      <c r="S975" s="95"/>
      <c r="T975" s="95"/>
      <c r="U975" s="70"/>
      <c r="V975" s="214"/>
      <c r="W975" s="70"/>
      <c r="X975" s="70"/>
      <c r="Y975" s="70"/>
      <c r="Z975" s="70"/>
      <c r="AA975" s="70"/>
      <c r="AB975" s="70"/>
      <c r="AC975" s="70"/>
      <c r="AD975" s="70"/>
      <c r="AE975" s="70"/>
      <c r="AF975" s="70"/>
      <c r="AG975" s="70"/>
      <c r="AH975" s="70"/>
      <c r="AI975" s="70"/>
      <c r="AJ975" s="70"/>
      <c r="AK975" s="70"/>
      <c r="AL975" s="70"/>
      <c r="AM975" s="70"/>
      <c r="AN975" s="70"/>
      <c r="AO975" s="70"/>
      <c r="AP975" s="70"/>
      <c r="AQ975" s="70"/>
      <c r="AR975" s="70"/>
      <c r="AS975" s="70"/>
      <c r="AT975" s="70"/>
      <c r="AU975" s="70"/>
      <c r="AV975" s="70"/>
      <c r="AW975" s="70"/>
      <c r="AX975" s="70"/>
      <c r="AY975" s="70"/>
      <c r="AZ975" s="70"/>
      <c r="BA975" s="70"/>
      <c r="BB975" s="70"/>
      <c r="BC975" s="70"/>
      <c r="BD975" s="70"/>
      <c r="BE975" s="70"/>
      <c r="BF975" s="70"/>
      <c r="BG975" s="70"/>
      <c r="BH975" s="70"/>
      <c r="BI975" s="70"/>
      <c r="BJ975" s="70"/>
      <c r="BK975" s="70"/>
      <c r="BL975" s="70"/>
      <c r="BM975" s="70"/>
      <c r="BN975" s="70"/>
      <c r="BO975" s="70"/>
      <c r="BP975" s="70"/>
      <c r="BQ975" s="70"/>
      <c r="BR975" s="70"/>
      <c r="BS975" s="70"/>
      <c r="BT975" s="70"/>
      <c r="BU975" s="70"/>
      <c r="BV975" s="70"/>
      <c r="BW975" s="70"/>
      <c r="BX975" s="70"/>
      <c r="BY975" s="70"/>
      <c r="BZ975" s="70"/>
      <c r="CA975" s="70"/>
      <c r="CB975" s="70"/>
      <c r="CC975" s="70"/>
      <c r="CD975" s="70"/>
      <c r="CE975" s="70"/>
      <c r="CF975" s="70"/>
      <c r="CG975" s="70"/>
      <c r="CH975" s="70"/>
      <c r="CI975" s="70"/>
      <c r="CJ975" s="70"/>
      <c r="CK975" s="70"/>
      <c r="CL975" s="70"/>
      <c r="CM975" s="70"/>
      <c r="CN975" s="70"/>
      <c r="CO975" s="70"/>
      <c r="CP975" s="70"/>
      <c r="CQ975" s="70"/>
      <c r="CR975" s="70"/>
      <c r="CS975" s="70"/>
      <c r="CT975" s="70"/>
      <c r="CU975" s="70"/>
      <c r="CV975" s="70"/>
      <c r="CW975" s="70"/>
      <c r="CX975" s="70"/>
      <c r="CY975" s="70"/>
      <c r="CZ975" s="70"/>
      <c r="DA975" s="70"/>
      <c r="DB975" s="70"/>
      <c r="DC975" s="70"/>
      <c r="DD975" s="70"/>
      <c r="DE975" s="70"/>
      <c r="DF975" s="70"/>
      <c r="DG975" s="70"/>
      <c r="DH975" s="70"/>
      <c r="DI975" s="70"/>
      <c r="DJ975" s="70"/>
      <c r="DK975" s="70"/>
      <c r="DL975" s="70"/>
      <c r="DM975" s="70"/>
      <c r="DN975" s="70"/>
      <c r="DO975" s="70"/>
      <c r="DP975" s="70"/>
      <c r="DQ975" s="70"/>
      <c r="DR975" s="70"/>
      <c r="DS975" s="70"/>
      <c r="DT975" s="70"/>
      <c r="DU975" s="70"/>
      <c r="DV975" s="70"/>
      <c r="DW975" s="70"/>
      <c r="DX975" s="70"/>
      <c r="DY975" s="70"/>
      <c r="DZ975" s="70"/>
      <c r="EA975" s="70"/>
      <c r="EB975" s="70"/>
      <c r="EC975" s="70"/>
      <c r="ED975" s="70"/>
      <c r="EE975" s="95" t="s">
        <v>450</v>
      </c>
      <c r="EF975" s="110"/>
      <c r="EG975" s="110"/>
      <c r="EH975" s="110"/>
      <c r="EI975" s="216"/>
      <c r="EJ975" s="110"/>
      <c r="EK975" s="110"/>
      <c r="EL975" s="110"/>
      <c r="EM975" s="110"/>
      <c r="EN975" s="110"/>
      <c r="EO975" s="110"/>
      <c r="EP975" s="110"/>
      <c r="EQ975" s="110"/>
      <c r="ER975" s="110"/>
      <c r="ES975" s="110"/>
      <c r="ET975" s="110"/>
      <c r="EU975" s="110"/>
      <c r="EV975" s="110"/>
      <c r="EW975" s="110"/>
      <c r="EX975" s="110"/>
      <c r="EY975" s="110"/>
      <c r="EZ975" s="110"/>
      <c r="FA975" s="110"/>
      <c r="FB975" s="110"/>
      <c r="FC975" s="110"/>
      <c r="FD975" s="110"/>
      <c r="FE975" s="110"/>
      <c r="FF975" s="110"/>
      <c r="FG975" s="110"/>
      <c r="FH975" s="110"/>
      <c r="FI975" s="110"/>
      <c r="FJ975" s="110"/>
      <c r="FK975" s="110"/>
      <c r="FL975" s="110"/>
      <c r="FM975" s="110"/>
      <c r="FN975" s="110"/>
      <c r="FO975" s="110"/>
      <c r="FP975" s="110"/>
      <c r="FQ975" s="110"/>
      <c r="FR975" s="110"/>
      <c r="FS975" s="110"/>
      <c r="FT975" s="110"/>
      <c r="FU975" s="110"/>
      <c r="FV975" s="110"/>
      <c r="FW975" s="110"/>
      <c r="FX975" s="110"/>
      <c r="FY975" s="110"/>
      <c r="FZ975" s="110"/>
      <c r="GA975" s="110"/>
      <c r="GB975" s="110"/>
      <c r="GC975" s="110"/>
      <c r="GD975" s="110"/>
      <c r="GE975" s="110"/>
      <c r="GF975" s="110"/>
      <c r="GG975" s="110"/>
      <c r="GH975" s="110"/>
      <c r="GI975" s="110"/>
      <c r="GJ975" s="110"/>
      <c r="GK975" s="110"/>
      <c r="GL975" s="110"/>
      <c r="GM975" s="110"/>
      <c r="GN975" s="110"/>
      <c r="GO975" s="110"/>
      <c r="GP975" s="110"/>
      <c r="GQ975" s="110"/>
      <c r="GR975" s="110"/>
      <c r="GS975" s="110"/>
      <c r="GT975" s="110"/>
      <c r="GU975" s="110"/>
      <c r="GV975" s="110"/>
      <c r="GW975" s="110"/>
      <c r="GX975" s="110"/>
      <c r="GY975" s="110"/>
      <c r="GZ975" s="110"/>
      <c r="HA975" s="110"/>
      <c r="HB975" s="110"/>
      <c r="HC975" s="110"/>
      <c r="HD975" s="110"/>
      <c r="HE975" s="110"/>
      <c r="HF975" s="110"/>
      <c r="HG975" s="110"/>
      <c r="HH975" s="110"/>
      <c r="HI975" s="110"/>
      <c r="HJ975" s="110"/>
      <c r="HK975" s="110"/>
      <c r="HL975" s="110"/>
      <c r="HM975" s="110"/>
      <c r="HN975" s="110"/>
      <c r="HO975" s="110"/>
      <c r="HP975" s="110"/>
      <c r="HQ975" s="110"/>
      <c r="HR975" s="110"/>
      <c r="HS975" s="110"/>
      <c r="HT975" s="110"/>
      <c r="HU975" s="110"/>
      <c r="HV975" s="110"/>
      <c r="HW975" s="110"/>
      <c r="HX975" s="110"/>
      <c r="HY975" s="110"/>
      <c r="HZ975" s="110"/>
      <c r="IA975" s="110"/>
      <c r="IB975" s="110"/>
      <c r="IC975" s="110"/>
      <c r="ID975" s="110"/>
      <c r="IE975" s="110"/>
      <c r="IF975" s="110"/>
      <c r="IG975" s="110"/>
      <c r="IH975" s="110"/>
      <c r="II975" s="110"/>
      <c r="IJ975" s="110"/>
      <c r="IK975" s="110"/>
      <c r="IL975" s="110"/>
      <c r="IM975" s="110"/>
      <c r="IN975" s="110"/>
      <c r="IO975" s="110"/>
      <c r="IP975" s="110"/>
    </row>
    <row r="976" spans="18:250" ht="16.5" hidden="1" customHeight="1">
      <c r="R976" s="95"/>
      <c r="S976" s="95"/>
      <c r="T976" s="95"/>
      <c r="U976" s="70"/>
      <c r="V976" s="214"/>
      <c r="W976" s="70"/>
      <c r="X976" s="70"/>
      <c r="Y976" s="70"/>
      <c r="Z976" s="70"/>
      <c r="AA976" s="70"/>
      <c r="AB976" s="70"/>
      <c r="AC976" s="70"/>
      <c r="AD976" s="70"/>
      <c r="AE976" s="70"/>
      <c r="AF976" s="70"/>
      <c r="AG976" s="70"/>
      <c r="AH976" s="70"/>
      <c r="AI976" s="70"/>
      <c r="AJ976" s="70"/>
      <c r="AK976" s="70"/>
      <c r="AL976" s="70"/>
      <c r="AM976" s="70"/>
      <c r="AN976" s="70"/>
      <c r="AO976" s="70"/>
      <c r="AP976" s="70"/>
      <c r="AQ976" s="70"/>
      <c r="AR976" s="70"/>
      <c r="AS976" s="70"/>
      <c r="AT976" s="70"/>
      <c r="AU976" s="70"/>
      <c r="AV976" s="70"/>
      <c r="AW976" s="70"/>
      <c r="AX976" s="70"/>
      <c r="AY976" s="70"/>
      <c r="AZ976" s="70"/>
      <c r="BA976" s="70"/>
      <c r="BB976" s="70"/>
      <c r="BC976" s="70"/>
      <c r="BD976" s="70"/>
      <c r="BE976" s="70"/>
      <c r="BF976" s="70"/>
      <c r="BG976" s="70"/>
      <c r="BH976" s="70"/>
      <c r="BI976" s="70"/>
      <c r="BJ976" s="70"/>
      <c r="BK976" s="70"/>
      <c r="BL976" s="70"/>
      <c r="BM976" s="70"/>
      <c r="BN976" s="70"/>
      <c r="BO976" s="70"/>
      <c r="BP976" s="70"/>
      <c r="BQ976" s="70"/>
      <c r="BR976" s="70"/>
      <c r="BS976" s="70"/>
      <c r="BT976" s="70"/>
      <c r="BU976" s="70"/>
      <c r="BV976" s="70"/>
      <c r="BW976" s="70"/>
      <c r="BX976" s="70"/>
      <c r="BY976" s="70"/>
      <c r="BZ976" s="70"/>
      <c r="CA976" s="70"/>
      <c r="CB976" s="70"/>
      <c r="CC976" s="70"/>
      <c r="CD976" s="70"/>
      <c r="CE976" s="70"/>
      <c r="CF976" s="70"/>
      <c r="CG976" s="70"/>
      <c r="CH976" s="70"/>
      <c r="CI976" s="70"/>
      <c r="CJ976" s="70"/>
      <c r="CK976" s="70"/>
      <c r="CL976" s="70"/>
      <c r="CM976" s="70"/>
      <c r="CN976" s="70"/>
      <c r="CO976" s="70"/>
      <c r="CP976" s="70"/>
      <c r="CQ976" s="70"/>
      <c r="CR976" s="70"/>
      <c r="CS976" s="70"/>
      <c r="CT976" s="70"/>
      <c r="CU976" s="70"/>
      <c r="CV976" s="70"/>
      <c r="CW976" s="70"/>
      <c r="CX976" s="70"/>
      <c r="CY976" s="70"/>
      <c r="CZ976" s="70"/>
      <c r="DA976" s="70"/>
      <c r="DB976" s="70"/>
      <c r="DC976" s="70"/>
      <c r="DD976" s="70"/>
      <c r="DE976" s="70"/>
      <c r="DF976" s="70"/>
      <c r="DG976" s="70"/>
      <c r="DH976" s="70"/>
      <c r="DI976" s="70"/>
      <c r="DJ976" s="70"/>
      <c r="DK976" s="70"/>
      <c r="DL976" s="70"/>
      <c r="DM976" s="70"/>
      <c r="DN976" s="70"/>
      <c r="DO976" s="70"/>
      <c r="DP976" s="70"/>
      <c r="DQ976" s="70"/>
      <c r="DR976" s="70"/>
      <c r="DS976" s="70"/>
      <c r="DT976" s="70"/>
      <c r="DU976" s="70"/>
      <c r="DV976" s="70"/>
      <c r="DW976" s="70"/>
      <c r="DX976" s="70"/>
      <c r="DY976" s="70"/>
      <c r="DZ976" s="70"/>
      <c r="EA976" s="70"/>
      <c r="EB976" s="70"/>
      <c r="EC976" s="70"/>
      <c r="ED976" s="70"/>
      <c r="EE976" s="95" t="s">
        <v>450</v>
      </c>
      <c r="EF976" s="110"/>
      <c r="EG976" s="110"/>
      <c r="EH976" s="110"/>
      <c r="EI976" s="216"/>
      <c r="EJ976" s="110"/>
      <c r="EK976" s="110"/>
      <c r="EL976" s="110"/>
      <c r="EM976" s="110"/>
      <c r="EN976" s="110"/>
      <c r="EO976" s="110"/>
      <c r="EP976" s="110"/>
      <c r="EQ976" s="110"/>
      <c r="ER976" s="110"/>
      <c r="ES976" s="110"/>
      <c r="ET976" s="110"/>
      <c r="EU976" s="110"/>
      <c r="EV976" s="110"/>
      <c r="EW976" s="110"/>
      <c r="EX976" s="110"/>
      <c r="EY976" s="110"/>
      <c r="EZ976" s="110"/>
      <c r="FA976" s="110"/>
      <c r="FB976" s="110"/>
      <c r="FC976" s="110"/>
      <c r="FD976" s="110"/>
      <c r="FE976" s="110"/>
      <c r="FF976" s="110"/>
      <c r="FG976" s="110"/>
      <c r="FH976" s="110"/>
      <c r="FI976" s="110"/>
      <c r="FJ976" s="110"/>
      <c r="FK976" s="110"/>
      <c r="FL976" s="110"/>
      <c r="FM976" s="110"/>
      <c r="FN976" s="110"/>
      <c r="FO976" s="110"/>
      <c r="FP976" s="110"/>
      <c r="FQ976" s="110"/>
      <c r="FR976" s="110"/>
      <c r="FS976" s="110"/>
      <c r="FT976" s="110"/>
      <c r="FU976" s="110"/>
      <c r="FV976" s="110"/>
      <c r="FW976" s="110"/>
      <c r="FX976" s="110"/>
      <c r="FY976" s="110"/>
      <c r="FZ976" s="110"/>
      <c r="GA976" s="110"/>
      <c r="GB976" s="110"/>
      <c r="GC976" s="110"/>
      <c r="GD976" s="110"/>
      <c r="GE976" s="110"/>
      <c r="GF976" s="110"/>
      <c r="GG976" s="110"/>
      <c r="GH976" s="110"/>
      <c r="GI976" s="110"/>
      <c r="GJ976" s="110"/>
      <c r="GK976" s="110"/>
      <c r="GL976" s="110"/>
      <c r="GM976" s="110"/>
      <c r="GN976" s="110"/>
      <c r="GO976" s="110"/>
      <c r="GP976" s="110"/>
      <c r="GQ976" s="110"/>
      <c r="GR976" s="110"/>
      <c r="GS976" s="110"/>
      <c r="GT976" s="110"/>
      <c r="GU976" s="110"/>
      <c r="GV976" s="110"/>
      <c r="GW976" s="110"/>
      <c r="GX976" s="110"/>
      <c r="GY976" s="110"/>
      <c r="GZ976" s="110"/>
      <c r="HA976" s="110"/>
      <c r="HB976" s="110"/>
      <c r="HC976" s="110"/>
      <c r="HD976" s="110"/>
      <c r="HE976" s="110"/>
      <c r="HF976" s="110"/>
      <c r="HG976" s="110"/>
      <c r="HH976" s="110"/>
      <c r="HI976" s="110"/>
      <c r="HJ976" s="110"/>
      <c r="HK976" s="110"/>
      <c r="HL976" s="110"/>
      <c r="HM976" s="110"/>
      <c r="HN976" s="110"/>
      <c r="HO976" s="110"/>
      <c r="HP976" s="110"/>
      <c r="HQ976" s="110"/>
      <c r="HR976" s="110"/>
      <c r="HS976" s="110"/>
      <c r="HT976" s="110"/>
      <c r="HU976" s="110"/>
      <c r="HV976" s="110"/>
      <c r="HW976" s="110"/>
      <c r="HX976" s="110"/>
      <c r="HY976" s="110"/>
      <c r="HZ976" s="110"/>
      <c r="IA976" s="110"/>
      <c r="IB976" s="110"/>
      <c r="IC976" s="110"/>
      <c r="ID976" s="110"/>
      <c r="IE976" s="110"/>
      <c r="IF976" s="110"/>
      <c r="IG976" s="110"/>
      <c r="IH976" s="110"/>
      <c r="II976" s="110"/>
      <c r="IJ976" s="110"/>
      <c r="IK976" s="110"/>
      <c r="IL976" s="110"/>
      <c r="IM976" s="110"/>
      <c r="IN976" s="110"/>
      <c r="IO976" s="110"/>
      <c r="IP976" s="110"/>
    </row>
    <row r="977" spans="18:250" ht="16.5" hidden="1" customHeight="1">
      <c r="R977" s="95"/>
      <c r="S977" s="95"/>
      <c r="T977" s="95"/>
      <c r="U977" s="70"/>
      <c r="V977" s="214"/>
      <c r="W977" s="70"/>
      <c r="X977" s="70"/>
      <c r="Y977" s="70"/>
      <c r="Z977" s="70"/>
      <c r="AA977" s="70"/>
      <c r="AB977" s="70"/>
      <c r="AC977" s="70"/>
      <c r="AD977" s="70"/>
      <c r="AE977" s="70"/>
      <c r="AF977" s="70"/>
      <c r="AG977" s="70"/>
      <c r="AH977" s="70"/>
      <c r="AI977" s="70"/>
      <c r="AJ977" s="70"/>
      <c r="AK977" s="70"/>
      <c r="AL977" s="70"/>
      <c r="AM977" s="70"/>
      <c r="AN977" s="70"/>
      <c r="AO977" s="70"/>
      <c r="AP977" s="70"/>
      <c r="AQ977" s="70"/>
      <c r="AR977" s="70"/>
      <c r="AS977" s="70"/>
      <c r="AT977" s="70"/>
      <c r="AU977" s="70"/>
      <c r="AV977" s="70"/>
      <c r="AW977" s="70"/>
      <c r="AX977" s="70"/>
      <c r="AY977" s="70"/>
      <c r="AZ977" s="70"/>
      <c r="BA977" s="70"/>
      <c r="BB977" s="70"/>
      <c r="BC977" s="70"/>
      <c r="BD977" s="70"/>
      <c r="BE977" s="70"/>
      <c r="BF977" s="70"/>
      <c r="BG977" s="70"/>
      <c r="BH977" s="70"/>
      <c r="BI977" s="70"/>
      <c r="BJ977" s="70"/>
      <c r="BK977" s="70"/>
      <c r="BL977" s="70"/>
      <c r="BM977" s="70"/>
      <c r="BN977" s="70"/>
      <c r="BO977" s="70"/>
      <c r="BP977" s="70"/>
      <c r="BQ977" s="70"/>
      <c r="BR977" s="70"/>
      <c r="BS977" s="70"/>
      <c r="BT977" s="70"/>
      <c r="BU977" s="70"/>
      <c r="BV977" s="70"/>
      <c r="BW977" s="70"/>
      <c r="BX977" s="70"/>
      <c r="BY977" s="70"/>
      <c r="BZ977" s="70"/>
      <c r="CA977" s="70"/>
      <c r="CB977" s="70"/>
      <c r="CC977" s="70"/>
      <c r="CD977" s="70"/>
      <c r="CE977" s="70"/>
      <c r="CF977" s="70"/>
      <c r="CG977" s="70"/>
      <c r="CH977" s="70"/>
      <c r="CI977" s="70"/>
      <c r="CJ977" s="70"/>
      <c r="CK977" s="70"/>
      <c r="CL977" s="70"/>
      <c r="CM977" s="70"/>
      <c r="CN977" s="70"/>
      <c r="CO977" s="70"/>
      <c r="CP977" s="70"/>
      <c r="CQ977" s="70"/>
      <c r="CR977" s="70"/>
      <c r="CS977" s="70"/>
      <c r="CT977" s="70"/>
      <c r="CU977" s="70"/>
      <c r="CV977" s="70"/>
      <c r="CW977" s="70"/>
      <c r="CX977" s="70"/>
      <c r="CY977" s="70"/>
      <c r="CZ977" s="70"/>
      <c r="DA977" s="70"/>
      <c r="DB977" s="70"/>
      <c r="DC977" s="70"/>
      <c r="DD977" s="70"/>
      <c r="DE977" s="70"/>
      <c r="DF977" s="70"/>
      <c r="DG977" s="70"/>
      <c r="DH977" s="70"/>
      <c r="DI977" s="70"/>
      <c r="DJ977" s="70"/>
      <c r="DK977" s="70"/>
      <c r="DL977" s="70"/>
      <c r="DM977" s="70"/>
      <c r="DN977" s="70"/>
      <c r="DO977" s="70"/>
      <c r="DP977" s="70"/>
      <c r="DQ977" s="70"/>
      <c r="DR977" s="70"/>
      <c r="DS977" s="70"/>
      <c r="DT977" s="70"/>
      <c r="DU977" s="70"/>
      <c r="DV977" s="70"/>
      <c r="DW977" s="70"/>
      <c r="DX977" s="70"/>
      <c r="DY977" s="70"/>
      <c r="DZ977" s="70"/>
      <c r="EA977" s="70"/>
      <c r="EB977" s="70"/>
      <c r="EC977" s="70"/>
      <c r="ED977" s="70"/>
      <c r="EE977" s="95" t="s">
        <v>450</v>
      </c>
      <c r="EF977" s="110"/>
      <c r="EG977" s="110"/>
      <c r="EH977" s="110"/>
      <c r="EI977" s="216"/>
      <c r="EJ977" s="110"/>
      <c r="EK977" s="110"/>
      <c r="EL977" s="110"/>
      <c r="EM977" s="110"/>
      <c r="EN977" s="110"/>
      <c r="EO977" s="110"/>
      <c r="EP977" s="110"/>
      <c r="EQ977" s="110"/>
      <c r="ER977" s="110"/>
      <c r="ES977" s="110"/>
      <c r="ET977" s="110"/>
      <c r="EU977" s="110"/>
      <c r="EV977" s="110"/>
      <c r="EW977" s="110"/>
      <c r="EX977" s="110"/>
      <c r="EY977" s="110"/>
      <c r="EZ977" s="110"/>
      <c r="FA977" s="110"/>
      <c r="FB977" s="110"/>
      <c r="FC977" s="110"/>
      <c r="FD977" s="110"/>
      <c r="FE977" s="110"/>
      <c r="FF977" s="110"/>
      <c r="FG977" s="110"/>
      <c r="FH977" s="110"/>
      <c r="FI977" s="110"/>
      <c r="FJ977" s="110"/>
      <c r="FK977" s="110"/>
      <c r="FL977" s="110"/>
      <c r="FM977" s="110"/>
      <c r="FN977" s="110"/>
      <c r="FO977" s="110"/>
      <c r="FP977" s="110"/>
      <c r="FQ977" s="110"/>
      <c r="FR977" s="110"/>
      <c r="FS977" s="110"/>
      <c r="FT977" s="110"/>
      <c r="FU977" s="110"/>
      <c r="FV977" s="110"/>
      <c r="FW977" s="110"/>
      <c r="FX977" s="110"/>
      <c r="FY977" s="110"/>
      <c r="FZ977" s="110"/>
      <c r="GA977" s="110"/>
      <c r="GB977" s="110"/>
      <c r="GC977" s="110"/>
      <c r="GD977" s="110"/>
      <c r="GE977" s="110"/>
      <c r="GF977" s="110"/>
      <c r="GG977" s="110"/>
      <c r="GH977" s="110"/>
      <c r="GI977" s="110"/>
      <c r="GJ977" s="110"/>
      <c r="GK977" s="110"/>
      <c r="GL977" s="110"/>
      <c r="GM977" s="110"/>
      <c r="GN977" s="110"/>
      <c r="GO977" s="110"/>
      <c r="GP977" s="110"/>
      <c r="GQ977" s="110"/>
      <c r="GR977" s="110"/>
      <c r="GS977" s="110"/>
      <c r="GT977" s="110"/>
      <c r="GU977" s="110"/>
      <c r="GV977" s="110"/>
      <c r="GW977" s="110"/>
      <c r="GX977" s="110"/>
      <c r="GY977" s="110"/>
      <c r="GZ977" s="110"/>
      <c r="HA977" s="110"/>
      <c r="HB977" s="110"/>
      <c r="HC977" s="110"/>
      <c r="HD977" s="110"/>
      <c r="HE977" s="110"/>
      <c r="HF977" s="110"/>
      <c r="HG977" s="110"/>
      <c r="HH977" s="110"/>
      <c r="HI977" s="110"/>
      <c r="HJ977" s="110"/>
      <c r="HK977" s="110"/>
      <c r="HL977" s="110"/>
      <c r="HM977" s="110"/>
      <c r="HN977" s="110"/>
      <c r="HO977" s="110"/>
      <c r="HP977" s="110"/>
      <c r="HQ977" s="110"/>
      <c r="HR977" s="110"/>
      <c r="HS977" s="110"/>
      <c r="HT977" s="110"/>
      <c r="HU977" s="110"/>
      <c r="HV977" s="110"/>
      <c r="HW977" s="110"/>
      <c r="HX977" s="110"/>
      <c r="HY977" s="110"/>
      <c r="HZ977" s="110"/>
      <c r="IA977" s="110"/>
      <c r="IB977" s="110"/>
      <c r="IC977" s="110"/>
      <c r="ID977" s="110"/>
      <c r="IE977" s="110"/>
      <c r="IF977" s="110"/>
      <c r="IG977" s="110"/>
      <c r="IH977" s="110"/>
      <c r="II977" s="110"/>
      <c r="IJ977" s="110"/>
      <c r="IK977" s="110"/>
      <c r="IL977" s="110"/>
      <c r="IM977" s="110"/>
      <c r="IN977" s="110"/>
      <c r="IO977" s="110"/>
      <c r="IP977" s="110"/>
    </row>
    <row r="978" spans="18:250" ht="16.5" hidden="1" customHeight="1">
      <c r="R978" s="95"/>
      <c r="S978" s="95"/>
      <c r="T978" s="95"/>
      <c r="U978" s="70"/>
      <c r="V978" s="214"/>
      <c r="W978" s="70"/>
      <c r="X978" s="70"/>
      <c r="Y978" s="70"/>
      <c r="Z978" s="70"/>
      <c r="AA978" s="70"/>
      <c r="AB978" s="70"/>
      <c r="AC978" s="70"/>
      <c r="AD978" s="70"/>
      <c r="AE978" s="70"/>
      <c r="AF978" s="70"/>
      <c r="AG978" s="70"/>
      <c r="AH978" s="70"/>
      <c r="AI978" s="70"/>
      <c r="AJ978" s="70"/>
      <c r="AK978" s="70"/>
      <c r="AL978" s="70"/>
      <c r="AM978" s="70"/>
      <c r="AN978" s="70"/>
      <c r="AO978" s="70"/>
      <c r="AP978" s="70"/>
      <c r="AQ978" s="70"/>
      <c r="AR978" s="70"/>
      <c r="AS978" s="70"/>
      <c r="AT978" s="70"/>
      <c r="AU978" s="70"/>
      <c r="AV978" s="70"/>
      <c r="AW978" s="70"/>
      <c r="AX978" s="70"/>
      <c r="AY978" s="70"/>
      <c r="AZ978" s="70"/>
      <c r="BA978" s="70"/>
      <c r="BB978" s="70"/>
      <c r="BC978" s="70"/>
      <c r="BD978" s="70"/>
      <c r="BE978" s="70"/>
      <c r="BF978" s="70"/>
      <c r="BG978" s="70"/>
      <c r="BH978" s="70"/>
      <c r="BI978" s="70"/>
      <c r="BJ978" s="70"/>
      <c r="BK978" s="70"/>
      <c r="BL978" s="70"/>
      <c r="BM978" s="70"/>
      <c r="BN978" s="70"/>
      <c r="BO978" s="70"/>
      <c r="BP978" s="70"/>
      <c r="BQ978" s="70"/>
      <c r="BR978" s="70"/>
      <c r="BS978" s="70"/>
      <c r="BT978" s="70"/>
      <c r="BU978" s="70"/>
      <c r="BV978" s="70"/>
      <c r="BW978" s="70"/>
      <c r="BX978" s="70"/>
      <c r="BY978" s="70"/>
      <c r="BZ978" s="70"/>
      <c r="CA978" s="70"/>
      <c r="CB978" s="70"/>
      <c r="CC978" s="70"/>
      <c r="CD978" s="70"/>
      <c r="CE978" s="70"/>
      <c r="CF978" s="70"/>
      <c r="CG978" s="70"/>
      <c r="CH978" s="70"/>
      <c r="CI978" s="70"/>
      <c r="CJ978" s="70"/>
      <c r="CK978" s="70"/>
      <c r="CL978" s="70"/>
      <c r="CM978" s="70"/>
      <c r="CN978" s="70"/>
      <c r="CO978" s="70"/>
      <c r="CP978" s="70"/>
      <c r="CQ978" s="70"/>
      <c r="CR978" s="70"/>
      <c r="CS978" s="70"/>
      <c r="CT978" s="70"/>
      <c r="CU978" s="70"/>
      <c r="CV978" s="70"/>
      <c r="CW978" s="70"/>
      <c r="CX978" s="70"/>
      <c r="CY978" s="70"/>
      <c r="CZ978" s="70"/>
      <c r="DA978" s="70"/>
      <c r="DB978" s="70"/>
      <c r="DC978" s="70"/>
      <c r="DD978" s="70"/>
      <c r="DE978" s="70"/>
      <c r="DF978" s="70"/>
      <c r="DG978" s="70"/>
      <c r="DH978" s="70"/>
      <c r="DI978" s="70"/>
      <c r="DJ978" s="70"/>
      <c r="DK978" s="70"/>
      <c r="DL978" s="70"/>
      <c r="DM978" s="70"/>
      <c r="DN978" s="70"/>
      <c r="DO978" s="70"/>
      <c r="DP978" s="70"/>
      <c r="DQ978" s="70"/>
      <c r="DR978" s="70"/>
      <c r="DS978" s="70"/>
      <c r="DT978" s="70"/>
      <c r="DU978" s="70"/>
      <c r="DV978" s="70"/>
      <c r="DW978" s="70"/>
      <c r="DX978" s="70"/>
      <c r="DY978" s="70"/>
      <c r="DZ978" s="70"/>
      <c r="EA978" s="70"/>
      <c r="EB978" s="70"/>
      <c r="EC978" s="70"/>
      <c r="ED978" s="70"/>
      <c r="EE978" s="95" t="s">
        <v>450</v>
      </c>
      <c r="EF978" s="110"/>
      <c r="EG978" s="110"/>
      <c r="EH978" s="110"/>
      <c r="EI978" s="216"/>
      <c r="EJ978" s="110"/>
      <c r="EK978" s="110"/>
      <c r="EL978" s="110"/>
      <c r="EM978" s="110"/>
      <c r="EN978" s="110"/>
      <c r="EO978" s="110"/>
      <c r="EP978" s="110"/>
      <c r="EQ978" s="110"/>
      <c r="ER978" s="110"/>
      <c r="ES978" s="110"/>
      <c r="ET978" s="110"/>
      <c r="EU978" s="110"/>
      <c r="EV978" s="110"/>
      <c r="EW978" s="110"/>
      <c r="EX978" s="110"/>
      <c r="EY978" s="110"/>
      <c r="EZ978" s="110"/>
      <c r="FA978" s="110"/>
      <c r="FB978" s="110"/>
      <c r="FC978" s="110"/>
      <c r="FD978" s="110"/>
      <c r="FE978" s="110"/>
      <c r="FF978" s="110"/>
      <c r="FG978" s="110"/>
      <c r="FH978" s="110"/>
      <c r="FI978" s="110"/>
      <c r="FJ978" s="110"/>
      <c r="FK978" s="110"/>
      <c r="FL978" s="110"/>
      <c r="FM978" s="110"/>
      <c r="FN978" s="110"/>
      <c r="FO978" s="110"/>
      <c r="FP978" s="110"/>
      <c r="FQ978" s="110"/>
      <c r="FR978" s="110"/>
      <c r="FS978" s="110"/>
      <c r="FT978" s="110"/>
      <c r="FU978" s="110"/>
      <c r="FV978" s="110"/>
      <c r="FW978" s="110"/>
      <c r="FX978" s="110"/>
      <c r="FY978" s="110"/>
      <c r="FZ978" s="110"/>
      <c r="GA978" s="110"/>
      <c r="GB978" s="110"/>
      <c r="GC978" s="110"/>
      <c r="GD978" s="110"/>
      <c r="GE978" s="110"/>
      <c r="GF978" s="110"/>
      <c r="GG978" s="110"/>
      <c r="GH978" s="110"/>
      <c r="GI978" s="110"/>
      <c r="GJ978" s="110"/>
      <c r="GK978" s="110"/>
      <c r="GL978" s="110"/>
      <c r="GM978" s="110"/>
      <c r="GN978" s="110"/>
      <c r="GO978" s="110"/>
      <c r="GP978" s="110"/>
      <c r="GQ978" s="110"/>
      <c r="GR978" s="110"/>
      <c r="GS978" s="110"/>
      <c r="GT978" s="110"/>
      <c r="GU978" s="110"/>
      <c r="GV978" s="110"/>
      <c r="GW978" s="110"/>
      <c r="GX978" s="110"/>
      <c r="GY978" s="110"/>
      <c r="GZ978" s="110"/>
      <c r="HA978" s="110"/>
      <c r="HB978" s="110"/>
      <c r="HC978" s="110"/>
      <c r="HD978" s="110"/>
      <c r="HE978" s="110"/>
      <c r="HF978" s="110"/>
      <c r="HG978" s="110"/>
      <c r="HH978" s="110"/>
      <c r="HI978" s="110"/>
      <c r="HJ978" s="110"/>
      <c r="HK978" s="110"/>
      <c r="HL978" s="110"/>
      <c r="HM978" s="110"/>
      <c r="HN978" s="110"/>
      <c r="HO978" s="110"/>
      <c r="HP978" s="110"/>
      <c r="HQ978" s="110"/>
      <c r="HR978" s="110"/>
      <c r="HS978" s="110"/>
      <c r="HT978" s="110"/>
      <c r="HU978" s="110"/>
      <c r="HV978" s="110"/>
      <c r="HW978" s="110"/>
      <c r="HX978" s="110"/>
      <c r="HY978" s="110"/>
      <c r="HZ978" s="110"/>
      <c r="IA978" s="110"/>
      <c r="IB978" s="110"/>
      <c r="IC978" s="110"/>
      <c r="ID978" s="110"/>
      <c r="IE978" s="110"/>
      <c r="IF978" s="110"/>
      <c r="IG978" s="110"/>
      <c r="IH978" s="110"/>
      <c r="II978" s="110"/>
      <c r="IJ978" s="110"/>
      <c r="IK978" s="110"/>
      <c r="IL978" s="110"/>
      <c r="IM978" s="110"/>
      <c r="IN978" s="110"/>
      <c r="IO978" s="110"/>
      <c r="IP978" s="110"/>
    </row>
    <row r="979" spans="18:250" ht="16.5" hidden="1" customHeight="1">
      <c r="R979" s="95"/>
      <c r="S979" s="95"/>
      <c r="T979" s="95"/>
      <c r="U979" s="70"/>
      <c r="V979" s="214"/>
      <c r="W979" s="70"/>
      <c r="X979" s="70"/>
      <c r="Y979" s="70"/>
      <c r="Z979" s="70"/>
      <c r="AA979" s="70"/>
      <c r="AB979" s="70"/>
      <c r="AC979" s="70"/>
      <c r="AD979" s="70"/>
      <c r="AE979" s="70"/>
      <c r="AF979" s="70"/>
      <c r="AG979" s="70"/>
      <c r="AH979" s="70"/>
      <c r="AI979" s="70"/>
      <c r="AJ979" s="70"/>
      <c r="AK979" s="70"/>
      <c r="AL979" s="70"/>
      <c r="AM979" s="70"/>
      <c r="AN979" s="70"/>
      <c r="AO979" s="70"/>
      <c r="AP979" s="70"/>
      <c r="AQ979" s="70"/>
      <c r="AR979" s="70"/>
      <c r="AS979" s="70"/>
      <c r="AT979" s="70"/>
      <c r="AU979" s="70"/>
      <c r="AV979" s="70"/>
      <c r="AW979" s="70"/>
      <c r="AX979" s="70"/>
      <c r="AY979" s="70"/>
      <c r="AZ979" s="70"/>
      <c r="BA979" s="70"/>
      <c r="BB979" s="70"/>
      <c r="BC979" s="70"/>
      <c r="BD979" s="70"/>
      <c r="BE979" s="70"/>
      <c r="BF979" s="70"/>
      <c r="BG979" s="70"/>
      <c r="BH979" s="70"/>
      <c r="BI979" s="70"/>
      <c r="BJ979" s="70"/>
      <c r="BK979" s="70"/>
      <c r="BL979" s="70"/>
      <c r="BM979" s="70"/>
      <c r="BN979" s="70"/>
      <c r="BO979" s="70"/>
      <c r="BP979" s="70"/>
      <c r="BQ979" s="70"/>
      <c r="BR979" s="70"/>
      <c r="BS979" s="70"/>
      <c r="BT979" s="70"/>
      <c r="BU979" s="70"/>
      <c r="BV979" s="70"/>
      <c r="BW979" s="70"/>
      <c r="BX979" s="70"/>
      <c r="BY979" s="70"/>
      <c r="BZ979" s="70"/>
      <c r="CA979" s="70"/>
      <c r="CB979" s="70"/>
      <c r="CC979" s="70"/>
      <c r="CD979" s="70"/>
      <c r="CE979" s="70"/>
      <c r="CF979" s="70"/>
      <c r="CG979" s="70"/>
      <c r="CH979" s="70"/>
      <c r="CI979" s="70"/>
      <c r="CJ979" s="70"/>
      <c r="CK979" s="70"/>
      <c r="CL979" s="70"/>
      <c r="CM979" s="70"/>
      <c r="CN979" s="70"/>
      <c r="CO979" s="70"/>
      <c r="CP979" s="70"/>
      <c r="CQ979" s="70"/>
      <c r="CR979" s="70"/>
      <c r="CS979" s="70"/>
      <c r="CT979" s="70"/>
      <c r="CU979" s="70"/>
      <c r="CV979" s="70"/>
      <c r="CW979" s="70"/>
      <c r="CX979" s="70"/>
      <c r="CY979" s="70"/>
      <c r="CZ979" s="70"/>
      <c r="DA979" s="70"/>
      <c r="DB979" s="70"/>
      <c r="DC979" s="70"/>
      <c r="DD979" s="70"/>
      <c r="DE979" s="70"/>
      <c r="DF979" s="70"/>
      <c r="DG979" s="70"/>
      <c r="DH979" s="70"/>
      <c r="DI979" s="70"/>
      <c r="DJ979" s="70"/>
      <c r="DK979" s="70"/>
      <c r="DL979" s="70"/>
      <c r="DM979" s="70"/>
      <c r="DN979" s="70"/>
      <c r="DO979" s="70"/>
      <c r="DP979" s="70"/>
      <c r="DQ979" s="70"/>
      <c r="DR979" s="70"/>
      <c r="DS979" s="70"/>
      <c r="DT979" s="70"/>
      <c r="DU979" s="70"/>
      <c r="DV979" s="70"/>
      <c r="DW979" s="70"/>
      <c r="DX979" s="70"/>
      <c r="DY979" s="70"/>
      <c r="DZ979" s="70"/>
      <c r="EA979" s="70"/>
      <c r="EB979" s="70"/>
      <c r="EC979" s="70"/>
      <c r="ED979" s="70"/>
      <c r="EE979" s="95" t="s">
        <v>450</v>
      </c>
      <c r="EF979" s="110"/>
      <c r="EG979" s="110"/>
      <c r="EH979" s="110"/>
      <c r="EI979" s="216"/>
      <c r="EJ979" s="110"/>
      <c r="EK979" s="110"/>
      <c r="EL979" s="110"/>
      <c r="EM979" s="110"/>
      <c r="EN979" s="110"/>
      <c r="EO979" s="110"/>
      <c r="EP979" s="110"/>
      <c r="EQ979" s="110"/>
      <c r="ER979" s="110"/>
      <c r="ES979" s="110"/>
      <c r="ET979" s="110"/>
      <c r="EU979" s="110"/>
      <c r="EV979" s="110"/>
      <c r="EW979" s="110"/>
      <c r="EX979" s="110"/>
      <c r="EY979" s="110"/>
      <c r="EZ979" s="110"/>
      <c r="FA979" s="110"/>
      <c r="FB979" s="110"/>
      <c r="FC979" s="110"/>
      <c r="FD979" s="110"/>
      <c r="FE979" s="110"/>
      <c r="FF979" s="110"/>
      <c r="FG979" s="110"/>
      <c r="FH979" s="110"/>
      <c r="FI979" s="110"/>
      <c r="FJ979" s="110"/>
      <c r="FK979" s="110"/>
      <c r="FL979" s="110"/>
      <c r="FM979" s="110"/>
      <c r="FN979" s="110"/>
      <c r="FO979" s="110"/>
      <c r="FP979" s="110"/>
      <c r="FQ979" s="110"/>
      <c r="FR979" s="110"/>
      <c r="FS979" s="110"/>
      <c r="FT979" s="110"/>
      <c r="FU979" s="110"/>
      <c r="FV979" s="110"/>
      <c r="FW979" s="110"/>
      <c r="FX979" s="110"/>
      <c r="FY979" s="110"/>
      <c r="FZ979" s="110"/>
      <c r="GA979" s="110"/>
      <c r="GB979" s="110"/>
      <c r="GC979" s="110"/>
      <c r="GD979" s="110"/>
      <c r="GE979" s="110"/>
      <c r="GF979" s="110"/>
      <c r="GG979" s="110"/>
      <c r="GH979" s="110"/>
      <c r="GI979" s="110"/>
      <c r="GJ979" s="110"/>
      <c r="GK979" s="110"/>
      <c r="GL979" s="110"/>
      <c r="GM979" s="110"/>
      <c r="GN979" s="110"/>
      <c r="GO979" s="110"/>
      <c r="GP979" s="110"/>
      <c r="GQ979" s="110"/>
      <c r="GR979" s="110"/>
      <c r="GS979" s="110"/>
      <c r="GT979" s="110"/>
      <c r="GU979" s="110"/>
      <c r="GV979" s="110"/>
      <c r="GW979" s="110"/>
      <c r="GX979" s="110"/>
      <c r="GY979" s="110"/>
      <c r="GZ979" s="110"/>
      <c r="HA979" s="110"/>
      <c r="HB979" s="110"/>
      <c r="HC979" s="110"/>
      <c r="HD979" s="110"/>
      <c r="HE979" s="110"/>
      <c r="HF979" s="110"/>
      <c r="HG979" s="110"/>
      <c r="HH979" s="110"/>
      <c r="HI979" s="110"/>
      <c r="HJ979" s="110"/>
      <c r="HK979" s="110"/>
      <c r="HL979" s="110"/>
      <c r="HM979" s="110"/>
      <c r="HN979" s="110"/>
      <c r="HO979" s="110"/>
      <c r="HP979" s="110"/>
      <c r="HQ979" s="110"/>
      <c r="HR979" s="110"/>
      <c r="HS979" s="110"/>
      <c r="HT979" s="110"/>
      <c r="HU979" s="110"/>
      <c r="HV979" s="110"/>
      <c r="HW979" s="110"/>
      <c r="HX979" s="110"/>
      <c r="HY979" s="110"/>
      <c r="HZ979" s="110"/>
      <c r="IA979" s="110"/>
      <c r="IB979" s="110"/>
      <c r="IC979" s="110"/>
      <c r="ID979" s="110"/>
      <c r="IE979" s="110"/>
      <c r="IF979" s="110"/>
      <c r="IG979" s="110"/>
      <c r="IH979" s="110"/>
      <c r="II979" s="110"/>
      <c r="IJ979" s="110"/>
      <c r="IK979" s="110"/>
      <c r="IL979" s="110"/>
      <c r="IM979" s="110"/>
      <c r="IN979" s="110"/>
      <c r="IO979" s="110"/>
      <c r="IP979" s="110"/>
    </row>
    <row r="980" spans="18:250" ht="16.5" hidden="1" customHeight="1">
      <c r="R980" s="95"/>
      <c r="S980" s="95"/>
      <c r="T980" s="95"/>
      <c r="U980" s="70"/>
      <c r="V980" s="214"/>
      <c r="W980" s="70"/>
      <c r="X980" s="70"/>
      <c r="Y980" s="70"/>
      <c r="Z980" s="70"/>
      <c r="AA980" s="70"/>
      <c r="AB980" s="70"/>
      <c r="AC980" s="70"/>
      <c r="AD980" s="70"/>
      <c r="AE980" s="70"/>
      <c r="AF980" s="70"/>
      <c r="AG980" s="70"/>
      <c r="AH980" s="70"/>
      <c r="AI980" s="70"/>
      <c r="AJ980" s="70"/>
      <c r="AK980" s="70"/>
      <c r="AL980" s="70"/>
      <c r="AM980" s="70"/>
      <c r="AN980" s="70"/>
      <c r="AO980" s="70"/>
      <c r="AP980" s="70"/>
      <c r="AQ980" s="70"/>
      <c r="AR980" s="70"/>
      <c r="AS980" s="70"/>
      <c r="AT980" s="70"/>
      <c r="AU980" s="70"/>
      <c r="AV980" s="70"/>
      <c r="AW980" s="70"/>
      <c r="AX980" s="70"/>
      <c r="AY980" s="70"/>
      <c r="AZ980" s="70"/>
      <c r="BA980" s="70"/>
      <c r="BB980" s="70"/>
      <c r="BC980" s="70"/>
      <c r="BD980" s="70"/>
      <c r="BE980" s="70"/>
      <c r="BF980" s="70"/>
      <c r="BG980" s="70"/>
      <c r="BH980" s="70"/>
      <c r="BI980" s="70"/>
      <c r="BJ980" s="70"/>
      <c r="BK980" s="70"/>
      <c r="BL980" s="70"/>
      <c r="BM980" s="70"/>
      <c r="BN980" s="70"/>
      <c r="BO980" s="70"/>
      <c r="BP980" s="70"/>
      <c r="BQ980" s="70"/>
      <c r="BR980" s="70"/>
      <c r="BS980" s="70"/>
      <c r="BT980" s="70"/>
      <c r="BU980" s="70"/>
      <c r="BV980" s="70"/>
      <c r="BW980" s="70"/>
      <c r="BX980" s="70"/>
      <c r="BY980" s="70"/>
      <c r="BZ980" s="70"/>
      <c r="CA980" s="70"/>
      <c r="CB980" s="70"/>
      <c r="CC980" s="70"/>
      <c r="CD980" s="70"/>
      <c r="CE980" s="70"/>
      <c r="CF980" s="70"/>
      <c r="CG980" s="70"/>
      <c r="CH980" s="70"/>
      <c r="CI980" s="70"/>
      <c r="CJ980" s="70"/>
      <c r="CK980" s="70"/>
      <c r="CL980" s="70"/>
      <c r="CM980" s="70"/>
      <c r="CN980" s="70"/>
      <c r="CO980" s="70"/>
      <c r="CP980" s="70"/>
      <c r="CQ980" s="70"/>
      <c r="CR980" s="70"/>
      <c r="CS980" s="70"/>
      <c r="CT980" s="70"/>
      <c r="CU980" s="70"/>
      <c r="CV980" s="70"/>
      <c r="CW980" s="70"/>
      <c r="CX980" s="70"/>
      <c r="CY980" s="70"/>
      <c r="CZ980" s="70"/>
      <c r="DA980" s="70"/>
      <c r="DB980" s="70"/>
      <c r="DC980" s="70"/>
      <c r="DD980" s="70"/>
      <c r="DE980" s="70"/>
      <c r="DF980" s="70"/>
      <c r="DG980" s="70"/>
      <c r="DH980" s="70"/>
      <c r="DI980" s="70"/>
      <c r="DJ980" s="70"/>
      <c r="DK980" s="70"/>
      <c r="DL980" s="70"/>
      <c r="DM980" s="70"/>
      <c r="DN980" s="70"/>
      <c r="DO980" s="70"/>
      <c r="DP980" s="70"/>
      <c r="DQ980" s="70"/>
      <c r="DR980" s="70"/>
      <c r="DS980" s="70"/>
      <c r="DT980" s="70"/>
      <c r="DU980" s="70"/>
      <c r="DV980" s="70"/>
      <c r="DW980" s="70"/>
      <c r="DX980" s="70"/>
      <c r="DY980" s="70"/>
      <c r="DZ980" s="70"/>
      <c r="EA980" s="70"/>
      <c r="EB980" s="70"/>
      <c r="EC980" s="70"/>
      <c r="ED980" s="70"/>
      <c r="EE980" s="95" t="s">
        <v>450</v>
      </c>
      <c r="EF980" s="110"/>
      <c r="EG980" s="110"/>
      <c r="EH980" s="110"/>
      <c r="EI980" s="216"/>
      <c r="EJ980" s="110"/>
      <c r="EK980" s="110"/>
      <c r="EL980" s="110"/>
      <c r="EM980" s="110"/>
      <c r="EN980" s="110"/>
      <c r="EO980" s="110"/>
      <c r="EP980" s="110"/>
      <c r="EQ980" s="110"/>
      <c r="ER980" s="110"/>
      <c r="ES980" s="110"/>
      <c r="ET980" s="110"/>
      <c r="EU980" s="110"/>
      <c r="EV980" s="110"/>
      <c r="EW980" s="110"/>
      <c r="EX980" s="110"/>
      <c r="EY980" s="110"/>
      <c r="EZ980" s="110"/>
      <c r="FA980" s="110"/>
      <c r="FB980" s="110"/>
      <c r="FC980" s="110"/>
      <c r="FD980" s="110"/>
      <c r="FE980" s="110"/>
      <c r="FF980" s="110"/>
      <c r="FG980" s="110"/>
      <c r="FH980" s="110"/>
      <c r="FI980" s="110"/>
      <c r="FJ980" s="110"/>
      <c r="FK980" s="110"/>
      <c r="FL980" s="110"/>
      <c r="FM980" s="110"/>
      <c r="FN980" s="110"/>
      <c r="FO980" s="110"/>
      <c r="FP980" s="110"/>
      <c r="FQ980" s="110"/>
      <c r="FR980" s="110"/>
      <c r="FS980" s="110"/>
      <c r="FT980" s="110"/>
      <c r="FU980" s="110"/>
      <c r="FV980" s="110"/>
      <c r="FW980" s="110"/>
      <c r="FX980" s="110"/>
      <c r="FY980" s="110"/>
      <c r="FZ980" s="110"/>
      <c r="GA980" s="110"/>
      <c r="GB980" s="110"/>
      <c r="GC980" s="110"/>
      <c r="GD980" s="110"/>
      <c r="GE980" s="110"/>
      <c r="GF980" s="110"/>
      <c r="GG980" s="110"/>
      <c r="GH980" s="110"/>
      <c r="GI980" s="110"/>
      <c r="GJ980" s="110"/>
      <c r="GK980" s="110"/>
      <c r="GL980" s="110"/>
      <c r="GM980" s="110"/>
      <c r="GN980" s="110"/>
      <c r="GO980" s="110"/>
      <c r="GP980" s="110"/>
      <c r="GQ980" s="110"/>
      <c r="GR980" s="110"/>
      <c r="GS980" s="110"/>
      <c r="GT980" s="110"/>
      <c r="GU980" s="110"/>
      <c r="GV980" s="110"/>
      <c r="GW980" s="110"/>
      <c r="GX980" s="110"/>
      <c r="GY980" s="110"/>
      <c r="GZ980" s="110"/>
      <c r="HA980" s="110"/>
      <c r="HB980" s="110"/>
      <c r="HC980" s="110"/>
      <c r="HD980" s="110"/>
      <c r="HE980" s="110"/>
      <c r="HF980" s="110"/>
      <c r="HG980" s="110"/>
      <c r="HH980" s="110"/>
      <c r="HI980" s="110"/>
      <c r="HJ980" s="110"/>
      <c r="HK980" s="110"/>
      <c r="HL980" s="110"/>
      <c r="HM980" s="110"/>
      <c r="HN980" s="110"/>
      <c r="HO980" s="110"/>
      <c r="HP980" s="110"/>
      <c r="HQ980" s="110"/>
      <c r="HR980" s="110"/>
      <c r="HS980" s="110"/>
      <c r="HT980" s="110"/>
      <c r="HU980" s="110"/>
      <c r="HV980" s="110"/>
      <c r="HW980" s="110"/>
      <c r="HX980" s="110"/>
      <c r="HY980" s="110"/>
      <c r="HZ980" s="110"/>
      <c r="IA980" s="110"/>
      <c r="IB980" s="110"/>
      <c r="IC980" s="110"/>
      <c r="ID980" s="110"/>
      <c r="IE980" s="110"/>
      <c r="IF980" s="110"/>
      <c r="IG980" s="110"/>
      <c r="IH980" s="110"/>
      <c r="II980" s="110"/>
      <c r="IJ980" s="110"/>
      <c r="IK980" s="110"/>
      <c r="IL980" s="110"/>
      <c r="IM980" s="110"/>
      <c r="IN980" s="110"/>
      <c r="IO980" s="110"/>
      <c r="IP980" s="110"/>
    </row>
    <row r="981" spans="18:250" ht="16.5" hidden="1" customHeight="1">
      <c r="R981" s="95"/>
      <c r="S981" s="95"/>
      <c r="T981" s="95"/>
      <c r="U981" s="70"/>
      <c r="V981" s="214"/>
      <c r="W981" s="70"/>
      <c r="X981" s="70"/>
      <c r="Y981" s="70"/>
      <c r="Z981" s="70"/>
      <c r="AA981" s="70"/>
      <c r="AB981" s="70"/>
      <c r="AC981" s="70"/>
      <c r="AD981" s="70"/>
      <c r="AE981" s="70"/>
      <c r="AF981" s="70"/>
      <c r="AG981" s="70"/>
      <c r="AH981" s="70"/>
      <c r="AI981" s="70"/>
      <c r="AJ981" s="70"/>
      <c r="AK981" s="70"/>
      <c r="AL981" s="70"/>
      <c r="AM981" s="70"/>
      <c r="AN981" s="70"/>
      <c r="AO981" s="70"/>
      <c r="AP981" s="70"/>
      <c r="AQ981" s="70"/>
      <c r="AR981" s="70"/>
      <c r="AS981" s="70"/>
      <c r="AT981" s="70"/>
      <c r="AU981" s="70"/>
      <c r="AV981" s="70"/>
      <c r="AW981" s="70"/>
      <c r="AX981" s="70"/>
      <c r="AY981" s="70"/>
      <c r="AZ981" s="70"/>
      <c r="BA981" s="70"/>
      <c r="BB981" s="70"/>
      <c r="BC981" s="70"/>
      <c r="BD981" s="70"/>
      <c r="BE981" s="70"/>
      <c r="BF981" s="70"/>
      <c r="BG981" s="70"/>
      <c r="BH981" s="70"/>
      <c r="BI981" s="70"/>
      <c r="BJ981" s="70"/>
      <c r="BK981" s="70"/>
      <c r="BL981" s="70"/>
      <c r="BM981" s="70"/>
      <c r="BN981" s="70"/>
      <c r="BO981" s="70"/>
      <c r="BP981" s="70"/>
      <c r="BQ981" s="70"/>
      <c r="BR981" s="70"/>
      <c r="BS981" s="70"/>
      <c r="BT981" s="70"/>
      <c r="BU981" s="70"/>
      <c r="BV981" s="70"/>
      <c r="BW981" s="70"/>
      <c r="BX981" s="70"/>
      <c r="BY981" s="70"/>
      <c r="BZ981" s="70"/>
      <c r="CA981" s="70"/>
      <c r="CB981" s="70"/>
      <c r="CC981" s="70"/>
      <c r="CD981" s="70"/>
      <c r="CE981" s="70"/>
      <c r="CF981" s="70"/>
      <c r="CG981" s="70"/>
      <c r="CH981" s="70"/>
      <c r="CI981" s="70"/>
      <c r="CJ981" s="70"/>
      <c r="CK981" s="70"/>
      <c r="CL981" s="70"/>
      <c r="CM981" s="70"/>
      <c r="CN981" s="70"/>
      <c r="CO981" s="70"/>
      <c r="CP981" s="70"/>
      <c r="CQ981" s="70"/>
      <c r="CR981" s="70"/>
      <c r="CS981" s="70"/>
      <c r="CT981" s="70"/>
      <c r="CU981" s="70"/>
      <c r="CV981" s="70"/>
      <c r="CW981" s="70"/>
      <c r="CX981" s="70"/>
      <c r="CY981" s="70"/>
      <c r="CZ981" s="70"/>
      <c r="DA981" s="70"/>
      <c r="DB981" s="70"/>
      <c r="DC981" s="70"/>
      <c r="DD981" s="70"/>
      <c r="DE981" s="70"/>
      <c r="DF981" s="70"/>
      <c r="DG981" s="70"/>
      <c r="DH981" s="70"/>
      <c r="DI981" s="70"/>
      <c r="DJ981" s="70"/>
      <c r="DK981" s="70"/>
      <c r="DL981" s="70"/>
      <c r="DM981" s="70"/>
      <c r="DN981" s="70"/>
      <c r="DO981" s="70"/>
      <c r="DP981" s="70"/>
      <c r="DQ981" s="70"/>
      <c r="DR981" s="70"/>
      <c r="DS981" s="70"/>
      <c r="DT981" s="70"/>
      <c r="DU981" s="70"/>
      <c r="DV981" s="70"/>
      <c r="DW981" s="70"/>
      <c r="DX981" s="70"/>
      <c r="DY981" s="70"/>
      <c r="DZ981" s="70"/>
      <c r="EA981" s="70"/>
      <c r="EB981" s="70"/>
      <c r="EC981" s="70"/>
      <c r="ED981" s="70"/>
      <c r="EE981" s="95" t="s">
        <v>450</v>
      </c>
      <c r="EF981" s="110"/>
      <c r="EG981" s="110"/>
      <c r="EH981" s="110"/>
      <c r="EI981" s="216"/>
      <c r="EJ981" s="110"/>
      <c r="EK981" s="110"/>
      <c r="EL981" s="110"/>
      <c r="EM981" s="110"/>
      <c r="EN981" s="110"/>
      <c r="EO981" s="110"/>
      <c r="EP981" s="110"/>
      <c r="EQ981" s="110"/>
      <c r="ER981" s="110"/>
      <c r="ES981" s="110"/>
      <c r="ET981" s="110"/>
      <c r="EU981" s="110"/>
      <c r="EV981" s="110"/>
      <c r="EW981" s="110"/>
      <c r="EX981" s="110"/>
      <c r="EY981" s="110"/>
      <c r="EZ981" s="110"/>
      <c r="FA981" s="110"/>
      <c r="FB981" s="110"/>
      <c r="FC981" s="110"/>
      <c r="FD981" s="110"/>
      <c r="FE981" s="110"/>
      <c r="FF981" s="110"/>
      <c r="FG981" s="110"/>
      <c r="FH981" s="110"/>
      <c r="FI981" s="110"/>
      <c r="FJ981" s="110"/>
      <c r="FK981" s="110"/>
      <c r="FL981" s="110"/>
      <c r="FM981" s="110"/>
      <c r="FN981" s="110"/>
      <c r="FO981" s="110"/>
      <c r="FP981" s="110"/>
      <c r="FQ981" s="110"/>
      <c r="FR981" s="110"/>
      <c r="FS981" s="110"/>
      <c r="FT981" s="110"/>
      <c r="FU981" s="110"/>
      <c r="FV981" s="110"/>
      <c r="FW981" s="110"/>
      <c r="FX981" s="110"/>
      <c r="FY981" s="110"/>
      <c r="FZ981" s="110"/>
      <c r="GA981" s="110"/>
      <c r="GB981" s="110"/>
      <c r="GC981" s="110"/>
      <c r="GD981" s="110"/>
      <c r="GE981" s="110"/>
      <c r="GF981" s="110"/>
      <c r="GG981" s="110"/>
      <c r="GH981" s="110"/>
      <c r="GI981" s="110"/>
      <c r="GJ981" s="110"/>
      <c r="GK981" s="110"/>
      <c r="GL981" s="110"/>
      <c r="GM981" s="110"/>
      <c r="GN981" s="110"/>
      <c r="GO981" s="110"/>
      <c r="GP981" s="110"/>
      <c r="GQ981" s="110"/>
      <c r="GR981" s="110"/>
      <c r="GS981" s="110"/>
      <c r="GT981" s="110"/>
      <c r="GU981" s="110"/>
      <c r="GV981" s="110"/>
      <c r="GW981" s="110"/>
      <c r="GX981" s="110"/>
      <c r="GY981" s="110"/>
      <c r="GZ981" s="110"/>
      <c r="HA981" s="110"/>
      <c r="HB981" s="110"/>
      <c r="HC981" s="110"/>
      <c r="HD981" s="110"/>
      <c r="HE981" s="110"/>
      <c r="HF981" s="110"/>
      <c r="HG981" s="110"/>
      <c r="HH981" s="110"/>
      <c r="HI981" s="110"/>
      <c r="HJ981" s="110"/>
      <c r="HK981" s="110"/>
      <c r="HL981" s="110"/>
      <c r="HM981" s="110"/>
      <c r="HN981" s="110"/>
      <c r="HO981" s="110"/>
      <c r="HP981" s="110"/>
      <c r="HQ981" s="110"/>
      <c r="HR981" s="110"/>
      <c r="HS981" s="110"/>
      <c r="HT981" s="110"/>
      <c r="HU981" s="110"/>
      <c r="HV981" s="110"/>
      <c r="HW981" s="110"/>
      <c r="HX981" s="110"/>
      <c r="HY981" s="110"/>
      <c r="HZ981" s="110"/>
      <c r="IA981" s="110"/>
      <c r="IB981" s="110"/>
      <c r="IC981" s="110"/>
      <c r="ID981" s="110"/>
      <c r="IE981" s="110"/>
      <c r="IF981" s="110"/>
      <c r="IG981" s="110"/>
      <c r="IH981" s="110"/>
      <c r="II981" s="110"/>
      <c r="IJ981" s="110"/>
      <c r="IK981" s="110"/>
      <c r="IL981" s="110"/>
      <c r="IM981" s="110"/>
      <c r="IN981" s="110"/>
      <c r="IO981" s="110"/>
      <c r="IP981" s="110"/>
    </row>
    <row r="982" spans="18:250" ht="16.5" hidden="1" customHeight="1">
      <c r="R982" s="95"/>
      <c r="S982" s="95"/>
      <c r="T982" s="95"/>
      <c r="U982" s="70"/>
      <c r="V982" s="214"/>
      <c r="W982" s="70"/>
      <c r="X982" s="70"/>
      <c r="Y982" s="70"/>
      <c r="Z982" s="70"/>
      <c r="AA982" s="70"/>
      <c r="AB982" s="70"/>
      <c r="AC982" s="70"/>
      <c r="AD982" s="70"/>
      <c r="AE982" s="70"/>
      <c r="AF982" s="70"/>
      <c r="AG982" s="70"/>
      <c r="AH982" s="70"/>
      <c r="AI982" s="70"/>
      <c r="AJ982" s="70"/>
      <c r="AK982" s="70"/>
      <c r="AL982" s="70"/>
      <c r="AM982" s="70"/>
      <c r="AN982" s="70"/>
      <c r="AO982" s="70"/>
      <c r="AP982" s="70"/>
      <c r="AQ982" s="70"/>
      <c r="AR982" s="70"/>
      <c r="AS982" s="70"/>
      <c r="AT982" s="70"/>
      <c r="AU982" s="70"/>
      <c r="AV982" s="70"/>
      <c r="AW982" s="70"/>
      <c r="AX982" s="70"/>
      <c r="AY982" s="70"/>
      <c r="AZ982" s="70"/>
      <c r="BA982" s="70"/>
      <c r="BB982" s="70"/>
      <c r="BC982" s="70"/>
      <c r="BD982" s="70"/>
      <c r="BE982" s="70"/>
      <c r="BF982" s="70"/>
      <c r="BG982" s="70"/>
      <c r="BH982" s="70"/>
      <c r="BI982" s="70"/>
      <c r="BJ982" s="70"/>
      <c r="BK982" s="70"/>
      <c r="BL982" s="70"/>
      <c r="BM982" s="70"/>
      <c r="BN982" s="70"/>
      <c r="BO982" s="70"/>
      <c r="BP982" s="70"/>
      <c r="BQ982" s="70"/>
      <c r="BR982" s="70"/>
      <c r="BS982" s="70"/>
      <c r="BT982" s="70"/>
      <c r="BU982" s="70"/>
      <c r="BV982" s="70"/>
      <c r="BW982" s="70"/>
      <c r="BX982" s="70"/>
      <c r="BY982" s="70"/>
      <c r="BZ982" s="70"/>
      <c r="CA982" s="70"/>
      <c r="CB982" s="70"/>
      <c r="CC982" s="70"/>
      <c r="CD982" s="70"/>
      <c r="CE982" s="70"/>
      <c r="CF982" s="70"/>
      <c r="CG982" s="70"/>
      <c r="CH982" s="70"/>
      <c r="CI982" s="70"/>
      <c r="CJ982" s="70"/>
      <c r="CK982" s="70"/>
      <c r="CL982" s="70"/>
      <c r="CM982" s="70"/>
      <c r="CN982" s="70"/>
      <c r="CO982" s="70"/>
      <c r="CP982" s="70"/>
      <c r="CQ982" s="70"/>
      <c r="CR982" s="70"/>
      <c r="CS982" s="70"/>
      <c r="CT982" s="70"/>
      <c r="CU982" s="70"/>
      <c r="CV982" s="70"/>
      <c r="CW982" s="70"/>
      <c r="CX982" s="70"/>
      <c r="CY982" s="70"/>
      <c r="CZ982" s="70"/>
      <c r="DA982" s="70"/>
      <c r="DB982" s="70"/>
      <c r="DC982" s="70"/>
      <c r="DD982" s="70"/>
      <c r="DE982" s="70"/>
      <c r="DF982" s="70"/>
      <c r="DG982" s="70"/>
      <c r="DH982" s="70"/>
      <c r="DI982" s="70"/>
      <c r="DJ982" s="70"/>
      <c r="DK982" s="70"/>
      <c r="DL982" s="70"/>
      <c r="DM982" s="70"/>
      <c r="DN982" s="70"/>
      <c r="DO982" s="70"/>
      <c r="DP982" s="70"/>
      <c r="DQ982" s="70"/>
      <c r="DR982" s="70"/>
      <c r="DS982" s="70"/>
      <c r="DT982" s="70"/>
      <c r="DU982" s="70"/>
      <c r="DV982" s="70"/>
      <c r="DW982" s="70"/>
      <c r="DX982" s="70"/>
      <c r="DY982" s="70"/>
      <c r="DZ982" s="70"/>
      <c r="EA982" s="70"/>
      <c r="EB982" s="70"/>
      <c r="EC982" s="70"/>
      <c r="ED982" s="70"/>
      <c r="EE982" s="95" t="s">
        <v>450</v>
      </c>
      <c r="EF982" s="110"/>
      <c r="EG982" s="110"/>
      <c r="EH982" s="110"/>
      <c r="EI982" s="216"/>
      <c r="EJ982" s="110"/>
      <c r="EK982" s="110"/>
      <c r="EL982" s="110"/>
      <c r="EM982" s="110"/>
      <c r="EN982" s="110"/>
      <c r="EO982" s="110"/>
      <c r="EP982" s="110"/>
      <c r="EQ982" s="110"/>
      <c r="ER982" s="110"/>
      <c r="ES982" s="110"/>
      <c r="ET982" s="110"/>
      <c r="EU982" s="110"/>
      <c r="EV982" s="110"/>
      <c r="EW982" s="110"/>
      <c r="EX982" s="110"/>
      <c r="EY982" s="110"/>
      <c r="EZ982" s="110"/>
      <c r="FA982" s="110"/>
      <c r="FB982" s="110"/>
      <c r="FC982" s="110"/>
      <c r="FD982" s="110"/>
      <c r="FE982" s="110"/>
      <c r="FF982" s="110"/>
      <c r="FG982" s="110"/>
      <c r="FH982" s="110"/>
      <c r="FI982" s="110"/>
      <c r="FJ982" s="110"/>
      <c r="FK982" s="110"/>
      <c r="FL982" s="110"/>
      <c r="FM982" s="110"/>
      <c r="FN982" s="110"/>
      <c r="FO982" s="110"/>
      <c r="FP982" s="110"/>
      <c r="FQ982" s="110"/>
      <c r="FR982" s="110"/>
      <c r="FS982" s="110"/>
      <c r="FT982" s="110"/>
      <c r="FU982" s="110"/>
      <c r="FV982" s="110"/>
      <c r="FW982" s="110"/>
      <c r="FX982" s="110"/>
      <c r="FY982" s="110"/>
      <c r="FZ982" s="110"/>
      <c r="GA982" s="110"/>
      <c r="GB982" s="110"/>
      <c r="GC982" s="110"/>
      <c r="GD982" s="110"/>
      <c r="GE982" s="110"/>
      <c r="GF982" s="110"/>
      <c r="GG982" s="110"/>
      <c r="GH982" s="110"/>
      <c r="GI982" s="110"/>
      <c r="GJ982" s="110"/>
      <c r="GK982" s="110"/>
      <c r="GL982" s="110"/>
      <c r="GM982" s="110"/>
      <c r="GN982" s="110"/>
      <c r="GO982" s="110"/>
      <c r="GP982" s="110"/>
      <c r="GQ982" s="110"/>
      <c r="GR982" s="110"/>
      <c r="GS982" s="110"/>
      <c r="GT982" s="110"/>
      <c r="GU982" s="110"/>
      <c r="GV982" s="110"/>
      <c r="GW982" s="110"/>
      <c r="GX982" s="110"/>
      <c r="GY982" s="110"/>
      <c r="GZ982" s="110"/>
      <c r="HA982" s="110"/>
      <c r="HB982" s="110"/>
      <c r="HC982" s="110"/>
      <c r="HD982" s="110"/>
      <c r="HE982" s="110"/>
      <c r="HF982" s="110"/>
      <c r="HG982" s="110"/>
      <c r="HH982" s="110"/>
      <c r="HI982" s="110"/>
      <c r="HJ982" s="110"/>
      <c r="HK982" s="110"/>
      <c r="HL982" s="110"/>
      <c r="HM982" s="110"/>
      <c r="HN982" s="110"/>
      <c r="HO982" s="110"/>
      <c r="HP982" s="110"/>
      <c r="HQ982" s="110"/>
      <c r="HR982" s="110"/>
      <c r="HS982" s="110"/>
      <c r="HT982" s="110"/>
      <c r="HU982" s="110"/>
      <c r="HV982" s="110"/>
      <c r="HW982" s="110"/>
      <c r="HX982" s="110"/>
      <c r="HY982" s="110"/>
      <c r="HZ982" s="110"/>
      <c r="IA982" s="110"/>
      <c r="IB982" s="110"/>
      <c r="IC982" s="110"/>
      <c r="ID982" s="110"/>
      <c r="IE982" s="110"/>
      <c r="IF982" s="110"/>
      <c r="IG982" s="110"/>
      <c r="IH982" s="110"/>
      <c r="II982" s="110"/>
      <c r="IJ982" s="110"/>
      <c r="IK982" s="110"/>
      <c r="IL982" s="110"/>
      <c r="IM982" s="110"/>
      <c r="IN982" s="110"/>
      <c r="IO982" s="110"/>
      <c r="IP982" s="110"/>
    </row>
    <row r="983" spans="18:250" ht="16.5" hidden="1" customHeight="1">
      <c r="R983" s="95"/>
      <c r="S983" s="95"/>
      <c r="T983" s="95"/>
      <c r="U983" s="70"/>
      <c r="V983" s="214"/>
      <c r="W983" s="70"/>
      <c r="X983" s="70"/>
      <c r="Y983" s="70"/>
      <c r="Z983" s="70"/>
      <c r="AA983" s="70"/>
      <c r="AB983" s="70"/>
      <c r="AC983" s="70"/>
      <c r="AD983" s="70"/>
      <c r="AE983" s="70"/>
      <c r="AF983" s="70"/>
      <c r="AG983" s="70"/>
      <c r="AH983" s="70"/>
      <c r="AI983" s="70"/>
      <c r="AJ983" s="70"/>
      <c r="AK983" s="70"/>
      <c r="AL983" s="70"/>
      <c r="AM983" s="70"/>
      <c r="AN983" s="70"/>
      <c r="AO983" s="70"/>
      <c r="AP983" s="70"/>
      <c r="AQ983" s="70"/>
      <c r="AR983" s="70"/>
      <c r="AS983" s="70"/>
      <c r="AT983" s="70"/>
      <c r="AU983" s="70"/>
      <c r="AV983" s="70"/>
      <c r="AW983" s="70"/>
      <c r="AX983" s="70"/>
      <c r="AY983" s="70"/>
      <c r="AZ983" s="70"/>
      <c r="BA983" s="70"/>
      <c r="BB983" s="70"/>
      <c r="BC983" s="70"/>
      <c r="BD983" s="70"/>
      <c r="BE983" s="70"/>
      <c r="BF983" s="70"/>
      <c r="BG983" s="70"/>
      <c r="BH983" s="70"/>
      <c r="BI983" s="70"/>
      <c r="BJ983" s="70"/>
      <c r="BK983" s="70"/>
      <c r="BL983" s="70"/>
      <c r="BM983" s="70"/>
      <c r="BN983" s="70"/>
      <c r="BO983" s="70"/>
      <c r="BP983" s="70"/>
      <c r="BQ983" s="70"/>
      <c r="BR983" s="70"/>
      <c r="BS983" s="70"/>
      <c r="BT983" s="70"/>
      <c r="BU983" s="70"/>
      <c r="BV983" s="70"/>
      <c r="BW983" s="70"/>
      <c r="BX983" s="70"/>
      <c r="BY983" s="70"/>
      <c r="BZ983" s="70"/>
      <c r="CA983" s="70"/>
      <c r="CB983" s="70"/>
      <c r="CC983" s="70"/>
      <c r="CD983" s="70"/>
      <c r="CE983" s="70"/>
      <c r="CF983" s="70"/>
      <c r="CG983" s="70"/>
      <c r="CH983" s="70"/>
      <c r="CI983" s="70"/>
      <c r="CJ983" s="70"/>
      <c r="CK983" s="70"/>
      <c r="CL983" s="70"/>
      <c r="CM983" s="70"/>
      <c r="CN983" s="70"/>
      <c r="CO983" s="70"/>
      <c r="CP983" s="70"/>
      <c r="CQ983" s="70"/>
      <c r="CR983" s="70"/>
      <c r="CS983" s="70"/>
      <c r="CT983" s="70"/>
      <c r="CU983" s="70"/>
      <c r="CV983" s="70"/>
      <c r="CW983" s="70"/>
      <c r="CX983" s="70"/>
      <c r="CY983" s="70"/>
      <c r="CZ983" s="70"/>
      <c r="DA983" s="70"/>
      <c r="DB983" s="70"/>
      <c r="DC983" s="70"/>
      <c r="DD983" s="70"/>
      <c r="DE983" s="70"/>
      <c r="DF983" s="70"/>
      <c r="DG983" s="70"/>
      <c r="DH983" s="70"/>
      <c r="DI983" s="70"/>
      <c r="DJ983" s="70"/>
      <c r="DK983" s="70"/>
      <c r="DL983" s="70"/>
      <c r="DM983" s="70"/>
      <c r="DN983" s="70"/>
      <c r="DO983" s="70"/>
      <c r="DP983" s="70"/>
      <c r="DQ983" s="70"/>
      <c r="DR983" s="70"/>
      <c r="DS983" s="70"/>
      <c r="DT983" s="70"/>
      <c r="DU983" s="70"/>
      <c r="DV983" s="70"/>
      <c r="DW983" s="70"/>
      <c r="DX983" s="70"/>
      <c r="DY983" s="70"/>
      <c r="DZ983" s="70"/>
      <c r="EA983" s="70"/>
      <c r="EB983" s="70"/>
      <c r="EC983" s="70"/>
      <c r="ED983" s="70"/>
      <c r="EE983" s="95" t="s">
        <v>450</v>
      </c>
      <c r="EF983" s="110"/>
      <c r="EG983" s="110"/>
      <c r="EH983" s="110"/>
      <c r="EI983" s="216"/>
      <c r="EJ983" s="110"/>
      <c r="EK983" s="110"/>
      <c r="EL983" s="110"/>
      <c r="EM983" s="110"/>
      <c r="EN983" s="110"/>
      <c r="EO983" s="110"/>
      <c r="EP983" s="110"/>
      <c r="EQ983" s="110"/>
      <c r="ER983" s="110"/>
      <c r="ES983" s="110"/>
      <c r="ET983" s="110"/>
      <c r="EU983" s="110"/>
      <c r="EV983" s="110"/>
      <c r="EW983" s="110"/>
      <c r="EX983" s="110"/>
      <c r="EY983" s="110"/>
      <c r="EZ983" s="110"/>
      <c r="FA983" s="110"/>
      <c r="FB983" s="110"/>
      <c r="FC983" s="110"/>
      <c r="FD983" s="110"/>
      <c r="FE983" s="110"/>
      <c r="FF983" s="110"/>
      <c r="FG983" s="110"/>
      <c r="FH983" s="110"/>
      <c r="FI983" s="110"/>
      <c r="FJ983" s="110"/>
      <c r="FK983" s="110"/>
      <c r="FL983" s="110"/>
      <c r="FM983" s="110"/>
      <c r="FN983" s="110"/>
      <c r="FO983" s="110"/>
      <c r="FP983" s="110"/>
      <c r="FQ983" s="110"/>
      <c r="FR983" s="110"/>
      <c r="FS983" s="110"/>
      <c r="FT983" s="110"/>
      <c r="FU983" s="110"/>
      <c r="FV983" s="110"/>
      <c r="FW983" s="110"/>
      <c r="FX983" s="110"/>
      <c r="FY983" s="110"/>
      <c r="FZ983" s="110"/>
      <c r="GA983" s="110"/>
      <c r="GB983" s="110"/>
      <c r="GC983" s="110"/>
      <c r="GD983" s="110"/>
      <c r="GE983" s="110"/>
      <c r="GF983" s="110"/>
      <c r="GG983" s="110"/>
      <c r="GH983" s="110"/>
      <c r="GI983" s="110"/>
      <c r="GJ983" s="110"/>
      <c r="GK983" s="110"/>
      <c r="GL983" s="110"/>
      <c r="GM983" s="110"/>
      <c r="GN983" s="110"/>
      <c r="GO983" s="110"/>
      <c r="GP983" s="110"/>
      <c r="GQ983" s="110"/>
      <c r="GR983" s="110"/>
      <c r="GS983" s="110"/>
      <c r="GT983" s="110"/>
      <c r="GU983" s="110"/>
      <c r="GV983" s="110"/>
      <c r="GW983" s="110"/>
      <c r="GX983" s="110"/>
      <c r="GY983" s="110"/>
      <c r="GZ983" s="110"/>
      <c r="HA983" s="110"/>
      <c r="HB983" s="110"/>
      <c r="HC983" s="110"/>
      <c r="HD983" s="110"/>
      <c r="HE983" s="110"/>
      <c r="HF983" s="110"/>
      <c r="HG983" s="110"/>
      <c r="HH983" s="110"/>
      <c r="HI983" s="110"/>
      <c r="HJ983" s="110"/>
      <c r="HK983" s="110"/>
      <c r="HL983" s="110"/>
      <c r="HM983" s="110"/>
      <c r="HN983" s="110"/>
      <c r="HO983" s="110"/>
      <c r="HP983" s="110"/>
      <c r="HQ983" s="110"/>
      <c r="HR983" s="110"/>
      <c r="HS983" s="110"/>
      <c r="HT983" s="110"/>
      <c r="HU983" s="110"/>
      <c r="HV983" s="110"/>
      <c r="HW983" s="110"/>
      <c r="HX983" s="110"/>
      <c r="HY983" s="110"/>
      <c r="HZ983" s="110"/>
      <c r="IA983" s="110"/>
      <c r="IB983" s="110"/>
      <c r="IC983" s="110"/>
      <c r="ID983" s="110"/>
      <c r="IE983" s="110"/>
      <c r="IF983" s="110"/>
      <c r="IG983" s="110"/>
      <c r="IH983" s="110"/>
      <c r="II983" s="110"/>
      <c r="IJ983" s="110"/>
      <c r="IK983" s="110"/>
      <c r="IL983" s="110"/>
      <c r="IM983" s="110"/>
      <c r="IN983" s="110"/>
      <c r="IO983" s="110"/>
      <c r="IP983" s="110"/>
    </row>
    <row r="984" spans="18:250" ht="16.5" hidden="1" customHeight="1">
      <c r="R984" s="95"/>
      <c r="S984" s="95"/>
      <c r="T984" s="95"/>
      <c r="U984" s="70"/>
      <c r="V984" s="214"/>
      <c r="W984" s="70"/>
      <c r="X984" s="70"/>
      <c r="Y984" s="70"/>
      <c r="Z984" s="70"/>
      <c r="AA984" s="70"/>
      <c r="AB984" s="70"/>
      <c r="AC984" s="70"/>
      <c r="AD984" s="70"/>
      <c r="AE984" s="70"/>
      <c r="AF984" s="70"/>
      <c r="AG984" s="70"/>
      <c r="AH984" s="70"/>
      <c r="AI984" s="70"/>
      <c r="AJ984" s="70"/>
      <c r="AK984" s="70"/>
      <c r="AL984" s="70"/>
      <c r="AM984" s="70"/>
      <c r="AN984" s="70"/>
      <c r="AO984" s="70"/>
      <c r="AP984" s="70"/>
      <c r="AQ984" s="70"/>
      <c r="AR984" s="70"/>
      <c r="AS984" s="70"/>
      <c r="AT984" s="70"/>
      <c r="AU984" s="70"/>
      <c r="AV984" s="70"/>
      <c r="AW984" s="70"/>
      <c r="AX984" s="70"/>
      <c r="AY984" s="70"/>
      <c r="AZ984" s="70"/>
      <c r="BA984" s="70"/>
      <c r="BB984" s="70"/>
      <c r="BC984" s="70"/>
      <c r="BD984" s="70"/>
      <c r="BE984" s="70"/>
      <c r="BF984" s="70"/>
      <c r="BG984" s="70"/>
      <c r="BH984" s="70"/>
      <c r="BI984" s="70"/>
      <c r="BJ984" s="70"/>
      <c r="BK984" s="70"/>
      <c r="BL984" s="70"/>
      <c r="BM984" s="70"/>
      <c r="BN984" s="70"/>
      <c r="BO984" s="70"/>
      <c r="BP984" s="70"/>
      <c r="BQ984" s="70"/>
      <c r="BR984" s="70"/>
      <c r="BS984" s="70"/>
      <c r="BT984" s="70"/>
      <c r="BU984" s="70"/>
      <c r="BV984" s="70"/>
      <c r="BW984" s="70"/>
      <c r="BX984" s="70"/>
      <c r="BY984" s="70"/>
      <c r="BZ984" s="70"/>
      <c r="CA984" s="70"/>
      <c r="CB984" s="70"/>
      <c r="CC984" s="70"/>
      <c r="CD984" s="70"/>
      <c r="CE984" s="70"/>
      <c r="CF984" s="70"/>
      <c r="CG984" s="70"/>
      <c r="CH984" s="70"/>
      <c r="CI984" s="70"/>
      <c r="CJ984" s="70"/>
      <c r="CK984" s="70"/>
      <c r="CL984" s="70"/>
      <c r="CM984" s="70"/>
      <c r="CN984" s="70"/>
      <c r="CO984" s="70"/>
      <c r="CP984" s="70"/>
      <c r="CQ984" s="70"/>
      <c r="CR984" s="70"/>
      <c r="CS984" s="70"/>
      <c r="CT984" s="70"/>
      <c r="CU984" s="70"/>
      <c r="CV984" s="70"/>
      <c r="CW984" s="70"/>
      <c r="CX984" s="70"/>
      <c r="CY984" s="70"/>
      <c r="CZ984" s="70"/>
      <c r="DA984" s="70"/>
      <c r="DB984" s="70"/>
      <c r="DC984" s="70"/>
      <c r="DD984" s="70"/>
      <c r="DE984" s="70"/>
      <c r="DF984" s="70"/>
      <c r="DG984" s="70"/>
      <c r="DH984" s="70"/>
      <c r="DI984" s="70"/>
      <c r="DJ984" s="70"/>
      <c r="DK984" s="70"/>
      <c r="DL984" s="70"/>
      <c r="DM984" s="70"/>
      <c r="DN984" s="70"/>
      <c r="DO984" s="70"/>
      <c r="DP984" s="70"/>
      <c r="DQ984" s="70"/>
      <c r="DR984" s="70"/>
      <c r="DS984" s="70"/>
      <c r="DT984" s="70"/>
      <c r="DU984" s="70"/>
      <c r="DV984" s="70"/>
      <c r="DW984" s="70"/>
      <c r="DX984" s="70"/>
      <c r="DY984" s="70"/>
      <c r="DZ984" s="70"/>
      <c r="EA984" s="70"/>
      <c r="EB984" s="70"/>
      <c r="EC984" s="70"/>
      <c r="ED984" s="70"/>
      <c r="EE984" s="95" t="s">
        <v>450</v>
      </c>
      <c r="EF984" s="110"/>
      <c r="EG984" s="110"/>
      <c r="EH984" s="110"/>
      <c r="EI984" s="216"/>
      <c r="EJ984" s="110"/>
      <c r="EK984" s="110"/>
      <c r="EL984" s="110"/>
      <c r="EM984" s="110"/>
      <c r="EN984" s="110"/>
      <c r="EO984" s="110"/>
      <c r="EP984" s="110"/>
      <c r="EQ984" s="110"/>
      <c r="ER984" s="110"/>
      <c r="ES984" s="110"/>
      <c r="ET984" s="110"/>
      <c r="EU984" s="110"/>
      <c r="EV984" s="110"/>
      <c r="EW984" s="110"/>
      <c r="EX984" s="110"/>
      <c r="EY984" s="110"/>
      <c r="EZ984" s="110"/>
      <c r="FA984" s="110"/>
      <c r="FB984" s="110"/>
      <c r="FC984" s="110"/>
      <c r="FD984" s="110"/>
      <c r="FE984" s="110"/>
      <c r="FF984" s="110"/>
      <c r="FG984" s="110"/>
      <c r="FH984" s="110"/>
      <c r="FI984" s="110"/>
      <c r="FJ984" s="110"/>
      <c r="FK984" s="110"/>
      <c r="FL984" s="110"/>
      <c r="FM984" s="110"/>
      <c r="FN984" s="110"/>
      <c r="FO984" s="110"/>
      <c r="FP984" s="110"/>
      <c r="FQ984" s="110"/>
      <c r="FR984" s="110"/>
      <c r="FS984" s="110"/>
      <c r="FT984" s="110"/>
      <c r="FU984" s="110"/>
      <c r="FV984" s="110"/>
      <c r="FW984" s="110"/>
      <c r="FX984" s="110"/>
      <c r="FY984" s="110"/>
      <c r="FZ984" s="110"/>
      <c r="GA984" s="110"/>
      <c r="GB984" s="110"/>
      <c r="GC984" s="110"/>
      <c r="GD984" s="110"/>
      <c r="GE984" s="110"/>
      <c r="GF984" s="110"/>
      <c r="GG984" s="110"/>
      <c r="GH984" s="110"/>
      <c r="GI984" s="110"/>
      <c r="GJ984" s="110"/>
      <c r="GK984" s="110"/>
      <c r="GL984" s="110"/>
      <c r="GM984" s="110"/>
      <c r="GN984" s="110"/>
      <c r="GO984" s="110"/>
      <c r="GP984" s="110"/>
      <c r="GQ984" s="110"/>
      <c r="GR984" s="110"/>
      <c r="GS984" s="110"/>
      <c r="GT984" s="110"/>
      <c r="GU984" s="110"/>
      <c r="GV984" s="110"/>
      <c r="GW984" s="110"/>
      <c r="GX984" s="110"/>
      <c r="GY984" s="110"/>
      <c r="GZ984" s="110"/>
      <c r="HA984" s="110"/>
      <c r="HB984" s="110"/>
      <c r="HC984" s="110"/>
      <c r="HD984" s="110"/>
      <c r="HE984" s="110"/>
      <c r="HF984" s="110"/>
      <c r="HG984" s="110"/>
      <c r="HH984" s="110"/>
      <c r="HI984" s="110"/>
      <c r="HJ984" s="110"/>
      <c r="HK984" s="110"/>
      <c r="HL984" s="110"/>
      <c r="HM984" s="110"/>
      <c r="HN984" s="110"/>
      <c r="HO984" s="110"/>
      <c r="HP984" s="110"/>
      <c r="HQ984" s="110"/>
      <c r="HR984" s="110"/>
      <c r="HS984" s="110"/>
      <c r="HT984" s="110"/>
      <c r="HU984" s="110"/>
      <c r="HV984" s="110"/>
      <c r="HW984" s="110"/>
      <c r="HX984" s="110"/>
      <c r="HY984" s="110"/>
      <c r="HZ984" s="110"/>
      <c r="IA984" s="110"/>
      <c r="IB984" s="110"/>
      <c r="IC984" s="110"/>
      <c r="ID984" s="110"/>
      <c r="IE984" s="110"/>
      <c r="IF984" s="110"/>
      <c r="IG984" s="110"/>
      <c r="IH984" s="110"/>
      <c r="II984" s="110"/>
      <c r="IJ984" s="110"/>
      <c r="IK984" s="110"/>
      <c r="IL984" s="110"/>
      <c r="IM984" s="110"/>
      <c r="IN984" s="110"/>
      <c r="IO984" s="110"/>
      <c r="IP984" s="110"/>
    </row>
    <row r="985" spans="18:250" ht="16.5" hidden="1" customHeight="1">
      <c r="R985" s="95"/>
      <c r="S985" s="95"/>
      <c r="T985" s="95"/>
      <c r="U985" s="70"/>
      <c r="V985" s="214"/>
      <c r="W985" s="70"/>
      <c r="X985" s="70"/>
      <c r="Y985" s="70"/>
      <c r="Z985" s="70"/>
      <c r="AA985" s="70"/>
      <c r="AB985" s="70"/>
      <c r="AC985" s="70"/>
      <c r="AD985" s="70"/>
      <c r="AE985" s="70"/>
      <c r="AF985" s="70"/>
      <c r="AG985" s="70"/>
      <c r="AH985" s="70"/>
      <c r="AI985" s="70"/>
      <c r="AJ985" s="70"/>
      <c r="AK985" s="70"/>
      <c r="AL985" s="70"/>
      <c r="AM985" s="70"/>
      <c r="AN985" s="70"/>
      <c r="AO985" s="70"/>
      <c r="AP985" s="70"/>
      <c r="AQ985" s="70"/>
      <c r="AR985" s="70"/>
      <c r="AS985" s="70"/>
      <c r="AT985" s="70"/>
      <c r="AU985" s="70"/>
      <c r="AV985" s="70"/>
      <c r="AW985" s="70"/>
      <c r="AX985" s="70"/>
      <c r="AY985" s="70"/>
      <c r="AZ985" s="70"/>
      <c r="BA985" s="70"/>
      <c r="BB985" s="70"/>
      <c r="BC985" s="70"/>
      <c r="BD985" s="70"/>
      <c r="BE985" s="70"/>
      <c r="BF985" s="70"/>
      <c r="BG985" s="70"/>
      <c r="BH985" s="70"/>
      <c r="BI985" s="70"/>
      <c r="BJ985" s="70"/>
      <c r="BK985" s="70"/>
      <c r="BL985" s="70"/>
      <c r="BM985" s="70"/>
      <c r="BN985" s="70"/>
      <c r="BO985" s="70"/>
      <c r="BP985" s="70"/>
      <c r="BQ985" s="70"/>
      <c r="BR985" s="70"/>
      <c r="BS985" s="70"/>
      <c r="BT985" s="70"/>
      <c r="BU985" s="70"/>
      <c r="BV985" s="70"/>
      <c r="BW985" s="70"/>
      <c r="BX985" s="70"/>
      <c r="BY985" s="70"/>
      <c r="BZ985" s="70"/>
      <c r="CA985" s="70"/>
      <c r="CB985" s="70"/>
      <c r="CC985" s="70"/>
      <c r="CD985" s="70"/>
      <c r="CE985" s="70"/>
      <c r="CF985" s="70"/>
      <c r="CG985" s="70"/>
      <c r="CH985" s="70"/>
      <c r="CI985" s="70"/>
      <c r="CJ985" s="70"/>
      <c r="CK985" s="70"/>
      <c r="CL985" s="70"/>
      <c r="CM985" s="70"/>
      <c r="CN985" s="70"/>
      <c r="CO985" s="70"/>
      <c r="CP985" s="70"/>
      <c r="CQ985" s="70"/>
      <c r="CR985" s="70"/>
      <c r="CS985" s="70"/>
      <c r="CT985" s="70"/>
      <c r="CU985" s="70"/>
      <c r="CV985" s="70"/>
      <c r="CW985" s="70"/>
      <c r="CX985" s="70"/>
      <c r="CY985" s="70"/>
      <c r="CZ985" s="70"/>
      <c r="DA985" s="70"/>
      <c r="DB985" s="70"/>
      <c r="DC985" s="70"/>
      <c r="DD985" s="70"/>
      <c r="DE985" s="70"/>
      <c r="DF985" s="70"/>
      <c r="DG985" s="70"/>
      <c r="DH985" s="70"/>
      <c r="DI985" s="70"/>
      <c r="DJ985" s="70"/>
      <c r="DK985" s="70"/>
      <c r="DL985" s="70"/>
      <c r="DM985" s="70"/>
      <c r="DN985" s="70"/>
      <c r="DO985" s="70"/>
      <c r="DP985" s="70"/>
      <c r="DQ985" s="70"/>
      <c r="DR985" s="70"/>
      <c r="DS985" s="70"/>
      <c r="DT985" s="70"/>
      <c r="DU985" s="70"/>
      <c r="DV985" s="70"/>
      <c r="DW985" s="70"/>
      <c r="DX985" s="70"/>
      <c r="DY985" s="70"/>
      <c r="DZ985" s="70"/>
      <c r="EA985" s="70"/>
      <c r="EB985" s="70"/>
      <c r="EC985" s="70"/>
      <c r="ED985" s="70"/>
      <c r="EE985" s="95" t="s">
        <v>450</v>
      </c>
      <c r="EF985" s="110"/>
      <c r="EG985" s="110"/>
      <c r="EH985" s="110"/>
      <c r="EI985" s="216"/>
      <c r="EJ985" s="110"/>
      <c r="EK985" s="110"/>
      <c r="EL985" s="110"/>
      <c r="EM985" s="110"/>
      <c r="EN985" s="110"/>
      <c r="EO985" s="110"/>
      <c r="EP985" s="110"/>
      <c r="EQ985" s="110"/>
      <c r="ER985" s="110"/>
      <c r="ES985" s="110"/>
      <c r="ET985" s="110"/>
      <c r="EU985" s="110"/>
      <c r="EV985" s="110"/>
      <c r="EW985" s="110"/>
      <c r="EX985" s="110"/>
      <c r="EY985" s="110"/>
      <c r="EZ985" s="110"/>
      <c r="FA985" s="110"/>
      <c r="FB985" s="110"/>
      <c r="FC985" s="110"/>
      <c r="FD985" s="110"/>
      <c r="FE985" s="110"/>
      <c r="FF985" s="110"/>
      <c r="FG985" s="110"/>
      <c r="FH985" s="110"/>
      <c r="FI985" s="110"/>
      <c r="FJ985" s="110"/>
      <c r="FK985" s="110"/>
      <c r="FL985" s="110"/>
      <c r="FM985" s="110"/>
      <c r="FN985" s="110"/>
      <c r="FO985" s="110"/>
      <c r="FP985" s="110"/>
      <c r="FQ985" s="110"/>
      <c r="FR985" s="110"/>
      <c r="FS985" s="110"/>
      <c r="FT985" s="110"/>
      <c r="FU985" s="110"/>
      <c r="FV985" s="110"/>
      <c r="FW985" s="110"/>
      <c r="FX985" s="110"/>
      <c r="FY985" s="110"/>
      <c r="FZ985" s="110"/>
      <c r="GA985" s="110"/>
      <c r="GB985" s="110"/>
      <c r="GC985" s="110"/>
      <c r="GD985" s="110"/>
      <c r="GE985" s="110"/>
      <c r="GF985" s="110"/>
      <c r="GG985" s="110"/>
      <c r="GH985" s="110"/>
      <c r="GI985" s="110"/>
      <c r="GJ985" s="110"/>
      <c r="GK985" s="110"/>
      <c r="GL985" s="110"/>
      <c r="GM985" s="110"/>
      <c r="GN985" s="110"/>
      <c r="GO985" s="110"/>
      <c r="GP985" s="110"/>
      <c r="GQ985" s="110"/>
      <c r="GR985" s="110"/>
      <c r="GS985" s="110"/>
      <c r="GT985" s="110"/>
      <c r="GU985" s="110"/>
      <c r="GV985" s="110"/>
      <c r="GW985" s="110"/>
      <c r="GX985" s="110"/>
      <c r="GY985" s="110"/>
      <c r="GZ985" s="110"/>
      <c r="HA985" s="110"/>
      <c r="HB985" s="110"/>
      <c r="HC985" s="110"/>
      <c r="HD985" s="110"/>
      <c r="HE985" s="110"/>
      <c r="HF985" s="110"/>
      <c r="HG985" s="110"/>
      <c r="HH985" s="110"/>
      <c r="HI985" s="110"/>
      <c r="HJ985" s="110"/>
      <c r="HK985" s="110"/>
      <c r="HL985" s="110"/>
      <c r="HM985" s="110"/>
      <c r="HN985" s="110"/>
      <c r="HO985" s="110"/>
      <c r="HP985" s="110"/>
      <c r="HQ985" s="110"/>
      <c r="HR985" s="110"/>
      <c r="HS985" s="110"/>
      <c r="HT985" s="110"/>
      <c r="HU985" s="110"/>
      <c r="HV985" s="110"/>
      <c r="HW985" s="110"/>
      <c r="HX985" s="110"/>
      <c r="HY985" s="110"/>
      <c r="HZ985" s="110"/>
      <c r="IA985" s="110"/>
      <c r="IB985" s="110"/>
      <c r="IC985" s="110"/>
      <c r="ID985" s="110"/>
      <c r="IE985" s="110"/>
      <c r="IF985" s="110"/>
      <c r="IG985" s="110"/>
      <c r="IH985" s="110"/>
      <c r="II985" s="110"/>
      <c r="IJ985" s="110"/>
      <c r="IK985" s="110"/>
      <c r="IL985" s="110"/>
      <c r="IM985" s="110"/>
      <c r="IN985" s="110"/>
      <c r="IO985" s="110"/>
      <c r="IP985" s="110"/>
    </row>
    <row r="986" spans="18:250" ht="16.5" hidden="1" customHeight="1">
      <c r="R986" s="95"/>
      <c r="S986" s="95"/>
      <c r="T986" s="95"/>
      <c r="U986" s="70"/>
      <c r="V986" s="214"/>
      <c r="W986" s="70"/>
      <c r="X986" s="70"/>
      <c r="Y986" s="70"/>
      <c r="Z986" s="70"/>
      <c r="AA986" s="70"/>
      <c r="AB986" s="70"/>
      <c r="AC986" s="70"/>
      <c r="AD986" s="70"/>
      <c r="AE986" s="70"/>
      <c r="AF986" s="70"/>
      <c r="AG986" s="70"/>
      <c r="AH986" s="70"/>
      <c r="AI986" s="70"/>
      <c r="AJ986" s="70"/>
      <c r="AK986" s="70"/>
      <c r="AL986" s="70"/>
      <c r="AM986" s="70"/>
      <c r="AN986" s="70"/>
      <c r="AO986" s="70"/>
      <c r="AP986" s="70"/>
      <c r="AQ986" s="70"/>
      <c r="AR986" s="70"/>
      <c r="AS986" s="70"/>
      <c r="AT986" s="70"/>
      <c r="AU986" s="70"/>
      <c r="AV986" s="70"/>
      <c r="AW986" s="70"/>
      <c r="AX986" s="70"/>
      <c r="AY986" s="70"/>
      <c r="AZ986" s="70"/>
      <c r="BA986" s="70"/>
      <c r="BB986" s="70"/>
      <c r="BC986" s="70"/>
      <c r="BD986" s="70"/>
      <c r="BE986" s="70"/>
      <c r="BF986" s="70"/>
      <c r="BG986" s="70"/>
      <c r="BH986" s="70"/>
      <c r="BI986" s="70"/>
      <c r="BJ986" s="70"/>
      <c r="BK986" s="70"/>
      <c r="BL986" s="70"/>
      <c r="BM986" s="70"/>
      <c r="BN986" s="70"/>
      <c r="BO986" s="70"/>
      <c r="BP986" s="70"/>
      <c r="BQ986" s="70"/>
      <c r="BR986" s="70"/>
      <c r="BS986" s="70"/>
      <c r="BT986" s="70"/>
      <c r="BU986" s="70"/>
      <c r="BV986" s="70"/>
      <c r="BW986" s="70"/>
      <c r="BX986" s="70"/>
      <c r="BY986" s="70"/>
      <c r="BZ986" s="70"/>
      <c r="CA986" s="70"/>
      <c r="CB986" s="70"/>
      <c r="CC986" s="70"/>
      <c r="CD986" s="70"/>
      <c r="CE986" s="70"/>
      <c r="CF986" s="70"/>
      <c r="CG986" s="70"/>
      <c r="CH986" s="70"/>
      <c r="CI986" s="70"/>
      <c r="CJ986" s="70"/>
      <c r="CK986" s="70"/>
      <c r="CL986" s="70"/>
      <c r="CM986" s="70"/>
      <c r="CN986" s="70"/>
      <c r="CO986" s="70"/>
      <c r="CP986" s="70"/>
      <c r="CQ986" s="70"/>
      <c r="CR986" s="70"/>
      <c r="CS986" s="70"/>
      <c r="CT986" s="70"/>
      <c r="CU986" s="70"/>
      <c r="CV986" s="70"/>
      <c r="CW986" s="70"/>
      <c r="CX986" s="70"/>
      <c r="CY986" s="70"/>
      <c r="CZ986" s="70"/>
      <c r="DA986" s="70"/>
      <c r="DB986" s="70"/>
      <c r="DC986" s="70"/>
      <c r="DD986" s="70"/>
      <c r="DE986" s="70"/>
      <c r="DF986" s="70"/>
      <c r="DG986" s="70"/>
      <c r="DH986" s="70"/>
      <c r="DI986" s="70"/>
      <c r="DJ986" s="70"/>
      <c r="DK986" s="70"/>
      <c r="DL986" s="70"/>
      <c r="DM986" s="70"/>
      <c r="DN986" s="70"/>
      <c r="DO986" s="70"/>
      <c r="DP986" s="70"/>
      <c r="DQ986" s="70"/>
      <c r="DR986" s="70"/>
      <c r="DS986" s="70"/>
      <c r="DT986" s="70"/>
      <c r="DU986" s="70"/>
      <c r="DV986" s="70"/>
      <c r="DW986" s="70"/>
      <c r="DX986" s="70"/>
      <c r="DY986" s="70"/>
      <c r="DZ986" s="70"/>
      <c r="EA986" s="70"/>
      <c r="EB986" s="70"/>
      <c r="EC986" s="70"/>
      <c r="ED986" s="70"/>
      <c r="EE986" s="95" t="s">
        <v>450</v>
      </c>
      <c r="EF986" s="110"/>
      <c r="EG986" s="110"/>
      <c r="EH986" s="110"/>
      <c r="EI986" s="216"/>
      <c r="EJ986" s="110"/>
      <c r="EK986" s="110"/>
      <c r="EL986" s="110"/>
      <c r="EM986" s="110"/>
      <c r="EN986" s="110"/>
      <c r="EO986" s="110"/>
      <c r="EP986" s="110"/>
      <c r="EQ986" s="110"/>
      <c r="ER986" s="110"/>
      <c r="ES986" s="110"/>
      <c r="ET986" s="110"/>
      <c r="EU986" s="110"/>
      <c r="EV986" s="110"/>
      <c r="EW986" s="110"/>
      <c r="EX986" s="110"/>
      <c r="EY986" s="110"/>
      <c r="EZ986" s="110"/>
      <c r="FA986" s="110"/>
      <c r="FB986" s="110"/>
      <c r="FC986" s="110"/>
      <c r="FD986" s="110"/>
      <c r="FE986" s="110"/>
      <c r="FF986" s="110"/>
      <c r="FG986" s="110"/>
      <c r="FH986" s="110"/>
      <c r="FI986" s="110"/>
      <c r="FJ986" s="110"/>
      <c r="FK986" s="110"/>
      <c r="FL986" s="110"/>
      <c r="FM986" s="110"/>
      <c r="FN986" s="110"/>
      <c r="FO986" s="110"/>
      <c r="FP986" s="110"/>
      <c r="FQ986" s="110"/>
      <c r="FR986" s="110"/>
      <c r="FS986" s="110"/>
      <c r="FT986" s="110"/>
      <c r="FU986" s="110"/>
      <c r="FV986" s="110"/>
      <c r="FW986" s="110"/>
      <c r="FX986" s="110"/>
      <c r="FY986" s="110"/>
      <c r="FZ986" s="110"/>
      <c r="GA986" s="110"/>
      <c r="GB986" s="110"/>
      <c r="GC986" s="110"/>
      <c r="GD986" s="110"/>
      <c r="GE986" s="110"/>
      <c r="GF986" s="110"/>
      <c r="GG986" s="110"/>
      <c r="GH986" s="110"/>
      <c r="GI986" s="110"/>
      <c r="GJ986" s="110"/>
      <c r="GK986" s="110"/>
      <c r="GL986" s="110"/>
      <c r="GM986" s="110"/>
      <c r="GN986" s="110"/>
      <c r="GO986" s="110"/>
      <c r="GP986" s="110"/>
      <c r="GQ986" s="110"/>
      <c r="GR986" s="110"/>
      <c r="GS986" s="110"/>
      <c r="GT986" s="110"/>
      <c r="GU986" s="110"/>
      <c r="GV986" s="110"/>
      <c r="GW986" s="110"/>
      <c r="GX986" s="110"/>
      <c r="GY986" s="110"/>
      <c r="GZ986" s="110"/>
      <c r="HA986" s="110"/>
      <c r="HB986" s="110"/>
      <c r="HC986" s="110"/>
      <c r="HD986" s="110"/>
      <c r="HE986" s="110"/>
      <c r="HF986" s="110"/>
      <c r="HG986" s="110"/>
      <c r="HH986" s="110"/>
      <c r="HI986" s="110"/>
      <c r="HJ986" s="110"/>
      <c r="HK986" s="110"/>
      <c r="HL986" s="110"/>
      <c r="HM986" s="110"/>
      <c r="HN986" s="110"/>
      <c r="HO986" s="110"/>
      <c r="HP986" s="110"/>
      <c r="HQ986" s="110"/>
      <c r="HR986" s="110"/>
      <c r="HS986" s="110"/>
      <c r="HT986" s="110"/>
      <c r="HU986" s="110"/>
      <c r="HV986" s="110"/>
      <c r="HW986" s="110"/>
      <c r="HX986" s="110"/>
      <c r="HY986" s="110"/>
      <c r="HZ986" s="110"/>
      <c r="IA986" s="110"/>
      <c r="IB986" s="110"/>
      <c r="IC986" s="110"/>
      <c r="ID986" s="110"/>
      <c r="IE986" s="110"/>
      <c r="IF986" s="110"/>
      <c r="IG986" s="110"/>
      <c r="IH986" s="110"/>
      <c r="II986" s="110"/>
      <c r="IJ986" s="110"/>
      <c r="IK986" s="110"/>
      <c r="IL986" s="110"/>
      <c r="IM986" s="110"/>
      <c r="IN986" s="110"/>
      <c r="IO986" s="110"/>
      <c r="IP986" s="110"/>
    </row>
    <row r="987" spans="18:250" ht="16.5" hidden="1" customHeight="1">
      <c r="R987" s="95"/>
      <c r="S987" s="95"/>
      <c r="T987" s="95"/>
      <c r="U987" s="70"/>
      <c r="V987" s="214"/>
      <c r="W987" s="70"/>
      <c r="X987" s="70"/>
      <c r="Y987" s="70"/>
      <c r="Z987" s="70"/>
      <c r="AA987" s="70"/>
      <c r="AB987" s="70"/>
      <c r="AC987" s="70"/>
      <c r="AD987" s="70"/>
      <c r="AE987" s="70"/>
      <c r="AF987" s="70"/>
      <c r="AG987" s="70"/>
      <c r="AH987" s="70"/>
      <c r="AI987" s="70"/>
      <c r="AJ987" s="70"/>
      <c r="AK987" s="70"/>
      <c r="AL987" s="70"/>
      <c r="AM987" s="70"/>
      <c r="AN987" s="70"/>
      <c r="AO987" s="70"/>
      <c r="AP987" s="70"/>
      <c r="AQ987" s="70"/>
      <c r="AR987" s="70"/>
      <c r="AS987" s="70"/>
      <c r="AT987" s="70"/>
      <c r="AU987" s="70"/>
      <c r="AV987" s="70"/>
      <c r="AW987" s="70"/>
      <c r="AX987" s="70"/>
      <c r="AY987" s="70"/>
      <c r="AZ987" s="70"/>
      <c r="BA987" s="70"/>
      <c r="BB987" s="70"/>
      <c r="BC987" s="70"/>
      <c r="BD987" s="70"/>
      <c r="BE987" s="70"/>
      <c r="BF987" s="70"/>
      <c r="BG987" s="70"/>
      <c r="BH987" s="70"/>
      <c r="BI987" s="70"/>
      <c r="BJ987" s="70"/>
      <c r="BK987" s="70"/>
      <c r="BL987" s="70"/>
      <c r="BM987" s="70"/>
      <c r="BN987" s="70"/>
      <c r="BO987" s="70"/>
      <c r="BP987" s="70"/>
      <c r="BQ987" s="70"/>
      <c r="BR987" s="70"/>
      <c r="BS987" s="70"/>
      <c r="BT987" s="70"/>
      <c r="BU987" s="70"/>
      <c r="BV987" s="70"/>
      <c r="BW987" s="70"/>
      <c r="BX987" s="70"/>
      <c r="BY987" s="70"/>
      <c r="BZ987" s="70"/>
      <c r="CA987" s="70"/>
      <c r="CB987" s="70"/>
      <c r="CC987" s="70"/>
      <c r="CD987" s="70"/>
      <c r="CE987" s="70"/>
      <c r="CF987" s="70"/>
      <c r="CG987" s="70"/>
      <c r="CH987" s="70"/>
      <c r="CI987" s="70"/>
      <c r="CJ987" s="70"/>
      <c r="CK987" s="70"/>
      <c r="CL987" s="70"/>
      <c r="CM987" s="70"/>
      <c r="CN987" s="70"/>
      <c r="CO987" s="70"/>
      <c r="CP987" s="70"/>
      <c r="CQ987" s="70"/>
      <c r="CR987" s="70"/>
      <c r="CS987" s="70"/>
      <c r="CT987" s="70"/>
      <c r="CU987" s="70"/>
      <c r="CV987" s="70"/>
      <c r="CW987" s="70"/>
      <c r="CX987" s="70"/>
      <c r="CY987" s="70"/>
      <c r="CZ987" s="70"/>
      <c r="DA987" s="70"/>
      <c r="DB987" s="70"/>
      <c r="DC987" s="70"/>
      <c r="DD987" s="70"/>
      <c r="DE987" s="70"/>
      <c r="DF987" s="70"/>
      <c r="DG987" s="70"/>
      <c r="DH987" s="70"/>
      <c r="DI987" s="70"/>
      <c r="DJ987" s="70"/>
      <c r="DK987" s="70"/>
      <c r="DL987" s="70"/>
      <c r="DM987" s="70"/>
      <c r="DN987" s="70"/>
      <c r="DO987" s="70"/>
      <c r="DP987" s="70"/>
      <c r="DQ987" s="70"/>
      <c r="DR987" s="70"/>
      <c r="DS987" s="70"/>
      <c r="DT987" s="70"/>
      <c r="DU987" s="70"/>
      <c r="DV987" s="70"/>
      <c r="DW987" s="70"/>
      <c r="DX987" s="70"/>
      <c r="DY987" s="70"/>
      <c r="DZ987" s="70"/>
      <c r="EA987" s="70"/>
      <c r="EB987" s="70"/>
      <c r="EC987" s="70"/>
      <c r="ED987" s="70"/>
      <c r="EE987" s="95" t="s">
        <v>450</v>
      </c>
      <c r="EF987" s="110"/>
      <c r="EG987" s="110"/>
      <c r="EH987" s="110"/>
      <c r="EI987" s="216"/>
      <c r="EJ987" s="110"/>
      <c r="EK987" s="110"/>
      <c r="EL987" s="110"/>
      <c r="EM987" s="110"/>
      <c r="EN987" s="110"/>
      <c r="EO987" s="110"/>
      <c r="EP987" s="110"/>
      <c r="EQ987" s="110"/>
      <c r="ER987" s="110"/>
      <c r="ES987" s="110"/>
      <c r="ET987" s="110"/>
      <c r="EU987" s="110"/>
      <c r="EV987" s="110"/>
      <c r="EW987" s="110"/>
      <c r="EX987" s="110"/>
      <c r="EY987" s="110"/>
      <c r="EZ987" s="110"/>
      <c r="FA987" s="110"/>
      <c r="FB987" s="110"/>
      <c r="FC987" s="110"/>
      <c r="FD987" s="110"/>
      <c r="FE987" s="110"/>
      <c r="FF987" s="110"/>
      <c r="FG987" s="110"/>
      <c r="FH987" s="110"/>
      <c r="FI987" s="110"/>
      <c r="FJ987" s="110"/>
      <c r="FK987" s="110"/>
      <c r="FL987" s="110"/>
      <c r="FM987" s="110"/>
      <c r="FN987" s="110"/>
      <c r="FO987" s="110"/>
      <c r="FP987" s="110"/>
      <c r="FQ987" s="110"/>
      <c r="FR987" s="110"/>
      <c r="FS987" s="110"/>
      <c r="FT987" s="110"/>
      <c r="FU987" s="110"/>
      <c r="FV987" s="110"/>
      <c r="FW987" s="110"/>
      <c r="FX987" s="110"/>
      <c r="FY987" s="110"/>
      <c r="FZ987" s="110"/>
      <c r="GA987" s="110"/>
      <c r="GB987" s="110"/>
      <c r="GC987" s="110"/>
      <c r="GD987" s="110"/>
      <c r="GE987" s="110"/>
      <c r="GF987" s="110"/>
      <c r="GG987" s="110"/>
      <c r="GH987" s="110"/>
      <c r="GI987" s="110"/>
      <c r="GJ987" s="110"/>
      <c r="GK987" s="110"/>
      <c r="GL987" s="110"/>
      <c r="GM987" s="110"/>
      <c r="GN987" s="110"/>
      <c r="GO987" s="110"/>
      <c r="GP987" s="110"/>
      <c r="GQ987" s="110"/>
      <c r="GR987" s="110"/>
      <c r="GS987" s="110"/>
      <c r="GT987" s="110"/>
      <c r="GU987" s="110"/>
      <c r="GV987" s="110"/>
      <c r="GW987" s="110"/>
      <c r="GX987" s="110"/>
      <c r="GY987" s="110"/>
      <c r="GZ987" s="110"/>
      <c r="HA987" s="110"/>
      <c r="HB987" s="110"/>
      <c r="HC987" s="110"/>
      <c r="HD987" s="110"/>
      <c r="HE987" s="110"/>
      <c r="HF987" s="110"/>
      <c r="HG987" s="110"/>
      <c r="HH987" s="110"/>
      <c r="HI987" s="110"/>
      <c r="HJ987" s="110"/>
      <c r="HK987" s="110"/>
      <c r="HL987" s="110"/>
      <c r="HM987" s="110"/>
      <c r="HN987" s="110"/>
      <c r="HO987" s="110"/>
      <c r="HP987" s="110"/>
      <c r="HQ987" s="110"/>
      <c r="HR987" s="110"/>
      <c r="HS987" s="110"/>
      <c r="HT987" s="110"/>
      <c r="HU987" s="110"/>
      <c r="HV987" s="110"/>
      <c r="HW987" s="110"/>
      <c r="HX987" s="110"/>
      <c r="HY987" s="110"/>
      <c r="HZ987" s="110"/>
      <c r="IA987" s="110"/>
      <c r="IB987" s="110"/>
      <c r="IC987" s="110"/>
      <c r="ID987" s="110"/>
      <c r="IE987" s="110"/>
      <c r="IF987" s="110"/>
      <c r="IG987" s="110"/>
      <c r="IH987" s="110"/>
      <c r="II987" s="110"/>
      <c r="IJ987" s="110"/>
      <c r="IK987" s="110"/>
      <c r="IL987" s="110"/>
      <c r="IM987" s="110"/>
      <c r="IN987" s="110"/>
      <c r="IO987" s="110"/>
      <c r="IP987" s="110"/>
    </row>
    <row r="988" spans="18:250" ht="16.5" hidden="1" customHeight="1">
      <c r="R988" s="95"/>
      <c r="S988" s="95"/>
      <c r="T988" s="95"/>
      <c r="U988" s="70"/>
      <c r="V988" s="214"/>
      <c r="W988" s="70"/>
      <c r="X988" s="70"/>
      <c r="Y988" s="70"/>
      <c r="Z988" s="70"/>
      <c r="AA988" s="70"/>
      <c r="AB988" s="70"/>
      <c r="AC988" s="70"/>
      <c r="AD988" s="70"/>
      <c r="AE988" s="70"/>
      <c r="AF988" s="70"/>
      <c r="AG988" s="70"/>
      <c r="AH988" s="70"/>
      <c r="AI988" s="70"/>
      <c r="AJ988" s="70"/>
      <c r="AK988" s="70"/>
      <c r="AL988" s="70"/>
      <c r="AM988" s="70"/>
      <c r="AN988" s="70"/>
      <c r="AO988" s="70"/>
      <c r="AP988" s="70"/>
      <c r="AQ988" s="70"/>
      <c r="AR988" s="70"/>
      <c r="AS988" s="70"/>
      <c r="AT988" s="70"/>
      <c r="AU988" s="70"/>
      <c r="AV988" s="70"/>
      <c r="AW988" s="70"/>
      <c r="AX988" s="70"/>
      <c r="AY988" s="70"/>
      <c r="AZ988" s="70"/>
      <c r="BA988" s="70"/>
      <c r="BB988" s="70"/>
      <c r="BC988" s="70"/>
      <c r="BD988" s="70"/>
      <c r="BE988" s="70"/>
      <c r="BF988" s="70"/>
      <c r="BG988" s="70"/>
      <c r="BH988" s="70"/>
      <c r="BI988" s="70"/>
      <c r="BJ988" s="70"/>
      <c r="BK988" s="70"/>
      <c r="BL988" s="70"/>
      <c r="BM988" s="70"/>
      <c r="BN988" s="70"/>
      <c r="BO988" s="70"/>
      <c r="BP988" s="70"/>
      <c r="BQ988" s="70"/>
      <c r="BR988" s="70"/>
      <c r="BS988" s="70"/>
      <c r="BT988" s="70"/>
      <c r="BU988" s="70"/>
      <c r="BV988" s="70"/>
      <c r="BW988" s="70"/>
      <c r="BX988" s="70"/>
      <c r="BY988" s="70"/>
      <c r="BZ988" s="70"/>
      <c r="CA988" s="70"/>
      <c r="CB988" s="70"/>
      <c r="CC988" s="70"/>
      <c r="CD988" s="70"/>
      <c r="CE988" s="70"/>
      <c r="CF988" s="70"/>
      <c r="CG988" s="70"/>
      <c r="CH988" s="70"/>
      <c r="CI988" s="70"/>
      <c r="CJ988" s="70"/>
      <c r="CK988" s="70"/>
      <c r="CL988" s="70"/>
      <c r="CM988" s="70"/>
      <c r="CN988" s="70"/>
      <c r="CO988" s="70"/>
      <c r="CP988" s="70"/>
      <c r="CQ988" s="70"/>
      <c r="CR988" s="70"/>
      <c r="CS988" s="70"/>
      <c r="CT988" s="70"/>
      <c r="CU988" s="70"/>
      <c r="CV988" s="70"/>
      <c r="CW988" s="70"/>
      <c r="CX988" s="70"/>
      <c r="CY988" s="70"/>
      <c r="CZ988" s="70"/>
      <c r="DA988" s="70"/>
      <c r="DB988" s="70"/>
      <c r="DC988" s="70"/>
      <c r="DD988" s="70"/>
      <c r="DE988" s="70"/>
      <c r="DF988" s="70"/>
      <c r="DG988" s="70"/>
      <c r="DH988" s="70"/>
      <c r="DI988" s="70"/>
      <c r="DJ988" s="70"/>
      <c r="DK988" s="70"/>
      <c r="DL988" s="70"/>
      <c r="DM988" s="70"/>
      <c r="DN988" s="70"/>
      <c r="DO988" s="70"/>
      <c r="DP988" s="70"/>
      <c r="DQ988" s="70"/>
      <c r="DR988" s="70"/>
      <c r="DS988" s="70"/>
      <c r="DT988" s="70"/>
      <c r="DU988" s="70"/>
      <c r="DV988" s="70"/>
      <c r="DW988" s="70"/>
      <c r="DX988" s="70"/>
      <c r="DY988" s="70"/>
      <c r="DZ988" s="70"/>
      <c r="EA988" s="70"/>
      <c r="EB988" s="70"/>
      <c r="EC988" s="70"/>
      <c r="ED988" s="70"/>
      <c r="EE988" s="95" t="s">
        <v>450</v>
      </c>
      <c r="EF988" s="110"/>
      <c r="EG988" s="110"/>
      <c r="EH988" s="110"/>
      <c r="EI988" s="216"/>
      <c r="EJ988" s="110"/>
      <c r="EK988" s="110"/>
      <c r="EL988" s="110"/>
      <c r="EM988" s="110"/>
      <c r="EN988" s="110"/>
      <c r="EO988" s="110"/>
      <c r="EP988" s="110"/>
      <c r="EQ988" s="110"/>
      <c r="ER988" s="110"/>
      <c r="ES988" s="110"/>
      <c r="ET988" s="110"/>
      <c r="EU988" s="110"/>
      <c r="EV988" s="110"/>
      <c r="EW988" s="110"/>
      <c r="EX988" s="110"/>
      <c r="EY988" s="110"/>
      <c r="EZ988" s="110"/>
      <c r="FA988" s="110"/>
      <c r="FB988" s="110"/>
      <c r="FC988" s="110"/>
      <c r="FD988" s="110"/>
      <c r="FE988" s="110"/>
      <c r="FF988" s="110"/>
      <c r="FG988" s="110"/>
      <c r="FH988" s="110"/>
      <c r="FI988" s="110"/>
      <c r="FJ988" s="110"/>
      <c r="FK988" s="110"/>
      <c r="FL988" s="110"/>
      <c r="FM988" s="110"/>
      <c r="FN988" s="110"/>
      <c r="FO988" s="110"/>
      <c r="FP988" s="110"/>
      <c r="FQ988" s="110"/>
      <c r="FR988" s="110"/>
      <c r="FS988" s="110"/>
      <c r="FT988" s="110"/>
      <c r="FU988" s="110"/>
      <c r="FV988" s="110"/>
      <c r="FW988" s="110"/>
      <c r="FX988" s="110"/>
      <c r="FY988" s="110"/>
      <c r="FZ988" s="110"/>
      <c r="GA988" s="110"/>
      <c r="GB988" s="110"/>
      <c r="GC988" s="110"/>
      <c r="GD988" s="110"/>
      <c r="GE988" s="110"/>
      <c r="GF988" s="110"/>
      <c r="GG988" s="110"/>
      <c r="GH988" s="110"/>
      <c r="GI988" s="110"/>
      <c r="GJ988" s="110"/>
      <c r="GK988" s="110"/>
      <c r="GL988" s="110"/>
      <c r="GM988" s="110"/>
      <c r="GN988" s="110"/>
      <c r="GO988" s="110"/>
      <c r="GP988" s="110"/>
      <c r="GQ988" s="110"/>
      <c r="GR988" s="110"/>
      <c r="GS988" s="110"/>
      <c r="GT988" s="110"/>
      <c r="GU988" s="110"/>
      <c r="GV988" s="110"/>
      <c r="GW988" s="110"/>
      <c r="GX988" s="110"/>
      <c r="GY988" s="110"/>
      <c r="GZ988" s="110"/>
      <c r="HA988" s="110"/>
      <c r="HB988" s="110"/>
      <c r="HC988" s="110"/>
      <c r="HD988" s="110"/>
      <c r="HE988" s="110"/>
      <c r="HF988" s="110"/>
      <c r="HG988" s="110"/>
      <c r="HH988" s="110"/>
      <c r="HI988" s="110"/>
      <c r="HJ988" s="110"/>
      <c r="HK988" s="110"/>
      <c r="HL988" s="110"/>
      <c r="HM988" s="110"/>
      <c r="HN988" s="110"/>
      <c r="HO988" s="110"/>
      <c r="HP988" s="110"/>
      <c r="HQ988" s="110"/>
      <c r="HR988" s="110"/>
      <c r="HS988" s="110"/>
      <c r="HT988" s="110"/>
      <c r="HU988" s="110"/>
      <c r="HV988" s="110"/>
      <c r="HW988" s="110"/>
      <c r="HX988" s="110"/>
      <c r="HY988" s="110"/>
      <c r="HZ988" s="110"/>
      <c r="IA988" s="110"/>
      <c r="IB988" s="110"/>
      <c r="IC988" s="110"/>
      <c r="ID988" s="110"/>
      <c r="IE988" s="110"/>
      <c r="IF988" s="110"/>
      <c r="IG988" s="110"/>
      <c r="IH988" s="110"/>
      <c r="II988" s="110"/>
      <c r="IJ988" s="110"/>
      <c r="IK988" s="110"/>
      <c r="IL988" s="110"/>
      <c r="IM988" s="110"/>
      <c r="IN988" s="110"/>
      <c r="IO988" s="110"/>
      <c r="IP988" s="110"/>
    </row>
    <row r="989" spans="18:250" ht="16.5" hidden="1" customHeight="1">
      <c r="R989" s="95"/>
      <c r="S989" s="95"/>
      <c r="T989" s="95"/>
      <c r="U989" s="70"/>
      <c r="V989" s="214"/>
      <c r="W989" s="70"/>
      <c r="X989" s="70"/>
      <c r="Y989" s="70"/>
      <c r="Z989" s="70"/>
      <c r="AA989" s="70"/>
      <c r="AB989" s="70"/>
      <c r="AC989" s="70"/>
      <c r="AD989" s="70"/>
      <c r="AE989" s="70"/>
      <c r="AF989" s="70"/>
      <c r="AG989" s="70"/>
      <c r="AH989" s="70"/>
      <c r="AI989" s="70"/>
      <c r="AJ989" s="70"/>
      <c r="AK989" s="70"/>
      <c r="AL989" s="70"/>
      <c r="AM989" s="70"/>
      <c r="AN989" s="70"/>
      <c r="AO989" s="70"/>
      <c r="AP989" s="70"/>
      <c r="AQ989" s="70"/>
      <c r="AR989" s="70"/>
      <c r="AS989" s="70"/>
      <c r="AT989" s="70"/>
      <c r="AU989" s="70"/>
      <c r="AV989" s="70"/>
      <c r="AW989" s="70"/>
      <c r="AX989" s="70"/>
      <c r="AY989" s="70"/>
      <c r="AZ989" s="70"/>
      <c r="BA989" s="70"/>
      <c r="BB989" s="70"/>
      <c r="BC989" s="70"/>
      <c r="BD989" s="70"/>
      <c r="BE989" s="70"/>
      <c r="BF989" s="70"/>
      <c r="BG989" s="70"/>
      <c r="BH989" s="70"/>
      <c r="BI989" s="70"/>
      <c r="BJ989" s="70"/>
      <c r="BK989" s="70"/>
      <c r="BL989" s="70"/>
      <c r="BM989" s="70"/>
      <c r="BN989" s="70"/>
      <c r="BO989" s="70"/>
      <c r="BP989" s="70"/>
      <c r="BQ989" s="70"/>
      <c r="BR989" s="70"/>
      <c r="BS989" s="70"/>
      <c r="BT989" s="70"/>
      <c r="BU989" s="70"/>
      <c r="BV989" s="70"/>
      <c r="BW989" s="70"/>
      <c r="BX989" s="70"/>
      <c r="BY989" s="70"/>
      <c r="BZ989" s="70"/>
      <c r="CA989" s="70"/>
      <c r="CB989" s="70"/>
      <c r="CC989" s="70"/>
      <c r="CD989" s="70"/>
      <c r="CE989" s="70"/>
      <c r="CF989" s="70"/>
      <c r="CG989" s="70"/>
      <c r="CH989" s="70"/>
      <c r="CI989" s="70"/>
      <c r="CJ989" s="70"/>
      <c r="CK989" s="70"/>
      <c r="CL989" s="70"/>
      <c r="CM989" s="70"/>
      <c r="CN989" s="70"/>
      <c r="CO989" s="70"/>
      <c r="CP989" s="70"/>
      <c r="CQ989" s="70"/>
      <c r="CR989" s="70"/>
      <c r="CS989" s="70"/>
      <c r="CT989" s="70"/>
      <c r="CU989" s="70"/>
      <c r="CV989" s="70"/>
      <c r="CW989" s="70"/>
      <c r="CX989" s="70"/>
      <c r="CY989" s="70"/>
      <c r="CZ989" s="70"/>
      <c r="DA989" s="70"/>
      <c r="DB989" s="70"/>
      <c r="DC989" s="70"/>
      <c r="DD989" s="70"/>
      <c r="DE989" s="70"/>
      <c r="DF989" s="70"/>
      <c r="DG989" s="70"/>
      <c r="DH989" s="70"/>
      <c r="DI989" s="70"/>
      <c r="DJ989" s="70"/>
      <c r="DK989" s="70"/>
      <c r="DL989" s="70"/>
      <c r="DM989" s="70"/>
      <c r="DN989" s="70"/>
      <c r="DO989" s="70"/>
      <c r="DP989" s="70"/>
      <c r="DQ989" s="70"/>
      <c r="DR989" s="70"/>
      <c r="DS989" s="70"/>
      <c r="DT989" s="70"/>
      <c r="DU989" s="70"/>
      <c r="DV989" s="70"/>
      <c r="DW989" s="70"/>
      <c r="DX989" s="70"/>
      <c r="DY989" s="70"/>
      <c r="DZ989" s="70"/>
      <c r="EA989" s="70"/>
      <c r="EB989" s="70"/>
      <c r="EC989" s="70"/>
      <c r="ED989" s="70"/>
      <c r="EE989" s="95" t="s">
        <v>450</v>
      </c>
      <c r="EF989" s="110"/>
      <c r="EG989" s="110"/>
      <c r="EH989" s="110"/>
      <c r="EI989" s="216"/>
      <c r="EJ989" s="110"/>
      <c r="EK989" s="110"/>
      <c r="EL989" s="110"/>
      <c r="EM989" s="110"/>
      <c r="EN989" s="110"/>
      <c r="EO989" s="110"/>
      <c r="EP989" s="110"/>
      <c r="EQ989" s="110"/>
      <c r="ER989" s="110"/>
      <c r="ES989" s="110"/>
      <c r="ET989" s="110"/>
      <c r="EU989" s="110"/>
      <c r="EV989" s="110"/>
      <c r="EW989" s="110"/>
      <c r="EX989" s="110"/>
      <c r="EY989" s="110"/>
      <c r="EZ989" s="110"/>
      <c r="FA989" s="110"/>
      <c r="FB989" s="110"/>
      <c r="FC989" s="110"/>
      <c r="FD989" s="110"/>
      <c r="FE989" s="110"/>
      <c r="FF989" s="110"/>
      <c r="FG989" s="110"/>
      <c r="FH989" s="110"/>
      <c r="FI989" s="110"/>
      <c r="FJ989" s="110"/>
      <c r="FK989" s="110"/>
      <c r="FL989" s="110"/>
      <c r="FM989" s="110"/>
      <c r="FN989" s="110"/>
      <c r="FO989" s="110"/>
      <c r="FP989" s="110"/>
      <c r="FQ989" s="110"/>
      <c r="FR989" s="110"/>
      <c r="FS989" s="110"/>
      <c r="FT989" s="110"/>
      <c r="FU989" s="110"/>
      <c r="FV989" s="110"/>
      <c r="FW989" s="110"/>
      <c r="FX989" s="110"/>
      <c r="FY989" s="110"/>
      <c r="FZ989" s="110"/>
      <c r="GA989" s="110"/>
      <c r="GB989" s="110"/>
      <c r="GC989" s="110"/>
      <c r="GD989" s="110"/>
      <c r="GE989" s="110"/>
      <c r="GF989" s="110"/>
      <c r="GG989" s="110"/>
      <c r="GH989" s="110"/>
      <c r="GI989" s="110"/>
      <c r="GJ989" s="110"/>
      <c r="GK989" s="110"/>
      <c r="GL989" s="110"/>
      <c r="GM989" s="110"/>
      <c r="GN989" s="110"/>
      <c r="GO989" s="110"/>
      <c r="GP989" s="110"/>
      <c r="GQ989" s="110"/>
      <c r="GR989" s="110"/>
      <c r="GS989" s="110"/>
      <c r="GT989" s="110"/>
      <c r="GU989" s="110"/>
      <c r="GV989" s="110"/>
      <c r="GW989" s="110"/>
      <c r="GX989" s="110"/>
      <c r="GY989" s="110"/>
      <c r="GZ989" s="110"/>
      <c r="HA989" s="110"/>
      <c r="HB989" s="110"/>
      <c r="HC989" s="110"/>
      <c r="HD989" s="110"/>
      <c r="HE989" s="110"/>
      <c r="HF989" s="110"/>
      <c r="HG989" s="110"/>
      <c r="HH989" s="110"/>
      <c r="HI989" s="110"/>
      <c r="HJ989" s="110"/>
      <c r="HK989" s="110"/>
      <c r="HL989" s="110"/>
      <c r="HM989" s="110"/>
      <c r="HN989" s="110"/>
      <c r="HO989" s="110"/>
      <c r="HP989" s="110"/>
      <c r="HQ989" s="110"/>
      <c r="HR989" s="110"/>
      <c r="HS989" s="110"/>
      <c r="HT989" s="110"/>
      <c r="HU989" s="110"/>
      <c r="HV989" s="110"/>
      <c r="HW989" s="110"/>
      <c r="HX989" s="110"/>
      <c r="HY989" s="110"/>
      <c r="HZ989" s="110"/>
      <c r="IA989" s="110"/>
      <c r="IB989" s="110"/>
      <c r="IC989" s="110"/>
      <c r="ID989" s="110"/>
      <c r="IE989" s="110"/>
      <c r="IF989" s="110"/>
      <c r="IG989" s="110"/>
      <c r="IH989" s="110"/>
      <c r="II989" s="110"/>
      <c r="IJ989" s="110"/>
      <c r="IK989" s="110"/>
      <c r="IL989" s="110"/>
      <c r="IM989" s="110"/>
      <c r="IN989" s="110"/>
      <c r="IO989" s="110"/>
      <c r="IP989" s="110"/>
    </row>
    <row r="990" spans="18:250" ht="16.5" hidden="1" customHeight="1">
      <c r="R990" s="95"/>
      <c r="S990" s="95"/>
      <c r="T990" s="95"/>
      <c r="U990" s="70"/>
      <c r="V990" s="214"/>
      <c r="W990" s="70"/>
      <c r="X990" s="70"/>
      <c r="Y990" s="70"/>
      <c r="Z990" s="70"/>
      <c r="AA990" s="70"/>
      <c r="AB990" s="70"/>
      <c r="AC990" s="70"/>
      <c r="AD990" s="70"/>
      <c r="AE990" s="70"/>
      <c r="AF990" s="70"/>
      <c r="AG990" s="70"/>
      <c r="AH990" s="70"/>
      <c r="AI990" s="70"/>
      <c r="AJ990" s="70"/>
      <c r="AK990" s="70"/>
      <c r="AL990" s="70"/>
      <c r="AM990" s="70"/>
      <c r="AN990" s="70"/>
      <c r="AO990" s="70"/>
      <c r="AP990" s="70"/>
      <c r="AQ990" s="70"/>
      <c r="AR990" s="70"/>
      <c r="AS990" s="70"/>
      <c r="AT990" s="70"/>
      <c r="AU990" s="70"/>
      <c r="AV990" s="70"/>
      <c r="AW990" s="70"/>
      <c r="AX990" s="70"/>
      <c r="AY990" s="70"/>
      <c r="AZ990" s="70"/>
      <c r="BA990" s="70"/>
      <c r="BB990" s="70"/>
      <c r="BC990" s="70"/>
      <c r="BD990" s="70"/>
      <c r="BE990" s="70"/>
      <c r="BF990" s="70"/>
      <c r="BG990" s="70"/>
      <c r="BH990" s="70"/>
      <c r="BI990" s="70"/>
      <c r="BJ990" s="70"/>
      <c r="BK990" s="70"/>
      <c r="BL990" s="70"/>
      <c r="BM990" s="70"/>
      <c r="BN990" s="70"/>
      <c r="BO990" s="70"/>
      <c r="BP990" s="70"/>
      <c r="BQ990" s="70"/>
      <c r="BR990" s="70"/>
      <c r="BS990" s="70"/>
      <c r="BT990" s="70"/>
      <c r="BU990" s="70"/>
      <c r="BV990" s="70"/>
      <c r="BW990" s="70"/>
      <c r="BX990" s="70"/>
      <c r="BY990" s="70"/>
      <c r="BZ990" s="70"/>
      <c r="CA990" s="70"/>
      <c r="CB990" s="70"/>
      <c r="CC990" s="70"/>
      <c r="CD990" s="70"/>
      <c r="CE990" s="70"/>
      <c r="CF990" s="70"/>
      <c r="CG990" s="70"/>
      <c r="CH990" s="70"/>
      <c r="CI990" s="70"/>
      <c r="CJ990" s="70"/>
      <c r="CK990" s="70"/>
      <c r="CL990" s="70"/>
      <c r="CM990" s="70"/>
      <c r="CN990" s="70"/>
      <c r="CO990" s="70"/>
      <c r="CP990" s="70"/>
      <c r="CQ990" s="70"/>
      <c r="CR990" s="70"/>
      <c r="CS990" s="70"/>
      <c r="CT990" s="70"/>
      <c r="CU990" s="70"/>
      <c r="CV990" s="70"/>
      <c r="CW990" s="70"/>
      <c r="CX990" s="70"/>
      <c r="CY990" s="70"/>
      <c r="CZ990" s="70"/>
      <c r="DA990" s="70"/>
      <c r="DB990" s="70"/>
      <c r="DC990" s="70"/>
      <c r="DD990" s="70"/>
      <c r="DE990" s="70"/>
      <c r="DF990" s="70"/>
      <c r="DG990" s="70"/>
      <c r="DH990" s="70"/>
      <c r="DI990" s="70"/>
      <c r="DJ990" s="70"/>
      <c r="DK990" s="70"/>
      <c r="DL990" s="70"/>
      <c r="DM990" s="70"/>
      <c r="DN990" s="70"/>
      <c r="DO990" s="70"/>
      <c r="DP990" s="70"/>
      <c r="DQ990" s="70"/>
      <c r="DR990" s="70"/>
      <c r="DS990" s="70"/>
      <c r="DT990" s="70"/>
      <c r="DU990" s="70"/>
      <c r="DV990" s="70"/>
      <c r="DW990" s="70"/>
      <c r="DX990" s="70"/>
      <c r="DY990" s="70"/>
      <c r="DZ990" s="70"/>
      <c r="EA990" s="70"/>
      <c r="EB990" s="70"/>
      <c r="EC990" s="70"/>
      <c r="ED990" s="70"/>
      <c r="EE990" s="95" t="s">
        <v>450</v>
      </c>
      <c r="EF990" s="110"/>
      <c r="EG990" s="110"/>
      <c r="EH990" s="110"/>
      <c r="EI990" s="216"/>
      <c r="EJ990" s="110"/>
      <c r="EK990" s="110"/>
      <c r="EL990" s="110"/>
      <c r="EM990" s="110"/>
      <c r="EN990" s="110"/>
      <c r="EO990" s="110"/>
      <c r="EP990" s="110"/>
      <c r="EQ990" s="110"/>
      <c r="ER990" s="110"/>
      <c r="ES990" s="110"/>
      <c r="ET990" s="110"/>
      <c r="EU990" s="110"/>
      <c r="EV990" s="110"/>
      <c r="EW990" s="110"/>
      <c r="EX990" s="110"/>
      <c r="EY990" s="110"/>
      <c r="EZ990" s="110"/>
      <c r="FA990" s="110"/>
      <c r="FB990" s="110"/>
      <c r="FC990" s="110"/>
      <c r="FD990" s="110"/>
      <c r="FE990" s="110"/>
      <c r="FF990" s="110"/>
      <c r="FG990" s="110"/>
      <c r="FH990" s="110"/>
      <c r="FI990" s="110"/>
      <c r="FJ990" s="110"/>
      <c r="FK990" s="110"/>
      <c r="FL990" s="110"/>
      <c r="FM990" s="110"/>
      <c r="FN990" s="110"/>
      <c r="FO990" s="110"/>
      <c r="FP990" s="110"/>
      <c r="FQ990" s="110"/>
      <c r="FR990" s="110"/>
      <c r="FS990" s="110"/>
      <c r="FT990" s="110"/>
      <c r="FU990" s="110"/>
      <c r="FV990" s="110"/>
      <c r="FW990" s="110"/>
      <c r="FX990" s="110"/>
      <c r="FY990" s="110"/>
      <c r="FZ990" s="110"/>
      <c r="GA990" s="110"/>
      <c r="GB990" s="110"/>
      <c r="GC990" s="110"/>
      <c r="GD990" s="110"/>
      <c r="GE990" s="110"/>
      <c r="GF990" s="110"/>
      <c r="GG990" s="110"/>
      <c r="GH990" s="110"/>
      <c r="GI990" s="110"/>
      <c r="GJ990" s="110"/>
      <c r="GK990" s="110"/>
      <c r="GL990" s="110"/>
      <c r="GM990" s="110"/>
      <c r="GN990" s="110"/>
      <c r="GO990" s="110"/>
      <c r="GP990" s="110"/>
      <c r="GQ990" s="110"/>
      <c r="GR990" s="110"/>
      <c r="GS990" s="110"/>
      <c r="GT990" s="110"/>
      <c r="GU990" s="110"/>
      <c r="GV990" s="110"/>
      <c r="GW990" s="110"/>
      <c r="GX990" s="110"/>
      <c r="GY990" s="110"/>
      <c r="GZ990" s="110"/>
      <c r="HA990" s="110"/>
      <c r="HB990" s="110"/>
      <c r="HC990" s="110"/>
      <c r="HD990" s="110"/>
      <c r="HE990" s="110"/>
      <c r="HF990" s="110"/>
      <c r="HG990" s="110"/>
      <c r="HH990" s="110"/>
      <c r="HI990" s="110"/>
      <c r="HJ990" s="110"/>
      <c r="HK990" s="110"/>
      <c r="HL990" s="110"/>
      <c r="HM990" s="110"/>
      <c r="HN990" s="110"/>
      <c r="HO990" s="110"/>
      <c r="HP990" s="110"/>
      <c r="HQ990" s="110"/>
      <c r="HR990" s="110"/>
      <c r="HS990" s="110"/>
      <c r="HT990" s="110"/>
      <c r="HU990" s="110"/>
      <c r="HV990" s="110"/>
      <c r="HW990" s="110"/>
      <c r="HX990" s="110"/>
      <c r="HY990" s="110"/>
      <c r="HZ990" s="110"/>
      <c r="IA990" s="110"/>
      <c r="IB990" s="110"/>
      <c r="IC990" s="110"/>
      <c r="ID990" s="110"/>
      <c r="IE990" s="110"/>
      <c r="IF990" s="110"/>
      <c r="IG990" s="110"/>
      <c r="IH990" s="110"/>
      <c r="II990" s="110"/>
      <c r="IJ990" s="110"/>
      <c r="IK990" s="110"/>
      <c r="IL990" s="110"/>
      <c r="IM990" s="110"/>
      <c r="IN990" s="110"/>
      <c r="IO990" s="110"/>
      <c r="IP990" s="110"/>
    </row>
    <row r="991" spans="18:250" ht="16.5" hidden="1" customHeight="1">
      <c r="R991" s="95"/>
      <c r="S991" s="95"/>
      <c r="T991" s="95"/>
      <c r="U991" s="70"/>
      <c r="V991" s="214"/>
      <c r="W991" s="70"/>
      <c r="X991" s="70"/>
      <c r="Y991" s="70"/>
      <c r="Z991" s="70"/>
      <c r="AA991" s="70"/>
      <c r="AB991" s="70"/>
      <c r="AC991" s="70"/>
      <c r="AD991" s="70"/>
      <c r="AE991" s="70"/>
      <c r="AF991" s="70"/>
      <c r="AG991" s="70"/>
      <c r="AH991" s="70"/>
      <c r="AI991" s="70"/>
      <c r="AJ991" s="70"/>
      <c r="AK991" s="70"/>
      <c r="AL991" s="70"/>
      <c r="AM991" s="70"/>
      <c r="AN991" s="70"/>
      <c r="AO991" s="70"/>
      <c r="AP991" s="70"/>
      <c r="AQ991" s="70"/>
      <c r="AR991" s="70"/>
      <c r="AS991" s="70"/>
      <c r="AT991" s="70"/>
      <c r="AU991" s="70"/>
      <c r="AV991" s="70"/>
      <c r="AW991" s="70"/>
      <c r="AX991" s="70"/>
      <c r="AY991" s="70"/>
      <c r="AZ991" s="70"/>
      <c r="BA991" s="70"/>
      <c r="BB991" s="70"/>
      <c r="BC991" s="70"/>
      <c r="BD991" s="70"/>
      <c r="BE991" s="70"/>
      <c r="BF991" s="70"/>
      <c r="BG991" s="70"/>
      <c r="BH991" s="70"/>
      <c r="BI991" s="70"/>
      <c r="BJ991" s="70"/>
      <c r="BK991" s="70"/>
      <c r="BL991" s="70"/>
      <c r="BM991" s="70"/>
      <c r="BN991" s="70"/>
      <c r="BO991" s="70"/>
      <c r="BP991" s="70"/>
      <c r="BQ991" s="70"/>
      <c r="BR991" s="70"/>
      <c r="BS991" s="70"/>
      <c r="BT991" s="70"/>
      <c r="BU991" s="70"/>
      <c r="BV991" s="70"/>
      <c r="BW991" s="70"/>
      <c r="BX991" s="70"/>
      <c r="BY991" s="70"/>
      <c r="BZ991" s="70"/>
      <c r="CA991" s="70"/>
      <c r="CB991" s="70"/>
      <c r="CC991" s="70"/>
      <c r="CD991" s="70"/>
      <c r="CE991" s="70"/>
      <c r="CF991" s="70"/>
      <c r="CG991" s="70"/>
      <c r="CH991" s="70"/>
      <c r="CI991" s="70"/>
      <c r="CJ991" s="70"/>
      <c r="CK991" s="70"/>
      <c r="CL991" s="70"/>
      <c r="CM991" s="70"/>
      <c r="CN991" s="70"/>
      <c r="CO991" s="70"/>
      <c r="CP991" s="70"/>
      <c r="CQ991" s="70"/>
      <c r="CR991" s="70"/>
      <c r="CS991" s="70"/>
      <c r="CT991" s="70"/>
      <c r="CU991" s="70"/>
      <c r="CV991" s="70"/>
      <c r="CW991" s="70"/>
      <c r="CX991" s="70"/>
      <c r="CY991" s="70"/>
      <c r="CZ991" s="70"/>
      <c r="DA991" s="70"/>
      <c r="DB991" s="70"/>
      <c r="DC991" s="70"/>
      <c r="DD991" s="70"/>
      <c r="DE991" s="70"/>
      <c r="DF991" s="70"/>
      <c r="DG991" s="70"/>
      <c r="DH991" s="70"/>
      <c r="DI991" s="70"/>
      <c r="DJ991" s="70"/>
      <c r="DK991" s="70"/>
      <c r="DL991" s="70"/>
      <c r="DM991" s="70"/>
      <c r="DN991" s="70"/>
      <c r="DO991" s="70"/>
      <c r="DP991" s="70"/>
      <c r="DQ991" s="70"/>
      <c r="DR991" s="70"/>
      <c r="DS991" s="70"/>
      <c r="DT991" s="70"/>
      <c r="DU991" s="70"/>
      <c r="DV991" s="70"/>
      <c r="DW991" s="70"/>
      <c r="DX991" s="70"/>
      <c r="DY991" s="70"/>
      <c r="DZ991" s="70"/>
      <c r="EA991" s="70"/>
      <c r="EB991" s="70"/>
      <c r="EC991" s="70"/>
      <c r="ED991" s="70"/>
      <c r="EE991" s="95" t="s">
        <v>450</v>
      </c>
      <c r="EF991" s="110"/>
      <c r="EG991" s="110"/>
      <c r="EH991" s="110"/>
      <c r="EI991" s="216"/>
      <c r="EJ991" s="110"/>
      <c r="EK991" s="110"/>
      <c r="EL991" s="110"/>
      <c r="EM991" s="110"/>
      <c r="EN991" s="110"/>
      <c r="EO991" s="110"/>
      <c r="EP991" s="110"/>
      <c r="EQ991" s="110"/>
      <c r="ER991" s="110"/>
      <c r="ES991" s="110"/>
      <c r="ET991" s="110"/>
      <c r="EU991" s="110"/>
      <c r="EV991" s="110"/>
      <c r="EW991" s="110"/>
      <c r="EX991" s="110"/>
      <c r="EY991" s="110"/>
      <c r="EZ991" s="110"/>
      <c r="FA991" s="110"/>
      <c r="FB991" s="110"/>
      <c r="FC991" s="110"/>
      <c r="FD991" s="110"/>
      <c r="FE991" s="110"/>
      <c r="FF991" s="110"/>
      <c r="FG991" s="110"/>
      <c r="FH991" s="110"/>
      <c r="FI991" s="110"/>
      <c r="FJ991" s="110"/>
      <c r="FK991" s="110"/>
      <c r="FL991" s="110"/>
      <c r="FM991" s="110"/>
      <c r="FN991" s="110"/>
      <c r="FO991" s="110"/>
      <c r="FP991" s="110"/>
      <c r="FQ991" s="110"/>
      <c r="FR991" s="110"/>
      <c r="FS991" s="110"/>
      <c r="FT991" s="110"/>
      <c r="FU991" s="110"/>
      <c r="FV991" s="110"/>
      <c r="FW991" s="110"/>
      <c r="FX991" s="110"/>
      <c r="FY991" s="110"/>
      <c r="FZ991" s="110"/>
      <c r="GA991" s="110"/>
      <c r="GB991" s="110"/>
      <c r="GC991" s="110"/>
      <c r="GD991" s="110"/>
      <c r="GE991" s="110"/>
      <c r="GF991" s="110"/>
      <c r="GG991" s="110"/>
      <c r="GH991" s="110"/>
      <c r="GI991" s="110"/>
      <c r="GJ991" s="110"/>
      <c r="GK991" s="110"/>
      <c r="GL991" s="110"/>
      <c r="GM991" s="110"/>
      <c r="GN991" s="110"/>
      <c r="GO991" s="110"/>
      <c r="GP991" s="110"/>
      <c r="GQ991" s="110"/>
      <c r="GR991" s="110"/>
      <c r="GS991" s="110"/>
      <c r="GT991" s="110"/>
      <c r="GU991" s="110"/>
      <c r="GV991" s="110"/>
      <c r="GW991" s="110"/>
      <c r="GX991" s="110"/>
      <c r="GY991" s="110"/>
      <c r="GZ991" s="110"/>
      <c r="HA991" s="110"/>
      <c r="HB991" s="110"/>
      <c r="HC991" s="110"/>
      <c r="HD991" s="110"/>
      <c r="HE991" s="110"/>
      <c r="HF991" s="110"/>
      <c r="HG991" s="110"/>
      <c r="HH991" s="110"/>
      <c r="HI991" s="110"/>
      <c r="HJ991" s="110"/>
      <c r="HK991" s="110"/>
      <c r="HL991" s="110"/>
      <c r="HM991" s="110"/>
      <c r="HN991" s="110"/>
      <c r="HO991" s="110"/>
      <c r="HP991" s="110"/>
      <c r="HQ991" s="110"/>
      <c r="HR991" s="110"/>
      <c r="HS991" s="110"/>
      <c r="HT991" s="110"/>
      <c r="HU991" s="110"/>
      <c r="HV991" s="110"/>
      <c r="HW991" s="110"/>
      <c r="HX991" s="110"/>
      <c r="HY991" s="110"/>
      <c r="HZ991" s="110"/>
      <c r="IA991" s="110"/>
      <c r="IB991" s="110"/>
      <c r="IC991" s="110"/>
      <c r="ID991" s="110"/>
      <c r="IE991" s="110"/>
      <c r="IF991" s="110"/>
      <c r="IG991" s="110"/>
      <c r="IH991" s="110"/>
      <c r="II991" s="110"/>
      <c r="IJ991" s="110"/>
      <c r="IK991" s="110"/>
      <c r="IL991" s="110"/>
      <c r="IM991" s="110"/>
      <c r="IN991" s="110"/>
      <c r="IO991" s="110"/>
      <c r="IP991" s="110"/>
    </row>
    <row r="992" spans="18:250" ht="16.5" hidden="1" customHeight="1">
      <c r="R992" s="95"/>
      <c r="S992" s="95"/>
      <c r="T992" s="95"/>
      <c r="U992" s="70"/>
      <c r="V992" s="214"/>
      <c r="W992" s="70"/>
      <c r="X992" s="70"/>
      <c r="Y992" s="70"/>
      <c r="Z992" s="70"/>
      <c r="AA992" s="70"/>
      <c r="AB992" s="70"/>
      <c r="AC992" s="70"/>
      <c r="AD992" s="70"/>
      <c r="AE992" s="70"/>
      <c r="AF992" s="70"/>
      <c r="AG992" s="70"/>
      <c r="AH992" s="70"/>
      <c r="AI992" s="70"/>
      <c r="AJ992" s="70"/>
      <c r="AK992" s="70"/>
      <c r="AL992" s="70"/>
      <c r="AM992" s="70"/>
      <c r="AN992" s="70"/>
      <c r="AO992" s="70"/>
      <c r="AP992" s="70"/>
      <c r="AQ992" s="70"/>
      <c r="AR992" s="70"/>
      <c r="AS992" s="70"/>
      <c r="AT992" s="70"/>
      <c r="AU992" s="70"/>
      <c r="AV992" s="70"/>
      <c r="AW992" s="70"/>
      <c r="AX992" s="70"/>
      <c r="AY992" s="70"/>
      <c r="AZ992" s="70"/>
      <c r="BA992" s="70"/>
      <c r="BB992" s="70"/>
      <c r="BC992" s="70"/>
      <c r="BD992" s="70"/>
      <c r="BE992" s="70"/>
      <c r="BF992" s="70"/>
      <c r="BG992" s="70"/>
      <c r="BH992" s="70"/>
      <c r="BI992" s="70"/>
      <c r="BJ992" s="70"/>
      <c r="BK992" s="70"/>
      <c r="BL992" s="70"/>
      <c r="BM992" s="70"/>
      <c r="BN992" s="70"/>
      <c r="BO992" s="70"/>
      <c r="BP992" s="70"/>
      <c r="BQ992" s="70"/>
      <c r="BR992" s="70"/>
      <c r="BS992" s="70"/>
      <c r="BT992" s="70"/>
      <c r="BU992" s="70"/>
      <c r="BV992" s="70"/>
      <c r="BW992" s="70"/>
      <c r="BX992" s="70"/>
      <c r="BY992" s="70"/>
      <c r="BZ992" s="70"/>
      <c r="CA992" s="70"/>
      <c r="CB992" s="70"/>
      <c r="CC992" s="70"/>
      <c r="CD992" s="70"/>
      <c r="CE992" s="70"/>
      <c r="CF992" s="70"/>
      <c r="CG992" s="70"/>
      <c r="CH992" s="70"/>
      <c r="CI992" s="70"/>
      <c r="CJ992" s="70"/>
      <c r="CK992" s="70"/>
      <c r="CL992" s="70"/>
      <c r="CM992" s="70"/>
      <c r="CN992" s="70"/>
      <c r="CO992" s="70"/>
      <c r="CP992" s="70"/>
      <c r="CQ992" s="70"/>
      <c r="CR992" s="70"/>
      <c r="CS992" s="70"/>
      <c r="CT992" s="70"/>
      <c r="CU992" s="70"/>
      <c r="CV992" s="70"/>
      <c r="CW992" s="70"/>
      <c r="CX992" s="70"/>
      <c r="CY992" s="70"/>
      <c r="CZ992" s="70"/>
      <c r="DA992" s="70"/>
      <c r="DB992" s="70"/>
      <c r="DC992" s="70"/>
      <c r="DD992" s="70"/>
      <c r="DE992" s="70"/>
      <c r="DF992" s="70"/>
      <c r="DG992" s="70"/>
      <c r="DH992" s="70"/>
      <c r="DI992" s="70"/>
      <c r="DJ992" s="70"/>
      <c r="DK992" s="70"/>
      <c r="DL992" s="70"/>
      <c r="DM992" s="70"/>
      <c r="DN992" s="70"/>
      <c r="DO992" s="70"/>
      <c r="DP992" s="70"/>
      <c r="DQ992" s="70"/>
      <c r="DR992" s="70"/>
      <c r="DS992" s="70"/>
      <c r="DT992" s="70"/>
      <c r="DU992" s="70"/>
      <c r="DV992" s="70"/>
      <c r="DW992" s="70"/>
      <c r="DX992" s="70"/>
      <c r="DY992" s="70"/>
      <c r="DZ992" s="70"/>
      <c r="EA992" s="70"/>
      <c r="EB992" s="70"/>
      <c r="EC992" s="70"/>
      <c r="ED992" s="70"/>
      <c r="EE992" s="95" t="s">
        <v>450</v>
      </c>
      <c r="EF992" s="110"/>
      <c r="EG992" s="110"/>
      <c r="EH992" s="110"/>
      <c r="EI992" s="216"/>
      <c r="EJ992" s="110"/>
      <c r="EK992" s="110"/>
      <c r="EL992" s="110"/>
      <c r="EM992" s="110"/>
      <c r="EN992" s="110"/>
      <c r="EO992" s="110"/>
      <c r="EP992" s="110"/>
      <c r="EQ992" s="110"/>
      <c r="ER992" s="110"/>
      <c r="ES992" s="110"/>
      <c r="ET992" s="110"/>
      <c r="EU992" s="110"/>
      <c r="EV992" s="110"/>
      <c r="EW992" s="110"/>
      <c r="EX992" s="110"/>
      <c r="EY992" s="110"/>
      <c r="EZ992" s="110"/>
      <c r="FA992" s="110"/>
      <c r="FB992" s="110"/>
      <c r="FC992" s="110"/>
      <c r="FD992" s="110"/>
      <c r="FE992" s="110"/>
      <c r="FF992" s="110"/>
      <c r="FG992" s="110"/>
      <c r="FH992" s="110"/>
      <c r="FI992" s="110"/>
      <c r="FJ992" s="110"/>
      <c r="FK992" s="110"/>
      <c r="FL992" s="110"/>
      <c r="FM992" s="110"/>
      <c r="FN992" s="110"/>
      <c r="FO992" s="110"/>
      <c r="FP992" s="110"/>
      <c r="FQ992" s="110"/>
      <c r="FR992" s="110"/>
      <c r="FS992" s="110"/>
      <c r="FT992" s="110"/>
      <c r="FU992" s="110"/>
      <c r="FV992" s="110"/>
      <c r="FW992" s="110"/>
      <c r="FX992" s="110"/>
      <c r="FY992" s="110"/>
      <c r="FZ992" s="110"/>
      <c r="GA992" s="110"/>
      <c r="GB992" s="110"/>
      <c r="GC992" s="110"/>
      <c r="GD992" s="110"/>
      <c r="GE992" s="110"/>
      <c r="GF992" s="110"/>
      <c r="GG992" s="110"/>
      <c r="GH992" s="110"/>
      <c r="GI992" s="110"/>
      <c r="GJ992" s="110"/>
      <c r="GK992" s="110"/>
      <c r="GL992" s="110"/>
      <c r="GM992" s="110"/>
      <c r="GN992" s="110"/>
      <c r="GO992" s="110"/>
      <c r="GP992" s="110"/>
      <c r="GQ992" s="110"/>
      <c r="GR992" s="110"/>
      <c r="GS992" s="110"/>
      <c r="GT992" s="110"/>
      <c r="GU992" s="110"/>
      <c r="GV992" s="110"/>
      <c r="GW992" s="110"/>
      <c r="GX992" s="110"/>
      <c r="GY992" s="110"/>
      <c r="GZ992" s="110"/>
      <c r="HA992" s="110"/>
      <c r="HB992" s="110"/>
      <c r="HC992" s="110"/>
      <c r="HD992" s="110"/>
      <c r="HE992" s="110"/>
      <c r="HF992" s="110"/>
      <c r="HG992" s="110"/>
      <c r="HH992" s="110"/>
      <c r="HI992" s="110"/>
      <c r="HJ992" s="110"/>
      <c r="HK992" s="110"/>
      <c r="HL992" s="110"/>
      <c r="HM992" s="110"/>
      <c r="HN992" s="110"/>
      <c r="HO992" s="110"/>
      <c r="HP992" s="110"/>
      <c r="HQ992" s="110"/>
      <c r="HR992" s="110"/>
      <c r="HS992" s="110"/>
      <c r="HT992" s="110"/>
      <c r="HU992" s="110"/>
      <c r="HV992" s="110"/>
      <c r="HW992" s="110"/>
      <c r="HX992" s="110"/>
      <c r="HY992" s="110"/>
      <c r="HZ992" s="110"/>
      <c r="IA992" s="110"/>
      <c r="IB992" s="110"/>
      <c r="IC992" s="110"/>
      <c r="ID992" s="110"/>
      <c r="IE992" s="110"/>
      <c r="IF992" s="110"/>
      <c r="IG992" s="110"/>
      <c r="IH992" s="110"/>
      <c r="II992" s="110"/>
      <c r="IJ992" s="110"/>
      <c r="IK992" s="110"/>
      <c r="IL992" s="110"/>
      <c r="IM992" s="110"/>
      <c r="IN992" s="110"/>
      <c r="IO992" s="110"/>
      <c r="IP992" s="110"/>
    </row>
    <row r="993" spans="18:250" ht="16.5" hidden="1" customHeight="1">
      <c r="R993" s="95"/>
      <c r="S993" s="95"/>
      <c r="T993" s="95"/>
      <c r="U993" s="70"/>
      <c r="V993" s="214"/>
      <c r="W993" s="70"/>
      <c r="X993" s="70"/>
      <c r="Y993" s="70"/>
      <c r="Z993" s="70"/>
      <c r="AA993" s="70"/>
      <c r="AB993" s="70"/>
      <c r="AC993" s="70"/>
      <c r="AD993" s="70"/>
      <c r="AE993" s="70"/>
      <c r="AF993" s="70"/>
      <c r="AG993" s="70"/>
      <c r="AH993" s="70"/>
      <c r="AI993" s="70"/>
      <c r="AJ993" s="70"/>
      <c r="AK993" s="70"/>
      <c r="AL993" s="70"/>
      <c r="AM993" s="70"/>
      <c r="AN993" s="70"/>
      <c r="AO993" s="70"/>
      <c r="AP993" s="70"/>
      <c r="AQ993" s="70"/>
      <c r="AR993" s="70"/>
      <c r="AS993" s="70"/>
      <c r="AT993" s="70"/>
      <c r="AU993" s="70"/>
      <c r="AV993" s="70"/>
      <c r="AW993" s="70"/>
      <c r="AX993" s="70"/>
      <c r="AY993" s="70"/>
      <c r="AZ993" s="70"/>
      <c r="BA993" s="70"/>
      <c r="BB993" s="70"/>
      <c r="BC993" s="70"/>
      <c r="BD993" s="70"/>
      <c r="BE993" s="70"/>
      <c r="BF993" s="70"/>
      <c r="BG993" s="70"/>
      <c r="BH993" s="70"/>
      <c r="BI993" s="70"/>
      <c r="BJ993" s="70"/>
      <c r="BK993" s="70"/>
      <c r="BL993" s="70"/>
      <c r="BM993" s="70"/>
      <c r="BN993" s="70"/>
      <c r="BO993" s="70"/>
      <c r="BP993" s="70"/>
      <c r="BQ993" s="70"/>
      <c r="BR993" s="70"/>
      <c r="BS993" s="70"/>
      <c r="BT993" s="70"/>
      <c r="BU993" s="70"/>
      <c r="BV993" s="70"/>
      <c r="BW993" s="70"/>
      <c r="BX993" s="70"/>
      <c r="BY993" s="70"/>
      <c r="BZ993" s="70"/>
      <c r="CA993" s="70"/>
      <c r="CB993" s="70"/>
      <c r="CC993" s="70"/>
      <c r="CD993" s="70"/>
      <c r="CE993" s="70"/>
      <c r="CF993" s="70"/>
      <c r="CG993" s="70"/>
      <c r="CH993" s="70"/>
      <c r="CI993" s="70"/>
      <c r="CJ993" s="70"/>
      <c r="CK993" s="70"/>
      <c r="CL993" s="70"/>
      <c r="CM993" s="70"/>
      <c r="CN993" s="70"/>
      <c r="CO993" s="70"/>
      <c r="CP993" s="70"/>
      <c r="CQ993" s="70"/>
      <c r="CR993" s="70"/>
      <c r="CS993" s="70"/>
      <c r="CT993" s="70"/>
      <c r="CU993" s="70"/>
      <c r="CV993" s="70"/>
      <c r="CW993" s="70"/>
      <c r="CX993" s="70"/>
      <c r="CY993" s="70"/>
      <c r="CZ993" s="70"/>
      <c r="DA993" s="70"/>
      <c r="DB993" s="70"/>
      <c r="DC993" s="70"/>
      <c r="DD993" s="70"/>
      <c r="DE993" s="70"/>
      <c r="DF993" s="70"/>
      <c r="DG993" s="70"/>
      <c r="DH993" s="70"/>
      <c r="DI993" s="70"/>
      <c r="DJ993" s="70"/>
      <c r="DK993" s="70"/>
      <c r="DL993" s="70"/>
      <c r="DM993" s="70"/>
      <c r="DN993" s="70"/>
      <c r="DO993" s="70"/>
      <c r="DP993" s="70"/>
      <c r="DQ993" s="70"/>
      <c r="DR993" s="70"/>
      <c r="DS993" s="70"/>
      <c r="DT993" s="70"/>
      <c r="DU993" s="70"/>
      <c r="DV993" s="70"/>
      <c r="DW993" s="70"/>
      <c r="DX993" s="70"/>
      <c r="DY993" s="70"/>
      <c r="DZ993" s="70"/>
      <c r="EA993" s="70"/>
      <c r="EB993" s="70"/>
      <c r="EC993" s="70"/>
      <c r="ED993" s="70"/>
      <c r="EE993" s="95" t="s">
        <v>450</v>
      </c>
      <c r="EF993" s="110"/>
      <c r="EG993" s="110"/>
      <c r="EH993" s="110"/>
      <c r="EI993" s="216"/>
      <c r="EJ993" s="110"/>
      <c r="EK993" s="110"/>
      <c r="EL993" s="110"/>
      <c r="EM993" s="110"/>
      <c r="EN993" s="110"/>
      <c r="EO993" s="110"/>
      <c r="EP993" s="110"/>
      <c r="EQ993" s="110"/>
      <c r="ER993" s="110"/>
      <c r="ES993" s="110"/>
      <c r="ET993" s="110"/>
      <c r="EU993" s="110"/>
      <c r="EV993" s="110"/>
      <c r="EW993" s="110"/>
      <c r="EX993" s="110"/>
      <c r="EY993" s="110"/>
      <c r="EZ993" s="110"/>
      <c r="FA993" s="110"/>
      <c r="FB993" s="110"/>
      <c r="FC993" s="110"/>
      <c r="FD993" s="110"/>
      <c r="FE993" s="110"/>
      <c r="FF993" s="110"/>
      <c r="FG993" s="110"/>
      <c r="FH993" s="110"/>
      <c r="FI993" s="110"/>
      <c r="FJ993" s="110"/>
      <c r="FK993" s="110"/>
      <c r="FL993" s="110"/>
      <c r="FM993" s="110"/>
      <c r="FN993" s="110"/>
      <c r="FO993" s="110"/>
      <c r="FP993" s="110"/>
      <c r="FQ993" s="110"/>
      <c r="FR993" s="110"/>
      <c r="FS993" s="110"/>
      <c r="FT993" s="110"/>
      <c r="FU993" s="110"/>
      <c r="FV993" s="110"/>
      <c r="FW993" s="110"/>
      <c r="FX993" s="110"/>
      <c r="FY993" s="110"/>
      <c r="FZ993" s="110"/>
      <c r="GA993" s="110"/>
      <c r="GB993" s="110"/>
      <c r="GC993" s="110"/>
      <c r="GD993" s="110"/>
      <c r="GE993" s="110"/>
      <c r="GF993" s="110"/>
      <c r="GG993" s="110"/>
      <c r="GH993" s="110"/>
      <c r="GI993" s="110"/>
      <c r="GJ993" s="110"/>
      <c r="GK993" s="110"/>
      <c r="GL993" s="110"/>
      <c r="GM993" s="110"/>
      <c r="GN993" s="110"/>
      <c r="GO993" s="110"/>
      <c r="GP993" s="110"/>
      <c r="GQ993" s="110"/>
      <c r="GR993" s="110"/>
      <c r="GS993" s="110"/>
      <c r="GT993" s="110"/>
      <c r="GU993" s="110"/>
      <c r="GV993" s="110"/>
      <c r="GW993" s="110"/>
      <c r="GX993" s="110"/>
      <c r="GY993" s="110"/>
      <c r="GZ993" s="110"/>
      <c r="HA993" s="110"/>
      <c r="HB993" s="110"/>
      <c r="HC993" s="110"/>
      <c r="HD993" s="110"/>
      <c r="HE993" s="110"/>
      <c r="HF993" s="110"/>
      <c r="HG993" s="110"/>
      <c r="HH993" s="110"/>
      <c r="HI993" s="110"/>
      <c r="HJ993" s="110"/>
      <c r="HK993" s="110"/>
      <c r="HL993" s="110"/>
      <c r="HM993" s="110"/>
      <c r="HN993" s="110"/>
      <c r="HO993" s="110"/>
      <c r="HP993" s="110"/>
      <c r="HQ993" s="110"/>
      <c r="HR993" s="110"/>
      <c r="HS993" s="110"/>
      <c r="HT993" s="110"/>
      <c r="HU993" s="110"/>
      <c r="HV993" s="110"/>
      <c r="HW993" s="110"/>
      <c r="HX993" s="110"/>
      <c r="HY993" s="110"/>
      <c r="HZ993" s="110"/>
      <c r="IA993" s="110"/>
      <c r="IB993" s="110"/>
      <c r="IC993" s="110"/>
      <c r="ID993" s="110"/>
      <c r="IE993" s="110"/>
      <c r="IF993" s="110"/>
      <c r="IG993" s="110"/>
      <c r="IH993" s="110"/>
      <c r="II993" s="110"/>
      <c r="IJ993" s="110"/>
      <c r="IK993" s="110"/>
      <c r="IL993" s="110"/>
      <c r="IM993" s="110"/>
      <c r="IN993" s="110"/>
      <c r="IO993" s="110"/>
      <c r="IP993" s="110"/>
    </row>
    <row r="994" spans="18:250" ht="16.5" hidden="1" customHeight="1">
      <c r="R994" s="95"/>
      <c r="S994" s="95"/>
      <c r="T994" s="95"/>
      <c r="U994" s="70"/>
      <c r="V994" s="214"/>
      <c r="W994" s="70"/>
      <c r="X994" s="70"/>
      <c r="Y994" s="70"/>
      <c r="Z994" s="70"/>
      <c r="AA994" s="70"/>
      <c r="AB994" s="70"/>
      <c r="AC994" s="70"/>
      <c r="AD994" s="70"/>
      <c r="AE994" s="70"/>
      <c r="AF994" s="70"/>
      <c r="AG994" s="70"/>
      <c r="AH994" s="70"/>
      <c r="AI994" s="70"/>
      <c r="AJ994" s="70"/>
      <c r="AK994" s="70"/>
      <c r="AL994" s="70"/>
      <c r="AM994" s="70"/>
      <c r="AN994" s="70"/>
      <c r="AO994" s="70"/>
      <c r="AP994" s="70"/>
      <c r="AQ994" s="70"/>
      <c r="AR994" s="70"/>
      <c r="AS994" s="70"/>
      <c r="AT994" s="70"/>
      <c r="AU994" s="70"/>
      <c r="AV994" s="70"/>
      <c r="AW994" s="70"/>
      <c r="AX994" s="70"/>
      <c r="AY994" s="70"/>
      <c r="AZ994" s="70"/>
      <c r="BA994" s="70"/>
      <c r="BB994" s="70"/>
      <c r="BC994" s="70"/>
      <c r="BD994" s="70"/>
      <c r="BE994" s="70"/>
      <c r="BF994" s="70"/>
      <c r="BG994" s="70"/>
      <c r="BH994" s="70"/>
      <c r="BI994" s="70"/>
      <c r="BJ994" s="70"/>
      <c r="BK994" s="70"/>
      <c r="BL994" s="70"/>
      <c r="BM994" s="70"/>
      <c r="BN994" s="70"/>
      <c r="BO994" s="70"/>
      <c r="BP994" s="70"/>
      <c r="BQ994" s="70"/>
      <c r="BR994" s="70"/>
      <c r="BS994" s="70"/>
      <c r="BT994" s="70"/>
      <c r="BU994" s="70"/>
      <c r="BV994" s="70"/>
      <c r="BW994" s="70"/>
      <c r="BX994" s="70"/>
      <c r="BY994" s="70"/>
      <c r="BZ994" s="70"/>
      <c r="CA994" s="70"/>
      <c r="CB994" s="70"/>
      <c r="CC994" s="70"/>
      <c r="CD994" s="70"/>
      <c r="CE994" s="70"/>
      <c r="CF994" s="70"/>
      <c r="CG994" s="70"/>
      <c r="CH994" s="70"/>
      <c r="CI994" s="70"/>
      <c r="CJ994" s="70"/>
      <c r="CK994" s="70"/>
      <c r="CL994" s="70"/>
      <c r="CM994" s="70"/>
      <c r="CN994" s="70"/>
      <c r="CO994" s="70"/>
      <c r="CP994" s="70"/>
      <c r="CQ994" s="70"/>
      <c r="CR994" s="70"/>
      <c r="CS994" s="70"/>
      <c r="CT994" s="70"/>
      <c r="CU994" s="70"/>
      <c r="CV994" s="70"/>
      <c r="CW994" s="70"/>
      <c r="CX994" s="70"/>
      <c r="CY994" s="70"/>
      <c r="CZ994" s="70"/>
      <c r="DA994" s="70"/>
      <c r="DB994" s="70"/>
      <c r="DC994" s="70"/>
      <c r="DD994" s="70"/>
      <c r="DE994" s="70"/>
      <c r="DF994" s="70"/>
      <c r="DG994" s="70"/>
      <c r="DH994" s="70"/>
      <c r="DI994" s="70"/>
      <c r="DJ994" s="70"/>
      <c r="DK994" s="70"/>
      <c r="DL994" s="70"/>
      <c r="DM994" s="70"/>
      <c r="DN994" s="70"/>
      <c r="DO994" s="70"/>
      <c r="DP994" s="70"/>
      <c r="DQ994" s="70"/>
      <c r="DR994" s="70"/>
      <c r="DS994" s="70"/>
      <c r="DT994" s="70"/>
      <c r="DU994" s="70"/>
      <c r="DV994" s="70"/>
      <c r="DW994" s="70"/>
      <c r="DX994" s="70"/>
      <c r="DY994" s="70"/>
      <c r="DZ994" s="70"/>
      <c r="EA994" s="70"/>
      <c r="EB994" s="70"/>
      <c r="EC994" s="70"/>
      <c r="ED994" s="70"/>
      <c r="EE994" s="95" t="s">
        <v>450</v>
      </c>
      <c r="EF994" s="110"/>
      <c r="EG994" s="110"/>
      <c r="EH994" s="110"/>
      <c r="EI994" s="216"/>
      <c r="EJ994" s="110"/>
      <c r="EK994" s="110"/>
      <c r="EL994" s="110"/>
      <c r="EM994" s="110"/>
      <c r="EN994" s="110"/>
      <c r="EO994" s="110"/>
      <c r="EP994" s="110"/>
      <c r="EQ994" s="110"/>
      <c r="ER994" s="110"/>
      <c r="ES994" s="110"/>
      <c r="ET994" s="110"/>
      <c r="EU994" s="110"/>
      <c r="EV994" s="110"/>
      <c r="EW994" s="110"/>
      <c r="EX994" s="110"/>
      <c r="EY994" s="110"/>
      <c r="EZ994" s="110"/>
      <c r="FA994" s="110"/>
      <c r="FB994" s="110"/>
      <c r="FC994" s="110"/>
      <c r="FD994" s="110"/>
      <c r="FE994" s="110"/>
      <c r="FF994" s="110"/>
      <c r="FG994" s="110"/>
      <c r="FH994" s="110"/>
      <c r="FI994" s="110"/>
      <c r="FJ994" s="110"/>
      <c r="FK994" s="110"/>
      <c r="FL994" s="110"/>
      <c r="FM994" s="110"/>
      <c r="FN994" s="110"/>
      <c r="FO994" s="110"/>
      <c r="FP994" s="110"/>
      <c r="FQ994" s="110"/>
      <c r="FR994" s="110"/>
      <c r="FS994" s="110"/>
      <c r="FT994" s="110"/>
      <c r="FU994" s="110"/>
      <c r="FV994" s="110"/>
      <c r="FW994" s="110"/>
      <c r="FX994" s="110"/>
      <c r="FY994" s="110"/>
      <c r="FZ994" s="110"/>
      <c r="GA994" s="110"/>
      <c r="GB994" s="110"/>
      <c r="GC994" s="110"/>
      <c r="GD994" s="110"/>
      <c r="GE994" s="110"/>
      <c r="GF994" s="110"/>
      <c r="GG994" s="110"/>
      <c r="GH994" s="110"/>
      <c r="GI994" s="110"/>
      <c r="GJ994" s="110"/>
      <c r="GK994" s="110"/>
      <c r="GL994" s="110"/>
      <c r="GM994" s="110"/>
      <c r="GN994" s="110"/>
      <c r="GO994" s="110"/>
      <c r="GP994" s="110"/>
      <c r="GQ994" s="110"/>
      <c r="GR994" s="110"/>
      <c r="GS994" s="110"/>
      <c r="GT994" s="110"/>
      <c r="GU994" s="110"/>
      <c r="GV994" s="110"/>
      <c r="GW994" s="110"/>
      <c r="GX994" s="110"/>
      <c r="GY994" s="110"/>
      <c r="GZ994" s="110"/>
      <c r="HA994" s="110"/>
      <c r="HB994" s="110"/>
      <c r="HC994" s="110"/>
      <c r="HD994" s="110"/>
      <c r="HE994" s="110"/>
      <c r="HF994" s="110"/>
      <c r="HG994" s="110"/>
      <c r="HH994" s="110"/>
      <c r="HI994" s="110"/>
      <c r="HJ994" s="110"/>
      <c r="HK994" s="110"/>
      <c r="HL994" s="110"/>
      <c r="HM994" s="110"/>
      <c r="HN994" s="110"/>
      <c r="HO994" s="110"/>
      <c r="HP994" s="110"/>
      <c r="HQ994" s="110"/>
      <c r="HR994" s="110"/>
      <c r="HS994" s="110"/>
      <c r="HT994" s="110"/>
      <c r="HU994" s="110"/>
      <c r="HV994" s="110"/>
      <c r="HW994" s="110"/>
      <c r="HX994" s="110"/>
      <c r="HY994" s="110"/>
      <c r="HZ994" s="110"/>
      <c r="IA994" s="110"/>
      <c r="IB994" s="110"/>
      <c r="IC994" s="110"/>
      <c r="ID994" s="110"/>
      <c r="IE994" s="110"/>
      <c r="IF994" s="110"/>
      <c r="IG994" s="110"/>
      <c r="IH994" s="110"/>
      <c r="II994" s="110"/>
      <c r="IJ994" s="110"/>
      <c r="IK994" s="110"/>
      <c r="IL994" s="110"/>
      <c r="IM994" s="110"/>
      <c r="IN994" s="110"/>
      <c r="IO994" s="110"/>
      <c r="IP994" s="110"/>
    </row>
    <row r="995" spans="18:250" ht="16.5" hidden="1" customHeight="1">
      <c r="R995" s="95"/>
      <c r="S995" s="95"/>
      <c r="T995" s="95"/>
      <c r="U995" s="70"/>
      <c r="V995" s="214"/>
      <c r="W995" s="70"/>
      <c r="X995" s="70"/>
      <c r="Y995" s="70"/>
      <c r="Z995" s="70"/>
      <c r="AA995" s="70"/>
      <c r="AB995" s="70"/>
      <c r="AC995" s="70"/>
      <c r="AD995" s="70"/>
      <c r="AE995" s="70"/>
      <c r="AF995" s="70"/>
      <c r="AG995" s="70"/>
      <c r="AH995" s="70"/>
      <c r="AI995" s="70"/>
      <c r="AJ995" s="70"/>
      <c r="AK995" s="70"/>
      <c r="AL995" s="70"/>
      <c r="AM995" s="70"/>
      <c r="AN995" s="70"/>
      <c r="AO995" s="70"/>
      <c r="AP995" s="70"/>
      <c r="AQ995" s="70"/>
      <c r="AR995" s="70"/>
      <c r="AS995" s="70"/>
      <c r="AT995" s="70"/>
      <c r="AU995" s="70"/>
      <c r="AV995" s="70"/>
      <c r="AW995" s="70"/>
      <c r="AX995" s="70"/>
      <c r="AY995" s="70"/>
      <c r="AZ995" s="70"/>
      <c r="BA995" s="70"/>
      <c r="BB995" s="70"/>
      <c r="BC995" s="70"/>
      <c r="BD995" s="70"/>
      <c r="BE995" s="70"/>
      <c r="BF995" s="70"/>
      <c r="BG995" s="70"/>
      <c r="BH995" s="70"/>
      <c r="BI995" s="70"/>
      <c r="BJ995" s="70"/>
      <c r="BK995" s="70"/>
      <c r="BL995" s="70"/>
      <c r="BM995" s="70"/>
      <c r="BN995" s="70"/>
      <c r="BO995" s="70"/>
      <c r="BP995" s="70"/>
      <c r="BQ995" s="70"/>
      <c r="BR995" s="70"/>
      <c r="BS995" s="70"/>
      <c r="BT995" s="70"/>
      <c r="BU995" s="70"/>
      <c r="BV995" s="70"/>
      <c r="BW995" s="70"/>
      <c r="BX995" s="70"/>
      <c r="BY995" s="70"/>
      <c r="BZ995" s="70"/>
      <c r="CA995" s="70"/>
      <c r="CB995" s="70"/>
      <c r="CC995" s="70"/>
      <c r="CD995" s="70"/>
      <c r="CE995" s="70"/>
      <c r="CF995" s="70"/>
      <c r="CG995" s="70"/>
      <c r="CH995" s="70"/>
      <c r="CI995" s="70"/>
      <c r="CJ995" s="70"/>
      <c r="CK995" s="70"/>
      <c r="CL995" s="70"/>
      <c r="CM995" s="70"/>
      <c r="CN995" s="70"/>
      <c r="CO995" s="70"/>
      <c r="CP995" s="70"/>
      <c r="CQ995" s="70"/>
      <c r="CR995" s="70"/>
      <c r="CS995" s="70"/>
      <c r="CT995" s="70"/>
      <c r="CU995" s="70"/>
      <c r="CV995" s="70"/>
      <c r="CW995" s="70"/>
      <c r="CX995" s="70"/>
      <c r="CY995" s="70"/>
      <c r="CZ995" s="70"/>
      <c r="DA995" s="70"/>
      <c r="DB995" s="70"/>
      <c r="DC995" s="70"/>
      <c r="DD995" s="70"/>
      <c r="DE995" s="70"/>
      <c r="DF995" s="70"/>
      <c r="DG995" s="70"/>
      <c r="DH995" s="70"/>
      <c r="DI995" s="70"/>
      <c r="DJ995" s="70"/>
      <c r="DK995" s="70"/>
      <c r="DL995" s="70"/>
      <c r="DM995" s="70"/>
      <c r="DN995" s="70"/>
      <c r="DO995" s="70"/>
      <c r="DP995" s="70"/>
      <c r="DQ995" s="70"/>
      <c r="DR995" s="70"/>
      <c r="DS995" s="70"/>
      <c r="DT995" s="70"/>
      <c r="DU995" s="70"/>
      <c r="DV995" s="70"/>
      <c r="DW995" s="70"/>
      <c r="DX995" s="70"/>
      <c r="DY995" s="70"/>
      <c r="DZ995" s="70"/>
      <c r="EA995" s="70"/>
      <c r="EB995" s="70"/>
      <c r="EC995" s="70"/>
      <c r="ED995" s="70"/>
      <c r="EE995" s="95" t="s">
        <v>450</v>
      </c>
      <c r="EF995" s="110"/>
      <c r="EG995" s="110"/>
      <c r="EH995" s="110"/>
      <c r="EI995" s="216"/>
      <c r="EJ995" s="110"/>
      <c r="EK995" s="110"/>
      <c r="EL995" s="110"/>
      <c r="EM995" s="110"/>
      <c r="EN995" s="110"/>
      <c r="EO995" s="110"/>
      <c r="EP995" s="110"/>
      <c r="EQ995" s="110"/>
      <c r="ER995" s="110"/>
      <c r="ES995" s="110"/>
      <c r="ET995" s="110"/>
      <c r="EU995" s="110"/>
      <c r="EV995" s="110"/>
      <c r="EW995" s="110"/>
      <c r="EX995" s="110"/>
      <c r="EY995" s="110"/>
      <c r="EZ995" s="110"/>
      <c r="FA995" s="110"/>
      <c r="FB995" s="110"/>
      <c r="FC995" s="110"/>
      <c r="FD995" s="110"/>
      <c r="FE995" s="110"/>
      <c r="FF995" s="110"/>
      <c r="FG995" s="110"/>
      <c r="FH995" s="110"/>
      <c r="FI995" s="110"/>
      <c r="FJ995" s="110"/>
      <c r="FK995" s="110"/>
      <c r="FL995" s="110"/>
      <c r="FM995" s="110"/>
      <c r="FN995" s="110"/>
      <c r="FO995" s="110"/>
      <c r="FP995" s="110"/>
      <c r="FQ995" s="110"/>
      <c r="FR995" s="110"/>
      <c r="FS995" s="110"/>
      <c r="FT995" s="110"/>
      <c r="FU995" s="110"/>
      <c r="FV995" s="110"/>
      <c r="FW995" s="110"/>
      <c r="FX995" s="110"/>
      <c r="FY995" s="110"/>
      <c r="FZ995" s="110"/>
      <c r="GA995" s="110"/>
      <c r="GB995" s="110"/>
      <c r="GC995" s="110"/>
      <c r="GD995" s="110"/>
      <c r="GE995" s="110"/>
      <c r="GF995" s="110"/>
      <c r="GG995" s="110"/>
      <c r="GH995" s="110"/>
      <c r="GI995" s="110"/>
      <c r="GJ995" s="110"/>
      <c r="GK995" s="110"/>
      <c r="GL995" s="110"/>
      <c r="GM995" s="110"/>
      <c r="GN995" s="110"/>
      <c r="GO995" s="110"/>
      <c r="GP995" s="110"/>
      <c r="GQ995" s="110"/>
      <c r="GR995" s="110"/>
      <c r="GS995" s="110"/>
      <c r="GT995" s="110"/>
      <c r="GU995" s="110"/>
      <c r="GV995" s="110"/>
      <c r="GW995" s="110"/>
      <c r="GX995" s="110"/>
      <c r="GY995" s="110"/>
      <c r="GZ995" s="110"/>
      <c r="HA995" s="110"/>
      <c r="HB995" s="110"/>
      <c r="HC995" s="110"/>
      <c r="HD995" s="110"/>
      <c r="HE995" s="110"/>
      <c r="HF995" s="110"/>
      <c r="HG995" s="110"/>
      <c r="HH995" s="110"/>
      <c r="HI995" s="110"/>
      <c r="HJ995" s="110"/>
      <c r="HK995" s="110"/>
      <c r="HL995" s="110"/>
      <c r="HM995" s="110"/>
      <c r="HN995" s="110"/>
      <c r="HO995" s="110"/>
      <c r="HP995" s="110"/>
      <c r="HQ995" s="110"/>
      <c r="HR995" s="110"/>
      <c r="HS995" s="110"/>
      <c r="HT995" s="110"/>
      <c r="HU995" s="110"/>
      <c r="HV995" s="110"/>
      <c r="HW995" s="110"/>
      <c r="HX995" s="110"/>
      <c r="HY995" s="110"/>
      <c r="HZ995" s="110"/>
      <c r="IA995" s="110"/>
      <c r="IB995" s="110"/>
      <c r="IC995" s="110"/>
      <c r="ID995" s="110"/>
      <c r="IE995" s="110"/>
      <c r="IF995" s="110"/>
      <c r="IG995" s="110"/>
      <c r="IH995" s="110"/>
      <c r="II995" s="110"/>
      <c r="IJ995" s="110"/>
      <c r="IK995" s="110"/>
      <c r="IL995" s="110"/>
      <c r="IM995" s="110"/>
      <c r="IN995" s="110"/>
      <c r="IO995" s="110"/>
      <c r="IP995" s="110"/>
    </row>
    <row r="996" spans="18:250" ht="16.5" hidden="1" customHeight="1">
      <c r="R996" s="95"/>
      <c r="S996" s="95"/>
      <c r="T996" s="95"/>
      <c r="U996" s="70"/>
      <c r="V996" s="214"/>
      <c r="W996" s="70"/>
      <c r="X996" s="70"/>
      <c r="Y996" s="70"/>
      <c r="Z996" s="70"/>
      <c r="AA996" s="70"/>
      <c r="AB996" s="70"/>
      <c r="AC996" s="70"/>
      <c r="AD996" s="70"/>
      <c r="AE996" s="70"/>
      <c r="AF996" s="70"/>
      <c r="AG996" s="70"/>
      <c r="AH996" s="70"/>
      <c r="AI996" s="70"/>
      <c r="AJ996" s="70"/>
      <c r="AK996" s="70"/>
      <c r="AL996" s="70"/>
      <c r="AM996" s="70"/>
      <c r="AN996" s="70"/>
      <c r="AO996" s="70"/>
      <c r="AP996" s="70"/>
      <c r="AQ996" s="70"/>
      <c r="AR996" s="70"/>
      <c r="AS996" s="70"/>
      <c r="AT996" s="70"/>
      <c r="AU996" s="70"/>
      <c r="AV996" s="70"/>
      <c r="AW996" s="70"/>
      <c r="AX996" s="70"/>
      <c r="AY996" s="70"/>
      <c r="AZ996" s="70"/>
      <c r="BA996" s="70"/>
      <c r="BB996" s="70"/>
      <c r="BC996" s="70"/>
      <c r="BD996" s="70"/>
      <c r="BE996" s="70"/>
      <c r="BF996" s="70"/>
      <c r="BG996" s="70"/>
      <c r="BH996" s="70"/>
      <c r="BI996" s="70"/>
      <c r="BJ996" s="70"/>
      <c r="BK996" s="70"/>
      <c r="BL996" s="70"/>
      <c r="BM996" s="70"/>
      <c r="BN996" s="70"/>
      <c r="BO996" s="70"/>
      <c r="BP996" s="70"/>
      <c r="BQ996" s="70"/>
      <c r="BR996" s="70"/>
      <c r="BS996" s="70"/>
      <c r="BT996" s="70"/>
      <c r="BU996" s="70"/>
      <c r="BV996" s="70"/>
      <c r="BW996" s="70"/>
      <c r="BX996" s="70"/>
      <c r="BY996" s="70"/>
      <c r="BZ996" s="70"/>
      <c r="CA996" s="70"/>
      <c r="CB996" s="70"/>
      <c r="CC996" s="70"/>
      <c r="CD996" s="70"/>
      <c r="CE996" s="70"/>
      <c r="CF996" s="70"/>
      <c r="CG996" s="70"/>
      <c r="CH996" s="70"/>
      <c r="CI996" s="70"/>
      <c r="CJ996" s="70"/>
      <c r="CK996" s="70"/>
      <c r="CL996" s="70"/>
      <c r="CM996" s="70"/>
      <c r="CN996" s="70"/>
      <c r="CO996" s="70"/>
      <c r="CP996" s="70"/>
      <c r="CQ996" s="70"/>
      <c r="CR996" s="70"/>
      <c r="CS996" s="70"/>
      <c r="CT996" s="70"/>
      <c r="CU996" s="70"/>
      <c r="CV996" s="70"/>
      <c r="CW996" s="70"/>
      <c r="CX996" s="70"/>
      <c r="CY996" s="70"/>
      <c r="CZ996" s="70"/>
      <c r="DA996" s="70"/>
      <c r="DB996" s="70"/>
      <c r="DC996" s="70"/>
      <c r="DD996" s="70"/>
      <c r="DE996" s="70"/>
      <c r="DF996" s="70"/>
      <c r="DG996" s="70"/>
      <c r="DH996" s="70"/>
      <c r="DI996" s="70"/>
      <c r="DJ996" s="70"/>
      <c r="DK996" s="70"/>
      <c r="DL996" s="70"/>
      <c r="DM996" s="70"/>
      <c r="DN996" s="70"/>
      <c r="DO996" s="70"/>
      <c r="DP996" s="70"/>
      <c r="DQ996" s="70"/>
      <c r="DR996" s="70"/>
      <c r="DS996" s="70"/>
      <c r="DT996" s="70"/>
      <c r="DU996" s="70"/>
      <c r="DV996" s="70"/>
      <c r="DW996" s="70"/>
      <c r="DX996" s="70"/>
      <c r="DY996" s="70"/>
      <c r="DZ996" s="70"/>
      <c r="EA996" s="70"/>
      <c r="EB996" s="70"/>
      <c r="EC996" s="70"/>
      <c r="ED996" s="70"/>
      <c r="EE996" s="95" t="s">
        <v>450</v>
      </c>
      <c r="EF996" s="110"/>
      <c r="EG996" s="110"/>
      <c r="EH996" s="110"/>
      <c r="EI996" s="216"/>
      <c r="EJ996" s="110"/>
      <c r="EK996" s="110"/>
      <c r="EL996" s="110"/>
      <c r="EM996" s="110"/>
      <c r="EN996" s="110"/>
      <c r="EO996" s="110"/>
      <c r="EP996" s="110"/>
      <c r="EQ996" s="110"/>
      <c r="ER996" s="110"/>
      <c r="ES996" s="110"/>
      <c r="ET996" s="110"/>
      <c r="EU996" s="110"/>
      <c r="EV996" s="110"/>
      <c r="EW996" s="110"/>
      <c r="EX996" s="110"/>
      <c r="EY996" s="110"/>
      <c r="EZ996" s="110"/>
      <c r="FA996" s="110"/>
      <c r="FB996" s="110"/>
      <c r="FC996" s="110"/>
      <c r="FD996" s="110"/>
      <c r="FE996" s="110"/>
      <c r="FF996" s="110"/>
      <c r="FG996" s="110"/>
      <c r="FH996" s="110"/>
      <c r="FI996" s="110"/>
      <c r="FJ996" s="110"/>
      <c r="FK996" s="110"/>
      <c r="FL996" s="110"/>
      <c r="FM996" s="110"/>
      <c r="FN996" s="110"/>
      <c r="FO996" s="110"/>
      <c r="FP996" s="110"/>
      <c r="FQ996" s="110"/>
      <c r="FR996" s="110"/>
      <c r="FS996" s="110"/>
      <c r="FT996" s="110"/>
      <c r="FU996" s="110"/>
      <c r="FV996" s="110"/>
      <c r="FW996" s="110"/>
      <c r="FX996" s="110"/>
      <c r="FY996" s="110"/>
      <c r="FZ996" s="110"/>
      <c r="GA996" s="110"/>
      <c r="GB996" s="110"/>
      <c r="GC996" s="110"/>
      <c r="GD996" s="110"/>
      <c r="GE996" s="110"/>
      <c r="GF996" s="110"/>
      <c r="GG996" s="110"/>
      <c r="GH996" s="110"/>
      <c r="GI996" s="110"/>
      <c r="GJ996" s="110"/>
      <c r="GK996" s="110"/>
      <c r="GL996" s="110"/>
      <c r="GM996" s="110"/>
      <c r="GN996" s="110"/>
      <c r="GO996" s="110"/>
      <c r="GP996" s="110"/>
      <c r="GQ996" s="110"/>
      <c r="GR996" s="110"/>
      <c r="GS996" s="110"/>
      <c r="GT996" s="110"/>
      <c r="GU996" s="110"/>
      <c r="GV996" s="110"/>
      <c r="GW996" s="110"/>
      <c r="GX996" s="110"/>
      <c r="GY996" s="110"/>
      <c r="GZ996" s="110"/>
      <c r="HA996" s="110"/>
      <c r="HB996" s="110"/>
      <c r="HC996" s="110"/>
      <c r="HD996" s="110"/>
      <c r="HE996" s="110"/>
      <c r="HF996" s="110"/>
      <c r="HG996" s="110"/>
      <c r="HH996" s="110"/>
      <c r="HI996" s="110"/>
      <c r="HJ996" s="110"/>
      <c r="HK996" s="110"/>
      <c r="HL996" s="110"/>
      <c r="HM996" s="110"/>
      <c r="HN996" s="110"/>
      <c r="HO996" s="110"/>
      <c r="HP996" s="110"/>
      <c r="HQ996" s="110"/>
      <c r="HR996" s="110"/>
      <c r="HS996" s="110"/>
      <c r="HT996" s="110"/>
      <c r="HU996" s="110"/>
      <c r="HV996" s="110"/>
      <c r="HW996" s="110"/>
      <c r="HX996" s="110"/>
      <c r="HY996" s="110"/>
      <c r="HZ996" s="110"/>
      <c r="IA996" s="110"/>
      <c r="IB996" s="110"/>
      <c r="IC996" s="110"/>
      <c r="ID996" s="110"/>
      <c r="IE996" s="110"/>
      <c r="IF996" s="110"/>
      <c r="IG996" s="110"/>
      <c r="IH996" s="110"/>
      <c r="II996" s="110"/>
      <c r="IJ996" s="110"/>
      <c r="IK996" s="110"/>
      <c r="IL996" s="110"/>
      <c r="IM996" s="110"/>
      <c r="IN996" s="110"/>
      <c r="IO996" s="110"/>
      <c r="IP996" s="110"/>
    </row>
    <row r="997" spans="18:250" ht="16.5" hidden="1" customHeight="1">
      <c r="R997" s="95"/>
      <c r="S997" s="95"/>
      <c r="T997" s="95"/>
      <c r="U997" s="70"/>
      <c r="V997" s="214"/>
      <c r="W997" s="70"/>
      <c r="X997" s="70"/>
      <c r="Y997" s="70"/>
      <c r="Z997" s="70"/>
      <c r="AA997" s="70"/>
      <c r="AB997" s="70"/>
      <c r="AC997" s="70"/>
      <c r="AD997" s="70"/>
      <c r="AE997" s="70"/>
      <c r="AF997" s="70"/>
      <c r="AG997" s="70"/>
      <c r="AH997" s="70"/>
      <c r="AI997" s="70"/>
      <c r="AJ997" s="70"/>
      <c r="AK997" s="70"/>
      <c r="AL997" s="70"/>
      <c r="AM997" s="70"/>
      <c r="AN997" s="70"/>
      <c r="AO997" s="70"/>
      <c r="AP997" s="70"/>
      <c r="AQ997" s="70"/>
      <c r="AR997" s="70"/>
      <c r="AS997" s="70"/>
      <c r="AT997" s="70"/>
      <c r="AU997" s="70"/>
      <c r="AV997" s="70"/>
      <c r="AW997" s="70"/>
      <c r="AX997" s="70"/>
      <c r="AY997" s="70"/>
      <c r="AZ997" s="70"/>
      <c r="BA997" s="70"/>
      <c r="BB997" s="70"/>
      <c r="BC997" s="70"/>
      <c r="BD997" s="70"/>
      <c r="BE997" s="70"/>
      <c r="BF997" s="70"/>
      <c r="BG997" s="70"/>
      <c r="BH997" s="70"/>
      <c r="BI997" s="70"/>
      <c r="BJ997" s="70"/>
      <c r="BK997" s="70"/>
      <c r="BL997" s="70"/>
      <c r="BM997" s="70"/>
      <c r="BN997" s="70"/>
      <c r="BO997" s="70"/>
      <c r="BP997" s="70"/>
      <c r="BQ997" s="70"/>
      <c r="BR997" s="70"/>
      <c r="BS997" s="70"/>
      <c r="BT997" s="70"/>
      <c r="BU997" s="70"/>
      <c r="BV997" s="70"/>
      <c r="BW997" s="70"/>
      <c r="BX997" s="70"/>
      <c r="BY997" s="70"/>
      <c r="BZ997" s="70"/>
      <c r="CA997" s="70"/>
      <c r="CB997" s="70"/>
      <c r="CC997" s="70"/>
      <c r="CD997" s="70"/>
      <c r="CE997" s="70"/>
      <c r="CF997" s="70"/>
      <c r="CG997" s="70"/>
      <c r="CH997" s="70"/>
      <c r="CI997" s="70"/>
      <c r="CJ997" s="70"/>
      <c r="CK997" s="70"/>
      <c r="CL997" s="70"/>
      <c r="CM997" s="70"/>
      <c r="CN997" s="70"/>
      <c r="CO997" s="70"/>
      <c r="CP997" s="70"/>
      <c r="CQ997" s="70"/>
      <c r="CR997" s="70"/>
      <c r="CS997" s="70"/>
      <c r="CT997" s="70"/>
      <c r="CU997" s="70"/>
      <c r="CV997" s="70"/>
      <c r="CW997" s="70"/>
      <c r="CX997" s="70"/>
      <c r="CY997" s="70"/>
      <c r="CZ997" s="70"/>
      <c r="DA997" s="70"/>
      <c r="DB997" s="70"/>
      <c r="DC997" s="70"/>
      <c r="DD997" s="70"/>
      <c r="DE997" s="70"/>
      <c r="DF997" s="70"/>
      <c r="DG997" s="70"/>
      <c r="DH997" s="70"/>
      <c r="DI997" s="70"/>
      <c r="DJ997" s="70"/>
      <c r="DK997" s="70"/>
      <c r="DL997" s="70"/>
      <c r="DM997" s="70"/>
      <c r="DN997" s="70"/>
      <c r="DO997" s="70"/>
      <c r="DP997" s="70"/>
      <c r="DQ997" s="70"/>
      <c r="DR997" s="70"/>
      <c r="DS997" s="70"/>
      <c r="DT997" s="70"/>
      <c r="DU997" s="70"/>
      <c r="DV997" s="70"/>
      <c r="DW997" s="70"/>
      <c r="DX997" s="70"/>
      <c r="DY997" s="70"/>
      <c r="DZ997" s="70"/>
      <c r="EA997" s="70"/>
      <c r="EB997" s="70"/>
      <c r="EC997" s="70"/>
      <c r="ED997" s="70"/>
      <c r="EE997" s="95" t="s">
        <v>450</v>
      </c>
      <c r="EF997" s="110"/>
      <c r="EG997" s="110"/>
      <c r="EH997" s="110"/>
      <c r="EI997" s="216"/>
      <c r="EJ997" s="110"/>
      <c r="EK997" s="110"/>
      <c r="EL997" s="110"/>
      <c r="EM997" s="110"/>
      <c r="EN997" s="110"/>
      <c r="EO997" s="110"/>
      <c r="EP997" s="110"/>
      <c r="EQ997" s="110"/>
      <c r="ER997" s="110"/>
      <c r="ES997" s="110"/>
      <c r="ET997" s="110"/>
      <c r="EU997" s="110"/>
      <c r="EV997" s="110"/>
      <c r="EW997" s="110"/>
      <c r="EX997" s="110"/>
      <c r="EY997" s="110"/>
      <c r="EZ997" s="110"/>
      <c r="FA997" s="110"/>
      <c r="FB997" s="110"/>
      <c r="FC997" s="110"/>
      <c r="FD997" s="110"/>
      <c r="FE997" s="110"/>
      <c r="FF997" s="110"/>
      <c r="FG997" s="110"/>
      <c r="FH997" s="110"/>
      <c r="FI997" s="110"/>
      <c r="FJ997" s="110"/>
      <c r="FK997" s="110"/>
      <c r="FL997" s="110"/>
      <c r="FM997" s="110"/>
      <c r="FN997" s="110"/>
      <c r="FO997" s="110"/>
      <c r="FP997" s="110"/>
      <c r="FQ997" s="110"/>
      <c r="FR997" s="110"/>
      <c r="FS997" s="110"/>
      <c r="FT997" s="110"/>
      <c r="FU997" s="110"/>
      <c r="FV997" s="110"/>
      <c r="FW997" s="110"/>
      <c r="FX997" s="110"/>
      <c r="FY997" s="110"/>
      <c r="FZ997" s="110"/>
      <c r="GA997" s="110"/>
      <c r="GB997" s="110"/>
      <c r="GC997" s="110"/>
      <c r="GD997" s="110"/>
      <c r="GE997" s="110"/>
      <c r="GF997" s="110"/>
      <c r="GG997" s="110"/>
      <c r="GH997" s="110"/>
      <c r="GI997" s="110"/>
      <c r="GJ997" s="110"/>
      <c r="GK997" s="110"/>
      <c r="GL997" s="110"/>
      <c r="GM997" s="110"/>
      <c r="GN997" s="110"/>
      <c r="GO997" s="110"/>
      <c r="GP997" s="110"/>
      <c r="GQ997" s="110"/>
      <c r="GR997" s="110"/>
      <c r="GS997" s="110"/>
      <c r="GT997" s="110"/>
      <c r="GU997" s="110"/>
      <c r="GV997" s="110"/>
      <c r="GW997" s="110"/>
      <c r="GX997" s="110"/>
      <c r="GY997" s="110"/>
      <c r="GZ997" s="110"/>
      <c r="HA997" s="110"/>
      <c r="HB997" s="110"/>
      <c r="HC997" s="110"/>
      <c r="HD997" s="110"/>
      <c r="HE997" s="110"/>
      <c r="HF997" s="110"/>
      <c r="HG997" s="110"/>
      <c r="HH997" s="110"/>
      <c r="HI997" s="110"/>
      <c r="HJ997" s="110"/>
      <c r="HK997" s="110"/>
      <c r="HL997" s="110"/>
      <c r="HM997" s="110"/>
      <c r="HN997" s="110"/>
      <c r="HO997" s="110"/>
      <c r="HP997" s="110"/>
      <c r="HQ997" s="110"/>
      <c r="HR997" s="110"/>
      <c r="HS997" s="110"/>
      <c r="HT997" s="110"/>
      <c r="HU997" s="110"/>
      <c r="HV997" s="110"/>
      <c r="HW997" s="110"/>
      <c r="HX997" s="110"/>
      <c r="HY997" s="110"/>
      <c r="HZ997" s="110"/>
      <c r="IA997" s="110"/>
      <c r="IB997" s="110"/>
      <c r="IC997" s="110"/>
      <c r="ID997" s="110"/>
      <c r="IE997" s="110"/>
      <c r="IF997" s="110"/>
      <c r="IG997" s="110"/>
      <c r="IH997" s="110"/>
      <c r="II997" s="110"/>
      <c r="IJ997" s="110"/>
      <c r="IK997" s="110"/>
      <c r="IL997" s="110"/>
      <c r="IM997" s="110"/>
      <c r="IN997" s="110"/>
      <c r="IO997" s="110"/>
      <c r="IP997" s="110"/>
    </row>
    <row r="998" spans="18:250" ht="16.5" hidden="1" customHeight="1">
      <c r="R998" s="95"/>
      <c r="S998" s="95"/>
      <c r="T998" s="95"/>
      <c r="U998" s="70"/>
      <c r="V998" s="214"/>
      <c r="W998" s="70"/>
      <c r="X998" s="70"/>
      <c r="Y998" s="70"/>
      <c r="Z998" s="70"/>
      <c r="AA998" s="70"/>
      <c r="AB998" s="70"/>
      <c r="AC998" s="70"/>
      <c r="AD998" s="70"/>
      <c r="AE998" s="70"/>
      <c r="AF998" s="70"/>
      <c r="AG998" s="70"/>
      <c r="AH998" s="70"/>
      <c r="AI998" s="70"/>
      <c r="AJ998" s="70"/>
      <c r="AK998" s="70"/>
      <c r="AL998" s="70"/>
      <c r="AM998" s="70"/>
      <c r="AN998" s="70"/>
      <c r="AO998" s="70"/>
      <c r="AP998" s="70"/>
      <c r="AQ998" s="70"/>
      <c r="AR998" s="70"/>
      <c r="AS998" s="70"/>
      <c r="AT998" s="70"/>
      <c r="AU998" s="70"/>
      <c r="AV998" s="70"/>
      <c r="AW998" s="70"/>
      <c r="AX998" s="70"/>
      <c r="AY998" s="70"/>
      <c r="AZ998" s="70"/>
      <c r="BA998" s="70"/>
      <c r="BB998" s="70"/>
      <c r="BC998" s="70"/>
      <c r="BD998" s="70"/>
      <c r="BE998" s="70"/>
      <c r="BF998" s="70"/>
      <c r="BG998" s="70"/>
      <c r="BH998" s="70"/>
      <c r="BI998" s="70"/>
      <c r="BJ998" s="70"/>
      <c r="BK998" s="70"/>
      <c r="BL998" s="70"/>
      <c r="BM998" s="70"/>
      <c r="BN998" s="70"/>
      <c r="BO998" s="70"/>
      <c r="BP998" s="70"/>
      <c r="BQ998" s="70"/>
      <c r="BR998" s="70"/>
      <c r="BS998" s="70"/>
      <c r="BT998" s="70"/>
      <c r="BU998" s="70"/>
      <c r="BV998" s="70"/>
      <c r="BW998" s="70"/>
      <c r="BX998" s="70"/>
      <c r="BY998" s="70"/>
      <c r="BZ998" s="70"/>
      <c r="CA998" s="70"/>
      <c r="CB998" s="70"/>
      <c r="CC998" s="70"/>
      <c r="CD998" s="70"/>
      <c r="CE998" s="70"/>
      <c r="CF998" s="70"/>
      <c r="CG998" s="70"/>
      <c r="CH998" s="70"/>
      <c r="CI998" s="70"/>
      <c r="CJ998" s="70"/>
      <c r="CK998" s="70"/>
      <c r="CL998" s="70"/>
      <c r="CM998" s="70"/>
      <c r="CN998" s="70"/>
      <c r="CO998" s="70"/>
      <c r="CP998" s="70"/>
      <c r="CQ998" s="70"/>
      <c r="CR998" s="70"/>
      <c r="CS998" s="70"/>
      <c r="CT998" s="70"/>
      <c r="CU998" s="70"/>
      <c r="CV998" s="70"/>
      <c r="CW998" s="70"/>
      <c r="CX998" s="70"/>
      <c r="CY998" s="70"/>
      <c r="CZ998" s="70"/>
      <c r="DA998" s="70"/>
      <c r="DB998" s="70"/>
      <c r="DC998" s="70"/>
      <c r="DD998" s="70"/>
      <c r="DE998" s="70"/>
      <c r="DF998" s="70"/>
      <c r="DG998" s="70"/>
      <c r="DH998" s="70"/>
      <c r="DI998" s="70"/>
      <c r="DJ998" s="70"/>
      <c r="DK998" s="70"/>
      <c r="DL998" s="70"/>
      <c r="DM998" s="70"/>
      <c r="DN998" s="70"/>
      <c r="DO998" s="70"/>
      <c r="DP998" s="70"/>
      <c r="DQ998" s="70"/>
      <c r="DR998" s="70"/>
      <c r="DS998" s="70"/>
      <c r="DT998" s="70"/>
      <c r="DU998" s="70"/>
      <c r="DV998" s="70"/>
      <c r="DW998" s="70"/>
      <c r="DX998" s="70"/>
      <c r="DY998" s="70"/>
      <c r="DZ998" s="70"/>
      <c r="EA998" s="70"/>
      <c r="EB998" s="70"/>
      <c r="EC998" s="70"/>
      <c r="ED998" s="70"/>
      <c r="EE998" s="95" t="s">
        <v>450</v>
      </c>
      <c r="EF998" s="110"/>
      <c r="EG998" s="110"/>
      <c r="EH998" s="110"/>
      <c r="EI998" s="216"/>
      <c r="EJ998" s="110"/>
      <c r="EK998" s="110"/>
      <c r="EL998" s="110"/>
      <c r="EM998" s="110"/>
      <c r="EN998" s="110"/>
      <c r="EO998" s="110"/>
      <c r="EP998" s="110"/>
      <c r="EQ998" s="110"/>
      <c r="ER998" s="110"/>
      <c r="ES998" s="110"/>
      <c r="ET998" s="110"/>
      <c r="EU998" s="110"/>
      <c r="EV998" s="110"/>
      <c r="EW998" s="110"/>
      <c r="EX998" s="110"/>
      <c r="EY998" s="110"/>
      <c r="EZ998" s="110"/>
      <c r="FA998" s="110"/>
      <c r="FB998" s="110"/>
      <c r="FC998" s="110"/>
      <c r="FD998" s="110"/>
      <c r="FE998" s="110"/>
      <c r="FF998" s="110"/>
      <c r="FG998" s="110"/>
      <c r="FH998" s="110"/>
      <c r="FI998" s="110"/>
      <c r="FJ998" s="110"/>
      <c r="FK998" s="110"/>
      <c r="FL998" s="110"/>
      <c r="FM998" s="110"/>
      <c r="FN998" s="110"/>
      <c r="FO998" s="110"/>
      <c r="FP998" s="110"/>
      <c r="FQ998" s="110"/>
      <c r="FR998" s="110"/>
      <c r="FS998" s="110"/>
      <c r="FT998" s="110"/>
      <c r="FU998" s="110"/>
      <c r="FV998" s="110"/>
      <c r="FW998" s="110"/>
      <c r="FX998" s="110"/>
      <c r="FY998" s="110"/>
      <c r="FZ998" s="110"/>
      <c r="GA998" s="110"/>
      <c r="GB998" s="110"/>
      <c r="GC998" s="110"/>
      <c r="GD998" s="110"/>
      <c r="GE998" s="110"/>
      <c r="GF998" s="110"/>
      <c r="GG998" s="110"/>
      <c r="GH998" s="110"/>
      <c r="GI998" s="110"/>
      <c r="GJ998" s="110"/>
      <c r="GK998" s="110"/>
      <c r="GL998" s="110"/>
      <c r="GM998" s="110"/>
      <c r="GN998" s="110"/>
      <c r="GO998" s="110"/>
      <c r="GP998" s="110"/>
      <c r="GQ998" s="110"/>
      <c r="GR998" s="110"/>
      <c r="GS998" s="110"/>
      <c r="GT998" s="110"/>
      <c r="GU998" s="110"/>
      <c r="GV998" s="110"/>
      <c r="GW998" s="110"/>
      <c r="GX998" s="110"/>
      <c r="GY998" s="110"/>
      <c r="GZ998" s="110"/>
      <c r="HA998" s="110"/>
      <c r="HB998" s="110"/>
      <c r="HC998" s="110"/>
      <c r="HD998" s="110"/>
      <c r="HE998" s="110"/>
      <c r="HF998" s="110"/>
      <c r="HG998" s="110"/>
      <c r="HH998" s="110"/>
      <c r="HI998" s="110"/>
      <c r="HJ998" s="110"/>
      <c r="HK998" s="110"/>
      <c r="HL998" s="110"/>
      <c r="HM998" s="110"/>
      <c r="HN998" s="110"/>
      <c r="HO998" s="110"/>
      <c r="HP998" s="110"/>
      <c r="HQ998" s="110"/>
      <c r="HR998" s="110"/>
      <c r="HS998" s="110"/>
      <c r="HT998" s="110"/>
      <c r="HU998" s="110"/>
      <c r="HV998" s="110"/>
      <c r="HW998" s="110"/>
      <c r="HX998" s="110"/>
      <c r="HY998" s="110"/>
      <c r="HZ998" s="110"/>
      <c r="IA998" s="110"/>
      <c r="IB998" s="110"/>
      <c r="IC998" s="110"/>
      <c r="ID998" s="110"/>
      <c r="IE998" s="110"/>
      <c r="IF998" s="110"/>
      <c r="IG998" s="110"/>
      <c r="IH998" s="110"/>
      <c r="II998" s="110"/>
      <c r="IJ998" s="110"/>
      <c r="IK998" s="110"/>
      <c r="IL998" s="110"/>
      <c r="IM998" s="110"/>
      <c r="IN998" s="110"/>
      <c r="IO998" s="110"/>
      <c r="IP998" s="110"/>
    </row>
    <row r="999" spans="18:250" ht="16.5" hidden="1" customHeight="1">
      <c r="R999" s="95"/>
      <c r="S999" s="95"/>
      <c r="T999" s="95"/>
      <c r="U999" s="70"/>
      <c r="V999" s="214"/>
      <c r="W999" s="70"/>
      <c r="X999" s="70"/>
      <c r="Y999" s="70"/>
      <c r="Z999" s="70"/>
      <c r="AA999" s="70"/>
      <c r="AB999" s="70"/>
      <c r="AC999" s="70"/>
      <c r="AD999" s="70"/>
      <c r="AE999" s="70"/>
      <c r="AF999" s="70"/>
      <c r="AG999" s="70"/>
      <c r="AH999" s="70"/>
      <c r="AI999" s="70"/>
      <c r="AJ999" s="70"/>
      <c r="AK999" s="70"/>
      <c r="AL999" s="70"/>
      <c r="AM999" s="70"/>
      <c r="AN999" s="70"/>
      <c r="AO999" s="70"/>
      <c r="AP999" s="70"/>
      <c r="AQ999" s="70"/>
      <c r="AR999" s="70"/>
      <c r="AS999" s="70"/>
      <c r="AT999" s="70"/>
      <c r="AU999" s="70"/>
      <c r="AV999" s="70"/>
      <c r="AW999" s="70"/>
      <c r="AX999" s="70"/>
      <c r="AY999" s="70"/>
      <c r="AZ999" s="70"/>
      <c r="BA999" s="70"/>
      <c r="BB999" s="70"/>
      <c r="BC999" s="70"/>
      <c r="BD999" s="70"/>
      <c r="BE999" s="70"/>
      <c r="BF999" s="70"/>
      <c r="BG999" s="70"/>
      <c r="BH999" s="70"/>
      <c r="BI999" s="70"/>
      <c r="BJ999" s="70"/>
      <c r="BK999" s="70"/>
      <c r="BL999" s="70"/>
      <c r="BM999" s="70"/>
      <c r="BN999" s="70"/>
      <c r="BO999" s="70"/>
      <c r="BP999" s="70"/>
      <c r="BQ999" s="70"/>
      <c r="BR999" s="70"/>
      <c r="BS999" s="70"/>
      <c r="BT999" s="70"/>
      <c r="BU999" s="70"/>
      <c r="BV999" s="70"/>
      <c r="BW999" s="70"/>
      <c r="BX999" s="70"/>
      <c r="BY999" s="70"/>
      <c r="BZ999" s="70"/>
      <c r="CA999" s="70"/>
      <c r="CB999" s="70"/>
      <c r="CC999" s="70"/>
      <c r="CD999" s="70"/>
      <c r="CE999" s="70"/>
      <c r="CF999" s="70"/>
      <c r="CG999" s="70"/>
      <c r="CH999" s="70"/>
      <c r="CI999" s="70"/>
      <c r="CJ999" s="70"/>
      <c r="CK999" s="70"/>
      <c r="CL999" s="70"/>
      <c r="CM999" s="70"/>
      <c r="CN999" s="70"/>
      <c r="CO999" s="70"/>
      <c r="CP999" s="70"/>
      <c r="CQ999" s="70"/>
      <c r="CR999" s="70"/>
      <c r="CS999" s="70"/>
      <c r="CT999" s="70"/>
      <c r="CU999" s="70"/>
      <c r="CV999" s="70"/>
      <c r="CW999" s="70"/>
      <c r="CX999" s="70"/>
      <c r="CY999" s="70"/>
      <c r="CZ999" s="70"/>
      <c r="DA999" s="70"/>
      <c r="DB999" s="70"/>
      <c r="DC999" s="70"/>
      <c r="DD999" s="70"/>
      <c r="DE999" s="70"/>
      <c r="DF999" s="70"/>
      <c r="DG999" s="70"/>
      <c r="DH999" s="70"/>
      <c r="DI999" s="70"/>
      <c r="DJ999" s="70"/>
      <c r="DK999" s="70"/>
      <c r="DL999" s="70"/>
      <c r="DM999" s="70"/>
      <c r="DN999" s="70"/>
      <c r="DO999" s="70"/>
      <c r="DP999" s="70"/>
      <c r="DQ999" s="70"/>
      <c r="DR999" s="70"/>
      <c r="DS999" s="70"/>
      <c r="DT999" s="70"/>
      <c r="DU999" s="70"/>
      <c r="DV999" s="70"/>
      <c r="DW999" s="70"/>
      <c r="DX999" s="70"/>
      <c r="DY999" s="70"/>
      <c r="DZ999" s="70"/>
      <c r="EA999" s="70"/>
      <c r="EB999" s="70"/>
      <c r="EC999" s="70"/>
      <c r="ED999" s="70"/>
      <c r="EE999" s="95" t="s">
        <v>450</v>
      </c>
      <c r="EF999" s="110"/>
      <c r="EG999" s="110"/>
      <c r="EH999" s="110"/>
      <c r="EI999" s="216"/>
      <c r="EJ999" s="110"/>
      <c r="EK999" s="110"/>
      <c r="EL999" s="110"/>
      <c r="EM999" s="110"/>
      <c r="EN999" s="110"/>
      <c r="EO999" s="110"/>
      <c r="EP999" s="110"/>
      <c r="EQ999" s="110"/>
      <c r="ER999" s="110"/>
      <c r="ES999" s="110"/>
      <c r="ET999" s="110"/>
      <c r="EU999" s="110"/>
      <c r="EV999" s="110"/>
      <c r="EW999" s="110"/>
      <c r="EX999" s="110"/>
      <c r="EY999" s="110"/>
      <c r="EZ999" s="110"/>
      <c r="FA999" s="110"/>
      <c r="FB999" s="110"/>
      <c r="FC999" s="110"/>
      <c r="FD999" s="110"/>
      <c r="FE999" s="110"/>
      <c r="FF999" s="110"/>
      <c r="FG999" s="110"/>
      <c r="FH999" s="110"/>
      <c r="FI999" s="110"/>
      <c r="FJ999" s="110"/>
      <c r="FK999" s="110"/>
      <c r="FL999" s="110"/>
      <c r="FM999" s="110"/>
      <c r="FN999" s="110"/>
      <c r="FO999" s="110"/>
      <c r="FP999" s="110"/>
      <c r="FQ999" s="110"/>
      <c r="FR999" s="110"/>
      <c r="FS999" s="110"/>
      <c r="FT999" s="110"/>
      <c r="FU999" s="110"/>
      <c r="FV999" s="110"/>
      <c r="FW999" s="110"/>
      <c r="FX999" s="110"/>
      <c r="FY999" s="110"/>
      <c r="FZ999" s="110"/>
      <c r="GA999" s="110"/>
      <c r="GB999" s="110"/>
      <c r="GC999" s="110"/>
      <c r="GD999" s="110"/>
      <c r="GE999" s="110"/>
      <c r="GF999" s="110"/>
      <c r="GG999" s="110"/>
      <c r="GH999" s="110"/>
      <c r="GI999" s="110"/>
      <c r="GJ999" s="110"/>
      <c r="GK999" s="110"/>
      <c r="GL999" s="110"/>
      <c r="GM999" s="110"/>
      <c r="GN999" s="110"/>
      <c r="GO999" s="110"/>
      <c r="GP999" s="110"/>
      <c r="GQ999" s="110"/>
      <c r="GR999" s="110"/>
      <c r="GS999" s="110"/>
      <c r="GT999" s="110"/>
      <c r="GU999" s="110"/>
      <c r="GV999" s="110"/>
      <c r="GW999" s="110"/>
      <c r="GX999" s="110"/>
      <c r="GY999" s="110"/>
      <c r="GZ999" s="110"/>
      <c r="HA999" s="110"/>
      <c r="HB999" s="110"/>
      <c r="HC999" s="110"/>
      <c r="HD999" s="110"/>
      <c r="HE999" s="110"/>
      <c r="HF999" s="110"/>
      <c r="HG999" s="110"/>
      <c r="HH999" s="110"/>
      <c r="HI999" s="110"/>
      <c r="HJ999" s="110"/>
      <c r="HK999" s="110"/>
      <c r="HL999" s="110"/>
      <c r="HM999" s="110"/>
      <c r="HN999" s="110"/>
      <c r="HO999" s="110"/>
      <c r="HP999" s="110"/>
      <c r="HQ999" s="110"/>
      <c r="HR999" s="110"/>
      <c r="HS999" s="110"/>
      <c r="HT999" s="110"/>
      <c r="HU999" s="110"/>
      <c r="HV999" s="110"/>
      <c r="HW999" s="110"/>
      <c r="HX999" s="110"/>
      <c r="HY999" s="110"/>
      <c r="HZ999" s="110"/>
      <c r="IA999" s="110"/>
      <c r="IB999" s="110"/>
      <c r="IC999" s="110"/>
      <c r="ID999" s="110"/>
      <c r="IE999" s="110"/>
      <c r="IF999" s="110"/>
      <c r="IG999" s="110"/>
      <c r="IH999" s="110"/>
      <c r="II999" s="110"/>
      <c r="IJ999" s="110"/>
      <c r="IK999" s="110"/>
      <c r="IL999" s="110"/>
      <c r="IM999" s="110"/>
      <c r="IN999" s="110"/>
      <c r="IO999" s="110"/>
      <c r="IP999" s="110"/>
    </row>
    <row r="1000" spans="18:250" ht="16.5" hidden="1" customHeight="1">
      <c r="R1000" s="95"/>
      <c r="S1000" s="95"/>
      <c r="T1000" s="95"/>
      <c r="U1000" s="70"/>
      <c r="V1000" s="214"/>
      <c r="W1000" s="70"/>
      <c r="X1000" s="70"/>
      <c r="Y1000" s="70"/>
      <c r="Z1000" s="70"/>
      <c r="AA1000" s="70"/>
      <c r="AB1000" s="70"/>
      <c r="AC1000" s="70"/>
      <c r="AD1000" s="70"/>
      <c r="AE1000" s="70"/>
      <c r="AF1000" s="70"/>
      <c r="AG1000" s="70"/>
      <c r="AH1000" s="70"/>
      <c r="AI1000" s="70"/>
      <c r="AJ1000" s="70"/>
      <c r="AK1000" s="70"/>
      <c r="AL1000" s="70"/>
      <c r="AM1000" s="70"/>
      <c r="AN1000" s="70"/>
      <c r="AO1000" s="70"/>
      <c r="AP1000" s="70"/>
      <c r="AQ1000" s="70"/>
      <c r="AR1000" s="70"/>
      <c r="AS1000" s="70"/>
      <c r="AT1000" s="70"/>
      <c r="AU1000" s="70"/>
      <c r="AV1000" s="70"/>
      <c r="AW1000" s="70"/>
      <c r="AX1000" s="70"/>
      <c r="AY1000" s="70"/>
      <c r="AZ1000" s="70"/>
      <c r="BA1000" s="70"/>
      <c r="BB1000" s="70"/>
      <c r="BC1000" s="70"/>
      <c r="BD1000" s="70"/>
      <c r="BE1000" s="70"/>
      <c r="BF1000" s="70"/>
      <c r="BG1000" s="70"/>
      <c r="BH1000" s="70"/>
      <c r="BI1000" s="70"/>
      <c r="BJ1000" s="70"/>
      <c r="BK1000" s="70"/>
      <c r="BL1000" s="70"/>
      <c r="BM1000" s="70"/>
      <c r="BN1000" s="70"/>
      <c r="BO1000" s="70"/>
      <c r="BP1000" s="70"/>
      <c r="BQ1000" s="70"/>
      <c r="BR1000" s="70"/>
      <c r="BS1000" s="70"/>
      <c r="BT1000" s="70"/>
      <c r="BU1000" s="70"/>
      <c r="BV1000" s="70"/>
      <c r="BW1000" s="70"/>
      <c r="BX1000" s="70"/>
      <c r="BY1000" s="70"/>
      <c r="BZ1000" s="70"/>
      <c r="CA1000" s="70"/>
      <c r="CB1000" s="70"/>
      <c r="CC1000" s="70"/>
      <c r="CD1000" s="70"/>
      <c r="CE1000" s="70"/>
      <c r="CF1000" s="70"/>
      <c r="CG1000" s="70"/>
      <c r="CH1000" s="70"/>
      <c r="CI1000" s="70"/>
      <c r="CJ1000" s="70"/>
      <c r="CK1000" s="70"/>
      <c r="CL1000" s="70"/>
      <c r="CM1000" s="70"/>
      <c r="CN1000" s="70"/>
      <c r="CO1000" s="70"/>
      <c r="CP1000" s="70"/>
      <c r="CQ1000" s="70"/>
      <c r="CR1000" s="70"/>
      <c r="CS1000" s="70"/>
      <c r="CT1000" s="70"/>
      <c r="CU1000" s="70"/>
      <c r="CV1000" s="70"/>
      <c r="CW1000" s="70"/>
      <c r="CX1000" s="70"/>
      <c r="CY1000" s="70"/>
      <c r="CZ1000" s="70"/>
      <c r="DA1000" s="70"/>
      <c r="DB1000" s="70"/>
      <c r="DC1000" s="70"/>
      <c r="DD1000" s="70"/>
      <c r="DE1000" s="70"/>
      <c r="DF1000" s="70"/>
      <c r="DG1000" s="70"/>
      <c r="DH1000" s="70"/>
      <c r="DI1000" s="70"/>
      <c r="DJ1000" s="70"/>
      <c r="DK1000" s="70"/>
      <c r="DL1000" s="70"/>
      <c r="DM1000" s="70"/>
      <c r="DN1000" s="70"/>
      <c r="DO1000" s="70"/>
      <c r="DP1000" s="70"/>
      <c r="DQ1000" s="70"/>
      <c r="DR1000" s="70"/>
      <c r="DS1000" s="70"/>
      <c r="DT1000" s="70"/>
      <c r="DU1000" s="70"/>
      <c r="DV1000" s="70"/>
      <c r="DW1000" s="70"/>
      <c r="DX1000" s="70"/>
      <c r="DY1000" s="70"/>
      <c r="DZ1000" s="70"/>
      <c r="EA1000" s="70"/>
      <c r="EB1000" s="70"/>
      <c r="EC1000" s="70"/>
      <c r="ED1000" s="70"/>
      <c r="EE1000" s="95" t="s">
        <v>450</v>
      </c>
      <c r="EF1000" s="110"/>
      <c r="EG1000" s="110"/>
      <c r="EH1000" s="110"/>
      <c r="EI1000" s="216"/>
      <c r="EJ1000" s="110"/>
      <c r="EK1000" s="110"/>
      <c r="EL1000" s="110"/>
      <c r="EM1000" s="110"/>
      <c r="EN1000" s="110"/>
      <c r="EO1000" s="110"/>
      <c r="EP1000" s="110"/>
      <c r="EQ1000" s="110"/>
      <c r="ER1000" s="110"/>
      <c r="ES1000" s="110"/>
      <c r="ET1000" s="110"/>
      <c r="EU1000" s="110"/>
      <c r="EV1000" s="110"/>
      <c r="EW1000" s="110"/>
      <c r="EX1000" s="110"/>
      <c r="EY1000" s="110"/>
      <c r="EZ1000" s="110"/>
      <c r="FA1000" s="110"/>
      <c r="FB1000" s="110"/>
      <c r="FC1000" s="110"/>
      <c r="FD1000" s="110"/>
      <c r="FE1000" s="110"/>
      <c r="FF1000" s="110"/>
      <c r="FG1000" s="110"/>
      <c r="FH1000" s="110"/>
      <c r="FI1000" s="110"/>
      <c r="FJ1000" s="110"/>
      <c r="FK1000" s="110"/>
      <c r="FL1000" s="110"/>
      <c r="FM1000" s="110"/>
      <c r="FN1000" s="110"/>
      <c r="FO1000" s="110"/>
      <c r="FP1000" s="110"/>
      <c r="FQ1000" s="110"/>
      <c r="FR1000" s="110"/>
      <c r="FS1000" s="110"/>
      <c r="FT1000" s="110"/>
      <c r="FU1000" s="110"/>
      <c r="FV1000" s="110"/>
      <c r="FW1000" s="110"/>
      <c r="FX1000" s="110"/>
      <c r="FY1000" s="110"/>
      <c r="FZ1000" s="110"/>
      <c r="GA1000" s="110"/>
      <c r="GB1000" s="110"/>
      <c r="GC1000" s="110"/>
      <c r="GD1000" s="110"/>
      <c r="GE1000" s="110"/>
      <c r="GF1000" s="110"/>
      <c r="GG1000" s="110"/>
      <c r="GH1000" s="110"/>
      <c r="GI1000" s="110"/>
      <c r="GJ1000" s="110"/>
      <c r="GK1000" s="110"/>
      <c r="GL1000" s="110"/>
      <c r="GM1000" s="110"/>
      <c r="GN1000" s="110"/>
      <c r="GO1000" s="110"/>
      <c r="GP1000" s="110"/>
      <c r="GQ1000" s="110"/>
      <c r="GR1000" s="110"/>
      <c r="GS1000" s="110"/>
      <c r="GT1000" s="110"/>
      <c r="GU1000" s="110"/>
      <c r="GV1000" s="110"/>
      <c r="GW1000" s="110"/>
      <c r="GX1000" s="110"/>
      <c r="GY1000" s="110"/>
      <c r="GZ1000" s="110"/>
      <c r="HA1000" s="110"/>
      <c r="HB1000" s="110"/>
      <c r="HC1000" s="110"/>
      <c r="HD1000" s="110"/>
      <c r="HE1000" s="110"/>
      <c r="HF1000" s="110"/>
      <c r="HG1000" s="110"/>
      <c r="HH1000" s="110"/>
      <c r="HI1000" s="110"/>
      <c r="HJ1000" s="110"/>
      <c r="HK1000" s="110"/>
      <c r="HL1000" s="110"/>
      <c r="HM1000" s="110"/>
      <c r="HN1000" s="110"/>
      <c r="HO1000" s="110"/>
      <c r="HP1000" s="110"/>
      <c r="HQ1000" s="110"/>
      <c r="HR1000" s="110"/>
      <c r="HS1000" s="110"/>
      <c r="HT1000" s="110"/>
      <c r="HU1000" s="110"/>
      <c r="HV1000" s="110"/>
      <c r="HW1000" s="110"/>
      <c r="HX1000" s="110"/>
      <c r="HY1000" s="110"/>
      <c r="HZ1000" s="110"/>
      <c r="IA1000" s="110"/>
      <c r="IB1000" s="110"/>
      <c r="IC1000" s="110"/>
      <c r="ID1000" s="110"/>
      <c r="IE1000" s="110"/>
      <c r="IF1000" s="110"/>
      <c r="IG1000" s="110"/>
      <c r="IH1000" s="110"/>
      <c r="II1000" s="110"/>
      <c r="IJ1000" s="110"/>
      <c r="IK1000" s="110"/>
      <c r="IL1000" s="110"/>
      <c r="IM1000" s="110"/>
      <c r="IN1000" s="110"/>
      <c r="IO1000" s="110"/>
      <c r="IP1000" s="110"/>
    </row>
    <row r="1001" spans="18:250" ht="16.5" hidden="1" customHeight="1">
      <c r="R1001" s="95"/>
      <c r="S1001" s="95"/>
      <c r="T1001" s="95"/>
      <c r="U1001" s="70"/>
      <c r="V1001" s="214"/>
      <c r="W1001" s="70"/>
      <c r="X1001" s="70"/>
      <c r="Y1001" s="70"/>
      <c r="Z1001" s="70"/>
      <c r="AA1001" s="70"/>
      <c r="AB1001" s="70"/>
      <c r="AC1001" s="70"/>
      <c r="AD1001" s="70"/>
      <c r="AE1001" s="70"/>
      <c r="AF1001" s="70"/>
      <c r="AG1001" s="70"/>
      <c r="AH1001" s="70"/>
      <c r="AI1001" s="70"/>
      <c r="AJ1001" s="70"/>
      <c r="AK1001" s="70"/>
      <c r="AL1001" s="70"/>
      <c r="AM1001" s="70"/>
      <c r="AN1001" s="70"/>
      <c r="AO1001" s="70"/>
      <c r="AP1001" s="70"/>
      <c r="AQ1001" s="70"/>
      <c r="AR1001" s="70"/>
      <c r="AS1001" s="70"/>
      <c r="AT1001" s="70"/>
      <c r="AU1001" s="70"/>
      <c r="AV1001" s="70"/>
      <c r="AW1001" s="70"/>
      <c r="AX1001" s="70"/>
      <c r="AY1001" s="70"/>
      <c r="AZ1001" s="70"/>
      <c r="BA1001" s="70"/>
      <c r="BB1001" s="70"/>
      <c r="BC1001" s="70"/>
      <c r="BD1001" s="70"/>
      <c r="BE1001" s="70"/>
      <c r="BF1001" s="70"/>
      <c r="BG1001" s="70"/>
      <c r="BH1001" s="70"/>
      <c r="BI1001" s="70"/>
      <c r="BJ1001" s="70"/>
      <c r="BK1001" s="70"/>
      <c r="BL1001" s="70"/>
      <c r="BM1001" s="70"/>
      <c r="BN1001" s="70"/>
      <c r="BO1001" s="70"/>
      <c r="BP1001" s="70"/>
      <c r="BQ1001" s="70"/>
      <c r="BR1001" s="70"/>
      <c r="BS1001" s="70"/>
      <c r="BT1001" s="70"/>
      <c r="BU1001" s="70"/>
      <c r="BV1001" s="70"/>
      <c r="BW1001" s="70"/>
      <c r="BX1001" s="70"/>
      <c r="BY1001" s="70"/>
      <c r="BZ1001" s="70"/>
      <c r="CA1001" s="70"/>
      <c r="CB1001" s="70"/>
      <c r="CC1001" s="70"/>
      <c r="CD1001" s="70"/>
      <c r="CE1001" s="70"/>
      <c r="CF1001" s="70"/>
      <c r="CG1001" s="70"/>
      <c r="CH1001" s="70"/>
      <c r="CI1001" s="70"/>
      <c r="CJ1001" s="70"/>
      <c r="CK1001" s="70"/>
      <c r="CL1001" s="70"/>
      <c r="CM1001" s="70"/>
      <c r="CN1001" s="70"/>
      <c r="CO1001" s="70"/>
      <c r="CP1001" s="70"/>
      <c r="CQ1001" s="70"/>
      <c r="CR1001" s="70"/>
      <c r="CS1001" s="70"/>
      <c r="CT1001" s="70"/>
      <c r="CU1001" s="70"/>
      <c r="CV1001" s="70"/>
      <c r="CW1001" s="70"/>
      <c r="CX1001" s="70"/>
      <c r="CY1001" s="70"/>
      <c r="CZ1001" s="70"/>
      <c r="DA1001" s="70"/>
      <c r="DB1001" s="70"/>
      <c r="DC1001" s="70"/>
      <c r="DD1001" s="70"/>
      <c r="DE1001" s="70"/>
      <c r="DF1001" s="70"/>
      <c r="DG1001" s="70"/>
      <c r="DH1001" s="70"/>
      <c r="DI1001" s="70"/>
      <c r="DJ1001" s="70"/>
      <c r="DK1001" s="70"/>
      <c r="DL1001" s="70"/>
      <c r="DM1001" s="70"/>
      <c r="DN1001" s="70"/>
      <c r="DO1001" s="70"/>
      <c r="DP1001" s="70"/>
      <c r="DQ1001" s="70"/>
      <c r="DR1001" s="70"/>
      <c r="DS1001" s="70"/>
      <c r="DT1001" s="70"/>
      <c r="DU1001" s="70"/>
      <c r="DV1001" s="70"/>
      <c r="DW1001" s="70"/>
      <c r="DX1001" s="70"/>
      <c r="DY1001" s="70"/>
      <c r="DZ1001" s="70"/>
      <c r="EA1001" s="70"/>
      <c r="EB1001" s="70"/>
      <c r="EC1001" s="70"/>
      <c r="ED1001" s="70"/>
      <c r="EE1001" s="95" t="s">
        <v>450</v>
      </c>
      <c r="EF1001" s="110"/>
      <c r="EG1001" s="110"/>
      <c r="EH1001" s="110"/>
      <c r="EI1001" s="216"/>
      <c r="EJ1001" s="110"/>
      <c r="EK1001" s="110"/>
      <c r="EL1001" s="110"/>
      <c r="EM1001" s="110"/>
      <c r="EN1001" s="110"/>
      <c r="EO1001" s="110"/>
      <c r="EP1001" s="110"/>
      <c r="EQ1001" s="110"/>
      <c r="ER1001" s="110"/>
      <c r="ES1001" s="110"/>
      <c r="ET1001" s="110"/>
      <c r="EU1001" s="110"/>
      <c r="EV1001" s="110"/>
      <c r="EW1001" s="110"/>
      <c r="EX1001" s="110"/>
      <c r="EY1001" s="110"/>
      <c r="EZ1001" s="110"/>
      <c r="FA1001" s="110"/>
      <c r="FB1001" s="110"/>
      <c r="FC1001" s="110"/>
      <c r="FD1001" s="110"/>
      <c r="FE1001" s="110"/>
      <c r="FF1001" s="110"/>
      <c r="FG1001" s="110"/>
      <c r="FH1001" s="110"/>
      <c r="FI1001" s="110"/>
      <c r="FJ1001" s="110"/>
      <c r="FK1001" s="110"/>
      <c r="FL1001" s="110"/>
      <c r="FM1001" s="110"/>
      <c r="FN1001" s="110"/>
      <c r="FO1001" s="110"/>
      <c r="FP1001" s="110"/>
      <c r="FQ1001" s="110"/>
      <c r="FR1001" s="110"/>
      <c r="FS1001" s="110"/>
      <c r="FT1001" s="110"/>
      <c r="FU1001" s="110"/>
      <c r="FV1001" s="110"/>
      <c r="FW1001" s="110"/>
      <c r="FX1001" s="110"/>
      <c r="FY1001" s="110"/>
      <c r="FZ1001" s="110"/>
      <c r="GA1001" s="110"/>
      <c r="GB1001" s="110"/>
      <c r="GC1001" s="110"/>
      <c r="GD1001" s="110"/>
      <c r="GE1001" s="110"/>
      <c r="GF1001" s="110"/>
      <c r="GG1001" s="110"/>
      <c r="GH1001" s="110"/>
      <c r="GI1001" s="110"/>
      <c r="GJ1001" s="110"/>
      <c r="GK1001" s="110"/>
      <c r="GL1001" s="110"/>
      <c r="GM1001" s="110"/>
      <c r="GN1001" s="110"/>
      <c r="GO1001" s="110"/>
      <c r="GP1001" s="110"/>
      <c r="GQ1001" s="110"/>
      <c r="GR1001" s="110"/>
      <c r="GS1001" s="110"/>
      <c r="GT1001" s="110"/>
      <c r="GU1001" s="110"/>
      <c r="GV1001" s="110"/>
      <c r="GW1001" s="110"/>
      <c r="GX1001" s="110"/>
      <c r="GY1001" s="110"/>
      <c r="GZ1001" s="110"/>
      <c r="HA1001" s="110"/>
      <c r="HB1001" s="110"/>
      <c r="HC1001" s="110"/>
      <c r="HD1001" s="110"/>
      <c r="HE1001" s="110"/>
      <c r="HF1001" s="110"/>
      <c r="HG1001" s="110"/>
      <c r="HH1001" s="110"/>
      <c r="HI1001" s="110"/>
      <c r="HJ1001" s="110"/>
      <c r="HK1001" s="110"/>
      <c r="HL1001" s="110"/>
      <c r="HM1001" s="110"/>
      <c r="HN1001" s="110"/>
      <c r="HO1001" s="110"/>
      <c r="HP1001" s="110"/>
      <c r="HQ1001" s="110"/>
      <c r="HR1001" s="110"/>
      <c r="HS1001" s="110"/>
      <c r="HT1001" s="110"/>
      <c r="HU1001" s="110"/>
      <c r="HV1001" s="110"/>
      <c r="HW1001" s="110"/>
      <c r="HX1001" s="110"/>
      <c r="HY1001" s="110"/>
      <c r="HZ1001" s="110"/>
      <c r="IA1001" s="110"/>
      <c r="IB1001" s="110"/>
      <c r="IC1001" s="110"/>
      <c r="ID1001" s="110"/>
      <c r="IE1001" s="110"/>
      <c r="IF1001" s="110"/>
      <c r="IG1001" s="110"/>
      <c r="IH1001" s="110"/>
      <c r="II1001" s="110"/>
      <c r="IJ1001" s="110"/>
      <c r="IK1001" s="110"/>
      <c r="IL1001" s="110"/>
      <c r="IM1001" s="110"/>
      <c r="IN1001" s="110"/>
      <c r="IO1001" s="110"/>
      <c r="IP1001" s="110"/>
    </row>
    <row r="1002" spans="18:250" ht="16.5" hidden="1" customHeight="1">
      <c r="R1002" s="95"/>
      <c r="S1002" s="95"/>
      <c r="T1002" s="95"/>
      <c r="U1002" s="70"/>
      <c r="V1002" s="214"/>
      <c r="W1002" s="70"/>
      <c r="X1002" s="70"/>
      <c r="Y1002" s="70"/>
      <c r="Z1002" s="70"/>
      <c r="AA1002" s="70"/>
      <c r="AB1002" s="70"/>
      <c r="AC1002" s="70"/>
      <c r="AD1002" s="70"/>
      <c r="AE1002" s="70"/>
      <c r="AF1002" s="70"/>
      <c r="AG1002" s="70"/>
      <c r="AH1002" s="70"/>
      <c r="AI1002" s="70"/>
      <c r="AJ1002" s="70"/>
      <c r="AK1002" s="70"/>
      <c r="AL1002" s="70"/>
      <c r="AM1002" s="70"/>
      <c r="AN1002" s="70"/>
      <c r="AO1002" s="70"/>
      <c r="AP1002" s="70"/>
      <c r="AQ1002" s="70"/>
      <c r="AR1002" s="70"/>
      <c r="AS1002" s="70"/>
      <c r="AT1002" s="70"/>
      <c r="AU1002" s="70"/>
      <c r="AV1002" s="70"/>
      <c r="AW1002" s="70"/>
      <c r="AX1002" s="70"/>
      <c r="AY1002" s="70"/>
      <c r="AZ1002" s="70"/>
      <c r="BA1002" s="70"/>
      <c r="BB1002" s="70"/>
      <c r="BC1002" s="70"/>
      <c r="BD1002" s="70"/>
      <c r="BE1002" s="70"/>
      <c r="BF1002" s="70"/>
      <c r="BG1002" s="70"/>
      <c r="BH1002" s="70"/>
      <c r="BI1002" s="70"/>
      <c r="BJ1002" s="70"/>
      <c r="BK1002" s="70"/>
      <c r="BL1002" s="70"/>
      <c r="BM1002" s="70"/>
      <c r="BN1002" s="70"/>
      <c r="BO1002" s="70"/>
      <c r="BP1002" s="70"/>
      <c r="BQ1002" s="70"/>
      <c r="BR1002" s="70"/>
      <c r="BS1002" s="70"/>
      <c r="BT1002" s="70"/>
      <c r="BU1002" s="70"/>
      <c r="BV1002" s="70"/>
      <c r="BW1002" s="70"/>
      <c r="BX1002" s="70"/>
      <c r="BY1002" s="70"/>
      <c r="BZ1002" s="70"/>
      <c r="CA1002" s="70"/>
      <c r="CB1002" s="70"/>
      <c r="CC1002" s="70"/>
      <c r="CD1002" s="70"/>
      <c r="CE1002" s="70"/>
      <c r="CF1002" s="70"/>
      <c r="CG1002" s="70"/>
      <c r="CH1002" s="70"/>
      <c r="CI1002" s="70"/>
      <c r="CJ1002" s="70"/>
      <c r="CK1002" s="70"/>
      <c r="CL1002" s="70"/>
      <c r="CM1002" s="70"/>
      <c r="CN1002" s="70"/>
      <c r="CO1002" s="70"/>
      <c r="CP1002" s="70"/>
      <c r="CQ1002" s="70"/>
      <c r="CR1002" s="70"/>
      <c r="CS1002" s="70"/>
      <c r="CT1002" s="70"/>
      <c r="CU1002" s="70"/>
      <c r="CV1002" s="70"/>
      <c r="CW1002" s="70"/>
      <c r="CX1002" s="70"/>
      <c r="CY1002" s="70"/>
      <c r="CZ1002" s="70"/>
      <c r="DA1002" s="70"/>
      <c r="DB1002" s="70"/>
      <c r="DC1002" s="70"/>
      <c r="DD1002" s="70"/>
      <c r="DE1002" s="70"/>
      <c r="DF1002" s="70"/>
      <c r="DG1002" s="70"/>
      <c r="DH1002" s="70"/>
      <c r="DI1002" s="70"/>
      <c r="DJ1002" s="70"/>
      <c r="DK1002" s="70"/>
      <c r="DL1002" s="70"/>
      <c r="DM1002" s="70"/>
      <c r="DN1002" s="70"/>
      <c r="DO1002" s="70"/>
      <c r="DP1002" s="70"/>
      <c r="DQ1002" s="70"/>
      <c r="DR1002" s="70"/>
      <c r="DS1002" s="70"/>
      <c r="DT1002" s="70"/>
      <c r="DU1002" s="70"/>
      <c r="DV1002" s="70"/>
      <c r="DW1002" s="70"/>
      <c r="DX1002" s="70"/>
      <c r="DY1002" s="70"/>
      <c r="DZ1002" s="70"/>
      <c r="EA1002" s="70"/>
      <c r="EB1002" s="70"/>
      <c r="EC1002" s="70"/>
      <c r="ED1002" s="70"/>
      <c r="EE1002" s="95" t="s">
        <v>450</v>
      </c>
      <c r="EF1002" s="110"/>
      <c r="EG1002" s="110"/>
      <c r="EH1002" s="110"/>
      <c r="EI1002" s="216"/>
      <c r="EJ1002" s="110"/>
      <c r="EK1002" s="110"/>
      <c r="EL1002" s="110"/>
      <c r="EM1002" s="110"/>
      <c r="EN1002" s="110"/>
      <c r="EO1002" s="110"/>
      <c r="EP1002" s="110"/>
      <c r="EQ1002" s="110"/>
      <c r="ER1002" s="110"/>
      <c r="ES1002" s="110"/>
      <c r="ET1002" s="110"/>
      <c r="EU1002" s="110"/>
      <c r="EV1002" s="110"/>
      <c r="EW1002" s="110"/>
      <c r="EX1002" s="110"/>
      <c r="EY1002" s="110"/>
      <c r="EZ1002" s="110"/>
      <c r="FA1002" s="110"/>
      <c r="FB1002" s="110"/>
      <c r="FC1002" s="110"/>
      <c r="FD1002" s="110"/>
      <c r="FE1002" s="110"/>
      <c r="FF1002" s="110"/>
      <c r="FG1002" s="110"/>
      <c r="FH1002" s="110"/>
      <c r="FI1002" s="110"/>
      <c r="FJ1002" s="110"/>
      <c r="FK1002" s="110"/>
      <c r="FL1002" s="110"/>
      <c r="FM1002" s="110"/>
      <c r="FN1002" s="110"/>
      <c r="FO1002" s="110"/>
      <c r="FP1002" s="110"/>
      <c r="FQ1002" s="110"/>
      <c r="FR1002" s="110"/>
      <c r="FS1002" s="110"/>
      <c r="FT1002" s="110"/>
      <c r="FU1002" s="110"/>
      <c r="FV1002" s="110"/>
      <c r="FW1002" s="110"/>
      <c r="FX1002" s="110"/>
      <c r="FY1002" s="110"/>
      <c r="FZ1002" s="110"/>
      <c r="GA1002" s="110"/>
      <c r="GB1002" s="110"/>
      <c r="GC1002" s="110"/>
      <c r="GD1002" s="110"/>
      <c r="GE1002" s="110"/>
      <c r="GF1002" s="110"/>
      <c r="GG1002" s="110"/>
      <c r="GH1002" s="110"/>
      <c r="GI1002" s="110"/>
      <c r="GJ1002" s="110"/>
      <c r="GK1002" s="110"/>
      <c r="GL1002" s="110"/>
      <c r="GM1002" s="110"/>
      <c r="GN1002" s="110"/>
      <c r="GO1002" s="110"/>
      <c r="GP1002" s="110"/>
      <c r="GQ1002" s="110"/>
      <c r="GR1002" s="110"/>
      <c r="GS1002" s="110"/>
      <c r="GT1002" s="110"/>
      <c r="GU1002" s="110"/>
      <c r="GV1002" s="110"/>
      <c r="GW1002" s="110"/>
      <c r="GX1002" s="110"/>
      <c r="GY1002" s="110"/>
      <c r="GZ1002" s="110"/>
      <c r="HA1002" s="110"/>
      <c r="HB1002" s="110"/>
      <c r="HC1002" s="110"/>
      <c r="HD1002" s="110"/>
      <c r="HE1002" s="110"/>
      <c r="HF1002" s="110"/>
      <c r="HG1002" s="110"/>
      <c r="HH1002" s="110"/>
      <c r="HI1002" s="110"/>
      <c r="HJ1002" s="110"/>
      <c r="HK1002" s="110"/>
      <c r="HL1002" s="110"/>
      <c r="HM1002" s="110"/>
      <c r="HN1002" s="110"/>
      <c r="HO1002" s="110"/>
      <c r="HP1002" s="110"/>
      <c r="HQ1002" s="110"/>
      <c r="HR1002" s="110"/>
      <c r="HS1002" s="110"/>
      <c r="HT1002" s="110"/>
      <c r="HU1002" s="110"/>
      <c r="HV1002" s="110"/>
      <c r="HW1002" s="110"/>
      <c r="HX1002" s="110"/>
      <c r="HY1002" s="110"/>
      <c r="HZ1002" s="110"/>
      <c r="IA1002" s="110"/>
      <c r="IB1002" s="110"/>
      <c r="IC1002" s="110"/>
      <c r="ID1002" s="110"/>
      <c r="IE1002" s="110"/>
      <c r="IF1002" s="110"/>
      <c r="IG1002" s="110"/>
      <c r="IH1002" s="110"/>
      <c r="II1002" s="110"/>
      <c r="IJ1002" s="110"/>
      <c r="IK1002" s="110"/>
      <c r="IL1002" s="110"/>
      <c r="IM1002" s="110"/>
      <c r="IN1002" s="110"/>
      <c r="IO1002" s="110"/>
      <c r="IP1002" s="110"/>
    </row>
    <row r="1003" spans="18:250" ht="16.5" hidden="1" customHeight="1">
      <c r="R1003" s="95"/>
      <c r="S1003" s="95"/>
      <c r="T1003" s="95"/>
      <c r="U1003" s="70"/>
      <c r="V1003" s="214"/>
      <c r="W1003" s="70"/>
      <c r="X1003" s="70"/>
      <c r="Y1003" s="70"/>
      <c r="Z1003" s="70"/>
      <c r="AA1003" s="70"/>
      <c r="AB1003" s="70"/>
      <c r="AC1003" s="70"/>
      <c r="AD1003" s="70"/>
      <c r="AE1003" s="70"/>
      <c r="AF1003" s="70"/>
      <c r="AG1003" s="70"/>
      <c r="AH1003" s="70"/>
      <c r="AI1003" s="70"/>
      <c r="AJ1003" s="70"/>
      <c r="AK1003" s="70"/>
      <c r="AL1003" s="70"/>
      <c r="AM1003" s="70"/>
      <c r="AN1003" s="70"/>
      <c r="AO1003" s="70"/>
      <c r="AP1003" s="70"/>
      <c r="AQ1003" s="70"/>
      <c r="AR1003" s="70"/>
      <c r="AS1003" s="70"/>
      <c r="AT1003" s="70"/>
      <c r="AU1003" s="70"/>
      <c r="AV1003" s="70"/>
      <c r="AW1003" s="70"/>
      <c r="AX1003" s="70"/>
      <c r="AY1003" s="70"/>
      <c r="AZ1003" s="70"/>
      <c r="BA1003" s="70"/>
      <c r="BB1003" s="70"/>
      <c r="BC1003" s="70"/>
      <c r="BD1003" s="70"/>
      <c r="BE1003" s="70"/>
      <c r="BF1003" s="70"/>
      <c r="BG1003" s="70"/>
      <c r="BH1003" s="70"/>
      <c r="BI1003" s="70"/>
      <c r="BJ1003" s="70"/>
      <c r="BK1003" s="70"/>
      <c r="BL1003" s="70"/>
      <c r="BM1003" s="70"/>
      <c r="BN1003" s="70"/>
      <c r="BO1003" s="70"/>
      <c r="BP1003" s="70"/>
      <c r="BQ1003" s="70"/>
      <c r="BR1003" s="70"/>
      <c r="BS1003" s="70"/>
      <c r="BT1003" s="70"/>
      <c r="BU1003" s="70"/>
      <c r="BV1003" s="70"/>
      <c r="BW1003" s="70"/>
      <c r="BX1003" s="70"/>
      <c r="BY1003" s="70"/>
      <c r="BZ1003" s="70"/>
      <c r="CA1003" s="70"/>
      <c r="CB1003" s="70"/>
      <c r="CC1003" s="70"/>
      <c r="CD1003" s="70"/>
      <c r="CE1003" s="70"/>
      <c r="CF1003" s="70"/>
      <c r="CG1003" s="70"/>
      <c r="CH1003" s="70"/>
      <c r="CI1003" s="70"/>
      <c r="CJ1003" s="70"/>
      <c r="CK1003" s="70"/>
      <c r="CL1003" s="70"/>
      <c r="CM1003" s="70"/>
      <c r="CN1003" s="70"/>
      <c r="CO1003" s="70"/>
      <c r="CP1003" s="70"/>
      <c r="CQ1003" s="70"/>
      <c r="CR1003" s="70"/>
      <c r="CS1003" s="70"/>
      <c r="CT1003" s="70"/>
      <c r="CU1003" s="70"/>
      <c r="CV1003" s="70"/>
      <c r="CW1003" s="70"/>
      <c r="CX1003" s="70"/>
      <c r="CY1003" s="70"/>
      <c r="CZ1003" s="70"/>
      <c r="DA1003" s="70"/>
      <c r="DB1003" s="70"/>
      <c r="DC1003" s="70"/>
      <c r="DD1003" s="70"/>
      <c r="DE1003" s="70"/>
      <c r="DF1003" s="70"/>
      <c r="DG1003" s="70"/>
      <c r="DH1003" s="70"/>
      <c r="DI1003" s="70"/>
      <c r="DJ1003" s="70"/>
      <c r="DK1003" s="70"/>
      <c r="DL1003" s="70"/>
      <c r="DM1003" s="70"/>
      <c r="DN1003" s="70"/>
      <c r="DO1003" s="70"/>
      <c r="DP1003" s="70"/>
      <c r="DQ1003" s="70"/>
      <c r="DR1003" s="70"/>
      <c r="DS1003" s="70"/>
      <c r="DT1003" s="70"/>
      <c r="DU1003" s="70"/>
      <c r="DV1003" s="70"/>
      <c r="DW1003" s="70"/>
      <c r="DX1003" s="70"/>
      <c r="DY1003" s="70"/>
      <c r="DZ1003" s="70"/>
      <c r="EA1003" s="70"/>
      <c r="EB1003" s="70"/>
      <c r="EC1003" s="70"/>
      <c r="ED1003" s="70"/>
      <c r="EE1003" s="95" t="s">
        <v>450</v>
      </c>
      <c r="EF1003" s="110"/>
      <c r="EG1003" s="110"/>
      <c r="EH1003" s="110"/>
      <c r="EI1003" s="216"/>
      <c r="EJ1003" s="110"/>
      <c r="EK1003" s="110"/>
      <c r="EL1003" s="110"/>
      <c r="EM1003" s="110"/>
      <c r="EN1003" s="110"/>
      <c r="EO1003" s="110"/>
      <c r="EP1003" s="110"/>
      <c r="EQ1003" s="110"/>
      <c r="ER1003" s="110"/>
      <c r="ES1003" s="110"/>
      <c r="ET1003" s="110"/>
      <c r="EU1003" s="110"/>
      <c r="EV1003" s="110"/>
      <c r="EW1003" s="110"/>
      <c r="EX1003" s="110"/>
      <c r="EY1003" s="110"/>
      <c r="EZ1003" s="110"/>
      <c r="FA1003" s="110"/>
      <c r="FB1003" s="110"/>
      <c r="FC1003" s="110"/>
      <c r="FD1003" s="110"/>
      <c r="FE1003" s="110"/>
      <c r="FF1003" s="110"/>
      <c r="FG1003" s="110"/>
      <c r="FH1003" s="110"/>
      <c r="FI1003" s="110"/>
      <c r="FJ1003" s="110"/>
      <c r="FK1003" s="110"/>
      <c r="FL1003" s="110"/>
      <c r="FM1003" s="110"/>
      <c r="FN1003" s="110"/>
      <c r="FO1003" s="110"/>
      <c r="FP1003" s="110"/>
      <c r="FQ1003" s="110"/>
      <c r="FR1003" s="110"/>
      <c r="FS1003" s="110"/>
      <c r="FT1003" s="110"/>
      <c r="FU1003" s="110"/>
      <c r="FV1003" s="110"/>
      <c r="FW1003" s="110"/>
      <c r="FX1003" s="110"/>
      <c r="FY1003" s="110"/>
      <c r="FZ1003" s="110"/>
      <c r="GA1003" s="110"/>
      <c r="GB1003" s="110"/>
      <c r="GC1003" s="110"/>
      <c r="GD1003" s="110"/>
      <c r="GE1003" s="110"/>
      <c r="GF1003" s="110"/>
      <c r="GG1003" s="110"/>
      <c r="GH1003" s="110"/>
      <c r="GI1003" s="110"/>
      <c r="GJ1003" s="110"/>
      <c r="GK1003" s="110"/>
      <c r="GL1003" s="110"/>
      <c r="GM1003" s="110"/>
      <c r="GN1003" s="110"/>
      <c r="GO1003" s="110"/>
      <c r="GP1003" s="110"/>
      <c r="GQ1003" s="110"/>
      <c r="GR1003" s="110"/>
      <c r="GS1003" s="110"/>
      <c r="GT1003" s="110"/>
      <c r="GU1003" s="110"/>
      <c r="GV1003" s="110"/>
      <c r="GW1003" s="110"/>
      <c r="GX1003" s="110"/>
      <c r="GY1003" s="110"/>
      <c r="GZ1003" s="110"/>
      <c r="HA1003" s="110"/>
      <c r="HB1003" s="110"/>
      <c r="HC1003" s="110"/>
      <c r="HD1003" s="110"/>
      <c r="HE1003" s="110"/>
      <c r="HF1003" s="110"/>
      <c r="HG1003" s="110"/>
      <c r="HH1003" s="110"/>
      <c r="HI1003" s="110"/>
      <c r="HJ1003" s="110"/>
      <c r="HK1003" s="110"/>
      <c r="HL1003" s="110"/>
      <c r="HM1003" s="110"/>
      <c r="HN1003" s="110"/>
      <c r="HO1003" s="110"/>
      <c r="HP1003" s="110"/>
      <c r="HQ1003" s="110"/>
      <c r="HR1003" s="110"/>
      <c r="HS1003" s="110"/>
      <c r="HT1003" s="110"/>
      <c r="HU1003" s="110"/>
      <c r="HV1003" s="110"/>
      <c r="HW1003" s="110"/>
      <c r="HX1003" s="110"/>
      <c r="HY1003" s="110"/>
      <c r="HZ1003" s="110"/>
      <c r="IA1003" s="110"/>
      <c r="IB1003" s="110"/>
      <c r="IC1003" s="110"/>
      <c r="ID1003" s="110"/>
      <c r="IE1003" s="110"/>
      <c r="IF1003" s="110"/>
      <c r="IG1003" s="110"/>
      <c r="IH1003" s="110"/>
      <c r="II1003" s="110"/>
      <c r="IJ1003" s="110"/>
      <c r="IK1003" s="110"/>
      <c r="IL1003" s="110"/>
      <c r="IM1003" s="110"/>
      <c r="IN1003" s="110"/>
      <c r="IO1003" s="110"/>
      <c r="IP1003" s="110"/>
    </row>
    <row r="1004" spans="18:250" ht="16.5" hidden="1" customHeight="1">
      <c r="R1004" s="95"/>
      <c r="S1004" s="95"/>
      <c r="T1004" s="95"/>
      <c r="U1004" s="70"/>
      <c r="V1004" s="214"/>
      <c r="W1004" s="70"/>
      <c r="X1004" s="70"/>
      <c r="Y1004" s="70"/>
      <c r="Z1004" s="70"/>
      <c r="AA1004" s="70"/>
      <c r="AB1004" s="70"/>
      <c r="AC1004" s="70"/>
      <c r="AD1004" s="70"/>
      <c r="AE1004" s="70"/>
      <c r="AF1004" s="70"/>
      <c r="AG1004" s="70"/>
      <c r="AH1004" s="70"/>
      <c r="AI1004" s="70"/>
      <c r="AJ1004" s="70"/>
      <c r="AK1004" s="70"/>
      <c r="AL1004" s="70"/>
      <c r="AM1004" s="70"/>
      <c r="AN1004" s="70"/>
      <c r="AO1004" s="70"/>
      <c r="AP1004" s="70"/>
      <c r="AQ1004" s="70"/>
      <c r="AR1004" s="70"/>
      <c r="AS1004" s="70"/>
      <c r="AT1004" s="70"/>
      <c r="AU1004" s="70"/>
      <c r="AV1004" s="70"/>
      <c r="AW1004" s="70"/>
      <c r="AX1004" s="70"/>
      <c r="AY1004" s="70"/>
      <c r="AZ1004" s="70"/>
      <c r="BA1004" s="70"/>
      <c r="BB1004" s="70"/>
      <c r="BC1004" s="70"/>
      <c r="BD1004" s="70"/>
      <c r="BE1004" s="70"/>
      <c r="BF1004" s="70"/>
      <c r="BG1004" s="70"/>
      <c r="BH1004" s="70"/>
      <c r="BI1004" s="70"/>
      <c r="BJ1004" s="70"/>
      <c r="BK1004" s="70"/>
      <c r="BL1004" s="70"/>
      <c r="BM1004" s="70"/>
      <c r="BN1004" s="70"/>
      <c r="BO1004" s="70"/>
      <c r="BP1004" s="70"/>
      <c r="BQ1004" s="70"/>
      <c r="BR1004" s="70"/>
      <c r="BS1004" s="70"/>
      <c r="BT1004" s="70"/>
      <c r="BU1004" s="70"/>
      <c r="BV1004" s="70"/>
      <c r="BW1004" s="70"/>
      <c r="BX1004" s="70"/>
      <c r="BY1004" s="70"/>
      <c r="BZ1004" s="70"/>
      <c r="CA1004" s="70"/>
      <c r="CB1004" s="70"/>
      <c r="CC1004" s="70"/>
      <c r="CD1004" s="70"/>
      <c r="CE1004" s="70"/>
      <c r="CF1004" s="70"/>
      <c r="CG1004" s="70"/>
      <c r="CH1004" s="70"/>
      <c r="CI1004" s="70"/>
      <c r="CJ1004" s="70"/>
      <c r="CK1004" s="70"/>
      <c r="CL1004" s="70"/>
      <c r="CM1004" s="70"/>
      <c r="CN1004" s="70"/>
      <c r="CO1004" s="70"/>
      <c r="CP1004" s="70"/>
      <c r="CQ1004" s="70"/>
      <c r="CR1004" s="70"/>
      <c r="CS1004" s="70"/>
      <c r="CT1004" s="70"/>
      <c r="CU1004" s="70"/>
      <c r="CV1004" s="70"/>
      <c r="CW1004" s="70"/>
      <c r="CX1004" s="70"/>
      <c r="CY1004" s="70"/>
      <c r="CZ1004" s="70"/>
      <c r="DA1004" s="70"/>
      <c r="DB1004" s="70"/>
      <c r="DC1004" s="70"/>
      <c r="DD1004" s="70"/>
      <c r="DE1004" s="70"/>
      <c r="DF1004" s="70"/>
      <c r="DG1004" s="70"/>
      <c r="DH1004" s="70"/>
      <c r="DI1004" s="70"/>
      <c r="DJ1004" s="70"/>
      <c r="DK1004" s="70"/>
      <c r="DL1004" s="70"/>
      <c r="DM1004" s="70"/>
      <c r="DN1004" s="70"/>
      <c r="DO1004" s="70"/>
      <c r="DP1004" s="70"/>
      <c r="DQ1004" s="70"/>
      <c r="DR1004" s="70"/>
      <c r="DS1004" s="70"/>
      <c r="DT1004" s="70"/>
      <c r="DU1004" s="70"/>
      <c r="DV1004" s="70"/>
      <c r="DW1004" s="70"/>
      <c r="DX1004" s="70"/>
      <c r="DY1004" s="70"/>
      <c r="DZ1004" s="70"/>
      <c r="EA1004" s="70"/>
      <c r="EB1004" s="70"/>
      <c r="EC1004" s="70"/>
      <c r="ED1004" s="70"/>
      <c r="EE1004" s="95" t="s">
        <v>450</v>
      </c>
      <c r="EF1004" s="110"/>
      <c r="EG1004" s="110"/>
      <c r="EH1004" s="110"/>
      <c r="EI1004" s="216"/>
      <c r="EJ1004" s="110"/>
      <c r="EK1004" s="110"/>
      <c r="EL1004" s="110"/>
      <c r="EM1004" s="110"/>
      <c r="EN1004" s="110"/>
      <c r="EO1004" s="110"/>
      <c r="EP1004" s="110"/>
      <c r="EQ1004" s="110"/>
      <c r="ER1004" s="110"/>
      <c r="ES1004" s="110"/>
      <c r="ET1004" s="110"/>
      <c r="EU1004" s="110"/>
      <c r="EV1004" s="110"/>
      <c r="EW1004" s="110"/>
      <c r="EX1004" s="110"/>
      <c r="EY1004" s="110"/>
      <c r="EZ1004" s="110"/>
      <c r="FA1004" s="110"/>
      <c r="FB1004" s="110"/>
      <c r="FC1004" s="110"/>
      <c r="FD1004" s="110"/>
      <c r="FE1004" s="110"/>
      <c r="FF1004" s="110"/>
      <c r="FG1004" s="110"/>
      <c r="FH1004" s="110"/>
      <c r="FI1004" s="110"/>
      <c r="FJ1004" s="110"/>
      <c r="FK1004" s="110"/>
      <c r="FL1004" s="110"/>
      <c r="FM1004" s="110"/>
      <c r="FN1004" s="110"/>
      <c r="FO1004" s="110"/>
      <c r="FP1004" s="110"/>
      <c r="FQ1004" s="110"/>
      <c r="FR1004" s="110"/>
      <c r="FS1004" s="110"/>
      <c r="FT1004" s="110"/>
      <c r="FU1004" s="110"/>
      <c r="FV1004" s="110"/>
      <c r="FW1004" s="110"/>
      <c r="FX1004" s="110"/>
      <c r="FY1004" s="110"/>
      <c r="FZ1004" s="110"/>
      <c r="GA1004" s="110"/>
      <c r="GB1004" s="110"/>
      <c r="GC1004" s="110"/>
      <c r="GD1004" s="110"/>
      <c r="GE1004" s="110"/>
      <c r="GF1004" s="110"/>
      <c r="GG1004" s="110"/>
      <c r="GH1004" s="110"/>
      <c r="GI1004" s="110"/>
      <c r="GJ1004" s="110"/>
      <c r="GK1004" s="110"/>
      <c r="GL1004" s="110"/>
      <c r="GM1004" s="110"/>
      <c r="GN1004" s="110"/>
      <c r="GO1004" s="110"/>
      <c r="GP1004" s="110"/>
      <c r="GQ1004" s="110"/>
      <c r="GR1004" s="110"/>
      <c r="GS1004" s="110"/>
      <c r="GT1004" s="110"/>
      <c r="GU1004" s="110"/>
      <c r="GV1004" s="110"/>
      <c r="GW1004" s="110"/>
      <c r="GX1004" s="110"/>
      <c r="GY1004" s="110"/>
      <c r="GZ1004" s="110"/>
      <c r="HA1004" s="110"/>
      <c r="HB1004" s="110"/>
      <c r="HC1004" s="110"/>
      <c r="HD1004" s="110"/>
      <c r="HE1004" s="110"/>
      <c r="HF1004" s="110"/>
      <c r="HG1004" s="110"/>
      <c r="HH1004" s="110"/>
      <c r="HI1004" s="110"/>
      <c r="HJ1004" s="110"/>
      <c r="HK1004" s="110"/>
      <c r="HL1004" s="110"/>
      <c r="HM1004" s="110"/>
      <c r="HN1004" s="110"/>
      <c r="HO1004" s="110"/>
      <c r="HP1004" s="110"/>
      <c r="HQ1004" s="110"/>
      <c r="HR1004" s="110"/>
      <c r="HS1004" s="110"/>
      <c r="HT1004" s="110"/>
      <c r="HU1004" s="110"/>
      <c r="HV1004" s="110"/>
      <c r="HW1004" s="110"/>
      <c r="HX1004" s="110"/>
      <c r="HY1004" s="110"/>
      <c r="HZ1004" s="110"/>
      <c r="IA1004" s="110"/>
      <c r="IB1004" s="110"/>
      <c r="IC1004" s="110"/>
      <c r="ID1004" s="110"/>
      <c r="IE1004" s="110"/>
      <c r="IF1004" s="110"/>
      <c r="IG1004" s="110"/>
      <c r="IH1004" s="110"/>
      <c r="II1004" s="110"/>
      <c r="IJ1004" s="110"/>
      <c r="IK1004" s="110"/>
      <c r="IL1004" s="110"/>
      <c r="IM1004" s="110"/>
      <c r="IN1004" s="110"/>
      <c r="IO1004" s="110"/>
      <c r="IP1004" s="110"/>
    </row>
    <row r="1005" spans="18:250" ht="16.5" hidden="1" customHeight="1">
      <c r="R1005" s="95"/>
      <c r="S1005" s="95"/>
      <c r="T1005" s="95"/>
      <c r="U1005" s="70"/>
      <c r="V1005" s="214"/>
      <c r="W1005" s="70"/>
      <c r="X1005" s="70"/>
      <c r="Y1005" s="70"/>
      <c r="Z1005" s="70"/>
      <c r="AA1005" s="70"/>
      <c r="AB1005" s="70"/>
      <c r="AC1005" s="70"/>
      <c r="AD1005" s="70"/>
      <c r="AE1005" s="70"/>
      <c r="AF1005" s="70"/>
      <c r="AG1005" s="70"/>
      <c r="AH1005" s="70"/>
      <c r="AI1005" s="70"/>
      <c r="AJ1005" s="70"/>
      <c r="AK1005" s="70"/>
      <c r="AL1005" s="70"/>
      <c r="AM1005" s="70"/>
      <c r="AN1005" s="70"/>
      <c r="AO1005" s="70"/>
      <c r="AP1005" s="70"/>
      <c r="AQ1005" s="70"/>
      <c r="AR1005" s="70"/>
      <c r="AS1005" s="70"/>
      <c r="AT1005" s="70"/>
      <c r="AU1005" s="70"/>
      <c r="AV1005" s="70"/>
      <c r="AW1005" s="70"/>
      <c r="AX1005" s="70"/>
      <c r="AY1005" s="70"/>
      <c r="AZ1005" s="70"/>
      <c r="BA1005" s="70"/>
      <c r="BB1005" s="70"/>
      <c r="BC1005" s="70"/>
      <c r="BD1005" s="70"/>
      <c r="BE1005" s="70"/>
      <c r="BF1005" s="70"/>
      <c r="BG1005" s="70"/>
      <c r="BH1005" s="70"/>
      <c r="BI1005" s="70"/>
      <c r="BJ1005" s="70"/>
      <c r="BK1005" s="70"/>
      <c r="BL1005" s="70"/>
      <c r="BM1005" s="70"/>
      <c r="BN1005" s="70"/>
      <c r="BO1005" s="70"/>
      <c r="BP1005" s="70"/>
      <c r="BQ1005" s="70"/>
      <c r="BR1005" s="70"/>
      <c r="BS1005" s="70"/>
      <c r="BT1005" s="70"/>
      <c r="BU1005" s="70"/>
      <c r="BV1005" s="70"/>
      <c r="BW1005" s="70"/>
      <c r="BX1005" s="70"/>
      <c r="BY1005" s="70"/>
      <c r="BZ1005" s="70"/>
      <c r="CA1005" s="70"/>
      <c r="CB1005" s="70"/>
      <c r="CC1005" s="70"/>
      <c r="CD1005" s="70"/>
      <c r="CE1005" s="70"/>
      <c r="CF1005" s="70"/>
      <c r="CG1005" s="70"/>
      <c r="CH1005" s="70"/>
      <c r="CI1005" s="70"/>
      <c r="CJ1005" s="70"/>
      <c r="CK1005" s="70"/>
      <c r="CL1005" s="70"/>
      <c r="CM1005" s="70"/>
      <c r="CN1005" s="70"/>
      <c r="CO1005" s="70"/>
      <c r="CP1005" s="70"/>
      <c r="CQ1005" s="70"/>
      <c r="CR1005" s="70"/>
      <c r="CS1005" s="70"/>
      <c r="CT1005" s="70"/>
      <c r="CU1005" s="70"/>
      <c r="CV1005" s="70"/>
      <c r="CW1005" s="70"/>
      <c r="CX1005" s="70"/>
      <c r="CY1005" s="70"/>
      <c r="CZ1005" s="70"/>
      <c r="DA1005" s="70"/>
      <c r="DB1005" s="70"/>
      <c r="DC1005" s="70"/>
      <c r="DD1005" s="70"/>
      <c r="DE1005" s="70"/>
      <c r="DF1005" s="70"/>
      <c r="DG1005" s="70"/>
      <c r="DH1005" s="70"/>
      <c r="DI1005" s="70"/>
      <c r="DJ1005" s="70"/>
      <c r="DK1005" s="70"/>
      <c r="DL1005" s="70"/>
      <c r="DM1005" s="70"/>
      <c r="DN1005" s="70"/>
      <c r="DO1005" s="70"/>
      <c r="DP1005" s="70"/>
      <c r="DQ1005" s="70"/>
      <c r="DR1005" s="70"/>
      <c r="DS1005" s="70"/>
      <c r="DT1005" s="70"/>
      <c r="DU1005" s="70"/>
      <c r="DV1005" s="70"/>
      <c r="DW1005" s="70"/>
      <c r="DX1005" s="70"/>
      <c r="DY1005" s="70"/>
      <c r="DZ1005" s="70"/>
      <c r="EA1005" s="70"/>
      <c r="EB1005" s="70"/>
      <c r="EC1005" s="70"/>
      <c r="ED1005" s="70"/>
      <c r="EE1005" s="95" t="s">
        <v>450</v>
      </c>
      <c r="EF1005" s="110"/>
      <c r="EG1005" s="110"/>
      <c r="EH1005" s="110"/>
      <c r="EI1005" s="216"/>
      <c r="EJ1005" s="110"/>
      <c r="EK1005" s="110"/>
      <c r="EL1005" s="110"/>
      <c r="EM1005" s="110"/>
      <c r="EN1005" s="110"/>
      <c r="EO1005" s="110"/>
      <c r="EP1005" s="110"/>
      <c r="EQ1005" s="110"/>
      <c r="ER1005" s="110"/>
      <c r="ES1005" s="110"/>
      <c r="ET1005" s="110"/>
      <c r="EU1005" s="110"/>
      <c r="EV1005" s="110"/>
      <c r="EW1005" s="110"/>
      <c r="EX1005" s="110"/>
      <c r="EY1005" s="110"/>
      <c r="EZ1005" s="110"/>
      <c r="FA1005" s="110"/>
      <c r="FB1005" s="110"/>
      <c r="FC1005" s="110"/>
      <c r="FD1005" s="110"/>
      <c r="FE1005" s="110"/>
      <c r="FF1005" s="110"/>
      <c r="FG1005" s="110"/>
      <c r="FH1005" s="110"/>
      <c r="FI1005" s="110"/>
      <c r="FJ1005" s="110"/>
      <c r="FK1005" s="110"/>
      <c r="FL1005" s="110"/>
      <c r="FM1005" s="110"/>
      <c r="FN1005" s="110"/>
      <c r="FO1005" s="110"/>
      <c r="FP1005" s="110"/>
      <c r="FQ1005" s="110"/>
      <c r="FR1005" s="110"/>
      <c r="FS1005" s="110"/>
      <c r="FT1005" s="110"/>
      <c r="FU1005" s="110"/>
      <c r="FV1005" s="110"/>
      <c r="FW1005" s="110"/>
      <c r="FX1005" s="110"/>
      <c r="FY1005" s="110"/>
      <c r="FZ1005" s="110"/>
      <c r="GA1005" s="110"/>
      <c r="GB1005" s="110"/>
      <c r="GC1005" s="110"/>
      <c r="GD1005" s="110"/>
      <c r="GE1005" s="110"/>
      <c r="GF1005" s="110"/>
      <c r="GG1005" s="110"/>
      <c r="GH1005" s="110"/>
      <c r="GI1005" s="110"/>
      <c r="GJ1005" s="110"/>
      <c r="GK1005" s="110"/>
      <c r="GL1005" s="110"/>
      <c r="GM1005" s="110"/>
      <c r="GN1005" s="110"/>
      <c r="GO1005" s="110"/>
      <c r="GP1005" s="110"/>
      <c r="GQ1005" s="110"/>
      <c r="GR1005" s="110"/>
      <c r="GS1005" s="110"/>
      <c r="GT1005" s="110"/>
      <c r="GU1005" s="110"/>
      <c r="GV1005" s="110"/>
      <c r="GW1005" s="110"/>
      <c r="GX1005" s="110"/>
      <c r="GY1005" s="110"/>
      <c r="GZ1005" s="110"/>
      <c r="HA1005" s="110"/>
      <c r="HB1005" s="110"/>
      <c r="HC1005" s="110"/>
      <c r="HD1005" s="110"/>
      <c r="HE1005" s="110"/>
      <c r="HF1005" s="110"/>
      <c r="HG1005" s="110"/>
      <c r="HH1005" s="110"/>
      <c r="HI1005" s="110"/>
      <c r="HJ1005" s="110"/>
      <c r="HK1005" s="110"/>
      <c r="HL1005" s="110"/>
      <c r="HM1005" s="110"/>
      <c r="HN1005" s="110"/>
      <c r="HO1005" s="110"/>
      <c r="HP1005" s="110"/>
      <c r="HQ1005" s="110"/>
      <c r="HR1005" s="110"/>
      <c r="HS1005" s="110"/>
      <c r="HT1005" s="110"/>
      <c r="HU1005" s="110"/>
      <c r="HV1005" s="110"/>
      <c r="HW1005" s="110"/>
      <c r="HX1005" s="110"/>
      <c r="HY1005" s="110"/>
      <c r="HZ1005" s="110"/>
      <c r="IA1005" s="110"/>
      <c r="IB1005" s="110"/>
      <c r="IC1005" s="110"/>
      <c r="ID1005" s="110"/>
      <c r="IE1005" s="110"/>
      <c r="IF1005" s="110"/>
      <c r="IG1005" s="110"/>
      <c r="IH1005" s="110"/>
      <c r="II1005" s="110"/>
      <c r="IJ1005" s="110"/>
      <c r="IK1005" s="110"/>
      <c r="IL1005" s="110"/>
      <c r="IM1005" s="110"/>
      <c r="IN1005" s="110"/>
      <c r="IO1005" s="110"/>
      <c r="IP1005" s="110"/>
    </row>
    <row r="1006" spans="18:250" ht="16.5" hidden="1" customHeight="1">
      <c r="R1006" s="95"/>
      <c r="S1006" s="95"/>
      <c r="T1006" s="95"/>
      <c r="U1006" s="70"/>
      <c r="V1006" s="214"/>
      <c r="W1006" s="70"/>
      <c r="X1006" s="70"/>
      <c r="Y1006" s="70"/>
      <c r="Z1006" s="70"/>
      <c r="AA1006" s="70"/>
      <c r="AB1006" s="70"/>
      <c r="AC1006" s="70"/>
      <c r="AD1006" s="70"/>
      <c r="AE1006" s="70"/>
      <c r="AF1006" s="70"/>
      <c r="AG1006" s="70"/>
      <c r="AH1006" s="70"/>
      <c r="AI1006" s="70"/>
      <c r="AJ1006" s="70"/>
      <c r="AK1006" s="70"/>
      <c r="AL1006" s="70"/>
      <c r="AM1006" s="70"/>
      <c r="AN1006" s="70"/>
      <c r="AO1006" s="70"/>
      <c r="AP1006" s="70"/>
      <c r="AQ1006" s="70"/>
      <c r="AR1006" s="70"/>
      <c r="AS1006" s="70"/>
      <c r="AT1006" s="70"/>
      <c r="AU1006" s="70"/>
      <c r="AV1006" s="70"/>
      <c r="AW1006" s="70"/>
      <c r="AX1006" s="70"/>
      <c r="AY1006" s="70"/>
      <c r="AZ1006" s="70"/>
      <c r="BA1006" s="70"/>
      <c r="BB1006" s="70"/>
      <c r="BC1006" s="70"/>
      <c r="BD1006" s="70"/>
      <c r="BE1006" s="70"/>
      <c r="BF1006" s="70"/>
      <c r="BG1006" s="70"/>
      <c r="BH1006" s="70"/>
      <c r="BI1006" s="70"/>
      <c r="BJ1006" s="70"/>
      <c r="BK1006" s="70"/>
      <c r="BL1006" s="70"/>
      <c r="BM1006" s="70"/>
      <c r="BN1006" s="70"/>
      <c r="BO1006" s="70"/>
      <c r="BP1006" s="70"/>
      <c r="BQ1006" s="70"/>
      <c r="BR1006" s="70"/>
      <c r="BS1006" s="70"/>
      <c r="BT1006" s="70"/>
      <c r="BU1006" s="70"/>
      <c r="BV1006" s="70"/>
      <c r="BW1006" s="70"/>
      <c r="BX1006" s="70"/>
      <c r="BY1006" s="70"/>
      <c r="BZ1006" s="70"/>
      <c r="CA1006" s="70"/>
      <c r="CB1006" s="70"/>
      <c r="CC1006" s="70"/>
      <c r="CD1006" s="70"/>
      <c r="CE1006" s="70"/>
      <c r="CF1006" s="70"/>
      <c r="CG1006" s="70"/>
      <c r="CH1006" s="70"/>
      <c r="CI1006" s="70"/>
      <c r="CJ1006" s="70"/>
      <c r="CK1006" s="70"/>
      <c r="CL1006" s="70"/>
      <c r="CM1006" s="70"/>
      <c r="CN1006" s="70"/>
      <c r="CO1006" s="70"/>
      <c r="CP1006" s="70"/>
      <c r="CQ1006" s="70"/>
      <c r="CR1006" s="70"/>
      <c r="CS1006" s="70"/>
      <c r="CT1006" s="70"/>
      <c r="CU1006" s="70"/>
      <c r="CV1006" s="70"/>
      <c r="CW1006" s="70"/>
      <c r="CX1006" s="70"/>
      <c r="CY1006" s="70"/>
      <c r="CZ1006" s="70"/>
      <c r="DA1006" s="70"/>
      <c r="DB1006" s="70"/>
      <c r="DC1006" s="70"/>
      <c r="DD1006" s="70"/>
      <c r="DE1006" s="70"/>
      <c r="DF1006" s="70"/>
      <c r="DG1006" s="70"/>
      <c r="DH1006" s="70"/>
      <c r="DI1006" s="70"/>
      <c r="DJ1006" s="70"/>
      <c r="DK1006" s="70"/>
      <c r="DL1006" s="70"/>
      <c r="DM1006" s="70"/>
      <c r="DN1006" s="70"/>
      <c r="DO1006" s="70"/>
      <c r="DP1006" s="70"/>
      <c r="DQ1006" s="70"/>
      <c r="DR1006" s="70"/>
      <c r="DS1006" s="70"/>
      <c r="DT1006" s="70"/>
      <c r="DU1006" s="70"/>
      <c r="DV1006" s="70"/>
      <c r="DW1006" s="70"/>
      <c r="DX1006" s="70"/>
      <c r="DY1006" s="70"/>
      <c r="DZ1006" s="70"/>
      <c r="EA1006" s="70"/>
      <c r="EB1006" s="70"/>
      <c r="EC1006" s="70"/>
      <c r="ED1006" s="70"/>
      <c r="EE1006" s="95" t="s">
        <v>450</v>
      </c>
      <c r="EF1006" s="110"/>
      <c r="EG1006" s="110"/>
      <c r="EH1006" s="110"/>
      <c r="EI1006" s="216"/>
      <c r="EJ1006" s="110"/>
      <c r="EK1006" s="110"/>
      <c r="EL1006" s="110"/>
      <c r="EM1006" s="110"/>
      <c r="EN1006" s="110"/>
      <c r="EO1006" s="110"/>
      <c r="EP1006" s="110"/>
      <c r="EQ1006" s="110"/>
      <c r="ER1006" s="110"/>
      <c r="ES1006" s="110"/>
      <c r="ET1006" s="110"/>
      <c r="EU1006" s="110"/>
      <c r="EV1006" s="110"/>
      <c r="EW1006" s="110"/>
      <c r="EX1006" s="110"/>
      <c r="EY1006" s="110"/>
      <c r="EZ1006" s="110"/>
      <c r="FA1006" s="110"/>
      <c r="FB1006" s="110"/>
      <c r="FC1006" s="110"/>
      <c r="FD1006" s="110"/>
      <c r="FE1006" s="110"/>
      <c r="FF1006" s="110"/>
      <c r="FG1006" s="110"/>
      <c r="FH1006" s="110"/>
      <c r="FI1006" s="110"/>
      <c r="FJ1006" s="110"/>
      <c r="FK1006" s="110"/>
      <c r="FL1006" s="110"/>
      <c r="FM1006" s="110"/>
      <c r="FN1006" s="110"/>
      <c r="FO1006" s="110"/>
      <c r="FP1006" s="110"/>
      <c r="FQ1006" s="110"/>
      <c r="FR1006" s="110"/>
      <c r="FS1006" s="110"/>
      <c r="FT1006" s="110"/>
      <c r="FU1006" s="110"/>
      <c r="FV1006" s="110"/>
      <c r="FW1006" s="110"/>
      <c r="FX1006" s="110"/>
      <c r="FY1006" s="110"/>
      <c r="FZ1006" s="110"/>
      <c r="GA1006" s="110"/>
      <c r="GB1006" s="110"/>
      <c r="GC1006" s="110"/>
      <c r="GD1006" s="110"/>
      <c r="GE1006" s="110"/>
      <c r="GF1006" s="110"/>
      <c r="GG1006" s="110"/>
      <c r="GH1006" s="110"/>
      <c r="GI1006" s="110"/>
      <c r="GJ1006" s="110"/>
      <c r="GK1006" s="110"/>
      <c r="GL1006" s="110"/>
      <c r="GM1006" s="110"/>
      <c r="GN1006" s="110"/>
      <c r="GO1006" s="110"/>
      <c r="GP1006" s="110"/>
      <c r="GQ1006" s="110"/>
      <c r="GR1006" s="110"/>
      <c r="GS1006" s="110"/>
      <c r="GT1006" s="110"/>
      <c r="GU1006" s="110"/>
      <c r="GV1006" s="110"/>
      <c r="GW1006" s="110"/>
      <c r="GX1006" s="110"/>
      <c r="GY1006" s="110"/>
      <c r="GZ1006" s="110"/>
      <c r="HA1006" s="110"/>
      <c r="HB1006" s="110"/>
      <c r="HC1006" s="110"/>
      <c r="HD1006" s="110"/>
      <c r="HE1006" s="110"/>
      <c r="HF1006" s="110"/>
      <c r="HG1006" s="110"/>
      <c r="HH1006" s="110"/>
      <c r="HI1006" s="110"/>
      <c r="HJ1006" s="110"/>
      <c r="HK1006" s="110"/>
      <c r="HL1006" s="110"/>
      <c r="HM1006" s="110"/>
      <c r="HN1006" s="110"/>
      <c r="HO1006" s="110"/>
      <c r="HP1006" s="110"/>
      <c r="HQ1006" s="110"/>
      <c r="HR1006" s="110"/>
      <c r="HS1006" s="110"/>
      <c r="HT1006" s="110"/>
      <c r="HU1006" s="110"/>
      <c r="HV1006" s="110"/>
      <c r="HW1006" s="110"/>
      <c r="HX1006" s="110"/>
      <c r="HY1006" s="110"/>
      <c r="HZ1006" s="110"/>
      <c r="IA1006" s="110"/>
      <c r="IB1006" s="110"/>
      <c r="IC1006" s="110"/>
      <c r="ID1006" s="110"/>
      <c r="IE1006" s="110"/>
      <c r="IF1006" s="110"/>
      <c r="IG1006" s="110"/>
      <c r="IH1006" s="110"/>
      <c r="II1006" s="110"/>
      <c r="IJ1006" s="110"/>
      <c r="IK1006" s="110"/>
      <c r="IL1006" s="110"/>
      <c r="IM1006" s="110"/>
      <c r="IN1006" s="110"/>
      <c r="IO1006" s="110"/>
      <c r="IP1006" s="110"/>
    </row>
    <row r="1007" spans="18:250" ht="16.5" hidden="1" customHeight="1">
      <c r="R1007" s="95"/>
      <c r="S1007" s="95"/>
      <c r="T1007" s="95"/>
      <c r="U1007" s="70"/>
      <c r="V1007" s="214"/>
      <c r="W1007" s="70"/>
      <c r="X1007" s="70"/>
      <c r="Y1007" s="70"/>
      <c r="Z1007" s="70"/>
      <c r="AA1007" s="70"/>
      <c r="AB1007" s="70"/>
      <c r="AC1007" s="70"/>
      <c r="AD1007" s="70"/>
      <c r="AE1007" s="70"/>
      <c r="AF1007" s="70"/>
      <c r="AG1007" s="70"/>
      <c r="AH1007" s="70"/>
      <c r="AI1007" s="70"/>
      <c r="AJ1007" s="70"/>
      <c r="AK1007" s="70"/>
      <c r="AL1007" s="70"/>
      <c r="AM1007" s="70"/>
      <c r="AN1007" s="70"/>
      <c r="AO1007" s="70"/>
      <c r="AP1007" s="70"/>
      <c r="AQ1007" s="70"/>
      <c r="AR1007" s="70"/>
      <c r="AS1007" s="70"/>
      <c r="AT1007" s="70"/>
      <c r="AU1007" s="70"/>
      <c r="AV1007" s="70"/>
      <c r="AW1007" s="70"/>
      <c r="AX1007" s="70"/>
      <c r="AY1007" s="70"/>
      <c r="AZ1007" s="70"/>
      <c r="BA1007" s="70"/>
      <c r="BB1007" s="70"/>
      <c r="BC1007" s="70"/>
      <c r="BD1007" s="70"/>
      <c r="BE1007" s="70"/>
      <c r="BF1007" s="70"/>
      <c r="BG1007" s="70"/>
      <c r="BH1007" s="70"/>
      <c r="BI1007" s="70"/>
      <c r="BJ1007" s="70"/>
      <c r="BK1007" s="70"/>
      <c r="BL1007" s="70"/>
      <c r="BM1007" s="70"/>
      <c r="BN1007" s="70"/>
      <c r="BO1007" s="70"/>
      <c r="BP1007" s="70"/>
      <c r="BQ1007" s="70"/>
      <c r="BR1007" s="70"/>
      <c r="BS1007" s="70"/>
      <c r="BT1007" s="70"/>
      <c r="BU1007" s="70"/>
      <c r="BV1007" s="70"/>
      <c r="BW1007" s="70"/>
      <c r="BX1007" s="70"/>
      <c r="BY1007" s="70"/>
      <c r="BZ1007" s="70"/>
      <c r="CA1007" s="70"/>
      <c r="CB1007" s="70"/>
      <c r="CC1007" s="70"/>
      <c r="CD1007" s="70"/>
      <c r="CE1007" s="70"/>
      <c r="CF1007" s="70"/>
      <c r="CG1007" s="70"/>
      <c r="CH1007" s="70"/>
      <c r="CI1007" s="70"/>
      <c r="CJ1007" s="70"/>
      <c r="CK1007" s="70"/>
      <c r="CL1007" s="70"/>
      <c r="CM1007" s="70"/>
      <c r="CN1007" s="70"/>
      <c r="CO1007" s="70"/>
      <c r="CP1007" s="70"/>
      <c r="CQ1007" s="70"/>
      <c r="CR1007" s="70"/>
      <c r="CS1007" s="70"/>
      <c r="CT1007" s="70"/>
      <c r="CU1007" s="70"/>
      <c r="CV1007" s="70"/>
      <c r="CW1007" s="70"/>
      <c r="CX1007" s="70"/>
      <c r="CY1007" s="70"/>
      <c r="CZ1007" s="70"/>
      <c r="DA1007" s="70"/>
      <c r="DB1007" s="70"/>
      <c r="DC1007" s="70"/>
      <c r="DD1007" s="70"/>
      <c r="DE1007" s="70"/>
      <c r="DF1007" s="70"/>
      <c r="DG1007" s="70"/>
      <c r="DH1007" s="70"/>
      <c r="DI1007" s="70"/>
      <c r="DJ1007" s="70"/>
      <c r="DK1007" s="70"/>
      <c r="DL1007" s="70"/>
      <c r="DM1007" s="70"/>
      <c r="DN1007" s="70"/>
      <c r="DO1007" s="70"/>
      <c r="DP1007" s="70"/>
      <c r="DQ1007" s="70"/>
      <c r="DR1007" s="70"/>
      <c r="DS1007" s="70"/>
      <c r="DT1007" s="70"/>
      <c r="DU1007" s="70"/>
      <c r="DV1007" s="70"/>
      <c r="DW1007" s="70"/>
      <c r="DX1007" s="70"/>
      <c r="DY1007" s="70"/>
      <c r="DZ1007" s="70"/>
      <c r="EA1007" s="70"/>
      <c r="EB1007" s="70"/>
      <c r="EC1007" s="70"/>
      <c r="ED1007" s="70"/>
      <c r="EE1007" s="95" t="s">
        <v>450</v>
      </c>
      <c r="EF1007" s="110"/>
      <c r="EG1007" s="110"/>
      <c r="EH1007" s="110"/>
      <c r="EI1007" s="216"/>
      <c r="EJ1007" s="110"/>
      <c r="EK1007" s="110"/>
      <c r="EL1007" s="110"/>
      <c r="EM1007" s="110"/>
      <c r="EN1007" s="110"/>
      <c r="EO1007" s="110"/>
      <c r="EP1007" s="110"/>
      <c r="EQ1007" s="110"/>
      <c r="ER1007" s="110"/>
      <c r="ES1007" s="110"/>
      <c r="ET1007" s="110"/>
      <c r="EU1007" s="110"/>
      <c r="EV1007" s="110"/>
      <c r="EW1007" s="110"/>
      <c r="EX1007" s="110"/>
      <c r="EY1007" s="110"/>
      <c r="EZ1007" s="110"/>
      <c r="FA1007" s="110"/>
      <c r="FB1007" s="110"/>
      <c r="FC1007" s="110"/>
      <c r="FD1007" s="110"/>
      <c r="FE1007" s="110"/>
      <c r="FF1007" s="110"/>
      <c r="FG1007" s="110"/>
      <c r="FH1007" s="110"/>
      <c r="FI1007" s="110"/>
      <c r="FJ1007" s="110"/>
      <c r="FK1007" s="110"/>
      <c r="FL1007" s="110"/>
      <c r="FM1007" s="110"/>
      <c r="FN1007" s="110"/>
      <c r="FO1007" s="110"/>
      <c r="FP1007" s="110"/>
      <c r="FQ1007" s="110"/>
      <c r="FR1007" s="110"/>
      <c r="FS1007" s="110"/>
      <c r="FT1007" s="110"/>
      <c r="FU1007" s="110"/>
      <c r="FV1007" s="110"/>
      <c r="FW1007" s="110"/>
      <c r="FX1007" s="110"/>
      <c r="FY1007" s="110"/>
      <c r="FZ1007" s="110"/>
      <c r="GA1007" s="110"/>
      <c r="GB1007" s="110"/>
      <c r="GC1007" s="110"/>
      <c r="GD1007" s="110"/>
      <c r="GE1007" s="110"/>
      <c r="GF1007" s="110"/>
      <c r="GG1007" s="110"/>
      <c r="GH1007" s="110"/>
      <c r="GI1007" s="110"/>
      <c r="GJ1007" s="110"/>
      <c r="GK1007" s="110"/>
      <c r="GL1007" s="110"/>
      <c r="GM1007" s="110"/>
      <c r="GN1007" s="110"/>
      <c r="GO1007" s="110"/>
      <c r="GP1007" s="110"/>
      <c r="GQ1007" s="110"/>
      <c r="GR1007" s="110"/>
      <c r="GS1007" s="110"/>
      <c r="GT1007" s="110"/>
      <c r="GU1007" s="110"/>
      <c r="GV1007" s="110"/>
      <c r="GW1007" s="110"/>
      <c r="GX1007" s="110"/>
      <c r="GY1007" s="110"/>
      <c r="GZ1007" s="110"/>
      <c r="HA1007" s="110"/>
      <c r="HB1007" s="110"/>
      <c r="HC1007" s="110"/>
      <c r="HD1007" s="110"/>
      <c r="HE1007" s="110"/>
      <c r="HF1007" s="110"/>
      <c r="HG1007" s="110"/>
      <c r="HH1007" s="110"/>
      <c r="HI1007" s="110"/>
      <c r="HJ1007" s="110"/>
      <c r="HK1007" s="110"/>
      <c r="HL1007" s="110"/>
      <c r="HM1007" s="110"/>
      <c r="HN1007" s="110"/>
      <c r="HO1007" s="110"/>
      <c r="HP1007" s="110"/>
      <c r="HQ1007" s="110"/>
      <c r="HR1007" s="110"/>
      <c r="HS1007" s="110"/>
      <c r="HT1007" s="110"/>
      <c r="HU1007" s="110"/>
      <c r="HV1007" s="110"/>
      <c r="HW1007" s="110"/>
      <c r="HX1007" s="110"/>
      <c r="HY1007" s="110"/>
      <c r="HZ1007" s="110"/>
      <c r="IA1007" s="110"/>
      <c r="IB1007" s="110"/>
      <c r="IC1007" s="110"/>
      <c r="ID1007" s="110"/>
      <c r="IE1007" s="110"/>
      <c r="IF1007" s="110"/>
      <c r="IG1007" s="110"/>
      <c r="IH1007" s="110"/>
      <c r="II1007" s="110"/>
      <c r="IJ1007" s="110"/>
      <c r="IK1007" s="110"/>
      <c r="IL1007" s="110"/>
      <c r="IM1007" s="110"/>
      <c r="IN1007" s="110"/>
      <c r="IO1007" s="110"/>
      <c r="IP1007" s="110"/>
    </row>
    <row r="1008" spans="18:250" ht="16.5" hidden="1" customHeight="1">
      <c r="R1008" s="95"/>
      <c r="S1008" s="95"/>
      <c r="T1008" s="95"/>
      <c r="U1008" s="70"/>
      <c r="V1008" s="214"/>
      <c r="W1008" s="70"/>
      <c r="X1008" s="70"/>
      <c r="Y1008" s="70"/>
      <c r="Z1008" s="70"/>
      <c r="AA1008" s="70"/>
      <c r="AB1008" s="70"/>
      <c r="AC1008" s="70"/>
      <c r="AD1008" s="70"/>
      <c r="AE1008" s="70"/>
      <c r="AF1008" s="70"/>
      <c r="AG1008" s="70"/>
      <c r="AH1008" s="70"/>
      <c r="AI1008" s="70"/>
      <c r="AJ1008" s="70"/>
      <c r="AK1008" s="70"/>
      <c r="AL1008" s="70"/>
      <c r="AM1008" s="70"/>
      <c r="AN1008" s="70"/>
      <c r="AO1008" s="70"/>
      <c r="AP1008" s="70"/>
      <c r="AQ1008" s="70"/>
      <c r="AR1008" s="70"/>
      <c r="AS1008" s="70"/>
      <c r="AT1008" s="70"/>
      <c r="AU1008" s="70"/>
      <c r="AV1008" s="70"/>
      <c r="AW1008" s="70"/>
      <c r="AX1008" s="70"/>
      <c r="AY1008" s="70"/>
      <c r="AZ1008" s="70"/>
      <c r="BA1008" s="70"/>
      <c r="BB1008" s="70"/>
      <c r="BC1008" s="70"/>
      <c r="BD1008" s="70"/>
      <c r="BE1008" s="70"/>
      <c r="BF1008" s="70"/>
      <c r="BG1008" s="70"/>
      <c r="BH1008" s="70"/>
      <c r="BI1008" s="70"/>
      <c r="BJ1008" s="70"/>
      <c r="BK1008" s="70"/>
      <c r="BL1008" s="70"/>
      <c r="BM1008" s="70"/>
      <c r="BN1008" s="70"/>
      <c r="BO1008" s="70"/>
      <c r="BP1008" s="70"/>
      <c r="BQ1008" s="70"/>
      <c r="BR1008" s="70"/>
      <c r="BS1008" s="70"/>
      <c r="BT1008" s="70"/>
      <c r="BU1008" s="70"/>
      <c r="BV1008" s="70"/>
      <c r="BW1008" s="70"/>
      <c r="BX1008" s="70"/>
      <c r="BY1008" s="70"/>
      <c r="BZ1008" s="70"/>
      <c r="CA1008" s="70"/>
      <c r="CB1008" s="70"/>
      <c r="CC1008" s="70"/>
      <c r="CD1008" s="70"/>
      <c r="CE1008" s="70"/>
      <c r="CF1008" s="70"/>
      <c r="CG1008" s="70"/>
      <c r="CH1008" s="70"/>
      <c r="CI1008" s="70"/>
      <c r="CJ1008" s="70"/>
      <c r="CK1008" s="70"/>
      <c r="CL1008" s="70"/>
      <c r="CM1008" s="70"/>
      <c r="CN1008" s="70"/>
      <c r="CO1008" s="70"/>
      <c r="CP1008" s="70"/>
      <c r="CQ1008" s="70"/>
      <c r="CR1008" s="70"/>
      <c r="CS1008" s="70"/>
      <c r="CT1008" s="70"/>
      <c r="CU1008" s="70"/>
      <c r="CV1008" s="70"/>
      <c r="CW1008" s="70"/>
      <c r="CX1008" s="70"/>
      <c r="CY1008" s="70"/>
      <c r="CZ1008" s="70"/>
      <c r="DA1008" s="70"/>
      <c r="DB1008" s="70"/>
      <c r="DC1008" s="70"/>
      <c r="DD1008" s="70"/>
      <c r="DE1008" s="70"/>
      <c r="DF1008" s="70"/>
      <c r="DG1008" s="70"/>
      <c r="DH1008" s="70"/>
      <c r="DI1008" s="70"/>
      <c r="DJ1008" s="70"/>
      <c r="DK1008" s="70"/>
      <c r="DL1008" s="70"/>
      <c r="DM1008" s="70"/>
      <c r="DN1008" s="70"/>
      <c r="DO1008" s="70"/>
      <c r="DP1008" s="70"/>
      <c r="DQ1008" s="70"/>
      <c r="DR1008" s="70"/>
      <c r="DS1008" s="70"/>
      <c r="DT1008" s="70"/>
      <c r="DU1008" s="70"/>
      <c r="DV1008" s="70"/>
      <c r="DW1008" s="70"/>
      <c r="DX1008" s="70"/>
      <c r="DY1008" s="70"/>
      <c r="DZ1008" s="70"/>
      <c r="EA1008" s="70"/>
      <c r="EB1008" s="70"/>
      <c r="EC1008" s="70"/>
      <c r="ED1008" s="70"/>
      <c r="EE1008" s="95" t="s">
        <v>450</v>
      </c>
      <c r="EF1008" s="110"/>
      <c r="EG1008" s="110"/>
      <c r="EH1008" s="110"/>
      <c r="EI1008" s="216"/>
      <c r="EJ1008" s="110"/>
      <c r="EK1008" s="110"/>
      <c r="EL1008" s="110"/>
      <c r="EM1008" s="110"/>
      <c r="EN1008" s="110"/>
      <c r="EO1008" s="110"/>
      <c r="EP1008" s="110"/>
      <c r="EQ1008" s="110"/>
      <c r="ER1008" s="110"/>
      <c r="ES1008" s="110"/>
      <c r="ET1008" s="110"/>
      <c r="EU1008" s="110"/>
      <c r="EV1008" s="110"/>
      <c r="EW1008" s="110"/>
      <c r="EX1008" s="110"/>
      <c r="EY1008" s="110"/>
      <c r="EZ1008" s="110"/>
      <c r="FA1008" s="110"/>
      <c r="FB1008" s="110"/>
      <c r="FC1008" s="110"/>
      <c r="FD1008" s="110"/>
      <c r="FE1008" s="110"/>
      <c r="FF1008" s="110"/>
      <c r="FG1008" s="110"/>
      <c r="FH1008" s="110"/>
      <c r="FI1008" s="110"/>
      <c r="FJ1008" s="110"/>
      <c r="FK1008" s="110"/>
      <c r="FL1008" s="110"/>
      <c r="FM1008" s="110"/>
      <c r="FN1008" s="110"/>
      <c r="FO1008" s="110"/>
      <c r="FP1008" s="110"/>
      <c r="FQ1008" s="110"/>
      <c r="FR1008" s="110"/>
      <c r="FS1008" s="110"/>
      <c r="FT1008" s="110"/>
      <c r="FU1008" s="110"/>
      <c r="FV1008" s="110"/>
      <c r="FW1008" s="110"/>
      <c r="FX1008" s="110"/>
      <c r="FY1008" s="110"/>
      <c r="FZ1008" s="110"/>
      <c r="GA1008" s="110"/>
      <c r="GB1008" s="110"/>
      <c r="GC1008" s="110"/>
      <c r="GD1008" s="110"/>
      <c r="GE1008" s="110"/>
      <c r="GF1008" s="110"/>
      <c r="GG1008" s="110"/>
      <c r="GH1008" s="110"/>
      <c r="GI1008" s="110"/>
      <c r="GJ1008" s="110"/>
      <c r="GK1008" s="110"/>
      <c r="GL1008" s="110"/>
      <c r="GM1008" s="110"/>
      <c r="GN1008" s="110"/>
      <c r="GO1008" s="110"/>
      <c r="GP1008" s="110"/>
      <c r="GQ1008" s="110"/>
      <c r="GR1008" s="110"/>
      <c r="GS1008" s="110"/>
      <c r="GT1008" s="110"/>
      <c r="GU1008" s="110"/>
      <c r="GV1008" s="110"/>
      <c r="GW1008" s="110"/>
      <c r="GX1008" s="110"/>
      <c r="GY1008" s="110"/>
      <c r="GZ1008" s="110"/>
      <c r="HA1008" s="110"/>
      <c r="HB1008" s="110"/>
      <c r="HC1008" s="110"/>
      <c r="HD1008" s="110"/>
      <c r="HE1008" s="110"/>
      <c r="HF1008" s="110"/>
      <c r="HG1008" s="110"/>
      <c r="HH1008" s="110"/>
      <c r="HI1008" s="110"/>
      <c r="HJ1008" s="110"/>
      <c r="HK1008" s="110"/>
      <c r="HL1008" s="110"/>
      <c r="HM1008" s="110"/>
      <c r="HN1008" s="110"/>
      <c r="HO1008" s="110"/>
      <c r="HP1008" s="110"/>
      <c r="HQ1008" s="110"/>
      <c r="HR1008" s="110"/>
      <c r="HS1008" s="110"/>
      <c r="HT1008" s="110"/>
      <c r="HU1008" s="110"/>
      <c r="HV1008" s="110"/>
      <c r="HW1008" s="110"/>
      <c r="HX1008" s="110"/>
      <c r="HY1008" s="110"/>
      <c r="HZ1008" s="110"/>
      <c r="IA1008" s="110"/>
      <c r="IB1008" s="110"/>
      <c r="IC1008" s="110"/>
      <c r="ID1008" s="110"/>
      <c r="IE1008" s="110"/>
      <c r="IF1008" s="110"/>
      <c r="IG1008" s="110"/>
      <c r="IH1008" s="110"/>
      <c r="II1008" s="110"/>
      <c r="IJ1008" s="110"/>
      <c r="IK1008" s="110"/>
      <c r="IL1008" s="110"/>
      <c r="IM1008" s="110"/>
      <c r="IN1008" s="110"/>
      <c r="IO1008" s="110"/>
      <c r="IP1008" s="110"/>
    </row>
    <row r="1009" spans="18:250" ht="16.5" hidden="1" customHeight="1">
      <c r="R1009" s="95"/>
      <c r="S1009" s="95"/>
      <c r="T1009" s="95"/>
      <c r="U1009" s="70"/>
      <c r="V1009" s="214"/>
      <c r="W1009" s="70"/>
      <c r="X1009" s="70"/>
      <c r="Y1009" s="70"/>
      <c r="Z1009" s="70"/>
      <c r="AA1009" s="70"/>
      <c r="AB1009" s="70"/>
      <c r="AC1009" s="70"/>
      <c r="AD1009" s="70"/>
      <c r="AE1009" s="70"/>
      <c r="AF1009" s="70"/>
      <c r="AG1009" s="70"/>
      <c r="AH1009" s="70"/>
      <c r="AI1009" s="70"/>
      <c r="AJ1009" s="70"/>
      <c r="AK1009" s="70"/>
      <c r="AL1009" s="70"/>
      <c r="AM1009" s="70"/>
      <c r="AN1009" s="70"/>
      <c r="AO1009" s="70"/>
      <c r="AP1009" s="70"/>
      <c r="AQ1009" s="70"/>
      <c r="AR1009" s="70"/>
      <c r="AS1009" s="70"/>
      <c r="AT1009" s="70"/>
      <c r="AU1009" s="70"/>
      <c r="AV1009" s="70"/>
      <c r="AW1009" s="70"/>
      <c r="AX1009" s="70"/>
      <c r="AY1009" s="70"/>
      <c r="AZ1009" s="70"/>
      <c r="BA1009" s="70"/>
      <c r="BB1009" s="70"/>
      <c r="BC1009" s="70"/>
      <c r="BD1009" s="70"/>
      <c r="BE1009" s="70"/>
      <c r="BF1009" s="70"/>
      <c r="BG1009" s="70"/>
      <c r="BH1009" s="70"/>
      <c r="BI1009" s="70"/>
      <c r="BJ1009" s="70"/>
      <c r="BK1009" s="70"/>
      <c r="BL1009" s="70"/>
      <c r="BM1009" s="70"/>
      <c r="BN1009" s="70"/>
      <c r="BO1009" s="70"/>
      <c r="BP1009" s="70"/>
      <c r="BQ1009" s="70"/>
      <c r="BR1009" s="70"/>
      <c r="BS1009" s="70"/>
      <c r="BT1009" s="70"/>
      <c r="BU1009" s="70"/>
      <c r="BV1009" s="70"/>
      <c r="BW1009" s="70"/>
      <c r="BX1009" s="70"/>
      <c r="BY1009" s="70"/>
      <c r="BZ1009" s="70"/>
      <c r="CA1009" s="70"/>
      <c r="CB1009" s="70"/>
      <c r="CC1009" s="70"/>
      <c r="CD1009" s="70"/>
      <c r="CE1009" s="70"/>
      <c r="CF1009" s="70"/>
      <c r="CG1009" s="70"/>
      <c r="CH1009" s="70"/>
      <c r="CI1009" s="70"/>
      <c r="CJ1009" s="70"/>
      <c r="CK1009" s="70"/>
      <c r="CL1009" s="70"/>
      <c r="CM1009" s="70"/>
      <c r="CN1009" s="70"/>
      <c r="CO1009" s="70"/>
      <c r="CP1009" s="70"/>
      <c r="CQ1009" s="70"/>
      <c r="CR1009" s="70"/>
      <c r="CS1009" s="70"/>
      <c r="CT1009" s="70"/>
      <c r="CU1009" s="70"/>
      <c r="CV1009" s="70"/>
      <c r="CW1009" s="70"/>
      <c r="CX1009" s="70"/>
      <c r="CY1009" s="70"/>
      <c r="CZ1009" s="70"/>
      <c r="DA1009" s="70"/>
      <c r="DB1009" s="70"/>
      <c r="DC1009" s="70"/>
      <c r="DD1009" s="70"/>
      <c r="DE1009" s="70"/>
      <c r="DF1009" s="70"/>
      <c r="DG1009" s="70"/>
      <c r="DH1009" s="70"/>
      <c r="DI1009" s="70"/>
      <c r="DJ1009" s="70"/>
      <c r="DK1009" s="70"/>
      <c r="DL1009" s="70"/>
      <c r="DM1009" s="70"/>
      <c r="DN1009" s="70"/>
      <c r="DO1009" s="70"/>
      <c r="DP1009" s="70"/>
      <c r="DQ1009" s="70"/>
      <c r="DR1009" s="70"/>
      <c r="DS1009" s="70"/>
      <c r="DT1009" s="70"/>
      <c r="DU1009" s="70"/>
      <c r="DV1009" s="70"/>
      <c r="DW1009" s="70"/>
      <c r="DX1009" s="70"/>
      <c r="DY1009" s="70"/>
      <c r="DZ1009" s="70"/>
      <c r="EA1009" s="70"/>
      <c r="EB1009" s="70"/>
      <c r="EC1009" s="70"/>
      <c r="ED1009" s="70"/>
      <c r="EE1009" s="95" t="s">
        <v>450</v>
      </c>
      <c r="EF1009" s="110"/>
      <c r="EG1009" s="110"/>
      <c r="EH1009" s="110"/>
      <c r="EI1009" s="216"/>
      <c r="EJ1009" s="110"/>
      <c r="EK1009" s="110"/>
      <c r="EL1009" s="110"/>
      <c r="EM1009" s="110"/>
      <c r="EN1009" s="110"/>
      <c r="EO1009" s="110"/>
      <c r="EP1009" s="110"/>
      <c r="EQ1009" s="110"/>
      <c r="ER1009" s="110"/>
      <c r="ES1009" s="110"/>
      <c r="ET1009" s="110"/>
      <c r="EU1009" s="110"/>
      <c r="EV1009" s="110"/>
      <c r="EW1009" s="110"/>
      <c r="EX1009" s="110"/>
      <c r="EY1009" s="110"/>
      <c r="EZ1009" s="110"/>
      <c r="FA1009" s="110"/>
      <c r="FB1009" s="110"/>
      <c r="FC1009" s="110"/>
      <c r="FD1009" s="110"/>
      <c r="FE1009" s="110"/>
      <c r="FF1009" s="110"/>
      <c r="FG1009" s="110"/>
      <c r="FH1009" s="110"/>
      <c r="FI1009" s="110"/>
      <c r="FJ1009" s="110"/>
      <c r="FK1009" s="110"/>
      <c r="FL1009" s="110"/>
      <c r="FM1009" s="110"/>
      <c r="FN1009" s="110"/>
      <c r="FO1009" s="110"/>
      <c r="FP1009" s="110"/>
      <c r="FQ1009" s="110"/>
      <c r="FR1009" s="110"/>
      <c r="FS1009" s="110"/>
      <c r="FT1009" s="110"/>
      <c r="FU1009" s="110"/>
      <c r="FV1009" s="110"/>
      <c r="FW1009" s="110"/>
      <c r="FX1009" s="110"/>
      <c r="FY1009" s="110"/>
      <c r="FZ1009" s="110"/>
      <c r="GA1009" s="110"/>
      <c r="GB1009" s="110"/>
      <c r="GC1009" s="110"/>
      <c r="GD1009" s="110"/>
      <c r="GE1009" s="110"/>
      <c r="GF1009" s="110"/>
      <c r="GG1009" s="110"/>
      <c r="GH1009" s="110"/>
      <c r="GI1009" s="110"/>
      <c r="GJ1009" s="110"/>
      <c r="GK1009" s="110"/>
      <c r="GL1009" s="110"/>
      <c r="GM1009" s="110"/>
      <c r="GN1009" s="110"/>
      <c r="GO1009" s="110"/>
      <c r="GP1009" s="110"/>
      <c r="GQ1009" s="110"/>
      <c r="GR1009" s="110"/>
      <c r="GS1009" s="110"/>
      <c r="GT1009" s="110"/>
      <c r="GU1009" s="110"/>
      <c r="GV1009" s="110"/>
      <c r="GW1009" s="110"/>
      <c r="GX1009" s="110"/>
      <c r="GY1009" s="110"/>
      <c r="GZ1009" s="110"/>
      <c r="HA1009" s="110"/>
      <c r="HB1009" s="110"/>
      <c r="HC1009" s="110"/>
      <c r="HD1009" s="110"/>
      <c r="HE1009" s="110"/>
      <c r="HF1009" s="110"/>
      <c r="HG1009" s="110"/>
      <c r="HH1009" s="110"/>
      <c r="HI1009" s="110"/>
      <c r="HJ1009" s="110"/>
      <c r="HK1009" s="110"/>
      <c r="HL1009" s="110"/>
      <c r="HM1009" s="110"/>
      <c r="HN1009" s="110"/>
      <c r="HO1009" s="110"/>
      <c r="HP1009" s="110"/>
      <c r="HQ1009" s="110"/>
      <c r="HR1009" s="110"/>
      <c r="HS1009" s="110"/>
      <c r="HT1009" s="110"/>
      <c r="HU1009" s="110"/>
      <c r="HV1009" s="110"/>
      <c r="HW1009" s="110"/>
      <c r="HX1009" s="110"/>
      <c r="HY1009" s="110"/>
      <c r="HZ1009" s="110"/>
      <c r="IA1009" s="110"/>
      <c r="IB1009" s="110"/>
      <c r="IC1009" s="110"/>
      <c r="ID1009" s="110"/>
      <c r="IE1009" s="110"/>
      <c r="IF1009" s="110"/>
      <c r="IG1009" s="110"/>
      <c r="IH1009" s="110"/>
      <c r="II1009" s="110"/>
      <c r="IJ1009" s="110"/>
      <c r="IK1009" s="110"/>
      <c r="IL1009" s="110"/>
      <c r="IM1009" s="110"/>
      <c r="IN1009" s="110"/>
      <c r="IO1009" s="110"/>
      <c r="IP1009" s="110"/>
    </row>
    <row r="1010" spans="18:250" ht="16.5" hidden="1" customHeight="1">
      <c r="R1010" s="95"/>
      <c r="S1010" s="95"/>
      <c r="T1010" s="95"/>
      <c r="U1010" s="70"/>
      <c r="V1010" s="214"/>
      <c r="W1010" s="70"/>
      <c r="X1010" s="70"/>
      <c r="Y1010" s="70"/>
      <c r="Z1010" s="70"/>
      <c r="AA1010" s="70"/>
      <c r="AB1010" s="70"/>
      <c r="AC1010" s="70"/>
      <c r="AD1010" s="70"/>
      <c r="AE1010" s="70"/>
      <c r="AF1010" s="70"/>
      <c r="AG1010" s="70"/>
      <c r="AH1010" s="70"/>
      <c r="AI1010" s="70"/>
      <c r="AJ1010" s="70"/>
      <c r="AK1010" s="70"/>
      <c r="AL1010" s="70"/>
      <c r="AM1010" s="70"/>
      <c r="AN1010" s="70"/>
      <c r="AO1010" s="70"/>
      <c r="AP1010" s="70"/>
      <c r="AQ1010" s="70"/>
      <c r="AR1010" s="70"/>
      <c r="AS1010" s="70"/>
      <c r="AT1010" s="70"/>
      <c r="AU1010" s="70"/>
      <c r="AV1010" s="70"/>
      <c r="AW1010" s="70"/>
      <c r="AX1010" s="70"/>
      <c r="AY1010" s="70"/>
      <c r="AZ1010" s="70"/>
      <c r="BA1010" s="70"/>
      <c r="BB1010" s="70"/>
      <c r="BC1010" s="70"/>
      <c r="BD1010" s="70"/>
      <c r="BE1010" s="70"/>
      <c r="BF1010" s="70"/>
      <c r="BG1010" s="70"/>
      <c r="BH1010" s="70"/>
      <c r="BI1010" s="70"/>
      <c r="BJ1010" s="70"/>
      <c r="BK1010" s="70"/>
      <c r="BL1010" s="70"/>
      <c r="BM1010" s="70"/>
      <c r="BN1010" s="70"/>
      <c r="BO1010" s="70"/>
      <c r="BP1010" s="70"/>
      <c r="BQ1010" s="70"/>
      <c r="BR1010" s="70"/>
      <c r="BS1010" s="70"/>
      <c r="BT1010" s="70"/>
      <c r="BU1010" s="70"/>
      <c r="BV1010" s="70"/>
      <c r="BW1010" s="70"/>
      <c r="BX1010" s="70"/>
      <c r="BY1010" s="70"/>
      <c r="BZ1010" s="70"/>
      <c r="CA1010" s="70"/>
      <c r="CB1010" s="70"/>
      <c r="CC1010" s="70"/>
      <c r="CD1010" s="70"/>
      <c r="CE1010" s="70"/>
      <c r="CF1010" s="70"/>
      <c r="CG1010" s="70"/>
      <c r="CH1010" s="70"/>
      <c r="CI1010" s="70"/>
      <c r="CJ1010" s="70"/>
      <c r="CK1010" s="70"/>
      <c r="CL1010" s="70"/>
      <c r="CM1010" s="70"/>
      <c r="CN1010" s="70"/>
      <c r="CO1010" s="70"/>
      <c r="CP1010" s="70"/>
      <c r="CQ1010" s="70"/>
      <c r="CR1010" s="70"/>
      <c r="CS1010" s="70"/>
      <c r="CT1010" s="70"/>
      <c r="CU1010" s="70"/>
      <c r="CV1010" s="70"/>
      <c r="CW1010" s="70"/>
      <c r="CX1010" s="70"/>
      <c r="CY1010" s="70"/>
      <c r="CZ1010" s="70"/>
      <c r="DA1010" s="70"/>
      <c r="DB1010" s="70"/>
      <c r="DC1010" s="70"/>
      <c r="DD1010" s="70"/>
      <c r="DE1010" s="70"/>
      <c r="DF1010" s="70"/>
      <c r="DG1010" s="70"/>
      <c r="DH1010" s="70"/>
      <c r="DI1010" s="70"/>
      <c r="DJ1010" s="70"/>
      <c r="DK1010" s="70"/>
      <c r="DL1010" s="70"/>
      <c r="DM1010" s="70"/>
      <c r="DN1010" s="70"/>
      <c r="DO1010" s="70"/>
      <c r="DP1010" s="70"/>
      <c r="DQ1010" s="70"/>
      <c r="DR1010" s="70"/>
      <c r="DS1010" s="70"/>
      <c r="DT1010" s="70"/>
      <c r="DU1010" s="70"/>
      <c r="DV1010" s="70"/>
      <c r="DW1010" s="70"/>
      <c r="DX1010" s="70"/>
      <c r="DY1010" s="70"/>
      <c r="DZ1010" s="70"/>
      <c r="EA1010" s="70"/>
      <c r="EB1010" s="70"/>
      <c r="EC1010" s="70"/>
      <c r="ED1010" s="70"/>
      <c r="EE1010" s="95" t="s">
        <v>450</v>
      </c>
      <c r="EF1010" s="110"/>
      <c r="EG1010" s="110"/>
      <c r="EH1010" s="110"/>
      <c r="EI1010" s="216"/>
      <c r="EJ1010" s="110"/>
      <c r="EK1010" s="110"/>
      <c r="EL1010" s="110"/>
      <c r="EM1010" s="110"/>
      <c r="EN1010" s="110"/>
      <c r="EO1010" s="110"/>
      <c r="EP1010" s="110"/>
      <c r="EQ1010" s="110"/>
      <c r="ER1010" s="110"/>
      <c r="ES1010" s="110"/>
      <c r="ET1010" s="110"/>
      <c r="EU1010" s="110"/>
      <c r="EV1010" s="110"/>
      <c r="EW1010" s="110"/>
      <c r="EX1010" s="110"/>
      <c r="EY1010" s="110"/>
      <c r="EZ1010" s="110"/>
      <c r="FA1010" s="110"/>
      <c r="FB1010" s="110"/>
      <c r="FC1010" s="110"/>
      <c r="FD1010" s="110"/>
      <c r="FE1010" s="110"/>
      <c r="FF1010" s="110"/>
      <c r="FG1010" s="110"/>
      <c r="FH1010" s="110"/>
      <c r="FI1010" s="110"/>
      <c r="FJ1010" s="110"/>
      <c r="FK1010" s="110"/>
      <c r="FL1010" s="110"/>
      <c r="FM1010" s="110"/>
      <c r="FN1010" s="110"/>
      <c r="FO1010" s="110"/>
      <c r="FP1010" s="110"/>
      <c r="FQ1010" s="110"/>
      <c r="FR1010" s="110"/>
      <c r="FS1010" s="110"/>
      <c r="FT1010" s="110"/>
      <c r="FU1010" s="110"/>
      <c r="FV1010" s="110"/>
      <c r="FW1010" s="110"/>
      <c r="FX1010" s="110"/>
      <c r="FY1010" s="110"/>
      <c r="FZ1010" s="110"/>
      <c r="GA1010" s="110"/>
      <c r="GB1010" s="110"/>
      <c r="GC1010" s="110"/>
      <c r="GD1010" s="110"/>
      <c r="GE1010" s="110"/>
      <c r="GF1010" s="110"/>
      <c r="GG1010" s="110"/>
      <c r="GH1010" s="110"/>
      <c r="GI1010" s="110"/>
      <c r="GJ1010" s="110"/>
      <c r="GK1010" s="110"/>
      <c r="GL1010" s="110"/>
      <c r="GM1010" s="110"/>
      <c r="GN1010" s="110"/>
      <c r="GO1010" s="110"/>
      <c r="GP1010" s="110"/>
      <c r="GQ1010" s="110"/>
      <c r="GR1010" s="110"/>
      <c r="GS1010" s="110"/>
      <c r="GT1010" s="110"/>
      <c r="GU1010" s="110"/>
      <c r="GV1010" s="110"/>
      <c r="GW1010" s="110"/>
      <c r="GX1010" s="110"/>
      <c r="GY1010" s="110"/>
      <c r="GZ1010" s="110"/>
      <c r="HA1010" s="110"/>
      <c r="HB1010" s="110"/>
      <c r="HC1010" s="110"/>
      <c r="HD1010" s="110"/>
      <c r="HE1010" s="110"/>
      <c r="HF1010" s="110"/>
      <c r="HG1010" s="110"/>
      <c r="HH1010" s="110"/>
      <c r="HI1010" s="110"/>
      <c r="HJ1010" s="110"/>
      <c r="HK1010" s="110"/>
      <c r="HL1010" s="110"/>
      <c r="HM1010" s="110"/>
      <c r="HN1010" s="110"/>
      <c r="HO1010" s="110"/>
      <c r="HP1010" s="110"/>
      <c r="HQ1010" s="110"/>
      <c r="HR1010" s="110"/>
      <c r="HS1010" s="110"/>
      <c r="HT1010" s="110"/>
      <c r="HU1010" s="110"/>
      <c r="HV1010" s="110"/>
      <c r="HW1010" s="110"/>
      <c r="HX1010" s="110"/>
      <c r="HY1010" s="110"/>
      <c r="HZ1010" s="110"/>
      <c r="IA1010" s="110"/>
      <c r="IB1010" s="110"/>
      <c r="IC1010" s="110"/>
      <c r="ID1010" s="110"/>
      <c r="IE1010" s="110"/>
      <c r="IF1010" s="110"/>
      <c r="IG1010" s="110"/>
      <c r="IH1010" s="110"/>
      <c r="II1010" s="110"/>
      <c r="IJ1010" s="110"/>
      <c r="IK1010" s="110"/>
      <c r="IL1010" s="110"/>
      <c r="IM1010" s="110"/>
      <c r="IN1010" s="110"/>
      <c r="IO1010" s="110"/>
      <c r="IP1010" s="110"/>
    </row>
    <row r="1011" spans="18:250" ht="16.5" hidden="1" customHeight="1">
      <c r="R1011" s="95"/>
      <c r="S1011" s="95"/>
      <c r="T1011" s="95"/>
      <c r="U1011" s="70"/>
      <c r="V1011" s="214"/>
      <c r="W1011" s="70"/>
      <c r="X1011" s="70"/>
      <c r="Y1011" s="70"/>
      <c r="Z1011" s="70"/>
      <c r="AA1011" s="70"/>
      <c r="AB1011" s="70"/>
      <c r="AC1011" s="70"/>
      <c r="AD1011" s="70"/>
      <c r="AE1011" s="70"/>
      <c r="AF1011" s="70"/>
      <c r="AG1011" s="70"/>
      <c r="AH1011" s="70"/>
      <c r="AI1011" s="70"/>
      <c r="AJ1011" s="70"/>
      <c r="AK1011" s="70"/>
      <c r="AL1011" s="70"/>
      <c r="AM1011" s="70"/>
      <c r="AN1011" s="70"/>
      <c r="AO1011" s="70"/>
      <c r="AP1011" s="70"/>
      <c r="AQ1011" s="70"/>
      <c r="AR1011" s="70"/>
      <c r="AS1011" s="70"/>
      <c r="AT1011" s="70"/>
      <c r="AU1011" s="70"/>
      <c r="AV1011" s="70"/>
      <c r="AW1011" s="70"/>
      <c r="AX1011" s="70"/>
      <c r="AY1011" s="70"/>
      <c r="AZ1011" s="70"/>
      <c r="BA1011" s="70"/>
      <c r="BB1011" s="70"/>
      <c r="BC1011" s="70"/>
      <c r="BD1011" s="70"/>
      <c r="BE1011" s="70"/>
      <c r="BF1011" s="70"/>
      <c r="BG1011" s="70"/>
      <c r="BH1011" s="70"/>
      <c r="BI1011" s="70"/>
      <c r="BJ1011" s="70"/>
      <c r="BK1011" s="70"/>
      <c r="BL1011" s="70"/>
      <c r="BM1011" s="70"/>
      <c r="BN1011" s="70"/>
      <c r="BO1011" s="70"/>
      <c r="BP1011" s="70"/>
      <c r="BQ1011" s="70"/>
      <c r="BR1011" s="70"/>
      <c r="BS1011" s="70"/>
      <c r="BT1011" s="70"/>
      <c r="BU1011" s="70"/>
      <c r="BV1011" s="70"/>
      <c r="BW1011" s="70"/>
      <c r="BX1011" s="70"/>
      <c r="BY1011" s="70"/>
      <c r="BZ1011" s="70"/>
      <c r="CA1011" s="70"/>
      <c r="CB1011" s="70"/>
      <c r="CC1011" s="70"/>
      <c r="CD1011" s="70"/>
      <c r="CE1011" s="70"/>
      <c r="CF1011" s="70"/>
      <c r="CG1011" s="70"/>
      <c r="CH1011" s="70"/>
      <c r="CI1011" s="70"/>
      <c r="CJ1011" s="70"/>
      <c r="CK1011" s="70"/>
      <c r="CL1011" s="70"/>
      <c r="CM1011" s="70"/>
      <c r="CN1011" s="70"/>
      <c r="CO1011" s="70"/>
      <c r="CP1011" s="70"/>
      <c r="CQ1011" s="70"/>
      <c r="CR1011" s="70"/>
      <c r="CS1011" s="70"/>
      <c r="CT1011" s="70"/>
      <c r="CU1011" s="70"/>
      <c r="CV1011" s="70"/>
      <c r="CW1011" s="70"/>
      <c r="CX1011" s="70"/>
      <c r="CY1011" s="70"/>
      <c r="CZ1011" s="70"/>
      <c r="DA1011" s="70"/>
      <c r="DB1011" s="70"/>
      <c r="DC1011" s="70"/>
      <c r="DD1011" s="70"/>
      <c r="DE1011" s="70"/>
      <c r="DF1011" s="70"/>
      <c r="DG1011" s="70"/>
      <c r="DH1011" s="70"/>
      <c r="DI1011" s="70"/>
      <c r="DJ1011" s="70"/>
      <c r="DK1011" s="70"/>
      <c r="DL1011" s="70"/>
      <c r="DM1011" s="70"/>
      <c r="DN1011" s="70"/>
      <c r="DO1011" s="70"/>
      <c r="DP1011" s="70"/>
      <c r="DQ1011" s="70"/>
      <c r="DR1011" s="70"/>
      <c r="DS1011" s="70"/>
      <c r="DT1011" s="70"/>
      <c r="DU1011" s="70"/>
      <c r="DV1011" s="70"/>
      <c r="DW1011" s="70"/>
      <c r="DX1011" s="70"/>
      <c r="DY1011" s="70"/>
      <c r="DZ1011" s="70"/>
      <c r="EA1011" s="70"/>
      <c r="EB1011" s="70"/>
      <c r="EC1011" s="70"/>
      <c r="ED1011" s="70"/>
      <c r="EE1011" s="95" t="s">
        <v>450</v>
      </c>
      <c r="EF1011" s="110"/>
      <c r="EG1011" s="110"/>
      <c r="EH1011" s="110"/>
      <c r="EI1011" s="216"/>
      <c r="EJ1011" s="110"/>
      <c r="EK1011" s="110"/>
      <c r="EL1011" s="110"/>
      <c r="EM1011" s="110"/>
      <c r="EN1011" s="110"/>
      <c r="EO1011" s="110"/>
      <c r="EP1011" s="110"/>
      <c r="EQ1011" s="110"/>
      <c r="ER1011" s="110"/>
      <c r="ES1011" s="110"/>
      <c r="ET1011" s="110"/>
      <c r="EU1011" s="110"/>
      <c r="EV1011" s="110"/>
      <c r="EW1011" s="110"/>
      <c r="EX1011" s="110"/>
      <c r="EY1011" s="110"/>
      <c r="EZ1011" s="110"/>
      <c r="FA1011" s="110"/>
      <c r="FB1011" s="110"/>
      <c r="FC1011" s="110"/>
      <c r="FD1011" s="110"/>
      <c r="FE1011" s="110"/>
      <c r="FF1011" s="110"/>
      <c r="FG1011" s="110"/>
      <c r="FH1011" s="110"/>
      <c r="FI1011" s="110"/>
      <c r="FJ1011" s="110"/>
      <c r="FK1011" s="110"/>
      <c r="FL1011" s="110"/>
      <c r="FM1011" s="110"/>
      <c r="FN1011" s="110"/>
      <c r="FO1011" s="110"/>
      <c r="FP1011" s="110"/>
      <c r="FQ1011" s="110"/>
      <c r="FR1011" s="110"/>
      <c r="FS1011" s="110"/>
      <c r="FT1011" s="110"/>
      <c r="FU1011" s="110"/>
      <c r="FV1011" s="110"/>
      <c r="FW1011" s="110"/>
      <c r="FX1011" s="110"/>
      <c r="FY1011" s="110"/>
      <c r="FZ1011" s="110"/>
      <c r="GA1011" s="110"/>
      <c r="GB1011" s="110"/>
      <c r="GC1011" s="110"/>
      <c r="GD1011" s="110"/>
      <c r="GE1011" s="110"/>
      <c r="GF1011" s="110"/>
      <c r="GG1011" s="110"/>
      <c r="GH1011" s="110"/>
      <c r="GI1011" s="110"/>
      <c r="GJ1011" s="110"/>
      <c r="GK1011" s="110"/>
      <c r="GL1011" s="110"/>
      <c r="GM1011" s="110"/>
      <c r="GN1011" s="110"/>
      <c r="GO1011" s="110"/>
      <c r="GP1011" s="110"/>
      <c r="GQ1011" s="110"/>
      <c r="GR1011" s="110"/>
      <c r="GS1011" s="110"/>
      <c r="GT1011" s="110"/>
      <c r="GU1011" s="110"/>
      <c r="GV1011" s="110"/>
      <c r="GW1011" s="110"/>
      <c r="GX1011" s="110"/>
      <c r="GY1011" s="110"/>
      <c r="GZ1011" s="110"/>
      <c r="HA1011" s="110"/>
      <c r="HB1011" s="110"/>
      <c r="HC1011" s="110"/>
      <c r="HD1011" s="110"/>
      <c r="HE1011" s="110"/>
      <c r="HF1011" s="110"/>
      <c r="HG1011" s="110"/>
      <c r="HH1011" s="110"/>
      <c r="HI1011" s="110"/>
      <c r="HJ1011" s="110"/>
      <c r="HK1011" s="110"/>
      <c r="HL1011" s="110"/>
      <c r="HM1011" s="110"/>
      <c r="HN1011" s="110"/>
      <c r="HO1011" s="110"/>
      <c r="HP1011" s="110"/>
      <c r="HQ1011" s="110"/>
      <c r="HR1011" s="110"/>
      <c r="HS1011" s="110"/>
      <c r="HT1011" s="110"/>
      <c r="HU1011" s="110"/>
      <c r="HV1011" s="110"/>
      <c r="HW1011" s="110"/>
      <c r="HX1011" s="110"/>
      <c r="HY1011" s="110"/>
      <c r="HZ1011" s="110"/>
      <c r="IA1011" s="110"/>
      <c r="IB1011" s="110"/>
      <c r="IC1011" s="110"/>
      <c r="ID1011" s="110"/>
      <c r="IE1011" s="110"/>
      <c r="IF1011" s="110"/>
      <c r="IG1011" s="110"/>
      <c r="IH1011" s="110"/>
      <c r="II1011" s="110"/>
      <c r="IJ1011" s="110"/>
      <c r="IK1011" s="110"/>
      <c r="IL1011" s="110"/>
      <c r="IM1011" s="110"/>
      <c r="IN1011" s="110"/>
      <c r="IO1011" s="110"/>
      <c r="IP1011" s="110"/>
    </row>
    <row r="1012" spans="18:250" ht="16.5" hidden="1" customHeight="1">
      <c r="R1012" s="95"/>
      <c r="S1012" s="95"/>
      <c r="T1012" s="95"/>
      <c r="U1012" s="70"/>
      <c r="V1012" s="214"/>
      <c r="W1012" s="70"/>
      <c r="X1012" s="70"/>
      <c r="Y1012" s="70"/>
      <c r="Z1012" s="70"/>
      <c r="AA1012" s="70"/>
      <c r="AB1012" s="70"/>
      <c r="AC1012" s="70"/>
      <c r="AD1012" s="70"/>
      <c r="AE1012" s="70"/>
      <c r="AF1012" s="70"/>
      <c r="AG1012" s="70"/>
      <c r="AH1012" s="70"/>
      <c r="AI1012" s="70"/>
      <c r="AJ1012" s="70"/>
      <c r="AK1012" s="70"/>
      <c r="AL1012" s="70"/>
      <c r="AM1012" s="70"/>
      <c r="AN1012" s="70"/>
      <c r="AO1012" s="70"/>
      <c r="AP1012" s="70"/>
      <c r="AQ1012" s="70"/>
      <c r="AR1012" s="70"/>
      <c r="AS1012" s="70"/>
      <c r="AT1012" s="70"/>
      <c r="AU1012" s="70"/>
      <c r="AV1012" s="70"/>
      <c r="AW1012" s="70"/>
      <c r="AX1012" s="70"/>
      <c r="AY1012" s="70"/>
      <c r="AZ1012" s="70"/>
      <c r="BA1012" s="70"/>
      <c r="BB1012" s="70"/>
      <c r="BC1012" s="70"/>
      <c r="BD1012" s="70"/>
      <c r="BE1012" s="70"/>
      <c r="BF1012" s="70"/>
      <c r="BG1012" s="70"/>
      <c r="BH1012" s="70"/>
      <c r="BI1012" s="70"/>
      <c r="BJ1012" s="70"/>
      <c r="BK1012" s="70"/>
      <c r="BL1012" s="70"/>
      <c r="BM1012" s="70"/>
      <c r="BN1012" s="70"/>
      <c r="BO1012" s="70"/>
      <c r="BP1012" s="70"/>
      <c r="BQ1012" s="70"/>
      <c r="BR1012" s="70"/>
      <c r="BS1012" s="70"/>
      <c r="BT1012" s="70"/>
      <c r="BU1012" s="70"/>
      <c r="BV1012" s="70"/>
      <c r="BW1012" s="70"/>
      <c r="BX1012" s="70"/>
      <c r="BY1012" s="70"/>
      <c r="BZ1012" s="70"/>
      <c r="CA1012" s="70"/>
      <c r="CB1012" s="70"/>
      <c r="CC1012" s="70"/>
      <c r="CD1012" s="70"/>
      <c r="CE1012" s="70"/>
      <c r="CF1012" s="70"/>
      <c r="CG1012" s="70"/>
      <c r="CH1012" s="70"/>
      <c r="CI1012" s="70"/>
      <c r="CJ1012" s="70"/>
      <c r="CK1012" s="70"/>
      <c r="CL1012" s="70"/>
      <c r="CM1012" s="70"/>
      <c r="CN1012" s="70"/>
      <c r="CO1012" s="70"/>
      <c r="CP1012" s="70"/>
      <c r="CQ1012" s="70"/>
      <c r="CR1012" s="70"/>
      <c r="CS1012" s="70"/>
      <c r="CT1012" s="70"/>
      <c r="CU1012" s="70"/>
      <c r="CV1012" s="70"/>
      <c r="CW1012" s="70"/>
      <c r="CX1012" s="70"/>
      <c r="CY1012" s="70"/>
      <c r="CZ1012" s="70"/>
      <c r="DA1012" s="70"/>
      <c r="DB1012" s="70"/>
      <c r="DC1012" s="70"/>
      <c r="DD1012" s="70"/>
      <c r="DE1012" s="70"/>
      <c r="DF1012" s="70"/>
      <c r="DG1012" s="70"/>
      <c r="DH1012" s="70"/>
      <c r="DI1012" s="70"/>
      <c r="DJ1012" s="70"/>
      <c r="DK1012" s="70"/>
      <c r="DL1012" s="70"/>
      <c r="DM1012" s="70"/>
      <c r="DN1012" s="70"/>
      <c r="DO1012" s="70"/>
      <c r="DP1012" s="70"/>
      <c r="DQ1012" s="70"/>
      <c r="DR1012" s="70"/>
      <c r="DS1012" s="70"/>
      <c r="DT1012" s="70"/>
      <c r="DU1012" s="70"/>
      <c r="DV1012" s="70"/>
      <c r="DW1012" s="70"/>
      <c r="DX1012" s="70"/>
      <c r="DY1012" s="70"/>
      <c r="DZ1012" s="70"/>
      <c r="EA1012" s="70"/>
      <c r="EB1012" s="70"/>
      <c r="EC1012" s="70"/>
      <c r="ED1012" s="70"/>
      <c r="EE1012" s="95" t="s">
        <v>450</v>
      </c>
      <c r="EF1012" s="110"/>
      <c r="EG1012" s="110"/>
      <c r="EH1012" s="110"/>
      <c r="EI1012" s="216"/>
      <c r="EJ1012" s="110"/>
      <c r="EK1012" s="110"/>
      <c r="EL1012" s="110"/>
      <c r="EM1012" s="110"/>
      <c r="EN1012" s="110"/>
      <c r="EO1012" s="110"/>
      <c r="EP1012" s="110"/>
      <c r="EQ1012" s="110"/>
      <c r="ER1012" s="110"/>
      <c r="ES1012" s="110"/>
      <c r="ET1012" s="110"/>
      <c r="EU1012" s="110"/>
      <c r="EV1012" s="110"/>
      <c r="EW1012" s="110"/>
      <c r="EX1012" s="110"/>
      <c r="EY1012" s="110"/>
      <c r="EZ1012" s="110"/>
      <c r="FA1012" s="110"/>
      <c r="FB1012" s="110"/>
      <c r="FC1012" s="110"/>
      <c r="FD1012" s="110"/>
      <c r="FE1012" s="110"/>
      <c r="FF1012" s="110"/>
      <c r="FG1012" s="110"/>
      <c r="FH1012" s="110"/>
      <c r="FI1012" s="110"/>
      <c r="FJ1012" s="110"/>
      <c r="FK1012" s="110"/>
      <c r="FL1012" s="110"/>
      <c r="FM1012" s="110"/>
      <c r="FN1012" s="110"/>
      <c r="FO1012" s="110"/>
      <c r="FP1012" s="110"/>
      <c r="FQ1012" s="110"/>
      <c r="FR1012" s="110"/>
      <c r="FS1012" s="110"/>
      <c r="FT1012" s="110"/>
      <c r="FU1012" s="110"/>
      <c r="FV1012" s="110"/>
      <c r="FW1012" s="110"/>
      <c r="FX1012" s="110"/>
      <c r="FY1012" s="110"/>
      <c r="FZ1012" s="110"/>
      <c r="GA1012" s="110"/>
      <c r="GB1012" s="110"/>
      <c r="GC1012" s="110"/>
      <c r="GD1012" s="110"/>
      <c r="GE1012" s="110"/>
      <c r="GF1012" s="110"/>
      <c r="GG1012" s="110"/>
      <c r="GH1012" s="110"/>
      <c r="GI1012" s="110"/>
      <c r="GJ1012" s="110"/>
      <c r="GK1012" s="110"/>
      <c r="GL1012" s="110"/>
      <c r="GM1012" s="110"/>
      <c r="GN1012" s="110"/>
      <c r="GO1012" s="110"/>
      <c r="GP1012" s="110"/>
      <c r="GQ1012" s="110"/>
      <c r="GR1012" s="110"/>
      <c r="GS1012" s="110"/>
      <c r="GT1012" s="110"/>
      <c r="GU1012" s="110"/>
      <c r="GV1012" s="110"/>
      <c r="GW1012" s="110"/>
      <c r="GX1012" s="110"/>
      <c r="GY1012" s="110"/>
      <c r="GZ1012" s="110"/>
      <c r="HA1012" s="110"/>
      <c r="HB1012" s="110"/>
      <c r="HC1012" s="110"/>
      <c r="HD1012" s="110"/>
      <c r="HE1012" s="110"/>
      <c r="HF1012" s="110"/>
      <c r="HG1012" s="110"/>
      <c r="HH1012" s="110"/>
      <c r="HI1012" s="110"/>
      <c r="HJ1012" s="110"/>
      <c r="HK1012" s="110"/>
      <c r="HL1012" s="110"/>
      <c r="HM1012" s="110"/>
      <c r="HN1012" s="110"/>
      <c r="HO1012" s="110"/>
      <c r="HP1012" s="110"/>
      <c r="HQ1012" s="110"/>
      <c r="HR1012" s="110"/>
      <c r="HS1012" s="110"/>
      <c r="HT1012" s="110"/>
      <c r="HU1012" s="110"/>
      <c r="HV1012" s="110"/>
      <c r="HW1012" s="110"/>
      <c r="HX1012" s="110"/>
      <c r="HY1012" s="110"/>
      <c r="HZ1012" s="110"/>
      <c r="IA1012" s="110"/>
      <c r="IB1012" s="110"/>
      <c r="IC1012" s="110"/>
      <c r="ID1012" s="110"/>
      <c r="IE1012" s="110"/>
      <c r="IF1012" s="110"/>
      <c r="IG1012" s="110"/>
      <c r="IH1012" s="110"/>
      <c r="II1012" s="110"/>
      <c r="IJ1012" s="110"/>
      <c r="IK1012" s="110"/>
      <c r="IL1012" s="110"/>
      <c r="IM1012" s="110"/>
      <c r="IN1012" s="110"/>
      <c r="IO1012" s="110"/>
      <c r="IP1012" s="110"/>
    </row>
    <row r="1013" spans="18:250" ht="16.5" hidden="1" customHeight="1">
      <c r="R1013" s="95"/>
      <c r="S1013" s="95"/>
      <c r="T1013" s="95"/>
      <c r="U1013" s="70"/>
      <c r="V1013" s="214"/>
      <c r="W1013" s="70"/>
      <c r="X1013" s="70"/>
      <c r="Y1013" s="70"/>
      <c r="Z1013" s="70"/>
      <c r="AA1013" s="70"/>
      <c r="AB1013" s="70"/>
      <c r="AC1013" s="70"/>
      <c r="AD1013" s="70"/>
      <c r="AE1013" s="70"/>
      <c r="AF1013" s="70"/>
      <c r="AG1013" s="70"/>
      <c r="AH1013" s="70"/>
      <c r="AI1013" s="70"/>
      <c r="AJ1013" s="70"/>
      <c r="AK1013" s="70"/>
      <c r="AL1013" s="70"/>
      <c r="AM1013" s="70"/>
      <c r="AN1013" s="70"/>
      <c r="AO1013" s="70"/>
      <c r="AP1013" s="70"/>
      <c r="AQ1013" s="70"/>
      <c r="AR1013" s="70"/>
      <c r="AS1013" s="70"/>
      <c r="AT1013" s="70"/>
      <c r="AU1013" s="70"/>
      <c r="AV1013" s="70"/>
      <c r="AW1013" s="70"/>
      <c r="AX1013" s="70"/>
      <c r="AY1013" s="70"/>
      <c r="AZ1013" s="70"/>
      <c r="BA1013" s="70"/>
      <c r="BB1013" s="70"/>
      <c r="BC1013" s="70"/>
      <c r="BD1013" s="70"/>
      <c r="BE1013" s="70"/>
      <c r="BF1013" s="70"/>
      <c r="BG1013" s="70"/>
      <c r="BH1013" s="70"/>
      <c r="BI1013" s="70"/>
      <c r="BJ1013" s="70"/>
      <c r="BK1013" s="70"/>
      <c r="BL1013" s="70"/>
      <c r="BM1013" s="70"/>
      <c r="BN1013" s="70"/>
      <c r="BO1013" s="70"/>
      <c r="BP1013" s="70"/>
      <c r="BQ1013" s="70"/>
      <c r="BR1013" s="70"/>
      <c r="BS1013" s="70"/>
      <c r="BT1013" s="70"/>
      <c r="BU1013" s="70"/>
      <c r="BV1013" s="70"/>
      <c r="BW1013" s="70"/>
      <c r="BX1013" s="70"/>
      <c r="BY1013" s="70"/>
      <c r="BZ1013" s="70"/>
      <c r="CA1013" s="70"/>
      <c r="CB1013" s="70"/>
      <c r="CC1013" s="70"/>
      <c r="CD1013" s="70"/>
      <c r="CE1013" s="70"/>
      <c r="CF1013" s="70"/>
      <c r="CG1013" s="70"/>
      <c r="CH1013" s="70"/>
      <c r="CI1013" s="70"/>
      <c r="CJ1013" s="70"/>
      <c r="CK1013" s="70"/>
      <c r="CL1013" s="70"/>
      <c r="CM1013" s="70"/>
      <c r="CN1013" s="70"/>
      <c r="CO1013" s="70"/>
      <c r="CP1013" s="70"/>
      <c r="CQ1013" s="70"/>
      <c r="CR1013" s="70"/>
      <c r="CS1013" s="70"/>
      <c r="CT1013" s="70"/>
      <c r="CU1013" s="70"/>
      <c r="CV1013" s="70"/>
      <c r="CW1013" s="70"/>
      <c r="CX1013" s="70"/>
      <c r="CY1013" s="70"/>
      <c r="CZ1013" s="70"/>
      <c r="DA1013" s="70"/>
      <c r="DB1013" s="70"/>
      <c r="DC1013" s="70"/>
      <c r="DD1013" s="70"/>
      <c r="DE1013" s="70"/>
      <c r="DF1013" s="70"/>
      <c r="DG1013" s="70"/>
      <c r="DH1013" s="70"/>
      <c r="DI1013" s="70"/>
      <c r="DJ1013" s="70"/>
      <c r="DK1013" s="70"/>
      <c r="DL1013" s="70"/>
      <c r="DM1013" s="70"/>
      <c r="DN1013" s="70"/>
      <c r="DO1013" s="70"/>
      <c r="DP1013" s="70"/>
      <c r="DQ1013" s="70"/>
      <c r="DR1013" s="70"/>
      <c r="DS1013" s="70"/>
      <c r="DT1013" s="70"/>
      <c r="DU1013" s="70"/>
      <c r="DV1013" s="70"/>
      <c r="DW1013" s="70"/>
      <c r="DX1013" s="70"/>
      <c r="DY1013" s="70"/>
      <c r="DZ1013" s="70"/>
      <c r="EA1013" s="70"/>
      <c r="EB1013" s="70"/>
      <c r="EC1013" s="70"/>
      <c r="ED1013" s="70"/>
      <c r="EE1013" s="95" t="s">
        <v>450</v>
      </c>
      <c r="EF1013" s="110"/>
      <c r="EG1013" s="110"/>
      <c r="EH1013" s="110"/>
      <c r="EI1013" s="216"/>
      <c r="EJ1013" s="110"/>
      <c r="EK1013" s="110"/>
      <c r="EL1013" s="110"/>
      <c r="EM1013" s="110"/>
      <c r="EN1013" s="110"/>
      <c r="EO1013" s="110"/>
      <c r="EP1013" s="110"/>
      <c r="EQ1013" s="110"/>
      <c r="ER1013" s="110"/>
      <c r="ES1013" s="110"/>
      <c r="ET1013" s="110"/>
      <c r="EU1013" s="110"/>
      <c r="EV1013" s="110"/>
      <c r="EW1013" s="110"/>
      <c r="EX1013" s="110"/>
      <c r="EY1013" s="110"/>
      <c r="EZ1013" s="110"/>
      <c r="FA1013" s="110"/>
      <c r="FB1013" s="110"/>
      <c r="FC1013" s="110"/>
      <c r="FD1013" s="110"/>
      <c r="FE1013" s="110"/>
      <c r="FF1013" s="110"/>
      <c r="FG1013" s="110"/>
      <c r="FH1013" s="110"/>
      <c r="FI1013" s="110"/>
      <c r="FJ1013" s="110"/>
      <c r="FK1013" s="110"/>
      <c r="FL1013" s="110"/>
      <c r="FM1013" s="110"/>
      <c r="FN1013" s="110"/>
      <c r="FO1013" s="110"/>
      <c r="FP1013" s="110"/>
      <c r="FQ1013" s="110"/>
      <c r="FR1013" s="110"/>
      <c r="FS1013" s="110"/>
      <c r="FT1013" s="110"/>
      <c r="FU1013" s="110"/>
      <c r="FV1013" s="110"/>
      <c r="FW1013" s="110"/>
      <c r="FX1013" s="110"/>
      <c r="FY1013" s="110"/>
      <c r="FZ1013" s="110"/>
      <c r="GA1013" s="110"/>
      <c r="GB1013" s="110"/>
      <c r="GC1013" s="110"/>
      <c r="GD1013" s="110"/>
      <c r="GE1013" s="110"/>
      <c r="GF1013" s="110"/>
      <c r="GG1013" s="110"/>
      <c r="GH1013" s="110"/>
      <c r="GI1013" s="110"/>
      <c r="GJ1013" s="110"/>
      <c r="GK1013" s="110"/>
      <c r="GL1013" s="110"/>
      <c r="GM1013" s="110"/>
      <c r="GN1013" s="110"/>
      <c r="GO1013" s="110"/>
      <c r="GP1013" s="110"/>
      <c r="GQ1013" s="110"/>
      <c r="GR1013" s="110"/>
      <c r="GS1013" s="110"/>
      <c r="GT1013" s="110"/>
      <c r="GU1013" s="110"/>
      <c r="GV1013" s="110"/>
      <c r="GW1013" s="110"/>
      <c r="GX1013" s="110"/>
      <c r="GY1013" s="110"/>
      <c r="GZ1013" s="110"/>
      <c r="HA1013" s="110"/>
      <c r="HB1013" s="110"/>
      <c r="HC1013" s="110"/>
      <c r="HD1013" s="110"/>
      <c r="HE1013" s="110"/>
      <c r="HF1013" s="110"/>
      <c r="HG1013" s="110"/>
      <c r="HH1013" s="110"/>
      <c r="HI1013" s="110"/>
      <c r="HJ1013" s="110"/>
      <c r="HK1013" s="110"/>
      <c r="HL1013" s="110"/>
      <c r="HM1013" s="110"/>
      <c r="HN1013" s="110"/>
      <c r="HO1013" s="110"/>
      <c r="HP1013" s="110"/>
      <c r="HQ1013" s="110"/>
      <c r="HR1013" s="110"/>
      <c r="HS1013" s="110"/>
      <c r="HT1013" s="110"/>
      <c r="HU1013" s="110"/>
      <c r="HV1013" s="110"/>
      <c r="HW1013" s="110"/>
      <c r="HX1013" s="110"/>
      <c r="HY1013" s="110"/>
      <c r="HZ1013" s="110"/>
      <c r="IA1013" s="110"/>
      <c r="IB1013" s="110"/>
      <c r="IC1013" s="110"/>
      <c r="ID1013" s="110"/>
      <c r="IE1013" s="110"/>
      <c r="IF1013" s="110"/>
      <c r="IG1013" s="110"/>
      <c r="IH1013" s="110"/>
      <c r="II1013" s="110"/>
      <c r="IJ1013" s="110"/>
      <c r="IK1013" s="110"/>
      <c r="IL1013" s="110"/>
      <c r="IM1013" s="110"/>
      <c r="IN1013" s="110"/>
      <c r="IO1013" s="110"/>
      <c r="IP1013" s="110"/>
    </row>
    <row r="1014" spans="18:250" ht="16.5" hidden="1" customHeight="1">
      <c r="R1014" s="95"/>
      <c r="S1014" s="95"/>
      <c r="T1014" s="95"/>
      <c r="U1014" s="70"/>
      <c r="V1014" s="214"/>
      <c r="W1014" s="70"/>
      <c r="X1014" s="70"/>
      <c r="Y1014" s="70"/>
      <c r="Z1014" s="70"/>
      <c r="AA1014" s="70"/>
      <c r="AB1014" s="70"/>
      <c r="AC1014" s="70"/>
      <c r="AD1014" s="70"/>
      <c r="AE1014" s="70"/>
      <c r="AF1014" s="70"/>
      <c r="AG1014" s="70"/>
      <c r="AH1014" s="70"/>
      <c r="AI1014" s="70"/>
      <c r="AJ1014" s="70"/>
      <c r="AK1014" s="70"/>
      <c r="AL1014" s="70"/>
      <c r="AM1014" s="70"/>
      <c r="AN1014" s="70"/>
      <c r="AO1014" s="70"/>
      <c r="AP1014" s="70"/>
      <c r="AQ1014" s="70"/>
      <c r="AR1014" s="70"/>
      <c r="AS1014" s="70"/>
      <c r="AT1014" s="70"/>
      <c r="AU1014" s="70"/>
      <c r="AV1014" s="70"/>
      <c r="AW1014" s="70"/>
      <c r="AX1014" s="70"/>
      <c r="AY1014" s="70"/>
      <c r="AZ1014" s="70"/>
      <c r="BA1014" s="70"/>
      <c r="BB1014" s="70"/>
      <c r="BC1014" s="70"/>
      <c r="BD1014" s="70"/>
      <c r="BE1014" s="70"/>
      <c r="BF1014" s="70"/>
      <c r="BG1014" s="70"/>
      <c r="BH1014" s="70"/>
      <c r="BI1014" s="70"/>
      <c r="BJ1014" s="70"/>
      <c r="BK1014" s="70"/>
      <c r="BL1014" s="70"/>
      <c r="BM1014" s="70"/>
      <c r="BN1014" s="70"/>
      <c r="BO1014" s="70"/>
      <c r="BP1014" s="70"/>
      <c r="BQ1014" s="70"/>
      <c r="BR1014" s="70"/>
      <c r="BS1014" s="70"/>
      <c r="BT1014" s="70"/>
      <c r="BU1014" s="70"/>
      <c r="BV1014" s="70"/>
      <c r="BW1014" s="70"/>
      <c r="BX1014" s="70"/>
      <c r="BY1014" s="70"/>
      <c r="BZ1014" s="70"/>
      <c r="CA1014" s="70"/>
      <c r="CB1014" s="70"/>
      <c r="CC1014" s="70"/>
      <c r="CD1014" s="70"/>
      <c r="CE1014" s="70"/>
      <c r="CF1014" s="70"/>
      <c r="CG1014" s="70"/>
      <c r="CH1014" s="70"/>
      <c r="CI1014" s="70"/>
      <c r="CJ1014" s="70"/>
      <c r="CK1014" s="70"/>
      <c r="CL1014" s="70"/>
      <c r="CM1014" s="70"/>
      <c r="CN1014" s="70"/>
      <c r="CO1014" s="70"/>
      <c r="CP1014" s="70"/>
      <c r="CQ1014" s="70"/>
      <c r="CR1014" s="70"/>
      <c r="CS1014" s="70"/>
      <c r="CT1014" s="70"/>
      <c r="CU1014" s="70"/>
      <c r="CV1014" s="70"/>
      <c r="CW1014" s="70"/>
      <c r="CX1014" s="70"/>
      <c r="CY1014" s="70"/>
      <c r="CZ1014" s="70"/>
      <c r="DA1014" s="70"/>
      <c r="DB1014" s="70"/>
      <c r="DC1014" s="70"/>
      <c r="DD1014" s="70"/>
      <c r="DE1014" s="70"/>
      <c r="DF1014" s="70"/>
      <c r="DG1014" s="70"/>
      <c r="DH1014" s="70"/>
      <c r="DI1014" s="70"/>
      <c r="DJ1014" s="70"/>
      <c r="DK1014" s="70"/>
      <c r="DL1014" s="70"/>
      <c r="DM1014" s="70"/>
      <c r="DN1014" s="70"/>
      <c r="DO1014" s="70"/>
      <c r="DP1014" s="70"/>
      <c r="DQ1014" s="70"/>
      <c r="DR1014" s="70"/>
      <c r="DS1014" s="70"/>
      <c r="DT1014" s="70"/>
      <c r="DU1014" s="70"/>
      <c r="DV1014" s="70"/>
      <c r="DW1014" s="70"/>
      <c r="DX1014" s="70"/>
      <c r="DY1014" s="70"/>
      <c r="DZ1014" s="70"/>
      <c r="EA1014" s="70"/>
      <c r="EB1014" s="70"/>
      <c r="EC1014" s="70"/>
      <c r="ED1014" s="70"/>
      <c r="EE1014" s="95" t="s">
        <v>450</v>
      </c>
      <c r="EF1014" s="110"/>
      <c r="EG1014" s="110"/>
      <c r="EH1014" s="110"/>
      <c r="EI1014" s="216"/>
      <c r="EJ1014" s="110"/>
      <c r="EK1014" s="110"/>
      <c r="EL1014" s="110"/>
      <c r="EM1014" s="110"/>
      <c r="EN1014" s="110"/>
      <c r="EO1014" s="110"/>
      <c r="EP1014" s="110"/>
      <c r="EQ1014" s="110"/>
      <c r="ER1014" s="110"/>
      <c r="ES1014" s="110"/>
      <c r="ET1014" s="110"/>
      <c r="EU1014" s="110"/>
      <c r="EV1014" s="110"/>
      <c r="EW1014" s="110"/>
      <c r="EX1014" s="110"/>
      <c r="EY1014" s="110"/>
      <c r="EZ1014" s="110"/>
      <c r="FA1014" s="110"/>
      <c r="FB1014" s="110"/>
      <c r="FC1014" s="110"/>
      <c r="FD1014" s="110"/>
      <c r="FE1014" s="110"/>
      <c r="FF1014" s="110"/>
      <c r="FG1014" s="110"/>
      <c r="FH1014" s="110"/>
      <c r="FI1014" s="110"/>
      <c r="FJ1014" s="110"/>
      <c r="FK1014" s="110"/>
      <c r="FL1014" s="110"/>
      <c r="FM1014" s="110"/>
      <c r="FN1014" s="110"/>
      <c r="FO1014" s="110"/>
      <c r="FP1014" s="110"/>
      <c r="FQ1014" s="110"/>
      <c r="FR1014" s="110"/>
      <c r="FS1014" s="110"/>
      <c r="FT1014" s="110"/>
      <c r="FU1014" s="110"/>
      <c r="FV1014" s="110"/>
      <c r="FW1014" s="110"/>
      <c r="FX1014" s="110"/>
      <c r="FY1014" s="110"/>
      <c r="FZ1014" s="110"/>
      <c r="GA1014" s="110"/>
      <c r="GB1014" s="110"/>
      <c r="GC1014" s="110"/>
      <c r="GD1014" s="110"/>
      <c r="GE1014" s="110"/>
      <c r="GF1014" s="110"/>
      <c r="GG1014" s="110"/>
      <c r="GH1014" s="110"/>
      <c r="GI1014" s="110"/>
      <c r="GJ1014" s="110"/>
      <c r="GK1014" s="110"/>
      <c r="GL1014" s="110"/>
      <c r="GM1014" s="110"/>
      <c r="GN1014" s="110"/>
      <c r="GO1014" s="110"/>
      <c r="GP1014" s="110"/>
      <c r="GQ1014" s="110"/>
      <c r="GR1014" s="110"/>
      <c r="GS1014" s="110"/>
      <c r="GT1014" s="110"/>
      <c r="GU1014" s="110"/>
      <c r="GV1014" s="110"/>
      <c r="GW1014" s="110"/>
      <c r="GX1014" s="110"/>
      <c r="GY1014" s="110"/>
      <c r="GZ1014" s="110"/>
      <c r="HA1014" s="110"/>
      <c r="HB1014" s="110"/>
      <c r="HC1014" s="110"/>
      <c r="HD1014" s="110"/>
      <c r="HE1014" s="110"/>
      <c r="HF1014" s="110"/>
      <c r="HG1014" s="110"/>
      <c r="HH1014" s="110"/>
      <c r="HI1014" s="110"/>
      <c r="HJ1014" s="110"/>
      <c r="HK1014" s="110"/>
      <c r="HL1014" s="110"/>
      <c r="HM1014" s="110"/>
      <c r="HN1014" s="110"/>
      <c r="HO1014" s="110"/>
      <c r="HP1014" s="110"/>
      <c r="HQ1014" s="110"/>
      <c r="HR1014" s="110"/>
      <c r="HS1014" s="110"/>
      <c r="HT1014" s="110"/>
      <c r="HU1014" s="110"/>
      <c r="HV1014" s="110"/>
      <c r="HW1014" s="110"/>
      <c r="HX1014" s="110"/>
      <c r="HY1014" s="110"/>
      <c r="HZ1014" s="110"/>
      <c r="IA1014" s="110"/>
      <c r="IB1014" s="110"/>
      <c r="IC1014" s="110"/>
      <c r="ID1014" s="110"/>
      <c r="IE1014" s="110"/>
      <c r="IF1014" s="110"/>
      <c r="IG1014" s="110"/>
      <c r="IH1014" s="110"/>
      <c r="II1014" s="110"/>
      <c r="IJ1014" s="110"/>
      <c r="IK1014" s="110"/>
      <c r="IL1014" s="110"/>
      <c r="IM1014" s="110"/>
      <c r="IN1014" s="110"/>
      <c r="IO1014" s="110"/>
      <c r="IP1014" s="110"/>
    </row>
    <row r="1015" spans="18:250" ht="16.5" hidden="1" customHeight="1">
      <c r="R1015" s="95"/>
      <c r="S1015" s="95"/>
      <c r="T1015" s="95"/>
      <c r="U1015" s="70"/>
      <c r="V1015" s="214"/>
      <c r="W1015" s="70"/>
      <c r="X1015" s="70"/>
      <c r="Y1015" s="70"/>
      <c r="Z1015" s="70"/>
      <c r="AA1015" s="70"/>
      <c r="AB1015" s="70"/>
      <c r="AC1015" s="70"/>
      <c r="AD1015" s="70"/>
      <c r="AE1015" s="70"/>
      <c r="AF1015" s="70"/>
      <c r="AG1015" s="70"/>
      <c r="AH1015" s="70"/>
      <c r="AI1015" s="70"/>
      <c r="AJ1015" s="70"/>
      <c r="AK1015" s="70"/>
      <c r="AL1015" s="70"/>
      <c r="AM1015" s="70"/>
      <c r="AN1015" s="70"/>
      <c r="AO1015" s="70"/>
      <c r="AP1015" s="70"/>
      <c r="AQ1015" s="70"/>
      <c r="AR1015" s="70"/>
      <c r="AS1015" s="70"/>
      <c r="AT1015" s="70"/>
      <c r="AU1015" s="70"/>
      <c r="AV1015" s="70"/>
      <c r="AW1015" s="70"/>
      <c r="AX1015" s="70"/>
      <c r="AY1015" s="70"/>
      <c r="AZ1015" s="70"/>
      <c r="BA1015" s="70"/>
      <c r="BB1015" s="70"/>
      <c r="BC1015" s="70"/>
      <c r="BD1015" s="70"/>
      <c r="BE1015" s="70"/>
      <c r="BF1015" s="70"/>
      <c r="BG1015" s="70"/>
      <c r="BH1015" s="70"/>
      <c r="BI1015" s="70"/>
      <c r="BJ1015" s="70"/>
      <c r="BK1015" s="70"/>
      <c r="BL1015" s="70"/>
      <c r="BM1015" s="70"/>
      <c r="BN1015" s="70"/>
      <c r="BO1015" s="70"/>
      <c r="BP1015" s="70"/>
      <c r="BQ1015" s="70"/>
      <c r="BR1015" s="70"/>
      <c r="BS1015" s="70"/>
      <c r="BT1015" s="70"/>
      <c r="BU1015" s="70"/>
      <c r="BV1015" s="70"/>
      <c r="BW1015" s="70"/>
      <c r="BX1015" s="70"/>
      <c r="BY1015" s="70"/>
      <c r="BZ1015" s="70"/>
      <c r="CA1015" s="70"/>
      <c r="CB1015" s="70"/>
      <c r="CC1015" s="70"/>
      <c r="CD1015" s="70"/>
      <c r="CE1015" s="70"/>
      <c r="CF1015" s="70"/>
      <c r="CG1015" s="70"/>
      <c r="CH1015" s="70"/>
      <c r="CI1015" s="70"/>
      <c r="CJ1015" s="70"/>
      <c r="CK1015" s="70"/>
      <c r="CL1015" s="70"/>
      <c r="CM1015" s="70"/>
      <c r="CN1015" s="70"/>
      <c r="CO1015" s="70"/>
      <c r="CP1015" s="70"/>
      <c r="CQ1015" s="70"/>
      <c r="CR1015" s="70"/>
      <c r="CS1015" s="70"/>
      <c r="CT1015" s="70"/>
      <c r="CU1015" s="70"/>
      <c r="CV1015" s="70"/>
      <c r="CW1015" s="70"/>
      <c r="CX1015" s="70"/>
      <c r="CY1015" s="70"/>
      <c r="CZ1015" s="70"/>
      <c r="DA1015" s="70"/>
      <c r="DB1015" s="70"/>
      <c r="DC1015" s="70"/>
      <c r="DD1015" s="70"/>
      <c r="DE1015" s="70"/>
      <c r="DF1015" s="70"/>
      <c r="DG1015" s="70"/>
      <c r="DH1015" s="70"/>
      <c r="DI1015" s="70"/>
      <c r="DJ1015" s="70"/>
      <c r="DK1015" s="70"/>
      <c r="DL1015" s="70"/>
      <c r="DM1015" s="70"/>
      <c r="DN1015" s="70"/>
      <c r="DO1015" s="70"/>
      <c r="DP1015" s="70"/>
      <c r="DQ1015" s="70"/>
      <c r="DR1015" s="70"/>
      <c r="DS1015" s="70"/>
      <c r="DT1015" s="70"/>
      <c r="DU1015" s="70"/>
      <c r="DV1015" s="70"/>
      <c r="DW1015" s="70"/>
      <c r="DX1015" s="70"/>
      <c r="DY1015" s="70"/>
      <c r="DZ1015" s="70"/>
      <c r="EA1015" s="70"/>
      <c r="EB1015" s="70"/>
      <c r="EC1015" s="70"/>
      <c r="ED1015" s="70"/>
      <c r="EE1015" s="95" t="s">
        <v>450</v>
      </c>
      <c r="EF1015" s="110"/>
      <c r="EG1015" s="110"/>
      <c r="EH1015" s="110"/>
      <c r="EI1015" s="216"/>
      <c r="EJ1015" s="110"/>
      <c r="EK1015" s="110"/>
      <c r="EL1015" s="110"/>
      <c r="EM1015" s="110"/>
      <c r="EN1015" s="110"/>
      <c r="EO1015" s="110"/>
      <c r="EP1015" s="110"/>
      <c r="EQ1015" s="110"/>
      <c r="ER1015" s="110"/>
      <c r="ES1015" s="110"/>
      <c r="ET1015" s="110"/>
      <c r="EU1015" s="110"/>
      <c r="EV1015" s="110"/>
      <c r="EW1015" s="110"/>
      <c r="EX1015" s="110"/>
      <c r="EY1015" s="110"/>
      <c r="EZ1015" s="110"/>
      <c r="FA1015" s="110"/>
      <c r="FB1015" s="110"/>
      <c r="FC1015" s="110"/>
      <c r="FD1015" s="110"/>
      <c r="FE1015" s="110"/>
      <c r="FF1015" s="110"/>
      <c r="FG1015" s="110"/>
      <c r="FH1015" s="110"/>
      <c r="FI1015" s="110"/>
      <c r="FJ1015" s="110"/>
      <c r="FK1015" s="110"/>
      <c r="FL1015" s="110"/>
      <c r="FM1015" s="110"/>
      <c r="FN1015" s="110"/>
      <c r="FO1015" s="110"/>
      <c r="FP1015" s="110"/>
      <c r="FQ1015" s="110"/>
      <c r="FR1015" s="110"/>
      <c r="FS1015" s="110"/>
      <c r="FT1015" s="110"/>
      <c r="FU1015" s="110"/>
      <c r="FV1015" s="110"/>
      <c r="FW1015" s="110"/>
      <c r="FX1015" s="110"/>
      <c r="FY1015" s="110"/>
      <c r="FZ1015" s="110"/>
      <c r="GA1015" s="110"/>
      <c r="GB1015" s="110"/>
      <c r="GC1015" s="110"/>
      <c r="GD1015" s="110"/>
      <c r="GE1015" s="110"/>
      <c r="GF1015" s="110"/>
      <c r="GG1015" s="110"/>
      <c r="GH1015" s="110"/>
      <c r="GI1015" s="110"/>
      <c r="GJ1015" s="110"/>
      <c r="GK1015" s="110"/>
      <c r="GL1015" s="110"/>
      <c r="GM1015" s="110"/>
      <c r="GN1015" s="110"/>
      <c r="GO1015" s="110"/>
      <c r="GP1015" s="110"/>
      <c r="GQ1015" s="110"/>
      <c r="GR1015" s="110"/>
      <c r="GS1015" s="110"/>
      <c r="GT1015" s="110"/>
      <c r="GU1015" s="110"/>
      <c r="GV1015" s="110"/>
      <c r="GW1015" s="110"/>
      <c r="GX1015" s="110"/>
      <c r="GY1015" s="110"/>
      <c r="GZ1015" s="110"/>
      <c r="HA1015" s="110"/>
      <c r="HB1015" s="110"/>
      <c r="HC1015" s="110"/>
      <c r="HD1015" s="110"/>
      <c r="HE1015" s="110"/>
      <c r="HF1015" s="110"/>
      <c r="HG1015" s="110"/>
      <c r="HH1015" s="110"/>
      <c r="HI1015" s="110"/>
      <c r="HJ1015" s="110"/>
      <c r="HK1015" s="110"/>
      <c r="HL1015" s="110"/>
      <c r="HM1015" s="110"/>
      <c r="HN1015" s="110"/>
      <c r="HO1015" s="110"/>
      <c r="HP1015" s="110"/>
      <c r="HQ1015" s="110"/>
      <c r="HR1015" s="110"/>
      <c r="HS1015" s="110"/>
      <c r="HT1015" s="110"/>
      <c r="HU1015" s="110"/>
      <c r="HV1015" s="110"/>
      <c r="HW1015" s="110"/>
      <c r="HX1015" s="110"/>
      <c r="HY1015" s="110"/>
      <c r="HZ1015" s="110"/>
      <c r="IA1015" s="110"/>
      <c r="IB1015" s="110"/>
      <c r="IC1015" s="110"/>
      <c r="ID1015" s="110"/>
      <c r="IE1015" s="110"/>
      <c r="IF1015" s="110"/>
      <c r="IG1015" s="110"/>
      <c r="IH1015" s="110"/>
      <c r="II1015" s="110"/>
      <c r="IJ1015" s="110"/>
      <c r="IK1015" s="110"/>
      <c r="IL1015" s="110"/>
      <c r="IM1015" s="110"/>
      <c r="IN1015" s="110"/>
      <c r="IO1015" s="110"/>
      <c r="IP1015" s="110"/>
    </row>
    <row r="1016" spans="18:250" ht="16.5" hidden="1" customHeight="1">
      <c r="R1016" s="95"/>
      <c r="S1016" s="95"/>
      <c r="T1016" s="95"/>
      <c r="U1016" s="70"/>
      <c r="V1016" s="214"/>
      <c r="W1016" s="70"/>
      <c r="X1016" s="70"/>
      <c r="Y1016" s="70"/>
      <c r="Z1016" s="70"/>
      <c r="AA1016" s="70"/>
      <c r="AB1016" s="70"/>
      <c r="AC1016" s="70"/>
      <c r="AD1016" s="70"/>
      <c r="AE1016" s="70"/>
      <c r="AF1016" s="70"/>
      <c r="AG1016" s="70"/>
      <c r="AH1016" s="70"/>
      <c r="AI1016" s="70"/>
      <c r="AJ1016" s="70"/>
      <c r="AK1016" s="70"/>
      <c r="AL1016" s="70"/>
      <c r="AM1016" s="70"/>
      <c r="AN1016" s="70"/>
      <c r="AO1016" s="70"/>
      <c r="AP1016" s="70"/>
      <c r="AQ1016" s="70"/>
      <c r="AR1016" s="70"/>
      <c r="AS1016" s="70"/>
      <c r="AT1016" s="70"/>
      <c r="AU1016" s="70"/>
      <c r="AV1016" s="70"/>
      <c r="AW1016" s="70"/>
      <c r="AX1016" s="70"/>
      <c r="AY1016" s="70"/>
      <c r="AZ1016" s="70"/>
      <c r="BA1016" s="70"/>
      <c r="BB1016" s="70"/>
      <c r="BC1016" s="70"/>
      <c r="BD1016" s="70"/>
      <c r="BE1016" s="70"/>
      <c r="BF1016" s="70"/>
      <c r="BG1016" s="70"/>
      <c r="BH1016" s="70"/>
      <c r="BI1016" s="70"/>
      <c r="BJ1016" s="70"/>
      <c r="BK1016" s="70"/>
      <c r="BL1016" s="70"/>
      <c r="BM1016" s="70"/>
      <c r="BN1016" s="70"/>
      <c r="BO1016" s="70"/>
      <c r="BP1016" s="70"/>
      <c r="BQ1016" s="70"/>
      <c r="BR1016" s="70"/>
      <c r="BS1016" s="70"/>
      <c r="BT1016" s="70"/>
      <c r="BU1016" s="70"/>
      <c r="BV1016" s="70"/>
      <c r="BW1016" s="70"/>
      <c r="BX1016" s="70"/>
      <c r="BY1016" s="70"/>
      <c r="BZ1016" s="70"/>
      <c r="CA1016" s="70"/>
      <c r="CB1016" s="70"/>
      <c r="CC1016" s="70"/>
      <c r="CD1016" s="70"/>
      <c r="CE1016" s="70"/>
      <c r="CF1016" s="70"/>
      <c r="CG1016" s="70"/>
      <c r="CH1016" s="70"/>
      <c r="CI1016" s="70"/>
      <c r="CJ1016" s="70"/>
      <c r="CK1016" s="70"/>
      <c r="CL1016" s="70"/>
      <c r="CM1016" s="70"/>
      <c r="CN1016" s="70"/>
      <c r="CO1016" s="70"/>
      <c r="CP1016" s="70"/>
      <c r="CQ1016" s="70"/>
      <c r="CR1016" s="70"/>
      <c r="CS1016" s="70"/>
      <c r="CT1016" s="70"/>
      <c r="CU1016" s="70"/>
      <c r="CV1016" s="70"/>
      <c r="CW1016" s="70"/>
      <c r="CX1016" s="70"/>
      <c r="CY1016" s="70"/>
      <c r="CZ1016" s="70"/>
      <c r="DA1016" s="70"/>
      <c r="DB1016" s="70"/>
      <c r="DC1016" s="70"/>
      <c r="DD1016" s="70"/>
      <c r="DE1016" s="70"/>
      <c r="DF1016" s="70"/>
      <c r="DG1016" s="70"/>
      <c r="DH1016" s="70"/>
      <c r="DI1016" s="70"/>
      <c r="DJ1016" s="70"/>
      <c r="DK1016" s="70"/>
      <c r="DL1016" s="70"/>
      <c r="DM1016" s="70"/>
      <c r="DN1016" s="70"/>
      <c r="DO1016" s="70"/>
      <c r="DP1016" s="70"/>
      <c r="DQ1016" s="70"/>
      <c r="DR1016" s="70"/>
      <c r="DS1016" s="70"/>
      <c r="DT1016" s="70"/>
      <c r="DU1016" s="70"/>
      <c r="DV1016" s="70"/>
      <c r="DW1016" s="70"/>
      <c r="DX1016" s="70"/>
      <c r="DY1016" s="70"/>
      <c r="DZ1016" s="70"/>
      <c r="EA1016" s="70"/>
      <c r="EB1016" s="70"/>
      <c r="EC1016" s="70"/>
      <c r="ED1016" s="70"/>
      <c r="EE1016" s="95" t="s">
        <v>450</v>
      </c>
      <c r="EF1016" s="110"/>
      <c r="EG1016" s="110"/>
      <c r="EH1016" s="110"/>
      <c r="EI1016" s="216"/>
      <c r="EJ1016" s="110"/>
      <c r="EK1016" s="110"/>
      <c r="EL1016" s="110"/>
      <c r="EM1016" s="110"/>
      <c r="EN1016" s="110"/>
      <c r="EO1016" s="110"/>
      <c r="EP1016" s="110"/>
      <c r="EQ1016" s="110"/>
      <c r="ER1016" s="110"/>
      <c r="ES1016" s="110"/>
      <c r="ET1016" s="110"/>
      <c r="EU1016" s="110"/>
      <c r="EV1016" s="110"/>
      <c r="EW1016" s="110"/>
      <c r="EX1016" s="110"/>
      <c r="EY1016" s="110"/>
      <c r="EZ1016" s="110"/>
      <c r="FA1016" s="110"/>
      <c r="FB1016" s="110"/>
      <c r="FC1016" s="110"/>
      <c r="FD1016" s="110"/>
      <c r="FE1016" s="110"/>
      <c r="FF1016" s="110"/>
      <c r="FG1016" s="110"/>
      <c r="FH1016" s="110"/>
      <c r="FI1016" s="110"/>
      <c r="FJ1016" s="110"/>
      <c r="FK1016" s="110"/>
      <c r="FL1016" s="110"/>
      <c r="FM1016" s="110"/>
      <c r="FN1016" s="110"/>
      <c r="FO1016" s="110"/>
      <c r="FP1016" s="110"/>
      <c r="FQ1016" s="110"/>
      <c r="FR1016" s="110"/>
      <c r="FS1016" s="110"/>
      <c r="FT1016" s="110"/>
      <c r="FU1016" s="110"/>
      <c r="FV1016" s="110"/>
      <c r="FW1016" s="110"/>
      <c r="FX1016" s="110"/>
      <c r="FY1016" s="110"/>
      <c r="FZ1016" s="110"/>
      <c r="GA1016" s="110"/>
      <c r="GB1016" s="110"/>
      <c r="GC1016" s="110"/>
      <c r="GD1016" s="110"/>
      <c r="GE1016" s="110"/>
      <c r="GF1016" s="110"/>
      <c r="GG1016" s="110"/>
      <c r="GH1016" s="110"/>
      <c r="GI1016" s="110"/>
      <c r="GJ1016" s="110"/>
      <c r="GK1016" s="110"/>
      <c r="GL1016" s="110"/>
      <c r="GM1016" s="110"/>
      <c r="GN1016" s="110"/>
      <c r="GO1016" s="110"/>
      <c r="GP1016" s="110"/>
      <c r="GQ1016" s="110"/>
      <c r="GR1016" s="110"/>
      <c r="GS1016" s="110"/>
      <c r="GT1016" s="110"/>
      <c r="GU1016" s="110"/>
      <c r="GV1016" s="110"/>
      <c r="GW1016" s="110"/>
      <c r="GX1016" s="110"/>
      <c r="GY1016" s="110"/>
      <c r="GZ1016" s="110"/>
      <c r="HA1016" s="110"/>
      <c r="HB1016" s="110"/>
      <c r="HC1016" s="110"/>
      <c r="HD1016" s="110"/>
      <c r="HE1016" s="110"/>
      <c r="HF1016" s="110"/>
      <c r="HG1016" s="110"/>
      <c r="HH1016" s="110"/>
      <c r="HI1016" s="110"/>
      <c r="HJ1016" s="110"/>
      <c r="HK1016" s="110"/>
      <c r="HL1016" s="110"/>
      <c r="HM1016" s="110"/>
      <c r="HN1016" s="110"/>
      <c r="HO1016" s="110"/>
      <c r="HP1016" s="110"/>
      <c r="HQ1016" s="110"/>
      <c r="HR1016" s="110"/>
      <c r="HS1016" s="110"/>
      <c r="HT1016" s="110"/>
      <c r="HU1016" s="110"/>
      <c r="HV1016" s="110"/>
      <c r="HW1016" s="110"/>
      <c r="HX1016" s="110"/>
      <c r="HY1016" s="110"/>
      <c r="HZ1016" s="110"/>
      <c r="IA1016" s="110"/>
      <c r="IB1016" s="110"/>
      <c r="IC1016" s="110"/>
      <c r="ID1016" s="110"/>
      <c r="IE1016" s="110"/>
      <c r="IF1016" s="110"/>
      <c r="IG1016" s="110"/>
      <c r="IH1016" s="110"/>
      <c r="II1016" s="110"/>
      <c r="IJ1016" s="110"/>
      <c r="IK1016" s="110"/>
      <c r="IL1016" s="110"/>
      <c r="IM1016" s="110"/>
      <c r="IN1016" s="110"/>
      <c r="IO1016" s="110"/>
      <c r="IP1016" s="110"/>
    </row>
    <row r="1017" spans="18:250" ht="16.5" hidden="1" customHeight="1">
      <c r="R1017" s="95"/>
      <c r="S1017" s="95"/>
      <c r="T1017" s="95"/>
      <c r="U1017" s="70"/>
      <c r="V1017" s="214"/>
      <c r="W1017" s="70"/>
      <c r="X1017" s="70"/>
      <c r="Y1017" s="70"/>
      <c r="Z1017" s="70"/>
      <c r="AA1017" s="70"/>
      <c r="AB1017" s="70"/>
      <c r="AC1017" s="70"/>
      <c r="AD1017" s="70"/>
      <c r="AE1017" s="70"/>
      <c r="AF1017" s="70"/>
      <c r="AG1017" s="70"/>
      <c r="AH1017" s="70"/>
      <c r="AI1017" s="70"/>
      <c r="AJ1017" s="70"/>
      <c r="AK1017" s="70"/>
      <c r="AL1017" s="70"/>
      <c r="AM1017" s="70"/>
      <c r="AN1017" s="70"/>
      <c r="AO1017" s="70"/>
      <c r="AP1017" s="70"/>
      <c r="AQ1017" s="70"/>
      <c r="AR1017" s="70"/>
      <c r="AS1017" s="70"/>
      <c r="AT1017" s="70"/>
      <c r="AU1017" s="70"/>
      <c r="AV1017" s="70"/>
      <c r="AW1017" s="70"/>
      <c r="AX1017" s="70"/>
      <c r="AY1017" s="70"/>
      <c r="AZ1017" s="70"/>
      <c r="BA1017" s="70"/>
      <c r="BB1017" s="70"/>
      <c r="BC1017" s="70"/>
      <c r="BD1017" s="70"/>
      <c r="BE1017" s="70"/>
      <c r="BF1017" s="70"/>
      <c r="BG1017" s="70"/>
      <c r="BH1017" s="70"/>
      <c r="BI1017" s="70"/>
      <c r="BJ1017" s="70"/>
      <c r="BK1017" s="70"/>
      <c r="BL1017" s="70"/>
      <c r="BM1017" s="70"/>
      <c r="BN1017" s="70"/>
      <c r="BO1017" s="70"/>
      <c r="BP1017" s="70"/>
      <c r="BQ1017" s="70"/>
      <c r="BR1017" s="70"/>
      <c r="BS1017" s="70"/>
      <c r="BT1017" s="70"/>
      <c r="BU1017" s="70"/>
      <c r="BV1017" s="70"/>
      <c r="BW1017" s="70"/>
      <c r="BX1017" s="70"/>
      <c r="BY1017" s="70"/>
      <c r="BZ1017" s="70"/>
      <c r="CA1017" s="70"/>
      <c r="CB1017" s="70"/>
      <c r="CC1017" s="70"/>
      <c r="CD1017" s="70"/>
      <c r="CE1017" s="70"/>
      <c r="CF1017" s="70"/>
      <c r="CG1017" s="70"/>
      <c r="CH1017" s="70"/>
      <c r="CI1017" s="70"/>
      <c r="CJ1017" s="70"/>
      <c r="CK1017" s="70"/>
      <c r="CL1017" s="70"/>
      <c r="CM1017" s="70"/>
      <c r="CN1017" s="70"/>
      <c r="CO1017" s="70"/>
      <c r="CP1017" s="70"/>
      <c r="CQ1017" s="70"/>
      <c r="CR1017" s="70"/>
      <c r="CS1017" s="70"/>
      <c r="CT1017" s="70"/>
      <c r="CU1017" s="70"/>
      <c r="CV1017" s="70"/>
      <c r="CW1017" s="70"/>
      <c r="CX1017" s="70"/>
      <c r="CY1017" s="70"/>
      <c r="CZ1017" s="70"/>
      <c r="DA1017" s="70"/>
      <c r="DB1017" s="70"/>
      <c r="DC1017" s="70"/>
      <c r="DD1017" s="70"/>
      <c r="DE1017" s="70"/>
      <c r="DF1017" s="70"/>
      <c r="DG1017" s="70"/>
      <c r="DH1017" s="70"/>
      <c r="DI1017" s="70"/>
      <c r="DJ1017" s="70"/>
      <c r="DK1017" s="70"/>
      <c r="DL1017" s="70"/>
      <c r="DM1017" s="70"/>
      <c r="DN1017" s="70"/>
      <c r="DO1017" s="70"/>
      <c r="DP1017" s="70"/>
      <c r="DQ1017" s="70"/>
      <c r="DR1017" s="70"/>
      <c r="DS1017" s="70"/>
      <c r="DT1017" s="70"/>
      <c r="DU1017" s="70"/>
      <c r="DV1017" s="70"/>
      <c r="DW1017" s="70"/>
      <c r="DX1017" s="70"/>
      <c r="DY1017" s="70"/>
      <c r="DZ1017" s="70"/>
      <c r="EA1017" s="70"/>
      <c r="EB1017" s="70"/>
      <c r="EC1017" s="70"/>
      <c r="ED1017" s="70"/>
      <c r="EE1017" s="95" t="s">
        <v>450</v>
      </c>
      <c r="EF1017" s="110"/>
      <c r="EG1017" s="110"/>
      <c r="EH1017" s="110"/>
      <c r="EI1017" s="216"/>
      <c r="EJ1017" s="110"/>
      <c r="EK1017" s="110"/>
      <c r="EL1017" s="110"/>
      <c r="EM1017" s="110"/>
      <c r="EN1017" s="110"/>
      <c r="EO1017" s="110"/>
      <c r="EP1017" s="110"/>
      <c r="EQ1017" s="110"/>
      <c r="ER1017" s="110"/>
      <c r="ES1017" s="110"/>
      <c r="ET1017" s="110"/>
      <c r="EU1017" s="110"/>
      <c r="EV1017" s="110"/>
      <c r="EW1017" s="110"/>
      <c r="EX1017" s="110"/>
      <c r="EY1017" s="110"/>
      <c r="EZ1017" s="110"/>
      <c r="FA1017" s="110"/>
      <c r="FB1017" s="110"/>
      <c r="FC1017" s="110"/>
      <c r="FD1017" s="110"/>
      <c r="FE1017" s="110"/>
      <c r="FF1017" s="110"/>
      <c r="FG1017" s="110"/>
      <c r="FH1017" s="110"/>
      <c r="FI1017" s="110"/>
      <c r="FJ1017" s="110"/>
      <c r="FK1017" s="110"/>
      <c r="FL1017" s="110"/>
      <c r="FM1017" s="110"/>
      <c r="FN1017" s="110"/>
      <c r="FO1017" s="110"/>
      <c r="FP1017" s="110"/>
      <c r="FQ1017" s="110"/>
      <c r="FR1017" s="110"/>
      <c r="FS1017" s="110"/>
      <c r="FT1017" s="110"/>
      <c r="FU1017" s="110"/>
      <c r="FV1017" s="110"/>
      <c r="FW1017" s="110"/>
      <c r="FX1017" s="110"/>
      <c r="FY1017" s="110"/>
      <c r="FZ1017" s="110"/>
      <c r="GA1017" s="110"/>
      <c r="GB1017" s="110"/>
      <c r="GC1017" s="110"/>
      <c r="GD1017" s="110"/>
      <c r="GE1017" s="110"/>
      <c r="GF1017" s="110"/>
      <c r="GG1017" s="110"/>
      <c r="GH1017" s="110"/>
      <c r="GI1017" s="110"/>
      <c r="GJ1017" s="110"/>
      <c r="GK1017" s="110"/>
      <c r="GL1017" s="110"/>
      <c r="GM1017" s="110"/>
      <c r="GN1017" s="110"/>
      <c r="GO1017" s="110"/>
      <c r="GP1017" s="110"/>
      <c r="GQ1017" s="110"/>
      <c r="GR1017" s="110"/>
      <c r="GS1017" s="110"/>
      <c r="GT1017" s="110"/>
      <c r="GU1017" s="110"/>
      <c r="GV1017" s="110"/>
      <c r="GW1017" s="110"/>
      <c r="GX1017" s="110"/>
      <c r="GY1017" s="110"/>
      <c r="GZ1017" s="110"/>
      <c r="HA1017" s="110"/>
      <c r="HB1017" s="110"/>
      <c r="HC1017" s="110"/>
      <c r="HD1017" s="110"/>
      <c r="HE1017" s="110"/>
      <c r="HF1017" s="110"/>
      <c r="HG1017" s="110"/>
      <c r="HH1017" s="110"/>
      <c r="HI1017" s="110"/>
      <c r="HJ1017" s="110"/>
      <c r="HK1017" s="110"/>
      <c r="HL1017" s="110"/>
      <c r="HM1017" s="110"/>
      <c r="HN1017" s="110"/>
      <c r="HO1017" s="110"/>
      <c r="HP1017" s="110"/>
      <c r="HQ1017" s="110"/>
      <c r="HR1017" s="110"/>
      <c r="HS1017" s="110"/>
      <c r="HT1017" s="110"/>
      <c r="HU1017" s="110"/>
      <c r="HV1017" s="110"/>
      <c r="HW1017" s="110"/>
      <c r="HX1017" s="110"/>
      <c r="HY1017" s="110"/>
      <c r="HZ1017" s="110"/>
      <c r="IA1017" s="110"/>
      <c r="IB1017" s="110"/>
      <c r="IC1017" s="110"/>
      <c r="ID1017" s="110"/>
      <c r="IE1017" s="110"/>
      <c r="IF1017" s="110"/>
      <c r="IG1017" s="110"/>
      <c r="IH1017" s="110"/>
      <c r="II1017" s="110"/>
      <c r="IJ1017" s="110"/>
      <c r="IK1017" s="110"/>
      <c r="IL1017" s="110"/>
      <c r="IM1017" s="110"/>
      <c r="IN1017" s="110"/>
      <c r="IO1017" s="110"/>
      <c r="IP1017" s="110"/>
    </row>
    <row r="1018" spans="18:250" ht="16.5" hidden="1" customHeight="1">
      <c r="R1018" s="95"/>
      <c r="S1018" s="95"/>
      <c r="T1018" s="95"/>
      <c r="U1018" s="70"/>
      <c r="V1018" s="214"/>
      <c r="W1018" s="70"/>
      <c r="X1018" s="70"/>
      <c r="Y1018" s="70"/>
      <c r="Z1018" s="70"/>
      <c r="AA1018" s="70"/>
      <c r="AB1018" s="70"/>
      <c r="AC1018" s="70"/>
      <c r="AD1018" s="70"/>
      <c r="AE1018" s="70"/>
      <c r="AF1018" s="70"/>
      <c r="AG1018" s="70"/>
      <c r="AH1018" s="70"/>
      <c r="AI1018" s="70"/>
      <c r="AJ1018" s="70"/>
      <c r="AK1018" s="70"/>
      <c r="AL1018" s="70"/>
      <c r="AM1018" s="70"/>
      <c r="AN1018" s="70"/>
      <c r="AO1018" s="70"/>
      <c r="AP1018" s="70"/>
      <c r="AQ1018" s="70"/>
      <c r="AR1018" s="70"/>
      <c r="AS1018" s="70"/>
      <c r="AT1018" s="70"/>
      <c r="AU1018" s="70"/>
      <c r="AV1018" s="70"/>
      <c r="AW1018" s="70"/>
      <c r="AX1018" s="70"/>
      <c r="AY1018" s="70"/>
      <c r="AZ1018" s="70"/>
      <c r="BA1018" s="70"/>
      <c r="BB1018" s="70"/>
      <c r="BC1018" s="70"/>
      <c r="BD1018" s="70"/>
      <c r="BE1018" s="70"/>
      <c r="BF1018" s="70"/>
      <c r="BG1018" s="70"/>
      <c r="BH1018" s="70"/>
      <c r="BI1018" s="70"/>
      <c r="BJ1018" s="70"/>
      <c r="BK1018" s="70"/>
      <c r="BL1018" s="70"/>
      <c r="BM1018" s="70"/>
      <c r="BN1018" s="70"/>
      <c r="BO1018" s="70"/>
      <c r="BP1018" s="70"/>
      <c r="BQ1018" s="70"/>
      <c r="BR1018" s="70"/>
      <c r="BS1018" s="70"/>
      <c r="BT1018" s="70"/>
      <c r="BU1018" s="70"/>
      <c r="BV1018" s="70"/>
      <c r="BW1018" s="70"/>
      <c r="BX1018" s="70"/>
      <c r="BY1018" s="70"/>
      <c r="BZ1018" s="70"/>
      <c r="CA1018" s="70"/>
      <c r="CB1018" s="70"/>
      <c r="CC1018" s="70"/>
      <c r="CD1018" s="70"/>
      <c r="CE1018" s="70"/>
      <c r="CF1018" s="70"/>
      <c r="CG1018" s="70"/>
      <c r="CH1018" s="70"/>
      <c r="CI1018" s="70"/>
      <c r="CJ1018" s="70"/>
      <c r="CK1018" s="70"/>
      <c r="CL1018" s="70"/>
      <c r="CM1018" s="70"/>
      <c r="CN1018" s="70"/>
      <c r="CO1018" s="70"/>
      <c r="CP1018" s="70"/>
      <c r="CQ1018" s="70"/>
      <c r="CR1018" s="70"/>
      <c r="CS1018" s="70"/>
      <c r="CT1018" s="70"/>
      <c r="CU1018" s="70"/>
      <c r="CV1018" s="70"/>
      <c r="CW1018" s="70"/>
      <c r="CX1018" s="70"/>
      <c r="CY1018" s="70"/>
      <c r="CZ1018" s="70"/>
      <c r="DA1018" s="70"/>
      <c r="DB1018" s="70"/>
      <c r="DC1018" s="70"/>
      <c r="DD1018" s="70"/>
      <c r="DE1018" s="70"/>
      <c r="DF1018" s="70"/>
      <c r="DG1018" s="70"/>
      <c r="DH1018" s="70"/>
      <c r="DI1018" s="70"/>
      <c r="DJ1018" s="70"/>
      <c r="DK1018" s="70"/>
      <c r="DL1018" s="70"/>
      <c r="DM1018" s="70"/>
      <c r="DN1018" s="70"/>
      <c r="DO1018" s="70"/>
      <c r="DP1018" s="70"/>
      <c r="DQ1018" s="70"/>
      <c r="DR1018" s="70"/>
      <c r="DS1018" s="70"/>
      <c r="DT1018" s="70"/>
      <c r="DU1018" s="70"/>
      <c r="DV1018" s="70"/>
      <c r="DW1018" s="70"/>
      <c r="DX1018" s="70"/>
      <c r="DY1018" s="70"/>
      <c r="DZ1018" s="70"/>
      <c r="EA1018" s="70"/>
      <c r="EB1018" s="70"/>
      <c r="EC1018" s="70"/>
      <c r="ED1018" s="70"/>
      <c r="EE1018" s="95" t="s">
        <v>450</v>
      </c>
      <c r="EF1018" s="110"/>
      <c r="EG1018" s="110"/>
      <c r="EH1018" s="110"/>
      <c r="EI1018" s="216"/>
      <c r="EJ1018" s="110"/>
      <c r="EK1018" s="110"/>
      <c r="EL1018" s="110"/>
      <c r="EM1018" s="110"/>
      <c r="EN1018" s="110"/>
      <c r="EO1018" s="110"/>
      <c r="EP1018" s="110"/>
      <c r="EQ1018" s="110"/>
      <c r="ER1018" s="110"/>
      <c r="ES1018" s="110"/>
      <c r="ET1018" s="110"/>
      <c r="EU1018" s="110"/>
      <c r="EV1018" s="110"/>
      <c r="EW1018" s="110"/>
      <c r="EX1018" s="110"/>
      <c r="EY1018" s="110"/>
      <c r="EZ1018" s="110"/>
      <c r="FA1018" s="110"/>
      <c r="FB1018" s="110"/>
      <c r="FC1018" s="110"/>
      <c r="FD1018" s="110"/>
      <c r="FE1018" s="110"/>
      <c r="FF1018" s="110"/>
      <c r="FG1018" s="110"/>
      <c r="FH1018" s="110"/>
      <c r="FI1018" s="110"/>
      <c r="FJ1018" s="110"/>
      <c r="FK1018" s="110"/>
      <c r="FL1018" s="110"/>
      <c r="FM1018" s="110"/>
      <c r="FN1018" s="110"/>
      <c r="FO1018" s="110"/>
      <c r="FP1018" s="110"/>
      <c r="FQ1018" s="110"/>
      <c r="FR1018" s="110"/>
      <c r="FS1018" s="110"/>
      <c r="FT1018" s="110"/>
      <c r="FU1018" s="110"/>
      <c r="FV1018" s="110"/>
      <c r="FW1018" s="110"/>
      <c r="FX1018" s="110"/>
      <c r="FY1018" s="110"/>
      <c r="FZ1018" s="110"/>
      <c r="GA1018" s="110"/>
      <c r="GB1018" s="110"/>
      <c r="GC1018" s="110"/>
      <c r="GD1018" s="110"/>
      <c r="GE1018" s="110"/>
      <c r="GF1018" s="110"/>
      <c r="GG1018" s="110"/>
      <c r="GH1018" s="110"/>
      <c r="GI1018" s="110"/>
      <c r="GJ1018" s="110"/>
      <c r="GK1018" s="110"/>
      <c r="GL1018" s="110"/>
      <c r="GM1018" s="110"/>
      <c r="GN1018" s="110"/>
      <c r="GO1018" s="110"/>
      <c r="GP1018" s="110"/>
      <c r="GQ1018" s="110"/>
      <c r="GR1018" s="110"/>
      <c r="GS1018" s="110"/>
      <c r="GT1018" s="110"/>
      <c r="GU1018" s="110"/>
      <c r="GV1018" s="110"/>
      <c r="GW1018" s="110"/>
      <c r="GX1018" s="110"/>
      <c r="GY1018" s="110"/>
      <c r="GZ1018" s="110"/>
      <c r="HA1018" s="110"/>
      <c r="HB1018" s="110"/>
      <c r="HC1018" s="110"/>
      <c r="HD1018" s="110"/>
      <c r="HE1018" s="110"/>
      <c r="HF1018" s="110"/>
      <c r="HG1018" s="110"/>
      <c r="HH1018" s="110"/>
      <c r="HI1018" s="110"/>
      <c r="HJ1018" s="110"/>
      <c r="HK1018" s="110"/>
      <c r="HL1018" s="110"/>
      <c r="HM1018" s="110"/>
      <c r="HN1018" s="110"/>
      <c r="HO1018" s="110"/>
      <c r="HP1018" s="110"/>
      <c r="HQ1018" s="110"/>
      <c r="HR1018" s="110"/>
      <c r="HS1018" s="110"/>
      <c r="HT1018" s="110"/>
      <c r="HU1018" s="110"/>
      <c r="HV1018" s="110"/>
      <c r="HW1018" s="110"/>
      <c r="HX1018" s="110"/>
      <c r="HY1018" s="110"/>
      <c r="HZ1018" s="110"/>
      <c r="IA1018" s="110"/>
      <c r="IB1018" s="110"/>
      <c r="IC1018" s="110"/>
      <c r="ID1018" s="110"/>
      <c r="IE1018" s="110"/>
      <c r="IF1018" s="110"/>
      <c r="IG1018" s="110"/>
      <c r="IH1018" s="110"/>
      <c r="II1018" s="110"/>
      <c r="IJ1018" s="110"/>
      <c r="IK1018" s="110"/>
      <c r="IL1018" s="110"/>
      <c r="IM1018" s="110"/>
      <c r="IN1018" s="110"/>
      <c r="IO1018" s="110"/>
      <c r="IP1018" s="110"/>
    </row>
    <row r="1019" spans="18:250" ht="16.5" hidden="1" customHeight="1">
      <c r="R1019" s="95"/>
      <c r="S1019" s="95"/>
      <c r="T1019" s="95"/>
      <c r="U1019" s="70"/>
      <c r="V1019" s="214"/>
      <c r="W1019" s="70"/>
      <c r="X1019" s="70"/>
      <c r="Y1019" s="70"/>
      <c r="Z1019" s="70"/>
      <c r="AA1019" s="70"/>
      <c r="AB1019" s="70"/>
      <c r="AC1019" s="70"/>
      <c r="AD1019" s="70"/>
      <c r="AE1019" s="70"/>
      <c r="AF1019" s="70"/>
      <c r="AG1019" s="70"/>
      <c r="AH1019" s="70"/>
      <c r="AI1019" s="70"/>
      <c r="AJ1019" s="70"/>
      <c r="AK1019" s="70"/>
      <c r="AL1019" s="70"/>
      <c r="AM1019" s="70"/>
      <c r="AN1019" s="70"/>
      <c r="AO1019" s="70"/>
      <c r="AP1019" s="70"/>
      <c r="AQ1019" s="70"/>
      <c r="AR1019" s="70"/>
      <c r="AS1019" s="70"/>
      <c r="AT1019" s="70"/>
      <c r="AU1019" s="70"/>
      <c r="AV1019" s="70"/>
      <c r="AW1019" s="70"/>
      <c r="AX1019" s="70"/>
      <c r="AY1019" s="70"/>
      <c r="AZ1019" s="70"/>
      <c r="BA1019" s="70"/>
      <c r="BB1019" s="70"/>
      <c r="BC1019" s="70"/>
      <c r="BD1019" s="70"/>
      <c r="BE1019" s="70"/>
      <c r="BF1019" s="70"/>
      <c r="BG1019" s="70"/>
      <c r="BH1019" s="70"/>
      <c r="BI1019" s="70"/>
      <c r="BJ1019" s="70"/>
      <c r="BK1019" s="70"/>
      <c r="BL1019" s="70"/>
      <c r="BM1019" s="70"/>
      <c r="BN1019" s="70"/>
      <c r="BO1019" s="70"/>
      <c r="BP1019" s="70"/>
      <c r="BQ1019" s="70"/>
      <c r="BR1019" s="70"/>
      <c r="BS1019" s="70"/>
      <c r="BT1019" s="70"/>
      <c r="BU1019" s="70"/>
      <c r="BV1019" s="70"/>
      <c r="BW1019" s="70"/>
      <c r="BX1019" s="70"/>
      <c r="BY1019" s="70"/>
      <c r="BZ1019" s="70"/>
      <c r="CA1019" s="70"/>
      <c r="CB1019" s="70"/>
      <c r="CC1019" s="70"/>
      <c r="CD1019" s="70"/>
      <c r="CE1019" s="70"/>
      <c r="CF1019" s="70"/>
      <c r="CG1019" s="70"/>
      <c r="CH1019" s="70"/>
      <c r="CI1019" s="70"/>
      <c r="CJ1019" s="70"/>
      <c r="CK1019" s="70"/>
      <c r="CL1019" s="70"/>
      <c r="CM1019" s="70"/>
      <c r="CN1019" s="70"/>
      <c r="CO1019" s="70"/>
      <c r="CP1019" s="70"/>
      <c r="CQ1019" s="70"/>
      <c r="CR1019" s="70"/>
      <c r="CS1019" s="70"/>
      <c r="CT1019" s="70"/>
      <c r="CU1019" s="70"/>
      <c r="CV1019" s="70"/>
      <c r="CW1019" s="70"/>
      <c r="CX1019" s="70"/>
      <c r="CY1019" s="70"/>
      <c r="CZ1019" s="70"/>
      <c r="DA1019" s="70"/>
      <c r="DB1019" s="70"/>
      <c r="DC1019" s="70"/>
      <c r="DD1019" s="70"/>
      <c r="DE1019" s="70"/>
      <c r="DF1019" s="70"/>
      <c r="DG1019" s="70"/>
      <c r="DH1019" s="70"/>
      <c r="DI1019" s="70"/>
      <c r="DJ1019" s="70"/>
      <c r="DK1019" s="70"/>
      <c r="DL1019" s="70"/>
      <c r="DM1019" s="70"/>
      <c r="DN1019" s="70"/>
      <c r="DO1019" s="70"/>
      <c r="DP1019" s="70"/>
      <c r="DQ1019" s="70"/>
      <c r="DR1019" s="70"/>
      <c r="DS1019" s="70"/>
      <c r="DT1019" s="70"/>
      <c r="DU1019" s="70"/>
      <c r="DV1019" s="70"/>
      <c r="DW1019" s="70"/>
      <c r="DX1019" s="70"/>
      <c r="DY1019" s="70"/>
      <c r="DZ1019" s="70"/>
      <c r="EA1019" s="70"/>
      <c r="EB1019" s="70"/>
      <c r="EC1019" s="70"/>
      <c r="ED1019" s="70"/>
      <c r="EE1019" s="95" t="s">
        <v>450</v>
      </c>
      <c r="EF1019" s="110"/>
      <c r="EG1019" s="110"/>
      <c r="EH1019" s="110"/>
      <c r="EI1019" s="216"/>
      <c r="EJ1019" s="110"/>
      <c r="EK1019" s="110"/>
      <c r="EL1019" s="110"/>
      <c r="EM1019" s="110"/>
      <c r="EN1019" s="110"/>
      <c r="EO1019" s="110"/>
      <c r="EP1019" s="110"/>
      <c r="EQ1019" s="110"/>
      <c r="ER1019" s="110"/>
      <c r="ES1019" s="110"/>
      <c r="ET1019" s="110"/>
      <c r="EU1019" s="110"/>
      <c r="EV1019" s="110"/>
      <c r="EW1019" s="110"/>
      <c r="EX1019" s="110"/>
      <c r="EY1019" s="110"/>
      <c r="EZ1019" s="110"/>
      <c r="FA1019" s="110"/>
      <c r="FB1019" s="110"/>
      <c r="FC1019" s="110"/>
      <c r="FD1019" s="110"/>
      <c r="FE1019" s="110"/>
      <c r="FF1019" s="110"/>
      <c r="FG1019" s="110"/>
      <c r="FH1019" s="110"/>
      <c r="FI1019" s="110"/>
      <c r="FJ1019" s="110"/>
      <c r="FK1019" s="110"/>
      <c r="FL1019" s="110"/>
      <c r="FM1019" s="110"/>
      <c r="FN1019" s="110"/>
      <c r="FO1019" s="110"/>
      <c r="FP1019" s="110"/>
      <c r="FQ1019" s="110"/>
      <c r="FR1019" s="110"/>
      <c r="FS1019" s="110"/>
      <c r="FT1019" s="110"/>
      <c r="FU1019" s="110"/>
      <c r="FV1019" s="110"/>
      <c r="FW1019" s="110"/>
      <c r="FX1019" s="110"/>
      <c r="FY1019" s="110"/>
      <c r="FZ1019" s="110"/>
      <c r="GA1019" s="110"/>
      <c r="GB1019" s="110"/>
      <c r="GC1019" s="110"/>
      <c r="GD1019" s="110"/>
      <c r="GE1019" s="110"/>
      <c r="GF1019" s="110"/>
      <c r="GG1019" s="110"/>
      <c r="GH1019" s="110"/>
      <c r="GI1019" s="110"/>
      <c r="GJ1019" s="110"/>
      <c r="GK1019" s="110"/>
      <c r="GL1019" s="110"/>
      <c r="GM1019" s="110"/>
      <c r="GN1019" s="110"/>
      <c r="GO1019" s="110"/>
      <c r="GP1019" s="110"/>
      <c r="GQ1019" s="110"/>
      <c r="GR1019" s="110"/>
      <c r="GS1019" s="110"/>
      <c r="GT1019" s="110"/>
      <c r="GU1019" s="110"/>
      <c r="GV1019" s="110"/>
      <c r="GW1019" s="110"/>
      <c r="GX1019" s="110"/>
      <c r="GY1019" s="110"/>
      <c r="GZ1019" s="110"/>
      <c r="HA1019" s="110"/>
      <c r="HB1019" s="110"/>
      <c r="HC1019" s="110"/>
      <c r="HD1019" s="110"/>
      <c r="HE1019" s="110"/>
      <c r="HF1019" s="110"/>
      <c r="HG1019" s="110"/>
      <c r="HH1019" s="110"/>
      <c r="HI1019" s="110"/>
      <c r="HJ1019" s="110"/>
      <c r="HK1019" s="110"/>
      <c r="HL1019" s="110"/>
      <c r="HM1019" s="110"/>
      <c r="HN1019" s="110"/>
      <c r="HO1019" s="110"/>
      <c r="HP1019" s="110"/>
      <c r="HQ1019" s="110"/>
      <c r="HR1019" s="110"/>
      <c r="HS1019" s="110"/>
      <c r="HT1019" s="110"/>
      <c r="HU1019" s="110"/>
      <c r="HV1019" s="110"/>
      <c r="HW1019" s="110"/>
      <c r="HX1019" s="110"/>
      <c r="HY1019" s="110"/>
      <c r="HZ1019" s="110"/>
      <c r="IA1019" s="110"/>
      <c r="IB1019" s="110"/>
      <c r="IC1019" s="110"/>
      <c r="ID1019" s="110"/>
      <c r="IE1019" s="110"/>
      <c r="IF1019" s="110"/>
      <c r="IG1019" s="110"/>
      <c r="IH1019" s="110"/>
      <c r="II1019" s="110"/>
      <c r="IJ1019" s="110"/>
      <c r="IK1019" s="110"/>
      <c r="IL1019" s="110"/>
      <c r="IM1019" s="110"/>
      <c r="IN1019" s="110"/>
      <c r="IO1019" s="110"/>
      <c r="IP1019" s="110"/>
    </row>
    <row r="1020" spans="18:250" ht="16.5" hidden="1" customHeight="1">
      <c r="R1020" s="95"/>
      <c r="S1020" s="95"/>
      <c r="T1020" s="95"/>
      <c r="U1020" s="70"/>
      <c r="V1020" s="214"/>
      <c r="W1020" s="70"/>
      <c r="X1020" s="70"/>
      <c r="Y1020" s="70"/>
      <c r="Z1020" s="70"/>
      <c r="AA1020" s="70"/>
      <c r="AB1020" s="70"/>
      <c r="AC1020" s="70"/>
      <c r="AD1020" s="70"/>
      <c r="AE1020" s="70"/>
      <c r="AF1020" s="70"/>
      <c r="AG1020" s="70"/>
      <c r="AH1020" s="70"/>
      <c r="AI1020" s="70"/>
      <c r="AJ1020" s="70"/>
      <c r="AK1020" s="70"/>
      <c r="AL1020" s="70"/>
      <c r="AM1020" s="70"/>
      <c r="AN1020" s="70"/>
      <c r="AO1020" s="70"/>
      <c r="AP1020" s="70"/>
      <c r="AQ1020" s="70"/>
      <c r="AR1020" s="70"/>
      <c r="AS1020" s="70"/>
      <c r="AT1020" s="70"/>
      <c r="AU1020" s="70"/>
      <c r="AV1020" s="70"/>
      <c r="AW1020" s="70"/>
      <c r="AX1020" s="70"/>
      <c r="AY1020" s="70"/>
      <c r="AZ1020" s="70"/>
      <c r="BA1020" s="70"/>
      <c r="BB1020" s="70"/>
      <c r="BC1020" s="70"/>
      <c r="BD1020" s="70"/>
      <c r="BE1020" s="70"/>
      <c r="BF1020" s="70"/>
      <c r="BG1020" s="70"/>
      <c r="BH1020" s="70"/>
      <c r="BI1020" s="70"/>
      <c r="BJ1020" s="70"/>
      <c r="BK1020" s="70"/>
      <c r="BL1020" s="70"/>
      <c r="BM1020" s="70"/>
      <c r="BN1020" s="70"/>
      <c r="BO1020" s="70"/>
      <c r="BP1020" s="70"/>
      <c r="BQ1020" s="70"/>
      <c r="BR1020" s="70"/>
      <c r="BS1020" s="70"/>
      <c r="BT1020" s="70"/>
      <c r="BU1020" s="70"/>
      <c r="BV1020" s="70"/>
      <c r="BW1020" s="70"/>
      <c r="BX1020" s="70"/>
      <c r="BY1020" s="70"/>
      <c r="BZ1020" s="70"/>
      <c r="CA1020" s="70"/>
      <c r="CB1020" s="70"/>
      <c r="CC1020" s="70"/>
      <c r="CD1020" s="70"/>
      <c r="CE1020" s="70"/>
      <c r="CF1020" s="70"/>
      <c r="CG1020" s="70"/>
      <c r="CH1020" s="70"/>
      <c r="CI1020" s="70"/>
      <c r="CJ1020" s="70"/>
      <c r="CK1020" s="70"/>
      <c r="CL1020" s="70"/>
      <c r="CM1020" s="70"/>
      <c r="CN1020" s="70"/>
      <c r="CO1020" s="70"/>
      <c r="CP1020" s="70"/>
      <c r="CQ1020" s="70"/>
      <c r="CR1020" s="70"/>
      <c r="CS1020" s="70"/>
      <c r="CT1020" s="70"/>
      <c r="CU1020" s="70"/>
      <c r="CV1020" s="70"/>
      <c r="CW1020" s="70"/>
      <c r="CX1020" s="70"/>
      <c r="CY1020" s="70"/>
      <c r="CZ1020" s="70"/>
      <c r="DA1020" s="70"/>
      <c r="DB1020" s="70"/>
      <c r="DC1020" s="70"/>
      <c r="DD1020" s="70"/>
      <c r="DE1020" s="70"/>
      <c r="DF1020" s="70"/>
      <c r="DG1020" s="70"/>
      <c r="DH1020" s="70"/>
      <c r="DI1020" s="70"/>
      <c r="DJ1020" s="70"/>
      <c r="DK1020" s="70"/>
      <c r="DL1020" s="70"/>
      <c r="DM1020" s="70"/>
      <c r="DN1020" s="70"/>
      <c r="DO1020" s="70"/>
      <c r="DP1020" s="70"/>
      <c r="DQ1020" s="70"/>
      <c r="DR1020" s="70"/>
      <c r="DS1020" s="70"/>
      <c r="DT1020" s="70"/>
      <c r="DU1020" s="70"/>
      <c r="DV1020" s="70"/>
      <c r="DW1020" s="70"/>
      <c r="DX1020" s="70"/>
      <c r="DY1020" s="70"/>
      <c r="DZ1020" s="70"/>
      <c r="EA1020" s="70"/>
      <c r="EB1020" s="70"/>
      <c r="EC1020" s="70"/>
      <c r="ED1020" s="70"/>
      <c r="EE1020" s="95" t="s">
        <v>450</v>
      </c>
      <c r="EF1020" s="110"/>
      <c r="EG1020" s="110"/>
      <c r="EH1020" s="110"/>
      <c r="EI1020" s="216"/>
      <c r="EJ1020" s="110"/>
      <c r="EK1020" s="110"/>
      <c r="EL1020" s="110"/>
      <c r="EM1020" s="110"/>
      <c r="EN1020" s="110"/>
      <c r="EO1020" s="110"/>
      <c r="EP1020" s="110"/>
      <c r="EQ1020" s="110"/>
      <c r="ER1020" s="110"/>
      <c r="ES1020" s="110"/>
      <c r="ET1020" s="110"/>
      <c r="EU1020" s="110"/>
      <c r="EV1020" s="110"/>
      <c r="EW1020" s="110"/>
      <c r="EX1020" s="110"/>
      <c r="EY1020" s="110"/>
      <c r="EZ1020" s="110"/>
      <c r="FA1020" s="110"/>
      <c r="FB1020" s="110"/>
      <c r="FC1020" s="110"/>
      <c r="FD1020" s="110"/>
      <c r="FE1020" s="110"/>
      <c r="FF1020" s="110"/>
      <c r="FG1020" s="110"/>
      <c r="FH1020" s="110"/>
      <c r="FI1020" s="110"/>
      <c r="FJ1020" s="110"/>
      <c r="FK1020" s="110"/>
      <c r="FL1020" s="110"/>
      <c r="FM1020" s="110"/>
      <c r="FN1020" s="110"/>
      <c r="FO1020" s="110"/>
      <c r="FP1020" s="110"/>
      <c r="FQ1020" s="110"/>
      <c r="FR1020" s="110"/>
      <c r="FS1020" s="110"/>
      <c r="FT1020" s="110"/>
      <c r="FU1020" s="110"/>
      <c r="FV1020" s="110"/>
      <c r="FW1020" s="110"/>
      <c r="FX1020" s="110"/>
      <c r="FY1020" s="110"/>
      <c r="FZ1020" s="110"/>
      <c r="GA1020" s="110"/>
      <c r="GB1020" s="110"/>
      <c r="GC1020" s="110"/>
      <c r="GD1020" s="110"/>
      <c r="GE1020" s="110"/>
      <c r="GF1020" s="110"/>
      <c r="GG1020" s="110"/>
      <c r="GH1020" s="110"/>
      <c r="GI1020" s="110"/>
      <c r="GJ1020" s="110"/>
      <c r="GK1020" s="110"/>
      <c r="GL1020" s="110"/>
      <c r="GM1020" s="110"/>
      <c r="GN1020" s="110"/>
      <c r="GO1020" s="110"/>
      <c r="GP1020" s="110"/>
      <c r="GQ1020" s="110"/>
      <c r="GR1020" s="110"/>
      <c r="GS1020" s="110"/>
      <c r="GT1020" s="110"/>
      <c r="GU1020" s="110"/>
      <c r="GV1020" s="110"/>
      <c r="GW1020" s="110"/>
      <c r="GX1020" s="110"/>
      <c r="GY1020" s="110"/>
      <c r="GZ1020" s="110"/>
      <c r="HA1020" s="110"/>
      <c r="HB1020" s="110"/>
      <c r="HC1020" s="110"/>
      <c r="HD1020" s="110"/>
      <c r="HE1020" s="110"/>
      <c r="HF1020" s="110"/>
      <c r="HG1020" s="110"/>
      <c r="HH1020" s="110"/>
      <c r="HI1020" s="110"/>
      <c r="HJ1020" s="110"/>
      <c r="HK1020" s="110"/>
      <c r="HL1020" s="110"/>
      <c r="HM1020" s="110"/>
      <c r="HN1020" s="110"/>
      <c r="HO1020" s="110"/>
      <c r="HP1020" s="110"/>
      <c r="HQ1020" s="110"/>
      <c r="HR1020" s="110"/>
      <c r="HS1020" s="110"/>
      <c r="HT1020" s="110"/>
      <c r="HU1020" s="110"/>
      <c r="HV1020" s="110"/>
      <c r="HW1020" s="110"/>
      <c r="HX1020" s="110"/>
      <c r="HY1020" s="110"/>
      <c r="HZ1020" s="110"/>
      <c r="IA1020" s="110"/>
      <c r="IB1020" s="110"/>
      <c r="IC1020" s="110"/>
      <c r="ID1020" s="110"/>
      <c r="IE1020" s="110"/>
      <c r="IF1020" s="110"/>
      <c r="IG1020" s="110"/>
      <c r="IH1020" s="110"/>
      <c r="II1020" s="110"/>
      <c r="IJ1020" s="110"/>
      <c r="IK1020" s="110"/>
      <c r="IL1020" s="110"/>
      <c r="IM1020" s="110"/>
      <c r="IN1020" s="110"/>
      <c r="IO1020" s="110"/>
      <c r="IP1020" s="110"/>
    </row>
    <row r="1021" spans="18:250" ht="16.5" hidden="1" customHeight="1">
      <c r="R1021" s="95"/>
      <c r="S1021" s="95"/>
      <c r="T1021" s="95"/>
      <c r="U1021" s="70"/>
      <c r="V1021" s="214"/>
      <c r="W1021" s="70"/>
      <c r="X1021" s="70"/>
      <c r="Y1021" s="70"/>
      <c r="Z1021" s="70"/>
      <c r="AA1021" s="70"/>
      <c r="AB1021" s="70"/>
      <c r="AC1021" s="70"/>
      <c r="AD1021" s="70"/>
      <c r="AE1021" s="70"/>
      <c r="AF1021" s="70"/>
      <c r="AG1021" s="70"/>
      <c r="AH1021" s="70"/>
      <c r="AI1021" s="70"/>
      <c r="AJ1021" s="70"/>
      <c r="AK1021" s="70"/>
      <c r="AL1021" s="70"/>
      <c r="AM1021" s="70"/>
      <c r="AN1021" s="70"/>
      <c r="AO1021" s="70"/>
      <c r="AP1021" s="70"/>
      <c r="AQ1021" s="70"/>
      <c r="AR1021" s="70"/>
      <c r="AS1021" s="70"/>
      <c r="AT1021" s="70"/>
      <c r="AU1021" s="70"/>
      <c r="AV1021" s="70"/>
      <c r="AW1021" s="70"/>
      <c r="AX1021" s="70"/>
      <c r="AY1021" s="70"/>
      <c r="AZ1021" s="70"/>
      <c r="BA1021" s="70"/>
      <c r="BB1021" s="70"/>
      <c r="BC1021" s="70"/>
      <c r="BD1021" s="70"/>
      <c r="BE1021" s="70"/>
      <c r="BF1021" s="70"/>
      <c r="BG1021" s="70"/>
      <c r="BH1021" s="70"/>
      <c r="BI1021" s="70"/>
      <c r="BJ1021" s="70"/>
      <c r="BK1021" s="70"/>
      <c r="BL1021" s="70"/>
      <c r="BM1021" s="70"/>
      <c r="BN1021" s="70"/>
      <c r="BO1021" s="70"/>
      <c r="BP1021" s="70"/>
      <c r="BQ1021" s="70"/>
      <c r="BR1021" s="70"/>
      <c r="BS1021" s="70"/>
      <c r="BT1021" s="70"/>
      <c r="BU1021" s="70"/>
      <c r="BV1021" s="70"/>
      <c r="BW1021" s="70"/>
      <c r="BX1021" s="70"/>
      <c r="BY1021" s="70"/>
      <c r="BZ1021" s="70"/>
      <c r="CA1021" s="70"/>
      <c r="CB1021" s="70"/>
      <c r="CC1021" s="70"/>
      <c r="CD1021" s="70"/>
      <c r="CE1021" s="70"/>
      <c r="CF1021" s="70"/>
      <c r="CG1021" s="70"/>
      <c r="CH1021" s="70"/>
      <c r="CI1021" s="70"/>
      <c r="CJ1021" s="70"/>
      <c r="CK1021" s="70"/>
      <c r="CL1021" s="70"/>
      <c r="CM1021" s="70"/>
      <c r="CN1021" s="70"/>
      <c r="CO1021" s="70"/>
      <c r="CP1021" s="70"/>
      <c r="CQ1021" s="70"/>
      <c r="CR1021" s="70"/>
      <c r="CS1021" s="70"/>
      <c r="CT1021" s="70"/>
      <c r="CU1021" s="70"/>
      <c r="CV1021" s="70"/>
      <c r="CW1021" s="70"/>
      <c r="CX1021" s="70"/>
      <c r="CY1021" s="70"/>
      <c r="CZ1021" s="70"/>
      <c r="DA1021" s="70"/>
      <c r="DB1021" s="70"/>
      <c r="DC1021" s="70"/>
      <c r="DD1021" s="70"/>
      <c r="DE1021" s="70"/>
      <c r="DF1021" s="70"/>
      <c r="DG1021" s="70"/>
      <c r="DH1021" s="70"/>
      <c r="DI1021" s="70"/>
      <c r="DJ1021" s="70"/>
      <c r="DK1021" s="70"/>
      <c r="DL1021" s="70"/>
      <c r="DM1021" s="70"/>
      <c r="DN1021" s="70"/>
      <c r="DO1021" s="70"/>
      <c r="DP1021" s="70"/>
      <c r="DQ1021" s="70"/>
      <c r="DR1021" s="70"/>
      <c r="DS1021" s="70"/>
      <c r="DT1021" s="70"/>
      <c r="DU1021" s="70"/>
      <c r="DV1021" s="70"/>
      <c r="DW1021" s="70"/>
      <c r="DX1021" s="70"/>
      <c r="DY1021" s="70"/>
      <c r="DZ1021" s="70"/>
      <c r="EA1021" s="70"/>
      <c r="EB1021" s="70"/>
      <c r="EC1021" s="70"/>
      <c r="ED1021" s="70"/>
      <c r="EE1021" s="95" t="s">
        <v>450</v>
      </c>
      <c r="EF1021" s="110"/>
      <c r="EG1021" s="110"/>
      <c r="EH1021" s="110"/>
      <c r="EI1021" s="216"/>
      <c r="EJ1021" s="110"/>
      <c r="EK1021" s="110"/>
      <c r="EL1021" s="110"/>
      <c r="EM1021" s="110"/>
      <c r="EN1021" s="110"/>
      <c r="EO1021" s="110"/>
      <c r="EP1021" s="110"/>
      <c r="EQ1021" s="110"/>
      <c r="ER1021" s="110"/>
      <c r="ES1021" s="110"/>
      <c r="ET1021" s="110"/>
      <c r="EU1021" s="110"/>
      <c r="EV1021" s="110"/>
      <c r="EW1021" s="110"/>
      <c r="EX1021" s="110"/>
      <c r="EY1021" s="110"/>
      <c r="EZ1021" s="110"/>
      <c r="FA1021" s="110"/>
      <c r="FB1021" s="110"/>
      <c r="FC1021" s="110"/>
      <c r="FD1021" s="110"/>
      <c r="FE1021" s="110"/>
      <c r="FF1021" s="110"/>
      <c r="FG1021" s="110"/>
      <c r="FH1021" s="110"/>
      <c r="FI1021" s="110"/>
      <c r="FJ1021" s="110"/>
      <c r="FK1021" s="110"/>
      <c r="FL1021" s="110"/>
      <c r="FM1021" s="110"/>
      <c r="FN1021" s="110"/>
      <c r="FO1021" s="110"/>
      <c r="FP1021" s="110"/>
      <c r="FQ1021" s="110"/>
      <c r="FR1021" s="110"/>
      <c r="FS1021" s="110"/>
      <c r="FT1021" s="110"/>
      <c r="FU1021" s="110"/>
      <c r="FV1021" s="110"/>
      <c r="FW1021" s="110"/>
      <c r="FX1021" s="110"/>
      <c r="FY1021" s="110"/>
      <c r="FZ1021" s="110"/>
      <c r="GA1021" s="110"/>
      <c r="GB1021" s="110"/>
      <c r="GC1021" s="110"/>
      <c r="GD1021" s="110"/>
      <c r="GE1021" s="110"/>
      <c r="GF1021" s="110"/>
      <c r="GG1021" s="110"/>
      <c r="GH1021" s="110"/>
      <c r="GI1021" s="110"/>
      <c r="GJ1021" s="110"/>
      <c r="GK1021" s="110"/>
      <c r="GL1021" s="110"/>
      <c r="GM1021" s="110"/>
      <c r="GN1021" s="110"/>
      <c r="GO1021" s="110"/>
      <c r="GP1021" s="110"/>
      <c r="GQ1021" s="110"/>
      <c r="GR1021" s="110"/>
      <c r="GS1021" s="110"/>
      <c r="GT1021" s="110"/>
      <c r="GU1021" s="110"/>
      <c r="GV1021" s="110"/>
      <c r="GW1021" s="110"/>
      <c r="GX1021" s="110"/>
      <c r="GY1021" s="110"/>
      <c r="GZ1021" s="110"/>
      <c r="HA1021" s="110"/>
      <c r="HB1021" s="110"/>
      <c r="HC1021" s="110"/>
      <c r="HD1021" s="110"/>
      <c r="HE1021" s="110"/>
      <c r="HF1021" s="110"/>
      <c r="HG1021" s="110"/>
      <c r="HH1021" s="110"/>
      <c r="HI1021" s="110"/>
      <c r="HJ1021" s="110"/>
      <c r="HK1021" s="110"/>
      <c r="HL1021" s="110"/>
      <c r="HM1021" s="110"/>
      <c r="HN1021" s="110"/>
      <c r="HO1021" s="110"/>
      <c r="HP1021" s="110"/>
      <c r="HQ1021" s="110"/>
      <c r="HR1021" s="110"/>
      <c r="HS1021" s="110"/>
      <c r="HT1021" s="110"/>
      <c r="HU1021" s="110"/>
      <c r="HV1021" s="110"/>
      <c r="HW1021" s="110"/>
      <c r="HX1021" s="110"/>
      <c r="HY1021" s="110"/>
      <c r="HZ1021" s="110"/>
      <c r="IA1021" s="110"/>
      <c r="IB1021" s="110"/>
      <c r="IC1021" s="110"/>
      <c r="ID1021" s="110"/>
      <c r="IE1021" s="110"/>
      <c r="IF1021" s="110"/>
      <c r="IG1021" s="110"/>
      <c r="IH1021" s="110"/>
      <c r="II1021" s="110"/>
      <c r="IJ1021" s="110"/>
      <c r="IK1021" s="110"/>
      <c r="IL1021" s="110"/>
      <c r="IM1021" s="110"/>
      <c r="IN1021" s="110"/>
      <c r="IO1021" s="110"/>
      <c r="IP1021" s="110"/>
    </row>
    <row r="1022" spans="18:250" ht="16.5" hidden="1" customHeight="1">
      <c r="R1022" s="95"/>
      <c r="S1022" s="95"/>
      <c r="T1022" s="95"/>
      <c r="U1022" s="70"/>
      <c r="V1022" s="214"/>
      <c r="W1022" s="70"/>
      <c r="X1022" s="70"/>
      <c r="Y1022" s="70"/>
      <c r="Z1022" s="70"/>
      <c r="AA1022" s="70"/>
      <c r="AB1022" s="70"/>
      <c r="AC1022" s="70"/>
      <c r="AD1022" s="70"/>
      <c r="AE1022" s="70"/>
      <c r="AF1022" s="70"/>
      <c r="AG1022" s="70"/>
      <c r="AH1022" s="70"/>
      <c r="AI1022" s="70"/>
      <c r="AJ1022" s="70"/>
      <c r="AK1022" s="70"/>
      <c r="AL1022" s="70"/>
      <c r="AM1022" s="70"/>
      <c r="AN1022" s="70"/>
      <c r="AO1022" s="70"/>
      <c r="AP1022" s="70"/>
      <c r="AQ1022" s="70"/>
      <c r="AR1022" s="70"/>
      <c r="AS1022" s="70"/>
      <c r="AT1022" s="70"/>
      <c r="AU1022" s="70"/>
      <c r="AV1022" s="70"/>
      <c r="AW1022" s="70"/>
      <c r="AX1022" s="70"/>
      <c r="AY1022" s="70"/>
      <c r="AZ1022" s="70"/>
      <c r="BA1022" s="70"/>
      <c r="BB1022" s="70"/>
      <c r="BC1022" s="70"/>
      <c r="BD1022" s="70"/>
      <c r="BE1022" s="70"/>
      <c r="BF1022" s="70"/>
      <c r="BG1022" s="70"/>
      <c r="BH1022" s="70"/>
      <c r="BI1022" s="70"/>
      <c r="BJ1022" s="70"/>
      <c r="BK1022" s="70"/>
      <c r="BL1022" s="70"/>
      <c r="BM1022" s="70"/>
      <c r="BN1022" s="70"/>
      <c r="BO1022" s="70"/>
      <c r="BP1022" s="70"/>
      <c r="BQ1022" s="70"/>
      <c r="BR1022" s="70"/>
      <c r="BS1022" s="70"/>
      <c r="BT1022" s="70"/>
      <c r="BU1022" s="70"/>
      <c r="BV1022" s="70"/>
      <c r="BW1022" s="70"/>
      <c r="BX1022" s="70"/>
      <c r="BY1022" s="70"/>
      <c r="BZ1022" s="70"/>
      <c r="CA1022" s="70"/>
      <c r="CB1022" s="70"/>
      <c r="CC1022" s="70"/>
      <c r="CD1022" s="70"/>
      <c r="CE1022" s="70"/>
      <c r="CF1022" s="70"/>
      <c r="CG1022" s="70"/>
      <c r="CH1022" s="70"/>
      <c r="CI1022" s="70"/>
      <c r="CJ1022" s="70"/>
      <c r="CK1022" s="70"/>
      <c r="CL1022" s="70"/>
      <c r="CM1022" s="70"/>
      <c r="CN1022" s="70"/>
      <c r="CO1022" s="70"/>
      <c r="CP1022" s="70"/>
      <c r="CQ1022" s="70"/>
      <c r="CR1022" s="70"/>
      <c r="CS1022" s="70"/>
      <c r="CT1022" s="70"/>
      <c r="CU1022" s="70"/>
      <c r="CV1022" s="70"/>
      <c r="CW1022" s="70"/>
      <c r="CX1022" s="70"/>
      <c r="CY1022" s="70"/>
      <c r="CZ1022" s="70"/>
      <c r="DA1022" s="70"/>
      <c r="DB1022" s="70"/>
      <c r="DC1022" s="70"/>
      <c r="DD1022" s="70"/>
      <c r="DE1022" s="70"/>
      <c r="DF1022" s="70"/>
      <c r="DG1022" s="70"/>
      <c r="DH1022" s="70"/>
      <c r="DI1022" s="70"/>
      <c r="DJ1022" s="70"/>
      <c r="DK1022" s="70"/>
      <c r="DL1022" s="70"/>
      <c r="DM1022" s="70"/>
      <c r="DN1022" s="70"/>
      <c r="DO1022" s="70"/>
      <c r="DP1022" s="70"/>
      <c r="DQ1022" s="70"/>
      <c r="DR1022" s="70"/>
      <c r="DS1022" s="70"/>
      <c r="DT1022" s="70"/>
      <c r="DU1022" s="70"/>
      <c r="DV1022" s="70"/>
      <c r="DW1022" s="70"/>
      <c r="DX1022" s="70"/>
      <c r="DY1022" s="70"/>
      <c r="DZ1022" s="70"/>
      <c r="EA1022" s="70"/>
      <c r="EB1022" s="70"/>
      <c r="EC1022" s="70"/>
      <c r="ED1022" s="70"/>
      <c r="EE1022" s="95" t="s">
        <v>450</v>
      </c>
      <c r="EF1022" s="110"/>
      <c r="EG1022" s="110"/>
      <c r="EH1022" s="110"/>
      <c r="EI1022" s="216"/>
      <c r="EJ1022" s="110"/>
      <c r="EK1022" s="110"/>
      <c r="EL1022" s="110"/>
      <c r="EM1022" s="110"/>
      <c r="EN1022" s="110"/>
      <c r="EO1022" s="110"/>
      <c r="EP1022" s="110"/>
      <c r="EQ1022" s="110"/>
      <c r="ER1022" s="110"/>
      <c r="ES1022" s="110"/>
      <c r="ET1022" s="110"/>
      <c r="EU1022" s="110"/>
      <c r="EV1022" s="110"/>
      <c r="EW1022" s="110"/>
      <c r="EX1022" s="110"/>
      <c r="EY1022" s="110"/>
      <c r="EZ1022" s="110"/>
      <c r="FA1022" s="110"/>
      <c r="FB1022" s="110"/>
      <c r="FC1022" s="110"/>
      <c r="FD1022" s="110"/>
      <c r="FE1022" s="110"/>
      <c r="FF1022" s="110"/>
      <c r="FG1022" s="110"/>
      <c r="FH1022" s="110"/>
      <c r="FI1022" s="110"/>
      <c r="FJ1022" s="110"/>
      <c r="FK1022" s="110"/>
      <c r="FL1022" s="110"/>
      <c r="FM1022" s="110"/>
      <c r="FN1022" s="110"/>
      <c r="FO1022" s="110"/>
      <c r="FP1022" s="110"/>
      <c r="FQ1022" s="110"/>
      <c r="FR1022" s="110"/>
      <c r="FS1022" s="110"/>
      <c r="FT1022" s="110"/>
      <c r="FU1022" s="110"/>
      <c r="FV1022" s="110"/>
      <c r="FW1022" s="110"/>
      <c r="FX1022" s="110"/>
      <c r="FY1022" s="110"/>
      <c r="FZ1022" s="110"/>
      <c r="GA1022" s="110"/>
      <c r="GB1022" s="110"/>
      <c r="GC1022" s="110"/>
      <c r="GD1022" s="110"/>
      <c r="GE1022" s="110"/>
      <c r="GF1022" s="110"/>
      <c r="GG1022" s="110"/>
      <c r="GH1022" s="110"/>
      <c r="GI1022" s="110"/>
      <c r="GJ1022" s="110"/>
      <c r="GK1022" s="110"/>
      <c r="GL1022" s="110"/>
      <c r="GM1022" s="110"/>
      <c r="GN1022" s="110"/>
      <c r="GO1022" s="110"/>
      <c r="GP1022" s="110"/>
      <c r="GQ1022" s="110"/>
      <c r="GR1022" s="110"/>
      <c r="GS1022" s="110"/>
      <c r="GT1022" s="110"/>
      <c r="GU1022" s="110"/>
      <c r="GV1022" s="110"/>
      <c r="GW1022" s="110"/>
      <c r="GX1022" s="110"/>
      <c r="GY1022" s="110"/>
      <c r="GZ1022" s="110"/>
      <c r="HA1022" s="110"/>
      <c r="HB1022" s="110"/>
      <c r="HC1022" s="110"/>
      <c r="HD1022" s="110"/>
      <c r="HE1022" s="110"/>
      <c r="HF1022" s="110"/>
      <c r="HG1022" s="110"/>
      <c r="HH1022" s="110"/>
      <c r="HI1022" s="110"/>
      <c r="HJ1022" s="110"/>
      <c r="HK1022" s="110"/>
      <c r="HL1022" s="110"/>
      <c r="HM1022" s="110"/>
      <c r="HN1022" s="110"/>
      <c r="HO1022" s="110"/>
      <c r="HP1022" s="110"/>
      <c r="HQ1022" s="110"/>
      <c r="HR1022" s="110"/>
      <c r="HS1022" s="110"/>
      <c r="HT1022" s="110"/>
      <c r="HU1022" s="110"/>
      <c r="HV1022" s="110"/>
      <c r="HW1022" s="110"/>
      <c r="HX1022" s="110"/>
      <c r="HY1022" s="110"/>
      <c r="HZ1022" s="110"/>
      <c r="IA1022" s="110"/>
      <c r="IB1022" s="110"/>
      <c r="IC1022" s="110"/>
      <c r="ID1022" s="110"/>
      <c r="IE1022" s="110"/>
      <c r="IF1022" s="110"/>
      <c r="IG1022" s="110"/>
      <c r="IH1022" s="110"/>
      <c r="II1022" s="110"/>
      <c r="IJ1022" s="110"/>
      <c r="IK1022" s="110"/>
      <c r="IL1022" s="110"/>
      <c r="IM1022" s="110"/>
      <c r="IN1022" s="110"/>
      <c r="IO1022" s="110"/>
      <c r="IP1022" s="110"/>
    </row>
    <row r="1023" spans="18:250" ht="16.5" hidden="1" customHeight="1">
      <c r="R1023" s="95"/>
      <c r="S1023" s="95"/>
      <c r="T1023" s="95"/>
      <c r="U1023" s="70"/>
      <c r="V1023" s="214"/>
      <c r="W1023" s="70"/>
      <c r="X1023" s="70"/>
      <c r="Y1023" s="70"/>
      <c r="Z1023" s="70"/>
      <c r="AA1023" s="70"/>
      <c r="AB1023" s="70"/>
      <c r="AC1023" s="70"/>
      <c r="AD1023" s="70"/>
      <c r="AE1023" s="70"/>
      <c r="AF1023" s="70"/>
      <c r="AG1023" s="70"/>
      <c r="AH1023" s="70"/>
      <c r="AI1023" s="70"/>
      <c r="AJ1023" s="70"/>
      <c r="AK1023" s="70"/>
      <c r="AL1023" s="70"/>
      <c r="AM1023" s="70"/>
      <c r="AN1023" s="70"/>
      <c r="AO1023" s="70"/>
      <c r="AP1023" s="70"/>
      <c r="AQ1023" s="70"/>
      <c r="AR1023" s="70"/>
      <c r="AS1023" s="70"/>
      <c r="AT1023" s="70"/>
      <c r="AU1023" s="70"/>
      <c r="AV1023" s="70"/>
      <c r="AW1023" s="70"/>
      <c r="AX1023" s="70"/>
      <c r="AY1023" s="70"/>
      <c r="AZ1023" s="70"/>
      <c r="BA1023" s="70"/>
      <c r="BB1023" s="70"/>
      <c r="BC1023" s="70"/>
      <c r="BD1023" s="70"/>
      <c r="BE1023" s="70"/>
      <c r="BF1023" s="70"/>
      <c r="BG1023" s="70"/>
      <c r="BH1023" s="70"/>
      <c r="BI1023" s="70"/>
      <c r="BJ1023" s="70"/>
      <c r="BK1023" s="70"/>
      <c r="BL1023" s="70"/>
      <c r="BM1023" s="70"/>
      <c r="BN1023" s="70"/>
      <c r="BO1023" s="70"/>
      <c r="BP1023" s="70"/>
      <c r="BQ1023" s="70"/>
      <c r="BR1023" s="70"/>
      <c r="BS1023" s="70"/>
      <c r="BT1023" s="70"/>
      <c r="BU1023" s="70"/>
      <c r="BV1023" s="70"/>
      <c r="BW1023" s="70"/>
      <c r="BX1023" s="70"/>
      <c r="BY1023" s="70"/>
      <c r="BZ1023" s="70"/>
      <c r="CA1023" s="70"/>
      <c r="CB1023" s="70"/>
      <c r="CC1023" s="70"/>
      <c r="CD1023" s="70"/>
      <c r="CE1023" s="70"/>
      <c r="CF1023" s="70"/>
      <c r="CG1023" s="70"/>
      <c r="CH1023" s="70"/>
      <c r="CI1023" s="70"/>
      <c r="CJ1023" s="70"/>
      <c r="CK1023" s="70"/>
      <c r="CL1023" s="70"/>
      <c r="CM1023" s="70"/>
      <c r="CN1023" s="70"/>
      <c r="CO1023" s="70"/>
      <c r="CP1023" s="70"/>
      <c r="CQ1023" s="70"/>
      <c r="CR1023" s="70"/>
      <c r="CS1023" s="70"/>
      <c r="CT1023" s="70"/>
      <c r="CU1023" s="70"/>
      <c r="CV1023" s="70"/>
      <c r="CW1023" s="70"/>
      <c r="CX1023" s="70"/>
      <c r="CY1023" s="70"/>
      <c r="CZ1023" s="70"/>
      <c r="DA1023" s="70"/>
      <c r="DB1023" s="70"/>
      <c r="DC1023" s="70"/>
      <c r="DD1023" s="70"/>
      <c r="DE1023" s="70"/>
      <c r="DF1023" s="70"/>
      <c r="DG1023" s="70"/>
      <c r="DH1023" s="70"/>
      <c r="DI1023" s="70"/>
      <c r="DJ1023" s="70"/>
      <c r="DK1023" s="70"/>
      <c r="DL1023" s="70"/>
      <c r="DM1023" s="70"/>
      <c r="DN1023" s="70"/>
      <c r="DO1023" s="70"/>
      <c r="DP1023" s="70"/>
      <c r="DQ1023" s="70"/>
      <c r="DR1023" s="70"/>
      <c r="DS1023" s="70"/>
      <c r="DT1023" s="70"/>
      <c r="DU1023" s="70"/>
      <c r="DV1023" s="70"/>
      <c r="DW1023" s="70"/>
      <c r="DX1023" s="70"/>
      <c r="DY1023" s="70"/>
      <c r="DZ1023" s="70"/>
      <c r="EA1023" s="70"/>
      <c r="EB1023" s="70"/>
      <c r="EC1023" s="70"/>
      <c r="ED1023" s="70"/>
      <c r="EE1023" s="95" t="s">
        <v>450</v>
      </c>
      <c r="EF1023" s="110"/>
      <c r="EG1023" s="110"/>
      <c r="EH1023" s="110"/>
      <c r="EI1023" s="216"/>
      <c r="EJ1023" s="110"/>
      <c r="EK1023" s="110"/>
      <c r="EL1023" s="110"/>
      <c r="EM1023" s="110"/>
      <c r="EN1023" s="110"/>
      <c r="EO1023" s="110"/>
      <c r="EP1023" s="110"/>
      <c r="EQ1023" s="110"/>
      <c r="ER1023" s="110"/>
      <c r="ES1023" s="110"/>
      <c r="ET1023" s="110"/>
      <c r="EU1023" s="110"/>
      <c r="EV1023" s="110"/>
      <c r="EW1023" s="110"/>
      <c r="EX1023" s="110"/>
      <c r="EY1023" s="110"/>
      <c r="EZ1023" s="110"/>
      <c r="FA1023" s="110"/>
      <c r="FB1023" s="110"/>
      <c r="FC1023" s="110"/>
      <c r="FD1023" s="110"/>
      <c r="FE1023" s="110"/>
      <c r="FF1023" s="110"/>
      <c r="FG1023" s="110"/>
      <c r="FH1023" s="110"/>
      <c r="FI1023" s="110"/>
      <c r="FJ1023" s="110"/>
      <c r="FK1023" s="110"/>
      <c r="FL1023" s="110"/>
      <c r="FM1023" s="110"/>
      <c r="FN1023" s="110"/>
      <c r="FO1023" s="110"/>
      <c r="FP1023" s="110"/>
      <c r="FQ1023" s="110"/>
      <c r="FR1023" s="110"/>
      <c r="FS1023" s="110"/>
      <c r="FT1023" s="110"/>
      <c r="FU1023" s="110"/>
      <c r="FV1023" s="110"/>
      <c r="FW1023" s="110"/>
      <c r="FX1023" s="110"/>
      <c r="FY1023" s="110"/>
      <c r="FZ1023" s="110"/>
      <c r="GA1023" s="110"/>
      <c r="GB1023" s="110"/>
      <c r="GC1023" s="110"/>
      <c r="GD1023" s="110"/>
      <c r="GE1023" s="110"/>
      <c r="GF1023" s="110"/>
      <c r="GG1023" s="110"/>
      <c r="GH1023" s="110"/>
      <c r="GI1023" s="110"/>
      <c r="GJ1023" s="110"/>
      <c r="GK1023" s="110"/>
      <c r="GL1023" s="110"/>
      <c r="GM1023" s="110"/>
      <c r="GN1023" s="110"/>
      <c r="GO1023" s="110"/>
      <c r="GP1023" s="110"/>
      <c r="GQ1023" s="110"/>
      <c r="GR1023" s="110"/>
      <c r="GS1023" s="110"/>
      <c r="GT1023" s="110"/>
      <c r="GU1023" s="110"/>
      <c r="GV1023" s="110"/>
      <c r="GW1023" s="110"/>
      <c r="GX1023" s="110"/>
      <c r="GY1023" s="110"/>
      <c r="GZ1023" s="110"/>
      <c r="HA1023" s="110"/>
      <c r="HB1023" s="110"/>
      <c r="HC1023" s="110"/>
      <c r="HD1023" s="110"/>
      <c r="HE1023" s="110"/>
      <c r="HF1023" s="110"/>
      <c r="HG1023" s="110"/>
      <c r="HH1023" s="110"/>
      <c r="HI1023" s="110"/>
      <c r="HJ1023" s="110"/>
      <c r="HK1023" s="110"/>
      <c r="HL1023" s="110"/>
      <c r="HM1023" s="110"/>
      <c r="HN1023" s="110"/>
      <c r="HO1023" s="110"/>
      <c r="HP1023" s="110"/>
      <c r="HQ1023" s="110"/>
      <c r="HR1023" s="110"/>
      <c r="HS1023" s="110"/>
      <c r="HT1023" s="110"/>
      <c r="HU1023" s="110"/>
      <c r="HV1023" s="110"/>
      <c r="HW1023" s="110"/>
      <c r="HX1023" s="110"/>
      <c r="HY1023" s="110"/>
      <c r="HZ1023" s="110"/>
      <c r="IA1023" s="110"/>
      <c r="IB1023" s="110"/>
      <c r="IC1023" s="110"/>
      <c r="ID1023" s="110"/>
      <c r="IE1023" s="110"/>
      <c r="IF1023" s="110"/>
      <c r="IG1023" s="110"/>
      <c r="IH1023" s="110"/>
      <c r="II1023" s="110"/>
      <c r="IJ1023" s="110"/>
      <c r="IK1023" s="110"/>
      <c r="IL1023" s="110"/>
      <c r="IM1023" s="110"/>
      <c r="IN1023" s="110"/>
      <c r="IO1023" s="110"/>
      <c r="IP1023" s="110"/>
    </row>
    <row r="1024" spans="18:250" ht="16.5" hidden="1" customHeight="1">
      <c r="R1024" s="95"/>
      <c r="S1024" s="95"/>
      <c r="T1024" s="95"/>
      <c r="U1024" s="70"/>
      <c r="V1024" s="214"/>
      <c r="W1024" s="70"/>
      <c r="X1024" s="70"/>
      <c r="Y1024" s="70"/>
      <c r="Z1024" s="70"/>
      <c r="AA1024" s="70"/>
      <c r="AB1024" s="70"/>
      <c r="AC1024" s="70"/>
      <c r="AD1024" s="70"/>
      <c r="AE1024" s="70"/>
      <c r="AF1024" s="70"/>
      <c r="AG1024" s="70"/>
      <c r="AH1024" s="70"/>
      <c r="AI1024" s="70"/>
      <c r="AJ1024" s="70"/>
      <c r="AK1024" s="70"/>
      <c r="AL1024" s="70"/>
      <c r="AM1024" s="70"/>
      <c r="AN1024" s="70"/>
      <c r="AO1024" s="70"/>
      <c r="AP1024" s="70"/>
      <c r="AQ1024" s="70"/>
      <c r="AR1024" s="70"/>
      <c r="AS1024" s="70"/>
      <c r="AT1024" s="70"/>
      <c r="AU1024" s="70"/>
      <c r="AV1024" s="70"/>
      <c r="AW1024" s="70"/>
      <c r="AX1024" s="70"/>
      <c r="AY1024" s="70"/>
      <c r="AZ1024" s="70"/>
      <c r="BA1024" s="70"/>
      <c r="BB1024" s="70"/>
      <c r="BC1024" s="70"/>
      <c r="BD1024" s="70"/>
      <c r="BE1024" s="70"/>
      <c r="BF1024" s="70"/>
      <c r="BG1024" s="70"/>
      <c r="BH1024" s="70"/>
      <c r="BI1024" s="70"/>
      <c r="BJ1024" s="70"/>
      <c r="BK1024" s="70"/>
      <c r="BL1024" s="70"/>
      <c r="BM1024" s="70"/>
      <c r="BN1024" s="70"/>
      <c r="BO1024" s="70"/>
      <c r="BP1024" s="70"/>
      <c r="BQ1024" s="70"/>
      <c r="BR1024" s="70"/>
      <c r="BS1024" s="70"/>
      <c r="BT1024" s="70"/>
      <c r="BU1024" s="70"/>
      <c r="BV1024" s="70"/>
      <c r="BW1024" s="70"/>
      <c r="BX1024" s="70"/>
      <c r="BY1024" s="70"/>
      <c r="BZ1024" s="70"/>
      <c r="CA1024" s="70"/>
      <c r="CB1024" s="70"/>
      <c r="CC1024" s="70"/>
      <c r="CD1024" s="70"/>
      <c r="CE1024" s="70"/>
      <c r="CF1024" s="70"/>
      <c r="CG1024" s="70"/>
      <c r="CH1024" s="70"/>
      <c r="CI1024" s="70"/>
      <c r="CJ1024" s="70"/>
      <c r="CK1024" s="70"/>
      <c r="CL1024" s="70"/>
      <c r="CM1024" s="70"/>
      <c r="CN1024" s="70"/>
      <c r="CO1024" s="70"/>
      <c r="CP1024" s="70"/>
      <c r="CQ1024" s="70"/>
      <c r="CR1024" s="70"/>
      <c r="CS1024" s="70"/>
      <c r="CT1024" s="70"/>
      <c r="CU1024" s="70"/>
      <c r="CV1024" s="70"/>
      <c r="CW1024" s="70"/>
      <c r="CX1024" s="70"/>
      <c r="CY1024" s="70"/>
      <c r="CZ1024" s="70"/>
      <c r="DA1024" s="70"/>
      <c r="DB1024" s="70"/>
      <c r="DC1024" s="70"/>
      <c r="DD1024" s="70"/>
      <c r="DE1024" s="70"/>
      <c r="DF1024" s="70"/>
      <c r="DG1024" s="70"/>
      <c r="DH1024" s="70"/>
      <c r="DI1024" s="70"/>
      <c r="DJ1024" s="70"/>
      <c r="DK1024" s="70"/>
      <c r="DL1024" s="70"/>
      <c r="DM1024" s="70"/>
      <c r="DN1024" s="70"/>
      <c r="DO1024" s="70"/>
      <c r="DP1024" s="70"/>
      <c r="DQ1024" s="70"/>
      <c r="DR1024" s="70"/>
      <c r="DS1024" s="70"/>
      <c r="DT1024" s="70"/>
      <c r="DU1024" s="70"/>
      <c r="DV1024" s="70"/>
      <c r="DW1024" s="70"/>
      <c r="DX1024" s="70"/>
      <c r="DY1024" s="70"/>
      <c r="DZ1024" s="70"/>
      <c r="EA1024" s="70"/>
      <c r="EB1024" s="70"/>
      <c r="EC1024" s="70"/>
      <c r="ED1024" s="70"/>
      <c r="EE1024" s="95" t="s">
        <v>450</v>
      </c>
      <c r="EF1024" s="110"/>
      <c r="EG1024" s="110"/>
      <c r="EH1024" s="110"/>
      <c r="EI1024" s="216"/>
      <c r="EJ1024" s="110"/>
      <c r="EK1024" s="110"/>
      <c r="EL1024" s="110"/>
      <c r="EM1024" s="110"/>
      <c r="EN1024" s="110"/>
      <c r="EO1024" s="110"/>
      <c r="EP1024" s="110"/>
      <c r="EQ1024" s="110"/>
      <c r="ER1024" s="110"/>
      <c r="ES1024" s="110"/>
      <c r="ET1024" s="110"/>
      <c r="EU1024" s="110"/>
      <c r="EV1024" s="110"/>
      <c r="EW1024" s="110"/>
      <c r="EX1024" s="110"/>
      <c r="EY1024" s="110"/>
      <c r="EZ1024" s="110"/>
      <c r="FA1024" s="110"/>
      <c r="FB1024" s="110"/>
      <c r="FC1024" s="110"/>
      <c r="FD1024" s="110"/>
      <c r="FE1024" s="110"/>
      <c r="FF1024" s="110"/>
      <c r="FG1024" s="110"/>
      <c r="FH1024" s="110"/>
      <c r="FI1024" s="110"/>
      <c r="FJ1024" s="110"/>
      <c r="FK1024" s="110"/>
      <c r="FL1024" s="110"/>
      <c r="FM1024" s="110"/>
      <c r="FN1024" s="110"/>
      <c r="FO1024" s="110"/>
      <c r="FP1024" s="110"/>
      <c r="FQ1024" s="110"/>
      <c r="FR1024" s="110"/>
      <c r="FS1024" s="110"/>
      <c r="FT1024" s="110"/>
      <c r="FU1024" s="110"/>
      <c r="FV1024" s="110"/>
      <c r="FW1024" s="110"/>
      <c r="FX1024" s="110"/>
      <c r="FY1024" s="110"/>
      <c r="FZ1024" s="110"/>
      <c r="GA1024" s="110"/>
      <c r="GB1024" s="110"/>
      <c r="GC1024" s="110"/>
      <c r="GD1024" s="110"/>
      <c r="GE1024" s="110"/>
      <c r="GF1024" s="110"/>
      <c r="GG1024" s="110"/>
      <c r="GH1024" s="110"/>
      <c r="GI1024" s="110"/>
      <c r="GJ1024" s="110"/>
      <c r="GK1024" s="110"/>
      <c r="GL1024" s="110"/>
      <c r="GM1024" s="110"/>
      <c r="GN1024" s="110"/>
      <c r="GO1024" s="110"/>
      <c r="GP1024" s="110"/>
      <c r="GQ1024" s="110"/>
      <c r="GR1024" s="110"/>
      <c r="GS1024" s="110"/>
      <c r="GT1024" s="110"/>
      <c r="GU1024" s="110"/>
      <c r="GV1024" s="110"/>
      <c r="GW1024" s="110"/>
      <c r="GX1024" s="110"/>
      <c r="GY1024" s="110"/>
      <c r="GZ1024" s="110"/>
      <c r="HA1024" s="110"/>
      <c r="HB1024" s="110"/>
      <c r="HC1024" s="110"/>
      <c r="HD1024" s="110"/>
      <c r="HE1024" s="110"/>
      <c r="HF1024" s="110"/>
      <c r="HG1024" s="110"/>
      <c r="HH1024" s="110"/>
      <c r="HI1024" s="110"/>
      <c r="HJ1024" s="110"/>
      <c r="HK1024" s="110"/>
      <c r="HL1024" s="110"/>
      <c r="HM1024" s="110"/>
      <c r="HN1024" s="110"/>
      <c r="HO1024" s="110"/>
      <c r="HP1024" s="110"/>
      <c r="HQ1024" s="110"/>
      <c r="HR1024" s="110"/>
      <c r="HS1024" s="110"/>
      <c r="HT1024" s="110"/>
      <c r="HU1024" s="110"/>
      <c r="HV1024" s="110"/>
      <c r="HW1024" s="110"/>
      <c r="HX1024" s="110"/>
      <c r="HY1024" s="110"/>
      <c r="HZ1024" s="110"/>
      <c r="IA1024" s="110"/>
      <c r="IB1024" s="110"/>
      <c r="IC1024" s="110"/>
      <c r="ID1024" s="110"/>
      <c r="IE1024" s="110"/>
      <c r="IF1024" s="110"/>
      <c r="IG1024" s="110"/>
      <c r="IH1024" s="110"/>
      <c r="II1024" s="110"/>
      <c r="IJ1024" s="110"/>
      <c r="IK1024" s="110"/>
      <c r="IL1024" s="110"/>
      <c r="IM1024" s="110"/>
      <c r="IN1024" s="110"/>
      <c r="IO1024" s="110"/>
      <c r="IP1024" s="110"/>
    </row>
    <row r="1025" spans="18:250" ht="16.5" hidden="1" customHeight="1">
      <c r="R1025" s="95"/>
      <c r="S1025" s="95"/>
      <c r="T1025" s="95"/>
      <c r="U1025" s="70"/>
      <c r="V1025" s="214"/>
      <c r="W1025" s="70"/>
      <c r="X1025" s="70"/>
      <c r="Y1025" s="70"/>
      <c r="Z1025" s="70"/>
      <c r="AA1025" s="70"/>
      <c r="AB1025" s="70"/>
      <c r="AC1025" s="70"/>
      <c r="AD1025" s="70"/>
      <c r="AE1025" s="70"/>
      <c r="AF1025" s="70"/>
      <c r="AG1025" s="70"/>
      <c r="AH1025" s="70"/>
      <c r="AI1025" s="70"/>
      <c r="AJ1025" s="70"/>
      <c r="AK1025" s="70"/>
      <c r="AL1025" s="70"/>
      <c r="AM1025" s="70"/>
      <c r="AN1025" s="70"/>
      <c r="AO1025" s="70"/>
      <c r="AP1025" s="70"/>
      <c r="AQ1025" s="70"/>
      <c r="AR1025" s="70"/>
      <c r="AS1025" s="70"/>
      <c r="AT1025" s="70"/>
      <c r="AU1025" s="70"/>
      <c r="AV1025" s="70"/>
      <c r="AW1025" s="70"/>
      <c r="AX1025" s="70"/>
      <c r="AY1025" s="70"/>
      <c r="AZ1025" s="70"/>
      <c r="BA1025" s="70"/>
      <c r="BB1025" s="70"/>
      <c r="BC1025" s="70"/>
      <c r="BD1025" s="70"/>
      <c r="BE1025" s="70"/>
      <c r="BF1025" s="70"/>
      <c r="BG1025" s="70"/>
      <c r="BH1025" s="70"/>
      <c r="BI1025" s="70"/>
      <c r="BJ1025" s="70"/>
      <c r="BK1025" s="70"/>
      <c r="BL1025" s="70"/>
      <c r="BM1025" s="70"/>
      <c r="BN1025" s="70"/>
      <c r="BO1025" s="70"/>
      <c r="BP1025" s="70"/>
      <c r="BQ1025" s="70"/>
      <c r="BR1025" s="70"/>
      <c r="BS1025" s="70"/>
      <c r="BT1025" s="70"/>
      <c r="BU1025" s="70"/>
      <c r="BV1025" s="70"/>
      <c r="BW1025" s="70"/>
      <c r="BX1025" s="70"/>
      <c r="BY1025" s="70"/>
      <c r="BZ1025" s="70"/>
      <c r="CA1025" s="70"/>
      <c r="CB1025" s="70"/>
      <c r="CC1025" s="70"/>
      <c r="CD1025" s="70"/>
      <c r="CE1025" s="70"/>
      <c r="CF1025" s="70"/>
      <c r="CG1025" s="70"/>
      <c r="CH1025" s="70"/>
      <c r="CI1025" s="70"/>
      <c r="CJ1025" s="70"/>
      <c r="CK1025" s="70"/>
      <c r="CL1025" s="70"/>
      <c r="CM1025" s="70"/>
      <c r="CN1025" s="70"/>
      <c r="CO1025" s="70"/>
      <c r="CP1025" s="70"/>
      <c r="CQ1025" s="70"/>
      <c r="CR1025" s="70"/>
      <c r="CS1025" s="70"/>
      <c r="CT1025" s="70"/>
      <c r="CU1025" s="70"/>
      <c r="CV1025" s="70"/>
      <c r="CW1025" s="70"/>
      <c r="CX1025" s="70"/>
      <c r="CY1025" s="70"/>
      <c r="CZ1025" s="70"/>
      <c r="DA1025" s="70"/>
      <c r="DB1025" s="70"/>
      <c r="DC1025" s="70"/>
      <c r="DD1025" s="70"/>
      <c r="DE1025" s="70"/>
      <c r="DF1025" s="70"/>
      <c r="DG1025" s="70"/>
      <c r="DH1025" s="70"/>
      <c r="DI1025" s="70"/>
      <c r="DJ1025" s="70"/>
      <c r="DK1025" s="70"/>
      <c r="DL1025" s="70"/>
      <c r="DM1025" s="70"/>
      <c r="DN1025" s="70"/>
      <c r="DO1025" s="70"/>
      <c r="DP1025" s="70"/>
      <c r="DQ1025" s="70"/>
      <c r="DR1025" s="70"/>
      <c r="DS1025" s="70"/>
      <c r="DT1025" s="70"/>
      <c r="DU1025" s="70"/>
      <c r="DV1025" s="70"/>
      <c r="DW1025" s="70"/>
      <c r="DX1025" s="70"/>
      <c r="DY1025" s="70"/>
      <c r="DZ1025" s="70"/>
      <c r="EA1025" s="70"/>
      <c r="EB1025" s="70"/>
      <c r="EC1025" s="70"/>
      <c r="ED1025" s="70"/>
      <c r="EE1025" s="95" t="s">
        <v>450</v>
      </c>
      <c r="EF1025" s="110"/>
      <c r="EG1025" s="110"/>
      <c r="EH1025" s="110"/>
      <c r="EI1025" s="216"/>
      <c r="EJ1025" s="110"/>
      <c r="EK1025" s="110"/>
      <c r="EL1025" s="110"/>
      <c r="EM1025" s="110"/>
      <c r="EN1025" s="110"/>
      <c r="EO1025" s="110"/>
      <c r="EP1025" s="110"/>
      <c r="EQ1025" s="110"/>
      <c r="ER1025" s="110"/>
      <c r="ES1025" s="110"/>
      <c r="ET1025" s="110"/>
      <c r="EU1025" s="110"/>
      <c r="EV1025" s="110"/>
      <c r="EW1025" s="110"/>
      <c r="EX1025" s="110"/>
      <c r="EY1025" s="110"/>
      <c r="EZ1025" s="110"/>
      <c r="FA1025" s="110"/>
      <c r="FB1025" s="110"/>
      <c r="FC1025" s="110"/>
      <c r="FD1025" s="110"/>
      <c r="FE1025" s="110"/>
      <c r="FF1025" s="110"/>
      <c r="FG1025" s="110"/>
      <c r="FH1025" s="110"/>
      <c r="FI1025" s="110"/>
      <c r="FJ1025" s="110"/>
      <c r="FK1025" s="110"/>
      <c r="FL1025" s="110"/>
      <c r="FM1025" s="110"/>
      <c r="FN1025" s="110"/>
      <c r="FO1025" s="110"/>
      <c r="FP1025" s="110"/>
      <c r="FQ1025" s="110"/>
      <c r="FR1025" s="110"/>
      <c r="FS1025" s="110"/>
      <c r="FT1025" s="110"/>
      <c r="FU1025" s="110"/>
      <c r="FV1025" s="110"/>
      <c r="FW1025" s="110"/>
      <c r="FX1025" s="110"/>
      <c r="FY1025" s="110"/>
      <c r="FZ1025" s="110"/>
      <c r="GA1025" s="110"/>
      <c r="GB1025" s="110"/>
      <c r="GC1025" s="110"/>
      <c r="GD1025" s="110"/>
      <c r="GE1025" s="110"/>
      <c r="GF1025" s="110"/>
      <c r="GG1025" s="110"/>
      <c r="GH1025" s="110"/>
      <c r="GI1025" s="110"/>
      <c r="GJ1025" s="110"/>
      <c r="GK1025" s="110"/>
      <c r="GL1025" s="110"/>
      <c r="GM1025" s="110"/>
      <c r="GN1025" s="110"/>
      <c r="GO1025" s="110"/>
      <c r="GP1025" s="110"/>
      <c r="GQ1025" s="110"/>
      <c r="GR1025" s="110"/>
      <c r="GS1025" s="110"/>
      <c r="GT1025" s="110"/>
      <c r="GU1025" s="110"/>
      <c r="GV1025" s="110"/>
      <c r="GW1025" s="110"/>
      <c r="GX1025" s="110"/>
      <c r="GY1025" s="110"/>
      <c r="GZ1025" s="110"/>
      <c r="HA1025" s="110"/>
      <c r="HB1025" s="110"/>
      <c r="HC1025" s="110"/>
      <c r="HD1025" s="110"/>
      <c r="HE1025" s="110"/>
      <c r="HF1025" s="110"/>
      <c r="HG1025" s="110"/>
      <c r="HH1025" s="110"/>
      <c r="HI1025" s="110"/>
      <c r="HJ1025" s="110"/>
      <c r="HK1025" s="110"/>
      <c r="HL1025" s="110"/>
      <c r="HM1025" s="110"/>
      <c r="HN1025" s="110"/>
      <c r="HO1025" s="110"/>
      <c r="HP1025" s="110"/>
      <c r="HQ1025" s="110"/>
      <c r="HR1025" s="110"/>
      <c r="HS1025" s="110"/>
      <c r="HT1025" s="110"/>
      <c r="HU1025" s="110"/>
      <c r="HV1025" s="110"/>
      <c r="HW1025" s="110"/>
      <c r="HX1025" s="110"/>
      <c r="HY1025" s="110"/>
      <c r="HZ1025" s="110"/>
      <c r="IA1025" s="110"/>
      <c r="IB1025" s="110"/>
      <c r="IC1025" s="110"/>
      <c r="ID1025" s="110"/>
      <c r="IE1025" s="110"/>
      <c r="IF1025" s="110"/>
      <c r="IG1025" s="110"/>
      <c r="IH1025" s="110"/>
      <c r="II1025" s="110"/>
      <c r="IJ1025" s="110"/>
      <c r="IK1025" s="110"/>
      <c r="IL1025" s="110"/>
      <c r="IM1025" s="110"/>
      <c r="IN1025" s="110"/>
      <c r="IO1025" s="110"/>
      <c r="IP1025" s="110"/>
    </row>
    <row r="1026" spans="18:250" ht="16.5" hidden="1" customHeight="1">
      <c r="R1026" s="95"/>
      <c r="S1026" s="95"/>
      <c r="T1026" s="95"/>
      <c r="U1026" s="70"/>
      <c r="V1026" s="214"/>
      <c r="W1026" s="70"/>
      <c r="X1026" s="70"/>
      <c r="Y1026" s="70"/>
      <c r="Z1026" s="70"/>
      <c r="AA1026" s="70"/>
      <c r="AB1026" s="70"/>
      <c r="AC1026" s="70"/>
      <c r="AD1026" s="70"/>
      <c r="AE1026" s="70"/>
      <c r="AF1026" s="70"/>
      <c r="AG1026" s="70"/>
      <c r="AH1026" s="70"/>
      <c r="AI1026" s="70"/>
      <c r="AJ1026" s="70"/>
      <c r="AK1026" s="70"/>
      <c r="AL1026" s="70"/>
      <c r="AM1026" s="70"/>
      <c r="AN1026" s="70"/>
      <c r="AO1026" s="70"/>
      <c r="AP1026" s="70"/>
      <c r="AQ1026" s="70"/>
      <c r="AR1026" s="70"/>
      <c r="AS1026" s="70"/>
      <c r="AT1026" s="70"/>
      <c r="AU1026" s="70"/>
      <c r="AV1026" s="70"/>
      <c r="AW1026" s="70"/>
      <c r="AX1026" s="70"/>
      <c r="AY1026" s="70"/>
      <c r="AZ1026" s="70"/>
      <c r="BA1026" s="70"/>
      <c r="BB1026" s="70"/>
      <c r="BC1026" s="70"/>
      <c r="BD1026" s="70"/>
      <c r="BE1026" s="70"/>
      <c r="BF1026" s="70"/>
      <c r="BG1026" s="70"/>
      <c r="BH1026" s="70"/>
      <c r="BI1026" s="70"/>
      <c r="BJ1026" s="70"/>
      <c r="BK1026" s="70"/>
      <c r="BL1026" s="70"/>
      <c r="BM1026" s="70"/>
      <c r="BN1026" s="70"/>
      <c r="BO1026" s="70"/>
      <c r="BP1026" s="70"/>
      <c r="BQ1026" s="70"/>
      <c r="BR1026" s="70"/>
      <c r="BS1026" s="70"/>
      <c r="BT1026" s="70"/>
      <c r="BU1026" s="70"/>
      <c r="BV1026" s="70"/>
      <c r="BW1026" s="70"/>
      <c r="BX1026" s="70"/>
      <c r="BY1026" s="70"/>
      <c r="BZ1026" s="70"/>
      <c r="CA1026" s="70"/>
      <c r="CB1026" s="70"/>
      <c r="CC1026" s="70"/>
      <c r="CD1026" s="70"/>
      <c r="CE1026" s="70"/>
      <c r="CF1026" s="70"/>
      <c r="CG1026" s="70"/>
      <c r="CH1026" s="70"/>
      <c r="CI1026" s="70"/>
      <c r="CJ1026" s="70"/>
      <c r="CK1026" s="70"/>
      <c r="CL1026" s="70"/>
      <c r="CM1026" s="70"/>
      <c r="CN1026" s="70"/>
      <c r="CO1026" s="70"/>
      <c r="CP1026" s="70"/>
      <c r="CQ1026" s="70"/>
      <c r="CR1026" s="70"/>
      <c r="CS1026" s="70"/>
      <c r="CT1026" s="70"/>
      <c r="CU1026" s="70"/>
      <c r="CV1026" s="70"/>
      <c r="CW1026" s="70"/>
      <c r="CX1026" s="70"/>
      <c r="CY1026" s="70"/>
      <c r="CZ1026" s="70"/>
      <c r="DA1026" s="70"/>
      <c r="DB1026" s="70"/>
      <c r="DC1026" s="70"/>
      <c r="DD1026" s="70"/>
      <c r="DE1026" s="70"/>
      <c r="DF1026" s="70"/>
      <c r="DG1026" s="70"/>
      <c r="DH1026" s="70"/>
      <c r="DI1026" s="70"/>
      <c r="DJ1026" s="70"/>
      <c r="DK1026" s="70"/>
      <c r="DL1026" s="70"/>
      <c r="DM1026" s="70"/>
      <c r="DN1026" s="70"/>
      <c r="DO1026" s="70"/>
      <c r="DP1026" s="70"/>
      <c r="DQ1026" s="70"/>
      <c r="DR1026" s="70"/>
      <c r="DS1026" s="70"/>
      <c r="DT1026" s="70"/>
      <c r="DU1026" s="70"/>
      <c r="DV1026" s="70"/>
      <c r="DW1026" s="70"/>
      <c r="DX1026" s="70"/>
      <c r="DY1026" s="70"/>
      <c r="DZ1026" s="70"/>
      <c r="EA1026" s="70"/>
      <c r="EB1026" s="70"/>
      <c r="EC1026" s="70"/>
      <c r="ED1026" s="70"/>
      <c r="EE1026" s="95" t="s">
        <v>450</v>
      </c>
      <c r="EF1026" s="110"/>
      <c r="EG1026" s="110"/>
      <c r="EH1026" s="110"/>
      <c r="EI1026" s="216"/>
      <c r="EJ1026" s="110"/>
      <c r="EK1026" s="110"/>
      <c r="EL1026" s="110"/>
      <c r="EM1026" s="110"/>
      <c r="EN1026" s="110"/>
      <c r="EO1026" s="110"/>
      <c r="EP1026" s="110"/>
      <c r="EQ1026" s="110"/>
      <c r="ER1026" s="110"/>
      <c r="ES1026" s="110"/>
      <c r="ET1026" s="110"/>
      <c r="EU1026" s="110"/>
      <c r="EV1026" s="110"/>
      <c r="EW1026" s="110"/>
      <c r="EX1026" s="110"/>
      <c r="EY1026" s="110"/>
      <c r="EZ1026" s="110"/>
      <c r="FA1026" s="110"/>
      <c r="FB1026" s="110"/>
      <c r="FC1026" s="110"/>
      <c r="FD1026" s="110"/>
      <c r="FE1026" s="110"/>
      <c r="FF1026" s="110"/>
      <c r="FG1026" s="110"/>
      <c r="FH1026" s="110"/>
      <c r="FI1026" s="110"/>
      <c r="FJ1026" s="110"/>
      <c r="FK1026" s="110"/>
      <c r="FL1026" s="110"/>
      <c r="FM1026" s="110"/>
      <c r="FN1026" s="110"/>
      <c r="FO1026" s="110"/>
      <c r="FP1026" s="110"/>
      <c r="FQ1026" s="110"/>
      <c r="FR1026" s="110"/>
      <c r="FS1026" s="110"/>
      <c r="FT1026" s="110"/>
      <c r="FU1026" s="110"/>
      <c r="FV1026" s="110"/>
      <c r="FW1026" s="110"/>
      <c r="FX1026" s="110"/>
      <c r="FY1026" s="110"/>
      <c r="FZ1026" s="110"/>
      <c r="GA1026" s="110"/>
      <c r="GB1026" s="110"/>
      <c r="GC1026" s="110"/>
      <c r="GD1026" s="110"/>
      <c r="GE1026" s="110"/>
      <c r="GF1026" s="110"/>
      <c r="GG1026" s="110"/>
      <c r="GH1026" s="110"/>
      <c r="GI1026" s="110"/>
      <c r="GJ1026" s="110"/>
      <c r="GK1026" s="110"/>
      <c r="GL1026" s="110"/>
      <c r="GM1026" s="110"/>
      <c r="GN1026" s="110"/>
      <c r="GO1026" s="110"/>
      <c r="GP1026" s="110"/>
      <c r="GQ1026" s="110"/>
      <c r="GR1026" s="110"/>
      <c r="GS1026" s="110"/>
      <c r="GT1026" s="110"/>
      <c r="GU1026" s="110"/>
      <c r="GV1026" s="110"/>
      <c r="GW1026" s="110"/>
      <c r="GX1026" s="110"/>
      <c r="GY1026" s="110"/>
      <c r="GZ1026" s="110"/>
      <c r="HA1026" s="110"/>
      <c r="HB1026" s="110"/>
      <c r="HC1026" s="110"/>
      <c r="HD1026" s="110"/>
      <c r="HE1026" s="110"/>
      <c r="HF1026" s="110"/>
      <c r="HG1026" s="110"/>
      <c r="HH1026" s="110"/>
      <c r="HI1026" s="110"/>
      <c r="HJ1026" s="110"/>
      <c r="HK1026" s="110"/>
      <c r="HL1026" s="110"/>
      <c r="HM1026" s="110"/>
      <c r="HN1026" s="110"/>
      <c r="HO1026" s="110"/>
      <c r="HP1026" s="110"/>
      <c r="HQ1026" s="110"/>
      <c r="HR1026" s="110"/>
      <c r="HS1026" s="110"/>
      <c r="HT1026" s="110"/>
      <c r="HU1026" s="110"/>
      <c r="HV1026" s="110"/>
      <c r="HW1026" s="110"/>
      <c r="HX1026" s="110"/>
      <c r="HY1026" s="110"/>
      <c r="HZ1026" s="110"/>
      <c r="IA1026" s="110"/>
      <c r="IB1026" s="110"/>
      <c r="IC1026" s="110"/>
      <c r="ID1026" s="110"/>
      <c r="IE1026" s="110"/>
      <c r="IF1026" s="110"/>
      <c r="IG1026" s="110"/>
      <c r="IH1026" s="110"/>
      <c r="II1026" s="110"/>
      <c r="IJ1026" s="110"/>
      <c r="IK1026" s="110"/>
      <c r="IL1026" s="110"/>
      <c r="IM1026" s="110"/>
      <c r="IN1026" s="110"/>
      <c r="IO1026" s="110"/>
      <c r="IP1026" s="110"/>
    </row>
    <row r="1027" spans="18:250" ht="16.5" hidden="1" customHeight="1">
      <c r="R1027" s="95"/>
      <c r="S1027" s="95"/>
      <c r="T1027" s="95"/>
      <c r="U1027" s="70"/>
      <c r="V1027" s="214"/>
      <c r="W1027" s="70"/>
      <c r="X1027" s="70"/>
      <c r="Y1027" s="70"/>
      <c r="Z1027" s="70"/>
      <c r="AA1027" s="70"/>
      <c r="AB1027" s="70"/>
      <c r="AC1027" s="70"/>
      <c r="AD1027" s="70"/>
      <c r="AE1027" s="70"/>
      <c r="AF1027" s="70"/>
      <c r="AG1027" s="70"/>
      <c r="AH1027" s="70"/>
      <c r="AI1027" s="70"/>
      <c r="AJ1027" s="70"/>
      <c r="AK1027" s="70"/>
      <c r="AL1027" s="70"/>
      <c r="AM1027" s="70"/>
      <c r="AN1027" s="70"/>
      <c r="AO1027" s="70"/>
      <c r="AP1027" s="70"/>
      <c r="AQ1027" s="70"/>
      <c r="AR1027" s="70"/>
      <c r="AS1027" s="70"/>
      <c r="AT1027" s="70"/>
      <c r="AU1027" s="70"/>
      <c r="AV1027" s="70"/>
      <c r="AW1027" s="70"/>
      <c r="AX1027" s="70"/>
      <c r="AY1027" s="70"/>
      <c r="AZ1027" s="70"/>
      <c r="BA1027" s="70"/>
      <c r="BB1027" s="70"/>
      <c r="BC1027" s="70"/>
      <c r="BD1027" s="70"/>
      <c r="BE1027" s="70"/>
      <c r="BF1027" s="70"/>
      <c r="BG1027" s="70"/>
      <c r="BH1027" s="70"/>
      <c r="BI1027" s="70"/>
      <c r="BJ1027" s="70"/>
      <c r="BK1027" s="70"/>
      <c r="BL1027" s="70"/>
      <c r="BM1027" s="70"/>
      <c r="BN1027" s="70"/>
      <c r="BO1027" s="70"/>
      <c r="BP1027" s="70"/>
      <c r="BQ1027" s="70"/>
      <c r="BR1027" s="70"/>
      <c r="BS1027" s="70"/>
      <c r="BT1027" s="70"/>
      <c r="BU1027" s="70"/>
      <c r="BV1027" s="70"/>
      <c r="BW1027" s="70"/>
      <c r="BX1027" s="70"/>
      <c r="BY1027" s="70"/>
      <c r="BZ1027" s="70"/>
      <c r="CA1027" s="70"/>
      <c r="CB1027" s="70"/>
      <c r="CC1027" s="70"/>
      <c r="CD1027" s="70"/>
      <c r="CE1027" s="70"/>
      <c r="CF1027" s="70"/>
      <c r="CG1027" s="70"/>
      <c r="CH1027" s="70"/>
      <c r="CI1027" s="70"/>
      <c r="CJ1027" s="70"/>
      <c r="CK1027" s="70"/>
      <c r="CL1027" s="70"/>
      <c r="CM1027" s="70"/>
      <c r="CN1027" s="70"/>
      <c r="CO1027" s="70"/>
      <c r="CP1027" s="70"/>
      <c r="CQ1027" s="70"/>
      <c r="CR1027" s="70"/>
      <c r="CS1027" s="70"/>
      <c r="CT1027" s="70"/>
      <c r="CU1027" s="70"/>
      <c r="CV1027" s="70"/>
      <c r="CW1027" s="70"/>
      <c r="CX1027" s="70"/>
      <c r="CY1027" s="70"/>
      <c r="CZ1027" s="70"/>
      <c r="DA1027" s="70"/>
      <c r="DB1027" s="70"/>
      <c r="DC1027" s="70"/>
      <c r="DD1027" s="70"/>
      <c r="DE1027" s="70"/>
      <c r="DF1027" s="70"/>
      <c r="DG1027" s="70"/>
      <c r="DH1027" s="70"/>
      <c r="DI1027" s="70"/>
      <c r="DJ1027" s="70"/>
      <c r="DK1027" s="70"/>
      <c r="DL1027" s="70"/>
      <c r="DM1027" s="70"/>
      <c r="DN1027" s="70"/>
      <c r="DO1027" s="70"/>
      <c r="DP1027" s="70"/>
      <c r="DQ1027" s="70"/>
      <c r="DR1027" s="70"/>
      <c r="DS1027" s="70"/>
      <c r="DT1027" s="70"/>
      <c r="DU1027" s="70"/>
      <c r="DV1027" s="70"/>
      <c r="DW1027" s="70"/>
      <c r="DX1027" s="70"/>
      <c r="DY1027" s="70"/>
      <c r="DZ1027" s="70"/>
      <c r="EA1027" s="70"/>
      <c r="EB1027" s="70"/>
      <c r="EC1027" s="70"/>
      <c r="ED1027" s="70"/>
      <c r="EE1027" s="95" t="s">
        <v>450</v>
      </c>
      <c r="EF1027" s="110"/>
      <c r="EG1027" s="110"/>
      <c r="EH1027" s="110"/>
      <c r="EI1027" s="216"/>
      <c r="EJ1027" s="110"/>
      <c r="EK1027" s="110"/>
      <c r="EL1027" s="110"/>
      <c r="EM1027" s="110"/>
      <c r="EN1027" s="110"/>
      <c r="EO1027" s="110"/>
      <c r="EP1027" s="110"/>
      <c r="EQ1027" s="110"/>
      <c r="ER1027" s="110"/>
      <c r="ES1027" s="110"/>
      <c r="ET1027" s="110"/>
      <c r="EU1027" s="110"/>
      <c r="EV1027" s="110"/>
      <c r="EW1027" s="110"/>
      <c r="EX1027" s="110"/>
      <c r="EY1027" s="110"/>
      <c r="EZ1027" s="110"/>
      <c r="FA1027" s="110"/>
      <c r="FB1027" s="110"/>
      <c r="FC1027" s="110"/>
      <c r="FD1027" s="110"/>
      <c r="FE1027" s="110"/>
      <c r="FF1027" s="110"/>
      <c r="FG1027" s="110"/>
      <c r="FH1027" s="110"/>
      <c r="FI1027" s="110"/>
      <c r="FJ1027" s="110"/>
      <c r="FK1027" s="110"/>
      <c r="FL1027" s="110"/>
      <c r="FM1027" s="110"/>
      <c r="FN1027" s="110"/>
      <c r="FO1027" s="110"/>
      <c r="FP1027" s="110"/>
      <c r="FQ1027" s="110"/>
      <c r="FR1027" s="110"/>
      <c r="FS1027" s="110"/>
      <c r="FT1027" s="110"/>
      <c r="FU1027" s="110"/>
      <c r="FV1027" s="110"/>
      <c r="FW1027" s="110"/>
      <c r="FX1027" s="110"/>
      <c r="FY1027" s="110"/>
      <c r="FZ1027" s="110"/>
      <c r="GA1027" s="110"/>
      <c r="GB1027" s="110"/>
      <c r="GC1027" s="110"/>
      <c r="GD1027" s="110"/>
      <c r="GE1027" s="110"/>
      <c r="GF1027" s="110"/>
      <c r="GG1027" s="110"/>
      <c r="GH1027" s="110"/>
      <c r="GI1027" s="110"/>
      <c r="GJ1027" s="110"/>
      <c r="GK1027" s="110"/>
      <c r="GL1027" s="110"/>
      <c r="GM1027" s="110"/>
      <c r="GN1027" s="110"/>
      <c r="GO1027" s="110"/>
      <c r="GP1027" s="110"/>
      <c r="GQ1027" s="110"/>
      <c r="GR1027" s="110"/>
      <c r="GS1027" s="110"/>
      <c r="GT1027" s="110"/>
      <c r="GU1027" s="110"/>
      <c r="GV1027" s="110"/>
      <c r="GW1027" s="110"/>
      <c r="GX1027" s="110"/>
      <c r="GY1027" s="110"/>
      <c r="GZ1027" s="110"/>
      <c r="HA1027" s="110"/>
      <c r="HB1027" s="110"/>
      <c r="HC1027" s="110"/>
      <c r="HD1027" s="110"/>
      <c r="HE1027" s="110"/>
      <c r="HF1027" s="110"/>
      <c r="HG1027" s="110"/>
      <c r="HH1027" s="110"/>
      <c r="HI1027" s="110"/>
      <c r="HJ1027" s="110"/>
      <c r="HK1027" s="110"/>
      <c r="HL1027" s="110"/>
      <c r="HM1027" s="110"/>
      <c r="HN1027" s="110"/>
      <c r="HO1027" s="110"/>
      <c r="HP1027" s="110"/>
      <c r="HQ1027" s="110"/>
      <c r="HR1027" s="110"/>
      <c r="HS1027" s="110"/>
      <c r="HT1027" s="110"/>
      <c r="HU1027" s="110"/>
      <c r="HV1027" s="110"/>
      <c r="HW1027" s="110"/>
      <c r="HX1027" s="110"/>
      <c r="HY1027" s="110"/>
      <c r="HZ1027" s="110"/>
      <c r="IA1027" s="110"/>
      <c r="IB1027" s="110"/>
      <c r="IC1027" s="110"/>
      <c r="ID1027" s="110"/>
      <c r="IE1027" s="110"/>
      <c r="IF1027" s="110"/>
      <c r="IG1027" s="110"/>
      <c r="IH1027" s="110"/>
      <c r="II1027" s="110"/>
      <c r="IJ1027" s="110"/>
      <c r="IK1027" s="110"/>
      <c r="IL1027" s="110"/>
      <c r="IM1027" s="110"/>
      <c r="IN1027" s="110"/>
      <c r="IO1027" s="110"/>
      <c r="IP1027" s="110"/>
    </row>
    <row r="1028" spans="18:250" ht="16.5" hidden="1" customHeight="1">
      <c r="R1028" s="95"/>
      <c r="S1028" s="95"/>
      <c r="T1028" s="95"/>
      <c r="U1028" s="70"/>
      <c r="V1028" s="214"/>
      <c r="W1028" s="70"/>
      <c r="X1028" s="70"/>
      <c r="Y1028" s="70"/>
      <c r="Z1028" s="70"/>
      <c r="AA1028" s="70"/>
      <c r="AB1028" s="70"/>
      <c r="AC1028" s="70"/>
      <c r="AD1028" s="70"/>
      <c r="AE1028" s="70"/>
      <c r="AF1028" s="70"/>
      <c r="AG1028" s="70"/>
      <c r="AH1028" s="70"/>
      <c r="AI1028" s="70"/>
      <c r="AJ1028" s="70"/>
      <c r="AK1028" s="70"/>
      <c r="AL1028" s="70"/>
      <c r="AM1028" s="70"/>
      <c r="AN1028" s="70"/>
      <c r="AO1028" s="70"/>
      <c r="AP1028" s="70"/>
      <c r="AQ1028" s="70"/>
      <c r="AR1028" s="70"/>
      <c r="AS1028" s="70"/>
      <c r="AT1028" s="70"/>
      <c r="AU1028" s="70"/>
      <c r="AV1028" s="70"/>
      <c r="AW1028" s="70"/>
      <c r="AX1028" s="70"/>
      <c r="AY1028" s="70"/>
      <c r="AZ1028" s="70"/>
      <c r="BA1028" s="70"/>
      <c r="BB1028" s="70"/>
      <c r="BC1028" s="70"/>
      <c r="BD1028" s="70"/>
      <c r="BE1028" s="70"/>
      <c r="BF1028" s="70"/>
      <c r="BG1028" s="70"/>
      <c r="BH1028" s="70"/>
      <c r="BI1028" s="70"/>
      <c r="BJ1028" s="70"/>
      <c r="BK1028" s="70"/>
      <c r="BL1028" s="70"/>
      <c r="BM1028" s="70"/>
      <c r="BN1028" s="70"/>
      <c r="BO1028" s="70"/>
      <c r="BP1028" s="70"/>
      <c r="BQ1028" s="70"/>
      <c r="BR1028" s="70"/>
      <c r="BS1028" s="70"/>
      <c r="BT1028" s="70"/>
      <c r="BU1028" s="70"/>
      <c r="BV1028" s="70"/>
      <c r="BW1028" s="70"/>
      <c r="BX1028" s="70"/>
      <c r="BY1028" s="70"/>
      <c r="BZ1028" s="70"/>
      <c r="CA1028" s="70"/>
      <c r="CB1028" s="70"/>
      <c r="CC1028" s="70"/>
      <c r="CD1028" s="70"/>
      <c r="CE1028" s="70"/>
      <c r="CF1028" s="70"/>
      <c r="CG1028" s="70"/>
      <c r="CH1028" s="70"/>
      <c r="CI1028" s="70"/>
      <c r="CJ1028" s="70"/>
      <c r="CK1028" s="70"/>
      <c r="CL1028" s="70"/>
      <c r="CM1028" s="70"/>
      <c r="CN1028" s="70"/>
      <c r="CO1028" s="70"/>
      <c r="CP1028" s="70"/>
      <c r="CQ1028" s="70"/>
      <c r="CR1028" s="70"/>
      <c r="CS1028" s="70"/>
      <c r="CT1028" s="70"/>
      <c r="CU1028" s="70"/>
      <c r="CV1028" s="70"/>
      <c r="CW1028" s="70"/>
      <c r="CX1028" s="70"/>
      <c r="CY1028" s="70"/>
      <c r="CZ1028" s="70"/>
      <c r="DA1028" s="70"/>
      <c r="DB1028" s="70"/>
      <c r="DC1028" s="70"/>
      <c r="DD1028" s="70"/>
      <c r="DE1028" s="70"/>
      <c r="DF1028" s="70"/>
      <c r="DG1028" s="70"/>
      <c r="DH1028" s="70"/>
      <c r="DI1028" s="70"/>
      <c r="DJ1028" s="70"/>
      <c r="DK1028" s="70"/>
      <c r="DL1028" s="70"/>
      <c r="DM1028" s="70"/>
      <c r="DN1028" s="70"/>
      <c r="DO1028" s="70"/>
      <c r="DP1028" s="70"/>
      <c r="DQ1028" s="70"/>
      <c r="DR1028" s="70"/>
      <c r="DS1028" s="70"/>
      <c r="DT1028" s="70"/>
      <c r="DU1028" s="70"/>
      <c r="DV1028" s="70"/>
      <c r="DW1028" s="70"/>
      <c r="DX1028" s="70"/>
      <c r="DY1028" s="70"/>
      <c r="DZ1028" s="70"/>
      <c r="EA1028" s="70"/>
      <c r="EB1028" s="70"/>
      <c r="EC1028" s="70"/>
      <c r="ED1028" s="70"/>
      <c r="EE1028" s="95" t="s">
        <v>450</v>
      </c>
      <c r="EF1028" s="110"/>
      <c r="EG1028" s="110"/>
      <c r="EH1028" s="110"/>
      <c r="EI1028" s="216"/>
      <c r="EJ1028" s="110"/>
      <c r="EK1028" s="110"/>
      <c r="EL1028" s="110"/>
      <c r="EM1028" s="110"/>
      <c r="EN1028" s="110"/>
      <c r="EO1028" s="110"/>
      <c r="EP1028" s="110"/>
      <c r="EQ1028" s="110"/>
      <c r="ER1028" s="110"/>
      <c r="ES1028" s="110"/>
      <c r="ET1028" s="110"/>
      <c r="EU1028" s="110"/>
      <c r="EV1028" s="110"/>
      <c r="EW1028" s="110"/>
      <c r="EX1028" s="110"/>
      <c r="EY1028" s="110"/>
      <c r="EZ1028" s="110"/>
      <c r="FA1028" s="110"/>
      <c r="FB1028" s="110"/>
      <c r="FC1028" s="110"/>
      <c r="FD1028" s="110"/>
      <c r="FE1028" s="110"/>
      <c r="FF1028" s="110"/>
      <c r="FG1028" s="110"/>
      <c r="FH1028" s="110"/>
      <c r="FI1028" s="110"/>
      <c r="FJ1028" s="110"/>
      <c r="FK1028" s="110"/>
      <c r="FL1028" s="110"/>
      <c r="FM1028" s="110"/>
      <c r="FN1028" s="110"/>
      <c r="FO1028" s="110"/>
      <c r="FP1028" s="110"/>
      <c r="FQ1028" s="110"/>
      <c r="FR1028" s="110"/>
      <c r="FS1028" s="110"/>
      <c r="FT1028" s="110"/>
      <c r="FU1028" s="110"/>
      <c r="FV1028" s="110"/>
      <c r="FW1028" s="110"/>
      <c r="FX1028" s="110"/>
      <c r="FY1028" s="110"/>
      <c r="FZ1028" s="110"/>
      <c r="GA1028" s="110"/>
      <c r="GB1028" s="110"/>
      <c r="GC1028" s="110"/>
      <c r="GD1028" s="110"/>
      <c r="GE1028" s="110"/>
      <c r="GF1028" s="110"/>
      <c r="GG1028" s="110"/>
      <c r="GH1028" s="110"/>
      <c r="GI1028" s="110"/>
      <c r="GJ1028" s="110"/>
      <c r="GK1028" s="110"/>
      <c r="GL1028" s="110"/>
      <c r="GM1028" s="110"/>
      <c r="GN1028" s="110"/>
      <c r="GO1028" s="110"/>
      <c r="GP1028" s="110"/>
      <c r="GQ1028" s="110"/>
      <c r="GR1028" s="110"/>
      <c r="GS1028" s="110"/>
      <c r="GT1028" s="110"/>
      <c r="GU1028" s="110"/>
      <c r="GV1028" s="110"/>
      <c r="GW1028" s="110"/>
      <c r="GX1028" s="110"/>
      <c r="GY1028" s="110"/>
      <c r="GZ1028" s="110"/>
      <c r="HA1028" s="110"/>
      <c r="HB1028" s="110"/>
      <c r="HC1028" s="110"/>
      <c r="HD1028" s="110"/>
      <c r="HE1028" s="110"/>
      <c r="HF1028" s="110"/>
      <c r="HG1028" s="110"/>
      <c r="HH1028" s="110"/>
      <c r="HI1028" s="110"/>
      <c r="HJ1028" s="110"/>
      <c r="HK1028" s="110"/>
      <c r="HL1028" s="110"/>
      <c r="HM1028" s="110"/>
      <c r="HN1028" s="110"/>
      <c r="HO1028" s="110"/>
      <c r="HP1028" s="110"/>
      <c r="HQ1028" s="110"/>
      <c r="HR1028" s="110"/>
      <c r="HS1028" s="110"/>
      <c r="HT1028" s="110"/>
      <c r="HU1028" s="110"/>
      <c r="HV1028" s="110"/>
      <c r="HW1028" s="110"/>
      <c r="HX1028" s="110"/>
      <c r="HY1028" s="110"/>
      <c r="HZ1028" s="110"/>
      <c r="IA1028" s="110"/>
      <c r="IB1028" s="110"/>
      <c r="IC1028" s="110"/>
      <c r="ID1028" s="110"/>
      <c r="IE1028" s="110"/>
      <c r="IF1028" s="110"/>
      <c r="IG1028" s="110"/>
      <c r="IH1028" s="110"/>
      <c r="II1028" s="110"/>
      <c r="IJ1028" s="110"/>
      <c r="IK1028" s="110"/>
      <c r="IL1028" s="110"/>
      <c r="IM1028" s="110"/>
      <c r="IN1028" s="110"/>
      <c r="IO1028" s="110"/>
      <c r="IP1028" s="110"/>
    </row>
    <row r="1029" spans="18:250" ht="16.5" hidden="1" customHeight="1">
      <c r="R1029" s="95"/>
      <c r="S1029" s="95"/>
      <c r="T1029" s="95"/>
      <c r="U1029" s="70"/>
      <c r="V1029" s="214"/>
      <c r="W1029" s="70"/>
      <c r="X1029" s="70"/>
      <c r="Y1029" s="70"/>
      <c r="Z1029" s="70"/>
      <c r="AA1029" s="70"/>
      <c r="AB1029" s="70"/>
      <c r="AC1029" s="70"/>
      <c r="AD1029" s="70"/>
      <c r="AE1029" s="70"/>
      <c r="AF1029" s="70"/>
      <c r="AG1029" s="70"/>
      <c r="AH1029" s="70"/>
      <c r="AI1029" s="70"/>
      <c r="AJ1029" s="70"/>
      <c r="AK1029" s="70"/>
      <c r="AL1029" s="70"/>
      <c r="AM1029" s="70"/>
      <c r="AN1029" s="70"/>
      <c r="AO1029" s="70"/>
      <c r="AP1029" s="70"/>
      <c r="AQ1029" s="70"/>
      <c r="AR1029" s="70"/>
      <c r="AS1029" s="70"/>
      <c r="AT1029" s="70"/>
      <c r="AU1029" s="70"/>
      <c r="AV1029" s="70"/>
      <c r="AW1029" s="70"/>
      <c r="AX1029" s="70"/>
      <c r="AY1029" s="70"/>
      <c r="AZ1029" s="70"/>
      <c r="BA1029" s="70"/>
      <c r="BB1029" s="70"/>
      <c r="BC1029" s="70"/>
      <c r="BD1029" s="70"/>
      <c r="BE1029" s="70"/>
      <c r="BF1029" s="70"/>
      <c r="BG1029" s="70"/>
      <c r="BH1029" s="70"/>
      <c r="BI1029" s="70"/>
      <c r="BJ1029" s="70"/>
      <c r="BK1029" s="70"/>
      <c r="BL1029" s="70"/>
      <c r="BM1029" s="70"/>
      <c r="BN1029" s="70"/>
      <c r="BO1029" s="70"/>
      <c r="BP1029" s="70"/>
      <c r="BQ1029" s="70"/>
      <c r="BR1029" s="70"/>
      <c r="BS1029" s="70"/>
      <c r="BT1029" s="70"/>
      <c r="BU1029" s="70"/>
      <c r="BV1029" s="70"/>
      <c r="BW1029" s="70"/>
      <c r="BX1029" s="70"/>
      <c r="BY1029" s="70"/>
      <c r="BZ1029" s="70"/>
      <c r="CA1029" s="70"/>
      <c r="CB1029" s="70"/>
      <c r="CC1029" s="70"/>
      <c r="CD1029" s="70"/>
      <c r="CE1029" s="70"/>
      <c r="CF1029" s="70"/>
      <c r="CG1029" s="70"/>
      <c r="CH1029" s="70"/>
      <c r="CI1029" s="70"/>
      <c r="CJ1029" s="70"/>
      <c r="CK1029" s="70"/>
      <c r="CL1029" s="70"/>
      <c r="CM1029" s="70"/>
      <c r="CN1029" s="70"/>
      <c r="CO1029" s="70"/>
      <c r="CP1029" s="70"/>
      <c r="CQ1029" s="70"/>
      <c r="CR1029" s="70"/>
      <c r="CS1029" s="70"/>
      <c r="CT1029" s="70"/>
      <c r="CU1029" s="70"/>
      <c r="CV1029" s="70"/>
      <c r="CW1029" s="70"/>
      <c r="CX1029" s="70"/>
      <c r="CY1029" s="70"/>
      <c r="CZ1029" s="70"/>
      <c r="DA1029" s="70"/>
      <c r="DB1029" s="70"/>
      <c r="DC1029" s="70"/>
      <c r="DD1029" s="70"/>
      <c r="DE1029" s="70"/>
      <c r="DF1029" s="70"/>
      <c r="DG1029" s="70"/>
      <c r="DH1029" s="70"/>
      <c r="DI1029" s="70"/>
      <c r="DJ1029" s="70"/>
      <c r="DK1029" s="70"/>
      <c r="DL1029" s="70"/>
      <c r="DM1029" s="70"/>
      <c r="DN1029" s="70"/>
      <c r="DO1029" s="70"/>
      <c r="DP1029" s="70"/>
      <c r="DQ1029" s="70"/>
      <c r="DR1029" s="70"/>
      <c r="DS1029" s="70"/>
      <c r="DT1029" s="70"/>
      <c r="DU1029" s="70"/>
      <c r="DV1029" s="70"/>
      <c r="DW1029" s="70"/>
      <c r="DX1029" s="70"/>
      <c r="DY1029" s="70"/>
      <c r="DZ1029" s="70"/>
      <c r="EA1029" s="70"/>
      <c r="EB1029" s="70"/>
      <c r="EC1029" s="70"/>
      <c r="ED1029" s="70"/>
      <c r="EE1029" s="95" t="s">
        <v>450</v>
      </c>
      <c r="EF1029" s="110"/>
      <c r="EG1029" s="110"/>
      <c r="EH1029" s="110"/>
      <c r="EI1029" s="216"/>
      <c r="EJ1029" s="110"/>
      <c r="EK1029" s="110"/>
      <c r="EL1029" s="110"/>
      <c r="EM1029" s="110"/>
      <c r="EN1029" s="110"/>
      <c r="EO1029" s="110"/>
      <c r="EP1029" s="110"/>
      <c r="EQ1029" s="110"/>
      <c r="ER1029" s="110"/>
      <c r="ES1029" s="110"/>
      <c r="ET1029" s="110"/>
      <c r="EU1029" s="110"/>
      <c r="EV1029" s="110"/>
      <c r="EW1029" s="110"/>
      <c r="EX1029" s="110"/>
      <c r="EY1029" s="110"/>
      <c r="EZ1029" s="110"/>
      <c r="FA1029" s="110"/>
      <c r="FB1029" s="110"/>
      <c r="FC1029" s="110"/>
      <c r="FD1029" s="110"/>
      <c r="FE1029" s="110"/>
      <c r="FF1029" s="110"/>
      <c r="FG1029" s="110"/>
      <c r="FH1029" s="110"/>
      <c r="FI1029" s="110"/>
      <c r="FJ1029" s="110"/>
      <c r="FK1029" s="110"/>
      <c r="FL1029" s="110"/>
      <c r="FM1029" s="110"/>
      <c r="FN1029" s="110"/>
      <c r="FO1029" s="110"/>
      <c r="FP1029" s="110"/>
      <c r="FQ1029" s="110"/>
      <c r="FR1029" s="110"/>
      <c r="FS1029" s="110"/>
      <c r="FT1029" s="110"/>
      <c r="FU1029" s="110"/>
      <c r="FV1029" s="110"/>
      <c r="FW1029" s="110"/>
      <c r="FX1029" s="110"/>
      <c r="FY1029" s="110"/>
      <c r="FZ1029" s="110"/>
      <c r="GA1029" s="110"/>
      <c r="GB1029" s="110"/>
      <c r="GC1029" s="110"/>
      <c r="GD1029" s="110"/>
      <c r="GE1029" s="110"/>
      <c r="GF1029" s="110"/>
      <c r="GG1029" s="110"/>
      <c r="GH1029" s="110"/>
      <c r="GI1029" s="110"/>
      <c r="GJ1029" s="110"/>
      <c r="GK1029" s="110"/>
      <c r="GL1029" s="110"/>
      <c r="GM1029" s="110"/>
      <c r="GN1029" s="110"/>
      <c r="GO1029" s="110"/>
      <c r="GP1029" s="110"/>
      <c r="GQ1029" s="110"/>
      <c r="GR1029" s="110"/>
      <c r="GS1029" s="110"/>
      <c r="GT1029" s="110"/>
      <c r="GU1029" s="110"/>
      <c r="GV1029" s="110"/>
      <c r="GW1029" s="110"/>
      <c r="GX1029" s="110"/>
      <c r="GY1029" s="110"/>
      <c r="GZ1029" s="110"/>
      <c r="HA1029" s="110"/>
      <c r="HB1029" s="110"/>
      <c r="HC1029" s="110"/>
      <c r="HD1029" s="110"/>
      <c r="HE1029" s="110"/>
      <c r="HF1029" s="110"/>
      <c r="HG1029" s="110"/>
      <c r="HH1029" s="110"/>
      <c r="HI1029" s="110"/>
      <c r="HJ1029" s="110"/>
      <c r="HK1029" s="110"/>
      <c r="HL1029" s="110"/>
      <c r="HM1029" s="110"/>
      <c r="HN1029" s="110"/>
      <c r="HO1029" s="110"/>
      <c r="HP1029" s="110"/>
      <c r="HQ1029" s="110"/>
      <c r="HR1029" s="110"/>
      <c r="HS1029" s="110"/>
      <c r="HT1029" s="110"/>
      <c r="HU1029" s="110"/>
      <c r="HV1029" s="110"/>
      <c r="HW1029" s="110"/>
      <c r="HX1029" s="110"/>
      <c r="HY1029" s="110"/>
      <c r="HZ1029" s="110"/>
      <c r="IA1029" s="110"/>
      <c r="IB1029" s="110"/>
      <c r="IC1029" s="110"/>
      <c r="ID1029" s="110"/>
      <c r="IE1029" s="110"/>
      <c r="IF1029" s="110"/>
      <c r="IG1029" s="110"/>
      <c r="IH1029" s="110"/>
      <c r="II1029" s="110"/>
      <c r="IJ1029" s="110"/>
      <c r="IK1029" s="110"/>
      <c r="IL1029" s="110"/>
      <c r="IM1029" s="110"/>
      <c r="IN1029" s="110"/>
      <c r="IO1029" s="110"/>
      <c r="IP1029" s="110"/>
    </row>
    <row r="1030" spans="18:250" ht="16.5" hidden="1" customHeight="1">
      <c r="R1030" s="95"/>
      <c r="S1030" s="95"/>
      <c r="T1030" s="95"/>
      <c r="U1030" s="70"/>
      <c r="V1030" s="214"/>
      <c r="W1030" s="70"/>
      <c r="X1030" s="70"/>
      <c r="Y1030" s="70"/>
      <c r="Z1030" s="70"/>
      <c r="AA1030" s="70"/>
      <c r="AB1030" s="70"/>
      <c r="AC1030" s="70"/>
      <c r="AD1030" s="70"/>
      <c r="AE1030" s="70"/>
      <c r="AF1030" s="70"/>
      <c r="AG1030" s="70"/>
      <c r="AH1030" s="70"/>
      <c r="AI1030" s="70"/>
      <c r="AJ1030" s="70"/>
      <c r="AK1030" s="70"/>
      <c r="AL1030" s="70"/>
      <c r="AM1030" s="70"/>
      <c r="AN1030" s="70"/>
      <c r="AO1030" s="70"/>
      <c r="AP1030" s="70"/>
      <c r="AQ1030" s="70"/>
      <c r="AR1030" s="70"/>
      <c r="AS1030" s="70"/>
      <c r="AT1030" s="70"/>
      <c r="AU1030" s="70"/>
      <c r="AV1030" s="70"/>
      <c r="AW1030" s="70"/>
      <c r="AX1030" s="70"/>
      <c r="AY1030" s="70"/>
      <c r="AZ1030" s="70"/>
      <c r="BA1030" s="70"/>
      <c r="BB1030" s="70"/>
      <c r="BC1030" s="70"/>
      <c r="BD1030" s="70"/>
      <c r="BE1030" s="70"/>
      <c r="BF1030" s="70"/>
      <c r="BG1030" s="70"/>
      <c r="BH1030" s="70"/>
      <c r="BI1030" s="70"/>
      <c r="BJ1030" s="70"/>
      <c r="BK1030" s="70"/>
      <c r="BL1030" s="70"/>
      <c r="BM1030" s="70"/>
      <c r="BN1030" s="70"/>
      <c r="BO1030" s="70"/>
      <c r="BP1030" s="70"/>
      <c r="BQ1030" s="70"/>
      <c r="BR1030" s="70"/>
      <c r="BS1030" s="70"/>
      <c r="BT1030" s="70"/>
      <c r="BU1030" s="70"/>
      <c r="BV1030" s="70"/>
      <c r="BW1030" s="70"/>
      <c r="BX1030" s="70"/>
      <c r="BY1030" s="70"/>
      <c r="BZ1030" s="70"/>
      <c r="CA1030" s="70"/>
      <c r="CB1030" s="70"/>
      <c r="CC1030" s="70"/>
      <c r="CD1030" s="70"/>
      <c r="CE1030" s="70"/>
      <c r="CF1030" s="70"/>
      <c r="CG1030" s="70"/>
      <c r="CH1030" s="70"/>
      <c r="CI1030" s="70"/>
      <c r="CJ1030" s="70"/>
      <c r="CK1030" s="70"/>
      <c r="CL1030" s="70"/>
      <c r="CM1030" s="70"/>
      <c r="CN1030" s="70"/>
      <c r="CO1030" s="70"/>
      <c r="CP1030" s="70"/>
      <c r="CQ1030" s="70"/>
      <c r="CR1030" s="70"/>
      <c r="CS1030" s="70"/>
      <c r="CT1030" s="70"/>
      <c r="CU1030" s="70"/>
      <c r="CV1030" s="70"/>
      <c r="CW1030" s="70"/>
      <c r="CX1030" s="70"/>
      <c r="CY1030" s="70"/>
      <c r="CZ1030" s="70"/>
      <c r="DA1030" s="70"/>
      <c r="DB1030" s="70"/>
      <c r="DC1030" s="70"/>
      <c r="DD1030" s="70"/>
      <c r="DE1030" s="70"/>
      <c r="DF1030" s="70"/>
      <c r="DG1030" s="70"/>
      <c r="DH1030" s="70"/>
      <c r="DI1030" s="70"/>
      <c r="DJ1030" s="70"/>
      <c r="DK1030" s="70"/>
      <c r="DL1030" s="70"/>
      <c r="DM1030" s="70"/>
      <c r="DN1030" s="70"/>
      <c r="DO1030" s="70"/>
      <c r="DP1030" s="70"/>
      <c r="DQ1030" s="70"/>
      <c r="DR1030" s="70"/>
      <c r="DS1030" s="70"/>
      <c r="DT1030" s="70"/>
      <c r="DU1030" s="70"/>
      <c r="DV1030" s="70"/>
      <c r="DW1030" s="70"/>
      <c r="DX1030" s="70"/>
      <c r="DY1030" s="70"/>
      <c r="DZ1030" s="70"/>
      <c r="EA1030" s="70"/>
      <c r="EB1030" s="70"/>
      <c r="EC1030" s="70"/>
      <c r="ED1030" s="70"/>
      <c r="EE1030" s="95" t="s">
        <v>450</v>
      </c>
      <c r="EF1030" s="110"/>
      <c r="EG1030" s="110"/>
      <c r="EH1030" s="110"/>
      <c r="EI1030" s="216"/>
      <c r="EJ1030" s="110"/>
      <c r="EK1030" s="110"/>
      <c r="EL1030" s="110"/>
      <c r="EM1030" s="110"/>
      <c r="EN1030" s="110"/>
      <c r="EO1030" s="110"/>
      <c r="EP1030" s="110"/>
      <c r="EQ1030" s="110"/>
      <c r="ER1030" s="110"/>
      <c r="ES1030" s="110"/>
      <c r="ET1030" s="110"/>
      <c r="EU1030" s="110"/>
      <c r="EV1030" s="110"/>
      <c r="EW1030" s="110"/>
      <c r="EX1030" s="110"/>
      <c r="EY1030" s="110"/>
      <c r="EZ1030" s="110"/>
      <c r="FA1030" s="110"/>
      <c r="FB1030" s="110"/>
      <c r="FC1030" s="110"/>
      <c r="FD1030" s="110"/>
      <c r="FE1030" s="110"/>
      <c r="FF1030" s="110"/>
      <c r="FG1030" s="110"/>
      <c r="FH1030" s="110"/>
      <c r="FI1030" s="110"/>
      <c r="FJ1030" s="110"/>
      <c r="FK1030" s="110"/>
      <c r="FL1030" s="110"/>
      <c r="FM1030" s="110"/>
      <c r="FN1030" s="110"/>
      <c r="FO1030" s="110"/>
      <c r="FP1030" s="110"/>
      <c r="FQ1030" s="110"/>
      <c r="FR1030" s="110"/>
      <c r="FS1030" s="110"/>
      <c r="FT1030" s="110"/>
      <c r="FU1030" s="110"/>
      <c r="FV1030" s="110"/>
      <c r="FW1030" s="110"/>
      <c r="FX1030" s="110"/>
      <c r="FY1030" s="110"/>
      <c r="FZ1030" s="110"/>
      <c r="GA1030" s="110"/>
      <c r="GB1030" s="110"/>
      <c r="GC1030" s="110"/>
      <c r="GD1030" s="110"/>
      <c r="GE1030" s="110"/>
      <c r="GF1030" s="110"/>
      <c r="GG1030" s="110"/>
      <c r="GH1030" s="110"/>
      <c r="GI1030" s="110"/>
      <c r="GJ1030" s="110"/>
      <c r="GK1030" s="110"/>
      <c r="GL1030" s="110"/>
      <c r="GM1030" s="110"/>
      <c r="GN1030" s="110"/>
      <c r="GO1030" s="110"/>
      <c r="GP1030" s="110"/>
      <c r="GQ1030" s="110"/>
      <c r="GR1030" s="110"/>
      <c r="GS1030" s="110"/>
      <c r="GT1030" s="110"/>
      <c r="GU1030" s="110"/>
      <c r="GV1030" s="110"/>
      <c r="GW1030" s="110"/>
      <c r="GX1030" s="110"/>
      <c r="GY1030" s="110"/>
      <c r="GZ1030" s="110"/>
      <c r="HA1030" s="110"/>
      <c r="HB1030" s="110"/>
      <c r="HC1030" s="110"/>
      <c r="HD1030" s="110"/>
      <c r="HE1030" s="110"/>
      <c r="HF1030" s="110"/>
      <c r="HG1030" s="110"/>
      <c r="HH1030" s="110"/>
      <c r="HI1030" s="110"/>
      <c r="HJ1030" s="110"/>
      <c r="HK1030" s="110"/>
      <c r="HL1030" s="110"/>
      <c r="HM1030" s="110"/>
      <c r="HN1030" s="110"/>
      <c r="HO1030" s="110"/>
      <c r="HP1030" s="110"/>
      <c r="HQ1030" s="110"/>
      <c r="HR1030" s="110"/>
      <c r="HS1030" s="110"/>
      <c r="HT1030" s="110"/>
      <c r="HU1030" s="110"/>
      <c r="HV1030" s="110"/>
      <c r="HW1030" s="110"/>
      <c r="HX1030" s="110"/>
      <c r="HY1030" s="110"/>
      <c r="HZ1030" s="110"/>
      <c r="IA1030" s="110"/>
      <c r="IB1030" s="110"/>
      <c r="IC1030" s="110"/>
      <c r="ID1030" s="110"/>
      <c r="IE1030" s="110"/>
      <c r="IF1030" s="110"/>
      <c r="IG1030" s="110"/>
      <c r="IH1030" s="110"/>
      <c r="II1030" s="110"/>
      <c r="IJ1030" s="110"/>
      <c r="IK1030" s="110"/>
      <c r="IL1030" s="110"/>
      <c r="IM1030" s="110"/>
      <c r="IN1030" s="110"/>
      <c r="IO1030" s="110"/>
      <c r="IP1030" s="110"/>
    </row>
    <row r="1031" spans="18:250" ht="16.5" hidden="1" customHeight="1">
      <c r="R1031" s="95"/>
      <c r="S1031" s="95"/>
      <c r="T1031" s="95"/>
      <c r="U1031" s="70"/>
      <c r="V1031" s="214"/>
      <c r="W1031" s="70"/>
      <c r="X1031" s="70"/>
      <c r="Y1031" s="70"/>
      <c r="Z1031" s="70"/>
      <c r="AA1031" s="70"/>
      <c r="AB1031" s="70"/>
      <c r="AC1031" s="70"/>
      <c r="AD1031" s="70"/>
      <c r="AE1031" s="70"/>
      <c r="AF1031" s="70"/>
      <c r="AG1031" s="70"/>
      <c r="AH1031" s="70"/>
      <c r="AI1031" s="70"/>
      <c r="AJ1031" s="70"/>
      <c r="AK1031" s="70"/>
      <c r="AL1031" s="70"/>
      <c r="AM1031" s="70"/>
      <c r="AN1031" s="70"/>
      <c r="AO1031" s="70"/>
      <c r="AP1031" s="70"/>
      <c r="AQ1031" s="70"/>
      <c r="AR1031" s="70"/>
      <c r="AS1031" s="70"/>
      <c r="AT1031" s="70"/>
      <c r="AU1031" s="70"/>
      <c r="AV1031" s="70"/>
      <c r="AW1031" s="70"/>
      <c r="AX1031" s="70"/>
      <c r="AY1031" s="70"/>
      <c r="AZ1031" s="70"/>
      <c r="BA1031" s="70"/>
      <c r="BB1031" s="70"/>
      <c r="BC1031" s="70"/>
      <c r="BD1031" s="70"/>
      <c r="BE1031" s="70"/>
      <c r="BF1031" s="70"/>
      <c r="BG1031" s="70"/>
      <c r="BH1031" s="70"/>
      <c r="BI1031" s="70"/>
      <c r="BJ1031" s="70"/>
      <c r="BK1031" s="70"/>
      <c r="BL1031" s="70"/>
      <c r="BM1031" s="70"/>
      <c r="BN1031" s="70"/>
      <c r="BO1031" s="70"/>
      <c r="BP1031" s="70"/>
      <c r="BQ1031" s="70"/>
      <c r="BR1031" s="70"/>
      <c r="BS1031" s="70"/>
      <c r="BT1031" s="70"/>
      <c r="BU1031" s="70"/>
      <c r="BV1031" s="70"/>
      <c r="BW1031" s="70"/>
      <c r="BX1031" s="70"/>
      <c r="BY1031" s="70"/>
      <c r="BZ1031" s="70"/>
      <c r="CA1031" s="70"/>
      <c r="CB1031" s="70"/>
      <c r="CC1031" s="70"/>
      <c r="CD1031" s="70"/>
      <c r="CE1031" s="70"/>
      <c r="CF1031" s="70"/>
      <c r="CG1031" s="70"/>
      <c r="CH1031" s="70"/>
      <c r="CI1031" s="70"/>
      <c r="CJ1031" s="70"/>
      <c r="CK1031" s="70"/>
      <c r="CL1031" s="70"/>
      <c r="CM1031" s="70"/>
      <c r="CN1031" s="70"/>
      <c r="CO1031" s="70"/>
      <c r="CP1031" s="70"/>
      <c r="CQ1031" s="70"/>
      <c r="CR1031" s="70"/>
      <c r="CS1031" s="70"/>
      <c r="CT1031" s="70"/>
      <c r="CU1031" s="70"/>
      <c r="CV1031" s="70"/>
      <c r="CW1031" s="70"/>
      <c r="CX1031" s="70"/>
      <c r="CY1031" s="70"/>
      <c r="CZ1031" s="70"/>
      <c r="DA1031" s="70"/>
      <c r="DB1031" s="70"/>
      <c r="DC1031" s="70"/>
      <c r="DD1031" s="70"/>
      <c r="DE1031" s="70"/>
      <c r="DF1031" s="70"/>
      <c r="DG1031" s="70"/>
      <c r="DH1031" s="70"/>
      <c r="DI1031" s="70"/>
      <c r="DJ1031" s="70"/>
      <c r="DK1031" s="70"/>
      <c r="DL1031" s="70"/>
      <c r="DM1031" s="70"/>
      <c r="DN1031" s="70"/>
      <c r="DO1031" s="70"/>
      <c r="DP1031" s="70"/>
      <c r="DQ1031" s="70"/>
      <c r="DR1031" s="70"/>
      <c r="DS1031" s="70"/>
      <c r="DT1031" s="70"/>
      <c r="DU1031" s="70"/>
      <c r="DV1031" s="70"/>
      <c r="DW1031" s="70"/>
      <c r="DX1031" s="70"/>
      <c r="DY1031" s="70"/>
      <c r="DZ1031" s="70"/>
      <c r="EA1031" s="70"/>
      <c r="EB1031" s="70"/>
      <c r="EC1031" s="70"/>
      <c r="ED1031" s="70"/>
      <c r="EE1031" s="95" t="s">
        <v>450</v>
      </c>
      <c r="EF1031" s="110"/>
      <c r="EG1031" s="110"/>
      <c r="EH1031" s="110"/>
      <c r="EI1031" s="216"/>
      <c r="EJ1031" s="110"/>
      <c r="EK1031" s="110"/>
      <c r="EL1031" s="110"/>
      <c r="EM1031" s="110"/>
      <c r="EN1031" s="110"/>
      <c r="EO1031" s="110"/>
      <c r="EP1031" s="110"/>
      <c r="EQ1031" s="110"/>
      <c r="ER1031" s="110"/>
      <c r="ES1031" s="110"/>
      <c r="ET1031" s="110"/>
      <c r="EU1031" s="110"/>
      <c r="EV1031" s="110"/>
      <c r="EW1031" s="110"/>
      <c r="EX1031" s="110"/>
      <c r="EY1031" s="110"/>
      <c r="EZ1031" s="110"/>
      <c r="FA1031" s="110"/>
      <c r="FB1031" s="110"/>
      <c r="FC1031" s="110"/>
      <c r="FD1031" s="110"/>
      <c r="FE1031" s="110"/>
      <c r="FF1031" s="110"/>
      <c r="FG1031" s="110"/>
      <c r="FH1031" s="110"/>
      <c r="FI1031" s="110"/>
      <c r="FJ1031" s="110"/>
      <c r="FK1031" s="110"/>
      <c r="FL1031" s="110"/>
      <c r="FM1031" s="110"/>
      <c r="FN1031" s="110"/>
      <c r="FO1031" s="110"/>
      <c r="FP1031" s="110"/>
      <c r="FQ1031" s="110"/>
      <c r="FR1031" s="110"/>
      <c r="FS1031" s="110"/>
      <c r="FT1031" s="110"/>
      <c r="FU1031" s="110"/>
      <c r="FV1031" s="110"/>
      <c r="FW1031" s="110"/>
      <c r="FX1031" s="110"/>
      <c r="FY1031" s="110"/>
      <c r="FZ1031" s="110"/>
      <c r="GA1031" s="110"/>
      <c r="GB1031" s="110"/>
      <c r="GC1031" s="110"/>
      <c r="GD1031" s="110"/>
      <c r="GE1031" s="110"/>
      <c r="GF1031" s="110"/>
      <c r="GG1031" s="110"/>
      <c r="GH1031" s="110"/>
      <c r="GI1031" s="110"/>
      <c r="GJ1031" s="110"/>
      <c r="GK1031" s="110"/>
      <c r="GL1031" s="110"/>
      <c r="GM1031" s="110"/>
      <c r="GN1031" s="110"/>
      <c r="GO1031" s="110"/>
      <c r="GP1031" s="110"/>
      <c r="GQ1031" s="110"/>
      <c r="GR1031" s="110"/>
      <c r="GS1031" s="110"/>
      <c r="GT1031" s="110"/>
      <c r="GU1031" s="110"/>
      <c r="GV1031" s="110"/>
      <c r="GW1031" s="110"/>
      <c r="GX1031" s="110"/>
      <c r="GY1031" s="110"/>
      <c r="GZ1031" s="110"/>
      <c r="HA1031" s="110"/>
      <c r="HB1031" s="110"/>
      <c r="HC1031" s="110"/>
      <c r="HD1031" s="110"/>
      <c r="HE1031" s="110"/>
      <c r="HF1031" s="110"/>
      <c r="HG1031" s="110"/>
      <c r="HH1031" s="110"/>
      <c r="HI1031" s="110"/>
      <c r="HJ1031" s="110"/>
      <c r="HK1031" s="110"/>
      <c r="HL1031" s="110"/>
      <c r="HM1031" s="110"/>
      <c r="HN1031" s="110"/>
      <c r="HO1031" s="110"/>
      <c r="HP1031" s="110"/>
      <c r="HQ1031" s="110"/>
      <c r="HR1031" s="110"/>
      <c r="HS1031" s="110"/>
      <c r="HT1031" s="110"/>
      <c r="HU1031" s="110"/>
      <c r="HV1031" s="110"/>
      <c r="HW1031" s="110"/>
      <c r="HX1031" s="110"/>
      <c r="HY1031" s="110"/>
      <c r="HZ1031" s="110"/>
      <c r="IA1031" s="110"/>
      <c r="IB1031" s="110"/>
      <c r="IC1031" s="110"/>
      <c r="ID1031" s="110"/>
      <c r="IE1031" s="110"/>
      <c r="IF1031" s="110"/>
      <c r="IG1031" s="110"/>
      <c r="IH1031" s="110"/>
      <c r="II1031" s="110"/>
      <c r="IJ1031" s="110"/>
      <c r="IK1031" s="110"/>
      <c r="IL1031" s="110"/>
      <c r="IM1031" s="110"/>
      <c r="IN1031" s="110"/>
      <c r="IO1031" s="110"/>
      <c r="IP1031" s="110"/>
    </row>
    <row r="1032" spans="18:250" ht="16.5" hidden="1" customHeight="1">
      <c r="R1032" s="95"/>
      <c r="S1032" s="95"/>
      <c r="T1032" s="95"/>
      <c r="U1032" s="70"/>
      <c r="V1032" s="214"/>
      <c r="W1032" s="70"/>
      <c r="X1032" s="70"/>
      <c r="Y1032" s="70"/>
      <c r="Z1032" s="70"/>
      <c r="AA1032" s="70"/>
      <c r="AB1032" s="70"/>
      <c r="AC1032" s="70"/>
      <c r="AD1032" s="70"/>
      <c r="AE1032" s="70"/>
      <c r="AF1032" s="70"/>
      <c r="AG1032" s="70"/>
      <c r="AH1032" s="70"/>
      <c r="AI1032" s="70"/>
      <c r="AJ1032" s="70"/>
      <c r="AK1032" s="70"/>
      <c r="AL1032" s="70"/>
      <c r="AM1032" s="70"/>
      <c r="AN1032" s="70"/>
      <c r="AO1032" s="70"/>
      <c r="AP1032" s="70"/>
      <c r="AQ1032" s="70"/>
      <c r="AR1032" s="70"/>
      <c r="AS1032" s="70"/>
      <c r="AT1032" s="70"/>
      <c r="AU1032" s="70"/>
      <c r="AV1032" s="70"/>
      <c r="AW1032" s="70"/>
      <c r="AX1032" s="70"/>
      <c r="AY1032" s="70"/>
      <c r="AZ1032" s="70"/>
      <c r="BA1032" s="70"/>
      <c r="BB1032" s="70"/>
      <c r="BC1032" s="70"/>
      <c r="BD1032" s="70"/>
      <c r="BE1032" s="70"/>
      <c r="BF1032" s="70"/>
      <c r="BG1032" s="70"/>
      <c r="BH1032" s="70"/>
      <c r="BI1032" s="70"/>
      <c r="BJ1032" s="70"/>
      <c r="BK1032" s="70"/>
      <c r="BL1032" s="70"/>
      <c r="BM1032" s="70"/>
      <c r="BN1032" s="70"/>
      <c r="BO1032" s="70"/>
      <c r="BP1032" s="70"/>
      <c r="BQ1032" s="70"/>
      <c r="BR1032" s="70"/>
      <c r="BS1032" s="70"/>
      <c r="BT1032" s="70"/>
      <c r="BU1032" s="70"/>
      <c r="BV1032" s="70"/>
      <c r="BW1032" s="70"/>
      <c r="BX1032" s="70"/>
      <c r="BY1032" s="70"/>
      <c r="BZ1032" s="70"/>
      <c r="CA1032" s="70"/>
      <c r="CB1032" s="70"/>
      <c r="CC1032" s="70"/>
      <c r="CD1032" s="70"/>
      <c r="CE1032" s="70"/>
      <c r="CF1032" s="70"/>
      <c r="CG1032" s="70"/>
      <c r="CH1032" s="70"/>
      <c r="CI1032" s="70"/>
      <c r="CJ1032" s="70"/>
      <c r="CK1032" s="70"/>
      <c r="CL1032" s="70"/>
      <c r="CM1032" s="70"/>
      <c r="CN1032" s="70"/>
      <c r="CO1032" s="70"/>
      <c r="CP1032" s="70"/>
      <c r="CQ1032" s="70"/>
      <c r="CR1032" s="70"/>
      <c r="CS1032" s="70"/>
      <c r="CT1032" s="70"/>
      <c r="CU1032" s="70"/>
      <c r="CV1032" s="70"/>
      <c r="CW1032" s="70"/>
      <c r="CX1032" s="70"/>
      <c r="CY1032" s="70"/>
      <c r="CZ1032" s="70"/>
      <c r="DA1032" s="70"/>
      <c r="DB1032" s="70"/>
      <c r="DC1032" s="70"/>
      <c r="DD1032" s="70"/>
      <c r="DE1032" s="70"/>
      <c r="DF1032" s="70"/>
      <c r="DG1032" s="70"/>
      <c r="DH1032" s="70"/>
      <c r="DI1032" s="70"/>
      <c r="DJ1032" s="70"/>
      <c r="DK1032" s="70"/>
      <c r="DL1032" s="70"/>
      <c r="DM1032" s="70"/>
      <c r="DN1032" s="70"/>
      <c r="DO1032" s="70"/>
      <c r="DP1032" s="70"/>
      <c r="DQ1032" s="70"/>
      <c r="DR1032" s="70"/>
      <c r="DS1032" s="70"/>
      <c r="DT1032" s="70"/>
      <c r="DU1032" s="70"/>
      <c r="DV1032" s="70"/>
      <c r="DW1032" s="70"/>
      <c r="DX1032" s="70"/>
      <c r="DY1032" s="70"/>
      <c r="DZ1032" s="70"/>
      <c r="EA1032" s="70"/>
      <c r="EB1032" s="70"/>
      <c r="EC1032" s="70"/>
      <c r="ED1032" s="70"/>
      <c r="EE1032" s="95" t="s">
        <v>450</v>
      </c>
      <c r="EF1032" s="110"/>
      <c r="EG1032" s="110"/>
      <c r="EH1032" s="110"/>
      <c r="EI1032" s="216"/>
      <c r="EJ1032" s="110"/>
      <c r="EK1032" s="110"/>
      <c r="EL1032" s="110"/>
      <c r="EM1032" s="110"/>
      <c r="EN1032" s="110"/>
      <c r="EO1032" s="110"/>
      <c r="EP1032" s="110"/>
      <c r="EQ1032" s="110"/>
      <c r="ER1032" s="110"/>
      <c r="ES1032" s="110"/>
      <c r="ET1032" s="110"/>
      <c r="EU1032" s="110"/>
      <c r="EV1032" s="110"/>
      <c r="EW1032" s="110"/>
      <c r="EX1032" s="110"/>
      <c r="EY1032" s="110"/>
      <c r="EZ1032" s="110"/>
      <c r="FA1032" s="110"/>
      <c r="FB1032" s="110"/>
      <c r="FC1032" s="110"/>
      <c r="FD1032" s="110"/>
      <c r="FE1032" s="110"/>
      <c r="FF1032" s="110"/>
      <c r="FG1032" s="110"/>
      <c r="FH1032" s="110"/>
      <c r="FI1032" s="110"/>
      <c r="FJ1032" s="110"/>
      <c r="FK1032" s="110"/>
      <c r="FL1032" s="110"/>
      <c r="FM1032" s="110"/>
      <c r="FN1032" s="110"/>
      <c r="FO1032" s="110"/>
      <c r="FP1032" s="110"/>
      <c r="FQ1032" s="110"/>
      <c r="FR1032" s="110"/>
      <c r="FS1032" s="110"/>
      <c r="FT1032" s="110"/>
      <c r="FU1032" s="110"/>
      <c r="FV1032" s="110"/>
      <c r="FW1032" s="110"/>
      <c r="FX1032" s="110"/>
      <c r="FY1032" s="110"/>
      <c r="FZ1032" s="110"/>
      <c r="GA1032" s="110"/>
      <c r="GB1032" s="110"/>
      <c r="GC1032" s="110"/>
      <c r="GD1032" s="110"/>
      <c r="GE1032" s="110"/>
      <c r="GF1032" s="110"/>
      <c r="GG1032" s="110"/>
      <c r="GH1032" s="110"/>
      <c r="GI1032" s="110"/>
      <c r="GJ1032" s="110"/>
      <c r="GK1032" s="110"/>
      <c r="GL1032" s="110"/>
      <c r="GM1032" s="110"/>
      <c r="GN1032" s="110"/>
      <c r="GO1032" s="110"/>
      <c r="GP1032" s="110"/>
      <c r="GQ1032" s="110"/>
      <c r="GR1032" s="110"/>
      <c r="GS1032" s="110"/>
      <c r="GT1032" s="110"/>
      <c r="GU1032" s="110"/>
      <c r="GV1032" s="110"/>
      <c r="GW1032" s="110"/>
      <c r="GX1032" s="110"/>
      <c r="GY1032" s="110"/>
      <c r="GZ1032" s="110"/>
      <c r="HA1032" s="110"/>
      <c r="HB1032" s="110"/>
      <c r="HC1032" s="110"/>
      <c r="HD1032" s="110"/>
      <c r="HE1032" s="110"/>
      <c r="HF1032" s="110"/>
      <c r="HG1032" s="110"/>
      <c r="HH1032" s="110"/>
      <c r="HI1032" s="110"/>
      <c r="HJ1032" s="110"/>
      <c r="HK1032" s="110"/>
      <c r="HL1032" s="110"/>
      <c r="HM1032" s="110"/>
      <c r="HN1032" s="110"/>
      <c r="HO1032" s="110"/>
      <c r="HP1032" s="110"/>
      <c r="HQ1032" s="110"/>
      <c r="HR1032" s="110"/>
      <c r="HS1032" s="110"/>
      <c r="HT1032" s="110"/>
      <c r="HU1032" s="110"/>
      <c r="HV1032" s="110"/>
      <c r="HW1032" s="110"/>
      <c r="HX1032" s="110"/>
      <c r="HY1032" s="110"/>
      <c r="HZ1032" s="110"/>
      <c r="IA1032" s="110"/>
      <c r="IB1032" s="110"/>
      <c r="IC1032" s="110"/>
      <c r="ID1032" s="110"/>
      <c r="IE1032" s="110"/>
      <c r="IF1032" s="110"/>
      <c r="IG1032" s="110"/>
      <c r="IH1032" s="110"/>
      <c r="II1032" s="110"/>
      <c r="IJ1032" s="110"/>
      <c r="IK1032" s="110"/>
      <c r="IL1032" s="110"/>
      <c r="IM1032" s="110"/>
      <c r="IN1032" s="110"/>
      <c r="IO1032" s="110"/>
      <c r="IP1032" s="110"/>
    </row>
    <row r="1033" spans="18:250" ht="16.5" hidden="1" customHeight="1">
      <c r="R1033" s="95"/>
      <c r="S1033" s="95"/>
      <c r="T1033" s="95"/>
      <c r="U1033" s="70"/>
      <c r="V1033" s="214"/>
      <c r="W1033" s="70"/>
      <c r="X1033" s="70"/>
      <c r="Y1033" s="70"/>
      <c r="Z1033" s="70"/>
      <c r="AA1033" s="70"/>
      <c r="AB1033" s="70"/>
      <c r="AC1033" s="70"/>
      <c r="AD1033" s="70"/>
      <c r="AE1033" s="70"/>
      <c r="AF1033" s="70"/>
      <c r="AG1033" s="70"/>
      <c r="AH1033" s="70"/>
      <c r="AI1033" s="70"/>
      <c r="AJ1033" s="70"/>
      <c r="AK1033" s="70"/>
      <c r="AL1033" s="70"/>
      <c r="AM1033" s="70"/>
      <c r="AN1033" s="70"/>
      <c r="AO1033" s="70"/>
      <c r="AP1033" s="70"/>
      <c r="AQ1033" s="70"/>
      <c r="AR1033" s="70"/>
      <c r="AS1033" s="70"/>
      <c r="AT1033" s="70"/>
      <c r="AU1033" s="70"/>
      <c r="AV1033" s="70"/>
      <c r="AW1033" s="70"/>
      <c r="AX1033" s="70"/>
      <c r="AY1033" s="70"/>
      <c r="AZ1033" s="70"/>
      <c r="BA1033" s="70"/>
      <c r="BB1033" s="70"/>
      <c r="BC1033" s="70"/>
      <c r="BD1033" s="70"/>
      <c r="BE1033" s="70"/>
      <c r="BF1033" s="70"/>
      <c r="BG1033" s="70"/>
      <c r="BH1033" s="70"/>
      <c r="BI1033" s="70"/>
      <c r="BJ1033" s="70"/>
      <c r="BK1033" s="70"/>
      <c r="BL1033" s="70"/>
      <c r="BM1033" s="70"/>
      <c r="BN1033" s="70"/>
      <c r="BO1033" s="70"/>
      <c r="BP1033" s="70"/>
      <c r="BQ1033" s="70"/>
      <c r="BR1033" s="70"/>
      <c r="BS1033" s="70"/>
      <c r="BT1033" s="70"/>
      <c r="BU1033" s="70"/>
      <c r="BV1033" s="70"/>
      <c r="BW1033" s="70"/>
      <c r="BX1033" s="70"/>
      <c r="BY1033" s="70"/>
      <c r="BZ1033" s="70"/>
      <c r="CA1033" s="70"/>
      <c r="CB1033" s="70"/>
      <c r="CC1033" s="70"/>
      <c r="CD1033" s="70"/>
      <c r="CE1033" s="70"/>
      <c r="CF1033" s="70"/>
      <c r="CG1033" s="70"/>
      <c r="CH1033" s="70"/>
      <c r="CI1033" s="70"/>
      <c r="CJ1033" s="70"/>
      <c r="CK1033" s="70"/>
      <c r="CL1033" s="70"/>
      <c r="CM1033" s="70"/>
      <c r="CN1033" s="70"/>
      <c r="CO1033" s="70"/>
      <c r="CP1033" s="70"/>
      <c r="CQ1033" s="70"/>
      <c r="CR1033" s="70"/>
      <c r="CS1033" s="70"/>
      <c r="CT1033" s="70"/>
      <c r="CU1033" s="70"/>
      <c r="CV1033" s="70"/>
      <c r="CW1033" s="70"/>
      <c r="CX1033" s="70"/>
      <c r="CY1033" s="70"/>
      <c r="CZ1033" s="70"/>
      <c r="DA1033" s="70"/>
      <c r="DB1033" s="70"/>
      <c r="DC1033" s="70"/>
      <c r="DD1033" s="70"/>
      <c r="DE1033" s="70"/>
      <c r="DF1033" s="70"/>
      <c r="DG1033" s="70"/>
      <c r="DH1033" s="70"/>
      <c r="DI1033" s="70"/>
      <c r="DJ1033" s="70"/>
      <c r="DK1033" s="70"/>
      <c r="DL1033" s="70"/>
      <c r="DM1033" s="70"/>
      <c r="DN1033" s="70"/>
      <c r="DO1033" s="70"/>
      <c r="DP1033" s="70"/>
      <c r="DQ1033" s="70"/>
      <c r="DR1033" s="70"/>
      <c r="DS1033" s="70"/>
      <c r="DT1033" s="70"/>
      <c r="DU1033" s="70"/>
      <c r="DV1033" s="70"/>
      <c r="DW1033" s="70"/>
      <c r="DX1033" s="70"/>
      <c r="DY1033" s="70"/>
      <c r="DZ1033" s="70"/>
      <c r="EA1033" s="70"/>
      <c r="EB1033" s="70"/>
      <c r="EC1033" s="70"/>
      <c r="ED1033" s="70"/>
      <c r="EE1033" s="95" t="s">
        <v>450</v>
      </c>
      <c r="EF1033" s="110"/>
      <c r="EG1033" s="110"/>
      <c r="EH1033" s="110"/>
      <c r="EI1033" s="216"/>
      <c r="EJ1033" s="110"/>
      <c r="EK1033" s="110"/>
      <c r="EL1033" s="110"/>
      <c r="EM1033" s="110"/>
      <c r="EN1033" s="110"/>
      <c r="EO1033" s="110"/>
      <c r="EP1033" s="110"/>
      <c r="EQ1033" s="110"/>
      <c r="ER1033" s="110"/>
      <c r="ES1033" s="110"/>
      <c r="ET1033" s="110"/>
      <c r="EU1033" s="110"/>
      <c r="EV1033" s="110"/>
      <c r="EW1033" s="110"/>
      <c r="EX1033" s="110"/>
      <c r="EY1033" s="110"/>
      <c r="EZ1033" s="110"/>
      <c r="FA1033" s="110"/>
      <c r="FB1033" s="110"/>
      <c r="FC1033" s="110"/>
      <c r="FD1033" s="110"/>
      <c r="FE1033" s="110"/>
      <c r="FF1033" s="110"/>
      <c r="FG1033" s="110"/>
      <c r="FH1033" s="110"/>
      <c r="FI1033" s="110"/>
      <c r="FJ1033" s="110"/>
      <c r="FK1033" s="110"/>
      <c r="FL1033" s="110"/>
      <c r="FM1033" s="110"/>
      <c r="FN1033" s="110"/>
      <c r="FO1033" s="110"/>
      <c r="FP1033" s="110"/>
      <c r="FQ1033" s="110"/>
      <c r="FR1033" s="110"/>
      <c r="FS1033" s="110"/>
      <c r="FT1033" s="110"/>
      <c r="FU1033" s="110"/>
      <c r="FV1033" s="110"/>
      <c r="FW1033" s="110"/>
      <c r="FX1033" s="110"/>
      <c r="FY1033" s="110"/>
      <c r="FZ1033" s="110"/>
      <c r="GA1033" s="110"/>
      <c r="GB1033" s="110"/>
      <c r="GC1033" s="110"/>
      <c r="GD1033" s="110"/>
      <c r="GE1033" s="110"/>
      <c r="GF1033" s="110"/>
      <c r="GG1033" s="110"/>
      <c r="GH1033" s="110"/>
      <c r="GI1033" s="110"/>
      <c r="GJ1033" s="110"/>
      <c r="GK1033" s="110"/>
      <c r="GL1033" s="110"/>
      <c r="GM1033" s="110"/>
      <c r="GN1033" s="110"/>
      <c r="GO1033" s="110"/>
      <c r="GP1033" s="110"/>
      <c r="GQ1033" s="110"/>
      <c r="GR1033" s="110"/>
      <c r="GS1033" s="110"/>
      <c r="GT1033" s="110"/>
      <c r="GU1033" s="110"/>
      <c r="GV1033" s="110"/>
      <c r="GW1033" s="110"/>
      <c r="GX1033" s="110"/>
      <c r="GY1033" s="110"/>
      <c r="GZ1033" s="110"/>
      <c r="HA1033" s="110"/>
      <c r="HB1033" s="110"/>
      <c r="HC1033" s="110"/>
      <c r="HD1033" s="110"/>
      <c r="HE1033" s="110"/>
      <c r="HF1033" s="110"/>
      <c r="HG1033" s="110"/>
      <c r="HH1033" s="110"/>
      <c r="HI1033" s="110"/>
      <c r="HJ1033" s="110"/>
      <c r="HK1033" s="110"/>
      <c r="HL1033" s="110"/>
      <c r="HM1033" s="110"/>
      <c r="HN1033" s="110"/>
      <c r="HO1033" s="110"/>
      <c r="HP1033" s="110"/>
      <c r="HQ1033" s="110"/>
      <c r="HR1033" s="110"/>
      <c r="HS1033" s="110"/>
      <c r="HT1033" s="110"/>
      <c r="HU1033" s="110"/>
      <c r="HV1033" s="110"/>
      <c r="HW1033" s="110"/>
      <c r="HX1033" s="110"/>
      <c r="HY1033" s="110"/>
      <c r="HZ1033" s="110"/>
      <c r="IA1033" s="110"/>
      <c r="IB1033" s="110"/>
      <c r="IC1033" s="110"/>
      <c r="ID1033" s="110"/>
      <c r="IE1033" s="110"/>
      <c r="IF1033" s="110"/>
      <c r="IG1033" s="110"/>
      <c r="IH1033" s="110"/>
      <c r="II1033" s="110"/>
      <c r="IJ1033" s="110"/>
      <c r="IK1033" s="110"/>
      <c r="IL1033" s="110"/>
      <c r="IM1033" s="110"/>
      <c r="IN1033" s="110"/>
      <c r="IO1033" s="110"/>
      <c r="IP1033" s="110"/>
    </row>
    <row r="1034" spans="18:250" ht="16.5" hidden="1" customHeight="1">
      <c r="R1034" s="95"/>
      <c r="S1034" s="95"/>
      <c r="T1034" s="95"/>
      <c r="U1034" s="70"/>
      <c r="V1034" s="214"/>
      <c r="W1034" s="70"/>
      <c r="X1034" s="70"/>
      <c r="Y1034" s="70"/>
      <c r="Z1034" s="70"/>
      <c r="AA1034" s="70"/>
      <c r="AB1034" s="70"/>
      <c r="AC1034" s="70"/>
      <c r="AD1034" s="70"/>
      <c r="AE1034" s="70"/>
      <c r="AF1034" s="70"/>
      <c r="AG1034" s="70"/>
      <c r="AH1034" s="70"/>
      <c r="AI1034" s="70"/>
      <c r="AJ1034" s="70"/>
      <c r="AK1034" s="70"/>
      <c r="AL1034" s="70"/>
      <c r="AM1034" s="70"/>
      <c r="AN1034" s="70"/>
      <c r="AO1034" s="70"/>
      <c r="AP1034" s="70"/>
      <c r="AQ1034" s="70"/>
      <c r="AR1034" s="70"/>
      <c r="AS1034" s="70"/>
      <c r="AT1034" s="70"/>
      <c r="AU1034" s="70"/>
      <c r="AV1034" s="70"/>
      <c r="AW1034" s="70"/>
      <c r="AX1034" s="70"/>
      <c r="AY1034" s="70"/>
      <c r="AZ1034" s="70"/>
      <c r="BA1034" s="70"/>
      <c r="BB1034" s="70"/>
      <c r="BC1034" s="70"/>
      <c r="BD1034" s="70"/>
      <c r="BE1034" s="70"/>
      <c r="BF1034" s="70"/>
      <c r="BG1034" s="70"/>
      <c r="BH1034" s="70"/>
      <c r="BI1034" s="70"/>
      <c r="BJ1034" s="70"/>
      <c r="BK1034" s="70"/>
      <c r="BL1034" s="70"/>
      <c r="BM1034" s="70"/>
      <c r="BN1034" s="70"/>
      <c r="BO1034" s="70"/>
      <c r="BP1034" s="70"/>
      <c r="BQ1034" s="70"/>
      <c r="BR1034" s="70"/>
      <c r="BS1034" s="70"/>
      <c r="BT1034" s="70"/>
      <c r="BU1034" s="70"/>
      <c r="BV1034" s="70"/>
      <c r="BW1034" s="70"/>
      <c r="BX1034" s="70"/>
      <c r="BY1034" s="70"/>
      <c r="BZ1034" s="70"/>
      <c r="CA1034" s="70"/>
      <c r="CB1034" s="70"/>
      <c r="CC1034" s="70"/>
      <c r="CD1034" s="70"/>
      <c r="CE1034" s="70"/>
      <c r="CF1034" s="70"/>
      <c r="CG1034" s="70"/>
      <c r="CH1034" s="70"/>
      <c r="CI1034" s="70"/>
      <c r="CJ1034" s="70"/>
      <c r="CK1034" s="70"/>
      <c r="CL1034" s="70"/>
      <c r="CM1034" s="70"/>
      <c r="CN1034" s="70"/>
      <c r="CO1034" s="70"/>
      <c r="CP1034" s="70"/>
      <c r="CQ1034" s="70"/>
      <c r="CR1034" s="70"/>
      <c r="CS1034" s="70"/>
      <c r="CT1034" s="70"/>
      <c r="CU1034" s="70"/>
      <c r="CV1034" s="70"/>
      <c r="CW1034" s="70"/>
      <c r="CX1034" s="70"/>
      <c r="CY1034" s="70"/>
      <c r="CZ1034" s="70"/>
      <c r="DA1034" s="70"/>
      <c r="DB1034" s="70"/>
      <c r="DC1034" s="70"/>
      <c r="DD1034" s="70"/>
      <c r="DE1034" s="70"/>
      <c r="DF1034" s="70"/>
      <c r="DG1034" s="70"/>
      <c r="DH1034" s="70"/>
      <c r="DI1034" s="70"/>
      <c r="DJ1034" s="70"/>
      <c r="DK1034" s="70"/>
      <c r="DL1034" s="70"/>
      <c r="DM1034" s="70"/>
      <c r="DN1034" s="70"/>
      <c r="DO1034" s="70"/>
      <c r="DP1034" s="70"/>
      <c r="DQ1034" s="70"/>
      <c r="DR1034" s="70"/>
      <c r="DS1034" s="70"/>
      <c r="DT1034" s="70"/>
      <c r="DU1034" s="70"/>
      <c r="DV1034" s="70"/>
      <c r="DW1034" s="70"/>
      <c r="DX1034" s="70"/>
      <c r="DY1034" s="70"/>
      <c r="DZ1034" s="70"/>
      <c r="EA1034" s="70"/>
      <c r="EB1034" s="70"/>
      <c r="EC1034" s="70"/>
      <c r="ED1034" s="70"/>
      <c r="EE1034" s="95" t="s">
        <v>450</v>
      </c>
      <c r="EF1034" s="110"/>
      <c r="EG1034" s="110"/>
      <c r="EH1034" s="110"/>
      <c r="EI1034" s="216"/>
      <c r="EJ1034" s="110"/>
      <c r="EK1034" s="110"/>
      <c r="EL1034" s="110"/>
      <c r="EM1034" s="110"/>
      <c r="EN1034" s="110"/>
      <c r="EO1034" s="110"/>
      <c r="EP1034" s="110"/>
      <c r="EQ1034" s="110"/>
      <c r="ER1034" s="110"/>
      <c r="ES1034" s="110"/>
      <c r="ET1034" s="110"/>
      <c r="EU1034" s="110"/>
      <c r="EV1034" s="110"/>
      <c r="EW1034" s="110"/>
      <c r="EX1034" s="110"/>
      <c r="EY1034" s="110"/>
      <c r="EZ1034" s="110"/>
      <c r="FA1034" s="110"/>
      <c r="FB1034" s="110"/>
      <c r="FC1034" s="110"/>
      <c r="FD1034" s="110"/>
      <c r="FE1034" s="110"/>
      <c r="FF1034" s="110"/>
      <c r="FG1034" s="110"/>
      <c r="FH1034" s="110"/>
      <c r="FI1034" s="110"/>
      <c r="FJ1034" s="110"/>
      <c r="FK1034" s="110"/>
      <c r="FL1034" s="110"/>
      <c r="FM1034" s="110"/>
      <c r="FN1034" s="110"/>
      <c r="FO1034" s="110"/>
      <c r="FP1034" s="110"/>
      <c r="FQ1034" s="110"/>
      <c r="FR1034" s="110"/>
      <c r="FS1034" s="110"/>
      <c r="FT1034" s="110"/>
      <c r="FU1034" s="110"/>
      <c r="FV1034" s="110"/>
      <c r="FW1034" s="110"/>
      <c r="FX1034" s="110"/>
      <c r="FY1034" s="110"/>
      <c r="FZ1034" s="110"/>
      <c r="GA1034" s="110"/>
      <c r="GB1034" s="110"/>
      <c r="GC1034" s="110"/>
      <c r="GD1034" s="110"/>
      <c r="GE1034" s="110"/>
      <c r="GF1034" s="110"/>
      <c r="GG1034" s="110"/>
      <c r="GH1034" s="110"/>
      <c r="GI1034" s="110"/>
      <c r="GJ1034" s="110"/>
      <c r="GK1034" s="110"/>
      <c r="GL1034" s="110"/>
      <c r="GM1034" s="110"/>
      <c r="GN1034" s="110"/>
      <c r="GO1034" s="110"/>
      <c r="GP1034" s="110"/>
      <c r="GQ1034" s="110"/>
      <c r="GR1034" s="110"/>
      <c r="GS1034" s="110"/>
      <c r="GT1034" s="110"/>
      <c r="GU1034" s="110"/>
      <c r="GV1034" s="110"/>
      <c r="GW1034" s="110"/>
      <c r="GX1034" s="110"/>
      <c r="GY1034" s="110"/>
      <c r="GZ1034" s="110"/>
      <c r="HA1034" s="110"/>
      <c r="HB1034" s="110"/>
      <c r="HC1034" s="110"/>
      <c r="HD1034" s="110"/>
      <c r="HE1034" s="110"/>
      <c r="HF1034" s="110"/>
      <c r="HG1034" s="110"/>
      <c r="HH1034" s="110"/>
      <c r="HI1034" s="110"/>
      <c r="HJ1034" s="110"/>
      <c r="HK1034" s="110"/>
      <c r="HL1034" s="110"/>
      <c r="HM1034" s="110"/>
      <c r="HN1034" s="110"/>
      <c r="HO1034" s="110"/>
      <c r="HP1034" s="110"/>
      <c r="HQ1034" s="110"/>
      <c r="HR1034" s="110"/>
      <c r="HS1034" s="110"/>
      <c r="HT1034" s="110"/>
      <c r="HU1034" s="110"/>
      <c r="HV1034" s="110"/>
      <c r="HW1034" s="110"/>
      <c r="HX1034" s="110"/>
      <c r="HY1034" s="110"/>
      <c r="HZ1034" s="110"/>
      <c r="IA1034" s="110"/>
      <c r="IB1034" s="110"/>
      <c r="IC1034" s="110"/>
      <c r="ID1034" s="110"/>
      <c r="IE1034" s="110"/>
      <c r="IF1034" s="110"/>
      <c r="IG1034" s="110"/>
      <c r="IH1034" s="110"/>
      <c r="II1034" s="110"/>
      <c r="IJ1034" s="110"/>
      <c r="IK1034" s="110"/>
      <c r="IL1034" s="110"/>
      <c r="IM1034" s="110"/>
      <c r="IN1034" s="110"/>
      <c r="IO1034" s="110"/>
      <c r="IP1034" s="110"/>
    </row>
    <row r="1035" spans="18:250" ht="16.5" hidden="1" customHeight="1">
      <c r="R1035" s="95"/>
      <c r="S1035" s="95"/>
      <c r="T1035" s="95"/>
      <c r="U1035" s="70"/>
      <c r="V1035" s="214"/>
      <c r="W1035" s="70"/>
      <c r="X1035" s="70"/>
      <c r="Y1035" s="70"/>
      <c r="Z1035" s="70"/>
      <c r="AA1035" s="70"/>
      <c r="AB1035" s="70"/>
      <c r="AC1035" s="70"/>
      <c r="AD1035" s="70"/>
      <c r="AE1035" s="70"/>
      <c r="AF1035" s="70"/>
      <c r="AG1035" s="70"/>
      <c r="AH1035" s="70"/>
      <c r="AI1035" s="70"/>
      <c r="AJ1035" s="70"/>
      <c r="AK1035" s="70"/>
      <c r="AL1035" s="70"/>
      <c r="AM1035" s="70"/>
      <c r="AN1035" s="70"/>
      <c r="AO1035" s="70"/>
      <c r="AP1035" s="70"/>
      <c r="AQ1035" s="70"/>
      <c r="AR1035" s="70"/>
      <c r="AS1035" s="70"/>
      <c r="AT1035" s="70"/>
      <c r="AU1035" s="70"/>
      <c r="AV1035" s="70"/>
      <c r="AW1035" s="70"/>
      <c r="AX1035" s="70"/>
      <c r="AY1035" s="70"/>
      <c r="AZ1035" s="70"/>
      <c r="BA1035" s="70"/>
      <c r="BB1035" s="70"/>
      <c r="BC1035" s="70"/>
      <c r="BD1035" s="70"/>
      <c r="BE1035" s="70"/>
      <c r="BF1035" s="70"/>
      <c r="BG1035" s="70"/>
      <c r="BH1035" s="70"/>
      <c r="BI1035" s="70"/>
      <c r="BJ1035" s="70"/>
      <c r="BK1035" s="70"/>
      <c r="BL1035" s="70"/>
      <c r="BM1035" s="70"/>
      <c r="BN1035" s="70"/>
      <c r="BO1035" s="70"/>
      <c r="BP1035" s="70"/>
      <c r="BQ1035" s="70"/>
      <c r="BR1035" s="70"/>
      <c r="BS1035" s="70"/>
      <c r="BT1035" s="70"/>
      <c r="BU1035" s="70"/>
      <c r="BV1035" s="70"/>
      <c r="BW1035" s="70"/>
      <c r="BX1035" s="70"/>
      <c r="BY1035" s="70"/>
      <c r="BZ1035" s="70"/>
      <c r="CA1035" s="70"/>
      <c r="CB1035" s="70"/>
      <c r="CC1035" s="70"/>
      <c r="CD1035" s="70"/>
      <c r="CE1035" s="70"/>
      <c r="CF1035" s="70"/>
      <c r="CG1035" s="70"/>
      <c r="CH1035" s="70"/>
      <c r="CI1035" s="70"/>
      <c r="CJ1035" s="70"/>
      <c r="CK1035" s="70"/>
      <c r="CL1035" s="70"/>
      <c r="CM1035" s="70"/>
      <c r="CN1035" s="70"/>
      <c r="CO1035" s="70"/>
      <c r="CP1035" s="70"/>
      <c r="CQ1035" s="70"/>
      <c r="CR1035" s="70"/>
      <c r="CS1035" s="70"/>
      <c r="CT1035" s="70"/>
      <c r="CU1035" s="70"/>
      <c r="CV1035" s="70"/>
      <c r="CW1035" s="70"/>
      <c r="CX1035" s="70"/>
      <c r="CY1035" s="70"/>
      <c r="CZ1035" s="70"/>
      <c r="DA1035" s="70"/>
      <c r="DB1035" s="70"/>
      <c r="DC1035" s="70"/>
      <c r="DD1035" s="70"/>
      <c r="DE1035" s="70"/>
      <c r="DF1035" s="70"/>
      <c r="DG1035" s="70"/>
      <c r="DH1035" s="70"/>
      <c r="DI1035" s="70"/>
      <c r="DJ1035" s="70"/>
      <c r="DK1035" s="70"/>
      <c r="DL1035" s="70"/>
      <c r="DM1035" s="70"/>
      <c r="DN1035" s="70"/>
      <c r="DO1035" s="70"/>
      <c r="DP1035" s="70"/>
      <c r="DQ1035" s="70"/>
      <c r="DR1035" s="70"/>
      <c r="DS1035" s="70"/>
      <c r="DT1035" s="70"/>
      <c r="DU1035" s="70"/>
      <c r="DV1035" s="70"/>
      <c r="DW1035" s="70"/>
      <c r="DX1035" s="70"/>
      <c r="DY1035" s="70"/>
      <c r="DZ1035" s="70"/>
      <c r="EA1035" s="70"/>
      <c r="EB1035" s="70"/>
      <c r="EC1035" s="70"/>
      <c r="ED1035" s="70"/>
      <c r="EE1035" s="95" t="s">
        <v>450</v>
      </c>
      <c r="EF1035" s="110"/>
      <c r="EG1035" s="110"/>
      <c r="EH1035" s="110"/>
      <c r="EI1035" s="216"/>
      <c r="EJ1035" s="110"/>
      <c r="EK1035" s="110"/>
      <c r="EL1035" s="110"/>
      <c r="EM1035" s="110"/>
      <c r="EN1035" s="110"/>
      <c r="EO1035" s="110"/>
      <c r="EP1035" s="110"/>
      <c r="EQ1035" s="110"/>
      <c r="ER1035" s="110"/>
      <c r="ES1035" s="110"/>
      <c r="ET1035" s="110"/>
      <c r="EU1035" s="110"/>
      <c r="EV1035" s="110"/>
      <c r="EW1035" s="110"/>
      <c r="EX1035" s="110"/>
      <c r="EY1035" s="110"/>
      <c r="EZ1035" s="110"/>
      <c r="FA1035" s="110"/>
      <c r="FB1035" s="110"/>
      <c r="FC1035" s="110"/>
      <c r="FD1035" s="110"/>
      <c r="FE1035" s="110"/>
      <c r="FF1035" s="110"/>
      <c r="FG1035" s="110"/>
      <c r="FH1035" s="110"/>
      <c r="FI1035" s="110"/>
      <c r="FJ1035" s="110"/>
      <c r="FK1035" s="110"/>
      <c r="FL1035" s="110"/>
      <c r="FM1035" s="110"/>
      <c r="FN1035" s="110"/>
      <c r="FO1035" s="110"/>
      <c r="FP1035" s="110"/>
      <c r="FQ1035" s="110"/>
      <c r="FR1035" s="110"/>
      <c r="FS1035" s="110"/>
      <c r="FT1035" s="110"/>
      <c r="FU1035" s="110"/>
      <c r="FV1035" s="110"/>
      <c r="FW1035" s="110"/>
      <c r="FX1035" s="110"/>
      <c r="FY1035" s="110"/>
      <c r="FZ1035" s="110"/>
      <c r="GA1035" s="110"/>
      <c r="GB1035" s="110"/>
      <c r="GC1035" s="110"/>
      <c r="GD1035" s="110"/>
      <c r="GE1035" s="110"/>
      <c r="GF1035" s="110"/>
      <c r="GG1035" s="110"/>
      <c r="GH1035" s="110"/>
      <c r="GI1035" s="110"/>
      <c r="GJ1035" s="110"/>
      <c r="GK1035" s="110"/>
      <c r="GL1035" s="110"/>
      <c r="GM1035" s="110"/>
      <c r="GN1035" s="110"/>
      <c r="GO1035" s="110"/>
      <c r="GP1035" s="110"/>
      <c r="GQ1035" s="110"/>
      <c r="GR1035" s="110"/>
      <c r="GS1035" s="110"/>
      <c r="GT1035" s="110"/>
      <c r="GU1035" s="110"/>
      <c r="GV1035" s="110"/>
      <c r="GW1035" s="110"/>
      <c r="GX1035" s="110"/>
      <c r="GY1035" s="110"/>
      <c r="GZ1035" s="110"/>
      <c r="HA1035" s="110"/>
      <c r="HB1035" s="110"/>
      <c r="HC1035" s="110"/>
      <c r="HD1035" s="110"/>
      <c r="HE1035" s="110"/>
      <c r="HF1035" s="110"/>
      <c r="HG1035" s="110"/>
      <c r="HH1035" s="110"/>
      <c r="HI1035" s="110"/>
      <c r="HJ1035" s="110"/>
      <c r="HK1035" s="110"/>
      <c r="HL1035" s="110"/>
      <c r="HM1035" s="110"/>
      <c r="HN1035" s="110"/>
      <c r="HO1035" s="110"/>
      <c r="HP1035" s="110"/>
      <c r="HQ1035" s="110"/>
      <c r="HR1035" s="110"/>
      <c r="HS1035" s="110"/>
      <c r="HT1035" s="110"/>
      <c r="HU1035" s="110"/>
      <c r="HV1035" s="110"/>
      <c r="HW1035" s="110"/>
      <c r="HX1035" s="110"/>
      <c r="HY1035" s="110"/>
      <c r="HZ1035" s="110"/>
      <c r="IA1035" s="110"/>
      <c r="IB1035" s="110"/>
      <c r="IC1035" s="110"/>
      <c r="ID1035" s="110"/>
      <c r="IE1035" s="110"/>
      <c r="IF1035" s="110"/>
      <c r="IG1035" s="110"/>
      <c r="IH1035" s="110"/>
      <c r="II1035" s="110"/>
      <c r="IJ1035" s="110"/>
      <c r="IK1035" s="110"/>
      <c r="IL1035" s="110"/>
      <c r="IM1035" s="110"/>
      <c r="IN1035" s="110"/>
      <c r="IO1035" s="110"/>
      <c r="IP1035" s="110"/>
    </row>
    <row r="1036" spans="18:250" ht="16.5" hidden="1" customHeight="1">
      <c r="R1036" s="95"/>
      <c r="S1036" s="95"/>
      <c r="T1036" s="95"/>
      <c r="U1036" s="70"/>
      <c r="V1036" s="214"/>
      <c r="W1036" s="70"/>
      <c r="X1036" s="70"/>
      <c r="Y1036" s="70"/>
      <c r="Z1036" s="70"/>
      <c r="AA1036" s="70"/>
      <c r="AB1036" s="70"/>
      <c r="AC1036" s="70"/>
      <c r="AD1036" s="70"/>
      <c r="AE1036" s="70"/>
      <c r="AF1036" s="70"/>
      <c r="AG1036" s="70"/>
      <c r="AH1036" s="70"/>
      <c r="AI1036" s="70"/>
      <c r="AJ1036" s="70"/>
      <c r="AK1036" s="70"/>
      <c r="AL1036" s="70"/>
      <c r="AM1036" s="70"/>
      <c r="AN1036" s="70"/>
      <c r="AO1036" s="70"/>
      <c r="AP1036" s="70"/>
      <c r="AQ1036" s="70"/>
      <c r="AR1036" s="70"/>
      <c r="AS1036" s="70"/>
      <c r="AT1036" s="70"/>
      <c r="AU1036" s="70"/>
      <c r="AV1036" s="70"/>
      <c r="AW1036" s="70"/>
      <c r="AX1036" s="70"/>
      <c r="AY1036" s="70"/>
      <c r="AZ1036" s="70"/>
      <c r="BA1036" s="70"/>
      <c r="BB1036" s="70"/>
      <c r="BC1036" s="70"/>
      <c r="BD1036" s="70"/>
      <c r="BE1036" s="70"/>
      <c r="BF1036" s="70"/>
      <c r="BG1036" s="70"/>
      <c r="BH1036" s="70"/>
      <c r="BI1036" s="70"/>
      <c r="BJ1036" s="70"/>
      <c r="BK1036" s="70"/>
      <c r="BL1036" s="70"/>
      <c r="BM1036" s="70"/>
      <c r="BN1036" s="70"/>
      <c r="BO1036" s="70"/>
      <c r="BP1036" s="70"/>
      <c r="BQ1036" s="70"/>
      <c r="BR1036" s="70"/>
      <c r="BS1036" s="70"/>
      <c r="BT1036" s="70"/>
      <c r="BU1036" s="70"/>
      <c r="BV1036" s="70"/>
      <c r="BW1036" s="70"/>
      <c r="BX1036" s="70"/>
      <c r="BY1036" s="70"/>
      <c r="BZ1036" s="70"/>
      <c r="CA1036" s="70"/>
      <c r="CB1036" s="70"/>
      <c r="CC1036" s="70"/>
      <c r="CD1036" s="70"/>
      <c r="CE1036" s="70"/>
      <c r="CF1036" s="70"/>
      <c r="CG1036" s="70"/>
      <c r="CH1036" s="70"/>
      <c r="CI1036" s="70"/>
      <c r="CJ1036" s="70"/>
      <c r="CK1036" s="70"/>
      <c r="CL1036" s="70"/>
      <c r="CM1036" s="70"/>
      <c r="CN1036" s="70"/>
      <c r="CO1036" s="70"/>
      <c r="CP1036" s="70"/>
      <c r="CQ1036" s="70"/>
      <c r="CR1036" s="70"/>
      <c r="CS1036" s="70"/>
      <c r="CT1036" s="70"/>
      <c r="CU1036" s="70"/>
      <c r="CV1036" s="70"/>
      <c r="CW1036" s="70"/>
      <c r="CX1036" s="70"/>
      <c r="CY1036" s="70"/>
      <c r="CZ1036" s="70"/>
      <c r="DA1036" s="70"/>
      <c r="DB1036" s="70"/>
      <c r="DC1036" s="70"/>
      <c r="DD1036" s="70"/>
      <c r="DE1036" s="70"/>
      <c r="DF1036" s="70"/>
      <c r="DG1036" s="70"/>
      <c r="DH1036" s="70"/>
      <c r="DI1036" s="70"/>
      <c r="DJ1036" s="70"/>
      <c r="DK1036" s="70"/>
      <c r="DL1036" s="70"/>
      <c r="DM1036" s="70"/>
      <c r="DN1036" s="70"/>
      <c r="DO1036" s="70"/>
      <c r="DP1036" s="70"/>
      <c r="DQ1036" s="70"/>
      <c r="DR1036" s="70"/>
      <c r="DS1036" s="70"/>
      <c r="DT1036" s="70"/>
      <c r="DU1036" s="70"/>
      <c r="DV1036" s="70"/>
      <c r="DW1036" s="70"/>
      <c r="DX1036" s="70"/>
      <c r="DY1036" s="70"/>
      <c r="DZ1036" s="70"/>
      <c r="EA1036" s="70"/>
      <c r="EB1036" s="70"/>
      <c r="EC1036" s="70"/>
      <c r="ED1036" s="70"/>
      <c r="EE1036" s="95" t="s">
        <v>450</v>
      </c>
      <c r="EF1036" s="110"/>
      <c r="EG1036" s="110"/>
      <c r="EH1036" s="110"/>
      <c r="EI1036" s="216"/>
      <c r="EJ1036" s="110"/>
      <c r="EK1036" s="110"/>
      <c r="EL1036" s="110"/>
      <c r="EM1036" s="110"/>
      <c r="EN1036" s="110"/>
      <c r="EO1036" s="110"/>
      <c r="EP1036" s="110"/>
      <c r="EQ1036" s="110"/>
      <c r="ER1036" s="110"/>
      <c r="ES1036" s="110"/>
      <c r="ET1036" s="110"/>
      <c r="EU1036" s="110"/>
      <c r="EV1036" s="110"/>
      <c r="EW1036" s="110"/>
      <c r="EX1036" s="110"/>
      <c r="EY1036" s="110"/>
      <c r="EZ1036" s="110"/>
      <c r="FA1036" s="110"/>
      <c r="FB1036" s="110"/>
      <c r="FC1036" s="110"/>
      <c r="FD1036" s="110"/>
      <c r="FE1036" s="110"/>
      <c r="FF1036" s="110"/>
      <c r="FG1036" s="110"/>
      <c r="FH1036" s="110"/>
      <c r="FI1036" s="110"/>
      <c r="FJ1036" s="110"/>
      <c r="FK1036" s="110"/>
      <c r="FL1036" s="110"/>
      <c r="FM1036" s="110"/>
      <c r="FN1036" s="110"/>
      <c r="FO1036" s="110"/>
      <c r="FP1036" s="110"/>
      <c r="FQ1036" s="110"/>
      <c r="FR1036" s="110"/>
      <c r="FS1036" s="110"/>
      <c r="FT1036" s="110"/>
      <c r="FU1036" s="110"/>
      <c r="FV1036" s="110"/>
      <c r="FW1036" s="110"/>
      <c r="FX1036" s="110"/>
      <c r="FY1036" s="110"/>
      <c r="FZ1036" s="110"/>
      <c r="GA1036" s="110"/>
      <c r="GB1036" s="110"/>
      <c r="GC1036" s="110"/>
      <c r="GD1036" s="110"/>
      <c r="GE1036" s="110"/>
      <c r="GF1036" s="110"/>
      <c r="GG1036" s="110"/>
      <c r="GH1036" s="110"/>
      <c r="GI1036" s="110"/>
      <c r="GJ1036" s="110"/>
      <c r="GK1036" s="110"/>
      <c r="GL1036" s="110"/>
      <c r="GM1036" s="110"/>
      <c r="GN1036" s="110"/>
      <c r="GO1036" s="110"/>
      <c r="GP1036" s="110"/>
      <c r="GQ1036" s="110"/>
      <c r="GR1036" s="110"/>
      <c r="GS1036" s="110"/>
      <c r="GT1036" s="110"/>
      <c r="GU1036" s="110"/>
      <c r="GV1036" s="110"/>
      <c r="GW1036" s="110"/>
      <c r="GX1036" s="110"/>
      <c r="GY1036" s="110"/>
      <c r="GZ1036" s="110"/>
      <c r="HA1036" s="110"/>
      <c r="HB1036" s="110"/>
      <c r="HC1036" s="110"/>
      <c r="HD1036" s="110"/>
      <c r="HE1036" s="110"/>
      <c r="HF1036" s="110"/>
      <c r="HG1036" s="110"/>
      <c r="HH1036" s="110"/>
      <c r="HI1036" s="110"/>
      <c r="HJ1036" s="110"/>
      <c r="HK1036" s="110"/>
      <c r="HL1036" s="110"/>
      <c r="HM1036" s="110"/>
      <c r="HN1036" s="110"/>
      <c r="HO1036" s="110"/>
      <c r="HP1036" s="110"/>
      <c r="HQ1036" s="110"/>
      <c r="HR1036" s="110"/>
      <c r="HS1036" s="110"/>
      <c r="HT1036" s="110"/>
      <c r="HU1036" s="110"/>
      <c r="HV1036" s="110"/>
      <c r="HW1036" s="110"/>
      <c r="HX1036" s="110"/>
      <c r="HY1036" s="110"/>
      <c r="HZ1036" s="110"/>
      <c r="IA1036" s="110"/>
      <c r="IB1036" s="110"/>
      <c r="IC1036" s="110"/>
      <c r="ID1036" s="110"/>
      <c r="IE1036" s="110"/>
      <c r="IF1036" s="110"/>
      <c r="IG1036" s="110"/>
      <c r="IH1036" s="110"/>
      <c r="II1036" s="110"/>
      <c r="IJ1036" s="110"/>
      <c r="IK1036" s="110"/>
      <c r="IL1036" s="110"/>
      <c r="IM1036" s="110"/>
      <c r="IN1036" s="110"/>
      <c r="IO1036" s="110"/>
      <c r="IP1036" s="110"/>
    </row>
    <row r="1037" spans="18:250" ht="16.5" hidden="1" customHeight="1">
      <c r="R1037" s="95"/>
      <c r="S1037" s="95"/>
      <c r="T1037" s="95"/>
      <c r="U1037" s="70"/>
      <c r="V1037" s="214"/>
      <c r="W1037" s="70"/>
      <c r="X1037" s="70"/>
      <c r="Y1037" s="70"/>
      <c r="Z1037" s="70"/>
      <c r="AA1037" s="70"/>
      <c r="AB1037" s="70"/>
      <c r="AC1037" s="70"/>
      <c r="AD1037" s="70"/>
      <c r="AE1037" s="70"/>
      <c r="AF1037" s="70"/>
      <c r="AG1037" s="70"/>
      <c r="AH1037" s="70"/>
      <c r="AI1037" s="70"/>
      <c r="AJ1037" s="70"/>
      <c r="AK1037" s="70"/>
      <c r="AL1037" s="70"/>
      <c r="AM1037" s="70"/>
      <c r="AN1037" s="70"/>
      <c r="AO1037" s="70"/>
      <c r="AP1037" s="70"/>
      <c r="AQ1037" s="70"/>
      <c r="AR1037" s="70"/>
      <c r="AS1037" s="70"/>
      <c r="AT1037" s="70"/>
      <c r="AU1037" s="70"/>
      <c r="AV1037" s="70"/>
      <c r="AW1037" s="70"/>
      <c r="AX1037" s="70"/>
      <c r="AY1037" s="70"/>
      <c r="AZ1037" s="70"/>
      <c r="BA1037" s="70"/>
      <c r="BB1037" s="70"/>
      <c r="BC1037" s="70"/>
      <c r="BD1037" s="70"/>
      <c r="BE1037" s="70"/>
      <c r="BF1037" s="70"/>
      <c r="BG1037" s="70"/>
      <c r="BH1037" s="70"/>
      <c r="BI1037" s="70"/>
      <c r="BJ1037" s="70"/>
      <c r="BK1037" s="70"/>
      <c r="BL1037" s="70"/>
      <c r="BM1037" s="70"/>
      <c r="BN1037" s="70"/>
      <c r="BO1037" s="70"/>
      <c r="BP1037" s="70"/>
      <c r="BQ1037" s="70"/>
      <c r="BR1037" s="70"/>
      <c r="BS1037" s="70"/>
      <c r="BT1037" s="70"/>
      <c r="BU1037" s="70"/>
      <c r="BV1037" s="70"/>
      <c r="BW1037" s="70"/>
      <c r="BX1037" s="70"/>
      <c r="BY1037" s="70"/>
      <c r="BZ1037" s="70"/>
      <c r="CA1037" s="70"/>
      <c r="CB1037" s="70"/>
      <c r="CC1037" s="70"/>
      <c r="CD1037" s="70"/>
      <c r="CE1037" s="70"/>
      <c r="CF1037" s="70"/>
      <c r="CG1037" s="70"/>
      <c r="CH1037" s="70"/>
      <c r="CI1037" s="70"/>
      <c r="CJ1037" s="70"/>
      <c r="CK1037" s="70"/>
      <c r="CL1037" s="70"/>
      <c r="CM1037" s="70"/>
      <c r="CN1037" s="70"/>
      <c r="CO1037" s="70"/>
      <c r="CP1037" s="70"/>
      <c r="CQ1037" s="70"/>
      <c r="CR1037" s="70"/>
      <c r="CS1037" s="70"/>
      <c r="CT1037" s="70"/>
      <c r="CU1037" s="70"/>
      <c r="CV1037" s="70"/>
      <c r="CW1037" s="70"/>
      <c r="CX1037" s="70"/>
      <c r="CY1037" s="70"/>
      <c r="CZ1037" s="70"/>
      <c r="DA1037" s="70"/>
      <c r="DB1037" s="70"/>
      <c r="DC1037" s="70"/>
      <c r="DD1037" s="70"/>
      <c r="DE1037" s="70"/>
      <c r="DF1037" s="70"/>
      <c r="DG1037" s="70"/>
      <c r="DH1037" s="70"/>
      <c r="DI1037" s="70"/>
      <c r="DJ1037" s="70"/>
      <c r="DK1037" s="70"/>
      <c r="DL1037" s="70"/>
      <c r="DM1037" s="70"/>
      <c r="DN1037" s="70"/>
      <c r="DO1037" s="70"/>
      <c r="DP1037" s="70"/>
      <c r="DQ1037" s="70"/>
      <c r="DR1037" s="70"/>
      <c r="DS1037" s="70"/>
      <c r="DT1037" s="70"/>
      <c r="DU1037" s="70"/>
      <c r="DV1037" s="70"/>
      <c r="DW1037" s="70"/>
      <c r="DX1037" s="70"/>
      <c r="DY1037" s="70"/>
      <c r="DZ1037" s="70"/>
      <c r="EA1037" s="70"/>
      <c r="EB1037" s="70"/>
      <c r="EC1037" s="70"/>
      <c r="ED1037" s="70"/>
      <c r="EE1037" s="95" t="s">
        <v>450</v>
      </c>
      <c r="EF1037" s="110"/>
      <c r="EG1037" s="110"/>
      <c r="EH1037" s="110"/>
      <c r="EI1037" s="216"/>
      <c r="EJ1037" s="110"/>
      <c r="EK1037" s="110"/>
      <c r="EL1037" s="110"/>
      <c r="EM1037" s="110"/>
      <c r="EN1037" s="110"/>
      <c r="EO1037" s="110"/>
      <c r="EP1037" s="110"/>
      <c r="EQ1037" s="110"/>
      <c r="ER1037" s="110"/>
      <c r="ES1037" s="110"/>
      <c r="ET1037" s="110"/>
      <c r="EU1037" s="110"/>
      <c r="EV1037" s="110"/>
      <c r="EW1037" s="110"/>
      <c r="EX1037" s="110"/>
      <c r="EY1037" s="110"/>
      <c r="EZ1037" s="110"/>
      <c r="FA1037" s="110"/>
      <c r="FB1037" s="110"/>
      <c r="FC1037" s="110"/>
      <c r="FD1037" s="110"/>
      <c r="FE1037" s="110"/>
      <c r="FF1037" s="110"/>
      <c r="FG1037" s="110"/>
      <c r="FH1037" s="110"/>
      <c r="FI1037" s="110"/>
      <c r="FJ1037" s="110"/>
      <c r="FK1037" s="110"/>
      <c r="FL1037" s="110"/>
      <c r="FM1037" s="110"/>
      <c r="FN1037" s="110"/>
      <c r="FO1037" s="110"/>
      <c r="FP1037" s="110"/>
      <c r="FQ1037" s="110"/>
      <c r="FR1037" s="110"/>
      <c r="FS1037" s="110"/>
      <c r="FT1037" s="110"/>
      <c r="FU1037" s="110"/>
      <c r="FV1037" s="110"/>
      <c r="FW1037" s="110"/>
      <c r="FX1037" s="110"/>
      <c r="FY1037" s="110"/>
      <c r="FZ1037" s="110"/>
      <c r="GA1037" s="110"/>
      <c r="GB1037" s="110"/>
      <c r="GC1037" s="110"/>
      <c r="GD1037" s="110"/>
      <c r="GE1037" s="110"/>
      <c r="GF1037" s="110"/>
      <c r="GG1037" s="110"/>
      <c r="GH1037" s="110"/>
      <c r="GI1037" s="110"/>
      <c r="GJ1037" s="110"/>
      <c r="GK1037" s="110"/>
      <c r="GL1037" s="110"/>
      <c r="GM1037" s="110"/>
      <c r="GN1037" s="110"/>
      <c r="GO1037" s="110"/>
      <c r="GP1037" s="110"/>
      <c r="GQ1037" s="110"/>
      <c r="GR1037" s="110"/>
      <c r="GS1037" s="110"/>
      <c r="GT1037" s="110"/>
      <c r="GU1037" s="110"/>
      <c r="GV1037" s="110"/>
      <c r="GW1037" s="110"/>
      <c r="GX1037" s="110"/>
      <c r="GY1037" s="110"/>
      <c r="GZ1037" s="110"/>
      <c r="HA1037" s="110"/>
      <c r="HB1037" s="110"/>
      <c r="HC1037" s="110"/>
      <c r="HD1037" s="110"/>
      <c r="HE1037" s="110"/>
      <c r="HF1037" s="110"/>
      <c r="HG1037" s="110"/>
      <c r="HH1037" s="110"/>
      <c r="HI1037" s="110"/>
      <c r="HJ1037" s="110"/>
      <c r="HK1037" s="110"/>
      <c r="HL1037" s="110"/>
      <c r="HM1037" s="110"/>
      <c r="HN1037" s="110"/>
      <c r="HO1037" s="110"/>
      <c r="HP1037" s="110"/>
      <c r="HQ1037" s="110"/>
      <c r="HR1037" s="110"/>
      <c r="HS1037" s="110"/>
      <c r="HT1037" s="110"/>
      <c r="HU1037" s="110"/>
      <c r="HV1037" s="110"/>
      <c r="HW1037" s="110"/>
      <c r="HX1037" s="110"/>
      <c r="HY1037" s="110"/>
      <c r="HZ1037" s="110"/>
      <c r="IA1037" s="110"/>
      <c r="IB1037" s="110"/>
      <c r="IC1037" s="110"/>
      <c r="ID1037" s="110"/>
      <c r="IE1037" s="110"/>
      <c r="IF1037" s="110"/>
      <c r="IG1037" s="110"/>
      <c r="IH1037" s="110"/>
      <c r="II1037" s="110"/>
      <c r="IJ1037" s="110"/>
      <c r="IK1037" s="110"/>
      <c r="IL1037" s="110"/>
      <c r="IM1037" s="110"/>
      <c r="IN1037" s="110"/>
      <c r="IO1037" s="110"/>
      <c r="IP1037" s="110"/>
    </row>
    <row r="1038" spans="18:250" ht="16.5" hidden="1" customHeight="1">
      <c r="R1038" s="95"/>
      <c r="S1038" s="95"/>
      <c r="T1038" s="95"/>
      <c r="U1038" s="70"/>
      <c r="V1038" s="214"/>
      <c r="W1038" s="70"/>
      <c r="X1038" s="70"/>
      <c r="Y1038" s="70"/>
      <c r="Z1038" s="70"/>
      <c r="AA1038" s="70"/>
      <c r="AB1038" s="70"/>
      <c r="AC1038" s="70"/>
      <c r="AD1038" s="70"/>
      <c r="AE1038" s="70"/>
      <c r="AF1038" s="70"/>
      <c r="AG1038" s="70"/>
      <c r="AH1038" s="70"/>
      <c r="AI1038" s="70"/>
      <c r="AJ1038" s="70"/>
      <c r="AK1038" s="70"/>
      <c r="AL1038" s="70"/>
      <c r="AM1038" s="70"/>
      <c r="AN1038" s="70"/>
      <c r="AO1038" s="70"/>
      <c r="AP1038" s="70"/>
      <c r="AQ1038" s="70"/>
      <c r="AR1038" s="70"/>
      <c r="AS1038" s="70"/>
      <c r="AT1038" s="70"/>
      <c r="AU1038" s="70"/>
      <c r="AV1038" s="70"/>
      <c r="AW1038" s="70"/>
      <c r="AX1038" s="70"/>
      <c r="AY1038" s="70"/>
      <c r="AZ1038" s="70"/>
      <c r="BA1038" s="70"/>
      <c r="BB1038" s="70"/>
      <c r="BC1038" s="70"/>
      <c r="BD1038" s="70"/>
      <c r="BE1038" s="70"/>
      <c r="BF1038" s="70"/>
      <c r="BG1038" s="70"/>
      <c r="BH1038" s="70"/>
      <c r="BI1038" s="70"/>
      <c r="BJ1038" s="70"/>
      <c r="BK1038" s="70"/>
      <c r="BL1038" s="70"/>
      <c r="BM1038" s="70"/>
      <c r="BN1038" s="70"/>
      <c r="BO1038" s="70"/>
      <c r="BP1038" s="70"/>
      <c r="BQ1038" s="70"/>
      <c r="BR1038" s="70"/>
      <c r="BS1038" s="70"/>
      <c r="BT1038" s="70"/>
      <c r="BU1038" s="70"/>
      <c r="BV1038" s="70"/>
      <c r="BW1038" s="70"/>
      <c r="BX1038" s="70"/>
      <c r="BY1038" s="70"/>
      <c r="BZ1038" s="70"/>
      <c r="CA1038" s="70"/>
      <c r="CB1038" s="70"/>
      <c r="CC1038" s="70"/>
      <c r="CD1038" s="70"/>
      <c r="CE1038" s="70"/>
      <c r="CF1038" s="70"/>
      <c r="CG1038" s="70"/>
      <c r="CH1038" s="70"/>
      <c r="CI1038" s="70"/>
      <c r="CJ1038" s="70"/>
      <c r="CK1038" s="70"/>
      <c r="CL1038" s="70"/>
      <c r="CM1038" s="70"/>
      <c r="CN1038" s="70"/>
      <c r="CO1038" s="70"/>
      <c r="CP1038" s="70"/>
      <c r="CQ1038" s="70"/>
      <c r="CR1038" s="70"/>
      <c r="CS1038" s="70"/>
      <c r="CT1038" s="70"/>
      <c r="CU1038" s="70"/>
      <c r="CV1038" s="70"/>
      <c r="CW1038" s="70"/>
      <c r="CX1038" s="70"/>
      <c r="CY1038" s="70"/>
      <c r="CZ1038" s="70"/>
      <c r="DA1038" s="70"/>
      <c r="DB1038" s="70"/>
      <c r="DC1038" s="70"/>
      <c r="DD1038" s="70"/>
      <c r="DE1038" s="70"/>
      <c r="DF1038" s="70"/>
      <c r="DG1038" s="70"/>
      <c r="DH1038" s="70"/>
      <c r="DI1038" s="70"/>
      <c r="DJ1038" s="70"/>
      <c r="DK1038" s="70"/>
      <c r="DL1038" s="70"/>
      <c r="DM1038" s="70"/>
      <c r="DN1038" s="70"/>
      <c r="DO1038" s="70"/>
      <c r="DP1038" s="70"/>
      <c r="DQ1038" s="70"/>
      <c r="DR1038" s="70"/>
      <c r="DS1038" s="70"/>
      <c r="DT1038" s="70"/>
      <c r="DU1038" s="70"/>
      <c r="DV1038" s="70"/>
      <c r="DW1038" s="70"/>
      <c r="DX1038" s="70"/>
      <c r="DY1038" s="70"/>
      <c r="DZ1038" s="70"/>
      <c r="EA1038" s="70"/>
      <c r="EB1038" s="70"/>
      <c r="EC1038" s="70"/>
      <c r="ED1038" s="70"/>
      <c r="EE1038" s="95" t="s">
        <v>450</v>
      </c>
      <c r="EF1038" s="110"/>
      <c r="EG1038" s="110"/>
      <c r="EH1038" s="110"/>
      <c r="EI1038" s="216"/>
      <c r="EJ1038" s="110"/>
      <c r="EK1038" s="110"/>
      <c r="EL1038" s="110"/>
      <c r="EM1038" s="110"/>
      <c r="EN1038" s="110"/>
      <c r="EO1038" s="110"/>
      <c r="EP1038" s="110"/>
      <c r="EQ1038" s="110"/>
      <c r="ER1038" s="110"/>
      <c r="ES1038" s="110"/>
      <c r="ET1038" s="110"/>
      <c r="EU1038" s="110"/>
      <c r="EV1038" s="110"/>
      <c r="EW1038" s="110"/>
      <c r="EX1038" s="110"/>
      <c r="EY1038" s="110"/>
      <c r="EZ1038" s="110"/>
      <c r="FA1038" s="110"/>
      <c r="FB1038" s="110"/>
      <c r="FC1038" s="110"/>
      <c r="FD1038" s="110"/>
      <c r="FE1038" s="110"/>
      <c r="FF1038" s="110"/>
      <c r="FG1038" s="110"/>
      <c r="FH1038" s="110"/>
      <c r="FI1038" s="110"/>
      <c r="FJ1038" s="110"/>
      <c r="FK1038" s="110"/>
      <c r="FL1038" s="110"/>
      <c r="FM1038" s="110"/>
      <c r="FN1038" s="110"/>
      <c r="FO1038" s="110"/>
      <c r="FP1038" s="110"/>
      <c r="FQ1038" s="110"/>
      <c r="FR1038" s="110"/>
      <c r="FS1038" s="110"/>
      <c r="FT1038" s="110"/>
      <c r="FU1038" s="110"/>
      <c r="FV1038" s="110"/>
      <c r="FW1038" s="110"/>
      <c r="FX1038" s="110"/>
      <c r="FY1038" s="110"/>
      <c r="FZ1038" s="110"/>
      <c r="GA1038" s="110"/>
      <c r="GB1038" s="110"/>
      <c r="GC1038" s="110"/>
      <c r="GD1038" s="110"/>
      <c r="GE1038" s="110"/>
      <c r="GF1038" s="110"/>
      <c r="GG1038" s="110"/>
      <c r="GH1038" s="110"/>
      <c r="GI1038" s="110"/>
      <c r="GJ1038" s="110"/>
      <c r="GK1038" s="110"/>
      <c r="GL1038" s="110"/>
      <c r="GM1038" s="110"/>
      <c r="GN1038" s="110"/>
      <c r="GO1038" s="110"/>
      <c r="GP1038" s="110"/>
      <c r="GQ1038" s="110"/>
      <c r="GR1038" s="110"/>
      <c r="GS1038" s="110"/>
      <c r="GT1038" s="110"/>
      <c r="GU1038" s="110"/>
      <c r="GV1038" s="110"/>
      <c r="GW1038" s="110"/>
      <c r="GX1038" s="110"/>
      <c r="GY1038" s="110"/>
      <c r="GZ1038" s="110"/>
      <c r="HA1038" s="110"/>
      <c r="HB1038" s="110"/>
      <c r="HC1038" s="110"/>
      <c r="HD1038" s="110"/>
      <c r="HE1038" s="110"/>
      <c r="HF1038" s="110"/>
      <c r="HG1038" s="110"/>
      <c r="HH1038" s="110"/>
      <c r="HI1038" s="110"/>
      <c r="HJ1038" s="110"/>
      <c r="HK1038" s="110"/>
      <c r="HL1038" s="110"/>
      <c r="HM1038" s="110"/>
      <c r="HN1038" s="110"/>
      <c r="HO1038" s="110"/>
      <c r="HP1038" s="110"/>
      <c r="HQ1038" s="110"/>
      <c r="HR1038" s="110"/>
      <c r="HS1038" s="110"/>
      <c r="HT1038" s="110"/>
      <c r="HU1038" s="110"/>
      <c r="HV1038" s="110"/>
      <c r="HW1038" s="110"/>
      <c r="HX1038" s="110"/>
      <c r="HY1038" s="110"/>
      <c r="HZ1038" s="110"/>
      <c r="IA1038" s="110"/>
      <c r="IB1038" s="110"/>
      <c r="IC1038" s="110"/>
      <c r="ID1038" s="110"/>
      <c r="IE1038" s="110"/>
      <c r="IF1038" s="110"/>
      <c r="IG1038" s="110"/>
      <c r="IH1038" s="110"/>
      <c r="II1038" s="110"/>
      <c r="IJ1038" s="110"/>
      <c r="IK1038" s="110"/>
      <c r="IL1038" s="110"/>
      <c r="IM1038" s="110"/>
      <c r="IN1038" s="110"/>
      <c r="IO1038" s="110"/>
      <c r="IP1038" s="110"/>
    </row>
    <row r="1039" spans="18:250" ht="16.5" hidden="1" customHeight="1">
      <c r="R1039" s="95"/>
      <c r="S1039" s="95"/>
      <c r="T1039" s="95"/>
      <c r="U1039" s="70"/>
      <c r="V1039" s="214"/>
      <c r="W1039" s="70"/>
      <c r="X1039" s="70"/>
      <c r="Y1039" s="70"/>
      <c r="Z1039" s="70"/>
      <c r="AA1039" s="70"/>
      <c r="AB1039" s="70"/>
      <c r="AC1039" s="70"/>
      <c r="AD1039" s="70"/>
      <c r="AE1039" s="70"/>
      <c r="AF1039" s="70"/>
      <c r="AG1039" s="70"/>
      <c r="AH1039" s="70"/>
      <c r="AI1039" s="70"/>
      <c r="AJ1039" s="70"/>
      <c r="AK1039" s="70"/>
      <c r="AL1039" s="70"/>
      <c r="AM1039" s="70"/>
      <c r="AN1039" s="70"/>
      <c r="AO1039" s="70"/>
      <c r="AP1039" s="70"/>
      <c r="AQ1039" s="70"/>
      <c r="AR1039" s="70"/>
      <c r="AS1039" s="70"/>
      <c r="AT1039" s="70"/>
      <c r="AU1039" s="70"/>
      <c r="AV1039" s="70"/>
      <c r="AW1039" s="70"/>
      <c r="AX1039" s="70"/>
      <c r="AY1039" s="70"/>
      <c r="AZ1039" s="70"/>
      <c r="BA1039" s="70"/>
      <c r="BB1039" s="70"/>
      <c r="BC1039" s="70"/>
      <c r="BD1039" s="70"/>
      <c r="BE1039" s="70"/>
      <c r="BF1039" s="70"/>
      <c r="BG1039" s="70"/>
      <c r="BH1039" s="70"/>
      <c r="BI1039" s="70"/>
      <c r="BJ1039" s="70"/>
      <c r="BK1039" s="70"/>
      <c r="BL1039" s="70"/>
      <c r="BM1039" s="70"/>
      <c r="BN1039" s="70"/>
      <c r="BO1039" s="70"/>
      <c r="BP1039" s="70"/>
      <c r="BQ1039" s="70"/>
      <c r="BR1039" s="70"/>
      <c r="BS1039" s="70"/>
      <c r="BT1039" s="70"/>
      <c r="BU1039" s="70"/>
      <c r="BV1039" s="70"/>
      <c r="BW1039" s="70"/>
      <c r="BX1039" s="70"/>
      <c r="BY1039" s="70"/>
      <c r="BZ1039" s="70"/>
      <c r="CA1039" s="70"/>
      <c r="CB1039" s="70"/>
      <c r="CC1039" s="70"/>
      <c r="CD1039" s="70"/>
      <c r="CE1039" s="70"/>
      <c r="CF1039" s="70"/>
      <c r="CG1039" s="70"/>
      <c r="CH1039" s="70"/>
      <c r="CI1039" s="70"/>
      <c r="CJ1039" s="70"/>
      <c r="CK1039" s="70"/>
      <c r="CL1039" s="70"/>
      <c r="CM1039" s="70"/>
      <c r="CN1039" s="70"/>
      <c r="CO1039" s="70"/>
      <c r="CP1039" s="70"/>
      <c r="CQ1039" s="70"/>
      <c r="CR1039" s="70"/>
      <c r="CS1039" s="70"/>
      <c r="CT1039" s="70"/>
      <c r="CU1039" s="70"/>
      <c r="CV1039" s="70"/>
      <c r="CW1039" s="70"/>
      <c r="CX1039" s="70"/>
      <c r="CY1039" s="70"/>
      <c r="CZ1039" s="70"/>
      <c r="DA1039" s="70"/>
      <c r="DB1039" s="70"/>
      <c r="DC1039" s="70"/>
      <c r="DD1039" s="70"/>
      <c r="DE1039" s="70"/>
      <c r="DF1039" s="70"/>
      <c r="DG1039" s="70"/>
      <c r="DH1039" s="70"/>
      <c r="DI1039" s="70"/>
      <c r="DJ1039" s="70"/>
      <c r="DK1039" s="70"/>
      <c r="DL1039" s="70"/>
      <c r="DM1039" s="70"/>
      <c r="DN1039" s="70"/>
      <c r="DO1039" s="70"/>
      <c r="DP1039" s="70"/>
      <c r="DQ1039" s="70"/>
      <c r="DR1039" s="70"/>
      <c r="DS1039" s="70"/>
      <c r="DT1039" s="70"/>
      <c r="DU1039" s="70"/>
      <c r="DV1039" s="70"/>
      <c r="DW1039" s="70"/>
      <c r="DX1039" s="70"/>
      <c r="DY1039" s="70"/>
      <c r="DZ1039" s="70"/>
      <c r="EA1039" s="70"/>
      <c r="EB1039" s="70"/>
      <c r="EC1039" s="70"/>
      <c r="ED1039" s="70"/>
      <c r="EE1039" s="95" t="s">
        <v>450</v>
      </c>
      <c r="EF1039" s="110"/>
      <c r="EG1039" s="110"/>
      <c r="EH1039" s="110"/>
      <c r="EI1039" s="216"/>
      <c r="EJ1039" s="110"/>
      <c r="EK1039" s="110"/>
      <c r="EL1039" s="110"/>
      <c r="EM1039" s="110"/>
      <c r="EN1039" s="110"/>
      <c r="EO1039" s="110"/>
      <c r="EP1039" s="110"/>
      <c r="EQ1039" s="110"/>
      <c r="ER1039" s="110"/>
      <c r="ES1039" s="110"/>
      <c r="ET1039" s="110"/>
      <c r="EU1039" s="110"/>
      <c r="EV1039" s="110"/>
      <c r="EW1039" s="110"/>
      <c r="EX1039" s="110"/>
      <c r="EY1039" s="110"/>
      <c r="EZ1039" s="110"/>
      <c r="FA1039" s="110"/>
      <c r="FB1039" s="110"/>
      <c r="FC1039" s="110"/>
      <c r="FD1039" s="110"/>
      <c r="FE1039" s="110"/>
      <c r="FF1039" s="110"/>
      <c r="FG1039" s="110"/>
      <c r="FH1039" s="110"/>
      <c r="FI1039" s="110"/>
      <c r="FJ1039" s="110"/>
      <c r="FK1039" s="110"/>
      <c r="FL1039" s="110"/>
      <c r="FM1039" s="110"/>
      <c r="FN1039" s="110"/>
      <c r="FO1039" s="110"/>
      <c r="FP1039" s="110"/>
      <c r="FQ1039" s="110"/>
      <c r="FR1039" s="110"/>
      <c r="FS1039" s="110"/>
      <c r="FT1039" s="110"/>
      <c r="FU1039" s="110"/>
      <c r="FV1039" s="110"/>
      <c r="FW1039" s="110"/>
      <c r="FX1039" s="110"/>
      <c r="FY1039" s="110"/>
      <c r="FZ1039" s="110"/>
      <c r="GA1039" s="110"/>
      <c r="GB1039" s="110"/>
      <c r="GC1039" s="110"/>
      <c r="GD1039" s="110"/>
      <c r="GE1039" s="110"/>
      <c r="GF1039" s="110"/>
      <c r="GG1039" s="110"/>
      <c r="GH1039" s="110"/>
      <c r="GI1039" s="110"/>
      <c r="GJ1039" s="110"/>
      <c r="GK1039" s="110"/>
      <c r="GL1039" s="110"/>
      <c r="GM1039" s="110"/>
      <c r="GN1039" s="110"/>
      <c r="GO1039" s="110"/>
      <c r="GP1039" s="110"/>
      <c r="GQ1039" s="110"/>
      <c r="GR1039" s="110"/>
      <c r="GS1039" s="110"/>
      <c r="GT1039" s="110"/>
      <c r="GU1039" s="110"/>
      <c r="GV1039" s="110"/>
      <c r="GW1039" s="110"/>
      <c r="GX1039" s="110"/>
      <c r="GY1039" s="110"/>
      <c r="GZ1039" s="110"/>
      <c r="HA1039" s="110"/>
      <c r="HB1039" s="110"/>
      <c r="HC1039" s="110"/>
      <c r="HD1039" s="110"/>
      <c r="HE1039" s="110"/>
      <c r="HF1039" s="110"/>
      <c r="HG1039" s="110"/>
      <c r="HH1039" s="110"/>
      <c r="HI1039" s="110"/>
      <c r="HJ1039" s="110"/>
      <c r="HK1039" s="110"/>
      <c r="HL1039" s="110"/>
      <c r="HM1039" s="110"/>
      <c r="HN1039" s="110"/>
      <c r="HO1039" s="110"/>
      <c r="HP1039" s="110"/>
      <c r="HQ1039" s="110"/>
      <c r="HR1039" s="110"/>
      <c r="HS1039" s="110"/>
      <c r="HT1039" s="110"/>
      <c r="HU1039" s="110"/>
      <c r="HV1039" s="110"/>
      <c r="HW1039" s="110"/>
      <c r="HX1039" s="110"/>
      <c r="HY1039" s="110"/>
      <c r="HZ1039" s="110"/>
      <c r="IA1039" s="110"/>
      <c r="IB1039" s="110"/>
      <c r="IC1039" s="110"/>
      <c r="ID1039" s="110"/>
      <c r="IE1039" s="110"/>
      <c r="IF1039" s="110"/>
      <c r="IG1039" s="110"/>
      <c r="IH1039" s="110"/>
      <c r="II1039" s="110"/>
      <c r="IJ1039" s="110"/>
      <c r="IK1039" s="110"/>
      <c r="IL1039" s="110"/>
      <c r="IM1039" s="110"/>
      <c r="IN1039" s="110"/>
      <c r="IO1039" s="110"/>
      <c r="IP1039" s="110"/>
    </row>
    <row r="1040" spans="18:250" ht="16.5" hidden="1" customHeight="1">
      <c r="R1040" s="95"/>
      <c r="S1040" s="95"/>
      <c r="T1040" s="95"/>
      <c r="U1040" s="70"/>
      <c r="V1040" s="214"/>
      <c r="W1040" s="70"/>
      <c r="X1040" s="70"/>
      <c r="Y1040" s="70"/>
      <c r="Z1040" s="70"/>
      <c r="AA1040" s="70"/>
      <c r="AB1040" s="70"/>
      <c r="AC1040" s="70"/>
      <c r="AD1040" s="70"/>
      <c r="AE1040" s="70"/>
      <c r="AF1040" s="70"/>
      <c r="AG1040" s="70"/>
      <c r="AH1040" s="70"/>
      <c r="AI1040" s="70"/>
      <c r="AJ1040" s="70"/>
      <c r="AK1040" s="70"/>
      <c r="AL1040" s="70"/>
      <c r="AM1040" s="70"/>
      <c r="AN1040" s="70"/>
      <c r="AO1040" s="70"/>
      <c r="AP1040" s="70"/>
      <c r="AQ1040" s="70"/>
      <c r="AR1040" s="70"/>
      <c r="AS1040" s="70"/>
      <c r="AT1040" s="70"/>
      <c r="AU1040" s="70"/>
      <c r="AV1040" s="70"/>
      <c r="AW1040" s="70"/>
      <c r="AX1040" s="70"/>
      <c r="AY1040" s="70"/>
      <c r="AZ1040" s="70"/>
      <c r="BA1040" s="70"/>
      <c r="BB1040" s="70"/>
      <c r="BC1040" s="70"/>
      <c r="BD1040" s="70"/>
      <c r="BE1040" s="70"/>
      <c r="BF1040" s="70"/>
      <c r="BG1040" s="70"/>
      <c r="BH1040" s="70"/>
      <c r="BI1040" s="70"/>
      <c r="BJ1040" s="70"/>
      <c r="BK1040" s="70"/>
      <c r="BL1040" s="70"/>
      <c r="BM1040" s="70"/>
      <c r="BN1040" s="70"/>
      <c r="BO1040" s="70"/>
      <c r="BP1040" s="70"/>
      <c r="BQ1040" s="70"/>
      <c r="BR1040" s="70"/>
      <c r="BS1040" s="70"/>
      <c r="BT1040" s="70"/>
      <c r="BU1040" s="70"/>
      <c r="BV1040" s="70"/>
      <c r="BW1040" s="70"/>
      <c r="BX1040" s="70"/>
      <c r="BY1040" s="70"/>
      <c r="BZ1040" s="70"/>
      <c r="CA1040" s="70"/>
      <c r="CB1040" s="70"/>
      <c r="CC1040" s="70"/>
      <c r="CD1040" s="70"/>
      <c r="CE1040" s="70"/>
      <c r="CF1040" s="70"/>
      <c r="CG1040" s="70"/>
      <c r="CH1040" s="70"/>
      <c r="CI1040" s="70"/>
      <c r="CJ1040" s="70"/>
      <c r="CK1040" s="70"/>
      <c r="CL1040" s="70"/>
      <c r="CM1040" s="70"/>
      <c r="CN1040" s="70"/>
      <c r="CO1040" s="70"/>
      <c r="CP1040" s="70"/>
      <c r="CQ1040" s="70"/>
      <c r="CR1040" s="70"/>
      <c r="CS1040" s="70"/>
      <c r="CT1040" s="70"/>
      <c r="CU1040" s="70"/>
      <c r="CV1040" s="70"/>
      <c r="CW1040" s="70"/>
      <c r="CX1040" s="70"/>
      <c r="CY1040" s="70"/>
      <c r="CZ1040" s="70"/>
      <c r="DA1040" s="70"/>
      <c r="DB1040" s="70"/>
      <c r="DC1040" s="70"/>
      <c r="DD1040" s="70"/>
      <c r="DE1040" s="70"/>
      <c r="DF1040" s="70"/>
      <c r="DG1040" s="70"/>
      <c r="DH1040" s="70"/>
      <c r="DI1040" s="70"/>
      <c r="DJ1040" s="70"/>
      <c r="DK1040" s="70"/>
      <c r="DL1040" s="70"/>
      <c r="DM1040" s="70"/>
      <c r="DN1040" s="70"/>
      <c r="DO1040" s="70"/>
      <c r="DP1040" s="70"/>
      <c r="DQ1040" s="70"/>
      <c r="DR1040" s="70"/>
      <c r="DS1040" s="70"/>
      <c r="DT1040" s="70"/>
      <c r="DU1040" s="70"/>
      <c r="DV1040" s="70"/>
      <c r="DW1040" s="70"/>
      <c r="DX1040" s="70"/>
      <c r="DY1040" s="70"/>
      <c r="DZ1040" s="70"/>
      <c r="EA1040" s="70"/>
      <c r="EB1040" s="70"/>
      <c r="EC1040" s="70"/>
      <c r="ED1040" s="70"/>
      <c r="EE1040" s="95" t="s">
        <v>450</v>
      </c>
      <c r="EF1040" s="110"/>
      <c r="EG1040" s="110"/>
      <c r="EH1040" s="110"/>
      <c r="EI1040" s="216"/>
      <c r="EJ1040" s="110"/>
      <c r="EK1040" s="110"/>
      <c r="EL1040" s="110"/>
      <c r="EM1040" s="110"/>
      <c r="EN1040" s="110"/>
      <c r="EO1040" s="110"/>
      <c r="EP1040" s="110"/>
      <c r="EQ1040" s="110"/>
      <c r="ER1040" s="110"/>
      <c r="ES1040" s="110"/>
      <c r="ET1040" s="110"/>
      <c r="EU1040" s="110"/>
      <c r="EV1040" s="110"/>
      <c r="EW1040" s="110"/>
      <c r="EX1040" s="110"/>
      <c r="EY1040" s="110"/>
      <c r="EZ1040" s="110"/>
      <c r="FA1040" s="110"/>
      <c r="FB1040" s="110"/>
      <c r="FC1040" s="110"/>
      <c r="FD1040" s="110"/>
      <c r="FE1040" s="110"/>
      <c r="FF1040" s="110"/>
      <c r="FG1040" s="110"/>
      <c r="FH1040" s="110"/>
      <c r="FI1040" s="110"/>
      <c r="FJ1040" s="110"/>
      <c r="FK1040" s="110"/>
      <c r="FL1040" s="110"/>
      <c r="FM1040" s="110"/>
      <c r="FN1040" s="110"/>
      <c r="FO1040" s="110"/>
      <c r="FP1040" s="110"/>
      <c r="FQ1040" s="110"/>
      <c r="FR1040" s="110"/>
      <c r="FS1040" s="110"/>
      <c r="FT1040" s="110"/>
      <c r="FU1040" s="110"/>
      <c r="FV1040" s="110"/>
      <c r="FW1040" s="110"/>
      <c r="FX1040" s="110"/>
      <c r="FY1040" s="110"/>
      <c r="FZ1040" s="110"/>
      <c r="GA1040" s="110"/>
      <c r="GB1040" s="110"/>
      <c r="GC1040" s="110"/>
      <c r="GD1040" s="110"/>
      <c r="GE1040" s="110"/>
      <c r="GF1040" s="110"/>
      <c r="GG1040" s="110"/>
      <c r="GH1040" s="110"/>
      <c r="GI1040" s="110"/>
      <c r="GJ1040" s="110"/>
      <c r="GK1040" s="110"/>
      <c r="GL1040" s="110"/>
      <c r="GM1040" s="110"/>
      <c r="GN1040" s="110"/>
      <c r="GO1040" s="110"/>
      <c r="GP1040" s="110"/>
      <c r="GQ1040" s="110"/>
      <c r="GR1040" s="110"/>
      <c r="GS1040" s="110"/>
      <c r="GT1040" s="110"/>
      <c r="GU1040" s="110"/>
      <c r="GV1040" s="110"/>
      <c r="GW1040" s="110"/>
      <c r="GX1040" s="110"/>
      <c r="GY1040" s="110"/>
      <c r="GZ1040" s="110"/>
      <c r="HA1040" s="110"/>
      <c r="HB1040" s="110"/>
      <c r="HC1040" s="110"/>
      <c r="HD1040" s="110"/>
      <c r="HE1040" s="110"/>
      <c r="HF1040" s="110"/>
      <c r="HG1040" s="110"/>
      <c r="HH1040" s="110"/>
      <c r="HI1040" s="110"/>
      <c r="HJ1040" s="110"/>
      <c r="HK1040" s="110"/>
      <c r="HL1040" s="110"/>
      <c r="HM1040" s="110"/>
      <c r="HN1040" s="110"/>
      <c r="HO1040" s="110"/>
      <c r="HP1040" s="110"/>
      <c r="HQ1040" s="110"/>
      <c r="HR1040" s="110"/>
      <c r="HS1040" s="110"/>
      <c r="HT1040" s="110"/>
      <c r="HU1040" s="110"/>
      <c r="HV1040" s="110"/>
      <c r="HW1040" s="110"/>
      <c r="HX1040" s="110"/>
      <c r="HY1040" s="110"/>
      <c r="HZ1040" s="110"/>
      <c r="IA1040" s="110"/>
      <c r="IB1040" s="110"/>
      <c r="IC1040" s="110"/>
      <c r="ID1040" s="110"/>
      <c r="IE1040" s="110"/>
      <c r="IF1040" s="110"/>
      <c r="IG1040" s="110"/>
      <c r="IH1040" s="110"/>
      <c r="II1040" s="110"/>
      <c r="IJ1040" s="110"/>
      <c r="IK1040" s="110"/>
      <c r="IL1040" s="110"/>
      <c r="IM1040" s="110"/>
      <c r="IN1040" s="110"/>
      <c r="IO1040" s="110"/>
      <c r="IP1040" s="110"/>
    </row>
    <row r="1041" spans="18:250" ht="16.5" hidden="1" customHeight="1">
      <c r="R1041" s="95"/>
      <c r="S1041" s="95"/>
      <c r="T1041" s="95"/>
      <c r="U1041" s="70"/>
      <c r="V1041" s="214"/>
      <c r="W1041" s="70"/>
      <c r="X1041" s="70"/>
      <c r="Y1041" s="70"/>
      <c r="Z1041" s="70"/>
      <c r="AA1041" s="70"/>
      <c r="AB1041" s="70"/>
      <c r="AC1041" s="70"/>
      <c r="AD1041" s="70"/>
      <c r="AE1041" s="70"/>
      <c r="AF1041" s="70"/>
      <c r="AG1041" s="70"/>
      <c r="AH1041" s="70"/>
      <c r="AI1041" s="70"/>
      <c r="AJ1041" s="70"/>
      <c r="AK1041" s="70"/>
      <c r="AL1041" s="70"/>
      <c r="AM1041" s="70"/>
      <c r="AN1041" s="70"/>
      <c r="AO1041" s="70"/>
      <c r="AP1041" s="70"/>
      <c r="AQ1041" s="70"/>
      <c r="AR1041" s="70"/>
      <c r="AS1041" s="70"/>
      <c r="AT1041" s="70"/>
      <c r="AU1041" s="70"/>
      <c r="AV1041" s="70"/>
      <c r="AW1041" s="70"/>
      <c r="AX1041" s="70"/>
      <c r="AY1041" s="70"/>
      <c r="AZ1041" s="70"/>
      <c r="BA1041" s="70"/>
      <c r="BB1041" s="70"/>
      <c r="BC1041" s="70"/>
      <c r="BD1041" s="70"/>
      <c r="BE1041" s="70"/>
      <c r="BF1041" s="70"/>
      <c r="BG1041" s="70"/>
      <c r="BH1041" s="70"/>
      <c r="BI1041" s="70"/>
      <c r="BJ1041" s="70"/>
      <c r="BK1041" s="70"/>
      <c r="BL1041" s="70"/>
      <c r="BM1041" s="70"/>
      <c r="BN1041" s="70"/>
      <c r="BO1041" s="70"/>
      <c r="BP1041" s="70"/>
      <c r="BQ1041" s="70"/>
      <c r="BR1041" s="70"/>
      <c r="BS1041" s="70"/>
      <c r="BT1041" s="70"/>
      <c r="BU1041" s="70"/>
      <c r="BV1041" s="70"/>
      <c r="BW1041" s="70"/>
      <c r="BX1041" s="70"/>
      <c r="BY1041" s="70"/>
      <c r="BZ1041" s="70"/>
      <c r="CA1041" s="70"/>
      <c r="CB1041" s="70"/>
      <c r="CC1041" s="70"/>
      <c r="CD1041" s="70"/>
      <c r="CE1041" s="70"/>
      <c r="CF1041" s="70"/>
      <c r="CG1041" s="70"/>
      <c r="CH1041" s="70"/>
      <c r="CI1041" s="70"/>
      <c r="CJ1041" s="70"/>
      <c r="CK1041" s="70"/>
      <c r="CL1041" s="70"/>
      <c r="CM1041" s="70"/>
      <c r="CN1041" s="70"/>
      <c r="CO1041" s="70"/>
      <c r="CP1041" s="70"/>
      <c r="CQ1041" s="70"/>
      <c r="CR1041" s="70"/>
      <c r="CS1041" s="70"/>
      <c r="CT1041" s="70"/>
      <c r="CU1041" s="70"/>
      <c r="CV1041" s="70"/>
      <c r="CW1041" s="70"/>
      <c r="CX1041" s="70"/>
      <c r="CY1041" s="70"/>
      <c r="CZ1041" s="70"/>
      <c r="DA1041" s="70"/>
      <c r="DB1041" s="70"/>
      <c r="DC1041" s="70"/>
      <c r="DD1041" s="70"/>
      <c r="DE1041" s="70"/>
      <c r="DF1041" s="70"/>
      <c r="DG1041" s="70"/>
      <c r="DH1041" s="70"/>
      <c r="DI1041" s="70"/>
      <c r="DJ1041" s="70"/>
      <c r="DK1041" s="70"/>
      <c r="DL1041" s="70"/>
      <c r="DM1041" s="70"/>
      <c r="DN1041" s="70"/>
      <c r="DO1041" s="70"/>
      <c r="DP1041" s="70"/>
      <c r="DQ1041" s="70"/>
      <c r="DR1041" s="70"/>
      <c r="DS1041" s="70"/>
      <c r="DT1041" s="70"/>
      <c r="DU1041" s="70"/>
      <c r="DV1041" s="70"/>
      <c r="DW1041" s="70"/>
      <c r="DX1041" s="70"/>
      <c r="DY1041" s="70"/>
      <c r="DZ1041" s="70"/>
      <c r="EA1041" s="70"/>
      <c r="EB1041" s="70"/>
      <c r="EC1041" s="70"/>
      <c r="ED1041" s="70"/>
      <c r="EE1041" s="95" t="s">
        <v>450</v>
      </c>
      <c r="EF1041" s="110"/>
      <c r="EG1041" s="110"/>
      <c r="EH1041" s="110"/>
      <c r="EI1041" s="216"/>
      <c r="EJ1041" s="110"/>
      <c r="EK1041" s="110"/>
      <c r="EL1041" s="110"/>
      <c r="EM1041" s="110"/>
      <c r="EN1041" s="110"/>
      <c r="EO1041" s="110"/>
      <c r="EP1041" s="110"/>
      <c r="EQ1041" s="110"/>
      <c r="ER1041" s="110"/>
      <c r="ES1041" s="110"/>
      <c r="ET1041" s="110"/>
      <c r="EU1041" s="110"/>
      <c r="EV1041" s="110"/>
      <c r="EW1041" s="110"/>
      <c r="EX1041" s="110"/>
      <c r="EY1041" s="110"/>
      <c r="EZ1041" s="110"/>
      <c r="FA1041" s="110"/>
      <c r="FB1041" s="110"/>
      <c r="FC1041" s="110"/>
      <c r="FD1041" s="110"/>
      <c r="FE1041" s="110"/>
      <c r="FF1041" s="110"/>
      <c r="FG1041" s="110"/>
      <c r="FH1041" s="110"/>
      <c r="FI1041" s="110"/>
      <c r="FJ1041" s="110"/>
      <c r="FK1041" s="110"/>
      <c r="FL1041" s="110"/>
      <c r="FM1041" s="110"/>
      <c r="FN1041" s="110"/>
      <c r="FO1041" s="110"/>
      <c r="FP1041" s="110"/>
      <c r="FQ1041" s="110"/>
      <c r="FR1041" s="110"/>
      <c r="FS1041" s="110"/>
      <c r="FT1041" s="110"/>
      <c r="FU1041" s="110"/>
      <c r="FV1041" s="110"/>
      <c r="FW1041" s="110"/>
      <c r="FX1041" s="110"/>
      <c r="FY1041" s="110"/>
      <c r="FZ1041" s="110"/>
      <c r="GA1041" s="110"/>
      <c r="GB1041" s="110"/>
      <c r="GC1041" s="110"/>
      <c r="GD1041" s="110"/>
      <c r="GE1041" s="110"/>
      <c r="GF1041" s="110"/>
      <c r="GG1041" s="110"/>
      <c r="GH1041" s="110"/>
      <c r="GI1041" s="110"/>
      <c r="GJ1041" s="110"/>
      <c r="GK1041" s="110"/>
      <c r="GL1041" s="110"/>
      <c r="GM1041" s="110"/>
      <c r="GN1041" s="110"/>
      <c r="GO1041" s="110"/>
      <c r="GP1041" s="110"/>
      <c r="GQ1041" s="110"/>
      <c r="GR1041" s="110"/>
      <c r="GS1041" s="110"/>
      <c r="GT1041" s="110"/>
      <c r="GU1041" s="110"/>
      <c r="GV1041" s="110"/>
      <c r="GW1041" s="110"/>
      <c r="GX1041" s="110"/>
      <c r="GY1041" s="110"/>
      <c r="GZ1041" s="110"/>
      <c r="HA1041" s="110"/>
      <c r="HB1041" s="110"/>
      <c r="HC1041" s="110"/>
      <c r="HD1041" s="110"/>
      <c r="HE1041" s="110"/>
      <c r="HF1041" s="110"/>
      <c r="HG1041" s="110"/>
      <c r="HH1041" s="110"/>
      <c r="HI1041" s="110"/>
      <c r="HJ1041" s="110"/>
      <c r="HK1041" s="110"/>
      <c r="HL1041" s="110"/>
      <c r="HM1041" s="110"/>
      <c r="HN1041" s="110"/>
      <c r="HO1041" s="110"/>
      <c r="HP1041" s="110"/>
      <c r="HQ1041" s="110"/>
      <c r="HR1041" s="110"/>
      <c r="HS1041" s="110"/>
      <c r="HT1041" s="110"/>
      <c r="HU1041" s="110"/>
      <c r="HV1041" s="110"/>
      <c r="HW1041" s="110"/>
      <c r="HX1041" s="110"/>
      <c r="HY1041" s="110"/>
      <c r="HZ1041" s="110"/>
      <c r="IA1041" s="110"/>
      <c r="IB1041" s="110"/>
      <c r="IC1041" s="110"/>
      <c r="ID1041" s="110"/>
      <c r="IE1041" s="110"/>
      <c r="IF1041" s="110"/>
      <c r="IG1041" s="110"/>
      <c r="IH1041" s="110"/>
      <c r="II1041" s="110"/>
      <c r="IJ1041" s="110"/>
      <c r="IK1041" s="110"/>
      <c r="IL1041" s="110"/>
      <c r="IM1041" s="110"/>
      <c r="IN1041" s="110"/>
      <c r="IO1041" s="110"/>
      <c r="IP1041" s="110"/>
    </row>
    <row r="1042" spans="18:250" ht="16.5" hidden="1" customHeight="1">
      <c r="R1042" s="95"/>
      <c r="S1042" s="95"/>
      <c r="T1042" s="95"/>
      <c r="U1042" s="70"/>
      <c r="V1042" s="214"/>
      <c r="W1042" s="70"/>
      <c r="X1042" s="70"/>
      <c r="Y1042" s="70"/>
      <c r="Z1042" s="70"/>
      <c r="AA1042" s="70"/>
      <c r="AB1042" s="70"/>
      <c r="AC1042" s="70"/>
      <c r="AD1042" s="70"/>
      <c r="AE1042" s="70"/>
      <c r="AF1042" s="70"/>
      <c r="AG1042" s="70"/>
      <c r="AH1042" s="70"/>
      <c r="AI1042" s="70"/>
      <c r="AJ1042" s="70"/>
      <c r="AK1042" s="70"/>
      <c r="AL1042" s="70"/>
      <c r="AM1042" s="70"/>
      <c r="AN1042" s="70"/>
      <c r="AO1042" s="70"/>
      <c r="AP1042" s="70"/>
      <c r="AQ1042" s="70"/>
      <c r="AR1042" s="70"/>
      <c r="AS1042" s="70"/>
      <c r="AT1042" s="70"/>
      <c r="AU1042" s="70"/>
      <c r="AV1042" s="70"/>
      <c r="AW1042" s="70"/>
      <c r="AX1042" s="70"/>
      <c r="AY1042" s="70"/>
      <c r="AZ1042" s="70"/>
      <c r="BA1042" s="70"/>
      <c r="BB1042" s="70"/>
      <c r="BC1042" s="70"/>
      <c r="BD1042" s="70"/>
      <c r="BE1042" s="70"/>
      <c r="BF1042" s="70"/>
      <c r="BG1042" s="70"/>
      <c r="BH1042" s="70"/>
      <c r="BI1042" s="70"/>
      <c r="BJ1042" s="70"/>
      <c r="BK1042" s="70"/>
      <c r="BL1042" s="70"/>
      <c r="BM1042" s="70"/>
      <c r="BN1042" s="70"/>
      <c r="BO1042" s="70"/>
      <c r="BP1042" s="70"/>
      <c r="BQ1042" s="70"/>
      <c r="BR1042" s="70"/>
      <c r="BS1042" s="70"/>
      <c r="BT1042" s="70"/>
      <c r="BU1042" s="70"/>
      <c r="BV1042" s="70"/>
      <c r="BW1042" s="70"/>
      <c r="BX1042" s="70"/>
      <c r="BY1042" s="70"/>
      <c r="BZ1042" s="70"/>
      <c r="CA1042" s="70"/>
      <c r="CB1042" s="70"/>
      <c r="CC1042" s="70"/>
      <c r="CD1042" s="70"/>
      <c r="CE1042" s="70"/>
      <c r="CF1042" s="70"/>
      <c r="CG1042" s="70"/>
      <c r="CH1042" s="70"/>
      <c r="CI1042" s="70"/>
      <c r="CJ1042" s="70"/>
      <c r="CK1042" s="70"/>
      <c r="CL1042" s="70"/>
      <c r="CM1042" s="70"/>
      <c r="CN1042" s="70"/>
      <c r="CO1042" s="70"/>
      <c r="CP1042" s="70"/>
      <c r="CQ1042" s="70"/>
      <c r="CR1042" s="70"/>
      <c r="CS1042" s="70"/>
      <c r="CT1042" s="70"/>
      <c r="CU1042" s="70"/>
      <c r="CV1042" s="70"/>
      <c r="CW1042" s="70"/>
      <c r="CX1042" s="70"/>
      <c r="CY1042" s="70"/>
      <c r="CZ1042" s="70"/>
      <c r="DA1042" s="70"/>
      <c r="DB1042" s="70"/>
      <c r="DC1042" s="70"/>
      <c r="DD1042" s="70"/>
      <c r="DE1042" s="70"/>
      <c r="DF1042" s="70"/>
      <c r="DG1042" s="70"/>
      <c r="DH1042" s="70"/>
      <c r="DI1042" s="70"/>
      <c r="DJ1042" s="70"/>
      <c r="DK1042" s="70"/>
      <c r="DL1042" s="70"/>
      <c r="DM1042" s="70"/>
      <c r="DN1042" s="70"/>
      <c r="DO1042" s="70"/>
      <c r="DP1042" s="70"/>
      <c r="DQ1042" s="70"/>
      <c r="DR1042" s="70"/>
      <c r="DS1042" s="70"/>
      <c r="DT1042" s="70"/>
      <c r="DU1042" s="70"/>
      <c r="DV1042" s="70"/>
      <c r="DW1042" s="70"/>
      <c r="DX1042" s="70"/>
      <c r="DY1042" s="70"/>
      <c r="DZ1042" s="70"/>
      <c r="EA1042" s="70"/>
      <c r="EB1042" s="70"/>
      <c r="EC1042" s="70"/>
      <c r="ED1042" s="70"/>
      <c r="EE1042" s="95" t="s">
        <v>450</v>
      </c>
      <c r="EF1042" s="110"/>
      <c r="EG1042" s="110"/>
      <c r="EH1042" s="110"/>
      <c r="EI1042" s="216"/>
      <c r="EJ1042" s="110"/>
      <c r="EK1042" s="110"/>
      <c r="EL1042" s="110"/>
      <c r="EM1042" s="110"/>
      <c r="EN1042" s="110"/>
      <c r="EO1042" s="110"/>
      <c r="EP1042" s="110"/>
      <c r="EQ1042" s="110"/>
      <c r="ER1042" s="110"/>
      <c r="ES1042" s="110"/>
      <c r="ET1042" s="110"/>
      <c r="EU1042" s="110"/>
      <c r="EV1042" s="110"/>
      <c r="EW1042" s="110"/>
      <c r="EX1042" s="110"/>
      <c r="EY1042" s="110"/>
      <c r="EZ1042" s="110"/>
      <c r="FA1042" s="110"/>
      <c r="FB1042" s="110"/>
      <c r="FC1042" s="110"/>
      <c r="FD1042" s="110"/>
      <c r="FE1042" s="110"/>
      <c r="FF1042" s="110"/>
      <c r="FG1042" s="110"/>
      <c r="FH1042" s="110"/>
      <c r="FI1042" s="110"/>
      <c r="FJ1042" s="110"/>
      <c r="FK1042" s="110"/>
      <c r="FL1042" s="110"/>
      <c r="FM1042" s="110"/>
      <c r="FN1042" s="110"/>
      <c r="FO1042" s="110"/>
      <c r="FP1042" s="110"/>
      <c r="FQ1042" s="110"/>
      <c r="FR1042" s="110"/>
      <c r="FS1042" s="110"/>
      <c r="FT1042" s="110"/>
      <c r="FU1042" s="110"/>
      <c r="FV1042" s="110"/>
      <c r="FW1042" s="110"/>
      <c r="FX1042" s="110"/>
      <c r="FY1042" s="110"/>
      <c r="FZ1042" s="110"/>
      <c r="GA1042" s="110"/>
      <c r="GB1042" s="110"/>
      <c r="GC1042" s="110"/>
      <c r="GD1042" s="110"/>
      <c r="GE1042" s="110"/>
      <c r="GF1042" s="110"/>
      <c r="GG1042" s="110"/>
      <c r="GH1042" s="110"/>
      <c r="GI1042" s="110"/>
      <c r="GJ1042" s="110"/>
      <c r="GK1042" s="110"/>
      <c r="GL1042" s="110"/>
      <c r="GM1042" s="110"/>
      <c r="GN1042" s="110"/>
      <c r="GO1042" s="110"/>
      <c r="GP1042" s="110"/>
      <c r="GQ1042" s="110"/>
      <c r="GR1042" s="110"/>
      <c r="GS1042" s="110"/>
      <c r="GT1042" s="110"/>
      <c r="GU1042" s="110"/>
      <c r="GV1042" s="110"/>
      <c r="GW1042" s="110"/>
      <c r="GX1042" s="110"/>
      <c r="GY1042" s="110"/>
      <c r="GZ1042" s="110"/>
      <c r="HA1042" s="110"/>
      <c r="HB1042" s="110"/>
      <c r="HC1042" s="110"/>
      <c r="HD1042" s="110"/>
      <c r="HE1042" s="110"/>
      <c r="HF1042" s="110"/>
      <c r="HG1042" s="110"/>
      <c r="HH1042" s="110"/>
      <c r="HI1042" s="110"/>
      <c r="HJ1042" s="110"/>
      <c r="HK1042" s="110"/>
      <c r="HL1042" s="110"/>
      <c r="HM1042" s="110"/>
      <c r="HN1042" s="110"/>
      <c r="HO1042" s="110"/>
      <c r="HP1042" s="110"/>
      <c r="HQ1042" s="110"/>
      <c r="HR1042" s="110"/>
      <c r="HS1042" s="110"/>
      <c r="HT1042" s="110"/>
      <c r="HU1042" s="110"/>
      <c r="HV1042" s="110"/>
      <c r="HW1042" s="110"/>
      <c r="HX1042" s="110"/>
      <c r="HY1042" s="110"/>
      <c r="HZ1042" s="110"/>
      <c r="IA1042" s="110"/>
      <c r="IB1042" s="110"/>
      <c r="IC1042" s="110"/>
      <c r="ID1042" s="110"/>
      <c r="IE1042" s="110"/>
      <c r="IF1042" s="110"/>
      <c r="IG1042" s="110"/>
      <c r="IH1042" s="110"/>
      <c r="II1042" s="110"/>
      <c r="IJ1042" s="110"/>
      <c r="IK1042" s="110"/>
      <c r="IL1042" s="110"/>
      <c r="IM1042" s="110"/>
      <c r="IN1042" s="110"/>
      <c r="IO1042" s="110"/>
      <c r="IP1042" s="110"/>
    </row>
    <row r="1043" spans="18:250" ht="16.5" hidden="1" customHeight="1">
      <c r="R1043" s="95"/>
      <c r="S1043" s="95"/>
      <c r="T1043" s="95"/>
      <c r="U1043" s="70"/>
      <c r="V1043" s="214"/>
      <c r="W1043" s="70"/>
      <c r="X1043" s="70"/>
      <c r="Y1043" s="70"/>
      <c r="Z1043" s="70"/>
      <c r="AA1043" s="70"/>
      <c r="AB1043" s="70"/>
      <c r="AC1043" s="70"/>
      <c r="AD1043" s="70"/>
      <c r="AE1043" s="70"/>
      <c r="AF1043" s="70"/>
      <c r="AG1043" s="70"/>
      <c r="AH1043" s="70"/>
      <c r="AI1043" s="70"/>
      <c r="AJ1043" s="70"/>
      <c r="AK1043" s="70"/>
      <c r="AL1043" s="70"/>
      <c r="AM1043" s="70"/>
      <c r="AN1043" s="70"/>
      <c r="AO1043" s="70"/>
      <c r="AP1043" s="70"/>
      <c r="AQ1043" s="70"/>
      <c r="AR1043" s="70"/>
      <c r="AS1043" s="70"/>
      <c r="AT1043" s="70"/>
      <c r="AU1043" s="70"/>
      <c r="AV1043" s="70"/>
      <c r="AW1043" s="70"/>
      <c r="AX1043" s="70"/>
      <c r="AY1043" s="70"/>
      <c r="AZ1043" s="70"/>
      <c r="BA1043" s="70"/>
      <c r="BB1043" s="70"/>
      <c r="BC1043" s="70"/>
      <c r="BD1043" s="70"/>
      <c r="BE1043" s="70"/>
      <c r="BF1043" s="70"/>
      <c r="BG1043" s="70"/>
      <c r="BH1043" s="70"/>
      <c r="BI1043" s="70"/>
      <c r="BJ1043" s="70"/>
      <c r="BK1043" s="70"/>
      <c r="BL1043" s="70"/>
      <c r="BM1043" s="70"/>
      <c r="BN1043" s="70"/>
      <c r="BO1043" s="70"/>
      <c r="BP1043" s="70"/>
      <c r="BQ1043" s="70"/>
      <c r="BR1043" s="70"/>
      <c r="BS1043" s="70"/>
      <c r="BT1043" s="70"/>
      <c r="BU1043" s="70"/>
      <c r="BV1043" s="70"/>
      <c r="BW1043" s="70"/>
      <c r="BX1043" s="70"/>
      <c r="BY1043" s="70"/>
      <c r="BZ1043" s="70"/>
      <c r="CA1043" s="70"/>
      <c r="CB1043" s="70"/>
      <c r="CC1043" s="70"/>
      <c r="CD1043" s="70"/>
      <c r="CE1043" s="70"/>
      <c r="CF1043" s="70"/>
      <c r="CG1043" s="70"/>
      <c r="CH1043" s="70"/>
      <c r="CI1043" s="70"/>
      <c r="CJ1043" s="70"/>
      <c r="CK1043" s="70"/>
      <c r="CL1043" s="70"/>
      <c r="CM1043" s="70"/>
      <c r="CN1043" s="70"/>
      <c r="CO1043" s="70"/>
      <c r="CP1043" s="70"/>
      <c r="CQ1043" s="70"/>
      <c r="CR1043" s="70"/>
      <c r="CS1043" s="70"/>
      <c r="CT1043" s="70"/>
      <c r="CU1043" s="70"/>
      <c r="CV1043" s="70"/>
      <c r="CW1043" s="70"/>
      <c r="CX1043" s="70"/>
      <c r="CY1043" s="70"/>
      <c r="CZ1043" s="70"/>
      <c r="DA1043" s="70"/>
      <c r="DB1043" s="70"/>
      <c r="DC1043" s="70"/>
      <c r="DD1043" s="70"/>
      <c r="DE1043" s="70"/>
      <c r="DF1043" s="70"/>
      <c r="DG1043" s="70"/>
      <c r="DH1043" s="70"/>
      <c r="DI1043" s="70"/>
      <c r="DJ1043" s="70"/>
      <c r="DK1043" s="70"/>
      <c r="DL1043" s="70"/>
      <c r="DM1043" s="70"/>
      <c r="DN1043" s="70"/>
      <c r="DO1043" s="70"/>
      <c r="DP1043" s="70"/>
      <c r="DQ1043" s="70"/>
      <c r="DR1043" s="70"/>
      <c r="DS1043" s="70"/>
      <c r="DT1043" s="70"/>
      <c r="DU1043" s="70"/>
      <c r="DV1043" s="70"/>
      <c r="DW1043" s="70"/>
      <c r="DX1043" s="70"/>
      <c r="DY1043" s="70"/>
      <c r="DZ1043" s="70"/>
      <c r="EA1043" s="70"/>
      <c r="EB1043" s="70"/>
      <c r="EC1043" s="70"/>
      <c r="ED1043" s="70"/>
      <c r="EE1043" s="95" t="s">
        <v>450</v>
      </c>
      <c r="EF1043" s="110"/>
      <c r="EG1043" s="110"/>
      <c r="EH1043" s="110"/>
      <c r="EI1043" s="216"/>
      <c r="EJ1043" s="110"/>
      <c r="EK1043" s="110"/>
      <c r="EL1043" s="110"/>
      <c r="EM1043" s="110"/>
      <c r="EN1043" s="110"/>
      <c r="EO1043" s="110"/>
      <c r="EP1043" s="110"/>
      <c r="EQ1043" s="110"/>
      <c r="ER1043" s="110"/>
      <c r="ES1043" s="110"/>
      <c r="ET1043" s="110"/>
      <c r="EU1043" s="110"/>
      <c r="EV1043" s="110"/>
      <c r="EW1043" s="110"/>
      <c r="EX1043" s="110"/>
      <c r="EY1043" s="110"/>
      <c r="EZ1043" s="110"/>
      <c r="FA1043" s="110"/>
      <c r="FB1043" s="110"/>
      <c r="FC1043" s="110"/>
      <c r="FD1043" s="110"/>
      <c r="FE1043" s="110"/>
      <c r="FF1043" s="110"/>
      <c r="FG1043" s="110"/>
      <c r="FH1043" s="110"/>
      <c r="FI1043" s="110"/>
      <c r="FJ1043" s="110"/>
      <c r="FK1043" s="110"/>
      <c r="FL1043" s="110"/>
      <c r="FM1043" s="110"/>
      <c r="FN1043" s="110"/>
      <c r="FO1043" s="110"/>
      <c r="FP1043" s="110"/>
      <c r="FQ1043" s="110"/>
      <c r="FR1043" s="110"/>
      <c r="FS1043" s="110"/>
      <c r="FT1043" s="110"/>
      <c r="FU1043" s="110"/>
      <c r="FV1043" s="110"/>
      <c r="FW1043" s="110"/>
      <c r="FX1043" s="110"/>
      <c r="FY1043" s="110"/>
      <c r="FZ1043" s="110"/>
      <c r="GA1043" s="110"/>
      <c r="GB1043" s="110"/>
      <c r="GC1043" s="110"/>
      <c r="GD1043" s="110"/>
      <c r="GE1043" s="110"/>
      <c r="GF1043" s="110"/>
      <c r="GG1043" s="110"/>
      <c r="GH1043" s="110"/>
      <c r="GI1043" s="110"/>
      <c r="GJ1043" s="110"/>
      <c r="GK1043" s="110"/>
      <c r="GL1043" s="110"/>
      <c r="GM1043" s="110"/>
      <c r="GN1043" s="110"/>
      <c r="GO1043" s="110"/>
      <c r="GP1043" s="110"/>
      <c r="GQ1043" s="110"/>
      <c r="GR1043" s="110"/>
      <c r="GS1043" s="110"/>
      <c r="GT1043" s="110"/>
      <c r="GU1043" s="110"/>
      <c r="GV1043" s="110"/>
      <c r="GW1043" s="110"/>
      <c r="GX1043" s="110"/>
      <c r="GY1043" s="110"/>
      <c r="GZ1043" s="110"/>
      <c r="HA1043" s="110"/>
      <c r="HB1043" s="110"/>
      <c r="HC1043" s="110"/>
      <c r="HD1043" s="110"/>
      <c r="HE1043" s="110"/>
      <c r="HF1043" s="110"/>
      <c r="HG1043" s="110"/>
      <c r="HH1043" s="110"/>
      <c r="HI1043" s="110"/>
      <c r="HJ1043" s="110"/>
      <c r="HK1043" s="110"/>
      <c r="HL1043" s="110"/>
      <c r="HM1043" s="110"/>
      <c r="HN1043" s="110"/>
      <c r="HO1043" s="110"/>
      <c r="HP1043" s="110"/>
      <c r="HQ1043" s="110"/>
      <c r="HR1043" s="110"/>
      <c r="HS1043" s="110"/>
      <c r="HT1043" s="110"/>
      <c r="HU1043" s="110"/>
      <c r="HV1043" s="110"/>
      <c r="HW1043" s="110"/>
      <c r="HX1043" s="110"/>
      <c r="HY1043" s="110"/>
      <c r="HZ1043" s="110"/>
      <c r="IA1043" s="110"/>
      <c r="IB1043" s="110"/>
      <c r="IC1043" s="110"/>
      <c r="ID1043" s="110"/>
      <c r="IE1043" s="110"/>
      <c r="IF1043" s="110"/>
      <c r="IG1043" s="110"/>
      <c r="IH1043" s="110"/>
      <c r="II1043" s="110"/>
      <c r="IJ1043" s="110"/>
      <c r="IK1043" s="110"/>
      <c r="IL1043" s="110"/>
      <c r="IM1043" s="110"/>
      <c r="IN1043" s="110"/>
      <c r="IO1043" s="110"/>
      <c r="IP1043" s="110"/>
    </row>
    <row r="1044" spans="18:250" ht="16.5" hidden="1" customHeight="1">
      <c r="R1044" s="95"/>
      <c r="S1044" s="95"/>
      <c r="T1044" s="95"/>
      <c r="U1044" s="70"/>
      <c r="V1044" s="214"/>
      <c r="W1044" s="70"/>
      <c r="X1044" s="70"/>
      <c r="Y1044" s="70"/>
      <c r="Z1044" s="70"/>
      <c r="AA1044" s="70"/>
      <c r="AB1044" s="70"/>
      <c r="AC1044" s="70"/>
      <c r="AD1044" s="70"/>
      <c r="AE1044" s="70"/>
      <c r="AF1044" s="70"/>
      <c r="AG1044" s="70"/>
      <c r="AH1044" s="70"/>
      <c r="AI1044" s="70"/>
      <c r="AJ1044" s="70"/>
      <c r="AK1044" s="70"/>
      <c r="AL1044" s="70"/>
      <c r="AM1044" s="70"/>
      <c r="AN1044" s="70"/>
      <c r="AO1044" s="70"/>
      <c r="AP1044" s="70"/>
      <c r="AQ1044" s="70"/>
      <c r="AR1044" s="70"/>
      <c r="AS1044" s="70"/>
      <c r="AT1044" s="70"/>
      <c r="AU1044" s="70"/>
      <c r="AV1044" s="70"/>
      <c r="AW1044" s="70"/>
      <c r="AX1044" s="70"/>
      <c r="AY1044" s="70"/>
      <c r="AZ1044" s="70"/>
      <c r="BA1044" s="70"/>
      <c r="BB1044" s="70"/>
      <c r="BC1044" s="70"/>
      <c r="BD1044" s="70"/>
      <c r="BE1044" s="70"/>
      <c r="BF1044" s="70"/>
      <c r="BG1044" s="70"/>
      <c r="BH1044" s="70"/>
      <c r="BI1044" s="70"/>
      <c r="BJ1044" s="70"/>
      <c r="BK1044" s="70"/>
      <c r="BL1044" s="70"/>
      <c r="BM1044" s="70"/>
      <c r="BN1044" s="70"/>
      <c r="BO1044" s="70"/>
      <c r="BP1044" s="70"/>
      <c r="BQ1044" s="70"/>
      <c r="BR1044" s="70"/>
      <c r="BS1044" s="70"/>
      <c r="BT1044" s="70"/>
      <c r="BU1044" s="70"/>
      <c r="BV1044" s="70"/>
      <c r="BW1044" s="70"/>
      <c r="BX1044" s="70"/>
      <c r="BY1044" s="70"/>
      <c r="BZ1044" s="70"/>
      <c r="CA1044" s="70"/>
      <c r="CB1044" s="70"/>
      <c r="CC1044" s="70"/>
      <c r="CD1044" s="70"/>
      <c r="CE1044" s="70"/>
      <c r="CF1044" s="70"/>
      <c r="CG1044" s="70"/>
      <c r="CH1044" s="70"/>
      <c r="CI1044" s="70"/>
      <c r="CJ1044" s="70"/>
      <c r="CK1044" s="70"/>
      <c r="CL1044" s="70"/>
      <c r="CM1044" s="70"/>
      <c r="CN1044" s="70"/>
      <c r="CO1044" s="70"/>
      <c r="CP1044" s="70"/>
      <c r="CQ1044" s="70"/>
      <c r="CR1044" s="70"/>
      <c r="CS1044" s="70"/>
      <c r="CT1044" s="70"/>
      <c r="CU1044" s="70"/>
      <c r="CV1044" s="70"/>
      <c r="CW1044" s="70"/>
      <c r="CX1044" s="70"/>
      <c r="CY1044" s="70"/>
      <c r="CZ1044" s="70"/>
      <c r="DA1044" s="70"/>
      <c r="DB1044" s="70"/>
      <c r="DC1044" s="70"/>
      <c r="DD1044" s="70"/>
      <c r="DE1044" s="70"/>
      <c r="DF1044" s="70"/>
      <c r="DG1044" s="70"/>
      <c r="DH1044" s="70"/>
      <c r="DI1044" s="70"/>
      <c r="DJ1044" s="70"/>
      <c r="DK1044" s="70"/>
      <c r="DL1044" s="70"/>
      <c r="DM1044" s="70"/>
      <c r="DN1044" s="70"/>
      <c r="DO1044" s="70"/>
      <c r="DP1044" s="70"/>
      <c r="DQ1044" s="70"/>
      <c r="DR1044" s="70"/>
      <c r="DS1044" s="70"/>
      <c r="DT1044" s="70"/>
      <c r="DU1044" s="70"/>
      <c r="DV1044" s="70"/>
      <c r="DW1044" s="70"/>
      <c r="DX1044" s="70"/>
      <c r="DY1044" s="70"/>
      <c r="DZ1044" s="70"/>
      <c r="EA1044" s="70"/>
      <c r="EB1044" s="70"/>
      <c r="EC1044" s="70"/>
      <c r="ED1044" s="70"/>
      <c r="EE1044" s="95" t="s">
        <v>450</v>
      </c>
      <c r="EF1044" s="110"/>
      <c r="EG1044" s="110"/>
      <c r="EH1044" s="110"/>
      <c r="EI1044" s="216"/>
      <c r="EJ1044" s="110"/>
      <c r="EK1044" s="110"/>
      <c r="EL1044" s="110"/>
      <c r="EM1044" s="110"/>
      <c r="EN1044" s="110"/>
      <c r="EO1044" s="110"/>
      <c r="EP1044" s="110"/>
      <c r="EQ1044" s="110"/>
      <c r="ER1044" s="110"/>
      <c r="ES1044" s="110"/>
      <c r="ET1044" s="110"/>
      <c r="EU1044" s="110"/>
      <c r="EV1044" s="110"/>
      <c r="EW1044" s="110"/>
      <c r="EX1044" s="110"/>
      <c r="EY1044" s="110"/>
      <c r="EZ1044" s="110"/>
      <c r="FA1044" s="110"/>
      <c r="FB1044" s="110"/>
      <c r="FC1044" s="110"/>
      <c r="FD1044" s="110"/>
      <c r="FE1044" s="110"/>
      <c r="FF1044" s="110"/>
      <c r="FG1044" s="110"/>
      <c r="FH1044" s="110"/>
      <c r="FI1044" s="110"/>
      <c r="FJ1044" s="110"/>
      <c r="FK1044" s="110"/>
      <c r="FL1044" s="110"/>
      <c r="FM1044" s="110"/>
      <c r="FN1044" s="110"/>
      <c r="FO1044" s="110"/>
      <c r="FP1044" s="110"/>
      <c r="FQ1044" s="110"/>
      <c r="FR1044" s="110"/>
      <c r="FS1044" s="110"/>
      <c r="FT1044" s="110"/>
      <c r="FU1044" s="110"/>
      <c r="FV1044" s="110"/>
      <c r="FW1044" s="110"/>
      <c r="FX1044" s="110"/>
      <c r="FY1044" s="110"/>
      <c r="FZ1044" s="110"/>
      <c r="GA1044" s="110"/>
      <c r="GB1044" s="110"/>
      <c r="GC1044" s="110"/>
      <c r="GD1044" s="110"/>
      <c r="GE1044" s="110"/>
      <c r="GF1044" s="110"/>
      <c r="GG1044" s="110"/>
      <c r="GH1044" s="110"/>
      <c r="GI1044" s="110"/>
      <c r="GJ1044" s="110"/>
      <c r="GK1044" s="110"/>
      <c r="GL1044" s="110"/>
      <c r="GM1044" s="110"/>
      <c r="GN1044" s="110"/>
      <c r="GO1044" s="110"/>
      <c r="GP1044" s="110"/>
      <c r="GQ1044" s="110"/>
      <c r="GR1044" s="110"/>
      <c r="GS1044" s="110"/>
      <c r="GT1044" s="110"/>
      <c r="GU1044" s="110"/>
      <c r="GV1044" s="110"/>
      <c r="GW1044" s="110"/>
      <c r="GX1044" s="110"/>
      <c r="GY1044" s="110"/>
      <c r="GZ1044" s="110"/>
      <c r="HA1044" s="110"/>
      <c r="HB1044" s="110"/>
      <c r="HC1044" s="110"/>
      <c r="HD1044" s="110"/>
      <c r="HE1044" s="110"/>
      <c r="HF1044" s="110"/>
      <c r="HG1044" s="110"/>
      <c r="HH1044" s="110"/>
      <c r="HI1044" s="110"/>
      <c r="HJ1044" s="110"/>
      <c r="HK1044" s="110"/>
      <c r="HL1044" s="110"/>
      <c r="HM1044" s="110"/>
      <c r="HN1044" s="110"/>
      <c r="HO1044" s="110"/>
      <c r="HP1044" s="110"/>
      <c r="HQ1044" s="110"/>
      <c r="HR1044" s="110"/>
      <c r="HS1044" s="110"/>
      <c r="HT1044" s="110"/>
      <c r="HU1044" s="110"/>
      <c r="HV1044" s="110"/>
      <c r="HW1044" s="110"/>
      <c r="HX1044" s="110"/>
      <c r="HY1044" s="110"/>
      <c r="HZ1044" s="110"/>
      <c r="IA1044" s="110"/>
      <c r="IB1044" s="110"/>
      <c r="IC1044" s="110"/>
      <c r="ID1044" s="110"/>
      <c r="IE1044" s="110"/>
      <c r="IF1044" s="110"/>
      <c r="IG1044" s="110"/>
      <c r="IH1044" s="110"/>
      <c r="II1044" s="110"/>
      <c r="IJ1044" s="110"/>
      <c r="IK1044" s="110"/>
      <c r="IL1044" s="110"/>
      <c r="IM1044" s="110"/>
      <c r="IN1044" s="110"/>
      <c r="IO1044" s="110"/>
      <c r="IP1044" s="110"/>
    </row>
    <row r="1045" spans="18:250" ht="16.5" hidden="1" customHeight="1">
      <c r="R1045" s="95"/>
      <c r="S1045" s="95"/>
      <c r="T1045" s="95"/>
      <c r="U1045" s="70"/>
      <c r="V1045" s="214"/>
      <c r="W1045" s="70"/>
      <c r="X1045" s="70"/>
      <c r="Y1045" s="70"/>
      <c r="Z1045" s="70"/>
      <c r="AA1045" s="70"/>
      <c r="AB1045" s="70"/>
      <c r="AC1045" s="70"/>
      <c r="AD1045" s="70"/>
      <c r="AE1045" s="70"/>
      <c r="AF1045" s="70"/>
      <c r="AG1045" s="70"/>
      <c r="AH1045" s="70"/>
      <c r="AI1045" s="70"/>
      <c r="AJ1045" s="70"/>
      <c r="AK1045" s="70"/>
      <c r="AL1045" s="70"/>
      <c r="AM1045" s="70"/>
      <c r="AN1045" s="70"/>
      <c r="AO1045" s="70"/>
      <c r="AP1045" s="70"/>
      <c r="AQ1045" s="70"/>
      <c r="AR1045" s="70"/>
      <c r="AS1045" s="70"/>
      <c r="AT1045" s="70"/>
      <c r="AU1045" s="70"/>
      <c r="AV1045" s="70"/>
      <c r="AW1045" s="70"/>
      <c r="AX1045" s="70"/>
      <c r="AY1045" s="70"/>
      <c r="AZ1045" s="70"/>
      <c r="BA1045" s="70"/>
      <c r="BB1045" s="70"/>
      <c r="BC1045" s="70"/>
      <c r="BD1045" s="70"/>
      <c r="BE1045" s="70"/>
      <c r="BF1045" s="70"/>
      <c r="BG1045" s="70"/>
      <c r="BH1045" s="70"/>
      <c r="BI1045" s="70"/>
      <c r="BJ1045" s="70"/>
      <c r="BK1045" s="70"/>
      <c r="BL1045" s="70"/>
      <c r="BM1045" s="70"/>
      <c r="BN1045" s="70"/>
      <c r="BO1045" s="70"/>
      <c r="BP1045" s="70"/>
      <c r="BQ1045" s="70"/>
      <c r="BR1045" s="70"/>
      <c r="BS1045" s="70"/>
      <c r="BT1045" s="70"/>
      <c r="BU1045" s="70"/>
      <c r="BV1045" s="70"/>
      <c r="BW1045" s="70"/>
      <c r="BX1045" s="70"/>
      <c r="BY1045" s="70"/>
      <c r="BZ1045" s="70"/>
      <c r="CA1045" s="70"/>
      <c r="CB1045" s="70"/>
      <c r="CC1045" s="70"/>
      <c r="CD1045" s="70"/>
      <c r="CE1045" s="70"/>
      <c r="CF1045" s="70"/>
      <c r="CG1045" s="70"/>
      <c r="CH1045" s="70"/>
      <c r="CI1045" s="70"/>
      <c r="CJ1045" s="70"/>
      <c r="CK1045" s="70"/>
      <c r="CL1045" s="70"/>
      <c r="CM1045" s="70"/>
      <c r="CN1045" s="70"/>
      <c r="CO1045" s="70"/>
      <c r="CP1045" s="70"/>
      <c r="CQ1045" s="70"/>
      <c r="CR1045" s="70"/>
      <c r="CS1045" s="70"/>
      <c r="CT1045" s="70"/>
      <c r="CU1045" s="70"/>
      <c r="CV1045" s="70"/>
      <c r="CW1045" s="70"/>
      <c r="CX1045" s="70"/>
      <c r="CY1045" s="70"/>
      <c r="CZ1045" s="70"/>
      <c r="DA1045" s="70"/>
      <c r="DB1045" s="70"/>
      <c r="DC1045" s="70"/>
      <c r="DD1045" s="70"/>
      <c r="DE1045" s="70"/>
      <c r="DF1045" s="70"/>
      <c r="DG1045" s="70"/>
      <c r="DH1045" s="70"/>
      <c r="DI1045" s="70"/>
      <c r="DJ1045" s="70"/>
      <c r="DK1045" s="70"/>
      <c r="DL1045" s="70"/>
      <c r="DM1045" s="70"/>
      <c r="DN1045" s="70"/>
      <c r="DO1045" s="70"/>
      <c r="DP1045" s="70"/>
      <c r="DQ1045" s="70"/>
      <c r="DR1045" s="70"/>
      <c r="DS1045" s="70"/>
      <c r="DT1045" s="70"/>
      <c r="DU1045" s="70"/>
      <c r="DV1045" s="70"/>
      <c r="DW1045" s="70"/>
      <c r="DX1045" s="70"/>
      <c r="DY1045" s="70"/>
      <c r="DZ1045" s="70"/>
      <c r="EA1045" s="70"/>
      <c r="EB1045" s="70"/>
      <c r="EC1045" s="70"/>
      <c r="ED1045" s="70"/>
      <c r="EE1045" s="95" t="s">
        <v>450</v>
      </c>
      <c r="EF1045" s="110"/>
      <c r="EG1045" s="110"/>
      <c r="EH1045" s="110"/>
      <c r="EI1045" s="216"/>
      <c r="EJ1045" s="110"/>
      <c r="EK1045" s="110"/>
      <c r="EL1045" s="110"/>
      <c r="EM1045" s="110"/>
      <c r="EN1045" s="110"/>
      <c r="EO1045" s="110"/>
      <c r="EP1045" s="110"/>
      <c r="EQ1045" s="110"/>
      <c r="ER1045" s="110"/>
      <c r="ES1045" s="110"/>
      <c r="ET1045" s="110"/>
      <c r="EU1045" s="110"/>
      <c r="EV1045" s="110"/>
      <c r="EW1045" s="110"/>
      <c r="EX1045" s="110"/>
      <c r="EY1045" s="110"/>
      <c r="EZ1045" s="110"/>
      <c r="FA1045" s="110"/>
      <c r="FB1045" s="110"/>
      <c r="FC1045" s="110"/>
      <c r="FD1045" s="110"/>
      <c r="FE1045" s="110"/>
      <c r="FF1045" s="110"/>
      <c r="FG1045" s="110"/>
      <c r="FH1045" s="110"/>
      <c r="FI1045" s="110"/>
      <c r="FJ1045" s="110"/>
      <c r="FK1045" s="110"/>
      <c r="FL1045" s="110"/>
      <c r="FM1045" s="110"/>
      <c r="FN1045" s="110"/>
      <c r="FO1045" s="110"/>
      <c r="FP1045" s="110"/>
      <c r="FQ1045" s="110"/>
      <c r="FR1045" s="110"/>
      <c r="FS1045" s="110"/>
      <c r="FT1045" s="110"/>
      <c r="FU1045" s="110"/>
      <c r="FV1045" s="110"/>
      <c r="FW1045" s="110"/>
      <c r="FX1045" s="110"/>
      <c r="FY1045" s="110"/>
      <c r="FZ1045" s="110"/>
      <c r="GA1045" s="110"/>
      <c r="GB1045" s="110"/>
      <c r="GC1045" s="110"/>
      <c r="GD1045" s="110"/>
      <c r="GE1045" s="110"/>
      <c r="GF1045" s="110"/>
      <c r="GG1045" s="110"/>
      <c r="GH1045" s="110"/>
      <c r="GI1045" s="110"/>
      <c r="GJ1045" s="110"/>
      <c r="GK1045" s="110"/>
      <c r="GL1045" s="110"/>
      <c r="GM1045" s="110"/>
      <c r="GN1045" s="110"/>
      <c r="GO1045" s="110"/>
      <c r="GP1045" s="110"/>
      <c r="GQ1045" s="110"/>
      <c r="GR1045" s="110"/>
      <c r="GS1045" s="110"/>
      <c r="GT1045" s="110"/>
      <c r="GU1045" s="110"/>
      <c r="GV1045" s="110"/>
      <c r="GW1045" s="110"/>
      <c r="GX1045" s="110"/>
      <c r="GY1045" s="110"/>
      <c r="GZ1045" s="110"/>
      <c r="HA1045" s="110"/>
      <c r="HB1045" s="110"/>
      <c r="HC1045" s="110"/>
      <c r="HD1045" s="110"/>
      <c r="HE1045" s="110"/>
      <c r="HF1045" s="110"/>
      <c r="HG1045" s="110"/>
      <c r="HH1045" s="110"/>
      <c r="HI1045" s="110"/>
      <c r="HJ1045" s="110"/>
      <c r="HK1045" s="110"/>
      <c r="HL1045" s="110"/>
      <c r="HM1045" s="110"/>
      <c r="HN1045" s="110"/>
      <c r="HO1045" s="110"/>
      <c r="HP1045" s="110"/>
      <c r="HQ1045" s="110"/>
      <c r="HR1045" s="110"/>
      <c r="HS1045" s="110"/>
      <c r="HT1045" s="110"/>
      <c r="HU1045" s="110"/>
      <c r="HV1045" s="110"/>
      <c r="HW1045" s="110"/>
      <c r="HX1045" s="110"/>
      <c r="HY1045" s="110"/>
      <c r="HZ1045" s="110"/>
      <c r="IA1045" s="110"/>
      <c r="IB1045" s="110"/>
      <c r="IC1045" s="110"/>
      <c r="ID1045" s="110"/>
      <c r="IE1045" s="110"/>
      <c r="IF1045" s="110"/>
      <c r="IG1045" s="110"/>
      <c r="IH1045" s="110"/>
      <c r="II1045" s="110"/>
      <c r="IJ1045" s="110"/>
      <c r="IK1045" s="110"/>
      <c r="IL1045" s="110"/>
      <c r="IM1045" s="110"/>
      <c r="IN1045" s="110"/>
      <c r="IO1045" s="110"/>
      <c r="IP1045" s="110"/>
    </row>
    <row r="1046" spans="18:250" ht="16.5" hidden="1" customHeight="1">
      <c r="R1046" s="95"/>
      <c r="S1046" s="95"/>
      <c r="T1046" s="95"/>
      <c r="U1046" s="70"/>
      <c r="V1046" s="214"/>
      <c r="W1046" s="70"/>
      <c r="X1046" s="70"/>
      <c r="Y1046" s="70"/>
      <c r="Z1046" s="70"/>
      <c r="AA1046" s="70"/>
      <c r="AB1046" s="70"/>
      <c r="AC1046" s="70"/>
      <c r="AD1046" s="70"/>
      <c r="AE1046" s="70"/>
      <c r="AF1046" s="70"/>
      <c r="AG1046" s="70"/>
      <c r="AH1046" s="70"/>
      <c r="AI1046" s="70"/>
      <c r="AJ1046" s="70"/>
      <c r="AK1046" s="70"/>
      <c r="AL1046" s="70"/>
      <c r="AM1046" s="70"/>
      <c r="AN1046" s="70"/>
      <c r="AO1046" s="70"/>
      <c r="AP1046" s="70"/>
      <c r="AQ1046" s="70"/>
      <c r="AR1046" s="70"/>
      <c r="AS1046" s="70"/>
      <c r="AT1046" s="70"/>
      <c r="AU1046" s="70"/>
      <c r="AV1046" s="70"/>
      <c r="AW1046" s="70"/>
      <c r="AX1046" s="70"/>
      <c r="AY1046" s="70"/>
      <c r="AZ1046" s="70"/>
      <c r="BA1046" s="70"/>
      <c r="BB1046" s="70"/>
      <c r="BC1046" s="70"/>
      <c r="BD1046" s="70"/>
      <c r="BE1046" s="70"/>
      <c r="BF1046" s="70"/>
      <c r="BG1046" s="70"/>
      <c r="BH1046" s="70"/>
      <c r="BI1046" s="70"/>
      <c r="BJ1046" s="70"/>
      <c r="BK1046" s="70"/>
      <c r="BL1046" s="70"/>
      <c r="BM1046" s="70"/>
      <c r="BN1046" s="70"/>
      <c r="BO1046" s="70"/>
      <c r="BP1046" s="70"/>
      <c r="BQ1046" s="70"/>
      <c r="BR1046" s="70"/>
      <c r="BS1046" s="70"/>
      <c r="BT1046" s="70"/>
      <c r="BU1046" s="70"/>
      <c r="BV1046" s="70"/>
      <c r="BW1046" s="70"/>
      <c r="BX1046" s="70"/>
      <c r="BY1046" s="70"/>
      <c r="BZ1046" s="70"/>
      <c r="CA1046" s="70"/>
      <c r="CB1046" s="70"/>
      <c r="CC1046" s="70"/>
      <c r="CD1046" s="70"/>
      <c r="CE1046" s="70"/>
      <c r="CF1046" s="70"/>
      <c r="CG1046" s="70"/>
      <c r="CH1046" s="70"/>
      <c r="CI1046" s="70"/>
      <c r="CJ1046" s="70"/>
      <c r="CK1046" s="70"/>
      <c r="CL1046" s="70"/>
      <c r="CM1046" s="70"/>
      <c r="CN1046" s="70"/>
      <c r="CO1046" s="70"/>
      <c r="CP1046" s="70"/>
      <c r="CQ1046" s="70"/>
      <c r="CR1046" s="70"/>
      <c r="CS1046" s="70"/>
      <c r="CT1046" s="70"/>
      <c r="CU1046" s="70"/>
      <c r="CV1046" s="70"/>
      <c r="CW1046" s="70"/>
      <c r="CX1046" s="70"/>
      <c r="CY1046" s="70"/>
      <c r="CZ1046" s="70"/>
      <c r="DA1046" s="70"/>
      <c r="DB1046" s="70"/>
      <c r="DC1046" s="70"/>
      <c r="DD1046" s="70"/>
      <c r="DE1046" s="70"/>
      <c r="DF1046" s="70"/>
      <c r="DG1046" s="70"/>
      <c r="DH1046" s="70"/>
      <c r="DI1046" s="70"/>
      <c r="DJ1046" s="70"/>
      <c r="DK1046" s="70"/>
      <c r="DL1046" s="70"/>
      <c r="DM1046" s="70"/>
      <c r="DN1046" s="70"/>
      <c r="DO1046" s="70"/>
      <c r="DP1046" s="70"/>
      <c r="DQ1046" s="70"/>
      <c r="DR1046" s="70"/>
      <c r="DS1046" s="70"/>
      <c r="DT1046" s="70"/>
      <c r="DU1046" s="70"/>
      <c r="DV1046" s="70"/>
      <c r="DW1046" s="70"/>
      <c r="DX1046" s="70"/>
      <c r="DY1046" s="70"/>
      <c r="DZ1046" s="70"/>
      <c r="EA1046" s="70"/>
      <c r="EB1046" s="70"/>
      <c r="EC1046" s="70"/>
      <c r="ED1046" s="70"/>
      <c r="EE1046" s="95" t="s">
        <v>450</v>
      </c>
      <c r="EF1046" s="110"/>
      <c r="EG1046" s="110"/>
      <c r="EH1046" s="110"/>
      <c r="EI1046" s="216"/>
      <c r="EJ1046" s="110"/>
      <c r="EK1046" s="110"/>
      <c r="EL1046" s="110"/>
      <c r="EM1046" s="110"/>
      <c r="EN1046" s="110"/>
      <c r="EO1046" s="110"/>
      <c r="EP1046" s="110"/>
      <c r="EQ1046" s="110"/>
      <c r="ER1046" s="110"/>
      <c r="ES1046" s="110"/>
      <c r="ET1046" s="110"/>
      <c r="EU1046" s="110"/>
      <c r="EV1046" s="110"/>
      <c r="EW1046" s="110"/>
      <c r="EX1046" s="110"/>
      <c r="EY1046" s="110"/>
      <c r="EZ1046" s="110"/>
      <c r="FA1046" s="110"/>
      <c r="FB1046" s="110"/>
      <c r="FC1046" s="110"/>
      <c r="FD1046" s="110"/>
      <c r="FE1046" s="110"/>
      <c r="FF1046" s="110"/>
      <c r="FG1046" s="110"/>
      <c r="FH1046" s="110"/>
      <c r="FI1046" s="110"/>
      <c r="FJ1046" s="110"/>
      <c r="FK1046" s="110"/>
      <c r="FL1046" s="110"/>
      <c r="FM1046" s="110"/>
      <c r="FN1046" s="110"/>
      <c r="FO1046" s="110"/>
      <c r="FP1046" s="110"/>
      <c r="FQ1046" s="110"/>
      <c r="FR1046" s="110"/>
      <c r="FS1046" s="110"/>
      <c r="FT1046" s="110"/>
      <c r="FU1046" s="110"/>
      <c r="FV1046" s="110"/>
      <c r="FW1046" s="110"/>
      <c r="FX1046" s="110"/>
      <c r="FY1046" s="110"/>
      <c r="FZ1046" s="110"/>
      <c r="GA1046" s="110"/>
      <c r="GB1046" s="110"/>
      <c r="GC1046" s="110"/>
      <c r="GD1046" s="110"/>
      <c r="GE1046" s="110"/>
      <c r="GF1046" s="110"/>
      <c r="GG1046" s="110"/>
      <c r="GH1046" s="110"/>
      <c r="GI1046" s="110"/>
      <c r="GJ1046" s="110"/>
      <c r="GK1046" s="110"/>
      <c r="GL1046" s="110"/>
      <c r="GM1046" s="110"/>
      <c r="GN1046" s="110"/>
      <c r="GO1046" s="110"/>
      <c r="GP1046" s="110"/>
      <c r="GQ1046" s="110"/>
      <c r="GR1046" s="110"/>
      <c r="GS1046" s="110"/>
      <c r="GT1046" s="110"/>
      <c r="GU1046" s="110"/>
      <c r="GV1046" s="110"/>
      <c r="GW1046" s="110"/>
      <c r="GX1046" s="110"/>
      <c r="GY1046" s="110"/>
      <c r="GZ1046" s="110"/>
      <c r="HA1046" s="110"/>
      <c r="HB1046" s="110"/>
      <c r="HC1046" s="110"/>
      <c r="HD1046" s="110"/>
      <c r="HE1046" s="110"/>
      <c r="HF1046" s="110"/>
      <c r="HG1046" s="110"/>
      <c r="HH1046" s="110"/>
      <c r="HI1046" s="110"/>
      <c r="HJ1046" s="110"/>
      <c r="HK1046" s="110"/>
      <c r="HL1046" s="110"/>
      <c r="HM1046" s="110"/>
      <c r="HN1046" s="110"/>
      <c r="HO1046" s="110"/>
      <c r="HP1046" s="110"/>
      <c r="HQ1046" s="110"/>
      <c r="HR1046" s="110"/>
      <c r="HS1046" s="110"/>
      <c r="HT1046" s="110"/>
      <c r="HU1046" s="110"/>
      <c r="HV1046" s="110"/>
      <c r="HW1046" s="110"/>
      <c r="HX1046" s="110"/>
      <c r="HY1046" s="110"/>
      <c r="HZ1046" s="110"/>
      <c r="IA1046" s="110"/>
      <c r="IB1046" s="110"/>
      <c r="IC1046" s="110"/>
      <c r="ID1046" s="110"/>
      <c r="IE1046" s="110"/>
      <c r="IF1046" s="110"/>
      <c r="IG1046" s="110"/>
      <c r="IH1046" s="110"/>
      <c r="II1046" s="110"/>
      <c r="IJ1046" s="110"/>
      <c r="IK1046" s="110"/>
      <c r="IL1046" s="110"/>
      <c r="IM1046" s="110"/>
      <c r="IN1046" s="110"/>
      <c r="IO1046" s="110"/>
      <c r="IP1046" s="110"/>
    </row>
    <row r="1047" spans="18:250" ht="16.5" hidden="1" customHeight="1">
      <c r="R1047" s="95"/>
      <c r="S1047" s="95"/>
      <c r="T1047" s="95"/>
      <c r="U1047" s="70"/>
      <c r="V1047" s="214"/>
      <c r="W1047" s="70"/>
      <c r="X1047" s="70"/>
      <c r="Y1047" s="70"/>
      <c r="Z1047" s="70"/>
      <c r="AA1047" s="70"/>
      <c r="AB1047" s="70"/>
      <c r="AC1047" s="70"/>
      <c r="AD1047" s="70"/>
      <c r="AE1047" s="70"/>
      <c r="AF1047" s="70"/>
      <c r="AG1047" s="70"/>
      <c r="AH1047" s="70"/>
      <c r="AI1047" s="70"/>
      <c r="AJ1047" s="70"/>
      <c r="AK1047" s="70"/>
      <c r="AL1047" s="70"/>
      <c r="AM1047" s="70"/>
      <c r="AN1047" s="70"/>
      <c r="AO1047" s="70"/>
      <c r="AP1047" s="70"/>
      <c r="AQ1047" s="70"/>
      <c r="AR1047" s="70"/>
      <c r="AS1047" s="70"/>
      <c r="AT1047" s="70"/>
      <c r="AU1047" s="70"/>
      <c r="AV1047" s="70"/>
      <c r="AW1047" s="70"/>
      <c r="AX1047" s="70"/>
      <c r="AY1047" s="70"/>
      <c r="AZ1047" s="70"/>
      <c r="BA1047" s="70"/>
      <c r="BB1047" s="70"/>
      <c r="BC1047" s="70"/>
      <c r="BD1047" s="70"/>
      <c r="BE1047" s="70"/>
      <c r="BF1047" s="70"/>
      <c r="BG1047" s="70"/>
      <c r="BH1047" s="70"/>
      <c r="BI1047" s="70"/>
      <c r="BJ1047" s="70"/>
      <c r="BK1047" s="70"/>
      <c r="BL1047" s="70"/>
      <c r="BM1047" s="70"/>
      <c r="BN1047" s="70"/>
      <c r="BO1047" s="70"/>
      <c r="BP1047" s="70"/>
      <c r="BQ1047" s="70"/>
      <c r="BR1047" s="70"/>
      <c r="BS1047" s="70"/>
      <c r="BT1047" s="70"/>
      <c r="BU1047" s="70"/>
      <c r="BV1047" s="70"/>
      <c r="BW1047" s="70"/>
      <c r="BX1047" s="70"/>
      <c r="BY1047" s="70"/>
      <c r="BZ1047" s="70"/>
      <c r="CA1047" s="70"/>
      <c r="CB1047" s="70"/>
      <c r="CC1047" s="70"/>
      <c r="CD1047" s="70"/>
      <c r="CE1047" s="70"/>
      <c r="CF1047" s="70"/>
      <c r="CG1047" s="70"/>
      <c r="CH1047" s="70"/>
      <c r="CI1047" s="70"/>
      <c r="CJ1047" s="70"/>
      <c r="CK1047" s="70"/>
      <c r="CL1047" s="70"/>
      <c r="CM1047" s="70"/>
      <c r="CN1047" s="70"/>
      <c r="CO1047" s="70"/>
      <c r="CP1047" s="70"/>
      <c r="CQ1047" s="70"/>
      <c r="CR1047" s="70"/>
      <c r="CS1047" s="70"/>
      <c r="CT1047" s="70"/>
      <c r="CU1047" s="70"/>
      <c r="CV1047" s="70"/>
      <c r="CW1047" s="70"/>
      <c r="CX1047" s="70"/>
      <c r="CY1047" s="70"/>
      <c r="CZ1047" s="70"/>
      <c r="DA1047" s="70"/>
      <c r="DB1047" s="70"/>
      <c r="DC1047" s="70"/>
      <c r="DD1047" s="70"/>
      <c r="DE1047" s="70"/>
      <c r="DF1047" s="70"/>
      <c r="DG1047" s="70"/>
      <c r="DH1047" s="70"/>
      <c r="DI1047" s="70"/>
      <c r="DJ1047" s="70"/>
      <c r="DK1047" s="70"/>
      <c r="DL1047" s="70"/>
      <c r="DM1047" s="70"/>
      <c r="DN1047" s="70"/>
      <c r="DO1047" s="70"/>
      <c r="DP1047" s="70"/>
      <c r="DQ1047" s="70"/>
      <c r="DR1047" s="70"/>
      <c r="DS1047" s="70"/>
      <c r="DT1047" s="70"/>
      <c r="DU1047" s="70"/>
      <c r="DV1047" s="70"/>
      <c r="DW1047" s="70"/>
      <c r="DX1047" s="70"/>
      <c r="DY1047" s="70"/>
      <c r="DZ1047" s="70"/>
      <c r="EA1047" s="70"/>
      <c r="EB1047" s="70"/>
      <c r="EC1047" s="70"/>
      <c r="ED1047" s="70"/>
      <c r="EE1047" s="95" t="s">
        <v>450</v>
      </c>
      <c r="EF1047" s="110"/>
      <c r="EG1047" s="110"/>
      <c r="EH1047" s="110"/>
      <c r="EI1047" s="216"/>
      <c r="EJ1047" s="110"/>
      <c r="EK1047" s="110"/>
      <c r="EL1047" s="110"/>
      <c r="EM1047" s="110"/>
      <c r="EN1047" s="110"/>
      <c r="EO1047" s="110"/>
      <c r="EP1047" s="110"/>
      <c r="EQ1047" s="110"/>
      <c r="ER1047" s="110"/>
      <c r="ES1047" s="110"/>
      <c r="ET1047" s="110"/>
      <c r="EU1047" s="110"/>
      <c r="EV1047" s="110"/>
      <c r="EW1047" s="110"/>
      <c r="EX1047" s="110"/>
      <c r="EY1047" s="110"/>
      <c r="EZ1047" s="110"/>
      <c r="FA1047" s="110"/>
      <c r="FB1047" s="110"/>
      <c r="FC1047" s="110"/>
      <c r="FD1047" s="110"/>
      <c r="FE1047" s="110"/>
      <c r="FF1047" s="110"/>
      <c r="FG1047" s="110"/>
      <c r="FH1047" s="110"/>
      <c r="FI1047" s="110"/>
      <c r="FJ1047" s="110"/>
      <c r="FK1047" s="110"/>
      <c r="FL1047" s="110"/>
      <c r="FM1047" s="110"/>
      <c r="FN1047" s="110"/>
      <c r="FO1047" s="110"/>
      <c r="FP1047" s="110"/>
      <c r="FQ1047" s="110"/>
      <c r="FR1047" s="110"/>
      <c r="FS1047" s="110"/>
      <c r="FT1047" s="110"/>
      <c r="FU1047" s="110"/>
      <c r="FV1047" s="110"/>
      <c r="FW1047" s="110"/>
      <c r="FX1047" s="110"/>
      <c r="FY1047" s="110"/>
      <c r="FZ1047" s="110"/>
      <c r="GA1047" s="110"/>
      <c r="GB1047" s="110"/>
      <c r="GC1047" s="110"/>
      <c r="GD1047" s="110"/>
      <c r="GE1047" s="110"/>
      <c r="GF1047" s="110"/>
      <c r="GG1047" s="110"/>
      <c r="GH1047" s="110"/>
      <c r="GI1047" s="110"/>
      <c r="GJ1047" s="110"/>
      <c r="GK1047" s="110"/>
      <c r="GL1047" s="110"/>
      <c r="GM1047" s="110"/>
      <c r="GN1047" s="110"/>
      <c r="GO1047" s="110"/>
      <c r="GP1047" s="110"/>
      <c r="GQ1047" s="110"/>
      <c r="GR1047" s="110"/>
      <c r="GS1047" s="110"/>
      <c r="GT1047" s="110"/>
      <c r="GU1047" s="110"/>
      <c r="GV1047" s="110"/>
      <c r="GW1047" s="110"/>
      <c r="GX1047" s="110"/>
      <c r="GY1047" s="110"/>
      <c r="GZ1047" s="110"/>
      <c r="HA1047" s="110"/>
      <c r="HB1047" s="110"/>
      <c r="HC1047" s="110"/>
      <c r="HD1047" s="110"/>
      <c r="HE1047" s="110"/>
      <c r="HF1047" s="110"/>
      <c r="HG1047" s="110"/>
      <c r="HH1047" s="110"/>
      <c r="HI1047" s="110"/>
      <c r="HJ1047" s="110"/>
      <c r="HK1047" s="110"/>
      <c r="HL1047" s="110"/>
      <c r="HM1047" s="110"/>
      <c r="HN1047" s="110"/>
      <c r="HO1047" s="110"/>
      <c r="HP1047" s="110"/>
      <c r="HQ1047" s="110"/>
      <c r="HR1047" s="110"/>
      <c r="HS1047" s="110"/>
      <c r="HT1047" s="110"/>
      <c r="HU1047" s="110"/>
      <c r="HV1047" s="110"/>
      <c r="HW1047" s="110"/>
      <c r="HX1047" s="110"/>
      <c r="HY1047" s="110"/>
      <c r="HZ1047" s="110"/>
      <c r="IA1047" s="110"/>
      <c r="IB1047" s="110"/>
      <c r="IC1047" s="110"/>
      <c r="ID1047" s="110"/>
      <c r="IE1047" s="110"/>
      <c r="IF1047" s="110"/>
      <c r="IG1047" s="110"/>
      <c r="IH1047" s="110"/>
      <c r="II1047" s="110"/>
      <c r="IJ1047" s="110"/>
      <c r="IK1047" s="110"/>
      <c r="IL1047" s="110"/>
      <c r="IM1047" s="110"/>
      <c r="IN1047" s="110"/>
      <c r="IO1047" s="110"/>
      <c r="IP1047" s="110"/>
    </row>
    <row r="1048" spans="18:250" ht="16.5" hidden="1" customHeight="1">
      <c r="R1048" s="95"/>
      <c r="S1048" s="95"/>
      <c r="T1048" s="95"/>
      <c r="U1048" s="70"/>
      <c r="V1048" s="214"/>
      <c r="W1048" s="70"/>
      <c r="X1048" s="70"/>
      <c r="Y1048" s="70"/>
      <c r="Z1048" s="70"/>
      <c r="AA1048" s="70"/>
      <c r="AB1048" s="70"/>
      <c r="AC1048" s="70"/>
      <c r="AD1048" s="70"/>
      <c r="AE1048" s="70"/>
      <c r="AF1048" s="70"/>
      <c r="AG1048" s="70"/>
      <c r="AH1048" s="70"/>
      <c r="AI1048" s="70"/>
      <c r="AJ1048" s="70"/>
      <c r="AK1048" s="70"/>
      <c r="AL1048" s="70"/>
      <c r="AM1048" s="70"/>
      <c r="AN1048" s="70"/>
      <c r="AO1048" s="70"/>
      <c r="AP1048" s="70"/>
      <c r="AQ1048" s="70"/>
      <c r="AR1048" s="70"/>
      <c r="AS1048" s="70"/>
      <c r="AT1048" s="70"/>
      <c r="AU1048" s="70"/>
      <c r="AV1048" s="70"/>
      <c r="AW1048" s="70"/>
      <c r="AX1048" s="70"/>
      <c r="AY1048" s="70"/>
      <c r="AZ1048" s="70"/>
      <c r="BA1048" s="70"/>
      <c r="BB1048" s="70"/>
      <c r="BC1048" s="70"/>
      <c r="BD1048" s="70"/>
      <c r="BE1048" s="70"/>
      <c r="BF1048" s="70"/>
      <c r="BG1048" s="70"/>
      <c r="BH1048" s="70"/>
      <c r="BI1048" s="70"/>
      <c r="BJ1048" s="70"/>
      <c r="BK1048" s="70"/>
      <c r="BL1048" s="70"/>
      <c r="BM1048" s="70"/>
      <c r="BN1048" s="70"/>
      <c r="BO1048" s="70"/>
      <c r="BP1048" s="70"/>
      <c r="BQ1048" s="70"/>
      <c r="BR1048" s="70"/>
      <c r="BS1048" s="70"/>
      <c r="BT1048" s="70"/>
      <c r="BU1048" s="70"/>
      <c r="BV1048" s="70"/>
      <c r="BW1048" s="70"/>
      <c r="BX1048" s="70"/>
      <c r="BY1048" s="70"/>
      <c r="BZ1048" s="70"/>
      <c r="CA1048" s="70"/>
      <c r="CB1048" s="70"/>
      <c r="CC1048" s="70"/>
      <c r="CD1048" s="70"/>
      <c r="CE1048" s="70"/>
      <c r="CF1048" s="70"/>
      <c r="CG1048" s="70"/>
      <c r="CH1048" s="70"/>
      <c r="CI1048" s="70"/>
      <c r="CJ1048" s="70"/>
      <c r="CK1048" s="70"/>
      <c r="CL1048" s="70"/>
      <c r="CM1048" s="70"/>
      <c r="CN1048" s="70"/>
      <c r="CO1048" s="70"/>
      <c r="CP1048" s="70"/>
      <c r="CQ1048" s="70"/>
      <c r="CR1048" s="70"/>
      <c r="CS1048" s="70"/>
      <c r="CT1048" s="70"/>
      <c r="CU1048" s="70"/>
      <c r="CV1048" s="70"/>
      <c r="CW1048" s="70"/>
      <c r="CX1048" s="70"/>
      <c r="CY1048" s="70"/>
      <c r="CZ1048" s="70"/>
      <c r="DA1048" s="70"/>
      <c r="DB1048" s="70"/>
      <c r="DC1048" s="70"/>
      <c r="DD1048" s="70"/>
      <c r="DE1048" s="70"/>
      <c r="DF1048" s="70"/>
      <c r="DG1048" s="70"/>
      <c r="DH1048" s="70"/>
      <c r="DI1048" s="70"/>
      <c r="DJ1048" s="70"/>
      <c r="DK1048" s="70"/>
      <c r="DL1048" s="70"/>
      <c r="DM1048" s="70"/>
      <c r="DN1048" s="70"/>
      <c r="DO1048" s="70"/>
      <c r="DP1048" s="70"/>
      <c r="DQ1048" s="70"/>
      <c r="DR1048" s="70"/>
      <c r="DS1048" s="70"/>
      <c r="DT1048" s="70"/>
      <c r="DU1048" s="70"/>
      <c r="DV1048" s="70"/>
      <c r="DW1048" s="70"/>
      <c r="DX1048" s="70"/>
      <c r="DY1048" s="70"/>
      <c r="DZ1048" s="70"/>
      <c r="EA1048" s="70"/>
      <c r="EB1048" s="70"/>
      <c r="EC1048" s="70"/>
      <c r="ED1048" s="70"/>
      <c r="EE1048" s="95" t="s">
        <v>450</v>
      </c>
      <c r="EF1048" s="110"/>
      <c r="EG1048" s="110"/>
      <c r="EH1048" s="110"/>
      <c r="EI1048" s="216"/>
      <c r="EJ1048" s="110"/>
      <c r="EK1048" s="110"/>
      <c r="EL1048" s="110"/>
      <c r="EM1048" s="110"/>
      <c r="EN1048" s="110"/>
      <c r="EO1048" s="110"/>
      <c r="EP1048" s="110"/>
      <c r="EQ1048" s="110"/>
      <c r="ER1048" s="110"/>
      <c r="ES1048" s="110"/>
      <c r="ET1048" s="110"/>
      <c r="EU1048" s="110"/>
      <c r="EV1048" s="110"/>
      <c r="EW1048" s="110"/>
      <c r="EX1048" s="110"/>
      <c r="EY1048" s="110"/>
      <c r="EZ1048" s="110"/>
      <c r="FA1048" s="110"/>
      <c r="FB1048" s="110"/>
      <c r="FC1048" s="110"/>
      <c r="FD1048" s="110"/>
      <c r="FE1048" s="110"/>
      <c r="FF1048" s="110"/>
      <c r="FG1048" s="110"/>
      <c r="FH1048" s="110"/>
      <c r="FI1048" s="110"/>
      <c r="FJ1048" s="110"/>
      <c r="FK1048" s="110"/>
      <c r="FL1048" s="110"/>
      <c r="FM1048" s="110"/>
      <c r="FN1048" s="110"/>
      <c r="FO1048" s="110"/>
      <c r="FP1048" s="110"/>
      <c r="FQ1048" s="110"/>
      <c r="FR1048" s="110"/>
      <c r="FS1048" s="110"/>
      <c r="FT1048" s="110"/>
      <c r="FU1048" s="110"/>
      <c r="FV1048" s="110"/>
      <c r="FW1048" s="110"/>
      <c r="FX1048" s="110"/>
      <c r="FY1048" s="110"/>
      <c r="FZ1048" s="110"/>
      <c r="GA1048" s="110"/>
      <c r="GB1048" s="110"/>
      <c r="GC1048" s="110"/>
      <c r="GD1048" s="110"/>
      <c r="GE1048" s="110"/>
      <c r="GF1048" s="110"/>
      <c r="GG1048" s="110"/>
      <c r="GH1048" s="110"/>
      <c r="GI1048" s="110"/>
      <c r="GJ1048" s="110"/>
      <c r="GK1048" s="110"/>
      <c r="GL1048" s="110"/>
      <c r="GM1048" s="110"/>
      <c r="GN1048" s="110"/>
      <c r="GO1048" s="110"/>
      <c r="GP1048" s="110"/>
      <c r="GQ1048" s="110"/>
      <c r="GR1048" s="110"/>
      <c r="GS1048" s="110"/>
      <c r="GT1048" s="110"/>
      <c r="GU1048" s="110"/>
      <c r="GV1048" s="110"/>
      <c r="GW1048" s="110"/>
      <c r="GX1048" s="110"/>
      <c r="GY1048" s="110"/>
      <c r="GZ1048" s="110"/>
      <c r="HA1048" s="110"/>
      <c r="HB1048" s="110"/>
      <c r="HC1048" s="110"/>
      <c r="HD1048" s="110"/>
      <c r="HE1048" s="110"/>
      <c r="HF1048" s="110"/>
      <c r="HG1048" s="110"/>
      <c r="HH1048" s="110"/>
      <c r="HI1048" s="110"/>
      <c r="HJ1048" s="110"/>
      <c r="HK1048" s="110"/>
      <c r="HL1048" s="110"/>
      <c r="HM1048" s="110"/>
      <c r="HN1048" s="110"/>
      <c r="HO1048" s="110"/>
      <c r="HP1048" s="110"/>
      <c r="HQ1048" s="110"/>
      <c r="HR1048" s="110"/>
      <c r="HS1048" s="110"/>
      <c r="HT1048" s="110"/>
      <c r="HU1048" s="110"/>
      <c r="HV1048" s="110"/>
      <c r="HW1048" s="110"/>
      <c r="HX1048" s="110"/>
      <c r="HY1048" s="110"/>
      <c r="HZ1048" s="110"/>
      <c r="IA1048" s="110"/>
      <c r="IB1048" s="110"/>
      <c r="IC1048" s="110"/>
      <c r="ID1048" s="110"/>
      <c r="IE1048" s="110"/>
      <c r="IF1048" s="110"/>
      <c r="IG1048" s="110"/>
      <c r="IH1048" s="110"/>
      <c r="II1048" s="110"/>
      <c r="IJ1048" s="110"/>
      <c r="IK1048" s="110"/>
      <c r="IL1048" s="110"/>
      <c r="IM1048" s="110"/>
      <c r="IN1048" s="110"/>
      <c r="IO1048" s="110"/>
      <c r="IP1048" s="110"/>
    </row>
    <row r="1049" spans="18:250" ht="16.5" hidden="1" customHeight="1">
      <c r="R1049" s="95"/>
      <c r="S1049" s="95"/>
      <c r="T1049" s="95"/>
      <c r="U1049" s="70"/>
      <c r="V1049" s="214"/>
      <c r="W1049" s="70"/>
      <c r="X1049" s="70"/>
      <c r="Y1049" s="70"/>
      <c r="Z1049" s="70"/>
      <c r="AA1049" s="70"/>
      <c r="AB1049" s="70"/>
      <c r="AC1049" s="70"/>
      <c r="AD1049" s="70"/>
      <c r="AE1049" s="70"/>
      <c r="AF1049" s="70"/>
      <c r="AG1049" s="70"/>
      <c r="AH1049" s="70"/>
      <c r="AI1049" s="70"/>
      <c r="AJ1049" s="70"/>
      <c r="AK1049" s="70"/>
      <c r="AL1049" s="70"/>
      <c r="AM1049" s="70"/>
      <c r="AN1049" s="70"/>
      <c r="AO1049" s="70"/>
      <c r="AP1049" s="70"/>
      <c r="AQ1049" s="70"/>
      <c r="AR1049" s="70"/>
      <c r="AS1049" s="70"/>
      <c r="AT1049" s="70"/>
      <c r="AU1049" s="70"/>
      <c r="AV1049" s="70"/>
      <c r="AW1049" s="70"/>
      <c r="AX1049" s="70"/>
      <c r="AY1049" s="70"/>
      <c r="AZ1049" s="70"/>
      <c r="BA1049" s="70"/>
      <c r="BB1049" s="70"/>
      <c r="BC1049" s="70"/>
      <c r="BD1049" s="70"/>
      <c r="BE1049" s="70"/>
      <c r="BF1049" s="70"/>
      <c r="BG1049" s="70"/>
      <c r="BH1049" s="70"/>
      <c r="BI1049" s="70"/>
      <c r="BJ1049" s="70"/>
      <c r="BK1049" s="70"/>
      <c r="BL1049" s="70"/>
      <c r="BM1049" s="70"/>
      <c r="BN1049" s="70"/>
      <c r="BO1049" s="70"/>
      <c r="BP1049" s="70"/>
      <c r="BQ1049" s="70"/>
      <c r="BR1049" s="70"/>
      <c r="BS1049" s="70"/>
      <c r="BT1049" s="70"/>
      <c r="BU1049" s="70"/>
      <c r="BV1049" s="70"/>
      <c r="BW1049" s="70"/>
      <c r="BX1049" s="70"/>
      <c r="BY1049" s="70"/>
      <c r="BZ1049" s="70"/>
      <c r="CA1049" s="70"/>
      <c r="CB1049" s="70"/>
      <c r="CC1049" s="70"/>
      <c r="CD1049" s="70"/>
      <c r="CE1049" s="70"/>
      <c r="CF1049" s="70"/>
      <c r="CG1049" s="70"/>
      <c r="CH1049" s="70"/>
      <c r="CI1049" s="70"/>
      <c r="CJ1049" s="70"/>
      <c r="CK1049" s="70"/>
      <c r="CL1049" s="70"/>
      <c r="CM1049" s="70"/>
      <c r="CN1049" s="70"/>
      <c r="CO1049" s="70"/>
      <c r="CP1049" s="70"/>
      <c r="CQ1049" s="70"/>
      <c r="CR1049" s="70"/>
      <c r="CS1049" s="70"/>
      <c r="CT1049" s="70"/>
      <c r="CU1049" s="70"/>
      <c r="CV1049" s="70"/>
      <c r="CW1049" s="70"/>
      <c r="CX1049" s="70"/>
      <c r="CY1049" s="70"/>
      <c r="CZ1049" s="70"/>
      <c r="DA1049" s="70"/>
      <c r="DB1049" s="70"/>
      <c r="DC1049" s="70"/>
      <c r="DD1049" s="70"/>
      <c r="DE1049" s="70"/>
      <c r="DF1049" s="70"/>
      <c r="DG1049" s="70"/>
      <c r="DH1049" s="70"/>
      <c r="DI1049" s="70"/>
      <c r="DJ1049" s="70"/>
      <c r="DK1049" s="70"/>
      <c r="DL1049" s="70"/>
      <c r="DM1049" s="70"/>
      <c r="DN1049" s="70"/>
      <c r="DO1049" s="70"/>
      <c r="DP1049" s="70"/>
      <c r="DQ1049" s="70"/>
      <c r="DR1049" s="70"/>
      <c r="DS1049" s="70"/>
      <c r="DT1049" s="70"/>
      <c r="DU1049" s="70"/>
      <c r="DV1049" s="70"/>
      <c r="DW1049" s="70"/>
      <c r="DX1049" s="70"/>
      <c r="DY1049" s="70"/>
      <c r="DZ1049" s="70"/>
      <c r="EA1049" s="70"/>
      <c r="EB1049" s="70"/>
      <c r="EC1049" s="70"/>
      <c r="ED1049" s="70"/>
      <c r="EE1049" s="95" t="s">
        <v>450</v>
      </c>
      <c r="EF1049" s="110"/>
      <c r="EG1049" s="110"/>
      <c r="EH1049" s="110"/>
      <c r="EI1049" s="216"/>
      <c r="EJ1049" s="110"/>
      <c r="EK1049" s="110"/>
      <c r="EL1049" s="110"/>
      <c r="EM1049" s="110"/>
      <c r="EN1049" s="110"/>
      <c r="EO1049" s="110"/>
      <c r="EP1049" s="110"/>
      <c r="EQ1049" s="110"/>
      <c r="ER1049" s="110"/>
      <c r="ES1049" s="110"/>
      <c r="ET1049" s="110"/>
      <c r="EU1049" s="110"/>
      <c r="EV1049" s="110"/>
      <c r="EW1049" s="110"/>
      <c r="EX1049" s="110"/>
      <c r="EY1049" s="110"/>
      <c r="EZ1049" s="110"/>
      <c r="FA1049" s="110"/>
      <c r="FB1049" s="110"/>
      <c r="FC1049" s="110"/>
      <c r="FD1049" s="110"/>
      <c r="FE1049" s="110"/>
      <c r="FF1049" s="110"/>
      <c r="FG1049" s="110"/>
      <c r="FH1049" s="110"/>
      <c r="FI1049" s="110"/>
      <c r="FJ1049" s="110"/>
      <c r="FK1049" s="110"/>
      <c r="FL1049" s="110"/>
      <c r="FM1049" s="110"/>
      <c r="FN1049" s="110"/>
      <c r="FO1049" s="110"/>
      <c r="FP1049" s="110"/>
      <c r="FQ1049" s="110"/>
      <c r="FR1049" s="110"/>
      <c r="FS1049" s="110"/>
      <c r="FT1049" s="110"/>
      <c r="FU1049" s="110"/>
      <c r="FV1049" s="110"/>
      <c r="FW1049" s="110"/>
      <c r="FX1049" s="110"/>
      <c r="FY1049" s="110"/>
      <c r="FZ1049" s="110"/>
      <c r="GA1049" s="110"/>
      <c r="GB1049" s="110"/>
      <c r="GC1049" s="110"/>
      <c r="GD1049" s="110"/>
      <c r="GE1049" s="110"/>
      <c r="GF1049" s="110"/>
      <c r="GG1049" s="110"/>
      <c r="GH1049" s="110"/>
      <c r="GI1049" s="110"/>
      <c r="GJ1049" s="110"/>
      <c r="GK1049" s="110"/>
      <c r="GL1049" s="110"/>
      <c r="GM1049" s="110"/>
      <c r="GN1049" s="110"/>
      <c r="GO1049" s="110"/>
      <c r="GP1049" s="110"/>
      <c r="GQ1049" s="110"/>
      <c r="GR1049" s="110"/>
      <c r="GS1049" s="110"/>
      <c r="GT1049" s="110"/>
      <c r="GU1049" s="110"/>
      <c r="GV1049" s="110"/>
      <c r="GW1049" s="110"/>
      <c r="GX1049" s="110"/>
      <c r="GY1049" s="110"/>
      <c r="GZ1049" s="110"/>
      <c r="HA1049" s="110"/>
      <c r="HB1049" s="110"/>
      <c r="HC1049" s="110"/>
      <c r="HD1049" s="110"/>
      <c r="HE1049" s="110"/>
      <c r="HF1049" s="110"/>
      <c r="HG1049" s="110"/>
      <c r="HH1049" s="110"/>
      <c r="HI1049" s="110"/>
      <c r="HJ1049" s="110"/>
      <c r="HK1049" s="110"/>
      <c r="HL1049" s="110"/>
      <c r="HM1049" s="110"/>
      <c r="HN1049" s="110"/>
      <c r="HO1049" s="110"/>
      <c r="HP1049" s="110"/>
      <c r="HQ1049" s="110"/>
      <c r="HR1049" s="110"/>
      <c r="HS1049" s="110"/>
      <c r="HT1049" s="110"/>
      <c r="HU1049" s="110"/>
      <c r="HV1049" s="110"/>
      <c r="HW1049" s="110"/>
      <c r="HX1049" s="110"/>
      <c r="HY1049" s="110"/>
      <c r="HZ1049" s="110"/>
      <c r="IA1049" s="110"/>
      <c r="IB1049" s="110"/>
      <c r="IC1049" s="110"/>
      <c r="ID1049" s="110"/>
      <c r="IE1049" s="110"/>
      <c r="IF1049" s="110"/>
      <c r="IG1049" s="110"/>
      <c r="IH1049" s="110"/>
      <c r="II1049" s="110"/>
      <c r="IJ1049" s="110"/>
      <c r="IK1049" s="110"/>
      <c r="IL1049" s="110"/>
      <c r="IM1049" s="110"/>
      <c r="IN1049" s="110"/>
      <c r="IO1049" s="110"/>
      <c r="IP1049" s="110"/>
    </row>
    <row r="1050" spans="18:250" ht="16.5" hidden="1" customHeight="1">
      <c r="R1050" s="95"/>
      <c r="S1050" s="95"/>
      <c r="T1050" s="95"/>
      <c r="U1050" s="70"/>
      <c r="V1050" s="214"/>
      <c r="W1050" s="70"/>
      <c r="X1050" s="70"/>
      <c r="Y1050" s="70"/>
      <c r="Z1050" s="70"/>
      <c r="AA1050" s="70"/>
      <c r="AB1050" s="70"/>
      <c r="AC1050" s="70"/>
      <c r="AD1050" s="70"/>
      <c r="AE1050" s="70"/>
      <c r="AF1050" s="70"/>
      <c r="AG1050" s="70"/>
      <c r="AH1050" s="70"/>
      <c r="AI1050" s="70"/>
      <c r="AJ1050" s="70"/>
      <c r="AK1050" s="70"/>
      <c r="AL1050" s="70"/>
      <c r="AM1050" s="70"/>
      <c r="AN1050" s="70"/>
      <c r="AO1050" s="70"/>
      <c r="AP1050" s="70"/>
      <c r="AQ1050" s="70"/>
      <c r="AR1050" s="70"/>
      <c r="AS1050" s="70"/>
      <c r="AT1050" s="70"/>
      <c r="AU1050" s="70"/>
      <c r="AV1050" s="70"/>
      <c r="AW1050" s="70"/>
      <c r="AX1050" s="70"/>
      <c r="AY1050" s="70"/>
      <c r="AZ1050" s="70"/>
      <c r="BA1050" s="70"/>
      <c r="BB1050" s="70"/>
      <c r="BC1050" s="70"/>
      <c r="BD1050" s="70"/>
      <c r="BE1050" s="70"/>
      <c r="BF1050" s="70"/>
      <c r="BG1050" s="70"/>
      <c r="BH1050" s="70"/>
      <c r="BI1050" s="70"/>
      <c r="BJ1050" s="70"/>
      <c r="BK1050" s="70"/>
      <c r="BL1050" s="70"/>
      <c r="BM1050" s="70"/>
      <c r="BN1050" s="70"/>
      <c r="BO1050" s="70"/>
      <c r="BP1050" s="70"/>
      <c r="BQ1050" s="70"/>
      <c r="BR1050" s="70"/>
      <c r="BS1050" s="70"/>
      <c r="BT1050" s="70"/>
      <c r="BU1050" s="70"/>
      <c r="BV1050" s="70"/>
      <c r="BW1050" s="70"/>
      <c r="BX1050" s="70"/>
      <c r="BY1050" s="70"/>
      <c r="BZ1050" s="70"/>
      <c r="CA1050" s="70"/>
      <c r="CB1050" s="70"/>
      <c r="CC1050" s="70"/>
      <c r="CD1050" s="70"/>
      <c r="CE1050" s="70"/>
      <c r="CF1050" s="70"/>
      <c r="CG1050" s="70"/>
      <c r="CH1050" s="70"/>
      <c r="CI1050" s="70"/>
      <c r="CJ1050" s="70"/>
      <c r="CK1050" s="70"/>
      <c r="CL1050" s="70"/>
      <c r="CM1050" s="70"/>
      <c r="CN1050" s="70"/>
      <c r="CO1050" s="70"/>
      <c r="CP1050" s="70"/>
      <c r="CQ1050" s="70"/>
      <c r="CR1050" s="70"/>
      <c r="CS1050" s="70"/>
      <c r="CT1050" s="70"/>
      <c r="CU1050" s="70"/>
      <c r="CV1050" s="70"/>
      <c r="CW1050" s="70"/>
      <c r="CX1050" s="70"/>
      <c r="CY1050" s="70"/>
      <c r="CZ1050" s="70"/>
      <c r="DA1050" s="70"/>
      <c r="DB1050" s="70"/>
      <c r="DC1050" s="70"/>
      <c r="DD1050" s="70"/>
      <c r="DE1050" s="70"/>
      <c r="DF1050" s="70"/>
      <c r="DG1050" s="70"/>
      <c r="DH1050" s="70"/>
      <c r="DI1050" s="70"/>
      <c r="DJ1050" s="70"/>
      <c r="DK1050" s="70"/>
      <c r="DL1050" s="70"/>
      <c r="DM1050" s="70"/>
      <c r="DN1050" s="70"/>
      <c r="DO1050" s="70"/>
      <c r="DP1050" s="70"/>
      <c r="DQ1050" s="70"/>
      <c r="DR1050" s="70"/>
      <c r="DS1050" s="70"/>
      <c r="DT1050" s="70"/>
      <c r="DU1050" s="70"/>
      <c r="DV1050" s="70"/>
      <c r="DW1050" s="70"/>
      <c r="DX1050" s="70"/>
      <c r="DY1050" s="70"/>
      <c r="DZ1050" s="70"/>
      <c r="EA1050" s="70"/>
      <c r="EB1050" s="70"/>
      <c r="EC1050" s="70"/>
      <c r="ED1050" s="70"/>
      <c r="EE1050" s="95" t="s">
        <v>450</v>
      </c>
      <c r="EF1050" s="110"/>
      <c r="EG1050" s="110"/>
      <c r="EH1050" s="110"/>
      <c r="EI1050" s="216"/>
      <c r="EJ1050" s="110"/>
      <c r="EK1050" s="110"/>
      <c r="EL1050" s="110"/>
      <c r="EM1050" s="110"/>
      <c r="EN1050" s="110"/>
      <c r="EO1050" s="110"/>
      <c r="EP1050" s="110"/>
      <c r="EQ1050" s="110"/>
      <c r="ER1050" s="110"/>
      <c r="ES1050" s="110"/>
      <c r="ET1050" s="110"/>
      <c r="EU1050" s="110"/>
      <c r="EV1050" s="110"/>
      <c r="EW1050" s="110"/>
      <c r="EX1050" s="110"/>
      <c r="EY1050" s="110"/>
      <c r="EZ1050" s="110"/>
      <c r="FA1050" s="110"/>
      <c r="FB1050" s="110"/>
      <c r="FC1050" s="110"/>
      <c r="FD1050" s="110"/>
      <c r="FE1050" s="110"/>
      <c r="FF1050" s="110"/>
      <c r="FG1050" s="110"/>
      <c r="FH1050" s="110"/>
      <c r="FI1050" s="110"/>
      <c r="FJ1050" s="110"/>
      <c r="FK1050" s="110"/>
      <c r="FL1050" s="110"/>
      <c r="FM1050" s="110"/>
      <c r="FN1050" s="110"/>
      <c r="FO1050" s="110"/>
      <c r="FP1050" s="110"/>
      <c r="FQ1050" s="110"/>
      <c r="FR1050" s="110"/>
      <c r="FS1050" s="110"/>
      <c r="FT1050" s="110"/>
      <c r="FU1050" s="110"/>
      <c r="FV1050" s="110"/>
      <c r="FW1050" s="110"/>
      <c r="FX1050" s="110"/>
      <c r="FY1050" s="110"/>
      <c r="FZ1050" s="110"/>
      <c r="GA1050" s="110"/>
      <c r="GB1050" s="110"/>
      <c r="GC1050" s="110"/>
      <c r="GD1050" s="110"/>
      <c r="GE1050" s="110"/>
      <c r="GF1050" s="110"/>
      <c r="GG1050" s="110"/>
      <c r="GH1050" s="110"/>
      <c r="GI1050" s="110"/>
      <c r="GJ1050" s="110"/>
      <c r="GK1050" s="110"/>
      <c r="GL1050" s="110"/>
      <c r="GM1050" s="110"/>
      <c r="GN1050" s="110"/>
      <c r="GO1050" s="110"/>
      <c r="GP1050" s="110"/>
      <c r="GQ1050" s="110"/>
      <c r="GR1050" s="110"/>
      <c r="GS1050" s="110"/>
      <c r="GT1050" s="110"/>
      <c r="GU1050" s="110"/>
      <c r="GV1050" s="110"/>
      <c r="GW1050" s="110"/>
      <c r="GX1050" s="110"/>
      <c r="GY1050" s="110"/>
      <c r="GZ1050" s="110"/>
      <c r="HA1050" s="110"/>
      <c r="HB1050" s="110"/>
      <c r="HC1050" s="110"/>
      <c r="HD1050" s="110"/>
      <c r="HE1050" s="110"/>
      <c r="HF1050" s="110"/>
      <c r="HG1050" s="110"/>
      <c r="HH1050" s="110"/>
      <c r="HI1050" s="110"/>
      <c r="HJ1050" s="110"/>
      <c r="HK1050" s="110"/>
      <c r="HL1050" s="110"/>
      <c r="HM1050" s="110"/>
      <c r="HN1050" s="110"/>
      <c r="HO1050" s="110"/>
      <c r="HP1050" s="110"/>
      <c r="HQ1050" s="110"/>
      <c r="HR1050" s="110"/>
      <c r="HS1050" s="110"/>
      <c r="HT1050" s="110"/>
      <c r="HU1050" s="110"/>
      <c r="HV1050" s="110"/>
      <c r="HW1050" s="110"/>
      <c r="HX1050" s="110"/>
      <c r="HY1050" s="110"/>
      <c r="HZ1050" s="110"/>
      <c r="IA1050" s="110"/>
      <c r="IB1050" s="110"/>
      <c r="IC1050" s="110"/>
      <c r="ID1050" s="110"/>
      <c r="IE1050" s="110"/>
      <c r="IF1050" s="110"/>
      <c r="IG1050" s="110"/>
      <c r="IH1050" s="110"/>
      <c r="II1050" s="110"/>
      <c r="IJ1050" s="110"/>
      <c r="IK1050" s="110"/>
      <c r="IL1050" s="110"/>
      <c r="IM1050" s="110"/>
      <c r="IN1050" s="110"/>
      <c r="IO1050" s="110"/>
      <c r="IP1050" s="110"/>
    </row>
    <row r="1051" spans="18:250" ht="16.5" hidden="1" customHeight="1">
      <c r="R1051" s="95"/>
      <c r="S1051" s="95"/>
      <c r="T1051" s="95"/>
      <c r="U1051" s="70"/>
      <c r="V1051" s="214"/>
      <c r="W1051" s="70"/>
      <c r="X1051" s="70"/>
      <c r="Y1051" s="70"/>
      <c r="Z1051" s="70"/>
      <c r="AA1051" s="70"/>
      <c r="AB1051" s="70"/>
      <c r="AC1051" s="70"/>
      <c r="AD1051" s="70"/>
      <c r="AE1051" s="70"/>
      <c r="AF1051" s="70"/>
      <c r="AG1051" s="70"/>
      <c r="AH1051" s="70"/>
      <c r="AI1051" s="70"/>
      <c r="AJ1051" s="70"/>
      <c r="AK1051" s="70"/>
      <c r="AL1051" s="70"/>
      <c r="AM1051" s="70"/>
      <c r="AN1051" s="70"/>
      <c r="AO1051" s="70"/>
      <c r="AP1051" s="70"/>
      <c r="AQ1051" s="70"/>
      <c r="AR1051" s="70"/>
      <c r="AS1051" s="70"/>
      <c r="AT1051" s="70"/>
      <c r="AU1051" s="70"/>
      <c r="AV1051" s="70"/>
      <c r="AW1051" s="70"/>
      <c r="AX1051" s="70"/>
      <c r="AY1051" s="70"/>
      <c r="AZ1051" s="70"/>
      <c r="BA1051" s="70"/>
      <c r="BB1051" s="70"/>
      <c r="BC1051" s="70"/>
      <c r="BD1051" s="70"/>
      <c r="BE1051" s="70"/>
      <c r="BF1051" s="70"/>
      <c r="BG1051" s="70"/>
      <c r="BH1051" s="70"/>
      <c r="BI1051" s="70"/>
      <c r="BJ1051" s="70"/>
      <c r="BK1051" s="70"/>
      <c r="BL1051" s="70"/>
      <c r="BM1051" s="70"/>
      <c r="BN1051" s="70"/>
      <c r="BO1051" s="70"/>
      <c r="BP1051" s="70"/>
      <c r="BQ1051" s="70"/>
      <c r="BR1051" s="70"/>
      <c r="BS1051" s="70"/>
      <c r="BT1051" s="70"/>
      <c r="BU1051" s="70"/>
      <c r="BV1051" s="70"/>
      <c r="BW1051" s="70"/>
      <c r="BX1051" s="70"/>
      <c r="BY1051" s="70"/>
      <c r="BZ1051" s="70"/>
      <c r="CA1051" s="70"/>
      <c r="CB1051" s="70"/>
      <c r="CC1051" s="70"/>
      <c r="CD1051" s="70"/>
      <c r="CE1051" s="70"/>
      <c r="CF1051" s="70"/>
      <c r="CG1051" s="70"/>
      <c r="CH1051" s="70"/>
      <c r="CI1051" s="70"/>
      <c r="CJ1051" s="70"/>
      <c r="CK1051" s="70"/>
      <c r="CL1051" s="70"/>
      <c r="CM1051" s="70"/>
      <c r="CN1051" s="70"/>
      <c r="CO1051" s="70"/>
      <c r="CP1051" s="70"/>
      <c r="CQ1051" s="70"/>
      <c r="CR1051" s="70"/>
      <c r="CS1051" s="70"/>
      <c r="CT1051" s="70"/>
      <c r="CU1051" s="70"/>
      <c r="CV1051" s="70"/>
      <c r="CW1051" s="70"/>
      <c r="CX1051" s="70"/>
      <c r="CY1051" s="70"/>
      <c r="CZ1051" s="70"/>
      <c r="DA1051" s="70"/>
      <c r="DB1051" s="70"/>
      <c r="DC1051" s="70"/>
      <c r="DD1051" s="70"/>
      <c r="DE1051" s="70"/>
      <c r="DF1051" s="70"/>
      <c r="DG1051" s="70"/>
      <c r="DH1051" s="70"/>
      <c r="DI1051" s="70"/>
      <c r="DJ1051" s="70"/>
      <c r="DK1051" s="70"/>
      <c r="DL1051" s="70"/>
      <c r="DM1051" s="70"/>
      <c r="DN1051" s="70"/>
      <c r="DO1051" s="70"/>
      <c r="DP1051" s="70"/>
      <c r="DQ1051" s="70"/>
      <c r="DR1051" s="70"/>
      <c r="DS1051" s="70"/>
      <c r="DT1051" s="70"/>
      <c r="DU1051" s="70"/>
      <c r="DV1051" s="70"/>
      <c r="DW1051" s="70"/>
      <c r="DX1051" s="70"/>
      <c r="DY1051" s="70"/>
      <c r="DZ1051" s="70"/>
      <c r="EA1051" s="70"/>
      <c r="EB1051" s="70"/>
      <c r="EC1051" s="70"/>
      <c r="ED1051" s="70"/>
      <c r="EE1051" s="95" t="s">
        <v>450</v>
      </c>
      <c r="EF1051" s="110"/>
      <c r="EG1051" s="110"/>
      <c r="EH1051" s="110"/>
      <c r="EI1051" s="216"/>
      <c r="EJ1051" s="110"/>
      <c r="EK1051" s="110"/>
      <c r="EL1051" s="110"/>
      <c r="EM1051" s="110"/>
      <c r="EN1051" s="110"/>
      <c r="EO1051" s="110"/>
      <c r="EP1051" s="110"/>
      <c r="EQ1051" s="110"/>
      <c r="ER1051" s="110"/>
      <c r="ES1051" s="110"/>
      <c r="ET1051" s="110"/>
      <c r="EU1051" s="110"/>
      <c r="EV1051" s="110"/>
      <c r="EW1051" s="110"/>
      <c r="EX1051" s="110"/>
      <c r="EY1051" s="110"/>
      <c r="EZ1051" s="110"/>
      <c r="FA1051" s="110"/>
      <c r="FB1051" s="110"/>
      <c r="FC1051" s="110"/>
      <c r="FD1051" s="110"/>
      <c r="FE1051" s="110"/>
      <c r="FF1051" s="110"/>
      <c r="FG1051" s="110"/>
      <c r="FH1051" s="110"/>
      <c r="FI1051" s="110"/>
      <c r="FJ1051" s="110"/>
      <c r="FK1051" s="110"/>
      <c r="FL1051" s="110"/>
      <c r="FM1051" s="110"/>
      <c r="FN1051" s="110"/>
      <c r="FO1051" s="110"/>
      <c r="FP1051" s="110"/>
      <c r="FQ1051" s="110"/>
      <c r="FR1051" s="110"/>
      <c r="FS1051" s="110"/>
      <c r="FT1051" s="110"/>
      <c r="FU1051" s="110"/>
      <c r="FV1051" s="110"/>
      <c r="FW1051" s="110"/>
      <c r="FX1051" s="110"/>
      <c r="FY1051" s="110"/>
      <c r="FZ1051" s="110"/>
      <c r="GA1051" s="110"/>
      <c r="GB1051" s="110"/>
      <c r="GC1051" s="110"/>
      <c r="GD1051" s="110"/>
      <c r="GE1051" s="110"/>
      <c r="GF1051" s="110"/>
      <c r="GG1051" s="110"/>
      <c r="GH1051" s="110"/>
      <c r="GI1051" s="110"/>
      <c r="GJ1051" s="110"/>
      <c r="GK1051" s="110"/>
      <c r="GL1051" s="110"/>
      <c r="GM1051" s="110"/>
      <c r="GN1051" s="110"/>
      <c r="GO1051" s="110"/>
      <c r="GP1051" s="110"/>
      <c r="GQ1051" s="110"/>
      <c r="GR1051" s="110"/>
      <c r="GS1051" s="110"/>
      <c r="GT1051" s="110"/>
      <c r="GU1051" s="110"/>
      <c r="GV1051" s="110"/>
      <c r="GW1051" s="110"/>
      <c r="GX1051" s="110"/>
      <c r="GY1051" s="110"/>
      <c r="GZ1051" s="110"/>
      <c r="HA1051" s="110"/>
      <c r="HB1051" s="110"/>
      <c r="HC1051" s="110"/>
      <c r="HD1051" s="110"/>
      <c r="HE1051" s="110"/>
      <c r="HF1051" s="110"/>
      <c r="HG1051" s="110"/>
      <c r="HH1051" s="110"/>
      <c r="HI1051" s="110"/>
      <c r="HJ1051" s="110"/>
      <c r="HK1051" s="110"/>
      <c r="HL1051" s="110"/>
      <c r="HM1051" s="110"/>
      <c r="HN1051" s="110"/>
      <c r="HO1051" s="110"/>
      <c r="HP1051" s="110"/>
      <c r="HQ1051" s="110"/>
      <c r="HR1051" s="110"/>
      <c r="HS1051" s="110"/>
      <c r="HT1051" s="110"/>
      <c r="HU1051" s="110"/>
      <c r="HV1051" s="110"/>
      <c r="HW1051" s="110"/>
      <c r="HX1051" s="110"/>
      <c r="HY1051" s="110"/>
      <c r="HZ1051" s="110"/>
      <c r="IA1051" s="110"/>
      <c r="IB1051" s="110"/>
      <c r="IC1051" s="110"/>
      <c r="ID1051" s="110"/>
      <c r="IE1051" s="110"/>
      <c r="IF1051" s="110"/>
      <c r="IG1051" s="110"/>
      <c r="IH1051" s="110"/>
      <c r="II1051" s="110"/>
      <c r="IJ1051" s="110"/>
      <c r="IK1051" s="110"/>
      <c r="IL1051" s="110"/>
      <c r="IM1051" s="110"/>
      <c r="IN1051" s="110"/>
      <c r="IO1051" s="110"/>
      <c r="IP1051" s="110"/>
    </row>
    <row r="1052" spans="18:250" ht="16.5" hidden="1" customHeight="1">
      <c r="R1052" s="95"/>
      <c r="S1052" s="95"/>
      <c r="T1052" s="95"/>
      <c r="U1052" s="70"/>
      <c r="V1052" s="214"/>
      <c r="W1052" s="70"/>
      <c r="X1052" s="70"/>
      <c r="Y1052" s="70"/>
      <c r="Z1052" s="70"/>
      <c r="AA1052" s="70"/>
      <c r="AB1052" s="70"/>
      <c r="AC1052" s="70"/>
      <c r="AD1052" s="70"/>
      <c r="AE1052" s="70"/>
      <c r="AF1052" s="70"/>
      <c r="AG1052" s="70"/>
      <c r="AH1052" s="70"/>
      <c r="AI1052" s="70"/>
      <c r="AJ1052" s="70"/>
      <c r="AK1052" s="70"/>
      <c r="AL1052" s="70"/>
      <c r="AM1052" s="70"/>
      <c r="AN1052" s="70"/>
      <c r="AO1052" s="70"/>
      <c r="AP1052" s="70"/>
      <c r="AQ1052" s="70"/>
      <c r="AR1052" s="70"/>
      <c r="AS1052" s="70"/>
      <c r="AT1052" s="70"/>
      <c r="AU1052" s="70"/>
      <c r="AV1052" s="70"/>
      <c r="AW1052" s="70"/>
      <c r="AX1052" s="70"/>
      <c r="AY1052" s="70"/>
      <c r="AZ1052" s="70"/>
      <c r="BA1052" s="70"/>
      <c r="BB1052" s="70"/>
      <c r="BC1052" s="70"/>
      <c r="BD1052" s="70"/>
      <c r="BE1052" s="70"/>
      <c r="BF1052" s="70"/>
      <c r="BG1052" s="70"/>
      <c r="BH1052" s="70"/>
      <c r="BI1052" s="70"/>
      <c r="BJ1052" s="70"/>
      <c r="BK1052" s="70"/>
      <c r="BL1052" s="70"/>
      <c r="BM1052" s="70"/>
      <c r="BN1052" s="70"/>
      <c r="BO1052" s="70"/>
      <c r="BP1052" s="70"/>
      <c r="BQ1052" s="70"/>
      <c r="BR1052" s="70"/>
      <c r="BS1052" s="70"/>
      <c r="BT1052" s="70"/>
      <c r="BU1052" s="70"/>
      <c r="BV1052" s="70"/>
      <c r="BW1052" s="70"/>
      <c r="BX1052" s="70"/>
      <c r="BY1052" s="70"/>
      <c r="BZ1052" s="70"/>
      <c r="CA1052" s="70"/>
      <c r="CB1052" s="70"/>
      <c r="CC1052" s="70"/>
      <c r="CD1052" s="70"/>
      <c r="CE1052" s="70"/>
      <c r="CF1052" s="70"/>
      <c r="CG1052" s="70"/>
      <c r="CH1052" s="70"/>
      <c r="CI1052" s="70"/>
      <c r="CJ1052" s="70"/>
      <c r="CK1052" s="70"/>
      <c r="CL1052" s="70"/>
      <c r="CM1052" s="70"/>
      <c r="CN1052" s="70"/>
      <c r="CO1052" s="70"/>
      <c r="CP1052" s="70"/>
      <c r="CQ1052" s="70"/>
      <c r="CR1052" s="70"/>
      <c r="CS1052" s="70"/>
      <c r="CT1052" s="70"/>
      <c r="CU1052" s="70"/>
      <c r="CV1052" s="70"/>
      <c r="CW1052" s="70"/>
      <c r="CX1052" s="70"/>
      <c r="CY1052" s="70"/>
      <c r="CZ1052" s="70"/>
      <c r="DA1052" s="70"/>
      <c r="DB1052" s="70"/>
      <c r="DC1052" s="70"/>
      <c r="DD1052" s="70"/>
      <c r="DE1052" s="70"/>
      <c r="DF1052" s="70"/>
      <c r="DG1052" s="70"/>
      <c r="DH1052" s="70"/>
      <c r="DI1052" s="70"/>
      <c r="DJ1052" s="70"/>
      <c r="DK1052" s="70"/>
      <c r="DL1052" s="70"/>
      <c r="DM1052" s="70"/>
      <c r="DN1052" s="70"/>
      <c r="DO1052" s="70"/>
      <c r="DP1052" s="70"/>
      <c r="DQ1052" s="70"/>
      <c r="DR1052" s="70"/>
      <c r="DS1052" s="70"/>
      <c r="DT1052" s="70"/>
      <c r="DU1052" s="70"/>
      <c r="DV1052" s="70"/>
      <c r="DW1052" s="70"/>
      <c r="DX1052" s="70"/>
      <c r="DY1052" s="70"/>
      <c r="DZ1052" s="70"/>
      <c r="EA1052" s="70"/>
      <c r="EB1052" s="70"/>
      <c r="EC1052" s="70"/>
      <c r="ED1052" s="70"/>
      <c r="EE1052" s="95" t="s">
        <v>450</v>
      </c>
      <c r="EF1052" s="110"/>
      <c r="EG1052" s="110"/>
      <c r="EH1052" s="110"/>
      <c r="EI1052" s="216"/>
      <c r="EJ1052" s="110"/>
      <c r="EK1052" s="110"/>
      <c r="EL1052" s="110"/>
      <c r="EM1052" s="110"/>
      <c r="EN1052" s="110"/>
      <c r="EO1052" s="110"/>
      <c r="EP1052" s="110"/>
      <c r="EQ1052" s="110"/>
      <c r="ER1052" s="110"/>
      <c r="ES1052" s="110"/>
      <c r="ET1052" s="110"/>
      <c r="EU1052" s="110"/>
      <c r="EV1052" s="110"/>
      <c r="EW1052" s="110"/>
      <c r="EX1052" s="110"/>
      <c r="EY1052" s="110"/>
      <c r="EZ1052" s="110"/>
      <c r="FA1052" s="110"/>
      <c r="FB1052" s="110"/>
      <c r="FC1052" s="110"/>
      <c r="FD1052" s="110"/>
      <c r="FE1052" s="110"/>
      <c r="FF1052" s="110"/>
      <c r="FG1052" s="110"/>
      <c r="FH1052" s="110"/>
      <c r="FI1052" s="110"/>
      <c r="FJ1052" s="110"/>
      <c r="FK1052" s="110"/>
      <c r="FL1052" s="110"/>
      <c r="FM1052" s="110"/>
      <c r="FN1052" s="110"/>
      <c r="FO1052" s="110"/>
      <c r="FP1052" s="110"/>
      <c r="FQ1052" s="110"/>
      <c r="FR1052" s="110"/>
      <c r="FS1052" s="110"/>
      <c r="FT1052" s="110"/>
      <c r="FU1052" s="110"/>
      <c r="FV1052" s="110"/>
      <c r="FW1052" s="110"/>
      <c r="FX1052" s="110"/>
      <c r="FY1052" s="110"/>
      <c r="FZ1052" s="110"/>
      <c r="GA1052" s="110"/>
      <c r="GB1052" s="110"/>
      <c r="GC1052" s="110"/>
      <c r="GD1052" s="110"/>
      <c r="GE1052" s="110"/>
      <c r="GF1052" s="110"/>
      <c r="GG1052" s="110"/>
      <c r="GH1052" s="110"/>
      <c r="GI1052" s="110"/>
      <c r="GJ1052" s="110"/>
      <c r="GK1052" s="110"/>
      <c r="GL1052" s="110"/>
      <c r="GM1052" s="110"/>
      <c r="GN1052" s="110"/>
      <c r="GO1052" s="110"/>
      <c r="GP1052" s="110"/>
      <c r="GQ1052" s="110"/>
      <c r="GR1052" s="110"/>
      <c r="GS1052" s="110"/>
      <c r="GT1052" s="110"/>
      <c r="GU1052" s="110"/>
      <c r="GV1052" s="110"/>
      <c r="GW1052" s="110"/>
      <c r="GX1052" s="110"/>
      <c r="GY1052" s="110"/>
      <c r="GZ1052" s="110"/>
      <c r="HA1052" s="110"/>
      <c r="HB1052" s="110"/>
      <c r="HC1052" s="110"/>
      <c r="HD1052" s="110"/>
      <c r="HE1052" s="110"/>
      <c r="HF1052" s="110"/>
      <c r="HG1052" s="110"/>
      <c r="HH1052" s="110"/>
      <c r="HI1052" s="110"/>
      <c r="HJ1052" s="110"/>
      <c r="HK1052" s="110"/>
      <c r="HL1052" s="110"/>
      <c r="HM1052" s="110"/>
      <c r="HN1052" s="110"/>
      <c r="HO1052" s="110"/>
      <c r="HP1052" s="110"/>
      <c r="HQ1052" s="110"/>
      <c r="HR1052" s="110"/>
      <c r="HS1052" s="110"/>
      <c r="HT1052" s="110"/>
      <c r="HU1052" s="110"/>
      <c r="HV1052" s="110"/>
      <c r="HW1052" s="110"/>
      <c r="HX1052" s="110"/>
      <c r="HY1052" s="110"/>
      <c r="HZ1052" s="110"/>
      <c r="IA1052" s="110"/>
      <c r="IB1052" s="110"/>
      <c r="IC1052" s="110"/>
      <c r="ID1052" s="110"/>
      <c r="IE1052" s="110"/>
      <c r="IF1052" s="110"/>
      <c r="IG1052" s="110"/>
      <c r="IH1052" s="110"/>
      <c r="II1052" s="110"/>
      <c r="IJ1052" s="110"/>
      <c r="IK1052" s="110"/>
      <c r="IL1052" s="110"/>
      <c r="IM1052" s="110"/>
      <c r="IN1052" s="110"/>
      <c r="IO1052" s="110"/>
      <c r="IP1052" s="110"/>
    </row>
    <row r="1053" spans="18:250" ht="16.5" hidden="1" customHeight="1">
      <c r="R1053" s="95"/>
      <c r="S1053" s="95"/>
      <c r="T1053" s="95"/>
      <c r="U1053" s="70"/>
      <c r="V1053" s="214"/>
      <c r="W1053" s="70"/>
      <c r="X1053" s="70"/>
      <c r="Y1053" s="70"/>
      <c r="Z1053" s="70"/>
      <c r="AA1053" s="70"/>
      <c r="AB1053" s="70"/>
      <c r="AC1053" s="70"/>
      <c r="AD1053" s="70"/>
      <c r="AE1053" s="70"/>
      <c r="AF1053" s="70"/>
      <c r="AG1053" s="70"/>
      <c r="AH1053" s="70"/>
      <c r="AI1053" s="70"/>
      <c r="AJ1053" s="70"/>
      <c r="AK1053" s="70"/>
      <c r="AL1053" s="70"/>
      <c r="AM1053" s="70"/>
      <c r="AN1053" s="70"/>
      <c r="AO1053" s="70"/>
      <c r="AP1053" s="70"/>
      <c r="AQ1053" s="70"/>
      <c r="AR1053" s="70"/>
      <c r="AS1053" s="70"/>
      <c r="AT1053" s="70"/>
      <c r="AU1053" s="70"/>
      <c r="AV1053" s="70"/>
      <c r="AW1053" s="70"/>
      <c r="AX1053" s="70"/>
      <c r="AY1053" s="70"/>
      <c r="AZ1053" s="70"/>
      <c r="BA1053" s="70"/>
      <c r="BB1053" s="70"/>
      <c r="BC1053" s="70"/>
      <c r="BD1053" s="70"/>
      <c r="BE1053" s="70"/>
      <c r="BF1053" s="70"/>
      <c r="BG1053" s="70"/>
      <c r="BH1053" s="70"/>
      <c r="BI1053" s="70"/>
      <c r="BJ1053" s="70"/>
      <c r="BK1053" s="70"/>
      <c r="BL1053" s="70"/>
      <c r="BM1053" s="70"/>
      <c r="BN1053" s="70"/>
      <c r="BO1053" s="70"/>
      <c r="BP1053" s="70"/>
      <c r="BQ1053" s="70"/>
      <c r="BR1053" s="70"/>
      <c r="BS1053" s="70"/>
      <c r="BT1053" s="70"/>
      <c r="BU1053" s="70"/>
      <c r="BV1053" s="70"/>
      <c r="BW1053" s="70"/>
      <c r="BX1053" s="70"/>
      <c r="BY1053" s="70"/>
      <c r="BZ1053" s="70"/>
      <c r="CA1053" s="70"/>
      <c r="CB1053" s="70"/>
      <c r="CC1053" s="70"/>
      <c r="CD1053" s="70"/>
      <c r="CE1053" s="70"/>
      <c r="CF1053" s="70"/>
      <c r="CG1053" s="70"/>
      <c r="CH1053" s="70"/>
      <c r="CI1053" s="70"/>
      <c r="CJ1053" s="70"/>
      <c r="CK1053" s="70"/>
      <c r="CL1053" s="70"/>
      <c r="CM1053" s="70"/>
      <c r="CN1053" s="70"/>
      <c r="CO1053" s="70"/>
      <c r="CP1053" s="70"/>
      <c r="CQ1053" s="70"/>
      <c r="CR1053" s="70"/>
      <c r="CS1053" s="70"/>
      <c r="CT1053" s="70"/>
      <c r="CU1053" s="70"/>
      <c r="CV1053" s="70"/>
      <c r="CW1053" s="70"/>
      <c r="CX1053" s="70"/>
      <c r="CY1053" s="70"/>
      <c r="CZ1053" s="70"/>
      <c r="DA1053" s="70"/>
      <c r="DB1053" s="70"/>
      <c r="DC1053" s="70"/>
      <c r="DD1053" s="70"/>
      <c r="DE1053" s="70"/>
      <c r="DF1053" s="70"/>
      <c r="DG1053" s="70"/>
      <c r="DH1053" s="70"/>
      <c r="DI1053" s="70"/>
      <c r="DJ1053" s="70"/>
      <c r="DK1053" s="70"/>
      <c r="DL1053" s="70"/>
      <c r="DM1053" s="70"/>
      <c r="DN1053" s="70"/>
      <c r="DO1053" s="70"/>
      <c r="DP1053" s="70"/>
      <c r="DQ1053" s="70"/>
      <c r="DR1053" s="70"/>
      <c r="DS1053" s="70"/>
      <c r="DT1053" s="70"/>
      <c r="DU1053" s="70"/>
      <c r="DV1053" s="70"/>
      <c r="DW1053" s="70"/>
      <c r="DX1053" s="70"/>
      <c r="DY1053" s="70"/>
      <c r="DZ1053" s="70"/>
      <c r="EA1053" s="70"/>
      <c r="EB1053" s="70"/>
      <c r="EC1053" s="70"/>
      <c r="ED1053" s="70"/>
      <c r="EE1053" s="95" t="s">
        <v>450</v>
      </c>
      <c r="EF1053" s="110"/>
      <c r="EG1053" s="110"/>
      <c r="EH1053" s="110"/>
      <c r="EI1053" s="216"/>
      <c r="EJ1053" s="110"/>
      <c r="EK1053" s="110"/>
      <c r="EL1053" s="110"/>
      <c r="EM1053" s="110"/>
      <c r="EN1053" s="110"/>
      <c r="EO1053" s="110"/>
      <c r="EP1053" s="110"/>
      <c r="EQ1053" s="110"/>
      <c r="ER1053" s="110"/>
      <c r="ES1053" s="110"/>
      <c r="ET1053" s="110"/>
      <c r="EU1053" s="110"/>
      <c r="EV1053" s="110"/>
      <c r="EW1053" s="110"/>
      <c r="EX1053" s="110"/>
      <c r="EY1053" s="110"/>
      <c r="EZ1053" s="110"/>
      <c r="FA1053" s="110"/>
      <c r="FB1053" s="110"/>
      <c r="FC1053" s="110"/>
      <c r="FD1053" s="110"/>
      <c r="FE1053" s="110"/>
      <c r="FF1053" s="110"/>
      <c r="FG1053" s="110"/>
      <c r="FH1053" s="110"/>
      <c r="FI1053" s="110"/>
      <c r="FJ1053" s="110"/>
      <c r="FK1053" s="110"/>
      <c r="FL1053" s="110"/>
      <c r="FM1053" s="110"/>
      <c r="FN1053" s="110"/>
      <c r="FO1053" s="110"/>
      <c r="FP1053" s="110"/>
      <c r="FQ1053" s="110"/>
      <c r="FR1053" s="110"/>
      <c r="FS1053" s="110"/>
      <c r="FT1053" s="110"/>
      <c r="FU1053" s="110"/>
      <c r="FV1053" s="110"/>
      <c r="FW1053" s="110"/>
      <c r="FX1053" s="110"/>
      <c r="FY1053" s="110"/>
      <c r="FZ1053" s="110"/>
      <c r="GA1053" s="110"/>
      <c r="GB1053" s="110"/>
      <c r="GC1053" s="110"/>
      <c r="GD1053" s="110"/>
      <c r="GE1053" s="110"/>
      <c r="GF1053" s="110"/>
      <c r="GG1053" s="110"/>
      <c r="GH1053" s="110"/>
      <c r="GI1053" s="110"/>
      <c r="GJ1053" s="110"/>
      <c r="GK1053" s="110"/>
      <c r="GL1053" s="110"/>
      <c r="GM1053" s="110"/>
      <c r="GN1053" s="110"/>
      <c r="GO1053" s="110"/>
      <c r="GP1053" s="110"/>
      <c r="GQ1053" s="110"/>
      <c r="GR1053" s="110"/>
      <c r="GS1053" s="110"/>
      <c r="GT1053" s="110"/>
      <c r="GU1053" s="110"/>
      <c r="GV1053" s="110"/>
      <c r="GW1053" s="110"/>
      <c r="GX1053" s="110"/>
      <c r="GY1053" s="110"/>
      <c r="GZ1053" s="110"/>
      <c r="HA1053" s="110"/>
      <c r="HB1053" s="110"/>
      <c r="HC1053" s="110"/>
      <c r="HD1053" s="110"/>
      <c r="HE1053" s="110"/>
      <c r="HF1053" s="110"/>
      <c r="HG1053" s="110"/>
      <c r="HH1053" s="110"/>
      <c r="HI1053" s="110"/>
      <c r="HJ1053" s="110"/>
      <c r="HK1053" s="110"/>
      <c r="HL1053" s="110"/>
      <c r="HM1053" s="110"/>
      <c r="HN1053" s="110"/>
      <c r="HO1053" s="110"/>
      <c r="HP1053" s="110"/>
      <c r="HQ1053" s="110"/>
      <c r="HR1053" s="110"/>
      <c r="HS1053" s="110"/>
      <c r="HT1053" s="110"/>
      <c r="HU1053" s="110"/>
      <c r="HV1053" s="110"/>
      <c r="HW1053" s="110"/>
      <c r="HX1053" s="110"/>
      <c r="HY1053" s="110"/>
      <c r="HZ1053" s="110"/>
      <c r="IA1053" s="110"/>
      <c r="IB1053" s="110"/>
      <c r="IC1053" s="110"/>
      <c r="ID1053" s="110"/>
      <c r="IE1053" s="110"/>
      <c r="IF1053" s="110"/>
      <c r="IG1053" s="110"/>
      <c r="IH1053" s="110"/>
      <c r="II1053" s="110"/>
      <c r="IJ1053" s="110"/>
      <c r="IK1053" s="110"/>
      <c r="IL1053" s="110"/>
      <c r="IM1053" s="110"/>
      <c r="IN1053" s="110"/>
      <c r="IO1053" s="110"/>
      <c r="IP1053" s="110"/>
    </row>
    <row r="1054" spans="18:250" ht="16.5" hidden="1" customHeight="1">
      <c r="R1054" s="95"/>
      <c r="S1054" s="95"/>
      <c r="T1054" s="95"/>
      <c r="U1054" s="70"/>
      <c r="V1054" s="214"/>
      <c r="W1054" s="70"/>
      <c r="X1054" s="70"/>
      <c r="Y1054" s="70"/>
      <c r="Z1054" s="70"/>
      <c r="AA1054" s="70"/>
      <c r="AB1054" s="70"/>
      <c r="AC1054" s="70"/>
      <c r="AD1054" s="70"/>
      <c r="AE1054" s="70"/>
      <c r="AF1054" s="70"/>
      <c r="AG1054" s="70"/>
      <c r="AH1054" s="70"/>
      <c r="AI1054" s="70"/>
      <c r="AJ1054" s="70"/>
      <c r="AK1054" s="70"/>
      <c r="AL1054" s="70"/>
      <c r="AM1054" s="70"/>
      <c r="AN1054" s="70"/>
      <c r="AO1054" s="70"/>
      <c r="AP1054" s="70"/>
      <c r="AQ1054" s="70"/>
      <c r="AR1054" s="70"/>
      <c r="AS1054" s="70"/>
      <c r="AT1054" s="70"/>
      <c r="AU1054" s="70"/>
      <c r="AV1054" s="70"/>
      <c r="AW1054" s="70"/>
      <c r="AX1054" s="70"/>
      <c r="AY1054" s="70"/>
      <c r="AZ1054" s="70"/>
      <c r="BA1054" s="70"/>
      <c r="BB1054" s="70"/>
      <c r="BC1054" s="70"/>
      <c r="BD1054" s="70"/>
      <c r="BE1054" s="70"/>
      <c r="BF1054" s="70"/>
      <c r="BG1054" s="70"/>
      <c r="BH1054" s="70"/>
      <c r="BI1054" s="70"/>
      <c r="BJ1054" s="70"/>
      <c r="BK1054" s="70"/>
      <c r="BL1054" s="70"/>
      <c r="BM1054" s="70"/>
      <c r="BN1054" s="70"/>
      <c r="BO1054" s="70"/>
      <c r="BP1054" s="70"/>
      <c r="BQ1054" s="70"/>
      <c r="BR1054" s="70"/>
      <c r="BS1054" s="70"/>
      <c r="BT1054" s="70"/>
      <c r="BU1054" s="70"/>
      <c r="BV1054" s="70"/>
      <c r="BW1054" s="70"/>
      <c r="BX1054" s="70"/>
      <c r="BY1054" s="70"/>
      <c r="BZ1054" s="70"/>
      <c r="CA1054" s="70"/>
      <c r="CB1054" s="70"/>
      <c r="CC1054" s="70"/>
      <c r="CD1054" s="70"/>
      <c r="CE1054" s="70"/>
      <c r="CF1054" s="70"/>
      <c r="CG1054" s="70"/>
      <c r="CH1054" s="70"/>
      <c r="CI1054" s="70"/>
      <c r="CJ1054" s="70"/>
      <c r="CK1054" s="70"/>
      <c r="CL1054" s="70"/>
      <c r="CM1054" s="70"/>
      <c r="CN1054" s="70"/>
      <c r="CO1054" s="70"/>
      <c r="CP1054" s="70"/>
      <c r="CQ1054" s="70"/>
      <c r="CR1054" s="70"/>
      <c r="CS1054" s="70"/>
      <c r="CT1054" s="70"/>
      <c r="CU1054" s="70"/>
      <c r="CV1054" s="70"/>
      <c r="CW1054" s="70"/>
      <c r="CX1054" s="70"/>
      <c r="CY1054" s="70"/>
      <c r="CZ1054" s="70"/>
      <c r="DA1054" s="70"/>
      <c r="DB1054" s="70"/>
      <c r="DC1054" s="70"/>
      <c r="DD1054" s="70"/>
      <c r="DE1054" s="70"/>
      <c r="DF1054" s="70"/>
      <c r="DG1054" s="70"/>
      <c r="DH1054" s="70"/>
      <c r="DI1054" s="70"/>
      <c r="DJ1054" s="70"/>
      <c r="DK1054" s="70"/>
      <c r="DL1054" s="70"/>
      <c r="DM1054" s="70"/>
      <c r="DN1054" s="70"/>
      <c r="DO1054" s="70"/>
      <c r="DP1054" s="70"/>
      <c r="DQ1054" s="70"/>
      <c r="DR1054" s="70"/>
      <c r="DS1054" s="70"/>
      <c r="DT1054" s="70"/>
      <c r="DU1054" s="70"/>
      <c r="DV1054" s="70"/>
      <c r="DW1054" s="70"/>
      <c r="DX1054" s="70"/>
      <c r="DY1054" s="70"/>
      <c r="DZ1054" s="70"/>
      <c r="EA1054" s="70"/>
      <c r="EB1054" s="70"/>
      <c r="EC1054" s="70"/>
      <c r="ED1054" s="70"/>
      <c r="EE1054" s="95" t="s">
        <v>450</v>
      </c>
      <c r="EF1054" s="110"/>
      <c r="EG1054" s="110"/>
      <c r="EH1054" s="110"/>
      <c r="EI1054" s="216"/>
      <c r="EJ1054" s="110"/>
      <c r="EK1054" s="110"/>
      <c r="EL1054" s="110"/>
      <c r="EM1054" s="110"/>
      <c r="EN1054" s="110"/>
      <c r="EO1054" s="110"/>
      <c r="EP1054" s="110"/>
      <c r="EQ1054" s="110"/>
      <c r="ER1054" s="110"/>
      <c r="ES1054" s="110"/>
      <c r="ET1054" s="110"/>
      <c r="EU1054" s="110"/>
      <c r="EV1054" s="110"/>
      <c r="EW1054" s="110"/>
      <c r="EX1054" s="110"/>
      <c r="EY1054" s="110"/>
      <c r="EZ1054" s="110"/>
      <c r="FA1054" s="110"/>
      <c r="FB1054" s="110"/>
      <c r="FC1054" s="110"/>
      <c r="FD1054" s="110"/>
      <c r="FE1054" s="110"/>
      <c r="FF1054" s="110"/>
      <c r="FG1054" s="110"/>
      <c r="FH1054" s="110"/>
      <c r="FI1054" s="110"/>
      <c r="FJ1054" s="110"/>
      <c r="FK1054" s="110"/>
      <c r="FL1054" s="110"/>
      <c r="FM1054" s="110"/>
      <c r="FN1054" s="110"/>
      <c r="FO1054" s="110"/>
      <c r="FP1054" s="110"/>
      <c r="FQ1054" s="110"/>
      <c r="FR1054" s="110"/>
      <c r="FS1054" s="110"/>
      <c r="FT1054" s="110"/>
      <c r="FU1054" s="110"/>
      <c r="FV1054" s="110"/>
      <c r="FW1054" s="110"/>
      <c r="FX1054" s="110"/>
      <c r="FY1054" s="110"/>
      <c r="FZ1054" s="110"/>
      <c r="GA1054" s="110"/>
      <c r="GB1054" s="110"/>
      <c r="GC1054" s="110"/>
      <c r="GD1054" s="110"/>
      <c r="GE1054" s="110"/>
      <c r="GF1054" s="110"/>
      <c r="GG1054" s="110"/>
      <c r="GH1054" s="110"/>
      <c r="GI1054" s="110"/>
      <c r="GJ1054" s="110"/>
      <c r="GK1054" s="110"/>
      <c r="GL1054" s="110"/>
      <c r="GM1054" s="110"/>
      <c r="GN1054" s="110"/>
      <c r="GO1054" s="110"/>
      <c r="GP1054" s="110"/>
      <c r="GQ1054" s="110"/>
      <c r="GR1054" s="110"/>
      <c r="GS1054" s="110"/>
      <c r="GT1054" s="110"/>
      <c r="GU1054" s="110"/>
      <c r="GV1054" s="110"/>
      <c r="GW1054" s="110"/>
      <c r="GX1054" s="110"/>
      <c r="GY1054" s="110"/>
      <c r="GZ1054" s="110"/>
      <c r="HA1054" s="110"/>
      <c r="HB1054" s="110"/>
      <c r="HC1054" s="110"/>
      <c r="HD1054" s="110"/>
      <c r="HE1054" s="110"/>
      <c r="HF1054" s="110"/>
      <c r="HG1054" s="110"/>
      <c r="HH1054" s="110"/>
      <c r="HI1054" s="110"/>
      <c r="HJ1054" s="110"/>
      <c r="HK1054" s="110"/>
      <c r="HL1054" s="110"/>
      <c r="HM1054" s="110"/>
      <c r="HN1054" s="110"/>
      <c r="HO1054" s="110"/>
      <c r="HP1054" s="110"/>
      <c r="HQ1054" s="110"/>
      <c r="HR1054" s="110"/>
      <c r="HS1054" s="110"/>
      <c r="HT1054" s="110"/>
      <c r="HU1054" s="110"/>
      <c r="HV1054" s="110"/>
      <c r="HW1054" s="110"/>
      <c r="HX1054" s="110"/>
      <c r="HY1054" s="110"/>
      <c r="HZ1054" s="110"/>
      <c r="IA1054" s="110"/>
      <c r="IB1054" s="110"/>
      <c r="IC1054" s="110"/>
      <c r="ID1054" s="110"/>
      <c r="IE1054" s="110"/>
      <c r="IF1054" s="110"/>
      <c r="IG1054" s="110"/>
      <c r="IH1054" s="110"/>
      <c r="II1054" s="110"/>
      <c r="IJ1054" s="110"/>
      <c r="IK1054" s="110"/>
      <c r="IL1054" s="110"/>
      <c r="IM1054" s="110"/>
      <c r="IN1054" s="110"/>
      <c r="IO1054" s="110"/>
      <c r="IP1054" s="110"/>
    </row>
    <row r="1055" spans="18:250" ht="16.5" hidden="1" customHeight="1">
      <c r="R1055" s="95"/>
      <c r="S1055" s="95"/>
      <c r="T1055" s="95"/>
      <c r="U1055" s="70"/>
      <c r="V1055" s="214"/>
      <c r="W1055" s="70"/>
      <c r="X1055" s="70"/>
      <c r="Y1055" s="70"/>
      <c r="Z1055" s="70"/>
      <c r="AA1055" s="70"/>
      <c r="AB1055" s="70"/>
      <c r="AC1055" s="70"/>
      <c r="AD1055" s="70"/>
      <c r="AE1055" s="70"/>
      <c r="AF1055" s="70"/>
      <c r="AG1055" s="70"/>
      <c r="AH1055" s="70"/>
      <c r="AI1055" s="70"/>
      <c r="AJ1055" s="70"/>
      <c r="AK1055" s="70"/>
      <c r="AL1055" s="70"/>
      <c r="AM1055" s="70"/>
      <c r="AN1055" s="70"/>
      <c r="AO1055" s="70"/>
      <c r="AP1055" s="70"/>
      <c r="AQ1055" s="70"/>
      <c r="AR1055" s="70"/>
      <c r="AS1055" s="70"/>
      <c r="AT1055" s="70"/>
      <c r="AU1055" s="70"/>
      <c r="AV1055" s="70"/>
      <c r="AW1055" s="70"/>
      <c r="AX1055" s="70"/>
      <c r="AY1055" s="70"/>
      <c r="AZ1055" s="70"/>
      <c r="BA1055" s="70"/>
      <c r="BB1055" s="70"/>
      <c r="BC1055" s="70"/>
      <c r="BD1055" s="70"/>
      <c r="BE1055" s="70"/>
      <c r="BF1055" s="70"/>
      <c r="BG1055" s="70"/>
      <c r="BH1055" s="70"/>
      <c r="BI1055" s="70"/>
      <c r="BJ1055" s="70"/>
      <c r="BK1055" s="70"/>
      <c r="BL1055" s="70"/>
      <c r="BM1055" s="70"/>
      <c r="BN1055" s="70"/>
      <c r="BO1055" s="70"/>
      <c r="BP1055" s="70"/>
      <c r="BQ1055" s="70"/>
      <c r="BR1055" s="70"/>
      <c r="BS1055" s="70"/>
      <c r="BT1055" s="70"/>
      <c r="BU1055" s="70"/>
      <c r="BV1055" s="70"/>
      <c r="BW1055" s="70"/>
      <c r="BX1055" s="70"/>
      <c r="BY1055" s="70"/>
      <c r="BZ1055" s="70"/>
      <c r="CA1055" s="70"/>
      <c r="CB1055" s="70"/>
      <c r="CC1055" s="70"/>
      <c r="CD1055" s="70"/>
      <c r="CE1055" s="70"/>
      <c r="CF1055" s="70"/>
      <c r="CG1055" s="70"/>
      <c r="CH1055" s="70"/>
      <c r="CI1055" s="70"/>
      <c r="CJ1055" s="70"/>
      <c r="CK1055" s="70"/>
      <c r="CL1055" s="70"/>
      <c r="CM1055" s="70"/>
      <c r="CN1055" s="70"/>
      <c r="CO1055" s="70"/>
      <c r="CP1055" s="70"/>
      <c r="CQ1055" s="70"/>
      <c r="CR1055" s="70"/>
      <c r="CS1055" s="70"/>
      <c r="CT1055" s="70"/>
      <c r="CU1055" s="70"/>
      <c r="CV1055" s="70"/>
      <c r="CW1055" s="70"/>
      <c r="CX1055" s="70"/>
      <c r="CY1055" s="70"/>
      <c r="CZ1055" s="70"/>
      <c r="DA1055" s="70"/>
      <c r="DB1055" s="70"/>
      <c r="DC1055" s="70"/>
      <c r="DD1055" s="70"/>
      <c r="DE1055" s="70"/>
      <c r="DF1055" s="70"/>
      <c r="DG1055" s="70"/>
      <c r="DH1055" s="70"/>
      <c r="DI1055" s="70"/>
      <c r="DJ1055" s="70"/>
      <c r="DK1055" s="70"/>
      <c r="DL1055" s="70"/>
      <c r="DM1055" s="70"/>
      <c r="DN1055" s="70"/>
      <c r="DO1055" s="70"/>
      <c r="DP1055" s="70"/>
      <c r="DQ1055" s="70"/>
      <c r="DR1055" s="70"/>
      <c r="DS1055" s="70"/>
      <c r="DT1055" s="70"/>
      <c r="DU1055" s="70"/>
      <c r="DV1055" s="70"/>
      <c r="DW1055" s="70"/>
      <c r="DX1055" s="70"/>
      <c r="DY1055" s="70"/>
      <c r="DZ1055" s="70"/>
      <c r="EA1055" s="70"/>
      <c r="EB1055" s="70"/>
      <c r="EC1055" s="70"/>
      <c r="ED1055" s="70"/>
      <c r="EE1055" s="95" t="s">
        <v>450</v>
      </c>
      <c r="EF1055" s="110"/>
      <c r="EG1055" s="110"/>
      <c r="EH1055" s="110"/>
      <c r="EI1055" s="216"/>
      <c r="EJ1055" s="110"/>
      <c r="EK1055" s="110"/>
      <c r="EL1055" s="110"/>
      <c r="EM1055" s="110"/>
      <c r="EN1055" s="110"/>
      <c r="EO1055" s="110"/>
      <c r="EP1055" s="110"/>
      <c r="EQ1055" s="110"/>
      <c r="ER1055" s="110"/>
      <c r="ES1055" s="110"/>
      <c r="ET1055" s="110"/>
      <c r="EU1055" s="110"/>
      <c r="EV1055" s="110"/>
      <c r="EW1055" s="110"/>
      <c r="EX1055" s="110"/>
      <c r="EY1055" s="110"/>
      <c r="EZ1055" s="110"/>
      <c r="FA1055" s="110"/>
      <c r="FB1055" s="110"/>
      <c r="FC1055" s="110"/>
      <c r="FD1055" s="110"/>
      <c r="FE1055" s="110"/>
      <c r="FF1055" s="110"/>
      <c r="FG1055" s="110"/>
      <c r="FH1055" s="110"/>
      <c r="FI1055" s="110"/>
      <c r="FJ1055" s="110"/>
      <c r="FK1055" s="110"/>
      <c r="FL1055" s="110"/>
      <c r="FM1055" s="110"/>
      <c r="FN1055" s="110"/>
      <c r="FO1055" s="110"/>
      <c r="FP1055" s="110"/>
      <c r="FQ1055" s="110"/>
      <c r="FR1055" s="110"/>
      <c r="FS1055" s="110"/>
      <c r="FT1055" s="110"/>
      <c r="FU1055" s="110"/>
      <c r="FV1055" s="110"/>
      <c r="FW1055" s="110"/>
      <c r="FX1055" s="110"/>
      <c r="FY1055" s="110"/>
      <c r="FZ1055" s="110"/>
      <c r="GA1055" s="110"/>
      <c r="GB1055" s="110"/>
      <c r="GC1055" s="110"/>
      <c r="GD1055" s="110"/>
      <c r="GE1055" s="110"/>
      <c r="GF1055" s="110"/>
      <c r="GG1055" s="110"/>
      <c r="GH1055" s="110"/>
      <c r="GI1055" s="110"/>
      <c r="GJ1055" s="110"/>
      <c r="GK1055" s="110"/>
      <c r="GL1055" s="110"/>
      <c r="GM1055" s="110"/>
      <c r="GN1055" s="110"/>
      <c r="GO1055" s="110"/>
      <c r="GP1055" s="110"/>
      <c r="GQ1055" s="110"/>
      <c r="GR1055" s="110"/>
      <c r="GS1055" s="110"/>
      <c r="GT1055" s="110"/>
      <c r="GU1055" s="110"/>
      <c r="GV1055" s="110"/>
      <c r="GW1055" s="110"/>
      <c r="GX1055" s="110"/>
      <c r="GY1055" s="110"/>
      <c r="GZ1055" s="110"/>
      <c r="HA1055" s="110"/>
      <c r="HB1055" s="110"/>
      <c r="HC1055" s="110"/>
      <c r="HD1055" s="110"/>
      <c r="HE1055" s="110"/>
      <c r="HF1055" s="110"/>
      <c r="HG1055" s="110"/>
      <c r="HH1055" s="110"/>
      <c r="HI1055" s="110"/>
      <c r="HJ1055" s="110"/>
      <c r="HK1055" s="110"/>
      <c r="HL1055" s="110"/>
      <c r="HM1055" s="110"/>
      <c r="HN1055" s="110"/>
      <c r="HO1055" s="110"/>
      <c r="HP1055" s="110"/>
      <c r="HQ1055" s="110"/>
      <c r="HR1055" s="110"/>
      <c r="HS1055" s="110"/>
      <c r="HT1055" s="110"/>
      <c r="HU1055" s="110"/>
      <c r="HV1055" s="110"/>
      <c r="HW1055" s="110"/>
      <c r="HX1055" s="110"/>
      <c r="HY1055" s="110"/>
      <c r="HZ1055" s="110"/>
      <c r="IA1055" s="110"/>
      <c r="IB1055" s="110"/>
      <c r="IC1055" s="110"/>
      <c r="ID1055" s="110"/>
      <c r="IE1055" s="110"/>
      <c r="IF1055" s="110"/>
      <c r="IG1055" s="110"/>
      <c r="IH1055" s="110"/>
      <c r="II1055" s="110"/>
      <c r="IJ1055" s="110"/>
      <c r="IK1055" s="110"/>
      <c r="IL1055" s="110"/>
      <c r="IM1055" s="110"/>
      <c r="IN1055" s="110"/>
      <c r="IO1055" s="110"/>
      <c r="IP1055" s="110"/>
    </row>
    <row r="1056" spans="18:250" ht="16.5" hidden="1" customHeight="1">
      <c r="R1056" s="95"/>
      <c r="S1056" s="95"/>
      <c r="T1056" s="95"/>
      <c r="U1056" s="70"/>
      <c r="V1056" s="214"/>
      <c r="W1056" s="70"/>
      <c r="X1056" s="70"/>
      <c r="Y1056" s="70"/>
      <c r="Z1056" s="70"/>
      <c r="AA1056" s="70"/>
      <c r="AB1056" s="70"/>
      <c r="AC1056" s="70"/>
      <c r="AD1056" s="70"/>
      <c r="AE1056" s="70"/>
      <c r="AF1056" s="70"/>
      <c r="AG1056" s="70"/>
      <c r="AH1056" s="70"/>
      <c r="AI1056" s="70"/>
      <c r="AJ1056" s="70"/>
      <c r="AK1056" s="70"/>
      <c r="AL1056" s="70"/>
      <c r="AM1056" s="70"/>
      <c r="AN1056" s="70"/>
      <c r="AO1056" s="70"/>
      <c r="AP1056" s="70"/>
      <c r="AQ1056" s="70"/>
      <c r="AR1056" s="70"/>
      <c r="AS1056" s="70"/>
      <c r="AT1056" s="70"/>
      <c r="AU1056" s="70"/>
      <c r="AV1056" s="70"/>
      <c r="AW1056" s="70"/>
      <c r="AX1056" s="70"/>
      <c r="AY1056" s="70"/>
      <c r="AZ1056" s="70"/>
      <c r="BA1056" s="70"/>
      <c r="BB1056" s="70"/>
      <c r="BC1056" s="70"/>
      <c r="BD1056" s="70"/>
      <c r="BE1056" s="70"/>
      <c r="BF1056" s="70"/>
      <c r="BG1056" s="70"/>
      <c r="BH1056" s="70"/>
      <c r="BI1056" s="70"/>
      <c r="BJ1056" s="70"/>
      <c r="BK1056" s="70"/>
      <c r="BL1056" s="70"/>
      <c r="BM1056" s="70"/>
      <c r="BN1056" s="70"/>
      <c r="BO1056" s="70"/>
      <c r="BP1056" s="70"/>
      <c r="BQ1056" s="70"/>
      <c r="BR1056" s="70"/>
      <c r="BS1056" s="70"/>
      <c r="BT1056" s="70"/>
      <c r="BU1056" s="70"/>
      <c r="BV1056" s="70"/>
      <c r="BW1056" s="70"/>
      <c r="BX1056" s="70"/>
      <c r="BY1056" s="70"/>
      <c r="BZ1056" s="70"/>
      <c r="CA1056" s="70"/>
      <c r="CB1056" s="70"/>
      <c r="CC1056" s="70"/>
      <c r="CD1056" s="70"/>
      <c r="CE1056" s="70"/>
      <c r="CF1056" s="70"/>
      <c r="CG1056" s="70"/>
      <c r="CH1056" s="70"/>
      <c r="CI1056" s="70"/>
      <c r="CJ1056" s="70"/>
      <c r="CK1056" s="70"/>
      <c r="CL1056" s="70"/>
      <c r="CM1056" s="70"/>
      <c r="CN1056" s="70"/>
      <c r="CO1056" s="70"/>
      <c r="CP1056" s="70"/>
      <c r="CQ1056" s="70"/>
      <c r="CR1056" s="70"/>
      <c r="CS1056" s="70"/>
      <c r="CT1056" s="70"/>
      <c r="CU1056" s="70"/>
      <c r="CV1056" s="70"/>
      <c r="CW1056" s="70"/>
      <c r="CX1056" s="70"/>
      <c r="CY1056" s="70"/>
      <c r="CZ1056" s="70"/>
      <c r="DA1056" s="70"/>
      <c r="DB1056" s="70"/>
      <c r="DC1056" s="70"/>
      <c r="DD1056" s="70"/>
      <c r="DE1056" s="70"/>
      <c r="DF1056" s="70"/>
      <c r="DG1056" s="70"/>
      <c r="DH1056" s="70"/>
      <c r="DI1056" s="70"/>
      <c r="DJ1056" s="70"/>
      <c r="DK1056" s="70"/>
      <c r="DL1056" s="70"/>
      <c r="DM1056" s="70"/>
      <c r="DN1056" s="70"/>
      <c r="DO1056" s="70"/>
      <c r="DP1056" s="70"/>
      <c r="DQ1056" s="70"/>
      <c r="DR1056" s="70"/>
      <c r="DS1056" s="70"/>
      <c r="DT1056" s="70"/>
      <c r="DU1056" s="70"/>
      <c r="DV1056" s="70"/>
      <c r="DW1056" s="70"/>
      <c r="DX1056" s="70"/>
      <c r="DY1056" s="70"/>
      <c r="DZ1056" s="70"/>
      <c r="EA1056" s="70"/>
      <c r="EB1056" s="70"/>
      <c r="EC1056" s="70"/>
      <c r="ED1056" s="70"/>
      <c r="EE1056" s="95" t="s">
        <v>450</v>
      </c>
      <c r="EF1056" s="110"/>
      <c r="EG1056" s="110"/>
      <c r="EH1056" s="110"/>
      <c r="EI1056" s="216"/>
      <c r="EJ1056" s="110"/>
      <c r="EK1056" s="110"/>
      <c r="EL1056" s="110"/>
      <c r="EM1056" s="110"/>
      <c r="EN1056" s="110"/>
      <c r="EO1056" s="110"/>
      <c r="EP1056" s="110"/>
      <c r="EQ1056" s="110"/>
      <c r="ER1056" s="110"/>
      <c r="ES1056" s="110"/>
      <c r="ET1056" s="110"/>
      <c r="EU1056" s="110"/>
      <c r="EV1056" s="110"/>
      <c r="EW1056" s="110"/>
      <c r="EX1056" s="110"/>
      <c r="EY1056" s="110"/>
      <c r="EZ1056" s="110"/>
      <c r="FA1056" s="110"/>
      <c r="FB1056" s="110"/>
      <c r="FC1056" s="110"/>
      <c r="FD1056" s="110"/>
      <c r="FE1056" s="110"/>
      <c r="FF1056" s="110"/>
      <c r="FG1056" s="110"/>
      <c r="FH1056" s="110"/>
      <c r="FI1056" s="110"/>
      <c r="FJ1056" s="110"/>
      <c r="FK1056" s="110"/>
      <c r="FL1056" s="110"/>
      <c r="FM1056" s="110"/>
      <c r="FN1056" s="110"/>
      <c r="FO1056" s="110"/>
      <c r="FP1056" s="110"/>
      <c r="FQ1056" s="110"/>
      <c r="FR1056" s="110"/>
      <c r="FS1056" s="110"/>
      <c r="FT1056" s="110"/>
      <c r="FU1056" s="110"/>
      <c r="FV1056" s="110"/>
      <c r="FW1056" s="110"/>
      <c r="FX1056" s="110"/>
      <c r="FY1056" s="110"/>
      <c r="FZ1056" s="110"/>
      <c r="GA1056" s="110"/>
      <c r="GB1056" s="110"/>
      <c r="GC1056" s="110"/>
      <c r="GD1056" s="110"/>
      <c r="GE1056" s="110"/>
      <c r="GF1056" s="110"/>
      <c r="GG1056" s="110"/>
      <c r="GH1056" s="110"/>
      <c r="GI1056" s="110"/>
      <c r="GJ1056" s="110"/>
      <c r="GK1056" s="110"/>
      <c r="GL1056" s="110"/>
      <c r="GM1056" s="110"/>
      <c r="GN1056" s="110"/>
      <c r="GO1056" s="110"/>
      <c r="GP1056" s="110"/>
      <c r="GQ1056" s="110"/>
      <c r="GR1056" s="110"/>
      <c r="GS1056" s="110"/>
      <c r="GT1056" s="110"/>
      <c r="GU1056" s="110"/>
      <c r="GV1056" s="110"/>
      <c r="GW1056" s="110"/>
      <c r="GX1056" s="110"/>
      <c r="GY1056" s="110"/>
      <c r="GZ1056" s="110"/>
      <c r="HA1056" s="110"/>
      <c r="HB1056" s="110"/>
      <c r="HC1056" s="110"/>
      <c r="HD1056" s="110"/>
      <c r="HE1056" s="110"/>
      <c r="HF1056" s="110"/>
      <c r="HG1056" s="110"/>
      <c r="HH1056" s="110"/>
      <c r="HI1056" s="110"/>
      <c r="HJ1056" s="110"/>
      <c r="HK1056" s="110"/>
      <c r="HL1056" s="110"/>
      <c r="HM1056" s="110"/>
      <c r="HN1056" s="110"/>
      <c r="HO1056" s="110"/>
      <c r="HP1056" s="110"/>
      <c r="HQ1056" s="110"/>
      <c r="HR1056" s="110"/>
      <c r="HS1056" s="110"/>
      <c r="HT1056" s="110"/>
      <c r="HU1056" s="110"/>
      <c r="HV1056" s="110"/>
      <c r="HW1056" s="110"/>
      <c r="HX1056" s="110"/>
      <c r="HY1056" s="110"/>
      <c r="HZ1056" s="110"/>
      <c r="IA1056" s="110"/>
      <c r="IB1056" s="110"/>
      <c r="IC1056" s="110"/>
      <c r="ID1056" s="110"/>
      <c r="IE1056" s="110"/>
      <c r="IF1056" s="110"/>
      <c r="IG1056" s="110"/>
      <c r="IH1056" s="110"/>
      <c r="II1056" s="110"/>
      <c r="IJ1056" s="110"/>
      <c r="IK1056" s="110"/>
      <c r="IL1056" s="110"/>
      <c r="IM1056" s="110"/>
      <c r="IN1056" s="110"/>
      <c r="IO1056" s="110"/>
      <c r="IP1056" s="110"/>
    </row>
    <row r="1057" spans="18:250" ht="16.5" hidden="1" customHeight="1">
      <c r="R1057" s="95"/>
      <c r="S1057" s="95"/>
      <c r="T1057" s="95"/>
      <c r="U1057" s="70"/>
      <c r="V1057" s="214"/>
      <c r="W1057" s="70"/>
      <c r="X1057" s="70"/>
      <c r="Y1057" s="70"/>
      <c r="Z1057" s="70"/>
      <c r="AA1057" s="70"/>
      <c r="AB1057" s="70"/>
      <c r="AC1057" s="70"/>
      <c r="AD1057" s="70"/>
      <c r="AE1057" s="70"/>
      <c r="AF1057" s="70"/>
      <c r="AG1057" s="70"/>
      <c r="AH1057" s="70"/>
      <c r="AI1057" s="70"/>
      <c r="AJ1057" s="70"/>
      <c r="AK1057" s="70"/>
      <c r="AL1057" s="70"/>
      <c r="AM1057" s="70"/>
      <c r="AN1057" s="70"/>
      <c r="AO1057" s="70"/>
      <c r="AP1057" s="70"/>
      <c r="AQ1057" s="70"/>
      <c r="AR1057" s="70"/>
      <c r="AS1057" s="70"/>
      <c r="AT1057" s="70"/>
      <c r="AU1057" s="70"/>
      <c r="AV1057" s="70"/>
      <c r="AW1057" s="70"/>
      <c r="AX1057" s="70"/>
      <c r="AY1057" s="70"/>
      <c r="AZ1057" s="70"/>
      <c r="BA1057" s="70"/>
      <c r="BB1057" s="70"/>
      <c r="BC1057" s="70"/>
      <c r="BD1057" s="70"/>
      <c r="BE1057" s="70"/>
      <c r="BF1057" s="70"/>
      <c r="BG1057" s="70"/>
      <c r="BH1057" s="70"/>
      <c r="BI1057" s="70"/>
      <c r="BJ1057" s="70"/>
      <c r="BK1057" s="70"/>
      <c r="BL1057" s="70"/>
      <c r="BM1057" s="70"/>
      <c r="BN1057" s="70"/>
      <c r="BO1057" s="70"/>
      <c r="BP1057" s="70"/>
      <c r="BQ1057" s="70"/>
      <c r="BR1057" s="70"/>
      <c r="BS1057" s="70"/>
      <c r="BT1057" s="70"/>
      <c r="BU1057" s="70"/>
      <c r="BV1057" s="70"/>
      <c r="BW1057" s="70"/>
      <c r="BX1057" s="70"/>
      <c r="BY1057" s="70"/>
      <c r="BZ1057" s="70"/>
      <c r="CA1057" s="70"/>
      <c r="CB1057" s="70"/>
      <c r="CC1057" s="70"/>
      <c r="CD1057" s="70"/>
      <c r="CE1057" s="70"/>
      <c r="CF1057" s="70"/>
      <c r="CG1057" s="70"/>
      <c r="CH1057" s="70"/>
      <c r="CI1057" s="70"/>
      <c r="CJ1057" s="70"/>
      <c r="CK1057" s="70"/>
      <c r="CL1057" s="70"/>
      <c r="CM1057" s="70"/>
      <c r="CN1057" s="70"/>
      <c r="CO1057" s="70"/>
      <c r="CP1057" s="70"/>
      <c r="CQ1057" s="70"/>
      <c r="CR1057" s="70"/>
      <c r="CS1057" s="70"/>
      <c r="CT1057" s="70"/>
      <c r="CU1057" s="70"/>
      <c r="CV1057" s="70"/>
      <c r="CW1057" s="70"/>
      <c r="CX1057" s="70"/>
      <c r="CY1057" s="70"/>
      <c r="CZ1057" s="70"/>
      <c r="DA1057" s="70"/>
      <c r="DB1057" s="70"/>
      <c r="DC1057" s="70"/>
      <c r="DD1057" s="70"/>
      <c r="DE1057" s="70"/>
      <c r="DF1057" s="70"/>
      <c r="DG1057" s="70"/>
      <c r="DH1057" s="70"/>
      <c r="DI1057" s="70"/>
      <c r="DJ1057" s="70"/>
      <c r="DK1057" s="70"/>
      <c r="DL1057" s="70"/>
      <c r="DM1057" s="70"/>
      <c r="DN1057" s="70"/>
      <c r="DO1057" s="70"/>
      <c r="DP1057" s="70"/>
      <c r="DQ1057" s="70"/>
      <c r="DR1057" s="70"/>
      <c r="DS1057" s="70"/>
      <c r="DT1057" s="70"/>
      <c r="DU1057" s="70"/>
      <c r="DV1057" s="70"/>
      <c r="DW1057" s="70"/>
      <c r="DX1057" s="70"/>
      <c r="DY1057" s="70"/>
      <c r="DZ1057" s="70"/>
      <c r="EA1057" s="70"/>
      <c r="EB1057" s="70"/>
      <c r="EC1057" s="70"/>
      <c r="ED1057" s="70"/>
      <c r="EE1057" s="95" t="s">
        <v>450</v>
      </c>
      <c r="EF1057" s="110"/>
      <c r="EG1057" s="110"/>
      <c r="EH1057" s="110"/>
      <c r="EI1057" s="216"/>
      <c r="EJ1057" s="110"/>
      <c r="EK1057" s="110"/>
      <c r="EL1057" s="110"/>
      <c r="EM1057" s="110"/>
      <c r="EN1057" s="110"/>
      <c r="EO1057" s="110"/>
      <c r="EP1057" s="110"/>
      <c r="EQ1057" s="110"/>
      <c r="ER1057" s="110"/>
      <c r="ES1057" s="110"/>
      <c r="ET1057" s="110"/>
      <c r="EU1057" s="110"/>
      <c r="EV1057" s="110"/>
      <c r="EW1057" s="110"/>
      <c r="EX1057" s="110"/>
      <c r="EY1057" s="110"/>
      <c r="EZ1057" s="110"/>
      <c r="FA1057" s="110"/>
      <c r="FB1057" s="110"/>
      <c r="FC1057" s="110"/>
      <c r="FD1057" s="110"/>
      <c r="FE1057" s="110"/>
      <c r="FF1057" s="110"/>
      <c r="FG1057" s="110"/>
      <c r="FH1057" s="110"/>
      <c r="FI1057" s="110"/>
      <c r="FJ1057" s="110"/>
      <c r="FK1057" s="110"/>
      <c r="FL1057" s="110"/>
      <c r="FM1057" s="110"/>
      <c r="FN1057" s="110"/>
      <c r="FO1057" s="110"/>
      <c r="FP1057" s="110"/>
      <c r="FQ1057" s="110"/>
      <c r="FR1057" s="110"/>
      <c r="FS1057" s="110"/>
      <c r="FT1057" s="110"/>
      <c r="FU1057" s="110"/>
      <c r="FV1057" s="110"/>
      <c r="FW1057" s="110"/>
      <c r="FX1057" s="110"/>
      <c r="FY1057" s="110"/>
      <c r="FZ1057" s="110"/>
      <c r="GA1057" s="110"/>
      <c r="GB1057" s="110"/>
      <c r="GC1057" s="110"/>
      <c r="GD1057" s="110"/>
      <c r="GE1057" s="110"/>
      <c r="GF1057" s="110"/>
      <c r="GG1057" s="110"/>
      <c r="GH1057" s="110"/>
      <c r="GI1057" s="110"/>
      <c r="GJ1057" s="110"/>
      <c r="GK1057" s="110"/>
      <c r="GL1057" s="110"/>
      <c r="GM1057" s="110"/>
      <c r="GN1057" s="110"/>
      <c r="GO1057" s="110"/>
      <c r="GP1057" s="110"/>
      <c r="GQ1057" s="110"/>
      <c r="GR1057" s="110"/>
      <c r="GS1057" s="110"/>
      <c r="GT1057" s="110"/>
      <c r="GU1057" s="110"/>
      <c r="GV1057" s="110"/>
      <c r="GW1057" s="110"/>
      <c r="GX1057" s="110"/>
      <c r="GY1057" s="110"/>
      <c r="GZ1057" s="110"/>
      <c r="HA1057" s="110"/>
      <c r="HB1057" s="110"/>
      <c r="HC1057" s="110"/>
      <c r="HD1057" s="110"/>
      <c r="HE1057" s="110"/>
      <c r="HF1057" s="110"/>
      <c r="HG1057" s="110"/>
      <c r="HH1057" s="110"/>
      <c r="HI1057" s="110"/>
      <c r="HJ1057" s="110"/>
      <c r="HK1057" s="110"/>
      <c r="HL1057" s="110"/>
      <c r="HM1057" s="110"/>
      <c r="HN1057" s="110"/>
      <c r="HO1057" s="110"/>
      <c r="HP1057" s="110"/>
      <c r="HQ1057" s="110"/>
      <c r="HR1057" s="110"/>
      <c r="HS1057" s="110"/>
      <c r="HT1057" s="110"/>
      <c r="HU1057" s="110"/>
      <c r="HV1057" s="110"/>
      <c r="HW1057" s="110"/>
      <c r="HX1057" s="110"/>
      <c r="HY1057" s="110"/>
      <c r="HZ1057" s="110"/>
      <c r="IA1057" s="110"/>
      <c r="IB1057" s="110"/>
      <c r="IC1057" s="110"/>
      <c r="ID1057" s="110"/>
      <c r="IE1057" s="110"/>
      <c r="IF1057" s="110"/>
      <c r="IG1057" s="110"/>
      <c r="IH1057" s="110"/>
      <c r="II1057" s="110"/>
      <c r="IJ1057" s="110"/>
      <c r="IK1057" s="110"/>
      <c r="IL1057" s="110"/>
      <c r="IM1057" s="110"/>
      <c r="IN1057" s="110"/>
      <c r="IO1057" s="110"/>
      <c r="IP1057" s="110"/>
    </row>
    <row r="1058" spans="18:250" ht="16.5" hidden="1" customHeight="1">
      <c r="R1058" s="95"/>
      <c r="S1058" s="95"/>
      <c r="T1058" s="95"/>
      <c r="U1058" s="70"/>
      <c r="V1058" s="214"/>
      <c r="W1058" s="70"/>
      <c r="X1058" s="70"/>
      <c r="Y1058" s="70"/>
      <c r="Z1058" s="70"/>
      <c r="AA1058" s="70"/>
      <c r="AB1058" s="70"/>
      <c r="AC1058" s="70"/>
      <c r="AD1058" s="70"/>
      <c r="AE1058" s="70"/>
      <c r="AF1058" s="70"/>
      <c r="AG1058" s="70"/>
      <c r="AH1058" s="70"/>
      <c r="AI1058" s="70"/>
      <c r="AJ1058" s="70"/>
      <c r="AK1058" s="70"/>
      <c r="AL1058" s="70"/>
      <c r="AM1058" s="70"/>
      <c r="AN1058" s="70"/>
      <c r="AO1058" s="70"/>
      <c r="AP1058" s="70"/>
      <c r="AQ1058" s="70"/>
      <c r="AR1058" s="70"/>
      <c r="AS1058" s="70"/>
      <c r="AT1058" s="70"/>
      <c r="AU1058" s="70"/>
      <c r="AV1058" s="70"/>
      <c r="AW1058" s="70"/>
      <c r="AX1058" s="70"/>
      <c r="AY1058" s="70"/>
      <c r="AZ1058" s="70"/>
      <c r="BA1058" s="70"/>
      <c r="BB1058" s="70"/>
      <c r="BC1058" s="70"/>
      <c r="BD1058" s="70"/>
      <c r="BE1058" s="70"/>
      <c r="BF1058" s="70"/>
      <c r="BG1058" s="70"/>
      <c r="BH1058" s="70"/>
      <c r="BI1058" s="70"/>
      <c r="BJ1058" s="70"/>
      <c r="BK1058" s="70"/>
      <c r="BL1058" s="70"/>
      <c r="BM1058" s="70"/>
      <c r="BN1058" s="70"/>
      <c r="BO1058" s="70"/>
      <c r="BP1058" s="70"/>
      <c r="BQ1058" s="70"/>
      <c r="BR1058" s="70"/>
      <c r="BS1058" s="70"/>
      <c r="BT1058" s="70"/>
      <c r="BU1058" s="70"/>
      <c r="BV1058" s="70"/>
      <c r="BW1058" s="70"/>
      <c r="BX1058" s="70"/>
      <c r="BY1058" s="70"/>
      <c r="BZ1058" s="70"/>
      <c r="CA1058" s="70"/>
      <c r="CB1058" s="70"/>
      <c r="CC1058" s="70"/>
      <c r="CD1058" s="70"/>
      <c r="CE1058" s="70"/>
      <c r="CF1058" s="70"/>
      <c r="CG1058" s="70"/>
      <c r="CH1058" s="70"/>
      <c r="CI1058" s="70"/>
      <c r="CJ1058" s="70"/>
      <c r="CK1058" s="70"/>
      <c r="CL1058" s="70"/>
      <c r="CM1058" s="70"/>
      <c r="CN1058" s="70"/>
      <c r="CO1058" s="70"/>
      <c r="CP1058" s="70"/>
      <c r="CQ1058" s="70"/>
      <c r="CR1058" s="70"/>
      <c r="CS1058" s="70"/>
      <c r="CT1058" s="70"/>
      <c r="CU1058" s="70"/>
      <c r="CV1058" s="70"/>
      <c r="CW1058" s="70"/>
      <c r="CX1058" s="70"/>
      <c r="CY1058" s="70"/>
      <c r="CZ1058" s="70"/>
      <c r="DA1058" s="70"/>
      <c r="DB1058" s="70"/>
      <c r="DC1058" s="70"/>
      <c r="DD1058" s="70"/>
      <c r="DE1058" s="70"/>
      <c r="DF1058" s="70"/>
      <c r="DG1058" s="70"/>
      <c r="DH1058" s="70"/>
      <c r="DI1058" s="70"/>
      <c r="DJ1058" s="70"/>
      <c r="DK1058" s="70"/>
      <c r="DL1058" s="70"/>
      <c r="DM1058" s="70"/>
      <c r="DN1058" s="70"/>
      <c r="DO1058" s="70"/>
      <c r="DP1058" s="70"/>
      <c r="DQ1058" s="70"/>
      <c r="DR1058" s="70"/>
      <c r="DS1058" s="70"/>
      <c r="DT1058" s="70"/>
      <c r="DU1058" s="70"/>
      <c r="DV1058" s="70"/>
      <c r="DW1058" s="70"/>
      <c r="DX1058" s="70"/>
      <c r="DY1058" s="70"/>
      <c r="DZ1058" s="70"/>
      <c r="EA1058" s="70"/>
      <c r="EB1058" s="70"/>
      <c r="EC1058" s="70"/>
      <c r="ED1058" s="70"/>
      <c r="EE1058" s="95" t="s">
        <v>450</v>
      </c>
      <c r="EF1058" s="110"/>
      <c r="EG1058" s="110"/>
      <c r="EH1058" s="110"/>
      <c r="EI1058" s="216"/>
      <c r="EJ1058" s="110"/>
      <c r="EK1058" s="110"/>
      <c r="EL1058" s="110"/>
      <c r="EM1058" s="110"/>
      <c r="EN1058" s="110"/>
      <c r="EO1058" s="110"/>
      <c r="EP1058" s="110"/>
      <c r="EQ1058" s="110"/>
      <c r="ER1058" s="110"/>
      <c r="ES1058" s="110"/>
      <c r="ET1058" s="110"/>
      <c r="EU1058" s="110"/>
      <c r="EV1058" s="110"/>
      <c r="EW1058" s="110"/>
      <c r="EX1058" s="110"/>
      <c r="EY1058" s="110"/>
      <c r="EZ1058" s="110"/>
      <c r="FA1058" s="110"/>
      <c r="FB1058" s="110"/>
      <c r="FC1058" s="110"/>
      <c r="FD1058" s="110"/>
      <c r="FE1058" s="110"/>
      <c r="FF1058" s="110"/>
      <c r="FG1058" s="110"/>
      <c r="FH1058" s="110"/>
      <c r="FI1058" s="110"/>
      <c r="FJ1058" s="110"/>
      <c r="FK1058" s="110"/>
      <c r="FL1058" s="110"/>
      <c r="FM1058" s="110"/>
      <c r="FN1058" s="110"/>
      <c r="FO1058" s="110"/>
      <c r="FP1058" s="110"/>
      <c r="FQ1058" s="110"/>
      <c r="FR1058" s="110"/>
      <c r="FS1058" s="110"/>
      <c r="FT1058" s="110"/>
      <c r="FU1058" s="110"/>
      <c r="FV1058" s="110"/>
      <c r="FW1058" s="110"/>
      <c r="FX1058" s="110"/>
      <c r="FY1058" s="110"/>
      <c r="FZ1058" s="110"/>
      <c r="GA1058" s="110"/>
      <c r="GB1058" s="110"/>
      <c r="GC1058" s="110"/>
      <c r="GD1058" s="110"/>
      <c r="GE1058" s="110"/>
      <c r="GF1058" s="110"/>
      <c r="GG1058" s="110"/>
      <c r="GH1058" s="110"/>
      <c r="GI1058" s="110"/>
      <c r="GJ1058" s="110"/>
      <c r="GK1058" s="110"/>
      <c r="GL1058" s="110"/>
      <c r="GM1058" s="110"/>
      <c r="GN1058" s="110"/>
      <c r="GO1058" s="110"/>
      <c r="GP1058" s="110"/>
      <c r="GQ1058" s="110"/>
      <c r="GR1058" s="110"/>
      <c r="GS1058" s="110"/>
      <c r="GT1058" s="110"/>
      <c r="GU1058" s="110"/>
      <c r="GV1058" s="110"/>
      <c r="GW1058" s="110"/>
      <c r="GX1058" s="110"/>
      <c r="GY1058" s="110"/>
      <c r="GZ1058" s="110"/>
      <c r="HA1058" s="110"/>
      <c r="HB1058" s="110"/>
      <c r="HC1058" s="110"/>
      <c r="HD1058" s="110"/>
      <c r="HE1058" s="110"/>
      <c r="HF1058" s="110"/>
      <c r="HG1058" s="110"/>
      <c r="HH1058" s="110"/>
      <c r="HI1058" s="110"/>
      <c r="HJ1058" s="110"/>
      <c r="HK1058" s="110"/>
      <c r="HL1058" s="110"/>
      <c r="HM1058" s="110"/>
      <c r="HN1058" s="110"/>
      <c r="HO1058" s="110"/>
      <c r="HP1058" s="110"/>
      <c r="HQ1058" s="110"/>
      <c r="HR1058" s="110"/>
      <c r="HS1058" s="110"/>
      <c r="HT1058" s="110"/>
      <c r="HU1058" s="110"/>
      <c r="HV1058" s="110"/>
      <c r="HW1058" s="110"/>
      <c r="HX1058" s="110"/>
      <c r="HY1058" s="110"/>
      <c r="HZ1058" s="110"/>
      <c r="IA1058" s="110"/>
      <c r="IB1058" s="110"/>
      <c r="IC1058" s="110"/>
      <c r="ID1058" s="110"/>
      <c r="IE1058" s="110"/>
      <c r="IF1058" s="110"/>
      <c r="IG1058" s="110"/>
      <c r="IH1058" s="110"/>
      <c r="II1058" s="110"/>
      <c r="IJ1058" s="110"/>
      <c r="IK1058" s="110"/>
      <c r="IL1058" s="110"/>
      <c r="IM1058" s="110"/>
      <c r="IN1058" s="110"/>
      <c r="IO1058" s="110"/>
      <c r="IP1058" s="110"/>
    </row>
    <row r="1059" spans="18:250" ht="16.5" hidden="1" customHeight="1">
      <c r="R1059" s="95"/>
      <c r="S1059" s="95"/>
      <c r="T1059" s="95"/>
      <c r="U1059" s="70"/>
      <c r="V1059" s="214"/>
      <c r="W1059" s="70"/>
      <c r="X1059" s="70"/>
      <c r="Y1059" s="70"/>
      <c r="Z1059" s="70"/>
      <c r="AA1059" s="70"/>
      <c r="AB1059" s="70"/>
      <c r="AC1059" s="70"/>
      <c r="AD1059" s="70"/>
      <c r="AE1059" s="70"/>
      <c r="AF1059" s="70"/>
      <c r="AG1059" s="70"/>
      <c r="AH1059" s="70"/>
      <c r="AI1059" s="70"/>
      <c r="AJ1059" s="70"/>
      <c r="AK1059" s="70"/>
      <c r="AL1059" s="70"/>
      <c r="AM1059" s="70"/>
      <c r="AN1059" s="70"/>
      <c r="AO1059" s="70"/>
      <c r="AP1059" s="70"/>
      <c r="AQ1059" s="70"/>
      <c r="AR1059" s="70"/>
      <c r="AS1059" s="70"/>
      <c r="AT1059" s="70"/>
      <c r="AU1059" s="70"/>
      <c r="AV1059" s="70"/>
      <c r="AW1059" s="70"/>
      <c r="AX1059" s="70"/>
      <c r="AY1059" s="70"/>
      <c r="AZ1059" s="70"/>
      <c r="BA1059" s="70"/>
      <c r="BB1059" s="70"/>
      <c r="BC1059" s="70"/>
      <c r="BD1059" s="70"/>
      <c r="BE1059" s="70"/>
      <c r="BF1059" s="70"/>
      <c r="BG1059" s="70"/>
      <c r="BH1059" s="70"/>
      <c r="BI1059" s="70"/>
      <c r="BJ1059" s="70"/>
      <c r="BK1059" s="70"/>
      <c r="BL1059" s="70"/>
      <c r="BM1059" s="70"/>
      <c r="BN1059" s="70"/>
      <c r="BO1059" s="70"/>
      <c r="BP1059" s="70"/>
      <c r="BQ1059" s="70"/>
      <c r="BR1059" s="70"/>
      <c r="BS1059" s="70"/>
      <c r="BT1059" s="70"/>
      <c r="BU1059" s="70"/>
      <c r="BV1059" s="70"/>
      <c r="BW1059" s="70"/>
      <c r="BX1059" s="70"/>
      <c r="BY1059" s="70"/>
      <c r="BZ1059" s="70"/>
      <c r="CA1059" s="70"/>
      <c r="CB1059" s="70"/>
      <c r="CC1059" s="70"/>
      <c r="CD1059" s="70"/>
      <c r="CE1059" s="70"/>
      <c r="CF1059" s="70"/>
      <c r="CG1059" s="70"/>
      <c r="CH1059" s="70"/>
      <c r="CI1059" s="70"/>
      <c r="CJ1059" s="70"/>
      <c r="CK1059" s="70"/>
      <c r="CL1059" s="70"/>
      <c r="CM1059" s="70"/>
      <c r="CN1059" s="70"/>
      <c r="CO1059" s="70"/>
      <c r="CP1059" s="70"/>
      <c r="CQ1059" s="70"/>
      <c r="CR1059" s="70"/>
      <c r="CS1059" s="70"/>
      <c r="CT1059" s="70"/>
      <c r="CU1059" s="70"/>
      <c r="CV1059" s="70"/>
      <c r="CW1059" s="70"/>
      <c r="CX1059" s="70"/>
      <c r="CY1059" s="70"/>
      <c r="CZ1059" s="70"/>
      <c r="DA1059" s="70"/>
      <c r="DB1059" s="70"/>
      <c r="DC1059" s="70"/>
      <c r="DD1059" s="70"/>
      <c r="DE1059" s="70"/>
      <c r="DF1059" s="70"/>
      <c r="DG1059" s="70"/>
      <c r="DH1059" s="70"/>
      <c r="DI1059" s="70"/>
      <c r="DJ1059" s="70"/>
      <c r="DK1059" s="70"/>
      <c r="DL1059" s="70"/>
      <c r="DM1059" s="70"/>
      <c r="DN1059" s="70"/>
      <c r="DO1059" s="70"/>
      <c r="DP1059" s="70"/>
      <c r="DQ1059" s="70"/>
      <c r="DR1059" s="70"/>
      <c r="DS1059" s="70"/>
      <c r="DT1059" s="70"/>
      <c r="DU1059" s="70"/>
      <c r="DV1059" s="70"/>
      <c r="DW1059" s="70"/>
      <c r="DX1059" s="70"/>
      <c r="DY1059" s="70"/>
      <c r="DZ1059" s="70"/>
      <c r="EA1059" s="70"/>
      <c r="EB1059" s="70"/>
      <c r="EC1059" s="70"/>
      <c r="ED1059" s="70"/>
      <c r="EE1059" s="95" t="s">
        <v>450</v>
      </c>
      <c r="EF1059" s="110"/>
      <c r="EG1059" s="110"/>
      <c r="EH1059" s="110"/>
      <c r="EI1059" s="216"/>
      <c r="EJ1059" s="110"/>
      <c r="EK1059" s="110"/>
      <c r="EL1059" s="110"/>
      <c r="EM1059" s="110"/>
      <c r="EN1059" s="110"/>
      <c r="EO1059" s="110"/>
      <c r="EP1059" s="110"/>
      <c r="EQ1059" s="110"/>
      <c r="ER1059" s="110"/>
      <c r="ES1059" s="110"/>
      <c r="ET1059" s="110"/>
      <c r="EU1059" s="110"/>
      <c r="EV1059" s="110"/>
      <c r="EW1059" s="110"/>
      <c r="EX1059" s="110"/>
      <c r="EY1059" s="110"/>
      <c r="EZ1059" s="110"/>
      <c r="FA1059" s="110"/>
      <c r="FB1059" s="110"/>
      <c r="FC1059" s="110"/>
      <c r="FD1059" s="110"/>
      <c r="FE1059" s="110"/>
      <c r="FF1059" s="110"/>
      <c r="FG1059" s="110"/>
      <c r="FH1059" s="110"/>
      <c r="FI1059" s="110"/>
      <c r="FJ1059" s="110"/>
      <c r="FK1059" s="110"/>
      <c r="FL1059" s="110"/>
      <c r="FM1059" s="110"/>
      <c r="FN1059" s="110"/>
      <c r="FO1059" s="110"/>
      <c r="FP1059" s="110"/>
      <c r="FQ1059" s="110"/>
      <c r="FR1059" s="110"/>
      <c r="FS1059" s="110"/>
      <c r="FT1059" s="110"/>
      <c r="FU1059" s="110"/>
      <c r="FV1059" s="110"/>
      <c r="FW1059" s="110"/>
      <c r="FX1059" s="110"/>
      <c r="FY1059" s="110"/>
      <c r="FZ1059" s="110"/>
      <c r="GA1059" s="110"/>
      <c r="GB1059" s="110"/>
      <c r="GC1059" s="110"/>
      <c r="GD1059" s="110"/>
      <c r="GE1059" s="110"/>
      <c r="GF1059" s="110"/>
      <c r="GG1059" s="110"/>
      <c r="GH1059" s="110"/>
      <c r="GI1059" s="110"/>
      <c r="GJ1059" s="110"/>
      <c r="GK1059" s="110"/>
      <c r="GL1059" s="110"/>
      <c r="GM1059" s="110"/>
      <c r="GN1059" s="110"/>
      <c r="GO1059" s="110"/>
      <c r="GP1059" s="110"/>
      <c r="GQ1059" s="110"/>
      <c r="GR1059" s="110"/>
      <c r="GS1059" s="110"/>
      <c r="GT1059" s="110"/>
      <c r="GU1059" s="110"/>
      <c r="GV1059" s="110"/>
      <c r="GW1059" s="110"/>
      <c r="GX1059" s="110"/>
      <c r="GY1059" s="110"/>
      <c r="GZ1059" s="110"/>
      <c r="HA1059" s="110"/>
      <c r="HB1059" s="110"/>
      <c r="HC1059" s="110"/>
      <c r="HD1059" s="110"/>
      <c r="HE1059" s="110"/>
      <c r="HF1059" s="110"/>
      <c r="HG1059" s="110"/>
      <c r="HH1059" s="110"/>
      <c r="HI1059" s="110"/>
      <c r="HJ1059" s="110"/>
      <c r="HK1059" s="110"/>
      <c r="HL1059" s="110"/>
      <c r="HM1059" s="110"/>
      <c r="HN1059" s="110"/>
      <c r="HO1059" s="110"/>
      <c r="HP1059" s="110"/>
      <c r="HQ1059" s="110"/>
      <c r="HR1059" s="110"/>
      <c r="HS1059" s="110"/>
      <c r="HT1059" s="110"/>
      <c r="HU1059" s="110"/>
      <c r="HV1059" s="110"/>
      <c r="HW1059" s="110"/>
      <c r="HX1059" s="110"/>
      <c r="HY1059" s="110"/>
      <c r="HZ1059" s="110"/>
      <c r="IA1059" s="110"/>
      <c r="IB1059" s="110"/>
      <c r="IC1059" s="110"/>
      <c r="ID1059" s="110"/>
      <c r="IE1059" s="110"/>
      <c r="IF1059" s="110"/>
      <c r="IG1059" s="110"/>
      <c r="IH1059" s="110"/>
      <c r="II1059" s="110"/>
      <c r="IJ1059" s="110"/>
      <c r="IK1059" s="110"/>
      <c r="IL1059" s="110"/>
      <c r="IM1059" s="110"/>
      <c r="IN1059" s="110"/>
      <c r="IO1059" s="110"/>
      <c r="IP1059" s="110"/>
    </row>
    <row r="1060" spans="18:250" ht="16.5" hidden="1" customHeight="1">
      <c r="R1060" s="95"/>
      <c r="S1060" s="95"/>
      <c r="T1060" s="95"/>
      <c r="U1060" s="70"/>
      <c r="V1060" s="214"/>
      <c r="W1060" s="70"/>
      <c r="X1060" s="70"/>
      <c r="Y1060" s="70"/>
      <c r="Z1060" s="70"/>
      <c r="AA1060" s="70"/>
      <c r="AB1060" s="70"/>
      <c r="AC1060" s="70"/>
      <c r="AD1060" s="70"/>
      <c r="AE1060" s="70"/>
      <c r="AF1060" s="70"/>
      <c r="AG1060" s="70"/>
      <c r="AH1060" s="70"/>
      <c r="AI1060" s="70"/>
      <c r="AJ1060" s="70"/>
      <c r="AK1060" s="70"/>
      <c r="AL1060" s="70"/>
      <c r="AM1060" s="70"/>
      <c r="AN1060" s="70"/>
      <c r="AO1060" s="70"/>
      <c r="AP1060" s="70"/>
      <c r="AQ1060" s="70"/>
      <c r="AR1060" s="70"/>
      <c r="AS1060" s="70"/>
      <c r="AT1060" s="70"/>
      <c r="AU1060" s="70"/>
      <c r="AV1060" s="70"/>
      <c r="AW1060" s="70"/>
      <c r="AX1060" s="70"/>
      <c r="AY1060" s="70"/>
      <c r="AZ1060" s="70"/>
      <c r="BA1060" s="70"/>
      <c r="BB1060" s="70"/>
      <c r="BC1060" s="70"/>
      <c r="BD1060" s="70"/>
      <c r="BE1060" s="70"/>
      <c r="BF1060" s="70"/>
      <c r="BG1060" s="70"/>
      <c r="BH1060" s="70"/>
      <c r="BI1060" s="70"/>
      <c r="BJ1060" s="70"/>
      <c r="BK1060" s="70"/>
      <c r="BL1060" s="70"/>
      <c r="BM1060" s="70"/>
      <c r="BN1060" s="70"/>
      <c r="BO1060" s="70"/>
      <c r="BP1060" s="70"/>
      <c r="BQ1060" s="70"/>
      <c r="BR1060" s="70"/>
      <c r="BS1060" s="70"/>
      <c r="BT1060" s="70"/>
      <c r="BU1060" s="70"/>
      <c r="BV1060" s="70"/>
      <c r="BW1060" s="70"/>
      <c r="BX1060" s="70"/>
      <c r="BY1060" s="70"/>
      <c r="BZ1060" s="70"/>
      <c r="CA1060" s="70"/>
      <c r="CB1060" s="70"/>
      <c r="CC1060" s="70"/>
      <c r="CD1060" s="70"/>
      <c r="CE1060" s="70"/>
      <c r="CF1060" s="70"/>
      <c r="CG1060" s="70"/>
      <c r="CH1060" s="70"/>
      <c r="CI1060" s="70"/>
      <c r="CJ1060" s="70"/>
      <c r="CK1060" s="70"/>
      <c r="CL1060" s="70"/>
      <c r="CM1060" s="70"/>
      <c r="CN1060" s="70"/>
      <c r="CO1060" s="70"/>
      <c r="CP1060" s="70"/>
      <c r="CQ1060" s="70"/>
      <c r="CR1060" s="70"/>
      <c r="CS1060" s="70"/>
      <c r="CT1060" s="70"/>
      <c r="CU1060" s="70"/>
      <c r="CV1060" s="70"/>
      <c r="CW1060" s="70"/>
      <c r="CX1060" s="70"/>
      <c r="CY1060" s="70"/>
      <c r="CZ1060" s="70"/>
      <c r="DA1060" s="70"/>
      <c r="DB1060" s="70"/>
      <c r="DC1060" s="70"/>
      <c r="DD1060" s="70"/>
      <c r="DE1060" s="70"/>
      <c r="DF1060" s="70"/>
      <c r="DG1060" s="70"/>
      <c r="DH1060" s="70"/>
      <c r="DI1060" s="70"/>
      <c r="DJ1060" s="70"/>
      <c r="DK1060" s="70"/>
      <c r="DL1060" s="70"/>
      <c r="DM1060" s="70"/>
      <c r="DN1060" s="70"/>
      <c r="DO1060" s="70"/>
      <c r="DP1060" s="70"/>
      <c r="DQ1060" s="70"/>
      <c r="DR1060" s="70"/>
      <c r="DS1060" s="70"/>
      <c r="DT1060" s="70"/>
      <c r="DU1060" s="70"/>
      <c r="DV1060" s="70"/>
      <c r="DW1060" s="70"/>
      <c r="DX1060" s="70"/>
      <c r="DY1060" s="70"/>
      <c r="DZ1060" s="70"/>
      <c r="EA1060" s="70"/>
      <c r="EB1060" s="70"/>
      <c r="EC1060" s="70"/>
      <c r="ED1060" s="70"/>
      <c r="EE1060" s="95" t="s">
        <v>450</v>
      </c>
      <c r="EF1060" s="110"/>
      <c r="EG1060" s="110"/>
      <c r="EH1060" s="110"/>
      <c r="EI1060" s="216"/>
      <c r="EJ1060" s="110"/>
      <c r="EK1060" s="110"/>
      <c r="EL1060" s="110"/>
      <c r="EM1060" s="110"/>
      <c r="EN1060" s="110"/>
      <c r="EO1060" s="110"/>
      <c r="EP1060" s="110"/>
      <c r="EQ1060" s="110"/>
      <c r="ER1060" s="110"/>
      <c r="ES1060" s="110"/>
      <c r="ET1060" s="110"/>
      <c r="EU1060" s="110"/>
      <c r="EV1060" s="110"/>
      <c r="EW1060" s="110"/>
      <c r="EX1060" s="110"/>
      <c r="EY1060" s="110"/>
      <c r="EZ1060" s="110"/>
      <c r="FA1060" s="110"/>
      <c r="FB1060" s="110"/>
      <c r="FC1060" s="110"/>
      <c r="FD1060" s="110"/>
      <c r="FE1060" s="110"/>
      <c r="FF1060" s="110"/>
      <c r="FG1060" s="110"/>
      <c r="FH1060" s="110"/>
      <c r="FI1060" s="110"/>
      <c r="FJ1060" s="110"/>
      <c r="FK1060" s="110"/>
      <c r="FL1060" s="110"/>
      <c r="FM1060" s="110"/>
      <c r="FN1060" s="110"/>
      <c r="FO1060" s="110"/>
      <c r="FP1060" s="110"/>
      <c r="FQ1060" s="110"/>
      <c r="FR1060" s="110"/>
      <c r="FS1060" s="110"/>
      <c r="FT1060" s="110"/>
      <c r="FU1060" s="110"/>
      <c r="FV1060" s="110"/>
      <c r="FW1060" s="110"/>
      <c r="FX1060" s="110"/>
      <c r="FY1060" s="110"/>
      <c r="FZ1060" s="110"/>
      <c r="GA1060" s="110"/>
      <c r="GB1060" s="110"/>
      <c r="GC1060" s="110"/>
      <c r="GD1060" s="110"/>
      <c r="GE1060" s="110"/>
      <c r="GF1060" s="110"/>
      <c r="GG1060" s="110"/>
      <c r="GH1060" s="110"/>
      <c r="GI1060" s="110"/>
      <c r="GJ1060" s="110"/>
      <c r="GK1060" s="110"/>
      <c r="GL1060" s="110"/>
      <c r="GM1060" s="110"/>
      <c r="GN1060" s="110"/>
      <c r="GO1060" s="110"/>
      <c r="GP1060" s="110"/>
      <c r="GQ1060" s="110"/>
      <c r="GR1060" s="110"/>
      <c r="GS1060" s="110"/>
      <c r="GT1060" s="110"/>
      <c r="GU1060" s="110"/>
      <c r="GV1060" s="110"/>
      <c r="GW1060" s="110"/>
      <c r="GX1060" s="110"/>
      <c r="GY1060" s="110"/>
      <c r="GZ1060" s="110"/>
      <c r="HA1060" s="110"/>
      <c r="HB1060" s="110"/>
      <c r="HC1060" s="110"/>
      <c r="HD1060" s="110"/>
      <c r="HE1060" s="110"/>
      <c r="HF1060" s="110"/>
      <c r="HG1060" s="110"/>
      <c r="HH1060" s="110"/>
      <c r="HI1060" s="110"/>
      <c r="HJ1060" s="110"/>
      <c r="HK1060" s="110"/>
      <c r="HL1060" s="110"/>
      <c r="HM1060" s="110"/>
      <c r="HN1060" s="110"/>
      <c r="HO1060" s="110"/>
      <c r="HP1060" s="110"/>
      <c r="HQ1060" s="110"/>
      <c r="HR1060" s="110"/>
      <c r="HS1060" s="110"/>
      <c r="HT1060" s="110"/>
      <c r="HU1060" s="110"/>
      <c r="HV1060" s="110"/>
      <c r="HW1060" s="110"/>
      <c r="HX1060" s="110"/>
      <c r="HY1060" s="110"/>
      <c r="HZ1060" s="110"/>
      <c r="IA1060" s="110"/>
      <c r="IB1060" s="110"/>
      <c r="IC1060" s="110"/>
      <c r="ID1060" s="110"/>
      <c r="IE1060" s="110"/>
      <c r="IF1060" s="110"/>
      <c r="IG1060" s="110"/>
      <c r="IH1060" s="110"/>
      <c r="II1060" s="110"/>
      <c r="IJ1060" s="110"/>
      <c r="IK1060" s="110"/>
      <c r="IL1060" s="110"/>
      <c r="IM1060" s="110"/>
      <c r="IN1060" s="110"/>
      <c r="IO1060" s="110"/>
      <c r="IP1060" s="110"/>
    </row>
    <row r="1061" spans="18:250" ht="16.5" hidden="1" customHeight="1">
      <c r="R1061" s="95"/>
      <c r="S1061" s="95"/>
      <c r="T1061" s="95"/>
      <c r="U1061" s="70"/>
      <c r="V1061" s="214"/>
      <c r="W1061" s="70"/>
      <c r="X1061" s="70"/>
      <c r="Y1061" s="70"/>
      <c r="Z1061" s="70"/>
      <c r="AA1061" s="70"/>
      <c r="AB1061" s="70"/>
      <c r="AC1061" s="70"/>
      <c r="AD1061" s="70"/>
      <c r="AE1061" s="70"/>
      <c r="AF1061" s="70"/>
      <c r="AG1061" s="70"/>
      <c r="AH1061" s="70"/>
      <c r="AI1061" s="70"/>
      <c r="AJ1061" s="70"/>
      <c r="AK1061" s="70"/>
      <c r="AL1061" s="70"/>
      <c r="AM1061" s="70"/>
      <c r="AN1061" s="70"/>
      <c r="AO1061" s="70"/>
      <c r="AP1061" s="70"/>
      <c r="AQ1061" s="70"/>
      <c r="AR1061" s="70"/>
      <c r="AS1061" s="70"/>
      <c r="AT1061" s="70"/>
      <c r="AU1061" s="70"/>
      <c r="AV1061" s="70"/>
      <c r="AW1061" s="70"/>
      <c r="AX1061" s="70"/>
      <c r="AY1061" s="70"/>
      <c r="AZ1061" s="70"/>
      <c r="BA1061" s="70"/>
      <c r="BB1061" s="70"/>
      <c r="BC1061" s="70"/>
      <c r="BD1061" s="70"/>
      <c r="BE1061" s="70"/>
      <c r="BF1061" s="70"/>
      <c r="BG1061" s="70"/>
      <c r="BH1061" s="70"/>
      <c r="BI1061" s="70"/>
      <c r="BJ1061" s="70"/>
      <c r="BK1061" s="70"/>
      <c r="BL1061" s="70"/>
      <c r="BM1061" s="70"/>
      <c r="BN1061" s="70"/>
      <c r="BO1061" s="70"/>
      <c r="BP1061" s="70"/>
      <c r="BQ1061" s="70"/>
      <c r="BR1061" s="70"/>
      <c r="BS1061" s="70"/>
      <c r="BT1061" s="70"/>
      <c r="BU1061" s="70"/>
      <c r="BV1061" s="70"/>
      <c r="BW1061" s="70"/>
      <c r="BX1061" s="70"/>
      <c r="BY1061" s="70"/>
      <c r="BZ1061" s="70"/>
      <c r="CA1061" s="70"/>
      <c r="CB1061" s="70"/>
      <c r="CC1061" s="70"/>
      <c r="CD1061" s="70"/>
      <c r="CE1061" s="70"/>
      <c r="CF1061" s="70"/>
      <c r="CG1061" s="70"/>
      <c r="CH1061" s="70"/>
      <c r="CI1061" s="70"/>
      <c r="CJ1061" s="70"/>
      <c r="CK1061" s="70"/>
      <c r="CL1061" s="70"/>
      <c r="CM1061" s="70"/>
      <c r="CN1061" s="70"/>
      <c r="CO1061" s="70"/>
      <c r="CP1061" s="70"/>
      <c r="CQ1061" s="70"/>
      <c r="CR1061" s="70"/>
      <c r="CS1061" s="70"/>
      <c r="CT1061" s="70"/>
      <c r="CU1061" s="70"/>
      <c r="CV1061" s="70"/>
      <c r="CW1061" s="70"/>
      <c r="CX1061" s="70"/>
      <c r="CY1061" s="70"/>
      <c r="CZ1061" s="70"/>
      <c r="DA1061" s="70"/>
      <c r="DB1061" s="70"/>
      <c r="DC1061" s="70"/>
      <c r="DD1061" s="70"/>
      <c r="DE1061" s="70"/>
      <c r="DF1061" s="70"/>
      <c r="DG1061" s="70"/>
      <c r="DH1061" s="70"/>
      <c r="DI1061" s="70"/>
      <c r="DJ1061" s="70"/>
      <c r="DK1061" s="70"/>
      <c r="DL1061" s="70"/>
      <c r="DM1061" s="70"/>
      <c r="DN1061" s="70"/>
      <c r="DO1061" s="70"/>
      <c r="DP1061" s="70"/>
      <c r="DQ1061" s="70"/>
      <c r="DR1061" s="70"/>
      <c r="DS1061" s="70"/>
      <c r="DT1061" s="70"/>
      <c r="DU1061" s="70"/>
      <c r="DV1061" s="70"/>
      <c r="DW1061" s="70"/>
      <c r="DX1061" s="70"/>
      <c r="DY1061" s="70"/>
      <c r="DZ1061" s="70"/>
      <c r="EA1061" s="70"/>
      <c r="EB1061" s="70"/>
      <c r="EC1061" s="70"/>
      <c r="ED1061" s="70"/>
      <c r="EE1061" s="95" t="s">
        <v>450</v>
      </c>
      <c r="EF1061" s="110"/>
      <c r="EG1061" s="110"/>
      <c r="EH1061" s="110"/>
      <c r="EI1061" s="216"/>
      <c r="EJ1061" s="110"/>
      <c r="EK1061" s="110"/>
      <c r="EL1061" s="110"/>
      <c r="EM1061" s="110"/>
      <c r="EN1061" s="110"/>
      <c r="EO1061" s="110"/>
      <c r="EP1061" s="110"/>
      <c r="EQ1061" s="110"/>
      <c r="ER1061" s="110"/>
      <c r="ES1061" s="110"/>
      <c r="ET1061" s="110"/>
      <c r="EU1061" s="110"/>
      <c r="EV1061" s="110"/>
      <c r="EW1061" s="110"/>
      <c r="EX1061" s="110"/>
      <c r="EY1061" s="110"/>
      <c r="EZ1061" s="110"/>
      <c r="FA1061" s="110"/>
      <c r="FB1061" s="110"/>
      <c r="FC1061" s="110"/>
      <c r="FD1061" s="110"/>
      <c r="FE1061" s="110"/>
      <c r="FF1061" s="110"/>
      <c r="FG1061" s="110"/>
      <c r="FH1061" s="110"/>
      <c r="FI1061" s="110"/>
      <c r="FJ1061" s="110"/>
      <c r="FK1061" s="110"/>
      <c r="FL1061" s="110"/>
      <c r="FM1061" s="110"/>
      <c r="FN1061" s="110"/>
      <c r="FO1061" s="110"/>
      <c r="FP1061" s="110"/>
      <c r="FQ1061" s="110"/>
      <c r="FR1061" s="110"/>
      <c r="FS1061" s="110"/>
      <c r="FT1061" s="110"/>
      <c r="FU1061" s="110"/>
      <c r="FV1061" s="110"/>
      <c r="FW1061" s="110"/>
      <c r="FX1061" s="110"/>
      <c r="FY1061" s="110"/>
      <c r="FZ1061" s="110"/>
      <c r="GA1061" s="110"/>
      <c r="GB1061" s="110"/>
      <c r="GC1061" s="110"/>
      <c r="GD1061" s="110"/>
      <c r="GE1061" s="110"/>
      <c r="GF1061" s="110"/>
      <c r="GG1061" s="110"/>
      <c r="GH1061" s="110"/>
      <c r="GI1061" s="110"/>
      <c r="GJ1061" s="110"/>
      <c r="GK1061" s="110"/>
      <c r="GL1061" s="110"/>
      <c r="GM1061" s="110"/>
      <c r="GN1061" s="110"/>
      <c r="GO1061" s="110"/>
      <c r="GP1061" s="110"/>
      <c r="GQ1061" s="110"/>
      <c r="GR1061" s="110"/>
      <c r="GS1061" s="110"/>
      <c r="GT1061" s="110"/>
      <c r="GU1061" s="110"/>
      <c r="GV1061" s="110"/>
      <c r="GW1061" s="110"/>
      <c r="GX1061" s="110"/>
      <c r="GY1061" s="110"/>
      <c r="GZ1061" s="110"/>
      <c r="HA1061" s="110"/>
      <c r="HB1061" s="110"/>
      <c r="HC1061" s="110"/>
      <c r="HD1061" s="110"/>
      <c r="HE1061" s="110"/>
      <c r="HF1061" s="110"/>
      <c r="HG1061" s="110"/>
      <c r="HH1061" s="110"/>
      <c r="HI1061" s="110"/>
      <c r="HJ1061" s="110"/>
      <c r="HK1061" s="110"/>
      <c r="HL1061" s="110"/>
      <c r="HM1061" s="110"/>
      <c r="HN1061" s="110"/>
      <c r="HO1061" s="110"/>
      <c r="HP1061" s="110"/>
      <c r="HQ1061" s="110"/>
      <c r="HR1061" s="110"/>
      <c r="HS1061" s="110"/>
      <c r="HT1061" s="110"/>
      <c r="HU1061" s="110"/>
      <c r="HV1061" s="110"/>
      <c r="HW1061" s="110"/>
      <c r="HX1061" s="110"/>
      <c r="HY1061" s="110"/>
      <c r="HZ1061" s="110"/>
      <c r="IA1061" s="110"/>
      <c r="IB1061" s="110"/>
      <c r="IC1061" s="110"/>
      <c r="ID1061" s="110"/>
      <c r="IE1061" s="110"/>
      <c r="IF1061" s="110"/>
      <c r="IG1061" s="110"/>
      <c r="IH1061" s="110"/>
      <c r="II1061" s="110"/>
      <c r="IJ1061" s="110"/>
      <c r="IK1061" s="110"/>
      <c r="IL1061" s="110"/>
      <c r="IM1061" s="110"/>
      <c r="IN1061" s="110"/>
      <c r="IO1061" s="110"/>
      <c r="IP1061" s="110"/>
    </row>
    <row r="1062" spans="18:250" ht="16.5" hidden="1" customHeight="1">
      <c r="R1062" s="95"/>
      <c r="S1062" s="95"/>
      <c r="T1062" s="95"/>
      <c r="U1062" s="70"/>
      <c r="V1062" s="214"/>
      <c r="W1062" s="70"/>
      <c r="X1062" s="70"/>
      <c r="Y1062" s="70"/>
      <c r="Z1062" s="70"/>
      <c r="AA1062" s="70"/>
      <c r="AB1062" s="70"/>
      <c r="AC1062" s="70"/>
      <c r="AD1062" s="70"/>
      <c r="AE1062" s="70"/>
      <c r="AF1062" s="70"/>
      <c r="AG1062" s="70"/>
      <c r="AH1062" s="70"/>
      <c r="AI1062" s="70"/>
      <c r="AJ1062" s="70"/>
      <c r="AK1062" s="70"/>
      <c r="AL1062" s="70"/>
      <c r="AM1062" s="70"/>
      <c r="AN1062" s="70"/>
      <c r="AO1062" s="70"/>
      <c r="AP1062" s="70"/>
      <c r="AQ1062" s="70"/>
      <c r="AR1062" s="70"/>
      <c r="AS1062" s="70"/>
      <c r="AT1062" s="70"/>
      <c r="AU1062" s="70"/>
      <c r="AV1062" s="70"/>
      <c r="AW1062" s="70"/>
      <c r="AX1062" s="70"/>
      <c r="AY1062" s="70"/>
      <c r="AZ1062" s="70"/>
      <c r="BA1062" s="70"/>
      <c r="BB1062" s="70"/>
      <c r="BC1062" s="70"/>
      <c r="BD1062" s="70"/>
      <c r="BE1062" s="70"/>
      <c r="BF1062" s="70"/>
      <c r="BG1062" s="70"/>
      <c r="BH1062" s="70"/>
      <c r="BI1062" s="70"/>
      <c r="BJ1062" s="70"/>
      <c r="BK1062" s="70"/>
      <c r="BL1062" s="70"/>
      <c r="BM1062" s="70"/>
      <c r="BN1062" s="70"/>
      <c r="BO1062" s="70"/>
      <c r="BP1062" s="70"/>
      <c r="BQ1062" s="70"/>
      <c r="BR1062" s="70"/>
      <c r="BS1062" s="70"/>
      <c r="BT1062" s="70"/>
      <c r="BU1062" s="70"/>
      <c r="BV1062" s="70"/>
      <c r="BW1062" s="70"/>
      <c r="BX1062" s="70"/>
      <c r="BY1062" s="70"/>
      <c r="BZ1062" s="70"/>
      <c r="CA1062" s="70"/>
      <c r="CB1062" s="70"/>
      <c r="CC1062" s="70"/>
      <c r="CD1062" s="70"/>
      <c r="CE1062" s="70"/>
      <c r="CF1062" s="70"/>
      <c r="CG1062" s="70"/>
      <c r="CH1062" s="70"/>
      <c r="CI1062" s="70"/>
      <c r="CJ1062" s="70"/>
      <c r="CK1062" s="70"/>
      <c r="CL1062" s="70"/>
      <c r="CM1062" s="70"/>
      <c r="CN1062" s="70"/>
      <c r="CO1062" s="70"/>
      <c r="CP1062" s="70"/>
      <c r="CQ1062" s="70"/>
      <c r="CR1062" s="70"/>
      <c r="CS1062" s="70"/>
      <c r="CT1062" s="70"/>
      <c r="CU1062" s="70"/>
      <c r="CV1062" s="70"/>
      <c r="CW1062" s="70"/>
      <c r="CX1062" s="70"/>
      <c r="CY1062" s="70"/>
      <c r="CZ1062" s="70"/>
      <c r="DA1062" s="70"/>
      <c r="DB1062" s="70"/>
      <c r="DC1062" s="70"/>
      <c r="DD1062" s="70"/>
      <c r="DE1062" s="70"/>
      <c r="DF1062" s="70"/>
      <c r="DG1062" s="70"/>
      <c r="DH1062" s="70"/>
      <c r="DI1062" s="70"/>
      <c r="DJ1062" s="70"/>
      <c r="DK1062" s="70"/>
      <c r="DL1062" s="70"/>
      <c r="DM1062" s="70"/>
      <c r="DN1062" s="70"/>
      <c r="DO1062" s="70"/>
      <c r="DP1062" s="70"/>
      <c r="DQ1062" s="70"/>
      <c r="DR1062" s="70"/>
      <c r="DS1062" s="70"/>
      <c r="DT1062" s="70"/>
      <c r="DU1062" s="70"/>
      <c r="DV1062" s="70"/>
      <c r="DW1062" s="70"/>
      <c r="DX1062" s="70"/>
      <c r="DY1062" s="70"/>
      <c r="DZ1062" s="70"/>
      <c r="EA1062" s="70"/>
      <c r="EB1062" s="70"/>
      <c r="EC1062" s="70"/>
      <c r="ED1062" s="70"/>
      <c r="EE1062" s="95" t="s">
        <v>450</v>
      </c>
      <c r="EF1062" s="110"/>
      <c r="EG1062" s="110"/>
      <c r="EH1062" s="110"/>
      <c r="EI1062" s="216"/>
      <c r="EJ1062" s="110"/>
      <c r="EK1062" s="110"/>
      <c r="EL1062" s="110"/>
      <c r="EM1062" s="110"/>
      <c r="EN1062" s="110"/>
      <c r="EO1062" s="110"/>
      <c r="EP1062" s="110"/>
      <c r="EQ1062" s="110"/>
      <c r="ER1062" s="110"/>
      <c r="ES1062" s="110"/>
      <c r="ET1062" s="110"/>
      <c r="EU1062" s="110"/>
      <c r="EV1062" s="110"/>
      <c r="EW1062" s="110"/>
      <c r="EX1062" s="110"/>
      <c r="EY1062" s="110"/>
      <c r="EZ1062" s="110"/>
      <c r="FA1062" s="110"/>
      <c r="FB1062" s="110"/>
      <c r="FC1062" s="110"/>
      <c r="FD1062" s="110"/>
      <c r="FE1062" s="110"/>
      <c r="FF1062" s="110"/>
      <c r="FG1062" s="110"/>
      <c r="FH1062" s="110"/>
      <c r="FI1062" s="110"/>
      <c r="FJ1062" s="110"/>
      <c r="FK1062" s="110"/>
      <c r="FL1062" s="110"/>
      <c r="FM1062" s="110"/>
      <c r="FN1062" s="110"/>
      <c r="FO1062" s="110"/>
      <c r="FP1062" s="110"/>
      <c r="FQ1062" s="110"/>
      <c r="FR1062" s="110"/>
      <c r="FS1062" s="110"/>
      <c r="FT1062" s="110"/>
      <c r="FU1062" s="110"/>
      <c r="FV1062" s="110"/>
      <c r="FW1062" s="110"/>
      <c r="FX1062" s="110"/>
      <c r="FY1062" s="110"/>
      <c r="FZ1062" s="110"/>
      <c r="GA1062" s="110"/>
      <c r="GB1062" s="110"/>
      <c r="GC1062" s="110"/>
      <c r="GD1062" s="110"/>
      <c r="GE1062" s="110"/>
      <c r="GF1062" s="110"/>
      <c r="GG1062" s="110"/>
      <c r="GH1062" s="110"/>
      <c r="GI1062" s="110"/>
      <c r="GJ1062" s="110"/>
      <c r="GK1062" s="110"/>
      <c r="GL1062" s="110"/>
      <c r="GM1062" s="110"/>
      <c r="GN1062" s="110"/>
      <c r="GO1062" s="110"/>
      <c r="GP1062" s="110"/>
      <c r="GQ1062" s="110"/>
      <c r="GR1062" s="110"/>
      <c r="GS1062" s="110"/>
      <c r="GT1062" s="110"/>
      <c r="GU1062" s="110"/>
      <c r="GV1062" s="110"/>
      <c r="GW1062" s="110"/>
      <c r="GX1062" s="110"/>
      <c r="GY1062" s="110"/>
      <c r="GZ1062" s="110"/>
      <c r="HA1062" s="110"/>
      <c r="HB1062" s="110"/>
      <c r="HC1062" s="110"/>
      <c r="HD1062" s="110"/>
      <c r="HE1062" s="110"/>
      <c r="HF1062" s="110"/>
      <c r="HG1062" s="110"/>
      <c r="HH1062" s="110"/>
      <c r="HI1062" s="110"/>
      <c r="HJ1062" s="110"/>
      <c r="HK1062" s="110"/>
      <c r="HL1062" s="110"/>
      <c r="HM1062" s="110"/>
      <c r="HN1062" s="110"/>
      <c r="HO1062" s="110"/>
      <c r="HP1062" s="110"/>
      <c r="HQ1062" s="110"/>
      <c r="HR1062" s="110"/>
      <c r="HS1062" s="110"/>
      <c r="HT1062" s="110"/>
      <c r="HU1062" s="110"/>
      <c r="HV1062" s="110"/>
      <c r="HW1062" s="110"/>
      <c r="HX1062" s="110"/>
      <c r="HY1062" s="110"/>
      <c r="HZ1062" s="110"/>
      <c r="IA1062" s="110"/>
      <c r="IB1062" s="110"/>
      <c r="IC1062" s="110"/>
      <c r="ID1062" s="110"/>
      <c r="IE1062" s="110"/>
      <c r="IF1062" s="110"/>
      <c r="IG1062" s="110"/>
      <c r="IH1062" s="110"/>
      <c r="II1062" s="110"/>
      <c r="IJ1062" s="110"/>
      <c r="IK1062" s="110"/>
      <c r="IL1062" s="110"/>
      <c r="IM1062" s="110"/>
      <c r="IN1062" s="110"/>
      <c r="IO1062" s="110"/>
      <c r="IP1062" s="110"/>
    </row>
    <row r="1063" spans="18:250" ht="16.5" hidden="1" customHeight="1">
      <c r="R1063" s="95"/>
      <c r="S1063" s="95"/>
      <c r="T1063" s="95"/>
      <c r="U1063" s="70"/>
      <c r="V1063" s="214"/>
      <c r="W1063" s="70"/>
      <c r="X1063" s="70"/>
      <c r="Y1063" s="70"/>
      <c r="Z1063" s="70"/>
      <c r="AA1063" s="70"/>
      <c r="AB1063" s="70"/>
      <c r="AC1063" s="70"/>
      <c r="AD1063" s="70"/>
      <c r="AE1063" s="70"/>
      <c r="AF1063" s="70"/>
      <c r="AG1063" s="70"/>
      <c r="AH1063" s="70"/>
      <c r="AI1063" s="70"/>
      <c r="AJ1063" s="70"/>
      <c r="AK1063" s="70"/>
      <c r="AL1063" s="70"/>
      <c r="AM1063" s="70"/>
      <c r="AN1063" s="70"/>
      <c r="AO1063" s="70"/>
      <c r="AP1063" s="70"/>
      <c r="AQ1063" s="70"/>
      <c r="AR1063" s="70"/>
      <c r="AS1063" s="70"/>
      <c r="AT1063" s="70"/>
      <c r="AU1063" s="70"/>
      <c r="AV1063" s="70"/>
      <c r="AW1063" s="70"/>
      <c r="AX1063" s="70"/>
      <c r="AY1063" s="70"/>
      <c r="AZ1063" s="70"/>
      <c r="BA1063" s="70"/>
      <c r="BB1063" s="70"/>
      <c r="BC1063" s="70"/>
      <c r="BD1063" s="70"/>
      <c r="BE1063" s="70"/>
      <c r="BF1063" s="70"/>
      <c r="BG1063" s="70"/>
      <c r="BH1063" s="70"/>
      <c r="BI1063" s="70"/>
      <c r="BJ1063" s="70"/>
      <c r="BK1063" s="70"/>
      <c r="BL1063" s="70"/>
      <c r="BM1063" s="70"/>
      <c r="BN1063" s="70"/>
      <c r="BO1063" s="70"/>
      <c r="BP1063" s="70"/>
      <c r="BQ1063" s="70"/>
      <c r="BR1063" s="70"/>
      <c r="BS1063" s="70"/>
      <c r="BT1063" s="70"/>
      <c r="BU1063" s="70"/>
      <c r="BV1063" s="70"/>
      <c r="BW1063" s="70"/>
      <c r="BX1063" s="70"/>
      <c r="BY1063" s="70"/>
      <c r="BZ1063" s="70"/>
      <c r="CA1063" s="70"/>
      <c r="CB1063" s="70"/>
      <c r="CC1063" s="70"/>
      <c r="CD1063" s="70"/>
      <c r="CE1063" s="70"/>
      <c r="CF1063" s="70"/>
      <c r="CG1063" s="70"/>
      <c r="CH1063" s="70"/>
      <c r="CI1063" s="70"/>
      <c r="CJ1063" s="70"/>
      <c r="CK1063" s="70"/>
      <c r="CL1063" s="70"/>
      <c r="CM1063" s="70"/>
      <c r="CN1063" s="70"/>
      <c r="CO1063" s="70"/>
      <c r="CP1063" s="70"/>
      <c r="CQ1063" s="70"/>
      <c r="CR1063" s="70"/>
      <c r="CS1063" s="70"/>
      <c r="CT1063" s="70"/>
      <c r="CU1063" s="70"/>
      <c r="CV1063" s="70"/>
      <c r="CW1063" s="70"/>
      <c r="CX1063" s="70"/>
      <c r="CY1063" s="70"/>
      <c r="CZ1063" s="70"/>
      <c r="DA1063" s="70"/>
      <c r="DB1063" s="70"/>
      <c r="DC1063" s="70"/>
      <c r="DD1063" s="70"/>
      <c r="DE1063" s="70"/>
      <c r="DF1063" s="70"/>
      <c r="DG1063" s="70"/>
      <c r="DH1063" s="70"/>
      <c r="DI1063" s="70"/>
      <c r="DJ1063" s="70"/>
      <c r="DK1063" s="70"/>
      <c r="DL1063" s="70"/>
      <c r="DM1063" s="70"/>
      <c r="DN1063" s="70"/>
      <c r="DO1063" s="70"/>
      <c r="DP1063" s="70"/>
      <c r="DQ1063" s="70"/>
      <c r="DR1063" s="70"/>
      <c r="DS1063" s="70"/>
      <c r="DT1063" s="70"/>
      <c r="DU1063" s="70"/>
      <c r="DV1063" s="70"/>
      <c r="DW1063" s="70"/>
      <c r="DX1063" s="70"/>
      <c r="DY1063" s="70"/>
      <c r="DZ1063" s="70"/>
      <c r="EA1063" s="70"/>
      <c r="EB1063" s="70"/>
      <c r="EC1063" s="70"/>
      <c r="ED1063" s="70"/>
      <c r="EE1063" s="95" t="s">
        <v>450</v>
      </c>
      <c r="EF1063" s="110"/>
      <c r="EG1063" s="110"/>
      <c r="EH1063" s="110"/>
      <c r="EI1063" s="216"/>
      <c r="EJ1063" s="110"/>
      <c r="EK1063" s="110"/>
      <c r="EL1063" s="110"/>
      <c r="EM1063" s="110"/>
      <c r="EN1063" s="110"/>
      <c r="EO1063" s="110"/>
      <c r="EP1063" s="110"/>
      <c r="EQ1063" s="110"/>
      <c r="ER1063" s="110"/>
      <c r="ES1063" s="110"/>
      <c r="ET1063" s="110"/>
      <c r="EU1063" s="110"/>
      <c r="EV1063" s="110"/>
      <c r="EW1063" s="110"/>
      <c r="EX1063" s="110"/>
      <c r="EY1063" s="110"/>
      <c r="EZ1063" s="110"/>
      <c r="FA1063" s="110"/>
      <c r="FB1063" s="110"/>
      <c r="FC1063" s="110"/>
      <c r="FD1063" s="110"/>
      <c r="FE1063" s="110"/>
      <c r="FF1063" s="110"/>
      <c r="FG1063" s="110"/>
      <c r="FH1063" s="110"/>
      <c r="FI1063" s="110"/>
      <c r="FJ1063" s="110"/>
      <c r="FK1063" s="110"/>
      <c r="FL1063" s="110"/>
      <c r="FM1063" s="110"/>
      <c r="FN1063" s="110"/>
      <c r="FO1063" s="110"/>
      <c r="FP1063" s="110"/>
      <c r="FQ1063" s="110"/>
      <c r="FR1063" s="110"/>
      <c r="FS1063" s="110"/>
      <c r="FT1063" s="110"/>
      <c r="FU1063" s="110"/>
      <c r="FV1063" s="110"/>
      <c r="FW1063" s="110"/>
      <c r="FX1063" s="110"/>
      <c r="FY1063" s="110"/>
      <c r="FZ1063" s="110"/>
      <c r="GA1063" s="110"/>
      <c r="GB1063" s="110"/>
      <c r="GC1063" s="110"/>
      <c r="GD1063" s="110"/>
      <c r="GE1063" s="110"/>
      <c r="GF1063" s="110"/>
      <c r="GG1063" s="110"/>
      <c r="GH1063" s="110"/>
      <c r="GI1063" s="110"/>
      <c r="GJ1063" s="110"/>
      <c r="GK1063" s="110"/>
      <c r="GL1063" s="110"/>
      <c r="GM1063" s="110"/>
      <c r="GN1063" s="110"/>
      <c r="GO1063" s="110"/>
      <c r="GP1063" s="110"/>
      <c r="GQ1063" s="110"/>
      <c r="GR1063" s="110"/>
      <c r="GS1063" s="110"/>
      <c r="GT1063" s="110"/>
      <c r="GU1063" s="110"/>
      <c r="GV1063" s="110"/>
      <c r="GW1063" s="110"/>
      <c r="GX1063" s="110"/>
      <c r="GY1063" s="110"/>
      <c r="GZ1063" s="110"/>
      <c r="HA1063" s="110"/>
      <c r="HB1063" s="110"/>
      <c r="HC1063" s="110"/>
      <c r="HD1063" s="110"/>
      <c r="HE1063" s="110"/>
      <c r="HF1063" s="110"/>
      <c r="HG1063" s="110"/>
      <c r="HH1063" s="110"/>
      <c r="HI1063" s="110"/>
      <c r="HJ1063" s="110"/>
      <c r="HK1063" s="110"/>
      <c r="HL1063" s="110"/>
      <c r="HM1063" s="110"/>
      <c r="HN1063" s="110"/>
      <c r="HO1063" s="110"/>
      <c r="HP1063" s="110"/>
      <c r="HQ1063" s="110"/>
      <c r="HR1063" s="110"/>
      <c r="HS1063" s="110"/>
      <c r="HT1063" s="110"/>
      <c r="HU1063" s="110"/>
      <c r="HV1063" s="110"/>
      <c r="HW1063" s="110"/>
      <c r="HX1063" s="110"/>
      <c r="HY1063" s="110"/>
      <c r="HZ1063" s="110"/>
      <c r="IA1063" s="110"/>
      <c r="IB1063" s="110"/>
      <c r="IC1063" s="110"/>
      <c r="ID1063" s="110"/>
      <c r="IE1063" s="110"/>
      <c r="IF1063" s="110"/>
      <c r="IG1063" s="110"/>
      <c r="IH1063" s="110"/>
      <c r="II1063" s="110"/>
      <c r="IJ1063" s="110"/>
      <c r="IK1063" s="110"/>
      <c r="IL1063" s="110"/>
      <c r="IM1063" s="110"/>
      <c r="IN1063" s="110"/>
      <c r="IO1063" s="110"/>
      <c r="IP1063" s="110"/>
    </row>
    <row r="1064" spans="18:250" ht="16.5" hidden="1" customHeight="1">
      <c r="R1064" s="95"/>
      <c r="S1064" s="95"/>
      <c r="T1064" s="95"/>
      <c r="U1064" s="70"/>
      <c r="V1064" s="214"/>
      <c r="W1064" s="70"/>
      <c r="X1064" s="70"/>
      <c r="Y1064" s="70"/>
      <c r="Z1064" s="70"/>
      <c r="AA1064" s="70"/>
      <c r="AB1064" s="70"/>
      <c r="AC1064" s="70"/>
      <c r="AD1064" s="70"/>
      <c r="AE1064" s="70"/>
      <c r="AF1064" s="70"/>
      <c r="AG1064" s="70"/>
      <c r="AH1064" s="70"/>
      <c r="AI1064" s="70"/>
      <c r="AJ1064" s="70"/>
      <c r="AK1064" s="70"/>
      <c r="AL1064" s="70"/>
      <c r="AM1064" s="70"/>
      <c r="AN1064" s="70"/>
      <c r="AO1064" s="70"/>
      <c r="AP1064" s="70"/>
      <c r="AQ1064" s="70"/>
      <c r="AR1064" s="70"/>
      <c r="AS1064" s="70"/>
      <c r="AT1064" s="70"/>
      <c r="AU1064" s="70"/>
      <c r="AV1064" s="70"/>
      <c r="AW1064" s="70"/>
      <c r="AX1064" s="70"/>
      <c r="AY1064" s="70"/>
      <c r="AZ1064" s="70"/>
      <c r="BA1064" s="70"/>
      <c r="BB1064" s="70"/>
      <c r="BC1064" s="70"/>
      <c r="BD1064" s="70"/>
      <c r="BE1064" s="70"/>
      <c r="BF1064" s="70"/>
      <c r="BG1064" s="70"/>
      <c r="BH1064" s="70"/>
      <c r="BI1064" s="70"/>
      <c r="BJ1064" s="70"/>
      <c r="BK1064" s="70"/>
      <c r="BL1064" s="70"/>
      <c r="BM1064" s="70"/>
      <c r="BN1064" s="70"/>
      <c r="BO1064" s="70"/>
      <c r="BP1064" s="70"/>
      <c r="BQ1064" s="70"/>
      <c r="BR1064" s="70"/>
      <c r="BS1064" s="70"/>
      <c r="BT1064" s="70"/>
      <c r="BU1064" s="70"/>
      <c r="BV1064" s="70"/>
      <c r="BW1064" s="70"/>
      <c r="BX1064" s="70"/>
      <c r="BY1064" s="70"/>
      <c r="BZ1064" s="70"/>
      <c r="CA1064" s="70"/>
      <c r="CB1064" s="70"/>
      <c r="CC1064" s="70"/>
      <c r="CD1064" s="70"/>
      <c r="CE1064" s="70"/>
      <c r="CF1064" s="70"/>
      <c r="CG1064" s="70"/>
      <c r="CH1064" s="70"/>
      <c r="CI1064" s="70"/>
      <c r="CJ1064" s="70"/>
      <c r="CK1064" s="70"/>
      <c r="CL1064" s="70"/>
      <c r="CM1064" s="70"/>
      <c r="CN1064" s="70"/>
      <c r="CO1064" s="70"/>
      <c r="CP1064" s="70"/>
      <c r="CQ1064" s="70"/>
      <c r="CR1064" s="70"/>
      <c r="CS1064" s="70"/>
      <c r="CT1064" s="70"/>
      <c r="CU1064" s="70"/>
      <c r="CV1064" s="70"/>
      <c r="CW1064" s="70"/>
      <c r="CX1064" s="70"/>
      <c r="CY1064" s="70"/>
      <c r="CZ1064" s="70"/>
      <c r="DA1064" s="70"/>
      <c r="DB1064" s="70"/>
      <c r="DC1064" s="70"/>
      <c r="DD1064" s="70"/>
      <c r="DE1064" s="70"/>
      <c r="DF1064" s="70"/>
      <c r="DG1064" s="70"/>
      <c r="DH1064" s="70"/>
      <c r="DI1064" s="70"/>
      <c r="DJ1064" s="70"/>
      <c r="DK1064" s="70"/>
      <c r="DL1064" s="70"/>
      <c r="DM1064" s="70"/>
      <c r="DN1064" s="70"/>
      <c r="DO1064" s="70"/>
      <c r="DP1064" s="70"/>
      <c r="DQ1064" s="70"/>
      <c r="DR1064" s="70"/>
      <c r="DS1064" s="70"/>
      <c r="DT1064" s="70"/>
      <c r="DU1064" s="70"/>
      <c r="DV1064" s="70"/>
      <c r="DW1064" s="70"/>
      <c r="DX1064" s="70"/>
      <c r="DY1064" s="70"/>
      <c r="DZ1064" s="70"/>
      <c r="EA1064" s="70"/>
      <c r="EB1064" s="70"/>
      <c r="EC1064" s="70"/>
      <c r="ED1064" s="70"/>
      <c r="EE1064" s="95" t="s">
        <v>450</v>
      </c>
      <c r="EF1064" s="110"/>
      <c r="EG1064" s="110"/>
      <c r="EH1064" s="110"/>
      <c r="EI1064" s="216"/>
      <c r="EJ1064" s="110"/>
      <c r="EK1064" s="110"/>
      <c r="EL1064" s="110"/>
      <c r="EM1064" s="110"/>
      <c r="EN1064" s="110"/>
      <c r="EO1064" s="110"/>
      <c r="EP1064" s="110"/>
      <c r="EQ1064" s="110"/>
      <c r="ER1064" s="110"/>
      <c r="ES1064" s="110"/>
      <c r="ET1064" s="110"/>
      <c r="EU1064" s="110"/>
      <c r="EV1064" s="110"/>
      <c r="EW1064" s="110"/>
      <c r="EX1064" s="110"/>
      <c r="EY1064" s="110"/>
      <c r="EZ1064" s="110"/>
      <c r="FA1064" s="110"/>
      <c r="FB1064" s="110"/>
      <c r="FC1064" s="110"/>
      <c r="FD1064" s="110"/>
      <c r="FE1064" s="110"/>
      <c r="FF1064" s="110"/>
      <c r="FG1064" s="110"/>
      <c r="FH1064" s="110"/>
      <c r="FI1064" s="110"/>
      <c r="FJ1064" s="110"/>
      <c r="FK1064" s="110"/>
      <c r="FL1064" s="110"/>
      <c r="FM1064" s="110"/>
      <c r="FN1064" s="110"/>
      <c r="FO1064" s="110"/>
      <c r="FP1064" s="110"/>
      <c r="FQ1064" s="110"/>
      <c r="FR1064" s="110"/>
      <c r="FS1064" s="110"/>
      <c r="FT1064" s="110"/>
      <c r="FU1064" s="110"/>
      <c r="FV1064" s="110"/>
      <c r="FW1064" s="110"/>
      <c r="FX1064" s="110"/>
      <c r="FY1064" s="110"/>
      <c r="FZ1064" s="110"/>
      <c r="GA1064" s="110"/>
      <c r="GB1064" s="110"/>
      <c r="GC1064" s="110"/>
      <c r="GD1064" s="110"/>
      <c r="GE1064" s="110"/>
      <c r="GF1064" s="110"/>
      <c r="GG1064" s="110"/>
      <c r="GH1064" s="110"/>
      <c r="GI1064" s="110"/>
      <c r="GJ1064" s="110"/>
      <c r="GK1064" s="110"/>
      <c r="GL1064" s="110"/>
      <c r="GM1064" s="110"/>
      <c r="GN1064" s="110"/>
      <c r="GO1064" s="110"/>
      <c r="GP1064" s="110"/>
      <c r="GQ1064" s="110"/>
      <c r="GR1064" s="110"/>
      <c r="GS1064" s="110"/>
      <c r="GT1064" s="110"/>
      <c r="GU1064" s="110"/>
      <c r="GV1064" s="110"/>
      <c r="GW1064" s="110"/>
      <c r="GX1064" s="110"/>
      <c r="GY1064" s="110"/>
      <c r="GZ1064" s="110"/>
      <c r="HA1064" s="110"/>
      <c r="HB1064" s="110"/>
      <c r="HC1064" s="110"/>
      <c r="HD1064" s="110"/>
      <c r="HE1064" s="110"/>
      <c r="HF1064" s="110"/>
      <c r="HG1064" s="110"/>
      <c r="HH1064" s="110"/>
      <c r="HI1064" s="110"/>
      <c r="HJ1064" s="110"/>
      <c r="HK1064" s="110"/>
      <c r="HL1064" s="110"/>
      <c r="HM1064" s="110"/>
      <c r="HN1064" s="110"/>
      <c r="HO1064" s="110"/>
      <c r="HP1064" s="110"/>
      <c r="HQ1064" s="110"/>
      <c r="HR1064" s="110"/>
      <c r="HS1064" s="110"/>
      <c r="HT1064" s="110"/>
      <c r="HU1064" s="110"/>
      <c r="HV1064" s="110"/>
      <c r="HW1064" s="110"/>
      <c r="HX1064" s="110"/>
      <c r="HY1064" s="110"/>
      <c r="HZ1064" s="110"/>
      <c r="IA1064" s="110"/>
      <c r="IB1064" s="110"/>
      <c r="IC1064" s="110"/>
      <c r="ID1064" s="110"/>
      <c r="IE1064" s="110"/>
      <c r="IF1064" s="110"/>
      <c r="IG1064" s="110"/>
      <c r="IH1064" s="110"/>
      <c r="II1064" s="110"/>
      <c r="IJ1064" s="110"/>
      <c r="IK1064" s="110"/>
      <c r="IL1064" s="110"/>
      <c r="IM1064" s="110"/>
      <c r="IN1064" s="110"/>
      <c r="IO1064" s="110"/>
      <c r="IP1064" s="110"/>
    </row>
    <row r="1065" spans="18:250" ht="16.5" hidden="1" customHeight="1">
      <c r="R1065" s="95"/>
      <c r="S1065" s="95"/>
      <c r="T1065" s="95"/>
      <c r="U1065" s="70"/>
      <c r="V1065" s="214"/>
      <c r="W1065" s="70"/>
      <c r="X1065" s="70"/>
      <c r="Y1065" s="70"/>
      <c r="Z1065" s="70"/>
      <c r="AA1065" s="70"/>
      <c r="AB1065" s="70"/>
      <c r="AC1065" s="70"/>
      <c r="AD1065" s="70"/>
      <c r="AE1065" s="70"/>
      <c r="AF1065" s="70"/>
      <c r="AG1065" s="70"/>
      <c r="AH1065" s="70"/>
      <c r="AI1065" s="70"/>
      <c r="AJ1065" s="70"/>
      <c r="AK1065" s="70"/>
      <c r="AL1065" s="70"/>
      <c r="AM1065" s="70"/>
      <c r="AN1065" s="70"/>
      <c r="AO1065" s="70"/>
      <c r="AP1065" s="70"/>
      <c r="AQ1065" s="70"/>
      <c r="AR1065" s="70"/>
      <c r="AS1065" s="70"/>
      <c r="AT1065" s="70"/>
      <c r="AU1065" s="70"/>
      <c r="AV1065" s="70"/>
      <c r="AW1065" s="70"/>
      <c r="AX1065" s="70"/>
      <c r="AY1065" s="70"/>
      <c r="AZ1065" s="70"/>
      <c r="BA1065" s="70"/>
      <c r="BB1065" s="70"/>
      <c r="BC1065" s="70"/>
      <c r="BD1065" s="70"/>
      <c r="BE1065" s="70"/>
      <c r="BF1065" s="70"/>
      <c r="BG1065" s="70"/>
      <c r="BH1065" s="70"/>
      <c r="BI1065" s="70"/>
      <c r="BJ1065" s="70"/>
      <c r="BK1065" s="70"/>
      <c r="BL1065" s="70"/>
      <c r="BM1065" s="70"/>
      <c r="BN1065" s="70"/>
      <c r="BO1065" s="70"/>
      <c r="BP1065" s="70"/>
      <c r="BQ1065" s="70"/>
      <c r="BR1065" s="70"/>
      <c r="BS1065" s="70"/>
      <c r="BT1065" s="70"/>
      <c r="BU1065" s="70"/>
      <c r="BV1065" s="70"/>
      <c r="BW1065" s="70"/>
      <c r="BX1065" s="70"/>
      <c r="BY1065" s="70"/>
      <c r="BZ1065" s="70"/>
      <c r="CA1065" s="70"/>
      <c r="CB1065" s="70"/>
      <c r="CC1065" s="70"/>
      <c r="CD1065" s="70"/>
      <c r="CE1065" s="70"/>
      <c r="CF1065" s="70"/>
      <c r="CG1065" s="70"/>
      <c r="CH1065" s="70"/>
      <c r="CI1065" s="70"/>
      <c r="CJ1065" s="70"/>
      <c r="CK1065" s="70"/>
      <c r="CL1065" s="70"/>
      <c r="CM1065" s="70"/>
      <c r="CN1065" s="70"/>
      <c r="CO1065" s="70"/>
      <c r="CP1065" s="70"/>
      <c r="CQ1065" s="70"/>
      <c r="CR1065" s="70"/>
      <c r="CS1065" s="70"/>
      <c r="CT1065" s="70"/>
      <c r="CU1065" s="70"/>
      <c r="CV1065" s="70"/>
      <c r="CW1065" s="70"/>
      <c r="CX1065" s="70"/>
      <c r="CY1065" s="70"/>
      <c r="CZ1065" s="70"/>
      <c r="DA1065" s="70"/>
      <c r="DB1065" s="70"/>
      <c r="DC1065" s="70"/>
      <c r="DD1065" s="70"/>
      <c r="DE1065" s="70"/>
      <c r="DF1065" s="70"/>
      <c r="DG1065" s="70"/>
      <c r="DH1065" s="70"/>
      <c r="DI1065" s="70"/>
      <c r="DJ1065" s="70"/>
      <c r="DK1065" s="70"/>
      <c r="DL1065" s="70"/>
      <c r="DM1065" s="70"/>
      <c r="DN1065" s="70"/>
      <c r="DO1065" s="70"/>
      <c r="DP1065" s="70"/>
      <c r="DQ1065" s="70"/>
      <c r="DR1065" s="70"/>
      <c r="DS1065" s="70"/>
      <c r="DT1065" s="70"/>
      <c r="DU1065" s="70"/>
      <c r="DV1065" s="70"/>
      <c r="DW1065" s="70"/>
      <c r="DX1065" s="70"/>
      <c r="DY1065" s="70"/>
      <c r="DZ1065" s="70"/>
      <c r="EA1065" s="70"/>
      <c r="EB1065" s="70"/>
      <c r="EC1065" s="70"/>
      <c r="ED1065" s="70"/>
      <c r="EE1065" s="95" t="s">
        <v>450</v>
      </c>
      <c r="EF1065" s="110"/>
      <c r="EG1065" s="110"/>
      <c r="EH1065" s="110"/>
      <c r="EI1065" s="216"/>
      <c r="EJ1065" s="110"/>
      <c r="EK1065" s="110"/>
      <c r="EL1065" s="110"/>
      <c r="EM1065" s="110"/>
      <c r="EN1065" s="110"/>
      <c r="EO1065" s="110"/>
      <c r="EP1065" s="110"/>
      <c r="EQ1065" s="110"/>
      <c r="ER1065" s="110"/>
      <c r="ES1065" s="110"/>
      <c r="ET1065" s="110"/>
      <c r="EU1065" s="110"/>
      <c r="EV1065" s="110"/>
      <c r="EW1065" s="110"/>
      <c r="EX1065" s="110"/>
      <c r="EY1065" s="110"/>
      <c r="EZ1065" s="110"/>
      <c r="FA1065" s="110"/>
      <c r="FB1065" s="110"/>
      <c r="FC1065" s="110"/>
      <c r="FD1065" s="110"/>
      <c r="FE1065" s="110"/>
      <c r="FF1065" s="110"/>
      <c r="FG1065" s="110"/>
      <c r="FH1065" s="110"/>
      <c r="FI1065" s="110"/>
      <c r="FJ1065" s="110"/>
      <c r="FK1065" s="110"/>
      <c r="FL1065" s="110"/>
      <c r="FM1065" s="110"/>
      <c r="FN1065" s="110"/>
      <c r="FO1065" s="110"/>
      <c r="FP1065" s="110"/>
      <c r="FQ1065" s="110"/>
      <c r="FR1065" s="110"/>
      <c r="FS1065" s="110"/>
      <c r="FT1065" s="110"/>
      <c r="FU1065" s="110"/>
      <c r="FV1065" s="110"/>
      <c r="FW1065" s="110"/>
      <c r="FX1065" s="110"/>
      <c r="FY1065" s="110"/>
      <c r="FZ1065" s="110"/>
      <c r="GA1065" s="110"/>
      <c r="GB1065" s="110"/>
      <c r="GC1065" s="110"/>
      <c r="GD1065" s="110"/>
      <c r="GE1065" s="110"/>
      <c r="GF1065" s="110"/>
      <c r="GG1065" s="110"/>
      <c r="GH1065" s="110"/>
      <c r="GI1065" s="110"/>
      <c r="GJ1065" s="110"/>
      <c r="GK1065" s="110"/>
      <c r="GL1065" s="110"/>
      <c r="GM1065" s="110"/>
      <c r="GN1065" s="110"/>
      <c r="GO1065" s="110"/>
      <c r="GP1065" s="110"/>
      <c r="GQ1065" s="110"/>
      <c r="GR1065" s="110"/>
      <c r="GS1065" s="110"/>
      <c r="GT1065" s="110"/>
      <c r="GU1065" s="110"/>
      <c r="GV1065" s="110"/>
      <c r="GW1065" s="110"/>
      <c r="GX1065" s="110"/>
      <c r="GY1065" s="110"/>
      <c r="GZ1065" s="110"/>
      <c r="HA1065" s="110"/>
      <c r="HB1065" s="110"/>
      <c r="HC1065" s="110"/>
      <c r="HD1065" s="110"/>
      <c r="HE1065" s="110"/>
      <c r="HF1065" s="110"/>
      <c r="HG1065" s="110"/>
      <c r="HH1065" s="110"/>
      <c r="HI1065" s="110"/>
      <c r="HJ1065" s="110"/>
      <c r="HK1065" s="110"/>
      <c r="HL1065" s="110"/>
      <c r="HM1065" s="110"/>
      <c r="HN1065" s="110"/>
      <c r="HO1065" s="110"/>
      <c r="HP1065" s="110"/>
      <c r="HQ1065" s="110"/>
      <c r="HR1065" s="110"/>
      <c r="HS1065" s="110"/>
      <c r="HT1065" s="110"/>
      <c r="HU1065" s="110"/>
      <c r="HV1065" s="110"/>
      <c r="HW1065" s="110"/>
      <c r="HX1065" s="110"/>
      <c r="HY1065" s="110"/>
      <c r="HZ1065" s="110"/>
      <c r="IA1065" s="110"/>
      <c r="IB1065" s="110"/>
      <c r="IC1065" s="110"/>
      <c r="ID1065" s="110"/>
      <c r="IE1065" s="110"/>
      <c r="IF1065" s="110"/>
      <c r="IG1065" s="110"/>
      <c r="IH1065" s="110"/>
      <c r="II1065" s="110"/>
      <c r="IJ1065" s="110"/>
      <c r="IK1065" s="110"/>
      <c r="IL1065" s="110"/>
      <c r="IM1065" s="110"/>
      <c r="IN1065" s="110"/>
      <c r="IO1065" s="110"/>
      <c r="IP1065" s="110"/>
    </row>
    <row r="1066" spans="18:250" ht="16.5" hidden="1" customHeight="1">
      <c r="R1066" s="95"/>
      <c r="S1066" s="95"/>
      <c r="T1066" s="95"/>
      <c r="U1066" s="70"/>
      <c r="V1066" s="214"/>
      <c r="W1066" s="70"/>
      <c r="X1066" s="70"/>
      <c r="Y1066" s="70"/>
      <c r="Z1066" s="70"/>
      <c r="AA1066" s="70"/>
      <c r="AB1066" s="70"/>
      <c r="AC1066" s="70"/>
      <c r="AD1066" s="70"/>
      <c r="AE1066" s="70"/>
      <c r="AF1066" s="70"/>
      <c r="AG1066" s="70"/>
      <c r="AH1066" s="70"/>
      <c r="AI1066" s="70"/>
      <c r="AJ1066" s="70"/>
      <c r="AK1066" s="70"/>
      <c r="AL1066" s="70"/>
      <c r="AM1066" s="70"/>
      <c r="AN1066" s="70"/>
      <c r="AO1066" s="70"/>
      <c r="AP1066" s="70"/>
      <c r="AQ1066" s="70"/>
      <c r="AR1066" s="70"/>
      <c r="AS1066" s="70"/>
      <c r="AT1066" s="70"/>
      <c r="AU1066" s="70"/>
      <c r="AV1066" s="70"/>
      <c r="AW1066" s="70"/>
      <c r="AX1066" s="70"/>
      <c r="AY1066" s="70"/>
      <c r="AZ1066" s="70"/>
      <c r="BA1066" s="70"/>
      <c r="BB1066" s="70"/>
      <c r="BC1066" s="70"/>
      <c r="BD1066" s="70"/>
      <c r="BE1066" s="70"/>
      <c r="BF1066" s="70"/>
      <c r="BG1066" s="70"/>
      <c r="BH1066" s="70"/>
      <c r="BI1066" s="70"/>
      <c r="BJ1066" s="70"/>
      <c r="BK1066" s="70"/>
      <c r="BL1066" s="70"/>
      <c r="BM1066" s="70"/>
      <c r="BN1066" s="70"/>
      <c r="BO1066" s="70"/>
      <c r="BP1066" s="70"/>
      <c r="BQ1066" s="70"/>
      <c r="BR1066" s="70"/>
      <c r="BS1066" s="70"/>
      <c r="BT1066" s="70"/>
      <c r="BU1066" s="70"/>
      <c r="BV1066" s="70"/>
      <c r="BW1066" s="70"/>
      <c r="BX1066" s="70"/>
      <c r="BY1066" s="70"/>
      <c r="BZ1066" s="70"/>
      <c r="CA1066" s="70"/>
      <c r="CB1066" s="70"/>
      <c r="CC1066" s="70"/>
      <c r="CD1066" s="70"/>
      <c r="CE1066" s="70"/>
      <c r="CF1066" s="70"/>
      <c r="CG1066" s="70"/>
      <c r="CH1066" s="70"/>
      <c r="CI1066" s="70"/>
      <c r="CJ1066" s="70"/>
      <c r="CK1066" s="70"/>
      <c r="CL1066" s="70"/>
      <c r="CM1066" s="70"/>
      <c r="CN1066" s="70"/>
      <c r="CO1066" s="70"/>
      <c r="CP1066" s="70"/>
      <c r="CQ1066" s="70"/>
      <c r="CR1066" s="70"/>
      <c r="CS1066" s="70"/>
      <c r="CT1066" s="70"/>
      <c r="CU1066" s="70"/>
      <c r="CV1066" s="70"/>
      <c r="CW1066" s="70"/>
      <c r="CX1066" s="70"/>
      <c r="CY1066" s="70"/>
      <c r="CZ1066" s="70"/>
      <c r="DA1066" s="70"/>
      <c r="DB1066" s="70"/>
      <c r="DC1066" s="70"/>
      <c r="DD1066" s="70"/>
      <c r="DE1066" s="70"/>
      <c r="DF1066" s="70"/>
      <c r="DG1066" s="70"/>
      <c r="DH1066" s="70"/>
      <c r="DI1066" s="70"/>
      <c r="DJ1066" s="70"/>
      <c r="DK1066" s="70"/>
      <c r="DL1066" s="70"/>
      <c r="DM1066" s="70"/>
      <c r="DN1066" s="70"/>
      <c r="DO1066" s="70"/>
      <c r="DP1066" s="70"/>
      <c r="DQ1066" s="70"/>
      <c r="DR1066" s="70"/>
      <c r="DS1066" s="70"/>
      <c r="DT1066" s="70"/>
      <c r="DU1066" s="70"/>
      <c r="DV1066" s="70"/>
      <c r="DW1066" s="70"/>
      <c r="DX1066" s="70"/>
      <c r="DY1066" s="70"/>
      <c r="DZ1066" s="70"/>
      <c r="EA1066" s="70"/>
      <c r="EB1066" s="70"/>
      <c r="EC1066" s="70"/>
      <c r="ED1066" s="70"/>
      <c r="EE1066" s="95" t="s">
        <v>450</v>
      </c>
      <c r="EF1066" s="110"/>
      <c r="EG1066" s="110"/>
      <c r="EH1066" s="110"/>
      <c r="EI1066" s="216"/>
      <c r="EJ1066" s="110"/>
      <c r="EK1066" s="110"/>
      <c r="EL1066" s="110"/>
      <c r="EM1066" s="110"/>
      <c r="EN1066" s="110"/>
      <c r="EO1066" s="110"/>
      <c r="EP1066" s="110"/>
      <c r="EQ1066" s="110"/>
      <c r="ER1066" s="110"/>
      <c r="ES1066" s="110"/>
      <c r="ET1066" s="110"/>
      <c r="EU1066" s="110"/>
      <c r="EV1066" s="110"/>
      <c r="EW1066" s="110"/>
      <c r="EX1066" s="110"/>
      <c r="EY1066" s="110"/>
      <c r="EZ1066" s="110"/>
      <c r="FA1066" s="110"/>
      <c r="FB1066" s="110"/>
      <c r="FC1066" s="110"/>
      <c r="FD1066" s="110"/>
      <c r="FE1066" s="110"/>
      <c r="FF1066" s="110"/>
      <c r="FG1066" s="110"/>
      <c r="FH1066" s="110"/>
      <c r="FI1066" s="110"/>
      <c r="FJ1066" s="110"/>
      <c r="FK1066" s="110"/>
      <c r="FL1066" s="110"/>
      <c r="FM1066" s="110"/>
      <c r="FN1066" s="110"/>
      <c r="FO1066" s="110"/>
      <c r="FP1066" s="110"/>
      <c r="FQ1066" s="110"/>
      <c r="FR1066" s="110"/>
      <c r="FS1066" s="110"/>
      <c r="FT1066" s="110"/>
      <c r="FU1066" s="110"/>
      <c r="FV1066" s="110"/>
      <c r="FW1066" s="110"/>
      <c r="FX1066" s="110"/>
      <c r="FY1066" s="110"/>
      <c r="FZ1066" s="110"/>
      <c r="GA1066" s="110"/>
      <c r="GB1066" s="110"/>
      <c r="GC1066" s="110"/>
      <c r="GD1066" s="110"/>
      <c r="GE1066" s="110"/>
      <c r="GF1066" s="110"/>
      <c r="GG1066" s="110"/>
      <c r="GH1066" s="110"/>
      <c r="GI1066" s="110"/>
      <c r="GJ1066" s="110"/>
      <c r="GK1066" s="110"/>
      <c r="GL1066" s="110"/>
      <c r="GM1066" s="110"/>
      <c r="GN1066" s="110"/>
      <c r="GO1066" s="110"/>
      <c r="GP1066" s="110"/>
      <c r="GQ1066" s="110"/>
      <c r="GR1066" s="110"/>
      <c r="GS1066" s="110"/>
      <c r="GT1066" s="110"/>
      <c r="GU1066" s="110"/>
      <c r="GV1066" s="110"/>
      <c r="GW1066" s="110"/>
      <c r="GX1066" s="110"/>
      <c r="GY1066" s="110"/>
      <c r="GZ1066" s="110"/>
      <c r="HA1066" s="110"/>
      <c r="HB1066" s="110"/>
      <c r="HC1066" s="110"/>
      <c r="HD1066" s="110"/>
      <c r="HE1066" s="110"/>
      <c r="HF1066" s="110"/>
      <c r="HG1066" s="110"/>
      <c r="HH1066" s="110"/>
      <c r="HI1066" s="110"/>
      <c r="HJ1066" s="110"/>
      <c r="HK1066" s="110"/>
      <c r="HL1066" s="110"/>
      <c r="HM1066" s="110"/>
      <c r="HN1066" s="110"/>
      <c r="HO1066" s="110"/>
      <c r="HP1066" s="110"/>
      <c r="HQ1066" s="110"/>
      <c r="HR1066" s="110"/>
      <c r="HS1066" s="110"/>
      <c r="HT1066" s="110"/>
      <c r="HU1066" s="110"/>
      <c r="HV1066" s="110"/>
      <c r="HW1066" s="110"/>
      <c r="HX1066" s="110"/>
      <c r="HY1066" s="110"/>
      <c r="HZ1066" s="110"/>
      <c r="IA1066" s="110"/>
      <c r="IB1066" s="110"/>
      <c r="IC1066" s="110"/>
      <c r="ID1066" s="110"/>
      <c r="IE1066" s="110"/>
      <c r="IF1066" s="110"/>
      <c r="IG1066" s="110"/>
      <c r="IH1066" s="110"/>
      <c r="II1066" s="110"/>
      <c r="IJ1066" s="110"/>
      <c r="IK1066" s="110"/>
      <c r="IL1066" s="110"/>
      <c r="IM1066" s="110"/>
      <c r="IN1066" s="110"/>
      <c r="IO1066" s="110"/>
      <c r="IP1066" s="110"/>
    </row>
    <row r="1067" spans="18:250" ht="16.5" hidden="1" customHeight="1">
      <c r="R1067" s="95"/>
      <c r="S1067" s="95"/>
      <c r="T1067" s="95"/>
      <c r="U1067" s="70"/>
      <c r="V1067" s="214"/>
      <c r="W1067" s="70"/>
      <c r="X1067" s="70"/>
      <c r="Y1067" s="70"/>
      <c r="Z1067" s="70"/>
      <c r="AA1067" s="70"/>
      <c r="AB1067" s="70"/>
      <c r="AC1067" s="70"/>
      <c r="AD1067" s="70"/>
      <c r="AE1067" s="70"/>
      <c r="AF1067" s="70"/>
      <c r="AG1067" s="70"/>
      <c r="AH1067" s="70"/>
      <c r="AI1067" s="70"/>
      <c r="AJ1067" s="70"/>
      <c r="AK1067" s="70"/>
      <c r="AL1067" s="70"/>
      <c r="AM1067" s="70"/>
      <c r="AN1067" s="70"/>
      <c r="AO1067" s="70"/>
      <c r="AP1067" s="70"/>
      <c r="AQ1067" s="70"/>
      <c r="AR1067" s="70"/>
      <c r="AS1067" s="70"/>
      <c r="AT1067" s="70"/>
      <c r="AU1067" s="70"/>
      <c r="AV1067" s="70"/>
      <c r="AW1067" s="70"/>
      <c r="AX1067" s="70"/>
      <c r="AY1067" s="70"/>
      <c r="AZ1067" s="70"/>
      <c r="BA1067" s="70"/>
      <c r="BB1067" s="70"/>
      <c r="BC1067" s="70"/>
      <c r="BD1067" s="70"/>
      <c r="BE1067" s="70"/>
      <c r="BF1067" s="70"/>
      <c r="BG1067" s="70"/>
      <c r="BH1067" s="70"/>
      <c r="BI1067" s="70"/>
      <c r="BJ1067" s="70"/>
      <c r="BK1067" s="70"/>
      <c r="BL1067" s="70"/>
      <c r="BM1067" s="70"/>
      <c r="BN1067" s="70"/>
      <c r="BO1067" s="70"/>
      <c r="BP1067" s="70"/>
      <c r="BQ1067" s="70"/>
      <c r="BR1067" s="70"/>
      <c r="BS1067" s="70"/>
      <c r="BT1067" s="70"/>
      <c r="BU1067" s="70"/>
      <c r="BV1067" s="70"/>
      <c r="BW1067" s="70"/>
      <c r="BX1067" s="70"/>
      <c r="BY1067" s="70"/>
      <c r="BZ1067" s="70"/>
      <c r="CA1067" s="70"/>
      <c r="CB1067" s="70"/>
      <c r="CC1067" s="70"/>
      <c r="CD1067" s="70"/>
      <c r="CE1067" s="70"/>
      <c r="CF1067" s="70"/>
      <c r="CG1067" s="70"/>
      <c r="CH1067" s="70"/>
      <c r="CI1067" s="70"/>
      <c r="CJ1067" s="70"/>
      <c r="CK1067" s="70"/>
      <c r="CL1067" s="70"/>
      <c r="CM1067" s="70"/>
      <c r="CN1067" s="70"/>
      <c r="CO1067" s="70"/>
      <c r="CP1067" s="70"/>
      <c r="CQ1067" s="70"/>
      <c r="CR1067" s="70"/>
      <c r="CS1067" s="70"/>
      <c r="CT1067" s="70"/>
      <c r="CU1067" s="70"/>
      <c r="CV1067" s="70"/>
      <c r="CW1067" s="70"/>
      <c r="CX1067" s="70"/>
      <c r="CY1067" s="70"/>
      <c r="CZ1067" s="70"/>
      <c r="DA1067" s="70"/>
      <c r="DB1067" s="70"/>
      <c r="DC1067" s="70"/>
      <c r="DD1067" s="70"/>
      <c r="DE1067" s="70"/>
      <c r="DF1067" s="70"/>
      <c r="DG1067" s="70"/>
      <c r="DH1067" s="70"/>
      <c r="DI1067" s="70"/>
      <c r="DJ1067" s="70"/>
      <c r="DK1067" s="70"/>
      <c r="DL1067" s="70"/>
      <c r="DM1067" s="70"/>
      <c r="DN1067" s="70"/>
      <c r="DO1067" s="70"/>
      <c r="DP1067" s="70"/>
      <c r="DQ1067" s="70"/>
      <c r="DR1067" s="70"/>
      <c r="DS1067" s="70"/>
      <c r="DT1067" s="70"/>
      <c r="DU1067" s="70"/>
      <c r="DV1067" s="70"/>
      <c r="DW1067" s="70"/>
      <c r="DX1067" s="70"/>
      <c r="DY1067" s="70"/>
      <c r="DZ1067" s="70"/>
      <c r="EA1067" s="70"/>
      <c r="EB1067" s="70"/>
      <c r="EC1067" s="70"/>
      <c r="ED1067" s="70"/>
      <c r="EE1067" s="95" t="s">
        <v>450</v>
      </c>
      <c r="EF1067" s="110"/>
      <c r="EG1067" s="110"/>
      <c r="EH1067" s="110"/>
      <c r="EI1067" s="216"/>
      <c r="EJ1067" s="110"/>
      <c r="EK1067" s="110"/>
      <c r="EL1067" s="110"/>
      <c r="EM1067" s="110"/>
      <c r="EN1067" s="110"/>
      <c r="EO1067" s="110"/>
      <c r="EP1067" s="110"/>
      <c r="EQ1067" s="110"/>
      <c r="ER1067" s="110"/>
      <c r="ES1067" s="110"/>
      <c r="ET1067" s="110"/>
      <c r="EU1067" s="110"/>
      <c r="EV1067" s="110"/>
      <c r="EW1067" s="110"/>
      <c r="EX1067" s="110"/>
      <c r="EY1067" s="110"/>
      <c r="EZ1067" s="110"/>
      <c r="FA1067" s="110"/>
      <c r="FB1067" s="110"/>
      <c r="FC1067" s="110"/>
      <c r="FD1067" s="110"/>
      <c r="FE1067" s="110"/>
      <c r="FF1067" s="110"/>
      <c r="FG1067" s="110"/>
      <c r="FH1067" s="110"/>
      <c r="FI1067" s="110"/>
      <c r="FJ1067" s="110"/>
      <c r="FK1067" s="110"/>
      <c r="FL1067" s="110"/>
      <c r="FM1067" s="110"/>
      <c r="FN1067" s="110"/>
      <c r="FO1067" s="110"/>
      <c r="FP1067" s="110"/>
      <c r="FQ1067" s="110"/>
      <c r="FR1067" s="110"/>
      <c r="FS1067" s="110"/>
      <c r="FT1067" s="110"/>
      <c r="FU1067" s="110"/>
      <c r="FV1067" s="110"/>
      <c r="FW1067" s="110"/>
      <c r="FX1067" s="110"/>
      <c r="FY1067" s="110"/>
      <c r="FZ1067" s="110"/>
      <c r="GA1067" s="110"/>
      <c r="GB1067" s="110"/>
      <c r="GC1067" s="110"/>
      <c r="GD1067" s="110"/>
      <c r="GE1067" s="110"/>
      <c r="GF1067" s="110"/>
      <c r="GG1067" s="110"/>
      <c r="GH1067" s="110"/>
      <c r="GI1067" s="110"/>
      <c r="GJ1067" s="110"/>
      <c r="GK1067" s="110"/>
      <c r="GL1067" s="110"/>
      <c r="GM1067" s="110"/>
      <c r="GN1067" s="110"/>
      <c r="GO1067" s="110"/>
      <c r="GP1067" s="110"/>
      <c r="GQ1067" s="110"/>
      <c r="GR1067" s="110"/>
      <c r="GS1067" s="110"/>
      <c r="GT1067" s="110"/>
      <c r="GU1067" s="110"/>
      <c r="GV1067" s="110"/>
      <c r="GW1067" s="110"/>
      <c r="GX1067" s="110"/>
      <c r="GY1067" s="110"/>
      <c r="GZ1067" s="110"/>
      <c r="HA1067" s="110"/>
      <c r="HB1067" s="110"/>
      <c r="HC1067" s="110"/>
      <c r="HD1067" s="110"/>
      <c r="HE1067" s="110"/>
      <c r="HF1067" s="110"/>
      <c r="HG1067" s="110"/>
      <c r="HH1067" s="110"/>
      <c r="HI1067" s="110"/>
      <c r="HJ1067" s="110"/>
      <c r="HK1067" s="110"/>
      <c r="HL1067" s="110"/>
      <c r="HM1067" s="110"/>
      <c r="HN1067" s="110"/>
      <c r="HO1067" s="110"/>
      <c r="HP1067" s="110"/>
      <c r="HQ1067" s="110"/>
      <c r="HR1067" s="110"/>
      <c r="HS1067" s="110"/>
      <c r="HT1067" s="110"/>
      <c r="HU1067" s="110"/>
      <c r="HV1067" s="110"/>
      <c r="HW1067" s="110"/>
      <c r="HX1067" s="110"/>
      <c r="HY1067" s="110"/>
      <c r="HZ1067" s="110"/>
      <c r="IA1067" s="110"/>
      <c r="IB1067" s="110"/>
      <c r="IC1067" s="110"/>
      <c r="ID1067" s="110"/>
      <c r="IE1067" s="110"/>
      <c r="IF1067" s="110"/>
      <c r="IG1067" s="110"/>
      <c r="IH1067" s="110"/>
      <c r="II1067" s="110"/>
      <c r="IJ1067" s="110"/>
      <c r="IK1067" s="110"/>
      <c r="IL1067" s="110"/>
      <c r="IM1067" s="110"/>
      <c r="IN1067" s="110"/>
      <c r="IO1067" s="110"/>
      <c r="IP1067" s="110"/>
    </row>
    <row r="1068" spans="18:250" ht="16.5" hidden="1" customHeight="1">
      <c r="R1068" s="95"/>
      <c r="S1068" s="95"/>
      <c r="T1068" s="95"/>
      <c r="U1068" s="70"/>
      <c r="V1068" s="214"/>
      <c r="W1068" s="70"/>
      <c r="X1068" s="70"/>
      <c r="Y1068" s="70"/>
      <c r="Z1068" s="70"/>
      <c r="AA1068" s="70"/>
      <c r="AB1068" s="70"/>
      <c r="AC1068" s="70"/>
      <c r="AD1068" s="70"/>
      <c r="AE1068" s="70"/>
      <c r="AF1068" s="70"/>
      <c r="AG1068" s="70"/>
      <c r="AH1068" s="70"/>
      <c r="AI1068" s="70"/>
      <c r="AJ1068" s="70"/>
      <c r="AK1068" s="70"/>
      <c r="AL1068" s="70"/>
      <c r="AM1068" s="70"/>
      <c r="AN1068" s="70"/>
      <c r="AO1068" s="70"/>
      <c r="AP1068" s="70"/>
      <c r="AQ1068" s="70"/>
      <c r="AR1068" s="70"/>
      <c r="AS1068" s="70"/>
      <c r="AT1068" s="70"/>
      <c r="AU1068" s="70"/>
      <c r="AV1068" s="70"/>
      <c r="AW1068" s="70"/>
      <c r="AX1068" s="70"/>
      <c r="AY1068" s="70"/>
      <c r="AZ1068" s="70"/>
      <c r="BA1068" s="70"/>
      <c r="BB1068" s="70"/>
      <c r="BC1068" s="70"/>
      <c r="BD1068" s="70"/>
      <c r="BE1068" s="70"/>
      <c r="BF1068" s="70"/>
      <c r="BG1068" s="70"/>
      <c r="BH1068" s="70"/>
      <c r="BI1068" s="70"/>
      <c r="BJ1068" s="70"/>
      <c r="BK1068" s="70"/>
      <c r="BL1068" s="70"/>
      <c r="BM1068" s="70"/>
      <c r="BN1068" s="70"/>
      <c r="BO1068" s="70"/>
      <c r="BP1068" s="70"/>
      <c r="BQ1068" s="70"/>
      <c r="BR1068" s="70"/>
      <c r="BS1068" s="70"/>
      <c r="BT1068" s="70"/>
      <c r="BU1068" s="70"/>
      <c r="BV1068" s="70"/>
      <c r="BW1068" s="70"/>
      <c r="BX1068" s="70"/>
      <c r="BY1068" s="70"/>
      <c r="BZ1068" s="70"/>
      <c r="CA1068" s="70"/>
      <c r="CB1068" s="70"/>
      <c r="CC1068" s="70"/>
      <c r="CD1068" s="70"/>
      <c r="CE1068" s="70"/>
      <c r="CF1068" s="70"/>
      <c r="CG1068" s="70"/>
      <c r="CH1068" s="70"/>
      <c r="CI1068" s="70"/>
      <c r="CJ1068" s="70"/>
      <c r="CK1068" s="70"/>
      <c r="CL1068" s="70"/>
      <c r="CM1068" s="70"/>
      <c r="CN1068" s="70"/>
      <c r="CO1068" s="70"/>
      <c r="CP1068" s="70"/>
      <c r="CQ1068" s="70"/>
      <c r="CR1068" s="70"/>
      <c r="CS1068" s="70"/>
      <c r="CT1068" s="70"/>
      <c r="CU1068" s="70"/>
      <c r="CV1068" s="70"/>
      <c r="CW1068" s="70"/>
      <c r="CX1068" s="70"/>
      <c r="CY1068" s="70"/>
      <c r="CZ1068" s="70"/>
      <c r="DA1068" s="70"/>
      <c r="DB1068" s="70"/>
      <c r="DC1068" s="70"/>
      <c r="DD1068" s="70"/>
      <c r="DE1068" s="70"/>
      <c r="DF1068" s="70"/>
      <c r="DG1068" s="70"/>
      <c r="DH1068" s="70"/>
      <c r="DI1068" s="70"/>
      <c r="DJ1068" s="70"/>
      <c r="DK1068" s="70"/>
      <c r="DL1068" s="70"/>
      <c r="DM1068" s="70"/>
      <c r="DN1068" s="70"/>
      <c r="DO1068" s="70"/>
      <c r="DP1068" s="70"/>
      <c r="DQ1068" s="70"/>
      <c r="DR1068" s="70"/>
      <c r="DS1068" s="70"/>
      <c r="DT1068" s="70"/>
      <c r="DU1068" s="70"/>
      <c r="DV1068" s="70"/>
      <c r="DW1068" s="70"/>
      <c r="DX1068" s="70"/>
      <c r="DY1068" s="70"/>
      <c r="DZ1068" s="70"/>
      <c r="EA1068" s="70"/>
      <c r="EB1068" s="70"/>
      <c r="EC1068" s="70"/>
      <c r="ED1068" s="70"/>
      <c r="EE1068" s="95" t="s">
        <v>450</v>
      </c>
      <c r="EF1068" s="110"/>
      <c r="EG1068" s="110"/>
      <c r="EH1068" s="110"/>
      <c r="EI1068" s="216"/>
      <c r="EJ1068" s="110"/>
      <c r="EK1068" s="110"/>
      <c r="EL1068" s="110"/>
      <c r="EM1068" s="110"/>
      <c r="EN1068" s="110"/>
      <c r="EO1068" s="110"/>
      <c r="EP1068" s="110"/>
      <c r="EQ1068" s="110"/>
      <c r="ER1068" s="110"/>
      <c r="ES1068" s="110"/>
      <c r="ET1068" s="110"/>
      <c r="EU1068" s="110"/>
      <c r="EV1068" s="110"/>
      <c r="EW1068" s="110"/>
      <c r="EX1068" s="110"/>
      <c r="EY1068" s="110"/>
      <c r="EZ1068" s="110"/>
      <c r="FA1068" s="110"/>
      <c r="FB1068" s="110"/>
      <c r="FC1068" s="110"/>
      <c r="FD1068" s="110"/>
      <c r="FE1068" s="110"/>
      <c r="FF1068" s="110"/>
      <c r="FG1068" s="110"/>
      <c r="FH1068" s="110"/>
      <c r="FI1068" s="110"/>
      <c r="FJ1068" s="110"/>
      <c r="FK1068" s="110"/>
      <c r="FL1068" s="110"/>
      <c r="FM1068" s="110"/>
      <c r="FN1068" s="110"/>
      <c r="FO1068" s="110"/>
      <c r="FP1068" s="110"/>
      <c r="FQ1068" s="110"/>
      <c r="FR1068" s="110"/>
      <c r="FS1068" s="110"/>
      <c r="FT1068" s="110"/>
      <c r="FU1068" s="110"/>
      <c r="FV1068" s="110"/>
      <c r="FW1068" s="110"/>
      <c r="FX1068" s="110"/>
      <c r="FY1068" s="110"/>
      <c r="FZ1068" s="110"/>
      <c r="GA1068" s="110"/>
      <c r="GB1068" s="110"/>
      <c r="GC1068" s="110"/>
      <c r="GD1068" s="110"/>
      <c r="GE1068" s="110"/>
      <c r="GF1068" s="110"/>
      <c r="GG1068" s="110"/>
      <c r="GH1068" s="110"/>
      <c r="GI1068" s="110"/>
      <c r="GJ1068" s="110"/>
      <c r="GK1068" s="110"/>
      <c r="GL1068" s="110"/>
      <c r="GM1068" s="110"/>
      <c r="GN1068" s="110"/>
      <c r="GO1068" s="110"/>
      <c r="GP1068" s="110"/>
      <c r="GQ1068" s="110"/>
      <c r="GR1068" s="110"/>
      <c r="GS1068" s="110"/>
      <c r="GT1068" s="110"/>
      <c r="GU1068" s="110"/>
      <c r="GV1068" s="110"/>
      <c r="GW1068" s="110"/>
      <c r="GX1068" s="110"/>
      <c r="GY1068" s="110"/>
      <c r="GZ1068" s="110"/>
      <c r="HA1068" s="110"/>
      <c r="HB1068" s="110"/>
      <c r="HC1068" s="110"/>
      <c r="HD1068" s="110"/>
      <c r="HE1068" s="110"/>
      <c r="HF1068" s="110"/>
      <c r="HG1068" s="110"/>
      <c r="HH1068" s="110"/>
      <c r="HI1068" s="110"/>
      <c r="HJ1068" s="110"/>
      <c r="HK1068" s="110"/>
      <c r="HL1068" s="110"/>
      <c r="HM1068" s="110"/>
      <c r="HN1068" s="110"/>
      <c r="HO1068" s="110"/>
      <c r="HP1068" s="110"/>
      <c r="HQ1068" s="110"/>
      <c r="HR1068" s="110"/>
      <c r="HS1068" s="110"/>
      <c r="HT1068" s="110"/>
      <c r="HU1068" s="110"/>
      <c r="HV1068" s="110"/>
      <c r="HW1068" s="110"/>
      <c r="HX1068" s="110"/>
      <c r="HY1068" s="110"/>
      <c r="HZ1068" s="110"/>
      <c r="IA1068" s="110"/>
      <c r="IB1068" s="110"/>
      <c r="IC1068" s="110"/>
      <c r="ID1068" s="110"/>
      <c r="IE1068" s="110"/>
      <c r="IF1068" s="110"/>
      <c r="IG1068" s="110"/>
      <c r="IH1068" s="110"/>
      <c r="II1068" s="110"/>
      <c r="IJ1068" s="110"/>
      <c r="IK1068" s="110"/>
      <c r="IL1068" s="110"/>
      <c r="IM1068" s="110"/>
      <c r="IN1068" s="110"/>
      <c r="IO1068" s="110"/>
      <c r="IP1068" s="110"/>
    </row>
    <row r="1069" spans="18:250" ht="16.5" hidden="1" customHeight="1">
      <c r="R1069" s="95"/>
      <c r="S1069" s="95"/>
      <c r="T1069" s="95"/>
      <c r="U1069" s="70"/>
      <c r="V1069" s="214"/>
      <c r="W1069" s="70"/>
      <c r="X1069" s="70"/>
      <c r="Y1069" s="70"/>
      <c r="Z1069" s="70"/>
      <c r="AA1069" s="70"/>
      <c r="AB1069" s="70"/>
      <c r="AC1069" s="70"/>
      <c r="AD1069" s="70"/>
      <c r="AE1069" s="70"/>
      <c r="AF1069" s="70"/>
      <c r="AG1069" s="70"/>
      <c r="AH1069" s="70"/>
      <c r="AI1069" s="70"/>
      <c r="AJ1069" s="70"/>
      <c r="AK1069" s="70"/>
      <c r="AL1069" s="70"/>
      <c r="AM1069" s="70"/>
      <c r="AN1069" s="70"/>
      <c r="AO1069" s="70"/>
      <c r="AP1069" s="70"/>
      <c r="AQ1069" s="70"/>
      <c r="AR1069" s="70"/>
      <c r="AS1069" s="70"/>
      <c r="AT1069" s="70"/>
      <c r="AU1069" s="70"/>
      <c r="AV1069" s="70"/>
      <c r="AW1069" s="70"/>
      <c r="AX1069" s="70"/>
      <c r="AY1069" s="70"/>
      <c r="AZ1069" s="70"/>
      <c r="BA1069" s="70"/>
      <c r="BB1069" s="70"/>
      <c r="BC1069" s="70"/>
      <c r="BD1069" s="70"/>
      <c r="BE1069" s="70"/>
      <c r="BF1069" s="70"/>
      <c r="BG1069" s="70"/>
      <c r="BH1069" s="70"/>
      <c r="BI1069" s="70"/>
      <c r="BJ1069" s="70"/>
      <c r="BK1069" s="70"/>
      <c r="BL1069" s="70"/>
      <c r="BM1069" s="70"/>
      <c r="BN1069" s="70"/>
      <c r="BO1069" s="70"/>
      <c r="BP1069" s="70"/>
      <c r="BQ1069" s="70"/>
      <c r="BR1069" s="70"/>
      <c r="BS1069" s="70"/>
      <c r="BT1069" s="70"/>
      <c r="BU1069" s="70"/>
      <c r="BV1069" s="70"/>
      <c r="BW1069" s="70"/>
      <c r="BX1069" s="70"/>
      <c r="BY1069" s="70"/>
      <c r="BZ1069" s="70"/>
      <c r="CA1069" s="70"/>
      <c r="CB1069" s="70"/>
      <c r="CC1069" s="70"/>
      <c r="CD1069" s="70"/>
      <c r="CE1069" s="70"/>
      <c r="CF1069" s="70"/>
      <c r="CG1069" s="70"/>
      <c r="CH1069" s="70"/>
      <c r="CI1069" s="70"/>
      <c r="CJ1069" s="70"/>
      <c r="CK1069" s="70"/>
      <c r="CL1069" s="70"/>
      <c r="CM1069" s="70"/>
      <c r="CN1069" s="70"/>
      <c r="CO1069" s="70"/>
      <c r="CP1069" s="70"/>
      <c r="CQ1069" s="70"/>
      <c r="CR1069" s="70"/>
      <c r="CS1069" s="70"/>
      <c r="CT1069" s="70"/>
      <c r="CU1069" s="70"/>
      <c r="CV1069" s="70"/>
      <c r="CW1069" s="70"/>
      <c r="CX1069" s="70"/>
      <c r="CY1069" s="70"/>
      <c r="CZ1069" s="70"/>
      <c r="DA1069" s="70"/>
      <c r="DB1069" s="70"/>
      <c r="DC1069" s="70"/>
      <c r="DD1069" s="70"/>
      <c r="DE1069" s="70"/>
      <c r="DF1069" s="70"/>
      <c r="DG1069" s="70"/>
      <c r="DH1069" s="70"/>
      <c r="DI1069" s="70"/>
      <c r="DJ1069" s="70"/>
      <c r="DK1069" s="70"/>
      <c r="DL1069" s="70"/>
      <c r="DM1069" s="70"/>
      <c r="DN1069" s="70"/>
      <c r="DO1069" s="70"/>
      <c r="DP1069" s="70"/>
      <c r="DQ1069" s="70"/>
      <c r="DR1069" s="70"/>
      <c r="DS1069" s="70"/>
      <c r="DT1069" s="70"/>
      <c r="DU1069" s="70"/>
      <c r="DV1069" s="70"/>
      <c r="DW1069" s="70"/>
      <c r="DX1069" s="70"/>
      <c r="DY1069" s="70"/>
      <c r="DZ1069" s="70"/>
      <c r="EA1069" s="70"/>
      <c r="EB1069" s="70"/>
      <c r="EC1069" s="70"/>
      <c r="ED1069" s="70"/>
      <c r="EE1069" s="95" t="s">
        <v>450</v>
      </c>
      <c r="EF1069" s="110"/>
      <c r="EG1069" s="110"/>
      <c r="EH1069" s="110"/>
      <c r="EI1069" s="216"/>
      <c r="EJ1069" s="110"/>
      <c r="EK1069" s="110"/>
      <c r="EL1069" s="110"/>
      <c r="EM1069" s="110"/>
      <c r="EN1069" s="110"/>
      <c r="EO1069" s="110"/>
      <c r="EP1069" s="110"/>
      <c r="EQ1069" s="110"/>
      <c r="ER1069" s="110"/>
      <c r="ES1069" s="110"/>
      <c r="ET1069" s="110"/>
      <c r="EU1069" s="110"/>
      <c r="EV1069" s="110"/>
      <c r="EW1069" s="110"/>
      <c r="EX1069" s="110"/>
      <c r="EY1069" s="110"/>
      <c r="EZ1069" s="110"/>
      <c r="FA1069" s="110"/>
      <c r="FB1069" s="110"/>
      <c r="FC1069" s="110"/>
      <c r="FD1069" s="110"/>
      <c r="FE1069" s="110"/>
      <c r="FF1069" s="110"/>
      <c r="FG1069" s="110"/>
      <c r="FH1069" s="110"/>
      <c r="FI1069" s="110"/>
      <c r="FJ1069" s="110"/>
      <c r="FK1069" s="110"/>
      <c r="FL1069" s="110"/>
      <c r="FM1069" s="110"/>
      <c r="FN1069" s="110"/>
      <c r="FO1069" s="110"/>
      <c r="FP1069" s="110"/>
      <c r="FQ1069" s="110"/>
      <c r="FR1069" s="110"/>
      <c r="FS1069" s="110"/>
      <c r="FT1069" s="110"/>
      <c r="FU1069" s="110"/>
      <c r="FV1069" s="110"/>
      <c r="FW1069" s="110"/>
      <c r="FX1069" s="110"/>
      <c r="FY1069" s="110"/>
      <c r="FZ1069" s="110"/>
      <c r="GA1069" s="110"/>
      <c r="GB1069" s="110"/>
      <c r="GC1069" s="110"/>
      <c r="GD1069" s="110"/>
      <c r="GE1069" s="110"/>
      <c r="GF1069" s="110"/>
      <c r="GG1069" s="110"/>
      <c r="GH1069" s="110"/>
      <c r="GI1069" s="110"/>
      <c r="GJ1069" s="110"/>
      <c r="GK1069" s="110"/>
      <c r="GL1069" s="110"/>
      <c r="GM1069" s="110"/>
      <c r="GN1069" s="110"/>
      <c r="GO1069" s="110"/>
      <c r="GP1069" s="110"/>
      <c r="GQ1069" s="110"/>
      <c r="GR1069" s="110"/>
      <c r="GS1069" s="110"/>
      <c r="GT1069" s="110"/>
      <c r="GU1069" s="110"/>
      <c r="GV1069" s="110"/>
      <c r="GW1069" s="110"/>
      <c r="GX1069" s="110"/>
      <c r="GY1069" s="110"/>
      <c r="GZ1069" s="110"/>
      <c r="HA1069" s="110"/>
      <c r="HB1069" s="110"/>
      <c r="HC1069" s="110"/>
      <c r="HD1069" s="110"/>
      <c r="HE1069" s="110"/>
      <c r="HF1069" s="110"/>
      <c r="HG1069" s="110"/>
      <c r="HH1069" s="110"/>
      <c r="HI1069" s="110"/>
      <c r="HJ1069" s="110"/>
      <c r="HK1069" s="110"/>
      <c r="HL1069" s="110"/>
      <c r="HM1069" s="110"/>
      <c r="HN1069" s="110"/>
      <c r="HO1069" s="110"/>
      <c r="HP1069" s="110"/>
      <c r="HQ1069" s="110"/>
      <c r="HR1069" s="110"/>
      <c r="HS1069" s="110"/>
      <c r="HT1069" s="110"/>
      <c r="HU1069" s="110"/>
      <c r="HV1069" s="110"/>
      <c r="HW1069" s="110"/>
      <c r="HX1069" s="110"/>
      <c r="HY1069" s="110"/>
      <c r="HZ1069" s="110"/>
      <c r="IA1069" s="110"/>
      <c r="IB1069" s="110"/>
      <c r="IC1069" s="110"/>
      <c r="ID1069" s="110"/>
      <c r="IE1069" s="110"/>
      <c r="IF1069" s="110"/>
      <c r="IG1069" s="110"/>
      <c r="IH1069" s="110"/>
      <c r="II1069" s="110"/>
      <c r="IJ1069" s="110"/>
      <c r="IK1069" s="110"/>
      <c r="IL1069" s="110"/>
      <c r="IM1069" s="110"/>
      <c r="IN1069" s="110"/>
      <c r="IO1069" s="110"/>
      <c r="IP1069" s="110"/>
    </row>
    <row r="1070" spans="18:250" ht="16.5" hidden="1" customHeight="1">
      <c r="R1070" s="95"/>
      <c r="S1070" s="95"/>
      <c r="T1070" s="95"/>
      <c r="U1070" s="70"/>
      <c r="V1070" s="214"/>
      <c r="W1070" s="70"/>
      <c r="X1070" s="70"/>
      <c r="Y1070" s="70"/>
      <c r="Z1070" s="70"/>
      <c r="AA1070" s="70"/>
      <c r="AB1070" s="70"/>
      <c r="AC1070" s="70"/>
      <c r="AD1070" s="70"/>
      <c r="AE1070" s="70"/>
      <c r="AF1070" s="70"/>
      <c r="AG1070" s="70"/>
      <c r="AH1070" s="70"/>
      <c r="AI1070" s="70"/>
      <c r="AJ1070" s="70"/>
      <c r="AK1070" s="70"/>
      <c r="AL1070" s="70"/>
      <c r="AM1070" s="70"/>
      <c r="AN1070" s="70"/>
      <c r="AO1070" s="70"/>
      <c r="AP1070" s="70"/>
      <c r="AQ1070" s="70"/>
      <c r="AR1070" s="70"/>
      <c r="AS1070" s="70"/>
      <c r="AT1070" s="70"/>
      <c r="AU1070" s="70"/>
      <c r="AV1070" s="70"/>
      <c r="AW1070" s="70"/>
      <c r="AX1070" s="70"/>
      <c r="AY1070" s="70"/>
      <c r="AZ1070" s="70"/>
      <c r="BA1070" s="70"/>
      <c r="BB1070" s="70"/>
      <c r="BC1070" s="70"/>
      <c r="BD1070" s="70"/>
      <c r="BE1070" s="70"/>
      <c r="BF1070" s="70"/>
      <c r="BG1070" s="70"/>
      <c r="BH1070" s="70"/>
      <c r="BI1070" s="70"/>
      <c r="BJ1070" s="70"/>
      <c r="BK1070" s="70"/>
      <c r="BL1070" s="70"/>
      <c r="BM1070" s="70"/>
      <c r="BN1070" s="70"/>
      <c r="BO1070" s="70"/>
      <c r="BP1070" s="70"/>
      <c r="BQ1070" s="70"/>
      <c r="BR1070" s="70"/>
      <c r="BS1070" s="70"/>
      <c r="BT1070" s="70"/>
      <c r="BU1070" s="70"/>
      <c r="BV1070" s="70"/>
      <c r="BW1070" s="70"/>
      <c r="BX1070" s="70"/>
      <c r="BY1070" s="70"/>
      <c r="BZ1070" s="70"/>
      <c r="CA1070" s="70"/>
      <c r="CB1070" s="70"/>
      <c r="CC1070" s="70"/>
      <c r="CD1070" s="70"/>
      <c r="CE1070" s="70"/>
      <c r="CF1070" s="70"/>
      <c r="CG1070" s="70"/>
      <c r="CH1070" s="70"/>
      <c r="CI1070" s="70"/>
      <c r="CJ1070" s="70"/>
      <c r="CK1070" s="70"/>
      <c r="CL1070" s="70"/>
      <c r="CM1070" s="70"/>
      <c r="CN1070" s="70"/>
      <c r="CO1070" s="70"/>
      <c r="CP1070" s="70"/>
      <c r="CQ1070" s="70"/>
      <c r="CR1070" s="70"/>
      <c r="CS1070" s="70"/>
      <c r="CT1070" s="70"/>
      <c r="CU1070" s="70"/>
      <c r="CV1070" s="70"/>
      <c r="CW1070" s="70"/>
      <c r="CX1070" s="70"/>
      <c r="CY1070" s="70"/>
      <c r="CZ1070" s="70"/>
      <c r="DA1070" s="70"/>
      <c r="DB1070" s="70"/>
      <c r="DC1070" s="70"/>
      <c r="DD1070" s="70"/>
      <c r="DE1070" s="70"/>
      <c r="DF1070" s="70"/>
      <c r="DG1070" s="70"/>
      <c r="DH1070" s="70"/>
      <c r="DI1070" s="70"/>
      <c r="DJ1070" s="70"/>
      <c r="DK1070" s="70"/>
      <c r="DL1070" s="70"/>
      <c r="DM1070" s="70"/>
      <c r="DN1070" s="70"/>
      <c r="DO1070" s="70"/>
      <c r="DP1070" s="70"/>
      <c r="DQ1070" s="70"/>
      <c r="DR1070" s="70"/>
      <c r="DS1070" s="70"/>
      <c r="DT1070" s="70"/>
      <c r="DU1070" s="70"/>
      <c r="DV1070" s="70"/>
      <c r="DW1070" s="70"/>
      <c r="DX1070" s="70"/>
      <c r="DY1070" s="70"/>
      <c r="DZ1070" s="70"/>
      <c r="EA1070" s="70"/>
      <c r="EB1070" s="70"/>
      <c r="EC1070" s="70"/>
      <c r="ED1070" s="70"/>
      <c r="EE1070" s="95" t="s">
        <v>450</v>
      </c>
      <c r="EF1070" s="110"/>
      <c r="EG1070" s="110"/>
      <c r="EH1070" s="110"/>
      <c r="EI1070" s="216"/>
      <c r="EJ1070" s="110"/>
      <c r="EK1070" s="110"/>
      <c r="EL1070" s="110"/>
      <c r="EM1070" s="110"/>
      <c r="EN1070" s="110"/>
      <c r="EO1070" s="110"/>
      <c r="EP1070" s="110"/>
      <c r="EQ1070" s="110"/>
      <c r="ER1070" s="110"/>
      <c r="ES1070" s="110"/>
      <c r="ET1070" s="110"/>
      <c r="EU1070" s="110"/>
      <c r="EV1070" s="110"/>
      <c r="EW1070" s="110"/>
      <c r="EX1070" s="110"/>
      <c r="EY1070" s="110"/>
      <c r="EZ1070" s="110"/>
      <c r="FA1070" s="110"/>
      <c r="FB1070" s="110"/>
      <c r="FC1070" s="110"/>
      <c r="FD1070" s="110"/>
      <c r="FE1070" s="110"/>
      <c r="FF1070" s="110"/>
      <c r="FG1070" s="110"/>
      <c r="FH1070" s="110"/>
      <c r="FI1070" s="110"/>
      <c r="FJ1070" s="110"/>
      <c r="FK1070" s="110"/>
      <c r="FL1070" s="110"/>
      <c r="FM1070" s="110"/>
      <c r="FN1070" s="110"/>
      <c r="FO1070" s="110"/>
      <c r="FP1070" s="110"/>
      <c r="FQ1070" s="110"/>
      <c r="FR1070" s="110"/>
      <c r="FS1070" s="110"/>
      <c r="FT1070" s="110"/>
      <c r="FU1070" s="110"/>
      <c r="FV1070" s="110"/>
      <c r="FW1070" s="110"/>
      <c r="FX1070" s="110"/>
      <c r="FY1070" s="110"/>
      <c r="FZ1070" s="110"/>
      <c r="GA1070" s="110"/>
      <c r="GB1070" s="110"/>
      <c r="GC1070" s="110"/>
      <c r="GD1070" s="110"/>
      <c r="GE1070" s="110"/>
      <c r="GF1070" s="110"/>
      <c r="GG1070" s="110"/>
      <c r="GH1070" s="110"/>
      <c r="GI1070" s="110"/>
      <c r="GJ1070" s="110"/>
      <c r="GK1070" s="110"/>
      <c r="GL1070" s="110"/>
      <c r="GM1070" s="110"/>
      <c r="GN1070" s="110"/>
      <c r="GO1070" s="110"/>
      <c r="GP1070" s="110"/>
      <c r="GQ1070" s="110"/>
      <c r="GR1070" s="110"/>
      <c r="GS1070" s="110"/>
      <c r="GT1070" s="110"/>
      <c r="GU1070" s="110"/>
      <c r="GV1070" s="110"/>
      <c r="GW1070" s="110"/>
      <c r="GX1070" s="110"/>
      <c r="GY1070" s="110"/>
      <c r="GZ1070" s="110"/>
      <c r="HA1070" s="110"/>
      <c r="HB1070" s="110"/>
      <c r="HC1070" s="110"/>
      <c r="HD1070" s="110"/>
      <c r="HE1070" s="110"/>
      <c r="HF1070" s="110"/>
      <c r="HG1070" s="110"/>
      <c r="HH1070" s="110"/>
      <c r="HI1070" s="110"/>
      <c r="HJ1070" s="110"/>
      <c r="HK1070" s="110"/>
      <c r="HL1070" s="110"/>
      <c r="HM1070" s="110"/>
      <c r="HN1070" s="110"/>
      <c r="HO1070" s="110"/>
      <c r="HP1070" s="110"/>
      <c r="HQ1070" s="110"/>
      <c r="HR1070" s="110"/>
      <c r="HS1070" s="110"/>
      <c r="HT1070" s="110"/>
      <c r="HU1070" s="110"/>
      <c r="HV1070" s="110"/>
      <c r="HW1070" s="110"/>
      <c r="HX1070" s="110"/>
      <c r="HY1070" s="110"/>
      <c r="HZ1070" s="110"/>
      <c r="IA1070" s="110"/>
      <c r="IB1070" s="110"/>
      <c r="IC1070" s="110"/>
      <c r="ID1070" s="110"/>
      <c r="IE1070" s="110"/>
      <c r="IF1070" s="110"/>
      <c r="IG1070" s="110"/>
      <c r="IH1070" s="110"/>
      <c r="II1070" s="110"/>
      <c r="IJ1070" s="110"/>
      <c r="IK1070" s="110"/>
      <c r="IL1070" s="110"/>
      <c r="IM1070" s="110"/>
      <c r="IN1070" s="110"/>
      <c r="IO1070" s="110"/>
      <c r="IP1070" s="110"/>
    </row>
    <row r="1071" spans="18:250" ht="16.5" hidden="1" customHeight="1">
      <c r="R1071" s="95"/>
      <c r="S1071" s="95"/>
      <c r="T1071" s="95"/>
      <c r="U1071" s="70"/>
      <c r="V1071" s="214"/>
      <c r="W1071" s="70"/>
      <c r="X1071" s="70"/>
      <c r="Y1071" s="70"/>
      <c r="Z1071" s="70"/>
      <c r="AA1071" s="70"/>
      <c r="AB1071" s="70"/>
      <c r="AC1071" s="70"/>
      <c r="AD1071" s="70"/>
      <c r="AE1071" s="70"/>
      <c r="AF1071" s="70"/>
      <c r="AG1071" s="70"/>
      <c r="AH1071" s="70"/>
      <c r="AI1071" s="70"/>
      <c r="AJ1071" s="70"/>
      <c r="AK1071" s="70"/>
      <c r="AL1071" s="70"/>
      <c r="AM1071" s="70"/>
      <c r="AN1071" s="70"/>
      <c r="AO1071" s="70"/>
      <c r="AP1071" s="70"/>
      <c r="AQ1071" s="70"/>
      <c r="AR1071" s="70"/>
      <c r="AS1071" s="70"/>
      <c r="AT1071" s="70"/>
      <c r="AU1071" s="70"/>
      <c r="AV1071" s="70"/>
      <c r="AW1071" s="70"/>
      <c r="AX1071" s="70"/>
      <c r="AY1071" s="70"/>
      <c r="AZ1071" s="70"/>
      <c r="BA1071" s="70"/>
      <c r="BB1071" s="70"/>
      <c r="BC1071" s="70"/>
      <c r="BD1071" s="70"/>
      <c r="BE1071" s="70"/>
      <c r="BF1071" s="70"/>
      <c r="BG1071" s="70"/>
      <c r="BH1071" s="70"/>
      <c r="BI1071" s="70"/>
      <c r="BJ1071" s="70"/>
      <c r="BK1071" s="70"/>
      <c r="BL1071" s="70"/>
      <c r="BM1071" s="70"/>
      <c r="BN1071" s="70"/>
      <c r="BO1071" s="70"/>
      <c r="BP1071" s="70"/>
      <c r="BQ1071" s="70"/>
      <c r="BR1071" s="70"/>
      <c r="BS1071" s="70"/>
      <c r="BT1071" s="70"/>
      <c r="BU1071" s="70"/>
      <c r="BV1071" s="70"/>
      <c r="BW1071" s="70"/>
      <c r="BX1071" s="70"/>
      <c r="BY1071" s="70"/>
      <c r="BZ1071" s="70"/>
      <c r="CA1071" s="70"/>
      <c r="CB1071" s="70"/>
      <c r="CC1071" s="70"/>
      <c r="CD1071" s="70"/>
      <c r="CE1071" s="70"/>
      <c r="CF1071" s="70"/>
      <c r="CG1071" s="70"/>
      <c r="CH1071" s="70"/>
      <c r="CI1071" s="70"/>
      <c r="CJ1071" s="70"/>
      <c r="CK1071" s="70"/>
      <c r="CL1071" s="70"/>
      <c r="CM1071" s="70"/>
      <c r="CN1071" s="70"/>
      <c r="CO1071" s="70"/>
      <c r="CP1071" s="70"/>
      <c r="CQ1071" s="70"/>
      <c r="CR1071" s="70"/>
      <c r="CS1071" s="70"/>
      <c r="CT1071" s="70"/>
      <c r="CU1071" s="70"/>
      <c r="CV1071" s="70"/>
      <c r="CW1071" s="70"/>
      <c r="CX1071" s="70"/>
      <c r="CY1071" s="70"/>
      <c r="CZ1071" s="70"/>
      <c r="DA1071" s="70"/>
      <c r="DB1071" s="70"/>
      <c r="DC1071" s="70"/>
      <c r="DD1071" s="70"/>
      <c r="DE1071" s="70"/>
      <c r="DF1071" s="70"/>
      <c r="DG1071" s="70"/>
      <c r="DH1071" s="70"/>
      <c r="DI1071" s="70"/>
      <c r="DJ1071" s="70"/>
      <c r="DK1071" s="70"/>
      <c r="DL1071" s="70"/>
      <c r="DM1071" s="70"/>
      <c r="DN1071" s="70"/>
      <c r="DO1071" s="70"/>
      <c r="DP1071" s="70"/>
      <c r="DQ1071" s="70"/>
      <c r="DR1071" s="70"/>
      <c r="DS1071" s="70"/>
      <c r="DT1071" s="70"/>
      <c r="DU1071" s="70"/>
      <c r="DV1071" s="70"/>
      <c r="DW1071" s="70"/>
      <c r="DX1071" s="70"/>
      <c r="DY1071" s="70"/>
      <c r="DZ1071" s="70"/>
      <c r="EA1071" s="70"/>
      <c r="EB1071" s="70"/>
      <c r="EC1071" s="70"/>
      <c r="ED1071" s="70"/>
      <c r="EE1071" s="95" t="s">
        <v>450</v>
      </c>
      <c r="EF1071" s="110"/>
      <c r="EG1071" s="110"/>
      <c r="EH1071" s="110"/>
      <c r="EI1071" s="216"/>
      <c r="EJ1071" s="110"/>
      <c r="EK1071" s="110"/>
      <c r="EL1071" s="110"/>
      <c r="EM1071" s="110"/>
      <c r="EN1071" s="110"/>
      <c r="EO1071" s="110"/>
      <c r="EP1071" s="110"/>
      <c r="EQ1071" s="110"/>
      <c r="ER1071" s="110"/>
      <c r="ES1071" s="110"/>
      <c r="ET1071" s="110"/>
      <c r="EU1071" s="110"/>
      <c r="EV1071" s="110"/>
      <c r="EW1071" s="110"/>
      <c r="EX1071" s="110"/>
      <c r="EY1071" s="110"/>
      <c r="EZ1071" s="110"/>
      <c r="FA1071" s="110"/>
      <c r="FB1071" s="110"/>
      <c r="FC1071" s="110"/>
      <c r="FD1071" s="110"/>
      <c r="FE1071" s="110"/>
      <c r="FF1071" s="110"/>
      <c r="FG1071" s="110"/>
      <c r="FH1071" s="110"/>
      <c r="FI1071" s="110"/>
      <c r="FJ1071" s="110"/>
      <c r="FK1071" s="110"/>
      <c r="FL1071" s="110"/>
      <c r="FM1071" s="110"/>
      <c r="FN1071" s="110"/>
      <c r="FO1071" s="110"/>
      <c r="FP1071" s="110"/>
      <c r="FQ1071" s="110"/>
      <c r="FR1071" s="110"/>
      <c r="FS1071" s="110"/>
      <c r="FT1071" s="110"/>
      <c r="FU1071" s="110"/>
      <c r="FV1071" s="110"/>
      <c r="FW1071" s="110"/>
      <c r="FX1071" s="110"/>
      <c r="FY1071" s="110"/>
      <c r="FZ1071" s="110"/>
      <c r="GA1071" s="110"/>
      <c r="GB1071" s="110"/>
      <c r="GC1071" s="110"/>
      <c r="GD1071" s="110"/>
      <c r="GE1071" s="110"/>
      <c r="GF1071" s="110"/>
      <c r="GG1071" s="110"/>
      <c r="GH1071" s="110"/>
      <c r="GI1071" s="110"/>
      <c r="GJ1071" s="110"/>
      <c r="GK1071" s="110"/>
      <c r="GL1071" s="110"/>
      <c r="GM1071" s="110"/>
      <c r="GN1071" s="110"/>
      <c r="GO1071" s="110"/>
      <c r="GP1071" s="110"/>
      <c r="GQ1071" s="110"/>
      <c r="GR1071" s="110"/>
      <c r="GS1071" s="110"/>
      <c r="GT1071" s="110"/>
      <c r="GU1071" s="110"/>
      <c r="GV1071" s="110"/>
      <c r="GW1071" s="110"/>
      <c r="GX1071" s="110"/>
      <c r="GY1071" s="110"/>
      <c r="GZ1071" s="110"/>
      <c r="HA1071" s="110"/>
      <c r="HB1071" s="110"/>
      <c r="HC1071" s="110"/>
      <c r="HD1071" s="110"/>
      <c r="HE1071" s="110"/>
      <c r="HF1071" s="110"/>
      <c r="HG1071" s="110"/>
      <c r="HH1071" s="110"/>
      <c r="HI1071" s="110"/>
      <c r="HJ1071" s="110"/>
      <c r="HK1071" s="110"/>
      <c r="HL1071" s="110"/>
      <c r="HM1071" s="110"/>
      <c r="HN1071" s="110"/>
      <c r="HO1071" s="110"/>
      <c r="HP1071" s="110"/>
      <c r="HQ1071" s="110"/>
      <c r="HR1071" s="110"/>
      <c r="HS1071" s="110"/>
      <c r="HT1071" s="110"/>
      <c r="HU1071" s="110"/>
      <c r="HV1071" s="110"/>
      <c r="HW1071" s="110"/>
      <c r="HX1071" s="110"/>
      <c r="HY1071" s="110"/>
      <c r="HZ1071" s="110"/>
      <c r="IA1071" s="110"/>
      <c r="IB1071" s="110"/>
      <c r="IC1071" s="110"/>
      <c r="ID1071" s="110"/>
      <c r="IE1071" s="110"/>
      <c r="IF1071" s="110"/>
      <c r="IG1071" s="110"/>
      <c r="IH1071" s="110"/>
      <c r="II1071" s="110"/>
      <c r="IJ1071" s="110"/>
      <c r="IK1071" s="110"/>
      <c r="IL1071" s="110"/>
      <c r="IM1071" s="110"/>
      <c r="IN1071" s="110"/>
      <c r="IO1071" s="110"/>
      <c r="IP1071" s="110"/>
    </row>
    <row r="1072" spans="18:250" ht="16.5" hidden="1" customHeight="1">
      <c r="R1072" s="95"/>
      <c r="S1072" s="95"/>
      <c r="T1072" s="95"/>
      <c r="U1072" s="70"/>
      <c r="V1072" s="214"/>
      <c r="W1072" s="70"/>
      <c r="X1072" s="70"/>
      <c r="Y1072" s="70"/>
      <c r="Z1072" s="70"/>
      <c r="AA1072" s="70"/>
      <c r="AB1072" s="70"/>
      <c r="AC1072" s="70"/>
      <c r="AD1072" s="70"/>
      <c r="AE1072" s="70"/>
      <c r="AF1072" s="70"/>
      <c r="AG1072" s="70"/>
      <c r="AH1072" s="70"/>
      <c r="AI1072" s="70"/>
      <c r="AJ1072" s="70"/>
      <c r="AK1072" s="70"/>
      <c r="AL1072" s="70"/>
      <c r="AM1072" s="70"/>
      <c r="AN1072" s="70"/>
      <c r="AO1072" s="70"/>
      <c r="AP1072" s="70"/>
      <c r="AQ1072" s="70"/>
      <c r="AR1072" s="70"/>
      <c r="AS1072" s="70"/>
      <c r="AT1072" s="70"/>
      <c r="AU1072" s="70"/>
      <c r="AV1072" s="70"/>
      <c r="AW1072" s="70"/>
      <c r="AX1072" s="70"/>
      <c r="AY1072" s="70"/>
      <c r="AZ1072" s="70"/>
      <c r="BA1072" s="70"/>
      <c r="BB1072" s="70"/>
      <c r="BC1072" s="70"/>
      <c r="BD1072" s="70"/>
      <c r="BE1072" s="70"/>
      <c r="BF1072" s="70"/>
      <c r="BG1072" s="70"/>
      <c r="BH1072" s="70"/>
      <c r="BI1072" s="70"/>
      <c r="BJ1072" s="70"/>
      <c r="BK1072" s="70"/>
      <c r="BL1072" s="70"/>
      <c r="BM1072" s="70"/>
      <c r="BN1072" s="70"/>
      <c r="BO1072" s="70"/>
      <c r="BP1072" s="70"/>
      <c r="BQ1072" s="70"/>
      <c r="BR1072" s="70"/>
      <c r="BS1072" s="70"/>
      <c r="BT1072" s="70"/>
      <c r="BU1072" s="70"/>
      <c r="BV1072" s="70"/>
      <c r="BW1072" s="70"/>
      <c r="BX1072" s="70"/>
      <c r="BY1072" s="70"/>
      <c r="BZ1072" s="70"/>
      <c r="CA1072" s="70"/>
      <c r="CB1072" s="70"/>
      <c r="CC1072" s="70"/>
      <c r="CD1072" s="70"/>
      <c r="CE1072" s="70"/>
      <c r="CF1072" s="70"/>
      <c r="CG1072" s="70"/>
      <c r="CH1072" s="70"/>
      <c r="CI1072" s="70"/>
      <c r="CJ1072" s="70"/>
      <c r="CK1072" s="70"/>
      <c r="CL1072" s="70"/>
      <c r="CM1072" s="70"/>
      <c r="CN1072" s="70"/>
      <c r="CO1072" s="70"/>
      <c r="CP1072" s="70"/>
      <c r="CQ1072" s="70"/>
      <c r="CR1072" s="70"/>
      <c r="CS1072" s="70"/>
      <c r="CT1072" s="70"/>
      <c r="CU1072" s="70"/>
      <c r="CV1072" s="70"/>
      <c r="CW1072" s="70"/>
      <c r="CX1072" s="70"/>
      <c r="CY1072" s="70"/>
      <c r="CZ1072" s="70"/>
      <c r="DA1072" s="70"/>
      <c r="DB1072" s="70"/>
      <c r="DC1072" s="70"/>
      <c r="DD1072" s="70"/>
      <c r="DE1072" s="70"/>
      <c r="DF1072" s="70"/>
      <c r="DG1072" s="70"/>
      <c r="DH1072" s="70"/>
      <c r="DI1072" s="70"/>
      <c r="DJ1072" s="70"/>
      <c r="DK1072" s="70"/>
      <c r="DL1072" s="70"/>
      <c r="DM1072" s="70"/>
      <c r="DN1072" s="70"/>
      <c r="DO1072" s="70"/>
      <c r="DP1072" s="70"/>
      <c r="DQ1072" s="70"/>
      <c r="DR1072" s="70"/>
      <c r="DS1072" s="70"/>
      <c r="DT1072" s="70"/>
      <c r="DU1072" s="70"/>
      <c r="DV1072" s="70"/>
      <c r="DW1072" s="70"/>
      <c r="DX1072" s="70"/>
      <c r="DY1072" s="70"/>
      <c r="DZ1072" s="70"/>
      <c r="EA1072" s="70"/>
      <c r="EB1072" s="70"/>
      <c r="EC1072" s="70"/>
      <c r="ED1072" s="70"/>
      <c r="EE1072" s="95" t="s">
        <v>450</v>
      </c>
      <c r="EF1072" s="110"/>
      <c r="EG1072" s="110"/>
      <c r="EH1072" s="110"/>
      <c r="EI1072" s="216"/>
      <c r="EJ1072" s="110"/>
      <c r="EK1072" s="110"/>
      <c r="EL1072" s="110"/>
      <c r="EM1072" s="110"/>
      <c r="EN1072" s="110"/>
      <c r="EO1072" s="110"/>
      <c r="EP1072" s="110"/>
      <c r="EQ1072" s="110"/>
      <c r="ER1072" s="110"/>
      <c r="ES1072" s="110"/>
      <c r="ET1072" s="110"/>
      <c r="EU1072" s="110"/>
      <c r="EV1072" s="110"/>
      <c r="EW1072" s="110"/>
      <c r="EX1072" s="110"/>
      <c r="EY1072" s="110"/>
      <c r="EZ1072" s="110"/>
      <c r="FA1072" s="110"/>
      <c r="FB1072" s="110"/>
      <c r="FC1072" s="110"/>
      <c r="FD1072" s="110"/>
      <c r="FE1072" s="110"/>
      <c r="FF1072" s="110"/>
      <c r="FG1072" s="110"/>
      <c r="FH1072" s="110"/>
      <c r="FI1072" s="110"/>
      <c r="FJ1072" s="110"/>
      <c r="FK1072" s="110"/>
      <c r="FL1072" s="110"/>
      <c r="FM1072" s="110"/>
      <c r="FN1072" s="110"/>
      <c r="FO1072" s="110"/>
      <c r="FP1072" s="110"/>
      <c r="FQ1072" s="110"/>
      <c r="FR1072" s="110"/>
      <c r="FS1072" s="110"/>
      <c r="FT1072" s="110"/>
      <c r="FU1072" s="110"/>
      <c r="FV1072" s="110"/>
      <c r="FW1072" s="110"/>
      <c r="FX1072" s="110"/>
      <c r="FY1072" s="110"/>
      <c r="FZ1072" s="110"/>
      <c r="GA1072" s="110"/>
      <c r="GB1072" s="110"/>
      <c r="GC1072" s="110"/>
      <c r="GD1072" s="110"/>
      <c r="GE1072" s="110"/>
      <c r="GF1072" s="110"/>
      <c r="GG1072" s="110"/>
      <c r="GH1072" s="110"/>
      <c r="GI1072" s="110"/>
      <c r="GJ1072" s="110"/>
      <c r="GK1072" s="110"/>
      <c r="GL1072" s="110"/>
      <c r="GM1072" s="110"/>
      <c r="GN1072" s="110"/>
      <c r="GO1072" s="110"/>
      <c r="GP1072" s="110"/>
      <c r="GQ1072" s="110"/>
      <c r="GR1072" s="110"/>
      <c r="GS1072" s="110"/>
      <c r="GT1072" s="110"/>
      <c r="GU1072" s="110"/>
      <c r="GV1072" s="110"/>
      <c r="GW1072" s="110"/>
      <c r="GX1072" s="110"/>
      <c r="GY1072" s="110"/>
      <c r="GZ1072" s="110"/>
      <c r="HA1072" s="110"/>
      <c r="HB1072" s="110"/>
      <c r="HC1072" s="110"/>
      <c r="HD1072" s="110"/>
      <c r="HE1072" s="110"/>
      <c r="HF1072" s="110"/>
      <c r="HG1072" s="110"/>
      <c r="HH1072" s="110"/>
      <c r="HI1072" s="110"/>
      <c r="HJ1072" s="110"/>
      <c r="HK1072" s="110"/>
      <c r="HL1072" s="110"/>
      <c r="HM1072" s="110"/>
      <c r="HN1072" s="110"/>
      <c r="HO1072" s="110"/>
      <c r="HP1072" s="110"/>
      <c r="HQ1072" s="110"/>
      <c r="HR1072" s="110"/>
      <c r="HS1072" s="110"/>
      <c r="HT1072" s="110"/>
      <c r="HU1072" s="110"/>
      <c r="HV1072" s="110"/>
      <c r="HW1072" s="110"/>
      <c r="HX1072" s="110"/>
      <c r="HY1072" s="110"/>
      <c r="HZ1072" s="110"/>
      <c r="IA1072" s="110"/>
      <c r="IB1072" s="110"/>
      <c r="IC1072" s="110"/>
      <c r="ID1072" s="110"/>
      <c r="IE1072" s="110"/>
      <c r="IF1072" s="110"/>
      <c r="IG1072" s="110"/>
      <c r="IH1072" s="110"/>
      <c r="II1072" s="110"/>
      <c r="IJ1072" s="110"/>
      <c r="IK1072" s="110"/>
      <c r="IL1072" s="110"/>
      <c r="IM1072" s="110"/>
      <c r="IN1072" s="110"/>
      <c r="IO1072" s="110"/>
      <c r="IP1072" s="110"/>
    </row>
    <row r="1073" spans="18:250" ht="16.5" hidden="1" customHeight="1">
      <c r="R1073" s="95"/>
      <c r="S1073" s="95"/>
      <c r="T1073" s="95"/>
      <c r="U1073" s="70"/>
      <c r="V1073" s="214"/>
      <c r="W1073" s="70"/>
      <c r="X1073" s="70"/>
      <c r="Y1073" s="70"/>
      <c r="Z1073" s="70"/>
      <c r="AA1073" s="70"/>
      <c r="AB1073" s="70"/>
      <c r="AC1073" s="70"/>
      <c r="AD1073" s="70"/>
      <c r="AE1073" s="70"/>
      <c r="AF1073" s="70"/>
      <c r="AG1073" s="70"/>
      <c r="AH1073" s="70"/>
      <c r="AI1073" s="70"/>
      <c r="AJ1073" s="70"/>
      <c r="AK1073" s="70"/>
      <c r="AL1073" s="70"/>
      <c r="AM1073" s="70"/>
      <c r="AN1073" s="70"/>
      <c r="AO1073" s="70"/>
      <c r="AP1073" s="70"/>
      <c r="AQ1073" s="70"/>
      <c r="AR1073" s="70"/>
      <c r="AS1073" s="70"/>
      <c r="AT1073" s="70"/>
      <c r="AU1073" s="70"/>
      <c r="AV1073" s="70"/>
      <c r="AW1073" s="70"/>
      <c r="AX1073" s="70"/>
      <c r="AY1073" s="70"/>
      <c r="AZ1073" s="70"/>
      <c r="BA1073" s="70"/>
      <c r="BB1073" s="70"/>
      <c r="BC1073" s="70"/>
      <c r="BD1073" s="70"/>
      <c r="BE1073" s="70"/>
      <c r="BF1073" s="70"/>
      <c r="BG1073" s="70"/>
      <c r="BH1073" s="70"/>
      <c r="BI1073" s="70"/>
      <c r="BJ1073" s="70"/>
      <c r="BK1073" s="70"/>
      <c r="BL1073" s="70"/>
      <c r="BM1073" s="70"/>
      <c r="BN1073" s="70"/>
      <c r="BO1073" s="70"/>
      <c r="BP1073" s="70"/>
      <c r="BQ1073" s="70"/>
      <c r="BR1073" s="70"/>
      <c r="BS1073" s="70"/>
      <c r="BT1073" s="70"/>
      <c r="BU1073" s="70"/>
      <c r="BV1073" s="70"/>
      <c r="BW1073" s="70"/>
      <c r="BX1073" s="70"/>
      <c r="BY1073" s="70"/>
      <c r="BZ1073" s="70"/>
      <c r="CA1073" s="70"/>
      <c r="CB1073" s="70"/>
      <c r="CC1073" s="70"/>
      <c r="CD1073" s="70"/>
      <c r="CE1073" s="70"/>
      <c r="CF1073" s="70"/>
      <c r="CG1073" s="70"/>
      <c r="CH1073" s="70"/>
      <c r="CI1073" s="70"/>
      <c r="CJ1073" s="70"/>
      <c r="CK1073" s="70"/>
      <c r="CL1073" s="70"/>
      <c r="CM1073" s="70"/>
      <c r="CN1073" s="70"/>
      <c r="CO1073" s="70"/>
      <c r="CP1073" s="70"/>
      <c r="CQ1073" s="70"/>
      <c r="CR1073" s="70"/>
      <c r="CS1073" s="70"/>
      <c r="CT1073" s="70"/>
      <c r="CU1073" s="70"/>
      <c r="CV1073" s="70"/>
      <c r="CW1073" s="70"/>
      <c r="CX1073" s="70"/>
      <c r="CY1073" s="70"/>
      <c r="CZ1073" s="70"/>
      <c r="DA1073" s="70"/>
      <c r="DB1073" s="70"/>
      <c r="DC1073" s="70"/>
      <c r="DD1073" s="70"/>
      <c r="DE1073" s="70"/>
      <c r="DF1073" s="70"/>
      <c r="DG1073" s="70"/>
      <c r="DH1073" s="70"/>
      <c r="DI1073" s="70"/>
      <c r="DJ1073" s="70"/>
      <c r="DK1073" s="70"/>
      <c r="DL1073" s="70"/>
      <c r="DM1073" s="70"/>
      <c r="DN1073" s="70"/>
      <c r="DO1073" s="70"/>
      <c r="DP1073" s="70"/>
      <c r="DQ1073" s="70"/>
      <c r="DR1073" s="70"/>
      <c r="DS1073" s="70"/>
      <c r="DT1073" s="70"/>
      <c r="DU1073" s="70"/>
      <c r="DV1073" s="70"/>
      <c r="DW1073" s="70"/>
      <c r="DX1073" s="70"/>
      <c r="DY1073" s="70"/>
      <c r="DZ1073" s="70"/>
      <c r="EA1073" s="70"/>
      <c r="EB1073" s="70"/>
      <c r="EC1073" s="70"/>
      <c r="ED1073" s="70"/>
      <c r="EE1073" s="95" t="s">
        <v>450</v>
      </c>
      <c r="EF1073" s="110"/>
      <c r="EG1073" s="110"/>
      <c r="EH1073" s="110"/>
      <c r="EI1073" s="216"/>
      <c r="EJ1073" s="110"/>
      <c r="EK1073" s="110"/>
      <c r="EL1073" s="110"/>
      <c r="EM1073" s="110"/>
      <c r="EN1073" s="110"/>
      <c r="EO1073" s="110"/>
      <c r="EP1073" s="110"/>
      <c r="EQ1073" s="110"/>
      <c r="ER1073" s="110"/>
      <c r="ES1073" s="110"/>
      <c r="ET1073" s="110"/>
      <c r="EU1073" s="110"/>
      <c r="EV1073" s="110"/>
      <c r="EW1073" s="110"/>
      <c r="EX1073" s="110"/>
      <c r="EY1073" s="110"/>
      <c r="EZ1073" s="110"/>
      <c r="FA1073" s="110"/>
      <c r="FB1073" s="110"/>
      <c r="FC1073" s="110"/>
      <c r="FD1073" s="110"/>
      <c r="FE1073" s="110"/>
      <c r="FF1073" s="110"/>
      <c r="FG1073" s="110"/>
      <c r="FH1073" s="110"/>
      <c r="FI1073" s="110"/>
      <c r="FJ1073" s="110"/>
      <c r="FK1073" s="110"/>
      <c r="FL1073" s="110"/>
      <c r="FM1073" s="110"/>
      <c r="FN1073" s="110"/>
      <c r="FO1073" s="110"/>
      <c r="FP1073" s="110"/>
      <c r="FQ1073" s="110"/>
      <c r="FR1073" s="110"/>
      <c r="FS1073" s="110"/>
      <c r="FT1073" s="110"/>
      <c r="FU1073" s="110"/>
      <c r="FV1073" s="110"/>
      <c r="FW1073" s="110"/>
      <c r="FX1073" s="110"/>
      <c r="FY1073" s="110"/>
      <c r="FZ1073" s="110"/>
      <c r="GA1073" s="110"/>
      <c r="GB1073" s="110"/>
      <c r="GC1073" s="110"/>
      <c r="GD1073" s="110"/>
      <c r="GE1073" s="110"/>
      <c r="GF1073" s="110"/>
      <c r="GG1073" s="110"/>
      <c r="GH1073" s="110"/>
      <c r="GI1073" s="110"/>
      <c r="GJ1073" s="110"/>
      <c r="GK1073" s="110"/>
      <c r="GL1073" s="110"/>
      <c r="GM1073" s="110"/>
      <c r="GN1073" s="110"/>
      <c r="GO1073" s="110"/>
      <c r="GP1073" s="110"/>
      <c r="GQ1073" s="110"/>
      <c r="GR1073" s="110"/>
      <c r="GS1073" s="110"/>
      <c r="GT1073" s="110"/>
      <c r="GU1073" s="110"/>
      <c r="GV1073" s="110"/>
      <c r="GW1073" s="110"/>
      <c r="GX1073" s="110"/>
      <c r="GY1073" s="110"/>
      <c r="GZ1073" s="110"/>
      <c r="HA1073" s="110"/>
      <c r="HB1073" s="110"/>
      <c r="HC1073" s="110"/>
      <c r="HD1073" s="110"/>
      <c r="HE1073" s="110"/>
      <c r="HF1073" s="110"/>
      <c r="HG1073" s="110"/>
      <c r="HH1073" s="110"/>
      <c r="HI1073" s="110"/>
      <c r="HJ1073" s="110"/>
      <c r="HK1073" s="110"/>
      <c r="HL1073" s="110"/>
      <c r="HM1073" s="110"/>
      <c r="HN1073" s="110"/>
      <c r="HO1073" s="110"/>
      <c r="HP1073" s="110"/>
      <c r="HQ1073" s="110"/>
      <c r="HR1073" s="110"/>
      <c r="HS1073" s="110"/>
      <c r="HT1073" s="110"/>
      <c r="HU1073" s="110"/>
      <c r="HV1073" s="110"/>
      <c r="HW1073" s="110"/>
      <c r="HX1073" s="110"/>
      <c r="HY1073" s="110"/>
      <c r="HZ1073" s="110"/>
      <c r="IA1073" s="110"/>
      <c r="IB1073" s="110"/>
      <c r="IC1073" s="110"/>
      <c r="ID1073" s="110"/>
      <c r="IE1073" s="110"/>
      <c r="IF1073" s="110"/>
      <c r="IG1073" s="110"/>
      <c r="IH1073" s="110"/>
      <c r="II1073" s="110"/>
      <c r="IJ1073" s="110"/>
      <c r="IK1073" s="110"/>
      <c r="IL1073" s="110"/>
      <c r="IM1073" s="110"/>
      <c r="IN1073" s="110"/>
      <c r="IO1073" s="110"/>
      <c r="IP1073" s="110"/>
    </row>
    <row r="1074" spans="18:250" ht="16.5" hidden="1" customHeight="1">
      <c r="R1074" s="95"/>
      <c r="S1074" s="95"/>
      <c r="T1074" s="95"/>
      <c r="U1074" s="70"/>
      <c r="V1074" s="214"/>
      <c r="W1074" s="70"/>
      <c r="X1074" s="70"/>
      <c r="Y1074" s="70"/>
      <c r="Z1074" s="70"/>
      <c r="AA1074" s="70"/>
      <c r="AB1074" s="70"/>
      <c r="AC1074" s="70"/>
      <c r="AD1074" s="70"/>
      <c r="AE1074" s="70"/>
      <c r="AF1074" s="70"/>
      <c r="AG1074" s="70"/>
      <c r="AH1074" s="70"/>
      <c r="AI1074" s="70"/>
      <c r="AJ1074" s="70"/>
      <c r="AK1074" s="70"/>
      <c r="AL1074" s="70"/>
      <c r="AM1074" s="70"/>
      <c r="AN1074" s="70"/>
      <c r="AO1074" s="70"/>
      <c r="AP1074" s="70"/>
      <c r="AQ1074" s="70"/>
      <c r="AR1074" s="70"/>
      <c r="AS1074" s="70"/>
      <c r="AT1074" s="70"/>
      <c r="AU1074" s="70"/>
      <c r="AV1074" s="70"/>
      <c r="AW1074" s="70"/>
      <c r="AX1074" s="70"/>
      <c r="AY1074" s="70"/>
      <c r="AZ1074" s="70"/>
      <c r="BA1074" s="70"/>
      <c r="BB1074" s="70"/>
      <c r="BC1074" s="70"/>
      <c r="BD1074" s="70"/>
      <c r="BE1074" s="70"/>
      <c r="BF1074" s="70"/>
      <c r="BG1074" s="70"/>
      <c r="BH1074" s="70"/>
      <c r="BI1074" s="70"/>
      <c r="BJ1074" s="70"/>
      <c r="BK1074" s="70"/>
      <c r="BL1074" s="70"/>
      <c r="BM1074" s="70"/>
      <c r="BN1074" s="70"/>
      <c r="BO1074" s="70"/>
      <c r="BP1074" s="70"/>
      <c r="BQ1074" s="70"/>
      <c r="BR1074" s="70"/>
      <c r="BS1074" s="70"/>
      <c r="BT1074" s="70"/>
      <c r="BU1074" s="70"/>
      <c r="BV1074" s="70"/>
      <c r="BW1074" s="70"/>
      <c r="BX1074" s="70"/>
      <c r="BY1074" s="70"/>
      <c r="BZ1074" s="70"/>
      <c r="CA1074" s="70"/>
      <c r="CB1074" s="70"/>
      <c r="CC1074" s="70"/>
      <c r="CD1074" s="70"/>
      <c r="CE1074" s="70"/>
      <c r="CF1074" s="70"/>
      <c r="CG1074" s="70"/>
      <c r="CH1074" s="70"/>
      <c r="CI1074" s="70"/>
      <c r="CJ1074" s="70"/>
      <c r="CK1074" s="70"/>
      <c r="CL1074" s="70"/>
      <c r="CM1074" s="70"/>
      <c r="CN1074" s="70"/>
      <c r="CO1074" s="70"/>
      <c r="CP1074" s="70"/>
      <c r="CQ1074" s="70"/>
      <c r="CR1074" s="70"/>
      <c r="CS1074" s="70"/>
      <c r="CT1074" s="70"/>
      <c r="CU1074" s="70"/>
      <c r="CV1074" s="70"/>
      <c r="CW1074" s="70"/>
      <c r="CX1074" s="70"/>
      <c r="CY1074" s="70"/>
      <c r="CZ1074" s="70"/>
      <c r="DA1074" s="70"/>
      <c r="DB1074" s="70"/>
      <c r="DC1074" s="70"/>
      <c r="DD1074" s="70"/>
      <c r="DE1074" s="70"/>
      <c r="DF1074" s="70"/>
      <c r="DG1074" s="70"/>
      <c r="DH1074" s="70"/>
      <c r="DI1074" s="70"/>
      <c r="DJ1074" s="70"/>
      <c r="DK1074" s="70"/>
      <c r="DL1074" s="70"/>
      <c r="DM1074" s="70"/>
      <c r="DN1074" s="70"/>
      <c r="DO1074" s="70"/>
      <c r="DP1074" s="70"/>
      <c r="DQ1074" s="70"/>
      <c r="DR1074" s="70"/>
      <c r="DS1074" s="70"/>
      <c r="DT1074" s="70"/>
      <c r="DU1074" s="70"/>
      <c r="DV1074" s="70"/>
      <c r="DW1074" s="70"/>
      <c r="DX1074" s="70"/>
      <c r="DY1074" s="70"/>
      <c r="DZ1074" s="70"/>
      <c r="EA1074" s="70"/>
      <c r="EB1074" s="70"/>
      <c r="EC1074" s="70"/>
      <c r="ED1074" s="70"/>
      <c r="EE1074" s="95" t="s">
        <v>450</v>
      </c>
      <c r="EF1074" s="110"/>
      <c r="EG1074" s="110"/>
      <c r="EH1074" s="110"/>
      <c r="EI1074" s="216"/>
      <c r="EJ1074" s="110"/>
      <c r="EK1074" s="110"/>
      <c r="EL1074" s="110"/>
      <c r="EM1074" s="110"/>
      <c r="EN1074" s="110"/>
      <c r="EO1074" s="110"/>
      <c r="EP1074" s="110"/>
      <c r="EQ1074" s="110"/>
      <c r="ER1074" s="110"/>
      <c r="ES1074" s="110"/>
      <c r="ET1074" s="110"/>
      <c r="EU1074" s="110"/>
      <c r="EV1074" s="110"/>
      <c r="EW1074" s="110"/>
      <c r="EX1074" s="110"/>
      <c r="EY1074" s="110"/>
      <c r="EZ1074" s="110"/>
      <c r="FA1074" s="110"/>
      <c r="FB1074" s="110"/>
      <c r="FC1074" s="110"/>
      <c r="FD1074" s="110"/>
      <c r="FE1074" s="110"/>
      <c r="FF1074" s="110"/>
      <c r="FG1074" s="110"/>
      <c r="FH1074" s="110"/>
      <c r="FI1074" s="110"/>
      <c r="FJ1074" s="110"/>
      <c r="FK1074" s="110"/>
      <c r="FL1074" s="110"/>
      <c r="FM1074" s="110"/>
      <c r="FN1074" s="110"/>
      <c r="FO1074" s="110"/>
      <c r="FP1074" s="110"/>
      <c r="FQ1074" s="110"/>
      <c r="FR1074" s="110"/>
      <c r="FS1074" s="110"/>
      <c r="FT1074" s="110"/>
      <c r="FU1074" s="110"/>
      <c r="FV1074" s="110"/>
      <c r="FW1074" s="110"/>
      <c r="FX1074" s="110"/>
      <c r="FY1074" s="110"/>
      <c r="FZ1074" s="110"/>
      <c r="GA1074" s="110"/>
      <c r="GB1074" s="110"/>
      <c r="GC1074" s="110"/>
      <c r="GD1074" s="110"/>
      <c r="GE1074" s="110"/>
      <c r="GF1074" s="110"/>
      <c r="GG1074" s="110"/>
      <c r="GH1074" s="110"/>
      <c r="GI1074" s="110"/>
      <c r="GJ1074" s="110"/>
      <c r="GK1074" s="110"/>
      <c r="GL1074" s="110"/>
      <c r="GM1074" s="110"/>
      <c r="GN1074" s="110"/>
      <c r="GO1074" s="110"/>
      <c r="GP1074" s="110"/>
      <c r="GQ1074" s="110"/>
      <c r="GR1074" s="110"/>
      <c r="GS1074" s="110"/>
      <c r="GT1074" s="110"/>
      <c r="GU1074" s="110"/>
      <c r="GV1074" s="110"/>
      <c r="GW1074" s="110"/>
      <c r="GX1074" s="110"/>
      <c r="GY1074" s="110"/>
      <c r="GZ1074" s="110"/>
      <c r="HA1074" s="110"/>
      <c r="HB1074" s="110"/>
      <c r="HC1074" s="110"/>
      <c r="HD1074" s="110"/>
      <c r="HE1074" s="110"/>
      <c r="HF1074" s="110"/>
      <c r="HG1074" s="110"/>
      <c r="HH1074" s="110"/>
      <c r="HI1074" s="110"/>
      <c r="HJ1074" s="110"/>
      <c r="HK1074" s="110"/>
      <c r="HL1074" s="110"/>
      <c r="HM1074" s="110"/>
      <c r="HN1074" s="110"/>
      <c r="HO1074" s="110"/>
      <c r="HP1074" s="110"/>
      <c r="HQ1074" s="110"/>
      <c r="HR1074" s="110"/>
      <c r="HS1074" s="110"/>
      <c r="HT1074" s="110"/>
      <c r="HU1074" s="110"/>
      <c r="HV1074" s="110"/>
      <c r="HW1074" s="110"/>
      <c r="HX1074" s="110"/>
      <c r="HY1074" s="110"/>
      <c r="HZ1074" s="110"/>
      <c r="IA1074" s="110"/>
      <c r="IB1074" s="110"/>
      <c r="IC1074" s="110"/>
      <c r="ID1074" s="110"/>
      <c r="IE1074" s="110"/>
      <c r="IF1074" s="110"/>
      <c r="IG1074" s="110"/>
      <c r="IH1074" s="110"/>
      <c r="II1074" s="110"/>
      <c r="IJ1074" s="110"/>
      <c r="IK1074" s="110"/>
      <c r="IL1074" s="110"/>
      <c r="IM1074" s="110"/>
      <c r="IN1074" s="110"/>
      <c r="IO1074" s="110"/>
      <c r="IP1074" s="110"/>
    </row>
    <row r="1075" spans="18:250" ht="16.5" hidden="1" customHeight="1">
      <c r="R1075" s="95"/>
      <c r="S1075" s="95"/>
      <c r="T1075" s="95"/>
      <c r="U1075" s="70"/>
      <c r="V1075" s="214"/>
      <c r="W1075" s="70"/>
      <c r="X1075" s="70"/>
      <c r="Y1075" s="70"/>
      <c r="Z1075" s="70"/>
      <c r="AA1075" s="70"/>
      <c r="AB1075" s="70"/>
      <c r="AC1075" s="70"/>
      <c r="AD1075" s="70"/>
      <c r="AE1075" s="70"/>
      <c r="AF1075" s="70"/>
      <c r="AG1075" s="70"/>
      <c r="AH1075" s="70"/>
      <c r="AI1075" s="70"/>
      <c r="AJ1075" s="70"/>
      <c r="AK1075" s="70"/>
      <c r="AL1075" s="70"/>
      <c r="AM1075" s="70"/>
      <c r="AN1075" s="70"/>
      <c r="AO1075" s="70"/>
      <c r="AP1075" s="70"/>
      <c r="AQ1075" s="70"/>
      <c r="AR1075" s="70"/>
      <c r="AS1075" s="70"/>
      <c r="AT1075" s="70"/>
      <c r="AU1075" s="70"/>
      <c r="AV1075" s="70"/>
      <c r="AW1075" s="70"/>
      <c r="AX1075" s="70"/>
      <c r="AY1075" s="70"/>
      <c r="AZ1075" s="70"/>
      <c r="BA1075" s="70"/>
      <c r="BB1075" s="70"/>
      <c r="BC1075" s="70"/>
      <c r="BD1075" s="70"/>
      <c r="BE1075" s="70"/>
      <c r="BF1075" s="70"/>
      <c r="BG1075" s="70"/>
      <c r="BH1075" s="70"/>
      <c r="BI1075" s="70"/>
      <c r="BJ1075" s="70"/>
      <c r="BK1075" s="70"/>
      <c r="BL1075" s="70"/>
      <c r="BM1075" s="70"/>
      <c r="BN1075" s="70"/>
      <c r="BO1075" s="70"/>
      <c r="BP1075" s="70"/>
      <c r="BQ1075" s="70"/>
      <c r="BR1075" s="70"/>
      <c r="BS1075" s="70"/>
      <c r="BT1075" s="70"/>
      <c r="BU1075" s="70"/>
      <c r="BV1075" s="70"/>
      <c r="BW1075" s="70"/>
      <c r="BX1075" s="70"/>
      <c r="BY1075" s="70"/>
      <c r="BZ1075" s="70"/>
      <c r="CA1075" s="70"/>
      <c r="CB1075" s="70"/>
      <c r="CC1075" s="70"/>
      <c r="CD1075" s="70"/>
      <c r="CE1075" s="70"/>
      <c r="CF1075" s="70"/>
      <c r="CG1075" s="70"/>
      <c r="CH1075" s="70"/>
      <c r="CI1075" s="70"/>
      <c r="CJ1075" s="70"/>
      <c r="CK1075" s="70"/>
      <c r="CL1075" s="70"/>
      <c r="CM1075" s="70"/>
      <c r="CN1075" s="70"/>
      <c r="CO1075" s="70"/>
      <c r="CP1075" s="70"/>
      <c r="CQ1075" s="70"/>
      <c r="CR1075" s="70"/>
      <c r="CS1075" s="70"/>
      <c r="CT1075" s="70"/>
      <c r="CU1075" s="70"/>
      <c r="CV1075" s="70"/>
      <c r="CW1075" s="70"/>
      <c r="CX1075" s="70"/>
      <c r="CY1075" s="70"/>
      <c r="CZ1075" s="70"/>
      <c r="DA1075" s="70"/>
      <c r="DB1075" s="70"/>
      <c r="DC1075" s="70"/>
      <c r="DD1075" s="70"/>
      <c r="DE1075" s="70"/>
      <c r="DF1075" s="70"/>
      <c r="DG1075" s="70"/>
      <c r="DH1075" s="70"/>
      <c r="DI1075" s="70"/>
      <c r="DJ1075" s="70"/>
      <c r="DK1075" s="70"/>
      <c r="DL1075" s="70"/>
      <c r="DM1075" s="70"/>
      <c r="DN1075" s="70"/>
      <c r="DO1075" s="70"/>
      <c r="DP1075" s="70"/>
      <c r="DQ1075" s="70"/>
      <c r="DR1075" s="70"/>
      <c r="DS1075" s="70"/>
      <c r="DT1075" s="70"/>
      <c r="DU1075" s="70"/>
      <c r="DV1075" s="70"/>
      <c r="DW1075" s="70"/>
      <c r="DX1075" s="70"/>
      <c r="DY1075" s="70"/>
      <c r="DZ1075" s="70"/>
      <c r="EA1075" s="70"/>
      <c r="EB1075" s="70"/>
      <c r="EC1075" s="70"/>
      <c r="ED1075" s="70"/>
      <c r="EE1075" s="95" t="s">
        <v>450</v>
      </c>
      <c r="EF1075" s="110"/>
      <c r="EG1075" s="110"/>
      <c r="EH1075" s="110"/>
      <c r="EI1075" s="216"/>
      <c r="EJ1075" s="110"/>
      <c r="EK1075" s="110"/>
      <c r="EL1075" s="110"/>
      <c r="EM1075" s="110"/>
      <c r="EN1075" s="110"/>
      <c r="EO1075" s="110"/>
      <c r="EP1075" s="110"/>
      <c r="EQ1075" s="110"/>
      <c r="ER1075" s="110"/>
      <c r="ES1075" s="110"/>
      <c r="ET1075" s="110"/>
      <c r="EU1075" s="110"/>
      <c r="EV1075" s="110"/>
      <c r="EW1075" s="110"/>
      <c r="EX1075" s="110"/>
      <c r="EY1075" s="110"/>
      <c r="EZ1075" s="110"/>
      <c r="FA1075" s="110"/>
      <c r="FB1075" s="110"/>
      <c r="FC1075" s="110"/>
      <c r="FD1075" s="110"/>
      <c r="FE1075" s="110"/>
      <c r="FF1075" s="110"/>
      <c r="FG1075" s="110"/>
      <c r="FH1075" s="110"/>
      <c r="FI1075" s="110"/>
      <c r="FJ1075" s="110"/>
      <c r="FK1075" s="110"/>
      <c r="FL1075" s="110"/>
      <c r="FM1075" s="110"/>
      <c r="FN1075" s="110"/>
      <c r="FO1075" s="110"/>
      <c r="FP1075" s="110"/>
      <c r="FQ1075" s="110"/>
      <c r="FR1075" s="110"/>
      <c r="FS1075" s="110"/>
      <c r="FT1075" s="110"/>
      <c r="FU1075" s="110"/>
      <c r="FV1075" s="110"/>
      <c r="FW1075" s="110"/>
      <c r="FX1075" s="110"/>
      <c r="FY1075" s="110"/>
      <c r="FZ1075" s="110"/>
      <c r="GA1075" s="110"/>
      <c r="GB1075" s="110"/>
      <c r="GC1075" s="110"/>
      <c r="GD1075" s="110"/>
      <c r="GE1075" s="110"/>
      <c r="GF1075" s="110"/>
      <c r="GG1075" s="110"/>
      <c r="GH1075" s="110"/>
      <c r="GI1075" s="110"/>
      <c r="GJ1075" s="110"/>
      <c r="GK1075" s="110"/>
      <c r="GL1075" s="110"/>
      <c r="GM1075" s="110"/>
      <c r="GN1075" s="110"/>
      <c r="GO1075" s="110"/>
      <c r="GP1075" s="110"/>
      <c r="GQ1075" s="110"/>
      <c r="GR1075" s="110"/>
      <c r="GS1075" s="110"/>
      <c r="GT1075" s="110"/>
      <c r="GU1075" s="110"/>
      <c r="GV1075" s="110"/>
      <c r="GW1075" s="110"/>
      <c r="GX1075" s="110"/>
      <c r="GY1075" s="110"/>
      <c r="GZ1075" s="110"/>
      <c r="HA1075" s="110"/>
      <c r="HB1075" s="110"/>
      <c r="HC1075" s="110"/>
      <c r="HD1075" s="110"/>
      <c r="HE1075" s="110"/>
      <c r="HF1075" s="110"/>
      <c r="HG1075" s="110"/>
      <c r="HH1075" s="110"/>
      <c r="HI1075" s="110"/>
      <c r="HJ1075" s="110"/>
      <c r="HK1075" s="110"/>
      <c r="HL1075" s="110"/>
      <c r="HM1075" s="110"/>
      <c r="HN1075" s="110"/>
      <c r="HO1075" s="110"/>
      <c r="HP1075" s="110"/>
      <c r="HQ1075" s="110"/>
      <c r="HR1075" s="110"/>
      <c r="HS1075" s="110"/>
      <c r="HT1075" s="110"/>
      <c r="HU1075" s="110"/>
      <c r="HV1075" s="110"/>
      <c r="HW1075" s="110"/>
      <c r="HX1075" s="110"/>
      <c r="HY1075" s="110"/>
      <c r="HZ1075" s="110"/>
      <c r="IA1075" s="110"/>
      <c r="IB1075" s="110"/>
      <c r="IC1075" s="110"/>
      <c r="ID1075" s="110"/>
      <c r="IE1075" s="110"/>
      <c r="IF1075" s="110"/>
      <c r="IG1075" s="110"/>
      <c r="IH1075" s="110"/>
      <c r="II1075" s="110"/>
      <c r="IJ1075" s="110"/>
      <c r="IK1075" s="110"/>
      <c r="IL1075" s="110"/>
      <c r="IM1075" s="110"/>
      <c r="IN1075" s="110"/>
      <c r="IO1075" s="110"/>
      <c r="IP1075" s="110"/>
    </row>
    <row r="1076" spans="18:250" ht="16.5" hidden="1" customHeight="1">
      <c r="R1076" s="95"/>
      <c r="S1076" s="95"/>
      <c r="T1076" s="95"/>
      <c r="U1076" s="70"/>
      <c r="V1076" s="214"/>
      <c r="W1076" s="70"/>
      <c r="X1076" s="70"/>
      <c r="Y1076" s="70"/>
      <c r="Z1076" s="70"/>
      <c r="AA1076" s="70"/>
      <c r="AB1076" s="70"/>
      <c r="AC1076" s="70"/>
      <c r="AD1076" s="70"/>
      <c r="AE1076" s="70"/>
      <c r="AF1076" s="70"/>
      <c r="AG1076" s="70"/>
      <c r="AH1076" s="70"/>
      <c r="AI1076" s="70"/>
      <c r="AJ1076" s="70"/>
      <c r="AK1076" s="70"/>
      <c r="AL1076" s="70"/>
      <c r="AM1076" s="70"/>
      <c r="AN1076" s="70"/>
      <c r="AO1076" s="70"/>
      <c r="AP1076" s="70"/>
      <c r="AQ1076" s="70"/>
      <c r="AR1076" s="70"/>
      <c r="AS1076" s="70"/>
      <c r="AT1076" s="70"/>
      <c r="AU1076" s="70"/>
      <c r="AV1076" s="70"/>
      <c r="AW1076" s="70"/>
      <c r="AX1076" s="70"/>
      <c r="AY1076" s="70"/>
      <c r="AZ1076" s="70"/>
      <c r="BA1076" s="70"/>
      <c r="BB1076" s="70"/>
      <c r="BC1076" s="70"/>
      <c r="BD1076" s="70"/>
      <c r="BE1076" s="70"/>
      <c r="BF1076" s="70"/>
      <c r="BG1076" s="70"/>
      <c r="BH1076" s="70"/>
      <c r="BI1076" s="70"/>
      <c r="BJ1076" s="70"/>
      <c r="BK1076" s="70"/>
      <c r="BL1076" s="70"/>
      <c r="BM1076" s="70"/>
      <c r="BN1076" s="70"/>
      <c r="BO1076" s="70"/>
      <c r="BP1076" s="70"/>
      <c r="BQ1076" s="70"/>
      <c r="BR1076" s="70"/>
      <c r="BS1076" s="70"/>
      <c r="BT1076" s="70"/>
      <c r="BU1076" s="70"/>
      <c r="BV1076" s="70"/>
      <c r="BW1076" s="70"/>
      <c r="BX1076" s="70"/>
      <c r="BY1076" s="70"/>
      <c r="BZ1076" s="70"/>
      <c r="CA1076" s="70"/>
      <c r="CB1076" s="70"/>
      <c r="CC1076" s="70"/>
      <c r="CD1076" s="70"/>
      <c r="CE1076" s="70"/>
      <c r="CF1076" s="70"/>
      <c r="CG1076" s="70"/>
      <c r="CH1076" s="70"/>
      <c r="CI1076" s="70"/>
      <c r="CJ1076" s="70"/>
      <c r="CK1076" s="70"/>
      <c r="CL1076" s="70"/>
      <c r="CM1076" s="70"/>
      <c r="CN1076" s="70"/>
      <c r="CO1076" s="70"/>
      <c r="CP1076" s="70"/>
      <c r="CQ1076" s="70"/>
      <c r="CR1076" s="70"/>
      <c r="CS1076" s="70"/>
      <c r="CT1076" s="70"/>
      <c r="CU1076" s="70"/>
      <c r="CV1076" s="70"/>
      <c r="CW1076" s="70"/>
      <c r="CX1076" s="70"/>
      <c r="CY1076" s="70"/>
      <c r="CZ1076" s="70"/>
      <c r="DA1076" s="70"/>
      <c r="DB1076" s="70"/>
      <c r="DC1076" s="70"/>
      <c r="DD1076" s="70"/>
      <c r="DE1076" s="70"/>
      <c r="DF1076" s="70"/>
      <c r="DG1076" s="70"/>
      <c r="DH1076" s="70"/>
      <c r="DI1076" s="70"/>
      <c r="DJ1076" s="70"/>
      <c r="DK1076" s="70"/>
      <c r="DL1076" s="70"/>
      <c r="DM1076" s="70"/>
      <c r="DN1076" s="70"/>
      <c r="DO1076" s="70"/>
      <c r="DP1076" s="70"/>
      <c r="DQ1076" s="70"/>
      <c r="DR1076" s="70"/>
      <c r="DS1076" s="70"/>
      <c r="DT1076" s="70"/>
      <c r="DU1076" s="70"/>
      <c r="DV1076" s="70"/>
      <c r="DW1076" s="70"/>
      <c r="DX1076" s="70"/>
      <c r="DY1076" s="70"/>
      <c r="DZ1076" s="70"/>
      <c r="EA1076" s="70"/>
      <c r="EB1076" s="70"/>
      <c r="EC1076" s="70"/>
      <c r="ED1076" s="70"/>
      <c r="EE1076" s="95" t="s">
        <v>450</v>
      </c>
      <c r="EF1076" s="110"/>
      <c r="EG1076" s="110"/>
      <c r="EH1076" s="110"/>
      <c r="EI1076" s="216"/>
      <c r="EJ1076" s="110"/>
      <c r="EK1076" s="110"/>
      <c r="EL1076" s="110"/>
      <c r="EM1076" s="110"/>
      <c r="EN1076" s="110"/>
      <c r="EO1076" s="110"/>
      <c r="EP1076" s="110"/>
      <c r="EQ1076" s="110"/>
      <c r="ER1076" s="110"/>
      <c r="ES1076" s="110"/>
      <c r="ET1076" s="110"/>
      <c r="EU1076" s="110"/>
      <c r="EV1076" s="110"/>
      <c r="EW1076" s="110"/>
      <c r="EX1076" s="110"/>
      <c r="EY1076" s="110"/>
      <c r="EZ1076" s="110"/>
      <c r="FA1076" s="110"/>
      <c r="FB1076" s="110"/>
      <c r="FC1076" s="110"/>
      <c r="FD1076" s="110"/>
      <c r="FE1076" s="110"/>
      <c r="FF1076" s="110"/>
      <c r="FG1076" s="110"/>
      <c r="FH1076" s="110"/>
      <c r="FI1076" s="110"/>
      <c r="FJ1076" s="110"/>
      <c r="FK1076" s="110"/>
      <c r="FL1076" s="110"/>
      <c r="FM1076" s="110"/>
      <c r="FN1076" s="110"/>
      <c r="FO1076" s="110"/>
      <c r="FP1076" s="110"/>
      <c r="FQ1076" s="110"/>
      <c r="FR1076" s="110"/>
      <c r="FS1076" s="110"/>
      <c r="FT1076" s="110"/>
      <c r="FU1076" s="110"/>
      <c r="FV1076" s="110"/>
      <c r="FW1076" s="110"/>
      <c r="FX1076" s="110"/>
      <c r="FY1076" s="110"/>
      <c r="FZ1076" s="110"/>
      <c r="GA1076" s="110"/>
      <c r="GB1076" s="110"/>
      <c r="GC1076" s="110"/>
      <c r="GD1076" s="110"/>
      <c r="GE1076" s="110"/>
      <c r="GF1076" s="110"/>
      <c r="GG1076" s="110"/>
      <c r="GH1076" s="110"/>
      <c r="GI1076" s="110"/>
      <c r="GJ1076" s="110"/>
      <c r="GK1076" s="110"/>
      <c r="GL1076" s="110"/>
      <c r="GM1076" s="110"/>
      <c r="GN1076" s="110"/>
      <c r="GO1076" s="110"/>
      <c r="GP1076" s="110"/>
      <c r="GQ1076" s="110"/>
      <c r="GR1076" s="110"/>
      <c r="GS1076" s="110"/>
      <c r="GT1076" s="110"/>
      <c r="GU1076" s="110"/>
      <c r="GV1076" s="110"/>
      <c r="GW1076" s="110"/>
      <c r="GX1076" s="110"/>
      <c r="GY1076" s="110"/>
      <c r="GZ1076" s="110"/>
      <c r="HA1076" s="110"/>
      <c r="HB1076" s="110"/>
      <c r="HC1076" s="110"/>
      <c r="HD1076" s="110"/>
      <c r="HE1076" s="110"/>
      <c r="HF1076" s="110"/>
      <c r="HG1076" s="110"/>
      <c r="HH1076" s="110"/>
      <c r="HI1076" s="110"/>
      <c r="HJ1076" s="110"/>
      <c r="HK1076" s="110"/>
      <c r="HL1076" s="110"/>
      <c r="HM1076" s="110"/>
      <c r="HN1076" s="110"/>
      <c r="HO1076" s="110"/>
      <c r="HP1076" s="110"/>
      <c r="HQ1076" s="110"/>
      <c r="HR1076" s="110"/>
      <c r="HS1076" s="110"/>
      <c r="HT1076" s="110"/>
      <c r="HU1076" s="110"/>
      <c r="HV1076" s="110"/>
      <c r="HW1076" s="110"/>
      <c r="HX1076" s="110"/>
      <c r="HY1076" s="110"/>
      <c r="HZ1076" s="110"/>
      <c r="IA1076" s="110"/>
      <c r="IB1076" s="110"/>
      <c r="IC1076" s="110"/>
      <c r="ID1076" s="110"/>
      <c r="IE1076" s="110"/>
      <c r="IF1076" s="110"/>
      <c r="IG1076" s="110"/>
      <c r="IH1076" s="110"/>
      <c r="II1076" s="110"/>
      <c r="IJ1076" s="110"/>
      <c r="IK1076" s="110"/>
      <c r="IL1076" s="110"/>
      <c r="IM1076" s="110"/>
      <c r="IN1076" s="110"/>
      <c r="IO1076" s="110"/>
      <c r="IP1076" s="110"/>
    </row>
    <row r="1077" spans="18:250" ht="16.5" hidden="1" customHeight="1">
      <c r="R1077" s="95"/>
      <c r="S1077" s="95"/>
      <c r="T1077" s="95"/>
      <c r="U1077" s="70"/>
      <c r="V1077" s="214"/>
      <c r="W1077" s="70"/>
      <c r="X1077" s="70"/>
      <c r="Y1077" s="70"/>
      <c r="Z1077" s="70"/>
      <c r="AA1077" s="70"/>
      <c r="AB1077" s="70"/>
      <c r="AC1077" s="70"/>
      <c r="AD1077" s="70"/>
      <c r="AE1077" s="70"/>
      <c r="AF1077" s="70"/>
      <c r="AG1077" s="70"/>
      <c r="AH1077" s="70"/>
      <c r="AI1077" s="70"/>
      <c r="AJ1077" s="70"/>
      <c r="AK1077" s="70"/>
      <c r="AL1077" s="70"/>
      <c r="AM1077" s="70"/>
      <c r="AN1077" s="70"/>
      <c r="AO1077" s="70"/>
      <c r="AP1077" s="70"/>
      <c r="AQ1077" s="70"/>
      <c r="AR1077" s="70"/>
      <c r="AS1077" s="70"/>
      <c r="AT1077" s="70"/>
      <c r="AU1077" s="70"/>
      <c r="AV1077" s="70"/>
      <c r="AW1077" s="70"/>
      <c r="AX1077" s="70"/>
      <c r="AY1077" s="70"/>
      <c r="AZ1077" s="70"/>
      <c r="BA1077" s="70"/>
      <c r="BB1077" s="70"/>
      <c r="BC1077" s="70"/>
      <c r="BD1077" s="70"/>
      <c r="BE1077" s="70"/>
      <c r="BF1077" s="70"/>
      <c r="BG1077" s="70"/>
      <c r="BH1077" s="70"/>
      <c r="BI1077" s="70"/>
      <c r="BJ1077" s="70"/>
      <c r="BK1077" s="70"/>
      <c r="BL1077" s="70"/>
      <c r="BM1077" s="70"/>
      <c r="BN1077" s="70"/>
      <c r="BO1077" s="70"/>
      <c r="BP1077" s="70"/>
      <c r="BQ1077" s="70"/>
      <c r="BR1077" s="70"/>
      <c r="BS1077" s="70"/>
      <c r="BT1077" s="70"/>
      <c r="BU1077" s="70"/>
      <c r="BV1077" s="70"/>
      <c r="BW1077" s="70"/>
      <c r="BX1077" s="70"/>
      <c r="BY1077" s="70"/>
      <c r="BZ1077" s="70"/>
      <c r="CA1077" s="70"/>
      <c r="CB1077" s="70"/>
      <c r="CC1077" s="70"/>
      <c r="CD1077" s="70"/>
      <c r="CE1077" s="70"/>
      <c r="CF1077" s="70"/>
      <c r="CG1077" s="70"/>
      <c r="CH1077" s="70"/>
      <c r="CI1077" s="70"/>
      <c r="CJ1077" s="70"/>
      <c r="CK1077" s="70"/>
      <c r="CL1077" s="70"/>
      <c r="CM1077" s="70"/>
      <c r="CN1077" s="70"/>
      <c r="CO1077" s="70"/>
      <c r="CP1077" s="70"/>
      <c r="CQ1077" s="70"/>
      <c r="CR1077" s="70"/>
      <c r="CS1077" s="70"/>
      <c r="CT1077" s="70"/>
      <c r="CU1077" s="70"/>
      <c r="CV1077" s="70"/>
      <c r="CW1077" s="70"/>
      <c r="CX1077" s="70"/>
      <c r="CY1077" s="70"/>
      <c r="CZ1077" s="70"/>
      <c r="DA1077" s="70"/>
      <c r="DB1077" s="70"/>
      <c r="DC1077" s="70"/>
      <c r="DD1077" s="70"/>
      <c r="DE1077" s="70"/>
      <c r="DF1077" s="70"/>
      <c r="DG1077" s="70"/>
      <c r="DH1077" s="70"/>
      <c r="DI1077" s="70"/>
      <c r="DJ1077" s="70"/>
      <c r="DK1077" s="70"/>
      <c r="DL1077" s="70"/>
      <c r="DM1077" s="70"/>
      <c r="DN1077" s="70"/>
      <c r="DO1077" s="70"/>
      <c r="DP1077" s="70"/>
      <c r="DQ1077" s="70"/>
      <c r="DR1077" s="70"/>
      <c r="DS1077" s="70"/>
      <c r="DT1077" s="70"/>
      <c r="DU1077" s="70"/>
      <c r="DV1077" s="70"/>
      <c r="DW1077" s="70"/>
      <c r="DX1077" s="70"/>
      <c r="DY1077" s="70"/>
      <c r="DZ1077" s="70"/>
      <c r="EA1077" s="70"/>
      <c r="EB1077" s="70"/>
      <c r="EC1077" s="70"/>
      <c r="ED1077" s="70"/>
      <c r="EE1077" s="95" t="s">
        <v>450</v>
      </c>
      <c r="EF1077" s="110"/>
      <c r="EG1077" s="110"/>
      <c r="EH1077" s="110"/>
      <c r="EI1077" s="216"/>
      <c r="EJ1077" s="110"/>
      <c r="EK1077" s="110"/>
      <c r="EL1077" s="110"/>
      <c r="EM1077" s="110"/>
      <c r="EN1077" s="110"/>
      <c r="EO1077" s="110"/>
      <c r="EP1077" s="110"/>
      <c r="EQ1077" s="110"/>
      <c r="ER1077" s="110"/>
      <c r="ES1077" s="110"/>
      <c r="ET1077" s="110"/>
      <c r="EU1077" s="110"/>
      <c r="EV1077" s="110"/>
      <c r="EW1077" s="110"/>
      <c r="EX1077" s="110"/>
      <c r="EY1077" s="110"/>
      <c r="EZ1077" s="110"/>
      <c r="FA1077" s="110"/>
      <c r="FB1077" s="110"/>
      <c r="FC1077" s="110"/>
      <c r="FD1077" s="110"/>
      <c r="FE1077" s="110"/>
      <c r="FF1077" s="110"/>
      <c r="FG1077" s="110"/>
      <c r="FH1077" s="110"/>
      <c r="FI1077" s="110"/>
      <c r="FJ1077" s="110"/>
      <c r="FK1077" s="110"/>
      <c r="FL1077" s="110"/>
      <c r="FM1077" s="110"/>
      <c r="FN1077" s="110"/>
      <c r="FO1077" s="110"/>
      <c r="FP1077" s="110"/>
      <c r="FQ1077" s="110"/>
      <c r="FR1077" s="110"/>
      <c r="FS1077" s="110"/>
      <c r="FT1077" s="110"/>
      <c r="FU1077" s="110"/>
      <c r="FV1077" s="110"/>
      <c r="FW1077" s="110"/>
      <c r="FX1077" s="110"/>
      <c r="FY1077" s="110"/>
      <c r="FZ1077" s="110"/>
      <c r="GA1077" s="110"/>
      <c r="GB1077" s="110"/>
      <c r="GC1077" s="110"/>
      <c r="GD1077" s="110"/>
      <c r="GE1077" s="110"/>
      <c r="GF1077" s="110"/>
      <c r="GG1077" s="110"/>
      <c r="GH1077" s="110"/>
      <c r="GI1077" s="110"/>
      <c r="GJ1077" s="110"/>
      <c r="GK1077" s="110"/>
      <c r="GL1077" s="110"/>
      <c r="GM1077" s="110"/>
      <c r="GN1077" s="110"/>
      <c r="GO1077" s="110"/>
      <c r="GP1077" s="110"/>
      <c r="GQ1077" s="110"/>
      <c r="GR1077" s="110"/>
      <c r="GS1077" s="110"/>
      <c r="GT1077" s="110"/>
      <c r="GU1077" s="110"/>
      <c r="GV1077" s="110"/>
      <c r="GW1077" s="110"/>
      <c r="GX1077" s="110"/>
      <c r="GY1077" s="110"/>
      <c r="GZ1077" s="110"/>
      <c r="HA1077" s="110"/>
      <c r="HB1077" s="110"/>
      <c r="HC1077" s="110"/>
      <c r="HD1077" s="110"/>
      <c r="HE1077" s="110"/>
      <c r="HF1077" s="110"/>
      <c r="HG1077" s="110"/>
      <c r="HH1077" s="110"/>
      <c r="HI1077" s="110"/>
      <c r="HJ1077" s="110"/>
      <c r="HK1077" s="110"/>
      <c r="HL1077" s="110"/>
      <c r="HM1077" s="110"/>
      <c r="HN1077" s="110"/>
      <c r="HO1077" s="110"/>
      <c r="HP1077" s="110"/>
      <c r="HQ1077" s="110"/>
      <c r="HR1077" s="110"/>
      <c r="HS1077" s="110"/>
      <c r="HT1077" s="110"/>
      <c r="HU1077" s="110"/>
      <c r="HV1077" s="110"/>
      <c r="HW1077" s="110"/>
      <c r="HX1077" s="110"/>
      <c r="HY1077" s="110"/>
      <c r="HZ1077" s="110"/>
      <c r="IA1077" s="110"/>
      <c r="IB1077" s="110"/>
      <c r="IC1077" s="110"/>
      <c r="ID1077" s="110"/>
      <c r="IE1077" s="110"/>
      <c r="IF1077" s="110"/>
      <c r="IG1077" s="110"/>
      <c r="IH1077" s="110"/>
      <c r="II1077" s="110"/>
      <c r="IJ1077" s="110"/>
      <c r="IK1077" s="110"/>
      <c r="IL1077" s="110"/>
      <c r="IM1077" s="110"/>
      <c r="IN1077" s="110"/>
      <c r="IO1077" s="110"/>
      <c r="IP1077" s="110"/>
    </row>
    <row r="1078" spans="18:250" ht="16.5" hidden="1" customHeight="1">
      <c r="R1078" s="95"/>
      <c r="S1078" s="95"/>
      <c r="T1078" s="95"/>
      <c r="U1078" s="70"/>
      <c r="V1078" s="214"/>
      <c r="W1078" s="70"/>
      <c r="X1078" s="70"/>
      <c r="Y1078" s="70"/>
      <c r="Z1078" s="70"/>
      <c r="AA1078" s="70"/>
      <c r="AB1078" s="70"/>
      <c r="AC1078" s="70"/>
      <c r="AD1078" s="70"/>
      <c r="AE1078" s="70"/>
      <c r="AF1078" s="70"/>
      <c r="AG1078" s="70"/>
      <c r="AH1078" s="70"/>
      <c r="AI1078" s="70"/>
      <c r="AJ1078" s="70"/>
      <c r="AK1078" s="70"/>
      <c r="AL1078" s="70"/>
      <c r="AM1078" s="70"/>
      <c r="AN1078" s="70"/>
      <c r="AO1078" s="70"/>
      <c r="AP1078" s="70"/>
      <c r="AQ1078" s="70"/>
      <c r="AR1078" s="70"/>
      <c r="AS1078" s="70"/>
      <c r="AT1078" s="70"/>
      <c r="AU1078" s="70"/>
      <c r="AV1078" s="70"/>
      <c r="AW1078" s="70"/>
      <c r="AX1078" s="70"/>
      <c r="AY1078" s="70"/>
      <c r="AZ1078" s="70"/>
      <c r="BA1078" s="70"/>
      <c r="BB1078" s="70"/>
      <c r="BC1078" s="70"/>
      <c r="BD1078" s="70"/>
      <c r="BE1078" s="70"/>
      <c r="BF1078" s="70"/>
      <c r="BG1078" s="70"/>
      <c r="BH1078" s="70"/>
      <c r="BI1078" s="70"/>
      <c r="BJ1078" s="70"/>
      <c r="BK1078" s="70"/>
      <c r="BL1078" s="70"/>
      <c r="BM1078" s="70"/>
      <c r="BN1078" s="70"/>
      <c r="BO1078" s="70"/>
      <c r="BP1078" s="70"/>
      <c r="BQ1078" s="70"/>
      <c r="BR1078" s="70"/>
      <c r="BS1078" s="70"/>
      <c r="BT1078" s="70"/>
      <c r="BU1078" s="70"/>
      <c r="BV1078" s="70"/>
      <c r="BW1078" s="70"/>
      <c r="BX1078" s="70"/>
      <c r="BY1078" s="70"/>
      <c r="BZ1078" s="70"/>
      <c r="CA1078" s="70"/>
      <c r="CB1078" s="70"/>
      <c r="CC1078" s="70"/>
      <c r="CD1078" s="70"/>
      <c r="CE1078" s="70"/>
      <c r="CF1078" s="70"/>
      <c r="CG1078" s="70"/>
      <c r="CH1078" s="70"/>
      <c r="CI1078" s="70"/>
      <c r="CJ1078" s="70"/>
      <c r="CK1078" s="70"/>
      <c r="CL1078" s="70"/>
      <c r="CM1078" s="70"/>
      <c r="CN1078" s="70"/>
      <c r="CO1078" s="70"/>
      <c r="CP1078" s="70"/>
      <c r="CQ1078" s="70"/>
      <c r="CR1078" s="70"/>
      <c r="CS1078" s="70"/>
      <c r="CT1078" s="70"/>
      <c r="CU1078" s="70"/>
      <c r="CV1078" s="70"/>
      <c r="CW1078" s="70"/>
      <c r="CX1078" s="70"/>
      <c r="CY1078" s="70"/>
      <c r="CZ1078" s="70"/>
      <c r="DA1078" s="70"/>
      <c r="DB1078" s="70"/>
      <c r="DC1078" s="70"/>
      <c r="DD1078" s="70"/>
      <c r="DE1078" s="70"/>
      <c r="DF1078" s="70"/>
      <c r="DG1078" s="70"/>
      <c r="DH1078" s="70"/>
      <c r="DI1078" s="70"/>
      <c r="DJ1078" s="70"/>
      <c r="DK1078" s="70"/>
      <c r="DL1078" s="70"/>
      <c r="DM1078" s="70"/>
      <c r="DN1078" s="70"/>
      <c r="DO1078" s="70"/>
      <c r="DP1078" s="70"/>
      <c r="DQ1078" s="70"/>
      <c r="DR1078" s="70"/>
      <c r="DS1078" s="70"/>
      <c r="DT1078" s="70"/>
      <c r="DU1078" s="70"/>
      <c r="DV1078" s="70"/>
      <c r="DW1078" s="70"/>
      <c r="DX1078" s="70"/>
      <c r="DY1078" s="70"/>
      <c r="DZ1078" s="70"/>
      <c r="EA1078" s="70"/>
      <c r="EB1078" s="70"/>
      <c r="EC1078" s="70"/>
      <c r="ED1078" s="70"/>
      <c r="EE1078" s="95" t="s">
        <v>450</v>
      </c>
      <c r="EF1078" s="110"/>
      <c r="EG1078" s="110"/>
      <c r="EH1078" s="110"/>
      <c r="EI1078" s="216"/>
      <c r="EJ1078" s="110"/>
      <c r="EK1078" s="110"/>
      <c r="EL1078" s="110"/>
      <c r="EM1078" s="110"/>
      <c r="EN1078" s="110"/>
      <c r="EO1078" s="110"/>
      <c r="EP1078" s="110"/>
      <c r="EQ1078" s="110"/>
      <c r="ER1078" s="110"/>
      <c r="ES1078" s="110"/>
      <c r="ET1078" s="110"/>
      <c r="EU1078" s="110"/>
      <c r="EV1078" s="110"/>
      <c r="EW1078" s="110"/>
      <c r="EX1078" s="110"/>
      <c r="EY1078" s="110"/>
      <c r="EZ1078" s="110"/>
      <c r="FA1078" s="110"/>
      <c r="FB1078" s="110"/>
      <c r="FC1078" s="110"/>
      <c r="FD1078" s="110"/>
      <c r="FE1078" s="110"/>
      <c r="FF1078" s="110"/>
      <c r="FG1078" s="110"/>
      <c r="FH1078" s="110"/>
      <c r="FI1078" s="110"/>
      <c r="FJ1078" s="110"/>
      <c r="FK1078" s="110"/>
      <c r="FL1078" s="110"/>
      <c r="FM1078" s="110"/>
      <c r="FN1078" s="110"/>
      <c r="FO1078" s="110"/>
      <c r="FP1078" s="110"/>
      <c r="FQ1078" s="110"/>
      <c r="FR1078" s="110"/>
      <c r="FS1078" s="110"/>
      <c r="FT1078" s="110"/>
      <c r="FU1078" s="110"/>
      <c r="FV1078" s="110"/>
      <c r="FW1078" s="110"/>
      <c r="FX1078" s="110"/>
      <c r="FY1078" s="110"/>
      <c r="FZ1078" s="110"/>
      <c r="GA1078" s="110"/>
      <c r="GB1078" s="110"/>
      <c r="GC1078" s="110"/>
      <c r="GD1078" s="110"/>
      <c r="GE1078" s="110"/>
      <c r="GF1078" s="110"/>
      <c r="GG1078" s="110"/>
      <c r="GH1078" s="110"/>
      <c r="GI1078" s="110"/>
      <c r="GJ1078" s="110"/>
      <c r="GK1078" s="110"/>
      <c r="GL1078" s="110"/>
      <c r="GM1078" s="110"/>
      <c r="GN1078" s="110"/>
      <c r="GO1078" s="110"/>
      <c r="GP1078" s="110"/>
      <c r="GQ1078" s="110"/>
      <c r="GR1078" s="110"/>
      <c r="GS1078" s="110"/>
      <c r="GT1078" s="110"/>
      <c r="GU1078" s="110"/>
      <c r="GV1078" s="110"/>
      <c r="GW1078" s="110"/>
      <c r="GX1078" s="110"/>
      <c r="GY1078" s="110"/>
      <c r="GZ1078" s="110"/>
      <c r="HA1078" s="110"/>
      <c r="HB1078" s="110"/>
      <c r="HC1078" s="110"/>
      <c r="HD1078" s="110"/>
      <c r="HE1078" s="110"/>
      <c r="HF1078" s="110"/>
      <c r="HG1078" s="110"/>
      <c r="HH1078" s="110"/>
      <c r="HI1078" s="110"/>
      <c r="HJ1078" s="110"/>
      <c r="HK1078" s="110"/>
      <c r="HL1078" s="110"/>
      <c r="HM1078" s="110"/>
      <c r="HN1078" s="110"/>
      <c r="HO1078" s="110"/>
      <c r="HP1078" s="110"/>
      <c r="HQ1078" s="110"/>
      <c r="HR1078" s="110"/>
      <c r="HS1078" s="110"/>
      <c r="HT1078" s="110"/>
      <c r="HU1078" s="110"/>
      <c r="HV1078" s="110"/>
      <c r="HW1078" s="110"/>
      <c r="HX1078" s="110"/>
      <c r="HY1078" s="110"/>
      <c r="HZ1078" s="110"/>
      <c r="IA1078" s="110"/>
      <c r="IB1078" s="110"/>
      <c r="IC1078" s="110"/>
      <c r="ID1078" s="110"/>
      <c r="IE1078" s="110"/>
      <c r="IF1078" s="110"/>
      <c r="IG1078" s="110"/>
      <c r="IH1078" s="110"/>
      <c r="II1078" s="110"/>
      <c r="IJ1078" s="110"/>
      <c r="IK1078" s="110"/>
      <c r="IL1078" s="110"/>
      <c r="IM1078" s="110"/>
      <c r="IN1078" s="110"/>
      <c r="IO1078" s="110"/>
      <c r="IP1078" s="110"/>
    </row>
    <row r="1079" spans="18:250" ht="16.5" hidden="1" customHeight="1">
      <c r="R1079" s="95"/>
      <c r="S1079" s="95"/>
      <c r="T1079" s="95"/>
      <c r="U1079" s="70"/>
      <c r="V1079" s="214"/>
      <c r="W1079" s="70"/>
      <c r="X1079" s="70"/>
      <c r="Y1079" s="70"/>
      <c r="Z1079" s="70"/>
      <c r="AA1079" s="70"/>
      <c r="AB1079" s="70"/>
      <c r="AC1079" s="70"/>
      <c r="AD1079" s="70"/>
      <c r="AE1079" s="70"/>
      <c r="AF1079" s="70"/>
      <c r="AG1079" s="70"/>
      <c r="AH1079" s="70"/>
      <c r="AI1079" s="70"/>
      <c r="AJ1079" s="70"/>
      <c r="AK1079" s="70"/>
      <c r="AL1079" s="70"/>
      <c r="AM1079" s="70"/>
      <c r="AN1079" s="70"/>
      <c r="AO1079" s="70"/>
      <c r="AP1079" s="70"/>
      <c r="AQ1079" s="70"/>
      <c r="AR1079" s="70"/>
      <c r="AS1079" s="70"/>
      <c r="AT1079" s="70"/>
      <c r="AU1079" s="70"/>
      <c r="AV1079" s="70"/>
      <c r="AW1079" s="70"/>
      <c r="AX1079" s="70"/>
      <c r="AY1079" s="70"/>
      <c r="AZ1079" s="70"/>
      <c r="BA1079" s="70"/>
      <c r="BB1079" s="70"/>
      <c r="BC1079" s="70"/>
      <c r="BD1079" s="70"/>
      <c r="BE1079" s="70"/>
      <c r="BF1079" s="70"/>
      <c r="BG1079" s="70"/>
      <c r="BH1079" s="70"/>
      <c r="BI1079" s="70"/>
      <c r="BJ1079" s="70"/>
      <c r="BK1079" s="70"/>
      <c r="BL1079" s="70"/>
      <c r="BM1079" s="70"/>
      <c r="BN1079" s="70"/>
      <c r="BO1079" s="70"/>
      <c r="BP1079" s="70"/>
      <c r="BQ1079" s="70"/>
      <c r="BR1079" s="70"/>
      <c r="BS1079" s="70"/>
      <c r="BT1079" s="70"/>
      <c r="BU1079" s="70"/>
      <c r="BV1079" s="70"/>
      <c r="BW1079" s="70"/>
      <c r="BX1079" s="70"/>
      <c r="BY1079" s="70"/>
      <c r="BZ1079" s="70"/>
      <c r="CA1079" s="70"/>
      <c r="CB1079" s="70"/>
      <c r="CC1079" s="70"/>
      <c r="CD1079" s="70"/>
      <c r="CE1079" s="70"/>
      <c r="CF1079" s="70"/>
      <c r="CG1079" s="70"/>
      <c r="CH1079" s="70"/>
      <c r="CI1079" s="70"/>
      <c r="CJ1079" s="70"/>
      <c r="CK1079" s="70"/>
      <c r="CL1079" s="70"/>
      <c r="CM1079" s="70"/>
      <c r="CN1079" s="70"/>
      <c r="CO1079" s="70"/>
      <c r="CP1079" s="70"/>
      <c r="CQ1079" s="70"/>
      <c r="CR1079" s="70"/>
      <c r="CS1079" s="70"/>
      <c r="CT1079" s="70"/>
      <c r="CU1079" s="70"/>
      <c r="CV1079" s="70"/>
      <c r="CW1079" s="70"/>
      <c r="CX1079" s="70"/>
      <c r="CY1079" s="70"/>
      <c r="CZ1079" s="70"/>
      <c r="DA1079" s="70"/>
      <c r="DB1079" s="70"/>
      <c r="DC1079" s="70"/>
      <c r="DD1079" s="70"/>
      <c r="DE1079" s="70"/>
      <c r="DF1079" s="70"/>
      <c r="DG1079" s="70"/>
      <c r="DH1079" s="70"/>
      <c r="DI1079" s="70"/>
      <c r="DJ1079" s="70"/>
      <c r="DK1079" s="70"/>
      <c r="DL1079" s="70"/>
      <c r="DM1079" s="70"/>
      <c r="DN1079" s="70"/>
      <c r="DO1079" s="70"/>
      <c r="DP1079" s="70"/>
      <c r="DQ1079" s="70"/>
      <c r="DR1079" s="70"/>
      <c r="DS1079" s="70"/>
      <c r="DT1079" s="70"/>
      <c r="DU1079" s="70"/>
      <c r="DV1079" s="70"/>
      <c r="DW1079" s="70"/>
      <c r="DX1079" s="70"/>
      <c r="DY1079" s="70"/>
      <c r="DZ1079" s="70"/>
      <c r="EA1079" s="70"/>
      <c r="EB1079" s="70"/>
      <c r="EC1079" s="70"/>
      <c r="ED1079" s="70"/>
      <c r="EE1079" s="95" t="s">
        <v>450</v>
      </c>
      <c r="EF1079" s="110"/>
      <c r="EG1079" s="110"/>
      <c r="EH1079" s="110"/>
      <c r="EI1079" s="216"/>
      <c r="EJ1079" s="110"/>
      <c r="EK1079" s="110"/>
      <c r="EL1079" s="110"/>
      <c r="EM1079" s="110"/>
      <c r="EN1079" s="110"/>
      <c r="EO1079" s="110"/>
      <c r="EP1079" s="110"/>
      <c r="EQ1079" s="110"/>
      <c r="ER1079" s="110"/>
      <c r="ES1079" s="110"/>
      <c r="ET1079" s="110"/>
      <c r="EU1079" s="110"/>
      <c r="EV1079" s="110"/>
      <c r="EW1079" s="110"/>
      <c r="EX1079" s="110"/>
      <c r="EY1079" s="110"/>
      <c r="EZ1079" s="110"/>
      <c r="FA1079" s="110"/>
      <c r="FB1079" s="110"/>
      <c r="FC1079" s="110"/>
      <c r="FD1079" s="110"/>
      <c r="FE1079" s="110"/>
      <c r="FF1079" s="110"/>
      <c r="FG1079" s="110"/>
      <c r="FH1079" s="110"/>
      <c r="FI1079" s="110"/>
      <c r="FJ1079" s="110"/>
      <c r="FK1079" s="110"/>
      <c r="FL1079" s="110"/>
      <c r="FM1079" s="110"/>
      <c r="FN1079" s="110"/>
      <c r="FO1079" s="110"/>
      <c r="FP1079" s="110"/>
      <c r="FQ1079" s="110"/>
      <c r="FR1079" s="110"/>
      <c r="FS1079" s="110"/>
      <c r="FT1079" s="110"/>
      <c r="FU1079" s="110"/>
      <c r="FV1079" s="110"/>
      <c r="FW1079" s="110"/>
      <c r="FX1079" s="110"/>
      <c r="FY1079" s="110"/>
      <c r="FZ1079" s="110"/>
      <c r="GA1079" s="110"/>
      <c r="GB1079" s="110"/>
      <c r="GC1079" s="110"/>
      <c r="GD1079" s="110"/>
      <c r="GE1079" s="110"/>
      <c r="GF1079" s="110"/>
      <c r="GG1079" s="110"/>
      <c r="GH1079" s="110"/>
      <c r="GI1079" s="110"/>
      <c r="GJ1079" s="110"/>
      <c r="GK1079" s="110"/>
      <c r="GL1079" s="110"/>
      <c r="GM1079" s="110"/>
      <c r="GN1079" s="110"/>
      <c r="GO1079" s="110"/>
      <c r="GP1079" s="110"/>
      <c r="GQ1079" s="110"/>
      <c r="GR1079" s="110"/>
      <c r="GS1079" s="110"/>
      <c r="GT1079" s="110"/>
      <c r="GU1079" s="110"/>
      <c r="GV1079" s="110"/>
      <c r="GW1079" s="110"/>
      <c r="GX1079" s="110"/>
      <c r="GY1079" s="110"/>
      <c r="GZ1079" s="110"/>
      <c r="HA1079" s="110"/>
      <c r="HB1079" s="110"/>
      <c r="HC1079" s="110"/>
      <c r="HD1079" s="110"/>
      <c r="HE1079" s="110"/>
      <c r="HF1079" s="110"/>
      <c r="HG1079" s="110"/>
      <c r="HH1079" s="110"/>
      <c r="HI1079" s="110"/>
      <c r="HJ1079" s="110"/>
      <c r="HK1079" s="110"/>
      <c r="HL1079" s="110"/>
      <c r="HM1079" s="110"/>
      <c r="HN1079" s="110"/>
      <c r="HO1079" s="110"/>
      <c r="HP1079" s="110"/>
      <c r="HQ1079" s="110"/>
      <c r="HR1079" s="110"/>
      <c r="HS1079" s="110"/>
      <c r="HT1079" s="110"/>
      <c r="HU1079" s="110"/>
      <c r="HV1079" s="110"/>
      <c r="HW1079" s="110"/>
      <c r="HX1079" s="110"/>
      <c r="HY1079" s="110"/>
      <c r="HZ1079" s="110"/>
      <c r="IA1079" s="110"/>
      <c r="IB1079" s="110"/>
      <c r="IC1079" s="110"/>
      <c r="ID1079" s="110"/>
      <c r="IE1079" s="110"/>
      <c r="IF1079" s="110"/>
      <c r="IG1079" s="110"/>
      <c r="IH1079" s="110"/>
      <c r="II1079" s="110"/>
      <c r="IJ1079" s="110"/>
      <c r="IK1079" s="110"/>
      <c r="IL1079" s="110"/>
      <c r="IM1079" s="110"/>
      <c r="IN1079" s="110"/>
      <c r="IO1079" s="110"/>
      <c r="IP1079" s="110"/>
    </row>
    <row r="1080" spans="18:250" ht="16.5" hidden="1" customHeight="1">
      <c r="R1080" s="95"/>
      <c r="S1080" s="95"/>
      <c r="T1080" s="95"/>
      <c r="U1080" s="70"/>
      <c r="V1080" s="214"/>
      <c r="W1080" s="70"/>
      <c r="X1080" s="70"/>
      <c r="Y1080" s="70"/>
      <c r="Z1080" s="70"/>
      <c r="AA1080" s="70"/>
      <c r="AB1080" s="70"/>
      <c r="AC1080" s="70"/>
      <c r="AD1080" s="70"/>
      <c r="AE1080" s="70"/>
      <c r="AF1080" s="70"/>
      <c r="AG1080" s="70"/>
      <c r="AH1080" s="70"/>
      <c r="AI1080" s="70"/>
      <c r="AJ1080" s="70"/>
      <c r="AK1080" s="70"/>
      <c r="AL1080" s="70"/>
      <c r="AM1080" s="70"/>
      <c r="AN1080" s="70"/>
      <c r="AO1080" s="70"/>
      <c r="AP1080" s="70"/>
      <c r="AQ1080" s="70"/>
      <c r="AR1080" s="70"/>
      <c r="AS1080" s="70"/>
      <c r="AT1080" s="70"/>
      <c r="AU1080" s="70"/>
      <c r="AV1080" s="70"/>
      <c r="AW1080" s="70"/>
      <c r="AX1080" s="70"/>
      <c r="AY1080" s="70"/>
      <c r="AZ1080" s="70"/>
      <c r="BA1080" s="70"/>
      <c r="BB1080" s="70"/>
      <c r="BC1080" s="70"/>
      <c r="BD1080" s="70"/>
      <c r="BE1080" s="70"/>
      <c r="BF1080" s="70"/>
      <c r="BG1080" s="70"/>
      <c r="BH1080" s="70"/>
      <c r="BI1080" s="70"/>
      <c r="BJ1080" s="70"/>
      <c r="BK1080" s="70"/>
      <c r="BL1080" s="70"/>
      <c r="BM1080" s="70"/>
      <c r="BN1080" s="70"/>
      <c r="BO1080" s="70"/>
      <c r="BP1080" s="70"/>
      <c r="BQ1080" s="70"/>
      <c r="BR1080" s="70"/>
      <c r="BS1080" s="70"/>
      <c r="BT1080" s="70"/>
      <c r="BU1080" s="70"/>
      <c r="BV1080" s="70"/>
      <c r="BW1080" s="70"/>
      <c r="BX1080" s="70"/>
      <c r="BY1080" s="70"/>
      <c r="BZ1080" s="70"/>
      <c r="CA1080" s="70"/>
      <c r="CB1080" s="70"/>
      <c r="CC1080" s="70"/>
      <c r="CD1080" s="70"/>
      <c r="CE1080" s="70"/>
      <c r="CF1080" s="70"/>
      <c r="CG1080" s="70"/>
      <c r="CH1080" s="70"/>
      <c r="CI1080" s="70"/>
      <c r="CJ1080" s="70"/>
      <c r="CK1080" s="70"/>
      <c r="CL1080" s="70"/>
      <c r="CM1080" s="70"/>
      <c r="CN1080" s="70"/>
      <c r="CO1080" s="70"/>
      <c r="CP1080" s="70"/>
      <c r="CQ1080" s="70"/>
      <c r="CR1080" s="70"/>
      <c r="CS1080" s="70"/>
      <c r="CT1080" s="70"/>
      <c r="CU1080" s="70"/>
      <c r="CV1080" s="70"/>
      <c r="CW1080" s="70"/>
      <c r="CX1080" s="70"/>
      <c r="CY1080" s="70"/>
      <c r="CZ1080" s="70"/>
      <c r="DA1080" s="70"/>
      <c r="DB1080" s="70"/>
      <c r="DC1080" s="70"/>
      <c r="DD1080" s="70"/>
      <c r="DE1080" s="70"/>
      <c r="DF1080" s="70"/>
      <c r="DG1080" s="70"/>
      <c r="DH1080" s="70"/>
      <c r="DI1080" s="70"/>
      <c r="DJ1080" s="70"/>
      <c r="DK1080" s="70"/>
      <c r="DL1080" s="70"/>
      <c r="DM1080" s="70"/>
      <c r="DN1080" s="70"/>
      <c r="DO1080" s="70"/>
      <c r="DP1080" s="70"/>
      <c r="DQ1080" s="70"/>
      <c r="DR1080" s="70"/>
      <c r="DS1080" s="70"/>
      <c r="DT1080" s="70"/>
      <c r="DU1080" s="70"/>
      <c r="DV1080" s="70"/>
      <c r="DW1080" s="70"/>
      <c r="DX1080" s="70"/>
      <c r="DY1080" s="70"/>
      <c r="DZ1080" s="70"/>
      <c r="EA1080" s="70"/>
      <c r="EB1080" s="70"/>
      <c r="EC1080" s="70"/>
      <c r="ED1080" s="70"/>
      <c r="EE1080" s="95" t="s">
        <v>450</v>
      </c>
      <c r="EF1080" s="110"/>
      <c r="EG1080" s="110"/>
      <c r="EH1080" s="110"/>
      <c r="EI1080" s="216"/>
      <c r="EJ1080" s="110"/>
      <c r="EK1080" s="110"/>
      <c r="EL1080" s="110"/>
      <c r="EM1080" s="110"/>
      <c r="EN1080" s="110"/>
      <c r="EO1080" s="110"/>
      <c r="EP1080" s="110"/>
      <c r="EQ1080" s="110"/>
      <c r="ER1080" s="110"/>
      <c r="ES1080" s="110"/>
      <c r="ET1080" s="110"/>
      <c r="EU1080" s="110"/>
      <c r="EV1080" s="110"/>
      <c r="EW1080" s="110"/>
      <c r="EX1080" s="110"/>
      <c r="EY1080" s="110"/>
      <c r="EZ1080" s="110"/>
      <c r="FA1080" s="110"/>
      <c r="FB1080" s="110"/>
      <c r="FC1080" s="110"/>
      <c r="FD1080" s="110"/>
      <c r="FE1080" s="110"/>
      <c r="FF1080" s="110"/>
      <c r="FG1080" s="110"/>
      <c r="FH1080" s="110"/>
      <c r="FI1080" s="110"/>
      <c r="FJ1080" s="110"/>
      <c r="FK1080" s="110"/>
      <c r="FL1080" s="110"/>
      <c r="FM1080" s="110"/>
      <c r="FN1080" s="110"/>
      <c r="FO1080" s="110"/>
      <c r="FP1080" s="110"/>
      <c r="FQ1080" s="110"/>
      <c r="FR1080" s="110"/>
      <c r="FS1080" s="110"/>
      <c r="FT1080" s="110"/>
      <c r="FU1080" s="110"/>
      <c r="FV1080" s="110"/>
      <c r="FW1080" s="110"/>
      <c r="FX1080" s="110"/>
      <c r="FY1080" s="110"/>
      <c r="FZ1080" s="110"/>
      <c r="GA1080" s="110"/>
      <c r="GB1080" s="110"/>
      <c r="GC1080" s="110"/>
      <c r="GD1080" s="110"/>
      <c r="GE1080" s="110"/>
      <c r="GF1080" s="110"/>
      <c r="GG1080" s="110"/>
      <c r="GH1080" s="110"/>
      <c r="GI1080" s="110"/>
      <c r="GJ1080" s="110"/>
      <c r="GK1080" s="110"/>
      <c r="GL1080" s="110"/>
      <c r="GM1080" s="110"/>
      <c r="GN1080" s="110"/>
      <c r="GO1080" s="110"/>
      <c r="GP1080" s="110"/>
      <c r="GQ1080" s="110"/>
      <c r="GR1080" s="110"/>
      <c r="GS1080" s="110"/>
      <c r="GT1080" s="110"/>
      <c r="GU1080" s="110"/>
      <c r="GV1080" s="110"/>
      <c r="GW1080" s="110"/>
      <c r="GX1080" s="110"/>
      <c r="GY1080" s="110"/>
      <c r="GZ1080" s="110"/>
      <c r="HA1080" s="110"/>
      <c r="HB1080" s="110"/>
      <c r="HC1080" s="110"/>
      <c r="HD1080" s="110"/>
      <c r="HE1080" s="110"/>
      <c r="HF1080" s="110"/>
      <c r="HG1080" s="110"/>
      <c r="HH1080" s="110"/>
      <c r="HI1080" s="110"/>
      <c r="HJ1080" s="110"/>
      <c r="HK1080" s="110"/>
      <c r="HL1080" s="110"/>
      <c r="HM1080" s="110"/>
      <c r="HN1080" s="110"/>
      <c r="HO1080" s="110"/>
      <c r="HP1080" s="110"/>
      <c r="HQ1080" s="110"/>
      <c r="HR1080" s="110"/>
      <c r="HS1080" s="110"/>
      <c r="HT1080" s="110"/>
      <c r="HU1080" s="110"/>
      <c r="HV1080" s="110"/>
      <c r="HW1080" s="110"/>
      <c r="HX1080" s="110"/>
      <c r="HY1080" s="110"/>
      <c r="HZ1080" s="110"/>
      <c r="IA1080" s="110"/>
      <c r="IB1080" s="110"/>
      <c r="IC1080" s="110"/>
      <c r="ID1080" s="110"/>
      <c r="IE1080" s="110"/>
      <c r="IF1080" s="110"/>
      <c r="IG1080" s="110"/>
      <c r="IH1080" s="110"/>
      <c r="II1080" s="110"/>
      <c r="IJ1080" s="110"/>
      <c r="IK1080" s="110"/>
      <c r="IL1080" s="110"/>
      <c r="IM1080" s="110"/>
      <c r="IN1080" s="110"/>
      <c r="IO1080" s="110"/>
      <c r="IP1080" s="110"/>
    </row>
    <row r="1081" spans="18:250" ht="16.5" hidden="1" customHeight="1">
      <c r="R1081" s="95"/>
      <c r="S1081" s="95"/>
      <c r="T1081" s="95"/>
      <c r="U1081" s="70"/>
      <c r="V1081" s="214"/>
      <c r="W1081" s="70"/>
      <c r="X1081" s="70"/>
      <c r="Y1081" s="70"/>
      <c r="Z1081" s="70"/>
      <c r="AA1081" s="70"/>
      <c r="AB1081" s="70"/>
      <c r="AC1081" s="70"/>
      <c r="AD1081" s="70"/>
      <c r="AE1081" s="70"/>
      <c r="AF1081" s="70"/>
      <c r="AG1081" s="70"/>
      <c r="AH1081" s="70"/>
      <c r="AI1081" s="70"/>
      <c r="AJ1081" s="70"/>
      <c r="AK1081" s="70"/>
      <c r="AL1081" s="70"/>
      <c r="AM1081" s="70"/>
      <c r="AN1081" s="70"/>
      <c r="AO1081" s="70"/>
      <c r="AP1081" s="70"/>
      <c r="AQ1081" s="70"/>
      <c r="AR1081" s="70"/>
      <c r="AS1081" s="70"/>
      <c r="AT1081" s="70"/>
      <c r="AU1081" s="70"/>
      <c r="AV1081" s="70"/>
      <c r="AW1081" s="70"/>
      <c r="AX1081" s="70"/>
      <c r="AY1081" s="70"/>
      <c r="AZ1081" s="70"/>
      <c r="BA1081" s="70"/>
      <c r="BB1081" s="70"/>
      <c r="BC1081" s="70"/>
      <c r="BD1081" s="70"/>
      <c r="BE1081" s="70"/>
      <c r="BF1081" s="70"/>
      <c r="BG1081" s="70"/>
      <c r="BH1081" s="70"/>
      <c r="BI1081" s="70"/>
      <c r="BJ1081" s="70"/>
      <c r="BK1081" s="70"/>
      <c r="BL1081" s="70"/>
      <c r="BM1081" s="70"/>
      <c r="BN1081" s="70"/>
      <c r="BO1081" s="70"/>
      <c r="BP1081" s="70"/>
      <c r="BQ1081" s="70"/>
      <c r="BR1081" s="70"/>
      <c r="BS1081" s="70"/>
      <c r="BT1081" s="70"/>
      <c r="BU1081" s="70"/>
      <c r="BV1081" s="70"/>
      <c r="BW1081" s="70"/>
      <c r="BX1081" s="70"/>
      <c r="BY1081" s="70"/>
      <c r="BZ1081" s="70"/>
      <c r="CA1081" s="70"/>
      <c r="CB1081" s="70"/>
      <c r="CC1081" s="70"/>
      <c r="CD1081" s="70"/>
      <c r="CE1081" s="70"/>
      <c r="CF1081" s="70"/>
      <c r="CG1081" s="70"/>
      <c r="CH1081" s="70"/>
      <c r="CI1081" s="70"/>
      <c r="CJ1081" s="70"/>
      <c r="CK1081" s="70"/>
      <c r="CL1081" s="70"/>
      <c r="CM1081" s="70"/>
      <c r="CN1081" s="70"/>
      <c r="CO1081" s="70"/>
      <c r="CP1081" s="70"/>
      <c r="CQ1081" s="70"/>
      <c r="CR1081" s="70"/>
      <c r="CS1081" s="70"/>
      <c r="CT1081" s="70"/>
      <c r="CU1081" s="70"/>
      <c r="CV1081" s="70"/>
      <c r="CW1081" s="70"/>
      <c r="CX1081" s="70"/>
      <c r="CY1081" s="70"/>
      <c r="CZ1081" s="70"/>
      <c r="DA1081" s="70"/>
      <c r="DB1081" s="70"/>
      <c r="DC1081" s="70"/>
      <c r="DD1081" s="70"/>
      <c r="DE1081" s="70"/>
      <c r="DF1081" s="70"/>
      <c r="DG1081" s="70"/>
      <c r="DH1081" s="70"/>
      <c r="DI1081" s="70"/>
      <c r="DJ1081" s="70"/>
      <c r="DK1081" s="70"/>
      <c r="DL1081" s="70"/>
      <c r="DM1081" s="70"/>
      <c r="DN1081" s="70"/>
      <c r="DO1081" s="70"/>
      <c r="DP1081" s="70"/>
      <c r="DQ1081" s="70"/>
      <c r="DR1081" s="70"/>
      <c r="DS1081" s="70"/>
      <c r="DT1081" s="70"/>
      <c r="DU1081" s="70"/>
      <c r="DV1081" s="70"/>
      <c r="DW1081" s="70"/>
      <c r="DX1081" s="70"/>
      <c r="DY1081" s="70"/>
      <c r="DZ1081" s="70"/>
      <c r="EA1081" s="70"/>
      <c r="EB1081" s="70"/>
      <c r="EC1081" s="70"/>
      <c r="ED1081" s="70"/>
      <c r="EE1081" s="95" t="s">
        <v>450</v>
      </c>
      <c r="EF1081" s="110"/>
      <c r="EG1081" s="110"/>
      <c r="EH1081" s="110"/>
      <c r="EI1081" s="216"/>
      <c r="EJ1081" s="110"/>
      <c r="EK1081" s="110"/>
      <c r="EL1081" s="110"/>
      <c r="EM1081" s="110"/>
      <c r="EN1081" s="110"/>
      <c r="EO1081" s="110"/>
      <c r="EP1081" s="110"/>
      <c r="EQ1081" s="110"/>
      <c r="ER1081" s="110"/>
      <c r="ES1081" s="110"/>
      <c r="ET1081" s="110"/>
      <c r="EU1081" s="110"/>
      <c r="EV1081" s="110"/>
      <c r="EW1081" s="110"/>
      <c r="EX1081" s="110"/>
      <c r="EY1081" s="110"/>
      <c r="EZ1081" s="110"/>
      <c r="FA1081" s="110"/>
      <c r="FB1081" s="110"/>
      <c r="FC1081" s="110"/>
      <c r="FD1081" s="110"/>
      <c r="FE1081" s="110"/>
      <c r="FF1081" s="110"/>
      <c r="FG1081" s="110"/>
      <c r="FH1081" s="110"/>
      <c r="FI1081" s="110"/>
      <c r="FJ1081" s="110"/>
      <c r="FK1081" s="110"/>
      <c r="FL1081" s="110"/>
      <c r="FM1081" s="110"/>
      <c r="FN1081" s="110"/>
      <c r="FO1081" s="110"/>
      <c r="FP1081" s="110"/>
      <c r="FQ1081" s="110"/>
      <c r="FR1081" s="110"/>
      <c r="FS1081" s="110"/>
      <c r="FT1081" s="110"/>
      <c r="FU1081" s="110"/>
      <c r="FV1081" s="110"/>
      <c r="FW1081" s="110"/>
      <c r="FX1081" s="110"/>
      <c r="FY1081" s="110"/>
      <c r="FZ1081" s="110"/>
      <c r="GA1081" s="110"/>
      <c r="GB1081" s="110"/>
      <c r="GC1081" s="110"/>
      <c r="GD1081" s="110"/>
      <c r="GE1081" s="110"/>
      <c r="GF1081" s="110"/>
      <c r="GG1081" s="110"/>
      <c r="GH1081" s="110"/>
      <c r="GI1081" s="110"/>
      <c r="GJ1081" s="110"/>
      <c r="GK1081" s="110"/>
      <c r="GL1081" s="110"/>
      <c r="GM1081" s="110"/>
      <c r="GN1081" s="110"/>
      <c r="GO1081" s="110"/>
      <c r="GP1081" s="110"/>
      <c r="GQ1081" s="110"/>
      <c r="GR1081" s="110"/>
      <c r="GS1081" s="110"/>
      <c r="GT1081" s="110"/>
      <c r="GU1081" s="110"/>
      <c r="GV1081" s="110"/>
      <c r="GW1081" s="110"/>
      <c r="GX1081" s="110"/>
      <c r="GY1081" s="110"/>
      <c r="GZ1081" s="110"/>
      <c r="HA1081" s="110"/>
      <c r="HB1081" s="110"/>
      <c r="HC1081" s="110"/>
      <c r="HD1081" s="110"/>
      <c r="HE1081" s="110"/>
      <c r="HF1081" s="110"/>
      <c r="HG1081" s="110"/>
      <c r="HH1081" s="110"/>
      <c r="HI1081" s="110"/>
      <c r="HJ1081" s="110"/>
      <c r="HK1081" s="110"/>
      <c r="HL1081" s="110"/>
      <c r="HM1081" s="110"/>
      <c r="HN1081" s="110"/>
      <c r="HO1081" s="110"/>
      <c r="HP1081" s="110"/>
      <c r="HQ1081" s="110"/>
      <c r="HR1081" s="110"/>
      <c r="HS1081" s="110"/>
      <c r="HT1081" s="110"/>
      <c r="HU1081" s="110"/>
      <c r="HV1081" s="110"/>
      <c r="HW1081" s="110"/>
      <c r="HX1081" s="110"/>
      <c r="HY1081" s="110"/>
      <c r="HZ1081" s="110"/>
      <c r="IA1081" s="110"/>
      <c r="IB1081" s="110"/>
      <c r="IC1081" s="110"/>
      <c r="ID1081" s="110"/>
      <c r="IE1081" s="110"/>
      <c r="IF1081" s="110"/>
      <c r="IG1081" s="110"/>
      <c r="IH1081" s="110"/>
      <c r="II1081" s="110"/>
      <c r="IJ1081" s="110"/>
      <c r="IK1081" s="110"/>
      <c r="IL1081" s="110"/>
      <c r="IM1081" s="110"/>
      <c r="IN1081" s="110"/>
      <c r="IO1081" s="110"/>
      <c r="IP1081" s="110"/>
    </row>
    <row r="1082" spans="18:250" ht="16.5" hidden="1" customHeight="1">
      <c r="R1082" s="95"/>
      <c r="S1082" s="95"/>
      <c r="T1082" s="95"/>
      <c r="U1082" s="70"/>
      <c r="V1082" s="214"/>
      <c r="W1082" s="70"/>
      <c r="X1082" s="70"/>
      <c r="Y1082" s="70"/>
      <c r="Z1082" s="70"/>
      <c r="AA1082" s="70"/>
      <c r="AB1082" s="70"/>
      <c r="AC1082" s="70"/>
      <c r="AD1082" s="70"/>
      <c r="AE1082" s="70"/>
      <c r="AF1082" s="70"/>
      <c r="AG1082" s="70"/>
      <c r="AH1082" s="70"/>
      <c r="AI1082" s="70"/>
      <c r="AJ1082" s="70"/>
      <c r="AK1082" s="70"/>
      <c r="AL1082" s="70"/>
      <c r="AM1082" s="70"/>
      <c r="AN1082" s="70"/>
      <c r="AO1082" s="70"/>
      <c r="AP1082" s="70"/>
      <c r="AQ1082" s="70"/>
      <c r="AR1082" s="70"/>
      <c r="AS1082" s="70"/>
      <c r="AT1082" s="70"/>
      <c r="AU1082" s="70"/>
      <c r="AV1082" s="70"/>
      <c r="AW1082" s="70"/>
      <c r="AX1082" s="70"/>
      <c r="AY1082" s="70"/>
      <c r="AZ1082" s="70"/>
      <c r="BA1082" s="70"/>
      <c r="BB1082" s="70"/>
      <c r="BC1082" s="70"/>
      <c r="BD1082" s="70"/>
      <c r="BE1082" s="70"/>
      <c r="BF1082" s="70"/>
      <c r="BG1082" s="70"/>
      <c r="BH1082" s="70"/>
      <c r="BI1082" s="70"/>
      <c r="BJ1082" s="70"/>
      <c r="BK1082" s="70"/>
      <c r="BL1082" s="70"/>
      <c r="BM1082" s="70"/>
      <c r="BN1082" s="70"/>
      <c r="BO1082" s="70"/>
      <c r="BP1082" s="70"/>
      <c r="BQ1082" s="70"/>
      <c r="BR1082" s="70"/>
      <c r="BS1082" s="70"/>
      <c r="BT1082" s="70"/>
      <c r="BU1082" s="70"/>
      <c r="BV1082" s="70"/>
      <c r="BW1082" s="70"/>
      <c r="BX1082" s="70"/>
      <c r="BY1082" s="70"/>
      <c r="BZ1082" s="70"/>
      <c r="CA1082" s="70"/>
      <c r="CB1082" s="70"/>
      <c r="CC1082" s="70"/>
      <c r="CD1082" s="70"/>
      <c r="CE1082" s="70"/>
      <c r="CF1082" s="70"/>
      <c r="CG1082" s="70"/>
      <c r="CH1082" s="70"/>
      <c r="CI1082" s="70"/>
      <c r="CJ1082" s="70"/>
      <c r="CK1082" s="70"/>
      <c r="CL1082" s="70"/>
      <c r="CM1082" s="70"/>
      <c r="CN1082" s="70"/>
      <c r="CO1082" s="70"/>
      <c r="CP1082" s="70"/>
      <c r="CQ1082" s="70"/>
      <c r="CR1082" s="70"/>
      <c r="CS1082" s="70"/>
      <c r="CT1082" s="70"/>
      <c r="CU1082" s="70"/>
      <c r="CV1082" s="70"/>
      <c r="CW1082" s="70"/>
      <c r="CX1082" s="70"/>
      <c r="CY1082" s="70"/>
      <c r="CZ1082" s="70"/>
      <c r="DA1082" s="70"/>
      <c r="DB1082" s="70"/>
      <c r="DC1082" s="70"/>
      <c r="DD1082" s="70"/>
      <c r="DE1082" s="70"/>
      <c r="DF1082" s="70"/>
      <c r="DG1082" s="70"/>
      <c r="DH1082" s="70"/>
      <c r="DI1082" s="70"/>
      <c r="DJ1082" s="70"/>
      <c r="DK1082" s="70"/>
      <c r="DL1082" s="70"/>
      <c r="DM1082" s="70"/>
      <c r="DN1082" s="70"/>
      <c r="DO1082" s="70"/>
      <c r="DP1082" s="70"/>
      <c r="DQ1082" s="70"/>
      <c r="DR1082" s="70"/>
      <c r="DS1082" s="70"/>
      <c r="DT1082" s="70"/>
      <c r="DU1082" s="70"/>
      <c r="DV1082" s="70"/>
      <c r="DW1082" s="70"/>
      <c r="DX1082" s="70"/>
      <c r="DY1082" s="70"/>
      <c r="DZ1082" s="70"/>
      <c r="EA1082" s="70"/>
      <c r="EB1082" s="70"/>
      <c r="EC1082" s="70"/>
      <c r="ED1082" s="70"/>
      <c r="EE1082" s="95" t="s">
        <v>450</v>
      </c>
      <c r="EF1082" s="110"/>
      <c r="EG1082" s="110"/>
      <c r="EH1082" s="110"/>
      <c r="EI1082" s="216"/>
      <c r="EJ1082" s="110"/>
      <c r="EK1082" s="110"/>
      <c r="EL1082" s="110"/>
      <c r="EM1082" s="110"/>
      <c r="EN1082" s="110"/>
      <c r="EO1082" s="110"/>
      <c r="EP1082" s="110"/>
      <c r="EQ1082" s="110"/>
      <c r="ER1082" s="110"/>
      <c r="ES1082" s="110"/>
      <c r="ET1082" s="110"/>
      <c r="EU1082" s="110"/>
      <c r="EV1082" s="110"/>
      <c r="EW1082" s="110"/>
      <c r="EX1082" s="110"/>
      <c r="EY1082" s="110"/>
      <c r="EZ1082" s="110"/>
      <c r="FA1082" s="110"/>
      <c r="FB1082" s="110"/>
      <c r="FC1082" s="110"/>
      <c r="FD1082" s="110"/>
      <c r="FE1082" s="110"/>
      <c r="FF1082" s="110"/>
      <c r="FG1082" s="110"/>
      <c r="FH1082" s="110"/>
      <c r="FI1082" s="110"/>
      <c r="FJ1082" s="110"/>
      <c r="FK1082" s="110"/>
      <c r="FL1082" s="110"/>
      <c r="FM1082" s="110"/>
      <c r="FN1082" s="110"/>
      <c r="FO1082" s="110"/>
      <c r="FP1082" s="110"/>
      <c r="FQ1082" s="110"/>
      <c r="FR1082" s="110"/>
      <c r="FS1082" s="110"/>
      <c r="FT1082" s="110"/>
      <c r="FU1082" s="110"/>
      <c r="FV1082" s="110"/>
      <c r="FW1082" s="110"/>
      <c r="FX1082" s="110"/>
      <c r="FY1082" s="110"/>
      <c r="FZ1082" s="110"/>
      <c r="GA1082" s="110"/>
      <c r="GB1082" s="110"/>
      <c r="GC1082" s="110"/>
      <c r="GD1082" s="110"/>
      <c r="GE1082" s="110"/>
      <c r="GF1082" s="110"/>
      <c r="GG1082" s="110"/>
      <c r="GH1082" s="110"/>
      <c r="GI1082" s="110"/>
      <c r="GJ1082" s="110"/>
      <c r="GK1082" s="110"/>
      <c r="GL1082" s="110"/>
      <c r="GM1082" s="110"/>
      <c r="GN1082" s="110"/>
      <c r="GO1082" s="110"/>
      <c r="GP1082" s="110"/>
      <c r="GQ1082" s="110"/>
      <c r="GR1082" s="110"/>
      <c r="GS1082" s="110"/>
      <c r="GT1082" s="110"/>
      <c r="GU1082" s="110"/>
      <c r="GV1082" s="110"/>
      <c r="GW1082" s="110"/>
      <c r="GX1082" s="110"/>
      <c r="GY1082" s="110"/>
      <c r="GZ1082" s="110"/>
      <c r="HA1082" s="110"/>
      <c r="HB1082" s="110"/>
      <c r="HC1082" s="110"/>
      <c r="HD1082" s="110"/>
      <c r="HE1082" s="110"/>
      <c r="HF1082" s="110"/>
      <c r="HG1082" s="110"/>
      <c r="HH1082" s="110"/>
      <c r="HI1082" s="110"/>
      <c r="HJ1082" s="110"/>
      <c r="HK1082" s="110"/>
      <c r="HL1082" s="110"/>
      <c r="HM1082" s="110"/>
      <c r="HN1082" s="110"/>
      <c r="HO1082" s="110"/>
      <c r="HP1082" s="110"/>
      <c r="HQ1082" s="110"/>
      <c r="HR1082" s="110"/>
      <c r="HS1082" s="110"/>
      <c r="HT1082" s="110"/>
      <c r="HU1082" s="110"/>
      <c r="HV1082" s="110"/>
      <c r="HW1082" s="110"/>
      <c r="HX1082" s="110"/>
      <c r="HY1082" s="110"/>
      <c r="HZ1082" s="110"/>
      <c r="IA1082" s="110"/>
      <c r="IB1082" s="110"/>
      <c r="IC1082" s="110"/>
      <c r="ID1082" s="110"/>
      <c r="IE1082" s="110"/>
      <c r="IF1082" s="110"/>
      <c r="IG1082" s="110"/>
      <c r="IH1082" s="110"/>
      <c r="II1082" s="110"/>
      <c r="IJ1082" s="110"/>
      <c r="IK1082" s="110"/>
      <c r="IL1082" s="110"/>
      <c r="IM1082" s="110"/>
      <c r="IN1082" s="110"/>
      <c r="IO1082" s="110"/>
      <c r="IP1082" s="110"/>
    </row>
    <row r="1083" spans="18:250" ht="16.5" hidden="1" customHeight="1">
      <c r="R1083" s="95"/>
      <c r="S1083" s="95"/>
      <c r="T1083" s="95"/>
      <c r="U1083" s="70"/>
      <c r="V1083" s="214"/>
      <c r="W1083" s="70"/>
      <c r="X1083" s="70"/>
      <c r="Y1083" s="70"/>
      <c r="Z1083" s="70"/>
      <c r="AA1083" s="70"/>
      <c r="AB1083" s="70"/>
      <c r="AC1083" s="70"/>
      <c r="AD1083" s="70"/>
      <c r="AE1083" s="70"/>
      <c r="AF1083" s="70"/>
      <c r="AG1083" s="70"/>
      <c r="AH1083" s="70"/>
      <c r="AI1083" s="70"/>
      <c r="AJ1083" s="70"/>
      <c r="AK1083" s="70"/>
      <c r="AL1083" s="70"/>
      <c r="AM1083" s="70"/>
      <c r="AN1083" s="70"/>
      <c r="AO1083" s="70"/>
      <c r="AP1083" s="70"/>
      <c r="AQ1083" s="70"/>
      <c r="AR1083" s="70"/>
      <c r="AS1083" s="70"/>
      <c r="AT1083" s="70"/>
      <c r="AU1083" s="70"/>
      <c r="AV1083" s="70"/>
      <c r="AW1083" s="70"/>
      <c r="AX1083" s="70"/>
      <c r="AY1083" s="70"/>
      <c r="AZ1083" s="70"/>
      <c r="BA1083" s="70"/>
      <c r="BB1083" s="70"/>
      <c r="BC1083" s="70"/>
      <c r="BD1083" s="70"/>
      <c r="BE1083" s="70"/>
      <c r="BF1083" s="70"/>
      <c r="BG1083" s="70"/>
      <c r="BH1083" s="70"/>
      <c r="BI1083" s="70"/>
      <c r="BJ1083" s="70"/>
      <c r="BK1083" s="70"/>
      <c r="BL1083" s="70"/>
      <c r="BM1083" s="70"/>
      <c r="BN1083" s="70"/>
      <c r="BO1083" s="70"/>
      <c r="BP1083" s="70"/>
      <c r="BQ1083" s="70"/>
      <c r="BR1083" s="70"/>
      <c r="BS1083" s="70"/>
      <c r="BT1083" s="70"/>
      <c r="BU1083" s="70"/>
      <c r="BV1083" s="70"/>
      <c r="BW1083" s="70"/>
      <c r="BX1083" s="70"/>
      <c r="BY1083" s="70"/>
      <c r="BZ1083" s="70"/>
      <c r="CA1083" s="70"/>
      <c r="CB1083" s="70"/>
      <c r="CC1083" s="70"/>
      <c r="CD1083" s="70"/>
      <c r="CE1083" s="70"/>
      <c r="CF1083" s="70"/>
      <c r="CG1083" s="70"/>
      <c r="CH1083" s="70"/>
      <c r="CI1083" s="70"/>
      <c r="CJ1083" s="70"/>
      <c r="CK1083" s="70"/>
      <c r="CL1083" s="70"/>
      <c r="CM1083" s="70"/>
      <c r="CN1083" s="70"/>
      <c r="CO1083" s="70"/>
      <c r="CP1083" s="70"/>
      <c r="CQ1083" s="70"/>
      <c r="CR1083" s="70"/>
      <c r="CS1083" s="70"/>
      <c r="CT1083" s="70"/>
      <c r="CU1083" s="70"/>
      <c r="CV1083" s="70"/>
      <c r="CW1083" s="70"/>
      <c r="CX1083" s="70"/>
      <c r="CY1083" s="70"/>
      <c r="CZ1083" s="70"/>
      <c r="DA1083" s="70"/>
      <c r="DB1083" s="70"/>
      <c r="DC1083" s="70"/>
      <c r="DD1083" s="70"/>
      <c r="DE1083" s="70"/>
      <c r="DF1083" s="70"/>
      <c r="DG1083" s="70"/>
      <c r="DH1083" s="70"/>
      <c r="DI1083" s="70"/>
      <c r="DJ1083" s="70"/>
      <c r="DK1083" s="70"/>
      <c r="DL1083" s="70"/>
      <c r="DM1083" s="70"/>
      <c r="DN1083" s="70"/>
      <c r="DO1083" s="70"/>
      <c r="DP1083" s="70"/>
      <c r="DQ1083" s="70"/>
      <c r="DR1083" s="70"/>
      <c r="DS1083" s="70"/>
      <c r="DT1083" s="70"/>
      <c r="DU1083" s="70"/>
      <c r="DV1083" s="70"/>
      <c r="DW1083" s="70"/>
      <c r="DX1083" s="70"/>
      <c r="DY1083" s="70"/>
      <c r="DZ1083" s="70"/>
      <c r="EA1083" s="70"/>
      <c r="EB1083" s="70"/>
      <c r="EC1083" s="70"/>
      <c r="ED1083" s="70"/>
      <c r="EE1083" s="95" t="s">
        <v>450</v>
      </c>
      <c r="EF1083" s="110"/>
      <c r="EG1083" s="110"/>
      <c r="EH1083" s="110"/>
      <c r="EI1083" s="216"/>
      <c r="EJ1083" s="110"/>
      <c r="EK1083" s="110"/>
      <c r="EL1083" s="110"/>
      <c r="EM1083" s="110"/>
      <c r="EN1083" s="110"/>
      <c r="EO1083" s="110"/>
      <c r="EP1083" s="110"/>
      <c r="EQ1083" s="110"/>
      <c r="ER1083" s="110"/>
      <c r="ES1083" s="110"/>
      <c r="ET1083" s="110"/>
      <c r="EU1083" s="110"/>
      <c r="EV1083" s="110"/>
      <c r="EW1083" s="110"/>
      <c r="EX1083" s="110"/>
      <c r="EY1083" s="110"/>
      <c r="EZ1083" s="110"/>
      <c r="FA1083" s="110"/>
      <c r="FB1083" s="110"/>
      <c r="FC1083" s="110"/>
      <c r="FD1083" s="110"/>
      <c r="FE1083" s="110"/>
      <c r="FF1083" s="110"/>
      <c r="FG1083" s="110"/>
      <c r="FH1083" s="110"/>
      <c r="FI1083" s="110"/>
      <c r="FJ1083" s="110"/>
      <c r="FK1083" s="110"/>
      <c r="FL1083" s="110"/>
      <c r="FM1083" s="110"/>
      <c r="FN1083" s="110"/>
      <c r="FO1083" s="110"/>
      <c r="FP1083" s="110"/>
      <c r="FQ1083" s="110"/>
      <c r="FR1083" s="110"/>
      <c r="FS1083" s="110"/>
      <c r="FT1083" s="110"/>
      <c r="FU1083" s="110"/>
      <c r="FV1083" s="110"/>
      <c r="FW1083" s="110"/>
      <c r="FX1083" s="110"/>
      <c r="FY1083" s="110"/>
      <c r="FZ1083" s="110"/>
      <c r="GA1083" s="110"/>
      <c r="GB1083" s="110"/>
      <c r="GC1083" s="110"/>
      <c r="GD1083" s="110"/>
      <c r="GE1083" s="110"/>
      <c r="GF1083" s="110"/>
      <c r="GG1083" s="110"/>
      <c r="GH1083" s="110"/>
      <c r="GI1083" s="110"/>
      <c r="GJ1083" s="110"/>
      <c r="GK1083" s="110"/>
      <c r="GL1083" s="110"/>
      <c r="GM1083" s="110"/>
      <c r="GN1083" s="110"/>
      <c r="GO1083" s="110"/>
      <c r="GP1083" s="110"/>
      <c r="GQ1083" s="110"/>
      <c r="GR1083" s="110"/>
      <c r="GS1083" s="110"/>
      <c r="GT1083" s="110"/>
      <c r="GU1083" s="110"/>
      <c r="GV1083" s="110"/>
      <c r="GW1083" s="110"/>
      <c r="GX1083" s="110"/>
      <c r="GY1083" s="110"/>
      <c r="GZ1083" s="110"/>
      <c r="HA1083" s="110"/>
      <c r="HB1083" s="110"/>
      <c r="HC1083" s="110"/>
      <c r="HD1083" s="110"/>
      <c r="HE1083" s="110"/>
      <c r="HF1083" s="110"/>
      <c r="HG1083" s="110"/>
      <c r="HH1083" s="110"/>
      <c r="HI1083" s="110"/>
      <c r="HJ1083" s="110"/>
      <c r="HK1083" s="110"/>
      <c r="HL1083" s="110"/>
      <c r="HM1083" s="110"/>
      <c r="HN1083" s="110"/>
      <c r="HO1083" s="110"/>
      <c r="HP1083" s="110"/>
      <c r="HQ1083" s="110"/>
      <c r="HR1083" s="110"/>
      <c r="HS1083" s="110"/>
      <c r="HT1083" s="110"/>
      <c r="HU1083" s="110"/>
      <c r="HV1083" s="110"/>
      <c r="HW1083" s="110"/>
      <c r="HX1083" s="110"/>
      <c r="HY1083" s="110"/>
      <c r="HZ1083" s="110"/>
      <c r="IA1083" s="110"/>
      <c r="IB1083" s="110"/>
      <c r="IC1083" s="110"/>
      <c r="ID1083" s="110"/>
      <c r="IE1083" s="110"/>
      <c r="IF1083" s="110"/>
      <c r="IG1083" s="110"/>
      <c r="IH1083" s="110"/>
      <c r="II1083" s="110"/>
      <c r="IJ1083" s="110"/>
      <c r="IK1083" s="110"/>
      <c r="IL1083" s="110"/>
      <c r="IM1083" s="110"/>
      <c r="IN1083" s="110"/>
      <c r="IO1083" s="110"/>
      <c r="IP1083" s="110"/>
    </row>
    <row r="1084" spans="18:250" ht="16.5" hidden="1" customHeight="1">
      <c r="R1084" s="95"/>
      <c r="S1084" s="95"/>
      <c r="T1084" s="95"/>
      <c r="U1084" s="70"/>
      <c r="V1084" s="214"/>
      <c r="W1084" s="70"/>
      <c r="X1084" s="70"/>
      <c r="Y1084" s="70"/>
      <c r="Z1084" s="70"/>
      <c r="AA1084" s="70"/>
      <c r="AB1084" s="70"/>
      <c r="AC1084" s="70"/>
      <c r="AD1084" s="70"/>
      <c r="AE1084" s="70"/>
      <c r="AF1084" s="70"/>
      <c r="AG1084" s="70"/>
      <c r="AH1084" s="70"/>
      <c r="AI1084" s="70"/>
      <c r="AJ1084" s="70"/>
      <c r="AK1084" s="70"/>
      <c r="AL1084" s="70"/>
      <c r="AM1084" s="70"/>
      <c r="AN1084" s="70"/>
      <c r="AO1084" s="70"/>
      <c r="AP1084" s="70"/>
      <c r="AQ1084" s="70"/>
      <c r="AR1084" s="70"/>
      <c r="AS1084" s="70"/>
      <c r="AT1084" s="70"/>
      <c r="AU1084" s="70"/>
      <c r="AV1084" s="70"/>
      <c r="AW1084" s="70"/>
      <c r="AX1084" s="70"/>
      <c r="AY1084" s="70"/>
      <c r="AZ1084" s="70"/>
      <c r="BA1084" s="70"/>
      <c r="BB1084" s="70"/>
      <c r="BC1084" s="70"/>
      <c r="BD1084" s="70"/>
      <c r="BE1084" s="70"/>
      <c r="BF1084" s="70"/>
      <c r="BG1084" s="70"/>
      <c r="BH1084" s="70"/>
      <c r="BI1084" s="70"/>
      <c r="BJ1084" s="70"/>
      <c r="BK1084" s="70"/>
      <c r="BL1084" s="70"/>
      <c r="BM1084" s="70"/>
      <c r="BN1084" s="70"/>
      <c r="BO1084" s="70"/>
      <c r="BP1084" s="70"/>
      <c r="BQ1084" s="70"/>
      <c r="BR1084" s="70"/>
      <c r="BS1084" s="70"/>
      <c r="BT1084" s="70"/>
      <c r="BU1084" s="70"/>
      <c r="BV1084" s="70"/>
      <c r="BW1084" s="70"/>
      <c r="BX1084" s="70"/>
      <c r="BY1084" s="70"/>
      <c r="BZ1084" s="70"/>
      <c r="CA1084" s="70"/>
      <c r="CB1084" s="70"/>
      <c r="CC1084" s="70"/>
      <c r="CD1084" s="70"/>
      <c r="CE1084" s="70"/>
      <c r="CF1084" s="70"/>
      <c r="CG1084" s="70"/>
      <c r="CH1084" s="70"/>
      <c r="CI1084" s="70"/>
      <c r="CJ1084" s="70"/>
      <c r="CK1084" s="70"/>
      <c r="CL1084" s="70"/>
      <c r="CM1084" s="70"/>
      <c r="CN1084" s="70"/>
      <c r="CO1084" s="70"/>
      <c r="CP1084" s="70"/>
      <c r="CQ1084" s="70"/>
      <c r="CR1084" s="70"/>
      <c r="CS1084" s="70"/>
      <c r="CT1084" s="70"/>
      <c r="CU1084" s="70"/>
      <c r="CV1084" s="70"/>
      <c r="CW1084" s="70"/>
      <c r="CX1084" s="70"/>
      <c r="CY1084" s="70"/>
      <c r="CZ1084" s="70"/>
      <c r="DA1084" s="70"/>
      <c r="DB1084" s="70"/>
      <c r="DC1084" s="70"/>
      <c r="DD1084" s="70"/>
      <c r="DE1084" s="70"/>
      <c r="DF1084" s="70"/>
      <c r="DG1084" s="70"/>
      <c r="DH1084" s="70"/>
      <c r="DI1084" s="70"/>
      <c r="DJ1084" s="70"/>
      <c r="DK1084" s="70"/>
      <c r="DL1084" s="70"/>
      <c r="DM1084" s="70"/>
      <c r="DN1084" s="70"/>
      <c r="DO1084" s="70"/>
      <c r="DP1084" s="70"/>
      <c r="DQ1084" s="70"/>
      <c r="DR1084" s="70"/>
      <c r="DS1084" s="70"/>
      <c r="DT1084" s="70"/>
      <c r="DU1084" s="70"/>
      <c r="DV1084" s="70"/>
      <c r="DW1084" s="70"/>
      <c r="DX1084" s="70"/>
      <c r="DY1084" s="70"/>
      <c r="DZ1084" s="70"/>
      <c r="EA1084" s="70"/>
      <c r="EB1084" s="70"/>
      <c r="EC1084" s="70"/>
      <c r="ED1084" s="70"/>
      <c r="EE1084" s="95" t="s">
        <v>450</v>
      </c>
      <c r="EF1084" s="110"/>
      <c r="EG1084" s="110"/>
      <c r="EH1084" s="110"/>
      <c r="EI1084" s="216"/>
      <c r="EJ1084" s="110"/>
      <c r="EK1084" s="110"/>
      <c r="EL1084" s="110"/>
      <c r="EM1084" s="110"/>
      <c r="EN1084" s="110"/>
      <c r="EO1084" s="110"/>
      <c r="EP1084" s="110"/>
      <c r="EQ1084" s="110"/>
      <c r="ER1084" s="110"/>
      <c r="ES1084" s="110"/>
      <c r="ET1084" s="110"/>
      <c r="EU1084" s="110"/>
      <c r="EV1084" s="110"/>
      <c r="EW1084" s="110"/>
      <c r="EX1084" s="110"/>
      <c r="EY1084" s="110"/>
      <c r="EZ1084" s="110"/>
      <c r="FA1084" s="110"/>
      <c r="FB1084" s="110"/>
      <c r="FC1084" s="110"/>
      <c r="FD1084" s="110"/>
      <c r="FE1084" s="110"/>
      <c r="FF1084" s="110"/>
      <c r="FG1084" s="110"/>
      <c r="FH1084" s="110"/>
      <c r="FI1084" s="110"/>
      <c r="FJ1084" s="110"/>
      <c r="FK1084" s="110"/>
      <c r="FL1084" s="110"/>
      <c r="FM1084" s="110"/>
      <c r="FN1084" s="110"/>
      <c r="FO1084" s="110"/>
      <c r="FP1084" s="110"/>
      <c r="FQ1084" s="110"/>
      <c r="FR1084" s="110"/>
      <c r="FS1084" s="110"/>
      <c r="FT1084" s="110"/>
      <c r="FU1084" s="110"/>
      <c r="FV1084" s="110"/>
      <c r="FW1084" s="110"/>
      <c r="FX1084" s="110"/>
      <c r="FY1084" s="110"/>
      <c r="FZ1084" s="110"/>
      <c r="GA1084" s="110"/>
      <c r="GB1084" s="110"/>
      <c r="GC1084" s="110"/>
      <c r="GD1084" s="110"/>
      <c r="GE1084" s="110"/>
      <c r="GF1084" s="110"/>
      <c r="GG1084" s="110"/>
      <c r="GH1084" s="110"/>
      <c r="GI1084" s="110"/>
      <c r="GJ1084" s="110"/>
      <c r="GK1084" s="110"/>
      <c r="GL1084" s="110"/>
      <c r="GM1084" s="110"/>
      <c r="GN1084" s="110"/>
      <c r="GO1084" s="110"/>
      <c r="GP1084" s="110"/>
      <c r="GQ1084" s="110"/>
      <c r="GR1084" s="110"/>
      <c r="GS1084" s="110"/>
      <c r="GT1084" s="110"/>
      <c r="GU1084" s="110"/>
      <c r="GV1084" s="110"/>
      <c r="GW1084" s="110"/>
      <c r="GX1084" s="110"/>
      <c r="GY1084" s="110"/>
      <c r="GZ1084" s="110"/>
      <c r="HA1084" s="110"/>
      <c r="HB1084" s="110"/>
      <c r="HC1084" s="110"/>
      <c r="HD1084" s="110"/>
      <c r="HE1084" s="110"/>
      <c r="HF1084" s="110"/>
      <c r="HG1084" s="110"/>
      <c r="HH1084" s="110"/>
      <c r="HI1084" s="110"/>
      <c r="HJ1084" s="110"/>
      <c r="HK1084" s="110"/>
      <c r="HL1084" s="110"/>
      <c r="HM1084" s="110"/>
      <c r="HN1084" s="110"/>
      <c r="HO1084" s="110"/>
      <c r="HP1084" s="110"/>
      <c r="HQ1084" s="110"/>
      <c r="HR1084" s="110"/>
      <c r="HS1084" s="110"/>
      <c r="HT1084" s="110"/>
      <c r="HU1084" s="110"/>
      <c r="HV1084" s="110"/>
      <c r="HW1084" s="110"/>
      <c r="HX1084" s="110"/>
      <c r="HY1084" s="110"/>
      <c r="HZ1084" s="110"/>
      <c r="IA1084" s="110"/>
      <c r="IB1084" s="110"/>
      <c r="IC1084" s="110"/>
      <c r="ID1084" s="110"/>
      <c r="IE1084" s="110"/>
      <c r="IF1084" s="110"/>
      <c r="IG1084" s="110"/>
      <c r="IH1084" s="110"/>
      <c r="II1084" s="110"/>
      <c r="IJ1084" s="110"/>
      <c r="IK1084" s="110"/>
      <c r="IL1084" s="110"/>
      <c r="IM1084" s="110"/>
      <c r="IN1084" s="110"/>
      <c r="IO1084" s="110"/>
      <c r="IP1084" s="110"/>
    </row>
    <row r="1085" spans="18:250" ht="16.5" hidden="1" customHeight="1">
      <c r="R1085" s="95"/>
      <c r="S1085" s="95"/>
      <c r="T1085" s="95"/>
      <c r="U1085" s="70"/>
      <c r="V1085" s="214"/>
      <c r="W1085" s="70"/>
      <c r="X1085" s="70"/>
      <c r="Y1085" s="70"/>
      <c r="Z1085" s="70"/>
      <c r="AA1085" s="70"/>
      <c r="AB1085" s="70"/>
      <c r="AC1085" s="70"/>
      <c r="AD1085" s="70"/>
      <c r="AE1085" s="70"/>
      <c r="AF1085" s="70"/>
      <c r="AG1085" s="70"/>
      <c r="AH1085" s="70"/>
      <c r="AI1085" s="70"/>
      <c r="AJ1085" s="70"/>
      <c r="AK1085" s="70"/>
      <c r="AL1085" s="70"/>
      <c r="AM1085" s="70"/>
      <c r="AN1085" s="70"/>
      <c r="AO1085" s="70"/>
      <c r="AP1085" s="70"/>
      <c r="AQ1085" s="70"/>
      <c r="AR1085" s="70"/>
      <c r="AS1085" s="70"/>
      <c r="AT1085" s="70"/>
      <c r="AU1085" s="70"/>
      <c r="AV1085" s="70"/>
      <c r="AW1085" s="70"/>
      <c r="AX1085" s="70"/>
      <c r="AY1085" s="70"/>
      <c r="AZ1085" s="70"/>
      <c r="BA1085" s="70"/>
      <c r="BB1085" s="70"/>
      <c r="BC1085" s="70"/>
      <c r="BD1085" s="70"/>
      <c r="BE1085" s="70"/>
      <c r="BF1085" s="70"/>
      <c r="BG1085" s="70"/>
      <c r="BH1085" s="70"/>
      <c r="BI1085" s="70"/>
      <c r="BJ1085" s="70"/>
      <c r="BK1085" s="70"/>
      <c r="BL1085" s="70"/>
      <c r="BM1085" s="70"/>
      <c r="BN1085" s="70"/>
      <c r="BO1085" s="70"/>
      <c r="BP1085" s="70"/>
      <c r="BQ1085" s="70"/>
      <c r="BR1085" s="70"/>
      <c r="BS1085" s="70"/>
      <c r="BT1085" s="70"/>
      <c r="BU1085" s="70"/>
      <c r="BV1085" s="70"/>
      <c r="BW1085" s="70"/>
      <c r="BX1085" s="70"/>
      <c r="BY1085" s="70"/>
      <c r="BZ1085" s="70"/>
      <c r="CA1085" s="70"/>
      <c r="CB1085" s="70"/>
      <c r="CC1085" s="70"/>
      <c r="CD1085" s="70"/>
      <c r="CE1085" s="70"/>
      <c r="CF1085" s="70"/>
      <c r="CG1085" s="70"/>
      <c r="CH1085" s="70"/>
      <c r="CI1085" s="70"/>
      <c r="CJ1085" s="70"/>
      <c r="CK1085" s="70"/>
      <c r="CL1085" s="70"/>
      <c r="CM1085" s="70"/>
      <c r="CN1085" s="70"/>
      <c r="CO1085" s="70"/>
      <c r="CP1085" s="70"/>
      <c r="CQ1085" s="70"/>
      <c r="CR1085" s="70"/>
      <c r="CS1085" s="70"/>
      <c r="CT1085" s="70"/>
      <c r="CU1085" s="70"/>
      <c r="CV1085" s="70"/>
      <c r="CW1085" s="70"/>
      <c r="CX1085" s="70"/>
      <c r="CY1085" s="70"/>
      <c r="CZ1085" s="70"/>
      <c r="DA1085" s="70"/>
      <c r="DB1085" s="70"/>
      <c r="DC1085" s="70"/>
      <c r="DD1085" s="70"/>
      <c r="DE1085" s="70"/>
      <c r="DF1085" s="70"/>
      <c r="DG1085" s="70"/>
      <c r="DH1085" s="70"/>
      <c r="DI1085" s="70"/>
      <c r="DJ1085" s="70"/>
      <c r="DK1085" s="70"/>
      <c r="DL1085" s="70"/>
      <c r="DM1085" s="70"/>
      <c r="DN1085" s="70"/>
      <c r="DO1085" s="70"/>
      <c r="DP1085" s="70"/>
      <c r="DQ1085" s="70"/>
      <c r="DR1085" s="70"/>
      <c r="DS1085" s="70"/>
      <c r="DT1085" s="70"/>
      <c r="DU1085" s="70"/>
      <c r="DV1085" s="70"/>
      <c r="DW1085" s="70"/>
      <c r="DX1085" s="70"/>
      <c r="DY1085" s="70"/>
      <c r="DZ1085" s="70"/>
      <c r="EA1085" s="70"/>
      <c r="EB1085" s="70"/>
      <c r="EC1085" s="70"/>
      <c r="ED1085" s="70"/>
      <c r="EE1085" s="95" t="s">
        <v>450</v>
      </c>
      <c r="EF1085" s="110"/>
      <c r="EG1085" s="110"/>
      <c r="EH1085" s="110"/>
      <c r="EI1085" s="216"/>
      <c r="EJ1085" s="110"/>
      <c r="EK1085" s="110"/>
      <c r="EL1085" s="110"/>
      <c r="EM1085" s="110"/>
      <c r="EN1085" s="110"/>
      <c r="EO1085" s="110"/>
      <c r="EP1085" s="110"/>
      <c r="EQ1085" s="110"/>
      <c r="ER1085" s="110"/>
      <c r="ES1085" s="110"/>
      <c r="ET1085" s="110"/>
      <c r="EU1085" s="110"/>
      <c r="EV1085" s="110"/>
      <c r="EW1085" s="110"/>
      <c r="EX1085" s="110"/>
      <c r="EY1085" s="110"/>
      <c r="EZ1085" s="110"/>
      <c r="FA1085" s="110"/>
      <c r="FB1085" s="110"/>
      <c r="FC1085" s="110"/>
      <c r="FD1085" s="110"/>
      <c r="FE1085" s="110"/>
      <c r="FF1085" s="110"/>
      <c r="FG1085" s="110"/>
      <c r="FH1085" s="110"/>
      <c r="FI1085" s="110"/>
      <c r="FJ1085" s="110"/>
      <c r="FK1085" s="110"/>
      <c r="FL1085" s="110"/>
      <c r="FM1085" s="110"/>
      <c r="FN1085" s="110"/>
      <c r="FO1085" s="110"/>
      <c r="FP1085" s="110"/>
      <c r="FQ1085" s="110"/>
      <c r="FR1085" s="110"/>
      <c r="FS1085" s="110"/>
      <c r="FT1085" s="110"/>
      <c r="FU1085" s="110"/>
      <c r="FV1085" s="110"/>
      <c r="FW1085" s="110"/>
      <c r="FX1085" s="110"/>
      <c r="FY1085" s="110"/>
      <c r="FZ1085" s="110"/>
      <c r="GA1085" s="110"/>
      <c r="GB1085" s="110"/>
      <c r="GC1085" s="110"/>
      <c r="GD1085" s="110"/>
      <c r="GE1085" s="110"/>
      <c r="GF1085" s="110"/>
      <c r="GG1085" s="110"/>
      <c r="GH1085" s="110"/>
      <c r="GI1085" s="110"/>
      <c r="GJ1085" s="110"/>
      <c r="GK1085" s="110"/>
      <c r="GL1085" s="110"/>
      <c r="GM1085" s="110"/>
      <c r="GN1085" s="110"/>
      <c r="GO1085" s="110"/>
      <c r="GP1085" s="110"/>
      <c r="GQ1085" s="110"/>
      <c r="GR1085" s="110"/>
      <c r="GS1085" s="110"/>
      <c r="GT1085" s="110"/>
      <c r="GU1085" s="110"/>
      <c r="GV1085" s="110"/>
      <c r="GW1085" s="110"/>
      <c r="GX1085" s="110"/>
      <c r="GY1085" s="110"/>
      <c r="GZ1085" s="110"/>
      <c r="HA1085" s="110"/>
      <c r="HB1085" s="110"/>
      <c r="HC1085" s="110"/>
      <c r="HD1085" s="110"/>
      <c r="HE1085" s="110"/>
      <c r="HF1085" s="110"/>
      <c r="HG1085" s="110"/>
      <c r="HH1085" s="110"/>
      <c r="HI1085" s="110"/>
      <c r="HJ1085" s="110"/>
      <c r="HK1085" s="110"/>
      <c r="HL1085" s="110"/>
      <c r="HM1085" s="110"/>
      <c r="HN1085" s="110"/>
      <c r="HO1085" s="110"/>
      <c r="HP1085" s="110"/>
      <c r="HQ1085" s="110"/>
      <c r="HR1085" s="110"/>
      <c r="HS1085" s="110"/>
      <c r="HT1085" s="110"/>
      <c r="HU1085" s="110"/>
      <c r="HV1085" s="110"/>
      <c r="HW1085" s="110"/>
      <c r="HX1085" s="110"/>
      <c r="HY1085" s="110"/>
      <c r="HZ1085" s="110"/>
      <c r="IA1085" s="110"/>
      <c r="IB1085" s="110"/>
      <c r="IC1085" s="110"/>
      <c r="ID1085" s="110"/>
      <c r="IE1085" s="110"/>
      <c r="IF1085" s="110"/>
      <c r="IG1085" s="110"/>
      <c r="IH1085" s="110"/>
      <c r="II1085" s="110"/>
      <c r="IJ1085" s="110"/>
      <c r="IK1085" s="110"/>
      <c r="IL1085" s="110"/>
      <c r="IM1085" s="110"/>
      <c r="IN1085" s="110"/>
      <c r="IO1085" s="110"/>
      <c r="IP1085" s="110"/>
    </row>
    <row r="1086" spans="18:250" ht="16.5" hidden="1" customHeight="1">
      <c r="R1086" s="95"/>
      <c r="S1086" s="95"/>
      <c r="T1086" s="95"/>
      <c r="U1086" s="70"/>
      <c r="V1086" s="214"/>
      <c r="W1086" s="70"/>
      <c r="X1086" s="70"/>
      <c r="Y1086" s="70"/>
      <c r="Z1086" s="70"/>
      <c r="AA1086" s="70"/>
      <c r="AB1086" s="70"/>
      <c r="AC1086" s="70"/>
      <c r="AD1086" s="70"/>
      <c r="AE1086" s="70"/>
      <c r="AF1086" s="70"/>
      <c r="AG1086" s="70"/>
      <c r="AH1086" s="70"/>
      <c r="AI1086" s="70"/>
      <c r="AJ1086" s="70"/>
      <c r="AK1086" s="70"/>
      <c r="AL1086" s="70"/>
      <c r="AM1086" s="70"/>
      <c r="AN1086" s="70"/>
      <c r="AO1086" s="70"/>
      <c r="AP1086" s="70"/>
      <c r="AQ1086" s="70"/>
      <c r="AR1086" s="70"/>
      <c r="AS1086" s="70"/>
      <c r="AT1086" s="70"/>
      <c r="AU1086" s="70"/>
      <c r="AV1086" s="70"/>
      <c r="AW1086" s="70"/>
      <c r="AX1086" s="70"/>
      <c r="AY1086" s="70"/>
      <c r="AZ1086" s="70"/>
      <c r="BA1086" s="70"/>
      <c r="BB1086" s="70"/>
      <c r="BC1086" s="70"/>
      <c r="BD1086" s="70"/>
      <c r="BE1086" s="70"/>
      <c r="BF1086" s="70"/>
      <c r="BG1086" s="70"/>
      <c r="BH1086" s="70"/>
      <c r="BI1086" s="70"/>
      <c r="BJ1086" s="70"/>
      <c r="BK1086" s="70"/>
      <c r="BL1086" s="70"/>
      <c r="BM1086" s="70"/>
      <c r="BN1086" s="70"/>
      <c r="BO1086" s="70"/>
      <c r="BP1086" s="70"/>
      <c r="BQ1086" s="70"/>
      <c r="BR1086" s="70"/>
      <c r="BS1086" s="70"/>
      <c r="BT1086" s="70"/>
      <c r="BU1086" s="70"/>
      <c r="BV1086" s="70"/>
      <c r="BW1086" s="70"/>
      <c r="BX1086" s="70"/>
      <c r="BY1086" s="70"/>
      <c r="BZ1086" s="70"/>
      <c r="CA1086" s="70"/>
      <c r="CB1086" s="70"/>
      <c r="CC1086" s="70"/>
      <c r="CD1086" s="70"/>
      <c r="CE1086" s="70"/>
      <c r="CF1086" s="70"/>
      <c r="CG1086" s="70"/>
      <c r="CH1086" s="70"/>
      <c r="CI1086" s="70"/>
      <c r="CJ1086" s="70"/>
      <c r="CK1086" s="70"/>
      <c r="CL1086" s="70"/>
      <c r="CM1086" s="70"/>
      <c r="CN1086" s="70"/>
      <c r="CO1086" s="70"/>
      <c r="CP1086" s="70"/>
      <c r="CQ1086" s="70"/>
      <c r="CR1086" s="70"/>
      <c r="CS1086" s="70"/>
      <c r="CT1086" s="70"/>
      <c r="CU1086" s="70"/>
      <c r="CV1086" s="70"/>
      <c r="CW1086" s="70"/>
      <c r="CX1086" s="70"/>
      <c r="CY1086" s="70"/>
      <c r="CZ1086" s="70"/>
      <c r="DA1086" s="70"/>
      <c r="DB1086" s="70"/>
      <c r="DC1086" s="70"/>
      <c r="DD1086" s="70"/>
      <c r="DE1086" s="70"/>
      <c r="DF1086" s="70"/>
      <c r="DG1086" s="70"/>
      <c r="DH1086" s="70"/>
      <c r="DI1086" s="70"/>
      <c r="DJ1086" s="70"/>
      <c r="DK1086" s="70"/>
      <c r="DL1086" s="70"/>
      <c r="DM1086" s="70"/>
      <c r="DN1086" s="70"/>
      <c r="DO1086" s="70"/>
      <c r="DP1086" s="70"/>
      <c r="DQ1086" s="70"/>
      <c r="DR1086" s="70"/>
      <c r="DS1086" s="70"/>
      <c r="DT1086" s="70"/>
      <c r="DU1086" s="70"/>
      <c r="DV1086" s="70"/>
      <c r="DW1086" s="70"/>
      <c r="DX1086" s="70"/>
      <c r="DY1086" s="70"/>
      <c r="DZ1086" s="70"/>
      <c r="EA1086" s="70"/>
      <c r="EB1086" s="70"/>
      <c r="EC1086" s="70"/>
      <c r="ED1086" s="70"/>
      <c r="EE1086" s="95" t="s">
        <v>450</v>
      </c>
      <c r="EF1086" s="110"/>
      <c r="EG1086" s="110"/>
      <c r="EH1086" s="110"/>
      <c r="EI1086" s="216"/>
      <c r="EJ1086" s="110"/>
      <c r="EK1086" s="110"/>
      <c r="EL1086" s="110"/>
      <c r="EM1086" s="110"/>
      <c r="EN1086" s="110"/>
      <c r="EO1086" s="110"/>
      <c r="EP1086" s="110"/>
      <c r="EQ1086" s="110"/>
      <c r="ER1086" s="110"/>
      <c r="ES1086" s="110"/>
      <c r="ET1086" s="110"/>
      <c r="EU1086" s="110"/>
      <c r="EV1086" s="110"/>
      <c r="EW1086" s="110"/>
      <c r="EX1086" s="110"/>
      <c r="EY1086" s="110"/>
      <c r="EZ1086" s="110"/>
      <c r="FA1086" s="110"/>
      <c r="FB1086" s="110"/>
      <c r="FC1086" s="110"/>
      <c r="FD1086" s="110"/>
      <c r="FE1086" s="110"/>
      <c r="FF1086" s="110"/>
      <c r="FG1086" s="110"/>
      <c r="FH1086" s="110"/>
      <c r="FI1086" s="110"/>
      <c r="FJ1086" s="110"/>
      <c r="FK1086" s="110"/>
      <c r="FL1086" s="110"/>
      <c r="FM1086" s="110"/>
      <c r="FN1086" s="110"/>
      <c r="FO1086" s="110"/>
      <c r="FP1086" s="110"/>
      <c r="FQ1086" s="110"/>
      <c r="FR1086" s="110"/>
      <c r="FS1086" s="110"/>
      <c r="FT1086" s="110"/>
      <c r="FU1086" s="110"/>
      <c r="FV1086" s="110"/>
      <c r="FW1086" s="110"/>
      <c r="FX1086" s="110"/>
      <c r="FY1086" s="110"/>
      <c r="FZ1086" s="110"/>
      <c r="GA1086" s="110"/>
      <c r="GB1086" s="110"/>
      <c r="GC1086" s="110"/>
      <c r="GD1086" s="110"/>
      <c r="GE1086" s="110"/>
      <c r="GF1086" s="110"/>
      <c r="GG1086" s="110"/>
      <c r="GH1086" s="110"/>
      <c r="GI1086" s="110"/>
      <c r="GJ1086" s="110"/>
      <c r="GK1086" s="110"/>
      <c r="GL1086" s="110"/>
      <c r="GM1086" s="110"/>
      <c r="GN1086" s="110"/>
      <c r="GO1086" s="110"/>
      <c r="GP1086" s="110"/>
      <c r="GQ1086" s="110"/>
      <c r="GR1086" s="110"/>
      <c r="GS1086" s="110"/>
      <c r="GT1086" s="110"/>
      <c r="GU1086" s="110"/>
      <c r="GV1086" s="110"/>
      <c r="GW1086" s="110"/>
      <c r="GX1086" s="110"/>
      <c r="GY1086" s="110"/>
      <c r="GZ1086" s="110"/>
      <c r="HA1086" s="110"/>
      <c r="HB1086" s="110"/>
      <c r="HC1086" s="110"/>
      <c r="HD1086" s="110"/>
      <c r="HE1086" s="110"/>
      <c r="HF1086" s="110"/>
      <c r="HG1086" s="110"/>
      <c r="HH1086" s="110"/>
      <c r="HI1086" s="110"/>
      <c r="HJ1086" s="110"/>
      <c r="HK1086" s="110"/>
      <c r="HL1086" s="110"/>
      <c r="HM1086" s="110"/>
      <c r="HN1086" s="110"/>
      <c r="HO1086" s="110"/>
      <c r="HP1086" s="110"/>
      <c r="HQ1086" s="110"/>
      <c r="HR1086" s="110"/>
      <c r="HS1086" s="110"/>
      <c r="HT1086" s="110"/>
      <c r="HU1086" s="110"/>
      <c r="HV1086" s="110"/>
      <c r="HW1086" s="110"/>
      <c r="HX1086" s="110"/>
      <c r="HY1086" s="110"/>
      <c r="HZ1086" s="110"/>
      <c r="IA1086" s="110"/>
      <c r="IB1086" s="110"/>
      <c r="IC1086" s="110"/>
      <c r="ID1086" s="110"/>
      <c r="IE1086" s="110"/>
      <c r="IF1086" s="110"/>
      <c r="IG1086" s="110"/>
      <c r="IH1086" s="110"/>
      <c r="II1086" s="110"/>
      <c r="IJ1086" s="110"/>
      <c r="IK1086" s="110"/>
      <c r="IL1086" s="110"/>
      <c r="IM1086" s="110"/>
      <c r="IN1086" s="110"/>
      <c r="IO1086" s="110"/>
      <c r="IP1086" s="110"/>
    </row>
    <row r="1087" spans="18:250" ht="16.5" hidden="1" customHeight="1">
      <c r="R1087" s="95"/>
      <c r="S1087" s="95"/>
      <c r="T1087" s="95"/>
      <c r="U1087" s="70"/>
      <c r="V1087" s="214"/>
      <c r="W1087" s="70"/>
      <c r="X1087" s="70"/>
      <c r="Y1087" s="70"/>
      <c r="Z1087" s="70"/>
      <c r="AA1087" s="70"/>
      <c r="AB1087" s="70"/>
      <c r="AC1087" s="70"/>
      <c r="AD1087" s="70"/>
      <c r="AE1087" s="70"/>
      <c r="AF1087" s="70"/>
      <c r="AG1087" s="70"/>
      <c r="AH1087" s="70"/>
      <c r="AI1087" s="70"/>
      <c r="AJ1087" s="70"/>
      <c r="AK1087" s="70"/>
      <c r="AL1087" s="70"/>
      <c r="AM1087" s="70"/>
      <c r="AN1087" s="70"/>
      <c r="AO1087" s="70"/>
      <c r="AP1087" s="70"/>
      <c r="AQ1087" s="70"/>
      <c r="AR1087" s="70"/>
      <c r="AS1087" s="70"/>
      <c r="AT1087" s="70"/>
      <c r="AU1087" s="70"/>
      <c r="AV1087" s="70"/>
      <c r="AW1087" s="70"/>
      <c r="AX1087" s="70"/>
      <c r="AY1087" s="70"/>
      <c r="AZ1087" s="70"/>
      <c r="BA1087" s="70"/>
      <c r="BB1087" s="70"/>
      <c r="BC1087" s="70"/>
      <c r="BD1087" s="70"/>
      <c r="BE1087" s="70"/>
      <c r="BF1087" s="70"/>
      <c r="BG1087" s="70"/>
      <c r="BH1087" s="70"/>
      <c r="BI1087" s="70"/>
      <c r="BJ1087" s="70"/>
      <c r="BK1087" s="70"/>
      <c r="BL1087" s="70"/>
      <c r="BM1087" s="70"/>
      <c r="BN1087" s="70"/>
      <c r="BO1087" s="70"/>
      <c r="BP1087" s="70"/>
      <c r="BQ1087" s="70"/>
      <c r="BR1087" s="70"/>
      <c r="BS1087" s="70"/>
      <c r="BT1087" s="70"/>
      <c r="BU1087" s="70"/>
      <c r="BV1087" s="70"/>
      <c r="BW1087" s="70"/>
      <c r="BX1087" s="70"/>
      <c r="BY1087" s="70"/>
      <c r="BZ1087" s="70"/>
      <c r="CA1087" s="70"/>
      <c r="CB1087" s="70"/>
      <c r="CC1087" s="70"/>
      <c r="CD1087" s="70"/>
      <c r="CE1087" s="70"/>
      <c r="CF1087" s="70"/>
      <c r="CG1087" s="70"/>
      <c r="CH1087" s="70"/>
      <c r="CI1087" s="70"/>
      <c r="CJ1087" s="70"/>
      <c r="CK1087" s="70"/>
      <c r="CL1087" s="70"/>
      <c r="CM1087" s="70"/>
      <c r="CN1087" s="70"/>
      <c r="CO1087" s="70"/>
      <c r="CP1087" s="70"/>
      <c r="CQ1087" s="70"/>
      <c r="CR1087" s="70"/>
      <c r="CS1087" s="70"/>
      <c r="CT1087" s="70"/>
      <c r="CU1087" s="70"/>
      <c r="CV1087" s="70"/>
      <c r="CW1087" s="70"/>
      <c r="CX1087" s="70"/>
      <c r="CY1087" s="70"/>
      <c r="CZ1087" s="70"/>
      <c r="DA1087" s="70"/>
      <c r="DB1087" s="70"/>
      <c r="DC1087" s="70"/>
      <c r="DD1087" s="70"/>
      <c r="DE1087" s="70"/>
      <c r="DF1087" s="70"/>
      <c r="DG1087" s="70"/>
      <c r="DH1087" s="70"/>
      <c r="DI1087" s="70"/>
      <c r="DJ1087" s="70"/>
      <c r="DK1087" s="70"/>
      <c r="DL1087" s="70"/>
      <c r="DM1087" s="70"/>
      <c r="DN1087" s="70"/>
      <c r="DO1087" s="70"/>
      <c r="DP1087" s="70"/>
      <c r="DQ1087" s="70"/>
      <c r="DR1087" s="70"/>
      <c r="DS1087" s="70"/>
      <c r="DT1087" s="70"/>
      <c r="DU1087" s="70"/>
      <c r="DV1087" s="70"/>
      <c r="DW1087" s="70"/>
      <c r="DX1087" s="70"/>
      <c r="DY1087" s="70"/>
      <c r="DZ1087" s="70"/>
      <c r="EA1087" s="70"/>
      <c r="EB1087" s="70"/>
      <c r="EC1087" s="70"/>
      <c r="ED1087" s="70"/>
      <c r="EE1087" s="95" t="s">
        <v>450</v>
      </c>
      <c r="EF1087" s="110"/>
      <c r="EG1087" s="110"/>
      <c r="EH1087" s="110"/>
      <c r="EI1087" s="216"/>
      <c r="EJ1087" s="110"/>
      <c r="EK1087" s="110"/>
      <c r="EL1087" s="110"/>
      <c r="EM1087" s="110"/>
      <c r="EN1087" s="110"/>
      <c r="EO1087" s="110"/>
      <c r="EP1087" s="110"/>
      <c r="EQ1087" s="110"/>
      <c r="ER1087" s="110"/>
      <c r="ES1087" s="110"/>
      <c r="ET1087" s="110"/>
      <c r="EU1087" s="110"/>
      <c r="EV1087" s="110"/>
      <c r="EW1087" s="110"/>
      <c r="EX1087" s="110"/>
      <c r="EY1087" s="110"/>
      <c r="EZ1087" s="110"/>
      <c r="FA1087" s="110"/>
      <c r="FB1087" s="110"/>
      <c r="FC1087" s="110"/>
      <c r="FD1087" s="110"/>
      <c r="FE1087" s="110"/>
      <c r="FF1087" s="110"/>
      <c r="FG1087" s="110"/>
      <c r="FH1087" s="110"/>
      <c r="FI1087" s="110"/>
      <c r="FJ1087" s="110"/>
      <c r="FK1087" s="110"/>
      <c r="FL1087" s="110"/>
      <c r="FM1087" s="110"/>
      <c r="FN1087" s="110"/>
      <c r="FO1087" s="110"/>
      <c r="FP1087" s="110"/>
      <c r="FQ1087" s="110"/>
      <c r="FR1087" s="110"/>
      <c r="FS1087" s="110"/>
      <c r="FT1087" s="110"/>
      <c r="FU1087" s="110"/>
      <c r="FV1087" s="110"/>
      <c r="FW1087" s="110"/>
      <c r="FX1087" s="110"/>
      <c r="FY1087" s="110"/>
      <c r="FZ1087" s="110"/>
      <c r="GA1087" s="110"/>
      <c r="GB1087" s="110"/>
      <c r="GC1087" s="110"/>
      <c r="GD1087" s="110"/>
      <c r="GE1087" s="110"/>
      <c r="GF1087" s="110"/>
      <c r="GG1087" s="110"/>
      <c r="GH1087" s="110"/>
      <c r="GI1087" s="110"/>
      <c r="GJ1087" s="110"/>
      <c r="GK1087" s="110"/>
      <c r="GL1087" s="110"/>
      <c r="GM1087" s="110"/>
      <c r="GN1087" s="110"/>
      <c r="GO1087" s="110"/>
      <c r="GP1087" s="110"/>
      <c r="GQ1087" s="110"/>
      <c r="GR1087" s="110"/>
      <c r="GS1087" s="110"/>
      <c r="GT1087" s="110"/>
      <c r="GU1087" s="110"/>
      <c r="GV1087" s="110"/>
      <c r="GW1087" s="110"/>
      <c r="GX1087" s="110"/>
      <c r="GY1087" s="110"/>
      <c r="GZ1087" s="110"/>
      <c r="HA1087" s="110"/>
      <c r="HB1087" s="110"/>
      <c r="HC1087" s="110"/>
      <c r="HD1087" s="110"/>
      <c r="HE1087" s="110"/>
      <c r="HF1087" s="110"/>
      <c r="HG1087" s="110"/>
      <c r="HH1087" s="110"/>
      <c r="HI1087" s="110"/>
      <c r="HJ1087" s="110"/>
      <c r="HK1087" s="110"/>
      <c r="HL1087" s="110"/>
      <c r="HM1087" s="110"/>
      <c r="HN1087" s="110"/>
      <c r="HO1087" s="110"/>
      <c r="HP1087" s="110"/>
      <c r="HQ1087" s="110"/>
      <c r="HR1087" s="110"/>
      <c r="HS1087" s="110"/>
      <c r="HT1087" s="110"/>
      <c r="HU1087" s="110"/>
      <c r="HV1087" s="110"/>
      <c r="HW1087" s="110"/>
      <c r="HX1087" s="110"/>
      <c r="HY1087" s="110"/>
      <c r="HZ1087" s="110"/>
      <c r="IA1087" s="110"/>
      <c r="IB1087" s="110"/>
      <c r="IC1087" s="110"/>
      <c r="ID1087" s="110"/>
      <c r="IE1087" s="110"/>
      <c r="IF1087" s="110"/>
      <c r="IG1087" s="110"/>
      <c r="IH1087" s="110"/>
      <c r="II1087" s="110"/>
      <c r="IJ1087" s="110"/>
      <c r="IK1087" s="110"/>
      <c r="IL1087" s="110"/>
      <c r="IM1087" s="110"/>
      <c r="IN1087" s="110"/>
      <c r="IO1087" s="110"/>
      <c r="IP1087" s="110"/>
    </row>
    <row r="1088" spans="18:250" ht="16.5" hidden="1" customHeight="1">
      <c r="R1088" s="95"/>
      <c r="S1088" s="95"/>
      <c r="T1088" s="95"/>
      <c r="U1088" s="70"/>
      <c r="V1088" s="214"/>
      <c r="W1088" s="70"/>
      <c r="X1088" s="70"/>
      <c r="Y1088" s="70"/>
      <c r="Z1088" s="70"/>
      <c r="AA1088" s="70"/>
      <c r="AB1088" s="70"/>
      <c r="AC1088" s="70"/>
      <c r="AD1088" s="70"/>
      <c r="AE1088" s="70"/>
      <c r="AF1088" s="70"/>
      <c r="AG1088" s="70"/>
      <c r="AH1088" s="70"/>
      <c r="AI1088" s="70"/>
      <c r="AJ1088" s="70"/>
      <c r="AK1088" s="70"/>
      <c r="AL1088" s="70"/>
      <c r="AM1088" s="70"/>
      <c r="AN1088" s="70"/>
      <c r="AO1088" s="70"/>
      <c r="AP1088" s="70"/>
      <c r="AQ1088" s="70"/>
      <c r="AR1088" s="70"/>
      <c r="AS1088" s="70"/>
      <c r="AT1088" s="70"/>
      <c r="AU1088" s="70"/>
      <c r="AV1088" s="70"/>
      <c r="AW1088" s="70"/>
      <c r="AX1088" s="70"/>
      <c r="AY1088" s="70"/>
      <c r="AZ1088" s="70"/>
      <c r="BA1088" s="70"/>
      <c r="BB1088" s="70"/>
      <c r="BC1088" s="70"/>
      <c r="BD1088" s="70"/>
      <c r="BE1088" s="70"/>
      <c r="BF1088" s="70"/>
      <c r="BG1088" s="70"/>
      <c r="BH1088" s="70"/>
      <c r="BI1088" s="70"/>
      <c r="BJ1088" s="70"/>
      <c r="BK1088" s="70"/>
      <c r="BL1088" s="70"/>
      <c r="BM1088" s="70"/>
      <c r="BN1088" s="70"/>
      <c r="BO1088" s="70"/>
      <c r="BP1088" s="70"/>
      <c r="BQ1088" s="70"/>
      <c r="BR1088" s="70"/>
      <c r="BS1088" s="70"/>
      <c r="BT1088" s="70"/>
      <c r="BU1088" s="70"/>
      <c r="BV1088" s="70"/>
      <c r="BW1088" s="70"/>
      <c r="BX1088" s="70"/>
      <c r="BY1088" s="70"/>
      <c r="BZ1088" s="70"/>
      <c r="CA1088" s="70"/>
      <c r="CB1088" s="70"/>
      <c r="CC1088" s="70"/>
      <c r="CD1088" s="70"/>
      <c r="CE1088" s="70"/>
      <c r="CF1088" s="70"/>
      <c r="CG1088" s="70"/>
      <c r="CH1088" s="70"/>
      <c r="CI1088" s="70"/>
      <c r="CJ1088" s="70"/>
      <c r="CK1088" s="70"/>
      <c r="CL1088" s="70"/>
      <c r="CM1088" s="70"/>
      <c r="CN1088" s="70"/>
      <c r="CO1088" s="70"/>
      <c r="CP1088" s="70"/>
      <c r="CQ1088" s="70"/>
      <c r="CR1088" s="70"/>
      <c r="CS1088" s="70"/>
      <c r="CT1088" s="70"/>
      <c r="CU1088" s="70"/>
      <c r="CV1088" s="70"/>
      <c r="CW1088" s="70"/>
      <c r="CX1088" s="70"/>
      <c r="CY1088" s="70"/>
      <c r="CZ1088" s="70"/>
      <c r="DA1088" s="70"/>
      <c r="DB1088" s="70"/>
      <c r="DC1088" s="70"/>
      <c r="DD1088" s="70"/>
      <c r="DE1088" s="70"/>
      <c r="DF1088" s="70"/>
      <c r="DG1088" s="70"/>
      <c r="DH1088" s="70"/>
      <c r="DI1088" s="70"/>
      <c r="DJ1088" s="70"/>
      <c r="DK1088" s="70"/>
      <c r="DL1088" s="70"/>
      <c r="DM1088" s="70"/>
      <c r="DN1088" s="70"/>
      <c r="DO1088" s="70"/>
      <c r="DP1088" s="70"/>
      <c r="DQ1088" s="70"/>
      <c r="DR1088" s="70"/>
      <c r="DS1088" s="70"/>
      <c r="DT1088" s="70"/>
      <c r="DU1088" s="70"/>
      <c r="DV1088" s="70"/>
      <c r="DW1088" s="70"/>
      <c r="DX1088" s="70"/>
      <c r="DY1088" s="70"/>
      <c r="DZ1088" s="70"/>
      <c r="EA1088" s="70"/>
      <c r="EB1088" s="70"/>
      <c r="EC1088" s="70"/>
      <c r="ED1088" s="70"/>
      <c r="EE1088" s="95" t="s">
        <v>450</v>
      </c>
      <c r="EF1088" s="110"/>
      <c r="EG1088" s="110"/>
      <c r="EH1088" s="110"/>
      <c r="EI1088" s="216"/>
      <c r="EJ1088" s="110"/>
      <c r="EK1088" s="110"/>
      <c r="EL1088" s="110"/>
      <c r="EM1088" s="110"/>
      <c r="EN1088" s="110"/>
      <c r="EO1088" s="110"/>
      <c r="EP1088" s="110"/>
      <c r="EQ1088" s="110"/>
      <c r="ER1088" s="110"/>
      <c r="ES1088" s="110"/>
      <c r="ET1088" s="110"/>
      <c r="EU1088" s="110"/>
      <c r="EV1088" s="110"/>
      <c r="EW1088" s="110"/>
      <c r="EX1088" s="110"/>
      <c r="EY1088" s="110"/>
      <c r="EZ1088" s="110"/>
      <c r="FA1088" s="110"/>
      <c r="FB1088" s="110"/>
      <c r="FC1088" s="110"/>
      <c r="FD1088" s="110"/>
      <c r="FE1088" s="110"/>
      <c r="FF1088" s="110"/>
      <c r="FG1088" s="110"/>
      <c r="FH1088" s="110"/>
      <c r="FI1088" s="110"/>
      <c r="FJ1088" s="110"/>
      <c r="FK1088" s="110"/>
      <c r="FL1088" s="110"/>
      <c r="FM1088" s="110"/>
      <c r="FN1088" s="110"/>
      <c r="FO1088" s="110"/>
      <c r="FP1088" s="110"/>
      <c r="FQ1088" s="110"/>
      <c r="FR1088" s="110"/>
      <c r="FS1088" s="110"/>
      <c r="FT1088" s="110"/>
      <c r="FU1088" s="110"/>
      <c r="FV1088" s="110"/>
      <c r="FW1088" s="110"/>
      <c r="FX1088" s="110"/>
      <c r="FY1088" s="110"/>
      <c r="FZ1088" s="110"/>
      <c r="GA1088" s="110"/>
      <c r="GB1088" s="110"/>
      <c r="GC1088" s="110"/>
      <c r="GD1088" s="110"/>
      <c r="GE1088" s="110"/>
      <c r="GF1088" s="110"/>
      <c r="GG1088" s="110"/>
      <c r="GH1088" s="110"/>
      <c r="GI1088" s="110"/>
      <c r="GJ1088" s="110"/>
      <c r="GK1088" s="110"/>
      <c r="GL1088" s="110"/>
      <c r="GM1088" s="110"/>
      <c r="GN1088" s="110"/>
      <c r="GO1088" s="110"/>
      <c r="GP1088" s="110"/>
      <c r="GQ1088" s="110"/>
      <c r="GR1088" s="110"/>
      <c r="GS1088" s="110"/>
      <c r="GT1088" s="110"/>
      <c r="GU1088" s="110"/>
      <c r="GV1088" s="110"/>
      <c r="GW1088" s="110"/>
      <c r="GX1088" s="110"/>
      <c r="GY1088" s="110"/>
      <c r="GZ1088" s="110"/>
      <c r="HA1088" s="110"/>
      <c r="HB1088" s="110"/>
      <c r="HC1088" s="110"/>
      <c r="HD1088" s="110"/>
      <c r="HE1088" s="110"/>
      <c r="HF1088" s="110"/>
      <c r="HG1088" s="110"/>
      <c r="HH1088" s="110"/>
      <c r="HI1088" s="110"/>
      <c r="HJ1088" s="110"/>
      <c r="HK1088" s="110"/>
      <c r="HL1088" s="110"/>
      <c r="HM1088" s="110"/>
      <c r="HN1088" s="110"/>
      <c r="HO1088" s="110"/>
      <c r="HP1088" s="110"/>
      <c r="HQ1088" s="110"/>
      <c r="HR1088" s="110"/>
      <c r="HS1088" s="110"/>
      <c r="HT1088" s="110"/>
      <c r="HU1088" s="110"/>
      <c r="HV1088" s="110"/>
      <c r="HW1088" s="110"/>
      <c r="HX1088" s="110"/>
      <c r="HY1088" s="110"/>
      <c r="HZ1088" s="110"/>
      <c r="IA1088" s="110"/>
      <c r="IB1088" s="110"/>
      <c r="IC1088" s="110"/>
      <c r="ID1088" s="110"/>
      <c r="IE1088" s="110"/>
      <c r="IF1088" s="110"/>
      <c r="IG1088" s="110"/>
      <c r="IH1088" s="110"/>
      <c r="II1088" s="110"/>
      <c r="IJ1088" s="110"/>
      <c r="IK1088" s="110"/>
      <c r="IL1088" s="110"/>
      <c r="IM1088" s="110"/>
      <c r="IN1088" s="110"/>
      <c r="IO1088" s="110"/>
      <c r="IP1088" s="110"/>
    </row>
    <row r="1089" spans="18:250" ht="16.5" hidden="1" customHeight="1">
      <c r="R1089" s="95"/>
      <c r="S1089" s="95"/>
      <c r="T1089" s="95"/>
      <c r="U1089" s="70"/>
      <c r="V1089" s="214"/>
      <c r="W1089" s="70"/>
      <c r="X1089" s="70"/>
      <c r="Y1089" s="70"/>
      <c r="Z1089" s="70"/>
      <c r="AA1089" s="70"/>
      <c r="AB1089" s="70"/>
      <c r="AC1089" s="70"/>
      <c r="AD1089" s="70"/>
      <c r="AE1089" s="70"/>
      <c r="AF1089" s="70"/>
      <c r="AG1089" s="70"/>
      <c r="AH1089" s="70"/>
      <c r="AI1089" s="70"/>
      <c r="AJ1089" s="70"/>
      <c r="AK1089" s="70"/>
      <c r="AL1089" s="70"/>
      <c r="AM1089" s="70"/>
      <c r="AN1089" s="70"/>
      <c r="AO1089" s="70"/>
      <c r="AP1089" s="70"/>
      <c r="AQ1089" s="70"/>
      <c r="AR1089" s="70"/>
      <c r="AS1089" s="70"/>
      <c r="AT1089" s="70"/>
      <c r="AU1089" s="70"/>
      <c r="AV1089" s="70"/>
      <c r="AW1089" s="70"/>
      <c r="AX1089" s="70"/>
      <c r="AY1089" s="70"/>
      <c r="AZ1089" s="70"/>
      <c r="BA1089" s="70"/>
      <c r="BB1089" s="70"/>
      <c r="BC1089" s="70"/>
      <c r="BD1089" s="70"/>
      <c r="BE1089" s="70"/>
      <c r="BF1089" s="70"/>
      <c r="BG1089" s="70"/>
      <c r="BH1089" s="70"/>
      <c r="BI1089" s="70"/>
      <c r="BJ1089" s="70"/>
      <c r="BK1089" s="70"/>
      <c r="BL1089" s="70"/>
      <c r="BM1089" s="70"/>
      <c r="BN1089" s="70"/>
      <c r="BO1089" s="70"/>
      <c r="BP1089" s="70"/>
      <c r="BQ1089" s="70"/>
      <c r="BR1089" s="70"/>
      <c r="BS1089" s="70"/>
      <c r="BT1089" s="70"/>
      <c r="BU1089" s="70"/>
      <c r="BV1089" s="70"/>
      <c r="BW1089" s="70"/>
      <c r="BX1089" s="70"/>
      <c r="BY1089" s="70"/>
      <c r="BZ1089" s="70"/>
      <c r="CA1089" s="70"/>
      <c r="CB1089" s="70"/>
      <c r="CC1089" s="70"/>
      <c r="CD1089" s="70"/>
      <c r="CE1089" s="70"/>
      <c r="CF1089" s="70"/>
      <c r="CG1089" s="70"/>
      <c r="CH1089" s="70"/>
      <c r="CI1089" s="70"/>
      <c r="CJ1089" s="70"/>
      <c r="CK1089" s="70"/>
      <c r="CL1089" s="70"/>
      <c r="CM1089" s="70"/>
      <c r="CN1089" s="70"/>
      <c r="CO1089" s="70"/>
      <c r="CP1089" s="70"/>
      <c r="CQ1089" s="70"/>
      <c r="CR1089" s="70"/>
      <c r="CS1089" s="70"/>
      <c r="CT1089" s="70"/>
      <c r="CU1089" s="70"/>
      <c r="CV1089" s="70"/>
      <c r="CW1089" s="70"/>
      <c r="CX1089" s="70"/>
      <c r="CY1089" s="70"/>
      <c r="CZ1089" s="70"/>
      <c r="DA1089" s="70"/>
      <c r="DB1089" s="70"/>
      <c r="DC1089" s="70"/>
      <c r="DD1089" s="70"/>
      <c r="DE1089" s="70"/>
      <c r="DF1089" s="70"/>
      <c r="DG1089" s="70"/>
      <c r="DH1089" s="70"/>
      <c r="DI1089" s="70"/>
      <c r="DJ1089" s="70"/>
      <c r="DK1089" s="70"/>
      <c r="DL1089" s="70"/>
      <c r="DM1089" s="70"/>
      <c r="DN1089" s="70"/>
      <c r="DO1089" s="70"/>
      <c r="DP1089" s="70"/>
      <c r="DQ1089" s="70"/>
      <c r="DR1089" s="70"/>
      <c r="DS1089" s="70"/>
      <c r="DT1089" s="70"/>
      <c r="DU1089" s="70"/>
      <c r="DV1089" s="70"/>
      <c r="DW1089" s="70"/>
      <c r="DX1089" s="70"/>
      <c r="DY1089" s="70"/>
      <c r="DZ1089" s="70"/>
      <c r="EA1089" s="70"/>
      <c r="EB1089" s="70"/>
      <c r="EC1089" s="70"/>
      <c r="ED1089" s="70"/>
      <c r="EE1089" s="95" t="s">
        <v>450</v>
      </c>
      <c r="EF1089" s="110"/>
      <c r="EG1089" s="110"/>
      <c r="EH1089" s="110"/>
      <c r="EI1089" s="216"/>
      <c r="EJ1089" s="110"/>
      <c r="EK1089" s="110"/>
      <c r="EL1089" s="110"/>
      <c r="EM1089" s="110"/>
      <c r="EN1089" s="110"/>
      <c r="EO1089" s="110"/>
      <c r="EP1089" s="110"/>
      <c r="EQ1089" s="110"/>
      <c r="ER1089" s="110"/>
      <c r="ES1089" s="110"/>
      <c r="ET1089" s="110"/>
      <c r="EU1089" s="110"/>
      <c r="EV1089" s="110"/>
      <c r="EW1089" s="110"/>
      <c r="EX1089" s="110"/>
      <c r="EY1089" s="110"/>
      <c r="EZ1089" s="110"/>
      <c r="FA1089" s="110"/>
      <c r="FB1089" s="110"/>
      <c r="FC1089" s="110"/>
      <c r="FD1089" s="110"/>
      <c r="FE1089" s="110"/>
      <c r="FF1089" s="110"/>
      <c r="FG1089" s="110"/>
      <c r="FH1089" s="110"/>
      <c r="FI1089" s="110"/>
      <c r="FJ1089" s="110"/>
      <c r="FK1089" s="110"/>
      <c r="FL1089" s="110"/>
      <c r="FM1089" s="110"/>
      <c r="FN1089" s="110"/>
      <c r="FO1089" s="110"/>
      <c r="FP1089" s="110"/>
      <c r="FQ1089" s="110"/>
      <c r="FR1089" s="110"/>
      <c r="FS1089" s="110"/>
      <c r="FT1089" s="110"/>
      <c r="FU1089" s="110"/>
      <c r="FV1089" s="110"/>
      <c r="FW1089" s="110"/>
      <c r="FX1089" s="110"/>
      <c r="FY1089" s="110"/>
      <c r="FZ1089" s="110"/>
      <c r="GA1089" s="110"/>
      <c r="GB1089" s="110"/>
      <c r="GC1089" s="110"/>
      <c r="GD1089" s="110"/>
      <c r="GE1089" s="110"/>
      <c r="GF1089" s="110"/>
      <c r="GG1089" s="110"/>
      <c r="GH1089" s="110"/>
      <c r="GI1089" s="110"/>
      <c r="GJ1089" s="110"/>
      <c r="GK1089" s="110"/>
      <c r="GL1089" s="110"/>
      <c r="GM1089" s="110"/>
      <c r="GN1089" s="110"/>
      <c r="GO1089" s="110"/>
      <c r="GP1089" s="110"/>
      <c r="GQ1089" s="110"/>
      <c r="GR1089" s="110"/>
      <c r="GS1089" s="110"/>
      <c r="GT1089" s="110"/>
      <c r="GU1089" s="110"/>
      <c r="GV1089" s="110"/>
      <c r="GW1089" s="110"/>
      <c r="GX1089" s="110"/>
      <c r="GY1089" s="110"/>
      <c r="GZ1089" s="110"/>
      <c r="HA1089" s="110"/>
      <c r="HB1089" s="110"/>
      <c r="HC1089" s="110"/>
      <c r="HD1089" s="110"/>
      <c r="HE1089" s="110"/>
      <c r="HF1089" s="110"/>
      <c r="HG1089" s="110"/>
      <c r="HH1089" s="110"/>
      <c r="HI1089" s="110"/>
      <c r="HJ1089" s="110"/>
      <c r="HK1089" s="110"/>
      <c r="HL1089" s="110"/>
      <c r="HM1089" s="110"/>
      <c r="HN1089" s="110"/>
      <c r="HO1089" s="110"/>
      <c r="HP1089" s="110"/>
      <c r="HQ1089" s="110"/>
      <c r="HR1089" s="110"/>
      <c r="HS1089" s="110"/>
      <c r="HT1089" s="110"/>
      <c r="HU1089" s="110"/>
      <c r="HV1089" s="110"/>
      <c r="HW1089" s="110"/>
      <c r="HX1089" s="110"/>
      <c r="HY1089" s="110"/>
      <c r="HZ1089" s="110"/>
      <c r="IA1089" s="110"/>
      <c r="IB1089" s="110"/>
      <c r="IC1089" s="110"/>
      <c r="ID1089" s="110"/>
      <c r="IE1089" s="110"/>
      <c r="IF1089" s="110"/>
      <c r="IG1089" s="110"/>
      <c r="IH1089" s="110"/>
      <c r="II1089" s="110"/>
      <c r="IJ1089" s="110"/>
      <c r="IK1089" s="110"/>
      <c r="IL1089" s="110"/>
      <c r="IM1089" s="110"/>
      <c r="IN1089" s="110"/>
      <c r="IO1089" s="110"/>
      <c r="IP1089" s="110"/>
    </row>
    <row r="1090" spans="18:250" ht="16.5" hidden="1" customHeight="1">
      <c r="R1090" s="95"/>
      <c r="S1090" s="95"/>
      <c r="T1090" s="95"/>
      <c r="U1090" s="70"/>
      <c r="V1090" s="214"/>
      <c r="W1090" s="70"/>
      <c r="X1090" s="70"/>
      <c r="Y1090" s="70"/>
      <c r="Z1090" s="70"/>
      <c r="AA1090" s="70"/>
      <c r="AB1090" s="70"/>
      <c r="AC1090" s="70"/>
      <c r="AD1090" s="70"/>
      <c r="AE1090" s="70"/>
      <c r="AF1090" s="70"/>
      <c r="AG1090" s="70"/>
      <c r="AH1090" s="70"/>
      <c r="AI1090" s="70"/>
      <c r="AJ1090" s="70"/>
      <c r="AK1090" s="70"/>
      <c r="AL1090" s="70"/>
      <c r="AM1090" s="70"/>
      <c r="AN1090" s="70"/>
      <c r="AO1090" s="70"/>
      <c r="AP1090" s="70"/>
      <c r="AQ1090" s="70"/>
      <c r="AR1090" s="70"/>
      <c r="AS1090" s="70"/>
      <c r="AT1090" s="70"/>
      <c r="AU1090" s="70"/>
      <c r="AV1090" s="70"/>
      <c r="AW1090" s="70"/>
      <c r="AX1090" s="70"/>
      <c r="AY1090" s="70"/>
      <c r="AZ1090" s="70"/>
      <c r="BA1090" s="70"/>
      <c r="BB1090" s="70"/>
      <c r="BC1090" s="70"/>
      <c r="BD1090" s="70"/>
      <c r="BE1090" s="70"/>
      <c r="BF1090" s="70"/>
      <c r="BG1090" s="70"/>
      <c r="BH1090" s="70"/>
      <c r="BI1090" s="70"/>
      <c r="BJ1090" s="70"/>
      <c r="BK1090" s="70"/>
      <c r="BL1090" s="70"/>
      <c r="BM1090" s="70"/>
      <c r="BN1090" s="70"/>
      <c r="BO1090" s="70"/>
      <c r="BP1090" s="70"/>
      <c r="BQ1090" s="70"/>
      <c r="BR1090" s="70"/>
      <c r="BS1090" s="70"/>
      <c r="BT1090" s="70"/>
      <c r="BU1090" s="70"/>
      <c r="BV1090" s="70"/>
      <c r="BW1090" s="70"/>
      <c r="BX1090" s="70"/>
      <c r="BY1090" s="70"/>
      <c r="BZ1090" s="70"/>
      <c r="CA1090" s="70"/>
      <c r="CB1090" s="70"/>
      <c r="CC1090" s="70"/>
      <c r="CD1090" s="70"/>
      <c r="CE1090" s="70"/>
      <c r="CF1090" s="70"/>
      <c r="CG1090" s="70"/>
      <c r="CH1090" s="70"/>
      <c r="CI1090" s="70"/>
      <c r="CJ1090" s="70"/>
      <c r="CK1090" s="70"/>
      <c r="CL1090" s="70"/>
      <c r="CM1090" s="70"/>
      <c r="CN1090" s="70"/>
      <c r="CO1090" s="70"/>
      <c r="CP1090" s="70"/>
      <c r="CQ1090" s="70"/>
      <c r="CR1090" s="70"/>
      <c r="CS1090" s="70"/>
      <c r="CT1090" s="70"/>
      <c r="CU1090" s="70"/>
      <c r="CV1090" s="70"/>
      <c r="CW1090" s="70"/>
      <c r="CX1090" s="70"/>
      <c r="CY1090" s="70"/>
      <c r="CZ1090" s="70"/>
      <c r="DA1090" s="70"/>
      <c r="DB1090" s="70"/>
      <c r="DC1090" s="70"/>
      <c r="DD1090" s="70"/>
      <c r="DE1090" s="70"/>
      <c r="DF1090" s="70"/>
      <c r="DG1090" s="70"/>
      <c r="DH1090" s="70"/>
      <c r="DI1090" s="70"/>
      <c r="DJ1090" s="70"/>
      <c r="DK1090" s="70"/>
      <c r="DL1090" s="70"/>
      <c r="DM1090" s="70"/>
      <c r="DN1090" s="70"/>
      <c r="DO1090" s="70"/>
      <c r="DP1090" s="70"/>
      <c r="DQ1090" s="70"/>
      <c r="DR1090" s="70"/>
      <c r="DS1090" s="70"/>
      <c r="DT1090" s="70"/>
      <c r="DU1090" s="70"/>
      <c r="DV1090" s="70"/>
      <c r="DW1090" s="70"/>
      <c r="DX1090" s="70"/>
      <c r="DY1090" s="70"/>
      <c r="DZ1090" s="70"/>
      <c r="EA1090" s="70"/>
      <c r="EB1090" s="70"/>
      <c r="EC1090" s="70"/>
      <c r="ED1090" s="70"/>
      <c r="EE1090" s="95" t="s">
        <v>450</v>
      </c>
      <c r="EF1090" s="110"/>
      <c r="EG1090" s="110"/>
      <c r="EH1090" s="110"/>
      <c r="EI1090" s="216"/>
      <c r="EJ1090" s="110"/>
      <c r="EK1090" s="110"/>
      <c r="EL1090" s="110"/>
      <c r="EM1090" s="110"/>
      <c r="EN1090" s="110"/>
      <c r="EO1090" s="110"/>
      <c r="EP1090" s="110"/>
      <c r="EQ1090" s="110"/>
      <c r="ER1090" s="110"/>
      <c r="ES1090" s="110"/>
      <c r="ET1090" s="110"/>
      <c r="EU1090" s="110"/>
      <c r="EV1090" s="110"/>
      <c r="EW1090" s="110"/>
      <c r="EX1090" s="110"/>
      <c r="EY1090" s="110"/>
      <c r="EZ1090" s="110"/>
      <c r="FA1090" s="110"/>
      <c r="FB1090" s="110"/>
      <c r="FC1090" s="110"/>
      <c r="FD1090" s="110"/>
      <c r="FE1090" s="110"/>
      <c r="FF1090" s="110"/>
      <c r="FG1090" s="110"/>
      <c r="FH1090" s="110"/>
      <c r="FI1090" s="110"/>
      <c r="FJ1090" s="110"/>
      <c r="FK1090" s="110"/>
      <c r="FL1090" s="110"/>
      <c r="FM1090" s="110"/>
      <c r="FN1090" s="110"/>
      <c r="FO1090" s="110"/>
      <c r="FP1090" s="110"/>
      <c r="FQ1090" s="110"/>
      <c r="FR1090" s="110"/>
      <c r="FS1090" s="110"/>
      <c r="FT1090" s="110"/>
      <c r="FU1090" s="110"/>
      <c r="FV1090" s="110"/>
      <c r="FW1090" s="110"/>
      <c r="FX1090" s="110"/>
      <c r="FY1090" s="110"/>
      <c r="FZ1090" s="110"/>
      <c r="GA1090" s="110"/>
      <c r="GB1090" s="110"/>
      <c r="GC1090" s="110"/>
      <c r="GD1090" s="110"/>
      <c r="GE1090" s="110"/>
      <c r="GF1090" s="110"/>
      <c r="GG1090" s="110"/>
      <c r="GH1090" s="110"/>
      <c r="GI1090" s="110"/>
      <c r="GJ1090" s="110"/>
      <c r="GK1090" s="110"/>
      <c r="GL1090" s="110"/>
      <c r="GM1090" s="110"/>
      <c r="GN1090" s="110"/>
      <c r="GO1090" s="110"/>
      <c r="GP1090" s="110"/>
      <c r="GQ1090" s="110"/>
      <c r="GR1090" s="110"/>
      <c r="GS1090" s="110"/>
      <c r="GT1090" s="110"/>
      <c r="GU1090" s="110"/>
      <c r="GV1090" s="110"/>
      <c r="GW1090" s="110"/>
      <c r="GX1090" s="110"/>
      <c r="GY1090" s="110"/>
      <c r="GZ1090" s="110"/>
      <c r="HA1090" s="110"/>
      <c r="HB1090" s="110"/>
      <c r="HC1090" s="110"/>
      <c r="HD1090" s="110"/>
      <c r="HE1090" s="110"/>
      <c r="HF1090" s="110"/>
      <c r="HG1090" s="110"/>
      <c r="HH1090" s="110"/>
      <c r="HI1090" s="110"/>
      <c r="HJ1090" s="110"/>
      <c r="HK1090" s="110"/>
      <c r="HL1090" s="110"/>
      <c r="HM1090" s="110"/>
      <c r="HN1090" s="110"/>
      <c r="HO1090" s="110"/>
      <c r="HP1090" s="110"/>
      <c r="HQ1090" s="110"/>
      <c r="HR1090" s="110"/>
      <c r="HS1090" s="110"/>
      <c r="HT1090" s="110"/>
      <c r="HU1090" s="110"/>
      <c r="HV1090" s="110"/>
      <c r="HW1090" s="110"/>
      <c r="HX1090" s="110"/>
      <c r="HY1090" s="110"/>
      <c r="HZ1090" s="110"/>
      <c r="IA1090" s="110"/>
      <c r="IB1090" s="110"/>
      <c r="IC1090" s="110"/>
      <c r="ID1090" s="110"/>
      <c r="IE1090" s="110"/>
      <c r="IF1090" s="110"/>
      <c r="IG1090" s="110"/>
      <c r="IH1090" s="110"/>
      <c r="II1090" s="110"/>
      <c r="IJ1090" s="110"/>
      <c r="IK1090" s="110"/>
      <c r="IL1090" s="110"/>
      <c r="IM1090" s="110"/>
      <c r="IN1090" s="110"/>
      <c r="IO1090" s="110"/>
      <c r="IP1090" s="110"/>
    </row>
    <row r="1091" spans="18:250" ht="16.5" hidden="1" customHeight="1">
      <c r="R1091" s="95"/>
      <c r="S1091" s="95"/>
      <c r="T1091" s="95"/>
      <c r="U1091" s="70"/>
      <c r="V1091" s="214"/>
      <c r="W1091" s="70"/>
      <c r="X1091" s="70"/>
      <c r="Y1091" s="70"/>
      <c r="Z1091" s="70"/>
      <c r="AA1091" s="70"/>
      <c r="AB1091" s="70"/>
      <c r="AC1091" s="70"/>
      <c r="AD1091" s="70"/>
      <c r="AE1091" s="70"/>
      <c r="AF1091" s="70"/>
      <c r="AG1091" s="70"/>
      <c r="AH1091" s="70"/>
      <c r="AI1091" s="70"/>
      <c r="AJ1091" s="70"/>
      <c r="AK1091" s="70"/>
      <c r="AL1091" s="70"/>
      <c r="AM1091" s="70"/>
      <c r="AN1091" s="70"/>
      <c r="AO1091" s="70"/>
      <c r="AP1091" s="70"/>
      <c r="AQ1091" s="70"/>
      <c r="AR1091" s="70"/>
      <c r="AS1091" s="70"/>
      <c r="AT1091" s="70"/>
      <c r="AU1091" s="70"/>
      <c r="AV1091" s="70"/>
      <c r="AW1091" s="70"/>
      <c r="AX1091" s="70"/>
      <c r="AY1091" s="70"/>
      <c r="AZ1091" s="70"/>
      <c r="BA1091" s="70"/>
      <c r="BB1091" s="70"/>
      <c r="BC1091" s="70"/>
      <c r="BD1091" s="70"/>
      <c r="BE1091" s="70"/>
      <c r="BF1091" s="70"/>
      <c r="BG1091" s="70"/>
      <c r="BH1091" s="70"/>
      <c r="BI1091" s="70"/>
      <c r="BJ1091" s="70"/>
      <c r="BK1091" s="70"/>
      <c r="BL1091" s="70"/>
      <c r="BM1091" s="70"/>
      <c r="BN1091" s="70"/>
      <c r="BO1091" s="70"/>
      <c r="BP1091" s="70"/>
      <c r="BQ1091" s="70"/>
      <c r="BR1091" s="70"/>
      <c r="BS1091" s="70"/>
      <c r="BT1091" s="70"/>
      <c r="BU1091" s="70"/>
      <c r="BV1091" s="70"/>
      <c r="BW1091" s="70"/>
      <c r="BX1091" s="70"/>
      <c r="BY1091" s="70"/>
      <c r="BZ1091" s="70"/>
      <c r="CA1091" s="70"/>
      <c r="CB1091" s="70"/>
      <c r="CC1091" s="70"/>
      <c r="CD1091" s="70"/>
      <c r="CE1091" s="70"/>
      <c r="CF1091" s="70"/>
      <c r="CG1091" s="70"/>
      <c r="CH1091" s="70"/>
      <c r="CI1091" s="70"/>
      <c r="CJ1091" s="70"/>
      <c r="CK1091" s="70"/>
      <c r="CL1091" s="70"/>
      <c r="CM1091" s="70"/>
      <c r="CN1091" s="70"/>
      <c r="CO1091" s="70"/>
      <c r="CP1091" s="70"/>
      <c r="CQ1091" s="70"/>
      <c r="CR1091" s="70"/>
      <c r="CS1091" s="70"/>
      <c r="CT1091" s="70"/>
      <c r="CU1091" s="70"/>
      <c r="CV1091" s="70"/>
      <c r="CW1091" s="70"/>
      <c r="CX1091" s="70"/>
      <c r="CY1091" s="70"/>
      <c r="CZ1091" s="70"/>
      <c r="DA1091" s="70"/>
      <c r="DB1091" s="70"/>
      <c r="DC1091" s="70"/>
      <c r="DD1091" s="70"/>
      <c r="DE1091" s="70"/>
      <c r="DF1091" s="70"/>
      <c r="DG1091" s="70"/>
      <c r="DH1091" s="70"/>
      <c r="DI1091" s="70"/>
      <c r="DJ1091" s="70"/>
      <c r="DK1091" s="70"/>
      <c r="DL1091" s="70"/>
      <c r="DM1091" s="70"/>
      <c r="DN1091" s="70"/>
      <c r="DO1091" s="70"/>
      <c r="DP1091" s="70"/>
      <c r="DQ1091" s="70"/>
      <c r="DR1091" s="70"/>
      <c r="DS1091" s="70"/>
      <c r="DT1091" s="70"/>
      <c r="DU1091" s="70"/>
      <c r="DV1091" s="70"/>
      <c r="DW1091" s="70"/>
      <c r="DX1091" s="70"/>
      <c r="DY1091" s="70"/>
      <c r="DZ1091" s="70"/>
      <c r="EA1091" s="70"/>
      <c r="EB1091" s="70"/>
      <c r="EC1091" s="70"/>
      <c r="ED1091" s="70"/>
      <c r="EE1091" s="95" t="s">
        <v>450</v>
      </c>
      <c r="EF1091" s="110"/>
      <c r="EG1091" s="110"/>
      <c r="EH1091" s="110"/>
      <c r="EI1091" s="216"/>
      <c r="EJ1091" s="110"/>
      <c r="EK1091" s="110"/>
      <c r="EL1091" s="110"/>
      <c r="EM1091" s="110"/>
      <c r="EN1091" s="110"/>
      <c r="EO1091" s="110"/>
      <c r="EP1091" s="110"/>
      <c r="EQ1091" s="110"/>
      <c r="ER1091" s="110"/>
      <c r="ES1091" s="110"/>
      <c r="ET1091" s="110"/>
      <c r="EU1091" s="110"/>
      <c r="EV1091" s="110"/>
      <c r="EW1091" s="110"/>
      <c r="EX1091" s="110"/>
      <c r="EY1091" s="110"/>
      <c r="EZ1091" s="110"/>
      <c r="FA1091" s="110"/>
      <c r="FB1091" s="110"/>
      <c r="FC1091" s="110"/>
      <c r="FD1091" s="110"/>
      <c r="FE1091" s="110"/>
      <c r="FF1091" s="110"/>
      <c r="FG1091" s="110"/>
      <c r="FH1091" s="110"/>
      <c r="FI1091" s="110"/>
      <c r="FJ1091" s="110"/>
      <c r="FK1091" s="110"/>
      <c r="FL1091" s="110"/>
      <c r="FM1091" s="110"/>
      <c r="FN1091" s="110"/>
      <c r="FO1091" s="110"/>
      <c r="FP1091" s="110"/>
      <c r="FQ1091" s="110"/>
      <c r="FR1091" s="110"/>
      <c r="FS1091" s="110"/>
      <c r="FT1091" s="110"/>
      <c r="FU1091" s="110"/>
      <c r="FV1091" s="110"/>
      <c r="FW1091" s="110"/>
      <c r="FX1091" s="110"/>
      <c r="FY1091" s="110"/>
      <c r="FZ1091" s="110"/>
      <c r="GA1091" s="110"/>
      <c r="GB1091" s="110"/>
      <c r="GC1091" s="110"/>
      <c r="GD1091" s="110"/>
      <c r="GE1091" s="110"/>
      <c r="GF1091" s="110"/>
      <c r="GG1091" s="110"/>
      <c r="GH1091" s="110"/>
      <c r="GI1091" s="110"/>
      <c r="GJ1091" s="110"/>
      <c r="GK1091" s="110"/>
      <c r="GL1091" s="110"/>
      <c r="GM1091" s="110"/>
      <c r="GN1091" s="110"/>
      <c r="GO1091" s="110"/>
      <c r="GP1091" s="110"/>
      <c r="GQ1091" s="110"/>
      <c r="GR1091" s="110"/>
      <c r="GS1091" s="110"/>
      <c r="GT1091" s="110"/>
      <c r="GU1091" s="110"/>
      <c r="GV1091" s="110"/>
      <c r="GW1091" s="110"/>
      <c r="GX1091" s="110"/>
      <c r="GY1091" s="110"/>
      <c r="GZ1091" s="110"/>
      <c r="HA1091" s="110"/>
      <c r="HB1091" s="110"/>
      <c r="HC1091" s="110"/>
      <c r="HD1091" s="110"/>
      <c r="HE1091" s="110"/>
      <c r="HF1091" s="110"/>
      <c r="HG1091" s="110"/>
      <c r="HH1091" s="110"/>
      <c r="HI1091" s="110"/>
      <c r="HJ1091" s="110"/>
      <c r="HK1091" s="110"/>
      <c r="HL1091" s="110"/>
      <c r="HM1091" s="110"/>
      <c r="HN1091" s="110"/>
      <c r="HO1091" s="110"/>
      <c r="HP1091" s="110"/>
      <c r="HQ1091" s="110"/>
      <c r="HR1091" s="110"/>
      <c r="HS1091" s="110"/>
      <c r="HT1091" s="110"/>
      <c r="HU1091" s="110"/>
      <c r="HV1091" s="110"/>
      <c r="HW1091" s="110"/>
      <c r="HX1091" s="110"/>
      <c r="HY1091" s="110"/>
      <c r="HZ1091" s="110"/>
      <c r="IA1091" s="110"/>
      <c r="IB1091" s="110"/>
      <c r="IC1091" s="110"/>
      <c r="ID1091" s="110"/>
      <c r="IE1091" s="110"/>
      <c r="IF1091" s="110"/>
      <c r="IG1091" s="110"/>
      <c r="IH1091" s="110"/>
      <c r="II1091" s="110"/>
      <c r="IJ1091" s="110"/>
      <c r="IK1091" s="110"/>
      <c r="IL1091" s="110"/>
      <c r="IM1091" s="110"/>
      <c r="IN1091" s="110"/>
      <c r="IO1091" s="110"/>
      <c r="IP1091" s="110"/>
    </row>
    <row r="1092" spans="18:250" ht="16.5" hidden="1" customHeight="1">
      <c r="R1092" s="95"/>
      <c r="S1092" s="95"/>
      <c r="T1092" s="95"/>
      <c r="U1092" s="70"/>
      <c r="V1092" s="214"/>
      <c r="W1092" s="70"/>
      <c r="X1092" s="70"/>
      <c r="Y1092" s="70"/>
      <c r="Z1092" s="70"/>
      <c r="AA1092" s="70"/>
      <c r="AB1092" s="70"/>
      <c r="AC1092" s="70"/>
      <c r="AD1092" s="70"/>
      <c r="AE1092" s="70"/>
      <c r="AF1092" s="70"/>
      <c r="AG1092" s="70"/>
      <c r="AH1092" s="70"/>
      <c r="AI1092" s="70"/>
      <c r="AJ1092" s="70"/>
      <c r="AK1092" s="70"/>
      <c r="AL1092" s="70"/>
      <c r="AM1092" s="70"/>
      <c r="AN1092" s="70"/>
      <c r="AO1092" s="70"/>
      <c r="AP1092" s="70"/>
      <c r="AQ1092" s="70"/>
      <c r="AR1092" s="70"/>
      <c r="AS1092" s="70"/>
      <c r="AT1092" s="70"/>
      <c r="AU1092" s="70"/>
      <c r="AV1092" s="70"/>
      <c r="AW1092" s="70"/>
      <c r="AX1092" s="70"/>
      <c r="AY1092" s="70"/>
      <c r="AZ1092" s="70"/>
      <c r="BA1092" s="70"/>
      <c r="BB1092" s="70"/>
      <c r="BC1092" s="70"/>
      <c r="BD1092" s="70"/>
      <c r="BE1092" s="70"/>
      <c r="BF1092" s="70"/>
      <c r="BG1092" s="70"/>
      <c r="BH1092" s="70"/>
      <c r="BI1092" s="70"/>
      <c r="BJ1092" s="70"/>
      <c r="BK1092" s="70"/>
      <c r="BL1092" s="70"/>
      <c r="BM1092" s="70"/>
      <c r="BN1092" s="70"/>
      <c r="BO1092" s="70"/>
      <c r="BP1092" s="70"/>
      <c r="BQ1092" s="70"/>
      <c r="BR1092" s="70"/>
      <c r="BS1092" s="70"/>
      <c r="BT1092" s="70"/>
      <c r="BU1092" s="70"/>
      <c r="BV1092" s="70"/>
      <c r="BW1092" s="70"/>
      <c r="BX1092" s="70"/>
      <c r="BY1092" s="70"/>
      <c r="BZ1092" s="70"/>
      <c r="CA1092" s="70"/>
      <c r="CB1092" s="70"/>
      <c r="CC1092" s="70"/>
      <c r="CD1092" s="70"/>
      <c r="CE1092" s="70"/>
      <c r="CF1092" s="70"/>
      <c r="CG1092" s="70"/>
      <c r="CH1092" s="70"/>
      <c r="CI1092" s="70"/>
      <c r="CJ1092" s="70"/>
      <c r="CK1092" s="70"/>
      <c r="CL1092" s="70"/>
      <c r="CM1092" s="70"/>
      <c r="CN1092" s="70"/>
      <c r="CO1092" s="70"/>
      <c r="CP1092" s="70"/>
      <c r="CQ1092" s="70"/>
      <c r="CR1092" s="70"/>
      <c r="CS1092" s="70"/>
      <c r="CT1092" s="70"/>
      <c r="CU1092" s="70"/>
      <c r="CV1092" s="70"/>
      <c r="CW1092" s="70"/>
      <c r="CX1092" s="70"/>
      <c r="CY1092" s="70"/>
      <c r="CZ1092" s="70"/>
      <c r="DA1092" s="70"/>
      <c r="DB1092" s="70"/>
      <c r="DC1092" s="70"/>
      <c r="DD1092" s="70"/>
      <c r="DE1092" s="70"/>
      <c r="DF1092" s="70"/>
      <c r="DG1092" s="70"/>
      <c r="DH1092" s="70"/>
      <c r="DI1092" s="70"/>
      <c r="DJ1092" s="70"/>
      <c r="DK1092" s="70"/>
      <c r="DL1092" s="70"/>
      <c r="DM1092" s="70"/>
      <c r="DN1092" s="70"/>
      <c r="DO1092" s="70"/>
      <c r="DP1092" s="70"/>
      <c r="DQ1092" s="70"/>
      <c r="DR1092" s="70"/>
      <c r="DS1092" s="70"/>
      <c r="DT1092" s="70"/>
      <c r="DU1092" s="70"/>
      <c r="DV1092" s="70"/>
      <c r="DW1092" s="70"/>
      <c r="DX1092" s="70"/>
      <c r="DY1092" s="70"/>
      <c r="DZ1092" s="70"/>
      <c r="EA1092" s="70"/>
      <c r="EB1092" s="70"/>
      <c r="EC1092" s="70"/>
      <c r="ED1092" s="70"/>
      <c r="EE1092" s="95" t="s">
        <v>450</v>
      </c>
      <c r="EF1092" s="110"/>
      <c r="EG1092" s="110"/>
      <c r="EH1092" s="110"/>
      <c r="EI1092" s="216"/>
      <c r="EJ1092" s="110"/>
      <c r="EK1092" s="110"/>
      <c r="EL1092" s="110"/>
      <c r="EM1092" s="110"/>
      <c r="EN1092" s="110"/>
      <c r="EO1092" s="110"/>
      <c r="EP1092" s="110"/>
      <c r="EQ1092" s="110"/>
      <c r="ER1092" s="110"/>
      <c r="ES1092" s="110"/>
      <c r="ET1092" s="110"/>
      <c r="EU1092" s="110"/>
      <c r="EV1092" s="110"/>
      <c r="EW1092" s="110"/>
      <c r="EX1092" s="110"/>
      <c r="EY1092" s="110"/>
      <c r="EZ1092" s="110"/>
      <c r="FA1092" s="110"/>
      <c r="FB1092" s="110"/>
      <c r="FC1092" s="110"/>
      <c r="FD1092" s="110"/>
      <c r="FE1092" s="110"/>
      <c r="FF1092" s="110"/>
      <c r="FG1092" s="110"/>
      <c r="FH1092" s="110"/>
      <c r="FI1092" s="110"/>
      <c r="FJ1092" s="110"/>
      <c r="FK1092" s="110"/>
      <c r="FL1092" s="110"/>
      <c r="FM1092" s="110"/>
      <c r="FN1092" s="110"/>
      <c r="FO1092" s="110"/>
      <c r="FP1092" s="110"/>
      <c r="FQ1092" s="110"/>
      <c r="FR1092" s="110"/>
      <c r="FS1092" s="110"/>
      <c r="FT1092" s="110"/>
      <c r="FU1092" s="110"/>
      <c r="FV1092" s="110"/>
      <c r="FW1092" s="110"/>
      <c r="FX1092" s="110"/>
      <c r="FY1092" s="110"/>
      <c r="FZ1092" s="110"/>
      <c r="GA1092" s="110"/>
      <c r="GB1092" s="110"/>
      <c r="GC1092" s="110"/>
      <c r="GD1092" s="110"/>
      <c r="GE1092" s="110"/>
      <c r="GF1092" s="110"/>
      <c r="GG1092" s="110"/>
      <c r="GH1092" s="110"/>
      <c r="GI1092" s="110"/>
      <c r="GJ1092" s="110"/>
      <c r="GK1092" s="110"/>
      <c r="GL1092" s="110"/>
      <c r="GM1092" s="110"/>
      <c r="GN1092" s="110"/>
      <c r="GO1092" s="110"/>
      <c r="GP1092" s="110"/>
      <c r="GQ1092" s="110"/>
      <c r="GR1092" s="110"/>
      <c r="GS1092" s="110"/>
      <c r="GT1092" s="110"/>
      <c r="GU1092" s="110"/>
      <c r="GV1092" s="110"/>
      <c r="GW1092" s="110"/>
      <c r="GX1092" s="110"/>
      <c r="GY1092" s="110"/>
      <c r="GZ1092" s="110"/>
      <c r="HA1092" s="110"/>
      <c r="HB1092" s="110"/>
      <c r="HC1092" s="110"/>
      <c r="HD1092" s="110"/>
      <c r="HE1092" s="110"/>
      <c r="HF1092" s="110"/>
      <c r="HG1092" s="110"/>
      <c r="HH1092" s="110"/>
      <c r="HI1092" s="110"/>
      <c r="HJ1092" s="110"/>
      <c r="HK1092" s="110"/>
      <c r="HL1092" s="110"/>
      <c r="HM1092" s="110"/>
      <c r="HN1092" s="110"/>
      <c r="HO1092" s="110"/>
      <c r="HP1092" s="110"/>
      <c r="HQ1092" s="110"/>
      <c r="HR1092" s="110"/>
      <c r="HS1092" s="110"/>
      <c r="HT1092" s="110"/>
      <c r="HU1092" s="110"/>
      <c r="HV1092" s="110"/>
      <c r="HW1092" s="110"/>
      <c r="HX1092" s="110"/>
      <c r="HY1092" s="110"/>
      <c r="HZ1092" s="110"/>
      <c r="IA1092" s="110"/>
      <c r="IB1092" s="110"/>
      <c r="IC1092" s="110"/>
      <c r="ID1092" s="110"/>
      <c r="IE1092" s="110"/>
      <c r="IF1092" s="110"/>
      <c r="IG1092" s="110"/>
      <c r="IH1092" s="110"/>
      <c r="II1092" s="110"/>
      <c r="IJ1092" s="110"/>
      <c r="IK1092" s="110"/>
      <c r="IL1092" s="110"/>
      <c r="IM1092" s="110"/>
      <c r="IN1092" s="110"/>
      <c r="IO1092" s="110"/>
      <c r="IP1092" s="110"/>
    </row>
    <row r="1093" spans="18:250" ht="16.5" hidden="1" customHeight="1">
      <c r="R1093" s="95"/>
      <c r="S1093" s="95"/>
      <c r="T1093" s="95"/>
      <c r="U1093" s="70"/>
      <c r="V1093" s="214"/>
      <c r="W1093" s="70"/>
      <c r="X1093" s="70"/>
      <c r="Y1093" s="70"/>
      <c r="Z1093" s="70"/>
      <c r="AA1093" s="70"/>
      <c r="AB1093" s="70"/>
      <c r="AC1093" s="70"/>
      <c r="AD1093" s="70"/>
      <c r="AE1093" s="70"/>
      <c r="AF1093" s="70"/>
      <c r="AG1093" s="70"/>
      <c r="AH1093" s="70"/>
      <c r="AI1093" s="70"/>
      <c r="AJ1093" s="70"/>
      <c r="AK1093" s="70"/>
      <c r="AL1093" s="70"/>
      <c r="AM1093" s="70"/>
      <c r="AN1093" s="70"/>
      <c r="AO1093" s="70"/>
      <c r="AP1093" s="70"/>
      <c r="AQ1093" s="70"/>
      <c r="AR1093" s="70"/>
      <c r="AS1093" s="70"/>
      <c r="AT1093" s="70"/>
      <c r="AU1093" s="70"/>
      <c r="AV1093" s="70"/>
      <c r="AW1093" s="70"/>
      <c r="AX1093" s="70"/>
      <c r="AY1093" s="70"/>
      <c r="AZ1093" s="70"/>
      <c r="BA1093" s="70"/>
      <c r="BB1093" s="70"/>
      <c r="BC1093" s="70"/>
      <c r="BD1093" s="70"/>
      <c r="BE1093" s="70"/>
      <c r="BF1093" s="70"/>
      <c r="BG1093" s="70"/>
      <c r="BH1093" s="70"/>
      <c r="BI1093" s="70"/>
      <c r="BJ1093" s="70"/>
      <c r="BK1093" s="70"/>
      <c r="BL1093" s="70"/>
      <c r="BM1093" s="70"/>
      <c r="BN1093" s="70"/>
      <c r="BO1093" s="70"/>
      <c r="BP1093" s="70"/>
      <c r="BQ1093" s="70"/>
      <c r="BR1093" s="70"/>
      <c r="BS1093" s="70"/>
      <c r="BT1093" s="70"/>
      <c r="BU1093" s="70"/>
      <c r="BV1093" s="70"/>
      <c r="BW1093" s="70"/>
      <c r="BX1093" s="70"/>
      <c r="BY1093" s="70"/>
      <c r="BZ1093" s="70"/>
      <c r="CA1093" s="70"/>
      <c r="CB1093" s="70"/>
      <c r="CC1093" s="70"/>
      <c r="CD1093" s="70"/>
      <c r="CE1093" s="70"/>
      <c r="CF1093" s="70"/>
      <c r="CG1093" s="70"/>
      <c r="CH1093" s="70"/>
      <c r="CI1093" s="70"/>
      <c r="CJ1093" s="70"/>
      <c r="CK1093" s="70"/>
      <c r="CL1093" s="70"/>
      <c r="CM1093" s="70"/>
      <c r="CN1093" s="70"/>
      <c r="CO1093" s="70"/>
      <c r="CP1093" s="70"/>
      <c r="CQ1093" s="70"/>
      <c r="CR1093" s="70"/>
      <c r="CS1093" s="70"/>
      <c r="CT1093" s="70"/>
      <c r="CU1093" s="70"/>
      <c r="CV1093" s="70"/>
      <c r="CW1093" s="70"/>
      <c r="CX1093" s="70"/>
      <c r="CY1093" s="70"/>
      <c r="CZ1093" s="70"/>
      <c r="DA1093" s="70"/>
      <c r="DB1093" s="70"/>
      <c r="DC1093" s="70"/>
      <c r="DD1093" s="70"/>
      <c r="DE1093" s="70"/>
      <c r="DF1093" s="70"/>
      <c r="DG1093" s="70"/>
      <c r="DH1093" s="70"/>
      <c r="DI1093" s="70"/>
      <c r="DJ1093" s="70"/>
      <c r="DK1093" s="70"/>
      <c r="DL1093" s="70"/>
      <c r="DM1093" s="70"/>
      <c r="DN1093" s="70"/>
      <c r="DO1093" s="70"/>
      <c r="DP1093" s="70"/>
      <c r="DQ1093" s="70"/>
      <c r="DR1093" s="70"/>
      <c r="DS1093" s="70"/>
      <c r="DT1093" s="70"/>
      <c r="DU1093" s="70"/>
      <c r="DV1093" s="70"/>
      <c r="DW1093" s="70"/>
      <c r="DX1093" s="70"/>
      <c r="DY1093" s="70"/>
      <c r="DZ1093" s="70"/>
      <c r="EA1093" s="70"/>
      <c r="EB1093" s="70"/>
      <c r="EC1093" s="70"/>
      <c r="ED1093" s="70"/>
      <c r="EE1093" s="95" t="s">
        <v>450</v>
      </c>
      <c r="EF1093" s="110"/>
      <c r="EG1093" s="110"/>
      <c r="EH1093" s="110"/>
      <c r="EI1093" s="216"/>
      <c r="EJ1093" s="110"/>
      <c r="EK1093" s="110"/>
      <c r="EL1093" s="110"/>
      <c r="EM1093" s="110"/>
      <c r="EN1093" s="110"/>
      <c r="EO1093" s="110"/>
      <c r="EP1093" s="110"/>
      <c r="EQ1093" s="110"/>
      <c r="ER1093" s="110"/>
      <c r="ES1093" s="110"/>
      <c r="ET1093" s="110"/>
      <c r="EU1093" s="110"/>
      <c r="EV1093" s="110"/>
      <c r="EW1093" s="110"/>
      <c r="EX1093" s="110"/>
      <c r="EY1093" s="110"/>
      <c r="EZ1093" s="110"/>
      <c r="FA1093" s="110"/>
      <c r="FB1093" s="110"/>
      <c r="FC1093" s="110"/>
      <c r="FD1093" s="110"/>
      <c r="FE1093" s="110"/>
      <c r="FF1093" s="110"/>
      <c r="FG1093" s="110"/>
      <c r="FH1093" s="110"/>
      <c r="FI1093" s="110"/>
      <c r="FJ1093" s="110"/>
      <c r="FK1093" s="110"/>
      <c r="FL1093" s="110"/>
      <c r="FM1093" s="110"/>
      <c r="FN1093" s="110"/>
      <c r="FO1093" s="110"/>
      <c r="FP1093" s="110"/>
      <c r="FQ1093" s="110"/>
      <c r="FR1093" s="110"/>
      <c r="FS1093" s="110"/>
      <c r="FT1093" s="110"/>
      <c r="FU1093" s="110"/>
      <c r="FV1093" s="110"/>
      <c r="FW1093" s="110"/>
      <c r="FX1093" s="110"/>
      <c r="FY1093" s="110"/>
      <c r="FZ1093" s="110"/>
      <c r="GA1093" s="110"/>
      <c r="GB1093" s="110"/>
      <c r="GC1093" s="110"/>
      <c r="GD1093" s="110"/>
      <c r="GE1093" s="110"/>
      <c r="GF1093" s="110"/>
      <c r="GG1093" s="110"/>
      <c r="GH1093" s="110"/>
      <c r="GI1093" s="110"/>
      <c r="GJ1093" s="110"/>
      <c r="GK1093" s="110"/>
      <c r="GL1093" s="110"/>
      <c r="GM1093" s="110"/>
      <c r="GN1093" s="110"/>
      <c r="GO1093" s="110"/>
      <c r="GP1093" s="110"/>
      <c r="GQ1093" s="110"/>
      <c r="GR1093" s="110"/>
      <c r="GS1093" s="110"/>
      <c r="GT1093" s="110"/>
      <c r="GU1093" s="110"/>
      <c r="GV1093" s="110"/>
      <c r="GW1093" s="110"/>
      <c r="GX1093" s="110"/>
      <c r="GY1093" s="110"/>
      <c r="GZ1093" s="110"/>
      <c r="HA1093" s="110"/>
      <c r="HB1093" s="110"/>
      <c r="HC1093" s="110"/>
      <c r="HD1093" s="110"/>
      <c r="HE1093" s="110"/>
      <c r="HF1093" s="110"/>
      <c r="HG1093" s="110"/>
      <c r="HH1093" s="110"/>
      <c r="HI1093" s="110"/>
      <c r="HJ1093" s="110"/>
      <c r="HK1093" s="110"/>
      <c r="HL1093" s="110"/>
      <c r="HM1093" s="110"/>
      <c r="HN1093" s="110"/>
      <c r="HO1093" s="110"/>
      <c r="HP1093" s="110"/>
      <c r="HQ1093" s="110"/>
      <c r="HR1093" s="110"/>
      <c r="HS1093" s="110"/>
      <c r="HT1093" s="110"/>
      <c r="HU1093" s="110"/>
      <c r="HV1093" s="110"/>
      <c r="HW1093" s="110"/>
      <c r="HX1093" s="110"/>
      <c r="HY1093" s="110"/>
      <c r="HZ1093" s="110"/>
      <c r="IA1093" s="110"/>
      <c r="IB1093" s="110"/>
      <c r="IC1093" s="110"/>
      <c r="ID1093" s="110"/>
      <c r="IE1093" s="110"/>
      <c r="IF1093" s="110"/>
      <c r="IG1093" s="110"/>
      <c r="IH1093" s="110"/>
      <c r="II1093" s="110"/>
      <c r="IJ1093" s="110"/>
      <c r="IK1093" s="110"/>
      <c r="IL1093" s="110"/>
      <c r="IM1093" s="110"/>
      <c r="IN1093" s="110"/>
      <c r="IO1093" s="110"/>
      <c r="IP1093" s="110"/>
    </row>
    <row r="1094" spans="18:250" ht="16.5" hidden="1" customHeight="1">
      <c r="R1094" s="95"/>
      <c r="S1094" s="95"/>
      <c r="T1094" s="95"/>
      <c r="U1094" s="70"/>
      <c r="V1094" s="214"/>
      <c r="W1094" s="70"/>
      <c r="X1094" s="70"/>
      <c r="Y1094" s="70"/>
      <c r="Z1094" s="70"/>
      <c r="AA1094" s="70"/>
      <c r="AB1094" s="70"/>
      <c r="AC1094" s="70"/>
      <c r="AD1094" s="70"/>
      <c r="AE1094" s="70"/>
      <c r="AF1094" s="70"/>
      <c r="AG1094" s="70"/>
      <c r="AH1094" s="70"/>
      <c r="AI1094" s="70"/>
      <c r="AJ1094" s="70"/>
      <c r="AK1094" s="70"/>
      <c r="AL1094" s="70"/>
      <c r="AM1094" s="70"/>
      <c r="AN1094" s="70"/>
      <c r="AO1094" s="70"/>
      <c r="AP1094" s="70"/>
      <c r="AQ1094" s="70"/>
      <c r="AR1094" s="70"/>
      <c r="AS1094" s="70"/>
      <c r="AT1094" s="70"/>
      <c r="AU1094" s="70"/>
      <c r="AV1094" s="70"/>
      <c r="AW1094" s="70"/>
      <c r="AX1094" s="70"/>
      <c r="AY1094" s="70"/>
      <c r="AZ1094" s="70"/>
      <c r="BA1094" s="70"/>
      <c r="BB1094" s="70"/>
      <c r="BC1094" s="70"/>
      <c r="BD1094" s="70"/>
      <c r="BE1094" s="70"/>
      <c r="BF1094" s="70"/>
      <c r="BG1094" s="70"/>
      <c r="BH1094" s="70"/>
      <c r="BI1094" s="70"/>
      <c r="BJ1094" s="70"/>
      <c r="BK1094" s="70"/>
      <c r="BL1094" s="70"/>
      <c r="BM1094" s="70"/>
      <c r="BN1094" s="70"/>
      <c r="BO1094" s="70"/>
      <c r="BP1094" s="70"/>
      <c r="BQ1094" s="70"/>
      <c r="BR1094" s="70"/>
      <c r="BS1094" s="70"/>
      <c r="BT1094" s="70"/>
      <c r="BU1094" s="70"/>
      <c r="BV1094" s="70"/>
      <c r="BW1094" s="70"/>
      <c r="BX1094" s="70"/>
      <c r="BY1094" s="70"/>
      <c r="BZ1094" s="70"/>
      <c r="CA1094" s="70"/>
      <c r="CB1094" s="70"/>
      <c r="CC1094" s="70"/>
      <c r="CD1094" s="70"/>
      <c r="CE1094" s="70"/>
      <c r="CF1094" s="70"/>
      <c r="CG1094" s="70"/>
      <c r="CH1094" s="70"/>
      <c r="CI1094" s="70"/>
      <c r="CJ1094" s="70"/>
      <c r="CK1094" s="70"/>
      <c r="CL1094" s="70"/>
      <c r="CM1094" s="70"/>
      <c r="CN1094" s="70"/>
      <c r="CO1094" s="70"/>
      <c r="CP1094" s="70"/>
      <c r="CQ1094" s="70"/>
      <c r="CR1094" s="70"/>
      <c r="CS1094" s="70"/>
      <c r="CT1094" s="70"/>
      <c r="CU1094" s="70"/>
      <c r="CV1094" s="70"/>
      <c r="CW1094" s="70"/>
      <c r="CX1094" s="70"/>
      <c r="CY1094" s="70"/>
      <c r="CZ1094" s="70"/>
      <c r="DA1094" s="70"/>
      <c r="DB1094" s="70"/>
      <c r="DC1094" s="70"/>
      <c r="DD1094" s="70"/>
      <c r="DE1094" s="70"/>
      <c r="DF1094" s="70"/>
      <c r="DG1094" s="70"/>
      <c r="DH1094" s="70"/>
      <c r="DI1094" s="70"/>
      <c r="DJ1094" s="70"/>
      <c r="DK1094" s="70"/>
      <c r="DL1094" s="70"/>
      <c r="DM1094" s="70"/>
      <c r="DN1094" s="70"/>
      <c r="DO1094" s="70"/>
      <c r="DP1094" s="70"/>
      <c r="DQ1094" s="70"/>
      <c r="DR1094" s="70"/>
      <c r="DS1094" s="70"/>
      <c r="DT1094" s="70"/>
      <c r="DU1094" s="70"/>
      <c r="DV1094" s="70"/>
      <c r="DW1094" s="70"/>
      <c r="DX1094" s="70"/>
      <c r="DY1094" s="70"/>
      <c r="DZ1094" s="70"/>
      <c r="EA1094" s="70"/>
      <c r="EB1094" s="70"/>
      <c r="EC1094" s="70"/>
      <c r="ED1094" s="70"/>
      <c r="EE1094" s="95" t="s">
        <v>450</v>
      </c>
      <c r="EF1094" s="110"/>
      <c r="EG1094" s="110"/>
      <c r="EH1094" s="110"/>
      <c r="EI1094" s="216"/>
      <c r="EJ1094" s="110"/>
      <c r="EK1094" s="110"/>
      <c r="EL1094" s="110"/>
      <c r="EM1094" s="110"/>
      <c r="EN1094" s="110"/>
      <c r="EO1094" s="110"/>
      <c r="EP1094" s="110"/>
      <c r="EQ1094" s="110"/>
      <c r="ER1094" s="110"/>
      <c r="ES1094" s="110"/>
      <c r="ET1094" s="110"/>
      <c r="EU1094" s="110"/>
      <c r="EV1094" s="110"/>
      <c r="EW1094" s="110"/>
      <c r="EX1094" s="110"/>
      <c r="EY1094" s="110"/>
      <c r="EZ1094" s="110"/>
      <c r="FA1094" s="110"/>
      <c r="FB1094" s="110"/>
      <c r="FC1094" s="110"/>
      <c r="FD1094" s="110"/>
      <c r="FE1094" s="110"/>
      <c r="FF1094" s="110"/>
      <c r="FG1094" s="110"/>
      <c r="FH1094" s="110"/>
      <c r="FI1094" s="110"/>
      <c r="FJ1094" s="110"/>
      <c r="FK1094" s="110"/>
      <c r="FL1094" s="110"/>
      <c r="FM1094" s="110"/>
      <c r="FN1094" s="110"/>
      <c r="FO1094" s="110"/>
      <c r="FP1094" s="110"/>
      <c r="FQ1094" s="110"/>
      <c r="FR1094" s="110"/>
      <c r="FS1094" s="110"/>
      <c r="FT1094" s="110"/>
      <c r="FU1094" s="110"/>
      <c r="FV1094" s="110"/>
      <c r="FW1094" s="110"/>
      <c r="FX1094" s="110"/>
      <c r="FY1094" s="110"/>
      <c r="FZ1094" s="110"/>
      <c r="GA1094" s="110"/>
      <c r="GB1094" s="110"/>
      <c r="GC1094" s="110"/>
      <c r="GD1094" s="110"/>
      <c r="GE1094" s="110"/>
      <c r="GF1094" s="110"/>
      <c r="GG1094" s="110"/>
      <c r="GH1094" s="110"/>
      <c r="GI1094" s="110"/>
      <c r="GJ1094" s="110"/>
      <c r="GK1094" s="110"/>
      <c r="GL1094" s="110"/>
      <c r="GM1094" s="110"/>
      <c r="GN1094" s="110"/>
      <c r="GO1094" s="110"/>
      <c r="GP1094" s="110"/>
      <c r="GQ1094" s="110"/>
      <c r="GR1094" s="110"/>
      <c r="GS1094" s="110"/>
      <c r="GT1094" s="110"/>
      <c r="GU1094" s="110"/>
      <c r="GV1094" s="110"/>
      <c r="GW1094" s="110"/>
      <c r="GX1094" s="110"/>
      <c r="GY1094" s="110"/>
      <c r="GZ1094" s="110"/>
      <c r="HA1094" s="110"/>
      <c r="HB1094" s="110"/>
      <c r="HC1094" s="110"/>
      <c r="HD1094" s="110"/>
      <c r="HE1094" s="110"/>
      <c r="HF1094" s="110"/>
      <c r="HG1094" s="110"/>
      <c r="HH1094" s="110"/>
      <c r="HI1094" s="110"/>
      <c r="HJ1094" s="110"/>
      <c r="HK1094" s="110"/>
      <c r="HL1094" s="110"/>
      <c r="HM1094" s="110"/>
      <c r="HN1094" s="110"/>
      <c r="HO1094" s="110"/>
      <c r="HP1094" s="110"/>
      <c r="HQ1094" s="110"/>
      <c r="HR1094" s="110"/>
      <c r="HS1094" s="110"/>
      <c r="HT1094" s="110"/>
      <c r="HU1094" s="110"/>
      <c r="HV1094" s="110"/>
      <c r="HW1094" s="110"/>
      <c r="HX1094" s="110"/>
      <c r="HY1094" s="110"/>
      <c r="HZ1094" s="110"/>
      <c r="IA1094" s="110"/>
      <c r="IB1094" s="110"/>
      <c r="IC1094" s="110"/>
      <c r="ID1094" s="110"/>
      <c r="IE1094" s="110"/>
      <c r="IF1094" s="110"/>
      <c r="IG1094" s="110"/>
      <c r="IH1094" s="110"/>
      <c r="II1094" s="110"/>
      <c r="IJ1094" s="110"/>
      <c r="IK1094" s="110"/>
      <c r="IL1094" s="110"/>
      <c r="IM1094" s="110"/>
      <c r="IN1094" s="110"/>
      <c r="IO1094" s="110"/>
      <c r="IP1094" s="110"/>
    </row>
    <row r="1095" spans="18:250" ht="16.5" hidden="1" customHeight="1">
      <c r="R1095" s="95"/>
      <c r="S1095" s="95"/>
      <c r="T1095" s="95"/>
      <c r="U1095" s="70"/>
      <c r="V1095" s="214"/>
      <c r="W1095" s="70"/>
      <c r="X1095" s="70"/>
      <c r="Y1095" s="70"/>
      <c r="Z1095" s="70"/>
      <c r="AA1095" s="70"/>
      <c r="AB1095" s="70"/>
      <c r="AC1095" s="70"/>
      <c r="AD1095" s="70"/>
      <c r="AE1095" s="70"/>
      <c r="AF1095" s="70"/>
      <c r="AG1095" s="70"/>
      <c r="AH1095" s="70"/>
      <c r="AI1095" s="70"/>
      <c r="AJ1095" s="70"/>
      <c r="AK1095" s="70"/>
      <c r="AL1095" s="70"/>
      <c r="AM1095" s="70"/>
      <c r="AN1095" s="70"/>
      <c r="AO1095" s="70"/>
      <c r="AP1095" s="70"/>
      <c r="AQ1095" s="70"/>
      <c r="AR1095" s="70"/>
      <c r="AS1095" s="70"/>
      <c r="AT1095" s="70"/>
      <c r="AU1095" s="70"/>
      <c r="AV1095" s="70"/>
      <c r="AW1095" s="70"/>
      <c r="AX1095" s="70"/>
      <c r="AY1095" s="70"/>
      <c r="AZ1095" s="70"/>
      <c r="BA1095" s="70"/>
      <c r="BB1095" s="70"/>
      <c r="BC1095" s="70"/>
      <c r="BD1095" s="70"/>
      <c r="BE1095" s="70"/>
      <c r="BF1095" s="70"/>
      <c r="BG1095" s="70"/>
      <c r="BH1095" s="70"/>
      <c r="BI1095" s="70"/>
      <c r="BJ1095" s="70"/>
      <c r="BK1095" s="70"/>
      <c r="BL1095" s="70"/>
      <c r="BM1095" s="70"/>
      <c r="BN1095" s="70"/>
      <c r="BO1095" s="70"/>
      <c r="BP1095" s="70"/>
      <c r="BQ1095" s="70"/>
      <c r="BR1095" s="70"/>
      <c r="BS1095" s="70"/>
      <c r="BT1095" s="70"/>
      <c r="BU1095" s="70"/>
      <c r="BV1095" s="70"/>
      <c r="BW1095" s="70"/>
      <c r="BX1095" s="70"/>
      <c r="BY1095" s="70"/>
      <c r="BZ1095" s="70"/>
      <c r="CA1095" s="70"/>
      <c r="CB1095" s="70"/>
      <c r="CC1095" s="70"/>
      <c r="CD1095" s="70"/>
      <c r="CE1095" s="70"/>
      <c r="CF1095" s="70"/>
      <c r="CG1095" s="70"/>
      <c r="CH1095" s="70"/>
      <c r="CI1095" s="70"/>
      <c r="CJ1095" s="70"/>
      <c r="CK1095" s="70"/>
      <c r="CL1095" s="70"/>
      <c r="CM1095" s="70"/>
      <c r="CN1095" s="70"/>
      <c r="CO1095" s="70"/>
      <c r="CP1095" s="70"/>
      <c r="CQ1095" s="70"/>
      <c r="CR1095" s="70"/>
      <c r="CS1095" s="70"/>
      <c r="CT1095" s="70"/>
      <c r="CU1095" s="70"/>
      <c r="CV1095" s="70"/>
      <c r="CW1095" s="70"/>
      <c r="CX1095" s="70"/>
      <c r="CY1095" s="70"/>
      <c r="CZ1095" s="70"/>
      <c r="DA1095" s="70"/>
      <c r="DB1095" s="70"/>
      <c r="DC1095" s="70"/>
      <c r="DD1095" s="70"/>
      <c r="DE1095" s="70"/>
      <c r="DF1095" s="70"/>
      <c r="DG1095" s="70"/>
      <c r="DH1095" s="70"/>
      <c r="DI1095" s="70"/>
      <c r="DJ1095" s="70"/>
      <c r="DK1095" s="70"/>
      <c r="DL1095" s="70"/>
      <c r="DM1095" s="70"/>
      <c r="DN1095" s="70"/>
      <c r="DO1095" s="70"/>
      <c r="DP1095" s="70"/>
      <c r="DQ1095" s="70"/>
      <c r="DR1095" s="70"/>
      <c r="DS1095" s="70"/>
      <c r="DT1095" s="70"/>
      <c r="DU1095" s="70"/>
      <c r="DV1095" s="70"/>
      <c r="DW1095" s="70"/>
      <c r="DX1095" s="70"/>
      <c r="DY1095" s="70"/>
      <c r="DZ1095" s="70"/>
      <c r="EA1095" s="70"/>
      <c r="EB1095" s="70"/>
      <c r="EC1095" s="70"/>
      <c r="ED1095" s="70"/>
      <c r="EE1095" s="95" t="s">
        <v>450</v>
      </c>
      <c r="EF1095" s="110"/>
      <c r="EG1095" s="110"/>
      <c r="EH1095" s="110"/>
      <c r="EI1095" s="216"/>
      <c r="EJ1095" s="110"/>
      <c r="EK1095" s="110"/>
      <c r="EL1095" s="110"/>
      <c r="EM1095" s="110"/>
      <c r="EN1095" s="110"/>
      <c r="EO1095" s="110"/>
      <c r="EP1095" s="110"/>
      <c r="EQ1095" s="110"/>
      <c r="ER1095" s="110"/>
      <c r="ES1095" s="110"/>
      <c r="ET1095" s="110"/>
      <c r="EU1095" s="110"/>
      <c r="EV1095" s="110"/>
      <c r="EW1095" s="110"/>
      <c r="EX1095" s="110"/>
      <c r="EY1095" s="110"/>
      <c r="EZ1095" s="110"/>
      <c r="FA1095" s="110"/>
      <c r="FB1095" s="110"/>
      <c r="FC1095" s="110"/>
      <c r="FD1095" s="110"/>
      <c r="FE1095" s="110"/>
      <c r="FF1095" s="110"/>
      <c r="FG1095" s="110"/>
      <c r="FH1095" s="110"/>
      <c r="FI1095" s="110"/>
      <c r="FJ1095" s="110"/>
      <c r="FK1095" s="110"/>
      <c r="FL1095" s="110"/>
      <c r="FM1095" s="110"/>
      <c r="FN1095" s="110"/>
      <c r="FO1095" s="110"/>
      <c r="FP1095" s="110"/>
      <c r="FQ1095" s="110"/>
      <c r="FR1095" s="110"/>
      <c r="FS1095" s="110"/>
      <c r="FT1095" s="110"/>
      <c r="FU1095" s="110"/>
      <c r="FV1095" s="110"/>
      <c r="FW1095" s="110"/>
      <c r="FX1095" s="110"/>
      <c r="FY1095" s="110"/>
      <c r="FZ1095" s="110"/>
      <c r="GA1095" s="110"/>
      <c r="GB1095" s="110"/>
      <c r="GC1095" s="110"/>
      <c r="GD1095" s="110"/>
      <c r="GE1095" s="110"/>
      <c r="GF1095" s="110"/>
      <c r="GG1095" s="110"/>
      <c r="GH1095" s="110"/>
      <c r="GI1095" s="110"/>
      <c r="GJ1095" s="110"/>
      <c r="GK1095" s="110"/>
      <c r="GL1095" s="110"/>
      <c r="GM1095" s="110"/>
      <c r="GN1095" s="110"/>
      <c r="GO1095" s="110"/>
      <c r="GP1095" s="110"/>
      <c r="GQ1095" s="110"/>
      <c r="GR1095" s="110"/>
      <c r="GS1095" s="110"/>
      <c r="GT1095" s="110"/>
      <c r="GU1095" s="110"/>
      <c r="GV1095" s="110"/>
      <c r="GW1095" s="110"/>
      <c r="GX1095" s="110"/>
      <c r="GY1095" s="110"/>
      <c r="GZ1095" s="110"/>
      <c r="HA1095" s="110"/>
      <c r="HB1095" s="110"/>
      <c r="HC1095" s="110"/>
      <c r="HD1095" s="110"/>
      <c r="HE1095" s="110"/>
      <c r="HF1095" s="110"/>
      <c r="HG1095" s="110"/>
      <c r="HH1095" s="110"/>
      <c r="HI1095" s="110"/>
      <c r="HJ1095" s="110"/>
      <c r="HK1095" s="110"/>
      <c r="HL1095" s="110"/>
      <c r="HM1095" s="110"/>
      <c r="HN1095" s="110"/>
      <c r="HO1095" s="110"/>
      <c r="HP1095" s="110"/>
      <c r="HQ1095" s="110"/>
      <c r="HR1095" s="110"/>
      <c r="HS1095" s="110"/>
      <c r="HT1095" s="110"/>
      <c r="HU1095" s="110"/>
      <c r="HV1095" s="110"/>
      <c r="HW1095" s="110"/>
      <c r="HX1095" s="110"/>
      <c r="HY1095" s="110"/>
      <c r="HZ1095" s="110"/>
      <c r="IA1095" s="110"/>
      <c r="IB1095" s="110"/>
      <c r="IC1095" s="110"/>
      <c r="ID1095" s="110"/>
      <c r="IE1095" s="110"/>
      <c r="IF1095" s="110"/>
      <c r="IG1095" s="110"/>
      <c r="IH1095" s="110"/>
      <c r="II1095" s="110"/>
      <c r="IJ1095" s="110"/>
      <c r="IK1095" s="110"/>
      <c r="IL1095" s="110"/>
      <c r="IM1095" s="110"/>
      <c r="IN1095" s="110"/>
      <c r="IO1095" s="110"/>
      <c r="IP1095" s="110"/>
    </row>
    <row r="1096" spans="18:250" ht="16.5" hidden="1" customHeight="1">
      <c r="R1096" s="95"/>
      <c r="S1096" s="95"/>
      <c r="T1096" s="95"/>
      <c r="U1096" s="70"/>
      <c r="V1096" s="214"/>
      <c r="W1096" s="70"/>
      <c r="X1096" s="70"/>
      <c r="Y1096" s="70"/>
      <c r="Z1096" s="70"/>
      <c r="AA1096" s="70"/>
      <c r="AB1096" s="70"/>
      <c r="AC1096" s="70"/>
      <c r="AD1096" s="70"/>
      <c r="AE1096" s="70"/>
      <c r="AF1096" s="70"/>
      <c r="AG1096" s="70"/>
      <c r="AH1096" s="70"/>
      <c r="AI1096" s="70"/>
      <c r="AJ1096" s="70"/>
      <c r="AK1096" s="70"/>
      <c r="AL1096" s="70"/>
      <c r="AM1096" s="70"/>
      <c r="AN1096" s="70"/>
      <c r="AO1096" s="70"/>
      <c r="AP1096" s="70"/>
      <c r="AQ1096" s="70"/>
      <c r="AR1096" s="70"/>
      <c r="AS1096" s="70"/>
      <c r="AT1096" s="70"/>
      <c r="AU1096" s="70"/>
      <c r="AV1096" s="70"/>
      <c r="AW1096" s="70"/>
      <c r="AX1096" s="70"/>
      <c r="AY1096" s="70"/>
      <c r="AZ1096" s="70"/>
      <c r="BA1096" s="70"/>
      <c r="BB1096" s="70"/>
      <c r="BC1096" s="70"/>
      <c r="BD1096" s="70"/>
      <c r="BE1096" s="70"/>
      <c r="BF1096" s="70"/>
      <c r="BG1096" s="70"/>
      <c r="BH1096" s="70"/>
      <c r="BI1096" s="70"/>
      <c r="BJ1096" s="70"/>
      <c r="BK1096" s="70"/>
      <c r="BL1096" s="70"/>
      <c r="BM1096" s="70"/>
      <c r="BN1096" s="70"/>
      <c r="BO1096" s="70"/>
      <c r="BP1096" s="70"/>
      <c r="BQ1096" s="70"/>
      <c r="BR1096" s="70"/>
      <c r="BS1096" s="70"/>
      <c r="BT1096" s="70"/>
      <c r="BU1096" s="70"/>
      <c r="BV1096" s="70"/>
      <c r="BW1096" s="70"/>
      <c r="BX1096" s="70"/>
      <c r="BY1096" s="70"/>
      <c r="BZ1096" s="70"/>
      <c r="CA1096" s="70"/>
      <c r="CB1096" s="70"/>
      <c r="CC1096" s="70"/>
      <c r="CD1096" s="70"/>
      <c r="CE1096" s="70"/>
      <c r="CF1096" s="70"/>
      <c r="CG1096" s="70"/>
      <c r="CH1096" s="70"/>
      <c r="CI1096" s="70"/>
      <c r="CJ1096" s="70"/>
      <c r="CK1096" s="70"/>
      <c r="CL1096" s="70"/>
      <c r="CM1096" s="70"/>
      <c r="CN1096" s="70"/>
      <c r="CO1096" s="70"/>
      <c r="CP1096" s="70"/>
      <c r="CQ1096" s="70"/>
      <c r="CR1096" s="70"/>
      <c r="CS1096" s="70"/>
      <c r="CT1096" s="70"/>
      <c r="CU1096" s="70"/>
      <c r="CV1096" s="70"/>
      <c r="CW1096" s="70"/>
      <c r="CX1096" s="70"/>
      <c r="CY1096" s="70"/>
      <c r="CZ1096" s="70"/>
      <c r="DA1096" s="70"/>
      <c r="DB1096" s="70"/>
      <c r="DC1096" s="70"/>
      <c r="DD1096" s="70"/>
      <c r="DE1096" s="70"/>
      <c r="DF1096" s="70"/>
      <c r="DG1096" s="70"/>
      <c r="DH1096" s="70"/>
      <c r="DI1096" s="70"/>
      <c r="DJ1096" s="70"/>
      <c r="DK1096" s="70"/>
      <c r="DL1096" s="70"/>
      <c r="DM1096" s="70"/>
      <c r="DN1096" s="70"/>
      <c r="DO1096" s="70"/>
      <c r="DP1096" s="70"/>
      <c r="DQ1096" s="70"/>
      <c r="DR1096" s="70"/>
      <c r="DS1096" s="70"/>
      <c r="DT1096" s="70"/>
      <c r="DU1096" s="70"/>
      <c r="DV1096" s="70"/>
      <c r="DW1096" s="70"/>
      <c r="DX1096" s="70"/>
      <c r="DY1096" s="70"/>
      <c r="DZ1096" s="70"/>
      <c r="EA1096" s="70"/>
      <c r="EB1096" s="70"/>
      <c r="EC1096" s="70"/>
      <c r="ED1096" s="70"/>
      <c r="EE1096" s="95" t="s">
        <v>450</v>
      </c>
      <c r="EF1096" s="110"/>
      <c r="EG1096" s="110"/>
      <c r="EH1096" s="110"/>
      <c r="EI1096" s="216"/>
      <c r="EJ1096" s="110"/>
      <c r="EK1096" s="110"/>
      <c r="EL1096" s="110"/>
      <c r="EM1096" s="110"/>
      <c r="EN1096" s="110"/>
      <c r="EO1096" s="110"/>
      <c r="EP1096" s="110"/>
      <c r="EQ1096" s="110"/>
      <c r="ER1096" s="110"/>
      <c r="ES1096" s="110"/>
      <c r="ET1096" s="110"/>
      <c r="EU1096" s="110"/>
      <c r="EV1096" s="110"/>
      <c r="EW1096" s="110"/>
      <c r="EX1096" s="110"/>
      <c r="EY1096" s="110"/>
      <c r="EZ1096" s="110"/>
      <c r="FA1096" s="110"/>
      <c r="FB1096" s="110"/>
      <c r="FC1096" s="110"/>
      <c r="FD1096" s="110"/>
      <c r="FE1096" s="110"/>
      <c r="FF1096" s="110"/>
      <c r="FG1096" s="110"/>
      <c r="FH1096" s="110"/>
      <c r="FI1096" s="110"/>
      <c r="FJ1096" s="110"/>
      <c r="FK1096" s="110"/>
      <c r="FL1096" s="110"/>
      <c r="FM1096" s="110"/>
      <c r="FN1096" s="110"/>
      <c r="FO1096" s="110"/>
      <c r="FP1096" s="110"/>
      <c r="FQ1096" s="110"/>
      <c r="FR1096" s="110"/>
      <c r="FS1096" s="110"/>
      <c r="FT1096" s="110"/>
      <c r="FU1096" s="110"/>
      <c r="FV1096" s="110"/>
      <c r="FW1096" s="110"/>
      <c r="FX1096" s="110"/>
      <c r="FY1096" s="110"/>
      <c r="FZ1096" s="110"/>
      <c r="GA1096" s="110"/>
      <c r="GB1096" s="110"/>
      <c r="GC1096" s="110"/>
      <c r="GD1096" s="110"/>
      <c r="GE1096" s="110"/>
      <c r="GF1096" s="110"/>
      <c r="GG1096" s="110"/>
      <c r="GH1096" s="110"/>
      <c r="GI1096" s="110"/>
      <c r="GJ1096" s="110"/>
      <c r="GK1096" s="110"/>
      <c r="GL1096" s="110"/>
      <c r="GM1096" s="110"/>
      <c r="GN1096" s="110"/>
      <c r="GO1096" s="110"/>
      <c r="GP1096" s="110"/>
      <c r="GQ1096" s="110"/>
      <c r="GR1096" s="110"/>
      <c r="GS1096" s="110"/>
      <c r="GT1096" s="110"/>
      <c r="GU1096" s="110"/>
      <c r="GV1096" s="110"/>
      <c r="GW1096" s="110"/>
      <c r="GX1096" s="110"/>
      <c r="GY1096" s="110"/>
      <c r="GZ1096" s="110"/>
      <c r="HA1096" s="110"/>
      <c r="HB1096" s="110"/>
      <c r="HC1096" s="110"/>
      <c r="HD1096" s="110"/>
      <c r="HE1096" s="110"/>
      <c r="HF1096" s="110"/>
      <c r="HG1096" s="110"/>
      <c r="HH1096" s="110"/>
      <c r="HI1096" s="110"/>
      <c r="HJ1096" s="110"/>
      <c r="HK1096" s="110"/>
      <c r="HL1096" s="110"/>
      <c r="HM1096" s="110"/>
      <c r="HN1096" s="110"/>
      <c r="HO1096" s="110"/>
      <c r="HP1096" s="110"/>
      <c r="HQ1096" s="110"/>
      <c r="HR1096" s="110"/>
      <c r="HS1096" s="110"/>
      <c r="HT1096" s="110"/>
      <c r="HU1096" s="110"/>
      <c r="HV1096" s="110"/>
      <c r="HW1096" s="110"/>
      <c r="HX1096" s="110"/>
      <c r="HY1096" s="110"/>
      <c r="HZ1096" s="110"/>
      <c r="IA1096" s="110"/>
      <c r="IB1096" s="110"/>
      <c r="IC1096" s="110"/>
      <c r="ID1096" s="110"/>
      <c r="IE1096" s="110"/>
      <c r="IF1096" s="110"/>
      <c r="IG1096" s="110"/>
      <c r="IH1096" s="110"/>
      <c r="II1096" s="110"/>
      <c r="IJ1096" s="110"/>
      <c r="IK1096" s="110"/>
      <c r="IL1096" s="110"/>
      <c r="IM1096" s="110"/>
      <c r="IN1096" s="110"/>
      <c r="IO1096" s="110"/>
      <c r="IP1096" s="110"/>
    </row>
    <row r="1097" spans="18:250" ht="16.5" hidden="1" customHeight="1">
      <c r="R1097" s="95"/>
      <c r="S1097" s="95"/>
      <c r="T1097" s="95"/>
      <c r="U1097" s="70"/>
      <c r="V1097" s="214"/>
      <c r="W1097" s="70"/>
      <c r="X1097" s="70"/>
      <c r="Y1097" s="70"/>
      <c r="Z1097" s="70"/>
      <c r="AA1097" s="70"/>
      <c r="AB1097" s="70"/>
      <c r="AC1097" s="70"/>
      <c r="AD1097" s="70"/>
      <c r="AE1097" s="70"/>
      <c r="AF1097" s="70"/>
      <c r="AG1097" s="70"/>
      <c r="AH1097" s="70"/>
      <c r="AI1097" s="70"/>
      <c r="AJ1097" s="70"/>
      <c r="AK1097" s="70"/>
      <c r="AL1097" s="70"/>
      <c r="AM1097" s="70"/>
      <c r="AN1097" s="70"/>
      <c r="AO1097" s="70"/>
      <c r="AP1097" s="70"/>
      <c r="AQ1097" s="70"/>
      <c r="AR1097" s="70"/>
      <c r="AS1097" s="70"/>
      <c r="AT1097" s="70"/>
      <c r="AU1097" s="70"/>
      <c r="AV1097" s="70"/>
      <c r="AW1097" s="70"/>
      <c r="AX1097" s="70"/>
      <c r="AY1097" s="70"/>
      <c r="AZ1097" s="70"/>
      <c r="BA1097" s="70"/>
      <c r="BB1097" s="70"/>
      <c r="BC1097" s="70"/>
      <c r="BD1097" s="70"/>
      <c r="BE1097" s="70"/>
      <c r="BF1097" s="70"/>
      <c r="BG1097" s="70"/>
      <c r="BH1097" s="70"/>
      <c r="BI1097" s="70"/>
      <c r="BJ1097" s="70"/>
      <c r="BK1097" s="70"/>
      <c r="BL1097" s="70"/>
      <c r="BM1097" s="70"/>
      <c r="BN1097" s="70"/>
      <c r="BO1097" s="70"/>
      <c r="BP1097" s="70"/>
      <c r="BQ1097" s="70"/>
      <c r="BR1097" s="70"/>
      <c r="BS1097" s="70"/>
      <c r="BT1097" s="70"/>
      <c r="BU1097" s="70"/>
      <c r="BV1097" s="70"/>
      <c r="BW1097" s="70"/>
      <c r="BX1097" s="70"/>
      <c r="BY1097" s="70"/>
      <c r="BZ1097" s="70"/>
      <c r="CA1097" s="70"/>
      <c r="CB1097" s="70"/>
      <c r="CC1097" s="70"/>
      <c r="CD1097" s="70"/>
      <c r="CE1097" s="70"/>
      <c r="CF1097" s="70"/>
      <c r="CG1097" s="70"/>
      <c r="CH1097" s="70"/>
      <c r="CI1097" s="70"/>
      <c r="CJ1097" s="70"/>
      <c r="CK1097" s="70"/>
      <c r="CL1097" s="70"/>
      <c r="CM1097" s="70"/>
      <c r="CN1097" s="70"/>
      <c r="CO1097" s="70"/>
      <c r="CP1097" s="70"/>
      <c r="CQ1097" s="70"/>
      <c r="CR1097" s="70"/>
      <c r="CS1097" s="70"/>
      <c r="CT1097" s="70"/>
      <c r="CU1097" s="70"/>
      <c r="CV1097" s="70"/>
      <c r="CW1097" s="70"/>
      <c r="CX1097" s="70"/>
      <c r="CY1097" s="70"/>
      <c r="CZ1097" s="70"/>
      <c r="DA1097" s="70"/>
      <c r="DB1097" s="70"/>
      <c r="DC1097" s="70"/>
      <c r="DD1097" s="70"/>
      <c r="DE1097" s="70"/>
      <c r="DF1097" s="70"/>
      <c r="DG1097" s="70"/>
      <c r="DH1097" s="70"/>
      <c r="DI1097" s="70"/>
      <c r="DJ1097" s="70"/>
      <c r="DK1097" s="70"/>
      <c r="DL1097" s="70"/>
      <c r="DM1097" s="70"/>
      <c r="DN1097" s="70"/>
      <c r="DO1097" s="70"/>
      <c r="DP1097" s="70"/>
      <c r="DQ1097" s="70"/>
      <c r="DR1097" s="70"/>
      <c r="DS1097" s="70"/>
      <c r="DT1097" s="70"/>
      <c r="DU1097" s="70"/>
      <c r="DV1097" s="70"/>
      <c r="DW1097" s="70"/>
      <c r="DX1097" s="70"/>
      <c r="DY1097" s="70"/>
      <c r="DZ1097" s="70"/>
      <c r="EA1097" s="70"/>
      <c r="EB1097" s="70"/>
      <c r="EC1097" s="70"/>
      <c r="ED1097" s="70"/>
      <c r="EE1097" s="95" t="s">
        <v>450</v>
      </c>
      <c r="EF1097" s="110"/>
      <c r="EG1097" s="110"/>
      <c r="EH1097" s="110"/>
      <c r="EI1097" s="216"/>
      <c r="EJ1097" s="110"/>
      <c r="EK1097" s="110"/>
      <c r="EL1097" s="110"/>
      <c r="EM1097" s="110"/>
      <c r="EN1097" s="110"/>
      <c r="EO1097" s="110"/>
      <c r="EP1097" s="110"/>
      <c r="EQ1097" s="110"/>
      <c r="ER1097" s="110"/>
      <c r="ES1097" s="110"/>
      <c r="ET1097" s="110"/>
      <c r="EU1097" s="110"/>
      <c r="EV1097" s="110"/>
      <c r="EW1097" s="110"/>
      <c r="EX1097" s="110"/>
      <c r="EY1097" s="110"/>
      <c r="EZ1097" s="110"/>
      <c r="FA1097" s="110"/>
      <c r="FB1097" s="110"/>
      <c r="FC1097" s="110"/>
      <c r="FD1097" s="110"/>
      <c r="FE1097" s="110"/>
      <c r="FF1097" s="110"/>
      <c r="FG1097" s="110"/>
      <c r="FH1097" s="110"/>
      <c r="FI1097" s="110"/>
      <c r="FJ1097" s="110"/>
      <c r="FK1097" s="110"/>
      <c r="FL1097" s="110"/>
      <c r="FM1097" s="110"/>
      <c r="FN1097" s="110"/>
      <c r="FO1097" s="110"/>
      <c r="FP1097" s="110"/>
      <c r="FQ1097" s="110"/>
      <c r="FR1097" s="110"/>
      <c r="FS1097" s="110"/>
      <c r="FT1097" s="110"/>
      <c r="FU1097" s="110"/>
      <c r="FV1097" s="110"/>
      <c r="FW1097" s="110"/>
      <c r="FX1097" s="110"/>
      <c r="FY1097" s="110"/>
      <c r="FZ1097" s="110"/>
      <c r="GA1097" s="110"/>
      <c r="GB1097" s="110"/>
      <c r="GC1097" s="110"/>
      <c r="GD1097" s="110"/>
      <c r="GE1097" s="110"/>
      <c r="GF1097" s="110"/>
      <c r="GG1097" s="110"/>
      <c r="GH1097" s="110"/>
      <c r="GI1097" s="110"/>
      <c r="GJ1097" s="110"/>
      <c r="GK1097" s="110"/>
      <c r="GL1097" s="110"/>
      <c r="GM1097" s="110"/>
      <c r="GN1097" s="110"/>
      <c r="GO1097" s="110"/>
      <c r="GP1097" s="110"/>
      <c r="GQ1097" s="110"/>
      <c r="GR1097" s="110"/>
      <c r="GS1097" s="110"/>
      <c r="GT1097" s="110"/>
      <c r="GU1097" s="110"/>
      <c r="GV1097" s="110"/>
      <c r="GW1097" s="110"/>
      <c r="GX1097" s="110"/>
      <c r="GY1097" s="110"/>
      <c r="GZ1097" s="110"/>
      <c r="HA1097" s="110"/>
      <c r="HB1097" s="110"/>
      <c r="HC1097" s="110"/>
      <c r="HD1097" s="110"/>
      <c r="HE1097" s="110"/>
      <c r="HF1097" s="110"/>
      <c r="HG1097" s="110"/>
      <c r="HH1097" s="110"/>
      <c r="HI1097" s="110"/>
      <c r="HJ1097" s="110"/>
      <c r="HK1097" s="110"/>
      <c r="HL1097" s="110"/>
      <c r="HM1097" s="110"/>
      <c r="HN1097" s="110"/>
      <c r="HO1097" s="110"/>
      <c r="HP1097" s="110"/>
      <c r="HQ1097" s="110"/>
      <c r="HR1097" s="110"/>
      <c r="HS1097" s="110"/>
      <c r="HT1097" s="110"/>
      <c r="HU1097" s="110"/>
      <c r="HV1097" s="110"/>
      <c r="HW1097" s="110"/>
      <c r="HX1097" s="110"/>
      <c r="HY1097" s="110"/>
      <c r="HZ1097" s="110"/>
      <c r="IA1097" s="110"/>
      <c r="IB1097" s="110"/>
      <c r="IC1097" s="110"/>
      <c r="ID1097" s="110"/>
      <c r="IE1097" s="110"/>
      <c r="IF1097" s="110"/>
      <c r="IG1097" s="110"/>
      <c r="IH1097" s="110"/>
      <c r="II1097" s="110"/>
      <c r="IJ1097" s="110"/>
      <c r="IK1097" s="110"/>
      <c r="IL1097" s="110"/>
      <c r="IM1097" s="110"/>
      <c r="IN1097" s="110"/>
      <c r="IO1097" s="110"/>
      <c r="IP1097" s="110"/>
    </row>
    <row r="1098" spans="18:250" ht="16.5" hidden="1" customHeight="1">
      <c r="R1098" s="95"/>
      <c r="S1098" s="95"/>
      <c r="T1098" s="95"/>
      <c r="U1098" s="70"/>
      <c r="V1098" s="214"/>
      <c r="W1098" s="70"/>
      <c r="X1098" s="70"/>
      <c r="Y1098" s="70"/>
      <c r="Z1098" s="70"/>
      <c r="AA1098" s="70"/>
      <c r="AB1098" s="70"/>
      <c r="AC1098" s="70"/>
      <c r="AD1098" s="70"/>
      <c r="AE1098" s="70"/>
      <c r="AF1098" s="70"/>
      <c r="AG1098" s="70"/>
      <c r="AH1098" s="70"/>
      <c r="AI1098" s="70"/>
      <c r="AJ1098" s="70"/>
      <c r="AK1098" s="70"/>
      <c r="AL1098" s="70"/>
      <c r="AM1098" s="70"/>
      <c r="AN1098" s="70"/>
      <c r="AO1098" s="70"/>
      <c r="AP1098" s="70"/>
      <c r="AQ1098" s="70"/>
      <c r="AR1098" s="70"/>
      <c r="AS1098" s="70"/>
      <c r="AT1098" s="70"/>
      <c r="AU1098" s="70"/>
      <c r="AV1098" s="70"/>
      <c r="AW1098" s="70"/>
      <c r="AX1098" s="70"/>
      <c r="AY1098" s="70"/>
      <c r="AZ1098" s="70"/>
      <c r="BA1098" s="70"/>
      <c r="BB1098" s="70"/>
      <c r="BC1098" s="70"/>
      <c r="BD1098" s="70"/>
      <c r="BE1098" s="70"/>
      <c r="BF1098" s="70"/>
      <c r="BG1098" s="70"/>
      <c r="BH1098" s="70"/>
      <c r="BI1098" s="70"/>
      <c r="BJ1098" s="70"/>
      <c r="BK1098" s="70"/>
      <c r="BL1098" s="70"/>
      <c r="BM1098" s="70"/>
      <c r="BN1098" s="70"/>
      <c r="BO1098" s="70"/>
      <c r="BP1098" s="70"/>
      <c r="BQ1098" s="70"/>
      <c r="BR1098" s="70"/>
      <c r="BS1098" s="70"/>
      <c r="BT1098" s="70"/>
      <c r="BU1098" s="70"/>
      <c r="BV1098" s="70"/>
      <c r="BW1098" s="70"/>
      <c r="BX1098" s="70"/>
      <c r="BY1098" s="70"/>
      <c r="BZ1098" s="70"/>
      <c r="CA1098" s="70"/>
      <c r="CB1098" s="70"/>
      <c r="CC1098" s="70"/>
      <c r="CD1098" s="70"/>
      <c r="CE1098" s="70"/>
      <c r="CF1098" s="70"/>
      <c r="CG1098" s="70"/>
      <c r="CH1098" s="70"/>
      <c r="CI1098" s="70"/>
      <c r="CJ1098" s="70"/>
      <c r="CK1098" s="70"/>
      <c r="CL1098" s="70"/>
      <c r="CM1098" s="70"/>
      <c r="CN1098" s="70"/>
      <c r="CO1098" s="70"/>
      <c r="CP1098" s="70"/>
      <c r="CQ1098" s="70"/>
      <c r="CR1098" s="70"/>
      <c r="CS1098" s="70"/>
      <c r="CT1098" s="70"/>
      <c r="CU1098" s="70"/>
      <c r="CV1098" s="70"/>
      <c r="CW1098" s="70"/>
      <c r="CX1098" s="70"/>
      <c r="CY1098" s="70"/>
      <c r="CZ1098" s="70"/>
      <c r="DA1098" s="70"/>
      <c r="DB1098" s="70"/>
      <c r="DC1098" s="70"/>
      <c r="DD1098" s="70"/>
      <c r="DE1098" s="70"/>
      <c r="DF1098" s="70"/>
      <c r="DG1098" s="70"/>
      <c r="DH1098" s="70"/>
      <c r="DI1098" s="70"/>
      <c r="DJ1098" s="70"/>
      <c r="DK1098" s="70"/>
      <c r="DL1098" s="70"/>
      <c r="DM1098" s="70"/>
      <c r="DN1098" s="70"/>
      <c r="DO1098" s="70"/>
      <c r="DP1098" s="70"/>
      <c r="DQ1098" s="70"/>
      <c r="DR1098" s="70"/>
      <c r="DS1098" s="70"/>
      <c r="DT1098" s="70"/>
      <c r="DU1098" s="70"/>
      <c r="DV1098" s="70"/>
      <c r="DW1098" s="70"/>
      <c r="DX1098" s="70"/>
      <c r="DY1098" s="70"/>
      <c r="DZ1098" s="70"/>
      <c r="EA1098" s="70"/>
      <c r="EB1098" s="70"/>
      <c r="EC1098" s="70"/>
      <c r="ED1098" s="70"/>
      <c r="EE1098" s="95" t="s">
        <v>450</v>
      </c>
      <c r="EF1098" s="110"/>
      <c r="EG1098" s="110"/>
      <c r="EH1098" s="110"/>
      <c r="EI1098" s="216"/>
      <c r="EJ1098" s="110"/>
      <c r="EK1098" s="110"/>
      <c r="EL1098" s="110"/>
      <c r="EM1098" s="110"/>
      <c r="EN1098" s="110"/>
      <c r="EO1098" s="110"/>
      <c r="EP1098" s="110"/>
      <c r="EQ1098" s="110"/>
      <c r="ER1098" s="110"/>
      <c r="ES1098" s="110"/>
      <c r="ET1098" s="110"/>
      <c r="EU1098" s="110"/>
      <c r="EV1098" s="110"/>
      <c r="EW1098" s="110"/>
      <c r="EX1098" s="110"/>
      <c r="EY1098" s="110"/>
      <c r="EZ1098" s="110"/>
      <c r="FA1098" s="110"/>
      <c r="FB1098" s="110"/>
      <c r="FC1098" s="110"/>
      <c r="FD1098" s="110"/>
      <c r="FE1098" s="110"/>
      <c r="FF1098" s="110"/>
      <c r="FG1098" s="110"/>
      <c r="FH1098" s="110"/>
      <c r="FI1098" s="110"/>
      <c r="FJ1098" s="110"/>
      <c r="FK1098" s="110"/>
      <c r="FL1098" s="110"/>
      <c r="FM1098" s="110"/>
      <c r="FN1098" s="110"/>
      <c r="FO1098" s="110"/>
      <c r="FP1098" s="110"/>
      <c r="FQ1098" s="110"/>
      <c r="FR1098" s="110"/>
      <c r="FS1098" s="110"/>
      <c r="FT1098" s="110"/>
      <c r="FU1098" s="110"/>
      <c r="FV1098" s="110"/>
      <c r="FW1098" s="110"/>
      <c r="FX1098" s="110"/>
      <c r="FY1098" s="110"/>
      <c r="FZ1098" s="110"/>
      <c r="GA1098" s="110"/>
      <c r="GB1098" s="110"/>
      <c r="GC1098" s="110"/>
      <c r="GD1098" s="110"/>
      <c r="GE1098" s="110"/>
      <c r="GF1098" s="110"/>
      <c r="GG1098" s="110"/>
      <c r="GH1098" s="110"/>
      <c r="GI1098" s="110"/>
      <c r="GJ1098" s="110"/>
      <c r="GK1098" s="110"/>
      <c r="GL1098" s="110"/>
      <c r="GM1098" s="110"/>
      <c r="GN1098" s="110"/>
      <c r="GO1098" s="110"/>
      <c r="GP1098" s="110"/>
      <c r="GQ1098" s="110"/>
      <c r="GR1098" s="110"/>
      <c r="GS1098" s="110"/>
      <c r="GT1098" s="110"/>
      <c r="GU1098" s="110"/>
      <c r="GV1098" s="110"/>
      <c r="GW1098" s="110"/>
      <c r="GX1098" s="110"/>
      <c r="GY1098" s="110"/>
      <c r="GZ1098" s="110"/>
      <c r="HA1098" s="110"/>
      <c r="HB1098" s="110"/>
      <c r="HC1098" s="110"/>
      <c r="HD1098" s="110"/>
      <c r="HE1098" s="110"/>
      <c r="HF1098" s="110"/>
      <c r="HG1098" s="110"/>
      <c r="HH1098" s="110"/>
      <c r="HI1098" s="110"/>
      <c r="HJ1098" s="110"/>
      <c r="HK1098" s="110"/>
      <c r="HL1098" s="110"/>
      <c r="HM1098" s="110"/>
      <c r="HN1098" s="110"/>
      <c r="HO1098" s="110"/>
      <c r="HP1098" s="110"/>
      <c r="HQ1098" s="110"/>
      <c r="HR1098" s="110"/>
      <c r="HS1098" s="110"/>
      <c r="HT1098" s="110"/>
      <c r="HU1098" s="110"/>
      <c r="HV1098" s="110"/>
      <c r="HW1098" s="110"/>
      <c r="HX1098" s="110"/>
      <c r="HY1098" s="110"/>
      <c r="HZ1098" s="110"/>
      <c r="IA1098" s="110"/>
      <c r="IB1098" s="110"/>
      <c r="IC1098" s="110"/>
      <c r="ID1098" s="110"/>
      <c r="IE1098" s="110"/>
      <c r="IF1098" s="110"/>
      <c r="IG1098" s="110"/>
      <c r="IH1098" s="110"/>
      <c r="II1098" s="110"/>
      <c r="IJ1098" s="110"/>
      <c r="IK1098" s="110"/>
      <c r="IL1098" s="110"/>
      <c r="IM1098" s="110"/>
      <c r="IN1098" s="110"/>
      <c r="IO1098" s="110"/>
      <c r="IP1098" s="110"/>
    </row>
    <row r="1099" spans="18:250" ht="16.5" hidden="1" customHeight="1">
      <c r="R1099" s="95"/>
      <c r="S1099" s="95"/>
      <c r="T1099" s="95"/>
      <c r="U1099" s="70"/>
      <c r="V1099" s="214"/>
      <c r="W1099" s="70"/>
      <c r="X1099" s="70"/>
      <c r="Y1099" s="70"/>
      <c r="Z1099" s="70"/>
      <c r="AA1099" s="70"/>
      <c r="AB1099" s="70"/>
      <c r="AC1099" s="70"/>
      <c r="AD1099" s="70"/>
      <c r="AE1099" s="70"/>
      <c r="AF1099" s="70"/>
      <c r="AG1099" s="70"/>
      <c r="AH1099" s="70"/>
      <c r="AI1099" s="70"/>
      <c r="AJ1099" s="70"/>
      <c r="AK1099" s="70"/>
      <c r="AL1099" s="70"/>
      <c r="AM1099" s="70"/>
      <c r="AN1099" s="70"/>
      <c r="AO1099" s="70"/>
      <c r="AP1099" s="70"/>
      <c r="AQ1099" s="70"/>
      <c r="AR1099" s="70"/>
      <c r="AS1099" s="70"/>
      <c r="AT1099" s="70"/>
      <c r="AU1099" s="70"/>
      <c r="AV1099" s="70"/>
      <c r="AW1099" s="70"/>
      <c r="AX1099" s="70"/>
      <c r="AY1099" s="70"/>
      <c r="AZ1099" s="70"/>
      <c r="BA1099" s="70"/>
      <c r="BB1099" s="70"/>
      <c r="BC1099" s="70"/>
      <c r="BD1099" s="70"/>
      <c r="BE1099" s="70"/>
      <c r="BF1099" s="70"/>
      <c r="BG1099" s="70"/>
      <c r="BH1099" s="70"/>
      <c r="BI1099" s="70"/>
      <c r="BJ1099" s="70"/>
      <c r="BK1099" s="70"/>
      <c r="BL1099" s="70"/>
      <c r="BM1099" s="70"/>
      <c r="BN1099" s="70"/>
      <c r="BO1099" s="70"/>
      <c r="BP1099" s="70"/>
      <c r="BQ1099" s="70"/>
      <c r="BR1099" s="70"/>
      <c r="BS1099" s="70"/>
      <c r="BT1099" s="70"/>
      <c r="BU1099" s="70"/>
      <c r="BV1099" s="70"/>
      <c r="BW1099" s="70"/>
      <c r="BX1099" s="70"/>
      <c r="BY1099" s="70"/>
      <c r="BZ1099" s="70"/>
      <c r="CA1099" s="70"/>
      <c r="CB1099" s="70"/>
      <c r="CC1099" s="70"/>
      <c r="CD1099" s="70"/>
      <c r="CE1099" s="70"/>
      <c r="CF1099" s="70"/>
      <c r="CG1099" s="70"/>
      <c r="CH1099" s="70"/>
      <c r="CI1099" s="70"/>
      <c r="CJ1099" s="70"/>
      <c r="CK1099" s="70"/>
      <c r="CL1099" s="70"/>
      <c r="CM1099" s="70"/>
      <c r="CN1099" s="70"/>
      <c r="CO1099" s="70"/>
      <c r="CP1099" s="70"/>
      <c r="CQ1099" s="70"/>
      <c r="CR1099" s="70"/>
      <c r="CS1099" s="70"/>
      <c r="CT1099" s="70"/>
      <c r="CU1099" s="70"/>
      <c r="CV1099" s="70"/>
      <c r="CW1099" s="70"/>
      <c r="CX1099" s="70"/>
      <c r="CY1099" s="70"/>
      <c r="CZ1099" s="70"/>
      <c r="DA1099" s="70"/>
      <c r="DB1099" s="70"/>
      <c r="DC1099" s="70"/>
      <c r="DD1099" s="70"/>
      <c r="DE1099" s="70"/>
      <c r="DF1099" s="70"/>
      <c r="DG1099" s="70"/>
      <c r="DH1099" s="70"/>
      <c r="DI1099" s="70"/>
      <c r="DJ1099" s="70"/>
      <c r="DK1099" s="70"/>
      <c r="DL1099" s="70"/>
      <c r="DM1099" s="70"/>
      <c r="DN1099" s="70"/>
      <c r="DO1099" s="70"/>
      <c r="DP1099" s="70"/>
      <c r="DQ1099" s="70"/>
      <c r="DR1099" s="70"/>
      <c r="DS1099" s="70"/>
      <c r="DT1099" s="70"/>
      <c r="DU1099" s="70"/>
      <c r="DV1099" s="70"/>
      <c r="DW1099" s="70"/>
      <c r="DX1099" s="70"/>
      <c r="DY1099" s="70"/>
      <c r="DZ1099" s="70"/>
      <c r="EA1099" s="70"/>
      <c r="EB1099" s="70"/>
      <c r="EC1099" s="70"/>
      <c r="ED1099" s="70"/>
      <c r="EE1099" s="95" t="s">
        <v>450</v>
      </c>
      <c r="EF1099" s="110"/>
      <c r="EG1099" s="110"/>
      <c r="EH1099" s="110"/>
      <c r="EI1099" s="216"/>
      <c r="EJ1099" s="110"/>
      <c r="EK1099" s="110"/>
      <c r="EL1099" s="110"/>
      <c r="EM1099" s="110"/>
      <c r="EN1099" s="110"/>
      <c r="EO1099" s="110"/>
      <c r="EP1099" s="110"/>
      <c r="EQ1099" s="110"/>
      <c r="ER1099" s="110"/>
      <c r="ES1099" s="110"/>
      <c r="ET1099" s="110"/>
      <c r="EU1099" s="110"/>
      <c r="EV1099" s="110"/>
      <c r="EW1099" s="110"/>
      <c r="EX1099" s="110"/>
      <c r="EY1099" s="110"/>
      <c r="EZ1099" s="110"/>
      <c r="FA1099" s="110"/>
      <c r="FB1099" s="110"/>
      <c r="FC1099" s="110"/>
      <c r="FD1099" s="110"/>
      <c r="FE1099" s="110"/>
      <c r="FF1099" s="110"/>
      <c r="FG1099" s="110"/>
      <c r="FH1099" s="110"/>
      <c r="FI1099" s="110"/>
      <c r="FJ1099" s="110"/>
      <c r="FK1099" s="110"/>
      <c r="FL1099" s="110"/>
      <c r="FM1099" s="110"/>
      <c r="FN1099" s="110"/>
      <c r="FO1099" s="110"/>
      <c r="FP1099" s="110"/>
      <c r="FQ1099" s="110"/>
      <c r="FR1099" s="110"/>
      <c r="FS1099" s="110"/>
      <c r="FT1099" s="110"/>
      <c r="FU1099" s="110"/>
      <c r="FV1099" s="110"/>
      <c r="FW1099" s="110"/>
      <c r="FX1099" s="110"/>
      <c r="FY1099" s="110"/>
      <c r="FZ1099" s="110"/>
      <c r="GA1099" s="110"/>
      <c r="GB1099" s="110"/>
      <c r="GC1099" s="110"/>
      <c r="GD1099" s="110"/>
      <c r="GE1099" s="110"/>
      <c r="GF1099" s="110"/>
      <c r="GG1099" s="110"/>
      <c r="GH1099" s="110"/>
      <c r="GI1099" s="110"/>
      <c r="GJ1099" s="110"/>
      <c r="GK1099" s="110"/>
      <c r="GL1099" s="110"/>
      <c r="GM1099" s="110"/>
      <c r="GN1099" s="110"/>
      <c r="GO1099" s="110"/>
      <c r="GP1099" s="110"/>
      <c r="GQ1099" s="110"/>
      <c r="GR1099" s="110"/>
      <c r="GS1099" s="110"/>
      <c r="GT1099" s="110"/>
      <c r="GU1099" s="110"/>
      <c r="GV1099" s="110"/>
      <c r="GW1099" s="110"/>
      <c r="GX1099" s="110"/>
      <c r="GY1099" s="110"/>
      <c r="GZ1099" s="110"/>
      <c r="HA1099" s="110"/>
      <c r="HB1099" s="110"/>
      <c r="HC1099" s="110"/>
      <c r="HD1099" s="110"/>
      <c r="HE1099" s="110"/>
      <c r="HF1099" s="110"/>
      <c r="HG1099" s="110"/>
      <c r="HH1099" s="110"/>
      <c r="HI1099" s="110"/>
      <c r="HJ1099" s="110"/>
      <c r="HK1099" s="110"/>
      <c r="HL1099" s="110"/>
      <c r="HM1099" s="110"/>
      <c r="HN1099" s="110"/>
      <c r="HO1099" s="110"/>
      <c r="HP1099" s="110"/>
      <c r="HQ1099" s="110"/>
      <c r="HR1099" s="110"/>
      <c r="HS1099" s="110"/>
      <c r="HT1099" s="110"/>
      <c r="HU1099" s="110"/>
      <c r="HV1099" s="110"/>
      <c r="HW1099" s="110"/>
      <c r="HX1099" s="110"/>
      <c r="HY1099" s="110"/>
      <c r="HZ1099" s="110"/>
      <c r="IA1099" s="110"/>
      <c r="IB1099" s="110"/>
      <c r="IC1099" s="110"/>
      <c r="ID1099" s="110"/>
      <c r="IE1099" s="110"/>
      <c r="IF1099" s="110"/>
      <c r="IG1099" s="110"/>
      <c r="IH1099" s="110"/>
      <c r="II1099" s="110"/>
      <c r="IJ1099" s="110"/>
      <c r="IK1099" s="110"/>
      <c r="IL1099" s="110"/>
      <c r="IM1099" s="110"/>
      <c r="IN1099" s="110"/>
      <c r="IO1099" s="110"/>
      <c r="IP1099" s="110"/>
    </row>
    <row r="1100" spans="18:250" ht="16.5" hidden="1" customHeight="1">
      <c r="R1100" s="95"/>
      <c r="S1100" s="95"/>
      <c r="T1100" s="95"/>
      <c r="U1100" s="70"/>
      <c r="V1100" s="214"/>
      <c r="W1100" s="70"/>
      <c r="X1100" s="70"/>
      <c r="Y1100" s="70"/>
      <c r="Z1100" s="70"/>
      <c r="AA1100" s="70"/>
      <c r="AB1100" s="70"/>
      <c r="AC1100" s="70"/>
      <c r="AD1100" s="70"/>
      <c r="AE1100" s="70"/>
      <c r="AF1100" s="70"/>
      <c r="AG1100" s="70"/>
      <c r="AH1100" s="70"/>
      <c r="AI1100" s="70"/>
      <c r="AJ1100" s="70"/>
      <c r="AK1100" s="70"/>
      <c r="AL1100" s="70"/>
      <c r="AM1100" s="70"/>
      <c r="AN1100" s="70"/>
      <c r="AO1100" s="70"/>
      <c r="AP1100" s="70"/>
      <c r="AQ1100" s="70"/>
      <c r="AR1100" s="70"/>
      <c r="AS1100" s="70"/>
      <c r="AT1100" s="70"/>
      <c r="AU1100" s="70"/>
      <c r="AV1100" s="70"/>
      <c r="AW1100" s="70"/>
      <c r="AX1100" s="70"/>
      <c r="AY1100" s="70"/>
      <c r="AZ1100" s="70"/>
      <c r="BA1100" s="70"/>
      <c r="BB1100" s="70"/>
      <c r="BC1100" s="70"/>
      <c r="BD1100" s="70"/>
      <c r="BE1100" s="70"/>
      <c r="BF1100" s="70"/>
      <c r="BG1100" s="70"/>
      <c r="BH1100" s="70"/>
      <c r="BI1100" s="70"/>
      <c r="BJ1100" s="70"/>
      <c r="BK1100" s="70"/>
      <c r="BL1100" s="70"/>
      <c r="BM1100" s="70"/>
      <c r="BN1100" s="70"/>
      <c r="BO1100" s="70"/>
      <c r="BP1100" s="70"/>
      <c r="BQ1100" s="70"/>
      <c r="BR1100" s="70"/>
      <c r="BS1100" s="70"/>
      <c r="BT1100" s="70"/>
      <c r="BU1100" s="70"/>
      <c r="BV1100" s="70"/>
      <c r="BW1100" s="70"/>
      <c r="BX1100" s="70"/>
      <c r="BY1100" s="70"/>
      <c r="BZ1100" s="70"/>
      <c r="CA1100" s="70"/>
      <c r="CB1100" s="70"/>
      <c r="CC1100" s="70"/>
      <c r="CD1100" s="70"/>
      <c r="CE1100" s="70"/>
      <c r="CF1100" s="70"/>
      <c r="CG1100" s="70"/>
      <c r="CH1100" s="70"/>
      <c r="CI1100" s="70"/>
      <c r="CJ1100" s="70"/>
      <c r="CK1100" s="70"/>
      <c r="CL1100" s="70"/>
      <c r="CM1100" s="70"/>
      <c r="CN1100" s="70"/>
      <c r="CO1100" s="70"/>
      <c r="CP1100" s="70"/>
      <c r="CQ1100" s="70"/>
      <c r="CR1100" s="70"/>
      <c r="CS1100" s="70"/>
      <c r="CT1100" s="70"/>
      <c r="CU1100" s="70"/>
      <c r="CV1100" s="70"/>
      <c r="CW1100" s="70"/>
      <c r="CX1100" s="70"/>
      <c r="CY1100" s="70"/>
      <c r="CZ1100" s="70"/>
      <c r="DA1100" s="70"/>
      <c r="DB1100" s="70"/>
      <c r="DC1100" s="70"/>
      <c r="DD1100" s="70"/>
      <c r="DE1100" s="70"/>
      <c r="DF1100" s="70"/>
      <c r="DG1100" s="70"/>
      <c r="DH1100" s="70"/>
      <c r="DI1100" s="70"/>
      <c r="DJ1100" s="70"/>
      <c r="DK1100" s="70"/>
      <c r="DL1100" s="70"/>
      <c r="DM1100" s="70"/>
      <c r="DN1100" s="70"/>
      <c r="DO1100" s="70"/>
      <c r="DP1100" s="70"/>
      <c r="DQ1100" s="70"/>
      <c r="DR1100" s="70"/>
      <c r="DS1100" s="70"/>
      <c r="DT1100" s="70"/>
      <c r="DU1100" s="70"/>
      <c r="DV1100" s="70"/>
      <c r="DW1100" s="70"/>
      <c r="DX1100" s="70"/>
      <c r="DY1100" s="70"/>
      <c r="DZ1100" s="70"/>
      <c r="EA1100" s="70"/>
      <c r="EB1100" s="70"/>
      <c r="EC1100" s="70"/>
      <c r="ED1100" s="70"/>
      <c r="EE1100" s="95"/>
      <c r="EF1100" s="110"/>
      <c r="EG1100" s="110"/>
      <c r="EH1100" s="110"/>
      <c r="EI1100" s="216"/>
      <c r="EJ1100" s="110"/>
      <c r="EK1100" s="110"/>
      <c r="EL1100" s="110"/>
      <c r="EM1100" s="110"/>
      <c r="EN1100" s="110"/>
      <c r="EO1100" s="110"/>
      <c r="EP1100" s="110"/>
      <c r="EQ1100" s="110"/>
      <c r="ER1100" s="110"/>
      <c r="ES1100" s="110"/>
      <c r="ET1100" s="110"/>
      <c r="EU1100" s="110"/>
      <c r="EV1100" s="110"/>
      <c r="EW1100" s="110"/>
      <c r="EX1100" s="110"/>
      <c r="EY1100" s="110"/>
      <c r="EZ1100" s="110"/>
      <c r="FA1100" s="110"/>
      <c r="FB1100" s="110"/>
      <c r="FC1100" s="110"/>
      <c r="FD1100" s="110"/>
      <c r="FE1100" s="110"/>
      <c r="FF1100" s="110"/>
      <c r="FG1100" s="110"/>
      <c r="FH1100" s="110"/>
      <c r="FI1100" s="110"/>
      <c r="FJ1100" s="110"/>
      <c r="FK1100" s="110"/>
      <c r="FL1100" s="110"/>
      <c r="FM1100" s="110"/>
      <c r="FN1100" s="110"/>
      <c r="FO1100" s="110"/>
      <c r="FP1100" s="110"/>
      <c r="FQ1100" s="110"/>
      <c r="FR1100" s="110"/>
      <c r="FS1100" s="110"/>
      <c r="FT1100" s="110"/>
      <c r="FU1100" s="110"/>
      <c r="FV1100" s="110"/>
      <c r="FW1100" s="110"/>
      <c r="FX1100" s="110"/>
      <c r="FY1100" s="110"/>
      <c r="FZ1100" s="110"/>
      <c r="GA1100" s="110"/>
      <c r="GB1100" s="110"/>
      <c r="GC1100" s="110"/>
      <c r="GD1100" s="110"/>
      <c r="GE1100" s="110"/>
      <c r="GF1100" s="110"/>
      <c r="GG1100" s="110"/>
      <c r="GH1100" s="110"/>
      <c r="GI1100" s="110"/>
      <c r="GJ1100" s="110"/>
      <c r="GK1100" s="110"/>
      <c r="GL1100" s="110"/>
      <c r="GM1100" s="110"/>
      <c r="GN1100" s="110"/>
      <c r="GO1100" s="110"/>
      <c r="GP1100" s="110"/>
      <c r="GQ1100" s="110"/>
      <c r="GR1100" s="110"/>
      <c r="GS1100" s="110"/>
      <c r="GT1100" s="110"/>
      <c r="GU1100" s="110"/>
      <c r="GV1100" s="110"/>
      <c r="GW1100" s="110"/>
      <c r="GX1100" s="110"/>
      <c r="GY1100" s="110"/>
      <c r="GZ1100" s="110"/>
      <c r="HA1100" s="110"/>
      <c r="HB1100" s="110"/>
      <c r="HC1100" s="110"/>
      <c r="HD1100" s="110"/>
      <c r="HE1100" s="110"/>
      <c r="HF1100" s="110"/>
      <c r="HG1100" s="110"/>
      <c r="HH1100" s="110"/>
      <c r="HI1100" s="110"/>
      <c r="HJ1100" s="110"/>
      <c r="HK1100" s="110"/>
      <c r="HL1100" s="110"/>
      <c r="HM1100" s="110"/>
      <c r="HN1100" s="110"/>
      <c r="HO1100" s="110"/>
      <c r="HP1100" s="110"/>
      <c r="HQ1100" s="110"/>
      <c r="HR1100" s="110"/>
      <c r="HS1100" s="110"/>
      <c r="HT1100" s="110"/>
      <c r="HU1100" s="110"/>
      <c r="HV1100" s="110"/>
      <c r="HW1100" s="110"/>
      <c r="HX1100" s="110"/>
      <c r="HY1100" s="110"/>
      <c r="HZ1100" s="110"/>
      <c r="IA1100" s="110"/>
      <c r="IB1100" s="110"/>
      <c r="IC1100" s="110"/>
      <c r="ID1100" s="110"/>
      <c r="IE1100" s="110"/>
      <c r="IF1100" s="110"/>
      <c r="IG1100" s="110"/>
      <c r="IH1100" s="110"/>
      <c r="II1100" s="110"/>
      <c r="IJ1100" s="110"/>
      <c r="IK1100" s="110"/>
      <c r="IL1100" s="110"/>
      <c r="IM1100" s="110"/>
      <c r="IN1100" s="110"/>
      <c r="IO1100" s="110"/>
      <c r="IP1100" s="110"/>
    </row>
    <row r="1101" spans="18:250" ht="16.5" hidden="1" customHeight="1">
      <c r="R1101" s="95"/>
      <c r="S1101" s="95"/>
      <c r="T1101" s="95"/>
      <c r="U1101" s="70"/>
      <c r="V1101" s="214"/>
      <c r="W1101" s="70"/>
      <c r="X1101" s="70"/>
      <c r="Y1101" s="70"/>
      <c r="Z1101" s="70"/>
      <c r="AA1101" s="70"/>
      <c r="AB1101" s="70"/>
      <c r="AC1101" s="70"/>
      <c r="AD1101" s="70"/>
      <c r="AE1101" s="70"/>
      <c r="AF1101" s="70"/>
      <c r="AG1101" s="70"/>
      <c r="AH1101" s="70"/>
      <c r="AI1101" s="70"/>
      <c r="AJ1101" s="70"/>
      <c r="AK1101" s="70"/>
      <c r="AL1101" s="70"/>
      <c r="AM1101" s="70"/>
      <c r="AN1101" s="70"/>
      <c r="AO1101" s="70"/>
      <c r="AP1101" s="70"/>
      <c r="AQ1101" s="70"/>
      <c r="AR1101" s="70"/>
      <c r="AS1101" s="70"/>
      <c r="AT1101" s="70"/>
      <c r="AU1101" s="70"/>
      <c r="AV1101" s="70"/>
      <c r="AW1101" s="70"/>
      <c r="AX1101" s="70"/>
      <c r="AY1101" s="70"/>
      <c r="AZ1101" s="70"/>
      <c r="BA1101" s="70"/>
      <c r="BB1101" s="70"/>
      <c r="BC1101" s="70"/>
      <c r="BD1101" s="70"/>
      <c r="BE1101" s="70"/>
      <c r="BF1101" s="70"/>
      <c r="BG1101" s="70"/>
      <c r="BH1101" s="70"/>
      <c r="BI1101" s="70"/>
      <c r="BJ1101" s="70"/>
      <c r="BK1101" s="70"/>
      <c r="BL1101" s="70"/>
      <c r="BM1101" s="70"/>
      <c r="BN1101" s="70"/>
      <c r="BO1101" s="70"/>
      <c r="BP1101" s="70"/>
      <c r="BQ1101" s="70"/>
      <c r="BR1101" s="70"/>
      <c r="BS1101" s="70"/>
      <c r="BT1101" s="70"/>
      <c r="BU1101" s="70"/>
      <c r="BV1101" s="70"/>
      <c r="BW1101" s="70"/>
      <c r="BX1101" s="70"/>
      <c r="BY1101" s="70"/>
      <c r="BZ1101" s="70"/>
      <c r="CA1101" s="70"/>
      <c r="CB1101" s="70"/>
      <c r="CC1101" s="70"/>
      <c r="CD1101" s="70"/>
      <c r="CE1101" s="70"/>
      <c r="CF1101" s="70"/>
      <c r="CG1101" s="70"/>
      <c r="CH1101" s="70"/>
      <c r="CI1101" s="70"/>
      <c r="CJ1101" s="70"/>
      <c r="CK1101" s="70"/>
      <c r="CL1101" s="70"/>
      <c r="CM1101" s="70"/>
      <c r="CN1101" s="70"/>
      <c r="CO1101" s="70"/>
      <c r="CP1101" s="70"/>
      <c r="CQ1101" s="70"/>
      <c r="CR1101" s="70"/>
      <c r="CS1101" s="70"/>
      <c r="CT1101" s="70"/>
      <c r="CU1101" s="70"/>
      <c r="CV1101" s="70"/>
      <c r="CW1101" s="70"/>
      <c r="CX1101" s="70"/>
      <c r="CY1101" s="70"/>
      <c r="CZ1101" s="70"/>
      <c r="DA1101" s="70"/>
      <c r="DB1101" s="70"/>
      <c r="DC1101" s="70"/>
      <c r="DD1101" s="70"/>
      <c r="DE1101" s="70"/>
      <c r="DF1101" s="70"/>
      <c r="DG1101" s="70"/>
      <c r="DH1101" s="70"/>
      <c r="DI1101" s="70"/>
      <c r="DJ1101" s="70"/>
      <c r="DK1101" s="70"/>
      <c r="DL1101" s="70"/>
      <c r="DM1101" s="70"/>
      <c r="DN1101" s="70"/>
      <c r="DO1101" s="70"/>
      <c r="DP1101" s="70"/>
      <c r="DQ1101" s="70"/>
      <c r="DR1101" s="70"/>
      <c r="DS1101" s="70"/>
      <c r="DT1101" s="70"/>
      <c r="DU1101" s="70"/>
      <c r="DV1101" s="70"/>
      <c r="DW1101" s="70"/>
      <c r="DX1101" s="70"/>
      <c r="DY1101" s="70"/>
      <c r="DZ1101" s="70"/>
      <c r="EA1101" s="70"/>
      <c r="EB1101" s="70"/>
      <c r="EC1101" s="70"/>
      <c r="ED1101" s="70"/>
      <c r="EE1101" s="95"/>
      <c r="EF1101" s="110"/>
      <c r="EG1101" s="110"/>
      <c r="EH1101" s="110"/>
      <c r="EI1101" s="216"/>
      <c r="EJ1101" s="110"/>
      <c r="EK1101" s="110"/>
      <c r="EL1101" s="110"/>
      <c r="EM1101" s="110"/>
      <c r="EN1101" s="110"/>
      <c r="EO1101" s="110"/>
      <c r="EP1101" s="110"/>
      <c r="EQ1101" s="110"/>
      <c r="ER1101" s="110"/>
      <c r="ES1101" s="110"/>
      <c r="ET1101" s="110"/>
      <c r="EU1101" s="110"/>
      <c r="EV1101" s="110"/>
      <c r="EW1101" s="110"/>
      <c r="EX1101" s="110"/>
      <c r="EY1101" s="110"/>
      <c r="EZ1101" s="110"/>
      <c r="FA1101" s="110"/>
      <c r="FB1101" s="110"/>
      <c r="FC1101" s="110"/>
      <c r="FD1101" s="110"/>
      <c r="FE1101" s="110"/>
      <c r="FF1101" s="110"/>
      <c r="FG1101" s="110"/>
      <c r="FH1101" s="110"/>
      <c r="FI1101" s="110"/>
      <c r="FJ1101" s="110"/>
      <c r="FK1101" s="110"/>
      <c r="FL1101" s="110"/>
      <c r="FM1101" s="110"/>
      <c r="FN1101" s="110"/>
      <c r="FO1101" s="110"/>
      <c r="FP1101" s="110"/>
      <c r="FQ1101" s="110"/>
      <c r="FR1101" s="110"/>
      <c r="FS1101" s="110"/>
      <c r="FT1101" s="110"/>
      <c r="FU1101" s="110"/>
      <c r="FV1101" s="110"/>
      <c r="FW1101" s="110"/>
      <c r="FX1101" s="110"/>
      <c r="FY1101" s="110"/>
      <c r="FZ1101" s="110"/>
      <c r="GA1101" s="110"/>
      <c r="GB1101" s="110"/>
      <c r="GC1101" s="110"/>
      <c r="GD1101" s="110"/>
      <c r="GE1101" s="110"/>
      <c r="GF1101" s="110"/>
      <c r="GG1101" s="110"/>
      <c r="GH1101" s="110"/>
      <c r="GI1101" s="110"/>
      <c r="GJ1101" s="110"/>
      <c r="GK1101" s="110"/>
      <c r="GL1101" s="110"/>
      <c r="GM1101" s="110"/>
      <c r="GN1101" s="110"/>
      <c r="GO1101" s="110"/>
      <c r="GP1101" s="110"/>
      <c r="GQ1101" s="110"/>
      <c r="GR1101" s="110"/>
      <c r="GS1101" s="110"/>
      <c r="GT1101" s="110"/>
      <c r="GU1101" s="110"/>
      <c r="GV1101" s="110"/>
      <c r="GW1101" s="110"/>
      <c r="GX1101" s="110"/>
      <c r="GY1101" s="110"/>
      <c r="GZ1101" s="110"/>
      <c r="HA1101" s="110"/>
      <c r="HB1101" s="110"/>
      <c r="HC1101" s="110"/>
      <c r="HD1101" s="110"/>
      <c r="HE1101" s="110"/>
      <c r="HF1101" s="110"/>
      <c r="HG1101" s="110"/>
      <c r="HH1101" s="110"/>
      <c r="HI1101" s="110"/>
      <c r="HJ1101" s="110"/>
      <c r="HK1101" s="110"/>
      <c r="HL1101" s="110"/>
      <c r="HM1101" s="110"/>
      <c r="HN1101" s="110"/>
      <c r="HO1101" s="110"/>
      <c r="HP1101" s="110"/>
      <c r="HQ1101" s="110"/>
      <c r="HR1101" s="110"/>
      <c r="HS1101" s="110"/>
      <c r="HT1101" s="110"/>
      <c r="HU1101" s="110"/>
      <c r="HV1101" s="110"/>
      <c r="HW1101" s="110"/>
      <c r="HX1101" s="110"/>
      <c r="HY1101" s="110"/>
      <c r="HZ1101" s="110"/>
      <c r="IA1101" s="110"/>
      <c r="IB1101" s="110"/>
      <c r="IC1101" s="110"/>
      <c r="ID1101" s="110"/>
      <c r="IE1101" s="110"/>
      <c r="IF1101" s="110"/>
      <c r="IG1101" s="110"/>
      <c r="IH1101" s="110"/>
      <c r="II1101" s="110"/>
      <c r="IJ1101" s="110"/>
      <c r="IK1101" s="110"/>
      <c r="IL1101" s="110"/>
      <c r="IM1101" s="110"/>
      <c r="IN1101" s="110"/>
      <c r="IO1101" s="110"/>
      <c r="IP1101" s="110"/>
    </row>
    <row r="1102" spans="18:250" ht="16.5" hidden="1" customHeight="1">
      <c r="R1102" s="95"/>
      <c r="S1102" s="95"/>
      <c r="T1102" s="95"/>
      <c r="U1102" s="70"/>
      <c r="V1102" s="214"/>
      <c r="W1102" s="70"/>
      <c r="X1102" s="70"/>
      <c r="Y1102" s="70"/>
      <c r="Z1102" s="70"/>
      <c r="AA1102" s="70"/>
      <c r="AB1102" s="70"/>
      <c r="AC1102" s="70"/>
      <c r="AD1102" s="70"/>
      <c r="AE1102" s="70"/>
      <c r="AF1102" s="70"/>
      <c r="AG1102" s="70"/>
      <c r="AH1102" s="70"/>
      <c r="AI1102" s="70"/>
      <c r="AJ1102" s="70"/>
      <c r="AK1102" s="70"/>
      <c r="AL1102" s="70"/>
      <c r="AM1102" s="70"/>
      <c r="AN1102" s="70"/>
      <c r="AO1102" s="70"/>
      <c r="AP1102" s="70"/>
      <c r="AQ1102" s="70"/>
      <c r="AR1102" s="70"/>
      <c r="AS1102" s="70"/>
      <c r="AT1102" s="70"/>
      <c r="AU1102" s="70"/>
      <c r="AV1102" s="70"/>
      <c r="AW1102" s="70"/>
      <c r="AX1102" s="70"/>
      <c r="AY1102" s="70"/>
      <c r="AZ1102" s="70"/>
      <c r="BA1102" s="70"/>
      <c r="BB1102" s="70"/>
      <c r="BC1102" s="70"/>
      <c r="BD1102" s="70"/>
      <c r="BE1102" s="70"/>
      <c r="BF1102" s="70"/>
      <c r="BG1102" s="70"/>
      <c r="BH1102" s="70"/>
      <c r="BI1102" s="70"/>
      <c r="BJ1102" s="70"/>
      <c r="BK1102" s="70"/>
      <c r="BL1102" s="70"/>
      <c r="BM1102" s="70"/>
      <c r="BN1102" s="70"/>
      <c r="BO1102" s="70"/>
      <c r="BP1102" s="70"/>
      <c r="BQ1102" s="70"/>
      <c r="BR1102" s="70"/>
      <c r="BS1102" s="70"/>
      <c r="BT1102" s="70"/>
      <c r="BU1102" s="70"/>
      <c r="BV1102" s="70"/>
      <c r="BW1102" s="70"/>
      <c r="BX1102" s="70"/>
      <c r="BY1102" s="70"/>
      <c r="BZ1102" s="70"/>
      <c r="CA1102" s="70"/>
      <c r="CB1102" s="70"/>
      <c r="CC1102" s="70"/>
      <c r="CD1102" s="70"/>
      <c r="CE1102" s="70"/>
      <c r="CF1102" s="70"/>
      <c r="CG1102" s="70"/>
      <c r="CH1102" s="70"/>
      <c r="CI1102" s="70"/>
      <c r="CJ1102" s="70"/>
      <c r="CK1102" s="70"/>
      <c r="CL1102" s="70"/>
      <c r="CM1102" s="70"/>
      <c r="CN1102" s="70"/>
      <c r="CO1102" s="70"/>
      <c r="CP1102" s="70"/>
      <c r="CQ1102" s="70"/>
      <c r="CR1102" s="70"/>
      <c r="CS1102" s="70"/>
      <c r="CT1102" s="70"/>
      <c r="CU1102" s="70"/>
      <c r="CV1102" s="70"/>
      <c r="CW1102" s="70"/>
      <c r="CX1102" s="70"/>
      <c r="CY1102" s="70"/>
      <c r="CZ1102" s="70"/>
      <c r="DA1102" s="70"/>
      <c r="DB1102" s="70"/>
      <c r="DC1102" s="70"/>
      <c r="DD1102" s="70"/>
      <c r="DE1102" s="70"/>
      <c r="DF1102" s="70"/>
      <c r="DG1102" s="70"/>
      <c r="DH1102" s="70"/>
      <c r="DI1102" s="70"/>
      <c r="DJ1102" s="70"/>
      <c r="DK1102" s="70"/>
      <c r="DL1102" s="70"/>
      <c r="DM1102" s="70"/>
      <c r="DN1102" s="70"/>
      <c r="DO1102" s="70"/>
      <c r="DP1102" s="70"/>
      <c r="DQ1102" s="70"/>
      <c r="DR1102" s="70"/>
      <c r="DS1102" s="70"/>
      <c r="DT1102" s="70"/>
      <c r="DU1102" s="70"/>
      <c r="DV1102" s="70"/>
      <c r="DW1102" s="70"/>
      <c r="DX1102" s="70"/>
      <c r="DY1102" s="70"/>
      <c r="DZ1102" s="70"/>
      <c r="EA1102" s="70"/>
      <c r="EB1102" s="70"/>
      <c r="EC1102" s="70"/>
      <c r="ED1102" s="70"/>
      <c r="EE1102" s="95"/>
      <c r="EF1102" s="110"/>
      <c r="EG1102" s="110"/>
      <c r="EH1102" s="110"/>
      <c r="EI1102" s="216"/>
      <c r="EJ1102" s="110"/>
      <c r="EK1102" s="110"/>
      <c r="EL1102" s="110"/>
      <c r="EM1102" s="110"/>
      <c r="EN1102" s="110"/>
      <c r="EO1102" s="110"/>
      <c r="EP1102" s="110"/>
      <c r="EQ1102" s="110"/>
      <c r="ER1102" s="110"/>
      <c r="ES1102" s="110"/>
      <c r="ET1102" s="110"/>
      <c r="EU1102" s="110"/>
      <c r="EV1102" s="110"/>
      <c r="EW1102" s="110"/>
      <c r="EX1102" s="110"/>
      <c r="EY1102" s="110"/>
      <c r="EZ1102" s="110"/>
      <c r="FA1102" s="110"/>
      <c r="FB1102" s="110"/>
      <c r="FC1102" s="110"/>
      <c r="FD1102" s="110"/>
      <c r="FE1102" s="110"/>
      <c r="FF1102" s="110"/>
      <c r="FG1102" s="110"/>
      <c r="FH1102" s="110"/>
      <c r="FI1102" s="110"/>
      <c r="FJ1102" s="110"/>
      <c r="FK1102" s="110"/>
      <c r="FL1102" s="110"/>
      <c r="FM1102" s="110"/>
      <c r="FN1102" s="110"/>
      <c r="FO1102" s="110"/>
      <c r="FP1102" s="110"/>
      <c r="FQ1102" s="110"/>
      <c r="FR1102" s="110"/>
      <c r="FS1102" s="110"/>
      <c r="FT1102" s="110"/>
      <c r="FU1102" s="110"/>
      <c r="FV1102" s="110"/>
      <c r="FW1102" s="110"/>
      <c r="FX1102" s="110"/>
      <c r="FY1102" s="110"/>
      <c r="FZ1102" s="110"/>
      <c r="GA1102" s="110"/>
      <c r="GB1102" s="110"/>
      <c r="GC1102" s="110"/>
      <c r="GD1102" s="110"/>
      <c r="GE1102" s="110"/>
      <c r="GF1102" s="110"/>
      <c r="GG1102" s="110"/>
      <c r="GH1102" s="110"/>
      <c r="GI1102" s="110"/>
      <c r="GJ1102" s="110"/>
      <c r="GK1102" s="110"/>
      <c r="GL1102" s="110"/>
      <c r="GM1102" s="110"/>
      <c r="GN1102" s="110"/>
      <c r="GO1102" s="110"/>
      <c r="GP1102" s="110"/>
      <c r="GQ1102" s="110"/>
      <c r="GR1102" s="110"/>
      <c r="GS1102" s="110"/>
      <c r="GT1102" s="110"/>
      <c r="GU1102" s="110"/>
      <c r="GV1102" s="110"/>
      <c r="GW1102" s="110"/>
      <c r="GX1102" s="110"/>
      <c r="GY1102" s="110"/>
      <c r="GZ1102" s="110"/>
      <c r="HA1102" s="110"/>
      <c r="HB1102" s="110"/>
      <c r="HC1102" s="110"/>
      <c r="HD1102" s="110"/>
      <c r="HE1102" s="110"/>
      <c r="HF1102" s="110"/>
      <c r="HG1102" s="110"/>
      <c r="HH1102" s="110"/>
      <c r="HI1102" s="110"/>
      <c r="HJ1102" s="110"/>
      <c r="HK1102" s="110"/>
      <c r="HL1102" s="110"/>
      <c r="HM1102" s="110"/>
      <c r="HN1102" s="110"/>
      <c r="HO1102" s="110"/>
      <c r="HP1102" s="110"/>
      <c r="HQ1102" s="110"/>
      <c r="HR1102" s="110"/>
      <c r="HS1102" s="110"/>
      <c r="HT1102" s="110"/>
      <c r="HU1102" s="110"/>
      <c r="HV1102" s="110"/>
      <c r="HW1102" s="110"/>
      <c r="HX1102" s="110"/>
      <c r="HY1102" s="110"/>
      <c r="HZ1102" s="110"/>
      <c r="IA1102" s="110"/>
      <c r="IB1102" s="110"/>
      <c r="IC1102" s="110"/>
      <c r="ID1102" s="110"/>
      <c r="IE1102" s="110"/>
      <c r="IF1102" s="110"/>
      <c r="IG1102" s="110"/>
      <c r="IH1102" s="110"/>
      <c r="II1102" s="110"/>
      <c r="IJ1102" s="110"/>
      <c r="IK1102" s="110"/>
      <c r="IL1102" s="110"/>
      <c r="IM1102" s="110"/>
      <c r="IN1102" s="110"/>
      <c r="IO1102" s="110"/>
      <c r="IP1102" s="110"/>
    </row>
    <row r="1103" spans="18:250" ht="16.5" hidden="1" customHeight="1">
      <c r="R1103" s="95"/>
      <c r="S1103" s="95"/>
      <c r="T1103" s="95"/>
      <c r="U1103" s="70"/>
      <c r="V1103" s="214"/>
      <c r="W1103" s="70"/>
      <c r="X1103" s="70"/>
      <c r="Y1103" s="70"/>
      <c r="Z1103" s="70"/>
      <c r="AA1103" s="70"/>
      <c r="AB1103" s="70"/>
      <c r="AC1103" s="70"/>
      <c r="AD1103" s="70"/>
      <c r="AE1103" s="70"/>
      <c r="AF1103" s="70"/>
      <c r="AG1103" s="70"/>
      <c r="AH1103" s="70"/>
      <c r="AI1103" s="70"/>
      <c r="AJ1103" s="70"/>
      <c r="AK1103" s="70"/>
      <c r="AL1103" s="70"/>
      <c r="AM1103" s="70"/>
      <c r="AN1103" s="70"/>
      <c r="AO1103" s="70"/>
      <c r="AP1103" s="70"/>
      <c r="AQ1103" s="70"/>
      <c r="AR1103" s="70"/>
      <c r="AS1103" s="70"/>
      <c r="AT1103" s="70"/>
      <c r="AU1103" s="70"/>
      <c r="AV1103" s="70"/>
      <c r="AW1103" s="70"/>
      <c r="AX1103" s="70"/>
      <c r="AY1103" s="70"/>
      <c r="AZ1103" s="70"/>
      <c r="BA1103" s="70"/>
      <c r="BB1103" s="70"/>
      <c r="BC1103" s="70"/>
      <c r="BD1103" s="70"/>
      <c r="BE1103" s="70"/>
      <c r="BF1103" s="70"/>
      <c r="BG1103" s="70"/>
      <c r="BH1103" s="70"/>
      <c r="BI1103" s="70"/>
      <c r="BJ1103" s="70"/>
      <c r="BK1103" s="70"/>
      <c r="BL1103" s="70"/>
      <c r="BM1103" s="70"/>
      <c r="BN1103" s="70"/>
      <c r="BO1103" s="70"/>
      <c r="BP1103" s="70"/>
      <c r="BQ1103" s="70"/>
      <c r="BR1103" s="70"/>
      <c r="BS1103" s="70"/>
      <c r="BT1103" s="70"/>
      <c r="BU1103" s="70"/>
      <c r="BV1103" s="70"/>
      <c r="BW1103" s="70"/>
      <c r="BX1103" s="70"/>
      <c r="BY1103" s="70"/>
      <c r="BZ1103" s="70"/>
      <c r="CA1103" s="70"/>
      <c r="CB1103" s="70"/>
      <c r="CC1103" s="70"/>
      <c r="CD1103" s="70"/>
      <c r="CE1103" s="70"/>
      <c r="CF1103" s="70"/>
      <c r="CG1103" s="70"/>
      <c r="CH1103" s="70"/>
      <c r="CI1103" s="70"/>
      <c r="CJ1103" s="70"/>
      <c r="CK1103" s="70"/>
      <c r="CL1103" s="70"/>
      <c r="CM1103" s="70"/>
      <c r="CN1103" s="70"/>
      <c r="CO1103" s="70"/>
      <c r="CP1103" s="70"/>
      <c r="CQ1103" s="70"/>
      <c r="CR1103" s="70"/>
      <c r="CS1103" s="70"/>
      <c r="CT1103" s="70"/>
      <c r="CU1103" s="70"/>
      <c r="CV1103" s="70"/>
      <c r="CW1103" s="70"/>
      <c r="CX1103" s="70"/>
      <c r="CY1103" s="70"/>
      <c r="CZ1103" s="70"/>
      <c r="DA1103" s="70"/>
      <c r="DB1103" s="70"/>
      <c r="DC1103" s="70"/>
      <c r="DD1103" s="70"/>
      <c r="DE1103" s="70"/>
      <c r="DF1103" s="70"/>
      <c r="DG1103" s="70"/>
      <c r="DH1103" s="70"/>
      <c r="DI1103" s="70"/>
      <c r="DJ1103" s="70"/>
      <c r="DK1103" s="70"/>
      <c r="DL1103" s="70"/>
      <c r="DM1103" s="70"/>
      <c r="DN1103" s="70"/>
      <c r="DO1103" s="70"/>
      <c r="DP1103" s="70"/>
      <c r="DQ1103" s="70"/>
      <c r="DR1103" s="70"/>
      <c r="DS1103" s="70"/>
      <c r="DT1103" s="70"/>
      <c r="DU1103" s="70"/>
      <c r="DV1103" s="70"/>
      <c r="DW1103" s="70"/>
      <c r="DX1103" s="70"/>
      <c r="DY1103" s="70"/>
      <c r="DZ1103" s="70"/>
      <c r="EA1103" s="70"/>
      <c r="EB1103" s="70"/>
      <c r="EC1103" s="70"/>
      <c r="ED1103" s="70"/>
      <c r="EE1103" s="95"/>
      <c r="EF1103" s="110"/>
      <c r="EG1103" s="110"/>
      <c r="EH1103" s="110"/>
      <c r="EI1103" s="216"/>
      <c r="EJ1103" s="110"/>
      <c r="EK1103" s="110"/>
      <c r="EL1103" s="110"/>
      <c r="EM1103" s="110"/>
      <c r="EN1103" s="110"/>
      <c r="EO1103" s="110"/>
      <c r="EP1103" s="110"/>
      <c r="EQ1103" s="110"/>
      <c r="ER1103" s="110"/>
      <c r="ES1103" s="110"/>
      <c r="ET1103" s="110"/>
      <c r="EU1103" s="110"/>
      <c r="EV1103" s="110"/>
      <c r="EW1103" s="110"/>
      <c r="EX1103" s="110"/>
      <c r="EY1103" s="110"/>
      <c r="EZ1103" s="110"/>
      <c r="FA1103" s="110"/>
      <c r="FB1103" s="110"/>
      <c r="FC1103" s="110"/>
      <c r="FD1103" s="110"/>
      <c r="FE1103" s="110"/>
      <c r="FF1103" s="110"/>
      <c r="FG1103" s="110"/>
      <c r="FH1103" s="110"/>
      <c r="FI1103" s="110"/>
      <c r="FJ1103" s="110"/>
      <c r="FK1103" s="110"/>
      <c r="FL1103" s="110"/>
      <c r="FM1103" s="110"/>
      <c r="FN1103" s="110"/>
      <c r="FO1103" s="110"/>
      <c r="FP1103" s="110"/>
      <c r="FQ1103" s="110"/>
      <c r="FR1103" s="110"/>
      <c r="FS1103" s="110"/>
      <c r="FT1103" s="110"/>
      <c r="FU1103" s="110"/>
      <c r="FV1103" s="110"/>
      <c r="FW1103" s="110"/>
      <c r="FX1103" s="110"/>
      <c r="FY1103" s="110"/>
      <c r="FZ1103" s="110"/>
      <c r="GA1103" s="110"/>
      <c r="GB1103" s="110"/>
      <c r="GC1103" s="110"/>
      <c r="GD1103" s="110"/>
      <c r="GE1103" s="110"/>
      <c r="GF1103" s="110"/>
      <c r="GG1103" s="110"/>
      <c r="GH1103" s="110"/>
      <c r="GI1103" s="110"/>
      <c r="GJ1103" s="110"/>
      <c r="GK1103" s="110"/>
      <c r="GL1103" s="110"/>
      <c r="GM1103" s="110"/>
      <c r="GN1103" s="110"/>
      <c r="GO1103" s="110"/>
      <c r="GP1103" s="110"/>
      <c r="GQ1103" s="110"/>
      <c r="GR1103" s="110"/>
      <c r="GS1103" s="110"/>
      <c r="GT1103" s="110"/>
      <c r="GU1103" s="110"/>
      <c r="GV1103" s="110"/>
      <c r="GW1103" s="110"/>
      <c r="GX1103" s="110"/>
      <c r="GY1103" s="110"/>
      <c r="GZ1103" s="110"/>
      <c r="HA1103" s="110"/>
      <c r="HB1103" s="110"/>
      <c r="HC1103" s="110"/>
      <c r="HD1103" s="110"/>
      <c r="HE1103" s="110"/>
      <c r="HF1103" s="110"/>
      <c r="HG1103" s="110"/>
      <c r="HH1103" s="110"/>
      <c r="HI1103" s="110"/>
      <c r="HJ1103" s="110"/>
      <c r="HK1103" s="110"/>
      <c r="HL1103" s="110"/>
      <c r="HM1103" s="110"/>
      <c r="HN1103" s="110"/>
      <c r="HO1103" s="110"/>
      <c r="HP1103" s="110"/>
      <c r="HQ1103" s="110"/>
      <c r="HR1103" s="110"/>
      <c r="HS1103" s="110"/>
      <c r="HT1103" s="110"/>
      <c r="HU1103" s="110"/>
      <c r="HV1103" s="110"/>
      <c r="HW1103" s="110"/>
      <c r="HX1103" s="110"/>
      <c r="HY1103" s="110"/>
      <c r="HZ1103" s="110"/>
      <c r="IA1103" s="110"/>
      <c r="IB1103" s="110"/>
      <c r="IC1103" s="110"/>
      <c r="ID1103" s="110"/>
      <c r="IE1103" s="110"/>
      <c r="IF1103" s="110"/>
      <c r="IG1103" s="110"/>
      <c r="IH1103" s="110"/>
      <c r="II1103" s="110"/>
      <c r="IJ1103" s="110"/>
      <c r="IK1103" s="110"/>
      <c r="IL1103" s="110"/>
      <c r="IM1103" s="110"/>
      <c r="IN1103" s="110"/>
      <c r="IO1103" s="110"/>
      <c r="IP1103" s="110"/>
    </row>
    <row r="1104" spans="18:250" ht="16.5" hidden="1" customHeight="1">
      <c r="R1104" s="95"/>
      <c r="S1104" s="95"/>
      <c r="T1104" s="95"/>
      <c r="U1104" s="70"/>
      <c r="V1104" s="214"/>
      <c r="W1104" s="70"/>
      <c r="X1104" s="70"/>
      <c r="Y1104" s="70"/>
      <c r="Z1104" s="70"/>
      <c r="AA1104" s="70"/>
      <c r="AB1104" s="70"/>
      <c r="AC1104" s="70"/>
      <c r="AD1104" s="70"/>
      <c r="AE1104" s="70"/>
      <c r="AF1104" s="70"/>
      <c r="AG1104" s="70"/>
      <c r="AH1104" s="70"/>
      <c r="AI1104" s="70"/>
      <c r="AJ1104" s="70"/>
      <c r="AK1104" s="70"/>
      <c r="AL1104" s="70"/>
      <c r="AM1104" s="70"/>
      <c r="AN1104" s="70"/>
      <c r="AO1104" s="70"/>
      <c r="AP1104" s="70"/>
      <c r="AQ1104" s="70"/>
      <c r="AR1104" s="70"/>
      <c r="AS1104" s="70"/>
      <c r="AT1104" s="70"/>
      <c r="AU1104" s="70"/>
      <c r="AV1104" s="70"/>
      <c r="AW1104" s="70"/>
      <c r="AX1104" s="70"/>
      <c r="AY1104" s="70"/>
      <c r="AZ1104" s="70"/>
      <c r="BA1104" s="70"/>
      <c r="BB1104" s="70"/>
      <c r="BC1104" s="70"/>
      <c r="BD1104" s="70"/>
      <c r="BE1104" s="70"/>
      <c r="BF1104" s="70"/>
      <c r="BG1104" s="70"/>
      <c r="BH1104" s="70"/>
      <c r="BI1104" s="70"/>
      <c r="BJ1104" s="70"/>
      <c r="BK1104" s="70"/>
      <c r="BL1104" s="70"/>
      <c r="BM1104" s="70"/>
      <c r="BN1104" s="70"/>
      <c r="BO1104" s="70"/>
      <c r="BP1104" s="70"/>
      <c r="BQ1104" s="70"/>
      <c r="BR1104" s="70"/>
      <c r="BS1104" s="70"/>
      <c r="BT1104" s="70"/>
      <c r="BU1104" s="70"/>
      <c r="BV1104" s="70"/>
      <c r="BW1104" s="70"/>
      <c r="BX1104" s="70"/>
      <c r="BY1104" s="70"/>
      <c r="BZ1104" s="70"/>
      <c r="CA1104" s="70"/>
      <c r="CB1104" s="70"/>
      <c r="CC1104" s="70"/>
      <c r="CD1104" s="70"/>
      <c r="CE1104" s="70"/>
      <c r="CF1104" s="70"/>
      <c r="CG1104" s="70"/>
      <c r="CH1104" s="70"/>
      <c r="CI1104" s="70"/>
      <c r="CJ1104" s="70"/>
      <c r="CK1104" s="70"/>
      <c r="CL1104" s="70"/>
      <c r="CM1104" s="70"/>
      <c r="CN1104" s="70"/>
      <c r="CO1104" s="70"/>
      <c r="CP1104" s="70"/>
      <c r="CQ1104" s="70"/>
      <c r="CR1104" s="70"/>
      <c r="CS1104" s="70"/>
      <c r="CT1104" s="70"/>
      <c r="CU1104" s="70"/>
      <c r="CV1104" s="70"/>
      <c r="CW1104" s="70"/>
      <c r="CX1104" s="70"/>
      <c r="CY1104" s="70"/>
      <c r="CZ1104" s="70"/>
      <c r="DA1104" s="70"/>
      <c r="DB1104" s="70"/>
      <c r="DC1104" s="70"/>
      <c r="DD1104" s="70"/>
      <c r="DE1104" s="70"/>
      <c r="DF1104" s="70"/>
      <c r="DG1104" s="70"/>
      <c r="DH1104" s="70"/>
      <c r="DI1104" s="70"/>
      <c r="DJ1104" s="70"/>
      <c r="DK1104" s="70"/>
      <c r="DL1104" s="70"/>
      <c r="DM1104" s="70"/>
      <c r="DN1104" s="70"/>
      <c r="DO1104" s="70"/>
      <c r="DP1104" s="70"/>
      <c r="DQ1104" s="70"/>
      <c r="DR1104" s="70"/>
      <c r="DS1104" s="70"/>
      <c r="DT1104" s="70"/>
      <c r="DU1104" s="70"/>
      <c r="DV1104" s="70"/>
      <c r="DW1104" s="70"/>
      <c r="DX1104" s="70"/>
      <c r="DY1104" s="70"/>
      <c r="DZ1104" s="70"/>
      <c r="EA1104" s="70"/>
      <c r="EB1104" s="70"/>
      <c r="EC1104" s="70"/>
      <c r="ED1104" s="70"/>
      <c r="EE1104" s="95"/>
      <c r="EF1104" s="110"/>
      <c r="EG1104" s="110"/>
      <c r="EH1104" s="110"/>
      <c r="EI1104" s="216"/>
      <c r="EJ1104" s="110"/>
      <c r="EK1104" s="110"/>
      <c r="EL1104" s="110"/>
      <c r="EM1104" s="110"/>
      <c r="EN1104" s="110"/>
      <c r="EO1104" s="110"/>
      <c r="EP1104" s="110"/>
      <c r="EQ1104" s="110"/>
      <c r="ER1104" s="110"/>
      <c r="ES1104" s="110"/>
      <c r="ET1104" s="110"/>
      <c r="EU1104" s="110"/>
      <c r="EV1104" s="110"/>
      <c r="EW1104" s="110"/>
      <c r="EX1104" s="110"/>
      <c r="EY1104" s="110"/>
      <c r="EZ1104" s="110"/>
      <c r="FA1104" s="110"/>
      <c r="FB1104" s="110"/>
      <c r="FC1104" s="110"/>
      <c r="FD1104" s="110"/>
      <c r="FE1104" s="110"/>
      <c r="FF1104" s="110"/>
      <c r="FG1104" s="110"/>
      <c r="FH1104" s="110"/>
      <c r="FI1104" s="110"/>
      <c r="FJ1104" s="110"/>
      <c r="FK1104" s="110"/>
      <c r="FL1104" s="110"/>
      <c r="FM1104" s="110"/>
      <c r="FN1104" s="110"/>
      <c r="FO1104" s="110"/>
      <c r="FP1104" s="110"/>
      <c r="FQ1104" s="110"/>
      <c r="FR1104" s="110"/>
      <c r="FS1104" s="110"/>
      <c r="FT1104" s="110"/>
      <c r="FU1104" s="110"/>
      <c r="FV1104" s="110"/>
      <c r="FW1104" s="110"/>
      <c r="FX1104" s="110"/>
      <c r="FY1104" s="110"/>
      <c r="FZ1104" s="110"/>
      <c r="GA1104" s="110"/>
      <c r="GB1104" s="110"/>
      <c r="GC1104" s="110"/>
      <c r="GD1104" s="110"/>
      <c r="GE1104" s="110"/>
      <c r="GF1104" s="110"/>
      <c r="GG1104" s="110"/>
      <c r="GH1104" s="110"/>
      <c r="GI1104" s="110"/>
      <c r="GJ1104" s="110"/>
      <c r="GK1104" s="110"/>
      <c r="GL1104" s="110"/>
      <c r="GM1104" s="110"/>
      <c r="GN1104" s="110"/>
      <c r="GO1104" s="110"/>
      <c r="GP1104" s="110"/>
      <c r="GQ1104" s="110"/>
      <c r="GR1104" s="110"/>
      <c r="GS1104" s="110"/>
      <c r="GT1104" s="110"/>
      <c r="GU1104" s="110"/>
      <c r="GV1104" s="110"/>
      <c r="GW1104" s="110"/>
      <c r="GX1104" s="110"/>
      <c r="GY1104" s="110"/>
      <c r="GZ1104" s="110"/>
      <c r="HA1104" s="110"/>
      <c r="HB1104" s="110"/>
      <c r="HC1104" s="110"/>
      <c r="HD1104" s="110"/>
      <c r="HE1104" s="110"/>
      <c r="HF1104" s="110"/>
      <c r="HG1104" s="110"/>
      <c r="HH1104" s="110"/>
      <c r="HI1104" s="110"/>
      <c r="HJ1104" s="110"/>
      <c r="HK1104" s="110"/>
      <c r="HL1104" s="110"/>
      <c r="HM1104" s="110"/>
      <c r="HN1104" s="110"/>
      <c r="HO1104" s="110"/>
      <c r="HP1104" s="110"/>
      <c r="HQ1104" s="110"/>
      <c r="HR1104" s="110"/>
      <c r="HS1104" s="110"/>
      <c r="HT1104" s="110"/>
      <c r="HU1104" s="110"/>
      <c r="HV1104" s="110"/>
      <c r="HW1104" s="110"/>
      <c r="HX1104" s="110"/>
      <c r="HY1104" s="110"/>
      <c r="HZ1104" s="110"/>
      <c r="IA1104" s="110"/>
      <c r="IB1104" s="110"/>
      <c r="IC1104" s="110"/>
      <c r="ID1104" s="110"/>
      <c r="IE1104" s="110"/>
      <c r="IF1104" s="110"/>
      <c r="IG1104" s="110"/>
      <c r="IH1104" s="110"/>
      <c r="II1104" s="110"/>
      <c r="IJ1104" s="110"/>
      <c r="IK1104" s="110"/>
      <c r="IL1104" s="110"/>
      <c r="IM1104" s="110"/>
      <c r="IN1104" s="110"/>
      <c r="IO1104" s="110"/>
      <c r="IP1104" s="110"/>
    </row>
    <row r="1105" spans="18:250" ht="16.5" hidden="1" customHeight="1">
      <c r="R1105" s="95"/>
      <c r="S1105" s="95"/>
      <c r="T1105" s="95"/>
      <c r="U1105" s="70"/>
      <c r="V1105" s="214"/>
      <c r="W1105" s="70"/>
      <c r="X1105" s="70"/>
      <c r="Y1105" s="70"/>
      <c r="Z1105" s="70"/>
      <c r="AA1105" s="70"/>
      <c r="AB1105" s="70"/>
      <c r="AC1105" s="70"/>
      <c r="AD1105" s="70"/>
      <c r="AE1105" s="70"/>
      <c r="AF1105" s="70"/>
      <c r="AG1105" s="70"/>
      <c r="AH1105" s="70"/>
      <c r="AI1105" s="70"/>
      <c r="AJ1105" s="70"/>
      <c r="AK1105" s="70"/>
      <c r="AL1105" s="70"/>
      <c r="AM1105" s="70"/>
      <c r="AN1105" s="70"/>
      <c r="AO1105" s="70"/>
      <c r="AP1105" s="70"/>
      <c r="AQ1105" s="70"/>
      <c r="AR1105" s="70"/>
      <c r="AS1105" s="70"/>
      <c r="AT1105" s="70"/>
      <c r="AU1105" s="70"/>
      <c r="AV1105" s="70"/>
      <c r="AW1105" s="70"/>
      <c r="AX1105" s="70"/>
      <c r="AY1105" s="70"/>
      <c r="AZ1105" s="70"/>
      <c r="BA1105" s="70"/>
      <c r="BB1105" s="70"/>
      <c r="BC1105" s="70"/>
      <c r="BD1105" s="70"/>
      <c r="BE1105" s="70"/>
      <c r="BF1105" s="70"/>
      <c r="BG1105" s="70"/>
      <c r="BH1105" s="70"/>
      <c r="BI1105" s="70"/>
      <c r="BJ1105" s="70"/>
      <c r="BK1105" s="70"/>
      <c r="BL1105" s="70"/>
      <c r="BM1105" s="70"/>
      <c r="BN1105" s="70"/>
      <c r="BO1105" s="70"/>
      <c r="BP1105" s="70"/>
      <c r="BQ1105" s="70"/>
      <c r="BR1105" s="70"/>
      <c r="BS1105" s="70"/>
      <c r="BT1105" s="70"/>
      <c r="BU1105" s="70"/>
      <c r="BV1105" s="70"/>
      <c r="BW1105" s="70"/>
      <c r="BX1105" s="70"/>
      <c r="BY1105" s="70"/>
      <c r="BZ1105" s="70"/>
      <c r="CA1105" s="70"/>
      <c r="CB1105" s="70"/>
      <c r="CC1105" s="70"/>
      <c r="CD1105" s="70"/>
      <c r="CE1105" s="70"/>
      <c r="CF1105" s="70"/>
      <c r="CG1105" s="70"/>
      <c r="CH1105" s="70"/>
      <c r="CI1105" s="70"/>
      <c r="CJ1105" s="70"/>
      <c r="CK1105" s="70"/>
      <c r="CL1105" s="70"/>
      <c r="CM1105" s="70"/>
      <c r="CN1105" s="70"/>
      <c r="CO1105" s="70"/>
      <c r="CP1105" s="70"/>
      <c r="CQ1105" s="70"/>
      <c r="CR1105" s="70"/>
      <c r="CS1105" s="70"/>
      <c r="CT1105" s="70"/>
      <c r="CU1105" s="70"/>
      <c r="CV1105" s="70"/>
      <c r="CW1105" s="70"/>
      <c r="CX1105" s="70"/>
      <c r="CY1105" s="70"/>
      <c r="CZ1105" s="70"/>
      <c r="DA1105" s="70"/>
      <c r="DB1105" s="70"/>
      <c r="DC1105" s="70"/>
      <c r="DD1105" s="70"/>
      <c r="DE1105" s="70"/>
      <c r="DF1105" s="70"/>
      <c r="DG1105" s="70"/>
      <c r="DH1105" s="70"/>
      <c r="DI1105" s="70"/>
      <c r="DJ1105" s="70"/>
      <c r="DK1105" s="70"/>
      <c r="DL1105" s="70"/>
      <c r="DM1105" s="70"/>
      <c r="DN1105" s="70"/>
      <c r="DO1105" s="70"/>
      <c r="DP1105" s="70"/>
      <c r="DQ1105" s="70"/>
      <c r="DR1105" s="70"/>
      <c r="DS1105" s="70"/>
      <c r="DT1105" s="70"/>
      <c r="DU1105" s="70"/>
      <c r="DV1105" s="70"/>
      <c r="DW1105" s="70"/>
      <c r="DX1105" s="70"/>
      <c r="DY1105" s="70"/>
      <c r="DZ1105" s="70"/>
      <c r="EA1105" s="70"/>
      <c r="EB1105" s="70"/>
      <c r="EC1105" s="70"/>
      <c r="ED1105" s="70"/>
      <c r="EE1105" s="95"/>
      <c r="EF1105" s="110"/>
      <c r="EG1105" s="110"/>
      <c r="EH1105" s="110"/>
      <c r="EI1105" s="216"/>
      <c r="EJ1105" s="110"/>
      <c r="EK1105" s="110"/>
      <c r="EL1105" s="110"/>
      <c r="EM1105" s="110"/>
      <c r="EN1105" s="110"/>
      <c r="EO1105" s="110"/>
      <c r="EP1105" s="110"/>
      <c r="EQ1105" s="110"/>
      <c r="ER1105" s="110"/>
      <c r="ES1105" s="110"/>
      <c r="ET1105" s="110"/>
      <c r="EU1105" s="110"/>
      <c r="EV1105" s="110"/>
      <c r="EW1105" s="110"/>
      <c r="EX1105" s="110"/>
      <c r="EY1105" s="110"/>
      <c r="EZ1105" s="110"/>
      <c r="FA1105" s="110"/>
      <c r="FB1105" s="110"/>
      <c r="FC1105" s="110"/>
      <c r="FD1105" s="110"/>
      <c r="FE1105" s="110"/>
      <c r="FF1105" s="110"/>
      <c r="FG1105" s="110"/>
      <c r="FH1105" s="110"/>
      <c r="FI1105" s="110"/>
      <c r="FJ1105" s="110"/>
      <c r="FK1105" s="110"/>
      <c r="FL1105" s="110"/>
      <c r="FM1105" s="110"/>
      <c r="FN1105" s="110"/>
      <c r="FO1105" s="110"/>
      <c r="FP1105" s="110"/>
      <c r="FQ1105" s="110"/>
      <c r="FR1105" s="110"/>
      <c r="FS1105" s="110"/>
      <c r="FT1105" s="110"/>
      <c r="FU1105" s="110"/>
      <c r="FV1105" s="110"/>
      <c r="FW1105" s="110"/>
      <c r="FX1105" s="110"/>
      <c r="FY1105" s="110"/>
      <c r="FZ1105" s="110"/>
      <c r="GA1105" s="110"/>
      <c r="GB1105" s="110"/>
      <c r="GC1105" s="110"/>
      <c r="GD1105" s="110"/>
      <c r="GE1105" s="110"/>
      <c r="GF1105" s="110"/>
      <c r="GG1105" s="110"/>
      <c r="GH1105" s="110"/>
      <c r="GI1105" s="110"/>
      <c r="GJ1105" s="110"/>
      <c r="GK1105" s="110"/>
      <c r="GL1105" s="110"/>
      <c r="GM1105" s="110"/>
      <c r="GN1105" s="110"/>
      <c r="GO1105" s="110"/>
      <c r="GP1105" s="110"/>
      <c r="GQ1105" s="110"/>
      <c r="GR1105" s="110"/>
      <c r="GS1105" s="110"/>
      <c r="GT1105" s="110"/>
      <c r="GU1105" s="110"/>
      <c r="GV1105" s="110"/>
      <c r="GW1105" s="110"/>
      <c r="GX1105" s="110"/>
      <c r="GY1105" s="110"/>
      <c r="GZ1105" s="110"/>
      <c r="HA1105" s="110"/>
      <c r="HB1105" s="110"/>
      <c r="HC1105" s="110"/>
      <c r="HD1105" s="110"/>
      <c r="HE1105" s="110"/>
      <c r="HF1105" s="110"/>
      <c r="HG1105" s="110"/>
      <c r="HH1105" s="110"/>
      <c r="HI1105" s="110"/>
      <c r="HJ1105" s="110"/>
      <c r="HK1105" s="110"/>
      <c r="HL1105" s="110"/>
      <c r="HM1105" s="110"/>
      <c r="HN1105" s="110"/>
      <c r="HO1105" s="110"/>
      <c r="HP1105" s="110"/>
      <c r="HQ1105" s="110"/>
      <c r="HR1105" s="110"/>
      <c r="HS1105" s="110"/>
      <c r="HT1105" s="110"/>
      <c r="HU1105" s="110"/>
      <c r="HV1105" s="110"/>
      <c r="HW1105" s="110"/>
      <c r="HX1105" s="110"/>
      <c r="HY1105" s="110"/>
      <c r="HZ1105" s="110"/>
      <c r="IA1105" s="110"/>
      <c r="IB1105" s="110"/>
      <c r="IC1105" s="110"/>
      <c r="ID1105" s="110"/>
      <c r="IE1105" s="110"/>
      <c r="IF1105" s="110"/>
      <c r="IG1105" s="110"/>
      <c r="IH1105" s="110"/>
      <c r="II1105" s="110"/>
      <c r="IJ1105" s="110"/>
      <c r="IK1105" s="110"/>
      <c r="IL1105" s="110"/>
      <c r="IM1105" s="110"/>
      <c r="IN1105" s="110"/>
      <c r="IO1105" s="110"/>
      <c r="IP1105" s="110"/>
    </row>
    <row r="1106" spans="18:250" ht="16.5" hidden="1" customHeight="1">
      <c r="R1106" s="95"/>
      <c r="S1106" s="95"/>
      <c r="T1106" s="95"/>
      <c r="U1106" s="70"/>
      <c r="V1106" s="214"/>
      <c r="W1106" s="70"/>
      <c r="X1106" s="70"/>
      <c r="Y1106" s="70"/>
      <c r="Z1106" s="70"/>
      <c r="AA1106" s="70"/>
      <c r="AB1106" s="70"/>
      <c r="AC1106" s="70"/>
      <c r="AD1106" s="70"/>
      <c r="AE1106" s="70"/>
      <c r="AF1106" s="70"/>
      <c r="AG1106" s="70"/>
      <c r="AH1106" s="70"/>
      <c r="AI1106" s="70"/>
      <c r="AJ1106" s="70"/>
      <c r="AK1106" s="70"/>
      <c r="AL1106" s="70"/>
      <c r="AM1106" s="70"/>
      <c r="AN1106" s="70"/>
      <c r="AO1106" s="70"/>
      <c r="AP1106" s="70"/>
      <c r="AQ1106" s="70"/>
      <c r="AR1106" s="70"/>
      <c r="AS1106" s="70"/>
      <c r="AT1106" s="70"/>
      <c r="AU1106" s="70"/>
      <c r="AV1106" s="70"/>
      <c r="AW1106" s="70"/>
      <c r="AX1106" s="70"/>
      <c r="AY1106" s="70"/>
      <c r="AZ1106" s="70"/>
      <c r="BA1106" s="70"/>
      <c r="BB1106" s="70"/>
      <c r="BC1106" s="70"/>
      <c r="BD1106" s="70"/>
      <c r="BE1106" s="70"/>
      <c r="BF1106" s="70"/>
      <c r="BG1106" s="70"/>
      <c r="BH1106" s="70"/>
      <c r="BI1106" s="70"/>
      <c r="BJ1106" s="70"/>
      <c r="BK1106" s="70"/>
      <c r="BL1106" s="70"/>
      <c r="BM1106" s="70"/>
      <c r="BN1106" s="70"/>
      <c r="BO1106" s="70"/>
      <c r="BP1106" s="70"/>
      <c r="BQ1106" s="70"/>
      <c r="BR1106" s="70"/>
      <c r="BS1106" s="70"/>
      <c r="BT1106" s="70"/>
      <c r="BU1106" s="70"/>
      <c r="BV1106" s="70"/>
      <c r="BW1106" s="70"/>
      <c r="BX1106" s="70"/>
      <c r="BY1106" s="70"/>
      <c r="BZ1106" s="70"/>
      <c r="CA1106" s="70"/>
      <c r="CB1106" s="70"/>
      <c r="CC1106" s="70"/>
      <c r="CD1106" s="70"/>
      <c r="CE1106" s="70"/>
      <c r="CF1106" s="70"/>
      <c r="CG1106" s="70"/>
      <c r="CH1106" s="70"/>
      <c r="CI1106" s="70"/>
      <c r="CJ1106" s="70"/>
      <c r="CK1106" s="70"/>
      <c r="CL1106" s="70"/>
      <c r="CM1106" s="70"/>
      <c r="CN1106" s="70"/>
      <c r="CO1106" s="70"/>
      <c r="CP1106" s="70"/>
      <c r="CQ1106" s="70"/>
      <c r="CR1106" s="70"/>
      <c r="CS1106" s="70"/>
      <c r="CT1106" s="70"/>
      <c r="CU1106" s="70"/>
      <c r="CV1106" s="70"/>
      <c r="CW1106" s="70"/>
      <c r="CX1106" s="70"/>
      <c r="CY1106" s="70"/>
      <c r="CZ1106" s="70"/>
      <c r="DA1106" s="70"/>
      <c r="DB1106" s="70"/>
      <c r="DC1106" s="70"/>
      <c r="DD1106" s="70"/>
      <c r="DE1106" s="70"/>
      <c r="DF1106" s="70"/>
      <c r="DG1106" s="70"/>
      <c r="DH1106" s="70"/>
      <c r="DI1106" s="70"/>
      <c r="DJ1106" s="70"/>
      <c r="DK1106" s="70"/>
      <c r="DL1106" s="70"/>
      <c r="DM1106" s="70"/>
      <c r="DN1106" s="70"/>
      <c r="DO1106" s="70"/>
      <c r="DP1106" s="70"/>
      <c r="DQ1106" s="70"/>
      <c r="DR1106" s="70"/>
      <c r="DS1106" s="70"/>
      <c r="DT1106" s="70"/>
      <c r="DU1106" s="70"/>
      <c r="DV1106" s="70"/>
      <c r="DW1106" s="70"/>
      <c r="DX1106" s="70"/>
      <c r="DY1106" s="70"/>
      <c r="DZ1106" s="70"/>
      <c r="EA1106" s="70"/>
      <c r="EB1106" s="70"/>
      <c r="EC1106" s="70"/>
      <c r="ED1106" s="70"/>
      <c r="EE1106" s="95"/>
      <c r="EF1106" s="110"/>
      <c r="EG1106" s="110"/>
      <c r="EH1106" s="110"/>
      <c r="EI1106" s="216"/>
      <c r="EJ1106" s="110"/>
      <c r="EK1106" s="110"/>
      <c r="EL1106" s="110"/>
      <c r="EM1106" s="110"/>
      <c r="EN1106" s="110"/>
      <c r="EO1106" s="110"/>
      <c r="EP1106" s="110"/>
      <c r="EQ1106" s="110"/>
      <c r="ER1106" s="110"/>
      <c r="ES1106" s="110"/>
      <c r="ET1106" s="110"/>
      <c r="EU1106" s="110"/>
      <c r="EV1106" s="110"/>
      <c r="EW1106" s="110"/>
      <c r="EX1106" s="110"/>
      <c r="EY1106" s="110"/>
      <c r="EZ1106" s="110"/>
      <c r="FA1106" s="110"/>
      <c r="FB1106" s="110"/>
      <c r="FC1106" s="110"/>
      <c r="FD1106" s="110"/>
      <c r="FE1106" s="110"/>
      <c r="FF1106" s="110"/>
      <c r="FG1106" s="110"/>
      <c r="FH1106" s="110"/>
      <c r="FI1106" s="110"/>
      <c r="FJ1106" s="110"/>
      <c r="FK1106" s="110"/>
      <c r="FL1106" s="110"/>
      <c r="FM1106" s="110"/>
      <c r="FN1106" s="110"/>
      <c r="FO1106" s="110"/>
      <c r="FP1106" s="110"/>
      <c r="FQ1106" s="110"/>
      <c r="FR1106" s="110"/>
      <c r="FS1106" s="110"/>
      <c r="FT1106" s="110"/>
      <c r="FU1106" s="110"/>
      <c r="FV1106" s="110"/>
      <c r="FW1106" s="110"/>
      <c r="FX1106" s="110"/>
      <c r="FY1106" s="110"/>
      <c r="FZ1106" s="110"/>
      <c r="GA1106" s="110"/>
      <c r="GB1106" s="110"/>
      <c r="GC1106" s="110"/>
      <c r="GD1106" s="110"/>
      <c r="GE1106" s="110"/>
      <c r="GF1106" s="110"/>
      <c r="GG1106" s="110"/>
      <c r="GH1106" s="110"/>
      <c r="GI1106" s="110"/>
      <c r="GJ1106" s="110"/>
      <c r="GK1106" s="110"/>
      <c r="GL1106" s="110"/>
      <c r="GM1106" s="110"/>
      <c r="GN1106" s="110"/>
      <c r="GO1106" s="110"/>
      <c r="GP1106" s="110"/>
      <c r="GQ1106" s="110"/>
      <c r="GR1106" s="110"/>
      <c r="GS1106" s="110"/>
      <c r="GT1106" s="110"/>
      <c r="GU1106" s="110"/>
      <c r="GV1106" s="110"/>
      <c r="GW1106" s="110"/>
      <c r="GX1106" s="110"/>
      <c r="GY1106" s="110"/>
      <c r="GZ1106" s="110"/>
      <c r="HA1106" s="110"/>
      <c r="HB1106" s="110"/>
      <c r="HC1106" s="110"/>
      <c r="HD1106" s="110"/>
      <c r="HE1106" s="110"/>
      <c r="HF1106" s="110"/>
      <c r="HG1106" s="110"/>
      <c r="HH1106" s="110"/>
      <c r="HI1106" s="110"/>
      <c r="HJ1106" s="110"/>
      <c r="HK1106" s="110"/>
      <c r="HL1106" s="110"/>
      <c r="HM1106" s="110"/>
      <c r="HN1106" s="110"/>
      <c r="HO1106" s="110"/>
      <c r="HP1106" s="110"/>
      <c r="HQ1106" s="110"/>
      <c r="HR1106" s="110"/>
      <c r="HS1106" s="110"/>
      <c r="HT1106" s="110"/>
      <c r="HU1106" s="110"/>
      <c r="HV1106" s="110"/>
      <c r="HW1106" s="110"/>
      <c r="HX1106" s="110"/>
      <c r="HY1106" s="110"/>
      <c r="HZ1106" s="110"/>
      <c r="IA1106" s="110"/>
      <c r="IB1106" s="110"/>
      <c r="IC1106" s="110"/>
      <c r="ID1106" s="110"/>
      <c r="IE1106" s="110"/>
      <c r="IF1106" s="110"/>
      <c r="IG1106" s="110"/>
      <c r="IH1106" s="110"/>
      <c r="II1106" s="110"/>
      <c r="IJ1106" s="110"/>
      <c r="IK1106" s="110"/>
      <c r="IL1106" s="110"/>
      <c r="IM1106" s="110"/>
      <c r="IN1106" s="110"/>
      <c r="IO1106" s="110"/>
      <c r="IP1106" s="110"/>
    </row>
    <row r="1107" spans="18:250" ht="16.5" hidden="1" customHeight="1">
      <c r="R1107" s="95"/>
      <c r="S1107" s="95"/>
      <c r="T1107" s="95"/>
      <c r="U1107" s="70"/>
      <c r="V1107" s="214"/>
      <c r="W1107" s="70"/>
      <c r="X1107" s="70"/>
      <c r="Y1107" s="70"/>
      <c r="Z1107" s="70"/>
      <c r="AA1107" s="70"/>
      <c r="AB1107" s="70"/>
      <c r="AC1107" s="70"/>
      <c r="AD1107" s="70"/>
      <c r="AE1107" s="70"/>
      <c r="AF1107" s="70"/>
      <c r="AG1107" s="70"/>
      <c r="AH1107" s="70"/>
      <c r="AI1107" s="70"/>
      <c r="AJ1107" s="70"/>
      <c r="AK1107" s="70"/>
      <c r="AL1107" s="70"/>
      <c r="AM1107" s="70"/>
      <c r="AN1107" s="70"/>
      <c r="AO1107" s="70"/>
      <c r="AP1107" s="70"/>
      <c r="AQ1107" s="70"/>
      <c r="AR1107" s="70"/>
      <c r="AS1107" s="70"/>
      <c r="AT1107" s="70"/>
      <c r="AU1107" s="70"/>
      <c r="AV1107" s="70"/>
      <c r="AW1107" s="70"/>
      <c r="AX1107" s="70"/>
      <c r="AY1107" s="70"/>
      <c r="AZ1107" s="70"/>
      <c r="BA1107" s="70"/>
      <c r="BB1107" s="70"/>
      <c r="BC1107" s="70"/>
      <c r="BD1107" s="70"/>
      <c r="BE1107" s="70"/>
      <c r="BF1107" s="70"/>
      <c r="BG1107" s="70"/>
      <c r="BH1107" s="70"/>
      <c r="BI1107" s="70"/>
      <c r="BJ1107" s="70"/>
      <c r="BK1107" s="70"/>
      <c r="BL1107" s="70"/>
      <c r="BM1107" s="70"/>
      <c r="BN1107" s="70"/>
      <c r="BO1107" s="70"/>
      <c r="BP1107" s="70"/>
      <c r="BQ1107" s="70"/>
      <c r="BR1107" s="70"/>
      <c r="BS1107" s="70"/>
      <c r="BT1107" s="70"/>
      <c r="BU1107" s="70"/>
      <c r="BV1107" s="70"/>
      <c r="BW1107" s="70"/>
      <c r="BX1107" s="70"/>
      <c r="BY1107" s="70"/>
      <c r="BZ1107" s="70"/>
      <c r="CA1107" s="70"/>
      <c r="CB1107" s="70"/>
      <c r="CC1107" s="70"/>
      <c r="CD1107" s="70"/>
      <c r="CE1107" s="70"/>
      <c r="CF1107" s="70"/>
      <c r="CG1107" s="70"/>
      <c r="CH1107" s="70"/>
      <c r="CI1107" s="70"/>
      <c r="CJ1107" s="70"/>
      <c r="CK1107" s="70"/>
      <c r="CL1107" s="70"/>
      <c r="CM1107" s="70"/>
      <c r="CN1107" s="70"/>
      <c r="CO1107" s="70"/>
      <c r="CP1107" s="70"/>
      <c r="CQ1107" s="70"/>
      <c r="CR1107" s="70"/>
      <c r="CS1107" s="70"/>
      <c r="CT1107" s="70"/>
      <c r="CU1107" s="70"/>
      <c r="CV1107" s="70"/>
      <c r="CW1107" s="70"/>
      <c r="CX1107" s="70"/>
      <c r="CY1107" s="70"/>
      <c r="CZ1107" s="70"/>
      <c r="DA1107" s="70"/>
      <c r="DB1107" s="70"/>
      <c r="DC1107" s="70"/>
      <c r="DD1107" s="70"/>
      <c r="DE1107" s="70"/>
      <c r="DF1107" s="70"/>
      <c r="DG1107" s="70"/>
      <c r="DH1107" s="70"/>
      <c r="DI1107" s="70"/>
      <c r="DJ1107" s="70"/>
      <c r="DK1107" s="70"/>
      <c r="DL1107" s="70"/>
      <c r="DM1107" s="70"/>
      <c r="DN1107" s="70"/>
      <c r="DO1107" s="70"/>
      <c r="DP1107" s="70"/>
      <c r="DQ1107" s="70"/>
      <c r="DR1107" s="70"/>
      <c r="DS1107" s="70"/>
      <c r="DT1107" s="70"/>
      <c r="DU1107" s="70"/>
      <c r="DV1107" s="70"/>
      <c r="DW1107" s="70"/>
      <c r="DX1107" s="70"/>
      <c r="DY1107" s="70"/>
      <c r="DZ1107" s="70"/>
      <c r="EA1107" s="70"/>
      <c r="EB1107" s="70"/>
      <c r="EC1107" s="70"/>
      <c r="ED1107" s="70"/>
      <c r="EE1107" s="95"/>
      <c r="EF1107" s="110"/>
      <c r="EG1107" s="110"/>
      <c r="EH1107" s="110"/>
      <c r="EI1107" s="216"/>
      <c r="EJ1107" s="110"/>
      <c r="EK1107" s="110"/>
      <c r="EL1107" s="110"/>
      <c r="EM1107" s="110"/>
      <c r="EN1107" s="110"/>
      <c r="EO1107" s="110"/>
      <c r="EP1107" s="110"/>
      <c r="EQ1107" s="110"/>
      <c r="ER1107" s="110"/>
      <c r="ES1107" s="110"/>
      <c r="ET1107" s="110"/>
      <c r="EU1107" s="110"/>
      <c r="EV1107" s="110"/>
      <c r="EW1107" s="110"/>
      <c r="EX1107" s="110"/>
      <c r="EY1107" s="110"/>
      <c r="EZ1107" s="110"/>
      <c r="FA1107" s="110"/>
      <c r="FB1107" s="110"/>
      <c r="FC1107" s="110"/>
      <c r="FD1107" s="110"/>
      <c r="FE1107" s="110"/>
      <c r="FF1107" s="110"/>
      <c r="FG1107" s="110"/>
      <c r="FH1107" s="110"/>
      <c r="FI1107" s="110"/>
      <c r="FJ1107" s="110"/>
      <c r="FK1107" s="110"/>
      <c r="FL1107" s="110"/>
      <c r="FM1107" s="110"/>
      <c r="FN1107" s="110"/>
      <c r="FO1107" s="110"/>
      <c r="FP1107" s="110"/>
      <c r="FQ1107" s="110"/>
      <c r="FR1107" s="110"/>
      <c r="FS1107" s="110"/>
      <c r="FT1107" s="110"/>
      <c r="FU1107" s="110"/>
      <c r="FV1107" s="110"/>
      <c r="FW1107" s="110"/>
      <c r="FX1107" s="110"/>
      <c r="FY1107" s="110"/>
      <c r="FZ1107" s="110"/>
      <c r="GA1107" s="110"/>
      <c r="GB1107" s="110"/>
      <c r="GC1107" s="110"/>
      <c r="GD1107" s="110"/>
      <c r="GE1107" s="110"/>
      <c r="GF1107" s="110"/>
      <c r="GG1107" s="110"/>
      <c r="GH1107" s="110"/>
      <c r="GI1107" s="110"/>
      <c r="GJ1107" s="110"/>
      <c r="GK1107" s="110"/>
      <c r="GL1107" s="110"/>
      <c r="GM1107" s="110"/>
      <c r="GN1107" s="110"/>
      <c r="GO1107" s="110"/>
      <c r="GP1107" s="110"/>
      <c r="GQ1107" s="110"/>
      <c r="GR1107" s="110"/>
      <c r="GS1107" s="110"/>
      <c r="GT1107" s="110"/>
      <c r="GU1107" s="110"/>
      <c r="GV1107" s="110"/>
      <c r="GW1107" s="110"/>
      <c r="GX1107" s="110"/>
      <c r="GY1107" s="110"/>
      <c r="GZ1107" s="110"/>
      <c r="HA1107" s="110"/>
      <c r="HB1107" s="110"/>
      <c r="HC1107" s="110"/>
      <c r="HD1107" s="110"/>
      <c r="HE1107" s="110"/>
      <c r="HF1107" s="110"/>
      <c r="HG1107" s="110"/>
      <c r="HH1107" s="110"/>
      <c r="HI1107" s="110"/>
      <c r="HJ1107" s="110"/>
      <c r="HK1107" s="110"/>
      <c r="HL1107" s="110"/>
      <c r="HM1107" s="110"/>
      <c r="HN1107" s="110"/>
      <c r="HO1107" s="110"/>
      <c r="HP1107" s="110"/>
      <c r="HQ1107" s="110"/>
      <c r="HR1107" s="110"/>
      <c r="HS1107" s="110"/>
      <c r="HT1107" s="110"/>
      <c r="HU1107" s="110"/>
      <c r="HV1107" s="110"/>
      <c r="HW1107" s="110"/>
      <c r="HX1107" s="110"/>
      <c r="HY1107" s="110"/>
      <c r="HZ1107" s="110"/>
      <c r="IA1107" s="110"/>
      <c r="IB1107" s="110"/>
      <c r="IC1107" s="110"/>
      <c r="ID1107" s="110"/>
      <c r="IE1107" s="110"/>
      <c r="IF1107" s="110"/>
      <c r="IG1107" s="110"/>
      <c r="IH1107" s="110"/>
      <c r="II1107" s="110"/>
      <c r="IJ1107" s="110"/>
      <c r="IK1107" s="110"/>
      <c r="IL1107" s="110"/>
      <c r="IM1107" s="110"/>
      <c r="IN1107" s="110"/>
      <c r="IO1107" s="110"/>
      <c r="IP1107" s="110"/>
    </row>
    <row r="1108" spans="18:250" ht="16.5" hidden="1" customHeight="1">
      <c r="R1108" s="95"/>
      <c r="S1108" s="95"/>
      <c r="T1108" s="95"/>
      <c r="U1108" s="70"/>
      <c r="V1108" s="214"/>
      <c r="W1108" s="70"/>
      <c r="X1108" s="70"/>
      <c r="Y1108" s="70"/>
      <c r="Z1108" s="70"/>
      <c r="AA1108" s="70"/>
      <c r="AB1108" s="70"/>
      <c r="AC1108" s="70"/>
      <c r="AD1108" s="70"/>
      <c r="AE1108" s="70"/>
      <c r="AF1108" s="70"/>
      <c r="AG1108" s="70"/>
      <c r="AH1108" s="70"/>
      <c r="AI1108" s="70"/>
      <c r="AJ1108" s="70"/>
      <c r="AK1108" s="70"/>
      <c r="AL1108" s="70"/>
      <c r="AM1108" s="70"/>
      <c r="AN1108" s="70"/>
      <c r="AO1108" s="70"/>
      <c r="AP1108" s="70"/>
      <c r="AQ1108" s="70"/>
      <c r="AR1108" s="70"/>
      <c r="AS1108" s="70"/>
      <c r="AT1108" s="70"/>
      <c r="AU1108" s="70"/>
      <c r="AV1108" s="70"/>
      <c r="AW1108" s="70"/>
      <c r="AX1108" s="70"/>
      <c r="AY1108" s="70"/>
      <c r="AZ1108" s="70"/>
      <c r="BA1108" s="70"/>
      <c r="BB1108" s="70"/>
      <c r="BC1108" s="70"/>
      <c r="BD1108" s="70"/>
      <c r="BE1108" s="70"/>
      <c r="BF1108" s="70"/>
      <c r="BG1108" s="70"/>
      <c r="BH1108" s="70"/>
      <c r="BI1108" s="70"/>
      <c r="BJ1108" s="70"/>
      <c r="BK1108" s="70"/>
      <c r="BL1108" s="70"/>
      <c r="BM1108" s="70"/>
      <c r="BN1108" s="70"/>
      <c r="BO1108" s="70"/>
      <c r="BP1108" s="70"/>
      <c r="BQ1108" s="70"/>
      <c r="BR1108" s="70"/>
      <c r="BS1108" s="70"/>
      <c r="BT1108" s="70"/>
      <c r="BU1108" s="70"/>
      <c r="BV1108" s="70"/>
      <c r="BW1108" s="70"/>
      <c r="BX1108" s="70"/>
      <c r="BY1108" s="70"/>
      <c r="BZ1108" s="70"/>
      <c r="CA1108" s="70"/>
      <c r="CB1108" s="70"/>
      <c r="CC1108" s="70"/>
      <c r="CD1108" s="70"/>
      <c r="CE1108" s="70"/>
      <c r="CF1108" s="70"/>
      <c r="CG1108" s="70"/>
      <c r="CH1108" s="70"/>
      <c r="CI1108" s="70"/>
      <c r="CJ1108" s="70"/>
      <c r="CK1108" s="70"/>
      <c r="CL1108" s="70"/>
      <c r="CM1108" s="70"/>
      <c r="CN1108" s="70"/>
      <c r="CO1108" s="70"/>
      <c r="CP1108" s="70"/>
      <c r="CQ1108" s="70"/>
      <c r="CR1108" s="70"/>
      <c r="CS1108" s="70"/>
      <c r="CT1108" s="70"/>
      <c r="CU1108" s="70"/>
      <c r="CV1108" s="70"/>
      <c r="CW1108" s="70"/>
      <c r="CX1108" s="70"/>
      <c r="CY1108" s="70"/>
      <c r="CZ1108" s="70"/>
      <c r="DA1108" s="70"/>
      <c r="DB1108" s="70"/>
      <c r="DC1108" s="70"/>
      <c r="DD1108" s="70"/>
      <c r="DE1108" s="70"/>
      <c r="DF1108" s="70"/>
      <c r="DG1108" s="70"/>
      <c r="DH1108" s="70"/>
      <c r="DI1108" s="70"/>
      <c r="DJ1108" s="70"/>
      <c r="DK1108" s="70"/>
      <c r="DL1108" s="70"/>
      <c r="DM1108" s="70"/>
      <c r="DN1108" s="70"/>
      <c r="DO1108" s="70"/>
      <c r="DP1108" s="70"/>
      <c r="DQ1108" s="70"/>
      <c r="DR1108" s="70"/>
      <c r="DS1108" s="70"/>
      <c r="DT1108" s="70"/>
      <c r="DU1108" s="70"/>
      <c r="DV1108" s="70"/>
      <c r="DW1108" s="70"/>
      <c r="DX1108" s="70"/>
      <c r="DY1108" s="70"/>
      <c r="DZ1108" s="70"/>
      <c r="EA1108" s="70"/>
      <c r="EB1108" s="70"/>
      <c r="EC1108" s="70"/>
      <c r="ED1108" s="70"/>
      <c r="EE1108" s="95"/>
      <c r="EF1108" s="110"/>
      <c r="EG1108" s="110"/>
      <c r="EH1108" s="110"/>
      <c r="EI1108" s="216"/>
      <c r="EJ1108" s="110"/>
      <c r="EK1108" s="110"/>
      <c r="EL1108" s="110"/>
      <c r="EM1108" s="110"/>
      <c r="EN1108" s="110"/>
      <c r="EO1108" s="110"/>
      <c r="EP1108" s="110"/>
      <c r="EQ1108" s="110"/>
      <c r="ER1108" s="110"/>
      <c r="ES1108" s="110"/>
      <c r="ET1108" s="110"/>
      <c r="EU1108" s="110"/>
      <c r="EV1108" s="110"/>
      <c r="EW1108" s="110"/>
      <c r="EX1108" s="110"/>
      <c r="EY1108" s="110"/>
      <c r="EZ1108" s="110"/>
      <c r="FA1108" s="110"/>
      <c r="FB1108" s="110"/>
      <c r="FC1108" s="110"/>
      <c r="FD1108" s="110"/>
      <c r="FE1108" s="110"/>
      <c r="FF1108" s="110"/>
      <c r="FG1108" s="110"/>
      <c r="FH1108" s="110"/>
      <c r="FI1108" s="110"/>
      <c r="FJ1108" s="110"/>
      <c r="FK1108" s="110"/>
      <c r="FL1108" s="110"/>
      <c r="FM1108" s="110"/>
      <c r="FN1108" s="110"/>
      <c r="FO1108" s="110"/>
      <c r="FP1108" s="110"/>
      <c r="FQ1108" s="110"/>
      <c r="FR1108" s="110"/>
      <c r="FS1108" s="110"/>
      <c r="FT1108" s="110"/>
      <c r="FU1108" s="110"/>
      <c r="FV1108" s="110"/>
      <c r="FW1108" s="110"/>
      <c r="FX1108" s="110"/>
      <c r="FY1108" s="110"/>
      <c r="FZ1108" s="110"/>
      <c r="GA1108" s="110"/>
      <c r="GB1108" s="110"/>
      <c r="GC1108" s="110"/>
      <c r="GD1108" s="110"/>
      <c r="GE1108" s="110"/>
      <c r="GF1108" s="110"/>
      <c r="GG1108" s="110"/>
      <c r="GH1108" s="110"/>
      <c r="GI1108" s="110"/>
      <c r="GJ1108" s="110"/>
      <c r="GK1108" s="110"/>
      <c r="GL1108" s="110"/>
      <c r="GM1108" s="110"/>
      <c r="GN1108" s="110"/>
      <c r="GO1108" s="110"/>
      <c r="GP1108" s="110"/>
      <c r="GQ1108" s="110"/>
      <c r="GR1108" s="110"/>
      <c r="GS1108" s="110"/>
      <c r="GT1108" s="110"/>
      <c r="GU1108" s="110"/>
      <c r="GV1108" s="110"/>
      <c r="GW1108" s="110"/>
      <c r="GX1108" s="110"/>
      <c r="GY1108" s="110"/>
      <c r="GZ1108" s="110"/>
      <c r="HA1108" s="110"/>
      <c r="HB1108" s="110"/>
      <c r="HC1108" s="110"/>
      <c r="HD1108" s="110"/>
      <c r="HE1108" s="110"/>
      <c r="HF1108" s="110"/>
      <c r="HG1108" s="110"/>
      <c r="HH1108" s="110"/>
      <c r="HI1108" s="110"/>
      <c r="HJ1108" s="110"/>
      <c r="HK1108" s="110"/>
      <c r="HL1108" s="110"/>
      <c r="HM1108" s="110"/>
      <c r="HN1108" s="110"/>
      <c r="HO1108" s="110"/>
      <c r="HP1108" s="110"/>
      <c r="HQ1108" s="110"/>
      <c r="HR1108" s="110"/>
      <c r="HS1108" s="110"/>
      <c r="HT1108" s="110"/>
      <c r="HU1108" s="110"/>
      <c r="HV1108" s="110"/>
      <c r="HW1108" s="110"/>
      <c r="HX1108" s="110"/>
      <c r="HY1108" s="110"/>
      <c r="HZ1108" s="110"/>
      <c r="IA1108" s="110"/>
      <c r="IB1108" s="110"/>
      <c r="IC1108" s="110"/>
      <c r="ID1108" s="110"/>
      <c r="IE1108" s="110"/>
      <c r="IF1108" s="110"/>
      <c r="IG1108" s="110"/>
      <c r="IH1108" s="110"/>
      <c r="II1108" s="110"/>
      <c r="IJ1108" s="110"/>
      <c r="IK1108" s="110"/>
      <c r="IL1108" s="110"/>
      <c r="IM1108" s="110"/>
      <c r="IN1108" s="110"/>
      <c r="IO1108" s="110"/>
      <c r="IP1108" s="110"/>
    </row>
    <row r="1109" spans="18:250" ht="16.5" hidden="1" customHeight="1">
      <c r="R1109" s="95"/>
      <c r="S1109" s="95"/>
      <c r="T1109" s="95"/>
      <c r="U1109" s="70"/>
      <c r="V1109" s="214"/>
      <c r="W1109" s="70"/>
      <c r="X1109" s="70"/>
      <c r="Y1109" s="70"/>
      <c r="Z1109" s="70"/>
      <c r="AA1109" s="70"/>
      <c r="AB1109" s="70"/>
      <c r="AC1109" s="70"/>
      <c r="AD1109" s="70"/>
      <c r="AE1109" s="70"/>
      <c r="AF1109" s="70"/>
      <c r="AG1109" s="70"/>
      <c r="AH1109" s="70"/>
      <c r="AI1109" s="70"/>
      <c r="AJ1109" s="70"/>
      <c r="AK1109" s="70"/>
      <c r="AL1109" s="70"/>
      <c r="AM1109" s="70"/>
      <c r="AN1109" s="70"/>
      <c r="AO1109" s="70"/>
      <c r="AP1109" s="70"/>
      <c r="AQ1109" s="70"/>
      <c r="AR1109" s="70"/>
      <c r="AS1109" s="70"/>
      <c r="AT1109" s="70"/>
      <c r="AU1109" s="70"/>
      <c r="AV1109" s="70"/>
      <c r="AW1109" s="70"/>
      <c r="AX1109" s="70"/>
      <c r="AY1109" s="70"/>
      <c r="AZ1109" s="70"/>
      <c r="BA1109" s="70"/>
      <c r="BB1109" s="70"/>
      <c r="BC1109" s="70"/>
      <c r="BD1109" s="70"/>
      <c r="BE1109" s="70"/>
      <c r="BF1109" s="70"/>
      <c r="BG1109" s="70"/>
      <c r="BH1109" s="70"/>
      <c r="BI1109" s="70"/>
      <c r="BJ1109" s="70"/>
      <c r="BK1109" s="70"/>
      <c r="BL1109" s="70"/>
      <c r="BM1109" s="70"/>
      <c r="BN1109" s="70"/>
      <c r="BO1109" s="70"/>
      <c r="BP1109" s="70"/>
      <c r="BQ1109" s="70"/>
      <c r="BR1109" s="70"/>
      <c r="BS1109" s="70"/>
      <c r="BT1109" s="70"/>
      <c r="BU1109" s="70"/>
      <c r="BV1109" s="70"/>
      <c r="BW1109" s="70"/>
      <c r="BX1109" s="70"/>
      <c r="BY1109" s="70"/>
      <c r="BZ1109" s="70"/>
      <c r="CA1109" s="70"/>
      <c r="CB1109" s="70"/>
      <c r="CC1109" s="70"/>
      <c r="CD1109" s="70"/>
      <c r="CE1109" s="70"/>
      <c r="CF1109" s="70"/>
      <c r="CG1109" s="70"/>
      <c r="CH1109" s="70"/>
      <c r="CI1109" s="70"/>
      <c r="CJ1109" s="70"/>
      <c r="CK1109" s="70"/>
      <c r="CL1109" s="70"/>
      <c r="CM1109" s="70"/>
      <c r="CN1109" s="70"/>
      <c r="CO1109" s="70"/>
      <c r="CP1109" s="70"/>
      <c r="CQ1109" s="70"/>
      <c r="CR1109" s="70"/>
      <c r="CS1109" s="70"/>
      <c r="CT1109" s="70"/>
      <c r="CU1109" s="70"/>
      <c r="CV1109" s="70"/>
      <c r="CW1109" s="70"/>
      <c r="CX1109" s="70"/>
      <c r="CY1109" s="70"/>
      <c r="CZ1109" s="70"/>
      <c r="DA1109" s="70"/>
      <c r="DB1109" s="70"/>
      <c r="DC1109" s="70"/>
      <c r="DD1109" s="70"/>
      <c r="DE1109" s="70"/>
      <c r="DF1109" s="70"/>
      <c r="DG1109" s="70"/>
      <c r="DH1109" s="70"/>
      <c r="DI1109" s="70"/>
      <c r="DJ1109" s="70"/>
      <c r="DK1109" s="70"/>
      <c r="DL1109" s="70"/>
      <c r="DM1109" s="70"/>
      <c r="DN1109" s="70"/>
      <c r="DO1109" s="70"/>
      <c r="DP1109" s="70"/>
      <c r="DQ1109" s="70"/>
      <c r="DR1109" s="70"/>
      <c r="DS1109" s="70"/>
      <c r="DT1109" s="70"/>
      <c r="DU1109" s="70"/>
      <c r="DV1109" s="70"/>
      <c r="DW1109" s="70"/>
      <c r="DX1109" s="70"/>
      <c r="DY1109" s="70"/>
      <c r="DZ1109" s="70"/>
      <c r="EA1109" s="70"/>
      <c r="EB1109" s="70"/>
      <c r="EC1109" s="70"/>
      <c r="ED1109" s="70"/>
      <c r="EE1109" s="95"/>
      <c r="EF1109" s="110"/>
      <c r="EG1109" s="110"/>
      <c r="EH1109" s="110"/>
      <c r="EI1109" s="216"/>
      <c r="EJ1109" s="110"/>
      <c r="EK1109" s="110"/>
      <c r="EL1109" s="110"/>
      <c r="EM1109" s="110"/>
      <c r="EN1109" s="110"/>
      <c r="EO1109" s="110"/>
      <c r="EP1109" s="110"/>
      <c r="EQ1109" s="110"/>
      <c r="ER1109" s="110"/>
      <c r="ES1109" s="110"/>
      <c r="ET1109" s="110"/>
      <c r="EU1109" s="110"/>
      <c r="EV1109" s="110"/>
      <c r="EW1109" s="110"/>
      <c r="EX1109" s="110"/>
      <c r="EY1109" s="110"/>
      <c r="EZ1109" s="110"/>
      <c r="FA1109" s="110"/>
      <c r="FB1109" s="110"/>
      <c r="FC1109" s="110"/>
      <c r="FD1109" s="110"/>
      <c r="FE1109" s="110"/>
      <c r="FF1109" s="110"/>
      <c r="FG1109" s="110"/>
      <c r="FH1109" s="110"/>
      <c r="FI1109" s="110"/>
      <c r="FJ1109" s="110"/>
      <c r="FK1109" s="110"/>
      <c r="FL1109" s="110"/>
      <c r="FM1109" s="110"/>
      <c r="FN1109" s="110"/>
      <c r="FO1109" s="110"/>
      <c r="FP1109" s="110"/>
      <c r="FQ1109" s="110"/>
      <c r="FR1109" s="110"/>
      <c r="FS1109" s="110"/>
      <c r="FT1109" s="110"/>
      <c r="FU1109" s="110"/>
      <c r="FV1109" s="110"/>
      <c r="FW1109" s="110"/>
      <c r="FX1109" s="110"/>
      <c r="FY1109" s="110"/>
      <c r="FZ1109" s="110"/>
      <c r="GA1109" s="110"/>
      <c r="GB1109" s="110"/>
      <c r="GC1109" s="110"/>
      <c r="GD1109" s="110"/>
      <c r="GE1109" s="110"/>
      <c r="GF1109" s="110"/>
      <c r="GG1109" s="110"/>
      <c r="GH1109" s="110"/>
      <c r="GI1109" s="110"/>
      <c r="GJ1109" s="110"/>
      <c r="GK1109" s="110"/>
      <c r="GL1109" s="110"/>
      <c r="GM1109" s="110"/>
      <c r="GN1109" s="110"/>
      <c r="GO1109" s="110"/>
      <c r="GP1109" s="110"/>
      <c r="GQ1109" s="110"/>
      <c r="GR1109" s="110"/>
      <c r="GS1109" s="110"/>
      <c r="GT1109" s="110"/>
      <c r="GU1109" s="110"/>
      <c r="GV1109" s="110"/>
      <c r="GW1109" s="110"/>
      <c r="GX1109" s="110"/>
      <c r="GY1109" s="110"/>
      <c r="GZ1109" s="110"/>
      <c r="HA1109" s="110"/>
      <c r="HB1109" s="110"/>
      <c r="HC1109" s="110"/>
      <c r="HD1109" s="110"/>
      <c r="HE1109" s="110"/>
      <c r="HF1109" s="110"/>
      <c r="HG1109" s="110"/>
      <c r="HH1109" s="110"/>
      <c r="HI1109" s="110"/>
      <c r="HJ1109" s="110"/>
      <c r="HK1109" s="110"/>
      <c r="HL1109" s="110"/>
      <c r="HM1109" s="110"/>
      <c r="HN1109" s="110"/>
      <c r="HO1109" s="110"/>
      <c r="HP1109" s="110"/>
      <c r="HQ1109" s="110"/>
      <c r="HR1109" s="110"/>
      <c r="HS1109" s="110"/>
      <c r="HT1109" s="110"/>
      <c r="HU1109" s="110"/>
      <c r="HV1109" s="110"/>
      <c r="HW1109" s="110"/>
      <c r="HX1109" s="110"/>
      <c r="HY1109" s="110"/>
      <c r="HZ1109" s="110"/>
      <c r="IA1109" s="110"/>
      <c r="IB1109" s="110"/>
      <c r="IC1109" s="110"/>
      <c r="ID1109" s="110"/>
      <c r="IE1109" s="110"/>
      <c r="IF1109" s="110"/>
      <c r="IG1109" s="110"/>
      <c r="IH1109" s="110"/>
      <c r="II1109" s="110"/>
      <c r="IJ1109" s="110"/>
      <c r="IK1109" s="110"/>
      <c r="IL1109" s="110"/>
      <c r="IM1109" s="110"/>
      <c r="IN1109" s="110"/>
      <c r="IO1109" s="110"/>
      <c r="IP1109" s="110"/>
    </row>
    <row r="1110" spans="18:250" ht="16.5" hidden="1" customHeight="1">
      <c r="R1110" s="95"/>
      <c r="S1110" s="95"/>
      <c r="T1110" s="95"/>
      <c r="U1110" s="70"/>
      <c r="V1110" s="214"/>
      <c r="W1110" s="70"/>
      <c r="X1110" s="70"/>
      <c r="Y1110" s="70"/>
      <c r="Z1110" s="70"/>
      <c r="AA1110" s="70"/>
      <c r="AB1110" s="70"/>
      <c r="AC1110" s="70"/>
      <c r="AD1110" s="70"/>
      <c r="AE1110" s="70"/>
      <c r="AF1110" s="70"/>
      <c r="AG1110" s="70"/>
      <c r="AH1110" s="70"/>
      <c r="AI1110" s="70"/>
      <c r="AJ1110" s="70"/>
      <c r="AK1110" s="70"/>
      <c r="AL1110" s="70"/>
      <c r="AM1110" s="70"/>
      <c r="AN1110" s="70"/>
      <c r="AO1110" s="70"/>
      <c r="AP1110" s="70"/>
      <c r="AQ1110" s="70"/>
      <c r="AR1110" s="70"/>
      <c r="AS1110" s="70"/>
      <c r="AT1110" s="70"/>
      <c r="AU1110" s="70"/>
      <c r="AV1110" s="70"/>
      <c r="AW1110" s="70"/>
      <c r="AX1110" s="70"/>
      <c r="AY1110" s="70"/>
      <c r="AZ1110" s="70"/>
      <c r="BA1110" s="70"/>
      <c r="BB1110" s="70"/>
      <c r="BC1110" s="70"/>
      <c r="BD1110" s="70"/>
      <c r="BE1110" s="70"/>
      <c r="BF1110" s="70"/>
      <c r="BG1110" s="70"/>
      <c r="BH1110" s="70"/>
      <c r="BI1110" s="70"/>
      <c r="BJ1110" s="70"/>
      <c r="BK1110" s="70"/>
      <c r="BL1110" s="70"/>
      <c r="BM1110" s="70"/>
      <c r="BN1110" s="70"/>
      <c r="BO1110" s="70"/>
      <c r="BP1110" s="70"/>
      <c r="BQ1110" s="70"/>
      <c r="BR1110" s="70"/>
      <c r="BS1110" s="70"/>
      <c r="BT1110" s="70"/>
      <c r="BU1110" s="70"/>
      <c r="BV1110" s="70"/>
      <c r="BW1110" s="70"/>
      <c r="BX1110" s="70"/>
      <c r="BY1110" s="70"/>
      <c r="BZ1110" s="70"/>
      <c r="CA1110" s="70"/>
      <c r="CB1110" s="70"/>
      <c r="CC1110" s="70"/>
      <c r="CD1110" s="70"/>
      <c r="CE1110" s="70"/>
      <c r="CF1110" s="70"/>
      <c r="CG1110" s="70"/>
      <c r="CH1110" s="70"/>
      <c r="CI1110" s="70"/>
      <c r="CJ1110" s="70"/>
      <c r="CK1110" s="70"/>
      <c r="CL1110" s="70"/>
      <c r="CM1110" s="70"/>
      <c r="CN1110" s="70"/>
      <c r="CO1110" s="70"/>
      <c r="CP1110" s="70"/>
      <c r="CQ1110" s="70"/>
      <c r="CR1110" s="70"/>
      <c r="CS1110" s="70"/>
      <c r="CT1110" s="70"/>
      <c r="CU1110" s="70"/>
      <c r="CV1110" s="70"/>
      <c r="CW1110" s="70"/>
      <c r="CX1110" s="70"/>
      <c r="CY1110" s="70"/>
      <c r="CZ1110" s="70"/>
      <c r="DA1110" s="70"/>
      <c r="DB1110" s="70"/>
      <c r="DC1110" s="70"/>
      <c r="DD1110" s="70"/>
      <c r="DE1110" s="70"/>
      <c r="DF1110" s="70"/>
      <c r="DG1110" s="70"/>
      <c r="DH1110" s="70"/>
      <c r="DI1110" s="70"/>
      <c r="DJ1110" s="70"/>
      <c r="DK1110" s="70"/>
      <c r="DL1110" s="70"/>
      <c r="DM1110" s="70"/>
      <c r="DN1110" s="70"/>
      <c r="DO1110" s="70"/>
      <c r="DP1110" s="70"/>
      <c r="DQ1110" s="70"/>
      <c r="DR1110" s="70"/>
      <c r="DS1110" s="70"/>
      <c r="DT1110" s="70"/>
      <c r="DU1110" s="70"/>
      <c r="DV1110" s="70"/>
      <c r="DW1110" s="70"/>
      <c r="DX1110" s="70"/>
      <c r="DY1110" s="70"/>
      <c r="DZ1110" s="70"/>
      <c r="EA1110" s="70"/>
      <c r="EB1110" s="70"/>
      <c r="EC1110" s="70"/>
      <c r="ED1110" s="70"/>
      <c r="EE1110" s="95"/>
      <c r="EF1110" s="110"/>
      <c r="EG1110" s="110"/>
      <c r="EH1110" s="110"/>
      <c r="EI1110" s="216"/>
      <c r="EJ1110" s="110"/>
      <c r="EK1110" s="110"/>
      <c r="EL1110" s="110"/>
      <c r="EM1110" s="110"/>
      <c r="EN1110" s="110"/>
      <c r="EO1110" s="110"/>
      <c r="EP1110" s="110"/>
      <c r="EQ1110" s="110"/>
      <c r="ER1110" s="110"/>
      <c r="ES1110" s="110"/>
      <c r="ET1110" s="110"/>
      <c r="EU1110" s="110"/>
      <c r="EV1110" s="110"/>
      <c r="EW1110" s="110"/>
      <c r="EX1110" s="110"/>
      <c r="EY1110" s="110"/>
      <c r="EZ1110" s="110"/>
      <c r="FA1110" s="110"/>
      <c r="FB1110" s="110"/>
      <c r="FC1110" s="110"/>
      <c r="FD1110" s="110"/>
      <c r="FE1110" s="110"/>
      <c r="FF1110" s="110"/>
      <c r="FG1110" s="110"/>
      <c r="FH1110" s="110"/>
      <c r="FI1110" s="110"/>
      <c r="FJ1110" s="110"/>
      <c r="FK1110" s="110"/>
      <c r="FL1110" s="110"/>
      <c r="FM1110" s="110"/>
      <c r="FN1110" s="110"/>
      <c r="FO1110" s="110"/>
      <c r="FP1110" s="110"/>
      <c r="FQ1110" s="110"/>
      <c r="FR1110" s="110"/>
      <c r="FS1110" s="110"/>
      <c r="FT1110" s="110"/>
      <c r="FU1110" s="110"/>
      <c r="FV1110" s="110"/>
      <c r="FW1110" s="110"/>
      <c r="FX1110" s="110"/>
      <c r="FY1110" s="110"/>
      <c r="FZ1110" s="110"/>
      <c r="GA1110" s="110"/>
      <c r="GB1110" s="110"/>
      <c r="GC1110" s="110"/>
      <c r="GD1110" s="110"/>
      <c r="GE1110" s="110"/>
      <c r="GF1110" s="110"/>
      <c r="GG1110" s="110"/>
      <c r="GH1110" s="110"/>
      <c r="GI1110" s="110"/>
      <c r="GJ1110" s="110"/>
      <c r="GK1110" s="110"/>
      <c r="GL1110" s="110"/>
      <c r="GM1110" s="110"/>
      <c r="GN1110" s="110"/>
      <c r="GO1110" s="110"/>
      <c r="GP1110" s="110"/>
      <c r="GQ1110" s="110"/>
      <c r="GR1110" s="110"/>
      <c r="GS1110" s="110"/>
      <c r="GT1110" s="110"/>
      <c r="GU1110" s="110"/>
      <c r="GV1110" s="110"/>
      <c r="GW1110" s="110"/>
      <c r="GX1110" s="110"/>
      <c r="GY1110" s="110"/>
      <c r="GZ1110" s="110"/>
      <c r="HA1110" s="110"/>
      <c r="HB1110" s="110"/>
      <c r="HC1110" s="110"/>
      <c r="HD1110" s="110"/>
      <c r="HE1110" s="110"/>
      <c r="HF1110" s="110"/>
      <c r="HG1110" s="110"/>
      <c r="HH1110" s="110"/>
      <c r="HI1110" s="110"/>
      <c r="HJ1110" s="110"/>
      <c r="HK1110" s="110"/>
      <c r="HL1110" s="110"/>
      <c r="HM1110" s="110"/>
      <c r="HN1110" s="110"/>
      <c r="HO1110" s="110"/>
      <c r="HP1110" s="110"/>
      <c r="HQ1110" s="110"/>
      <c r="HR1110" s="110"/>
      <c r="HS1110" s="110"/>
      <c r="HT1110" s="110"/>
      <c r="HU1110" s="110"/>
      <c r="HV1110" s="110"/>
      <c r="HW1110" s="110"/>
      <c r="HX1110" s="110"/>
      <c r="HY1110" s="110"/>
      <c r="HZ1110" s="110"/>
      <c r="IA1110" s="110"/>
      <c r="IB1110" s="110"/>
      <c r="IC1110" s="110"/>
      <c r="ID1110" s="110"/>
      <c r="IE1110" s="110"/>
      <c r="IF1110" s="110"/>
      <c r="IG1110" s="110"/>
      <c r="IH1110" s="110"/>
      <c r="II1110" s="110"/>
      <c r="IJ1110" s="110"/>
      <c r="IK1110" s="110"/>
      <c r="IL1110" s="110"/>
      <c r="IM1110" s="110"/>
      <c r="IN1110" s="110"/>
      <c r="IO1110" s="110"/>
      <c r="IP1110" s="110"/>
    </row>
    <row r="1111" spans="18:250" ht="16.5" hidden="1" customHeight="1">
      <c r="R1111" s="95"/>
      <c r="S1111" s="95"/>
      <c r="T1111" s="95"/>
      <c r="U1111" s="70"/>
      <c r="V1111" s="214"/>
      <c r="W1111" s="70"/>
      <c r="X1111" s="70"/>
      <c r="Y1111" s="70"/>
      <c r="Z1111" s="70"/>
      <c r="AA1111" s="70"/>
      <c r="AB1111" s="70"/>
      <c r="AC1111" s="70"/>
      <c r="AD1111" s="70"/>
      <c r="AE1111" s="70"/>
      <c r="AF1111" s="70"/>
      <c r="AG1111" s="70"/>
      <c r="AH1111" s="70"/>
      <c r="AI1111" s="70"/>
      <c r="AJ1111" s="70"/>
      <c r="AK1111" s="70"/>
      <c r="AL1111" s="70"/>
      <c r="AM1111" s="70"/>
      <c r="AN1111" s="70"/>
      <c r="AO1111" s="70"/>
      <c r="AP1111" s="70"/>
      <c r="AQ1111" s="70"/>
      <c r="AR1111" s="70"/>
      <c r="AS1111" s="70"/>
      <c r="AT1111" s="70"/>
      <c r="AU1111" s="70"/>
      <c r="AV1111" s="70"/>
      <c r="AW1111" s="70"/>
      <c r="AX1111" s="70"/>
      <c r="AY1111" s="70"/>
      <c r="AZ1111" s="70"/>
      <c r="BA1111" s="70"/>
      <c r="BB1111" s="70"/>
      <c r="BC1111" s="70"/>
      <c r="BD1111" s="70"/>
      <c r="BE1111" s="70"/>
      <c r="BF1111" s="70"/>
      <c r="BG1111" s="70"/>
      <c r="BH1111" s="70"/>
      <c r="BI1111" s="70"/>
      <c r="BJ1111" s="70"/>
      <c r="BK1111" s="70"/>
      <c r="BL1111" s="70"/>
      <c r="BM1111" s="70"/>
      <c r="BN1111" s="70"/>
      <c r="BO1111" s="70"/>
      <c r="BP1111" s="70"/>
      <c r="BQ1111" s="70"/>
      <c r="BR1111" s="70"/>
      <c r="BS1111" s="70"/>
      <c r="BT1111" s="70"/>
      <c r="BU1111" s="70"/>
      <c r="BV1111" s="70"/>
      <c r="BW1111" s="70"/>
      <c r="BX1111" s="70"/>
      <c r="BY1111" s="70"/>
      <c r="BZ1111" s="70"/>
      <c r="CA1111" s="70"/>
      <c r="CB1111" s="70"/>
      <c r="CC1111" s="70"/>
      <c r="CD1111" s="70"/>
      <c r="CE1111" s="70"/>
      <c r="CF1111" s="70"/>
      <c r="CG1111" s="70"/>
      <c r="CH1111" s="70"/>
      <c r="CI1111" s="70"/>
      <c r="CJ1111" s="70"/>
      <c r="CK1111" s="70"/>
      <c r="CL1111" s="70"/>
      <c r="CM1111" s="70"/>
      <c r="CN1111" s="70"/>
      <c r="CO1111" s="70"/>
      <c r="CP1111" s="70"/>
      <c r="CQ1111" s="70"/>
      <c r="CR1111" s="70"/>
      <c r="CS1111" s="70"/>
      <c r="CT1111" s="70"/>
      <c r="CU1111" s="70"/>
      <c r="CV1111" s="70"/>
      <c r="CW1111" s="70"/>
      <c r="CX1111" s="70"/>
      <c r="CY1111" s="70"/>
      <c r="CZ1111" s="70"/>
      <c r="DA1111" s="70"/>
      <c r="DB1111" s="70"/>
      <c r="DC1111" s="70"/>
      <c r="DD1111" s="70"/>
      <c r="DE1111" s="70"/>
      <c r="DF1111" s="70"/>
      <c r="DG1111" s="70"/>
      <c r="DH1111" s="70"/>
      <c r="DI1111" s="70"/>
      <c r="DJ1111" s="70"/>
      <c r="DK1111" s="70"/>
      <c r="DL1111" s="70"/>
      <c r="DM1111" s="70"/>
      <c r="DN1111" s="70"/>
      <c r="DO1111" s="70"/>
      <c r="DP1111" s="70"/>
      <c r="DQ1111" s="70"/>
      <c r="DR1111" s="70"/>
      <c r="DS1111" s="70"/>
      <c r="DT1111" s="70"/>
      <c r="DU1111" s="70"/>
      <c r="DV1111" s="70"/>
      <c r="DW1111" s="70"/>
      <c r="DX1111" s="70"/>
      <c r="DY1111" s="70"/>
      <c r="DZ1111" s="70"/>
      <c r="EA1111" s="70"/>
      <c r="EB1111" s="70"/>
      <c r="EC1111" s="70"/>
      <c r="ED1111" s="70"/>
      <c r="EE1111" s="95"/>
      <c r="EF1111" s="110"/>
      <c r="EG1111" s="110"/>
      <c r="EH1111" s="110"/>
      <c r="EI1111" s="216"/>
      <c r="EJ1111" s="110"/>
      <c r="EK1111" s="110"/>
      <c r="EL1111" s="110"/>
      <c r="EM1111" s="110"/>
      <c r="EN1111" s="110"/>
      <c r="EO1111" s="110"/>
      <c r="EP1111" s="110"/>
      <c r="EQ1111" s="110"/>
      <c r="ER1111" s="110"/>
      <c r="ES1111" s="110"/>
      <c r="ET1111" s="110"/>
      <c r="EU1111" s="110"/>
      <c r="EV1111" s="110"/>
      <c r="EW1111" s="110"/>
      <c r="EX1111" s="110"/>
      <c r="EY1111" s="110"/>
      <c r="EZ1111" s="110"/>
      <c r="FA1111" s="110"/>
      <c r="FB1111" s="110"/>
      <c r="FC1111" s="110"/>
      <c r="FD1111" s="110"/>
      <c r="FE1111" s="110"/>
      <c r="FF1111" s="110"/>
      <c r="FG1111" s="110"/>
      <c r="FH1111" s="110"/>
      <c r="FI1111" s="110"/>
      <c r="FJ1111" s="110"/>
      <c r="FK1111" s="110"/>
      <c r="FL1111" s="110"/>
      <c r="FM1111" s="110"/>
      <c r="FN1111" s="110"/>
      <c r="FO1111" s="110"/>
      <c r="FP1111" s="110"/>
      <c r="FQ1111" s="110"/>
      <c r="FR1111" s="110"/>
      <c r="FS1111" s="110"/>
      <c r="FT1111" s="110"/>
      <c r="FU1111" s="110"/>
      <c r="FV1111" s="110"/>
      <c r="FW1111" s="110"/>
      <c r="FX1111" s="110"/>
      <c r="FY1111" s="110"/>
      <c r="FZ1111" s="110"/>
      <c r="GA1111" s="110"/>
      <c r="GB1111" s="110"/>
      <c r="GC1111" s="110"/>
      <c r="GD1111" s="110"/>
      <c r="GE1111" s="110"/>
      <c r="GF1111" s="110"/>
      <c r="GG1111" s="110"/>
      <c r="GH1111" s="110"/>
      <c r="GI1111" s="110"/>
      <c r="GJ1111" s="110"/>
      <c r="GK1111" s="110"/>
      <c r="GL1111" s="110"/>
      <c r="GM1111" s="110"/>
      <c r="GN1111" s="110"/>
      <c r="GO1111" s="110"/>
      <c r="GP1111" s="110"/>
      <c r="GQ1111" s="110"/>
      <c r="GR1111" s="110"/>
      <c r="GS1111" s="110"/>
      <c r="GT1111" s="110"/>
      <c r="GU1111" s="110"/>
      <c r="GV1111" s="110"/>
      <c r="GW1111" s="110"/>
      <c r="GX1111" s="110"/>
      <c r="GY1111" s="110"/>
      <c r="GZ1111" s="110"/>
      <c r="HA1111" s="110"/>
      <c r="HB1111" s="110"/>
      <c r="HC1111" s="110"/>
      <c r="HD1111" s="110"/>
      <c r="HE1111" s="110"/>
      <c r="HF1111" s="110"/>
      <c r="HG1111" s="110"/>
      <c r="HH1111" s="110"/>
      <c r="HI1111" s="110"/>
      <c r="HJ1111" s="110"/>
      <c r="HK1111" s="110"/>
      <c r="HL1111" s="110"/>
      <c r="HM1111" s="110"/>
      <c r="HN1111" s="110"/>
      <c r="HO1111" s="110"/>
      <c r="HP1111" s="110"/>
      <c r="HQ1111" s="110"/>
      <c r="HR1111" s="110"/>
      <c r="HS1111" s="110"/>
      <c r="HT1111" s="110"/>
      <c r="HU1111" s="110"/>
      <c r="HV1111" s="110"/>
      <c r="HW1111" s="110"/>
      <c r="HX1111" s="110"/>
      <c r="HY1111" s="110"/>
      <c r="HZ1111" s="110"/>
      <c r="IA1111" s="110"/>
      <c r="IB1111" s="110"/>
      <c r="IC1111" s="110"/>
      <c r="ID1111" s="110"/>
      <c r="IE1111" s="110"/>
      <c r="IF1111" s="110"/>
      <c r="IG1111" s="110"/>
      <c r="IH1111" s="110"/>
      <c r="II1111" s="110"/>
      <c r="IJ1111" s="110"/>
      <c r="IK1111" s="110"/>
      <c r="IL1111" s="110"/>
      <c r="IM1111" s="110"/>
      <c r="IN1111" s="110"/>
      <c r="IO1111" s="110"/>
      <c r="IP1111" s="110"/>
    </row>
    <row r="1112" spans="18:250" ht="16.5" hidden="1" customHeight="1">
      <c r="R1112" s="95"/>
      <c r="S1112" s="95"/>
      <c r="T1112" s="95"/>
      <c r="U1112" s="70"/>
      <c r="V1112" s="214"/>
      <c r="W1112" s="70"/>
      <c r="X1112" s="70"/>
      <c r="Y1112" s="70"/>
      <c r="Z1112" s="70"/>
      <c r="AA1112" s="70"/>
      <c r="AB1112" s="70"/>
      <c r="AC1112" s="70"/>
      <c r="AD1112" s="70"/>
      <c r="AE1112" s="70"/>
      <c r="AF1112" s="70"/>
      <c r="AG1112" s="70"/>
      <c r="AH1112" s="70"/>
      <c r="AI1112" s="70"/>
      <c r="AJ1112" s="70"/>
      <c r="AK1112" s="70"/>
      <c r="AL1112" s="70"/>
      <c r="AM1112" s="70"/>
      <c r="AN1112" s="70"/>
      <c r="AO1112" s="70"/>
      <c r="AP1112" s="70"/>
      <c r="AQ1112" s="70"/>
      <c r="AR1112" s="70"/>
      <c r="AS1112" s="70"/>
      <c r="AT1112" s="70"/>
      <c r="AU1112" s="70"/>
      <c r="AV1112" s="70"/>
      <c r="AW1112" s="70"/>
      <c r="AX1112" s="70"/>
      <c r="AY1112" s="70"/>
      <c r="AZ1112" s="70"/>
      <c r="BA1112" s="70"/>
      <c r="BB1112" s="70"/>
      <c r="BC1112" s="70"/>
      <c r="BD1112" s="70"/>
      <c r="BE1112" s="70"/>
      <c r="BF1112" s="70"/>
      <c r="BG1112" s="70"/>
      <c r="BH1112" s="70"/>
      <c r="BI1112" s="70"/>
      <c r="BJ1112" s="70"/>
      <c r="BK1112" s="70"/>
      <c r="BL1112" s="70"/>
      <c r="BM1112" s="70"/>
      <c r="BN1112" s="70"/>
      <c r="BO1112" s="70"/>
      <c r="BP1112" s="70"/>
      <c r="BQ1112" s="70"/>
      <c r="BR1112" s="70"/>
      <c r="BS1112" s="70"/>
      <c r="BT1112" s="70"/>
      <c r="BU1112" s="70"/>
      <c r="BV1112" s="70"/>
      <c r="BW1112" s="70"/>
      <c r="BX1112" s="70"/>
      <c r="BY1112" s="70"/>
      <c r="BZ1112" s="70"/>
      <c r="CA1112" s="70"/>
      <c r="CB1112" s="70"/>
      <c r="CC1112" s="70"/>
      <c r="CD1112" s="70"/>
      <c r="CE1112" s="70"/>
      <c r="CF1112" s="70"/>
      <c r="CG1112" s="70"/>
      <c r="CH1112" s="70"/>
      <c r="CI1112" s="70"/>
      <c r="CJ1112" s="70"/>
      <c r="CK1112" s="70"/>
      <c r="CL1112" s="70"/>
      <c r="CM1112" s="70"/>
      <c r="CN1112" s="70"/>
      <c r="CO1112" s="70"/>
      <c r="CP1112" s="70"/>
      <c r="CQ1112" s="70"/>
      <c r="CR1112" s="70"/>
      <c r="CS1112" s="70"/>
      <c r="CT1112" s="70"/>
      <c r="CU1112" s="70"/>
      <c r="CV1112" s="70"/>
      <c r="CW1112" s="70"/>
      <c r="CX1112" s="70"/>
      <c r="CY1112" s="70"/>
      <c r="CZ1112" s="70"/>
      <c r="DA1112" s="70"/>
      <c r="DB1112" s="70"/>
      <c r="DC1112" s="70"/>
      <c r="DD1112" s="70"/>
      <c r="DE1112" s="70"/>
      <c r="DF1112" s="70"/>
      <c r="DG1112" s="70"/>
      <c r="DH1112" s="70"/>
      <c r="DI1112" s="70"/>
      <c r="DJ1112" s="70"/>
      <c r="DK1112" s="70"/>
      <c r="DL1112" s="70"/>
      <c r="DM1112" s="70"/>
      <c r="DN1112" s="70"/>
      <c r="DO1112" s="70"/>
      <c r="DP1112" s="70"/>
      <c r="DQ1112" s="70"/>
      <c r="DR1112" s="70"/>
      <c r="DS1112" s="70"/>
      <c r="DT1112" s="70"/>
      <c r="DU1112" s="70"/>
      <c r="DV1112" s="70"/>
      <c r="DW1112" s="70"/>
      <c r="DX1112" s="70"/>
      <c r="DY1112" s="70"/>
      <c r="DZ1112" s="70"/>
      <c r="EA1112" s="70"/>
      <c r="EB1112" s="70"/>
      <c r="EC1112" s="70"/>
      <c r="ED1112" s="70"/>
      <c r="EE1112" s="95"/>
      <c r="EF1112" s="110"/>
      <c r="EG1112" s="110"/>
      <c r="EH1112" s="110"/>
      <c r="EI1112" s="216"/>
      <c r="EJ1112" s="110"/>
      <c r="EK1112" s="110"/>
      <c r="EL1112" s="110"/>
      <c r="EM1112" s="110"/>
      <c r="EN1112" s="110"/>
      <c r="EO1112" s="110"/>
      <c r="EP1112" s="110"/>
      <c r="EQ1112" s="110"/>
      <c r="ER1112" s="110"/>
      <c r="ES1112" s="110"/>
      <c r="ET1112" s="110"/>
      <c r="EU1112" s="110"/>
      <c r="EV1112" s="110"/>
      <c r="EW1112" s="110"/>
      <c r="EX1112" s="110"/>
      <c r="EY1112" s="110"/>
      <c r="EZ1112" s="110"/>
      <c r="FA1112" s="110"/>
      <c r="FB1112" s="110"/>
      <c r="FC1112" s="110"/>
      <c r="FD1112" s="110"/>
      <c r="FE1112" s="110"/>
      <c r="FF1112" s="110"/>
      <c r="FG1112" s="110"/>
      <c r="FH1112" s="110"/>
      <c r="FI1112" s="110"/>
      <c r="FJ1112" s="110"/>
      <c r="FK1112" s="110"/>
      <c r="FL1112" s="110"/>
      <c r="FM1112" s="110"/>
      <c r="FN1112" s="110"/>
      <c r="FO1112" s="110"/>
      <c r="FP1112" s="110"/>
      <c r="FQ1112" s="110"/>
      <c r="FR1112" s="110"/>
      <c r="FS1112" s="110"/>
      <c r="FT1112" s="110"/>
      <c r="FU1112" s="110"/>
      <c r="FV1112" s="110"/>
      <c r="FW1112" s="110"/>
      <c r="FX1112" s="110"/>
      <c r="FY1112" s="110"/>
      <c r="FZ1112" s="110"/>
      <c r="GA1112" s="110"/>
      <c r="GB1112" s="110"/>
      <c r="GC1112" s="110"/>
      <c r="GD1112" s="110"/>
      <c r="GE1112" s="110"/>
      <c r="GF1112" s="110"/>
      <c r="GG1112" s="110"/>
      <c r="GH1112" s="110"/>
      <c r="GI1112" s="110"/>
      <c r="GJ1112" s="110"/>
      <c r="GK1112" s="110"/>
      <c r="GL1112" s="110"/>
      <c r="GM1112" s="110"/>
      <c r="GN1112" s="110"/>
      <c r="GO1112" s="110"/>
      <c r="GP1112" s="110"/>
      <c r="GQ1112" s="110"/>
      <c r="GR1112" s="110"/>
      <c r="GS1112" s="110"/>
      <c r="GT1112" s="110"/>
      <c r="GU1112" s="110"/>
      <c r="GV1112" s="110"/>
      <c r="GW1112" s="110"/>
      <c r="GX1112" s="110"/>
      <c r="GY1112" s="110"/>
      <c r="GZ1112" s="110"/>
      <c r="HA1112" s="110"/>
      <c r="HB1112" s="110"/>
      <c r="HC1112" s="110"/>
      <c r="HD1112" s="110"/>
      <c r="HE1112" s="110"/>
      <c r="HF1112" s="110"/>
      <c r="HG1112" s="110"/>
      <c r="HH1112" s="110"/>
      <c r="HI1112" s="110"/>
      <c r="HJ1112" s="110"/>
      <c r="HK1112" s="110"/>
      <c r="HL1112" s="110"/>
      <c r="HM1112" s="110"/>
      <c r="HN1112" s="110"/>
      <c r="HO1112" s="110"/>
      <c r="HP1112" s="110"/>
      <c r="HQ1112" s="110"/>
      <c r="HR1112" s="110"/>
      <c r="HS1112" s="110"/>
      <c r="HT1112" s="110"/>
      <c r="HU1112" s="110"/>
      <c r="HV1112" s="110"/>
      <c r="HW1112" s="110"/>
      <c r="HX1112" s="110"/>
      <c r="HY1112" s="110"/>
      <c r="HZ1112" s="110"/>
      <c r="IA1112" s="110"/>
      <c r="IB1112" s="110"/>
      <c r="IC1112" s="110"/>
      <c r="ID1112" s="110"/>
      <c r="IE1112" s="110"/>
      <c r="IF1112" s="110"/>
      <c r="IG1112" s="110"/>
      <c r="IH1112" s="110"/>
      <c r="II1112" s="110"/>
      <c r="IJ1112" s="110"/>
      <c r="IK1112" s="110"/>
      <c r="IL1112" s="110"/>
      <c r="IM1112" s="110"/>
      <c r="IN1112" s="110"/>
      <c r="IO1112" s="110"/>
      <c r="IP1112" s="110"/>
    </row>
    <row r="1113" spans="18:250" ht="16.5" hidden="1" customHeight="1">
      <c r="R1113" s="95"/>
      <c r="S1113" s="95"/>
      <c r="T1113" s="95"/>
      <c r="U1113" s="70"/>
      <c r="V1113" s="214"/>
      <c r="W1113" s="70"/>
      <c r="X1113" s="70"/>
      <c r="Y1113" s="70"/>
      <c r="Z1113" s="70"/>
      <c r="AA1113" s="70"/>
      <c r="AB1113" s="70"/>
      <c r="AC1113" s="70"/>
      <c r="AD1113" s="70"/>
      <c r="AE1113" s="70"/>
      <c r="AF1113" s="70"/>
      <c r="AG1113" s="70"/>
      <c r="AH1113" s="70"/>
      <c r="AI1113" s="70"/>
      <c r="AJ1113" s="70"/>
      <c r="AK1113" s="70"/>
      <c r="AL1113" s="70"/>
      <c r="AM1113" s="70"/>
      <c r="AN1113" s="70"/>
      <c r="AO1113" s="70"/>
      <c r="AP1113" s="70"/>
      <c r="AQ1113" s="70"/>
      <c r="AR1113" s="70"/>
      <c r="AS1113" s="70"/>
      <c r="AT1113" s="70"/>
      <c r="AU1113" s="70"/>
      <c r="AV1113" s="70"/>
      <c r="AW1113" s="70"/>
      <c r="AX1113" s="70"/>
      <c r="AY1113" s="70"/>
      <c r="AZ1113" s="70"/>
      <c r="BA1113" s="70"/>
      <c r="BB1113" s="70"/>
      <c r="BC1113" s="70"/>
      <c r="BD1113" s="70"/>
      <c r="BE1113" s="70"/>
      <c r="BF1113" s="70"/>
      <c r="BG1113" s="70"/>
      <c r="BH1113" s="70"/>
      <c r="BI1113" s="70"/>
      <c r="BJ1113" s="70"/>
      <c r="BK1113" s="70"/>
      <c r="BL1113" s="70"/>
      <c r="BM1113" s="70"/>
      <c r="BN1113" s="70"/>
      <c r="BO1113" s="70"/>
      <c r="BP1113" s="70"/>
      <c r="BQ1113" s="70"/>
      <c r="BR1113" s="70"/>
      <c r="BS1113" s="70"/>
      <c r="BT1113" s="70"/>
      <c r="BU1113" s="70"/>
      <c r="BV1113" s="70"/>
      <c r="BW1113" s="70"/>
      <c r="BX1113" s="70"/>
      <c r="BY1113" s="70"/>
      <c r="BZ1113" s="70"/>
      <c r="CA1113" s="70"/>
      <c r="CB1113" s="70"/>
      <c r="CC1113" s="70"/>
      <c r="CD1113" s="70"/>
      <c r="CE1113" s="70"/>
      <c r="CF1113" s="70"/>
      <c r="CG1113" s="70"/>
      <c r="CH1113" s="70"/>
      <c r="CI1113" s="70"/>
      <c r="CJ1113" s="70"/>
      <c r="CK1113" s="70"/>
      <c r="CL1113" s="70"/>
      <c r="CM1113" s="70"/>
      <c r="CN1113" s="70"/>
      <c r="CO1113" s="70"/>
      <c r="CP1113" s="70"/>
      <c r="CQ1113" s="70"/>
      <c r="CR1113" s="70"/>
      <c r="CS1113" s="70"/>
      <c r="CT1113" s="70"/>
      <c r="CU1113" s="70"/>
      <c r="CV1113" s="70"/>
      <c r="CW1113" s="70"/>
      <c r="CX1113" s="70"/>
      <c r="CY1113" s="70"/>
      <c r="CZ1113" s="70"/>
      <c r="DA1113" s="70"/>
      <c r="DB1113" s="70"/>
      <c r="DC1113" s="70"/>
      <c r="DD1113" s="70"/>
      <c r="DE1113" s="70"/>
      <c r="DF1113" s="70"/>
      <c r="DG1113" s="70"/>
      <c r="DH1113" s="70"/>
      <c r="DI1113" s="70"/>
      <c r="DJ1113" s="70"/>
      <c r="DK1113" s="70"/>
      <c r="DL1113" s="70"/>
      <c r="DM1113" s="70"/>
      <c r="DN1113" s="70"/>
      <c r="DO1113" s="70"/>
      <c r="DP1113" s="70"/>
      <c r="DQ1113" s="70"/>
      <c r="DR1113" s="70"/>
      <c r="DS1113" s="70"/>
      <c r="DT1113" s="70"/>
      <c r="DU1113" s="70"/>
      <c r="DV1113" s="70"/>
      <c r="DW1113" s="70"/>
      <c r="DX1113" s="70"/>
      <c r="DY1113" s="70"/>
      <c r="DZ1113" s="70"/>
      <c r="EA1113" s="70"/>
      <c r="EB1113" s="70"/>
      <c r="EC1113" s="70"/>
      <c r="ED1113" s="70"/>
      <c r="EE1113" s="95"/>
      <c r="EF1113" s="110"/>
      <c r="EG1113" s="110"/>
      <c r="EH1113" s="110"/>
      <c r="EI1113" s="216"/>
      <c r="EJ1113" s="110"/>
      <c r="EK1113" s="110"/>
      <c r="EL1113" s="110"/>
      <c r="EM1113" s="110"/>
      <c r="EN1113" s="110"/>
      <c r="EO1113" s="110"/>
      <c r="EP1113" s="110"/>
      <c r="EQ1113" s="110"/>
      <c r="ER1113" s="110"/>
      <c r="ES1113" s="110"/>
      <c r="ET1113" s="110"/>
      <c r="EU1113" s="110"/>
      <c r="EV1113" s="110"/>
      <c r="EW1113" s="110"/>
      <c r="EX1113" s="110"/>
      <c r="EY1113" s="110"/>
      <c r="EZ1113" s="110"/>
      <c r="FA1113" s="110"/>
      <c r="FB1113" s="110"/>
      <c r="FC1113" s="110"/>
      <c r="FD1113" s="110"/>
      <c r="FE1113" s="110"/>
      <c r="FF1113" s="110"/>
      <c r="FG1113" s="110"/>
      <c r="FH1113" s="110"/>
      <c r="FI1113" s="110"/>
      <c r="FJ1113" s="110"/>
      <c r="FK1113" s="110"/>
      <c r="FL1113" s="110"/>
      <c r="FM1113" s="110"/>
      <c r="FN1113" s="110"/>
      <c r="FO1113" s="110"/>
      <c r="FP1113" s="110"/>
      <c r="FQ1113" s="110"/>
      <c r="FR1113" s="110"/>
      <c r="FS1113" s="110"/>
      <c r="FT1113" s="110"/>
      <c r="FU1113" s="110"/>
      <c r="FV1113" s="110"/>
      <c r="FW1113" s="110"/>
      <c r="FX1113" s="110"/>
      <c r="FY1113" s="110"/>
      <c r="FZ1113" s="110"/>
      <c r="GA1113" s="110"/>
      <c r="GB1113" s="110"/>
      <c r="GC1113" s="110"/>
      <c r="GD1113" s="110"/>
      <c r="GE1113" s="110"/>
      <c r="GF1113" s="110"/>
      <c r="GG1113" s="110"/>
      <c r="GH1113" s="110"/>
      <c r="GI1113" s="110"/>
      <c r="GJ1113" s="110"/>
      <c r="GK1113" s="110"/>
      <c r="GL1113" s="110"/>
      <c r="GM1113" s="110"/>
      <c r="GN1113" s="110"/>
      <c r="GO1113" s="110"/>
      <c r="GP1113" s="110"/>
      <c r="GQ1113" s="110"/>
      <c r="GR1113" s="110"/>
      <c r="GS1113" s="110"/>
      <c r="GT1113" s="110"/>
      <c r="GU1113" s="110"/>
      <c r="GV1113" s="110"/>
      <c r="GW1113" s="110"/>
      <c r="GX1113" s="110"/>
      <c r="GY1113" s="110"/>
      <c r="GZ1113" s="110"/>
      <c r="HA1113" s="110"/>
      <c r="HB1113" s="110"/>
      <c r="HC1113" s="110"/>
      <c r="HD1113" s="110"/>
      <c r="HE1113" s="110"/>
      <c r="HF1113" s="110"/>
      <c r="HG1113" s="110"/>
      <c r="HH1113" s="110"/>
      <c r="HI1113" s="110"/>
      <c r="HJ1113" s="110"/>
      <c r="HK1113" s="110"/>
      <c r="HL1113" s="110"/>
      <c r="HM1113" s="110"/>
      <c r="HN1113" s="110"/>
      <c r="HO1113" s="110"/>
      <c r="HP1113" s="110"/>
      <c r="HQ1113" s="110"/>
      <c r="HR1113" s="110"/>
      <c r="HS1113" s="110"/>
      <c r="HT1113" s="110"/>
      <c r="HU1113" s="110"/>
      <c r="HV1113" s="110"/>
      <c r="HW1113" s="110"/>
      <c r="HX1113" s="110"/>
      <c r="HY1113" s="110"/>
      <c r="HZ1113" s="110"/>
      <c r="IA1113" s="110"/>
      <c r="IB1113" s="110"/>
      <c r="IC1113" s="110"/>
      <c r="ID1113" s="110"/>
      <c r="IE1113" s="110"/>
      <c r="IF1113" s="110"/>
      <c r="IG1113" s="110"/>
      <c r="IH1113" s="110"/>
      <c r="II1113" s="110"/>
      <c r="IJ1113" s="110"/>
      <c r="IK1113" s="110"/>
      <c r="IL1113" s="110"/>
      <c r="IM1113" s="110"/>
      <c r="IN1113" s="110"/>
      <c r="IO1113" s="110"/>
      <c r="IP1113" s="110"/>
    </row>
    <row r="1114" spans="18:250" ht="16.5" hidden="1" customHeight="1">
      <c r="R1114" s="95"/>
      <c r="S1114" s="95"/>
      <c r="T1114" s="95"/>
      <c r="U1114" s="70"/>
      <c r="V1114" s="214"/>
      <c r="W1114" s="70"/>
      <c r="X1114" s="70"/>
      <c r="Y1114" s="70"/>
      <c r="Z1114" s="70"/>
      <c r="AA1114" s="70"/>
      <c r="AB1114" s="70"/>
      <c r="AC1114" s="70"/>
      <c r="AD1114" s="70"/>
      <c r="AE1114" s="70"/>
      <c r="AF1114" s="70"/>
      <c r="AG1114" s="70"/>
      <c r="AH1114" s="70"/>
      <c r="AI1114" s="70"/>
      <c r="AJ1114" s="70"/>
      <c r="AK1114" s="70"/>
      <c r="AL1114" s="70"/>
      <c r="AM1114" s="70"/>
      <c r="AN1114" s="70"/>
      <c r="AO1114" s="70"/>
      <c r="AP1114" s="70"/>
      <c r="AQ1114" s="70"/>
      <c r="AR1114" s="70"/>
      <c r="AS1114" s="70"/>
      <c r="AT1114" s="70"/>
      <c r="AU1114" s="70"/>
      <c r="AV1114" s="70"/>
      <c r="AW1114" s="70"/>
      <c r="AX1114" s="70"/>
      <c r="AY1114" s="70"/>
      <c r="AZ1114" s="70"/>
      <c r="BA1114" s="70"/>
      <c r="BB1114" s="70"/>
      <c r="BC1114" s="70"/>
      <c r="BD1114" s="70"/>
      <c r="BE1114" s="70"/>
      <c r="BF1114" s="70"/>
      <c r="BG1114" s="70"/>
      <c r="BH1114" s="70"/>
      <c r="BI1114" s="70"/>
      <c r="BJ1114" s="70"/>
      <c r="BK1114" s="70"/>
      <c r="BL1114" s="70"/>
      <c r="BM1114" s="70"/>
      <c r="BN1114" s="70"/>
      <c r="BO1114" s="70"/>
      <c r="BP1114" s="70"/>
      <c r="BQ1114" s="70"/>
      <c r="BR1114" s="70"/>
      <c r="BS1114" s="70"/>
      <c r="BT1114" s="70"/>
      <c r="BU1114" s="70"/>
      <c r="BV1114" s="70"/>
      <c r="BW1114" s="70"/>
      <c r="BX1114" s="70"/>
      <c r="BY1114" s="70"/>
      <c r="BZ1114" s="70"/>
      <c r="CA1114" s="70"/>
      <c r="CB1114" s="70"/>
      <c r="CC1114" s="70"/>
      <c r="CD1114" s="70"/>
      <c r="CE1114" s="70"/>
      <c r="CF1114" s="70"/>
      <c r="CG1114" s="70"/>
      <c r="CH1114" s="70"/>
      <c r="CI1114" s="70"/>
      <c r="CJ1114" s="70"/>
      <c r="CK1114" s="70"/>
      <c r="CL1114" s="70"/>
      <c r="CM1114" s="70"/>
      <c r="CN1114" s="70"/>
      <c r="CO1114" s="70"/>
      <c r="CP1114" s="70"/>
      <c r="CQ1114" s="70"/>
      <c r="CR1114" s="70"/>
      <c r="CS1114" s="70"/>
      <c r="CT1114" s="70"/>
      <c r="CU1114" s="70"/>
      <c r="CV1114" s="70"/>
      <c r="CW1114" s="70"/>
      <c r="CX1114" s="70"/>
      <c r="CY1114" s="70"/>
      <c r="CZ1114" s="70"/>
      <c r="DA1114" s="70"/>
      <c r="DB1114" s="70"/>
      <c r="DC1114" s="70"/>
      <c r="DD1114" s="70"/>
      <c r="DE1114" s="70"/>
      <c r="DF1114" s="70"/>
      <c r="DG1114" s="70"/>
      <c r="DH1114" s="70"/>
      <c r="DI1114" s="70"/>
      <c r="DJ1114" s="70"/>
      <c r="DK1114" s="70"/>
      <c r="DL1114" s="70"/>
      <c r="DM1114" s="70"/>
      <c r="DN1114" s="70"/>
      <c r="DO1114" s="70"/>
      <c r="DP1114" s="70"/>
      <c r="DQ1114" s="70"/>
      <c r="DR1114" s="70"/>
      <c r="DS1114" s="70"/>
      <c r="DT1114" s="70"/>
      <c r="DU1114" s="70"/>
      <c r="DV1114" s="70"/>
      <c r="DW1114" s="70"/>
      <c r="DX1114" s="70"/>
      <c r="DY1114" s="70"/>
      <c r="DZ1114" s="70"/>
      <c r="EA1114" s="70"/>
      <c r="EB1114" s="70"/>
      <c r="EC1114" s="70"/>
      <c r="ED1114" s="70"/>
      <c r="EE1114" s="95"/>
      <c r="EF1114" s="110"/>
      <c r="EG1114" s="110"/>
      <c r="EH1114" s="110"/>
      <c r="EI1114" s="216"/>
      <c r="EJ1114" s="110"/>
      <c r="EK1114" s="110"/>
      <c r="EL1114" s="110"/>
      <c r="EM1114" s="110"/>
      <c r="EN1114" s="110"/>
      <c r="EO1114" s="110"/>
      <c r="EP1114" s="110"/>
      <c r="EQ1114" s="110"/>
      <c r="ER1114" s="110"/>
      <c r="ES1114" s="110"/>
      <c r="ET1114" s="110"/>
      <c r="EU1114" s="110"/>
      <c r="EV1114" s="110"/>
      <c r="EW1114" s="110"/>
      <c r="EX1114" s="110"/>
      <c r="EY1114" s="110"/>
      <c r="EZ1114" s="110"/>
      <c r="FA1114" s="110"/>
      <c r="FB1114" s="110"/>
      <c r="FC1114" s="110"/>
      <c r="FD1114" s="110"/>
      <c r="FE1114" s="110"/>
      <c r="FF1114" s="110"/>
      <c r="FG1114" s="110"/>
      <c r="FH1114" s="110"/>
      <c r="FI1114" s="110"/>
      <c r="FJ1114" s="110"/>
      <c r="FK1114" s="110"/>
      <c r="FL1114" s="110"/>
      <c r="FM1114" s="110"/>
      <c r="FN1114" s="110"/>
      <c r="FO1114" s="110"/>
      <c r="FP1114" s="110"/>
      <c r="FQ1114" s="110"/>
      <c r="FR1114" s="110"/>
      <c r="FS1114" s="110"/>
      <c r="FT1114" s="110"/>
      <c r="FU1114" s="110"/>
      <c r="FV1114" s="110"/>
      <c r="FW1114" s="110"/>
      <c r="FX1114" s="110"/>
      <c r="FY1114" s="110"/>
      <c r="FZ1114" s="110"/>
      <c r="GA1114" s="110"/>
      <c r="GB1114" s="110"/>
      <c r="GC1114" s="110"/>
      <c r="GD1114" s="110"/>
      <c r="GE1114" s="110"/>
      <c r="GF1114" s="110"/>
      <c r="GG1114" s="110"/>
      <c r="GH1114" s="110"/>
      <c r="GI1114" s="110"/>
      <c r="GJ1114" s="110"/>
      <c r="GK1114" s="110"/>
      <c r="GL1114" s="110"/>
      <c r="GM1114" s="110"/>
      <c r="GN1114" s="110"/>
      <c r="GO1114" s="110"/>
      <c r="GP1114" s="110"/>
      <c r="GQ1114" s="110"/>
      <c r="GR1114" s="110"/>
      <c r="GS1114" s="110"/>
      <c r="GT1114" s="110"/>
      <c r="GU1114" s="110"/>
      <c r="GV1114" s="110"/>
      <c r="GW1114" s="110"/>
      <c r="GX1114" s="110"/>
      <c r="GY1114" s="110"/>
      <c r="GZ1114" s="110"/>
      <c r="HA1114" s="110"/>
      <c r="HB1114" s="110"/>
      <c r="HC1114" s="110"/>
      <c r="HD1114" s="110"/>
      <c r="HE1114" s="110"/>
      <c r="HF1114" s="110"/>
      <c r="HG1114" s="110"/>
      <c r="HH1114" s="110"/>
      <c r="HI1114" s="110"/>
      <c r="HJ1114" s="110"/>
      <c r="HK1114" s="110"/>
      <c r="HL1114" s="110"/>
      <c r="HM1114" s="110"/>
      <c r="HN1114" s="110"/>
      <c r="HO1114" s="110"/>
      <c r="HP1114" s="110"/>
      <c r="HQ1114" s="110"/>
      <c r="HR1114" s="110"/>
      <c r="HS1114" s="110"/>
      <c r="HT1114" s="110"/>
      <c r="HU1114" s="110"/>
      <c r="HV1114" s="110"/>
      <c r="HW1114" s="110"/>
      <c r="HX1114" s="110"/>
      <c r="HY1114" s="110"/>
      <c r="HZ1114" s="110"/>
      <c r="IA1114" s="110"/>
      <c r="IB1114" s="110"/>
      <c r="IC1114" s="110"/>
      <c r="ID1114" s="110"/>
      <c r="IE1114" s="110"/>
      <c r="IF1114" s="110"/>
      <c r="IG1114" s="110"/>
      <c r="IH1114" s="110"/>
      <c r="II1114" s="110"/>
      <c r="IJ1114" s="110"/>
      <c r="IK1114" s="110"/>
      <c r="IL1114" s="110"/>
      <c r="IM1114" s="110"/>
      <c r="IN1114" s="110"/>
      <c r="IO1114" s="110"/>
      <c r="IP1114" s="110"/>
    </row>
    <row r="1115" spans="18:250" ht="16.5" hidden="1" customHeight="1">
      <c r="R1115" s="95"/>
      <c r="S1115" s="95"/>
      <c r="T1115" s="95"/>
      <c r="U1115" s="70"/>
      <c r="V1115" s="214"/>
      <c r="W1115" s="70"/>
      <c r="X1115" s="70"/>
      <c r="Y1115" s="70"/>
      <c r="Z1115" s="70"/>
      <c r="AA1115" s="70"/>
      <c r="AB1115" s="70"/>
      <c r="AC1115" s="70"/>
      <c r="AD1115" s="70"/>
      <c r="AE1115" s="70"/>
      <c r="AF1115" s="70"/>
      <c r="AG1115" s="70"/>
      <c r="AH1115" s="70"/>
      <c r="AI1115" s="70"/>
      <c r="AJ1115" s="70"/>
      <c r="AK1115" s="70"/>
      <c r="AL1115" s="70"/>
      <c r="AM1115" s="70"/>
      <c r="AN1115" s="70"/>
      <c r="AO1115" s="70"/>
      <c r="AP1115" s="70"/>
      <c r="AQ1115" s="70"/>
      <c r="AR1115" s="70"/>
      <c r="AS1115" s="70"/>
      <c r="AT1115" s="70"/>
      <c r="AU1115" s="70"/>
      <c r="AV1115" s="70"/>
      <c r="AW1115" s="70"/>
      <c r="AX1115" s="70"/>
      <c r="AY1115" s="70"/>
      <c r="AZ1115" s="70"/>
      <c r="BA1115" s="70"/>
      <c r="BB1115" s="70"/>
      <c r="BC1115" s="70"/>
      <c r="BD1115" s="70"/>
      <c r="BE1115" s="70"/>
      <c r="BF1115" s="70"/>
      <c r="BG1115" s="70"/>
      <c r="BH1115" s="70"/>
      <c r="BI1115" s="70"/>
      <c r="BJ1115" s="70"/>
      <c r="BK1115" s="70"/>
      <c r="BL1115" s="70"/>
      <c r="BM1115" s="70"/>
      <c r="BN1115" s="70"/>
      <c r="BO1115" s="70"/>
      <c r="BP1115" s="70"/>
      <c r="BQ1115" s="70"/>
      <c r="BR1115" s="70"/>
      <c r="BS1115" s="70"/>
      <c r="BT1115" s="70"/>
      <c r="BU1115" s="70"/>
      <c r="BV1115" s="70"/>
      <c r="BW1115" s="70"/>
      <c r="BX1115" s="70"/>
      <c r="BY1115" s="70"/>
      <c r="BZ1115" s="70"/>
      <c r="CA1115" s="70"/>
      <c r="CB1115" s="70"/>
      <c r="CC1115" s="70"/>
      <c r="CD1115" s="70"/>
      <c r="CE1115" s="70"/>
      <c r="CF1115" s="70"/>
      <c r="CG1115" s="70"/>
      <c r="CH1115" s="70"/>
      <c r="CI1115" s="70"/>
      <c r="CJ1115" s="70"/>
      <c r="CK1115" s="70"/>
      <c r="CL1115" s="70"/>
      <c r="CM1115" s="70"/>
      <c r="CN1115" s="70"/>
      <c r="CO1115" s="70"/>
      <c r="CP1115" s="70"/>
      <c r="CQ1115" s="70"/>
      <c r="CR1115" s="70"/>
      <c r="CS1115" s="70"/>
      <c r="CT1115" s="70"/>
      <c r="CU1115" s="70"/>
      <c r="CV1115" s="70"/>
      <c r="CW1115" s="70"/>
      <c r="CX1115" s="70"/>
      <c r="CY1115" s="70"/>
      <c r="CZ1115" s="70"/>
      <c r="DA1115" s="70"/>
      <c r="DB1115" s="70"/>
      <c r="DC1115" s="70"/>
      <c r="DD1115" s="70"/>
      <c r="DE1115" s="70"/>
      <c r="DF1115" s="70"/>
      <c r="DG1115" s="70"/>
      <c r="DH1115" s="70"/>
      <c r="DI1115" s="70"/>
      <c r="DJ1115" s="70"/>
      <c r="DK1115" s="70"/>
      <c r="DL1115" s="70"/>
      <c r="DM1115" s="70"/>
      <c r="DN1115" s="70"/>
      <c r="DO1115" s="70"/>
      <c r="DP1115" s="70"/>
      <c r="DQ1115" s="70"/>
      <c r="DR1115" s="70"/>
      <c r="DS1115" s="70"/>
      <c r="DT1115" s="70"/>
      <c r="DU1115" s="70"/>
      <c r="DV1115" s="70"/>
      <c r="DW1115" s="70"/>
      <c r="DX1115" s="70"/>
      <c r="DY1115" s="70"/>
      <c r="DZ1115" s="70"/>
      <c r="EA1115" s="70"/>
      <c r="EB1115" s="70"/>
      <c r="EC1115" s="70"/>
      <c r="ED1115" s="70"/>
      <c r="EE1115" s="95"/>
      <c r="EF1115" s="110"/>
      <c r="EG1115" s="110"/>
      <c r="EH1115" s="110"/>
      <c r="EI1115" s="216"/>
      <c r="EJ1115" s="110"/>
      <c r="EK1115" s="110"/>
      <c r="EL1115" s="110"/>
      <c r="EM1115" s="110"/>
      <c r="EN1115" s="110"/>
      <c r="EO1115" s="110"/>
      <c r="EP1115" s="110"/>
      <c r="EQ1115" s="110"/>
      <c r="ER1115" s="110"/>
      <c r="ES1115" s="110"/>
      <c r="ET1115" s="110"/>
      <c r="EU1115" s="110"/>
      <c r="EV1115" s="110"/>
      <c r="EW1115" s="110"/>
      <c r="EX1115" s="110"/>
      <c r="EY1115" s="110"/>
      <c r="EZ1115" s="110"/>
      <c r="FA1115" s="110"/>
      <c r="FB1115" s="110"/>
      <c r="FC1115" s="110"/>
      <c r="FD1115" s="110"/>
      <c r="FE1115" s="110"/>
      <c r="FF1115" s="110"/>
      <c r="FG1115" s="110"/>
      <c r="FH1115" s="110"/>
      <c r="FI1115" s="110"/>
      <c r="FJ1115" s="110"/>
      <c r="FK1115" s="110"/>
      <c r="FL1115" s="110"/>
      <c r="FM1115" s="110"/>
      <c r="FN1115" s="110"/>
      <c r="FO1115" s="110"/>
      <c r="FP1115" s="110"/>
      <c r="FQ1115" s="110"/>
      <c r="FR1115" s="110"/>
      <c r="FS1115" s="110"/>
      <c r="FT1115" s="110"/>
      <c r="FU1115" s="110"/>
      <c r="FV1115" s="110"/>
      <c r="FW1115" s="110"/>
      <c r="FX1115" s="110"/>
      <c r="FY1115" s="110"/>
      <c r="FZ1115" s="110"/>
      <c r="GA1115" s="110"/>
      <c r="GB1115" s="110"/>
      <c r="GC1115" s="110"/>
      <c r="GD1115" s="110"/>
      <c r="GE1115" s="110"/>
      <c r="GF1115" s="110"/>
      <c r="GG1115" s="110"/>
      <c r="GH1115" s="110"/>
      <c r="GI1115" s="110"/>
      <c r="GJ1115" s="110"/>
      <c r="GK1115" s="110"/>
      <c r="GL1115" s="110"/>
      <c r="GM1115" s="110"/>
      <c r="GN1115" s="110"/>
      <c r="GO1115" s="110"/>
      <c r="GP1115" s="110"/>
      <c r="GQ1115" s="110"/>
      <c r="GR1115" s="110"/>
      <c r="GS1115" s="110"/>
      <c r="GT1115" s="110"/>
      <c r="GU1115" s="110"/>
      <c r="GV1115" s="110"/>
      <c r="GW1115" s="110"/>
      <c r="GX1115" s="110"/>
      <c r="GY1115" s="110"/>
      <c r="GZ1115" s="110"/>
      <c r="HA1115" s="110"/>
      <c r="HB1115" s="110"/>
      <c r="HC1115" s="110"/>
      <c r="HD1115" s="110"/>
      <c r="HE1115" s="110"/>
      <c r="HF1115" s="110"/>
      <c r="HG1115" s="110"/>
      <c r="HH1115" s="110"/>
      <c r="HI1115" s="110"/>
      <c r="HJ1115" s="110"/>
      <c r="HK1115" s="110"/>
      <c r="HL1115" s="110"/>
      <c r="HM1115" s="110"/>
      <c r="HN1115" s="110"/>
      <c r="HO1115" s="110"/>
      <c r="HP1115" s="110"/>
      <c r="HQ1115" s="110"/>
      <c r="HR1115" s="110"/>
      <c r="HS1115" s="110"/>
      <c r="HT1115" s="110"/>
      <c r="HU1115" s="110"/>
      <c r="HV1115" s="110"/>
      <c r="HW1115" s="110"/>
      <c r="HX1115" s="110"/>
      <c r="HY1115" s="110"/>
      <c r="HZ1115" s="110"/>
      <c r="IA1115" s="110"/>
      <c r="IB1115" s="110"/>
      <c r="IC1115" s="110"/>
      <c r="ID1115" s="110"/>
      <c r="IE1115" s="110"/>
      <c r="IF1115" s="110"/>
      <c r="IG1115" s="110"/>
      <c r="IH1115" s="110"/>
      <c r="II1115" s="110"/>
      <c r="IJ1115" s="110"/>
      <c r="IK1115" s="110"/>
      <c r="IL1115" s="110"/>
      <c r="IM1115" s="110"/>
      <c r="IN1115" s="110"/>
      <c r="IO1115" s="110"/>
      <c r="IP1115" s="110"/>
    </row>
    <row r="1116" spans="18:250" ht="16.5" hidden="1" customHeight="1">
      <c r="R1116" s="95"/>
      <c r="S1116" s="95"/>
      <c r="T1116" s="95"/>
      <c r="U1116" s="70"/>
      <c r="V1116" s="214"/>
      <c r="W1116" s="70"/>
      <c r="X1116" s="70"/>
      <c r="Y1116" s="70"/>
      <c r="Z1116" s="70"/>
      <c r="AA1116" s="70"/>
      <c r="AB1116" s="70"/>
      <c r="AC1116" s="70"/>
      <c r="AD1116" s="70"/>
      <c r="AE1116" s="70"/>
      <c r="AF1116" s="70"/>
      <c r="AG1116" s="70"/>
      <c r="AH1116" s="70"/>
      <c r="AI1116" s="70"/>
      <c r="AJ1116" s="70"/>
      <c r="AK1116" s="70"/>
      <c r="AL1116" s="70"/>
      <c r="AM1116" s="70"/>
      <c r="AN1116" s="70"/>
      <c r="AO1116" s="70"/>
      <c r="AP1116" s="70"/>
      <c r="AQ1116" s="70"/>
      <c r="AR1116" s="70"/>
      <c r="AS1116" s="70"/>
      <c r="AT1116" s="70"/>
      <c r="AU1116" s="70"/>
      <c r="AV1116" s="70"/>
      <c r="AW1116" s="70"/>
      <c r="AX1116" s="70"/>
      <c r="AY1116" s="70"/>
      <c r="AZ1116" s="70"/>
      <c r="BA1116" s="70"/>
      <c r="BB1116" s="70"/>
      <c r="BC1116" s="70"/>
      <c r="BD1116" s="70"/>
      <c r="BE1116" s="70"/>
      <c r="BF1116" s="70"/>
      <c r="BG1116" s="70"/>
      <c r="BH1116" s="70"/>
      <c r="BI1116" s="70"/>
      <c r="BJ1116" s="70"/>
      <c r="BK1116" s="70"/>
      <c r="BL1116" s="70"/>
      <c r="BM1116" s="70"/>
      <c r="BN1116" s="70"/>
      <c r="BO1116" s="70"/>
      <c r="BP1116" s="70"/>
      <c r="BQ1116" s="70"/>
      <c r="BR1116" s="70"/>
      <c r="BS1116" s="70"/>
      <c r="BT1116" s="70"/>
      <c r="BU1116" s="70"/>
      <c r="BV1116" s="70"/>
      <c r="BW1116" s="70"/>
      <c r="BX1116" s="70"/>
      <c r="BY1116" s="70"/>
      <c r="BZ1116" s="70"/>
      <c r="CA1116" s="70"/>
      <c r="CB1116" s="70"/>
      <c r="CC1116" s="70"/>
      <c r="CD1116" s="70"/>
      <c r="CE1116" s="70"/>
      <c r="CF1116" s="70"/>
      <c r="CG1116" s="70"/>
      <c r="CH1116" s="70"/>
      <c r="CI1116" s="70"/>
      <c r="CJ1116" s="70"/>
      <c r="CK1116" s="70"/>
      <c r="CL1116" s="70"/>
      <c r="CM1116" s="70"/>
      <c r="CN1116" s="70"/>
      <c r="CO1116" s="70"/>
      <c r="CP1116" s="70"/>
      <c r="CQ1116" s="70"/>
      <c r="CR1116" s="70"/>
      <c r="CS1116" s="70"/>
      <c r="CT1116" s="70"/>
      <c r="CU1116" s="70"/>
      <c r="CV1116" s="70"/>
      <c r="CW1116" s="70"/>
      <c r="CX1116" s="70"/>
      <c r="CY1116" s="70"/>
      <c r="CZ1116" s="70"/>
      <c r="DA1116" s="70"/>
      <c r="DB1116" s="70"/>
      <c r="DC1116" s="70"/>
      <c r="DD1116" s="70"/>
      <c r="DE1116" s="70"/>
      <c r="DF1116" s="70"/>
      <c r="DG1116" s="70"/>
      <c r="DH1116" s="70"/>
      <c r="DI1116" s="70"/>
      <c r="DJ1116" s="70"/>
      <c r="DK1116" s="70"/>
      <c r="DL1116" s="70"/>
      <c r="DM1116" s="70"/>
      <c r="DN1116" s="70"/>
      <c r="DO1116" s="70"/>
      <c r="DP1116" s="70"/>
      <c r="DQ1116" s="70"/>
      <c r="DR1116" s="70"/>
      <c r="DS1116" s="70"/>
      <c r="DT1116" s="70"/>
      <c r="DU1116" s="70"/>
      <c r="DV1116" s="70"/>
      <c r="DW1116" s="70"/>
      <c r="DX1116" s="70"/>
      <c r="DY1116" s="70"/>
      <c r="DZ1116" s="70"/>
      <c r="EA1116" s="70"/>
      <c r="EB1116" s="70"/>
      <c r="EC1116" s="70"/>
      <c r="ED1116" s="70"/>
      <c r="EE1116" s="95"/>
      <c r="EF1116" s="110"/>
      <c r="EG1116" s="110"/>
      <c r="EH1116" s="110"/>
      <c r="EI1116" s="216"/>
      <c r="EJ1116" s="110"/>
      <c r="EK1116" s="110"/>
      <c r="EL1116" s="110"/>
      <c r="EM1116" s="110"/>
      <c r="EN1116" s="110"/>
      <c r="EO1116" s="110"/>
      <c r="EP1116" s="110"/>
      <c r="EQ1116" s="110"/>
      <c r="ER1116" s="110"/>
      <c r="ES1116" s="110"/>
      <c r="ET1116" s="110"/>
      <c r="EU1116" s="110"/>
      <c r="EV1116" s="110"/>
      <c r="EW1116" s="110"/>
      <c r="EX1116" s="110"/>
      <c r="EY1116" s="110"/>
      <c r="EZ1116" s="110"/>
      <c r="FA1116" s="110"/>
      <c r="FB1116" s="110"/>
      <c r="FC1116" s="110"/>
      <c r="FD1116" s="110"/>
      <c r="FE1116" s="110"/>
      <c r="FF1116" s="110"/>
      <c r="FG1116" s="110"/>
      <c r="FH1116" s="110"/>
      <c r="FI1116" s="110"/>
      <c r="FJ1116" s="110"/>
      <c r="FK1116" s="110"/>
      <c r="FL1116" s="110"/>
      <c r="FM1116" s="110"/>
      <c r="FN1116" s="110"/>
      <c r="FO1116" s="110"/>
      <c r="FP1116" s="110"/>
      <c r="FQ1116" s="110"/>
      <c r="FR1116" s="110"/>
      <c r="FS1116" s="110"/>
      <c r="FT1116" s="110"/>
      <c r="FU1116" s="110"/>
      <c r="FV1116" s="110"/>
      <c r="FW1116" s="110"/>
      <c r="FX1116" s="110"/>
      <c r="FY1116" s="110"/>
      <c r="FZ1116" s="110"/>
      <c r="GA1116" s="110"/>
      <c r="GB1116" s="110"/>
      <c r="GC1116" s="110"/>
      <c r="GD1116" s="110"/>
      <c r="GE1116" s="110"/>
      <c r="GF1116" s="110"/>
      <c r="GG1116" s="110"/>
      <c r="GH1116" s="110"/>
      <c r="GI1116" s="110"/>
      <c r="GJ1116" s="110"/>
      <c r="GK1116" s="110"/>
      <c r="GL1116" s="110"/>
      <c r="GM1116" s="110"/>
      <c r="GN1116" s="110"/>
      <c r="GO1116" s="110"/>
      <c r="GP1116" s="110"/>
      <c r="GQ1116" s="110"/>
      <c r="GR1116" s="110"/>
      <c r="GS1116" s="110"/>
      <c r="GT1116" s="110"/>
      <c r="GU1116" s="110"/>
      <c r="GV1116" s="110"/>
      <c r="GW1116" s="110"/>
      <c r="GX1116" s="110"/>
      <c r="GY1116" s="110"/>
      <c r="GZ1116" s="110"/>
      <c r="HA1116" s="110"/>
      <c r="HB1116" s="110"/>
      <c r="HC1116" s="110"/>
      <c r="HD1116" s="110"/>
      <c r="HE1116" s="110"/>
      <c r="HF1116" s="110"/>
      <c r="HG1116" s="110"/>
      <c r="HH1116" s="110"/>
      <c r="HI1116" s="110"/>
      <c r="HJ1116" s="110"/>
      <c r="HK1116" s="110"/>
      <c r="HL1116" s="110"/>
      <c r="HM1116" s="110"/>
      <c r="HN1116" s="110"/>
      <c r="HO1116" s="110"/>
      <c r="HP1116" s="110"/>
      <c r="HQ1116" s="110"/>
      <c r="HR1116" s="110"/>
      <c r="HS1116" s="110"/>
      <c r="HT1116" s="110"/>
      <c r="HU1116" s="110"/>
      <c r="HV1116" s="110"/>
      <c r="HW1116" s="110"/>
      <c r="HX1116" s="110"/>
      <c r="HY1116" s="110"/>
      <c r="HZ1116" s="110"/>
      <c r="IA1116" s="110"/>
      <c r="IB1116" s="110"/>
      <c r="IC1116" s="110"/>
      <c r="ID1116" s="110"/>
      <c r="IE1116" s="110"/>
      <c r="IF1116" s="110"/>
      <c r="IG1116" s="110"/>
      <c r="IH1116" s="110"/>
      <c r="II1116" s="110"/>
      <c r="IJ1116" s="110"/>
      <c r="IK1116" s="110"/>
      <c r="IL1116" s="110"/>
      <c r="IM1116" s="110"/>
      <c r="IN1116" s="110"/>
      <c r="IO1116" s="110"/>
      <c r="IP1116" s="110"/>
    </row>
    <row r="1117" spans="18:250" ht="16.5" hidden="1" customHeight="1">
      <c r="R1117" s="95"/>
      <c r="S1117" s="95"/>
      <c r="T1117" s="95"/>
      <c r="U1117" s="70"/>
      <c r="V1117" s="214"/>
      <c r="W1117" s="70"/>
      <c r="X1117" s="70"/>
      <c r="Y1117" s="70"/>
      <c r="Z1117" s="70"/>
      <c r="AA1117" s="70"/>
      <c r="AB1117" s="70"/>
      <c r="AC1117" s="70"/>
      <c r="AD1117" s="70"/>
      <c r="AE1117" s="70"/>
      <c r="AF1117" s="70"/>
      <c r="AG1117" s="70"/>
      <c r="AH1117" s="70"/>
      <c r="AI1117" s="70"/>
      <c r="AJ1117" s="70"/>
      <c r="AK1117" s="70"/>
      <c r="AL1117" s="70"/>
      <c r="AM1117" s="70"/>
      <c r="AN1117" s="70"/>
      <c r="AO1117" s="70"/>
      <c r="AP1117" s="70"/>
      <c r="AQ1117" s="70"/>
      <c r="AR1117" s="70"/>
      <c r="AS1117" s="70"/>
      <c r="AT1117" s="70"/>
      <c r="AU1117" s="70"/>
      <c r="AV1117" s="70"/>
      <c r="AW1117" s="70"/>
      <c r="AX1117" s="70"/>
      <c r="AY1117" s="70"/>
      <c r="AZ1117" s="70"/>
      <c r="BA1117" s="70"/>
      <c r="BB1117" s="70"/>
      <c r="BC1117" s="70"/>
      <c r="BD1117" s="70"/>
      <c r="BE1117" s="70"/>
      <c r="BF1117" s="70"/>
      <c r="BG1117" s="70"/>
      <c r="BH1117" s="70"/>
      <c r="BI1117" s="70"/>
      <c r="BJ1117" s="70"/>
      <c r="BK1117" s="70"/>
      <c r="BL1117" s="70"/>
      <c r="BM1117" s="70"/>
      <c r="BN1117" s="70"/>
      <c r="BO1117" s="70"/>
      <c r="BP1117" s="70"/>
      <c r="BQ1117" s="70"/>
      <c r="BR1117" s="70"/>
      <c r="BS1117" s="70"/>
      <c r="BT1117" s="70"/>
      <c r="BU1117" s="70"/>
      <c r="BV1117" s="70"/>
      <c r="BW1117" s="70"/>
      <c r="BX1117" s="70"/>
      <c r="BY1117" s="70"/>
      <c r="BZ1117" s="70"/>
      <c r="CA1117" s="70"/>
      <c r="CB1117" s="70"/>
      <c r="CC1117" s="70"/>
      <c r="CD1117" s="70"/>
      <c r="CE1117" s="70"/>
      <c r="CF1117" s="70"/>
      <c r="CG1117" s="70"/>
      <c r="CH1117" s="70"/>
      <c r="CI1117" s="70"/>
      <c r="CJ1117" s="70"/>
      <c r="CK1117" s="70"/>
      <c r="CL1117" s="70"/>
      <c r="CM1117" s="70"/>
      <c r="CN1117" s="70"/>
      <c r="CO1117" s="70"/>
      <c r="CP1117" s="70"/>
      <c r="CQ1117" s="70"/>
      <c r="CR1117" s="70"/>
      <c r="CS1117" s="70"/>
      <c r="CT1117" s="70"/>
      <c r="CU1117" s="70"/>
      <c r="CV1117" s="70"/>
      <c r="CW1117" s="70"/>
      <c r="CX1117" s="70"/>
      <c r="CY1117" s="70"/>
      <c r="CZ1117" s="70"/>
      <c r="DA1117" s="70"/>
      <c r="DB1117" s="70"/>
      <c r="DC1117" s="70"/>
      <c r="DD1117" s="70"/>
      <c r="DE1117" s="70"/>
      <c r="DF1117" s="70"/>
      <c r="DG1117" s="70"/>
      <c r="DH1117" s="70"/>
      <c r="DI1117" s="70"/>
      <c r="DJ1117" s="70"/>
      <c r="DK1117" s="70"/>
      <c r="DL1117" s="70"/>
      <c r="DM1117" s="70"/>
      <c r="DN1117" s="70"/>
      <c r="DO1117" s="70"/>
      <c r="DP1117" s="70"/>
      <c r="DQ1117" s="70"/>
      <c r="DR1117" s="70"/>
      <c r="DS1117" s="70"/>
      <c r="DT1117" s="70"/>
      <c r="DU1117" s="70"/>
      <c r="DV1117" s="70"/>
      <c r="DW1117" s="70"/>
      <c r="DX1117" s="70"/>
      <c r="DY1117" s="70"/>
      <c r="DZ1117" s="70"/>
      <c r="EA1117" s="70"/>
      <c r="EB1117" s="70"/>
      <c r="EC1117" s="70"/>
      <c r="ED1117" s="70"/>
      <c r="EE1117" s="95"/>
      <c r="EF1117" s="110"/>
      <c r="EG1117" s="110"/>
      <c r="EH1117" s="110"/>
      <c r="EI1117" s="216"/>
      <c r="EJ1117" s="110"/>
      <c r="EK1117" s="110"/>
      <c r="EL1117" s="110"/>
      <c r="EM1117" s="110"/>
      <c r="EN1117" s="110"/>
      <c r="EO1117" s="110"/>
      <c r="EP1117" s="110"/>
      <c r="EQ1117" s="110"/>
      <c r="ER1117" s="110"/>
      <c r="ES1117" s="110"/>
      <c r="ET1117" s="110"/>
      <c r="EU1117" s="110"/>
      <c r="EV1117" s="110"/>
      <c r="EW1117" s="110"/>
      <c r="EX1117" s="110"/>
      <c r="EY1117" s="110"/>
      <c r="EZ1117" s="110"/>
      <c r="FA1117" s="110"/>
      <c r="FB1117" s="110"/>
      <c r="FC1117" s="110"/>
      <c r="FD1117" s="110"/>
      <c r="FE1117" s="110"/>
      <c r="FF1117" s="110"/>
      <c r="FG1117" s="110"/>
      <c r="FH1117" s="110"/>
      <c r="FI1117" s="110"/>
      <c r="FJ1117" s="110"/>
      <c r="FK1117" s="110"/>
      <c r="FL1117" s="110"/>
      <c r="FM1117" s="110"/>
      <c r="FN1117" s="110"/>
      <c r="FO1117" s="110"/>
      <c r="FP1117" s="110"/>
      <c r="FQ1117" s="110"/>
      <c r="FR1117" s="110"/>
      <c r="FS1117" s="110"/>
      <c r="FT1117" s="110"/>
      <c r="FU1117" s="110"/>
      <c r="FV1117" s="110"/>
      <c r="FW1117" s="110"/>
      <c r="FX1117" s="110"/>
      <c r="FY1117" s="110"/>
      <c r="FZ1117" s="110"/>
      <c r="GA1117" s="110"/>
      <c r="GB1117" s="110"/>
      <c r="GC1117" s="110"/>
      <c r="GD1117" s="110"/>
      <c r="GE1117" s="110"/>
      <c r="GF1117" s="110"/>
      <c r="GG1117" s="110"/>
      <c r="GH1117" s="110"/>
      <c r="GI1117" s="110"/>
      <c r="GJ1117" s="110"/>
      <c r="GK1117" s="110"/>
      <c r="GL1117" s="110"/>
      <c r="GM1117" s="110"/>
      <c r="GN1117" s="110"/>
      <c r="GO1117" s="110"/>
      <c r="GP1117" s="110"/>
      <c r="GQ1117" s="110"/>
      <c r="GR1117" s="110"/>
      <c r="GS1117" s="110"/>
      <c r="GT1117" s="110"/>
      <c r="GU1117" s="110"/>
      <c r="GV1117" s="110"/>
      <c r="GW1117" s="110"/>
      <c r="GX1117" s="110"/>
      <c r="GY1117" s="110"/>
      <c r="GZ1117" s="110"/>
      <c r="HA1117" s="110"/>
      <c r="HB1117" s="110"/>
      <c r="HC1117" s="110"/>
      <c r="HD1117" s="110"/>
      <c r="HE1117" s="110"/>
      <c r="HF1117" s="110"/>
      <c r="HG1117" s="110"/>
      <c r="HH1117" s="110"/>
      <c r="HI1117" s="110"/>
      <c r="HJ1117" s="110"/>
      <c r="HK1117" s="110"/>
      <c r="HL1117" s="110"/>
      <c r="HM1117" s="110"/>
      <c r="HN1117" s="110"/>
      <c r="HO1117" s="110"/>
      <c r="HP1117" s="110"/>
      <c r="HQ1117" s="110"/>
      <c r="HR1117" s="110"/>
      <c r="HS1117" s="110"/>
      <c r="HT1117" s="110"/>
      <c r="HU1117" s="110"/>
      <c r="HV1117" s="110"/>
      <c r="HW1117" s="110"/>
      <c r="HX1117" s="110"/>
      <c r="HY1117" s="110"/>
      <c r="HZ1117" s="110"/>
      <c r="IA1117" s="110"/>
      <c r="IB1117" s="110"/>
      <c r="IC1117" s="110"/>
      <c r="ID1117" s="110"/>
      <c r="IE1117" s="110"/>
      <c r="IF1117" s="110"/>
      <c r="IG1117" s="110"/>
      <c r="IH1117" s="110"/>
      <c r="II1117" s="110"/>
      <c r="IJ1117" s="110"/>
      <c r="IK1117" s="110"/>
      <c r="IL1117" s="110"/>
      <c r="IM1117" s="110"/>
      <c r="IN1117" s="110"/>
      <c r="IO1117" s="110"/>
      <c r="IP1117" s="110"/>
    </row>
    <row r="1118" spans="18:250" ht="16.5" hidden="1" customHeight="1">
      <c r="R1118" s="95"/>
      <c r="S1118" s="95"/>
      <c r="T1118" s="95"/>
      <c r="U1118" s="70"/>
      <c r="V1118" s="214"/>
      <c r="W1118" s="70"/>
      <c r="X1118" s="70"/>
      <c r="Y1118" s="70"/>
      <c r="Z1118" s="70"/>
      <c r="AA1118" s="70"/>
      <c r="AB1118" s="70"/>
      <c r="AC1118" s="70"/>
      <c r="AD1118" s="70"/>
      <c r="AE1118" s="70"/>
      <c r="AF1118" s="70"/>
      <c r="AG1118" s="70"/>
      <c r="AH1118" s="70"/>
      <c r="AI1118" s="70"/>
      <c r="AJ1118" s="70"/>
      <c r="AK1118" s="70"/>
      <c r="AL1118" s="70"/>
      <c r="AM1118" s="70"/>
      <c r="AN1118" s="70"/>
      <c r="AO1118" s="70"/>
      <c r="AP1118" s="70"/>
      <c r="AQ1118" s="70"/>
      <c r="AR1118" s="70"/>
      <c r="AS1118" s="70"/>
      <c r="AT1118" s="70"/>
      <c r="AU1118" s="70"/>
      <c r="AV1118" s="70"/>
      <c r="AW1118" s="70"/>
      <c r="AX1118" s="70"/>
      <c r="AY1118" s="70"/>
      <c r="AZ1118" s="70"/>
      <c r="BA1118" s="70"/>
      <c r="BB1118" s="70"/>
      <c r="BC1118" s="70"/>
      <c r="BD1118" s="70"/>
      <c r="BE1118" s="70"/>
      <c r="BF1118" s="70"/>
      <c r="BG1118" s="70"/>
      <c r="BH1118" s="70"/>
      <c r="BI1118" s="70"/>
      <c r="BJ1118" s="70"/>
      <c r="BK1118" s="70"/>
      <c r="BL1118" s="70"/>
      <c r="BM1118" s="70"/>
      <c r="BN1118" s="70"/>
      <c r="BO1118" s="70"/>
      <c r="BP1118" s="70"/>
      <c r="BQ1118" s="70"/>
      <c r="BR1118" s="70"/>
      <c r="BS1118" s="70"/>
      <c r="BT1118" s="70"/>
      <c r="BU1118" s="70"/>
      <c r="BV1118" s="70"/>
      <c r="BW1118" s="70"/>
      <c r="BX1118" s="70"/>
      <c r="BY1118" s="70"/>
      <c r="BZ1118" s="70"/>
      <c r="CA1118" s="70"/>
      <c r="CB1118" s="70"/>
      <c r="CC1118" s="70"/>
      <c r="CD1118" s="70"/>
      <c r="CE1118" s="70"/>
      <c r="CF1118" s="70"/>
      <c r="CG1118" s="70"/>
      <c r="CH1118" s="70"/>
      <c r="CI1118" s="70"/>
      <c r="CJ1118" s="70"/>
      <c r="CK1118" s="70"/>
      <c r="CL1118" s="70"/>
      <c r="CM1118" s="70"/>
      <c r="CN1118" s="70"/>
      <c r="CO1118" s="70"/>
      <c r="CP1118" s="70"/>
      <c r="CQ1118" s="70"/>
      <c r="CR1118" s="70"/>
      <c r="CS1118" s="70"/>
      <c r="CT1118" s="70"/>
      <c r="CU1118" s="70"/>
      <c r="CV1118" s="70"/>
      <c r="CW1118" s="70"/>
      <c r="CX1118" s="70"/>
      <c r="CY1118" s="70"/>
      <c r="CZ1118" s="70"/>
      <c r="DA1118" s="70"/>
      <c r="DB1118" s="70"/>
      <c r="DC1118" s="70"/>
      <c r="DD1118" s="70"/>
      <c r="DE1118" s="70"/>
      <c r="DF1118" s="70"/>
      <c r="DG1118" s="70"/>
      <c r="DH1118" s="70"/>
      <c r="DI1118" s="70"/>
      <c r="DJ1118" s="70"/>
      <c r="DK1118" s="70"/>
      <c r="DL1118" s="70"/>
      <c r="DM1118" s="70"/>
      <c r="DN1118" s="70"/>
      <c r="DO1118" s="70"/>
      <c r="DP1118" s="70"/>
      <c r="DQ1118" s="70"/>
      <c r="DR1118" s="70"/>
      <c r="DS1118" s="70"/>
      <c r="DT1118" s="70"/>
      <c r="DU1118" s="70"/>
      <c r="DV1118" s="70"/>
      <c r="DW1118" s="70"/>
      <c r="DX1118" s="70"/>
      <c r="DY1118" s="70"/>
      <c r="DZ1118" s="70"/>
      <c r="EA1118" s="70"/>
      <c r="EB1118" s="70"/>
      <c r="EC1118" s="70"/>
      <c r="ED1118" s="70"/>
      <c r="EE1118" s="95"/>
      <c r="EF1118" s="110"/>
      <c r="EG1118" s="110"/>
      <c r="EH1118" s="110"/>
      <c r="EI1118" s="216"/>
      <c r="EJ1118" s="110"/>
      <c r="EK1118" s="110"/>
      <c r="EL1118" s="110"/>
      <c r="EM1118" s="110"/>
      <c r="EN1118" s="110"/>
      <c r="EO1118" s="110"/>
      <c r="EP1118" s="110"/>
      <c r="EQ1118" s="110"/>
      <c r="ER1118" s="110"/>
      <c r="ES1118" s="110"/>
      <c r="ET1118" s="110"/>
      <c r="EU1118" s="110"/>
      <c r="EV1118" s="110"/>
      <c r="EW1118" s="110"/>
      <c r="EX1118" s="110"/>
      <c r="EY1118" s="110"/>
      <c r="EZ1118" s="110"/>
      <c r="FA1118" s="110"/>
      <c r="FB1118" s="110"/>
      <c r="FC1118" s="110"/>
      <c r="FD1118" s="110"/>
      <c r="FE1118" s="110"/>
      <c r="FF1118" s="110"/>
      <c r="FG1118" s="110"/>
      <c r="FH1118" s="110"/>
      <c r="FI1118" s="110"/>
      <c r="FJ1118" s="110"/>
      <c r="FK1118" s="110"/>
      <c r="FL1118" s="110"/>
      <c r="FM1118" s="110"/>
      <c r="FN1118" s="110"/>
      <c r="FO1118" s="110"/>
      <c r="FP1118" s="110"/>
      <c r="FQ1118" s="110"/>
      <c r="FR1118" s="110"/>
      <c r="FS1118" s="110"/>
      <c r="FT1118" s="110"/>
      <c r="FU1118" s="110"/>
      <c r="FV1118" s="110"/>
      <c r="FW1118" s="110"/>
      <c r="FX1118" s="110"/>
      <c r="FY1118" s="110"/>
      <c r="FZ1118" s="110"/>
      <c r="GA1118" s="110"/>
      <c r="GB1118" s="110"/>
      <c r="GC1118" s="110"/>
      <c r="GD1118" s="110"/>
      <c r="GE1118" s="110"/>
      <c r="GF1118" s="110"/>
      <c r="GG1118" s="110"/>
      <c r="GH1118" s="110"/>
      <c r="GI1118" s="110"/>
      <c r="GJ1118" s="110"/>
      <c r="GK1118" s="110"/>
      <c r="GL1118" s="110"/>
      <c r="GM1118" s="110"/>
      <c r="GN1118" s="110"/>
      <c r="GO1118" s="110"/>
      <c r="GP1118" s="110"/>
      <c r="GQ1118" s="110"/>
      <c r="GR1118" s="110"/>
      <c r="GS1118" s="110"/>
      <c r="GT1118" s="110"/>
      <c r="GU1118" s="110"/>
      <c r="GV1118" s="110"/>
      <c r="GW1118" s="110"/>
      <c r="GX1118" s="110"/>
      <c r="GY1118" s="110"/>
      <c r="GZ1118" s="110"/>
      <c r="HA1118" s="110"/>
      <c r="HB1118" s="110"/>
      <c r="HC1118" s="110"/>
      <c r="HD1118" s="110"/>
      <c r="HE1118" s="110"/>
      <c r="HF1118" s="110"/>
      <c r="HG1118" s="110"/>
      <c r="HH1118" s="110"/>
      <c r="HI1118" s="110"/>
      <c r="HJ1118" s="110"/>
      <c r="HK1118" s="110"/>
      <c r="HL1118" s="110"/>
      <c r="HM1118" s="110"/>
      <c r="HN1118" s="110"/>
      <c r="HO1118" s="110"/>
      <c r="HP1118" s="110"/>
      <c r="HQ1118" s="110"/>
      <c r="HR1118" s="110"/>
      <c r="HS1118" s="110"/>
      <c r="HT1118" s="110"/>
      <c r="HU1118" s="110"/>
      <c r="HV1118" s="110"/>
      <c r="HW1118" s="110"/>
      <c r="HX1118" s="110"/>
      <c r="HY1118" s="110"/>
      <c r="HZ1118" s="110"/>
      <c r="IA1118" s="110"/>
      <c r="IB1118" s="110"/>
      <c r="IC1118" s="110"/>
      <c r="ID1118" s="110"/>
      <c r="IE1118" s="110"/>
      <c r="IF1118" s="110"/>
      <c r="IG1118" s="110"/>
      <c r="IH1118" s="110"/>
      <c r="II1118" s="110"/>
      <c r="IJ1118" s="110"/>
      <c r="IK1118" s="110"/>
      <c r="IL1118" s="110"/>
      <c r="IM1118" s="110"/>
      <c r="IN1118" s="110"/>
      <c r="IO1118" s="110"/>
      <c r="IP1118" s="110"/>
    </row>
    <row r="1119" spans="18:250" ht="16.5" hidden="1" customHeight="1">
      <c r="R1119" s="95"/>
      <c r="S1119" s="95"/>
      <c r="T1119" s="95"/>
      <c r="U1119" s="70"/>
      <c r="V1119" s="214"/>
      <c r="W1119" s="70"/>
      <c r="X1119" s="70"/>
      <c r="Y1119" s="70"/>
      <c r="Z1119" s="70"/>
      <c r="AA1119" s="70"/>
      <c r="AB1119" s="70"/>
      <c r="AC1119" s="70"/>
      <c r="AD1119" s="70"/>
      <c r="AE1119" s="70"/>
      <c r="AF1119" s="70"/>
      <c r="AG1119" s="70"/>
      <c r="AH1119" s="70"/>
      <c r="AI1119" s="70"/>
      <c r="AJ1119" s="70"/>
      <c r="AK1119" s="70"/>
      <c r="AL1119" s="70"/>
      <c r="AM1119" s="70"/>
      <c r="AN1119" s="70"/>
      <c r="AO1119" s="70"/>
      <c r="AP1119" s="70"/>
      <c r="AQ1119" s="70"/>
      <c r="AR1119" s="70"/>
      <c r="AS1119" s="70"/>
      <c r="AT1119" s="70"/>
      <c r="AU1119" s="70"/>
      <c r="AV1119" s="70"/>
      <c r="AW1119" s="70"/>
      <c r="AX1119" s="70"/>
      <c r="AY1119" s="70"/>
      <c r="AZ1119" s="70"/>
      <c r="BA1119" s="70"/>
      <c r="BB1119" s="70"/>
      <c r="BC1119" s="70"/>
      <c r="BD1119" s="70"/>
      <c r="BE1119" s="70"/>
      <c r="BF1119" s="70"/>
      <c r="BG1119" s="70"/>
      <c r="BH1119" s="70"/>
      <c r="BI1119" s="70"/>
      <c r="BJ1119" s="70"/>
      <c r="BK1119" s="70"/>
      <c r="BL1119" s="70"/>
      <c r="BM1119" s="70"/>
      <c r="BN1119" s="70"/>
      <c r="BO1119" s="70"/>
      <c r="BP1119" s="70"/>
      <c r="BQ1119" s="70"/>
      <c r="BR1119" s="70"/>
      <c r="BS1119" s="70"/>
      <c r="BT1119" s="70"/>
      <c r="BU1119" s="70"/>
      <c r="BV1119" s="70"/>
      <c r="BW1119" s="70"/>
      <c r="BX1119" s="70"/>
      <c r="BY1119" s="70"/>
      <c r="BZ1119" s="70"/>
      <c r="CA1119" s="70"/>
      <c r="CB1119" s="70"/>
      <c r="CC1119" s="70"/>
      <c r="CD1119" s="70"/>
      <c r="CE1119" s="70"/>
      <c r="CF1119" s="70"/>
      <c r="CG1119" s="70"/>
      <c r="CH1119" s="70"/>
      <c r="CI1119" s="70"/>
      <c r="CJ1119" s="70"/>
      <c r="CK1119" s="70"/>
      <c r="CL1119" s="70"/>
      <c r="CM1119" s="70"/>
      <c r="CN1119" s="70"/>
      <c r="CO1119" s="70"/>
      <c r="CP1119" s="70"/>
      <c r="CQ1119" s="70"/>
      <c r="CR1119" s="70"/>
      <c r="CS1119" s="70"/>
      <c r="CT1119" s="70"/>
      <c r="CU1119" s="70"/>
      <c r="CV1119" s="70"/>
      <c r="CW1119" s="70"/>
      <c r="CX1119" s="70"/>
      <c r="CY1119" s="70"/>
      <c r="CZ1119" s="70"/>
      <c r="DA1119" s="70"/>
      <c r="DB1119" s="70"/>
      <c r="DC1119" s="70"/>
      <c r="DD1119" s="70"/>
      <c r="DE1119" s="70"/>
      <c r="DF1119" s="70"/>
      <c r="DG1119" s="70"/>
      <c r="DH1119" s="70"/>
      <c r="DI1119" s="70"/>
      <c r="DJ1119" s="70"/>
      <c r="DK1119" s="70"/>
      <c r="DL1119" s="70"/>
      <c r="DM1119" s="70"/>
      <c r="DN1119" s="70"/>
      <c r="DO1119" s="70"/>
      <c r="DP1119" s="70"/>
      <c r="DQ1119" s="70"/>
      <c r="DR1119" s="70"/>
      <c r="DS1119" s="70"/>
      <c r="DT1119" s="70"/>
      <c r="DU1119" s="70"/>
      <c r="DV1119" s="70"/>
      <c r="DW1119" s="70"/>
      <c r="DX1119" s="70"/>
      <c r="DY1119" s="70"/>
      <c r="DZ1119" s="70"/>
      <c r="EA1119" s="70"/>
      <c r="EB1119" s="70"/>
      <c r="EC1119" s="70"/>
      <c r="ED1119" s="70"/>
      <c r="EE1119" s="95"/>
      <c r="EF1119" s="110"/>
      <c r="EG1119" s="110"/>
      <c r="EH1119" s="110"/>
      <c r="EI1119" s="216"/>
      <c r="EJ1119" s="110"/>
      <c r="EK1119" s="110"/>
      <c r="EL1119" s="110"/>
      <c r="EM1119" s="110"/>
      <c r="EN1119" s="110"/>
      <c r="EO1119" s="110"/>
      <c r="EP1119" s="110"/>
      <c r="EQ1119" s="110"/>
      <c r="ER1119" s="110"/>
      <c r="ES1119" s="110"/>
      <c r="ET1119" s="110"/>
      <c r="EU1119" s="110"/>
      <c r="EV1119" s="110"/>
      <c r="EW1119" s="110"/>
      <c r="EX1119" s="110"/>
      <c r="EY1119" s="110"/>
      <c r="EZ1119" s="110"/>
      <c r="FA1119" s="110"/>
      <c r="FB1119" s="110"/>
      <c r="FC1119" s="110"/>
      <c r="FD1119" s="110"/>
      <c r="FE1119" s="110"/>
      <c r="FF1119" s="110"/>
      <c r="FG1119" s="110"/>
      <c r="FH1119" s="110"/>
      <c r="FI1119" s="110"/>
      <c r="FJ1119" s="110"/>
      <c r="FK1119" s="110"/>
      <c r="FL1119" s="110"/>
      <c r="FM1119" s="110"/>
      <c r="FN1119" s="110"/>
      <c r="FO1119" s="110"/>
      <c r="FP1119" s="110"/>
      <c r="FQ1119" s="110"/>
      <c r="FR1119" s="110"/>
      <c r="FS1119" s="110"/>
      <c r="FT1119" s="110"/>
      <c r="FU1119" s="110"/>
      <c r="FV1119" s="110"/>
      <c r="FW1119" s="110"/>
      <c r="FX1119" s="110"/>
      <c r="FY1119" s="110"/>
      <c r="FZ1119" s="110"/>
      <c r="GA1119" s="110"/>
      <c r="GB1119" s="110"/>
      <c r="GC1119" s="110"/>
      <c r="GD1119" s="110"/>
      <c r="GE1119" s="110"/>
      <c r="GF1119" s="110"/>
      <c r="GG1119" s="110"/>
      <c r="GH1119" s="110"/>
      <c r="GI1119" s="110"/>
      <c r="GJ1119" s="110"/>
      <c r="GK1119" s="110"/>
      <c r="GL1119" s="110"/>
      <c r="GM1119" s="110"/>
      <c r="GN1119" s="110"/>
      <c r="GO1119" s="110"/>
      <c r="GP1119" s="110"/>
      <c r="GQ1119" s="110"/>
      <c r="GR1119" s="110"/>
      <c r="GS1119" s="110"/>
      <c r="GT1119" s="110"/>
      <c r="GU1119" s="110"/>
      <c r="GV1119" s="110"/>
      <c r="GW1119" s="110"/>
      <c r="GX1119" s="110"/>
      <c r="GY1119" s="110"/>
      <c r="GZ1119" s="110"/>
      <c r="HA1119" s="110"/>
      <c r="HB1119" s="110"/>
      <c r="HC1119" s="110"/>
      <c r="HD1119" s="110"/>
      <c r="HE1119" s="110"/>
      <c r="HF1119" s="110"/>
      <c r="HG1119" s="110"/>
      <c r="HH1119" s="110"/>
      <c r="HI1119" s="110"/>
      <c r="HJ1119" s="110"/>
      <c r="HK1119" s="110"/>
      <c r="HL1119" s="110"/>
      <c r="HM1119" s="110"/>
      <c r="HN1119" s="110"/>
      <c r="HO1119" s="110"/>
      <c r="HP1119" s="110"/>
      <c r="HQ1119" s="110"/>
      <c r="HR1119" s="110"/>
      <c r="HS1119" s="110"/>
      <c r="HT1119" s="110"/>
      <c r="HU1119" s="110"/>
      <c r="HV1119" s="110"/>
      <c r="HW1119" s="110"/>
      <c r="HX1119" s="110"/>
      <c r="HY1119" s="110"/>
      <c r="HZ1119" s="110"/>
      <c r="IA1119" s="110"/>
      <c r="IB1119" s="110"/>
      <c r="IC1119" s="110"/>
      <c r="ID1119" s="110"/>
      <c r="IE1119" s="110"/>
      <c r="IF1119" s="110"/>
      <c r="IG1119" s="110"/>
      <c r="IH1119" s="110"/>
      <c r="II1119" s="110"/>
      <c r="IJ1119" s="110"/>
      <c r="IK1119" s="110"/>
      <c r="IL1119" s="110"/>
      <c r="IM1119" s="110"/>
      <c r="IN1119" s="110"/>
      <c r="IO1119" s="110"/>
      <c r="IP1119" s="110"/>
    </row>
    <row r="1120" spans="18:250" ht="16.5" hidden="1" customHeight="1">
      <c r="R1120" s="95"/>
      <c r="S1120" s="95"/>
      <c r="T1120" s="95"/>
      <c r="U1120" s="70"/>
      <c r="V1120" s="214"/>
      <c r="W1120" s="70"/>
      <c r="X1120" s="70"/>
      <c r="Y1120" s="70"/>
      <c r="Z1120" s="70"/>
      <c r="AA1120" s="70"/>
      <c r="AB1120" s="70"/>
      <c r="AC1120" s="70"/>
      <c r="AD1120" s="70"/>
      <c r="AE1120" s="70"/>
      <c r="AF1120" s="70"/>
      <c r="AG1120" s="70"/>
      <c r="AH1120" s="70"/>
      <c r="AI1120" s="70"/>
      <c r="AJ1120" s="70"/>
      <c r="AK1120" s="70"/>
      <c r="AL1120" s="70"/>
      <c r="AM1120" s="70"/>
      <c r="AN1120" s="70"/>
      <c r="AO1120" s="70"/>
      <c r="AP1120" s="70"/>
      <c r="AQ1120" s="70"/>
      <c r="AR1120" s="70"/>
      <c r="AS1120" s="70"/>
      <c r="AT1120" s="70"/>
      <c r="AU1120" s="70"/>
      <c r="AV1120" s="70"/>
      <c r="AW1120" s="70"/>
      <c r="AX1120" s="70"/>
      <c r="AY1120" s="70"/>
      <c r="AZ1120" s="70"/>
      <c r="BA1120" s="70"/>
      <c r="BB1120" s="70"/>
      <c r="BC1120" s="70"/>
      <c r="BD1120" s="70"/>
      <c r="BE1120" s="70"/>
      <c r="BF1120" s="70"/>
      <c r="BG1120" s="70"/>
      <c r="BH1120" s="70"/>
      <c r="BI1120" s="70"/>
      <c r="BJ1120" s="70"/>
      <c r="BK1120" s="70"/>
      <c r="BL1120" s="70"/>
      <c r="BM1120" s="70"/>
      <c r="BN1120" s="70"/>
      <c r="BO1120" s="70"/>
      <c r="BP1120" s="70"/>
      <c r="BQ1120" s="70"/>
      <c r="BR1120" s="70"/>
      <c r="BS1120" s="70"/>
      <c r="BT1120" s="70"/>
      <c r="BU1120" s="70"/>
      <c r="BV1120" s="70"/>
      <c r="BW1120" s="70"/>
      <c r="BX1120" s="70"/>
      <c r="BY1120" s="70"/>
      <c r="BZ1120" s="70"/>
      <c r="CA1120" s="70"/>
      <c r="CB1120" s="70"/>
      <c r="CC1120" s="70"/>
      <c r="CD1120" s="70"/>
      <c r="CE1120" s="70"/>
      <c r="CF1120" s="70"/>
      <c r="CG1120" s="70"/>
      <c r="CH1120" s="70"/>
      <c r="CI1120" s="70"/>
      <c r="CJ1120" s="70"/>
      <c r="CK1120" s="70"/>
      <c r="CL1120" s="70"/>
      <c r="CM1120" s="70"/>
      <c r="CN1120" s="70"/>
      <c r="CO1120" s="70"/>
      <c r="CP1120" s="70"/>
      <c r="CQ1120" s="70"/>
      <c r="CR1120" s="70"/>
      <c r="CS1120" s="70"/>
      <c r="CT1120" s="70"/>
      <c r="CU1120" s="70"/>
      <c r="CV1120" s="70"/>
      <c r="CW1120" s="70"/>
      <c r="CX1120" s="70"/>
      <c r="CY1120" s="70"/>
      <c r="CZ1120" s="70"/>
      <c r="DA1120" s="70"/>
      <c r="DB1120" s="70"/>
      <c r="DC1120" s="70"/>
      <c r="DD1120" s="70"/>
      <c r="DE1120" s="70"/>
      <c r="DF1120" s="70"/>
      <c r="DG1120" s="70"/>
      <c r="DH1120" s="70"/>
      <c r="DI1120" s="70"/>
      <c r="DJ1120" s="70"/>
      <c r="DK1120" s="70"/>
      <c r="DL1120" s="70"/>
      <c r="DM1120" s="70"/>
      <c r="DN1120" s="70"/>
      <c r="DO1120" s="70"/>
      <c r="DP1120" s="70"/>
      <c r="DQ1120" s="70"/>
      <c r="DR1120" s="70"/>
      <c r="DS1120" s="70"/>
      <c r="DT1120" s="70"/>
      <c r="DU1120" s="70"/>
      <c r="DV1120" s="70"/>
      <c r="DW1120" s="70"/>
      <c r="DX1120" s="70"/>
      <c r="DY1120" s="70"/>
      <c r="DZ1120" s="70"/>
      <c r="EA1120" s="70"/>
      <c r="EB1120" s="70"/>
      <c r="EC1120" s="70"/>
      <c r="ED1120" s="70"/>
      <c r="EE1120" s="95"/>
      <c r="EF1120" s="110"/>
      <c r="EG1120" s="110"/>
      <c r="EH1120" s="110"/>
      <c r="EI1120" s="216"/>
      <c r="EJ1120" s="110"/>
      <c r="EK1120" s="110"/>
      <c r="EL1120" s="110"/>
      <c r="EM1120" s="110"/>
      <c r="EN1120" s="110"/>
      <c r="EO1120" s="110"/>
      <c r="EP1120" s="110"/>
      <c r="EQ1120" s="110"/>
      <c r="ER1120" s="110"/>
      <c r="ES1120" s="110"/>
      <c r="ET1120" s="110"/>
      <c r="EU1120" s="110"/>
      <c r="EV1120" s="110"/>
      <c r="EW1120" s="110"/>
      <c r="EX1120" s="110"/>
      <c r="EY1120" s="110"/>
      <c r="EZ1120" s="110"/>
      <c r="FA1120" s="110"/>
      <c r="FB1120" s="110"/>
      <c r="FC1120" s="110"/>
      <c r="FD1120" s="110"/>
      <c r="FE1120" s="110"/>
      <c r="FF1120" s="110"/>
      <c r="FG1120" s="110"/>
      <c r="FH1120" s="110"/>
      <c r="FI1120" s="110"/>
      <c r="FJ1120" s="110"/>
      <c r="FK1120" s="110"/>
      <c r="FL1120" s="110"/>
      <c r="FM1120" s="110"/>
      <c r="FN1120" s="110"/>
      <c r="FO1120" s="110"/>
      <c r="FP1120" s="110"/>
      <c r="FQ1120" s="110"/>
      <c r="FR1120" s="110"/>
      <c r="FS1120" s="110"/>
      <c r="FT1120" s="110"/>
      <c r="FU1120" s="110"/>
      <c r="FV1120" s="110"/>
      <c r="FW1120" s="110"/>
      <c r="FX1120" s="110"/>
      <c r="FY1120" s="110"/>
      <c r="FZ1120" s="110"/>
      <c r="GA1120" s="110"/>
      <c r="GB1120" s="110"/>
      <c r="GC1120" s="110"/>
      <c r="GD1120" s="110"/>
      <c r="GE1120" s="110"/>
      <c r="GF1120" s="110"/>
      <c r="GG1120" s="110"/>
      <c r="GH1120" s="110"/>
      <c r="GI1120" s="110"/>
      <c r="GJ1120" s="110"/>
      <c r="GK1120" s="110"/>
      <c r="GL1120" s="110"/>
      <c r="GM1120" s="110"/>
      <c r="GN1120" s="110"/>
      <c r="GO1120" s="110"/>
      <c r="GP1120" s="110"/>
      <c r="GQ1120" s="110"/>
      <c r="GR1120" s="110"/>
      <c r="GS1120" s="110"/>
      <c r="GT1120" s="110"/>
      <c r="GU1120" s="110"/>
      <c r="GV1120" s="110"/>
      <c r="GW1120" s="110"/>
      <c r="GX1120" s="110"/>
      <c r="GY1120" s="110"/>
      <c r="GZ1120" s="110"/>
      <c r="HA1120" s="110"/>
      <c r="HB1120" s="110"/>
      <c r="HC1120" s="110"/>
      <c r="HD1120" s="110"/>
      <c r="HE1120" s="110"/>
      <c r="HF1120" s="110"/>
      <c r="HG1120" s="110"/>
      <c r="HH1120" s="110"/>
      <c r="HI1120" s="110"/>
      <c r="HJ1120" s="110"/>
      <c r="HK1120" s="110"/>
      <c r="HL1120" s="110"/>
      <c r="HM1120" s="110"/>
      <c r="HN1120" s="110"/>
      <c r="HO1120" s="110"/>
      <c r="HP1120" s="110"/>
      <c r="HQ1120" s="110"/>
      <c r="HR1120" s="110"/>
      <c r="HS1120" s="110"/>
      <c r="HT1120" s="110"/>
      <c r="HU1120" s="110"/>
      <c r="HV1120" s="110"/>
      <c r="HW1120" s="110"/>
      <c r="HX1120" s="110"/>
      <c r="HY1120" s="110"/>
      <c r="HZ1120" s="110"/>
      <c r="IA1120" s="110"/>
      <c r="IB1120" s="110"/>
      <c r="IC1120" s="110"/>
      <c r="ID1120" s="110"/>
      <c r="IE1120" s="110"/>
      <c r="IF1120" s="110"/>
      <c r="IG1120" s="110"/>
      <c r="IH1120" s="110"/>
      <c r="II1120" s="110"/>
      <c r="IJ1120" s="110"/>
      <c r="IK1120" s="110"/>
      <c r="IL1120" s="110"/>
      <c r="IM1120" s="110"/>
      <c r="IN1120" s="110"/>
      <c r="IO1120" s="110"/>
      <c r="IP1120" s="110"/>
    </row>
    <row r="1121" spans="18:250" ht="16.5" hidden="1" customHeight="1">
      <c r="R1121" s="95"/>
      <c r="S1121" s="95"/>
      <c r="T1121" s="95"/>
      <c r="U1121" s="70"/>
      <c r="V1121" s="214"/>
      <c r="W1121" s="70"/>
      <c r="X1121" s="70"/>
      <c r="Y1121" s="70"/>
      <c r="Z1121" s="70"/>
      <c r="AA1121" s="70"/>
      <c r="AB1121" s="70"/>
      <c r="AC1121" s="70"/>
      <c r="AD1121" s="70"/>
      <c r="AE1121" s="70"/>
      <c r="AF1121" s="70"/>
      <c r="AG1121" s="70"/>
      <c r="AH1121" s="70"/>
      <c r="AI1121" s="70"/>
      <c r="AJ1121" s="70"/>
      <c r="AK1121" s="70"/>
      <c r="AL1121" s="70"/>
      <c r="AM1121" s="70"/>
      <c r="AN1121" s="70"/>
      <c r="AO1121" s="70"/>
      <c r="AP1121" s="70"/>
      <c r="AQ1121" s="70"/>
      <c r="AR1121" s="70"/>
      <c r="AS1121" s="70"/>
      <c r="AT1121" s="70"/>
      <c r="AU1121" s="70"/>
      <c r="AV1121" s="70"/>
      <c r="AW1121" s="70"/>
      <c r="AX1121" s="70"/>
      <c r="AY1121" s="70"/>
      <c r="AZ1121" s="70"/>
      <c r="BA1121" s="70"/>
      <c r="BB1121" s="70"/>
      <c r="BC1121" s="70"/>
      <c r="BD1121" s="70"/>
      <c r="BE1121" s="70"/>
      <c r="BF1121" s="70"/>
      <c r="BG1121" s="70"/>
      <c r="BH1121" s="70"/>
      <c r="BI1121" s="70"/>
      <c r="BJ1121" s="70"/>
      <c r="BK1121" s="70"/>
      <c r="BL1121" s="70"/>
      <c r="BM1121" s="70"/>
      <c r="BN1121" s="70"/>
      <c r="BO1121" s="70"/>
      <c r="BP1121" s="70"/>
      <c r="BQ1121" s="70"/>
      <c r="BR1121" s="70"/>
      <c r="BS1121" s="70"/>
      <c r="BT1121" s="70"/>
      <c r="BU1121" s="70"/>
      <c r="BV1121" s="70"/>
      <c r="BW1121" s="70"/>
      <c r="BX1121" s="70"/>
      <c r="BY1121" s="70"/>
      <c r="BZ1121" s="70"/>
      <c r="CA1121" s="70"/>
      <c r="CB1121" s="70"/>
      <c r="CC1121" s="70"/>
      <c r="CD1121" s="70"/>
      <c r="CE1121" s="70"/>
      <c r="CF1121" s="70"/>
      <c r="CG1121" s="70"/>
      <c r="CH1121" s="70"/>
      <c r="CI1121" s="70"/>
      <c r="CJ1121" s="70"/>
      <c r="CK1121" s="70"/>
      <c r="CL1121" s="70"/>
      <c r="CM1121" s="70"/>
      <c r="CN1121" s="70"/>
      <c r="CO1121" s="70"/>
      <c r="CP1121" s="70"/>
      <c r="CQ1121" s="70"/>
      <c r="CR1121" s="70"/>
      <c r="CS1121" s="70"/>
      <c r="CT1121" s="70"/>
      <c r="CU1121" s="70"/>
      <c r="CV1121" s="70"/>
      <c r="CW1121" s="70"/>
      <c r="CX1121" s="70"/>
      <c r="CY1121" s="70"/>
      <c r="CZ1121" s="70"/>
      <c r="DA1121" s="70"/>
      <c r="DB1121" s="70"/>
      <c r="DC1121" s="70"/>
      <c r="DD1121" s="70"/>
      <c r="DE1121" s="70"/>
      <c r="DF1121" s="70"/>
      <c r="DG1121" s="70"/>
      <c r="DH1121" s="70"/>
      <c r="DI1121" s="70"/>
      <c r="DJ1121" s="70"/>
      <c r="DK1121" s="70"/>
      <c r="DL1121" s="70"/>
      <c r="DM1121" s="70"/>
      <c r="DN1121" s="70"/>
      <c r="DO1121" s="70"/>
      <c r="DP1121" s="70"/>
      <c r="DQ1121" s="70"/>
      <c r="DR1121" s="70"/>
      <c r="DS1121" s="70"/>
      <c r="DT1121" s="70"/>
      <c r="DU1121" s="70"/>
      <c r="DV1121" s="70"/>
      <c r="DW1121" s="70"/>
      <c r="DX1121" s="70"/>
      <c r="DY1121" s="70"/>
      <c r="DZ1121" s="70"/>
      <c r="EA1121" s="70"/>
      <c r="EB1121" s="70"/>
      <c r="EC1121" s="70"/>
      <c r="ED1121" s="70"/>
      <c r="EE1121" s="95" t="s">
        <v>450</v>
      </c>
      <c r="EF1121" s="95"/>
      <c r="EG1121" s="95"/>
      <c r="EH1121" s="70"/>
      <c r="EI1121" s="216"/>
      <c r="EJ1121" s="70"/>
      <c r="EK1121" s="70"/>
      <c r="EL1121" s="70"/>
      <c r="EM1121" s="70"/>
      <c r="EN1121" s="70"/>
      <c r="EO1121" s="70"/>
      <c r="EP1121" s="70"/>
      <c r="EQ1121" s="70"/>
      <c r="ER1121" s="70"/>
      <c r="ES1121" s="70"/>
      <c r="ET1121" s="70"/>
      <c r="EU1121" s="70"/>
      <c r="EV1121" s="70"/>
      <c r="EW1121" s="70"/>
      <c r="EX1121" s="70"/>
      <c r="EY1121" s="70"/>
      <c r="EZ1121" s="70"/>
      <c r="FA1121" s="70"/>
      <c r="FB1121" s="70"/>
      <c r="FC1121" s="70"/>
      <c r="FD1121" s="70"/>
      <c r="FE1121" s="70"/>
      <c r="FF1121" s="70"/>
      <c r="FG1121" s="70"/>
      <c r="FH1121" s="70"/>
      <c r="FI1121" s="70"/>
      <c r="FJ1121" s="70"/>
      <c r="FK1121" s="70"/>
      <c r="FL1121" s="70"/>
      <c r="FM1121" s="70"/>
      <c r="FN1121" s="70"/>
      <c r="FO1121" s="70"/>
      <c r="FP1121" s="70"/>
      <c r="FQ1121" s="70"/>
      <c r="FR1121" s="70"/>
      <c r="FS1121" s="70"/>
      <c r="FT1121" s="70"/>
      <c r="FU1121" s="70"/>
      <c r="FV1121" s="70"/>
      <c r="FW1121" s="70"/>
      <c r="FX1121" s="70"/>
      <c r="FY1121" s="70"/>
      <c r="FZ1121" s="70"/>
      <c r="GA1121" s="70"/>
      <c r="GB1121" s="70"/>
      <c r="GC1121" s="70"/>
      <c r="GD1121" s="70"/>
      <c r="GE1121" s="70"/>
      <c r="GF1121" s="70"/>
      <c r="GG1121" s="70"/>
      <c r="GH1121" s="70"/>
      <c r="GI1121" s="70"/>
      <c r="GJ1121" s="70"/>
      <c r="GK1121" s="70"/>
      <c r="GL1121" s="70"/>
      <c r="GM1121" s="70"/>
      <c r="GN1121" s="70"/>
      <c r="GO1121" s="70"/>
      <c r="GP1121" s="70"/>
      <c r="GQ1121" s="70"/>
      <c r="GR1121" s="70"/>
      <c r="GS1121" s="70"/>
      <c r="GT1121" s="70"/>
      <c r="GU1121" s="70"/>
      <c r="GV1121" s="70"/>
      <c r="GW1121" s="70"/>
      <c r="GX1121" s="70"/>
      <c r="GY1121" s="70"/>
      <c r="GZ1121" s="70"/>
      <c r="HA1121" s="70"/>
      <c r="HB1121" s="70"/>
      <c r="HC1121" s="70"/>
      <c r="HD1121" s="70"/>
      <c r="HE1121" s="70"/>
      <c r="HF1121" s="70"/>
      <c r="HG1121" s="70"/>
      <c r="HH1121" s="70"/>
      <c r="HI1121" s="70"/>
      <c r="HJ1121" s="70"/>
      <c r="HK1121" s="70"/>
      <c r="HL1121" s="70"/>
      <c r="HM1121" s="70"/>
      <c r="HN1121" s="70"/>
      <c r="HO1121" s="70"/>
      <c r="HP1121" s="70"/>
      <c r="HQ1121" s="70"/>
      <c r="HR1121" s="70"/>
      <c r="HS1121" s="70"/>
      <c r="HT1121" s="70"/>
      <c r="HU1121" s="70"/>
      <c r="HV1121" s="70"/>
      <c r="HW1121" s="70"/>
      <c r="HX1121" s="70"/>
      <c r="HY1121" s="70"/>
      <c r="HZ1121" s="70"/>
      <c r="IA1121" s="70"/>
      <c r="IB1121" s="70"/>
      <c r="IC1121" s="70"/>
      <c r="ID1121" s="70"/>
      <c r="IE1121" s="70"/>
      <c r="IF1121" s="70"/>
      <c r="IG1121" s="70"/>
      <c r="IH1121" s="70"/>
      <c r="II1121" s="70"/>
      <c r="IJ1121" s="70"/>
      <c r="IK1121" s="70"/>
      <c r="IL1121" s="70"/>
      <c r="IM1121" s="70"/>
      <c r="IN1121" s="70"/>
      <c r="IO1121" s="70"/>
      <c r="IP1121" s="70"/>
    </row>
    <row r="1122" spans="18:250" ht="16.5" hidden="1" customHeight="1">
      <c r="R1122" s="95"/>
      <c r="S1122" s="95"/>
      <c r="T1122" s="95"/>
      <c r="U1122" s="70"/>
      <c r="V1122" s="214"/>
      <c r="W1122" s="70"/>
      <c r="X1122" s="70"/>
      <c r="Y1122" s="70"/>
      <c r="Z1122" s="70"/>
      <c r="AA1122" s="70"/>
      <c r="AB1122" s="70"/>
      <c r="AC1122" s="70"/>
      <c r="AD1122" s="70"/>
      <c r="AE1122" s="70"/>
      <c r="AF1122" s="70"/>
      <c r="AG1122" s="70"/>
      <c r="AH1122" s="70"/>
      <c r="AI1122" s="70"/>
      <c r="AJ1122" s="70"/>
      <c r="AK1122" s="70"/>
      <c r="AL1122" s="70"/>
      <c r="AM1122" s="70"/>
      <c r="AN1122" s="70"/>
      <c r="AO1122" s="70"/>
      <c r="AP1122" s="70"/>
      <c r="AQ1122" s="70"/>
      <c r="AR1122" s="70"/>
      <c r="AS1122" s="70"/>
      <c r="AT1122" s="70"/>
      <c r="AU1122" s="70"/>
      <c r="AV1122" s="70"/>
      <c r="AW1122" s="70"/>
      <c r="AX1122" s="70"/>
      <c r="AY1122" s="70"/>
      <c r="AZ1122" s="70"/>
      <c r="BA1122" s="70"/>
      <c r="BB1122" s="70"/>
      <c r="BC1122" s="70"/>
      <c r="BD1122" s="70"/>
      <c r="BE1122" s="70"/>
      <c r="BF1122" s="70"/>
      <c r="BG1122" s="70"/>
      <c r="BH1122" s="70"/>
      <c r="BI1122" s="70"/>
      <c r="BJ1122" s="70"/>
      <c r="BK1122" s="70"/>
      <c r="BL1122" s="70"/>
      <c r="BM1122" s="70"/>
      <c r="BN1122" s="70"/>
      <c r="BO1122" s="70"/>
      <c r="BP1122" s="70"/>
      <c r="BQ1122" s="70"/>
      <c r="BR1122" s="70"/>
      <c r="BS1122" s="70"/>
      <c r="BT1122" s="70"/>
      <c r="BU1122" s="70"/>
      <c r="BV1122" s="70"/>
      <c r="BW1122" s="70"/>
      <c r="BX1122" s="70"/>
      <c r="BY1122" s="70"/>
      <c r="BZ1122" s="70"/>
      <c r="CA1122" s="70"/>
      <c r="CB1122" s="70"/>
      <c r="CC1122" s="70"/>
      <c r="CD1122" s="70"/>
      <c r="CE1122" s="70"/>
      <c r="CF1122" s="70"/>
      <c r="CG1122" s="70"/>
      <c r="CH1122" s="70"/>
      <c r="CI1122" s="70"/>
      <c r="CJ1122" s="70"/>
      <c r="CK1122" s="70"/>
      <c r="CL1122" s="70"/>
      <c r="CM1122" s="70"/>
      <c r="CN1122" s="70"/>
      <c r="CO1122" s="70"/>
      <c r="CP1122" s="70"/>
      <c r="CQ1122" s="70"/>
      <c r="CR1122" s="70"/>
      <c r="CS1122" s="70"/>
      <c r="CT1122" s="70"/>
      <c r="CU1122" s="70"/>
      <c r="CV1122" s="70"/>
      <c r="CW1122" s="70"/>
      <c r="CX1122" s="70"/>
      <c r="CY1122" s="70"/>
      <c r="CZ1122" s="70"/>
      <c r="DA1122" s="70"/>
      <c r="DB1122" s="70"/>
      <c r="DC1122" s="70"/>
      <c r="DD1122" s="70"/>
      <c r="DE1122" s="70"/>
      <c r="DF1122" s="70"/>
      <c r="DG1122" s="70"/>
      <c r="DH1122" s="70"/>
      <c r="DI1122" s="70"/>
      <c r="DJ1122" s="70"/>
      <c r="DK1122" s="70"/>
      <c r="DL1122" s="70"/>
      <c r="DM1122" s="70"/>
      <c r="DN1122" s="70"/>
      <c r="DO1122" s="70"/>
      <c r="DP1122" s="70"/>
      <c r="DQ1122" s="70"/>
      <c r="DR1122" s="70"/>
      <c r="DS1122" s="70"/>
      <c r="DT1122" s="70"/>
      <c r="DU1122" s="70"/>
      <c r="DV1122" s="70"/>
      <c r="DW1122" s="70"/>
      <c r="DX1122" s="70"/>
      <c r="DY1122" s="70"/>
      <c r="DZ1122" s="70"/>
      <c r="EA1122" s="70"/>
      <c r="EB1122" s="70"/>
      <c r="EC1122" s="70"/>
      <c r="ED1122" s="70"/>
      <c r="EE1122" s="95" t="s">
        <v>450</v>
      </c>
      <c r="EF1122" s="95"/>
      <c r="EG1122" s="95"/>
      <c r="EH1122" s="70"/>
      <c r="EI1122" s="216"/>
      <c r="EJ1122" s="70"/>
      <c r="EK1122" s="70"/>
      <c r="EL1122" s="70"/>
      <c r="EM1122" s="70"/>
      <c r="EN1122" s="70"/>
      <c r="EO1122" s="70"/>
      <c r="EP1122" s="70"/>
      <c r="EQ1122" s="70"/>
      <c r="ER1122" s="70"/>
      <c r="ES1122" s="70"/>
      <c r="ET1122" s="70"/>
      <c r="EU1122" s="70"/>
      <c r="EV1122" s="70"/>
      <c r="EW1122" s="70"/>
      <c r="EX1122" s="70"/>
      <c r="EY1122" s="70"/>
      <c r="EZ1122" s="70"/>
      <c r="FA1122" s="70"/>
      <c r="FB1122" s="70"/>
      <c r="FC1122" s="70"/>
      <c r="FD1122" s="70"/>
      <c r="FE1122" s="70"/>
      <c r="FF1122" s="70"/>
      <c r="FG1122" s="70"/>
      <c r="FH1122" s="70"/>
      <c r="FI1122" s="70"/>
      <c r="FJ1122" s="70"/>
      <c r="FK1122" s="70"/>
      <c r="FL1122" s="70"/>
      <c r="FM1122" s="70"/>
      <c r="FN1122" s="70"/>
      <c r="FO1122" s="70"/>
      <c r="FP1122" s="70"/>
      <c r="FQ1122" s="70"/>
      <c r="FR1122" s="70"/>
      <c r="FS1122" s="70"/>
      <c r="FT1122" s="70"/>
      <c r="FU1122" s="70"/>
      <c r="FV1122" s="70"/>
      <c r="FW1122" s="70"/>
      <c r="FX1122" s="70"/>
      <c r="FY1122" s="70"/>
      <c r="FZ1122" s="70"/>
      <c r="GA1122" s="70"/>
      <c r="GB1122" s="70"/>
      <c r="GC1122" s="70"/>
      <c r="GD1122" s="70"/>
      <c r="GE1122" s="70"/>
      <c r="GF1122" s="70"/>
      <c r="GG1122" s="70"/>
      <c r="GH1122" s="70"/>
      <c r="GI1122" s="70"/>
      <c r="GJ1122" s="70"/>
      <c r="GK1122" s="70"/>
      <c r="GL1122" s="70"/>
      <c r="GM1122" s="70"/>
      <c r="GN1122" s="70"/>
      <c r="GO1122" s="70"/>
      <c r="GP1122" s="70"/>
      <c r="GQ1122" s="70"/>
      <c r="GR1122" s="70"/>
      <c r="GS1122" s="70"/>
      <c r="GT1122" s="70"/>
      <c r="GU1122" s="70"/>
      <c r="GV1122" s="70"/>
      <c r="GW1122" s="70"/>
      <c r="GX1122" s="70"/>
      <c r="GY1122" s="70"/>
      <c r="GZ1122" s="70"/>
      <c r="HA1122" s="70"/>
      <c r="HB1122" s="70"/>
      <c r="HC1122" s="70"/>
      <c r="HD1122" s="70"/>
      <c r="HE1122" s="70"/>
      <c r="HF1122" s="70"/>
      <c r="HG1122" s="70"/>
      <c r="HH1122" s="70"/>
      <c r="HI1122" s="70"/>
      <c r="HJ1122" s="70"/>
      <c r="HK1122" s="70"/>
      <c r="HL1122" s="70"/>
      <c r="HM1122" s="70"/>
      <c r="HN1122" s="70"/>
      <c r="HO1122" s="70"/>
      <c r="HP1122" s="70"/>
      <c r="HQ1122" s="70"/>
      <c r="HR1122" s="70"/>
      <c r="HS1122" s="70"/>
      <c r="HT1122" s="70"/>
      <c r="HU1122" s="70"/>
      <c r="HV1122" s="70"/>
      <c r="HW1122" s="70"/>
      <c r="HX1122" s="70"/>
      <c r="HY1122" s="70"/>
      <c r="HZ1122" s="70"/>
      <c r="IA1122" s="70"/>
      <c r="IB1122" s="70"/>
      <c r="IC1122" s="70"/>
      <c r="ID1122" s="70"/>
      <c r="IE1122" s="70"/>
      <c r="IF1122" s="70"/>
      <c r="IG1122" s="70"/>
      <c r="IH1122" s="70"/>
      <c r="II1122" s="70"/>
      <c r="IJ1122" s="70"/>
      <c r="IK1122" s="70"/>
      <c r="IL1122" s="70"/>
      <c r="IM1122" s="70"/>
      <c r="IN1122" s="70"/>
      <c r="IO1122" s="70"/>
      <c r="IP1122" s="70"/>
    </row>
    <row r="1123" spans="18:250" ht="16.5" hidden="1" customHeight="1">
      <c r="R1123" s="95"/>
      <c r="S1123" s="95"/>
      <c r="T1123" s="95"/>
      <c r="U1123" s="70"/>
      <c r="V1123" s="214"/>
      <c r="W1123" s="70"/>
      <c r="X1123" s="70"/>
      <c r="Y1123" s="70"/>
      <c r="Z1123" s="70"/>
      <c r="AA1123" s="70"/>
      <c r="AB1123" s="70"/>
      <c r="AC1123" s="70"/>
      <c r="AD1123" s="70"/>
      <c r="AE1123" s="70"/>
      <c r="AF1123" s="70"/>
      <c r="AG1123" s="70"/>
      <c r="AH1123" s="70"/>
      <c r="AI1123" s="70"/>
      <c r="AJ1123" s="70"/>
      <c r="AK1123" s="70"/>
      <c r="AL1123" s="70"/>
      <c r="AM1123" s="70"/>
      <c r="AN1123" s="70"/>
      <c r="AO1123" s="70"/>
      <c r="AP1123" s="70"/>
      <c r="AQ1123" s="70"/>
      <c r="AR1123" s="70"/>
      <c r="AS1123" s="70"/>
      <c r="AT1123" s="70"/>
      <c r="AU1123" s="70"/>
      <c r="AV1123" s="70"/>
      <c r="AW1123" s="70"/>
      <c r="AX1123" s="70"/>
      <c r="AY1123" s="70"/>
      <c r="AZ1123" s="70"/>
      <c r="BA1123" s="70"/>
      <c r="BB1123" s="70"/>
      <c r="BC1123" s="70"/>
      <c r="BD1123" s="70"/>
      <c r="BE1123" s="70"/>
      <c r="BF1123" s="70"/>
      <c r="BG1123" s="70"/>
      <c r="BH1123" s="70"/>
      <c r="BI1123" s="70"/>
      <c r="BJ1123" s="70"/>
      <c r="BK1123" s="70"/>
      <c r="BL1123" s="70"/>
      <c r="BM1123" s="70"/>
      <c r="BN1123" s="70"/>
      <c r="BO1123" s="70"/>
      <c r="BP1123" s="70"/>
      <c r="BQ1123" s="70"/>
      <c r="BR1123" s="70"/>
      <c r="BS1123" s="70"/>
      <c r="BT1123" s="70"/>
      <c r="BU1123" s="70"/>
      <c r="BV1123" s="70"/>
      <c r="BW1123" s="70"/>
      <c r="BX1123" s="70"/>
      <c r="BY1123" s="70"/>
      <c r="BZ1123" s="70"/>
      <c r="CA1123" s="70"/>
      <c r="CB1123" s="70"/>
      <c r="CC1123" s="70"/>
      <c r="CD1123" s="70"/>
      <c r="CE1123" s="70"/>
      <c r="CF1123" s="70"/>
      <c r="CG1123" s="70"/>
      <c r="CH1123" s="70"/>
      <c r="CI1123" s="70"/>
      <c r="CJ1123" s="70"/>
      <c r="CK1123" s="70"/>
      <c r="CL1123" s="70"/>
      <c r="CM1123" s="70"/>
      <c r="CN1123" s="70"/>
      <c r="CO1123" s="70"/>
      <c r="CP1123" s="70"/>
      <c r="CQ1123" s="70"/>
      <c r="CR1123" s="70"/>
      <c r="CS1123" s="70"/>
      <c r="CT1123" s="70"/>
      <c r="CU1123" s="70"/>
      <c r="CV1123" s="70"/>
      <c r="CW1123" s="70"/>
      <c r="CX1123" s="70"/>
      <c r="CY1123" s="70"/>
      <c r="CZ1123" s="70"/>
      <c r="DA1123" s="70"/>
      <c r="DB1123" s="70"/>
      <c r="DC1123" s="70"/>
      <c r="DD1123" s="70"/>
      <c r="DE1123" s="70"/>
      <c r="DF1123" s="70"/>
      <c r="DG1123" s="70"/>
      <c r="DH1123" s="70"/>
      <c r="DI1123" s="70"/>
      <c r="DJ1123" s="70"/>
      <c r="DK1123" s="70"/>
      <c r="DL1123" s="70"/>
      <c r="DM1123" s="70"/>
      <c r="DN1123" s="70"/>
      <c r="DO1123" s="70"/>
      <c r="DP1123" s="70"/>
      <c r="DQ1123" s="70"/>
      <c r="DR1123" s="70"/>
      <c r="DS1123" s="70"/>
      <c r="DT1123" s="70"/>
      <c r="DU1123" s="70"/>
      <c r="DV1123" s="70"/>
      <c r="DW1123" s="70"/>
      <c r="DX1123" s="70"/>
      <c r="DY1123" s="70"/>
      <c r="DZ1123" s="70"/>
      <c r="EA1123" s="70"/>
      <c r="EB1123" s="70"/>
      <c r="EC1123" s="70"/>
      <c r="ED1123" s="70"/>
      <c r="EE1123" s="95" t="s">
        <v>450</v>
      </c>
      <c r="EF1123" s="95"/>
      <c r="EG1123" s="95"/>
      <c r="EH1123" s="70"/>
      <c r="EI1123" s="216"/>
      <c r="EJ1123" s="70"/>
      <c r="EK1123" s="70"/>
      <c r="EL1123" s="70"/>
      <c r="EM1123" s="70"/>
      <c r="EN1123" s="70"/>
      <c r="EO1123" s="70"/>
      <c r="EP1123" s="70"/>
      <c r="EQ1123" s="70"/>
      <c r="ER1123" s="70"/>
      <c r="ES1123" s="70"/>
      <c r="ET1123" s="70"/>
      <c r="EU1123" s="70"/>
      <c r="EV1123" s="70"/>
      <c r="EW1123" s="70"/>
      <c r="EX1123" s="70"/>
      <c r="EY1123" s="70"/>
      <c r="EZ1123" s="70"/>
      <c r="FA1123" s="70"/>
      <c r="FB1123" s="70"/>
      <c r="FC1123" s="70"/>
      <c r="FD1123" s="70"/>
      <c r="FE1123" s="70"/>
      <c r="FF1123" s="70"/>
      <c r="FG1123" s="70"/>
      <c r="FH1123" s="70"/>
      <c r="FI1123" s="70"/>
      <c r="FJ1123" s="70"/>
      <c r="FK1123" s="70"/>
      <c r="FL1123" s="70"/>
      <c r="FM1123" s="70"/>
      <c r="FN1123" s="70"/>
      <c r="FO1123" s="70"/>
      <c r="FP1123" s="70"/>
      <c r="FQ1123" s="70"/>
      <c r="FR1123" s="70"/>
      <c r="FS1123" s="70"/>
      <c r="FT1123" s="70"/>
      <c r="FU1123" s="70"/>
      <c r="FV1123" s="70"/>
      <c r="FW1123" s="70"/>
      <c r="FX1123" s="70"/>
      <c r="FY1123" s="70"/>
      <c r="FZ1123" s="70"/>
      <c r="GA1123" s="70"/>
      <c r="GB1123" s="70"/>
      <c r="GC1123" s="70"/>
      <c r="GD1123" s="70"/>
      <c r="GE1123" s="70"/>
      <c r="GF1123" s="70"/>
      <c r="GG1123" s="70"/>
      <c r="GH1123" s="70"/>
      <c r="GI1123" s="70"/>
      <c r="GJ1123" s="70"/>
      <c r="GK1123" s="70"/>
      <c r="GL1123" s="70"/>
      <c r="GM1123" s="70"/>
      <c r="GN1123" s="70"/>
      <c r="GO1123" s="70"/>
      <c r="GP1123" s="70"/>
      <c r="GQ1123" s="70"/>
      <c r="GR1123" s="70"/>
      <c r="GS1123" s="70"/>
      <c r="GT1123" s="70"/>
      <c r="GU1123" s="70"/>
      <c r="GV1123" s="70"/>
      <c r="GW1123" s="70"/>
      <c r="GX1123" s="70"/>
      <c r="GY1123" s="70"/>
      <c r="GZ1123" s="70"/>
      <c r="HA1123" s="70"/>
      <c r="HB1123" s="70"/>
      <c r="HC1123" s="70"/>
      <c r="HD1123" s="70"/>
      <c r="HE1123" s="70"/>
      <c r="HF1123" s="70"/>
      <c r="HG1123" s="70"/>
      <c r="HH1123" s="70"/>
      <c r="HI1123" s="70"/>
      <c r="HJ1123" s="70"/>
      <c r="HK1123" s="70"/>
      <c r="HL1123" s="70"/>
      <c r="HM1123" s="70"/>
      <c r="HN1123" s="70"/>
      <c r="HO1123" s="70"/>
      <c r="HP1123" s="70"/>
      <c r="HQ1123" s="70"/>
      <c r="HR1123" s="70"/>
      <c r="HS1123" s="70"/>
      <c r="HT1123" s="70"/>
      <c r="HU1123" s="70"/>
      <c r="HV1123" s="70"/>
      <c r="HW1123" s="70"/>
      <c r="HX1123" s="70"/>
      <c r="HY1123" s="70"/>
      <c r="HZ1123" s="70"/>
      <c r="IA1123" s="70"/>
      <c r="IB1123" s="70"/>
      <c r="IC1123" s="70"/>
      <c r="ID1123" s="70"/>
      <c r="IE1123" s="70"/>
      <c r="IF1123" s="70"/>
      <c r="IG1123" s="70"/>
      <c r="IH1123" s="70"/>
      <c r="II1123" s="70"/>
      <c r="IJ1123" s="70"/>
      <c r="IK1123" s="70"/>
      <c r="IL1123" s="70"/>
      <c r="IM1123" s="70"/>
      <c r="IN1123" s="70"/>
      <c r="IO1123" s="70"/>
      <c r="IP1123" s="70"/>
    </row>
    <row r="1124" spans="18:250" ht="16.5" hidden="1" customHeight="1">
      <c r="R1124" s="95"/>
      <c r="S1124" s="95"/>
      <c r="T1124" s="95"/>
      <c r="U1124" s="70"/>
      <c r="V1124" s="214"/>
      <c r="W1124" s="70"/>
      <c r="X1124" s="70"/>
      <c r="Y1124" s="70"/>
      <c r="Z1124" s="70"/>
      <c r="AA1124" s="70"/>
      <c r="AB1124" s="70"/>
      <c r="AC1124" s="70"/>
      <c r="AD1124" s="70"/>
      <c r="AE1124" s="70"/>
      <c r="AF1124" s="70"/>
      <c r="AG1124" s="70"/>
      <c r="AH1124" s="70"/>
      <c r="AI1124" s="70"/>
      <c r="AJ1124" s="70"/>
      <c r="AK1124" s="70"/>
      <c r="AL1124" s="70"/>
      <c r="AM1124" s="70"/>
      <c r="AN1124" s="70"/>
      <c r="AO1124" s="70"/>
      <c r="AP1124" s="70"/>
      <c r="AQ1124" s="70"/>
      <c r="AR1124" s="70"/>
      <c r="AS1124" s="70"/>
      <c r="AT1124" s="70"/>
      <c r="AU1124" s="70"/>
      <c r="AV1124" s="70"/>
      <c r="AW1124" s="70"/>
      <c r="AX1124" s="70"/>
      <c r="AY1124" s="70"/>
      <c r="AZ1124" s="70"/>
      <c r="BA1124" s="70"/>
      <c r="BB1124" s="70"/>
      <c r="BC1124" s="70"/>
      <c r="BD1124" s="70"/>
      <c r="BE1124" s="70"/>
      <c r="BF1124" s="70"/>
      <c r="BG1124" s="70"/>
      <c r="BH1124" s="70"/>
      <c r="BI1124" s="70"/>
      <c r="BJ1124" s="70"/>
      <c r="BK1124" s="70"/>
      <c r="BL1124" s="70"/>
      <c r="BM1124" s="70"/>
      <c r="BN1124" s="70"/>
      <c r="BO1124" s="70"/>
      <c r="BP1124" s="70"/>
      <c r="BQ1124" s="70"/>
      <c r="BR1124" s="70"/>
      <c r="BS1124" s="70"/>
      <c r="BT1124" s="70"/>
      <c r="BU1124" s="70"/>
      <c r="BV1124" s="70"/>
      <c r="BW1124" s="70"/>
      <c r="BX1124" s="70"/>
      <c r="BY1124" s="70"/>
      <c r="BZ1124" s="70"/>
      <c r="CA1124" s="70"/>
      <c r="CB1124" s="70"/>
      <c r="CC1124" s="70"/>
      <c r="CD1124" s="70"/>
      <c r="CE1124" s="70"/>
      <c r="CF1124" s="70"/>
      <c r="CG1124" s="70"/>
      <c r="CH1124" s="70"/>
      <c r="CI1124" s="70"/>
      <c r="CJ1124" s="70"/>
      <c r="CK1124" s="70"/>
      <c r="CL1124" s="70"/>
      <c r="CM1124" s="70"/>
      <c r="CN1124" s="70"/>
      <c r="CO1124" s="70"/>
      <c r="CP1124" s="70"/>
      <c r="CQ1124" s="70"/>
      <c r="CR1124" s="70"/>
      <c r="CS1124" s="70"/>
      <c r="CT1124" s="70"/>
      <c r="CU1124" s="70"/>
      <c r="CV1124" s="70"/>
      <c r="CW1124" s="70"/>
      <c r="CX1124" s="70"/>
      <c r="CY1124" s="70"/>
      <c r="CZ1124" s="70"/>
      <c r="DA1124" s="70"/>
      <c r="DB1124" s="70"/>
      <c r="DC1124" s="70"/>
      <c r="DD1124" s="70"/>
      <c r="DE1124" s="70"/>
      <c r="DF1124" s="70"/>
      <c r="DG1124" s="70"/>
      <c r="DH1124" s="70"/>
      <c r="DI1124" s="70"/>
      <c r="DJ1124" s="70"/>
      <c r="DK1124" s="70"/>
      <c r="DL1124" s="70"/>
      <c r="DM1124" s="70"/>
      <c r="DN1124" s="70"/>
      <c r="DO1124" s="70"/>
      <c r="DP1124" s="70"/>
      <c r="DQ1124" s="70"/>
      <c r="DR1124" s="70"/>
      <c r="DS1124" s="70"/>
      <c r="DT1124" s="70"/>
      <c r="DU1124" s="70"/>
      <c r="DV1124" s="70"/>
      <c r="DW1124" s="70"/>
      <c r="DX1124" s="70"/>
      <c r="DY1124" s="70"/>
      <c r="DZ1124" s="70"/>
      <c r="EA1124" s="70"/>
      <c r="EB1124" s="70"/>
      <c r="EC1124" s="70"/>
      <c r="ED1124" s="70"/>
      <c r="EE1124" s="95" t="s">
        <v>450</v>
      </c>
      <c r="EF1124" s="95"/>
      <c r="EG1124" s="95"/>
      <c r="EH1124" s="70"/>
      <c r="EI1124" s="216"/>
      <c r="EJ1124" s="70"/>
      <c r="EK1124" s="70"/>
      <c r="EL1124" s="70"/>
      <c r="EM1124" s="70"/>
      <c r="EN1124" s="70"/>
      <c r="EO1124" s="70"/>
      <c r="EP1124" s="70"/>
      <c r="EQ1124" s="70"/>
      <c r="ER1124" s="70"/>
      <c r="ES1124" s="70"/>
      <c r="ET1124" s="70"/>
      <c r="EU1124" s="70"/>
      <c r="EV1124" s="70"/>
      <c r="EW1124" s="70"/>
      <c r="EX1124" s="70"/>
      <c r="EY1124" s="70"/>
      <c r="EZ1124" s="70"/>
      <c r="FA1124" s="70"/>
      <c r="FB1124" s="70"/>
      <c r="FC1124" s="70"/>
      <c r="FD1124" s="70"/>
      <c r="FE1124" s="70"/>
      <c r="FF1124" s="70"/>
      <c r="FG1124" s="70"/>
      <c r="FH1124" s="70"/>
      <c r="FI1124" s="70"/>
      <c r="FJ1124" s="70"/>
      <c r="FK1124" s="70"/>
      <c r="FL1124" s="70"/>
      <c r="FM1124" s="70"/>
      <c r="FN1124" s="70"/>
      <c r="FO1124" s="70"/>
      <c r="FP1124" s="70"/>
      <c r="FQ1124" s="70"/>
      <c r="FR1124" s="70"/>
      <c r="FS1124" s="70"/>
      <c r="FT1124" s="70"/>
      <c r="FU1124" s="70"/>
      <c r="FV1124" s="70"/>
      <c r="FW1124" s="70"/>
      <c r="FX1124" s="70"/>
      <c r="FY1124" s="70"/>
      <c r="FZ1124" s="70"/>
      <c r="GA1124" s="70"/>
      <c r="GB1124" s="70"/>
      <c r="GC1124" s="70"/>
      <c r="GD1124" s="70"/>
      <c r="GE1124" s="70"/>
      <c r="GF1124" s="70"/>
      <c r="GG1124" s="70"/>
      <c r="GH1124" s="70"/>
      <c r="GI1124" s="70"/>
      <c r="GJ1124" s="70"/>
      <c r="GK1124" s="70"/>
      <c r="GL1124" s="70"/>
      <c r="GM1124" s="70"/>
      <c r="GN1124" s="70"/>
      <c r="GO1124" s="70"/>
      <c r="GP1124" s="70"/>
      <c r="GQ1124" s="70"/>
      <c r="GR1124" s="70"/>
      <c r="GS1124" s="70"/>
      <c r="GT1124" s="70"/>
      <c r="GU1124" s="70"/>
      <c r="GV1124" s="70"/>
      <c r="GW1124" s="70"/>
      <c r="GX1124" s="70"/>
      <c r="GY1124" s="70"/>
      <c r="GZ1124" s="70"/>
      <c r="HA1124" s="70"/>
      <c r="HB1124" s="70"/>
      <c r="HC1124" s="70"/>
      <c r="HD1124" s="70"/>
      <c r="HE1124" s="70"/>
      <c r="HF1124" s="70"/>
      <c r="HG1124" s="70"/>
      <c r="HH1124" s="70"/>
      <c r="HI1124" s="70"/>
      <c r="HJ1124" s="70"/>
      <c r="HK1124" s="70"/>
      <c r="HL1124" s="70"/>
      <c r="HM1124" s="70"/>
      <c r="HN1124" s="70"/>
      <c r="HO1124" s="70"/>
      <c r="HP1124" s="70"/>
      <c r="HQ1124" s="70"/>
      <c r="HR1124" s="70"/>
      <c r="HS1124" s="70"/>
      <c r="HT1124" s="70"/>
      <c r="HU1124" s="70"/>
      <c r="HV1124" s="70"/>
      <c r="HW1124" s="70"/>
      <c r="HX1124" s="70"/>
      <c r="HY1124" s="70"/>
      <c r="HZ1124" s="70"/>
      <c r="IA1124" s="70"/>
      <c r="IB1124" s="70"/>
      <c r="IC1124" s="70"/>
      <c r="ID1124" s="70"/>
      <c r="IE1124" s="70"/>
      <c r="IF1124" s="70"/>
      <c r="IG1124" s="70"/>
      <c r="IH1124" s="70"/>
      <c r="II1124" s="70"/>
      <c r="IJ1124" s="70"/>
      <c r="IK1124" s="70"/>
      <c r="IL1124" s="70"/>
      <c r="IM1124" s="70"/>
      <c r="IN1124" s="70"/>
      <c r="IO1124" s="70"/>
      <c r="IP1124" s="70"/>
    </row>
    <row r="1125" spans="18:250" ht="16.5" hidden="1" customHeight="1">
      <c r="R1125" s="95"/>
      <c r="S1125" s="95"/>
      <c r="T1125" s="95"/>
      <c r="U1125" s="70"/>
      <c r="V1125" s="214"/>
      <c r="W1125" s="70"/>
      <c r="X1125" s="70"/>
      <c r="Y1125" s="70"/>
      <c r="Z1125" s="70"/>
      <c r="AA1125" s="70"/>
      <c r="AB1125" s="70"/>
      <c r="AC1125" s="70"/>
      <c r="AD1125" s="70"/>
      <c r="AE1125" s="70"/>
      <c r="AF1125" s="70"/>
      <c r="AG1125" s="70"/>
      <c r="AH1125" s="70"/>
      <c r="AI1125" s="70"/>
      <c r="AJ1125" s="70"/>
      <c r="AK1125" s="70"/>
      <c r="AL1125" s="70"/>
      <c r="AM1125" s="70"/>
      <c r="AN1125" s="70"/>
      <c r="AO1125" s="70"/>
      <c r="AP1125" s="70"/>
      <c r="AQ1125" s="70"/>
      <c r="AR1125" s="70"/>
      <c r="AS1125" s="70"/>
      <c r="AT1125" s="70"/>
      <c r="AU1125" s="70"/>
      <c r="AV1125" s="70"/>
      <c r="AW1125" s="70"/>
      <c r="AX1125" s="70"/>
      <c r="AY1125" s="70"/>
      <c r="AZ1125" s="70"/>
      <c r="BA1125" s="70"/>
      <c r="BB1125" s="70"/>
      <c r="BC1125" s="70"/>
      <c r="BD1125" s="70"/>
      <c r="BE1125" s="70"/>
      <c r="BF1125" s="70"/>
      <c r="BG1125" s="70"/>
      <c r="BH1125" s="70"/>
      <c r="BI1125" s="70"/>
      <c r="BJ1125" s="70"/>
      <c r="BK1125" s="70"/>
      <c r="BL1125" s="70"/>
      <c r="BM1125" s="70"/>
      <c r="BN1125" s="70"/>
      <c r="BO1125" s="70"/>
      <c r="BP1125" s="70"/>
      <c r="BQ1125" s="70"/>
      <c r="BR1125" s="70"/>
      <c r="BS1125" s="70"/>
      <c r="BT1125" s="70"/>
      <c r="BU1125" s="70"/>
      <c r="BV1125" s="70"/>
      <c r="BW1125" s="70"/>
      <c r="BX1125" s="70"/>
      <c r="BY1125" s="70"/>
      <c r="BZ1125" s="70"/>
      <c r="CA1125" s="70"/>
      <c r="CB1125" s="70"/>
      <c r="CC1125" s="70"/>
      <c r="CD1125" s="70"/>
      <c r="CE1125" s="70"/>
      <c r="CF1125" s="70"/>
      <c r="CG1125" s="70"/>
      <c r="CH1125" s="70"/>
      <c r="CI1125" s="70"/>
      <c r="CJ1125" s="70"/>
      <c r="CK1125" s="70"/>
      <c r="CL1125" s="70"/>
      <c r="CM1125" s="70"/>
      <c r="CN1125" s="70"/>
      <c r="CO1125" s="70"/>
      <c r="CP1125" s="70"/>
      <c r="CQ1125" s="70"/>
      <c r="CR1125" s="70"/>
      <c r="CS1125" s="70"/>
      <c r="CT1125" s="70"/>
      <c r="CU1125" s="70"/>
      <c r="CV1125" s="70"/>
      <c r="CW1125" s="70"/>
      <c r="CX1125" s="70"/>
      <c r="CY1125" s="70"/>
      <c r="CZ1125" s="70"/>
      <c r="DA1125" s="70"/>
      <c r="DB1125" s="70"/>
      <c r="DC1125" s="70"/>
      <c r="DD1125" s="70"/>
      <c r="DE1125" s="70"/>
      <c r="DF1125" s="70"/>
      <c r="DG1125" s="70"/>
      <c r="DH1125" s="70"/>
      <c r="DI1125" s="70"/>
      <c r="DJ1125" s="70"/>
      <c r="DK1125" s="70"/>
      <c r="DL1125" s="70"/>
      <c r="DM1125" s="70"/>
      <c r="DN1125" s="70"/>
      <c r="DO1125" s="70"/>
      <c r="DP1125" s="70"/>
      <c r="DQ1125" s="70"/>
      <c r="DR1125" s="70"/>
      <c r="DS1125" s="70"/>
      <c r="DT1125" s="70"/>
      <c r="DU1125" s="70"/>
      <c r="DV1125" s="70"/>
      <c r="DW1125" s="70"/>
      <c r="DX1125" s="70"/>
      <c r="DY1125" s="70"/>
      <c r="DZ1125" s="70"/>
      <c r="EA1125" s="70"/>
      <c r="EB1125" s="70"/>
      <c r="EC1125" s="70"/>
      <c r="ED1125" s="70"/>
      <c r="EE1125" s="95" t="s">
        <v>450</v>
      </c>
      <c r="EF1125" s="95"/>
      <c r="EG1125" s="95"/>
      <c r="EH1125" s="70"/>
      <c r="EI1125" s="216"/>
      <c r="EJ1125" s="70"/>
      <c r="EK1125" s="70"/>
      <c r="EL1125" s="70"/>
      <c r="EM1125" s="70"/>
      <c r="EN1125" s="70"/>
      <c r="EO1125" s="70"/>
      <c r="EP1125" s="70"/>
      <c r="EQ1125" s="70"/>
      <c r="ER1125" s="70"/>
      <c r="ES1125" s="70"/>
      <c r="ET1125" s="70"/>
      <c r="EU1125" s="70"/>
      <c r="EV1125" s="70"/>
      <c r="EW1125" s="70"/>
      <c r="EX1125" s="70"/>
      <c r="EY1125" s="70"/>
      <c r="EZ1125" s="70"/>
      <c r="FA1125" s="70"/>
      <c r="FB1125" s="70"/>
      <c r="FC1125" s="70"/>
      <c r="FD1125" s="70"/>
      <c r="FE1125" s="70"/>
      <c r="FF1125" s="70"/>
      <c r="FG1125" s="70"/>
      <c r="FH1125" s="70"/>
      <c r="FI1125" s="70"/>
      <c r="FJ1125" s="70"/>
      <c r="FK1125" s="70"/>
      <c r="FL1125" s="70"/>
      <c r="FM1125" s="70"/>
      <c r="FN1125" s="70"/>
      <c r="FO1125" s="70"/>
      <c r="FP1125" s="70"/>
      <c r="FQ1125" s="70"/>
      <c r="FR1125" s="70"/>
      <c r="FS1125" s="70"/>
      <c r="FT1125" s="70"/>
      <c r="FU1125" s="70"/>
      <c r="FV1125" s="70"/>
      <c r="FW1125" s="70"/>
      <c r="FX1125" s="70"/>
      <c r="FY1125" s="70"/>
      <c r="FZ1125" s="70"/>
      <c r="GA1125" s="70"/>
      <c r="GB1125" s="70"/>
      <c r="GC1125" s="70"/>
      <c r="GD1125" s="70"/>
      <c r="GE1125" s="70"/>
      <c r="GF1125" s="70"/>
      <c r="GG1125" s="70"/>
      <c r="GH1125" s="70"/>
      <c r="GI1125" s="70"/>
      <c r="GJ1125" s="70"/>
      <c r="GK1125" s="70"/>
      <c r="GL1125" s="70"/>
      <c r="GM1125" s="70"/>
      <c r="GN1125" s="70"/>
      <c r="GO1125" s="70"/>
      <c r="GP1125" s="70"/>
      <c r="GQ1125" s="70"/>
      <c r="GR1125" s="70"/>
      <c r="GS1125" s="70"/>
      <c r="GT1125" s="70"/>
      <c r="GU1125" s="70"/>
      <c r="GV1125" s="70"/>
      <c r="GW1125" s="70"/>
      <c r="GX1125" s="70"/>
      <c r="GY1125" s="70"/>
      <c r="GZ1125" s="70"/>
      <c r="HA1125" s="70"/>
      <c r="HB1125" s="70"/>
      <c r="HC1125" s="70"/>
      <c r="HD1125" s="70"/>
      <c r="HE1125" s="70"/>
      <c r="HF1125" s="70"/>
      <c r="HG1125" s="70"/>
      <c r="HH1125" s="70"/>
      <c r="HI1125" s="70"/>
      <c r="HJ1125" s="70"/>
      <c r="HK1125" s="70"/>
      <c r="HL1125" s="70"/>
      <c r="HM1125" s="70"/>
      <c r="HN1125" s="70"/>
      <c r="HO1125" s="70"/>
      <c r="HP1125" s="70"/>
      <c r="HQ1125" s="70"/>
      <c r="HR1125" s="70"/>
      <c r="HS1125" s="70"/>
      <c r="HT1125" s="70"/>
      <c r="HU1125" s="70"/>
      <c r="HV1125" s="70"/>
      <c r="HW1125" s="70"/>
      <c r="HX1125" s="70"/>
      <c r="HY1125" s="70"/>
      <c r="HZ1125" s="70"/>
      <c r="IA1125" s="70"/>
      <c r="IB1125" s="70"/>
      <c r="IC1125" s="70"/>
      <c r="ID1125" s="70"/>
      <c r="IE1125" s="70"/>
      <c r="IF1125" s="70"/>
      <c r="IG1125" s="70"/>
      <c r="IH1125" s="70"/>
      <c r="II1125" s="70"/>
      <c r="IJ1125" s="70"/>
      <c r="IK1125" s="70"/>
      <c r="IL1125" s="70"/>
      <c r="IM1125" s="70"/>
      <c r="IN1125" s="70"/>
      <c r="IO1125" s="70"/>
      <c r="IP1125" s="70"/>
    </row>
    <row r="1126" spans="18:250" ht="16.5" hidden="1" customHeight="1">
      <c r="R1126" s="95"/>
      <c r="S1126" s="95"/>
      <c r="T1126" s="95"/>
      <c r="U1126" s="70"/>
      <c r="V1126" s="214"/>
      <c r="W1126" s="70"/>
      <c r="X1126" s="70"/>
      <c r="Y1126" s="70"/>
      <c r="Z1126" s="70"/>
      <c r="AA1126" s="70"/>
      <c r="AB1126" s="70"/>
      <c r="AC1126" s="70"/>
      <c r="AD1126" s="70"/>
      <c r="AE1126" s="70"/>
      <c r="AF1126" s="70"/>
      <c r="AG1126" s="70"/>
      <c r="AH1126" s="70"/>
      <c r="AI1126" s="70"/>
      <c r="AJ1126" s="70"/>
      <c r="AK1126" s="70"/>
      <c r="AL1126" s="70"/>
      <c r="AM1126" s="70"/>
      <c r="AN1126" s="70"/>
      <c r="AO1126" s="70"/>
      <c r="AP1126" s="70"/>
      <c r="AQ1126" s="70"/>
      <c r="AR1126" s="70"/>
      <c r="AS1126" s="70"/>
      <c r="AT1126" s="70"/>
      <c r="AU1126" s="70"/>
      <c r="AV1126" s="70"/>
      <c r="AW1126" s="70"/>
      <c r="AX1126" s="70"/>
      <c r="AY1126" s="70"/>
      <c r="AZ1126" s="70"/>
      <c r="BA1126" s="70"/>
      <c r="BB1126" s="70"/>
      <c r="BC1126" s="70"/>
      <c r="BD1126" s="70"/>
      <c r="BE1126" s="70"/>
      <c r="BF1126" s="70"/>
      <c r="BG1126" s="70"/>
      <c r="BH1126" s="70"/>
      <c r="BI1126" s="70"/>
      <c r="BJ1126" s="70"/>
      <c r="BK1126" s="70"/>
      <c r="BL1126" s="70"/>
      <c r="BM1126" s="70"/>
      <c r="BN1126" s="70"/>
      <c r="BO1126" s="70"/>
      <c r="BP1126" s="70"/>
      <c r="BQ1126" s="70"/>
      <c r="BR1126" s="70"/>
      <c r="BS1126" s="70"/>
      <c r="BT1126" s="70"/>
      <c r="BU1126" s="70"/>
      <c r="BV1126" s="70"/>
      <c r="BW1126" s="70"/>
      <c r="BX1126" s="70"/>
      <c r="BY1126" s="70"/>
      <c r="BZ1126" s="70"/>
      <c r="CA1126" s="70"/>
      <c r="CB1126" s="70"/>
      <c r="CC1126" s="70"/>
      <c r="CD1126" s="70"/>
      <c r="CE1126" s="70"/>
      <c r="CF1126" s="70"/>
      <c r="CG1126" s="70"/>
      <c r="CH1126" s="70"/>
      <c r="CI1126" s="70"/>
      <c r="CJ1126" s="70"/>
      <c r="CK1126" s="70"/>
      <c r="CL1126" s="70"/>
      <c r="CM1126" s="70"/>
      <c r="CN1126" s="70"/>
      <c r="CO1126" s="70"/>
      <c r="CP1126" s="70"/>
      <c r="CQ1126" s="70"/>
      <c r="CR1126" s="70"/>
      <c r="CS1126" s="70"/>
      <c r="CT1126" s="70"/>
      <c r="CU1126" s="70"/>
      <c r="CV1126" s="70"/>
      <c r="CW1126" s="70"/>
      <c r="CX1126" s="70"/>
      <c r="CY1126" s="70"/>
      <c r="CZ1126" s="70"/>
      <c r="DA1126" s="70"/>
      <c r="DB1126" s="70"/>
      <c r="DC1126" s="70"/>
      <c r="DD1126" s="70"/>
      <c r="DE1126" s="70"/>
      <c r="DF1126" s="70"/>
      <c r="DG1126" s="70"/>
      <c r="DH1126" s="70"/>
      <c r="DI1126" s="70"/>
      <c r="DJ1126" s="70"/>
      <c r="DK1126" s="70"/>
      <c r="DL1126" s="70"/>
      <c r="DM1126" s="70"/>
      <c r="DN1126" s="70"/>
      <c r="DO1126" s="70"/>
      <c r="DP1126" s="70"/>
      <c r="DQ1126" s="70"/>
      <c r="DR1126" s="70"/>
      <c r="DS1126" s="70"/>
      <c r="DT1126" s="70"/>
      <c r="DU1126" s="70"/>
      <c r="DV1126" s="70"/>
      <c r="DW1126" s="70"/>
      <c r="DX1126" s="70"/>
      <c r="DY1126" s="70"/>
      <c r="DZ1126" s="70"/>
      <c r="EA1126" s="70"/>
      <c r="EB1126" s="70"/>
      <c r="EC1126" s="70"/>
      <c r="ED1126" s="70"/>
      <c r="EE1126" s="95" t="s">
        <v>450</v>
      </c>
      <c r="EF1126" s="95"/>
      <c r="EG1126" s="95"/>
      <c r="EH1126" s="70"/>
      <c r="EI1126" s="216"/>
      <c r="EJ1126" s="70"/>
      <c r="EK1126" s="70"/>
      <c r="EL1126" s="70"/>
      <c r="EM1126" s="70"/>
      <c r="EN1126" s="70"/>
      <c r="EO1126" s="70"/>
      <c r="EP1126" s="70"/>
      <c r="EQ1126" s="70"/>
      <c r="ER1126" s="70"/>
      <c r="ES1126" s="70"/>
      <c r="ET1126" s="70"/>
      <c r="EU1126" s="70"/>
      <c r="EV1126" s="70"/>
      <c r="EW1126" s="70"/>
      <c r="EX1126" s="70"/>
      <c r="EY1126" s="70"/>
      <c r="EZ1126" s="70"/>
      <c r="FA1126" s="70"/>
      <c r="FB1126" s="70"/>
      <c r="FC1126" s="70"/>
      <c r="FD1126" s="70"/>
      <c r="FE1126" s="70"/>
      <c r="FF1126" s="70"/>
      <c r="FG1126" s="70"/>
      <c r="FH1126" s="70"/>
      <c r="FI1126" s="70"/>
      <c r="FJ1126" s="70"/>
      <c r="FK1126" s="70"/>
      <c r="FL1126" s="70"/>
      <c r="FM1126" s="70"/>
      <c r="FN1126" s="70"/>
      <c r="FO1126" s="70"/>
      <c r="FP1126" s="70"/>
      <c r="FQ1126" s="70"/>
      <c r="FR1126" s="70"/>
      <c r="FS1126" s="70"/>
      <c r="FT1126" s="70"/>
      <c r="FU1126" s="70"/>
      <c r="FV1126" s="70"/>
      <c r="FW1126" s="70"/>
      <c r="FX1126" s="70"/>
      <c r="FY1126" s="70"/>
      <c r="FZ1126" s="70"/>
      <c r="GA1126" s="70"/>
      <c r="GB1126" s="70"/>
      <c r="GC1126" s="70"/>
      <c r="GD1126" s="70"/>
      <c r="GE1126" s="70"/>
      <c r="GF1126" s="70"/>
      <c r="GG1126" s="70"/>
      <c r="GH1126" s="70"/>
      <c r="GI1126" s="70"/>
      <c r="GJ1126" s="70"/>
      <c r="GK1126" s="70"/>
      <c r="GL1126" s="70"/>
      <c r="GM1126" s="70"/>
      <c r="GN1126" s="70"/>
      <c r="GO1126" s="70"/>
      <c r="GP1126" s="70"/>
      <c r="GQ1126" s="70"/>
      <c r="GR1126" s="70"/>
      <c r="GS1126" s="70"/>
      <c r="GT1126" s="70"/>
      <c r="GU1126" s="70"/>
      <c r="GV1126" s="70"/>
      <c r="GW1126" s="70"/>
      <c r="GX1126" s="70"/>
      <c r="GY1126" s="70"/>
      <c r="GZ1126" s="70"/>
      <c r="HA1126" s="70"/>
      <c r="HB1126" s="70"/>
      <c r="HC1126" s="70"/>
      <c r="HD1126" s="70"/>
      <c r="HE1126" s="70"/>
      <c r="HF1126" s="70"/>
      <c r="HG1126" s="70"/>
      <c r="HH1126" s="70"/>
      <c r="HI1126" s="70"/>
      <c r="HJ1126" s="70"/>
      <c r="HK1126" s="70"/>
      <c r="HL1126" s="70"/>
      <c r="HM1126" s="70"/>
      <c r="HN1126" s="70"/>
      <c r="HO1126" s="70"/>
      <c r="HP1126" s="70"/>
      <c r="HQ1126" s="70"/>
      <c r="HR1126" s="70"/>
      <c r="HS1126" s="70"/>
      <c r="HT1126" s="70"/>
      <c r="HU1126" s="70"/>
      <c r="HV1126" s="70"/>
      <c r="HW1126" s="70"/>
      <c r="HX1126" s="70"/>
      <c r="HY1126" s="70"/>
      <c r="HZ1126" s="70"/>
      <c r="IA1126" s="70"/>
      <c r="IB1126" s="70"/>
      <c r="IC1126" s="70"/>
      <c r="ID1126" s="70"/>
      <c r="IE1126" s="70"/>
      <c r="IF1126" s="70"/>
      <c r="IG1126" s="70"/>
      <c r="IH1126" s="70"/>
      <c r="II1126" s="70"/>
      <c r="IJ1126" s="70"/>
      <c r="IK1126" s="70"/>
      <c r="IL1126" s="70"/>
      <c r="IM1126" s="70"/>
      <c r="IN1126" s="70"/>
      <c r="IO1126" s="70"/>
      <c r="IP1126" s="70"/>
    </row>
    <row r="1127" spans="18:250" ht="16.5" hidden="1" customHeight="1">
      <c r="R1127" s="95"/>
      <c r="S1127" s="95"/>
      <c r="T1127" s="95"/>
      <c r="U1127" s="70"/>
      <c r="V1127" s="214"/>
      <c r="W1127" s="70"/>
      <c r="X1127" s="70"/>
      <c r="Y1127" s="70"/>
      <c r="Z1127" s="70"/>
      <c r="AA1127" s="70"/>
      <c r="AB1127" s="70"/>
      <c r="AC1127" s="70"/>
      <c r="AD1127" s="70"/>
      <c r="AE1127" s="70"/>
      <c r="AF1127" s="70"/>
      <c r="AG1127" s="70"/>
      <c r="AH1127" s="70"/>
      <c r="AI1127" s="70"/>
      <c r="AJ1127" s="70"/>
      <c r="AK1127" s="70"/>
      <c r="AL1127" s="70"/>
      <c r="AM1127" s="70"/>
      <c r="AN1127" s="70"/>
      <c r="AO1127" s="70"/>
      <c r="AP1127" s="70"/>
      <c r="AQ1127" s="70"/>
      <c r="AR1127" s="70"/>
      <c r="AS1127" s="70"/>
      <c r="AT1127" s="70"/>
      <c r="AU1127" s="70"/>
      <c r="AV1127" s="70"/>
      <c r="AW1127" s="70"/>
      <c r="AX1127" s="70"/>
      <c r="AY1127" s="70"/>
      <c r="AZ1127" s="70"/>
      <c r="BA1127" s="70"/>
      <c r="BB1127" s="70"/>
      <c r="BC1127" s="70"/>
      <c r="BD1127" s="70"/>
      <c r="BE1127" s="70"/>
      <c r="BF1127" s="70"/>
      <c r="BG1127" s="70"/>
      <c r="BH1127" s="70"/>
      <c r="BI1127" s="70"/>
      <c r="BJ1127" s="70"/>
      <c r="BK1127" s="70"/>
      <c r="BL1127" s="70"/>
      <c r="BM1127" s="70"/>
      <c r="BN1127" s="70"/>
      <c r="BO1127" s="70"/>
      <c r="BP1127" s="70"/>
      <c r="BQ1127" s="70"/>
      <c r="BR1127" s="70"/>
      <c r="BS1127" s="70"/>
      <c r="BT1127" s="70"/>
      <c r="BU1127" s="70"/>
      <c r="BV1127" s="70"/>
      <c r="BW1127" s="70"/>
      <c r="BX1127" s="70"/>
      <c r="BY1127" s="70"/>
      <c r="BZ1127" s="70"/>
      <c r="CA1127" s="70"/>
      <c r="CB1127" s="70"/>
      <c r="CC1127" s="70"/>
      <c r="CD1127" s="70"/>
      <c r="CE1127" s="70"/>
      <c r="CF1127" s="70"/>
      <c r="CG1127" s="70"/>
      <c r="CH1127" s="70"/>
      <c r="CI1127" s="70"/>
      <c r="CJ1127" s="70"/>
      <c r="CK1127" s="70"/>
      <c r="CL1127" s="70"/>
      <c r="CM1127" s="70"/>
      <c r="CN1127" s="70"/>
      <c r="CO1127" s="70"/>
      <c r="CP1127" s="70"/>
      <c r="CQ1127" s="70"/>
      <c r="CR1127" s="70"/>
      <c r="CS1127" s="70"/>
      <c r="CT1127" s="70"/>
      <c r="CU1127" s="70"/>
      <c r="CV1127" s="70"/>
      <c r="CW1127" s="70"/>
      <c r="CX1127" s="70"/>
      <c r="CY1127" s="70"/>
      <c r="CZ1127" s="70"/>
      <c r="DA1127" s="70"/>
      <c r="DB1127" s="70"/>
      <c r="DC1127" s="70"/>
      <c r="DD1127" s="70"/>
      <c r="DE1127" s="70"/>
      <c r="DF1127" s="70"/>
      <c r="DG1127" s="70"/>
      <c r="DH1127" s="70"/>
      <c r="DI1127" s="70"/>
      <c r="DJ1127" s="70"/>
      <c r="DK1127" s="70"/>
      <c r="DL1127" s="70"/>
      <c r="DM1127" s="70"/>
      <c r="DN1127" s="70"/>
      <c r="DO1127" s="70"/>
      <c r="DP1127" s="70"/>
      <c r="DQ1127" s="70"/>
      <c r="DR1127" s="70"/>
      <c r="DS1127" s="70"/>
      <c r="DT1127" s="70"/>
      <c r="DU1127" s="70"/>
      <c r="DV1127" s="70"/>
      <c r="DW1127" s="70"/>
      <c r="DX1127" s="70"/>
      <c r="DY1127" s="70"/>
      <c r="DZ1127" s="70"/>
      <c r="EA1127" s="70"/>
      <c r="EB1127" s="70"/>
      <c r="EC1127" s="70"/>
      <c r="ED1127" s="70"/>
      <c r="EE1127" s="95" t="s">
        <v>450</v>
      </c>
      <c r="EF1127" s="95"/>
      <c r="EG1127" s="95"/>
      <c r="EH1127" s="70"/>
      <c r="EI1127" s="216"/>
      <c r="EJ1127" s="70"/>
      <c r="EK1127" s="70"/>
      <c r="EL1127" s="70"/>
      <c r="EM1127" s="70"/>
      <c r="EN1127" s="70"/>
      <c r="EO1127" s="70"/>
      <c r="EP1127" s="70"/>
      <c r="EQ1127" s="70"/>
      <c r="ER1127" s="70"/>
      <c r="ES1127" s="70"/>
      <c r="ET1127" s="70"/>
      <c r="EU1127" s="70"/>
      <c r="EV1127" s="70"/>
      <c r="EW1127" s="70"/>
      <c r="EX1127" s="70"/>
      <c r="EY1127" s="70"/>
      <c r="EZ1127" s="70"/>
      <c r="FA1127" s="70"/>
      <c r="FB1127" s="70"/>
      <c r="FC1127" s="70"/>
      <c r="FD1127" s="70"/>
      <c r="FE1127" s="70"/>
      <c r="FF1127" s="70"/>
      <c r="FG1127" s="70"/>
      <c r="FH1127" s="70"/>
      <c r="FI1127" s="70"/>
      <c r="FJ1127" s="70"/>
      <c r="FK1127" s="70"/>
      <c r="FL1127" s="70"/>
      <c r="FM1127" s="70"/>
      <c r="FN1127" s="70"/>
      <c r="FO1127" s="70"/>
      <c r="FP1127" s="70"/>
      <c r="FQ1127" s="70"/>
      <c r="FR1127" s="70"/>
      <c r="FS1127" s="70"/>
      <c r="FT1127" s="70"/>
      <c r="FU1127" s="70"/>
      <c r="FV1127" s="70"/>
      <c r="FW1127" s="70"/>
      <c r="FX1127" s="70"/>
      <c r="FY1127" s="70"/>
      <c r="FZ1127" s="70"/>
      <c r="GA1127" s="70"/>
      <c r="GB1127" s="70"/>
      <c r="GC1127" s="70"/>
      <c r="GD1127" s="70"/>
      <c r="GE1127" s="70"/>
      <c r="GF1127" s="70"/>
      <c r="GG1127" s="70"/>
      <c r="GH1127" s="70"/>
      <c r="GI1127" s="70"/>
      <c r="GJ1127" s="70"/>
      <c r="GK1127" s="70"/>
      <c r="GL1127" s="70"/>
      <c r="GM1127" s="70"/>
      <c r="GN1127" s="70"/>
      <c r="GO1127" s="70"/>
      <c r="GP1127" s="70"/>
      <c r="GQ1127" s="70"/>
      <c r="GR1127" s="70"/>
      <c r="GS1127" s="70"/>
      <c r="GT1127" s="70"/>
      <c r="GU1127" s="70"/>
      <c r="GV1127" s="70"/>
      <c r="GW1127" s="70"/>
      <c r="GX1127" s="70"/>
      <c r="GY1127" s="70"/>
      <c r="GZ1127" s="70"/>
      <c r="HA1127" s="70"/>
      <c r="HB1127" s="70"/>
      <c r="HC1127" s="70"/>
      <c r="HD1127" s="70"/>
      <c r="HE1127" s="70"/>
      <c r="HF1127" s="70"/>
      <c r="HG1127" s="70"/>
      <c r="HH1127" s="70"/>
      <c r="HI1127" s="70"/>
      <c r="HJ1127" s="70"/>
      <c r="HK1127" s="70"/>
      <c r="HL1127" s="70"/>
      <c r="HM1127" s="70"/>
      <c r="HN1127" s="70"/>
      <c r="HO1127" s="70"/>
      <c r="HP1127" s="70"/>
      <c r="HQ1127" s="70"/>
      <c r="HR1127" s="70"/>
      <c r="HS1127" s="70"/>
      <c r="HT1127" s="70"/>
      <c r="HU1127" s="70"/>
      <c r="HV1127" s="70"/>
      <c r="HW1127" s="70"/>
      <c r="HX1127" s="70"/>
      <c r="HY1127" s="70"/>
      <c r="HZ1127" s="70"/>
      <c r="IA1127" s="70"/>
      <c r="IB1127" s="70"/>
      <c r="IC1127" s="70"/>
      <c r="ID1127" s="70"/>
      <c r="IE1127" s="70"/>
      <c r="IF1127" s="70"/>
      <c r="IG1127" s="70"/>
      <c r="IH1127" s="70"/>
      <c r="II1127" s="70"/>
      <c r="IJ1127" s="70"/>
      <c r="IK1127" s="70"/>
      <c r="IL1127" s="70"/>
      <c r="IM1127" s="70"/>
      <c r="IN1127" s="70"/>
      <c r="IO1127" s="70"/>
      <c r="IP1127" s="70"/>
    </row>
    <row r="1128" spans="18:250" ht="16.5" hidden="1" customHeight="1">
      <c r="R1128" s="95"/>
      <c r="S1128" s="95"/>
      <c r="T1128" s="95"/>
      <c r="U1128" s="70"/>
      <c r="V1128" s="214"/>
      <c r="W1128" s="70"/>
      <c r="X1128" s="70"/>
      <c r="Y1128" s="70"/>
      <c r="Z1128" s="70"/>
      <c r="AA1128" s="70"/>
      <c r="AB1128" s="70"/>
      <c r="AC1128" s="70"/>
      <c r="AD1128" s="70"/>
      <c r="AE1128" s="70"/>
      <c r="AF1128" s="70"/>
      <c r="AG1128" s="70"/>
      <c r="AH1128" s="70"/>
      <c r="AI1128" s="70"/>
      <c r="AJ1128" s="70"/>
      <c r="AK1128" s="70"/>
      <c r="AL1128" s="70"/>
      <c r="AM1128" s="70"/>
      <c r="AN1128" s="70"/>
      <c r="AO1128" s="70"/>
      <c r="AP1128" s="70"/>
      <c r="AQ1128" s="70"/>
      <c r="AR1128" s="70"/>
      <c r="AS1128" s="70"/>
      <c r="AT1128" s="70"/>
      <c r="AU1128" s="70"/>
      <c r="AV1128" s="70"/>
      <c r="AW1128" s="70"/>
      <c r="AX1128" s="70"/>
      <c r="AY1128" s="70"/>
      <c r="AZ1128" s="70"/>
      <c r="BA1128" s="70"/>
      <c r="BB1128" s="70"/>
      <c r="BC1128" s="70"/>
      <c r="BD1128" s="70"/>
      <c r="BE1128" s="70"/>
      <c r="BF1128" s="70"/>
      <c r="BG1128" s="70"/>
      <c r="BH1128" s="70"/>
      <c r="BI1128" s="70"/>
      <c r="BJ1128" s="70"/>
      <c r="BK1128" s="70"/>
      <c r="BL1128" s="70"/>
      <c r="BM1128" s="70"/>
      <c r="BN1128" s="70"/>
      <c r="BO1128" s="70"/>
      <c r="BP1128" s="70"/>
      <c r="BQ1128" s="70"/>
      <c r="BR1128" s="70"/>
      <c r="BS1128" s="70"/>
      <c r="BT1128" s="70"/>
      <c r="BU1128" s="70"/>
      <c r="BV1128" s="70"/>
      <c r="BW1128" s="70"/>
      <c r="BX1128" s="70"/>
      <c r="BY1128" s="70"/>
      <c r="BZ1128" s="70"/>
      <c r="CA1128" s="70"/>
      <c r="CB1128" s="70"/>
      <c r="CC1128" s="70"/>
      <c r="CD1128" s="70"/>
      <c r="CE1128" s="70"/>
      <c r="CF1128" s="70"/>
      <c r="CG1128" s="70"/>
      <c r="CH1128" s="70"/>
      <c r="CI1128" s="70"/>
      <c r="CJ1128" s="70"/>
      <c r="CK1128" s="70"/>
      <c r="CL1128" s="70"/>
      <c r="CM1128" s="70"/>
      <c r="CN1128" s="70"/>
      <c r="CO1128" s="70"/>
      <c r="CP1128" s="70"/>
      <c r="CQ1128" s="70"/>
      <c r="CR1128" s="70"/>
      <c r="CS1128" s="70"/>
      <c r="CT1128" s="70"/>
      <c r="CU1128" s="70"/>
      <c r="CV1128" s="70"/>
      <c r="CW1128" s="70"/>
      <c r="CX1128" s="70"/>
      <c r="CY1128" s="70"/>
      <c r="CZ1128" s="70"/>
      <c r="DA1128" s="70"/>
      <c r="DB1128" s="70"/>
      <c r="DC1128" s="70"/>
      <c r="DD1128" s="70"/>
      <c r="DE1128" s="70"/>
      <c r="DF1128" s="70"/>
      <c r="DG1128" s="70"/>
      <c r="DH1128" s="70"/>
      <c r="DI1128" s="70"/>
      <c r="DJ1128" s="70"/>
      <c r="DK1128" s="70"/>
      <c r="DL1128" s="70"/>
      <c r="DM1128" s="70"/>
      <c r="DN1128" s="70"/>
      <c r="DO1128" s="70"/>
      <c r="DP1128" s="70"/>
      <c r="DQ1128" s="70"/>
      <c r="DR1128" s="70"/>
      <c r="DS1128" s="70"/>
      <c r="DT1128" s="70"/>
      <c r="DU1128" s="70"/>
      <c r="DV1128" s="70"/>
      <c r="DW1128" s="70"/>
      <c r="DX1128" s="70"/>
      <c r="DY1128" s="70"/>
      <c r="DZ1128" s="70"/>
      <c r="EA1128" s="70"/>
      <c r="EB1128" s="70"/>
      <c r="EC1128" s="70"/>
      <c r="ED1128" s="70"/>
      <c r="EE1128" s="95" t="s">
        <v>450</v>
      </c>
      <c r="EF1128" s="95"/>
      <c r="EG1128" s="95"/>
      <c r="EH1128" s="70"/>
      <c r="EI1128" s="216"/>
      <c r="EJ1128" s="70"/>
      <c r="EK1128" s="70"/>
      <c r="EL1128" s="70"/>
      <c r="EM1128" s="70"/>
      <c r="EN1128" s="70"/>
      <c r="EO1128" s="70"/>
      <c r="EP1128" s="70"/>
      <c r="EQ1128" s="70"/>
      <c r="ER1128" s="70"/>
      <c r="ES1128" s="70"/>
      <c r="ET1128" s="70"/>
      <c r="EU1128" s="70"/>
      <c r="EV1128" s="70"/>
      <c r="EW1128" s="70"/>
      <c r="EX1128" s="70"/>
      <c r="EY1128" s="70"/>
      <c r="EZ1128" s="70"/>
      <c r="FA1128" s="70"/>
      <c r="FB1128" s="70"/>
      <c r="FC1128" s="70"/>
      <c r="FD1128" s="70"/>
      <c r="FE1128" s="70"/>
      <c r="FF1128" s="70"/>
      <c r="FG1128" s="70"/>
      <c r="FH1128" s="70"/>
      <c r="FI1128" s="70"/>
      <c r="FJ1128" s="70"/>
      <c r="FK1128" s="70"/>
      <c r="FL1128" s="70"/>
      <c r="FM1128" s="70"/>
      <c r="FN1128" s="70"/>
      <c r="FO1128" s="70"/>
      <c r="FP1128" s="70"/>
      <c r="FQ1128" s="70"/>
      <c r="FR1128" s="70"/>
      <c r="FS1128" s="70"/>
      <c r="FT1128" s="70"/>
      <c r="FU1128" s="70"/>
      <c r="FV1128" s="70"/>
      <c r="FW1128" s="70"/>
      <c r="FX1128" s="70"/>
      <c r="FY1128" s="70"/>
      <c r="FZ1128" s="70"/>
      <c r="GA1128" s="70"/>
      <c r="GB1128" s="70"/>
      <c r="GC1128" s="70"/>
      <c r="GD1128" s="70"/>
      <c r="GE1128" s="70"/>
      <c r="GF1128" s="70"/>
      <c r="GG1128" s="70"/>
      <c r="GH1128" s="70"/>
      <c r="GI1128" s="70"/>
      <c r="GJ1128" s="70"/>
      <c r="GK1128" s="70"/>
      <c r="GL1128" s="70"/>
      <c r="GM1128" s="70"/>
      <c r="GN1128" s="70"/>
      <c r="GO1128" s="70"/>
      <c r="GP1128" s="70"/>
      <c r="GQ1128" s="70"/>
      <c r="GR1128" s="70"/>
      <c r="GS1128" s="70"/>
      <c r="GT1128" s="70"/>
      <c r="GU1128" s="70"/>
      <c r="GV1128" s="70"/>
      <c r="GW1128" s="70"/>
      <c r="GX1128" s="70"/>
      <c r="GY1128" s="70"/>
      <c r="GZ1128" s="70"/>
      <c r="HA1128" s="70"/>
      <c r="HB1128" s="70"/>
      <c r="HC1128" s="70"/>
      <c r="HD1128" s="70"/>
      <c r="HE1128" s="70"/>
      <c r="HF1128" s="70"/>
      <c r="HG1128" s="70"/>
      <c r="HH1128" s="70"/>
      <c r="HI1128" s="70"/>
      <c r="HJ1128" s="70"/>
      <c r="HK1128" s="70"/>
      <c r="HL1128" s="70"/>
      <c r="HM1128" s="70"/>
      <c r="HN1128" s="70"/>
      <c r="HO1128" s="70"/>
      <c r="HP1128" s="70"/>
      <c r="HQ1128" s="70"/>
      <c r="HR1128" s="70"/>
      <c r="HS1128" s="70"/>
      <c r="HT1128" s="70"/>
      <c r="HU1128" s="70"/>
      <c r="HV1128" s="70"/>
      <c r="HW1128" s="70"/>
      <c r="HX1128" s="70"/>
      <c r="HY1128" s="70"/>
      <c r="HZ1128" s="70"/>
      <c r="IA1128" s="70"/>
      <c r="IB1128" s="70"/>
      <c r="IC1128" s="70"/>
      <c r="ID1128" s="70"/>
      <c r="IE1128" s="70"/>
      <c r="IF1128" s="70"/>
      <c r="IG1128" s="70"/>
      <c r="IH1128" s="70"/>
      <c r="II1128" s="70"/>
      <c r="IJ1128" s="70"/>
      <c r="IK1128" s="70"/>
      <c r="IL1128" s="70"/>
      <c r="IM1128" s="70"/>
      <c r="IN1128" s="70"/>
      <c r="IO1128" s="70"/>
      <c r="IP1128" s="70"/>
    </row>
    <row r="1129" spans="18:250" ht="16.5" hidden="1" customHeight="1">
      <c r="R1129" s="95"/>
      <c r="S1129" s="95"/>
      <c r="T1129" s="95"/>
      <c r="U1129" s="70"/>
      <c r="V1129" s="214"/>
      <c r="W1129" s="70"/>
      <c r="X1129" s="70"/>
      <c r="Y1129" s="70"/>
      <c r="Z1129" s="70"/>
      <c r="AA1129" s="70"/>
      <c r="AB1129" s="70"/>
      <c r="AC1129" s="70"/>
      <c r="AD1129" s="70"/>
      <c r="AE1129" s="70"/>
      <c r="AF1129" s="70"/>
      <c r="AG1129" s="70"/>
      <c r="AH1129" s="70"/>
      <c r="AI1129" s="70"/>
      <c r="AJ1129" s="70"/>
      <c r="AK1129" s="70"/>
      <c r="AL1129" s="70"/>
      <c r="AM1129" s="70"/>
      <c r="AN1129" s="70"/>
      <c r="AO1129" s="70"/>
      <c r="AP1129" s="70"/>
      <c r="AQ1129" s="70"/>
      <c r="AR1129" s="70"/>
      <c r="AS1129" s="70"/>
      <c r="AT1129" s="70"/>
      <c r="AU1129" s="70"/>
      <c r="AV1129" s="70"/>
      <c r="AW1129" s="70"/>
      <c r="AX1129" s="70"/>
      <c r="AY1129" s="70"/>
      <c r="AZ1129" s="70"/>
      <c r="BA1129" s="70"/>
      <c r="BB1129" s="70"/>
      <c r="BC1129" s="70"/>
      <c r="BD1129" s="70"/>
      <c r="BE1129" s="70"/>
      <c r="BF1129" s="70"/>
      <c r="BG1129" s="70"/>
      <c r="BH1129" s="70"/>
      <c r="BI1129" s="70"/>
      <c r="BJ1129" s="70"/>
      <c r="BK1129" s="70"/>
      <c r="BL1129" s="70"/>
      <c r="BM1129" s="70"/>
      <c r="BN1129" s="70"/>
      <c r="BO1129" s="70"/>
      <c r="BP1129" s="70"/>
      <c r="BQ1129" s="70"/>
      <c r="BR1129" s="70"/>
      <c r="BS1129" s="70"/>
      <c r="BT1129" s="70"/>
      <c r="BU1129" s="70"/>
      <c r="BV1129" s="70"/>
      <c r="BW1129" s="70"/>
      <c r="BX1129" s="70"/>
      <c r="BY1129" s="70"/>
      <c r="BZ1129" s="70"/>
      <c r="CA1129" s="70"/>
      <c r="CB1129" s="70"/>
      <c r="CC1129" s="70"/>
      <c r="CD1129" s="70"/>
      <c r="CE1129" s="70"/>
      <c r="CF1129" s="70"/>
      <c r="CG1129" s="70"/>
      <c r="CH1129" s="70"/>
      <c r="CI1129" s="70"/>
      <c r="CJ1129" s="70"/>
      <c r="CK1129" s="70"/>
      <c r="CL1129" s="70"/>
      <c r="CM1129" s="70"/>
      <c r="CN1129" s="70"/>
      <c r="CO1129" s="70"/>
      <c r="CP1129" s="70"/>
      <c r="CQ1129" s="70"/>
      <c r="CR1129" s="70"/>
      <c r="CS1129" s="70"/>
      <c r="CT1129" s="70"/>
      <c r="CU1129" s="70"/>
      <c r="CV1129" s="70"/>
      <c r="CW1129" s="70"/>
      <c r="CX1129" s="70"/>
      <c r="CY1129" s="70"/>
      <c r="CZ1129" s="70"/>
      <c r="DA1129" s="70"/>
      <c r="DB1129" s="70"/>
      <c r="DC1129" s="70"/>
      <c r="DD1129" s="70"/>
      <c r="DE1129" s="70"/>
      <c r="DF1129" s="70"/>
      <c r="DG1129" s="70"/>
      <c r="DH1129" s="70"/>
      <c r="DI1129" s="70"/>
      <c r="DJ1129" s="70"/>
      <c r="DK1129" s="70"/>
      <c r="DL1129" s="70"/>
      <c r="DM1129" s="70"/>
      <c r="DN1129" s="70"/>
      <c r="DO1129" s="70"/>
      <c r="DP1129" s="70"/>
      <c r="DQ1129" s="70"/>
      <c r="DR1129" s="70"/>
      <c r="DS1129" s="70"/>
      <c r="DT1129" s="70"/>
      <c r="DU1129" s="70"/>
      <c r="DV1129" s="70"/>
      <c r="DW1129" s="70"/>
      <c r="DX1129" s="70"/>
      <c r="DY1129" s="70"/>
      <c r="DZ1129" s="70"/>
      <c r="EA1129" s="70"/>
      <c r="EB1129" s="70"/>
      <c r="EC1129" s="70"/>
      <c r="ED1129" s="70"/>
      <c r="EE1129" s="95" t="s">
        <v>450</v>
      </c>
      <c r="EF1129" s="95"/>
      <c r="EG1129" s="95"/>
      <c r="EH1129" s="70"/>
      <c r="EI1129" s="216"/>
      <c r="EJ1129" s="70"/>
      <c r="EK1129" s="70"/>
      <c r="EL1129" s="70"/>
      <c r="EM1129" s="70"/>
      <c r="EN1129" s="70"/>
      <c r="EO1129" s="70"/>
      <c r="EP1129" s="70"/>
      <c r="EQ1129" s="70"/>
      <c r="ER1129" s="70"/>
      <c r="ES1129" s="70"/>
      <c r="ET1129" s="70"/>
      <c r="EU1129" s="70"/>
      <c r="EV1129" s="70"/>
      <c r="EW1129" s="70"/>
      <c r="EX1129" s="70"/>
      <c r="EY1129" s="70"/>
      <c r="EZ1129" s="70"/>
      <c r="FA1129" s="70"/>
      <c r="FB1129" s="70"/>
      <c r="FC1129" s="70"/>
      <c r="FD1129" s="70"/>
      <c r="FE1129" s="70"/>
      <c r="FF1129" s="70"/>
      <c r="FG1129" s="70"/>
      <c r="FH1129" s="70"/>
      <c r="FI1129" s="70"/>
      <c r="FJ1129" s="70"/>
      <c r="FK1129" s="70"/>
      <c r="FL1129" s="70"/>
      <c r="FM1129" s="70"/>
      <c r="FN1129" s="70"/>
      <c r="FO1129" s="70"/>
      <c r="FP1129" s="70"/>
      <c r="FQ1129" s="70"/>
      <c r="FR1129" s="70"/>
      <c r="FS1129" s="70"/>
      <c r="FT1129" s="70"/>
      <c r="FU1129" s="70"/>
      <c r="FV1129" s="70"/>
      <c r="FW1129" s="70"/>
      <c r="FX1129" s="70"/>
      <c r="FY1129" s="70"/>
      <c r="FZ1129" s="70"/>
      <c r="GA1129" s="70"/>
      <c r="GB1129" s="70"/>
      <c r="GC1129" s="70"/>
      <c r="GD1129" s="70"/>
      <c r="GE1129" s="70"/>
      <c r="GF1129" s="70"/>
      <c r="GG1129" s="70"/>
      <c r="GH1129" s="70"/>
      <c r="GI1129" s="70"/>
      <c r="GJ1129" s="70"/>
      <c r="GK1129" s="70"/>
      <c r="GL1129" s="70"/>
      <c r="GM1129" s="70"/>
      <c r="GN1129" s="70"/>
      <c r="GO1129" s="70"/>
      <c r="GP1129" s="70"/>
      <c r="GQ1129" s="70"/>
      <c r="GR1129" s="70"/>
      <c r="GS1129" s="70"/>
      <c r="GT1129" s="70"/>
      <c r="GU1129" s="70"/>
      <c r="GV1129" s="70"/>
      <c r="GW1129" s="70"/>
      <c r="GX1129" s="70"/>
      <c r="GY1129" s="70"/>
      <c r="GZ1129" s="70"/>
      <c r="HA1129" s="70"/>
      <c r="HB1129" s="70"/>
      <c r="HC1129" s="70"/>
      <c r="HD1129" s="70"/>
      <c r="HE1129" s="70"/>
      <c r="HF1129" s="70"/>
      <c r="HG1129" s="70"/>
      <c r="HH1129" s="70"/>
      <c r="HI1129" s="70"/>
      <c r="HJ1129" s="70"/>
      <c r="HK1129" s="70"/>
      <c r="HL1129" s="70"/>
      <c r="HM1129" s="70"/>
      <c r="HN1129" s="70"/>
      <c r="HO1129" s="70"/>
      <c r="HP1129" s="70"/>
      <c r="HQ1129" s="70"/>
      <c r="HR1129" s="70"/>
      <c r="HS1129" s="70"/>
      <c r="HT1129" s="70"/>
      <c r="HU1129" s="70"/>
      <c r="HV1129" s="70"/>
      <c r="HW1129" s="70"/>
      <c r="HX1129" s="70"/>
      <c r="HY1129" s="70"/>
      <c r="HZ1129" s="70"/>
      <c r="IA1129" s="70"/>
      <c r="IB1129" s="70"/>
      <c r="IC1129" s="70"/>
      <c r="ID1129" s="70"/>
      <c r="IE1129" s="70"/>
      <c r="IF1129" s="70"/>
      <c r="IG1129" s="70"/>
      <c r="IH1129" s="70"/>
      <c r="II1129" s="70"/>
      <c r="IJ1129" s="70"/>
      <c r="IK1129" s="70"/>
      <c r="IL1129" s="70"/>
      <c r="IM1129" s="70"/>
      <c r="IN1129" s="70"/>
      <c r="IO1129" s="70"/>
      <c r="IP1129" s="70"/>
    </row>
    <row r="1130" spans="18:250" ht="16.5" hidden="1" customHeight="1">
      <c r="R1130" s="95"/>
      <c r="S1130" s="95"/>
      <c r="T1130" s="95"/>
      <c r="U1130" s="70"/>
      <c r="V1130" s="214"/>
      <c r="W1130" s="70"/>
      <c r="X1130" s="70"/>
      <c r="Y1130" s="70"/>
      <c r="Z1130" s="70"/>
      <c r="AA1130" s="70"/>
      <c r="AB1130" s="70"/>
      <c r="AC1130" s="70"/>
      <c r="AD1130" s="70"/>
      <c r="AE1130" s="70"/>
      <c r="AF1130" s="70"/>
      <c r="AG1130" s="70"/>
      <c r="AH1130" s="70"/>
      <c r="AI1130" s="70"/>
      <c r="AJ1130" s="70"/>
      <c r="AK1130" s="70"/>
      <c r="AL1130" s="70"/>
      <c r="AM1130" s="70"/>
      <c r="AN1130" s="70"/>
      <c r="AO1130" s="70"/>
      <c r="AP1130" s="70"/>
      <c r="AQ1130" s="70"/>
      <c r="AR1130" s="70"/>
      <c r="AS1130" s="70"/>
      <c r="AT1130" s="70"/>
      <c r="AU1130" s="70"/>
      <c r="AV1130" s="70"/>
      <c r="AW1130" s="70"/>
      <c r="AX1130" s="70"/>
      <c r="AY1130" s="70"/>
      <c r="AZ1130" s="70"/>
      <c r="BA1130" s="70"/>
      <c r="BB1130" s="70"/>
      <c r="BC1130" s="70"/>
      <c r="BD1130" s="70"/>
      <c r="BE1130" s="70"/>
      <c r="BF1130" s="70"/>
      <c r="BG1130" s="70"/>
      <c r="BH1130" s="70"/>
      <c r="BI1130" s="70"/>
      <c r="BJ1130" s="70"/>
      <c r="BK1130" s="70"/>
      <c r="BL1130" s="70"/>
      <c r="BM1130" s="70"/>
      <c r="BN1130" s="70"/>
      <c r="BO1130" s="70"/>
      <c r="BP1130" s="70"/>
      <c r="BQ1130" s="70"/>
      <c r="BR1130" s="70"/>
      <c r="BS1130" s="70"/>
      <c r="BT1130" s="70"/>
      <c r="BU1130" s="70"/>
      <c r="BV1130" s="70"/>
      <c r="BW1130" s="70"/>
      <c r="BX1130" s="70"/>
      <c r="BY1130" s="70"/>
      <c r="BZ1130" s="70"/>
      <c r="CA1130" s="70"/>
      <c r="CB1130" s="70"/>
      <c r="CC1130" s="70"/>
      <c r="CD1130" s="70"/>
      <c r="CE1130" s="70"/>
      <c r="CF1130" s="70"/>
      <c r="CG1130" s="70"/>
      <c r="CH1130" s="70"/>
      <c r="CI1130" s="70"/>
      <c r="CJ1130" s="70"/>
      <c r="CK1130" s="70"/>
      <c r="CL1130" s="70"/>
      <c r="CM1130" s="70"/>
      <c r="CN1130" s="70"/>
      <c r="CO1130" s="70"/>
      <c r="CP1130" s="70"/>
      <c r="CQ1130" s="70"/>
      <c r="CR1130" s="70"/>
      <c r="CS1130" s="70"/>
      <c r="CT1130" s="70"/>
      <c r="CU1130" s="70"/>
      <c r="CV1130" s="70"/>
      <c r="CW1130" s="70"/>
      <c r="CX1130" s="70"/>
      <c r="CY1130" s="70"/>
      <c r="CZ1130" s="70"/>
      <c r="DA1130" s="70"/>
      <c r="DB1130" s="70"/>
      <c r="DC1130" s="70"/>
      <c r="DD1130" s="70"/>
      <c r="DE1130" s="70"/>
      <c r="DF1130" s="70"/>
      <c r="DG1130" s="70"/>
      <c r="DH1130" s="70"/>
      <c r="DI1130" s="70"/>
      <c r="DJ1130" s="70"/>
      <c r="DK1130" s="70"/>
      <c r="DL1130" s="70"/>
      <c r="DM1130" s="70"/>
      <c r="DN1130" s="70"/>
      <c r="DO1130" s="70"/>
      <c r="DP1130" s="70"/>
      <c r="DQ1130" s="70"/>
      <c r="DR1130" s="70"/>
      <c r="DS1130" s="70"/>
      <c r="DT1130" s="70"/>
      <c r="DU1130" s="70"/>
      <c r="DV1130" s="70"/>
      <c r="DW1130" s="70"/>
      <c r="DX1130" s="70"/>
      <c r="DY1130" s="70"/>
      <c r="DZ1130" s="70"/>
      <c r="EA1130" s="70"/>
      <c r="EB1130" s="70"/>
      <c r="EC1130" s="70"/>
      <c r="ED1130" s="70"/>
      <c r="EE1130" s="95" t="s">
        <v>450</v>
      </c>
      <c r="EF1130" s="95"/>
      <c r="EG1130" s="95"/>
      <c r="EH1130" s="70"/>
      <c r="EI1130" s="216"/>
      <c r="EJ1130" s="70"/>
      <c r="EK1130" s="70"/>
      <c r="EL1130" s="70"/>
      <c r="EM1130" s="70"/>
      <c r="EN1130" s="70"/>
      <c r="EO1130" s="70"/>
      <c r="EP1130" s="70"/>
      <c r="EQ1130" s="70"/>
      <c r="ER1130" s="70"/>
      <c r="ES1130" s="70"/>
      <c r="ET1130" s="70"/>
      <c r="EU1130" s="70"/>
      <c r="EV1130" s="70"/>
      <c r="EW1130" s="70"/>
      <c r="EX1130" s="70"/>
      <c r="EY1130" s="70"/>
      <c r="EZ1130" s="70"/>
      <c r="FA1130" s="70"/>
      <c r="FB1130" s="70"/>
      <c r="FC1130" s="70"/>
      <c r="FD1130" s="70"/>
      <c r="FE1130" s="70"/>
      <c r="FF1130" s="70"/>
      <c r="FG1130" s="70"/>
      <c r="FH1130" s="70"/>
      <c r="FI1130" s="70"/>
      <c r="FJ1130" s="70"/>
      <c r="FK1130" s="70"/>
      <c r="FL1130" s="70"/>
      <c r="FM1130" s="70"/>
      <c r="FN1130" s="70"/>
      <c r="FO1130" s="70"/>
      <c r="FP1130" s="70"/>
      <c r="FQ1130" s="70"/>
      <c r="FR1130" s="70"/>
      <c r="FS1130" s="70"/>
      <c r="FT1130" s="70"/>
      <c r="FU1130" s="70"/>
      <c r="FV1130" s="70"/>
      <c r="FW1130" s="70"/>
      <c r="FX1130" s="70"/>
      <c r="FY1130" s="70"/>
      <c r="FZ1130" s="70"/>
      <c r="GA1130" s="70"/>
      <c r="GB1130" s="70"/>
      <c r="GC1130" s="70"/>
      <c r="GD1130" s="70"/>
      <c r="GE1130" s="70"/>
      <c r="GF1130" s="70"/>
      <c r="GG1130" s="70"/>
      <c r="GH1130" s="70"/>
      <c r="GI1130" s="70"/>
      <c r="GJ1130" s="70"/>
      <c r="GK1130" s="70"/>
      <c r="GL1130" s="70"/>
      <c r="GM1130" s="70"/>
      <c r="GN1130" s="70"/>
      <c r="GO1130" s="70"/>
      <c r="GP1130" s="70"/>
      <c r="GQ1130" s="70"/>
      <c r="GR1130" s="70"/>
      <c r="GS1130" s="70"/>
      <c r="GT1130" s="70"/>
      <c r="GU1130" s="70"/>
      <c r="GV1130" s="70"/>
      <c r="GW1130" s="70"/>
      <c r="GX1130" s="70"/>
      <c r="GY1130" s="70"/>
      <c r="GZ1130" s="70"/>
      <c r="HA1130" s="70"/>
      <c r="HB1130" s="70"/>
      <c r="HC1130" s="70"/>
      <c r="HD1130" s="70"/>
      <c r="HE1130" s="70"/>
      <c r="HF1130" s="70"/>
      <c r="HG1130" s="70"/>
      <c r="HH1130" s="70"/>
      <c r="HI1130" s="70"/>
      <c r="HJ1130" s="70"/>
      <c r="HK1130" s="70"/>
      <c r="HL1130" s="70"/>
      <c r="HM1130" s="70"/>
      <c r="HN1130" s="70"/>
      <c r="HO1130" s="70"/>
      <c r="HP1130" s="70"/>
      <c r="HQ1130" s="70"/>
      <c r="HR1130" s="70"/>
      <c r="HS1130" s="70"/>
      <c r="HT1130" s="70"/>
      <c r="HU1130" s="70"/>
      <c r="HV1130" s="70"/>
      <c r="HW1130" s="70"/>
      <c r="HX1130" s="70"/>
      <c r="HY1130" s="70"/>
      <c r="HZ1130" s="70"/>
      <c r="IA1130" s="70"/>
      <c r="IB1130" s="70"/>
      <c r="IC1130" s="70"/>
      <c r="ID1130" s="70"/>
      <c r="IE1130" s="70"/>
      <c r="IF1130" s="70"/>
      <c r="IG1130" s="70"/>
      <c r="IH1130" s="70"/>
      <c r="II1130" s="70"/>
      <c r="IJ1130" s="70"/>
      <c r="IK1130" s="70"/>
      <c r="IL1130" s="70"/>
      <c r="IM1130" s="70"/>
      <c r="IN1130" s="70"/>
      <c r="IO1130" s="70"/>
      <c r="IP1130" s="70"/>
    </row>
    <row r="1132" spans="18:250" ht="16.5" hidden="1" customHeight="1">
      <c r="R1132" s="265" t="s">
        <v>1214</v>
      </c>
      <c r="V1132" s="214" t="str">
        <f t="shared" ref="V1132:V1133" si="14">S1132&amp;TEXT(T1132,"00")&amp;TEXT(U1132,"00")</f>
        <v>0000</v>
      </c>
      <c r="W1132" s="266"/>
      <c r="EE1132" s="265" t="s">
        <v>1326</v>
      </c>
      <c r="EI1132" s="214" t="str">
        <f t="shared" ref="EI1132:EI1133" si="15">EF1132&amp;TEXT(EG1132,"00")&amp;TEXT(EH1132,"00")</f>
        <v>0000</v>
      </c>
      <c r="EJ1132" s="266"/>
    </row>
    <row r="1133" spans="18:250" ht="16.5" hidden="1" customHeight="1">
      <c r="R1133" s="263" t="s">
        <v>76</v>
      </c>
      <c r="S1133" t="s">
        <v>1211</v>
      </c>
      <c r="T1133" t="s">
        <v>1212</v>
      </c>
      <c r="U1133" t="s">
        <v>1213</v>
      </c>
      <c r="V1133" s="214" t="str">
        <f t="shared" si="14"/>
        <v>InsuranceReverseNameGenderAge</v>
      </c>
      <c r="W1133" t="s">
        <v>1215</v>
      </c>
      <c r="X1133" t="s">
        <v>1216</v>
      </c>
      <c r="Y1133" t="s">
        <v>1217</v>
      </c>
      <c r="Z1133" t="s">
        <v>1218</v>
      </c>
      <c r="AA1133" t="s">
        <v>1219</v>
      </c>
      <c r="AB1133" t="s">
        <v>1220</v>
      </c>
      <c r="AC1133" t="s">
        <v>1221</v>
      </c>
      <c r="AD1133" t="s">
        <v>1222</v>
      </c>
      <c r="AE1133" t="s">
        <v>1223</v>
      </c>
      <c r="AF1133" t="s">
        <v>1224</v>
      </c>
      <c r="AG1133" t="s">
        <v>1225</v>
      </c>
      <c r="AH1133" t="s">
        <v>1226</v>
      </c>
      <c r="AI1133" t="s">
        <v>1227</v>
      </c>
      <c r="AJ1133" t="s">
        <v>1228</v>
      </c>
      <c r="AK1133" t="s">
        <v>1229</v>
      </c>
      <c r="AL1133" t="s">
        <v>1230</v>
      </c>
      <c r="AM1133" t="s">
        <v>1231</v>
      </c>
      <c r="AN1133" t="s">
        <v>1232</v>
      </c>
      <c r="AO1133" t="s">
        <v>1233</v>
      </c>
      <c r="AP1133" t="s">
        <v>1234</v>
      </c>
      <c r="AQ1133" t="s">
        <v>1235</v>
      </c>
      <c r="AR1133" t="s">
        <v>1236</v>
      </c>
      <c r="AS1133" t="s">
        <v>1237</v>
      </c>
      <c r="AT1133" t="s">
        <v>1238</v>
      </c>
      <c r="AU1133" t="s">
        <v>1239</v>
      </c>
      <c r="AV1133" t="s">
        <v>1240</v>
      </c>
      <c r="AW1133" t="s">
        <v>1241</v>
      </c>
      <c r="AX1133" t="s">
        <v>1242</v>
      </c>
      <c r="AY1133" t="s">
        <v>1243</v>
      </c>
      <c r="AZ1133" t="s">
        <v>1244</v>
      </c>
      <c r="BA1133" t="s">
        <v>1245</v>
      </c>
      <c r="BB1133" t="s">
        <v>1246</v>
      </c>
      <c r="BC1133" t="s">
        <v>1247</v>
      </c>
      <c r="BD1133" t="s">
        <v>1248</v>
      </c>
      <c r="BE1133" t="s">
        <v>1249</v>
      </c>
      <c r="BF1133" t="s">
        <v>1250</v>
      </c>
      <c r="BG1133" t="s">
        <v>1251</v>
      </c>
      <c r="BH1133" t="s">
        <v>1252</v>
      </c>
      <c r="BI1133" t="s">
        <v>1253</v>
      </c>
      <c r="BJ1133" t="s">
        <v>1254</v>
      </c>
      <c r="BK1133" t="s">
        <v>1255</v>
      </c>
      <c r="BL1133" t="s">
        <v>1256</v>
      </c>
      <c r="BM1133" t="s">
        <v>1257</v>
      </c>
      <c r="BN1133" t="s">
        <v>1258</v>
      </c>
      <c r="BO1133" t="s">
        <v>1259</v>
      </c>
      <c r="BP1133" t="s">
        <v>1260</v>
      </c>
      <c r="BQ1133" t="s">
        <v>1261</v>
      </c>
      <c r="BR1133" t="s">
        <v>1262</v>
      </c>
      <c r="BS1133" t="s">
        <v>1263</v>
      </c>
      <c r="BT1133" t="s">
        <v>1264</v>
      </c>
      <c r="BU1133" t="s">
        <v>1265</v>
      </c>
      <c r="BV1133" t="s">
        <v>1266</v>
      </c>
      <c r="BW1133" t="s">
        <v>1267</v>
      </c>
      <c r="BX1133" t="s">
        <v>1268</v>
      </c>
      <c r="BY1133" t="s">
        <v>1269</v>
      </c>
      <c r="BZ1133" t="s">
        <v>1270</v>
      </c>
      <c r="CA1133" t="s">
        <v>1271</v>
      </c>
      <c r="CB1133" t="s">
        <v>1272</v>
      </c>
      <c r="CC1133" t="s">
        <v>1273</v>
      </c>
      <c r="CD1133" t="s">
        <v>1274</v>
      </c>
      <c r="CE1133" t="s">
        <v>1275</v>
      </c>
      <c r="CF1133" t="s">
        <v>1276</v>
      </c>
      <c r="CG1133" t="s">
        <v>1277</v>
      </c>
      <c r="CH1133" t="s">
        <v>1278</v>
      </c>
      <c r="CI1133" t="s">
        <v>1279</v>
      </c>
      <c r="CJ1133" t="s">
        <v>1280</v>
      </c>
      <c r="CK1133" t="s">
        <v>1281</v>
      </c>
      <c r="CL1133" t="s">
        <v>1282</v>
      </c>
      <c r="CM1133" t="s">
        <v>1283</v>
      </c>
      <c r="CN1133" t="s">
        <v>1284</v>
      </c>
      <c r="CO1133" t="s">
        <v>1285</v>
      </c>
      <c r="CP1133" t="s">
        <v>1286</v>
      </c>
      <c r="CQ1133" t="s">
        <v>1287</v>
      </c>
      <c r="CR1133" t="s">
        <v>1288</v>
      </c>
      <c r="CS1133" t="s">
        <v>1289</v>
      </c>
      <c r="CT1133" t="s">
        <v>1290</v>
      </c>
      <c r="CU1133" t="s">
        <v>1291</v>
      </c>
      <c r="CV1133" t="s">
        <v>1292</v>
      </c>
      <c r="CW1133" t="s">
        <v>1293</v>
      </c>
      <c r="CX1133" t="s">
        <v>1294</v>
      </c>
      <c r="CY1133" t="s">
        <v>1295</v>
      </c>
      <c r="CZ1133" t="s">
        <v>1296</v>
      </c>
      <c r="DA1133" t="s">
        <v>1297</v>
      </c>
      <c r="DB1133" t="s">
        <v>1298</v>
      </c>
      <c r="DC1133" t="s">
        <v>1299</v>
      </c>
      <c r="DD1133" t="s">
        <v>1300</v>
      </c>
      <c r="DE1133" t="s">
        <v>1301</v>
      </c>
      <c r="DF1133" t="s">
        <v>1302</v>
      </c>
      <c r="DG1133" t="s">
        <v>1303</v>
      </c>
      <c r="DH1133" t="s">
        <v>1304</v>
      </c>
      <c r="DI1133" t="s">
        <v>1305</v>
      </c>
      <c r="DJ1133" t="s">
        <v>1306</v>
      </c>
      <c r="DK1133" t="s">
        <v>1307</v>
      </c>
      <c r="DL1133" t="s">
        <v>1308</v>
      </c>
      <c r="DM1133" t="s">
        <v>1309</v>
      </c>
      <c r="DN1133" t="s">
        <v>1310</v>
      </c>
      <c r="DO1133" t="s">
        <v>1311</v>
      </c>
      <c r="DP1133" t="s">
        <v>1312</v>
      </c>
      <c r="DQ1133" t="s">
        <v>1313</v>
      </c>
      <c r="DR1133" t="s">
        <v>1314</v>
      </c>
      <c r="DS1133" t="s">
        <v>1315</v>
      </c>
      <c r="DT1133" t="s">
        <v>1316</v>
      </c>
      <c r="DU1133" t="s">
        <v>1317</v>
      </c>
      <c r="DV1133" t="s">
        <v>1318</v>
      </c>
      <c r="DW1133" t="s">
        <v>1319</v>
      </c>
      <c r="DX1133" t="s">
        <v>1320</v>
      </c>
      <c r="DY1133" t="s">
        <v>1321</v>
      </c>
      <c r="DZ1133" t="s">
        <v>1322</v>
      </c>
      <c r="EA1133" t="s">
        <v>1323</v>
      </c>
      <c r="EB1133" t="s">
        <v>1324</v>
      </c>
      <c r="EC1133" t="s">
        <v>1325</v>
      </c>
      <c r="ED1133" s="655"/>
      <c r="EE1133" s="263" t="s">
        <v>76</v>
      </c>
      <c r="EF1133" t="s">
        <v>1211</v>
      </c>
      <c r="EG1133" t="s">
        <v>1212</v>
      </c>
      <c r="EH1133" t="s">
        <v>1213</v>
      </c>
      <c r="EI1133" s="214" t="str">
        <f t="shared" si="15"/>
        <v>InsuranceReverseNameGenderAge</v>
      </c>
      <c r="EJ1133" t="s">
        <v>1215</v>
      </c>
      <c r="EK1133" t="s">
        <v>1216</v>
      </c>
      <c r="EL1133" t="s">
        <v>1217</v>
      </c>
      <c r="EM1133" t="s">
        <v>1218</v>
      </c>
      <c r="EN1133" t="s">
        <v>1219</v>
      </c>
      <c r="EO1133" t="s">
        <v>1220</v>
      </c>
      <c r="EP1133" t="s">
        <v>1221</v>
      </c>
      <c r="EQ1133" t="s">
        <v>1222</v>
      </c>
      <c r="ER1133" t="s">
        <v>1223</v>
      </c>
      <c r="ES1133" t="s">
        <v>1224</v>
      </c>
      <c r="ET1133" t="s">
        <v>1225</v>
      </c>
      <c r="EU1133" t="s">
        <v>1226</v>
      </c>
      <c r="EV1133" t="s">
        <v>1227</v>
      </c>
      <c r="EW1133" t="s">
        <v>1228</v>
      </c>
      <c r="EX1133" t="s">
        <v>1229</v>
      </c>
      <c r="EY1133" t="s">
        <v>1230</v>
      </c>
      <c r="EZ1133" t="s">
        <v>1231</v>
      </c>
      <c r="FA1133" t="s">
        <v>1232</v>
      </c>
      <c r="FB1133" t="s">
        <v>1233</v>
      </c>
      <c r="FC1133" t="s">
        <v>1234</v>
      </c>
      <c r="FD1133" t="s">
        <v>1235</v>
      </c>
      <c r="FE1133" t="s">
        <v>1236</v>
      </c>
      <c r="FF1133" t="s">
        <v>1237</v>
      </c>
      <c r="FG1133" t="s">
        <v>1238</v>
      </c>
      <c r="FH1133" t="s">
        <v>1239</v>
      </c>
      <c r="FI1133" t="s">
        <v>1240</v>
      </c>
      <c r="FJ1133" t="s">
        <v>1241</v>
      </c>
      <c r="FK1133" t="s">
        <v>1242</v>
      </c>
      <c r="FL1133" t="s">
        <v>1243</v>
      </c>
      <c r="FM1133" t="s">
        <v>1244</v>
      </c>
      <c r="FN1133" t="s">
        <v>1245</v>
      </c>
      <c r="FO1133" t="s">
        <v>1246</v>
      </c>
      <c r="FP1133" t="s">
        <v>1247</v>
      </c>
      <c r="FQ1133" t="s">
        <v>1248</v>
      </c>
      <c r="FR1133" t="s">
        <v>1249</v>
      </c>
      <c r="FS1133" t="s">
        <v>1250</v>
      </c>
      <c r="FT1133" t="s">
        <v>1251</v>
      </c>
      <c r="FU1133" t="s">
        <v>1252</v>
      </c>
      <c r="FV1133" t="s">
        <v>1253</v>
      </c>
      <c r="FW1133" t="s">
        <v>1254</v>
      </c>
      <c r="FX1133" t="s">
        <v>1255</v>
      </c>
      <c r="FY1133" t="s">
        <v>1256</v>
      </c>
      <c r="FZ1133" t="s">
        <v>1257</v>
      </c>
      <c r="GA1133" t="s">
        <v>1258</v>
      </c>
      <c r="GB1133" t="s">
        <v>1259</v>
      </c>
      <c r="GC1133" t="s">
        <v>1260</v>
      </c>
      <c r="GD1133" t="s">
        <v>1261</v>
      </c>
      <c r="GE1133" t="s">
        <v>1262</v>
      </c>
      <c r="GF1133" t="s">
        <v>1263</v>
      </c>
      <c r="GG1133" t="s">
        <v>1264</v>
      </c>
      <c r="GH1133" t="s">
        <v>1265</v>
      </c>
      <c r="GI1133" t="s">
        <v>1266</v>
      </c>
      <c r="GJ1133" t="s">
        <v>1267</v>
      </c>
      <c r="GK1133" t="s">
        <v>1268</v>
      </c>
      <c r="GL1133" t="s">
        <v>1269</v>
      </c>
      <c r="GM1133" t="s">
        <v>1270</v>
      </c>
      <c r="GN1133" t="s">
        <v>1271</v>
      </c>
      <c r="GO1133" t="s">
        <v>1272</v>
      </c>
      <c r="GP1133" t="s">
        <v>1273</v>
      </c>
      <c r="GQ1133" t="s">
        <v>1274</v>
      </c>
      <c r="GR1133" t="s">
        <v>1275</v>
      </c>
      <c r="GS1133" t="s">
        <v>1276</v>
      </c>
      <c r="GT1133" t="s">
        <v>1277</v>
      </c>
      <c r="GU1133" t="s">
        <v>1278</v>
      </c>
      <c r="GV1133" t="s">
        <v>1279</v>
      </c>
      <c r="GW1133" t="s">
        <v>1280</v>
      </c>
      <c r="GX1133" t="s">
        <v>1281</v>
      </c>
      <c r="GY1133" t="s">
        <v>1282</v>
      </c>
      <c r="GZ1133" t="s">
        <v>1283</v>
      </c>
      <c r="HA1133" t="s">
        <v>1284</v>
      </c>
      <c r="HB1133" t="s">
        <v>1285</v>
      </c>
      <c r="HC1133" t="s">
        <v>1286</v>
      </c>
      <c r="HD1133" t="s">
        <v>1287</v>
      </c>
      <c r="HE1133" t="s">
        <v>1288</v>
      </c>
      <c r="HF1133" t="s">
        <v>1289</v>
      </c>
      <c r="HG1133" t="s">
        <v>1290</v>
      </c>
      <c r="HH1133" t="s">
        <v>1291</v>
      </c>
      <c r="HI1133" t="s">
        <v>1292</v>
      </c>
      <c r="HJ1133" t="s">
        <v>1293</v>
      </c>
      <c r="HK1133" t="s">
        <v>1294</v>
      </c>
      <c r="HL1133" t="s">
        <v>1295</v>
      </c>
      <c r="HM1133" t="s">
        <v>1296</v>
      </c>
      <c r="HN1133" t="s">
        <v>1297</v>
      </c>
      <c r="HO1133" t="s">
        <v>1298</v>
      </c>
      <c r="HP1133" t="s">
        <v>1299</v>
      </c>
      <c r="HQ1133" t="s">
        <v>1300</v>
      </c>
      <c r="HR1133" t="s">
        <v>1301</v>
      </c>
      <c r="HS1133" t="s">
        <v>1302</v>
      </c>
      <c r="HT1133" t="s">
        <v>1303</v>
      </c>
      <c r="HU1133" t="s">
        <v>1304</v>
      </c>
      <c r="HV1133" t="s">
        <v>1305</v>
      </c>
      <c r="HW1133" t="s">
        <v>1306</v>
      </c>
      <c r="HX1133" t="s">
        <v>1307</v>
      </c>
      <c r="HY1133" t="s">
        <v>1308</v>
      </c>
      <c r="HZ1133" t="s">
        <v>1309</v>
      </c>
      <c r="IA1133" t="s">
        <v>1310</v>
      </c>
      <c r="IB1133" t="s">
        <v>1311</v>
      </c>
      <c r="IC1133" t="s">
        <v>1312</v>
      </c>
      <c r="ID1133" t="s">
        <v>1313</v>
      </c>
      <c r="IE1133" t="s">
        <v>1314</v>
      </c>
      <c r="IF1133" t="s">
        <v>1315</v>
      </c>
      <c r="IG1133" t="s">
        <v>1316</v>
      </c>
      <c r="IH1133" t="s">
        <v>1317</v>
      </c>
      <c r="II1133" t="s">
        <v>1318</v>
      </c>
      <c r="IJ1133" t="s">
        <v>1319</v>
      </c>
      <c r="IK1133" t="s">
        <v>1320</v>
      </c>
      <c r="IL1133" t="s">
        <v>1321</v>
      </c>
      <c r="IM1133" t="s">
        <v>1322</v>
      </c>
      <c r="IN1133" t="s">
        <v>1323</v>
      </c>
      <c r="IO1133" t="s">
        <v>1324</v>
      </c>
      <c r="IP1133" t="s">
        <v>1325</v>
      </c>
    </row>
    <row r="1134" spans="18:250" ht="16.5" hidden="1" customHeight="1">
      <c r="R1134" s="264" t="s">
        <v>450</v>
      </c>
      <c r="U1134" s="654"/>
      <c r="V1134" s="214"/>
      <c r="ED1134" s="110"/>
      <c r="EE1134" s="264" t="s">
        <v>450</v>
      </c>
      <c r="EH1134" s="654"/>
      <c r="EI1134" s="214"/>
    </row>
    <row r="1135" spans="18:250" ht="16.5" hidden="1" customHeight="1">
      <c r="R1135" s="264" t="s">
        <v>450</v>
      </c>
      <c r="V1135" s="214"/>
      <c r="ED1135" s="110"/>
      <c r="EE1135" s="264" t="s">
        <v>450</v>
      </c>
      <c r="EI1135" s="214"/>
    </row>
    <row r="1136" spans="18:250" ht="16.5" hidden="1" customHeight="1">
      <c r="R1136" s="264" t="s">
        <v>450</v>
      </c>
      <c r="V1136" s="214"/>
      <c r="ED1136" s="110"/>
      <c r="EE1136" s="264" t="s">
        <v>450</v>
      </c>
      <c r="EI1136" s="214"/>
    </row>
    <row r="1137" spans="18:139" ht="16.5" hidden="1" customHeight="1">
      <c r="R1137" s="264" t="s">
        <v>450</v>
      </c>
      <c r="V1137" s="214"/>
      <c r="ED1137" s="110"/>
      <c r="EE1137" s="264" t="s">
        <v>450</v>
      </c>
      <c r="EI1137" s="214"/>
    </row>
    <row r="1138" spans="18:139" ht="16.5" hidden="1" customHeight="1">
      <c r="R1138" s="264" t="s">
        <v>450</v>
      </c>
      <c r="V1138" s="214"/>
      <c r="ED1138" s="110"/>
      <c r="EE1138" s="264" t="s">
        <v>450</v>
      </c>
      <c r="EI1138" s="214"/>
    </row>
    <row r="1139" spans="18:139" ht="16.5" hidden="1" customHeight="1">
      <c r="R1139" s="264" t="s">
        <v>450</v>
      </c>
      <c r="V1139" s="214"/>
      <c r="ED1139" s="110"/>
      <c r="EE1139" s="264" t="s">
        <v>450</v>
      </c>
      <c r="EI1139" s="214"/>
    </row>
    <row r="1140" spans="18:139" ht="16.5" hidden="1" customHeight="1">
      <c r="R1140" s="264" t="s">
        <v>450</v>
      </c>
      <c r="V1140" s="214"/>
      <c r="ED1140" s="110"/>
      <c r="EE1140" s="264" t="s">
        <v>450</v>
      </c>
      <c r="EI1140" s="214"/>
    </row>
    <row r="1141" spans="18:139" ht="16.5" hidden="1" customHeight="1">
      <c r="R1141" s="264" t="s">
        <v>450</v>
      </c>
      <c r="V1141" s="214"/>
      <c r="ED1141" s="110"/>
      <c r="EE1141" s="264" t="s">
        <v>450</v>
      </c>
      <c r="EI1141" s="214"/>
    </row>
    <row r="1142" spans="18:139" ht="16.5" hidden="1" customHeight="1">
      <c r="R1142" s="264" t="s">
        <v>450</v>
      </c>
      <c r="V1142" s="214"/>
      <c r="ED1142" s="110"/>
      <c r="EE1142" s="264" t="s">
        <v>450</v>
      </c>
      <c r="EI1142" s="214"/>
    </row>
    <row r="1143" spans="18:139" ht="16.5" hidden="1" customHeight="1">
      <c r="R1143" s="264" t="s">
        <v>450</v>
      </c>
      <c r="V1143" s="214"/>
      <c r="ED1143" s="110"/>
      <c r="EE1143" s="264" t="s">
        <v>450</v>
      </c>
      <c r="EI1143" s="214"/>
    </row>
    <row r="1144" spans="18:139" ht="16.5" hidden="1" customHeight="1">
      <c r="R1144" s="264" t="s">
        <v>450</v>
      </c>
      <c r="V1144" s="214"/>
      <c r="ED1144" s="110"/>
      <c r="EE1144" s="264" t="s">
        <v>450</v>
      </c>
      <c r="EI1144" s="214"/>
    </row>
    <row r="1145" spans="18:139" ht="16.5" hidden="1" customHeight="1">
      <c r="R1145" s="264" t="s">
        <v>450</v>
      </c>
      <c r="V1145" s="214"/>
      <c r="ED1145" s="110"/>
      <c r="EE1145" s="264" t="s">
        <v>450</v>
      </c>
      <c r="EI1145" s="214"/>
    </row>
    <row r="1146" spans="18:139" ht="16.5" hidden="1" customHeight="1">
      <c r="R1146" s="264" t="s">
        <v>450</v>
      </c>
      <c r="V1146" s="214"/>
      <c r="ED1146" s="110"/>
      <c r="EE1146" s="264" t="s">
        <v>450</v>
      </c>
      <c r="EI1146" s="214"/>
    </row>
    <row r="1147" spans="18:139" ht="16.5" hidden="1" customHeight="1">
      <c r="R1147" s="264" t="s">
        <v>450</v>
      </c>
      <c r="V1147" s="214"/>
      <c r="ED1147" s="110"/>
      <c r="EE1147" s="264" t="s">
        <v>450</v>
      </c>
      <c r="EI1147" s="214"/>
    </row>
    <row r="1148" spans="18:139" ht="16.5" hidden="1" customHeight="1">
      <c r="R1148" s="264" t="s">
        <v>450</v>
      </c>
      <c r="V1148" s="214"/>
      <c r="ED1148" s="110"/>
      <c r="EE1148" s="264" t="s">
        <v>450</v>
      </c>
      <c r="EI1148" s="214"/>
    </row>
    <row r="1149" spans="18:139" ht="16.5" hidden="1" customHeight="1">
      <c r="R1149" s="264" t="s">
        <v>450</v>
      </c>
      <c r="V1149" s="214"/>
      <c r="ED1149" s="110"/>
      <c r="EE1149" s="264" t="s">
        <v>450</v>
      </c>
      <c r="EI1149" s="214"/>
    </row>
    <row r="1150" spans="18:139" ht="16.5" hidden="1" customHeight="1">
      <c r="R1150" s="264" t="s">
        <v>450</v>
      </c>
      <c r="V1150" s="214"/>
      <c r="ED1150" s="110"/>
      <c r="EE1150" s="264" t="s">
        <v>450</v>
      </c>
      <c r="EI1150" s="214"/>
    </row>
    <row r="1151" spans="18:139" ht="16.5" hidden="1" customHeight="1">
      <c r="R1151" s="264" t="s">
        <v>450</v>
      </c>
      <c r="V1151" s="214"/>
      <c r="ED1151" s="110"/>
      <c r="EE1151" s="264" t="s">
        <v>450</v>
      </c>
      <c r="EI1151" s="214"/>
    </row>
    <row r="1152" spans="18:139" ht="16.5" hidden="1" customHeight="1">
      <c r="R1152" s="264" t="s">
        <v>450</v>
      </c>
      <c r="V1152" s="214"/>
      <c r="ED1152" s="110"/>
      <c r="EE1152" s="264" t="s">
        <v>450</v>
      </c>
      <c r="EI1152" s="214"/>
    </row>
    <row r="1153" spans="18:139" ht="16.5" hidden="1" customHeight="1">
      <c r="R1153" s="264" t="s">
        <v>450</v>
      </c>
      <c r="V1153" s="214"/>
      <c r="ED1153" s="110"/>
      <c r="EE1153" s="264" t="s">
        <v>450</v>
      </c>
      <c r="EI1153" s="214"/>
    </row>
    <row r="1154" spans="18:139" ht="16.5" hidden="1" customHeight="1">
      <c r="R1154" s="264" t="s">
        <v>450</v>
      </c>
      <c r="V1154" s="214"/>
      <c r="ED1154" s="110"/>
      <c r="EE1154" s="264" t="s">
        <v>450</v>
      </c>
      <c r="EI1154" s="214"/>
    </row>
    <row r="1155" spans="18:139" ht="16.5" hidden="1" customHeight="1">
      <c r="R1155" s="264" t="s">
        <v>450</v>
      </c>
      <c r="V1155" s="214"/>
      <c r="ED1155" s="110"/>
      <c r="EE1155" s="264" t="s">
        <v>450</v>
      </c>
      <c r="EI1155" s="214"/>
    </row>
    <row r="1156" spans="18:139" ht="16.5" hidden="1" customHeight="1">
      <c r="R1156" s="264" t="s">
        <v>450</v>
      </c>
      <c r="V1156" s="214"/>
      <c r="ED1156" s="110"/>
      <c r="EE1156" s="264" t="s">
        <v>450</v>
      </c>
      <c r="EI1156" s="214"/>
    </row>
    <row r="1157" spans="18:139" ht="16.5" hidden="1" customHeight="1">
      <c r="R1157" s="264" t="s">
        <v>450</v>
      </c>
      <c r="V1157" s="214"/>
      <c r="ED1157" s="110"/>
      <c r="EE1157" s="264" t="s">
        <v>450</v>
      </c>
      <c r="EI1157" s="214"/>
    </row>
    <row r="1158" spans="18:139" ht="16.5" hidden="1" customHeight="1">
      <c r="R1158" s="264" t="s">
        <v>450</v>
      </c>
      <c r="V1158" s="214"/>
      <c r="ED1158" s="110"/>
      <c r="EE1158" s="264" t="s">
        <v>450</v>
      </c>
      <c r="EI1158" s="214"/>
    </row>
    <row r="1159" spans="18:139" ht="16.5" hidden="1" customHeight="1">
      <c r="R1159" s="264" t="s">
        <v>450</v>
      </c>
      <c r="V1159" s="214"/>
      <c r="ED1159" s="110"/>
      <c r="EE1159" s="264" t="s">
        <v>450</v>
      </c>
      <c r="EI1159" s="214"/>
    </row>
    <row r="1160" spans="18:139" ht="16.5" hidden="1" customHeight="1">
      <c r="R1160" s="264" t="s">
        <v>450</v>
      </c>
      <c r="V1160" s="214"/>
      <c r="ED1160" s="110"/>
      <c r="EE1160" s="264" t="s">
        <v>450</v>
      </c>
      <c r="EI1160" s="214"/>
    </row>
    <row r="1161" spans="18:139" ht="16.5" hidden="1" customHeight="1">
      <c r="R1161" s="264" t="s">
        <v>450</v>
      </c>
      <c r="V1161" s="214"/>
      <c r="ED1161" s="110"/>
      <c r="EE1161" s="264" t="s">
        <v>450</v>
      </c>
      <c r="EI1161" s="214"/>
    </row>
    <row r="1162" spans="18:139" ht="16.5" hidden="1" customHeight="1">
      <c r="R1162" s="264" t="s">
        <v>450</v>
      </c>
      <c r="V1162" s="214"/>
      <c r="ED1162" s="110"/>
      <c r="EE1162" s="264" t="s">
        <v>450</v>
      </c>
      <c r="EI1162" s="214"/>
    </row>
    <row r="1163" spans="18:139" ht="16.5" hidden="1" customHeight="1">
      <c r="R1163" s="264" t="s">
        <v>450</v>
      </c>
      <c r="V1163" s="214"/>
      <c r="ED1163" s="110"/>
      <c r="EE1163" s="264" t="s">
        <v>450</v>
      </c>
      <c r="EI1163" s="214"/>
    </row>
    <row r="1164" spans="18:139" ht="16.5" hidden="1" customHeight="1">
      <c r="R1164" s="264" t="s">
        <v>450</v>
      </c>
      <c r="V1164" s="214"/>
      <c r="ED1164" s="110"/>
      <c r="EE1164" s="264" t="s">
        <v>450</v>
      </c>
      <c r="EI1164" s="214"/>
    </row>
    <row r="1165" spans="18:139" ht="16.5" hidden="1" customHeight="1">
      <c r="R1165" s="264" t="s">
        <v>450</v>
      </c>
      <c r="V1165" s="214"/>
      <c r="ED1165" s="110"/>
      <c r="EE1165" s="264" t="s">
        <v>450</v>
      </c>
      <c r="EI1165" s="214"/>
    </row>
    <row r="1166" spans="18:139" ht="16.5" hidden="1" customHeight="1">
      <c r="R1166" s="264" t="s">
        <v>450</v>
      </c>
      <c r="V1166" s="214"/>
      <c r="ED1166" s="110"/>
      <c r="EE1166" s="264" t="s">
        <v>450</v>
      </c>
      <c r="EI1166" s="214"/>
    </row>
    <row r="1167" spans="18:139" ht="16.5" hidden="1" customHeight="1">
      <c r="R1167" s="264" t="s">
        <v>450</v>
      </c>
      <c r="V1167" s="214"/>
      <c r="ED1167" s="110"/>
      <c r="EE1167" s="264" t="s">
        <v>450</v>
      </c>
      <c r="EI1167" s="214"/>
    </row>
    <row r="1168" spans="18:139" ht="16.5" hidden="1" customHeight="1">
      <c r="R1168" s="264" t="s">
        <v>450</v>
      </c>
      <c r="V1168" s="214"/>
      <c r="ED1168" s="110"/>
      <c r="EE1168" s="264" t="s">
        <v>450</v>
      </c>
      <c r="EI1168" s="214"/>
    </row>
    <row r="1169" spans="18:139" ht="16.5" hidden="1" customHeight="1">
      <c r="R1169" s="264" t="s">
        <v>450</v>
      </c>
      <c r="V1169" s="214"/>
      <c r="ED1169" s="110"/>
      <c r="EE1169" s="264" t="s">
        <v>450</v>
      </c>
      <c r="EI1169" s="214"/>
    </row>
    <row r="1170" spans="18:139" ht="16.5" hidden="1" customHeight="1">
      <c r="R1170" s="264" t="s">
        <v>450</v>
      </c>
      <c r="V1170" s="214"/>
      <c r="ED1170" s="110"/>
      <c r="EE1170" s="264" t="s">
        <v>450</v>
      </c>
      <c r="EI1170" s="214"/>
    </row>
    <row r="1171" spans="18:139" ht="16.5" hidden="1" customHeight="1">
      <c r="R1171" s="264" t="s">
        <v>450</v>
      </c>
      <c r="V1171" s="214"/>
      <c r="ED1171" s="110"/>
      <c r="EE1171" s="264" t="s">
        <v>450</v>
      </c>
      <c r="EI1171" s="214"/>
    </row>
    <row r="1172" spans="18:139" ht="16.5" hidden="1" customHeight="1">
      <c r="R1172" s="264" t="s">
        <v>450</v>
      </c>
      <c r="V1172" s="214"/>
      <c r="ED1172" s="110"/>
      <c r="EE1172" s="264" t="s">
        <v>450</v>
      </c>
      <c r="EI1172" s="214"/>
    </row>
    <row r="1173" spans="18:139" ht="16.5" hidden="1" customHeight="1">
      <c r="R1173" s="264" t="s">
        <v>450</v>
      </c>
      <c r="V1173" s="214"/>
      <c r="ED1173" s="110"/>
      <c r="EE1173" s="264" t="s">
        <v>450</v>
      </c>
      <c r="EI1173" s="214"/>
    </row>
    <row r="1174" spans="18:139" ht="16.5" hidden="1" customHeight="1">
      <c r="R1174" s="264" t="s">
        <v>450</v>
      </c>
      <c r="V1174" s="214"/>
      <c r="ED1174" s="110"/>
      <c r="EE1174" s="264" t="s">
        <v>450</v>
      </c>
      <c r="EI1174" s="214"/>
    </row>
    <row r="1175" spans="18:139" ht="16.5" hidden="1" customHeight="1">
      <c r="R1175" s="264" t="s">
        <v>450</v>
      </c>
      <c r="V1175" s="214"/>
      <c r="ED1175" s="110"/>
      <c r="EE1175" s="264" t="s">
        <v>450</v>
      </c>
      <c r="EI1175" s="214"/>
    </row>
    <row r="1176" spans="18:139" ht="16.5" hidden="1" customHeight="1">
      <c r="R1176" s="264" t="s">
        <v>450</v>
      </c>
      <c r="V1176" s="214"/>
      <c r="ED1176" s="110"/>
      <c r="EE1176" s="264" t="s">
        <v>450</v>
      </c>
      <c r="EI1176" s="214"/>
    </row>
    <row r="1177" spans="18:139" ht="16.5" hidden="1" customHeight="1">
      <c r="R1177" s="264" t="s">
        <v>450</v>
      </c>
      <c r="V1177" s="214"/>
      <c r="ED1177" s="110"/>
      <c r="EE1177" s="264" t="s">
        <v>450</v>
      </c>
      <c r="EI1177" s="214"/>
    </row>
    <row r="1178" spans="18:139" ht="16.5" hidden="1" customHeight="1">
      <c r="R1178" s="264" t="s">
        <v>450</v>
      </c>
      <c r="V1178" s="214"/>
      <c r="ED1178" s="110"/>
      <c r="EE1178" s="264" t="s">
        <v>450</v>
      </c>
      <c r="EI1178" s="214"/>
    </row>
    <row r="1179" spans="18:139" ht="16.5" hidden="1" customHeight="1">
      <c r="R1179" s="264" t="s">
        <v>450</v>
      </c>
      <c r="V1179" s="214"/>
      <c r="ED1179" s="110"/>
      <c r="EE1179" s="264" t="s">
        <v>450</v>
      </c>
      <c r="EI1179" s="214"/>
    </row>
    <row r="1180" spans="18:139" ht="16.5" hidden="1" customHeight="1">
      <c r="R1180" s="264" t="s">
        <v>450</v>
      </c>
      <c r="U1180" s="654"/>
      <c r="V1180" s="214"/>
      <c r="ED1180" s="110"/>
      <c r="EE1180" s="264" t="s">
        <v>450</v>
      </c>
      <c r="EI1180" s="214"/>
    </row>
    <row r="1181" spans="18:139" ht="16.5" hidden="1" customHeight="1">
      <c r="R1181" s="264" t="s">
        <v>450</v>
      </c>
      <c r="V1181" s="214"/>
      <c r="ED1181" s="110"/>
      <c r="EE1181" s="264" t="s">
        <v>450</v>
      </c>
      <c r="EI1181" s="214"/>
    </row>
    <row r="1182" spans="18:139" ht="16.5" hidden="1" customHeight="1">
      <c r="R1182" s="264" t="s">
        <v>450</v>
      </c>
      <c r="V1182" s="214"/>
      <c r="ED1182" s="110"/>
      <c r="EE1182" s="264" t="s">
        <v>450</v>
      </c>
      <c r="EI1182" s="214"/>
    </row>
    <row r="1183" spans="18:139" ht="16.5" hidden="1" customHeight="1">
      <c r="R1183" s="264" t="s">
        <v>450</v>
      </c>
      <c r="V1183" s="214"/>
      <c r="ED1183" s="110"/>
      <c r="EE1183" s="264" t="s">
        <v>450</v>
      </c>
      <c r="EI1183" s="214"/>
    </row>
    <row r="1184" spans="18:139" ht="16.5" hidden="1" customHeight="1">
      <c r="R1184" s="264" t="s">
        <v>450</v>
      </c>
      <c r="V1184" s="214"/>
      <c r="ED1184" s="110"/>
      <c r="EE1184" s="264" t="s">
        <v>450</v>
      </c>
      <c r="EI1184" s="214"/>
    </row>
    <row r="1185" spans="18:139" ht="16.5" hidden="1" customHeight="1">
      <c r="R1185" s="264" t="s">
        <v>450</v>
      </c>
      <c r="V1185" s="214"/>
      <c r="ED1185" s="110"/>
      <c r="EE1185" s="264" t="s">
        <v>450</v>
      </c>
      <c r="EI1185" s="214"/>
    </row>
    <row r="1186" spans="18:139" ht="16.5" hidden="1" customHeight="1">
      <c r="R1186" s="264" t="s">
        <v>450</v>
      </c>
      <c r="V1186" s="214"/>
      <c r="ED1186" s="110"/>
      <c r="EE1186" s="264" t="s">
        <v>450</v>
      </c>
      <c r="EI1186" s="214"/>
    </row>
    <row r="1187" spans="18:139" ht="16.5" hidden="1" customHeight="1">
      <c r="R1187" s="264" t="s">
        <v>450</v>
      </c>
      <c r="V1187" s="214"/>
      <c r="ED1187" s="110"/>
      <c r="EE1187" s="264" t="s">
        <v>450</v>
      </c>
      <c r="EI1187" s="214"/>
    </row>
    <row r="1188" spans="18:139" ht="16.5" hidden="1" customHeight="1">
      <c r="R1188" s="264" t="s">
        <v>450</v>
      </c>
      <c r="V1188" s="214"/>
      <c r="ED1188" s="110"/>
      <c r="EE1188" s="264" t="s">
        <v>450</v>
      </c>
      <c r="EI1188" s="214"/>
    </row>
    <row r="1189" spans="18:139" ht="16.5" hidden="1" customHeight="1">
      <c r="R1189" s="264" t="s">
        <v>450</v>
      </c>
      <c r="V1189" s="214"/>
      <c r="ED1189" s="110"/>
      <c r="EE1189" s="264" t="s">
        <v>450</v>
      </c>
      <c r="EI1189" s="214"/>
    </row>
    <row r="1190" spans="18:139" ht="16.5" hidden="1" customHeight="1">
      <c r="R1190" s="264" t="s">
        <v>450</v>
      </c>
      <c r="V1190" s="214"/>
      <c r="ED1190" s="110"/>
      <c r="EE1190" s="264" t="s">
        <v>450</v>
      </c>
      <c r="EI1190" s="214"/>
    </row>
    <row r="1191" spans="18:139" ht="16.5" hidden="1" customHeight="1">
      <c r="R1191" s="264" t="s">
        <v>450</v>
      </c>
      <c r="V1191" s="214"/>
      <c r="ED1191" s="110"/>
      <c r="EE1191" s="264" t="s">
        <v>450</v>
      </c>
      <c r="EI1191" s="214"/>
    </row>
    <row r="1192" spans="18:139" ht="16.5" hidden="1" customHeight="1">
      <c r="R1192" s="264" t="s">
        <v>450</v>
      </c>
      <c r="V1192" s="214"/>
      <c r="ED1192" s="110"/>
      <c r="EE1192" s="264" t="s">
        <v>450</v>
      </c>
      <c r="EI1192" s="214"/>
    </row>
    <row r="1193" spans="18:139" ht="16.5" hidden="1" customHeight="1">
      <c r="R1193" s="264" t="s">
        <v>450</v>
      </c>
      <c r="V1193" s="214"/>
      <c r="ED1193" s="110"/>
      <c r="EE1193" s="264" t="s">
        <v>450</v>
      </c>
      <c r="EI1193" s="214"/>
    </row>
    <row r="1194" spans="18:139" ht="16.5" hidden="1" customHeight="1">
      <c r="R1194" s="264" t="s">
        <v>450</v>
      </c>
      <c r="V1194" s="214"/>
      <c r="ED1194" s="110"/>
      <c r="EE1194" s="264" t="s">
        <v>450</v>
      </c>
      <c r="EI1194" s="214"/>
    </row>
    <row r="1195" spans="18:139" ht="16.5" hidden="1" customHeight="1">
      <c r="R1195" s="264" t="s">
        <v>450</v>
      </c>
      <c r="V1195" s="214"/>
      <c r="ED1195" s="110"/>
      <c r="EE1195" s="264" t="s">
        <v>450</v>
      </c>
      <c r="EH1195" s="654"/>
      <c r="EI1195" s="214"/>
    </row>
    <row r="1196" spans="18:139" ht="16.5" hidden="1" customHeight="1">
      <c r="R1196" s="264" t="s">
        <v>450</v>
      </c>
      <c r="V1196" s="214"/>
      <c r="ED1196" s="110"/>
      <c r="EE1196" s="264" t="s">
        <v>450</v>
      </c>
      <c r="EI1196" s="214"/>
    </row>
    <row r="1197" spans="18:139" ht="16.5" hidden="1" customHeight="1">
      <c r="R1197" s="264" t="s">
        <v>450</v>
      </c>
      <c r="V1197" s="214"/>
      <c r="ED1197" s="110"/>
      <c r="EE1197" s="264" t="s">
        <v>450</v>
      </c>
      <c r="EI1197" s="214"/>
    </row>
    <row r="1198" spans="18:139" ht="16.5" hidden="1" customHeight="1">
      <c r="R1198" s="264" t="s">
        <v>450</v>
      </c>
      <c r="V1198" s="214"/>
      <c r="ED1198" s="110"/>
      <c r="EE1198" s="264" t="s">
        <v>450</v>
      </c>
      <c r="EI1198" s="214"/>
    </row>
    <row r="1199" spans="18:139" ht="16.5" hidden="1" customHeight="1">
      <c r="R1199" s="264" t="s">
        <v>450</v>
      </c>
      <c r="V1199" s="214"/>
      <c r="ED1199" s="110"/>
      <c r="EE1199" s="264" t="s">
        <v>450</v>
      </c>
      <c r="EI1199" s="214"/>
    </row>
    <row r="1200" spans="18:139" ht="16.5" hidden="1" customHeight="1">
      <c r="R1200" s="264" t="s">
        <v>450</v>
      </c>
      <c r="V1200" s="214"/>
      <c r="ED1200" s="110"/>
      <c r="EE1200" s="264" t="s">
        <v>450</v>
      </c>
      <c r="EI1200" s="214"/>
    </row>
    <row r="1201" spans="18:139" ht="16.5" hidden="1" customHeight="1">
      <c r="R1201" s="264" t="s">
        <v>450</v>
      </c>
      <c r="V1201" s="214"/>
      <c r="ED1201" s="110"/>
      <c r="EE1201" s="264" t="s">
        <v>450</v>
      </c>
      <c r="EI1201" s="214"/>
    </row>
    <row r="1202" spans="18:139" ht="16.5" hidden="1" customHeight="1">
      <c r="R1202" s="264" t="s">
        <v>450</v>
      </c>
      <c r="V1202" s="214"/>
      <c r="ED1202" s="110"/>
      <c r="EE1202" s="264" t="s">
        <v>450</v>
      </c>
      <c r="EI1202" s="214"/>
    </row>
    <row r="1203" spans="18:139" ht="16.5" hidden="1" customHeight="1">
      <c r="R1203" s="264" t="s">
        <v>450</v>
      </c>
      <c r="V1203" s="214"/>
      <c r="ED1203" s="110"/>
      <c r="EE1203" s="264" t="s">
        <v>450</v>
      </c>
      <c r="EI1203" s="214"/>
    </row>
    <row r="1204" spans="18:139" ht="16.5" hidden="1" customHeight="1">
      <c r="R1204" s="264" t="s">
        <v>450</v>
      </c>
      <c r="V1204" s="214"/>
      <c r="ED1204" s="110"/>
      <c r="EE1204" s="264" t="s">
        <v>450</v>
      </c>
      <c r="EI1204" s="214"/>
    </row>
    <row r="1205" spans="18:139" ht="16.5" hidden="1" customHeight="1">
      <c r="R1205" s="264" t="s">
        <v>450</v>
      </c>
      <c r="V1205" s="214"/>
      <c r="ED1205" s="110"/>
      <c r="EE1205" s="264" t="s">
        <v>450</v>
      </c>
      <c r="EI1205" s="214"/>
    </row>
    <row r="1206" spans="18:139" ht="16.5" hidden="1" customHeight="1">
      <c r="R1206" s="264" t="s">
        <v>450</v>
      </c>
      <c r="V1206" s="214"/>
      <c r="ED1206" s="110"/>
      <c r="EE1206" s="264" t="s">
        <v>450</v>
      </c>
      <c r="EI1206" s="214"/>
    </row>
    <row r="1207" spans="18:139" ht="16.5" hidden="1" customHeight="1">
      <c r="R1207" s="264" t="s">
        <v>450</v>
      </c>
      <c r="V1207" s="214"/>
      <c r="ED1207" s="110"/>
      <c r="EE1207" s="264" t="s">
        <v>450</v>
      </c>
      <c r="EI1207" s="214"/>
    </row>
    <row r="1208" spans="18:139" ht="16.5" hidden="1" customHeight="1">
      <c r="R1208" s="264" t="s">
        <v>450</v>
      </c>
      <c r="V1208" s="214"/>
      <c r="ED1208" s="110"/>
      <c r="EE1208" s="264" t="s">
        <v>450</v>
      </c>
      <c r="EI1208" s="214"/>
    </row>
    <row r="1209" spans="18:139" ht="16.5" hidden="1" customHeight="1">
      <c r="R1209" s="264" t="s">
        <v>450</v>
      </c>
      <c r="V1209" s="214"/>
      <c r="ED1209" s="110"/>
      <c r="EE1209" s="264" t="s">
        <v>450</v>
      </c>
      <c r="EI1209" s="214"/>
    </row>
    <row r="1210" spans="18:139" ht="16.5" hidden="1" customHeight="1">
      <c r="R1210" s="264" t="s">
        <v>450</v>
      </c>
      <c r="V1210" s="214"/>
      <c r="ED1210" s="110"/>
      <c r="EE1210" s="264" t="s">
        <v>450</v>
      </c>
      <c r="EI1210" s="214"/>
    </row>
    <row r="1211" spans="18:139" ht="16.5" hidden="1" customHeight="1">
      <c r="R1211" s="264" t="s">
        <v>450</v>
      </c>
      <c r="V1211" s="214"/>
      <c r="ED1211" s="110"/>
      <c r="EE1211" s="264" t="s">
        <v>450</v>
      </c>
      <c r="EI1211" s="214"/>
    </row>
    <row r="1212" spans="18:139" ht="16.5" hidden="1" customHeight="1">
      <c r="R1212" s="264" t="s">
        <v>450</v>
      </c>
      <c r="V1212" s="214"/>
      <c r="ED1212" s="110"/>
      <c r="EE1212" s="264" t="s">
        <v>450</v>
      </c>
      <c r="EI1212" s="214"/>
    </row>
    <row r="1213" spans="18:139" ht="16.5" hidden="1" customHeight="1">
      <c r="R1213" s="264" t="s">
        <v>450</v>
      </c>
      <c r="V1213" s="214"/>
      <c r="ED1213" s="110"/>
      <c r="EE1213" s="264" t="s">
        <v>450</v>
      </c>
      <c r="EI1213" s="214"/>
    </row>
    <row r="1214" spans="18:139" ht="16.5" hidden="1" customHeight="1">
      <c r="R1214" s="264" t="s">
        <v>450</v>
      </c>
      <c r="V1214" s="214"/>
      <c r="ED1214" s="110"/>
      <c r="EE1214" s="264" t="s">
        <v>450</v>
      </c>
      <c r="EI1214" s="214"/>
    </row>
    <row r="1215" spans="18:139" ht="16.5" hidden="1" customHeight="1">
      <c r="R1215" s="264" t="s">
        <v>450</v>
      </c>
      <c r="V1215" s="214"/>
      <c r="ED1215" s="110"/>
      <c r="EE1215" s="264" t="s">
        <v>450</v>
      </c>
      <c r="EI1215" s="214"/>
    </row>
    <row r="1216" spans="18:139" ht="16.5" hidden="1" customHeight="1">
      <c r="R1216" s="264" t="s">
        <v>450</v>
      </c>
      <c r="V1216" s="214"/>
      <c r="ED1216" s="110"/>
      <c r="EE1216" s="264" t="s">
        <v>450</v>
      </c>
      <c r="EI1216" s="214"/>
    </row>
    <row r="1217" spans="18:139" ht="16.5" hidden="1" customHeight="1">
      <c r="R1217" s="264" t="s">
        <v>450</v>
      </c>
      <c r="V1217" s="214"/>
      <c r="ED1217" s="110"/>
      <c r="EE1217" s="264" t="s">
        <v>450</v>
      </c>
      <c r="EI1217" s="214"/>
    </row>
    <row r="1218" spans="18:139" ht="16.5" hidden="1" customHeight="1">
      <c r="R1218" s="264" t="s">
        <v>450</v>
      </c>
      <c r="V1218" s="214"/>
      <c r="ED1218" s="110"/>
      <c r="EE1218" s="264" t="s">
        <v>450</v>
      </c>
      <c r="EI1218" s="214"/>
    </row>
    <row r="1219" spans="18:139" ht="16.5" hidden="1" customHeight="1">
      <c r="R1219" s="264" t="s">
        <v>450</v>
      </c>
      <c r="V1219" s="214"/>
      <c r="ED1219" s="110"/>
      <c r="EE1219" s="264" t="s">
        <v>450</v>
      </c>
      <c r="EI1219" s="214"/>
    </row>
    <row r="1220" spans="18:139" ht="16.5" hidden="1" customHeight="1">
      <c r="R1220" s="264" t="s">
        <v>450</v>
      </c>
      <c r="V1220" s="214"/>
      <c r="ED1220" s="110"/>
      <c r="EE1220" s="264" t="s">
        <v>450</v>
      </c>
      <c r="EI1220" s="214"/>
    </row>
    <row r="1221" spans="18:139" ht="16.5" hidden="1" customHeight="1">
      <c r="R1221" s="264" t="s">
        <v>450</v>
      </c>
      <c r="V1221" s="214"/>
      <c r="ED1221" s="110"/>
      <c r="EE1221" s="264" t="s">
        <v>450</v>
      </c>
      <c r="EI1221" s="214"/>
    </row>
    <row r="1222" spans="18:139" ht="16.5" hidden="1" customHeight="1">
      <c r="R1222" s="264" t="s">
        <v>450</v>
      </c>
      <c r="V1222" s="214"/>
      <c r="ED1222" s="110"/>
      <c r="EE1222" s="264" t="s">
        <v>450</v>
      </c>
      <c r="EI1222" s="214"/>
    </row>
    <row r="1223" spans="18:139" ht="16.5" hidden="1" customHeight="1">
      <c r="R1223" s="264" t="s">
        <v>450</v>
      </c>
      <c r="V1223" s="214"/>
      <c r="ED1223" s="110"/>
      <c r="EE1223" s="264" t="s">
        <v>450</v>
      </c>
      <c r="EI1223" s="214"/>
    </row>
    <row r="1224" spans="18:139" ht="16.5" hidden="1" customHeight="1">
      <c r="R1224" s="264" t="s">
        <v>450</v>
      </c>
      <c r="V1224" s="214"/>
      <c r="ED1224" s="110"/>
      <c r="EE1224" s="264" t="s">
        <v>450</v>
      </c>
      <c r="EI1224" s="214"/>
    </row>
    <row r="1225" spans="18:139" ht="16.5" hidden="1" customHeight="1">
      <c r="R1225" s="264" t="s">
        <v>450</v>
      </c>
      <c r="V1225" s="214"/>
      <c r="ED1225" s="110"/>
      <c r="EE1225" s="264" t="s">
        <v>450</v>
      </c>
      <c r="EI1225" s="214"/>
    </row>
    <row r="1226" spans="18:139" ht="16.5" hidden="1" customHeight="1">
      <c r="R1226" s="264" t="s">
        <v>450</v>
      </c>
      <c r="V1226" s="214"/>
      <c r="ED1226" s="110"/>
      <c r="EE1226" s="264" t="s">
        <v>450</v>
      </c>
      <c r="EI1226" s="214"/>
    </row>
    <row r="1227" spans="18:139" ht="16.5" hidden="1" customHeight="1">
      <c r="R1227" s="264" t="s">
        <v>450</v>
      </c>
      <c r="V1227" s="214"/>
      <c r="ED1227" s="110"/>
      <c r="EE1227" s="264" t="s">
        <v>450</v>
      </c>
      <c r="EI1227" s="214"/>
    </row>
    <row r="1228" spans="18:139" ht="16.5" hidden="1" customHeight="1">
      <c r="R1228" s="264" t="s">
        <v>450</v>
      </c>
      <c r="V1228" s="214"/>
      <c r="ED1228" s="110"/>
      <c r="EE1228" s="264" t="s">
        <v>450</v>
      </c>
      <c r="EI1228" s="214"/>
    </row>
    <row r="1229" spans="18:139" ht="16.5" hidden="1" customHeight="1">
      <c r="R1229" s="264" t="s">
        <v>450</v>
      </c>
      <c r="V1229" s="214"/>
      <c r="ED1229" s="110"/>
      <c r="EE1229" s="264" t="s">
        <v>450</v>
      </c>
      <c r="EI1229" s="214"/>
    </row>
    <row r="1230" spans="18:139" ht="16.5" hidden="1" customHeight="1">
      <c r="R1230" s="264" t="s">
        <v>450</v>
      </c>
      <c r="V1230" s="214"/>
      <c r="ED1230" s="110"/>
      <c r="EE1230" s="264" t="s">
        <v>450</v>
      </c>
      <c r="EI1230" s="214"/>
    </row>
    <row r="1231" spans="18:139" ht="16.5" hidden="1" customHeight="1">
      <c r="R1231" s="264" t="s">
        <v>450</v>
      </c>
      <c r="V1231" s="214"/>
      <c r="ED1231" s="110"/>
      <c r="EE1231" s="264" t="s">
        <v>450</v>
      </c>
      <c r="EI1231" s="214"/>
    </row>
    <row r="1232" spans="18:139" ht="16.5" hidden="1" customHeight="1">
      <c r="R1232" s="264" t="s">
        <v>450</v>
      </c>
      <c r="V1232" s="214"/>
      <c r="ED1232" s="110"/>
      <c r="EE1232" s="264" t="s">
        <v>450</v>
      </c>
      <c r="EI1232" s="214"/>
    </row>
    <row r="1233" spans="18:139" ht="16.5" hidden="1" customHeight="1">
      <c r="R1233" s="264" t="s">
        <v>450</v>
      </c>
      <c r="V1233" s="214"/>
      <c r="ED1233" s="110"/>
      <c r="EE1233" s="264" t="s">
        <v>450</v>
      </c>
      <c r="EI1233" s="214"/>
    </row>
    <row r="1234" spans="18:139" ht="16.5" hidden="1" customHeight="1">
      <c r="R1234" s="264" t="s">
        <v>450</v>
      </c>
      <c r="V1234" s="214"/>
      <c r="ED1234" s="110"/>
      <c r="EE1234" s="264" t="s">
        <v>450</v>
      </c>
      <c r="EI1234" s="214"/>
    </row>
    <row r="1235" spans="18:139" ht="16.5" hidden="1" customHeight="1">
      <c r="R1235" s="264" t="s">
        <v>450</v>
      </c>
      <c r="V1235" s="214"/>
      <c r="ED1235" s="110"/>
      <c r="EE1235" s="264" t="s">
        <v>450</v>
      </c>
      <c r="EI1235" s="214"/>
    </row>
    <row r="1236" spans="18:139" ht="16.5" hidden="1" customHeight="1">
      <c r="R1236" s="264" t="s">
        <v>450</v>
      </c>
      <c r="V1236" s="214"/>
      <c r="ED1236" s="110"/>
      <c r="EE1236" s="264" t="s">
        <v>450</v>
      </c>
      <c r="EI1236" s="214"/>
    </row>
    <row r="1237" spans="18:139" ht="16.5" hidden="1" customHeight="1">
      <c r="R1237" s="264" t="s">
        <v>450</v>
      </c>
      <c r="V1237" s="214"/>
      <c r="ED1237" s="110"/>
      <c r="EE1237" s="264" t="s">
        <v>450</v>
      </c>
      <c r="EI1237" s="214"/>
    </row>
    <row r="1238" spans="18:139" ht="16.5" hidden="1" customHeight="1">
      <c r="R1238" s="264" t="s">
        <v>450</v>
      </c>
      <c r="V1238" s="214"/>
      <c r="ED1238" s="110"/>
      <c r="EE1238" s="264" t="s">
        <v>450</v>
      </c>
      <c r="EI1238" s="214"/>
    </row>
    <row r="1239" spans="18:139" ht="16.5" hidden="1" customHeight="1">
      <c r="R1239" s="264" t="s">
        <v>450</v>
      </c>
      <c r="V1239" s="214"/>
      <c r="ED1239" s="110"/>
      <c r="EE1239" s="264" t="s">
        <v>450</v>
      </c>
      <c r="EI1239" s="214"/>
    </row>
    <row r="1240" spans="18:139" ht="16.5" hidden="1" customHeight="1">
      <c r="R1240" s="264" t="s">
        <v>450</v>
      </c>
      <c r="V1240" s="214"/>
      <c r="ED1240" s="110"/>
      <c r="EE1240" s="264" t="s">
        <v>450</v>
      </c>
      <c r="EI1240" s="214"/>
    </row>
    <row r="1241" spans="18:139" ht="16.5" hidden="1" customHeight="1">
      <c r="R1241" s="264" t="s">
        <v>450</v>
      </c>
      <c r="V1241" s="214"/>
      <c r="ED1241" s="110"/>
      <c r="EE1241" s="264" t="s">
        <v>450</v>
      </c>
      <c r="EI1241" s="214"/>
    </row>
    <row r="1242" spans="18:139" ht="16.5" hidden="1" customHeight="1">
      <c r="R1242" s="264" t="s">
        <v>450</v>
      </c>
      <c r="V1242" s="214"/>
      <c r="ED1242" s="110"/>
      <c r="EE1242" s="264" t="s">
        <v>450</v>
      </c>
      <c r="EI1242" s="214"/>
    </row>
    <row r="1243" spans="18:139" ht="16.5" hidden="1" customHeight="1">
      <c r="R1243" s="264" t="s">
        <v>450</v>
      </c>
      <c r="V1243" s="214"/>
      <c r="ED1243" s="110"/>
      <c r="EE1243" s="264" t="s">
        <v>450</v>
      </c>
      <c r="EI1243" s="214"/>
    </row>
    <row r="1244" spans="18:139" ht="16.5" hidden="1" customHeight="1">
      <c r="R1244" s="264" t="s">
        <v>450</v>
      </c>
      <c r="V1244" s="214"/>
      <c r="ED1244" s="110"/>
      <c r="EE1244" s="264" t="s">
        <v>450</v>
      </c>
      <c r="EI1244" s="214"/>
    </row>
    <row r="1245" spans="18:139" ht="16.5" hidden="1" customHeight="1">
      <c r="R1245" s="264" t="s">
        <v>450</v>
      </c>
      <c r="V1245" s="214"/>
      <c r="ED1245" s="110"/>
      <c r="EE1245" s="264" t="s">
        <v>450</v>
      </c>
      <c r="EI1245" s="214"/>
    </row>
    <row r="1246" spans="18:139" ht="16.5" hidden="1" customHeight="1">
      <c r="R1246" s="264" t="s">
        <v>450</v>
      </c>
      <c r="V1246" s="214"/>
      <c r="ED1246" s="110"/>
      <c r="EE1246" s="264" t="s">
        <v>450</v>
      </c>
      <c r="EI1246" s="214"/>
    </row>
    <row r="1247" spans="18:139" ht="16.5" hidden="1" customHeight="1">
      <c r="R1247" s="264" t="s">
        <v>450</v>
      </c>
      <c r="V1247" s="214"/>
      <c r="ED1247" s="110"/>
      <c r="EE1247" s="264" t="s">
        <v>450</v>
      </c>
      <c r="EI1247" s="214"/>
    </row>
    <row r="1248" spans="18:139" ht="16.5" hidden="1" customHeight="1">
      <c r="R1248" s="264" t="s">
        <v>450</v>
      </c>
      <c r="V1248" s="214"/>
      <c r="ED1248" s="110"/>
      <c r="EE1248" s="264" t="s">
        <v>450</v>
      </c>
      <c r="EI1248" s="214"/>
    </row>
    <row r="1249" spans="18:139" ht="16.5" hidden="1" customHeight="1">
      <c r="R1249" s="264" t="s">
        <v>450</v>
      </c>
      <c r="V1249" s="214"/>
      <c r="ED1249" s="110"/>
      <c r="EE1249" s="264" t="s">
        <v>450</v>
      </c>
      <c r="EI1249" s="214"/>
    </row>
    <row r="1250" spans="18:139" ht="16.5" hidden="1" customHeight="1">
      <c r="R1250" s="264" t="s">
        <v>450</v>
      </c>
      <c r="V1250" s="214"/>
      <c r="ED1250" s="110"/>
      <c r="EE1250" s="264" t="s">
        <v>450</v>
      </c>
      <c r="EI1250" s="214"/>
    </row>
    <row r="1251" spans="18:139" ht="16.5" hidden="1" customHeight="1">
      <c r="R1251" s="264" t="s">
        <v>450</v>
      </c>
      <c r="V1251" s="214"/>
      <c r="ED1251" s="110"/>
      <c r="EE1251" s="264" t="s">
        <v>450</v>
      </c>
      <c r="EI1251" s="214"/>
    </row>
    <row r="1252" spans="18:139" ht="16.5" hidden="1" customHeight="1">
      <c r="R1252" s="264" t="s">
        <v>450</v>
      </c>
      <c r="V1252" s="214"/>
      <c r="ED1252" s="110"/>
      <c r="EE1252" s="264" t="s">
        <v>450</v>
      </c>
      <c r="EI1252" s="214"/>
    </row>
    <row r="1253" spans="18:139" ht="16.5" hidden="1" customHeight="1">
      <c r="R1253" s="264" t="s">
        <v>450</v>
      </c>
      <c r="V1253" s="214"/>
      <c r="ED1253" s="110"/>
      <c r="EE1253" s="264" t="s">
        <v>450</v>
      </c>
      <c r="EI1253" s="214"/>
    </row>
    <row r="1254" spans="18:139" ht="16.5" hidden="1" customHeight="1">
      <c r="R1254" s="264" t="s">
        <v>450</v>
      </c>
      <c r="V1254" s="214"/>
      <c r="ED1254" s="110"/>
      <c r="EE1254" s="264" t="s">
        <v>450</v>
      </c>
      <c r="EI1254" s="214"/>
    </row>
    <row r="1255" spans="18:139" ht="16.5" hidden="1" customHeight="1">
      <c r="R1255" s="264" t="s">
        <v>450</v>
      </c>
      <c r="V1255" s="214"/>
      <c r="ED1255" s="110"/>
      <c r="EE1255" s="264" t="s">
        <v>450</v>
      </c>
      <c r="EI1255" s="214"/>
    </row>
    <row r="1256" spans="18:139" ht="16.5" hidden="1" customHeight="1">
      <c r="R1256" s="264" t="s">
        <v>450</v>
      </c>
      <c r="V1256" s="214"/>
      <c r="ED1256" s="110"/>
      <c r="EE1256" s="264" t="s">
        <v>450</v>
      </c>
      <c r="EI1256" s="214"/>
    </row>
    <row r="1257" spans="18:139" ht="16.5" hidden="1" customHeight="1">
      <c r="R1257" s="264" t="s">
        <v>450</v>
      </c>
      <c r="V1257" s="214"/>
      <c r="ED1257" s="110"/>
      <c r="EE1257" s="264" t="s">
        <v>450</v>
      </c>
      <c r="EI1257" s="214"/>
    </row>
    <row r="1258" spans="18:139" ht="16.5" hidden="1" customHeight="1">
      <c r="R1258" s="264" t="s">
        <v>450</v>
      </c>
      <c r="V1258" s="214"/>
      <c r="ED1258" s="110"/>
      <c r="EE1258" s="264" t="s">
        <v>450</v>
      </c>
      <c r="EI1258" s="214"/>
    </row>
    <row r="1259" spans="18:139" ht="16.5" hidden="1" customHeight="1">
      <c r="R1259" s="264" t="s">
        <v>450</v>
      </c>
      <c r="V1259" s="214"/>
      <c r="ED1259" s="110"/>
      <c r="EE1259" s="264" t="s">
        <v>450</v>
      </c>
      <c r="EI1259" s="214"/>
    </row>
    <row r="1260" spans="18:139" ht="16.5" hidden="1" customHeight="1">
      <c r="R1260" s="264" t="s">
        <v>450</v>
      </c>
      <c r="V1260" s="214"/>
      <c r="ED1260" s="110"/>
      <c r="EE1260" s="264" t="s">
        <v>450</v>
      </c>
      <c r="EI1260" s="214"/>
    </row>
    <row r="1261" spans="18:139" ht="16.5" hidden="1" customHeight="1">
      <c r="R1261" s="264" t="s">
        <v>450</v>
      </c>
      <c r="V1261" s="214"/>
      <c r="ED1261" s="110"/>
      <c r="EE1261" s="264" t="s">
        <v>450</v>
      </c>
      <c r="EI1261" s="214"/>
    </row>
    <row r="1262" spans="18:139" ht="16.5" hidden="1" customHeight="1">
      <c r="R1262" s="264" t="s">
        <v>450</v>
      </c>
      <c r="V1262" s="214"/>
      <c r="ED1262" s="110"/>
      <c r="EE1262" s="264" t="s">
        <v>450</v>
      </c>
      <c r="EI1262" s="214"/>
    </row>
    <row r="1263" spans="18:139" ht="16.5" hidden="1" customHeight="1">
      <c r="R1263" s="264" t="s">
        <v>450</v>
      </c>
      <c r="V1263" s="214"/>
      <c r="ED1263" s="110"/>
      <c r="EE1263" s="264" t="s">
        <v>450</v>
      </c>
      <c r="EI1263" s="214"/>
    </row>
    <row r="1264" spans="18:139" ht="16.5" hidden="1" customHeight="1">
      <c r="R1264" s="264" t="s">
        <v>450</v>
      </c>
      <c r="V1264" s="214"/>
      <c r="ED1264" s="110"/>
      <c r="EE1264" s="264" t="s">
        <v>450</v>
      </c>
      <c r="EI1264" s="214"/>
    </row>
    <row r="1265" spans="18:139" ht="16.5" hidden="1" customHeight="1">
      <c r="R1265" s="264" t="s">
        <v>450</v>
      </c>
      <c r="V1265" s="214"/>
      <c r="ED1265" s="110"/>
      <c r="EE1265" s="264" t="s">
        <v>450</v>
      </c>
      <c r="EI1265" s="214"/>
    </row>
    <row r="1266" spans="18:139" ht="16.5" hidden="1" customHeight="1">
      <c r="R1266" s="264" t="s">
        <v>450</v>
      </c>
      <c r="V1266" s="214"/>
      <c r="ED1266" s="110"/>
      <c r="EE1266" s="264" t="s">
        <v>450</v>
      </c>
      <c r="EI1266" s="214"/>
    </row>
    <row r="1267" spans="18:139" ht="16.5" hidden="1" customHeight="1">
      <c r="R1267" s="264" t="s">
        <v>450</v>
      </c>
      <c r="V1267" s="214"/>
      <c r="ED1267" s="110"/>
      <c r="EE1267" s="264" t="s">
        <v>450</v>
      </c>
      <c r="EI1267" s="214"/>
    </row>
    <row r="1268" spans="18:139" ht="16.5" hidden="1" customHeight="1">
      <c r="R1268" s="264" t="s">
        <v>450</v>
      </c>
      <c r="V1268" s="214"/>
      <c r="ED1268" s="110"/>
      <c r="EE1268" s="264" t="s">
        <v>450</v>
      </c>
      <c r="EI1268" s="214"/>
    </row>
    <row r="1269" spans="18:139" ht="16.5" hidden="1" customHeight="1">
      <c r="R1269" s="264" t="s">
        <v>450</v>
      </c>
      <c r="V1269" s="214"/>
      <c r="ED1269" s="110"/>
      <c r="EE1269" s="264" t="s">
        <v>450</v>
      </c>
      <c r="EI1269" s="214"/>
    </row>
    <row r="1270" spans="18:139" ht="16.5" hidden="1" customHeight="1">
      <c r="R1270" s="264" t="s">
        <v>450</v>
      </c>
      <c r="V1270" s="214"/>
      <c r="ED1270" s="110"/>
      <c r="EE1270" s="264" t="s">
        <v>450</v>
      </c>
      <c r="EI1270" s="214"/>
    </row>
    <row r="1271" spans="18:139" ht="16.5" hidden="1" customHeight="1">
      <c r="R1271" s="264" t="s">
        <v>450</v>
      </c>
      <c r="V1271" s="214"/>
      <c r="ED1271" s="110"/>
      <c r="EE1271" s="264" t="s">
        <v>450</v>
      </c>
      <c r="EI1271" s="214"/>
    </row>
    <row r="1272" spans="18:139" ht="16.5" hidden="1" customHeight="1">
      <c r="R1272" s="264" t="s">
        <v>450</v>
      </c>
      <c r="V1272" s="214"/>
      <c r="ED1272" s="110"/>
      <c r="EE1272" s="264" t="s">
        <v>450</v>
      </c>
      <c r="EI1272" s="214"/>
    </row>
    <row r="1273" spans="18:139" ht="16.5" hidden="1" customHeight="1">
      <c r="R1273" s="264" t="s">
        <v>450</v>
      </c>
      <c r="V1273" s="214"/>
      <c r="ED1273" s="110"/>
      <c r="EE1273" s="264" t="s">
        <v>450</v>
      </c>
      <c r="EI1273" s="214"/>
    </row>
    <row r="1274" spans="18:139" ht="16.5" hidden="1" customHeight="1">
      <c r="R1274" s="264" t="s">
        <v>450</v>
      </c>
      <c r="V1274" s="214"/>
      <c r="ED1274" s="110"/>
      <c r="EE1274" s="264" t="s">
        <v>450</v>
      </c>
      <c r="EI1274" s="214"/>
    </row>
    <row r="1275" spans="18:139" ht="16.5" hidden="1" customHeight="1">
      <c r="R1275" s="264" t="s">
        <v>450</v>
      </c>
      <c r="V1275" s="214"/>
      <c r="ED1275" s="110"/>
      <c r="EE1275" s="264" t="s">
        <v>450</v>
      </c>
      <c r="EI1275" s="214"/>
    </row>
    <row r="1276" spans="18:139" ht="16.5" hidden="1" customHeight="1">
      <c r="R1276" s="264" t="s">
        <v>450</v>
      </c>
      <c r="V1276" s="214"/>
      <c r="ED1276" s="110"/>
      <c r="EE1276" s="264" t="s">
        <v>450</v>
      </c>
      <c r="EI1276" s="214"/>
    </row>
    <row r="1277" spans="18:139" ht="16.5" hidden="1" customHeight="1">
      <c r="R1277" s="264" t="s">
        <v>450</v>
      </c>
      <c r="V1277" s="214"/>
      <c r="ED1277" s="110"/>
      <c r="EE1277" s="264" t="s">
        <v>450</v>
      </c>
      <c r="EI1277" s="214"/>
    </row>
    <row r="1278" spans="18:139" ht="16.5" hidden="1" customHeight="1">
      <c r="R1278" s="264" t="s">
        <v>450</v>
      </c>
      <c r="V1278" s="214"/>
      <c r="ED1278" s="110"/>
      <c r="EE1278" s="264" t="s">
        <v>450</v>
      </c>
      <c r="EI1278" s="214"/>
    </row>
    <row r="1279" spans="18:139" ht="16.5" hidden="1" customHeight="1">
      <c r="R1279" s="264" t="s">
        <v>450</v>
      </c>
      <c r="V1279" s="214"/>
      <c r="ED1279" s="110"/>
      <c r="EE1279" s="264" t="s">
        <v>450</v>
      </c>
      <c r="EI1279" s="214"/>
    </row>
    <row r="1280" spans="18:139" ht="16.5" hidden="1" customHeight="1">
      <c r="R1280" s="264" t="s">
        <v>450</v>
      </c>
      <c r="V1280" s="214"/>
      <c r="ED1280" s="110"/>
      <c r="EE1280" s="264" t="s">
        <v>450</v>
      </c>
      <c r="EI1280" s="214"/>
    </row>
    <row r="1281" spans="18:139" ht="16.5" hidden="1" customHeight="1">
      <c r="R1281" s="264" t="s">
        <v>450</v>
      </c>
      <c r="V1281" s="214"/>
      <c r="ED1281" s="110"/>
      <c r="EE1281" s="264" t="s">
        <v>450</v>
      </c>
      <c r="EI1281" s="214"/>
    </row>
    <row r="1282" spans="18:139" ht="16.5" hidden="1" customHeight="1">
      <c r="R1282" s="264" t="s">
        <v>450</v>
      </c>
      <c r="V1282" s="214"/>
      <c r="ED1282" s="110"/>
      <c r="EE1282" s="264" t="s">
        <v>450</v>
      </c>
      <c r="EI1282" s="214"/>
    </row>
    <row r="1283" spans="18:139" ht="16.5" hidden="1" customHeight="1">
      <c r="R1283" s="264" t="s">
        <v>450</v>
      </c>
      <c r="V1283" s="214"/>
      <c r="ED1283" s="110"/>
      <c r="EE1283" s="264" t="s">
        <v>450</v>
      </c>
      <c r="EI1283" s="214"/>
    </row>
    <row r="1284" spans="18:139" ht="16.5" hidden="1" customHeight="1">
      <c r="R1284" s="264" t="s">
        <v>450</v>
      </c>
      <c r="V1284" s="214"/>
      <c r="ED1284" s="110"/>
      <c r="EE1284" s="264" t="s">
        <v>450</v>
      </c>
      <c r="EI1284" s="214"/>
    </row>
    <row r="1285" spans="18:139" ht="16.5" hidden="1" customHeight="1">
      <c r="R1285" s="264" t="s">
        <v>450</v>
      </c>
      <c r="V1285" s="214"/>
      <c r="ED1285" s="110"/>
      <c r="EE1285" s="264" t="s">
        <v>450</v>
      </c>
      <c r="EI1285" s="214"/>
    </row>
    <row r="1286" spans="18:139" ht="16.5" hidden="1" customHeight="1">
      <c r="R1286" s="264" t="s">
        <v>450</v>
      </c>
      <c r="V1286" s="214"/>
      <c r="ED1286" s="110"/>
      <c r="EE1286" s="264" t="s">
        <v>450</v>
      </c>
      <c r="EI1286" s="214"/>
    </row>
    <row r="1287" spans="18:139" ht="16.5" hidden="1" customHeight="1">
      <c r="R1287" s="264" t="s">
        <v>450</v>
      </c>
      <c r="V1287" s="214"/>
      <c r="ED1287" s="110"/>
      <c r="EE1287" s="264" t="s">
        <v>450</v>
      </c>
      <c r="EI1287" s="214"/>
    </row>
    <row r="1288" spans="18:139" ht="16.5" hidden="1" customHeight="1">
      <c r="R1288" s="264" t="s">
        <v>450</v>
      </c>
      <c r="V1288" s="214"/>
      <c r="ED1288" s="110"/>
      <c r="EE1288" s="264" t="s">
        <v>450</v>
      </c>
      <c r="EI1288" s="214"/>
    </row>
    <row r="1289" spans="18:139" ht="16.5" hidden="1" customHeight="1">
      <c r="R1289" s="264" t="s">
        <v>450</v>
      </c>
      <c r="V1289" s="214"/>
      <c r="ED1289" s="110"/>
      <c r="EE1289" s="264" t="s">
        <v>450</v>
      </c>
      <c r="EI1289" s="214"/>
    </row>
    <row r="1290" spans="18:139" ht="16.5" hidden="1" customHeight="1">
      <c r="R1290" s="264" t="s">
        <v>450</v>
      </c>
      <c r="V1290" s="214"/>
      <c r="ED1290" s="110"/>
      <c r="EE1290" s="264" t="s">
        <v>450</v>
      </c>
      <c r="EI1290" s="214"/>
    </row>
    <row r="1291" spans="18:139" ht="16.5" hidden="1" customHeight="1">
      <c r="R1291" s="264" t="s">
        <v>450</v>
      </c>
      <c r="V1291" s="214"/>
      <c r="ED1291" s="110"/>
      <c r="EE1291" s="264" t="s">
        <v>450</v>
      </c>
      <c r="EI1291" s="214"/>
    </row>
    <row r="1292" spans="18:139" ht="16.5" hidden="1" customHeight="1">
      <c r="R1292" s="264" t="s">
        <v>450</v>
      </c>
      <c r="V1292" s="214"/>
      <c r="ED1292" s="110"/>
      <c r="EE1292" s="264" t="s">
        <v>450</v>
      </c>
      <c r="EI1292" s="214"/>
    </row>
    <row r="1293" spans="18:139" ht="16.5" hidden="1" customHeight="1">
      <c r="R1293" s="264" t="s">
        <v>450</v>
      </c>
      <c r="V1293" s="214"/>
      <c r="ED1293" s="110"/>
      <c r="EE1293" s="264" t="s">
        <v>450</v>
      </c>
      <c r="EI1293" s="214"/>
    </row>
    <row r="1294" spans="18:139" ht="16.5" hidden="1" customHeight="1">
      <c r="R1294" s="264" t="s">
        <v>450</v>
      </c>
      <c r="V1294" s="214"/>
      <c r="ED1294" s="110"/>
      <c r="EE1294" s="264" t="s">
        <v>450</v>
      </c>
      <c r="EI1294" s="214"/>
    </row>
    <row r="1295" spans="18:139" ht="16.5" hidden="1" customHeight="1">
      <c r="R1295" s="264" t="s">
        <v>450</v>
      </c>
      <c r="V1295" s="214"/>
      <c r="ED1295" s="110"/>
      <c r="EE1295" s="264" t="s">
        <v>450</v>
      </c>
      <c r="EI1295" s="214"/>
    </row>
    <row r="1296" spans="18:139" ht="16.5" hidden="1" customHeight="1">
      <c r="R1296" s="264" t="s">
        <v>450</v>
      </c>
      <c r="V1296" s="214"/>
      <c r="ED1296" s="110"/>
      <c r="EE1296" s="264" t="s">
        <v>450</v>
      </c>
      <c r="EI1296" s="214"/>
    </row>
    <row r="1297" spans="18:139" ht="16.5" hidden="1" customHeight="1">
      <c r="R1297" s="264" t="s">
        <v>450</v>
      </c>
      <c r="V1297" s="214"/>
      <c r="ED1297" s="110"/>
      <c r="EE1297" s="264" t="s">
        <v>450</v>
      </c>
      <c r="EI1297" s="214"/>
    </row>
    <row r="1298" spans="18:139" ht="16.5" hidden="1" customHeight="1">
      <c r="R1298" s="264" t="s">
        <v>450</v>
      </c>
      <c r="V1298" s="214"/>
      <c r="ED1298" s="110"/>
      <c r="EE1298" s="264" t="s">
        <v>450</v>
      </c>
      <c r="EI1298" s="214"/>
    </row>
    <row r="1299" spans="18:139" ht="16.5" hidden="1" customHeight="1">
      <c r="R1299" s="264" t="s">
        <v>450</v>
      </c>
      <c r="V1299" s="214"/>
      <c r="ED1299" s="110"/>
      <c r="EE1299" s="264" t="s">
        <v>450</v>
      </c>
      <c r="EI1299" s="214"/>
    </row>
    <row r="1300" spans="18:139" ht="16.5" hidden="1" customHeight="1">
      <c r="R1300" s="264" t="s">
        <v>450</v>
      </c>
      <c r="V1300" s="214"/>
      <c r="ED1300" s="110"/>
      <c r="EE1300" s="264" t="s">
        <v>450</v>
      </c>
      <c r="EI1300" s="214"/>
    </row>
    <row r="1301" spans="18:139" ht="16.5" hidden="1" customHeight="1">
      <c r="R1301" s="264" t="s">
        <v>450</v>
      </c>
      <c r="V1301" s="214"/>
      <c r="ED1301" s="110"/>
      <c r="EE1301" s="264" t="s">
        <v>450</v>
      </c>
      <c r="EI1301" s="214"/>
    </row>
    <row r="1302" spans="18:139" ht="16.5" hidden="1" customHeight="1">
      <c r="R1302" s="264" t="s">
        <v>450</v>
      </c>
      <c r="V1302" s="214"/>
      <c r="ED1302" s="110"/>
      <c r="EE1302" s="264" t="s">
        <v>450</v>
      </c>
      <c r="EI1302" s="214"/>
    </row>
    <row r="1303" spans="18:139" ht="16.5" hidden="1" customHeight="1">
      <c r="R1303" s="264" t="s">
        <v>450</v>
      </c>
      <c r="V1303" s="214"/>
      <c r="ED1303" s="110"/>
      <c r="EE1303" s="264" t="s">
        <v>450</v>
      </c>
      <c r="EI1303" s="214"/>
    </row>
    <row r="1304" spans="18:139" ht="16.5" hidden="1" customHeight="1">
      <c r="R1304" s="264" t="s">
        <v>450</v>
      </c>
      <c r="V1304" s="214"/>
      <c r="ED1304" s="110"/>
      <c r="EE1304" s="264" t="s">
        <v>450</v>
      </c>
      <c r="EI1304" s="214"/>
    </row>
    <row r="1305" spans="18:139" ht="16.5" hidden="1" customHeight="1">
      <c r="R1305" s="264" t="s">
        <v>450</v>
      </c>
      <c r="V1305" s="214"/>
      <c r="ED1305" s="110"/>
      <c r="EE1305" s="264" t="s">
        <v>450</v>
      </c>
      <c r="EI1305" s="214"/>
    </row>
    <row r="1306" spans="18:139" ht="16.5" hidden="1" customHeight="1">
      <c r="R1306" s="264" t="s">
        <v>450</v>
      </c>
      <c r="V1306" s="214"/>
      <c r="ED1306" s="110"/>
      <c r="EE1306" s="264" t="s">
        <v>450</v>
      </c>
      <c r="EI1306" s="214"/>
    </row>
    <row r="1307" spans="18:139" ht="16.5" hidden="1" customHeight="1">
      <c r="R1307" s="264" t="s">
        <v>450</v>
      </c>
      <c r="V1307" s="214"/>
      <c r="ED1307" s="110"/>
      <c r="EE1307" s="264" t="s">
        <v>450</v>
      </c>
      <c r="EI1307" s="214"/>
    </row>
    <row r="1308" spans="18:139" ht="16.5" hidden="1" customHeight="1">
      <c r="R1308" s="264" t="s">
        <v>450</v>
      </c>
      <c r="V1308" s="214"/>
      <c r="ED1308" s="110"/>
      <c r="EE1308" s="264" t="s">
        <v>450</v>
      </c>
      <c r="EI1308" s="214"/>
    </row>
    <row r="1309" spans="18:139" ht="16.5" hidden="1" customHeight="1">
      <c r="R1309" s="264" t="s">
        <v>450</v>
      </c>
      <c r="V1309" s="214"/>
      <c r="ED1309" s="110"/>
      <c r="EE1309" s="264" t="s">
        <v>450</v>
      </c>
      <c r="EI1309" s="214"/>
    </row>
    <row r="1310" spans="18:139" ht="16.5" hidden="1" customHeight="1">
      <c r="R1310" s="264" t="s">
        <v>450</v>
      </c>
      <c r="V1310" s="214"/>
      <c r="ED1310" s="110"/>
      <c r="EE1310" s="264" t="s">
        <v>450</v>
      </c>
      <c r="EI1310" s="214"/>
    </row>
    <row r="1311" spans="18:139" ht="16.5" hidden="1" customHeight="1">
      <c r="R1311" s="264" t="s">
        <v>450</v>
      </c>
      <c r="V1311" s="214"/>
      <c r="ED1311" s="110"/>
      <c r="EE1311" s="264" t="s">
        <v>450</v>
      </c>
      <c r="EI1311" s="214"/>
    </row>
    <row r="1312" spans="18:139" ht="16.5" hidden="1" customHeight="1">
      <c r="R1312" s="264" t="s">
        <v>450</v>
      </c>
      <c r="V1312" s="214"/>
      <c r="ED1312" s="110"/>
      <c r="EE1312" s="264" t="s">
        <v>450</v>
      </c>
      <c r="EI1312" s="214"/>
    </row>
    <row r="1313" spans="18:139" ht="16.5" hidden="1" customHeight="1">
      <c r="R1313" s="264" t="s">
        <v>450</v>
      </c>
      <c r="V1313" s="214"/>
      <c r="ED1313" s="110"/>
      <c r="EE1313" s="264" t="s">
        <v>450</v>
      </c>
      <c r="EI1313" s="214"/>
    </row>
    <row r="1314" spans="18:139" ht="16.5" hidden="1" customHeight="1">
      <c r="R1314" s="264" t="s">
        <v>450</v>
      </c>
      <c r="V1314" s="214"/>
      <c r="ED1314" s="110"/>
      <c r="EE1314" s="264" t="s">
        <v>450</v>
      </c>
      <c r="EI1314" s="214"/>
    </row>
    <row r="1315" spans="18:139" ht="16.5" hidden="1" customHeight="1">
      <c r="R1315" s="264" t="s">
        <v>450</v>
      </c>
      <c r="V1315" s="214"/>
      <c r="ED1315" s="110"/>
      <c r="EE1315" s="264" t="s">
        <v>450</v>
      </c>
      <c r="EI1315" s="214"/>
    </row>
    <row r="1316" spans="18:139" ht="16.5" hidden="1" customHeight="1">
      <c r="R1316" s="264" t="s">
        <v>450</v>
      </c>
      <c r="V1316" s="214"/>
      <c r="ED1316" s="110"/>
      <c r="EE1316" s="264" t="s">
        <v>450</v>
      </c>
      <c r="EI1316" s="214"/>
    </row>
    <row r="1317" spans="18:139" ht="16.5" hidden="1" customHeight="1">
      <c r="R1317" s="264" t="s">
        <v>450</v>
      </c>
      <c r="V1317" s="214"/>
      <c r="ED1317" s="110"/>
      <c r="EE1317" s="264" t="s">
        <v>450</v>
      </c>
      <c r="EI1317" s="214"/>
    </row>
    <row r="1318" spans="18:139" ht="16.5" hidden="1" customHeight="1">
      <c r="R1318" s="264" t="s">
        <v>450</v>
      </c>
      <c r="V1318" s="214"/>
      <c r="ED1318" s="110"/>
      <c r="EE1318" s="264" t="s">
        <v>450</v>
      </c>
      <c r="EI1318" s="214"/>
    </row>
    <row r="1319" spans="18:139" ht="16.5" hidden="1" customHeight="1">
      <c r="R1319" s="264" t="s">
        <v>450</v>
      </c>
      <c r="V1319" s="214"/>
      <c r="ED1319" s="110"/>
      <c r="EE1319" s="264" t="s">
        <v>450</v>
      </c>
      <c r="EI1319" s="214"/>
    </row>
    <row r="1320" spans="18:139" ht="16.5" hidden="1" customHeight="1">
      <c r="R1320" s="264" t="s">
        <v>450</v>
      </c>
      <c r="V1320" s="214"/>
      <c r="ED1320" s="110"/>
      <c r="EE1320" s="264" t="s">
        <v>450</v>
      </c>
      <c r="EI1320" s="214"/>
    </row>
    <row r="1321" spans="18:139" ht="16.5" hidden="1" customHeight="1">
      <c r="R1321" s="264" t="s">
        <v>450</v>
      </c>
      <c r="V1321" s="214"/>
      <c r="ED1321" s="110"/>
      <c r="EE1321" s="264" t="s">
        <v>450</v>
      </c>
      <c r="EI1321" s="214"/>
    </row>
    <row r="1322" spans="18:139" ht="16.5" hidden="1" customHeight="1">
      <c r="R1322" s="264" t="s">
        <v>450</v>
      </c>
      <c r="V1322" s="214"/>
      <c r="ED1322" s="110"/>
      <c r="EE1322" s="264" t="s">
        <v>450</v>
      </c>
      <c r="EI1322" s="214"/>
    </row>
    <row r="1323" spans="18:139" ht="16.5" hidden="1" customHeight="1">
      <c r="R1323" s="264" t="s">
        <v>450</v>
      </c>
      <c r="V1323" s="214"/>
      <c r="ED1323" s="110"/>
      <c r="EE1323" s="264" t="s">
        <v>450</v>
      </c>
      <c r="EI1323" s="214"/>
    </row>
    <row r="1324" spans="18:139" ht="16.5" hidden="1" customHeight="1">
      <c r="R1324" s="264" t="s">
        <v>450</v>
      </c>
      <c r="V1324" s="214"/>
      <c r="ED1324" s="110"/>
      <c r="EE1324" s="264" t="s">
        <v>450</v>
      </c>
      <c r="EI1324" s="214"/>
    </row>
    <row r="1325" spans="18:139" ht="16.5" hidden="1" customHeight="1">
      <c r="R1325" s="264" t="s">
        <v>450</v>
      </c>
      <c r="V1325" s="214"/>
      <c r="ED1325" s="110"/>
      <c r="EE1325" s="264" t="s">
        <v>450</v>
      </c>
      <c r="EI1325" s="214"/>
    </row>
    <row r="1326" spans="18:139" ht="16.5" hidden="1" customHeight="1">
      <c r="R1326" s="264" t="s">
        <v>450</v>
      </c>
      <c r="V1326" s="214"/>
      <c r="ED1326" s="110"/>
      <c r="EE1326" s="264" t="s">
        <v>450</v>
      </c>
      <c r="EI1326" s="214"/>
    </row>
    <row r="1327" spans="18:139" ht="16.5" hidden="1" customHeight="1">
      <c r="R1327" s="264" t="s">
        <v>450</v>
      </c>
      <c r="V1327" s="214"/>
      <c r="ED1327" s="110"/>
      <c r="EE1327" s="264" t="s">
        <v>450</v>
      </c>
      <c r="EI1327" s="214"/>
    </row>
    <row r="1328" spans="18:139" ht="16.5" hidden="1" customHeight="1">
      <c r="R1328" s="264" t="s">
        <v>450</v>
      </c>
      <c r="V1328" s="214"/>
      <c r="ED1328" s="110"/>
      <c r="EE1328" s="264" t="s">
        <v>450</v>
      </c>
      <c r="EI1328" s="214"/>
    </row>
    <row r="1329" spans="18:139" ht="16.5" hidden="1" customHeight="1">
      <c r="R1329" s="264" t="s">
        <v>450</v>
      </c>
      <c r="V1329" s="214"/>
      <c r="ED1329" s="110"/>
      <c r="EE1329" s="264" t="s">
        <v>450</v>
      </c>
      <c r="EI1329" s="214"/>
    </row>
    <row r="1330" spans="18:139" ht="16.5" hidden="1" customHeight="1">
      <c r="R1330" s="264" t="s">
        <v>450</v>
      </c>
      <c r="V1330" s="214"/>
      <c r="ED1330" s="110"/>
      <c r="EE1330" s="264" t="s">
        <v>450</v>
      </c>
      <c r="EI1330" s="214"/>
    </row>
    <row r="1331" spans="18:139" ht="16.5" hidden="1" customHeight="1">
      <c r="R1331" s="264" t="s">
        <v>450</v>
      </c>
      <c r="V1331" s="214"/>
      <c r="ED1331" s="110"/>
      <c r="EE1331" s="264" t="s">
        <v>450</v>
      </c>
      <c r="EI1331" s="214"/>
    </row>
    <row r="1332" spans="18:139" ht="16.5" hidden="1" customHeight="1">
      <c r="R1332" s="264" t="s">
        <v>450</v>
      </c>
      <c r="V1332" s="214"/>
      <c r="ED1332" s="110"/>
      <c r="EE1332" s="264" t="s">
        <v>450</v>
      </c>
      <c r="EI1332" s="214"/>
    </row>
    <row r="1333" spans="18:139" ht="16.5" hidden="1" customHeight="1">
      <c r="R1333" s="264" t="s">
        <v>450</v>
      </c>
      <c r="V1333" s="214"/>
      <c r="ED1333" s="110"/>
      <c r="EE1333" s="264" t="s">
        <v>450</v>
      </c>
      <c r="EI1333" s="214"/>
    </row>
    <row r="1334" spans="18:139" ht="16.5" hidden="1" customHeight="1">
      <c r="R1334" s="264" t="s">
        <v>450</v>
      </c>
      <c r="V1334" s="214"/>
      <c r="ED1334" s="110"/>
      <c r="EE1334" s="264" t="s">
        <v>450</v>
      </c>
      <c r="EI1334" s="214"/>
    </row>
    <row r="1335" spans="18:139" ht="16.5" hidden="1" customHeight="1">
      <c r="R1335" s="264" t="s">
        <v>450</v>
      </c>
      <c r="V1335" s="214"/>
      <c r="ED1335" s="110"/>
      <c r="EE1335" s="264" t="s">
        <v>450</v>
      </c>
      <c r="EI1335" s="214"/>
    </row>
    <row r="1336" spans="18:139" ht="16.5" hidden="1" customHeight="1">
      <c r="R1336" s="264" t="s">
        <v>450</v>
      </c>
      <c r="V1336" s="214"/>
      <c r="ED1336" s="110"/>
      <c r="EE1336" s="264" t="s">
        <v>450</v>
      </c>
      <c r="EI1336" s="214"/>
    </row>
    <row r="1337" spans="18:139" ht="16.5" hidden="1" customHeight="1">
      <c r="R1337" s="264" t="s">
        <v>450</v>
      </c>
      <c r="V1337" s="214"/>
      <c r="ED1337" s="110"/>
      <c r="EE1337" s="264" t="s">
        <v>450</v>
      </c>
      <c r="EI1337" s="214"/>
    </row>
    <row r="1338" spans="18:139" ht="16.5" hidden="1" customHeight="1">
      <c r="R1338" s="264" t="s">
        <v>450</v>
      </c>
      <c r="V1338" s="214"/>
      <c r="ED1338" s="110"/>
      <c r="EE1338" s="264" t="s">
        <v>450</v>
      </c>
      <c r="EI1338" s="214"/>
    </row>
    <row r="1339" spans="18:139" ht="16.5" hidden="1" customHeight="1">
      <c r="R1339" s="264" t="s">
        <v>450</v>
      </c>
      <c r="V1339" s="214"/>
      <c r="ED1339" s="110"/>
      <c r="EE1339" s="264" t="s">
        <v>450</v>
      </c>
      <c r="EI1339" s="214"/>
    </row>
    <row r="1340" spans="18:139" ht="16.5" hidden="1" customHeight="1">
      <c r="R1340" s="264" t="s">
        <v>450</v>
      </c>
      <c r="V1340" s="214"/>
      <c r="ED1340" s="110"/>
      <c r="EE1340" s="264" t="s">
        <v>450</v>
      </c>
      <c r="EI1340" s="214"/>
    </row>
    <row r="1341" spans="18:139" ht="16.5" hidden="1" customHeight="1">
      <c r="R1341" s="264" t="s">
        <v>450</v>
      </c>
      <c r="V1341" s="214"/>
      <c r="ED1341" s="110"/>
      <c r="EE1341" s="264" t="s">
        <v>450</v>
      </c>
      <c r="EI1341" s="214"/>
    </row>
    <row r="1342" spans="18:139" ht="16.5" hidden="1" customHeight="1">
      <c r="R1342" s="264" t="s">
        <v>450</v>
      </c>
      <c r="V1342" s="214"/>
      <c r="ED1342" s="110"/>
      <c r="EE1342" s="264" t="s">
        <v>450</v>
      </c>
      <c r="EI1342" s="214"/>
    </row>
    <row r="1343" spans="18:139" ht="16.5" hidden="1" customHeight="1">
      <c r="R1343" s="264" t="s">
        <v>450</v>
      </c>
      <c r="V1343" s="214"/>
      <c r="ED1343" s="110"/>
      <c r="EE1343" s="264" t="s">
        <v>450</v>
      </c>
      <c r="EI1343" s="214"/>
    </row>
    <row r="1344" spans="18:139" ht="16.5" hidden="1" customHeight="1">
      <c r="R1344" s="264" t="s">
        <v>450</v>
      </c>
      <c r="V1344" s="214"/>
      <c r="ED1344" s="110"/>
      <c r="EE1344" s="264" t="s">
        <v>450</v>
      </c>
      <c r="EI1344" s="214"/>
    </row>
    <row r="1345" spans="18:139" ht="16.5" hidden="1" customHeight="1">
      <c r="R1345" s="264" t="s">
        <v>450</v>
      </c>
      <c r="V1345" s="214"/>
      <c r="ED1345" s="110"/>
      <c r="EE1345" s="264" t="s">
        <v>450</v>
      </c>
      <c r="EI1345" s="214"/>
    </row>
    <row r="1346" spans="18:139" ht="16.5" hidden="1" customHeight="1">
      <c r="R1346" s="264" t="s">
        <v>450</v>
      </c>
      <c r="V1346" s="214"/>
      <c r="ED1346" s="110"/>
      <c r="EE1346" s="264" t="s">
        <v>450</v>
      </c>
      <c r="EI1346" s="214"/>
    </row>
    <row r="1347" spans="18:139" ht="16.5" hidden="1" customHeight="1">
      <c r="R1347" s="264" t="s">
        <v>450</v>
      </c>
      <c r="V1347" s="214"/>
      <c r="ED1347" s="110"/>
      <c r="EE1347" s="264" t="s">
        <v>450</v>
      </c>
      <c r="EI1347" s="214"/>
    </row>
    <row r="1348" spans="18:139" ht="16.5" hidden="1" customHeight="1">
      <c r="R1348" s="264" t="s">
        <v>450</v>
      </c>
      <c r="V1348" s="214"/>
      <c r="ED1348" s="110"/>
      <c r="EE1348" s="264" t="s">
        <v>450</v>
      </c>
      <c r="EI1348" s="214"/>
    </row>
    <row r="1349" spans="18:139" ht="16.5" hidden="1" customHeight="1">
      <c r="R1349" s="264" t="s">
        <v>450</v>
      </c>
      <c r="V1349" s="214"/>
      <c r="ED1349" s="110"/>
      <c r="EE1349" s="264" t="s">
        <v>450</v>
      </c>
      <c r="EI1349" s="214"/>
    </row>
    <row r="1350" spans="18:139" ht="16.5" hidden="1" customHeight="1">
      <c r="R1350" s="264" t="s">
        <v>450</v>
      </c>
      <c r="V1350" s="214"/>
      <c r="ED1350" s="110"/>
      <c r="EE1350" s="264" t="s">
        <v>450</v>
      </c>
      <c r="EI1350" s="214"/>
    </row>
    <row r="1351" spans="18:139" ht="16.5" hidden="1" customHeight="1">
      <c r="R1351" s="264" t="s">
        <v>450</v>
      </c>
      <c r="V1351" s="214"/>
      <c r="ED1351" s="110"/>
      <c r="EE1351" s="264" t="s">
        <v>450</v>
      </c>
      <c r="EI1351" s="214"/>
    </row>
    <row r="1352" spans="18:139" ht="16.5" hidden="1" customHeight="1">
      <c r="R1352" s="264" t="s">
        <v>450</v>
      </c>
      <c r="V1352" s="214"/>
      <c r="ED1352" s="110"/>
      <c r="EE1352" s="264" t="s">
        <v>450</v>
      </c>
      <c r="EI1352" s="214"/>
    </row>
    <row r="1353" spans="18:139" ht="16.5" hidden="1" customHeight="1">
      <c r="R1353" s="264" t="s">
        <v>450</v>
      </c>
      <c r="V1353" s="214"/>
      <c r="ED1353" s="110"/>
      <c r="EE1353" s="264" t="s">
        <v>450</v>
      </c>
      <c r="EI1353" s="214"/>
    </row>
    <row r="1354" spans="18:139" ht="16.5" hidden="1" customHeight="1">
      <c r="R1354" s="264" t="s">
        <v>450</v>
      </c>
      <c r="V1354" s="214"/>
      <c r="ED1354" s="110"/>
      <c r="EE1354" s="264" t="s">
        <v>450</v>
      </c>
      <c r="EI1354" s="214"/>
    </row>
    <row r="1355" spans="18:139" ht="16.5" hidden="1" customHeight="1">
      <c r="R1355" s="264" t="s">
        <v>450</v>
      </c>
      <c r="V1355" s="214"/>
      <c r="ED1355" s="110"/>
      <c r="EE1355" s="264" t="s">
        <v>450</v>
      </c>
      <c r="EI1355" s="214"/>
    </row>
    <row r="1356" spans="18:139" ht="16.5" hidden="1" customHeight="1">
      <c r="R1356" s="264" t="s">
        <v>450</v>
      </c>
      <c r="V1356" s="214"/>
      <c r="ED1356" s="110"/>
      <c r="EE1356" s="264" t="s">
        <v>450</v>
      </c>
      <c r="EI1356" s="214"/>
    </row>
    <row r="1357" spans="18:139" ht="16.5" hidden="1" customHeight="1">
      <c r="R1357" s="264" t="s">
        <v>450</v>
      </c>
      <c r="V1357" s="214"/>
      <c r="ED1357" s="110"/>
      <c r="EE1357" s="264" t="s">
        <v>450</v>
      </c>
      <c r="EI1357" s="214"/>
    </row>
    <row r="1358" spans="18:139" ht="16.5" hidden="1" customHeight="1">
      <c r="R1358" s="264" t="s">
        <v>450</v>
      </c>
      <c r="V1358" s="214"/>
      <c r="ED1358" s="110"/>
      <c r="EE1358" s="264" t="s">
        <v>450</v>
      </c>
      <c r="EI1358" s="214"/>
    </row>
    <row r="1359" spans="18:139" ht="16.5" hidden="1" customHeight="1">
      <c r="R1359" s="264" t="s">
        <v>450</v>
      </c>
      <c r="V1359" s="214"/>
      <c r="ED1359" s="110"/>
      <c r="EE1359" s="264" t="s">
        <v>450</v>
      </c>
      <c r="EI1359" s="214"/>
    </row>
    <row r="1360" spans="18:139" ht="16.5" hidden="1" customHeight="1">
      <c r="R1360" s="264" t="s">
        <v>450</v>
      </c>
      <c r="V1360" s="214"/>
      <c r="ED1360" s="110"/>
      <c r="EE1360" s="264" t="s">
        <v>450</v>
      </c>
      <c r="EI1360" s="214"/>
    </row>
    <row r="1361" spans="18:139" ht="16.5" hidden="1" customHeight="1">
      <c r="R1361" s="264" t="s">
        <v>450</v>
      </c>
      <c r="V1361" s="214"/>
      <c r="ED1361" s="110"/>
      <c r="EE1361" s="264" t="s">
        <v>450</v>
      </c>
      <c r="EI1361" s="214"/>
    </row>
    <row r="1362" spans="18:139" ht="16.5" hidden="1" customHeight="1">
      <c r="R1362" s="264" t="s">
        <v>450</v>
      </c>
      <c r="V1362" s="214"/>
      <c r="ED1362" s="110"/>
      <c r="EE1362" s="264" t="s">
        <v>450</v>
      </c>
      <c r="EI1362" s="214"/>
    </row>
    <row r="1363" spans="18:139" ht="16.5" hidden="1" customHeight="1">
      <c r="R1363" s="264" t="s">
        <v>450</v>
      </c>
      <c r="V1363" s="214"/>
      <c r="ED1363" s="110"/>
      <c r="EE1363" s="264" t="s">
        <v>450</v>
      </c>
      <c r="EI1363" s="214"/>
    </row>
    <row r="1364" spans="18:139" ht="16.5" hidden="1" customHeight="1">
      <c r="R1364" s="264" t="s">
        <v>450</v>
      </c>
      <c r="V1364" s="214"/>
      <c r="ED1364" s="110"/>
      <c r="EE1364" s="264" t="s">
        <v>450</v>
      </c>
      <c r="EI1364" s="214"/>
    </row>
    <row r="1365" spans="18:139" ht="16.5" hidden="1" customHeight="1">
      <c r="R1365" s="264" t="s">
        <v>450</v>
      </c>
      <c r="V1365" s="214"/>
      <c r="ED1365" s="110"/>
      <c r="EE1365" s="264" t="s">
        <v>450</v>
      </c>
      <c r="EI1365" s="214"/>
    </row>
    <row r="1366" spans="18:139" ht="16.5" hidden="1" customHeight="1">
      <c r="R1366" s="264" t="s">
        <v>450</v>
      </c>
      <c r="V1366" s="214"/>
      <c r="ED1366" s="110"/>
      <c r="EE1366" s="264" t="s">
        <v>450</v>
      </c>
      <c r="EI1366" s="214"/>
    </row>
    <row r="1367" spans="18:139" ht="16.5" hidden="1" customHeight="1">
      <c r="R1367" s="264" t="s">
        <v>450</v>
      </c>
      <c r="V1367" s="214"/>
      <c r="ED1367" s="110"/>
      <c r="EE1367" s="264" t="s">
        <v>450</v>
      </c>
      <c r="EI1367" s="214"/>
    </row>
    <row r="1368" spans="18:139" ht="16.5" hidden="1" customHeight="1">
      <c r="R1368" s="264" t="s">
        <v>450</v>
      </c>
      <c r="V1368" s="214"/>
      <c r="ED1368" s="110"/>
      <c r="EE1368" s="264" t="s">
        <v>450</v>
      </c>
      <c r="EI1368" s="214"/>
    </row>
    <row r="1369" spans="18:139" ht="16.5" hidden="1" customHeight="1">
      <c r="R1369" s="264" t="s">
        <v>450</v>
      </c>
      <c r="V1369" s="214"/>
      <c r="ED1369" s="110"/>
      <c r="EE1369" s="264" t="s">
        <v>450</v>
      </c>
      <c r="EI1369" s="214"/>
    </row>
    <row r="1370" spans="18:139" ht="16.5" hidden="1" customHeight="1">
      <c r="R1370" s="264" t="s">
        <v>450</v>
      </c>
      <c r="V1370" s="214"/>
      <c r="ED1370" s="110"/>
      <c r="EE1370" s="264" t="s">
        <v>450</v>
      </c>
      <c r="EI1370" s="214"/>
    </row>
    <row r="1371" spans="18:139" ht="16.5" hidden="1" customHeight="1">
      <c r="R1371" s="264" t="s">
        <v>450</v>
      </c>
      <c r="V1371" s="214"/>
      <c r="ED1371" s="110"/>
      <c r="EE1371" s="264" t="s">
        <v>450</v>
      </c>
      <c r="EI1371" s="214"/>
    </row>
    <row r="1372" spans="18:139" ht="16.5" hidden="1" customHeight="1">
      <c r="R1372" s="264" t="s">
        <v>450</v>
      </c>
      <c r="V1372" s="214"/>
      <c r="ED1372" s="110"/>
      <c r="EE1372" s="264" t="s">
        <v>450</v>
      </c>
      <c r="EI1372" s="214"/>
    </row>
    <row r="1373" spans="18:139" ht="16.5" hidden="1" customHeight="1">
      <c r="R1373" s="264" t="s">
        <v>450</v>
      </c>
      <c r="V1373" s="214"/>
      <c r="ED1373" s="110"/>
      <c r="EE1373" s="264" t="s">
        <v>450</v>
      </c>
      <c r="EI1373" s="214"/>
    </row>
    <row r="1374" spans="18:139" ht="16.5" hidden="1" customHeight="1">
      <c r="R1374" s="264" t="s">
        <v>450</v>
      </c>
      <c r="V1374" s="214"/>
      <c r="ED1374" s="110"/>
      <c r="EE1374" s="264" t="s">
        <v>450</v>
      </c>
      <c r="EI1374" s="214"/>
    </row>
    <row r="1375" spans="18:139" ht="16.5" hidden="1" customHeight="1">
      <c r="R1375" s="264" t="s">
        <v>450</v>
      </c>
      <c r="V1375" s="214"/>
      <c r="ED1375" s="110"/>
      <c r="EE1375" s="264" t="s">
        <v>450</v>
      </c>
      <c r="EI1375" s="214"/>
    </row>
    <row r="1376" spans="18:139" ht="16.5" hidden="1" customHeight="1">
      <c r="R1376" s="264" t="s">
        <v>450</v>
      </c>
      <c r="V1376" s="214"/>
      <c r="ED1376" s="110"/>
      <c r="EE1376" s="264" t="s">
        <v>450</v>
      </c>
      <c r="EI1376" s="214"/>
    </row>
    <row r="1377" spans="18:139" ht="16.5" hidden="1" customHeight="1">
      <c r="R1377" s="264" t="s">
        <v>450</v>
      </c>
      <c r="V1377" s="214"/>
      <c r="ED1377" s="110"/>
      <c r="EE1377" s="264" t="s">
        <v>450</v>
      </c>
      <c r="EI1377" s="214"/>
    </row>
    <row r="1378" spans="18:139" ht="16.5" hidden="1" customHeight="1">
      <c r="R1378" s="264" t="s">
        <v>450</v>
      </c>
      <c r="V1378" s="214"/>
      <c r="ED1378" s="110"/>
      <c r="EE1378" s="264" t="s">
        <v>450</v>
      </c>
      <c r="EI1378" s="214"/>
    </row>
    <row r="1379" spans="18:139" ht="16.5" hidden="1" customHeight="1">
      <c r="R1379" s="264" t="s">
        <v>450</v>
      </c>
      <c r="V1379" s="214"/>
      <c r="ED1379" s="110"/>
      <c r="EE1379" s="264" t="s">
        <v>450</v>
      </c>
      <c r="EI1379" s="214"/>
    </row>
    <row r="1380" spans="18:139" ht="16.5" hidden="1" customHeight="1">
      <c r="R1380" s="264" t="s">
        <v>450</v>
      </c>
      <c r="V1380" s="214"/>
      <c r="ED1380" s="110"/>
      <c r="EE1380" s="264" t="s">
        <v>450</v>
      </c>
      <c r="EI1380" s="214"/>
    </row>
    <row r="1381" spans="18:139" ht="16.5" hidden="1" customHeight="1">
      <c r="R1381" s="264" t="s">
        <v>450</v>
      </c>
      <c r="V1381" s="214"/>
      <c r="ED1381" s="110"/>
      <c r="EE1381" s="264" t="s">
        <v>450</v>
      </c>
      <c r="EI1381" s="214"/>
    </row>
    <row r="1382" spans="18:139" ht="16.5" hidden="1" customHeight="1">
      <c r="R1382" s="264" t="s">
        <v>450</v>
      </c>
      <c r="V1382" s="214"/>
      <c r="ED1382" s="110"/>
      <c r="EE1382" s="264" t="s">
        <v>450</v>
      </c>
      <c r="EI1382" s="214"/>
    </row>
    <row r="1383" spans="18:139" ht="16.5" hidden="1" customHeight="1">
      <c r="R1383" s="264" t="s">
        <v>450</v>
      </c>
      <c r="V1383" s="214"/>
      <c r="ED1383" s="110"/>
      <c r="EE1383" s="264" t="s">
        <v>450</v>
      </c>
      <c r="EI1383" s="214"/>
    </row>
    <row r="1384" spans="18:139" ht="16.5" hidden="1" customHeight="1">
      <c r="R1384" s="264" t="s">
        <v>450</v>
      </c>
      <c r="V1384" s="214"/>
      <c r="ED1384" s="110"/>
      <c r="EE1384" s="264" t="s">
        <v>450</v>
      </c>
      <c r="EI1384" s="214"/>
    </row>
    <row r="1385" spans="18:139" ht="16.5" hidden="1" customHeight="1">
      <c r="R1385" s="264" t="s">
        <v>450</v>
      </c>
      <c r="V1385" s="214"/>
      <c r="ED1385" s="110"/>
      <c r="EE1385" s="264" t="s">
        <v>450</v>
      </c>
      <c r="EI1385" s="214"/>
    </row>
    <row r="1386" spans="18:139" ht="16.5" hidden="1" customHeight="1">
      <c r="R1386" s="264" t="s">
        <v>450</v>
      </c>
      <c r="V1386" s="214"/>
      <c r="ED1386" s="110"/>
      <c r="EE1386" s="264" t="s">
        <v>450</v>
      </c>
      <c r="EI1386" s="214"/>
    </row>
    <row r="1387" spans="18:139" ht="16.5" hidden="1" customHeight="1">
      <c r="R1387" s="264" t="s">
        <v>450</v>
      </c>
      <c r="V1387" s="214"/>
      <c r="ED1387" s="110"/>
      <c r="EE1387" s="264" t="s">
        <v>450</v>
      </c>
      <c r="EI1387" s="214"/>
    </row>
    <row r="1388" spans="18:139" ht="16.5" hidden="1" customHeight="1">
      <c r="R1388" s="264" t="s">
        <v>450</v>
      </c>
      <c r="V1388" s="214"/>
      <c r="ED1388" s="110"/>
      <c r="EE1388" s="264" t="s">
        <v>450</v>
      </c>
      <c r="EI1388" s="214"/>
    </row>
    <row r="1389" spans="18:139" ht="16.5" hidden="1" customHeight="1">
      <c r="R1389" s="264" t="s">
        <v>450</v>
      </c>
      <c r="V1389" s="214"/>
      <c r="ED1389" s="110"/>
      <c r="EE1389" s="264" t="s">
        <v>450</v>
      </c>
      <c r="EI1389" s="214"/>
    </row>
    <row r="1390" spans="18:139" ht="16.5" hidden="1" customHeight="1">
      <c r="R1390" s="264" t="s">
        <v>450</v>
      </c>
      <c r="V1390" s="214"/>
      <c r="ED1390" s="110"/>
      <c r="EE1390" s="264" t="s">
        <v>450</v>
      </c>
      <c r="EI1390" s="214"/>
    </row>
    <row r="1391" spans="18:139" ht="16.5" hidden="1" customHeight="1">
      <c r="R1391" s="264" t="s">
        <v>450</v>
      </c>
      <c r="V1391" s="214"/>
      <c r="ED1391" s="110"/>
      <c r="EE1391" s="264" t="s">
        <v>450</v>
      </c>
      <c r="EI1391" s="214"/>
    </row>
    <row r="1392" spans="18:139" ht="16.5" hidden="1" customHeight="1">
      <c r="R1392" s="264" t="s">
        <v>450</v>
      </c>
      <c r="V1392" s="214"/>
      <c r="ED1392" s="110"/>
      <c r="EE1392" s="264" t="s">
        <v>450</v>
      </c>
      <c r="EI1392" s="214"/>
    </row>
    <row r="1393" spans="18:252" ht="16.5" hidden="1" customHeight="1">
      <c r="R1393" s="264" t="s">
        <v>450</v>
      </c>
      <c r="V1393" s="214"/>
      <c r="ED1393" s="110"/>
      <c r="EE1393" s="264" t="s">
        <v>450</v>
      </c>
      <c r="EI1393" s="214"/>
    </row>
    <row r="1394" spans="18:252" ht="16.5" hidden="1" customHeight="1">
      <c r="R1394" s="264" t="s">
        <v>450</v>
      </c>
      <c r="V1394" s="214"/>
      <c r="ED1394" s="110"/>
      <c r="EE1394" s="264" t="s">
        <v>450</v>
      </c>
      <c r="EI1394" s="214"/>
    </row>
    <row r="1395" spans="18:252" ht="16.5" hidden="1" customHeight="1">
      <c r="R1395" s="264" t="s">
        <v>450</v>
      </c>
      <c r="V1395" s="214"/>
      <c r="ED1395" s="110"/>
      <c r="EE1395" s="264" t="s">
        <v>450</v>
      </c>
      <c r="EI1395" s="214"/>
    </row>
    <row r="1396" spans="18:252" ht="16.5" hidden="1" customHeight="1">
      <c r="R1396" s="264" t="s">
        <v>450</v>
      </c>
      <c r="V1396" s="214"/>
      <c r="ED1396" s="110"/>
      <c r="EE1396" s="264" t="s">
        <v>450</v>
      </c>
      <c r="EI1396" s="214"/>
    </row>
    <row r="1397" spans="18:252" ht="16.5" hidden="1" customHeight="1">
      <c r="R1397" s="264" t="s">
        <v>450</v>
      </c>
      <c r="V1397" s="214"/>
      <c r="ED1397" s="110"/>
      <c r="EE1397" s="264" t="s">
        <v>450</v>
      </c>
      <c r="EI1397" s="214"/>
    </row>
    <row r="1398" spans="18:252" ht="16.5" hidden="1" customHeight="1">
      <c r="R1398" s="264" t="s">
        <v>450</v>
      </c>
      <c r="V1398" s="214"/>
      <c r="ED1398" s="110"/>
      <c r="EE1398" s="264" t="s">
        <v>450</v>
      </c>
      <c r="EI1398" s="214"/>
    </row>
    <row r="1399" spans="18:252" ht="16.5" hidden="1" customHeight="1">
      <c r="R1399" s="264" t="s">
        <v>450</v>
      </c>
      <c r="V1399" s="214"/>
      <c r="ED1399" s="110"/>
      <c r="EE1399" s="264" t="s">
        <v>450</v>
      </c>
      <c r="EI1399" s="214"/>
    </row>
    <row r="1400" spans="18:252" ht="16.5" hidden="1" customHeight="1">
      <c r="W1400" s="214"/>
    </row>
    <row r="1401" spans="18:252" ht="16.5" hidden="1" customHeight="1">
      <c r="W1401" s="214"/>
    </row>
    <row r="1402" spans="18:252" ht="16.5" hidden="1" customHeight="1">
      <c r="R1402" s="265"/>
      <c r="S1402" s="265"/>
      <c r="T1402" s="265"/>
      <c r="U1402" s="265"/>
      <c r="V1402" s="265"/>
      <c r="W1402" s="266"/>
      <c r="EF1402" s="265"/>
      <c r="EG1402" s="265"/>
      <c r="EH1402" s="265"/>
      <c r="EI1402" s="267"/>
      <c r="EJ1402" s="265"/>
      <c r="EK1402" s="266"/>
    </row>
    <row r="1403" spans="18:252" ht="16.5" hidden="1" customHeight="1">
      <c r="R1403" s="263"/>
      <c r="S1403" s="263"/>
      <c r="T1403" s="263"/>
      <c r="U1403" s="263"/>
      <c r="V1403" s="263"/>
      <c r="W1403" s="266"/>
      <c r="X1403" s="263"/>
      <c r="Y1403" s="263"/>
      <c r="Z1403" s="263"/>
      <c r="AA1403" s="263"/>
      <c r="AB1403" s="263"/>
      <c r="AC1403" s="263"/>
      <c r="AD1403" s="263"/>
      <c r="AE1403" s="263"/>
      <c r="AF1403" s="263"/>
      <c r="AG1403" s="263"/>
      <c r="AH1403" s="263"/>
      <c r="AI1403" s="263"/>
      <c r="AJ1403" s="263"/>
      <c r="AK1403" s="263"/>
      <c r="AL1403" s="263"/>
      <c r="AM1403" s="263"/>
      <c r="AN1403" s="263"/>
      <c r="AO1403" s="263"/>
      <c r="AP1403" s="263"/>
      <c r="AQ1403" s="263"/>
      <c r="AR1403" s="263"/>
      <c r="AS1403" s="263"/>
      <c r="AT1403" s="263"/>
      <c r="AU1403" s="263"/>
      <c r="AV1403" s="263"/>
      <c r="AW1403" s="263"/>
      <c r="AX1403" s="263"/>
      <c r="AY1403" s="263"/>
      <c r="AZ1403" s="263"/>
      <c r="BA1403" s="263"/>
      <c r="BB1403" s="263"/>
      <c r="BC1403" s="263"/>
      <c r="BD1403" s="263"/>
      <c r="BE1403" s="263"/>
      <c r="BF1403" s="263"/>
      <c r="BG1403" s="263"/>
      <c r="BH1403" s="263"/>
      <c r="BI1403" s="263"/>
      <c r="BJ1403" s="263"/>
      <c r="BK1403" s="263"/>
      <c r="BL1403" s="263"/>
      <c r="BM1403" s="263"/>
      <c r="BN1403" s="263"/>
      <c r="BO1403" s="263"/>
      <c r="BP1403" s="263"/>
      <c r="BQ1403" s="263"/>
      <c r="BR1403" s="263"/>
      <c r="BS1403" s="263"/>
      <c r="BT1403" s="263"/>
      <c r="BU1403" s="263"/>
      <c r="BV1403" s="263"/>
      <c r="BW1403" s="263"/>
      <c r="BX1403" s="263"/>
      <c r="BY1403" s="263"/>
      <c r="BZ1403" s="263"/>
      <c r="CA1403" s="263"/>
      <c r="CB1403" s="263"/>
      <c r="CC1403" s="263"/>
      <c r="CD1403" s="263"/>
      <c r="CE1403" s="263"/>
      <c r="CF1403" s="263"/>
      <c r="CG1403" s="263"/>
      <c r="CH1403" s="263"/>
      <c r="CI1403" s="263"/>
      <c r="CJ1403" s="263"/>
      <c r="CK1403" s="263"/>
      <c r="CL1403" s="263"/>
      <c r="CM1403" s="263"/>
      <c r="CN1403" s="263"/>
      <c r="CO1403" s="263"/>
      <c r="CP1403" s="263"/>
      <c r="CQ1403" s="263"/>
      <c r="CR1403" s="263"/>
      <c r="CS1403" s="263"/>
      <c r="CT1403" s="263"/>
      <c r="CU1403" s="263"/>
      <c r="CV1403" s="263"/>
      <c r="CW1403" s="263"/>
      <c r="CX1403" s="263"/>
      <c r="CY1403" s="263"/>
      <c r="CZ1403" s="263"/>
      <c r="DA1403" s="263"/>
      <c r="DB1403" s="263"/>
      <c r="DC1403" s="263"/>
      <c r="DD1403" s="263"/>
      <c r="DE1403" s="263"/>
      <c r="DF1403" s="263"/>
      <c r="DG1403" s="263"/>
      <c r="DH1403" s="263"/>
      <c r="DI1403" s="263"/>
      <c r="DJ1403" s="263"/>
      <c r="DK1403" s="263"/>
      <c r="DL1403" s="263"/>
      <c r="DM1403" s="263"/>
      <c r="DN1403" s="263"/>
      <c r="DO1403" s="263"/>
      <c r="DP1403" s="263"/>
      <c r="DQ1403" s="263"/>
      <c r="DR1403" s="263"/>
      <c r="DS1403" s="263"/>
      <c r="DT1403" s="263"/>
      <c r="DU1403" s="263"/>
      <c r="DV1403" s="263"/>
      <c r="DW1403" s="263"/>
      <c r="DX1403" s="263"/>
      <c r="DY1403" s="263"/>
      <c r="DZ1403" s="263"/>
      <c r="EA1403" s="263"/>
      <c r="EB1403" s="263"/>
      <c r="EC1403" s="263"/>
      <c r="ED1403" s="263"/>
      <c r="EF1403" s="263"/>
      <c r="EG1403" s="263"/>
      <c r="EH1403" s="263"/>
      <c r="EI1403" s="263"/>
      <c r="EJ1403" s="263"/>
      <c r="EK1403" s="266"/>
      <c r="EL1403" s="263"/>
      <c r="EM1403" s="263"/>
      <c r="EN1403" s="263"/>
      <c r="EO1403" s="263"/>
      <c r="EP1403" s="263"/>
      <c r="EQ1403" s="263"/>
      <c r="ER1403" s="263"/>
      <c r="ES1403" s="263"/>
      <c r="ET1403" s="263"/>
      <c r="EU1403" s="263"/>
      <c r="EV1403" s="263"/>
      <c r="EW1403" s="263"/>
      <c r="EX1403" s="263"/>
      <c r="EY1403" s="263"/>
      <c r="EZ1403" s="263"/>
      <c r="FA1403" s="263"/>
      <c r="FB1403" s="263"/>
      <c r="FC1403" s="263"/>
      <c r="FD1403" s="263"/>
      <c r="FE1403" s="263"/>
      <c r="FF1403" s="263"/>
      <c r="FG1403" s="263"/>
      <c r="FH1403" s="263"/>
      <c r="FI1403" s="263"/>
      <c r="FJ1403" s="263"/>
      <c r="FK1403" s="263"/>
      <c r="FL1403" s="263"/>
      <c r="FM1403" s="263"/>
      <c r="FN1403" s="263"/>
      <c r="FO1403" s="263"/>
      <c r="FP1403" s="263"/>
      <c r="FQ1403" s="263"/>
      <c r="FR1403" s="263"/>
      <c r="FS1403" s="263"/>
      <c r="FT1403" s="263"/>
      <c r="FU1403" s="263"/>
      <c r="FV1403" s="263"/>
      <c r="FW1403" s="263"/>
      <c r="FX1403" s="263"/>
      <c r="FY1403" s="263"/>
      <c r="FZ1403" s="263"/>
      <c r="GA1403" s="263"/>
      <c r="GB1403" s="263"/>
      <c r="GC1403" s="263"/>
      <c r="GD1403" s="263"/>
      <c r="GE1403" s="263"/>
      <c r="GF1403" s="263"/>
      <c r="GG1403" s="263"/>
      <c r="GH1403" s="263"/>
      <c r="GI1403" s="263"/>
      <c r="GJ1403" s="263"/>
      <c r="GK1403" s="263"/>
      <c r="GL1403" s="263"/>
      <c r="GM1403" s="263"/>
      <c r="GN1403" s="263"/>
      <c r="GO1403" s="263"/>
      <c r="GP1403" s="263"/>
      <c r="GQ1403" s="263"/>
      <c r="GR1403" s="263"/>
      <c r="GS1403" s="263"/>
      <c r="GT1403" s="263"/>
      <c r="GU1403" s="263"/>
      <c r="GV1403" s="263"/>
      <c r="GW1403" s="263"/>
      <c r="GX1403" s="263"/>
      <c r="GY1403" s="263"/>
      <c r="GZ1403" s="263"/>
      <c r="HA1403" s="263"/>
      <c r="HB1403" s="263"/>
      <c r="HC1403" s="263"/>
      <c r="HD1403" s="263"/>
      <c r="HE1403" s="263"/>
      <c r="HF1403" s="263"/>
      <c r="HG1403" s="263"/>
      <c r="HH1403" s="263"/>
      <c r="HI1403" s="263"/>
      <c r="HJ1403" s="263"/>
      <c r="HK1403" s="263"/>
      <c r="HL1403" s="263"/>
      <c r="HM1403" s="263"/>
      <c r="HN1403" s="263"/>
      <c r="HO1403" s="263"/>
      <c r="HP1403" s="263"/>
      <c r="HQ1403" s="263"/>
      <c r="HR1403" s="263"/>
      <c r="HS1403" s="263"/>
      <c r="HT1403" s="263"/>
      <c r="HU1403" s="263"/>
      <c r="HV1403" s="263"/>
      <c r="HW1403" s="263"/>
      <c r="HX1403" s="263"/>
      <c r="HY1403" s="263"/>
      <c r="HZ1403" s="263"/>
      <c r="IA1403" s="263"/>
      <c r="IB1403" s="263"/>
      <c r="IC1403" s="263"/>
      <c r="ID1403" s="263"/>
      <c r="IE1403" s="263"/>
      <c r="IF1403" s="263"/>
      <c r="IG1403" s="263"/>
      <c r="IH1403" s="263"/>
      <c r="II1403" s="263"/>
      <c r="IJ1403" s="263"/>
      <c r="IK1403" s="263"/>
      <c r="IL1403" s="263"/>
      <c r="IM1403" s="263"/>
      <c r="IN1403" s="263"/>
      <c r="IO1403" s="263"/>
      <c r="IP1403" s="263"/>
      <c r="IQ1403" s="263"/>
      <c r="IR1403" s="263"/>
    </row>
    <row r="1404" spans="18:252" ht="16.5" hidden="1" customHeight="1">
      <c r="R1404" s="264"/>
      <c r="S1404" s="110"/>
      <c r="T1404" s="110"/>
      <c r="U1404" s="110"/>
      <c r="V1404" s="110"/>
      <c r="W1404" s="266"/>
      <c r="X1404" s="110"/>
      <c r="Y1404" s="110"/>
      <c r="Z1404" s="110"/>
      <c r="AA1404" s="110"/>
      <c r="AB1404" s="110"/>
      <c r="AC1404" s="110"/>
      <c r="AD1404" s="110"/>
      <c r="AE1404" s="110"/>
      <c r="AF1404" s="110"/>
      <c r="AG1404" s="110"/>
      <c r="AH1404" s="110"/>
      <c r="AI1404" s="110"/>
      <c r="AJ1404" s="110"/>
      <c r="AK1404" s="110"/>
      <c r="AL1404" s="110"/>
      <c r="AM1404" s="110"/>
      <c r="AN1404" s="110"/>
      <c r="AO1404" s="110"/>
      <c r="AP1404" s="110"/>
      <c r="AQ1404" s="110"/>
      <c r="AR1404" s="110"/>
      <c r="AS1404" s="110"/>
      <c r="AT1404" s="110"/>
      <c r="AU1404" s="110"/>
      <c r="AV1404" s="110"/>
      <c r="AW1404" s="110"/>
      <c r="AX1404" s="110"/>
      <c r="AY1404" s="110"/>
      <c r="AZ1404" s="110"/>
      <c r="BA1404" s="110"/>
      <c r="BB1404" s="110"/>
      <c r="BC1404" s="110"/>
      <c r="BD1404" s="110"/>
      <c r="BE1404" s="110"/>
      <c r="BF1404" s="110"/>
      <c r="BG1404" s="110"/>
      <c r="BH1404" s="110"/>
      <c r="BI1404" s="110"/>
      <c r="BJ1404" s="110"/>
      <c r="BK1404" s="110"/>
      <c r="BL1404" s="110"/>
      <c r="BM1404" s="110"/>
      <c r="BN1404" s="110"/>
      <c r="BO1404" s="110"/>
      <c r="BP1404" s="110"/>
      <c r="BQ1404" s="110"/>
      <c r="BR1404" s="110"/>
      <c r="BS1404" s="110"/>
      <c r="BT1404" s="110"/>
      <c r="BU1404" s="110"/>
      <c r="BV1404" s="110"/>
      <c r="BW1404" s="110"/>
      <c r="BX1404" s="110"/>
      <c r="BY1404" s="110"/>
      <c r="BZ1404" s="110"/>
      <c r="CA1404" s="110"/>
      <c r="CB1404" s="110"/>
      <c r="CC1404" s="110"/>
      <c r="CD1404" s="110"/>
      <c r="CE1404" s="110"/>
      <c r="CF1404" s="110"/>
      <c r="CG1404" s="110"/>
      <c r="CH1404" s="110"/>
      <c r="CI1404" s="110"/>
      <c r="CJ1404" s="110"/>
      <c r="CK1404" s="110"/>
      <c r="CL1404" s="110"/>
      <c r="CM1404" s="110"/>
      <c r="CN1404" s="110"/>
      <c r="CO1404" s="110"/>
      <c r="CP1404" s="110"/>
      <c r="CQ1404" s="110"/>
      <c r="CR1404" s="110"/>
      <c r="CS1404" s="110"/>
      <c r="CT1404" s="110"/>
      <c r="CU1404" s="110"/>
      <c r="CV1404" s="110"/>
      <c r="CW1404" s="110"/>
      <c r="CX1404" s="110"/>
      <c r="CY1404" s="110"/>
      <c r="CZ1404" s="110"/>
      <c r="DA1404" s="110"/>
      <c r="DB1404" s="110"/>
      <c r="DC1404" s="110"/>
      <c r="DD1404" s="110"/>
      <c r="DE1404" s="110"/>
      <c r="DF1404" s="110"/>
      <c r="DG1404" s="110"/>
      <c r="DH1404" s="110"/>
      <c r="DI1404" s="110"/>
      <c r="DJ1404" s="110"/>
      <c r="DK1404" s="110"/>
      <c r="DL1404" s="110"/>
      <c r="DM1404" s="110"/>
      <c r="DN1404" s="110"/>
      <c r="DO1404" s="110"/>
      <c r="DP1404" s="110"/>
      <c r="DQ1404" s="110"/>
      <c r="DR1404" s="110"/>
      <c r="DS1404" s="110"/>
      <c r="DT1404" s="110"/>
      <c r="DU1404" s="110"/>
      <c r="DV1404" s="110"/>
      <c r="DW1404" s="110"/>
      <c r="DX1404" s="110"/>
      <c r="DY1404" s="110"/>
      <c r="DZ1404" s="110"/>
      <c r="EA1404" s="110"/>
      <c r="EB1404" s="110"/>
      <c r="EC1404" s="110"/>
      <c r="ED1404" s="110"/>
      <c r="EF1404" s="264"/>
      <c r="EG1404" s="110"/>
      <c r="EH1404" s="110"/>
      <c r="EI1404" s="110"/>
      <c r="EJ1404" s="110"/>
      <c r="EK1404" s="266"/>
      <c r="EL1404" s="110"/>
      <c r="EM1404" s="110"/>
      <c r="EN1404" s="110"/>
      <c r="EO1404" s="110"/>
      <c r="EP1404" s="110"/>
      <c r="EQ1404" s="110"/>
      <c r="ER1404" s="110"/>
      <c r="ES1404" s="110"/>
      <c r="ET1404" s="110"/>
      <c r="EU1404" s="110"/>
      <c r="EV1404" s="110"/>
      <c r="EW1404" s="110"/>
      <c r="EX1404" s="110"/>
      <c r="EY1404" s="110"/>
      <c r="EZ1404" s="110"/>
      <c r="FA1404" s="110"/>
      <c r="FB1404" s="110"/>
      <c r="FC1404" s="110"/>
      <c r="FD1404" s="110"/>
      <c r="FE1404" s="110"/>
      <c r="FF1404" s="110"/>
      <c r="FG1404" s="110"/>
      <c r="FH1404" s="110"/>
      <c r="FI1404" s="110"/>
      <c r="FJ1404" s="110"/>
      <c r="FK1404" s="110"/>
      <c r="FL1404" s="110"/>
      <c r="FM1404" s="110"/>
      <c r="FN1404" s="110"/>
      <c r="FO1404" s="110"/>
      <c r="FP1404" s="110"/>
      <c r="FQ1404" s="110"/>
      <c r="FR1404" s="110"/>
      <c r="FS1404" s="110"/>
      <c r="FT1404" s="110"/>
      <c r="FU1404" s="110"/>
      <c r="FV1404" s="110"/>
      <c r="FW1404" s="110"/>
      <c r="FX1404" s="110"/>
      <c r="FY1404" s="110"/>
      <c r="FZ1404" s="110"/>
      <c r="GA1404" s="110"/>
      <c r="GB1404" s="110"/>
      <c r="GC1404" s="110"/>
      <c r="GD1404" s="110"/>
      <c r="GE1404" s="110"/>
      <c r="GF1404" s="110"/>
      <c r="GG1404" s="110"/>
      <c r="GH1404" s="110"/>
      <c r="GI1404" s="110"/>
      <c r="GJ1404" s="110"/>
      <c r="GK1404" s="110"/>
      <c r="GL1404" s="110"/>
      <c r="GM1404" s="110"/>
      <c r="GN1404" s="110"/>
      <c r="GO1404" s="110"/>
      <c r="GP1404" s="110"/>
      <c r="GQ1404" s="110"/>
      <c r="GR1404" s="110"/>
      <c r="GS1404" s="110"/>
      <c r="GT1404" s="110"/>
      <c r="GU1404" s="110"/>
      <c r="GV1404" s="110"/>
      <c r="GW1404" s="110"/>
      <c r="GX1404" s="110"/>
      <c r="GY1404" s="110"/>
      <c r="GZ1404" s="110"/>
      <c r="HA1404" s="110"/>
      <c r="HB1404" s="110"/>
      <c r="HC1404" s="110"/>
      <c r="HD1404" s="110"/>
      <c r="HE1404" s="110"/>
      <c r="HF1404" s="110"/>
      <c r="HG1404" s="110"/>
      <c r="HH1404" s="110"/>
      <c r="HI1404" s="110"/>
      <c r="HJ1404" s="110"/>
      <c r="HK1404" s="110"/>
      <c r="HL1404" s="110"/>
      <c r="HM1404" s="110"/>
      <c r="HN1404" s="110"/>
      <c r="HO1404" s="110"/>
      <c r="HP1404" s="110"/>
      <c r="HQ1404" s="110"/>
      <c r="HR1404" s="110"/>
      <c r="HS1404" s="110"/>
      <c r="HT1404" s="110"/>
      <c r="HU1404" s="110"/>
      <c r="HV1404" s="110"/>
      <c r="HW1404" s="110"/>
      <c r="HX1404" s="110"/>
      <c r="HY1404" s="110"/>
      <c r="HZ1404" s="110"/>
      <c r="IA1404" s="110"/>
      <c r="IB1404" s="110"/>
      <c r="IC1404" s="110"/>
      <c r="ID1404" s="110"/>
      <c r="IE1404" s="110"/>
      <c r="IF1404" s="110"/>
      <c r="IG1404" s="110"/>
      <c r="IH1404" s="110"/>
      <c r="II1404" s="110"/>
      <c r="IJ1404" s="110"/>
      <c r="IK1404" s="110"/>
      <c r="IL1404" s="110"/>
      <c r="IM1404" s="110"/>
      <c r="IN1404" s="110"/>
      <c r="IO1404" s="110"/>
      <c r="IP1404" s="110"/>
      <c r="IQ1404" s="110"/>
      <c r="IR1404" s="110"/>
    </row>
    <row r="1405" spans="18:252" ht="16.5" hidden="1" customHeight="1">
      <c r="R1405" s="264"/>
      <c r="S1405" s="110"/>
      <c r="T1405" s="110"/>
      <c r="U1405" s="110"/>
      <c r="V1405" s="110"/>
      <c r="W1405" s="266"/>
      <c r="X1405" s="110"/>
      <c r="Y1405" s="110"/>
      <c r="Z1405" s="110"/>
      <c r="AA1405" s="110"/>
      <c r="AB1405" s="110"/>
      <c r="AC1405" s="110"/>
      <c r="AD1405" s="110"/>
      <c r="AE1405" s="110"/>
      <c r="AF1405" s="110"/>
      <c r="AG1405" s="110"/>
      <c r="AH1405" s="110"/>
      <c r="AI1405" s="110"/>
      <c r="AJ1405" s="110"/>
      <c r="AK1405" s="110"/>
      <c r="AL1405" s="110"/>
      <c r="AM1405" s="110"/>
      <c r="AN1405" s="110"/>
      <c r="AO1405" s="110"/>
      <c r="AP1405" s="110"/>
      <c r="AQ1405" s="110"/>
      <c r="AR1405" s="110"/>
      <c r="AS1405" s="110"/>
      <c r="AT1405" s="110"/>
      <c r="AU1405" s="110"/>
      <c r="AV1405" s="110"/>
      <c r="AW1405" s="110"/>
      <c r="AX1405" s="110"/>
      <c r="AY1405" s="110"/>
      <c r="AZ1405" s="110"/>
      <c r="BA1405" s="110"/>
      <c r="BB1405" s="110"/>
      <c r="BC1405" s="110"/>
      <c r="BD1405" s="110"/>
      <c r="BE1405" s="110"/>
      <c r="BF1405" s="110"/>
      <c r="BG1405" s="110"/>
      <c r="BH1405" s="110"/>
      <c r="BI1405" s="110"/>
      <c r="BJ1405" s="110"/>
      <c r="BK1405" s="110"/>
      <c r="BL1405" s="110"/>
      <c r="BM1405" s="110"/>
      <c r="BN1405" s="110"/>
      <c r="BO1405" s="110"/>
      <c r="BP1405" s="110"/>
      <c r="BQ1405" s="110"/>
      <c r="BR1405" s="110"/>
      <c r="BS1405" s="110"/>
      <c r="BT1405" s="110"/>
      <c r="BU1405" s="110"/>
      <c r="BV1405" s="110"/>
      <c r="BW1405" s="110"/>
      <c r="BX1405" s="110"/>
      <c r="BY1405" s="110"/>
      <c r="BZ1405" s="110"/>
      <c r="CA1405" s="110"/>
      <c r="CB1405" s="110"/>
      <c r="CC1405" s="110"/>
      <c r="CD1405" s="110"/>
      <c r="CE1405" s="110"/>
      <c r="CF1405" s="110"/>
      <c r="CG1405" s="110"/>
      <c r="CH1405" s="110"/>
      <c r="CI1405" s="110"/>
      <c r="CJ1405" s="110"/>
      <c r="CK1405" s="110"/>
      <c r="CL1405" s="110"/>
      <c r="CM1405" s="110"/>
      <c r="CN1405" s="110"/>
      <c r="CO1405" s="110"/>
      <c r="CP1405" s="110"/>
      <c r="CQ1405" s="110"/>
      <c r="CR1405" s="110"/>
      <c r="CS1405" s="110"/>
      <c r="CT1405" s="110"/>
      <c r="CU1405" s="110"/>
      <c r="CV1405" s="110"/>
      <c r="CW1405" s="110"/>
      <c r="CX1405" s="110"/>
      <c r="CY1405" s="110"/>
      <c r="CZ1405" s="110"/>
      <c r="DA1405" s="110"/>
      <c r="DB1405" s="110"/>
      <c r="DC1405" s="110"/>
      <c r="DD1405" s="110"/>
      <c r="DE1405" s="110"/>
      <c r="DF1405" s="110"/>
      <c r="DG1405" s="110"/>
      <c r="DH1405" s="110"/>
      <c r="DI1405" s="110"/>
      <c r="DJ1405" s="110"/>
      <c r="DK1405" s="110"/>
      <c r="DL1405" s="110"/>
      <c r="DM1405" s="110"/>
      <c r="DN1405" s="110"/>
      <c r="DO1405" s="110"/>
      <c r="DP1405" s="110"/>
      <c r="DQ1405" s="110"/>
      <c r="DR1405" s="110"/>
      <c r="DS1405" s="110"/>
      <c r="DT1405" s="110"/>
      <c r="DU1405" s="110"/>
      <c r="DV1405" s="110"/>
      <c r="DW1405" s="110"/>
      <c r="DX1405" s="110"/>
      <c r="DY1405" s="110"/>
      <c r="DZ1405" s="110"/>
      <c r="EA1405" s="110"/>
      <c r="EB1405" s="110"/>
      <c r="EC1405" s="110"/>
      <c r="ED1405" s="110"/>
      <c r="EF1405" s="264"/>
      <c r="EG1405" s="110"/>
      <c r="EH1405" s="110"/>
      <c r="EI1405" s="110"/>
      <c r="EJ1405" s="110"/>
      <c r="EK1405" s="266"/>
      <c r="EL1405" s="110"/>
      <c r="EM1405" s="110"/>
      <c r="EN1405" s="110"/>
      <c r="EO1405" s="110"/>
      <c r="EP1405" s="110"/>
      <c r="EQ1405" s="110"/>
      <c r="ER1405" s="110"/>
      <c r="ES1405" s="110"/>
      <c r="ET1405" s="110"/>
      <c r="EU1405" s="110"/>
      <c r="EV1405" s="110"/>
      <c r="EW1405" s="110"/>
      <c r="EX1405" s="110"/>
      <c r="EY1405" s="110"/>
      <c r="EZ1405" s="110"/>
      <c r="FA1405" s="110"/>
      <c r="FB1405" s="110"/>
      <c r="FC1405" s="110"/>
      <c r="FD1405" s="110"/>
      <c r="FE1405" s="110"/>
      <c r="FF1405" s="110"/>
      <c r="FG1405" s="110"/>
      <c r="FH1405" s="110"/>
      <c r="FI1405" s="110"/>
      <c r="FJ1405" s="110"/>
      <c r="FK1405" s="110"/>
      <c r="FL1405" s="110"/>
      <c r="FM1405" s="110"/>
      <c r="FN1405" s="110"/>
      <c r="FO1405" s="110"/>
      <c r="FP1405" s="110"/>
      <c r="FQ1405" s="110"/>
      <c r="FR1405" s="110"/>
      <c r="FS1405" s="110"/>
      <c r="FT1405" s="110"/>
      <c r="FU1405" s="110"/>
      <c r="FV1405" s="110"/>
      <c r="FW1405" s="110"/>
      <c r="FX1405" s="110"/>
      <c r="FY1405" s="110"/>
      <c r="FZ1405" s="110"/>
      <c r="GA1405" s="110"/>
      <c r="GB1405" s="110"/>
      <c r="GC1405" s="110"/>
      <c r="GD1405" s="110"/>
      <c r="GE1405" s="110"/>
      <c r="GF1405" s="110"/>
      <c r="GG1405" s="110"/>
      <c r="GH1405" s="110"/>
      <c r="GI1405" s="110"/>
      <c r="GJ1405" s="110"/>
      <c r="GK1405" s="110"/>
      <c r="GL1405" s="110"/>
      <c r="GM1405" s="110"/>
      <c r="GN1405" s="110"/>
      <c r="GO1405" s="110"/>
      <c r="GP1405" s="110"/>
      <c r="GQ1405" s="110"/>
      <c r="GR1405" s="110"/>
      <c r="GS1405" s="110"/>
      <c r="GT1405" s="110"/>
      <c r="GU1405" s="110"/>
      <c r="GV1405" s="110"/>
      <c r="GW1405" s="110"/>
      <c r="GX1405" s="110"/>
      <c r="GY1405" s="110"/>
      <c r="GZ1405" s="110"/>
      <c r="HA1405" s="110"/>
      <c r="HB1405" s="110"/>
      <c r="HC1405" s="110"/>
      <c r="HD1405" s="110"/>
      <c r="HE1405" s="110"/>
      <c r="HF1405" s="110"/>
      <c r="HG1405" s="110"/>
      <c r="HH1405" s="110"/>
      <c r="HI1405" s="110"/>
      <c r="HJ1405" s="110"/>
      <c r="HK1405" s="110"/>
      <c r="HL1405" s="110"/>
      <c r="HM1405" s="110"/>
      <c r="HN1405" s="110"/>
      <c r="HO1405" s="110"/>
      <c r="HP1405" s="110"/>
      <c r="HQ1405" s="110"/>
      <c r="HR1405" s="110"/>
      <c r="HS1405" s="110"/>
      <c r="HT1405" s="110"/>
      <c r="HU1405" s="110"/>
      <c r="HV1405" s="110"/>
      <c r="HW1405" s="110"/>
      <c r="HX1405" s="110"/>
      <c r="HY1405" s="110"/>
      <c r="HZ1405" s="110"/>
      <c r="IA1405" s="110"/>
      <c r="IB1405" s="110"/>
      <c r="IC1405" s="110"/>
      <c r="ID1405" s="110"/>
      <c r="IE1405" s="110"/>
      <c r="IF1405" s="110"/>
      <c r="IG1405" s="110"/>
      <c r="IH1405" s="110"/>
      <c r="II1405" s="110"/>
      <c r="IJ1405" s="110"/>
      <c r="IK1405" s="110"/>
      <c r="IL1405" s="110"/>
      <c r="IM1405" s="110"/>
      <c r="IN1405" s="110"/>
      <c r="IO1405" s="110"/>
      <c r="IP1405" s="110"/>
      <c r="IQ1405" s="110"/>
      <c r="IR1405" s="110"/>
    </row>
    <row r="1406" spans="18:252" ht="16.5" hidden="1" customHeight="1">
      <c r="R1406" s="264"/>
      <c r="S1406" s="110"/>
      <c r="T1406" s="110"/>
      <c r="U1406" s="110"/>
      <c r="V1406" s="110"/>
      <c r="W1406" s="266"/>
      <c r="X1406" s="110"/>
      <c r="Y1406" s="110"/>
      <c r="Z1406" s="110"/>
      <c r="AA1406" s="110"/>
      <c r="AB1406" s="110"/>
      <c r="AC1406" s="110"/>
      <c r="AD1406" s="110"/>
      <c r="AE1406" s="110"/>
      <c r="AF1406" s="110"/>
      <c r="AG1406" s="110"/>
      <c r="AH1406" s="110"/>
      <c r="AI1406" s="110"/>
      <c r="AJ1406" s="110"/>
      <c r="AK1406" s="110"/>
      <c r="AL1406" s="110"/>
      <c r="AM1406" s="110"/>
      <c r="AN1406" s="110"/>
      <c r="AO1406" s="110"/>
      <c r="AP1406" s="110"/>
      <c r="AQ1406" s="110"/>
      <c r="AR1406" s="110"/>
      <c r="AS1406" s="110"/>
      <c r="AT1406" s="110"/>
      <c r="AU1406" s="110"/>
      <c r="AV1406" s="110"/>
      <c r="AW1406" s="110"/>
      <c r="AX1406" s="110"/>
      <c r="AY1406" s="110"/>
      <c r="AZ1406" s="110"/>
      <c r="BA1406" s="110"/>
      <c r="BB1406" s="110"/>
      <c r="BC1406" s="110"/>
      <c r="BD1406" s="110"/>
      <c r="BE1406" s="110"/>
      <c r="BF1406" s="110"/>
      <c r="BG1406" s="110"/>
      <c r="BH1406" s="110"/>
      <c r="BI1406" s="110"/>
      <c r="BJ1406" s="110"/>
      <c r="BK1406" s="110"/>
      <c r="BL1406" s="110"/>
      <c r="BM1406" s="110"/>
      <c r="BN1406" s="110"/>
      <c r="BO1406" s="110"/>
      <c r="BP1406" s="110"/>
      <c r="BQ1406" s="110"/>
      <c r="BR1406" s="110"/>
      <c r="BS1406" s="110"/>
      <c r="BT1406" s="110"/>
      <c r="BU1406" s="110"/>
      <c r="BV1406" s="110"/>
      <c r="BW1406" s="110"/>
      <c r="BX1406" s="110"/>
      <c r="BY1406" s="110"/>
      <c r="BZ1406" s="110"/>
      <c r="CA1406" s="110"/>
      <c r="CB1406" s="110"/>
      <c r="CC1406" s="110"/>
      <c r="CD1406" s="110"/>
      <c r="CE1406" s="110"/>
      <c r="CF1406" s="110"/>
      <c r="CG1406" s="110"/>
      <c r="CH1406" s="110"/>
      <c r="CI1406" s="110"/>
      <c r="CJ1406" s="110"/>
      <c r="CK1406" s="110"/>
      <c r="CL1406" s="110"/>
      <c r="CM1406" s="110"/>
      <c r="CN1406" s="110"/>
      <c r="CO1406" s="110"/>
      <c r="CP1406" s="110"/>
      <c r="CQ1406" s="110"/>
      <c r="CR1406" s="110"/>
      <c r="CS1406" s="110"/>
      <c r="CT1406" s="110"/>
      <c r="CU1406" s="110"/>
      <c r="CV1406" s="110"/>
      <c r="CW1406" s="110"/>
      <c r="CX1406" s="110"/>
      <c r="CY1406" s="110"/>
      <c r="CZ1406" s="110"/>
      <c r="DA1406" s="110"/>
      <c r="DB1406" s="110"/>
      <c r="DC1406" s="110"/>
      <c r="DD1406" s="110"/>
      <c r="DE1406" s="110"/>
      <c r="DF1406" s="110"/>
      <c r="DG1406" s="110"/>
      <c r="DH1406" s="110"/>
      <c r="DI1406" s="110"/>
      <c r="DJ1406" s="110"/>
      <c r="DK1406" s="110"/>
      <c r="DL1406" s="110"/>
      <c r="DM1406" s="110"/>
      <c r="DN1406" s="110"/>
      <c r="DO1406" s="110"/>
      <c r="DP1406" s="110"/>
      <c r="DQ1406" s="110"/>
      <c r="DR1406" s="110"/>
      <c r="DS1406" s="110"/>
      <c r="DT1406" s="110"/>
      <c r="DU1406" s="110"/>
      <c r="DV1406" s="110"/>
      <c r="DW1406" s="110"/>
      <c r="DX1406" s="110"/>
      <c r="DY1406" s="110"/>
      <c r="DZ1406" s="110"/>
      <c r="EA1406" s="110"/>
      <c r="EB1406" s="110"/>
      <c r="EC1406" s="110"/>
      <c r="ED1406" s="110"/>
      <c r="EF1406" s="264"/>
      <c r="EG1406" s="110"/>
      <c r="EH1406" s="110"/>
      <c r="EI1406" s="110"/>
      <c r="EJ1406" s="110"/>
      <c r="EK1406" s="266"/>
      <c r="EL1406" s="110"/>
      <c r="EM1406" s="110"/>
      <c r="EN1406" s="110"/>
      <c r="EO1406" s="110"/>
      <c r="EP1406" s="110"/>
      <c r="EQ1406" s="110"/>
      <c r="ER1406" s="110"/>
      <c r="ES1406" s="110"/>
      <c r="ET1406" s="110"/>
      <c r="EU1406" s="110"/>
      <c r="EV1406" s="110"/>
      <c r="EW1406" s="110"/>
      <c r="EX1406" s="110"/>
      <c r="EY1406" s="110"/>
      <c r="EZ1406" s="110"/>
      <c r="FA1406" s="110"/>
      <c r="FB1406" s="110"/>
      <c r="FC1406" s="110"/>
      <c r="FD1406" s="110"/>
      <c r="FE1406" s="110"/>
      <c r="FF1406" s="110"/>
      <c r="FG1406" s="110"/>
      <c r="FH1406" s="110"/>
      <c r="FI1406" s="110"/>
      <c r="FJ1406" s="110"/>
      <c r="FK1406" s="110"/>
      <c r="FL1406" s="110"/>
      <c r="FM1406" s="110"/>
      <c r="FN1406" s="110"/>
      <c r="FO1406" s="110"/>
      <c r="FP1406" s="110"/>
      <c r="FQ1406" s="110"/>
      <c r="FR1406" s="110"/>
      <c r="FS1406" s="110"/>
      <c r="FT1406" s="110"/>
      <c r="FU1406" s="110"/>
      <c r="FV1406" s="110"/>
      <c r="FW1406" s="110"/>
      <c r="FX1406" s="110"/>
      <c r="FY1406" s="110"/>
      <c r="FZ1406" s="110"/>
      <c r="GA1406" s="110"/>
      <c r="GB1406" s="110"/>
      <c r="GC1406" s="110"/>
      <c r="GD1406" s="110"/>
      <c r="GE1406" s="110"/>
      <c r="GF1406" s="110"/>
      <c r="GG1406" s="110"/>
      <c r="GH1406" s="110"/>
      <c r="GI1406" s="110"/>
      <c r="GJ1406" s="110"/>
      <c r="GK1406" s="110"/>
      <c r="GL1406" s="110"/>
      <c r="GM1406" s="110"/>
      <c r="GN1406" s="110"/>
      <c r="GO1406" s="110"/>
      <c r="GP1406" s="110"/>
      <c r="GQ1406" s="110"/>
      <c r="GR1406" s="110"/>
      <c r="GS1406" s="110"/>
      <c r="GT1406" s="110"/>
      <c r="GU1406" s="110"/>
      <c r="GV1406" s="110"/>
      <c r="GW1406" s="110"/>
      <c r="GX1406" s="110"/>
      <c r="GY1406" s="110"/>
      <c r="GZ1406" s="110"/>
      <c r="HA1406" s="110"/>
      <c r="HB1406" s="110"/>
      <c r="HC1406" s="110"/>
      <c r="HD1406" s="110"/>
      <c r="HE1406" s="110"/>
      <c r="HF1406" s="110"/>
      <c r="HG1406" s="110"/>
      <c r="HH1406" s="110"/>
      <c r="HI1406" s="110"/>
      <c r="HJ1406" s="110"/>
      <c r="HK1406" s="110"/>
      <c r="HL1406" s="110"/>
      <c r="HM1406" s="110"/>
      <c r="HN1406" s="110"/>
      <c r="HO1406" s="110"/>
      <c r="HP1406" s="110"/>
      <c r="HQ1406" s="110"/>
      <c r="HR1406" s="110"/>
      <c r="HS1406" s="110"/>
      <c r="HT1406" s="110"/>
      <c r="HU1406" s="110"/>
      <c r="HV1406" s="110"/>
      <c r="HW1406" s="110"/>
      <c r="HX1406" s="110"/>
      <c r="HY1406" s="110"/>
      <c r="HZ1406" s="110"/>
      <c r="IA1406" s="110"/>
      <c r="IB1406" s="110"/>
      <c r="IC1406" s="110"/>
      <c r="ID1406" s="110"/>
      <c r="IE1406" s="110"/>
      <c r="IF1406" s="110"/>
      <c r="IG1406" s="110"/>
      <c r="IH1406" s="110"/>
      <c r="II1406" s="110"/>
      <c r="IJ1406" s="110"/>
      <c r="IK1406" s="110"/>
      <c r="IL1406" s="110"/>
      <c r="IM1406" s="110"/>
      <c r="IN1406" s="110"/>
      <c r="IO1406" s="110"/>
      <c r="IP1406" s="110"/>
      <c r="IQ1406" s="110"/>
      <c r="IR1406" s="110"/>
    </row>
    <row r="1407" spans="18:252" ht="16.5" hidden="1" customHeight="1">
      <c r="R1407" s="264"/>
      <c r="S1407" s="110"/>
      <c r="T1407" s="110"/>
      <c r="U1407" s="110"/>
      <c r="V1407" s="110"/>
      <c r="W1407" s="266"/>
      <c r="X1407" s="110"/>
      <c r="Y1407" s="110"/>
      <c r="Z1407" s="110"/>
      <c r="AA1407" s="110"/>
      <c r="AB1407" s="110"/>
      <c r="AC1407" s="110"/>
      <c r="AD1407" s="110"/>
      <c r="AE1407" s="110"/>
      <c r="AF1407" s="110"/>
      <c r="AG1407" s="110"/>
      <c r="AH1407" s="110"/>
      <c r="AI1407" s="110"/>
      <c r="AJ1407" s="110"/>
      <c r="AK1407" s="110"/>
      <c r="AL1407" s="110"/>
      <c r="AM1407" s="110"/>
      <c r="AN1407" s="110"/>
      <c r="AO1407" s="110"/>
      <c r="AP1407" s="110"/>
      <c r="AQ1407" s="110"/>
      <c r="AR1407" s="110"/>
      <c r="AS1407" s="110"/>
      <c r="AT1407" s="110"/>
      <c r="AU1407" s="110"/>
      <c r="AV1407" s="110"/>
      <c r="AW1407" s="110"/>
      <c r="AX1407" s="110"/>
      <c r="AY1407" s="110"/>
      <c r="AZ1407" s="110"/>
      <c r="BA1407" s="110"/>
      <c r="BB1407" s="110"/>
      <c r="BC1407" s="110"/>
      <c r="BD1407" s="110"/>
      <c r="BE1407" s="110"/>
      <c r="BF1407" s="110"/>
      <c r="BG1407" s="110"/>
      <c r="BH1407" s="110"/>
      <c r="BI1407" s="110"/>
      <c r="BJ1407" s="110"/>
      <c r="BK1407" s="110"/>
      <c r="BL1407" s="110"/>
      <c r="BM1407" s="110"/>
      <c r="BN1407" s="110"/>
      <c r="BO1407" s="110"/>
      <c r="BP1407" s="110"/>
      <c r="BQ1407" s="110"/>
      <c r="BR1407" s="110"/>
      <c r="BS1407" s="110"/>
      <c r="BT1407" s="110"/>
      <c r="BU1407" s="110"/>
      <c r="BV1407" s="110"/>
      <c r="BW1407" s="110"/>
      <c r="BX1407" s="110"/>
      <c r="BY1407" s="110"/>
      <c r="BZ1407" s="110"/>
      <c r="CA1407" s="110"/>
      <c r="CB1407" s="110"/>
      <c r="CC1407" s="110"/>
      <c r="CD1407" s="110"/>
      <c r="CE1407" s="110"/>
      <c r="CF1407" s="110"/>
      <c r="CG1407" s="110"/>
      <c r="CH1407" s="110"/>
      <c r="CI1407" s="110"/>
      <c r="CJ1407" s="110"/>
      <c r="CK1407" s="110"/>
      <c r="CL1407" s="110"/>
      <c r="CM1407" s="110"/>
      <c r="CN1407" s="110"/>
      <c r="CO1407" s="110"/>
      <c r="CP1407" s="110"/>
      <c r="CQ1407" s="110"/>
      <c r="CR1407" s="110"/>
      <c r="CS1407" s="110"/>
      <c r="CT1407" s="110"/>
      <c r="CU1407" s="110"/>
      <c r="CV1407" s="110"/>
      <c r="CW1407" s="110"/>
      <c r="CX1407" s="110"/>
      <c r="CY1407" s="110"/>
      <c r="CZ1407" s="110"/>
      <c r="DA1407" s="110"/>
      <c r="DB1407" s="110"/>
      <c r="DC1407" s="110"/>
      <c r="DD1407" s="110"/>
      <c r="DE1407" s="110"/>
      <c r="DF1407" s="110"/>
      <c r="DG1407" s="110"/>
      <c r="DH1407" s="110"/>
      <c r="DI1407" s="110"/>
      <c r="DJ1407" s="110"/>
      <c r="DK1407" s="110"/>
      <c r="DL1407" s="110"/>
      <c r="DM1407" s="110"/>
      <c r="DN1407" s="110"/>
      <c r="DO1407" s="110"/>
      <c r="DP1407" s="110"/>
      <c r="DQ1407" s="110"/>
      <c r="DR1407" s="110"/>
      <c r="DS1407" s="110"/>
      <c r="DT1407" s="110"/>
      <c r="DU1407" s="110"/>
      <c r="DV1407" s="110"/>
      <c r="DW1407" s="110"/>
      <c r="DX1407" s="110"/>
      <c r="DY1407" s="110"/>
      <c r="DZ1407" s="110"/>
      <c r="EA1407" s="110"/>
      <c r="EB1407" s="110"/>
      <c r="EC1407" s="110"/>
      <c r="ED1407" s="110"/>
      <c r="EF1407" s="264"/>
      <c r="EG1407" s="110"/>
      <c r="EH1407" s="110"/>
      <c r="EI1407" s="110"/>
      <c r="EJ1407" s="110"/>
      <c r="EK1407" s="266"/>
      <c r="EL1407" s="110"/>
      <c r="EM1407" s="110"/>
      <c r="EN1407" s="110"/>
      <c r="EO1407" s="110"/>
      <c r="EP1407" s="110"/>
      <c r="EQ1407" s="110"/>
      <c r="ER1407" s="110"/>
      <c r="ES1407" s="110"/>
      <c r="ET1407" s="110"/>
      <c r="EU1407" s="110"/>
      <c r="EV1407" s="110"/>
      <c r="EW1407" s="110"/>
      <c r="EX1407" s="110"/>
      <c r="EY1407" s="110"/>
      <c r="EZ1407" s="110"/>
      <c r="FA1407" s="110"/>
      <c r="FB1407" s="110"/>
      <c r="FC1407" s="110"/>
      <c r="FD1407" s="110"/>
      <c r="FE1407" s="110"/>
      <c r="FF1407" s="110"/>
      <c r="FG1407" s="110"/>
      <c r="FH1407" s="110"/>
      <c r="FI1407" s="110"/>
      <c r="FJ1407" s="110"/>
      <c r="FK1407" s="110"/>
      <c r="FL1407" s="110"/>
      <c r="FM1407" s="110"/>
      <c r="FN1407" s="110"/>
      <c r="FO1407" s="110"/>
      <c r="FP1407" s="110"/>
      <c r="FQ1407" s="110"/>
      <c r="FR1407" s="110"/>
      <c r="FS1407" s="110"/>
      <c r="FT1407" s="110"/>
      <c r="FU1407" s="110"/>
      <c r="FV1407" s="110"/>
      <c r="FW1407" s="110"/>
      <c r="FX1407" s="110"/>
      <c r="FY1407" s="110"/>
      <c r="FZ1407" s="110"/>
      <c r="GA1407" s="110"/>
      <c r="GB1407" s="110"/>
      <c r="GC1407" s="110"/>
      <c r="GD1407" s="110"/>
      <c r="GE1407" s="110"/>
      <c r="GF1407" s="110"/>
      <c r="GG1407" s="110"/>
      <c r="GH1407" s="110"/>
      <c r="GI1407" s="110"/>
      <c r="GJ1407" s="110"/>
      <c r="GK1407" s="110"/>
      <c r="GL1407" s="110"/>
      <c r="GM1407" s="110"/>
      <c r="GN1407" s="110"/>
      <c r="GO1407" s="110"/>
      <c r="GP1407" s="110"/>
      <c r="GQ1407" s="110"/>
      <c r="GR1407" s="110"/>
      <c r="GS1407" s="110"/>
      <c r="GT1407" s="110"/>
      <c r="GU1407" s="110"/>
      <c r="GV1407" s="110"/>
      <c r="GW1407" s="110"/>
      <c r="GX1407" s="110"/>
      <c r="GY1407" s="110"/>
      <c r="GZ1407" s="110"/>
      <c r="HA1407" s="110"/>
      <c r="HB1407" s="110"/>
      <c r="HC1407" s="110"/>
      <c r="HD1407" s="110"/>
      <c r="HE1407" s="110"/>
      <c r="HF1407" s="110"/>
      <c r="HG1407" s="110"/>
      <c r="HH1407" s="110"/>
      <c r="HI1407" s="110"/>
      <c r="HJ1407" s="110"/>
      <c r="HK1407" s="110"/>
      <c r="HL1407" s="110"/>
      <c r="HM1407" s="110"/>
      <c r="HN1407" s="110"/>
      <c r="HO1407" s="110"/>
      <c r="HP1407" s="110"/>
      <c r="HQ1407" s="110"/>
      <c r="HR1407" s="110"/>
      <c r="HS1407" s="110"/>
      <c r="HT1407" s="110"/>
      <c r="HU1407" s="110"/>
      <c r="HV1407" s="110"/>
      <c r="HW1407" s="110"/>
      <c r="HX1407" s="110"/>
      <c r="HY1407" s="110"/>
      <c r="HZ1407" s="110"/>
      <c r="IA1407" s="110"/>
      <c r="IB1407" s="110"/>
      <c r="IC1407" s="110"/>
      <c r="ID1407" s="110"/>
      <c r="IE1407" s="110"/>
      <c r="IF1407" s="110"/>
      <c r="IG1407" s="110"/>
      <c r="IH1407" s="110"/>
      <c r="II1407" s="110"/>
      <c r="IJ1407" s="110"/>
      <c r="IK1407" s="110"/>
      <c r="IL1407" s="110"/>
      <c r="IM1407" s="110"/>
      <c r="IN1407" s="110"/>
      <c r="IO1407" s="110"/>
      <c r="IP1407" s="110"/>
      <c r="IQ1407" s="110"/>
      <c r="IR1407" s="110"/>
    </row>
    <row r="1408" spans="18:252" ht="16.5" hidden="1" customHeight="1">
      <c r="R1408" s="264"/>
      <c r="S1408" s="110"/>
      <c r="T1408" s="110"/>
      <c r="U1408" s="110"/>
      <c r="V1408" s="110"/>
      <c r="W1408" s="266"/>
      <c r="X1408" s="110"/>
      <c r="Y1408" s="110"/>
      <c r="Z1408" s="110"/>
      <c r="AA1408" s="110"/>
      <c r="AB1408" s="110"/>
      <c r="AC1408" s="110"/>
      <c r="AD1408" s="110"/>
      <c r="AE1408" s="110"/>
      <c r="AF1408" s="110"/>
      <c r="AG1408" s="110"/>
      <c r="AH1408" s="110"/>
      <c r="AI1408" s="110"/>
      <c r="AJ1408" s="110"/>
      <c r="AK1408" s="110"/>
      <c r="AL1408" s="110"/>
      <c r="AM1408" s="110"/>
      <c r="AN1408" s="110"/>
      <c r="AO1408" s="110"/>
      <c r="AP1408" s="110"/>
      <c r="AQ1408" s="110"/>
      <c r="AR1408" s="110"/>
      <c r="AS1408" s="110"/>
      <c r="AT1408" s="110"/>
      <c r="AU1408" s="110"/>
      <c r="AV1408" s="110"/>
      <c r="AW1408" s="110"/>
      <c r="AX1408" s="110"/>
      <c r="AY1408" s="110"/>
      <c r="AZ1408" s="110"/>
      <c r="BA1408" s="110"/>
      <c r="BB1408" s="110"/>
      <c r="BC1408" s="110"/>
      <c r="BD1408" s="110"/>
      <c r="BE1408" s="110"/>
      <c r="BF1408" s="110"/>
      <c r="BG1408" s="110"/>
      <c r="BH1408" s="110"/>
      <c r="BI1408" s="110"/>
      <c r="BJ1408" s="110"/>
      <c r="BK1408" s="110"/>
      <c r="BL1408" s="110"/>
      <c r="BM1408" s="110"/>
      <c r="BN1408" s="110"/>
      <c r="BO1408" s="110"/>
      <c r="BP1408" s="110"/>
      <c r="BQ1408" s="110"/>
      <c r="BR1408" s="110"/>
      <c r="BS1408" s="110"/>
      <c r="BT1408" s="110"/>
      <c r="BU1408" s="110"/>
      <c r="BV1408" s="110"/>
      <c r="BW1408" s="110"/>
      <c r="BX1408" s="110"/>
      <c r="BY1408" s="110"/>
      <c r="BZ1408" s="110"/>
      <c r="CA1408" s="110"/>
      <c r="CB1408" s="110"/>
      <c r="CC1408" s="110"/>
      <c r="CD1408" s="110"/>
      <c r="CE1408" s="110"/>
      <c r="CF1408" s="110"/>
      <c r="CG1408" s="110"/>
      <c r="CH1408" s="110"/>
      <c r="CI1408" s="110"/>
      <c r="CJ1408" s="110"/>
      <c r="CK1408" s="110"/>
      <c r="CL1408" s="110"/>
      <c r="CM1408" s="110"/>
      <c r="CN1408" s="110"/>
      <c r="CO1408" s="110"/>
      <c r="CP1408" s="110"/>
      <c r="CQ1408" s="110"/>
      <c r="CR1408" s="110"/>
      <c r="CS1408" s="110"/>
      <c r="CT1408" s="110"/>
      <c r="CU1408" s="110"/>
      <c r="CV1408" s="110"/>
      <c r="CW1408" s="110"/>
      <c r="CX1408" s="110"/>
      <c r="CY1408" s="110"/>
      <c r="CZ1408" s="110"/>
      <c r="DA1408" s="110"/>
      <c r="DB1408" s="110"/>
      <c r="DC1408" s="110"/>
      <c r="DD1408" s="110"/>
      <c r="DE1408" s="110"/>
      <c r="DF1408" s="110"/>
      <c r="DG1408" s="110"/>
      <c r="DH1408" s="110"/>
      <c r="DI1408" s="110"/>
      <c r="DJ1408" s="110"/>
      <c r="DK1408" s="110"/>
      <c r="DL1408" s="110"/>
      <c r="DM1408" s="110"/>
      <c r="DN1408" s="110"/>
      <c r="DO1408" s="110"/>
      <c r="DP1408" s="110"/>
      <c r="DQ1408" s="110"/>
      <c r="DR1408" s="110"/>
      <c r="DS1408" s="110"/>
      <c r="DT1408" s="110"/>
      <c r="DU1408" s="110"/>
      <c r="DV1408" s="110"/>
      <c r="DW1408" s="110"/>
      <c r="DX1408" s="110"/>
      <c r="DY1408" s="110"/>
      <c r="DZ1408" s="110"/>
      <c r="EA1408" s="110"/>
      <c r="EB1408" s="110"/>
      <c r="EC1408" s="110"/>
      <c r="ED1408" s="110"/>
      <c r="EF1408" s="264"/>
      <c r="EG1408" s="110"/>
      <c r="EH1408" s="110"/>
      <c r="EI1408" s="110"/>
      <c r="EJ1408" s="110"/>
      <c r="EK1408" s="266"/>
      <c r="EL1408" s="110"/>
      <c r="EM1408" s="110"/>
      <c r="EN1408" s="110"/>
      <c r="EO1408" s="110"/>
      <c r="EP1408" s="110"/>
      <c r="EQ1408" s="110"/>
      <c r="ER1408" s="110"/>
      <c r="ES1408" s="110"/>
      <c r="ET1408" s="110"/>
      <c r="EU1408" s="110"/>
      <c r="EV1408" s="110"/>
      <c r="EW1408" s="110"/>
      <c r="EX1408" s="110"/>
      <c r="EY1408" s="110"/>
      <c r="EZ1408" s="110"/>
      <c r="FA1408" s="110"/>
      <c r="FB1408" s="110"/>
      <c r="FC1408" s="110"/>
      <c r="FD1408" s="110"/>
      <c r="FE1408" s="110"/>
      <c r="FF1408" s="110"/>
      <c r="FG1408" s="110"/>
      <c r="FH1408" s="110"/>
      <c r="FI1408" s="110"/>
      <c r="FJ1408" s="110"/>
      <c r="FK1408" s="110"/>
      <c r="FL1408" s="110"/>
      <c r="FM1408" s="110"/>
      <c r="FN1408" s="110"/>
      <c r="FO1408" s="110"/>
      <c r="FP1408" s="110"/>
      <c r="FQ1408" s="110"/>
      <c r="FR1408" s="110"/>
      <c r="FS1408" s="110"/>
      <c r="FT1408" s="110"/>
      <c r="FU1408" s="110"/>
      <c r="FV1408" s="110"/>
      <c r="FW1408" s="110"/>
      <c r="FX1408" s="110"/>
      <c r="FY1408" s="110"/>
      <c r="FZ1408" s="110"/>
      <c r="GA1408" s="110"/>
      <c r="GB1408" s="110"/>
      <c r="GC1408" s="110"/>
      <c r="GD1408" s="110"/>
      <c r="GE1408" s="110"/>
      <c r="GF1408" s="110"/>
      <c r="GG1408" s="110"/>
      <c r="GH1408" s="110"/>
      <c r="GI1408" s="110"/>
      <c r="GJ1408" s="110"/>
      <c r="GK1408" s="110"/>
      <c r="GL1408" s="110"/>
      <c r="GM1408" s="110"/>
      <c r="GN1408" s="110"/>
      <c r="GO1408" s="110"/>
      <c r="GP1408" s="110"/>
      <c r="GQ1408" s="110"/>
      <c r="GR1408" s="110"/>
      <c r="GS1408" s="110"/>
      <c r="GT1408" s="110"/>
      <c r="GU1408" s="110"/>
      <c r="GV1408" s="110"/>
      <c r="GW1408" s="110"/>
      <c r="GX1408" s="110"/>
      <c r="GY1408" s="110"/>
      <c r="GZ1408" s="110"/>
      <c r="HA1408" s="110"/>
      <c r="HB1408" s="110"/>
      <c r="HC1408" s="110"/>
      <c r="HD1408" s="110"/>
      <c r="HE1408" s="110"/>
      <c r="HF1408" s="110"/>
      <c r="HG1408" s="110"/>
      <c r="HH1408" s="110"/>
      <c r="HI1408" s="110"/>
      <c r="HJ1408" s="110"/>
      <c r="HK1408" s="110"/>
      <c r="HL1408" s="110"/>
      <c r="HM1408" s="110"/>
      <c r="HN1408" s="110"/>
      <c r="HO1408" s="110"/>
      <c r="HP1408" s="110"/>
      <c r="HQ1408" s="110"/>
      <c r="HR1408" s="110"/>
      <c r="HS1408" s="110"/>
      <c r="HT1408" s="110"/>
      <c r="HU1408" s="110"/>
      <c r="HV1408" s="110"/>
      <c r="HW1408" s="110"/>
      <c r="HX1408" s="110"/>
      <c r="HY1408" s="110"/>
      <c r="HZ1408" s="110"/>
      <c r="IA1408" s="110"/>
      <c r="IB1408" s="110"/>
      <c r="IC1408" s="110"/>
      <c r="ID1408" s="110"/>
      <c r="IE1408" s="110"/>
      <c r="IF1408" s="110"/>
      <c r="IG1408" s="110"/>
      <c r="IH1408" s="110"/>
      <c r="II1408" s="110"/>
      <c r="IJ1408" s="110"/>
      <c r="IK1408" s="110"/>
      <c r="IL1408" s="110"/>
      <c r="IM1408" s="110"/>
      <c r="IN1408" s="110"/>
      <c r="IO1408" s="110"/>
      <c r="IP1408" s="110"/>
      <c r="IQ1408" s="110"/>
      <c r="IR1408" s="110"/>
    </row>
    <row r="1409" spans="18:252" ht="16.5" hidden="1" customHeight="1">
      <c r="R1409" s="264"/>
      <c r="S1409" s="110"/>
      <c r="T1409" s="110"/>
      <c r="U1409" s="110"/>
      <c r="V1409" s="110"/>
      <c r="W1409" s="266"/>
      <c r="X1409" s="110"/>
      <c r="Y1409" s="110"/>
      <c r="Z1409" s="110"/>
      <c r="AA1409" s="110"/>
      <c r="AB1409" s="110"/>
      <c r="AC1409" s="110"/>
      <c r="AD1409" s="110"/>
      <c r="AE1409" s="110"/>
      <c r="AF1409" s="110"/>
      <c r="AG1409" s="110"/>
      <c r="AH1409" s="110"/>
      <c r="AI1409" s="110"/>
      <c r="AJ1409" s="110"/>
      <c r="AK1409" s="110"/>
      <c r="AL1409" s="110"/>
      <c r="AM1409" s="110"/>
      <c r="AN1409" s="110"/>
      <c r="AO1409" s="110"/>
      <c r="AP1409" s="110"/>
      <c r="AQ1409" s="110"/>
      <c r="AR1409" s="110"/>
      <c r="AS1409" s="110"/>
      <c r="AT1409" s="110"/>
      <c r="AU1409" s="110"/>
      <c r="AV1409" s="110"/>
      <c r="AW1409" s="110"/>
      <c r="AX1409" s="110"/>
      <c r="AY1409" s="110"/>
      <c r="AZ1409" s="110"/>
      <c r="BA1409" s="110"/>
      <c r="BB1409" s="110"/>
      <c r="BC1409" s="110"/>
      <c r="BD1409" s="110"/>
      <c r="BE1409" s="110"/>
      <c r="BF1409" s="110"/>
      <c r="BG1409" s="110"/>
      <c r="BH1409" s="110"/>
      <c r="BI1409" s="110"/>
      <c r="BJ1409" s="110"/>
      <c r="BK1409" s="110"/>
      <c r="BL1409" s="110"/>
      <c r="BM1409" s="110"/>
      <c r="BN1409" s="110"/>
      <c r="BO1409" s="110"/>
      <c r="BP1409" s="110"/>
      <c r="BQ1409" s="110"/>
      <c r="BR1409" s="110"/>
      <c r="BS1409" s="110"/>
      <c r="BT1409" s="110"/>
      <c r="BU1409" s="110"/>
      <c r="BV1409" s="110"/>
      <c r="BW1409" s="110"/>
      <c r="BX1409" s="110"/>
      <c r="BY1409" s="110"/>
      <c r="BZ1409" s="110"/>
      <c r="CA1409" s="110"/>
      <c r="CB1409" s="110"/>
      <c r="CC1409" s="110"/>
      <c r="CD1409" s="110"/>
      <c r="CE1409" s="110"/>
      <c r="CF1409" s="110"/>
      <c r="CG1409" s="110"/>
      <c r="CH1409" s="110"/>
      <c r="CI1409" s="110"/>
      <c r="CJ1409" s="110"/>
      <c r="CK1409" s="110"/>
      <c r="CL1409" s="110"/>
      <c r="CM1409" s="110"/>
      <c r="CN1409" s="110"/>
      <c r="CO1409" s="110"/>
      <c r="CP1409" s="110"/>
      <c r="CQ1409" s="110"/>
      <c r="CR1409" s="110"/>
      <c r="CS1409" s="110"/>
      <c r="CT1409" s="110"/>
      <c r="CU1409" s="110"/>
      <c r="CV1409" s="110"/>
      <c r="CW1409" s="110"/>
      <c r="CX1409" s="110"/>
      <c r="CY1409" s="110"/>
      <c r="CZ1409" s="110"/>
      <c r="DA1409" s="110"/>
      <c r="DB1409" s="110"/>
      <c r="DC1409" s="110"/>
      <c r="DD1409" s="110"/>
      <c r="DE1409" s="110"/>
      <c r="DF1409" s="110"/>
      <c r="DG1409" s="110"/>
      <c r="DH1409" s="110"/>
      <c r="DI1409" s="110"/>
      <c r="DJ1409" s="110"/>
      <c r="DK1409" s="110"/>
      <c r="DL1409" s="110"/>
      <c r="DM1409" s="110"/>
      <c r="DN1409" s="110"/>
      <c r="DO1409" s="110"/>
      <c r="DP1409" s="110"/>
      <c r="DQ1409" s="110"/>
      <c r="DR1409" s="110"/>
      <c r="DS1409" s="110"/>
      <c r="DT1409" s="110"/>
      <c r="DU1409" s="110"/>
      <c r="DV1409" s="110"/>
      <c r="DW1409" s="110"/>
      <c r="DX1409" s="110"/>
      <c r="DY1409" s="110"/>
      <c r="DZ1409" s="110"/>
      <c r="EA1409" s="110"/>
      <c r="EB1409" s="110"/>
      <c r="EC1409" s="110"/>
      <c r="ED1409" s="110"/>
      <c r="EF1409" s="264"/>
      <c r="EG1409" s="110"/>
      <c r="EH1409" s="110"/>
      <c r="EI1409" s="110"/>
      <c r="EJ1409" s="110"/>
      <c r="EK1409" s="266"/>
      <c r="EL1409" s="110"/>
      <c r="EM1409" s="110"/>
      <c r="EN1409" s="110"/>
      <c r="EO1409" s="110"/>
      <c r="EP1409" s="110"/>
      <c r="EQ1409" s="110"/>
      <c r="ER1409" s="110"/>
      <c r="ES1409" s="110"/>
      <c r="ET1409" s="110"/>
      <c r="EU1409" s="110"/>
      <c r="EV1409" s="110"/>
      <c r="EW1409" s="110"/>
      <c r="EX1409" s="110"/>
      <c r="EY1409" s="110"/>
      <c r="EZ1409" s="110"/>
      <c r="FA1409" s="110"/>
      <c r="FB1409" s="110"/>
      <c r="FC1409" s="110"/>
      <c r="FD1409" s="110"/>
      <c r="FE1409" s="110"/>
      <c r="FF1409" s="110"/>
      <c r="FG1409" s="110"/>
      <c r="FH1409" s="110"/>
      <c r="FI1409" s="110"/>
      <c r="FJ1409" s="110"/>
      <c r="FK1409" s="110"/>
      <c r="FL1409" s="110"/>
      <c r="FM1409" s="110"/>
      <c r="FN1409" s="110"/>
      <c r="FO1409" s="110"/>
      <c r="FP1409" s="110"/>
      <c r="FQ1409" s="110"/>
      <c r="FR1409" s="110"/>
      <c r="FS1409" s="110"/>
      <c r="FT1409" s="110"/>
      <c r="FU1409" s="110"/>
      <c r="FV1409" s="110"/>
      <c r="FW1409" s="110"/>
      <c r="FX1409" s="110"/>
      <c r="FY1409" s="110"/>
      <c r="FZ1409" s="110"/>
      <c r="GA1409" s="110"/>
      <c r="GB1409" s="110"/>
      <c r="GC1409" s="110"/>
      <c r="GD1409" s="110"/>
      <c r="GE1409" s="110"/>
      <c r="GF1409" s="110"/>
      <c r="GG1409" s="110"/>
      <c r="GH1409" s="110"/>
      <c r="GI1409" s="110"/>
      <c r="GJ1409" s="110"/>
      <c r="GK1409" s="110"/>
      <c r="GL1409" s="110"/>
      <c r="GM1409" s="110"/>
      <c r="GN1409" s="110"/>
      <c r="GO1409" s="110"/>
      <c r="GP1409" s="110"/>
      <c r="GQ1409" s="110"/>
      <c r="GR1409" s="110"/>
      <c r="GS1409" s="110"/>
      <c r="GT1409" s="110"/>
      <c r="GU1409" s="110"/>
      <c r="GV1409" s="110"/>
      <c r="GW1409" s="110"/>
      <c r="GX1409" s="110"/>
      <c r="GY1409" s="110"/>
      <c r="GZ1409" s="110"/>
      <c r="HA1409" s="110"/>
      <c r="HB1409" s="110"/>
      <c r="HC1409" s="110"/>
      <c r="HD1409" s="110"/>
      <c r="HE1409" s="110"/>
      <c r="HF1409" s="110"/>
      <c r="HG1409" s="110"/>
      <c r="HH1409" s="110"/>
      <c r="HI1409" s="110"/>
      <c r="HJ1409" s="110"/>
      <c r="HK1409" s="110"/>
      <c r="HL1409" s="110"/>
      <c r="HM1409" s="110"/>
      <c r="HN1409" s="110"/>
      <c r="HO1409" s="110"/>
      <c r="HP1409" s="110"/>
      <c r="HQ1409" s="110"/>
      <c r="HR1409" s="110"/>
      <c r="HS1409" s="110"/>
      <c r="HT1409" s="110"/>
      <c r="HU1409" s="110"/>
      <c r="HV1409" s="110"/>
      <c r="HW1409" s="110"/>
      <c r="HX1409" s="110"/>
      <c r="HY1409" s="110"/>
      <c r="HZ1409" s="110"/>
      <c r="IA1409" s="110"/>
      <c r="IB1409" s="110"/>
      <c r="IC1409" s="110"/>
      <c r="ID1409" s="110"/>
      <c r="IE1409" s="110"/>
      <c r="IF1409" s="110"/>
      <c r="IG1409" s="110"/>
      <c r="IH1409" s="110"/>
      <c r="II1409" s="110"/>
      <c r="IJ1409" s="110"/>
      <c r="IK1409" s="110"/>
      <c r="IL1409" s="110"/>
      <c r="IM1409" s="110"/>
      <c r="IN1409" s="110"/>
      <c r="IO1409" s="110"/>
      <c r="IP1409" s="110"/>
      <c r="IQ1409" s="110"/>
      <c r="IR1409" s="110"/>
    </row>
    <row r="1410" spans="18:252" ht="16.5" hidden="1" customHeight="1">
      <c r="R1410" s="264"/>
      <c r="S1410" s="110"/>
      <c r="T1410" s="110"/>
      <c r="U1410" s="110"/>
      <c r="V1410" s="110"/>
      <c r="W1410" s="266"/>
      <c r="X1410" s="110"/>
      <c r="Y1410" s="110"/>
      <c r="Z1410" s="110"/>
      <c r="AA1410" s="110"/>
      <c r="AB1410" s="110"/>
      <c r="AC1410" s="110"/>
      <c r="AD1410" s="110"/>
      <c r="AE1410" s="110"/>
      <c r="AF1410" s="110"/>
      <c r="AG1410" s="110"/>
      <c r="AH1410" s="110"/>
      <c r="AI1410" s="110"/>
      <c r="AJ1410" s="110"/>
      <c r="AK1410" s="110"/>
      <c r="AL1410" s="110"/>
      <c r="AM1410" s="110"/>
      <c r="AN1410" s="110"/>
      <c r="AO1410" s="110"/>
      <c r="AP1410" s="110"/>
      <c r="AQ1410" s="110"/>
      <c r="AR1410" s="110"/>
      <c r="AS1410" s="110"/>
      <c r="AT1410" s="110"/>
      <c r="AU1410" s="110"/>
      <c r="AV1410" s="110"/>
      <c r="AW1410" s="110"/>
      <c r="AX1410" s="110"/>
      <c r="AY1410" s="110"/>
      <c r="AZ1410" s="110"/>
      <c r="BA1410" s="110"/>
      <c r="BB1410" s="110"/>
      <c r="BC1410" s="110"/>
      <c r="BD1410" s="110"/>
      <c r="BE1410" s="110"/>
      <c r="BF1410" s="110"/>
      <c r="BG1410" s="110"/>
      <c r="BH1410" s="110"/>
      <c r="BI1410" s="110"/>
      <c r="BJ1410" s="110"/>
      <c r="BK1410" s="110"/>
      <c r="BL1410" s="110"/>
      <c r="BM1410" s="110"/>
      <c r="BN1410" s="110"/>
      <c r="BO1410" s="110"/>
      <c r="BP1410" s="110"/>
      <c r="BQ1410" s="110"/>
      <c r="BR1410" s="110"/>
      <c r="BS1410" s="110"/>
      <c r="BT1410" s="110"/>
      <c r="BU1410" s="110"/>
      <c r="BV1410" s="110"/>
      <c r="BW1410" s="110"/>
      <c r="BX1410" s="110"/>
      <c r="BY1410" s="110"/>
      <c r="BZ1410" s="110"/>
      <c r="CA1410" s="110"/>
      <c r="CB1410" s="110"/>
      <c r="CC1410" s="110"/>
      <c r="CD1410" s="110"/>
      <c r="CE1410" s="110"/>
      <c r="CF1410" s="110"/>
      <c r="CG1410" s="110"/>
      <c r="CH1410" s="110"/>
      <c r="CI1410" s="110"/>
      <c r="CJ1410" s="110"/>
      <c r="CK1410" s="110"/>
      <c r="CL1410" s="110"/>
      <c r="CM1410" s="110"/>
      <c r="CN1410" s="110"/>
      <c r="CO1410" s="110"/>
      <c r="CP1410" s="110"/>
      <c r="CQ1410" s="110"/>
      <c r="CR1410" s="110"/>
      <c r="CS1410" s="110"/>
      <c r="CT1410" s="110"/>
      <c r="CU1410" s="110"/>
      <c r="CV1410" s="110"/>
      <c r="CW1410" s="110"/>
      <c r="CX1410" s="110"/>
      <c r="CY1410" s="110"/>
      <c r="CZ1410" s="110"/>
      <c r="DA1410" s="110"/>
      <c r="DB1410" s="110"/>
      <c r="DC1410" s="110"/>
      <c r="DD1410" s="110"/>
      <c r="DE1410" s="110"/>
      <c r="DF1410" s="110"/>
      <c r="DG1410" s="110"/>
      <c r="DH1410" s="110"/>
      <c r="DI1410" s="110"/>
      <c r="DJ1410" s="110"/>
      <c r="DK1410" s="110"/>
      <c r="DL1410" s="110"/>
      <c r="DM1410" s="110"/>
      <c r="DN1410" s="110"/>
      <c r="DO1410" s="110"/>
      <c r="DP1410" s="110"/>
      <c r="DQ1410" s="110"/>
      <c r="DR1410" s="110"/>
      <c r="DS1410" s="110"/>
      <c r="DT1410" s="110"/>
      <c r="DU1410" s="110"/>
      <c r="DV1410" s="110"/>
      <c r="DW1410" s="110"/>
      <c r="DX1410" s="110"/>
      <c r="DY1410" s="110"/>
      <c r="DZ1410" s="110"/>
      <c r="EA1410" s="110"/>
      <c r="EB1410" s="110"/>
      <c r="EC1410" s="110"/>
      <c r="ED1410" s="110"/>
      <c r="EF1410" s="264"/>
      <c r="EG1410" s="110"/>
      <c r="EH1410" s="110"/>
      <c r="EI1410" s="110"/>
      <c r="EJ1410" s="110"/>
      <c r="EK1410" s="266"/>
      <c r="EL1410" s="110"/>
      <c r="EM1410" s="110"/>
      <c r="EN1410" s="110"/>
      <c r="EO1410" s="110"/>
      <c r="EP1410" s="110"/>
      <c r="EQ1410" s="110"/>
      <c r="ER1410" s="110"/>
      <c r="ES1410" s="110"/>
      <c r="ET1410" s="110"/>
      <c r="EU1410" s="110"/>
      <c r="EV1410" s="110"/>
      <c r="EW1410" s="110"/>
      <c r="EX1410" s="110"/>
      <c r="EY1410" s="110"/>
      <c r="EZ1410" s="110"/>
      <c r="FA1410" s="110"/>
      <c r="FB1410" s="110"/>
      <c r="FC1410" s="110"/>
      <c r="FD1410" s="110"/>
      <c r="FE1410" s="110"/>
      <c r="FF1410" s="110"/>
      <c r="FG1410" s="110"/>
      <c r="FH1410" s="110"/>
      <c r="FI1410" s="110"/>
      <c r="FJ1410" s="110"/>
      <c r="FK1410" s="110"/>
      <c r="FL1410" s="110"/>
      <c r="FM1410" s="110"/>
      <c r="FN1410" s="110"/>
      <c r="FO1410" s="110"/>
      <c r="FP1410" s="110"/>
      <c r="FQ1410" s="110"/>
      <c r="FR1410" s="110"/>
      <c r="FS1410" s="110"/>
      <c r="FT1410" s="110"/>
      <c r="FU1410" s="110"/>
      <c r="FV1410" s="110"/>
      <c r="FW1410" s="110"/>
      <c r="FX1410" s="110"/>
      <c r="FY1410" s="110"/>
      <c r="FZ1410" s="110"/>
      <c r="GA1410" s="110"/>
      <c r="GB1410" s="110"/>
      <c r="GC1410" s="110"/>
      <c r="GD1410" s="110"/>
      <c r="GE1410" s="110"/>
      <c r="GF1410" s="110"/>
      <c r="GG1410" s="110"/>
      <c r="GH1410" s="110"/>
      <c r="GI1410" s="110"/>
      <c r="GJ1410" s="110"/>
      <c r="GK1410" s="110"/>
      <c r="GL1410" s="110"/>
      <c r="GM1410" s="110"/>
      <c r="GN1410" s="110"/>
      <c r="GO1410" s="110"/>
      <c r="GP1410" s="110"/>
      <c r="GQ1410" s="110"/>
      <c r="GR1410" s="110"/>
      <c r="GS1410" s="110"/>
      <c r="GT1410" s="110"/>
      <c r="GU1410" s="110"/>
      <c r="GV1410" s="110"/>
      <c r="GW1410" s="110"/>
      <c r="GX1410" s="110"/>
      <c r="GY1410" s="110"/>
      <c r="GZ1410" s="110"/>
      <c r="HA1410" s="110"/>
      <c r="HB1410" s="110"/>
      <c r="HC1410" s="110"/>
      <c r="HD1410" s="110"/>
      <c r="HE1410" s="110"/>
      <c r="HF1410" s="110"/>
      <c r="HG1410" s="110"/>
      <c r="HH1410" s="110"/>
      <c r="HI1410" s="110"/>
      <c r="HJ1410" s="110"/>
      <c r="HK1410" s="110"/>
      <c r="HL1410" s="110"/>
      <c r="HM1410" s="110"/>
      <c r="HN1410" s="110"/>
      <c r="HO1410" s="110"/>
      <c r="HP1410" s="110"/>
      <c r="HQ1410" s="110"/>
      <c r="HR1410" s="110"/>
      <c r="HS1410" s="110"/>
      <c r="HT1410" s="110"/>
      <c r="HU1410" s="110"/>
      <c r="HV1410" s="110"/>
      <c r="HW1410" s="110"/>
      <c r="HX1410" s="110"/>
      <c r="HY1410" s="110"/>
      <c r="HZ1410" s="110"/>
      <c r="IA1410" s="110"/>
      <c r="IB1410" s="110"/>
      <c r="IC1410" s="110"/>
      <c r="ID1410" s="110"/>
      <c r="IE1410" s="110"/>
      <c r="IF1410" s="110"/>
      <c r="IG1410" s="110"/>
      <c r="IH1410" s="110"/>
      <c r="II1410" s="110"/>
      <c r="IJ1410" s="110"/>
      <c r="IK1410" s="110"/>
      <c r="IL1410" s="110"/>
      <c r="IM1410" s="110"/>
      <c r="IN1410" s="110"/>
      <c r="IO1410" s="110"/>
      <c r="IP1410" s="110"/>
      <c r="IQ1410" s="110"/>
      <c r="IR1410" s="110"/>
    </row>
    <row r="1411" spans="18:252" ht="16.5" hidden="1" customHeight="1">
      <c r="R1411" s="264"/>
      <c r="S1411" s="110"/>
      <c r="T1411" s="110"/>
      <c r="U1411" s="110"/>
      <c r="V1411" s="110"/>
      <c r="W1411" s="266"/>
      <c r="X1411" s="110"/>
      <c r="Y1411" s="110"/>
      <c r="Z1411" s="110"/>
      <c r="AA1411" s="110"/>
      <c r="AB1411" s="110"/>
      <c r="AC1411" s="110"/>
      <c r="AD1411" s="110"/>
      <c r="AE1411" s="110"/>
      <c r="AF1411" s="110"/>
      <c r="AG1411" s="110"/>
      <c r="AH1411" s="110"/>
      <c r="AI1411" s="110"/>
      <c r="AJ1411" s="110"/>
      <c r="AK1411" s="110"/>
      <c r="AL1411" s="110"/>
      <c r="AM1411" s="110"/>
      <c r="AN1411" s="110"/>
      <c r="AO1411" s="110"/>
      <c r="AP1411" s="110"/>
      <c r="AQ1411" s="110"/>
      <c r="AR1411" s="110"/>
      <c r="AS1411" s="110"/>
      <c r="AT1411" s="110"/>
      <c r="AU1411" s="110"/>
      <c r="AV1411" s="110"/>
      <c r="AW1411" s="110"/>
      <c r="AX1411" s="110"/>
      <c r="AY1411" s="110"/>
      <c r="AZ1411" s="110"/>
      <c r="BA1411" s="110"/>
      <c r="BB1411" s="110"/>
      <c r="BC1411" s="110"/>
      <c r="BD1411" s="110"/>
      <c r="BE1411" s="110"/>
      <c r="BF1411" s="110"/>
      <c r="BG1411" s="110"/>
      <c r="BH1411" s="110"/>
      <c r="BI1411" s="110"/>
      <c r="BJ1411" s="110"/>
      <c r="BK1411" s="110"/>
      <c r="BL1411" s="110"/>
      <c r="BM1411" s="110"/>
      <c r="BN1411" s="110"/>
      <c r="BO1411" s="110"/>
      <c r="BP1411" s="110"/>
      <c r="BQ1411" s="110"/>
      <c r="BR1411" s="110"/>
      <c r="BS1411" s="110"/>
      <c r="BT1411" s="110"/>
      <c r="BU1411" s="110"/>
      <c r="BV1411" s="110"/>
      <c r="BW1411" s="110"/>
      <c r="BX1411" s="110"/>
      <c r="BY1411" s="110"/>
      <c r="BZ1411" s="110"/>
      <c r="CA1411" s="110"/>
      <c r="CB1411" s="110"/>
      <c r="CC1411" s="110"/>
      <c r="CD1411" s="110"/>
      <c r="CE1411" s="110"/>
      <c r="CF1411" s="110"/>
      <c r="CG1411" s="110"/>
      <c r="CH1411" s="110"/>
      <c r="CI1411" s="110"/>
      <c r="CJ1411" s="110"/>
      <c r="CK1411" s="110"/>
      <c r="CL1411" s="110"/>
      <c r="CM1411" s="110"/>
      <c r="CN1411" s="110"/>
      <c r="CO1411" s="110"/>
      <c r="CP1411" s="110"/>
      <c r="CQ1411" s="110"/>
      <c r="CR1411" s="110"/>
      <c r="CS1411" s="110"/>
      <c r="CT1411" s="110"/>
      <c r="CU1411" s="110"/>
      <c r="CV1411" s="110"/>
      <c r="CW1411" s="110"/>
      <c r="CX1411" s="110"/>
      <c r="CY1411" s="110"/>
      <c r="CZ1411" s="110"/>
      <c r="DA1411" s="110"/>
      <c r="DB1411" s="110"/>
      <c r="DC1411" s="110"/>
      <c r="DD1411" s="110"/>
      <c r="DE1411" s="110"/>
      <c r="DF1411" s="110"/>
      <c r="DG1411" s="110"/>
      <c r="DH1411" s="110"/>
      <c r="DI1411" s="110"/>
      <c r="DJ1411" s="110"/>
      <c r="DK1411" s="110"/>
      <c r="DL1411" s="110"/>
      <c r="DM1411" s="110"/>
      <c r="DN1411" s="110"/>
      <c r="DO1411" s="110"/>
      <c r="DP1411" s="110"/>
      <c r="DQ1411" s="110"/>
      <c r="DR1411" s="110"/>
      <c r="DS1411" s="110"/>
      <c r="DT1411" s="110"/>
      <c r="DU1411" s="110"/>
      <c r="DV1411" s="110"/>
      <c r="DW1411" s="110"/>
      <c r="DX1411" s="110"/>
      <c r="DY1411" s="110"/>
      <c r="DZ1411" s="110"/>
      <c r="EA1411" s="110"/>
      <c r="EB1411" s="110"/>
      <c r="EC1411" s="110"/>
      <c r="ED1411" s="110"/>
      <c r="EF1411" s="264"/>
      <c r="EG1411" s="110"/>
      <c r="EH1411" s="110"/>
      <c r="EI1411" s="110"/>
      <c r="EJ1411" s="110"/>
      <c r="EK1411" s="266"/>
      <c r="EL1411" s="110"/>
      <c r="EM1411" s="110"/>
      <c r="EN1411" s="110"/>
      <c r="EO1411" s="110"/>
      <c r="EP1411" s="110"/>
      <c r="EQ1411" s="110"/>
      <c r="ER1411" s="110"/>
      <c r="ES1411" s="110"/>
      <c r="ET1411" s="110"/>
      <c r="EU1411" s="110"/>
      <c r="EV1411" s="110"/>
      <c r="EW1411" s="110"/>
      <c r="EX1411" s="110"/>
      <c r="EY1411" s="110"/>
      <c r="EZ1411" s="110"/>
      <c r="FA1411" s="110"/>
      <c r="FB1411" s="110"/>
      <c r="FC1411" s="110"/>
      <c r="FD1411" s="110"/>
      <c r="FE1411" s="110"/>
      <c r="FF1411" s="110"/>
      <c r="FG1411" s="110"/>
      <c r="FH1411" s="110"/>
      <c r="FI1411" s="110"/>
      <c r="FJ1411" s="110"/>
      <c r="FK1411" s="110"/>
      <c r="FL1411" s="110"/>
      <c r="FM1411" s="110"/>
      <c r="FN1411" s="110"/>
      <c r="FO1411" s="110"/>
      <c r="FP1411" s="110"/>
      <c r="FQ1411" s="110"/>
      <c r="FR1411" s="110"/>
      <c r="FS1411" s="110"/>
      <c r="FT1411" s="110"/>
      <c r="FU1411" s="110"/>
      <c r="FV1411" s="110"/>
      <c r="FW1411" s="110"/>
      <c r="FX1411" s="110"/>
      <c r="FY1411" s="110"/>
      <c r="FZ1411" s="110"/>
      <c r="GA1411" s="110"/>
      <c r="GB1411" s="110"/>
      <c r="GC1411" s="110"/>
      <c r="GD1411" s="110"/>
      <c r="GE1411" s="110"/>
      <c r="GF1411" s="110"/>
      <c r="GG1411" s="110"/>
      <c r="GH1411" s="110"/>
      <c r="GI1411" s="110"/>
      <c r="GJ1411" s="110"/>
      <c r="GK1411" s="110"/>
      <c r="GL1411" s="110"/>
      <c r="GM1411" s="110"/>
      <c r="GN1411" s="110"/>
      <c r="GO1411" s="110"/>
      <c r="GP1411" s="110"/>
      <c r="GQ1411" s="110"/>
      <c r="GR1411" s="110"/>
      <c r="GS1411" s="110"/>
      <c r="GT1411" s="110"/>
      <c r="GU1411" s="110"/>
      <c r="GV1411" s="110"/>
      <c r="GW1411" s="110"/>
      <c r="GX1411" s="110"/>
      <c r="GY1411" s="110"/>
      <c r="GZ1411" s="110"/>
      <c r="HA1411" s="110"/>
      <c r="HB1411" s="110"/>
      <c r="HC1411" s="110"/>
      <c r="HD1411" s="110"/>
      <c r="HE1411" s="110"/>
      <c r="HF1411" s="110"/>
      <c r="HG1411" s="110"/>
      <c r="HH1411" s="110"/>
      <c r="HI1411" s="110"/>
      <c r="HJ1411" s="110"/>
      <c r="HK1411" s="110"/>
      <c r="HL1411" s="110"/>
      <c r="HM1411" s="110"/>
      <c r="HN1411" s="110"/>
      <c r="HO1411" s="110"/>
      <c r="HP1411" s="110"/>
      <c r="HQ1411" s="110"/>
      <c r="HR1411" s="110"/>
      <c r="HS1411" s="110"/>
      <c r="HT1411" s="110"/>
      <c r="HU1411" s="110"/>
      <c r="HV1411" s="110"/>
      <c r="HW1411" s="110"/>
      <c r="HX1411" s="110"/>
      <c r="HY1411" s="110"/>
      <c r="HZ1411" s="110"/>
      <c r="IA1411" s="110"/>
      <c r="IB1411" s="110"/>
      <c r="IC1411" s="110"/>
      <c r="ID1411" s="110"/>
      <c r="IE1411" s="110"/>
      <c r="IF1411" s="110"/>
      <c r="IG1411" s="110"/>
      <c r="IH1411" s="110"/>
      <c r="II1411" s="110"/>
      <c r="IJ1411" s="110"/>
      <c r="IK1411" s="110"/>
      <c r="IL1411" s="110"/>
      <c r="IM1411" s="110"/>
      <c r="IN1411" s="110"/>
      <c r="IO1411" s="110"/>
      <c r="IP1411" s="110"/>
      <c r="IQ1411" s="110"/>
      <c r="IR1411" s="110"/>
    </row>
    <row r="1412" spans="18:252" ht="16.5" hidden="1" customHeight="1">
      <c r="R1412" s="264"/>
      <c r="S1412" s="110"/>
      <c r="T1412" s="110"/>
      <c r="U1412" s="110"/>
      <c r="V1412" s="110"/>
      <c r="W1412" s="266"/>
      <c r="X1412" s="110"/>
      <c r="Y1412" s="110"/>
      <c r="Z1412" s="110"/>
      <c r="AA1412" s="110"/>
      <c r="AB1412" s="110"/>
      <c r="AC1412" s="110"/>
      <c r="AD1412" s="110"/>
      <c r="AE1412" s="110"/>
      <c r="AF1412" s="110"/>
      <c r="AG1412" s="110"/>
      <c r="AH1412" s="110"/>
      <c r="AI1412" s="110"/>
      <c r="AJ1412" s="110"/>
      <c r="AK1412" s="110"/>
      <c r="AL1412" s="110"/>
      <c r="AM1412" s="110"/>
      <c r="AN1412" s="110"/>
      <c r="AO1412" s="110"/>
      <c r="AP1412" s="110"/>
      <c r="AQ1412" s="110"/>
      <c r="AR1412" s="110"/>
      <c r="AS1412" s="110"/>
      <c r="AT1412" s="110"/>
      <c r="AU1412" s="110"/>
      <c r="AV1412" s="110"/>
      <c r="AW1412" s="110"/>
      <c r="AX1412" s="110"/>
      <c r="AY1412" s="110"/>
      <c r="AZ1412" s="110"/>
      <c r="BA1412" s="110"/>
      <c r="BB1412" s="110"/>
      <c r="BC1412" s="110"/>
      <c r="BD1412" s="110"/>
      <c r="BE1412" s="110"/>
      <c r="BF1412" s="110"/>
      <c r="BG1412" s="110"/>
      <c r="BH1412" s="110"/>
      <c r="BI1412" s="110"/>
      <c r="BJ1412" s="110"/>
      <c r="BK1412" s="110"/>
      <c r="BL1412" s="110"/>
      <c r="BM1412" s="110"/>
      <c r="BN1412" s="110"/>
      <c r="BO1412" s="110"/>
      <c r="BP1412" s="110"/>
      <c r="BQ1412" s="110"/>
      <c r="BR1412" s="110"/>
      <c r="BS1412" s="110"/>
      <c r="BT1412" s="110"/>
      <c r="BU1412" s="110"/>
      <c r="BV1412" s="110"/>
      <c r="BW1412" s="110"/>
      <c r="BX1412" s="110"/>
      <c r="BY1412" s="110"/>
      <c r="BZ1412" s="110"/>
      <c r="CA1412" s="110"/>
      <c r="CB1412" s="110"/>
      <c r="CC1412" s="110"/>
      <c r="CD1412" s="110"/>
      <c r="CE1412" s="110"/>
      <c r="CF1412" s="110"/>
      <c r="CG1412" s="110"/>
      <c r="CH1412" s="110"/>
      <c r="CI1412" s="110"/>
      <c r="CJ1412" s="110"/>
      <c r="CK1412" s="110"/>
      <c r="CL1412" s="110"/>
      <c r="CM1412" s="110"/>
      <c r="CN1412" s="110"/>
      <c r="CO1412" s="110"/>
      <c r="CP1412" s="110"/>
      <c r="CQ1412" s="110"/>
      <c r="CR1412" s="110"/>
      <c r="CS1412" s="110"/>
      <c r="CT1412" s="110"/>
      <c r="CU1412" s="110"/>
      <c r="CV1412" s="110"/>
      <c r="CW1412" s="110"/>
      <c r="CX1412" s="110"/>
      <c r="CY1412" s="110"/>
      <c r="CZ1412" s="110"/>
      <c r="DA1412" s="110"/>
      <c r="DB1412" s="110"/>
      <c r="DC1412" s="110"/>
      <c r="DD1412" s="110"/>
      <c r="DE1412" s="110"/>
      <c r="DF1412" s="110"/>
      <c r="DG1412" s="110"/>
      <c r="DH1412" s="110"/>
      <c r="DI1412" s="110"/>
      <c r="DJ1412" s="110"/>
      <c r="DK1412" s="110"/>
      <c r="DL1412" s="110"/>
      <c r="DM1412" s="110"/>
      <c r="DN1412" s="110"/>
      <c r="DO1412" s="110"/>
      <c r="DP1412" s="110"/>
      <c r="DQ1412" s="110"/>
      <c r="DR1412" s="110"/>
      <c r="DS1412" s="110"/>
      <c r="DT1412" s="110"/>
      <c r="DU1412" s="110"/>
      <c r="DV1412" s="110"/>
      <c r="DW1412" s="110"/>
      <c r="DX1412" s="110"/>
      <c r="DY1412" s="110"/>
      <c r="DZ1412" s="110"/>
      <c r="EA1412" s="110"/>
      <c r="EB1412" s="110"/>
      <c r="EC1412" s="110"/>
      <c r="ED1412" s="110"/>
      <c r="EF1412" s="264"/>
      <c r="EG1412" s="110"/>
      <c r="EH1412" s="110"/>
      <c r="EI1412" s="110"/>
      <c r="EJ1412" s="110"/>
      <c r="EK1412" s="266"/>
      <c r="EL1412" s="110"/>
      <c r="EM1412" s="110"/>
      <c r="EN1412" s="110"/>
      <c r="EO1412" s="110"/>
      <c r="EP1412" s="110"/>
      <c r="EQ1412" s="110"/>
      <c r="ER1412" s="110"/>
      <c r="ES1412" s="110"/>
      <c r="ET1412" s="110"/>
      <c r="EU1412" s="110"/>
      <c r="EV1412" s="110"/>
      <c r="EW1412" s="110"/>
      <c r="EX1412" s="110"/>
      <c r="EY1412" s="110"/>
      <c r="EZ1412" s="110"/>
      <c r="FA1412" s="110"/>
      <c r="FB1412" s="110"/>
      <c r="FC1412" s="110"/>
      <c r="FD1412" s="110"/>
      <c r="FE1412" s="110"/>
      <c r="FF1412" s="110"/>
      <c r="FG1412" s="110"/>
      <c r="FH1412" s="110"/>
      <c r="FI1412" s="110"/>
      <c r="FJ1412" s="110"/>
      <c r="FK1412" s="110"/>
      <c r="FL1412" s="110"/>
      <c r="FM1412" s="110"/>
      <c r="FN1412" s="110"/>
      <c r="FO1412" s="110"/>
      <c r="FP1412" s="110"/>
      <c r="FQ1412" s="110"/>
      <c r="FR1412" s="110"/>
      <c r="FS1412" s="110"/>
      <c r="FT1412" s="110"/>
      <c r="FU1412" s="110"/>
      <c r="FV1412" s="110"/>
      <c r="FW1412" s="110"/>
      <c r="FX1412" s="110"/>
      <c r="FY1412" s="110"/>
      <c r="FZ1412" s="110"/>
      <c r="GA1412" s="110"/>
      <c r="GB1412" s="110"/>
      <c r="GC1412" s="110"/>
      <c r="GD1412" s="110"/>
      <c r="GE1412" s="110"/>
      <c r="GF1412" s="110"/>
      <c r="GG1412" s="110"/>
      <c r="GH1412" s="110"/>
      <c r="GI1412" s="110"/>
      <c r="GJ1412" s="110"/>
      <c r="GK1412" s="110"/>
      <c r="GL1412" s="110"/>
      <c r="GM1412" s="110"/>
      <c r="GN1412" s="110"/>
      <c r="GO1412" s="110"/>
      <c r="GP1412" s="110"/>
      <c r="GQ1412" s="110"/>
      <c r="GR1412" s="110"/>
      <c r="GS1412" s="110"/>
      <c r="GT1412" s="110"/>
      <c r="GU1412" s="110"/>
      <c r="GV1412" s="110"/>
      <c r="GW1412" s="110"/>
      <c r="GX1412" s="110"/>
      <c r="GY1412" s="110"/>
      <c r="GZ1412" s="110"/>
      <c r="HA1412" s="110"/>
      <c r="HB1412" s="110"/>
      <c r="HC1412" s="110"/>
      <c r="HD1412" s="110"/>
      <c r="HE1412" s="110"/>
      <c r="HF1412" s="110"/>
      <c r="HG1412" s="110"/>
      <c r="HH1412" s="110"/>
      <c r="HI1412" s="110"/>
      <c r="HJ1412" s="110"/>
      <c r="HK1412" s="110"/>
      <c r="HL1412" s="110"/>
      <c r="HM1412" s="110"/>
      <c r="HN1412" s="110"/>
      <c r="HO1412" s="110"/>
      <c r="HP1412" s="110"/>
      <c r="HQ1412" s="110"/>
      <c r="HR1412" s="110"/>
      <c r="HS1412" s="110"/>
      <c r="HT1412" s="110"/>
      <c r="HU1412" s="110"/>
      <c r="HV1412" s="110"/>
      <c r="HW1412" s="110"/>
      <c r="HX1412" s="110"/>
      <c r="HY1412" s="110"/>
      <c r="HZ1412" s="110"/>
      <c r="IA1412" s="110"/>
      <c r="IB1412" s="110"/>
      <c r="IC1412" s="110"/>
      <c r="ID1412" s="110"/>
      <c r="IE1412" s="110"/>
      <c r="IF1412" s="110"/>
      <c r="IG1412" s="110"/>
      <c r="IH1412" s="110"/>
      <c r="II1412" s="110"/>
      <c r="IJ1412" s="110"/>
      <c r="IK1412" s="110"/>
      <c r="IL1412" s="110"/>
      <c r="IM1412" s="110"/>
      <c r="IN1412" s="110"/>
      <c r="IO1412" s="110"/>
      <c r="IP1412" s="110"/>
      <c r="IQ1412" s="110"/>
      <c r="IR1412" s="110"/>
    </row>
    <row r="1413" spans="18:252" ht="16.5" hidden="1" customHeight="1">
      <c r="R1413" s="264"/>
      <c r="S1413" s="110"/>
      <c r="T1413" s="110"/>
      <c r="U1413" s="110"/>
      <c r="V1413" s="110"/>
      <c r="W1413" s="266"/>
      <c r="X1413" s="110"/>
      <c r="Y1413" s="110"/>
      <c r="Z1413" s="110"/>
      <c r="AA1413" s="110"/>
      <c r="AB1413" s="110"/>
      <c r="AC1413" s="110"/>
      <c r="AD1413" s="110"/>
      <c r="AE1413" s="110"/>
      <c r="AF1413" s="110"/>
      <c r="AG1413" s="110"/>
      <c r="AH1413" s="110"/>
      <c r="AI1413" s="110"/>
      <c r="AJ1413" s="110"/>
      <c r="AK1413" s="110"/>
      <c r="AL1413" s="110"/>
      <c r="AM1413" s="110"/>
      <c r="AN1413" s="110"/>
      <c r="AO1413" s="110"/>
      <c r="AP1413" s="110"/>
      <c r="AQ1413" s="110"/>
      <c r="AR1413" s="110"/>
      <c r="AS1413" s="110"/>
      <c r="AT1413" s="110"/>
      <c r="AU1413" s="110"/>
      <c r="AV1413" s="110"/>
      <c r="AW1413" s="110"/>
      <c r="AX1413" s="110"/>
      <c r="AY1413" s="110"/>
      <c r="AZ1413" s="110"/>
      <c r="BA1413" s="110"/>
      <c r="BB1413" s="110"/>
      <c r="BC1413" s="110"/>
      <c r="BD1413" s="110"/>
      <c r="BE1413" s="110"/>
      <c r="BF1413" s="110"/>
      <c r="BG1413" s="110"/>
      <c r="BH1413" s="110"/>
      <c r="BI1413" s="110"/>
      <c r="BJ1413" s="110"/>
      <c r="BK1413" s="110"/>
      <c r="BL1413" s="110"/>
      <c r="BM1413" s="110"/>
      <c r="BN1413" s="110"/>
      <c r="BO1413" s="110"/>
      <c r="BP1413" s="110"/>
      <c r="BQ1413" s="110"/>
      <c r="BR1413" s="110"/>
      <c r="BS1413" s="110"/>
      <c r="BT1413" s="110"/>
      <c r="BU1413" s="110"/>
      <c r="BV1413" s="110"/>
      <c r="BW1413" s="110"/>
      <c r="BX1413" s="110"/>
      <c r="BY1413" s="110"/>
      <c r="BZ1413" s="110"/>
      <c r="CA1413" s="110"/>
      <c r="CB1413" s="110"/>
      <c r="CC1413" s="110"/>
      <c r="CD1413" s="110"/>
      <c r="CE1413" s="110"/>
      <c r="CF1413" s="110"/>
      <c r="CG1413" s="110"/>
      <c r="CH1413" s="110"/>
      <c r="CI1413" s="110"/>
      <c r="CJ1413" s="110"/>
      <c r="CK1413" s="110"/>
      <c r="CL1413" s="110"/>
      <c r="CM1413" s="110"/>
      <c r="CN1413" s="110"/>
      <c r="CO1413" s="110"/>
      <c r="CP1413" s="110"/>
      <c r="CQ1413" s="110"/>
      <c r="CR1413" s="110"/>
      <c r="CS1413" s="110"/>
      <c r="CT1413" s="110"/>
      <c r="CU1413" s="110"/>
      <c r="CV1413" s="110"/>
      <c r="CW1413" s="110"/>
      <c r="CX1413" s="110"/>
      <c r="CY1413" s="110"/>
      <c r="CZ1413" s="110"/>
      <c r="DA1413" s="110"/>
      <c r="DB1413" s="110"/>
      <c r="DC1413" s="110"/>
      <c r="DD1413" s="110"/>
      <c r="DE1413" s="110"/>
      <c r="DF1413" s="110"/>
      <c r="DG1413" s="110"/>
      <c r="DH1413" s="110"/>
      <c r="DI1413" s="110"/>
      <c r="DJ1413" s="110"/>
      <c r="DK1413" s="110"/>
      <c r="DL1413" s="110"/>
      <c r="DM1413" s="110"/>
      <c r="DN1413" s="110"/>
      <c r="DO1413" s="110"/>
      <c r="DP1413" s="110"/>
      <c r="DQ1413" s="110"/>
      <c r="DR1413" s="110"/>
      <c r="DS1413" s="110"/>
      <c r="DT1413" s="110"/>
      <c r="DU1413" s="110"/>
      <c r="DV1413" s="110"/>
      <c r="DW1413" s="110"/>
      <c r="DX1413" s="110"/>
      <c r="DY1413" s="110"/>
      <c r="DZ1413" s="110"/>
      <c r="EA1413" s="110"/>
      <c r="EB1413" s="110"/>
      <c r="EC1413" s="110"/>
      <c r="ED1413" s="110"/>
      <c r="EF1413" s="264"/>
      <c r="EG1413" s="110"/>
      <c r="EH1413" s="110"/>
      <c r="EI1413" s="110"/>
      <c r="EJ1413" s="110"/>
      <c r="EK1413" s="266"/>
      <c r="EL1413" s="110"/>
      <c r="EM1413" s="110"/>
      <c r="EN1413" s="110"/>
      <c r="EO1413" s="110"/>
      <c r="EP1413" s="110"/>
      <c r="EQ1413" s="110"/>
      <c r="ER1413" s="110"/>
      <c r="ES1413" s="110"/>
      <c r="ET1413" s="110"/>
      <c r="EU1413" s="110"/>
      <c r="EV1413" s="110"/>
      <c r="EW1413" s="110"/>
      <c r="EX1413" s="110"/>
      <c r="EY1413" s="110"/>
      <c r="EZ1413" s="110"/>
      <c r="FA1413" s="110"/>
      <c r="FB1413" s="110"/>
      <c r="FC1413" s="110"/>
      <c r="FD1413" s="110"/>
      <c r="FE1413" s="110"/>
      <c r="FF1413" s="110"/>
      <c r="FG1413" s="110"/>
      <c r="FH1413" s="110"/>
      <c r="FI1413" s="110"/>
      <c r="FJ1413" s="110"/>
      <c r="FK1413" s="110"/>
      <c r="FL1413" s="110"/>
      <c r="FM1413" s="110"/>
      <c r="FN1413" s="110"/>
      <c r="FO1413" s="110"/>
      <c r="FP1413" s="110"/>
      <c r="FQ1413" s="110"/>
      <c r="FR1413" s="110"/>
      <c r="FS1413" s="110"/>
      <c r="FT1413" s="110"/>
      <c r="FU1413" s="110"/>
      <c r="FV1413" s="110"/>
      <c r="FW1413" s="110"/>
      <c r="FX1413" s="110"/>
      <c r="FY1413" s="110"/>
      <c r="FZ1413" s="110"/>
      <c r="GA1413" s="110"/>
      <c r="GB1413" s="110"/>
      <c r="GC1413" s="110"/>
      <c r="GD1413" s="110"/>
      <c r="GE1413" s="110"/>
      <c r="GF1413" s="110"/>
      <c r="GG1413" s="110"/>
      <c r="GH1413" s="110"/>
      <c r="GI1413" s="110"/>
      <c r="GJ1413" s="110"/>
      <c r="GK1413" s="110"/>
      <c r="GL1413" s="110"/>
      <c r="GM1413" s="110"/>
      <c r="GN1413" s="110"/>
      <c r="GO1413" s="110"/>
      <c r="GP1413" s="110"/>
      <c r="GQ1413" s="110"/>
      <c r="GR1413" s="110"/>
      <c r="GS1413" s="110"/>
      <c r="GT1413" s="110"/>
      <c r="GU1413" s="110"/>
      <c r="GV1413" s="110"/>
      <c r="GW1413" s="110"/>
      <c r="GX1413" s="110"/>
      <c r="GY1413" s="110"/>
      <c r="GZ1413" s="110"/>
      <c r="HA1413" s="110"/>
      <c r="HB1413" s="110"/>
      <c r="HC1413" s="110"/>
      <c r="HD1413" s="110"/>
      <c r="HE1413" s="110"/>
      <c r="HF1413" s="110"/>
      <c r="HG1413" s="110"/>
      <c r="HH1413" s="110"/>
      <c r="HI1413" s="110"/>
      <c r="HJ1413" s="110"/>
      <c r="HK1413" s="110"/>
      <c r="HL1413" s="110"/>
      <c r="HM1413" s="110"/>
      <c r="HN1413" s="110"/>
      <c r="HO1413" s="110"/>
      <c r="HP1413" s="110"/>
      <c r="HQ1413" s="110"/>
      <c r="HR1413" s="110"/>
      <c r="HS1413" s="110"/>
      <c r="HT1413" s="110"/>
      <c r="HU1413" s="110"/>
      <c r="HV1413" s="110"/>
      <c r="HW1413" s="110"/>
      <c r="HX1413" s="110"/>
      <c r="HY1413" s="110"/>
      <c r="HZ1413" s="110"/>
      <c r="IA1413" s="110"/>
      <c r="IB1413" s="110"/>
      <c r="IC1413" s="110"/>
      <c r="ID1413" s="110"/>
      <c r="IE1413" s="110"/>
      <c r="IF1413" s="110"/>
      <c r="IG1413" s="110"/>
      <c r="IH1413" s="110"/>
      <c r="II1413" s="110"/>
      <c r="IJ1413" s="110"/>
      <c r="IK1413" s="110"/>
      <c r="IL1413" s="110"/>
      <c r="IM1413" s="110"/>
      <c r="IN1413" s="110"/>
      <c r="IO1413" s="110"/>
      <c r="IP1413" s="110"/>
      <c r="IQ1413" s="110"/>
      <c r="IR1413" s="110"/>
    </row>
    <row r="1414" spans="18:252" ht="16.5" hidden="1" customHeight="1">
      <c r="R1414" s="264"/>
      <c r="S1414" s="110"/>
      <c r="T1414" s="110"/>
      <c r="U1414" s="110"/>
      <c r="V1414" s="110"/>
      <c r="W1414" s="266"/>
      <c r="X1414" s="110"/>
      <c r="Y1414" s="110"/>
      <c r="Z1414" s="110"/>
      <c r="AA1414" s="110"/>
      <c r="AB1414" s="110"/>
      <c r="AC1414" s="110"/>
      <c r="AD1414" s="110"/>
      <c r="AE1414" s="110"/>
      <c r="AF1414" s="110"/>
      <c r="AG1414" s="110"/>
      <c r="AH1414" s="110"/>
      <c r="AI1414" s="110"/>
      <c r="AJ1414" s="110"/>
      <c r="AK1414" s="110"/>
      <c r="AL1414" s="110"/>
      <c r="AM1414" s="110"/>
      <c r="AN1414" s="110"/>
      <c r="AO1414" s="110"/>
      <c r="AP1414" s="110"/>
      <c r="AQ1414" s="110"/>
      <c r="AR1414" s="110"/>
      <c r="AS1414" s="110"/>
      <c r="AT1414" s="110"/>
      <c r="AU1414" s="110"/>
      <c r="AV1414" s="110"/>
      <c r="AW1414" s="110"/>
      <c r="AX1414" s="110"/>
      <c r="AY1414" s="110"/>
      <c r="AZ1414" s="110"/>
      <c r="BA1414" s="110"/>
      <c r="BB1414" s="110"/>
      <c r="BC1414" s="110"/>
      <c r="BD1414" s="110"/>
      <c r="BE1414" s="110"/>
      <c r="BF1414" s="110"/>
      <c r="BG1414" s="110"/>
      <c r="BH1414" s="110"/>
      <c r="BI1414" s="110"/>
      <c r="BJ1414" s="110"/>
      <c r="BK1414" s="110"/>
      <c r="BL1414" s="110"/>
      <c r="BM1414" s="110"/>
      <c r="BN1414" s="110"/>
      <c r="BO1414" s="110"/>
      <c r="BP1414" s="110"/>
      <c r="BQ1414" s="110"/>
      <c r="BR1414" s="110"/>
      <c r="BS1414" s="110"/>
      <c r="BT1414" s="110"/>
      <c r="BU1414" s="110"/>
      <c r="BV1414" s="110"/>
      <c r="BW1414" s="110"/>
      <c r="BX1414" s="110"/>
      <c r="BY1414" s="110"/>
      <c r="BZ1414" s="110"/>
      <c r="CA1414" s="110"/>
      <c r="CB1414" s="110"/>
      <c r="CC1414" s="110"/>
      <c r="CD1414" s="110"/>
      <c r="CE1414" s="110"/>
      <c r="CF1414" s="110"/>
      <c r="CG1414" s="110"/>
      <c r="CH1414" s="110"/>
      <c r="CI1414" s="110"/>
      <c r="CJ1414" s="110"/>
      <c r="CK1414" s="110"/>
      <c r="CL1414" s="110"/>
      <c r="CM1414" s="110"/>
      <c r="CN1414" s="110"/>
      <c r="CO1414" s="110"/>
      <c r="CP1414" s="110"/>
      <c r="CQ1414" s="110"/>
      <c r="CR1414" s="110"/>
      <c r="CS1414" s="110"/>
      <c r="CT1414" s="110"/>
      <c r="CU1414" s="110"/>
      <c r="CV1414" s="110"/>
      <c r="CW1414" s="110"/>
      <c r="CX1414" s="110"/>
      <c r="CY1414" s="110"/>
      <c r="CZ1414" s="110"/>
      <c r="DA1414" s="110"/>
      <c r="DB1414" s="110"/>
      <c r="DC1414" s="110"/>
      <c r="DD1414" s="110"/>
      <c r="DE1414" s="110"/>
      <c r="DF1414" s="110"/>
      <c r="DG1414" s="110"/>
      <c r="DH1414" s="110"/>
      <c r="DI1414" s="110"/>
      <c r="DJ1414" s="110"/>
      <c r="DK1414" s="110"/>
      <c r="DL1414" s="110"/>
      <c r="DM1414" s="110"/>
      <c r="DN1414" s="110"/>
      <c r="DO1414" s="110"/>
      <c r="DP1414" s="110"/>
      <c r="DQ1414" s="110"/>
      <c r="DR1414" s="110"/>
      <c r="DS1414" s="110"/>
      <c r="DT1414" s="110"/>
      <c r="DU1414" s="110"/>
      <c r="DV1414" s="110"/>
      <c r="DW1414" s="110"/>
      <c r="DX1414" s="110"/>
      <c r="DY1414" s="110"/>
      <c r="DZ1414" s="110"/>
      <c r="EA1414" s="110"/>
      <c r="EB1414" s="110"/>
      <c r="EC1414" s="110"/>
      <c r="ED1414" s="110"/>
      <c r="EF1414" s="264"/>
      <c r="EG1414" s="110"/>
      <c r="EH1414" s="110"/>
      <c r="EI1414" s="110"/>
      <c r="EJ1414" s="110"/>
      <c r="EK1414" s="266"/>
      <c r="EL1414" s="110"/>
      <c r="EM1414" s="110"/>
      <c r="EN1414" s="110"/>
      <c r="EO1414" s="110"/>
      <c r="EP1414" s="110"/>
      <c r="EQ1414" s="110"/>
      <c r="ER1414" s="110"/>
      <c r="ES1414" s="110"/>
      <c r="ET1414" s="110"/>
      <c r="EU1414" s="110"/>
      <c r="EV1414" s="110"/>
      <c r="EW1414" s="110"/>
      <c r="EX1414" s="110"/>
      <c r="EY1414" s="110"/>
      <c r="EZ1414" s="110"/>
      <c r="FA1414" s="110"/>
      <c r="FB1414" s="110"/>
      <c r="FC1414" s="110"/>
      <c r="FD1414" s="110"/>
      <c r="FE1414" s="110"/>
      <c r="FF1414" s="110"/>
      <c r="FG1414" s="110"/>
      <c r="FH1414" s="110"/>
      <c r="FI1414" s="110"/>
      <c r="FJ1414" s="110"/>
      <c r="FK1414" s="110"/>
      <c r="FL1414" s="110"/>
      <c r="FM1414" s="110"/>
      <c r="FN1414" s="110"/>
      <c r="FO1414" s="110"/>
      <c r="FP1414" s="110"/>
      <c r="FQ1414" s="110"/>
      <c r="FR1414" s="110"/>
      <c r="FS1414" s="110"/>
      <c r="FT1414" s="110"/>
      <c r="FU1414" s="110"/>
      <c r="FV1414" s="110"/>
      <c r="FW1414" s="110"/>
      <c r="FX1414" s="110"/>
      <c r="FY1414" s="110"/>
      <c r="FZ1414" s="110"/>
      <c r="GA1414" s="110"/>
      <c r="GB1414" s="110"/>
      <c r="GC1414" s="110"/>
      <c r="GD1414" s="110"/>
      <c r="GE1414" s="110"/>
      <c r="GF1414" s="110"/>
      <c r="GG1414" s="110"/>
      <c r="GH1414" s="110"/>
      <c r="GI1414" s="110"/>
      <c r="GJ1414" s="110"/>
      <c r="GK1414" s="110"/>
      <c r="GL1414" s="110"/>
      <c r="GM1414" s="110"/>
      <c r="GN1414" s="110"/>
      <c r="GO1414" s="110"/>
      <c r="GP1414" s="110"/>
      <c r="GQ1414" s="110"/>
      <c r="GR1414" s="110"/>
      <c r="GS1414" s="110"/>
      <c r="GT1414" s="110"/>
      <c r="GU1414" s="110"/>
      <c r="GV1414" s="110"/>
      <c r="GW1414" s="110"/>
      <c r="GX1414" s="110"/>
      <c r="GY1414" s="110"/>
      <c r="GZ1414" s="110"/>
      <c r="HA1414" s="110"/>
      <c r="HB1414" s="110"/>
      <c r="HC1414" s="110"/>
      <c r="HD1414" s="110"/>
      <c r="HE1414" s="110"/>
      <c r="HF1414" s="110"/>
      <c r="HG1414" s="110"/>
      <c r="HH1414" s="110"/>
      <c r="HI1414" s="110"/>
      <c r="HJ1414" s="110"/>
      <c r="HK1414" s="110"/>
      <c r="HL1414" s="110"/>
      <c r="HM1414" s="110"/>
      <c r="HN1414" s="110"/>
      <c r="HO1414" s="110"/>
      <c r="HP1414" s="110"/>
      <c r="HQ1414" s="110"/>
      <c r="HR1414" s="110"/>
      <c r="HS1414" s="110"/>
      <c r="HT1414" s="110"/>
      <c r="HU1414" s="110"/>
      <c r="HV1414" s="110"/>
      <c r="HW1414" s="110"/>
      <c r="HX1414" s="110"/>
      <c r="HY1414" s="110"/>
      <c r="HZ1414" s="110"/>
      <c r="IA1414" s="110"/>
      <c r="IB1414" s="110"/>
      <c r="IC1414" s="110"/>
      <c r="ID1414" s="110"/>
      <c r="IE1414" s="110"/>
      <c r="IF1414" s="110"/>
      <c r="IG1414" s="110"/>
      <c r="IH1414" s="110"/>
      <c r="II1414" s="110"/>
      <c r="IJ1414" s="110"/>
      <c r="IK1414" s="110"/>
      <c r="IL1414" s="110"/>
      <c r="IM1414" s="110"/>
      <c r="IN1414" s="110"/>
      <c r="IO1414" s="110"/>
      <c r="IP1414" s="110"/>
      <c r="IQ1414" s="110"/>
      <c r="IR1414" s="110"/>
    </row>
    <row r="1415" spans="18:252" ht="16.5" hidden="1" customHeight="1">
      <c r="R1415" s="264"/>
      <c r="S1415" s="110"/>
      <c r="T1415" s="110"/>
      <c r="U1415" s="110"/>
      <c r="V1415" s="110"/>
      <c r="W1415" s="266"/>
      <c r="X1415" s="110"/>
      <c r="Y1415" s="110"/>
      <c r="Z1415" s="110"/>
      <c r="AA1415" s="110"/>
      <c r="AB1415" s="110"/>
      <c r="AC1415" s="110"/>
      <c r="AD1415" s="110"/>
      <c r="AE1415" s="110"/>
      <c r="AF1415" s="110"/>
      <c r="AG1415" s="110"/>
      <c r="AH1415" s="110"/>
      <c r="AI1415" s="110"/>
      <c r="AJ1415" s="110"/>
      <c r="AK1415" s="110"/>
      <c r="AL1415" s="110"/>
      <c r="AM1415" s="110"/>
      <c r="AN1415" s="110"/>
      <c r="AO1415" s="110"/>
      <c r="AP1415" s="110"/>
      <c r="AQ1415" s="110"/>
      <c r="AR1415" s="110"/>
      <c r="AS1415" s="110"/>
      <c r="AT1415" s="110"/>
      <c r="AU1415" s="110"/>
      <c r="AV1415" s="110"/>
      <c r="AW1415" s="110"/>
      <c r="AX1415" s="110"/>
      <c r="AY1415" s="110"/>
      <c r="AZ1415" s="110"/>
      <c r="BA1415" s="110"/>
      <c r="BB1415" s="110"/>
      <c r="BC1415" s="110"/>
      <c r="BD1415" s="110"/>
      <c r="BE1415" s="110"/>
      <c r="BF1415" s="110"/>
      <c r="BG1415" s="110"/>
      <c r="BH1415" s="110"/>
      <c r="BI1415" s="110"/>
      <c r="BJ1415" s="110"/>
      <c r="BK1415" s="110"/>
      <c r="BL1415" s="110"/>
      <c r="BM1415" s="110"/>
      <c r="BN1415" s="110"/>
      <c r="BO1415" s="110"/>
      <c r="BP1415" s="110"/>
      <c r="BQ1415" s="110"/>
      <c r="BR1415" s="110"/>
      <c r="BS1415" s="110"/>
      <c r="BT1415" s="110"/>
      <c r="BU1415" s="110"/>
      <c r="BV1415" s="110"/>
      <c r="BW1415" s="110"/>
      <c r="BX1415" s="110"/>
      <c r="BY1415" s="110"/>
      <c r="BZ1415" s="110"/>
      <c r="CA1415" s="110"/>
      <c r="CB1415" s="110"/>
      <c r="CC1415" s="110"/>
      <c r="CD1415" s="110"/>
      <c r="CE1415" s="110"/>
      <c r="CF1415" s="110"/>
      <c r="CG1415" s="110"/>
      <c r="CH1415" s="110"/>
      <c r="CI1415" s="110"/>
      <c r="CJ1415" s="110"/>
      <c r="CK1415" s="110"/>
      <c r="CL1415" s="110"/>
      <c r="CM1415" s="110"/>
      <c r="CN1415" s="110"/>
      <c r="CO1415" s="110"/>
      <c r="CP1415" s="110"/>
      <c r="CQ1415" s="110"/>
      <c r="CR1415" s="110"/>
      <c r="CS1415" s="110"/>
      <c r="CT1415" s="110"/>
      <c r="CU1415" s="110"/>
      <c r="CV1415" s="110"/>
      <c r="CW1415" s="110"/>
      <c r="CX1415" s="110"/>
      <c r="CY1415" s="110"/>
      <c r="CZ1415" s="110"/>
      <c r="DA1415" s="110"/>
      <c r="DB1415" s="110"/>
      <c r="DC1415" s="110"/>
      <c r="DD1415" s="110"/>
      <c r="DE1415" s="110"/>
      <c r="DF1415" s="110"/>
      <c r="DG1415" s="110"/>
      <c r="DH1415" s="110"/>
      <c r="DI1415" s="110"/>
      <c r="DJ1415" s="110"/>
      <c r="DK1415" s="110"/>
      <c r="DL1415" s="110"/>
      <c r="DM1415" s="110"/>
      <c r="DN1415" s="110"/>
      <c r="DO1415" s="110"/>
      <c r="DP1415" s="110"/>
      <c r="DQ1415" s="110"/>
      <c r="DR1415" s="110"/>
      <c r="DS1415" s="110"/>
      <c r="DT1415" s="110"/>
      <c r="DU1415" s="110"/>
      <c r="DV1415" s="110"/>
      <c r="DW1415" s="110"/>
      <c r="DX1415" s="110"/>
      <c r="DY1415" s="110"/>
      <c r="DZ1415" s="110"/>
      <c r="EA1415" s="110"/>
      <c r="EB1415" s="110"/>
      <c r="EC1415" s="110"/>
      <c r="ED1415" s="110"/>
      <c r="EF1415" s="264"/>
      <c r="EG1415" s="110"/>
      <c r="EH1415" s="110"/>
      <c r="EI1415" s="110"/>
      <c r="EJ1415" s="110"/>
      <c r="EK1415" s="266"/>
      <c r="EL1415" s="110"/>
      <c r="EM1415" s="110"/>
      <c r="EN1415" s="110"/>
      <c r="EO1415" s="110"/>
      <c r="EP1415" s="110"/>
      <c r="EQ1415" s="110"/>
      <c r="ER1415" s="110"/>
      <c r="ES1415" s="110"/>
      <c r="ET1415" s="110"/>
      <c r="EU1415" s="110"/>
      <c r="EV1415" s="110"/>
      <c r="EW1415" s="110"/>
      <c r="EX1415" s="110"/>
      <c r="EY1415" s="110"/>
      <c r="EZ1415" s="110"/>
      <c r="FA1415" s="110"/>
      <c r="FB1415" s="110"/>
      <c r="FC1415" s="110"/>
      <c r="FD1415" s="110"/>
      <c r="FE1415" s="110"/>
      <c r="FF1415" s="110"/>
      <c r="FG1415" s="110"/>
      <c r="FH1415" s="110"/>
      <c r="FI1415" s="110"/>
      <c r="FJ1415" s="110"/>
      <c r="FK1415" s="110"/>
      <c r="FL1415" s="110"/>
      <c r="FM1415" s="110"/>
      <c r="FN1415" s="110"/>
      <c r="FO1415" s="110"/>
      <c r="FP1415" s="110"/>
      <c r="FQ1415" s="110"/>
      <c r="FR1415" s="110"/>
      <c r="FS1415" s="110"/>
      <c r="FT1415" s="110"/>
      <c r="FU1415" s="110"/>
      <c r="FV1415" s="110"/>
      <c r="FW1415" s="110"/>
      <c r="FX1415" s="110"/>
      <c r="FY1415" s="110"/>
      <c r="FZ1415" s="110"/>
      <c r="GA1415" s="110"/>
      <c r="GB1415" s="110"/>
      <c r="GC1415" s="110"/>
      <c r="GD1415" s="110"/>
      <c r="GE1415" s="110"/>
      <c r="GF1415" s="110"/>
      <c r="GG1415" s="110"/>
      <c r="GH1415" s="110"/>
      <c r="GI1415" s="110"/>
      <c r="GJ1415" s="110"/>
      <c r="GK1415" s="110"/>
      <c r="GL1415" s="110"/>
      <c r="GM1415" s="110"/>
      <c r="GN1415" s="110"/>
      <c r="GO1415" s="110"/>
      <c r="GP1415" s="110"/>
      <c r="GQ1415" s="110"/>
      <c r="GR1415" s="110"/>
      <c r="GS1415" s="110"/>
      <c r="GT1415" s="110"/>
      <c r="GU1415" s="110"/>
      <c r="GV1415" s="110"/>
      <c r="GW1415" s="110"/>
      <c r="GX1415" s="110"/>
      <c r="GY1415" s="110"/>
      <c r="GZ1415" s="110"/>
      <c r="HA1415" s="110"/>
      <c r="HB1415" s="110"/>
      <c r="HC1415" s="110"/>
      <c r="HD1415" s="110"/>
      <c r="HE1415" s="110"/>
      <c r="HF1415" s="110"/>
      <c r="HG1415" s="110"/>
      <c r="HH1415" s="110"/>
      <c r="HI1415" s="110"/>
      <c r="HJ1415" s="110"/>
      <c r="HK1415" s="110"/>
      <c r="HL1415" s="110"/>
      <c r="HM1415" s="110"/>
      <c r="HN1415" s="110"/>
      <c r="HO1415" s="110"/>
      <c r="HP1415" s="110"/>
      <c r="HQ1415" s="110"/>
      <c r="HR1415" s="110"/>
      <c r="HS1415" s="110"/>
      <c r="HT1415" s="110"/>
      <c r="HU1415" s="110"/>
      <c r="HV1415" s="110"/>
      <c r="HW1415" s="110"/>
      <c r="HX1415" s="110"/>
      <c r="HY1415" s="110"/>
      <c r="HZ1415" s="110"/>
      <c r="IA1415" s="110"/>
      <c r="IB1415" s="110"/>
      <c r="IC1415" s="110"/>
      <c r="ID1415" s="110"/>
      <c r="IE1415" s="110"/>
      <c r="IF1415" s="110"/>
      <c r="IG1415" s="110"/>
      <c r="IH1415" s="110"/>
      <c r="II1415" s="110"/>
      <c r="IJ1415" s="110"/>
      <c r="IK1415" s="110"/>
      <c r="IL1415" s="110"/>
      <c r="IM1415" s="110"/>
      <c r="IN1415" s="110"/>
      <c r="IO1415" s="110"/>
      <c r="IP1415" s="110"/>
      <c r="IQ1415" s="110"/>
      <c r="IR1415" s="110"/>
    </row>
    <row r="1416" spans="18:252" ht="16.5" hidden="1" customHeight="1">
      <c r="R1416" s="264"/>
      <c r="S1416" s="110"/>
      <c r="T1416" s="110"/>
      <c r="U1416" s="110"/>
      <c r="V1416" s="110"/>
      <c r="W1416" s="266"/>
      <c r="X1416" s="110"/>
      <c r="Y1416" s="110"/>
      <c r="Z1416" s="110"/>
      <c r="AA1416" s="110"/>
      <c r="AB1416" s="110"/>
      <c r="AC1416" s="110"/>
      <c r="AD1416" s="110"/>
      <c r="AE1416" s="110"/>
      <c r="AF1416" s="110"/>
      <c r="AG1416" s="110"/>
      <c r="AH1416" s="110"/>
      <c r="AI1416" s="110"/>
      <c r="AJ1416" s="110"/>
      <c r="AK1416" s="110"/>
      <c r="AL1416" s="110"/>
      <c r="AM1416" s="110"/>
      <c r="AN1416" s="110"/>
      <c r="AO1416" s="110"/>
      <c r="AP1416" s="110"/>
      <c r="AQ1416" s="110"/>
      <c r="AR1416" s="110"/>
      <c r="AS1416" s="110"/>
      <c r="AT1416" s="110"/>
      <c r="AU1416" s="110"/>
      <c r="AV1416" s="110"/>
      <c r="AW1416" s="110"/>
      <c r="AX1416" s="110"/>
      <c r="AY1416" s="110"/>
      <c r="AZ1416" s="110"/>
      <c r="BA1416" s="110"/>
      <c r="BB1416" s="110"/>
      <c r="BC1416" s="110"/>
      <c r="BD1416" s="110"/>
      <c r="BE1416" s="110"/>
      <c r="BF1416" s="110"/>
      <c r="BG1416" s="110"/>
      <c r="BH1416" s="110"/>
      <c r="BI1416" s="110"/>
      <c r="BJ1416" s="110"/>
      <c r="BK1416" s="110"/>
      <c r="BL1416" s="110"/>
      <c r="BM1416" s="110"/>
      <c r="BN1416" s="110"/>
      <c r="BO1416" s="110"/>
      <c r="BP1416" s="110"/>
      <c r="BQ1416" s="110"/>
      <c r="BR1416" s="110"/>
      <c r="BS1416" s="110"/>
      <c r="BT1416" s="110"/>
      <c r="BU1416" s="110"/>
      <c r="BV1416" s="110"/>
      <c r="BW1416" s="110"/>
      <c r="BX1416" s="110"/>
      <c r="BY1416" s="110"/>
      <c r="BZ1416" s="110"/>
      <c r="CA1416" s="110"/>
      <c r="CB1416" s="110"/>
      <c r="CC1416" s="110"/>
      <c r="CD1416" s="110"/>
      <c r="CE1416" s="110"/>
      <c r="CF1416" s="110"/>
      <c r="CG1416" s="110"/>
      <c r="CH1416" s="110"/>
      <c r="CI1416" s="110"/>
      <c r="CJ1416" s="110"/>
      <c r="CK1416" s="110"/>
      <c r="CL1416" s="110"/>
      <c r="CM1416" s="110"/>
      <c r="CN1416" s="110"/>
      <c r="CO1416" s="110"/>
      <c r="CP1416" s="110"/>
      <c r="CQ1416" s="110"/>
      <c r="CR1416" s="110"/>
      <c r="CS1416" s="110"/>
      <c r="CT1416" s="110"/>
      <c r="CU1416" s="110"/>
      <c r="CV1416" s="110"/>
      <c r="CW1416" s="110"/>
      <c r="CX1416" s="110"/>
      <c r="CY1416" s="110"/>
      <c r="CZ1416" s="110"/>
      <c r="DA1416" s="110"/>
      <c r="DB1416" s="110"/>
      <c r="DC1416" s="110"/>
      <c r="DD1416" s="110"/>
      <c r="DE1416" s="110"/>
      <c r="DF1416" s="110"/>
      <c r="DG1416" s="110"/>
      <c r="DH1416" s="110"/>
      <c r="DI1416" s="110"/>
      <c r="DJ1416" s="110"/>
      <c r="DK1416" s="110"/>
      <c r="DL1416" s="110"/>
      <c r="DM1416" s="110"/>
      <c r="DN1416" s="110"/>
      <c r="DO1416" s="110"/>
      <c r="DP1416" s="110"/>
      <c r="DQ1416" s="110"/>
      <c r="DR1416" s="110"/>
      <c r="DS1416" s="110"/>
      <c r="DT1416" s="110"/>
      <c r="DU1416" s="110"/>
      <c r="DV1416" s="110"/>
      <c r="DW1416" s="110"/>
      <c r="DX1416" s="110"/>
      <c r="DY1416" s="110"/>
      <c r="DZ1416" s="110"/>
      <c r="EA1416" s="110"/>
      <c r="EB1416" s="110"/>
      <c r="EC1416" s="110"/>
      <c r="ED1416" s="110"/>
      <c r="EF1416" s="264"/>
      <c r="EG1416" s="110"/>
      <c r="EH1416" s="110"/>
      <c r="EI1416" s="110"/>
      <c r="EJ1416" s="110"/>
      <c r="EK1416" s="266"/>
      <c r="EL1416" s="110"/>
      <c r="EM1416" s="110"/>
      <c r="EN1416" s="110"/>
      <c r="EO1416" s="110"/>
      <c r="EP1416" s="110"/>
      <c r="EQ1416" s="110"/>
      <c r="ER1416" s="110"/>
      <c r="ES1416" s="110"/>
      <c r="ET1416" s="110"/>
      <c r="EU1416" s="110"/>
      <c r="EV1416" s="110"/>
      <c r="EW1416" s="110"/>
      <c r="EX1416" s="110"/>
      <c r="EY1416" s="110"/>
      <c r="EZ1416" s="110"/>
      <c r="FA1416" s="110"/>
      <c r="FB1416" s="110"/>
      <c r="FC1416" s="110"/>
      <c r="FD1416" s="110"/>
      <c r="FE1416" s="110"/>
      <c r="FF1416" s="110"/>
      <c r="FG1416" s="110"/>
      <c r="FH1416" s="110"/>
      <c r="FI1416" s="110"/>
      <c r="FJ1416" s="110"/>
      <c r="FK1416" s="110"/>
      <c r="FL1416" s="110"/>
      <c r="FM1416" s="110"/>
      <c r="FN1416" s="110"/>
      <c r="FO1416" s="110"/>
      <c r="FP1416" s="110"/>
      <c r="FQ1416" s="110"/>
      <c r="FR1416" s="110"/>
      <c r="FS1416" s="110"/>
      <c r="FT1416" s="110"/>
      <c r="FU1416" s="110"/>
      <c r="FV1416" s="110"/>
      <c r="FW1416" s="110"/>
      <c r="FX1416" s="110"/>
      <c r="FY1416" s="110"/>
      <c r="FZ1416" s="110"/>
      <c r="GA1416" s="110"/>
      <c r="GB1416" s="110"/>
      <c r="GC1416" s="110"/>
      <c r="GD1416" s="110"/>
      <c r="GE1416" s="110"/>
      <c r="GF1416" s="110"/>
      <c r="GG1416" s="110"/>
      <c r="GH1416" s="110"/>
      <c r="GI1416" s="110"/>
      <c r="GJ1416" s="110"/>
      <c r="GK1416" s="110"/>
      <c r="GL1416" s="110"/>
      <c r="GM1416" s="110"/>
      <c r="GN1416" s="110"/>
      <c r="GO1416" s="110"/>
      <c r="GP1416" s="110"/>
      <c r="GQ1416" s="110"/>
      <c r="GR1416" s="110"/>
      <c r="GS1416" s="110"/>
      <c r="GT1416" s="110"/>
      <c r="GU1416" s="110"/>
      <c r="GV1416" s="110"/>
      <c r="GW1416" s="110"/>
      <c r="GX1416" s="110"/>
      <c r="GY1416" s="110"/>
      <c r="GZ1416" s="110"/>
      <c r="HA1416" s="110"/>
      <c r="HB1416" s="110"/>
      <c r="HC1416" s="110"/>
      <c r="HD1416" s="110"/>
      <c r="HE1416" s="110"/>
      <c r="HF1416" s="110"/>
      <c r="HG1416" s="110"/>
      <c r="HH1416" s="110"/>
      <c r="HI1416" s="110"/>
      <c r="HJ1416" s="110"/>
      <c r="HK1416" s="110"/>
      <c r="HL1416" s="110"/>
      <c r="HM1416" s="110"/>
      <c r="HN1416" s="110"/>
      <c r="HO1416" s="110"/>
      <c r="HP1416" s="110"/>
      <c r="HQ1416" s="110"/>
      <c r="HR1416" s="110"/>
      <c r="HS1416" s="110"/>
      <c r="HT1416" s="110"/>
      <c r="HU1416" s="110"/>
      <c r="HV1416" s="110"/>
      <c r="HW1416" s="110"/>
      <c r="HX1416" s="110"/>
      <c r="HY1416" s="110"/>
      <c r="HZ1416" s="110"/>
      <c r="IA1416" s="110"/>
      <c r="IB1416" s="110"/>
      <c r="IC1416" s="110"/>
      <c r="ID1416" s="110"/>
      <c r="IE1416" s="110"/>
      <c r="IF1416" s="110"/>
      <c r="IG1416" s="110"/>
      <c r="IH1416" s="110"/>
      <c r="II1416" s="110"/>
      <c r="IJ1416" s="110"/>
      <c r="IK1416" s="110"/>
      <c r="IL1416" s="110"/>
      <c r="IM1416" s="110"/>
      <c r="IN1416" s="110"/>
      <c r="IO1416" s="110"/>
      <c r="IP1416" s="110"/>
      <c r="IQ1416" s="110"/>
      <c r="IR1416" s="110"/>
    </row>
    <row r="1417" spans="18:252" ht="16.5" hidden="1" customHeight="1">
      <c r="R1417" s="264"/>
      <c r="S1417" s="110"/>
      <c r="T1417" s="110"/>
      <c r="U1417" s="110"/>
      <c r="V1417" s="110"/>
      <c r="W1417" s="266"/>
      <c r="X1417" s="110"/>
      <c r="Y1417" s="110"/>
      <c r="Z1417" s="110"/>
      <c r="AA1417" s="110"/>
      <c r="AB1417" s="110"/>
      <c r="AC1417" s="110"/>
      <c r="AD1417" s="110"/>
      <c r="AE1417" s="110"/>
      <c r="AF1417" s="110"/>
      <c r="AG1417" s="110"/>
      <c r="AH1417" s="110"/>
      <c r="AI1417" s="110"/>
      <c r="AJ1417" s="110"/>
      <c r="AK1417" s="110"/>
      <c r="AL1417" s="110"/>
      <c r="AM1417" s="110"/>
      <c r="AN1417" s="110"/>
      <c r="AO1417" s="110"/>
      <c r="AP1417" s="110"/>
      <c r="AQ1417" s="110"/>
      <c r="AR1417" s="110"/>
      <c r="AS1417" s="110"/>
      <c r="AT1417" s="110"/>
      <c r="AU1417" s="110"/>
      <c r="AV1417" s="110"/>
      <c r="AW1417" s="110"/>
      <c r="AX1417" s="110"/>
      <c r="AY1417" s="110"/>
      <c r="AZ1417" s="110"/>
      <c r="BA1417" s="110"/>
      <c r="BB1417" s="110"/>
      <c r="BC1417" s="110"/>
      <c r="BD1417" s="110"/>
      <c r="BE1417" s="110"/>
      <c r="BF1417" s="110"/>
      <c r="BG1417" s="110"/>
      <c r="BH1417" s="110"/>
      <c r="BI1417" s="110"/>
      <c r="BJ1417" s="110"/>
      <c r="BK1417" s="110"/>
      <c r="BL1417" s="110"/>
      <c r="BM1417" s="110"/>
      <c r="BN1417" s="110"/>
      <c r="BO1417" s="110"/>
      <c r="BP1417" s="110"/>
      <c r="BQ1417" s="110"/>
      <c r="BR1417" s="110"/>
      <c r="BS1417" s="110"/>
      <c r="BT1417" s="110"/>
      <c r="BU1417" s="110"/>
      <c r="BV1417" s="110"/>
      <c r="BW1417" s="110"/>
      <c r="BX1417" s="110"/>
      <c r="BY1417" s="110"/>
      <c r="BZ1417" s="110"/>
      <c r="CA1417" s="110"/>
      <c r="CB1417" s="110"/>
      <c r="CC1417" s="110"/>
      <c r="CD1417" s="110"/>
      <c r="CE1417" s="110"/>
      <c r="CF1417" s="110"/>
      <c r="CG1417" s="110"/>
      <c r="CH1417" s="110"/>
      <c r="CI1417" s="110"/>
      <c r="CJ1417" s="110"/>
      <c r="CK1417" s="110"/>
      <c r="CL1417" s="110"/>
      <c r="CM1417" s="110"/>
      <c r="CN1417" s="110"/>
      <c r="CO1417" s="110"/>
      <c r="CP1417" s="110"/>
      <c r="CQ1417" s="110"/>
      <c r="CR1417" s="110"/>
      <c r="CS1417" s="110"/>
      <c r="CT1417" s="110"/>
      <c r="CU1417" s="110"/>
      <c r="CV1417" s="110"/>
      <c r="CW1417" s="110"/>
      <c r="CX1417" s="110"/>
      <c r="CY1417" s="110"/>
      <c r="CZ1417" s="110"/>
      <c r="DA1417" s="110"/>
      <c r="DB1417" s="110"/>
      <c r="DC1417" s="110"/>
      <c r="DD1417" s="110"/>
      <c r="DE1417" s="110"/>
      <c r="DF1417" s="110"/>
      <c r="DG1417" s="110"/>
      <c r="DH1417" s="110"/>
      <c r="DI1417" s="110"/>
      <c r="DJ1417" s="110"/>
      <c r="DK1417" s="110"/>
      <c r="DL1417" s="110"/>
      <c r="DM1417" s="110"/>
      <c r="DN1417" s="110"/>
      <c r="DO1417" s="110"/>
      <c r="DP1417" s="110"/>
      <c r="DQ1417" s="110"/>
      <c r="DR1417" s="110"/>
      <c r="DS1417" s="110"/>
      <c r="DT1417" s="110"/>
      <c r="DU1417" s="110"/>
      <c r="DV1417" s="110"/>
      <c r="DW1417" s="110"/>
      <c r="DX1417" s="110"/>
      <c r="DY1417" s="110"/>
      <c r="DZ1417" s="110"/>
      <c r="EA1417" s="110"/>
      <c r="EB1417" s="110"/>
      <c r="EC1417" s="110"/>
      <c r="ED1417" s="110"/>
      <c r="EF1417" s="264"/>
      <c r="EG1417" s="110"/>
      <c r="EH1417" s="110"/>
      <c r="EI1417" s="110"/>
      <c r="EJ1417" s="110"/>
      <c r="EK1417" s="266"/>
      <c r="EL1417" s="110"/>
      <c r="EM1417" s="110"/>
      <c r="EN1417" s="110"/>
      <c r="EO1417" s="110"/>
      <c r="EP1417" s="110"/>
      <c r="EQ1417" s="110"/>
      <c r="ER1417" s="110"/>
      <c r="ES1417" s="110"/>
      <c r="ET1417" s="110"/>
      <c r="EU1417" s="110"/>
      <c r="EV1417" s="110"/>
      <c r="EW1417" s="110"/>
      <c r="EX1417" s="110"/>
      <c r="EY1417" s="110"/>
      <c r="EZ1417" s="110"/>
      <c r="FA1417" s="110"/>
      <c r="FB1417" s="110"/>
      <c r="FC1417" s="110"/>
      <c r="FD1417" s="110"/>
      <c r="FE1417" s="110"/>
      <c r="FF1417" s="110"/>
      <c r="FG1417" s="110"/>
      <c r="FH1417" s="110"/>
      <c r="FI1417" s="110"/>
      <c r="FJ1417" s="110"/>
      <c r="FK1417" s="110"/>
      <c r="FL1417" s="110"/>
      <c r="FM1417" s="110"/>
      <c r="FN1417" s="110"/>
      <c r="FO1417" s="110"/>
      <c r="FP1417" s="110"/>
      <c r="FQ1417" s="110"/>
      <c r="FR1417" s="110"/>
      <c r="FS1417" s="110"/>
      <c r="FT1417" s="110"/>
      <c r="FU1417" s="110"/>
      <c r="FV1417" s="110"/>
      <c r="FW1417" s="110"/>
      <c r="FX1417" s="110"/>
      <c r="FY1417" s="110"/>
      <c r="FZ1417" s="110"/>
      <c r="GA1417" s="110"/>
      <c r="GB1417" s="110"/>
      <c r="GC1417" s="110"/>
      <c r="GD1417" s="110"/>
      <c r="GE1417" s="110"/>
      <c r="GF1417" s="110"/>
      <c r="GG1417" s="110"/>
      <c r="GH1417" s="110"/>
      <c r="GI1417" s="110"/>
      <c r="GJ1417" s="110"/>
      <c r="GK1417" s="110"/>
      <c r="GL1417" s="110"/>
      <c r="GM1417" s="110"/>
      <c r="GN1417" s="110"/>
      <c r="GO1417" s="110"/>
      <c r="GP1417" s="110"/>
      <c r="GQ1417" s="110"/>
      <c r="GR1417" s="110"/>
      <c r="GS1417" s="110"/>
      <c r="GT1417" s="110"/>
      <c r="GU1417" s="110"/>
      <c r="GV1417" s="110"/>
      <c r="GW1417" s="110"/>
      <c r="GX1417" s="110"/>
      <c r="GY1417" s="110"/>
      <c r="GZ1417" s="110"/>
      <c r="HA1417" s="110"/>
      <c r="HB1417" s="110"/>
      <c r="HC1417" s="110"/>
      <c r="HD1417" s="110"/>
      <c r="HE1417" s="110"/>
      <c r="HF1417" s="110"/>
      <c r="HG1417" s="110"/>
      <c r="HH1417" s="110"/>
      <c r="HI1417" s="110"/>
      <c r="HJ1417" s="110"/>
      <c r="HK1417" s="110"/>
      <c r="HL1417" s="110"/>
      <c r="HM1417" s="110"/>
      <c r="HN1417" s="110"/>
      <c r="HO1417" s="110"/>
      <c r="HP1417" s="110"/>
      <c r="HQ1417" s="110"/>
      <c r="HR1417" s="110"/>
      <c r="HS1417" s="110"/>
      <c r="HT1417" s="110"/>
      <c r="HU1417" s="110"/>
      <c r="HV1417" s="110"/>
      <c r="HW1417" s="110"/>
      <c r="HX1417" s="110"/>
      <c r="HY1417" s="110"/>
      <c r="HZ1417" s="110"/>
      <c r="IA1417" s="110"/>
      <c r="IB1417" s="110"/>
      <c r="IC1417" s="110"/>
      <c r="ID1417" s="110"/>
      <c r="IE1417" s="110"/>
      <c r="IF1417" s="110"/>
      <c r="IG1417" s="110"/>
      <c r="IH1417" s="110"/>
      <c r="II1417" s="110"/>
      <c r="IJ1417" s="110"/>
      <c r="IK1417" s="110"/>
      <c r="IL1417" s="110"/>
      <c r="IM1417" s="110"/>
      <c r="IN1417" s="110"/>
      <c r="IO1417" s="110"/>
      <c r="IP1417" s="110"/>
      <c r="IQ1417" s="110"/>
      <c r="IR1417" s="110"/>
    </row>
    <row r="1418" spans="18:252" ht="16.5" hidden="1" customHeight="1">
      <c r="R1418" s="264"/>
      <c r="S1418" s="110"/>
      <c r="T1418" s="110"/>
      <c r="U1418" s="110"/>
      <c r="V1418" s="110"/>
      <c r="W1418" s="266"/>
      <c r="X1418" s="110"/>
      <c r="Y1418" s="110"/>
      <c r="Z1418" s="110"/>
      <c r="AA1418" s="110"/>
      <c r="AB1418" s="110"/>
      <c r="AC1418" s="110"/>
      <c r="AD1418" s="110"/>
      <c r="AE1418" s="110"/>
      <c r="AF1418" s="110"/>
      <c r="AG1418" s="110"/>
      <c r="AH1418" s="110"/>
      <c r="AI1418" s="110"/>
      <c r="AJ1418" s="110"/>
      <c r="AK1418" s="110"/>
      <c r="AL1418" s="110"/>
      <c r="AM1418" s="110"/>
      <c r="AN1418" s="110"/>
      <c r="AO1418" s="110"/>
      <c r="AP1418" s="110"/>
      <c r="AQ1418" s="110"/>
      <c r="AR1418" s="110"/>
      <c r="AS1418" s="110"/>
      <c r="AT1418" s="110"/>
      <c r="AU1418" s="110"/>
      <c r="AV1418" s="110"/>
      <c r="AW1418" s="110"/>
      <c r="AX1418" s="110"/>
      <c r="AY1418" s="110"/>
      <c r="AZ1418" s="110"/>
      <c r="BA1418" s="110"/>
      <c r="BB1418" s="110"/>
      <c r="BC1418" s="110"/>
      <c r="BD1418" s="110"/>
      <c r="BE1418" s="110"/>
      <c r="BF1418" s="110"/>
      <c r="BG1418" s="110"/>
      <c r="BH1418" s="110"/>
      <c r="BI1418" s="110"/>
      <c r="BJ1418" s="110"/>
      <c r="BK1418" s="110"/>
      <c r="BL1418" s="110"/>
      <c r="BM1418" s="110"/>
      <c r="BN1418" s="110"/>
      <c r="BO1418" s="110"/>
      <c r="BP1418" s="110"/>
      <c r="BQ1418" s="110"/>
      <c r="BR1418" s="110"/>
      <c r="BS1418" s="110"/>
      <c r="BT1418" s="110"/>
      <c r="BU1418" s="110"/>
      <c r="BV1418" s="110"/>
      <c r="BW1418" s="110"/>
      <c r="BX1418" s="110"/>
      <c r="BY1418" s="110"/>
      <c r="BZ1418" s="110"/>
      <c r="CA1418" s="110"/>
      <c r="CB1418" s="110"/>
      <c r="CC1418" s="110"/>
      <c r="CD1418" s="110"/>
      <c r="CE1418" s="110"/>
      <c r="CF1418" s="110"/>
      <c r="CG1418" s="110"/>
      <c r="CH1418" s="110"/>
      <c r="CI1418" s="110"/>
      <c r="CJ1418" s="110"/>
      <c r="CK1418" s="110"/>
      <c r="CL1418" s="110"/>
      <c r="CM1418" s="110"/>
      <c r="CN1418" s="110"/>
      <c r="CO1418" s="110"/>
      <c r="CP1418" s="110"/>
      <c r="CQ1418" s="110"/>
      <c r="CR1418" s="110"/>
      <c r="CS1418" s="110"/>
      <c r="CT1418" s="110"/>
      <c r="CU1418" s="110"/>
      <c r="CV1418" s="110"/>
      <c r="CW1418" s="110"/>
      <c r="CX1418" s="110"/>
      <c r="CY1418" s="110"/>
      <c r="CZ1418" s="110"/>
      <c r="DA1418" s="110"/>
      <c r="DB1418" s="110"/>
      <c r="DC1418" s="110"/>
      <c r="DD1418" s="110"/>
      <c r="DE1418" s="110"/>
      <c r="DF1418" s="110"/>
      <c r="DG1418" s="110"/>
      <c r="DH1418" s="110"/>
      <c r="DI1418" s="110"/>
      <c r="DJ1418" s="110"/>
      <c r="DK1418" s="110"/>
      <c r="DL1418" s="110"/>
      <c r="DM1418" s="110"/>
      <c r="DN1418" s="110"/>
      <c r="DO1418" s="110"/>
      <c r="DP1418" s="110"/>
      <c r="DQ1418" s="110"/>
      <c r="DR1418" s="110"/>
      <c r="DS1418" s="110"/>
      <c r="DT1418" s="110"/>
      <c r="DU1418" s="110"/>
      <c r="DV1418" s="110"/>
      <c r="DW1418" s="110"/>
      <c r="DX1418" s="110"/>
      <c r="DY1418" s="110"/>
      <c r="DZ1418" s="110"/>
      <c r="EA1418" s="110"/>
      <c r="EB1418" s="110"/>
      <c r="EC1418" s="110"/>
      <c r="ED1418" s="110"/>
      <c r="EF1418" s="264"/>
      <c r="EG1418" s="110"/>
      <c r="EH1418" s="110"/>
      <c r="EI1418" s="110"/>
      <c r="EJ1418" s="110"/>
      <c r="EK1418" s="266"/>
      <c r="EL1418" s="110"/>
      <c r="EM1418" s="110"/>
      <c r="EN1418" s="110"/>
      <c r="EO1418" s="110"/>
      <c r="EP1418" s="110"/>
      <c r="EQ1418" s="110"/>
      <c r="ER1418" s="110"/>
      <c r="ES1418" s="110"/>
      <c r="ET1418" s="110"/>
      <c r="EU1418" s="110"/>
      <c r="EV1418" s="110"/>
      <c r="EW1418" s="110"/>
      <c r="EX1418" s="110"/>
      <c r="EY1418" s="110"/>
      <c r="EZ1418" s="110"/>
      <c r="FA1418" s="110"/>
      <c r="FB1418" s="110"/>
      <c r="FC1418" s="110"/>
      <c r="FD1418" s="110"/>
      <c r="FE1418" s="110"/>
      <c r="FF1418" s="110"/>
      <c r="FG1418" s="110"/>
      <c r="FH1418" s="110"/>
      <c r="FI1418" s="110"/>
      <c r="FJ1418" s="110"/>
      <c r="FK1418" s="110"/>
      <c r="FL1418" s="110"/>
      <c r="FM1418" s="110"/>
      <c r="FN1418" s="110"/>
      <c r="FO1418" s="110"/>
      <c r="FP1418" s="110"/>
      <c r="FQ1418" s="110"/>
      <c r="FR1418" s="110"/>
      <c r="FS1418" s="110"/>
      <c r="FT1418" s="110"/>
      <c r="FU1418" s="110"/>
      <c r="FV1418" s="110"/>
      <c r="FW1418" s="110"/>
      <c r="FX1418" s="110"/>
      <c r="FY1418" s="110"/>
      <c r="FZ1418" s="110"/>
      <c r="GA1418" s="110"/>
      <c r="GB1418" s="110"/>
      <c r="GC1418" s="110"/>
      <c r="GD1418" s="110"/>
      <c r="GE1418" s="110"/>
      <c r="GF1418" s="110"/>
      <c r="GG1418" s="110"/>
      <c r="GH1418" s="110"/>
      <c r="GI1418" s="110"/>
      <c r="GJ1418" s="110"/>
      <c r="GK1418" s="110"/>
      <c r="GL1418" s="110"/>
      <c r="GM1418" s="110"/>
      <c r="GN1418" s="110"/>
      <c r="GO1418" s="110"/>
      <c r="GP1418" s="110"/>
      <c r="GQ1418" s="110"/>
      <c r="GR1418" s="110"/>
      <c r="GS1418" s="110"/>
      <c r="GT1418" s="110"/>
      <c r="GU1418" s="110"/>
      <c r="GV1418" s="110"/>
      <c r="GW1418" s="110"/>
      <c r="GX1418" s="110"/>
      <c r="GY1418" s="110"/>
      <c r="GZ1418" s="110"/>
      <c r="HA1418" s="110"/>
      <c r="HB1418" s="110"/>
      <c r="HC1418" s="110"/>
      <c r="HD1418" s="110"/>
      <c r="HE1418" s="110"/>
      <c r="HF1418" s="110"/>
      <c r="HG1418" s="110"/>
      <c r="HH1418" s="110"/>
      <c r="HI1418" s="110"/>
      <c r="HJ1418" s="110"/>
      <c r="HK1418" s="110"/>
      <c r="HL1418" s="110"/>
      <c r="HM1418" s="110"/>
      <c r="HN1418" s="110"/>
      <c r="HO1418" s="110"/>
      <c r="HP1418" s="110"/>
      <c r="HQ1418" s="110"/>
      <c r="HR1418" s="110"/>
      <c r="HS1418" s="110"/>
      <c r="HT1418" s="110"/>
      <c r="HU1418" s="110"/>
      <c r="HV1418" s="110"/>
      <c r="HW1418" s="110"/>
      <c r="HX1418" s="110"/>
      <c r="HY1418" s="110"/>
      <c r="HZ1418" s="110"/>
      <c r="IA1418" s="110"/>
      <c r="IB1418" s="110"/>
      <c r="IC1418" s="110"/>
      <c r="ID1418" s="110"/>
      <c r="IE1418" s="110"/>
      <c r="IF1418" s="110"/>
      <c r="IG1418" s="110"/>
      <c r="IH1418" s="110"/>
      <c r="II1418" s="110"/>
      <c r="IJ1418" s="110"/>
      <c r="IK1418" s="110"/>
      <c r="IL1418" s="110"/>
      <c r="IM1418" s="110"/>
      <c r="IN1418" s="110"/>
      <c r="IO1418" s="110"/>
      <c r="IP1418" s="110"/>
      <c r="IQ1418" s="110"/>
      <c r="IR1418" s="110"/>
    </row>
    <row r="1419" spans="18:252" ht="16.5" hidden="1" customHeight="1">
      <c r="R1419" s="264"/>
      <c r="S1419" s="110"/>
      <c r="T1419" s="110"/>
      <c r="U1419" s="110"/>
      <c r="V1419" s="110"/>
      <c r="W1419" s="266"/>
      <c r="X1419" s="110"/>
      <c r="Y1419" s="110"/>
      <c r="Z1419" s="110"/>
      <c r="AA1419" s="110"/>
      <c r="AB1419" s="110"/>
      <c r="AC1419" s="110"/>
      <c r="AD1419" s="110"/>
      <c r="AE1419" s="110"/>
      <c r="AF1419" s="110"/>
      <c r="AG1419" s="110"/>
      <c r="AH1419" s="110"/>
      <c r="AI1419" s="110"/>
      <c r="AJ1419" s="110"/>
      <c r="AK1419" s="110"/>
      <c r="AL1419" s="110"/>
      <c r="AM1419" s="110"/>
      <c r="AN1419" s="110"/>
      <c r="AO1419" s="110"/>
      <c r="AP1419" s="110"/>
      <c r="AQ1419" s="110"/>
      <c r="AR1419" s="110"/>
      <c r="AS1419" s="110"/>
      <c r="AT1419" s="110"/>
      <c r="AU1419" s="110"/>
      <c r="AV1419" s="110"/>
      <c r="AW1419" s="110"/>
      <c r="AX1419" s="110"/>
      <c r="AY1419" s="110"/>
      <c r="AZ1419" s="110"/>
      <c r="BA1419" s="110"/>
      <c r="BB1419" s="110"/>
      <c r="BC1419" s="110"/>
      <c r="BD1419" s="110"/>
      <c r="BE1419" s="110"/>
      <c r="BF1419" s="110"/>
      <c r="BG1419" s="110"/>
      <c r="BH1419" s="110"/>
      <c r="BI1419" s="110"/>
      <c r="BJ1419" s="110"/>
      <c r="BK1419" s="110"/>
      <c r="BL1419" s="110"/>
      <c r="BM1419" s="110"/>
      <c r="BN1419" s="110"/>
      <c r="BO1419" s="110"/>
      <c r="BP1419" s="110"/>
      <c r="BQ1419" s="110"/>
      <c r="BR1419" s="110"/>
      <c r="BS1419" s="110"/>
      <c r="BT1419" s="110"/>
      <c r="BU1419" s="110"/>
      <c r="BV1419" s="110"/>
      <c r="BW1419" s="110"/>
      <c r="BX1419" s="110"/>
      <c r="BY1419" s="110"/>
      <c r="BZ1419" s="110"/>
      <c r="CA1419" s="110"/>
      <c r="CB1419" s="110"/>
      <c r="CC1419" s="110"/>
      <c r="CD1419" s="110"/>
      <c r="CE1419" s="110"/>
      <c r="CF1419" s="110"/>
      <c r="CG1419" s="110"/>
      <c r="CH1419" s="110"/>
      <c r="CI1419" s="110"/>
      <c r="CJ1419" s="110"/>
      <c r="CK1419" s="110"/>
      <c r="CL1419" s="110"/>
      <c r="CM1419" s="110"/>
      <c r="CN1419" s="110"/>
      <c r="CO1419" s="110"/>
      <c r="CP1419" s="110"/>
      <c r="CQ1419" s="110"/>
      <c r="CR1419" s="110"/>
      <c r="CS1419" s="110"/>
      <c r="CT1419" s="110"/>
      <c r="CU1419" s="110"/>
      <c r="CV1419" s="110"/>
      <c r="CW1419" s="110"/>
      <c r="CX1419" s="110"/>
      <c r="CY1419" s="110"/>
      <c r="CZ1419" s="110"/>
      <c r="DA1419" s="110"/>
      <c r="DB1419" s="110"/>
      <c r="DC1419" s="110"/>
      <c r="DD1419" s="110"/>
      <c r="DE1419" s="110"/>
      <c r="DF1419" s="110"/>
      <c r="DG1419" s="110"/>
      <c r="DH1419" s="110"/>
      <c r="DI1419" s="110"/>
      <c r="DJ1419" s="110"/>
      <c r="DK1419" s="110"/>
      <c r="DL1419" s="110"/>
      <c r="DM1419" s="110"/>
      <c r="DN1419" s="110"/>
      <c r="DO1419" s="110"/>
      <c r="DP1419" s="110"/>
      <c r="DQ1419" s="110"/>
      <c r="DR1419" s="110"/>
      <c r="DS1419" s="110"/>
      <c r="DT1419" s="110"/>
      <c r="DU1419" s="110"/>
      <c r="DV1419" s="110"/>
      <c r="DW1419" s="110"/>
      <c r="DX1419" s="110"/>
      <c r="DY1419" s="110"/>
      <c r="DZ1419" s="110"/>
      <c r="EA1419" s="110"/>
      <c r="EB1419" s="110"/>
      <c r="EC1419" s="110"/>
      <c r="ED1419" s="110"/>
      <c r="EF1419" s="264"/>
      <c r="EG1419" s="110"/>
      <c r="EH1419" s="110"/>
      <c r="EI1419" s="110"/>
      <c r="EJ1419" s="110"/>
      <c r="EK1419" s="266"/>
      <c r="EL1419" s="110"/>
      <c r="EM1419" s="110"/>
      <c r="EN1419" s="110"/>
      <c r="EO1419" s="110"/>
      <c r="EP1419" s="110"/>
      <c r="EQ1419" s="110"/>
      <c r="ER1419" s="110"/>
      <c r="ES1419" s="110"/>
      <c r="ET1419" s="110"/>
      <c r="EU1419" s="110"/>
      <c r="EV1419" s="110"/>
      <c r="EW1419" s="110"/>
      <c r="EX1419" s="110"/>
      <c r="EY1419" s="110"/>
      <c r="EZ1419" s="110"/>
      <c r="FA1419" s="110"/>
      <c r="FB1419" s="110"/>
      <c r="FC1419" s="110"/>
      <c r="FD1419" s="110"/>
      <c r="FE1419" s="110"/>
      <c r="FF1419" s="110"/>
      <c r="FG1419" s="110"/>
      <c r="FH1419" s="110"/>
      <c r="FI1419" s="110"/>
      <c r="FJ1419" s="110"/>
      <c r="FK1419" s="110"/>
      <c r="FL1419" s="110"/>
      <c r="FM1419" s="110"/>
      <c r="FN1419" s="110"/>
      <c r="FO1419" s="110"/>
      <c r="FP1419" s="110"/>
      <c r="FQ1419" s="110"/>
      <c r="FR1419" s="110"/>
      <c r="FS1419" s="110"/>
      <c r="FT1419" s="110"/>
      <c r="FU1419" s="110"/>
      <c r="FV1419" s="110"/>
      <c r="FW1419" s="110"/>
      <c r="FX1419" s="110"/>
      <c r="FY1419" s="110"/>
      <c r="FZ1419" s="110"/>
      <c r="GA1419" s="110"/>
      <c r="GB1419" s="110"/>
      <c r="GC1419" s="110"/>
      <c r="GD1419" s="110"/>
      <c r="GE1419" s="110"/>
      <c r="GF1419" s="110"/>
      <c r="GG1419" s="110"/>
      <c r="GH1419" s="110"/>
      <c r="GI1419" s="110"/>
      <c r="GJ1419" s="110"/>
      <c r="GK1419" s="110"/>
      <c r="GL1419" s="110"/>
      <c r="GM1419" s="110"/>
      <c r="GN1419" s="110"/>
      <c r="GO1419" s="110"/>
      <c r="GP1419" s="110"/>
      <c r="GQ1419" s="110"/>
      <c r="GR1419" s="110"/>
      <c r="GS1419" s="110"/>
      <c r="GT1419" s="110"/>
      <c r="GU1419" s="110"/>
      <c r="GV1419" s="110"/>
      <c r="GW1419" s="110"/>
      <c r="GX1419" s="110"/>
      <c r="GY1419" s="110"/>
      <c r="GZ1419" s="110"/>
      <c r="HA1419" s="110"/>
      <c r="HB1419" s="110"/>
      <c r="HC1419" s="110"/>
      <c r="HD1419" s="110"/>
      <c r="HE1419" s="110"/>
      <c r="HF1419" s="110"/>
      <c r="HG1419" s="110"/>
      <c r="HH1419" s="110"/>
      <c r="HI1419" s="110"/>
      <c r="HJ1419" s="110"/>
      <c r="HK1419" s="110"/>
      <c r="HL1419" s="110"/>
      <c r="HM1419" s="110"/>
      <c r="HN1419" s="110"/>
      <c r="HO1419" s="110"/>
      <c r="HP1419" s="110"/>
      <c r="HQ1419" s="110"/>
      <c r="HR1419" s="110"/>
      <c r="HS1419" s="110"/>
      <c r="HT1419" s="110"/>
      <c r="HU1419" s="110"/>
      <c r="HV1419" s="110"/>
      <c r="HW1419" s="110"/>
      <c r="HX1419" s="110"/>
      <c r="HY1419" s="110"/>
      <c r="HZ1419" s="110"/>
      <c r="IA1419" s="110"/>
      <c r="IB1419" s="110"/>
      <c r="IC1419" s="110"/>
      <c r="ID1419" s="110"/>
      <c r="IE1419" s="110"/>
      <c r="IF1419" s="110"/>
      <c r="IG1419" s="110"/>
      <c r="IH1419" s="110"/>
      <c r="II1419" s="110"/>
      <c r="IJ1419" s="110"/>
      <c r="IK1419" s="110"/>
      <c r="IL1419" s="110"/>
      <c r="IM1419" s="110"/>
      <c r="IN1419" s="110"/>
      <c r="IO1419" s="110"/>
      <c r="IP1419" s="110"/>
      <c r="IQ1419" s="110"/>
      <c r="IR1419" s="110"/>
    </row>
    <row r="1420" spans="18:252" ht="16.5" hidden="1" customHeight="1">
      <c r="R1420" s="264"/>
      <c r="S1420" s="110"/>
      <c r="T1420" s="110"/>
      <c r="U1420" s="110"/>
      <c r="V1420" s="110"/>
      <c r="W1420" s="266"/>
      <c r="X1420" s="110"/>
      <c r="Y1420" s="110"/>
      <c r="Z1420" s="110"/>
      <c r="AA1420" s="110"/>
      <c r="AB1420" s="110"/>
      <c r="AC1420" s="110"/>
      <c r="AD1420" s="110"/>
      <c r="AE1420" s="110"/>
      <c r="AF1420" s="110"/>
      <c r="AG1420" s="110"/>
      <c r="AH1420" s="110"/>
      <c r="AI1420" s="110"/>
      <c r="AJ1420" s="110"/>
      <c r="AK1420" s="110"/>
      <c r="AL1420" s="110"/>
      <c r="AM1420" s="110"/>
      <c r="AN1420" s="110"/>
      <c r="AO1420" s="110"/>
      <c r="AP1420" s="110"/>
      <c r="AQ1420" s="110"/>
      <c r="AR1420" s="110"/>
      <c r="AS1420" s="110"/>
      <c r="AT1420" s="110"/>
      <c r="AU1420" s="110"/>
      <c r="AV1420" s="110"/>
      <c r="AW1420" s="110"/>
      <c r="AX1420" s="110"/>
      <c r="AY1420" s="110"/>
      <c r="AZ1420" s="110"/>
      <c r="BA1420" s="110"/>
      <c r="BB1420" s="110"/>
      <c r="BC1420" s="110"/>
      <c r="BD1420" s="110"/>
      <c r="BE1420" s="110"/>
      <c r="BF1420" s="110"/>
      <c r="BG1420" s="110"/>
      <c r="BH1420" s="110"/>
      <c r="BI1420" s="110"/>
      <c r="BJ1420" s="110"/>
      <c r="BK1420" s="110"/>
      <c r="BL1420" s="110"/>
      <c r="BM1420" s="110"/>
      <c r="BN1420" s="110"/>
      <c r="BO1420" s="110"/>
      <c r="BP1420" s="110"/>
      <c r="BQ1420" s="110"/>
      <c r="BR1420" s="110"/>
      <c r="BS1420" s="110"/>
      <c r="BT1420" s="110"/>
      <c r="BU1420" s="110"/>
      <c r="BV1420" s="110"/>
      <c r="BW1420" s="110"/>
      <c r="BX1420" s="110"/>
      <c r="BY1420" s="110"/>
      <c r="BZ1420" s="110"/>
      <c r="CA1420" s="110"/>
      <c r="CB1420" s="110"/>
      <c r="CC1420" s="110"/>
      <c r="CD1420" s="110"/>
      <c r="CE1420" s="110"/>
      <c r="CF1420" s="110"/>
      <c r="CG1420" s="110"/>
      <c r="CH1420" s="110"/>
      <c r="CI1420" s="110"/>
      <c r="CJ1420" s="110"/>
      <c r="CK1420" s="110"/>
      <c r="CL1420" s="110"/>
      <c r="CM1420" s="110"/>
      <c r="CN1420" s="110"/>
      <c r="CO1420" s="110"/>
      <c r="CP1420" s="110"/>
      <c r="CQ1420" s="110"/>
      <c r="CR1420" s="110"/>
      <c r="CS1420" s="110"/>
      <c r="CT1420" s="110"/>
      <c r="CU1420" s="110"/>
      <c r="CV1420" s="110"/>
      <c r="CW1420" s="110"/>
      <c r="CX1420" s="110"/>
      <c r="CY1420" s="110"/>
      <c r="CZ1420" s="110"/>
      <c r="DA1420" s="110"/>
      <c r="DB1420" s="110"/>
      <c r="DC1420" s="110"/>
      <c r="DD1420" s="110"/>
      <c r="DE1420" s="110"/>
      <c r="DF1420" s="110"/>
      <c r="DG1420" s="110"/>
      <c r="DH1420" s="110"/>
      <c r="DI1420" s="110"/>
      <c r="DJ1420" s="110"/>
      <c r="DK1420" s="110"/>
      <c r="DL1420" s="110"/>
      <c r="DM1420" s="110"/>
      <c r="DN1420" s="110"/>
      <c r="DO1420" s="110"/>
      <c r="DP1420" s="110"/>
      <c r="DQ1420" s="110"/>
      <c r="DR1420" s="110"/>
      <c r="DS1420" s="110"/>
      <c r="DT1420" s="110"/>
      <c r="DU1420" s="110"/>
      <c r="DV1420" s="110"/>
      <c r="DW1420" s="110"/>
      <c r="DX1420" s="110"/>
      <c r="DY1420" s="110"/>
      <c r="DZ1420" s="110"/>
      <c r="EA1420" s="110"/>
      <c r="EB1420" s="110"/>
      <c r="EC1420" s="110"/>
      <c r="ED1420" s="110"/>
      <c r="EF1420" s="264"/>
      <c r="EG1420" s="110"/>
      <c r="EH1420" s="110"/>
      <c r="EI1420" s="110"/>
      <c r="EJ1420" s="110"/>
      <c r="EK1420" s="266"/>
      <c r="EL1420" s="110"/>
      <c r="EM1420" s="110"/>
      <c r="EN1420" s="110"/>
      <c r="EO1420" s="110"/>
      <c r="EP1420" s="110"/>
      <c r="EQ1420" s="110"/>
      <c r="ER1420" s="110"/>
      <c r="ES1420" s="110"/>
      <c r="ET1420" s="110"/>
      <c r="EU1420" s="110"/>
      <c r="EV1420" s="110"/>
      <c r="EW1420" s="110"/>
      <c r="EX1420" s="110"/>
      <c r="EY1420" s="110"/>
      <c r="EZ1420" s="110"/>
      <c r="FA1420" s="110"/>
      <c r="FB1420" s="110"/>
      <c r="FC1420" s="110"/>
      <c r="FD1420" s="110"/>
      <c r="FE1420" s="110"/>
      <c r="FF1420" s="110"/>
      <c r="FG1420" s="110"/>
      <c r="FH1420" s="110"/>
      <c r="FI1420" s="110"/>
      <c r="FJ1420" s="110"/>
      <c r="FK1420" s="110"/>
      <c r="FL1420" s="110"/>
      <c r="FM1420" s="110"/>
      <c r="FN1420" s="110"/>
      <c r="FO1420" s="110"/>
      <c r="FP1420" s="110"/>
      <c r="FQ1420" s="110"/>
      <c r="FR1420" s="110"/>
      <c r="FS1420" s="110"/>
      <c r="FT1420" s="110"/>
      <c r="FU1420" s="110"/>
      <c r="FV1420" s="110"/>
      <c r="FW1420" s="110"/>
      <c r="FX1420" s="110"/>
      <c r="FY1420" s="110"/>
      <c r="FZ1420" s="110"/>
      <c r="GA1420" s="110"/>
      <c r="GB1420" s="110"/>
      <c r="GC1420" s="110"/>
      <c r="GD1420" s="110"/>
      <c r="GE1420" s="110"/>
      <c r="GF1420" s="110"/>
      <c r="GG1420" s="110"/>
      <c r="GH1420" s="110"/>
      <c r="GI1420" s="110"/>
      <c r="GJ1420" s="110"/>
      <c r="GK1420" s="110"/>
      <c r="GL1420" s="110"/>
      <c r="GM1420" s="110"/>
      <c r="GN1420" s="110"/>
      <c r="GO1420" s="110"/>
      <c r="GP1420" s="110"/>
      <c r="GQ1420" s="110"/>
      <c r="GR1420" s="110"/>
      <c r="GS1420" s="110"/>
      <c r="GT1420" s="110"/>
      <c r="GU1420" s="110"/>
      <c r="GV1420" s="110"/>
      <c r="GW1420" s="110"/>
      <c r="GX1420" s="110"/>
      <c r="GY1420" s="110"/>
      <c r="GZ1420" s="110"/>
      <c r="HA1420" s="110"/>
      <c r="HB1420" s="110"/>
      <c r="HC1420" s="110"/>
      <c r="HD1420" s="110"/>
      <c r="HE1420" s="110"/>
      <c r="HF1420" s="110"/>
      <c r="HG1420" s="110"/>
      <c r="HH1420" s="110"/>
      <c r="HI1420" s="110"/>
      <c r="HJ1420" s="110"/>
      <c r="HK1420" s="110"/>
      <c r="HL1420" s="110"/>
      <c r="HM1420" s="110"/>
      <c r="HN1420" s="110"/>
      <c r="HO1420" s="110"/>
      <c r="HP1420" s="110"/>
      <c r="HQ1420" s="110"/>
      <c r="HR1420" s="110"/>
      <c r="HS1420" s="110"/>
      <c r="HT1420" s="110"/>
      <c r="HU1420" s="110"/>
      <c r="HV1420" s="110"/>
      <c r="HW1420" s="110"/>
      <c r="HX1420" s="110"/>
      <c r="HY1420" s="110"/>
      <c r="HZ1420" s="110"/>
      <c r="IA1420" s="110"/>
      <c r="IB1420" s="110"/>
      <c r="IC1420" s="110"/>
      <c r="ID1420" s="110"/>
      <c r="IE1420" s="110"/>
      <c r="IF1420" s="110"/>
      <c r="IG1420" s="110"/>
      <c r="IH1420" s="110"/>
      <c r="II1420" s="110"/>
      <c r="IJ1420" s="110"/>
      <c r="IK1420" s="110"/>
      <c r="IL1420" s="110"/>
      <c r="IM1420" s="110"/>
      <c r="IN1420" s="110"/>
      <c r="IO1420" s="110"/>
      <c r="IP1420" s="110"/>
      <c r="IQ1420" s="110"/>
      <c r="IR1420" s="110"/>
    </row>
    <row r="1421" spans="18:252" ht="16.5" hidden="1" customHeight="1">
      <c r="R1421" s="264"/>
      <c r="S1421" s="110"/>
      <c r="T1421" s="110"/>
      <c r="U1421" s="110"/>
      <c r="V1421" s="110"/>
      <c r="W1421" s="266"/>
      <c r="X1421" s="110"/>
      <c r="Y1421" s="110"/>
      <c r="Z1421" s="110"/>
      <c r="AA1421" s="110"/>
      <c r="AB1421" s="110"/>
      <c r="AC1421" s="110"/>
      <c r="AD1421" s="110"/>
      <c r="AE1421" s="110"/>
      <c r="AF1421" s="110"/>
      <c r="AG1421" s="110"/>
      <c r="AH1421" s="110"/>
      <c r="AI1421" s="110"/>
      <c r="AJ1421" s="110"/>
      <c r="AK1421" s="110"/>
      <c r="AL1421" s="110"/>
      <c r="AM1421" s="110"/>
      <c r="AN1421" s="110"/>
      <c r="AO1421" s="110"/>
      <c r="AP1421" s="110"/>
      <c r="AQ1421" s="110"/>
      <c r="AR1421" s="110"/>
      <c r="AS1421" s="110"/>
      <c r="AT1421" s="110"/>
      <c r="AU1421" s="110"/>
      <c r="AV1421" s="110"/>
      <c r="AW1421" s="110"/>
      <c r="AX1421" s="110"/>
      <c r="AY1421" s="110"/>
      <c r="AZ1421" s="110"/>
      <c r="BA1421" s="110"/>
      <c r="BB1421" s="110"/>
      <c r="BC1421" s="110"/>
      <c r="BD1421" s="110"/>
      <c r="BE1421" s="110"/>
      <c r="BF1421" s="110"/>
      <c r="BG1421" s="110"/>
      <c r="BH1421" s="110"/>
      <c r="BI1421" s="110"/>
      <c r="BJ1421" s="110"/>
      <c r="BK1421" s="110"/>
      <c r="BL1421" s="110"/>
      <c r="BM1421" s="110"/>
      <c r="BN1421" s="110"/>
      <c r="BO1421" s="110"/>
      <c r="BP1421" s="110"/>
      <c r="BQ1421" s="110"/>
      <c r="BR1421" s="110"/>
      <c r="BS1421" s="110"/>
      <c r="BT1421" s="110"/>
      <c r="BU1421" s="110"/>
      <c r="BV1421" s="110"/>
      <c r="BW1421" s="110"/>
      <c r="BX1421" s="110"/>
      <c r="BY1421" s="110"/>
      <c r="BZ1421" s="110"/>
      <c r="CA1421" s="110"/>
      <c r="CB1421" s="110"/>
      <c r="CC1421" s="110"/>
      <c r="CD1421" s="110"/>
      <c r="CE1421" s="110"/>
      <c r="CF1421" s="110"/>
      <c r="CG1421" s="110"/>
      <c r="CH1421" s="110"/>
      <c r="CI1421" s="110"/>
      <c r="CJ1421" s="110"/>
      <c r="CK1421" s="110"/>
      <c r="CL1421" s="110"/>
      <c r="CM1421" s="110"/>
      <c r="CN1421" s="110"/>
      <c r="CO1421" s="110"/>
      <c r="CP1421" s="110"/>
      <c r="CQ1421" s="110"/>
      <c r="CR1421" s="110"/>
      <c r="CS1421" s="110"/>
      <c r="CT1421" s="110"/>
      <c r="CU1421" s="110"/>
      <c r="CV1421" s="110"/>
      <c r="CW1421" s="110"/>
      <c r="CX1421" s="110"/>
      <c r="CY1421" s="110"/>
      <c r="CZ1421" s="110"/>
      <c r="DA1421" s="110"/>
      <c r="DB1421" s="110"/>
      <c r="DC1421" s="110"/>
      <c r="DD1421" s="110"/>
      <c r="DE1421" s="110"/>
      <c r="DF1421" s="110"/>
      <c r="DG1421" s="110"/>
      <c r="DH1421" s="110"/>
      <c r="DI1421" s="110"/>
      <c r="DJ1421" s="110"/>
      <c r="DK1421" s="110"/>
      <c r="DL1421" s="110"/>
      <c r="DM1421" s="110"/>
      <c r="DN1421" s="110"/>
      <c r="DO1421" s="110"/>
      <c r="DP1421" s="110"/>
      <c r="DQ1421" s="110"/>
      <c r="DR1421" s="110"/>
      <c r="DS1421" s="110"/>
      <c r="DT1421" s="110"/>
      <c r="DU1421" s="110"/>
      <c r="DV1421" s="110"/>
      <c r="DW1421" s="110"/>
      <c r="DX1421" s="110"/>
      <c r="DY1421" s="110"/>
      <c r="DZ1421" s="110"/>
      <c r="EA1421" s="110"/>
      <c r="EB1421" s="110"/>
      <c r="EC1421" s="110"/>
      <c r="ED1421" s="110"/>
      <c r="EF1421" s="264"/>
      <c r="EG1421" s="110"/>
      <c r="EH1421" s="110"/>
      <c r="EI1421" s="110"/>
      <c r="EJ1421" s="110"/>
      <c r="EK1421" s="266"/>
      <c r="EL1421" s="110"/>
      <c r="EM1421" s="110"/>
      <c r="EN1421" s="110"/>
      <c r="EO1421" s="110"/>
      <c r="EP1421" s="110"/>
      <c r="EQ1421" s="110"/>
      <c r="ER1421" s="110"/>
      <c r="ES1421" s="110"/>
      <c r="ET1421" s="110"/>
      <c r="EU1421" s="110"/>
      <c r="EV1421" s="110"/>
      <c r="EW1421" s="110"/>
      <c r="EX1421" s="110"/>
      <c r="EY1421" s="110"/>
      <c r="EZ1421" s="110"/>
      <c r="FA1421" s="110"/>
      <c r="FB1421" s="110"/>
      <c r="FC1421" s="110"/>
      <c r="FD1421" s="110"/>
      <c r="FE1421" s="110"/>
      <c r="FF1421" s="110"/>
      <c r="FG1421" s="110"/>
      <c r="FH1421" s="110"/>
      <c r="FI1421" s="110"/>
      <c r="FJ1421" s="110"/>
      <c r="FK1421" s="110"/>
      <c r="FL1421" s="110"/>
      <c r="FM1421" s="110"/>
      <c r="FN1421" s="110"/>
      <c r="FO1421" s="110"/>
      <c r="FP1421" s="110"/>
      <c r="FQ1421" s="110"/>
      <c r="FR1421" s="110"/>
      <c r="FS1421" s="110"/>
      <c r="FT1421" s="110"/>
      <c r="FU1421" s="110"/>
      <c r="FV1421" s="110"/>
      <c r="FW1421" s="110"/>
      <c r="FX1421" s="110"/>
      <c r="FY1421" s="110"/>
      <c r="FZ1421" s="110"/>
      <c r="GA1421" s="110"/>
      <c r="GB1421" s="110"/>
      <c r="GC1421" s="110"/>
      <c r="GD1421" s="110"/>
      <c r="GE1421" s="110"/>
      <c r="GF1421" s="110"/>
      <c r="GG1421" s="110"/>
      <c r="GH1421" s="110"/>
      <c r="GI1421" s="110"/>
      <c r="GJ1421" s="110"/>
      <c r="GK1421" s="110"/>
      <c r="GL1421" s="110"/>
      <c r="GM1421" s="110"/>
      <c r="GN1421" s="110"/>
      <c r="GO1421" s="110"/>
      <c r="GP1421" s="110"/>
      <c r="GQ1421" s="110"/>
      <c r="GR1421" s="110"/>
      <c r="GS1421" s="110"/>
      <c r="GT1421" s="110"/>
      <c r="GU1421" s="110"/>
      <c r="GV1421" s="110"/>
      <c r="GW1421" s="110"/>
      <c r="GX1421" s="110"/>
      <c r="GY1421" s="110"/>
      <c r="GZ1421" s="110"/>
      <c r="HA1421" s="110"/>
      <c r="HB1421" s="110"/>
      <c r="HC1421" s="110"/>
      <c r="HD1421" s="110"/>
      <c r="HE1421" s="110"/>
      <c r="HF1421" s="110"/>
      <c r="HG1421" s="110"/>
      <c r="HH1421" s="110"/>
      <c r="HI1421" s="110"/>
      <c r="HJ1421" s="110"/>
      <c r="HK1421" s="110"/>
      <c r="HL1421" s="110"/>
      <c r="HM1421" s="110"/>
      <c r="HN1421" s="110"/>
      <c r="HO1421" s="110"/>
      <c r="HP1421" s="110"/>
      <c r="HQ1421" s="110"/>
      <c r="HR1421" s="110"/>
      <c r="HS1421" s="110"/>
      <c r="HT1421" s="110"/>
      <c r="HU1421" s="110"/>
      <c r="HV1421" s="110"/>
      <c r="HW1421" s="110"/>
      <c r="HX1421" s="110"/>
      <c r="HY1421" s="110"/>
      <c r="HZ1421" s="110"/>
      <c r="IA1421" s="110"/>
      <c r="IB1421" s="110"/>
      <c r="IC1421" s="110"/>
      <c r="ID1421" s="110"/>
      <c r="IE1421" s="110"/>
      <c r="IF1421" s="110"/>
      <c r="IG1421" s="110"/>
      <c r="IH1421" s="110"/>
      <c r="II1421" s="110"/>
      <c r="IJ1421" s="110"/>
      <c r="IK1421" s="110"/>
      <c r="IL1421" s="110"/>
      <c r="IM1421" s="110"/>
      <c r="IN1421" s="110"/>
      <c r="IO1421" s="110"/>
      <c r="IP1421" s="110"/>
      <c r="IQ1421" s="110"/>
      <c r="IR1421" s="110"/>
    </row>
    <row r="1422" spans="18:252" ht="16.5" hidden="1" customHeight="1">
      <c r="R1422" s="264"/>
      <c r="S1422" s="110"/>
      <c r="T1422" s="110"/>
      <c r="U1422" s="110"/>
      <c r="V1422" s="110"/>
      <c r="W1422" s="266"/>
      <c r="X1422" s="110"/>
      <c r="Y1422" s="110"/>
      <c r="Z1422" s="110"/>
      <c r="AA1422" s="110"/>
      <c r="AB1422" s="110"/>
      <c r="AC1422" s="110"/>
      <c r="AD1422" s="110"/>
      <c r="AE1422" s="110"/>
      <c r="AF1422" s="110"/>
      <c r="AG1422" s="110"/>
      <c r="AH1422" s="110"/>
      <c r="AI1422" s="110"/>
      <c r="AJ1422" s="110"/>
      <c r="AK1422" s="110"/>
      <c r="AL1422" s="110"/>
      <c r="AM1422" s="110"/>
      <c r="AN1422" s="110"/>
      <c r="AO1422" s="110"/>
      <c r="AP1422" s="110"/>
      <c r="AQ1422" s="110"/>
      <c r="AR1422" s="110"/>
      <c r="AS1422" s="110"/>
      <c r="AT1422" s="110"/>
      <c r="AU1422" s="110"/>
      <c r="AV1422" s="110"/>
      <c r="AW1422" s="110"/>
      <c r="AX1422" s="110"/>
      <c r="AY1422" s="110"/>
      <c r="AZ1422" s="110"/>
      <c r="BA1422" s="110"/>
      <c r="BB1422" s="110"/>
      <c r="BC1422" s="110"/>
      <c r="BD1422" s="110"/>
      <c r="BE1422" s="110"/>
      <c r="BF1422" s="110"/>
      <c r="BG1422" s="110"/>
      <c r="BH1422" s="110"/>
      <c r="BI1422" s="110"/>
      <c r="BJ1422" s="110"/>
      <c r="BK1422" s="110"/>
      <c r="BL1422" s="110"/>
      <c r="BM1422" s="110"/>
      <c r="BN1422" s="110"/>
      <c r="BO1422" s="110"/>
      <c r="BP1422" s="110"/>
      <c r="BQ1422" s="110"/>
      <c r="BR1422" s="110"/>
      <c r="BS1422" s="110"/>
      <c r="BT1422" s="110"/>
      <c r="BU1422" s="110"/>
      <c r="BV1422" s="110"/>
      <c r="BW1422" s="110"/>
      <c r="BX1422" s="110"/>
      <c r="BY1422" s="110"/>
      <c r="BZ1422" s="110"/>
      <c r="CA1422" s="110"/>
      <c r="CB1422" s="110"/>
      <c r="CC1422" s="110"/>
      <c r="CD1422" s="110"/>
      <c r="CE1422" s="110"/>
      <c r="CF1422" s="110"/>
      <c r="CG1422" s="110"/>
      <c r="CH1422" s="110"/>
      <c r="CI1422" s="110"/>
      <c r="CJ1422" s="110"/>
      <c r="CK1422" s="110"/>
      <c r="CL1422" s="110"/>
      <c r="CM1422" s="110"/>
      <c r="CN1422" s="110"/>
      <c r="CO1422" s="110"/>
      <c r="CP1422" s="110"/>
      <c r="CQ1422" s="110"/>
      <c r="CR1422" s="110"/>
      <c r="CS1422" s="110"/>
      <c r="CT1422" s="110"/>
      <c r="CU1422" s="110"/>
      <c r="CV1422" s="110"/>
      <c r="CW1422" s="110"/>
      <c r="CX1422" s="110"/>
      <c r="CY1422" s="110"/>
      <c r="CZ1422" s="110"/>
      <c r="DA1422" s="110"/>
      <c r="DB1422" s="110"/>
      <c r="DC1422" s="110"/>
      <c r="DD1422" s="110"/>
      <c r="DE1422" s="110"/>
      <c r="DF1422" s="110"/>
      <c r="DG1422" s="110"/>
      <c r="DH1422" s="110"/>
      <c r="DI1422" s="110"/>
      <c r="DJ1422" s="110"/>
      <c r="DK1422" s="110"/>
      <c r="DL1422" s="110"/>
      <c r="DM1422" s="110"/>
      <c r="DN1422" s="110"/>
      <c r="DO1422" s="110"/>
      <c r="DP1422" s="110"/>
      <c r="DQ1422" s="110"/>
      <c r="DR1422" s="110"/>
      <c r="DS1422" s="110"/>
      <c r="DT1422" s="110"/>
      <c r="DU1422" s="110"/>
      <c r="DV1422" s="110"/>
      <c r="DW1422" s="110"/>
      <c r="DX1422" s="110"/>
      <c r="DY1422" s="110"/>
      <c r="DZ1422" s="110"/>
      <c r="EA1422" s="110"/>
      <c r="EB1422" s="110"/>
      <c r="EC1422" s="110"/>
      <c r="ED1422" s="110"/>
      <c r="EF1422" s="264"/>
      <c r="EG1422" s="110"/>
      <c r="EH1422" s="110"/>
      <c r="EI1422" s="110"/>
      <c r="EJ1422" s="110"/>
      <c r="EK1422" s="266"/>
      <c r="EL1422" s="110"/>
      <c r="EM1422" s="110"/>
      <c r="EN1422" s="110"/>
      <c r="EO1422" s="110"/>
      <c r="EP1422" s="110"/>
      <c r="EQ1422" s="110"/>
      <c r="ER1422" s="110"/>
      <c r="ES1422" s="110"/>
      <c r="ET1422" s="110"/>
      <c r="EU1422" s="110"/>
      <c r="EV1422" s="110"/>
      <c r="EW1422" s="110"/>
      <c r="EX1422" s="110"/>
      <c r="EY1422" s="110"/>
      <c r="EZ1422" s="110"/>
      <c r="FA1422" s="110"/>
      <c r="FB1422" s="110"/>
      <c r="FC1422" s="110"/>
      <c r="FD1422" s="110"/>
      <c r="FE1422" s="110"/>
      <c r="FF1422" s="110"/>
      <c r="FG1422" s="110"/>
      <c r="FH1422" s="110"/>
      <c r="FI1422" s="110"/>
      <c r="FJ1422" s="110"/>
      <c r="FK1422" s="110"/>
      <c r="FL1422" s="110"/>
      <c r="FM1422" s="110"/>
      <c r="FN1422" s="110"/>
      <c r="FO1422" s="110"/>
      <c r="FP1422" s="110"/>
      <c r="FQ1422" s="110"/>
      <c r="FR1422" s="110"/>
      <c r="FS1422" s="110"/>
      <c r="FT1422" s="110"/>
      <c r="FU1422" s="110"/>
      <c r="FV1422" s="110"/>
      <c r="FW1422" s="110"/>
      <c r="FX1422" s="110"/>
      <c r="FY1422" s="110"/>
      <c r="FZ1422" s="110"/>
      <c r="GA1422" s="110"/>
      <c r="GB1422" s="110"/>
      <c r="GC1422" s="110"/>
      <c r="GD1422" s="110"/>
      <c r="GE1422" s="110"/>
      <c r="GF1422" s="110"/>
      <c r="GG1422" s="110"/>
      <c r="GH1422" s="110"/>
      <c r="GI1422" s="110"/>
      <c r="GJ1422" s="110"/>
      <c r="GK1422" s="110"/>
      <c r="GL1422" s="110"/>
      <c r="GM1422" s="110"/>
      <c r="GN1422" s="110"/>
      <c r="GO1422" s="110"/>
      <c r="GP1422" s="110"/>
      <c r="GQ1422" s="110"/>
      <c r="GR1422" s="110"/>
      <c r="GS1422" s="110"/>
      <c r="GT1422" s="110"/>
      <c r="GU1422" s="110"/>
      <c r="GV1422" s="110"/>
      <c r="GW1422" s="110"/>
      <c r="GX1422" s="110"/>
      <c r="GY1422" s="110"/>
      <c r="GZ1422" s="110"/>
      <c r="HA1422" s="110"/>
      <c r="HB1422" s="110"/>
      <c r="HC1422" s="110"/>
      <c r="HD1422" s="110"/>
      <c r="HE1422" s="110"/>
      <c r="HF1422" s="110"/>
      <c r="HG1422" s="110"/>
      <c r="HH1422" s="110"/>
      <c r="HI1422" s="110"/>
      <c r="HJ1422" s="110"/>
      <c r="HK1422" s="110"/>
      <c r="HL1422" s="110"/>
      <c r="HM1422" s="110"/>
      <c r="HN1422" s="110"/>
      <c r="HO1422" s="110"/>
      <c r="HP1422" s="110"/>
      <c r="HQ1422" s="110"/>
      <c r="HR1422" s="110"/>
      <c r="HS1422" s="110"/>
      <c r="HT1422" s="110"/>
      <c r="HU1422" s="110"/>
      <c r="HV1422" s="110"/>
      <c r="HW1422" s="110"/>
      <c r="HX1422" s="110"/>
      <c r="HY1422" s="110"/>
      <c r="HZ1422" s="110"/>
      <c r="IA1422" s="110"/>
      <c r="IB1422" s="110"/>
      <c r="IC1422" s="110"/>
      <c r="ID1422" s="110"/>
      <c r="IE1422" s="110"/>
      <c r="IF1422" s="110"/>
      <c r="IG1422" s="110"/>
      <c r="IH1422" s="110"/>
      <c r="II1422" s="110"/>
      <c r="IJ1422" s="110"/>
      <c r="IK1422" s="110"/>
      <c r="IL1422" s="110"/>
      <c r="IM1422" s="110"/>
      <c r="IN1422" s="110"/>
      <c r="IO1422" s="110"/>
      <c r="IP1422" s="110"/>
      <c r="IQ1422" s="110"/>
      <c r="IR1422" s="110"/>
    </row>
    <row r="1423" spans="18:252" ht="16.5" hidden="1" customHeight="1">
      <c r="R1423" s="264"/>
      <c r="S1423" s="110"/>
      <c r="T1423" s="110"/>
      <c r="U1423" s="110"/>
      <c r="V1423" s="110"/>
      <c r="W1423" s="266"/>
      <c r="X1423" s="110"/>
      <c r="Y1423" s="110"/>
      <c r="Z1423" s="110"/>
      <c r="AA1423" s="110"/>
      <c r="AB1423" s="110"/>
      <c r="AC1423" s="110"/>
      <c r="AD1423" s="110"/>
      <c r="AE1423" s="110"/>
      <c r="AF1423" s="110"/>
      <c r="AG1423" s="110"/>
      <c r="AH1423" s="110"/>
      <c r="AI1423" s="110"/>
      <c r="AJ1423" s="110"/>
      <c r="AK1423" s="110"/>
      <c r="AL1423" s="110"/>
      <c r="AM1423" s="110"/>
      <c r="AN1423" s="110"/>
      <c r="AO1423" s="110"/>
      <c r="AP1423" s="110"/>
      <c r="AQ1423" s="110"/>
      <c r="AR1423" s="110"/>
      <c r="AS1423" s="110"/>
      <c r="AT1423" s="110"/>
      <c r="AU1423" s="110"/>
      <c r="AV1423" s="110"/>
      <c r="AW1423" s="110"/>
      <c r="AX1423" s="110"/>
      <c r="AY1423" s="110"/>
      <c r="AZ1423" s="110"/>
      <c r="BA1423" s="110"/>
      <c r="BB1423" s="110"/>
      <c r="BC1423" s="110"/>
      <c r="BD1423" s="110"/>
      <c r="BE1423" s="110"/>
      <c r="BF1423" s="110"/>
      <c r="BG1423" s="110"/>
      <c r="BH1423" s="110"/>
      <c r="BI1423" s="110"/>
      <c r="BJ1423" s="110"/>
      <c r="BK1423" s="110"/>
      <c r="BL1423" s="110"/>
      <c r="BM1423" s="110"/>
      <c r="BN1423" s="110"/>
      <c r="BO1423" s="110"/>
      <c r="BP1423" s="110"/>
      <c r="BQ1423" s="110"/>
      <c r="BR1423" s="110"/>
      <c r="BS1423" s="110"/>
      <c r="BT1423" s="110"/>
      <c r="BU1423" s="110"/>
      <c r="BV1423" s="110"/>
      <c r="BW1423" s="110"/>
      <c r="BX1423" s="110"/>
      <c r="BY1423" s="110"/>
      <c r="BZ1423" s="110"/>
      <c r="CA1423" s="110"/>
      <c r="CB1423" s="110"/>
      <c r="CC1423" s="110"/>
      <c r="CD1423" s="110"/>
      <c r="CE1423" s="110"/>
      <c r="CF1423" s="110"/>
      <c r="CG1423" s="110"/>
      <c r="CH1423" s="110"/>
      <c r="CI1423" s="110"/>
      <c r="CJ1423" s="110"/>
      <c r="CK1423" s="110"/>
      <c r="CL1423" s="110"/>
      <c r="CM1423" s="110"/>
      <c r="CN1423" s="110"/>
      <c r="CO1423" s="110"/>
      <c r="CP1423" s="110"/>
      <c r="CQ1423" s="110"/>
      <c r="CR1423" s="110"/>
      <c r="CS1423" s="110"/>
      <c r="CT1423" s="110"/>
      <c r="CU1423" s="110"/>
      <c r="CV1423" s="110"/>
      <c r="CW1423" s="110"/>
      <c r="CX1423" s="110"/>
      <c r="CY1423" s="110"/>
      <c r="CZ1423" s="110"/>
      <c r="DA1423" s="110"/>
      <c r="DB1423" s="110"/>
      <c r="DC1423" s="110"/>
      <c r="DD1423" s="110"/>
      <c r="DE1423" s="110"/>
      <c r="DF1423" s="110"/>
      <c r="DG1423" s="110"/>
      <c r="DH1423" s="110"/>
      <c r="DI1423" s="110"/>
      <c r="DJ1423" s="110"/>
      <c r="DK1423" s="110"/>
      <c r="DL1423" s="110"/>
      <c r="DM1423" s="110"/>
      <c r="DN1423" s="110"/>
      <c r="DO1423" s="110"/>
      <c r="DP1423" s="110"/>
      <c r="DQ1423" s="110"/>
      <c r="DR1423" s="110"/>
      <c r="DS1423" s="110"/>
      <c r="DT1423" s="110"/>
      <c r="DU1423" s="110"/>
      <c r="DV1423" s="110"/>
      <c r="DW1423" s="110"/>
      <c r="DX1423" s="110"/>
      <c r="DY1423" s="110"/>
      <c r="DZ1423" s="110"/>
      <c r="EA1423" s="110"/>
      <c r="EB1423" s="110"/>
      <c r="EC1423" s="110"/>
      <c r="ED1423" s="110"/>
      <c r="EF1423" s="264"/>
      <c r="EG1423" s="110"/>
      <c r="EH1423" s="110"/>
      <c r="EI1423" s="110"/>
      <c r="EJ1423" s="110"/>
      <c r="EK1423" s="266"/>
      <c r="EL1423" s="110"/>
      <c r="EM1423" s="110"/>
      <c r="EN1423" s="110"/>
      <c r="EO1423" s="110"/>
      <c r="EP1423" s="110"/>
      <c r="EQ1423" s="110"/>
      <c r="ER1423" s="110"/>
      <c r="ES1423" s="110"/>
      <c r="ET1423" s="110"/>
      <c r="EU1423" s="110"/>
      <c r="EV1423" s="110"/>
      <c r="EW1423" s="110"/>
      <c r="EX1423" s="110"/>
      <c r="EY1423" s="110"/>
      <c r="EZ1423" s="110"/>
      <c r="FA1423" s="110"/>
      <c r="FB1423" s="110"/>
      <c r="FC1423" s="110"/>
      <c r="FD1423" s="110"/>
      <c r="FE1423" s="110"/>
      <c r="FF1423" s="110"/>
      <c r="FG1423" s="110"/>
      <c r="FH1423" s="110"/>
      <c r="FI1423" s="110"/>
      <c r="FJ1423" s="110"/>
      <c r="FK1423" s="110"/>
      <c r="FL1423" s="110"/>
      <c r="FM1423" s="110"/>
      <c r="FN1423" s="110"/>
      <c r="FO1423" s="110"/>
      <c r="FP1423" s="110"/>
      <c r="FQ1423" s="110"/>
      <c r="FR1423" s="110"/>
      <c r="FS1423" s="110"/>
      <c r="FT1423" s="110"/>
      <c r="FU1423" s="110"/>
      <c r="FV1423" s="110"/>
      <c r="FW1423" s="110"/>
      <c r="FX1423" s="110"/>
      <c r="FY1423" s="110"/>
      <c r="FZ1423" s="110"/>
      <c r="GA1423" s="110"/>
      <c r="GB1423" s="110"/>
      <c r="GC1423" s="110"/>
      <c r="GD1423" s="110"/>
      <c r="GE1423" s="110"/>
      <c r="GF1423" s="110"/>
      <c r="GG1423" s="110"/>
      <c r="GH1423" s="110"/>
      <c r="GI1423" s="110"/>
      <c r="GJ1423" s="110"/>
      <c r="GK1423" s="110"/>
      <c r="GL1423" s="110"/>
      <c r="GM1423" s="110"/>
      <c r="GN1423" s="110"/>
      <c r="GO1423" s="110"/>
      <c r="GP1423" s="110"/>
      <c r="GQ1423" s="110"/>
      <c r="GR1423" s="110"/>
      <c r="GS1423" s="110"/>
      <c r="GT1423" s="110"/>
      <c r="GU1423" s="110"/>
      <c r="GV1423" s="110"/>
      <c r="GW1423" s="110"/>
      <c r="GX1423" s="110"/>
      <c r="GY1423" s="110"/>
      <c r="GZ1423" s="110"/>
      <c r="HA1423" s="110"/>
      <c r="HB1423" s="110"/>
      <c r="HC1423" s="110"/>
      <c r="HD1423" s="110"/>
      <c r="HE1423" s="110"/>
      <c r="HF1423" s="110"/>
      <c r="HG1423" s="110"/>
      <c r="HH1423" s="110"/>
      <c r="HI1423" s="110"/>
      <c r="HJ1423" s="110"/>
      <c r="HK1423" s="110"/>
      <c r="HL1423" s="110"/>
      <c r="HM1423" s="110"/>
      <c r="HN1423" s="110"/>
      <c r="HO1423" s="110"/>
      <c r="HP1423" s="110"/>
      <c r="HQ1423" s="110"/>
      <c r="HR1423" s="110"/>
      <c r="HS1423" s="110"/>
      <c r="HT1423" s="110"/>
      <c r="HU1423" s="110"/>
      <c r="HV1423" s="110"/>
      <c r="HW1423" s="110"/>
      <c r="HX1423" s="110"/>
      <c r="HY1423" s="110"/>
      <c r="HZ1423" s="110"/>
      <c r="IA1423" s="110"/>
      <c r="IB1423" s="110"/>
      <c r="IC1423" s="110"/>
      <c r="ID1423" s="110"/>
      <c r="IE1423" s="110"/>
      <c r="IF1423" s="110"/>
      <c r="IG1423" s="110"/>
      <c r="IH1423" s="110"/>
      <c r="II1423" s="110"/>
      <c r="IJ1423" s="110"/>
      <c r="IK1423" s="110"/>
      <c r="IL1423" s="110"/>
      <c r="IM1423" s="110"/>
      <c r="IN1423" s="110"/>
      <c r="IO1423" s="110"/>
      <c r="IP1423" s="110"/>
      <c r="IQ1423" s="110"/>
      <c r="IR1423" s="110"/>
    </row>
    <row r="1424" spans="18:252" ht="16.5" hidden="1" customHeight="1">
      <c r="R1424" s="264"/>
      <c r="S1424" s="110"/>
      <c r="T1424" s="110"/>
      <c r="U1424" s="110"/>
      <c r="V1424" s="110"/>
      <c r="W1424" s="266"/>
      <c r="X1424" s="110"/>
      <c r="Y1424" s="110"/>
      <c r="Z1424" s="110"/>
      <c r="AA1424" s="110"/>
      <c r="AB1424" s="110"/>
      <c r="AC1424" s="110"/>
      <c r="AD1424" s="110"/>
      <c r="AE1424" s="110"/>
      <c r="AF1424" s="110"/>
      <c r="AG1424" s="110"/>
      <c r="AH1424" s="110"/>
      <c r="AI1424" s="110"/>
      <c r="AJ1424" s="110"/>
      <c r="AK1424" s="110"/>
      <c r="AL1424" s="110"/>
      <c r="AM1424" s="110"/>
      <c r="AN1424" s="110"/>
      <c r="AO1424" s="110"/>
      <c r="AP1424" s="110"/>
      <c r="AQ1424" s="110"/>
      <c r="AR1424" s="110"/>
      <c r="AS1424" s="110"/>
      <c r="AT1424" s="110"/>
      <c r="AU1424" s="110"/>
      <c r="AV1424" s="110"/>
      <c r="AW1424" s="110"/>
      <c r="AX1424" s="110"/>
      <c r="AY1424" s="110"/>
      <c r="AZ1424" s="110"/>
      <c r="BA1424" s="110"/>
      <c r="BB1424" s="110"/>
      <c r="BC1424" s="110"/>
      <c r="BD1424" s="110"/>
      <c r="BE1424" s="110"/>
      <c r="BF1424" s="110"/>
      <c r="BG1424" s="110"/>
      <c r="BH1424" s="110"/>
      <c r="BI1424" s="110"/>
      <c r="BJ1424" s="110"/>
      <c r="BK1424" s="110"/>
      <c r="BL1424" s="110"/>
      <c r="BM1424" s="110"/>
      <c r="BN1424" s="110"/>
      <c r="BO1424" s="110"/>
      <c r="BP1424" s="110"/>
      <c r="BQ1424" s="110"/>
      <c r="BR1424" s="110"/>
      <c r="BS1424" s="110"/>
      <c r="BT1424" s="110"/>
      <c r="BU1424" s="110"/>
      <c r="BV1424" s="110"/>
      <c r="BW1424" s="110"/>
      <c r="BX1424" s="110"/>
      <c r="BY1424" s="110"/>
      <c r="BZ1424" s="110"/>
      <c r="CA1424" s="110"/>
      <c r="CB1424" s="110"/>
      <c r="CC1424" s="110"/>
      <c r="CD1424" s="110"/>
      <c r="CE1424" s="110"/>
      <c r="CF1424" s="110"/>
      <c r="CG1424" s="110"/>
      <c r="CH1424" s="110"/>
      <c r="CI1424" s="110"/>
      <c r="CJ1424" s="110"/>
      <c r="CK1424" s="110"/>
      <c r="CL1424" s="110"/>
      <c r="CM1424" s="110"/>
      <c r="CN1424" s="110"/>
      <c r="CO1424" s="110"/>
      <c r="CP1424" s="110"/>
      <c r="CQ1424" s="110"/>
      <c r="CR1424" s="110"/>
      <c r="CS1424" s="110"/>
      <c r="CT1424" s="110"/>
      <c r="CU1424" s="110"/>
      <c r="CV1424" s="110"/>
      <c r="CW1424" s="110"/>
      <c r="CX1424" s="110"/>
      <c r="CY1424" s="110"/>
      <c r="CZ1424" s="110"/>
      <c r="DA1424" s="110"/>
      <c r="DB1424" s="110"/>
      <c r="DC1424" s="110"/>
      <c r="DD1424" s="110"/>
      <c r="DE1424" s="110"/>
      <c r="DF1424" s="110"/>
      <c r="DG1424" s="110"/>
      <c r="DH1424" s="110"/>
      <c r="DI1424" s="110"/>
      <c r="DJ1424" s="110"/>
      <c r="DK1424" s="110"/>
      <c r="DL1424" s="110"/>
      <c r="DM1424" s="110"/>
      <c r="DN1424" s="110"/>
      <c r="DO1424" s="110"/>
      <c r="DP1424" s="110"/>
      <c r="DQ1424" s="110"/>
      <c r="DR1424" s="110"/>
      <c r="DS1424" s="110"/>
      <c r="DT1424" s="110"/>
      <c r="DU1424" s="110"/>
      <c r="DV1424" s="110"/>
      <c r="DW1424" s="110"/>
      <c r="DX1424" s="110"/>
      <c r="DY1424" s="110"/>
      <c r="DZ1424" s="110"/>
      <c r="EA1424" s="110"/>
      <c r="EB1424" s="110"/>
      <c r="EC1424" s="110"/>
      <c r="ED1424" s="110"/>
      <c r="EF1424" s="264"/>
      <c r="EG1424" s="110"/>
      <c r="EH1424" s="110"/>
      <c r="EI1424" s="110"/>
      <c r="EJ1424" s="110"/>
      <c r="EK1424" s="266"/>
      <c r="EL1424" s="110"/>
      <c r="EM1424" s="110"/>
      <c r="EN1424" s="110"/>
      <c r="EO1424" s="110"/>
      <c r="EP1424" s="110"/>
      <c r="EQ1424" s="110"/>
      <c r="ER1424" s="110"/>
      <c r="ES1424" s="110"/>
      <c r="ET1424" s="110"/>
      <c r="EU1424" s="110"/>
      <c r="EV1424" s="110"/>
      <c r="EW1424" s="110"/>
      <c r="EX1424" s="110"/>
      <c r="EY1424" s="110"/>
      <c r="EZ1424" s="110"/>
      <c r="FA1424" s="110"/>
      <c r="FB1424" s="110"/>
      <c r="FC1424" s="110"/>
      <c r="FD1424" s="110"/>
      <c r="FE1424" s="110"/>
      <c r="FF1424" s="110"/>
      <c r="FG1424" s="110"/>
      <c r="FH1424" s="110"/>
      <c r="FI1424" s="110"/>
      <c r="FJ1424" s="110"/>
      <c r="FK1424" s="110"/>
      <c r="FL1424" s="110"/>
      <c r="FM1424" s="110"/>
      <c r="FN1424" s="110"/>
      <c r="FO1424" s="110"/>
      <c r="FP1424" s="110"/>
      <c r="FQ1424" s="110"/>
      <c r="FR1424" s="110"/>
      <c r="FS1424" s="110"/>
      <c r="FT1424" s="110"/>
      <c r="FU1424" s="110"/>
      <c r="FV1424" s="110"/>
      <c r="FW1424" s="110"/>
      <c r="FX1424" s="110"/>
      <c r="FY1424" s="110"/>
      <c r="FZ1424" s="110"/>
      <c r="GA1424" s="110"/>
      <c r="GB1424" s="110"/>
      <c r="GC1424" s="110"/>
      <c r="GD1424" s="110"/>
      <c r="GE1424" s="110"/>
      <c r="GF1424" s="110"/>
      <c r="GG1424" s="110"/>
      <c r="GH1424" s="110"/>
      <c r="GI1424" s="110"/>
      <c r="GJ1424" s="110"/>
      <c r="GK1424" s="110"/>
      <c r="GL1424" s="110"/>
      <c r="GM1424" s="110"/>
      <c r="GN1424" s="110"/>
      <c r="GO1424" s="110"/>
      <c r="GP1424" s="110"/>
      <c r="GQ1424" s="110"/>
      <c r="GR1424" s="110"/>
      <c r="GS1424" s="110"/>
      <c r="GT1424" s="110"/>
      <c r="GU1424" s="110"/>
      <c r="GV1424" s="110"/>
      <c r="GW1424" s="110"/>
      <c r="GX1424" s="110"/>
      <c r="GY1424" s="110"/>
      <c r="GZ1424" s="110"/>
      <c r="HA1424" s="110"/>
      <c r="HB1424" s="110"/>
      <c r="HC1424" s="110"/>
      <c r="HD1424" s="110"/>
      <c r="HE1424" s="110"/>
      <c r="HF1424" s="110"/>
      <c r="HG1424" s="110"/>
      <c r="HH1424" s="110"/>
      <c r="HI1424" s="110"/>
      <c r="HJ1424" s="110"/>
      <c r="HK1424" s="110"/>
      <c r="HL1424" s="110"/>
      <c r="HM1424" s="110"/>
      <c r="HN1424" s="110"/>
      <c r="HO1424" s="110"/>
      <c r="HP1424" s="110"/>
      <c r="HQ1424" s="110"/>
      <c r="HR1424" s="110"/>
      <c r="HS1424" s="110"/>
      <c r="HT1424" s="110"/>
      <c r="HU1424" s="110"/>
      <c r="HV1424" s="110"/>
      <c r="HW1424" s="110"/>
      <c r="HX1424" s="110"/>
      <c r="HY1424" s="110"/>
      <c r="HZ1424" s="110"/>
      <c r="IA1424" s="110"/>
      <c r="IB1424" s="110"/>
      <c r="IC1424" s="110"/>
      <c r="ID1424" s="110"/>
      <c r="IE1424" s="110"/>
      <c r="IF1424" s="110"/>
      <c r="IG1424" s="110"/>
      <c r="IH1424" s="110"/>
      <c r="II1424" s="110"/>
      <c r="IJ1424" s="110"/>
      <c r="IK1424" s="110"/>
      <c r="IL1424" s="110"/>
      <c r="IM1424" s="110"/>
      <c r="IN1424" s="110"/>
      <c r="IO1424" s="110"/>
      <c r="IP1424" s="110"/>
      <c r="IQ1424" s="110"/>
      <c r="IR1424" s="110"/>
    </row>
    <row r="1425" spans="18:252" ht="16.5" hidden="1" customHeight="1">
      <c r="R1425" s="264"/>
      <c r="S1425" s="110"/>
      <c r="T1425" s="110"/>
      <c r="U1425" s="110"/>
      <c r="V1425" s="110"/>
      <c r="W1425" s="266"/>
      <c r="X1425" s="110"/>
      <c r="Y1425" s="110"/>
      <c r="Z1425" s="110"/>
      <c r="AA1425" s="110"/>
      <c r="AB1425" s="110"/>
      <c r="AC1425" s="110"/>
      <c r="AD1425" s="110"/>
      <c r="AE1425" s="110"/>
      <c r="AF1425" s="110"/>
      <c r="AG1425" s="110"/>
      <c r="AH1425" s="110"/>
      <c r="AI1425" s="110"/>
      <c r="AJ1425" s="110"/>
      <c r="AK1425" s="110"/>
      <c r="AL1425" s="110"/>
      <c r="AM1425" s="110"/>
      <c r="AN1425" s="110"/>
      <c r="AO1425" s="110"/>
      <c r="AP1425" s="110"/>
      <c r="AQ1425" s="110"/>
      <c r="AR1425" s="110"/>
      <c r="AS1425" s="110"/>
      <c r="AT1425" s="110"/>
      <c r="AU1425" s="110"/>
      <c r="AV1425" s="110"/>
      <c r="AW1425" s="110"/>
      <c r="AX1425" s="110"/>
      <c r="AY1425" s="110"/>
      <c r="AZ1425" s="110"/>
      <c r="BA1425" s="110"/>
      <c r="BB1425" s="110"/>
      <c r="BC1425" s="110"/>
      <c r="BD1425" s="110"/>
      <c r="BE1425" s="110"/>
      <c r="BF1425" s="110"/>
      <c r="BG1425" s="110"/>
      <c r="BH1425" s="110"/>
      <c r="BI1425" s="110"/>
      <c r="BJ1425" s="110"/>
      <c r="BK1425" s="110"/>
      <c r="BL1425" s="110"/>
      <c r="BM1425" s="110"/>
      <c r="BN1425" s="110"/>
      <c r="BO1425" s="110"/>
      <c r="BP1425" s="110"/>
      <c r="BQ1425" s="110"/>
      <c r="BR1425" s="110"/>
      <c r="BS1425" s="110"/>
      <c r="BT1425" s="110"/>
      <c r="BU1425" s="110"/>
      <c r="BV1425" s="110"/>
      <c r="BW1425" s="110"/>
      <c r="BX1425" s="110"/>
      <c r="BY1425" s="110"/>
      <c r="BZ1425" s="110"/>
      <c r="CA1425" s="110"/>
      <c r="CB1425" s="110"/>
      <c r="CC1425" s="110"/>
      <c r="CD1425" s="110"/>
      <c r="CE1425" s="110"/>
      <c r="CF1425" s="110"/>
      <c r="CG1425" s="110"/>
      <c r="CH1425" s="110"/>
      <c r="CI1425" s="110"/>
      <c r="CJ1425" s="110"/>
      <c r="CK1425" s="110"/>
      <c r="CL1425" s="110"/>
      <c r="CM1425" s="110"/>
      <c r="CN1425" s="110"/>
      <c r="CO1425" s="110"/>
      <c r="CP1425" s="110"/>
      <c r="CQ1425" s="110"/>
      <c r="CR1425" s="110"/>
      <c r="CS1425" s="110"/>
      <c r="CT1425" s="110"/>
      <c r="CU1425" s="110"/>
      <c r="CV1425" s="110"/>
      <c r="CW1425" s="110"/>
      <c r="CX1425" s="110"/>
      <c r="CY1425" s="110"/>
      <c r="CZ1425" s="110"/>
      <c r="DA1425" s="110"/>
      <c r="DB1425" s="110"/>
      <c r="DC1425" s="110"/>
      <c r="DD1425" s="110"/>
      <c r="DE1425" s="110"/>
      <c r="DF1425" s="110"/>
      <c r="DG1425" s="110"/>
      <c r="DH1425" s="110"/>
      <c r="DI1425" s="110"/>
      <c r="DJ1425" s="110"/>
      <c r="DK1425" s="110"/>
      <c r="DL1425" s="110"/>
      <c r="DM1425" s="110"/>
      <c r="DN1425" s="110"/>
      <c r="DO1425" s="110"/>
      <c r="DP1425" s="110"/>
      <c r="DQ1425" s="110"/>
      <c r="DR1425" s="110"/>
      <c r="DS1425" s="110"/>
      <c r="DT1425" s="110"/>
      <c r="DU1425" s="110"/>
      <c r="DV1425" s="110"/>
      <c r="DW1425" s="110"/>
      <c r="DX1425" s="110"/>
      <c r="DY1425" s="110"/>
      <c r="DZ1425" s="110"/>
      <c r="EA1425" s="110"/>
      <c r="EB1425" s="110"/>
      <c r="EC1425" s="110"/>
      <c r="ED1425" s="110"/>
      <c r="EF1425" s="264"/>
      <c r="EG1425" s="110"/>
      <c r="EH1425" s="110"/>
      <c r="EI1425" s="110"/>
      <c r="EJ1425" s="110"/>
      <c r="EK1425" s="266"/>
      <c r="EL1425" s="110"/>
      <c r="EM1425" s="110"/>
      <c r="EN1425" s="110"/>
      <c r="EO1425" s="110"/>
      <c r="EP1425" s="110"/>
      <c r="EQ1425" s="110"/>
      <c r="ER1425" s="110"/>
      <c r="ES1425" s="110"/>
      <c r="ET1425" s="110"/>
      <c r="EU1425" s="110"/>
      <c r="EV1425" s="110"/>
      <c r="EW1425" s="110"/>
      <c r="EX1425" s="110"/>
      <c r="EY1425" s="110"/>
      <c r="EZ1425" s="110"/>
      <c r="FA1425" s="110"/>
      <c r="FB1425" s="110"/>
      <c r="FC1425" s="110"/>
      <c r="FD1425" s="110"/>
      <c r="FE1425" s="110"/>
      <c r="FF1425" s="110"/>
      <c r="FG1425" s="110"/>
      <c r="FH1425" s="110"/>
      <c r="FI1425" s="110"/>
      <c r="FJ1425" s="110"/>
      <c r="FK1425" s="110"/>
      <c r="FL1425" s="110"/>
      <c r="FM1425" s="110"/>
      <c r="FN1425" s="110"/>
      <c r="FO1425" s="110"/>
      <c r="FP1425" s="110"/>
      <c r="FQ1425" s="110"/>
      <c r="FR1425" s="110"/>
      <c r="FS1425" s="110"/>
      <c r="FT1425" s="110"/>
      <c r="FU1425" s="110"/>
      <c r="FV1425" s="110"/>
      <c r="FW1425" s="110"/>
      <c r="FX1425" s="110"/>
      <c r="FY1425" s="110"/>
      <c r="FZ1425" s="110"/>
      <c r="GA1425" s="110"/>
      <c r="GB1425" s="110"/>
      <c r="GC1425" s="110"/>
      <c r="GD1425" s="110"/>
      <c r="GE1425" s="110"/>
      <c r="GF1425" s="110"/>
      <c r="GG1425" s="110"/>
      <c r="GH1425" s="110"/>
      <c r="GI1425" s="110"/>
      <c r="GJ1425" s="110"/>
      <c r="GK1425" s="110"/>
      <c r="GL1425" s="110"/>
      <c r="GM1425" s="110"/>
      <c r="GN1425" s="110"/>
      <c r="GO1425" s="110"/>
      <c r="GP1425" s="110"/>
      <c r="GQ1425" s="110"/>
      <c r="GR1425" s="110"/>
      <c r="GS1425" s="110"/>
      <c r="GT1425" s="110"/>
      <c r="GU1425" s="110"/>
      <c r="GV1425" s="110"/>
      <c r="GW1425" s="110"/>
      <c r="GX1425" s="110"/>
      <c r="GY1425" s="110"/>
      <c r="GZ1425" s="110"/>
      <c r="HA1425" s="110"/>
      <c r="HB1425" s="110"/>
      <c r="HC1425" s="110"/>
      <c r="HD1425" s="110"/>
      <c r="HE1425" s="110"/>
      <c r="HF1425" s="110"/>
      <c r="HG1425" s="110"/>
      <c r="HH1425" s="110"/>
      <c r="HI1425" s="110"/>
      <c r="HJ1425" s="110"/>
      <c r="HK1425" s="110"/>
      <c r="HL1425" s="110"/>
      <c r="HM1425" s="110"/>
      <c r="HN1425" s="110"/>
      <c r="HO1425" s="110"/>
      <c r="HP1425" s="110"/>
      <c r="HQ1425" s="110"/>
      <c r="HR1425" s="110"/>
      <c r="HS1425" s="110"/>
      <c r="HT1425" s="110"/>
      <c r="HU1425" s="110"/>
      <c r="HV1425" s="110"/>
      <c r="HW1425" s="110"/>
      <c r="HX1425" s="110"/>
      <c r="HY1425" s="110"/>
      <c r="HZ1425" s="110"/>
      <c r="IA1425" s="110"/>
      <c r="IB1425" s="110"/>
      <c r="IC1425" s="110"/>
      <c r="ID1425" s="110"/>
      <c r="IE1425" s="110"/>
      <c r="IF1425" s="110"/>
      <c r="IG1425" s="110"/>
      <c r="IH1425" s="110"/>
      <c r="II1425" s="110"/>
      <c r="IJ1425" s="110"/>
      <c r="IK1425" s="110"/>
      <c r="IL1425" s="110"/>
      <c r="IM1425" s="110"/>
      <c r="IN1425" s="110"/>
      <c r="IO1425" s="110"/>
      <c r="IP1425" s="110"/>
      <c r="IQ1425" s="110"/>
      <c r="IR1425" s="110"/>
    </row>
    <row r="1426" spans="18:252" ht="16.5" hidden="1" customHeight="1">
      <c r="R1426" s="264"/>
      <c r="S1426" s="110"/>
      <c r="T1426" s="110"/>
      <c r="U1426" s="110"/>
      <c r="V1426" s="110"/>
      <c r="W1426" s="266"/>
      <c r="X1426" s="110"/>
      <c r="Y1426" s="110"/>
      <c r="Z1426" s="110"/>
      <c r="AA1426" s="110"/>
      <c r="AB1426" s="110"/>
      <c r="AC1426" s="110"/>
      <c r="AD1426" s="110"/>
      <c r="AE1426" s="110"/>
      <c r="AF1426" s="110"/>
      <c r="AG1426" s="110"/>
      <c r="AH1426" s="110"/>
      <c r="AI1426" s="110"/>
      <c r="AJ1426" s="110"/>
      <c r="AK1426" s="110"/>
      <c r="AL1426" s="110"/>
      <c r="AM1426" s="110"/>
      <c r="AN1426" s="110"/>
      <c r="AO1426" s="110"/>
      <c r="AP1426" s="110"/>
      <c r="AQ1426" s="110"/>
      <c r="AR1426" s="110"/>
      <c r="AS1426" s="110"/>
      <c r="AT1426" s="110"/>
      <c r="AU1426" s="110"/>
      <c r="AV1426" s="110"/>
      <c r="AW1426" s="110"/>
      <c r="AX1426" s="110"/>
      <c r="AY1426" s="110"/>
      <c r="AZ1426" s="110"/>
      <c r="BA1426" s="110"/>
      <c r="BB1426" s="110"/>
      <c r="BC1426" s="110"/>
      <c r="BD1426" s="110"/>
      <c r="BE1426" s="110"/>
      <c r="BF1426" s="110"/>
      <c r="BG1426" s="110"/>
      <c r="BH1426" s="110"/>
      <c r="BI1426" s="110"/>
      <c r="BJ1426" s="110"/>
      <c r="BK1426" s="110"/>
      <c r="BL1426" s="110"/>
      <c r="BM1426" s="110"/>
      <c r="BN1426" s="110"/>
      <c r="BO1426" s="110"/>
      <c r="BP1426" s="110"/>
      <c r="BQ1426" s="110"/>
      <c r="BR1426" s="110"/>
      <c r="BS1426" s="110"/>
      <c r="BT1426" s="110"/>
      <c r="BU1426" s="110"/>
      <c r="BV1426" s="110"/>
      <c r="BW1426" s="110"/>
      <c r="BX1426" s="110"/>
      <c r="BY1426" s="110"/>
      <c r="BZ1426" s="110"/>
      <c r="CA1426" s="110"/>
      <c r="CB1426" s="110"/>
      <c r="CC1426" s="110"/>
      <c r="CD1426" s="110"/>
      <c r="CE1426" s="110"/>
      <c r="CF1426" s="110"/>
      <c r="CG1426" s="110"/>
      <c r="CH1426" s="110"/>
      <c r="CI1426" s="110"/>
      <c r="CJ1426" s="110"/>
      <c r="CK1426" s="110"/>
      <c r="CL1426" s="110"/>
      <c r="CM1426" s="110"/>
      <c r="CN1426" s="110"/>
      <c r="CO1426" s="110"/>
      <c r="CP1426" s="110"/>
      <c r="CQ1426" s="110"/>
      <c r="CR1426" s="110"/>
      <c r="CS1426" s="110"/>
      <c r="CT1426" s="110"/>
      <c r="CU1426" s="110"/>
      <c r="CV1426" s="110"/>
      <c r="CW1426" s="110"/>
      <c r="CX1426" s="110"/>
      <c r="CY1426" s="110"/>
      <c r="CZ1426" s="110"/>
      <c r="DA1426" s="110"/>
      <c r="DB1426" s="110"/>
      <c r="DC1426" s="110"/>
      <c r="DD1426" s="110"/>
      <c r="DE1426" s="110"/>
      <c r="DF1426" s="110"/>
      <c r="DG1426" s="110"/>
      <c r="DH1426" s="110"/>
      <c r="DI1426" s="110"/>
      <c r="DJ1426" s="110"/>
      <c r="DK1426" s="110"/>
      <c r="DL1426" s="110"/>
      <c r="DM1426" s="110"/>
      <c r="DN1426" s="110"/>
      <c r="DO1426" s="110"/>
      <c r="DP1426" s="110"/>
      <c r="DQ1426" s="110"/>
      <c r="DR1426" s="110"/>
      <c r="DS1426" s="110"/>
      <c r="DT1426" s="110"/>
      <c r="DU1426" s="110"/>
      <c r="DV1426" s="110"/>
      <c r="DW1426" s="110"/>
      <c r="DX1426" s="110"/>
      <c r="DY1426" s="110"/>
      <c r="DZ1426" s="110"/>
      <c r="EA1426" s="110"/>
      <c r="EB1426" s="110"/>
      <c r="EC1426" s="110"/>
      <c r="ED1426" s="110"/>
      <c r="EF1426" s="264"/>
      <c r="EG1426" s="110"/>
      <c r="EH1426" s="110"/>
      <c r="EI1426" s="110"/>
      <c r="EJ1426" s="110"/>
      <c r="EK1426" s="266"/>
      <c r="EL1426" s="110"/>
      <c r="EM1426" s="110"/>
      <c r="EN1426" s="110"/>
      <c r="EO1426" s="110"/>
      <c r="EP1426" s="110"/>
      <c r="EQ1426" s="110"/>
      <c r="ER1426" s="110"/>
      <c r="ES1426" s="110"/>
      <c r="ET1426" s="110"/>
      <c r="EU1426" s="110"/>
      <c r="EV1426" s="110"/>
      <c r="EW1426" s="110"/>
      <c r="EX1426" s="110"/>
      <c r="EY1426" s="110"/>
      <c r="EZ1426" s="110"/>
      <c r="FA1426" s="110"/>
      <c r="FB1426" s="110"/>
      <c r="FC1426" s="110"/>
      <c r="FD1426" s="110"/>
      <c r="FE1426" s="110"/>
      <c r="FF1426" s="110"/>
      <c r="FG1426" s="110"/>
      <c r="FH1426" s="110"/>
      <c r="FI1426" s="110"/>
      <c r="FJ1426" s="110"/>
      <c r="FK1426" s="110"/>
      <c r="FL1426" s="110"/>
      <c r="FM1426" s="110"/>
      <c r="FN1426" s="110"/>
      <c r="FO1426" s="110"/>
      <c r="FP1426" s="110"/>
      <c r="FQ1426" s="110"/>
      <c r="FR1426" s="110"/>
      <c r="FS1426" s="110"/>
      <c r="FT1426" s="110"/>
      <c r="FU1426" s="110"/>
      <c r="FV1426" s="110"/>
      <c r="FW1426" s="110"/>
      <c r="FX1426" s="110"/>
      <c r="FY1426" s="110"/>
      <c r="FZ1426" s="110"/>
      <c r="GA1426" s="110"/>
      <c r="GB1426" s="110"/>
      <c r="GC1426" s="110"/>
      <c r="GD1426" s="110"/>
      <c r="GE1426" s="110"/>
      <c r="GF1426" s="110"/>
      <c r="GG1426" s="110"/>
      <c r="GH1426" s="110"/>
      <c r="GI1426" s="110"/>
      <c r="GJ1426" s="110"/>
      <c r="GK1426" s="110"/>
      <c r="GL1426" s="110"/>
      <c r="GM1426" s="110"/>
      <c r="GN1426" s="110"/>
      <c r="GO1426" s="110"/>
      <c r="GP1426" s="110"/>
      <c r="GQ1426" s="110"/>
      <c r="GR1426" s="110"/>
      <c r="GS1426" s="110"/>
      <c r="GT1426" s="110"/>
      <c r="GU1426" s="110"/>
      <c r="GV1426" s="110"/>
      <c r="GW1426" s="110"/>
      <c r="GX1426" s="110"/>
      <c r="GY1426" s="110"/>
      <c r="GZ1426" s="110"/>
      <c r="HA1426" s="110"/>
      <c r="HB1426" s="110"/>
      <c r="HC1426" s="110"/>
      <c r="HD1426" s="110"/>
      <c r="HE1426" s="110"/>
      <c r="HF1426" s="110"/>
      <c r="HG1426" s="110"/>
      <c r="HH1426" s="110"/>
      <c r="HI1426" s="110"/>
      <c r="HJ1426" s="110"/>
      <c r="HK1426" s="110"/>
      <c r="HL1426" s="110"/>
      <c r="HM1426" s="110"/>
      <c r="HN1426" s="110"/>
      <c r="HO1426" s="110"/>
      <c r="HP1426" s="110"/>
      <c r="HQ1426" s="110"/>
      <c r="HR1426" s="110"/>
      <c r="HS1426" s="110"/>
      <c r="HT1426" s="110"/>
      <c r="HU1426" s="110"/>
      <c r="HV1426" s="110"/>
      <c r="HW1426" s="110"/>
      <c r="HX1426" s="110"/>
      <c r="HY1426" s="110"/>
      <c r="HZ1426" s="110"/>
      <c r="IA1426" s="110"/>
      <c r="IB1426" s="110"/>
      <c r="IC1426" s="110"/>
      <c r="ID1426" s="110"/>
      <c r="IE1426" s="110"/>
      <c r="IF1426" s="110"/>
      <c r="IG1426" s="110"/>
      <c r="IH1426" s="110"/>
      <c r="II1426" s="110"/>
      <c r="IJ1426" s="110"/>
      <c r="IK1426" s="110"/>
      <c r="IL1426" s="110"/>
      <c r="IM1426" s="110"/>
      <c r="IN1426" s="110"/>
      <c r="IO1426" s="110"/>
      <c r="IP1426" s="110"/>
      <c r="IQ1426" s="110"/>
      <c r="IR1426" s="110"/>
    </row>
    <row r="1427" spans="18:252" ht="16.5" hidden="1" customHeight="1">
      <c r="R1427" s="264"/>
      <c r="S1427" s="110"/>
      <c r="T1427" s="110"/>
      <c r="U1427" s="110"/>
      <c r="V1427" s="110"/>
      <c r="W1427" s="266"/>
      <c r="X1427" s="110"/>
      <c r="Y1427" s="110"/>
      <c r="Z1427" s="110"/>
      <c r="AA1427" s="110"/>
      <c r="AB1427" s="110"/>
      <c r="AC1427" s="110"/>
      <c r="AD1427" s="110"/>
      <c r="AE1427" s="110"/>
      <c r="AF1427" s="110"/>
      <c r="AG1427" s="110"/>
      <c r="AH1427" s="110"/>
      <c r="AI1427" s="110"/>
      <c r="AJ1427" s="110"/>
      <c r="AK1427" s="110"/>
      <c r="AL1427" s="110"/>
      <c r="AM1427" s="110"/>
      <c r="AN1427" s="110"/>
      <c r="AO1427" s="110"/>
      <c r="AP1427" s="110"/>
      <c r="AQ1427" s="110"/>
      <c r="AR1427" s="110"/>
      <c r="AS1427" s="110"/>
      <c r="AT1427" s="110"/>
      <c r="AU1427" s="110"/>
      <c r="AV1427" s="110"/>
      <c r="AW1427" s="110"/>
      <c r="AX1427" s="110"/>
      <c r="AY1427" s="110"/>
      <c r="AZ1427" s="110"/>
      <c r="BA1427" s="110"/>
      <c r="BB1427" s="110"/>
      <c r="BC1427" s="110"/>
      <c r="BD1427" s="110"/>
      <c r="BE1427" s="110"/>
      <c r="BF1427" s="110"/>
      <c r="BG1427" s="110"/>
      <c r="BH1427" s="110"/>
      <c r="BI1427" s="110"/>
      <c r="BJ1427" s="110"/>
      <c r="BK1427" s="110"/>
      <c r="BL1427" s="110"/>
      <c r="BM1427" s="110"/>
      <c r="BN1427" s="110"/>
      <c r="BO1427" s="110"/>
      <c r="BP1427" s="110"/>
      <c r="BQ1427" s="110"/>
      <c r="BR1427" s="110"/>
      <c r="BS1427" s="110"/>
      <c r="BT1427" s="110"/>
      <c r="BU1427" s="110"/>
      <c r="BV1427" s="110"/>
      <c r="BW1427" s="110"/>
      <c r="BX1427" s="110"/>
      <c r="BY1427" s="110"/>
      <c r="BZ1427" s="110"/>
      <c r="CA1427" s="110"/>
      <c r="CB1427" s="110"/>
      <c r="CC1427" s="110"/>
      <c r="CD1427" s="110"/>
      <c r="CE1427" s="110"/>
      <c r="CF1427" s="110"/>
      <c r="CG1427" s="110"/>
      <c r="CH1427" s="110"/>
      <c r="CI1427" s="110"/>
      <c r="CJ1427" s="110"/>
      <c r="CK1427" s="110"/>
      <c r="CL1427" s="110"/>
      <c r="CM1427" s="110"/>
      <c r="CN1427" s="110"/>
      <c r="CO1427" s="110"/>
      <c r="CP1427" s="110"/>
      <c r="CQ1427" s="110"/>
      <c r="CR1427" s="110"/>
      <c r="CS1427" s="110"/>
      <c r="CT1427" s="110"/>
      <c r="CU1427" s="110"/>
      <c r="CV1427" s="110"/>
      <c r="CW1427" s="110"/>
      <c r="CX1427" s="110"/>
      <c r="CY1427" s="110"/>
      <c r="CZ1427" s="110"/>
      <c r="DA1427" s="110"/>
      <c r="DB1427" s="110"/>
      <c r="DC1427" s="110"/>
      <c r="DD1427" s="110"/>
      <c r="DE1427" s="110"/>
      <c r="DF1427" s="110"/>
      <c r="DG1427" s="110"/>
      <c r="DH1427" s="110"/>
      <c r="DI1427" s="110"/>
      <c r="DJ1427" s="110"/>
      <c r="DK1427" s="110"/>
      <c r="DL1427" s="110"/>
      <c r="DM1427" s="110"/>
      <c r="DN1427" s="110"/>
      <c r="DO1427" s="110"/>
      <c r="DP1427" s="110"/>
      <c r="DQ1427" s="110"/>
      <c r="DR1427" s="110"/>
      <c r="DS1427" s="110"/>
      <c r="DT1427" s="110"/>
      <c r="DU1427" s="110"/>
      <c r="DV1427" s="110"/>
      <c r="DW1427" s="110"/>
      <c r="DX1427" s="110"/>
      <c r="DY1427" s="110"/>
      <c r="DZ1427" s="110"/>
      <c r="EA1427" s="110"/>
      <c r="EB1427" s="110"/>
      <c r="EC1427" s="110"/>
      <c r="ED1427" s="110"/>
      <c r="EF1427" s="264"/>
      <c r="EG1427" s="110"/>
      <c r="EH1427" s="110"/>
      <c r="EI1427" s="110"/>
      <c r="EJ1427" s="110"/>
      <c r="EK1427" s="266"/>
      <c r="EL1427" s="110"/>
      <c r="EM1427" s="110"/>
      <c r="EN1427" s="110"/>
      <c r="EO1427" s="110"/>
      <c r="EP1427" s="110"/>
      <c r="EQ1427" s="110"/>
      <c r="ER1427" s="110"/>
      <c r="ES1427" s="110"/>
      <c r="ET1427" s="110"/>
      <c r="EU1427" s="110"/>
      <c r="EV1427" s="110"/>
      <c r="EW1427" s="110"/>
      <c r="EX1427" s="110"/>
      <c r="EY1427" s="110"/>
      <c r="EZ1427" s="110"/>
      <c r="FA1427" s="110"/>
      <c r="FB1427" s="110"/>
      <c r="FC1427" s="110"/>
      <c r="FD1427" s="110"/>
      <c r="FE1427" s="110"/>
      <c r="FF1427" s="110"/>
      <c r="FG1427" s="110"/>
      <c r="FH1427" s="110"/>
      <c r="FI1427" s="110"/>
      <c r="FJ1427" s="110"/>
      <c r="FK1427" s="110"/>
      <c r="FL1427" s="110"/>
      <c r="FM1427" s="110"/>
      <c r="FN1427" s="110"/>
      <c r="FO1427" s="110"/>
      <c r="FP1427" s="110"/>
      <c r="FQ1427" s="110"/>
      <c r="FR1427" s="110"/>
      <c r="FS1427" s="110"/>
      <c r="FT1427" s="110"/>
      <c r="FU1427" s="110"/>
      <c r="FV1427" s="110"/>
      <c r="FW1427" s="110"/>
      <c r="FX1427" s="110"/>
      <c r="FY1427" s="110"/>
      <c r="FZ1427" s="110"/>
      <c r="GA1427" s="110"/>
      <c r="GB1427" s="110"/>
      <c r="GC1427" s="110"/>
      <c r="GD1427" s="110"/>
      <c r="GE1427" s="110"/>
      <c r="GF1427" s="110"/>
      <c r="GG1427" s="110"/>
      <c r="GH1427" s="110"/>
      <c r="GI1427" s="110"/>
      <c r="GJ1427" s="110"/>
      <c r="GK1427" s="110"/>
      <c r="GL1427" s="110"/>
      <c r="GM1427" s="110"/>
      <c r="GN1427" s="110"/>
      <c r="GO1427" s="110"/>
      <c r="GP1427" s="110"/>
      <c r="GQ1427" s="110"/>
      <c r="GR1427" s="110"/>
      <c r="GS1427" s="110"/>
      <c r="GT1427" s="110"/>
      <c r="GU1427" s="110"/>
      <c r="GV1427" s="110"/>
      <c r="GW1427" s="110"/>
      <c r="GX1427" s="110"/>
      <c r="GY1427" s="110"/>
      <c r="GZ1427" s="110"/>
      <c r="HA1427" s="110"/>
      <c r="HB1427" s="110"/>
      <c r="HC1427" s="110"/>
      <c r="HD1427" s="110"/>
      <c r="HE1427" s="110"/>
      <c r="HF1427" s="110"/>
      <c r="HG1427" s="110"/>
      <c r="HH1427" s="110"/>
      <c r="HI1427" s="110"/>
      <c r="HJ1427" s="110"/>
      <c r="HK1427" s="110"/>
      <c r="HL1427" s="110"/>
      <c r="HM1427" s="110"/>
      <c r="HN1427" s="110"/>
      <c r="HO1427" s="110"/>
      <c r="HP1427" s="110"/>
      <c r="HQ1427" s="110"/>
      <c r="HR1427" s="110"/>
      <c r="HS1427" s="110"/>
      <c r="HT1427" s="110"/>
      <c r="HU1427" s="110"/>
      <c r="HV1427" s="110"/>
      <c r="HW1427" s="110"/>
      <c r="HX1427" s="110"/>
      <c r="HY1427" s="110"/>
      <c r="HZ1427" s="110"/>
      <c r="IA1427" s="110"/>
      <c r="IB1427" s="110"/>
      <c r="IC1427" s="110"/>
      <c r="ID1427" s="110"/>
      <c r="IE1427" s="110"/>
      <c r="IF1427" s="110"/>
      <c r="IG1427" s="110"/>
      <c r="IH1427" s="110"/>
      <c r="II1427" s="110"/>
      <c r="IJ1427" s="110"/>
      <c r="IK1427" s="110"/>
      <c r="IL1427" s="110"/>
      <c r="IM1427" s="110"/>
      <c r="IN1427" s="110"/>
      <c r="IO1427" s="110"/>
      <c r="IP1427" s="110"/>
      <c r="IQ1427" s="110"/>
      <c r="IR1427" s="110"/>
    </row>
    <row r="1428" spans="18:252" ht="16.5" hidden="1" customHeight="1">
      <c r="R1428" s="264"/>
      <c r="S1428" s="110"/>
      <c r="T1428" s="110"/>
      <c r="U1428" s="110"/>
      <c r="V1428" s="110"/>
      <c r="W1428" s="266"/>
      <c r="X1428" s="110"/>
      <c r="Y1428" s="110"/>
      <c r="Z1428" s="110"/>
      <c r="AA1428" s="110"/>
      <c r="AB1428" s="110"/>
      <c r="AC1428" s="110"/>
      <c r="AD1428" s="110"/>
      <c r="AE1428" s="110"/>
      <c r="AF1428" s="110"/>
      <c r="AG1428" s="110"/>
      <c r="AH1428" s="110"/>
      <c r="AI1428" s="110"/>
      <c r="AJ1428" s="110"/>
      <c r="AK1428" s="110"/>
      <c r="AL1428" s="110"/>
      <c r="AM1428" s="110"/>
      <c r="AN1428" s="110"/>
      <c r="AO1428" s="110"/>
      <c r="AP1428" s="110"/>
      <c r="AQ1428" s="110"/>
      <c r="AR1428" s="110"/>
      <c r="AS1428" s="110"/>
      <c r="AT1428" s="110"/>
      <c r="AU1428" s="110"/>
      <c r="AV1428" s="110"/>
      <c r="AW1428" s="110"/>
      <c r="AX1428" s="110"/>
      <c r="AY1428" s="110"/>
      <c r="AZ1428" s="110"/>
      <c r="BA1428" s="110"/>
      <c r="BB1428" s="110"/>
      <c r="BC1428" s="110"/>
      <c r="BD1428" s="110"/>
      <c r="BE1428" s="110"/>
      <c r="BF1428" s="110"/>
      <c r="BG1428" s="110"/>
      <c r="BH1428" s="110"/>
      <c r="BI1428" s="110"/>
      <c r="BJ1428" s="110"/>
      <c r="BK1428" s="110"/>
      <c r="BL1428" s="110"/>
      <c r="BM1428" s="110"/>
      <c r="BN1428" s="110"/>
      <c r="BO1428" s="110"/>
      <c r="BP1428" s="110"/>
      <c r="BQ1428" s="110"/>
      <c r="BR1428" s="110"/>
      <c r="BS1428" s="110"/>
      <c r="BT1428" s="110"/>
      <c r="BU1428" s="110"/>
      <c r="BV1428" s="110"/>
      <c r="BW1428" s="110"/>
      <c r="BX1428" s="110"/>
      <c r="BY1428" s="110"/>
      <c r="BZ1428" s="110"/>
      <c r="CA1428" s="110"/>
      <c r="CB1428" s="110"/>
      <c r="CC1428" s="110"/>
      <c r="CD1428" s="110"/>
      <c r="CE1428" s="110"/>
      <c r="CF1428" s="110"/>
      <c r="CG1428" s="110"/>
      <c r="CH1428" s="110"/>
      <c r="CI1428" s="110"/>
      <c r="CJ1428" s="110"/>
      <c r="CK1428" s="110"/>
      <c r="CL1428" s="110"/>
      <c r="CM1428" s="110"/>
      <c r="CN1428" s="110"/>
      <c r="CO1428" s="110"/>
      <c r="CP1428" s="110"/>
      <c r="CQ1428" s="110"/>
      <c r="CR1428" s="110"/>
      <c r="CS1428" s="110"/>
      <c r="CT1428" s="110"/>
      <c r="CU1428" s="110"/>
      <c r="CV1428" s="110"/>
      <c r="CW1428" s="110"/>
      <c r="CX1428" s="110"/>
      <c r="CY1428" s="110"/>
      <c r="CZ1428" s="110"/>
      <c r="DA1428" s="110"/>
      <c r="DB1428" s="110"/>
      <c r="DC1428" s="110"/>
      <c r="DD1428" s="110"/>
      <c r="DE1428" s="110"/>
      <c r="DF1428" s="110"/>
      <c r="DG1428" s="110"/>
      <c r="DH1428" s="110"/>
      <c r="DI1428" s="110"/>
      <c r="DJ1428" s="110"/>
      <c r="DK1428" s="110"/>
      <c r="DL1428" s="110"/>
      <c r="DM1428" s="110"/>
      <c r="DN1428" s="110"/>
      <c r="DO1428" s="110"/>
      <c r="DP1428" s="110"/>
      <c r="DQ1428" s="110"/>
      <c r="DR1428" s="110"/>
      <c r="DS1428" s="110"/>
      <c r="DT1428" s="110"/>
      <c r="DU1428" s="110"/>
      <c r="DV1428" s="110"/>
      <c r="DW1428" s="110"/>
      <c r="DX1428" s="110"/>
      <c r="DY1428" s="110"/>
      <c r="DZ1428" s="110"/>
      <c r="EA1428" s="110"/>
      <c r="EB1428" s="110"/>
      <c r="EC1428" s="110"/>
      <c r="ED1428" s="110"/>
      <c r="EF1428" s="264"/>
      <c r="EG1428" s="110"/>
      <c r="EH1428" s="110"/>
      <c r="EI1428" s="110"/>
      <c r="EJ1428" s="110"/>
      <c r="EK1428" s="266"/>
      <c r="EL1428" s="110"/>
      <c r="EM1428" s="110"/>
      <c r="EN1428" s="110"/>
      <c r="EO1428" s="110"/>
      <c r="EP1428" s="110"/>
      <c r="EQ1428" s="110"/>
      <c r="ER1428" s="110"/>
      <c r="ES1428" s="110"/>
      <c r="ET1428" s="110"/>
      <c r="EU1428" s="110"/>
      <c r="EV1428" s="110"/>
      <c r="EW1428" s="110"/>
      <c r="EX1428" s="110"/>
      <c r="EY1428" s="110"/>
      <c r="EZ1428" s="110"/>
      <c r="FA1428" s="110"/>
      <c r="FB1428" s="110"/>
      <c r="FC1428" s="110"/>
      <c r="FD1428" s="110"/>
      <c r="FE1428" s="110"/>
      <c r="FF1428" s="110"/>
      <c r="FG1428" s="110"/>
      <c r="FH1428" s="110"/>
      <c r="FI1428" s="110"/>
      <c r="FJ1428" s="110"/>
      <c r="FK1428" s="110"/>
      <c r="FL1428" s="110"/>
      <c r="FM1428" s="110"/>
      <c r="FN1428" s="110"/>
      <c r="FO1428" s="110"/>
      <c r="FP1428" s="110"/>
      <c r="FQ1428" s="110"/>
      <c r="FR1428" s="110"/>
      <c r="FS1428" s="110"/>
      <c r="FT1428" s="110"/>
      <c r="FU1428" s="110"/>
      <c r="FV1428" s="110"/>
      <c r="FW1428" s="110"/>
      <c r="FX1428" s="110"/>
      <c r="FY1428" s="110"/>
      <c r="FZ1428" s="110"/>
      <c r="GA1428" s="110"/>
      <c r="GB1428" s="110"/>
      <c r="GC1428" s="110"/>
      <c r="GD1428" s="110"/>
      <c r="GE1428" s="110"/>
      <c r="GF1428" s="110"/>
      <c r="GG1428" s="110"/>
      <c r="GH1428" s="110"/>
      <c r="GI1428" s="110"/>
      <c r="GJ1428" s="110"/>
      <c r="GK1428" s="110"/>
      <c r="GL1428" s="110"/>
      <c r="GM1428" s="110"/>
      <c r="GN1428" s="110"/>
      <c r="GO1428" s="110"/>
      <c r="GP1428" s="110"/>
      <c r="GQ1428" s="110"/>
      <c r="GR1428" s="110"/>
      <c r="GS1428" s="110"/>
      <c r="GT1428" s="110"/>
      <c r="GU1428" s="110"/>
      <c r="GV1428" s="110"/>
      <c r="GW1428" s="110"/>
      <c r="GX1428" s="110"/>
      <c r="GY1428" s="110"/>
      <c r="GZ1428" s="110"/>
      <c r="HA1428" s="110"/>
      <c r="HB1428" s="110"/>
      <c r="HC1428" s="110"/>
      <c r="HD1428" s="110"/>
      <c r="HE1428" s="110"/>
      <c r="HF1428" s="110"/>
      <c r="HG1428" s="110"/>
      <c r="HH1428" s="110"/>
      <c r="HI1428" s="110"/>
      <c r="HJ1428" s="110"/>
      <c r="HK1428" s="110"/>
      <c r="HL1428" s="110"/>
      <c r="HM1428" s="110"/>
      <c r="HN1428" s="110"/>
      <c r="HO1428" s="110"/>
      <c r="HP1428" s="110"/>
      <c r="HQ1428" s="110"/>
      <c r="HR1428" s="110"/>
      <c r="HS1428" s="110"/>
      <c r="HT1428" s="110"/>
      <c r="HU1428" s="110"/>
      <c r="HV1428" s="110"/>
      <c r="HW1428" s="110"/>
      <c r="HX1428" s="110"/>
      <c r="HY1428" s="110"/>
      <c r="HZ1428" s="110"/>
      <c r="IA1428" s="110"/>
      <c r="IB1428" s="110"/>
      <c r="IC1428" s="110"/>
      <c r="ID1428" s="110"/>
      <c r="IE1428" s="110"/>
      <c r="IF1428" s="110"/>
      <c r="IG1428" s="110"/>
      <c r="IH1428" s="110"/>
      <c r="II1428" s="110"/>
      <c r="IJ1428" s="110"/>
      <c r="IK1428" s="110"/>
      <c r="IL1428" s="110"/>
      <c r="IM1428" s="110"/>
      <c r="IN1428" s="110"/>
      <c r="IO1428" s="110"/>
      <c r="IP1428" s="110"/>
      <c r="IQ1428" s="110"/>
      <c r="IR1428" s="110"/>
    </row>
    <row r="1429" spans="18:252" ht="16.5" hidden="1" customHeight="1">
      <c r="R1429" s="264"/>
      <c r="S1429" s="110"/>
      <c r="T1429" s="110"/>
      <c r="U1429" s="110"/>
      <c r="V1429" s="110"/>
      <c r="W1429" s="266"/>
      <c r="X1429" s="110"/>
      <c r="Y1429" s="110"/>
      <c r="Z1429" s="110"/>
      <c r="AA1429" s="110"/>
      <c r="AB1429" s="110"/>
      <c r="AC1429" s="110"/>
      <c r="AD1429" s="110"/>
      <c r="AE1429" s="110"/>
      <c r="AF1429" s="110"/>
      <c r="AG1429" s="110"/>
      <c r="AH1429" s="110"/>
      <c r="AI1429" s="110"/>
      <c r="AJ1429" s="110"/>
      <c r="AK1429" s="110"/>
      <c r="AL1429" s="110"/>
      <c r="AM1429" s="110"/>
      <c r="AN1429" s="110"/>
      <c r="AO1429" s="110"/>
      <c r="AP1429" s="110"/>
      <c r="AQ1429" s="110"/>
      <c r="AR1429" s="110"/>
      <c r="AS1429" s="110"/>
      <c r="AT1429" s="110"/>
      <c r="AU1429" s="110"/>
      <c r="AV1429" s="110"/>
      <c r="AW1429" s="110"/>
      <c r="AX1429" s="110"/>
      <c r="AY1429" s="110"/>
      <c r="AZ1429" s="110"/>
      <c r="BA1429" s="110"/>
      <c r="BB1429" s="110"/>
      <c r="BC1429" s="110"/>
      <c r="BD1429" s="110"/>
      <c r="BE1429" s="110"/>
      <c r="BF1429" s="110"/>
      <c r="BG1429" s="110"/>
      <c r="BH1429" s="110"/>
      <c r="BI1429" s="110"/>
      <c r="BJ1429" s="110"/>
      <c r="BK1429" s="110"/>
      <c r="BL1429" s="110"/>
      <c r="BM1429" s="110"/>
      <c r="BN1429" s="110"/>
      <c r="BO1429" s="110"/>
      <c r="BP1429" s="110"/>
      <c r="BQ1429" s="110"/>
      <c r="BR1429" s="110"/>
      <c r="BS1429" s="110"/>
      <c r="BT1429" s="110"/>
      <c r="BU1429" s="110"/>
      <c r="BV1429" s="110"/>
      <c r="BW1429" s="110"/>
      <c r="BX1429" s="110"/>
      <c r="BY1429" s="110"/>
      <c r="BZ1429" s="110"/>
      <c r="CA1429" s="110"/>
      <c r="CB1429" s="110"/>
      <c r="CC1429" s="110"/>
      <c r="CD1429" s="110"/>
      <c r="CE1429" s="110"/>
      <c r="CF1429" s="110"/>
      <c r="CG1429" s="110"/>
      <c r="CH1429" s="110"/>
      <c r="CI1429" s="110"/>
      <c r="CJ1429" s="110"/>
      <c r="CK1429" s="110"/>
      <c r="CL1429" s="110"/>
      <c r="CM1429" s="110"/>
      <c r="CN1429" s="110"/>
      <c r="CO1429" s="110"/>
      <c r="CP1429" s="110"/>
      <c r="CQ1429" s="110"/>
      <c r="CR1429" s="110"/>
      <c r="CS1429" s="110"/>
      <c r="CT1429" s="110"/>
      <c r="CU1429" s="110"/>
      <c r="CV1429" s="110"/>
      <c r="CW1429" s="110"/>
      <c r="CX1429" s="110"/>
      <c r="CY1429" s="110"/>
      <c r="CZ1429" s="110"/>
      <c r="DA1429" s="110"/>
      <c r="DB1429" s="110"/>
      <c r="DC1429" s="110"/>
      <c r="DD1429" s="110"/>
      <c r="DE1429" s="110"/>
      <c r="DF1429" s="110"/>
      <c r="DG1429" s="110"/>
      <c r="DH1429" s="110"/>
      <c r="DI1429" s="110"/>
      <c r="DJ1429" s="110"/>
      <c r="DK1429" s="110"/>
      <c r="DL1429" s="110"/>
      <c r="DM1429" s="110"/>
      <c r="DN1429" s="110"/>
      <c r="DO1429" s="110"/>
      <c r="DP1429" s="110"/>
      <c r="DQ1429" s="110"/>
      <c r="DR1429" s="110"/>
      <c r="DS1429" s="110"/>
      <c r="DT1429" s="110"/>
      <c r="DU1429" s="110"/>
      <c r="DV1429" s="110"/>
      <c r="DW1429" s="110"/>
      <c r="DX1429" s="110"/>
      <c r="DY1429" s="110"/>
      <c r="DZ1429" s="110"/>
      <c r="EA1429" s="110"/>
      <c r="EB1429" s="110"/>
      <c r="EC1429" s="110"/>
      <c r="ED1429" s="110"/>
      <c r="EF1429" s="264"/>
      <c r="EG1429" s="110"/>
      <c r="EH1429" s="110"/>
      <c r="EI1429" s="110"/>
      <c r="EJ1429" s="110"/>
      <c r="EK1429" s="266"/>
      <c r="EL1429" s="110"/>
      <c r="EM1429" s="110"/>
      <c r="EN1429" s="110"/>
      <c r="EO1429" s="110"/>
      <c r="EP1429" s="110"/>
      <c r="EQ1429" s="110"/>
      <c r="ER1429" s="110"/>
      <c r="ES1429" s="110"/>
      <c r="ET1429" s="110"/>
      <c r="EU1429" s="110"/>
      <c r="EV1429" s="110"/>
      <c r="EW1429" s="110"/>
      <c r="EX1429" s="110"/>
      <c r="EY1429" s="110"/>
      <c r="EZ1429" s="110"/>
      <c r="FA1429" s="110"/>
      <c r="FB1429" s="110"/>
      <c r="FC1429" s="110"/>
      <c r="FD1429" s="110"/>
      <c r="FE1429" s="110"/>
      <c r="FF1429" s="110"/>
      <c r="FG1429" s="110"/>
      <c r="FH1429" s="110"/>
      <c r="FI1429" s="110"/>
      <c r="FJ1429" s="110"/>
      <c r="FK1429" s="110"/>
      <c r="FL1429" s="110"/>
      <c r="FM1429" s="110"/>
      <c r="FN1429" s="110"/>
      <c r="FO1429" s="110"/>
      <c r="FP1429" s="110"/>
      <c r="FQ1429" s="110"/>
      <c r="FR1429" s="110"/>
      <c r="FS1429" s="110"/>
      <c r="FT1429" s="110"/>
      <c r="FU1429" s="110"/>
      <c r="FV1429" s="110"/>
      <c r="FW1429" s="110"/>
      <c r="FX1429" s="110"/>
      <c r="FY1429" s="110"/>
      <c r="FZ1429" s="110"/>
      <c r="GA1429" s="110"/>
      <c r="GB1429" s="110"/>
      <c r="GC1429" s="110"/>
      <c r="GD1429" s="110"/>
      <c r="GE1429" s="110"/>
      <c r="GF1429" s="110"/>
      <c r="GG1429" s="110"/>
      <c r="GH1429" s="110"/>
      <c r="GI1429" s="110"/>
      <c r="GJ1429" s="110"/>
      <c r="GK1429" s="110"/>
      <c r="GL1429" s="110"/>
      <c r="GM1429" s="110"/>
      <c r="GN1429" s="110"/>
      <c r="GO1429" s="110"/>
      <c r="GP1429" s="110"/>
      <c r="GQ1429" s="110"/>
      <c r="GR1429" s="110"/>
      <c r="GS1429" s="110"/>
      <c r="GT1429" s="110"/>
      <c r="GU1429" s="110"/>
      <c r="GV1429" s="110"/>
      <c r="GW1429" s="110"/>
      <c r="GX1429" s="110"/>
      <c r="GY1429" s="110"/>
      <c r="GZ1429" s="110"/>
      <c r="HA1429" s="110"/>
      <c r="HB1429" s="110"/>
      <c r="HC1429" s="110"/>
      <c r="HD1429" s="110"/>
      <c r="HE1429" s="110"/>
      <c r="HF1429" s="110"/>
      <c r="HG1429" s="110"/>
      <c r="HH1429" s="110"/>
      <c r="HI1429" s="110"/>
      <c r="HJ1429" s="110"/>
      <c r="HK1429" s="110"/>
      <c r="HL1429" s="110"/>
      <c r="HM1429" s="110"/>
      <c r="HN1429" s="110"/>
      <c r="HO1429" s="110"/>
      <c r="HP1429" s="110"/>
      <c r="HQ1429" s="110"/>
      <c r="HR1429" s="110"/>
      <c r="HS1429" s="110"/>
      <c r="HT1429" s="110"/>
      <c r="HU1429" s="110"/>
      <c r="HV1429" s="110"/>
      <c r="HW1429" s="110"/>
      <c r="HX1429" s="110"/>
      <c r="HY1429" s="110"/>
      <c r="HZ1429" s="110"/>
      <c r="IA1429" s="110"/>
      <c r="IB1429" s="110"/>
      <c r="IC1429" s="110"/>
      <c r="ID1429" s="110"/>
      <c r="IE1429" s="110"/>
      <c r="IF1429" s="110"/>
      <c r="IG1429" s="110"/>
      <c r="IH1429" s="110"/>
      <c r="II1429" s="110"/>
      <c r="IJ1429" s="110"/>
      <c r="IK1429" s="110"/>
      <c r="IL1429" s="110"/>
      <c r="IM1429" s="110"/>
      <c r="IN1429" s="110"/>
      <c r="IO1429" s="110"/>
      <c r="IP1429" s="110"/>
      <c r="IQ1429" s="110"/>
      <c r="IR1429" s="110"/>
    </row>
    <row r="1430" spans="18:252" ht="16.5" hidden="1" customHeight="1">
      <c r="R1430" s="264"/>
      <c r="S1430" s="110"/>
      <c r="T1430" s="110"/>
      <c r="U1430" s="110"/>
      <c r="V1430" s="110"/>
      <c r="W1430" s="266"/>
      <c r="X1430" s="110"/>
      <c r="Y1430" s="110"/>
      <c r="Z1430" s="110"/>
      <c r="AA1430" s="110"/>
      <c r="AB1430" s="110"/>
      <c r="AC1430" s="110"/>
      <c r="AD1430" s="110"/>
      <c r="AE1430" s="110"/>
      <c r="AF1430" s="110"/>
      <c r="AG1430" s="110"/>
      <c r="AH1430" s="110"/>
      <c r="AI1430" s="110"/>
      <c r="AJ1430" s="110"/>
      <c r="AK1430" s="110"/>
      <c r="AL1430" s="110"/>
      <c r="AM1430" s="110"/>
      <c r="AN1430" s="110"/>
      <c r="AO1430" s="110"/>
      <c r="AP1430" s="110"/>
      <c r="AQ1430" s="110"/>
      <c r="AR1430" s="110"/>
      <c r="AS1430" s="110"/>
      <c r="AT1430" s="110"/>
      <c r="AU1430" s="110"/>
      <c r="AV1430" s="110"/>
      <c r="AW1430" s="110"/>
      <c r="AX1430" s="110"/>
      <c r="AY1430" s="110"/>
      <c r="AZ1430" s="110"/>
      <c r="BA1430" s="110"/>
      <c r="BB1430" s="110"/>
      <c r="BC1430" s="110"/>
      <c r="BD1430" s="110"/>
      <c r="BE1430" s="110"/>
      <c r="BF1430" s="110"/>
      <c r="BG1430" s="110"/>
      <c r="BH1430" s="110"/>
      <c r="BI1430" s="110"/>
      <c r="BJ1430" s="110"/>
      <c r="BK1430" s="110"/>
      <c r="BL1430" s="110"/>
      <c r="BM1430" s="110"/>
      <c r="BN1430" s="110"/>
      <c r="BO1430" s="110"/>
      <c r="BP1430" s="110"/>
      <c r="BQ1430" s="110"/>
      <c r="BR1430" s="110"/>
      <c r="BS1430" s="110"/>
      <c r="BT1430" s="110"/>
      <c r="BU1430" s="110"/>
      <c r="BV1430" s="110"/>
      <c r="BW1430" s="110"/>
      <c r="BX1430" s="110"/>
      <c r="BY1430" s="110"/>
      <c r="BZ1430" s="110"/>
      <c r="CA1430" s="110"/>
      <c r="CB1430" s="110"/>
      <c r="CC1430" s="110"/>
      <c r="CD1430" s="110"/>
      <c r="CE1430" s="110"/>
      <c r="CF1430" s="110"/>
      <c r="CG1430" s="110"/>
      <c r="CH1430" s="110"/>
      <c r="CI1430" s="110"/>
      <c r="CJ1430" s="110"/>
      <c r="CK1430" s="110"/>
      <c r="CL1430" s="110"/>
      <c r="CM1430" s="110"/>
      <c r="CN1430" s="110"/>
      <c r="CO1430" s="110"/>
      <c r="CP1430" s="110"/>
      <c r="CQ1430" s="110"/>
      <c r="CR1430" s="110"/>
      <c r="CS1430" s="110"/>
      <c r="CT1430" s="110"/>
      <c r="CU1430" s="110"/>
      <c r="CV1430" s="110"/>
      <c r="CW1430" s="110"/>
      <c r="CX1430" s="110"/>
      <c r="CY1430" s="110"/>
      <c r="CZ1430" s="110"/>
      <c r="DA1430" s="110"/>
      <c r="DB1430" s="110"/>
      <c r="DC1430" s="110"/>
      <c r="DD1430" s="110"/>
      <c r="DE1430" s="110"/>
      <c r="DF1430" s="110"/>
      <c r="DG1430" s="110"/>
      <c r="DH1430" s="110"/>
      <c r="DI1430" s="110"/>
      <c r="DJ1430" s="110"/>
      <c r="DK1430" s="110"/>
      <c r="DL1430" s="110"/>
      <c r="DM1430" s="110"/>
      <c r="DN1430" s="110"/>
      <c r="DO1430" s="110"/>
      <c r="DP1430" s="110"/>
      <c r="DQ1430" s="110"/>
      <c r="DR1430" s="110"/>
      <c r="DS1430" s="110"/>
      <c r="DT1430" s="110"/>
      <c r="DU1430" s="110"/>
      <c r="DV1430" s="110"/>
      <c r="DW1430" s="110"/>
      <c r="DX1430" s="110"/>
      <c r="DY1430" s="110"/>
      <c r="DZ1430" s="110"/>
      <c r="EA1430" s="110"/>
      <c r="EB1430" s="110"/>
      <c r="EC1430" s="110"/>
      <c r="ED1430" s="110"/>
      <c r="EF1430" s="264"/>
      <c r="EG1430" s="110"/>
      <c r="EH1430" s="110"/>
      <c r="EI1430" s="110"/>
      <c r="EJ1430" s="110"/>
      <c r="EK1430" s="266"/>
      <c r="EL1430" s="110"/>
      <c r="EM1430" s="110"/>
      <c r="EN1430" s="110"/>
      <c r="EO1430" s="110"/>
      <c r="EP1430" s="110"/>
      <c r="EQ1430" s="110"/>
      <c r="ER1430" s="110"/>
      <c r="ES1430" s="110"/>
      <c r="ET1430" s="110"/>
      <c r="EU1430" s="110"/>
      <c r="EV1430" s="110"/>
      <c r="EW1430" s="110"/>
      <c r="EX1430" s="110"/>
      <c r="EY1430" s="110"/>
      <c r="EZ1430" s="110"/>
      <c r="FA1430" s="110"/>
      <c r="FB1430" s="110"/>
      <c r="FC1430" s="110"/>
      <c r="FD1430" s="110"/>
      <c r="FE1430" s="110"/>
      <c r="FF1430" s="110"/>
      <c r="FG1430" s="110"/>
      <c r="FH1430" s="110"/>
      <c r="FI1430" s="110"/>
      <c r="FJ1430" s="110"/>
      <c r="FK1430" s="110"/>
      <c r="FL1430" s="110"/>
      <c r="FM1430" s="110"/>
      <c r="FN1430" s="110"/>
      <c r="FO1430" s="110"/>
      <c r="FP1430" s="110"/>
      <c r="FQ1430" s="110"/>
      <c r="FR1430" s="110"/>
      <c r="FS1430" s="110"/>
      <c r="FT1430" s="110"/>
      <c r="FU1430" s="110"/>
      <c r="FV1430" s="110"/>
      <c r="FW1430" s="110"/>
      <c r="FX1430" s="110"/>
      <c r="FY1430" s="110"/>
      <c r="FZ1430" s="110"/>
      <c r="GA1430" s="110"/>
      <c r="GB1430" s="110"/>
      <c r="GC1430" s="110"/>
      <c r="GD1430" s="110"/>
      <c r="GE1430" s="110"/>
      <c r="GF1430" s="110"/>
      <c r="GG1430" s="110"/>
      <c r="GH1430" s="110"/>
      <c r="GI1430" s="110"/>
      <c r="GJ1430" s="110"/>
      <c r="GK1430" s="110"/>
      <c r="GL1430" s="110"/>
      <c r="GM1430" s="110"/>
      <c r="GN1430" s="110"/>
      <c r="GO1430" s="110"/>
      <c r="GP1430" s="110"/>
      <c r="GQ1430" s="110"/>
      <c r="GR1430" s="110"/>
      <c r="GS1430" s="110"/>
      <c r="GT1430" s="110"/>
      <c r="GU1430" s="110"/>
      <c r="GV1430" s="110"/>
      <c r="GW1430" s="110"/>
      <c r="GX1430" s="110"/>
      <c r="GY1430" s="110"/>
      <c r="GZ1430" s="110"/>
      <c r="HA1430" s="110"/>
      <c r="HB1430" s="110"/>
      <c r="HC1430" s="110"/>
      <c r="HD1430" s="110"/>
      <c r="HE1430" s="110"/>
      <c r="HF1430" s="110"/>
      <c r="HG1430" s="110"/>
      <c r="HH1430" s="110"/>
      <c r="HI1430" s="110"/>
      <c r="HJ1430" s="110"/>
      <c r="HK1430" s="110"/>
      <c r="HL1430" s="110"/>
      <c r="HM1430" s="110"/>
      <c r="HN1430" s="110"/>
      <c r="HO1430" s="110"/>
      <c r="HP1430" s="110"/>
      <c r="HQ1430" s="110"/>
      <c r="HR1430" s="110"/>
      <c r="HS1430" s="110"/>
      <c r="HT1430" s="110"/>
      <c r="HU1430" s="110"/>
      <c r="HV1430" s="110"/>
      <c r="HW1430" s="110"/>
      <c r="HX1430" s="110"/>
      <c r="HY1430" s="110"/>
      <c r="HZ1430" s="110"/>
      <c r="IA1430" s="110"/>
      <c r="IB1430" s="110"/>
      <c r="IC1430" s="110"/>
      <c r="ID1430" s="110"/>
      <c r="IE1430" s="110"/>
      <c r="IF1430" s="110"/>
      <c r="IG1430" s="110"/>
      <c r="IH1430" s="110"/>
      <c r="II1430" s="110"/>
      <c r="IJ1430" s="110"/>
      <c r="IK1430" s="110"/>
      <c r="IL1430" s="110"/>
      <c r="IM1430" s="110"/>
      <c r="IN1430" s="110"/>
      <c r="IO1430" s="110"/>
      <c r="IP1430" s="110"/>
      <c r="IQ1430" s="110"/>
      <c r="IR1430" s="110"/>
    </row>
    <row r="1431" spans="18:252" ht="16.5" hidden="1" customHeight="1">
      <c r="R1431" s="264"/>
      <c r="S1431" s="110"/>
      <c r="T1431" s="110"/>
      <c r="U1431" s="110"/>
      <c r="V1431" s="110"/>
      <c r="W1431" s="266"/>
      <c r="X1431" s="110"/>
      <c r="Y1431" s="110"/>
      <c r="Z1431" s="110"/>
      <c r="AA1431" s="110"/>
      <c r="AB1431" s="110"/>
      <c r="AC1431" s="110"/>
      <c r="AD1431" s="110"/>
      <c r="AE1431" s="110"/>
      <c r="AF1431" s="110"/>
      <c r="AG1431" s="110"/>
      <c r="AH1431" s="110"/>
      <c r="AI1431" s="110"/>
      <c r="AJ1431" s="110"/>
      <c r="AK1431" s="110"/>
      <c r="AL1431" s="110"/>
      <c r="AM1431" s="110"/>
      <c r="AN1431" s="110"/>
      <c r="AO1431" s="110"/>
      <c r="AP1431" s="110"/>
      <c r="AQ1431" s="110"/>
      <c r="AR1431" s="110"/>
      <c r="AS1431" s="110"/>
      <c r="AT1431" s="110"/>
      <c r="AU1431" s="110"/>
      <c r="AV1431" s="110"/>
      <c r="AW1431" s="110"/>
      <c r="AX1431" s="110"/>
      <c r="AY1431" s="110"/>
      <c r="AZ1431" s="110"/>
      <c r="BA1431" s="110"/>
      <c r="BB1431" s="110"/>
      <c r="BC1431" s="110"/>
      <c r="BD1431" s="110"/>
      <c r="BE1431" s="110"/>
      <c r="BF1431" s="110"/>
      <c r="BG1431" s="110"/>
      <c r="BH1431" s="110"/>
      <c r="BI1431" s="110"/>
      <c r="BJ1431" s="110"/>
      <c r="BK1431" s="110"/>
      <c r="BL1431" s="110"/>
      <c r="BM1431" s="110"/>
      <c r="BN1431" s="110"/>
      <c r="BO1431" s="110"/>
      <c r="BP1431" s="110"/>
      <c r="BQ1431" s="110"/>
      <c r="BR1431" s="110"/>
      <c r="BS1431" s="110"/>
      <c r="BT1431" s="110"/>
      <c r="BU1431" s="110"/>
      <c r="BV1431" s="110"/>
      <c r="BW1431" s="110"/>
      <c r="BX1431" s="110"/>
      <c r="BY1431" s="110"/>
      <c r="BZ1431" s="110"/>
      <c r="CA1431" s="110"/>
      <c r="CB1431" s="110"/>
      <c r="CC1431" s="110"/>
      <c r="CD1431" s="110"/>
      <c r="CE1431" s="110"/>
      <c r="CF1431" s="110"/>
      <c r="CG1431" s="110"/>
      <c r="CH1431" s="110"/>
      <c r="CI1431" s="110"/>
      <c r="CJ1431" s="110"/>
      <c r="CK1431" s="110"/>
      <c r="CL1431" s="110"/>
      <c r="CM1431" s="110"/>
      <c r="CN1431" s="110"/>
      <c r="CO1431" s="110"/>
      <c r="CP1431" s="110"/>
      <c r="CQ1431" s="110"/>
      <c r="CR1431" s="110"/>
      <c r="CS1431" s="110"/>
      <c r="CT1431" s="110"/>
      <c r="CU1431" s="110"/>
      <c r="CV1431" s="110"/>
      <c r="CW1431" s="110"/>
      <c r="CX1431" s="110"/>
      <c r="CY1431" s="110"/>
      <c r="CZ1431" s="110"/>
      <c r="DA1431" s="110"/>
      <c r="DB1431" s="110"/>
      <c r="DC1431" s="110"/>
      <c r="DD1431" s="110"/>
      <c r="DE1431" s="110"/>
      <c r="DF1431" s="110"/>
      <c r="DG1431" s="110"/>
      <c r="DH1431" s="110"/>
      <c r="DI1431" s="110"/>
      <c r="DJ1431" s="110"/>
      <c r="DK1431" s="110"/>
      <c r="DL1431" s="110"/>
      <c r="DM1431" s="110"/>
      <c r="DN1431" s="110"/>
      <c r="DO1431" s="110"/>
      <c r="DP1431" s="110"/>
      <c r="DQ1431" s="110"/>
      <c r="DR1431" s="110"/>
      <c r="DS1431" s="110"/>
      <c r="DT1431" s="110"/>
      <c r="DU1431" s="110"/>
      <c r="DV1431" s="110"/>
      <c r="DW1431" s="110"/>
      <c r="DX1431" s="110"/>
      <c r="DY1431" s="110"/>
      <c r="DZ1431" s="110"/>
      <c r="EA1431" s="110"/>
      <c r="EB1431" s="110"/>
      <c r="EC1431" s="110"/>
      <c r="ED1431" s="110"/>
      <c r="EF1431" s="264"/>
      <c r="EG1431" s="110"/>
      <c r="EH1431" s="110"/>
      <c r="EI1431" s="110"/>
      <c r="EJ1431" s="110"/>
      <c r="EK1431" s="266"/>
      <c r="EL1431" s="110"/>
      <c r="EM1431" s="110"/>
      <c r="EN1431" s="110"/>
      <c r="EO1431" s="110"/>
      <c r="EP1431" s="110"/>
      <c r="EQ1431" s="110"/>
      <c r="ER1431" s="110"/>
      <c r="ES1431" s="110"/>
      <c r="ET1431" s="110"/>
      <c r="EU1431" s="110"/>
      <c r="EV1431" s="110"/>
      <c r="EW1431" s="110"/>
      <c r="EX1431" s="110"/>
      <c r="EY1431" s="110"/>
      <c r="EZ1431" s="110"/>
      <c r="FA1431" s="110"/>
      <c r="FB1431" s="110"/>
      <c r="FC1431" s="110"/>
      <c r="FD1431" s="110"/>
      <c r="FE1431" s="110"/>
      <c r="FF1431" s="110"/>
      <c r="FG1431" s="110"/>
      <c r="FH1431" s="110"/>
      <c r="FI1431" s="110"/>
      <c r="FJ1431" s="110"/>
      <c r="FK1431" s="110"/>
      <c r="FL1431" s="110"/>
      <c r="FM1431" s="110"/>
      <c r="FN1431" s="110"/>
      <c r="FO1431" s="110"/>
      <c r="FP1431" s="110"/>
      <c r="FQ1431" s="110"/>
      <c r="FR1431" s="110"/>
      <c r="FS1431" s="110"/>
      <c r="FT1431" s="110"/>
      <c r="FU1431" s="110"/>
      <c r="FV1431" s="110"/>
      <c r="FW1431" s="110"/>
      <c r="FX1431" s="110"/>
      <c r="FY1431" s="110"/>
      <c r="FZ1431" s="110"/>
      <c r="GA1431" s="110"/>
      <c r="GB1431" s="110"/>
      <c r="GC1431" s="110"/>
      <c r="GD1431" s="110"/>
      <c r="GE1431" s="110"/>
      <c r="GF1431" s="110"/>
      <c r="GG1431" s="110"/>
      <c r="GH1431" s="110"/>
      <c r="GI1431" s="110"/>
      <c r="GJ1431" s="110"/>
      <c r="GK1431" s="110"/>
      <c r="GL1431" s="110"/>
      <c r="GM1431" s="110"/>
      <c r="GN1431" s="110"/>
      <c r="GO1431" s="110"/>
      <c r="GP1431" s="110"/>
      <c r="GQ1431" s="110"/>
      <c r="GR1431" s="110"/>
      <c r="GS1431" s="110"/>
      <c r="GT1431" s="110"/>
      <c r="GU1431" s="110"/>
      <c r="GV1431" s="110"/>
      <c r="GW1431" s="110"/>
      <c r="GX1431" s="110"/>
      <c r="GY1431" s="110"/>
      <c r="GZ1431" s="110"/>
      <c r="HA1431" s="110"/>
      <c r="HB1431" s="110"/>
      <c r="HC1431" s="110"/>
      <c r="HD1431" s="110"/>
      <c r="HE1431" s="110"/>
      <c r="HF1431" s="110"/>
      <c r="HG1431" s="110"/>
      <c r="HH1431" s="110"/>
      <c r="HI1431" s="110"/>
      <c r="HJ1431" s="110"/>
      <c r="HK1431" s="110"/>
      <c r="HL1431" s="110"/>
      <c r="HM1431" s="110"/>
      <c r="HN1431" s="110"/>
      <c r="HO1431" s="110"/>
      <c r="HP1431" s="110"/>
      <c r="HQ1431" s="110"/>
      <c r="HR1431" s="110"/>
      <c r="HS1431" s="110"/>
      <c r="HT1431" s="110"/>
      <c r="HU1431" s="110"/>
      <c r="HV1431" s="110"/>
      <c r="HW1431" s="110"/>
      <c r="HX1431" s="110"/>
      <c r="HY1431" s="110"/>
      <c r="HZ1431" s="110"/>
      <c r="IA1431" s="110"/>
      <c r="IB1431" s="110"/>
      <c r="IC1431" s="110"/>
      <c r="ID1431" s="110"/>
      <c r="IE1431" s="110"/>
      <c r="IF1431" s="110"/>
      <c r="IG1431" s="110"/>
      <c r="IH1431" s="110"/>
      <c r="II1431" s="110"/>
      <c r="IJ1431" s="110"/>
      <c r="IK1431" s="110"/>
      <c r="IL1431" s="110"/>
      <c r="IM1431" s="110"/>
      <c r="IN1431" s="110"/>
      <c r="IO1431" s="110"/>
      <c r="IP1431" s="110"/>
      <c r="IQ1431" s="110"/>
      <c r="IR1431" s="110"/>
    </row>
    <row r="1432" spans="18:252" ht="16.5" hidden="1" customHeight="1">
      <c r="R1432" s="264"/>
      <c r="S1432" s="110"/>
      <c r="T1432" s="110"/>
      <c r="U1432" s="110"/>
      <c r="V1432" s="110"/>
      <c r="W1432" s="266"/>
      <c r="X1432" s="110"/>
      <c r="Y1432" s="110"/>
      <c r="Z1432" s="110"/>
      <c r="AA1432" s="110"/>
      <c r="AB1432" s="110"/>
      <c r="AC1432" s="110"/>
      <c r="AD1432" s="110"/>
      <c r="AE1432" s="110"/>
      <c r="AF1432" s="110"/>
      <c r="AG1432" s="110"/>
      <c r="AH1432" s="110"/>
      <c r="AI1432" s="110"/>
      <c r="AJ1432" s="110"/>
      <c r="AK1432" s="110"/>
      <c r="AL1432" s="110"/>
      <c r="AM1432" s="110"/>
      <c r="AN1432" s="110"/>
      <c r="AO1432" s="110"/>
      <c r="AP1432" s="110"/>
      <c r="AQ1432" s="110"/>
      <c r="AR1432" s="110"/>
      <c r="AS1432" s="110"/>
      <c r="AT1432" s="110"/>
      <c r="AU1432" s="110"/>
      <c r="AV1432" s="110"/>
      <c r="AW1432" s="110"/>
      <c r="AX1432" s="110"/>
      <c r="AY1432" s="110"/>
      <c r="AZ1432" s="110"/>
      <c r="BA1432" s="110"/>
      <c r="BB1432" s="110"/>
      <c r="BC1432" s="110"/>
      <c r="BD1432" s="110"/>
      <c r="BE1432" s="110"/>
      <c r="BF1432" s="110"/>
      <c r="BG1432" s="110"/>
      <c r="BH1432" s="110"/>
      <c r="BI1432" s="110"/>
      <c r="BJ1432" s="110"/>
      <c r="BK1432" s="110"/>
      <c r="BL1432" s="110"/>
      <c r="BM1432" s="110"/>
      <c r="BN1432" s="110"/>
      <c r="BO1432" s="110"/>
      <c r="BP1432" s="110"/>
      <c r="BQ1432" s="110"/>
      <c r="BR1432" s="110"/>
      <c r="BS1432" s="110"/>
      <c r="BT1432" s="110"/>
      <c r="BU1432" s="110"/>
      <c r="BV1432" s="110"/>
      <c r="BW1432" s="110"/>
      <c r="BX1432" s="110"/>
      <c r="BY1432" s="110"/>
      <c r="BZ1432" s="110"/>
      <c r="CA1432" s="110"/>
      <c r="CB1432" s="110"/>
      <c r="CC1432" s="110"/>
      <c r="CD1432" s="110"/>
      <c r="CE1432" s="110"/>
      <c r="CF1432" s="110"/>
      <c r="CG1432" s="110"/>
      <c r="CH1432" s="110"/>
      <c r="CI1432" s="110"/>
      <c r="CJ1432" s="110"/>
      <c r="CK1432" s="110"/>
      <c r="CL1432" s="110"/>
      <c r="CM1432" s="110"/>
      <c r="CN1432" s="110"/>
      <c r="CO1432" s="110"/>
      <c r="CP1432" s="110"/>
      <c r="CQ1432" s="110"/>
      <c r="CR1432" s="110"/>
      <c r="CS1432" s="110"/>
      <c r="CT1432" s="110"/>
      <c r="CU1432" s="110"/>
      <c r="CV1432" s="110"/>
      <c r="CW1432" s="110"/>
      <c r="CX1432" s="110"/>
      <c r="CY1432" s="110"/>
      <c r="CZ1432" s="110"/>
      <c r="DA1432" s="110"/>
      <c r="DB1432" s="110"/>
      <c r="DC1432" s="110"/>
      <c r="DD1432" s="110"/>
      <c r="DE1432" s="110"/>
      <c r="DF1432" s="110"/>
      <c r="DG1432" s="110"/>
      <c r="DH1432" s="110"/>
      <c r="DI1432" s="110"/>
      <c r="DJ1432" s="110"/>
      <c r="DK1432" s="110"/>
      <c r="DL1432" s="110"/>
      <c r="DM1432" s="110"/>
      <c r="DN1432" s="110"/>
      <c r="DO1432" s="110"/>
      <c r="DP1432" s="110"/>
      <c r="DQ1432" s="110"/>
      <c r="DR1432" s="110"/>
      <c r="DS1432" s="110"/>
      <c r="DT1432" s="110"/>
      <c r="DU1432" s="110"/>
      <c r="DV1432" s="110"/>
      <c r="DW1432" s="110"/>
      <c r="DX1432" s="110"/>
      <c r="DY1432" s="110"/>
      <c r="DZ1432" s="110"/>
      <c r="EA1432" s="110"/>
      <c r="EB1432" s="110"/>
      <c r="EC1432" s="110"/>
      <c r="ED1432" s="110"/>
      <c r="EF1432" s="264"/>
      <c r="EG1432" s="110"/>
      <c r="EH1432" s="110"/>
      <c r="EI1432" s="110"/>
      <c r="EJ1432" s="110"/>
      <c r="EK1432" s="266"/>
      <c r="EL1432" s="110"/>
      <c r="EM1432" s="110"/>
      <c r="EN1432" s="110"/>
      <c r="EO1432" s="110"/>
      <c r="EP1432" s="110"/>
      <c r="EQ1432" s="110"/>
      <c r="ER1432" s="110"/>
      <c r="ES1432" s="110"/>
      <c r="ET1432" s="110"/>
      <c r="EU1432" s="110"/>
      <c r="EV1432" s="110"/>
      <c r="EW1432" s="110"/>
      <c r="EX1432" s="110"/>
      <c r="EY1432" s="110"/>
      <c r="EZ1432" s="110"/>
      <c r="FA1432" s="110"/>
      <c r="FB1432" s="110"/>
      <c r="FC1432" s="110"/>
      <c r="FD1432" s="110"/>
      <c r="FE1432" s="110"/>
      <c r="FF1432" s="110"/>
      <c r="FG1432" s="110"/>
      <c r="FH1432" s="110"/>
      <c r="FI1432" s="110"/>
      <c r="FJ1432" s="110"/>
      <c r="FK1432" s="110"/>
      <c r="FL1432" s="110"/>
      <c r="FM1432" s="110"/>
      <c r="FN1432" s="110"/>
      <c r="FO1432" s="110"/>
      <c r="FP1432" s="110"/>
      <c r="FQ1432" s="110"/>
      <c r="FR1432" s="110"/>
      <c r="FS1432" s="110"/>
      <c r="FT1432" s="110"/>
      <c r="FU1432" s="110"/>
      <c r="FV1432" s="110"/>
      <c r="FW1432" s="110"/>
      <c r="FX1432" s="110"/>
      <c r="FY1432" s="110"/>
      <c r="FZ1432" s="110"/>
      <c r="GA1432" s="110"/>
      <c r="GB1432" s="110"/>
      <c r="GC1432" s="110"/>
      <c r="GD1432" s="110"/>
      <c r="GE1432" s="110"/>
      <c r="GF1432" s="110"/>
      <c r="GG1432" s="110"/>
      <c r="GH1432" s="110"/>
      <c r="GI1432" s="110"/>
      <c r="GJ1432" s="110"/>
      <c r="GK1432" s="110"/>
      <c r="GL1432" s="110"/>
      <c r="GM1432" s="110"/>
      <c r="GN1432" s="110"/>
      <c r="GO1432" s="110"/>
      <c r="GP1432" s="110"/>
      <c r="GQ1432" s="110"/>
      <c r="GR1432" s="110"/>
      <c r="GS1432" s="110"/>
      <c r="GT1432" s="110"/>
      <c r="GU1432" s="110"/>
      <c r="GV1432" s="110"/>
      <c r="GW1432" s="110"/>
      <c r="GX1432" s="110"/>
      <c r="GY1432" s="110"/>
      <c r="GZ1432" s="110"/>
      <c r="HA1432" s="110"/>
      <c r="HB1432" s="110"/>
      <c r="HC1432" s="110"/>
      <c r="HD1432" s="110"/>
      <c r="HE1432" s="110"/>
      <c r="HF1432" s="110"/>
      <c r="HG1432" s="110"/>
      <c r="HH1432" s="110"/>
      <c r="HI1432" s="110"/>
      <c r="HJ1432" s="110"/>
      <c r="HK1432" s="110"/>
      <c r="HL1432" s="110"/>
      <c r="HM1432" s="110"/>
      <c r="HN1432" s="110"/>
      <c r="HO1432" s="110"/>
      <c r="HP1432" s="110"/>
      <c r="HQ1432" s="110"/>
      <c r="HR1432" s="110"/>
      <c r="HS1432" s="110"/>
      <c r="HT1432" s="110"/>
      <c r="HU1432" s="110"/>
      <c r="HV1432" s="110"/>
      <c r="HW1432" s="110"/>
      <c r="HX1432" s="110"/>
      <c r="HY1432" s="110"/>
      <c r="HZ1432" s="110"/>
      <c r="IA1432" s="110"/>
      <c r="IB1432" s="110"/>
      <c r="IC1432" s="110"/>
      <c r="ID1432" s="110"/>
      <c r="IE1432" s="110"/>
      <c r="IF1432" s="110"/>
      <c r="IG1432" s="110"/>
      <c r="IH1432" s="110"/>
      <c r="II1432" s="110"/>
      <c r="IJ1432" s="110"/>
      <c r="IK1432" s="110"/>
      <c r="IL1432" s="110"/>
      <c r="IM1432" s="110"/>
      <c r="IN1432" s="110"/>
      <c r="IO1432" s="110"/>
      <c r="IP1432" s="110"/>
      <c r="IQ1432" s="110"/>
      <c r="IR1432" s="110"/>
    </row>
    <row r="1433" spans="18:252" ht="16.5" hidden="1" customHeight="1">
      <c r="R1433" s="264"/>
      <c r="S1433" s="110"/>
      <c r="T1433" s="110"/>
      <c r="U1433" s="110"/>
      <c r="V1433" s="110"/>
      <c r="W1433" s="266"/>
      <c r="X1433" s="110"/>
      <c r="Y1433" s="110"/>
      <c r="Z1433" s="110"/>
      <c r="AA1433" s="110"/>
      <c r="AB1433" s="110"/>
      <c r="AC1433" s="110"/>
      <c r="AD1433" s="110"/>
      <c r="AE1433" s="110"/>
      <c r="AF1433" s="110"/>
      <c r="AG1433" s="110"/>
      <c r="AH1433" s="110"/>
      <c r="AI1433" s="110"/>
      <c r="AJ1433" s="110"/>
      <c r="AK1433" s="110"/>
      <c r="AL1433" s="110"/>
      <c r="AM1433" s="110"/>
      <c r="AN1433" s="110"/>
      <c r="AO1433" s="110"/>
      <c r="AP1433" s="110"/>
      <c r="AQ1433" s="110"/>
      <c r="AR1433" s="110"/>
      <c r="AS1433" s="110"/>
      <c r="AT1433" s="110"/>
      <c r="AU1433" s="110"/>
      <c r="AV1433" s="110"/>
      <c r="AW1433" s="110"/>
      <c r="AX1433" s="110"/>
      <c r="AY1433" s="110"/>
      <c r="AZ1433" s="110"/>
      <c r="BA1433" s="110"/>
      <c r="BB1433" s="110"/>
      <c r="BC1433" s="110"/>
      <c r="BD1433" s="110"/>
      <c r="BE1433" s="110"/>
      <c r="BF1433" s="110"/>
      <c r="BG1433" s="110"/>
      <c r="BH1433" s="110"/>
      <c r="BI1433" s="110"/>
      <c r="BJ1433" s="110"/>
      <c r="BK1433" s="110"/>
      <c r="BL1433" s="110"/>
      <c r="BM1433" s="110"/>
      <c r="BN1433" s="110"/>
      <c r="BO1433" s="110"/>
      <c r="BP1433" s="110"/>
      <c r="BQ1433" s="110"/>
      <c r="BR1433" s="110"/>
      <c r="BS1433" s="110"/>
      <c r="BT1433" s="110"/>
      <c r="BU1433" s="110"/>
      <c r="BV1433" s="110"/>
      <c r="BW1433" s="110"/>
      <c r="BX1433" s="110"/>
      <c r="BY1433" s="110"/>
      <c r="BZ1433" s="110"/>
      <c r="CA1433" s="110"/>
      <c r="CB1433" s="110"/>
      <c r="CC1433" s="110"/>
      <c r="CD1433" s="110"/>
      <c r="CE1433" s="110"/>
      <c r="CF1433" s="110"/>
      <c r="CG1433" s="110"/>
      <c r="CH1433" s="110"/>
      <c r="CI1433" s="110"/>
      <c r="CJ1433" s="110"/>
      <c r="CK1433" s="110"/>
      <c r="CL1433" s="110"/>
      <c r="CM1433" s="110"/>
      <c r="CN1433" s="110"/>
      <c r="CO1433" s="110"/>
      <c r="CP1433" s="110"/>
      <c r="CQ1433" s="110"/>
      <c r="CR1433" s="110"/>
      <c r="CS1433" s="110"/>
      <c r="CT1433" s="110"/>
      <c r="CU1433" s="110"/>
      <c r="CV1433" s="110"/>
      <c r="CW1433" s="110"/>
      <c r="CX1433" s="110"/>
      <c r="CY1433" s="110"/>
      <c r="CZ1433" s="110"/>
      <c r="DA1433" s="110"/>
      <c r="DB1433" s="110"/>
      <c r="DC1433" s="110"/>
      <c r="DD1433" s="110"/>
      <c r="DE1433" s="110"/>
      <c r="DF1433" s="110"/>
      <c r="DG1433" s="110"/>
      <c r="DH1433" s="110"/>
      <c r="DI1433" s="110"/>
      <c r="DJ1433" s="110"/>
      <c r="DK1433" s="110"/>
      <c r="DL1433" s="110"/>
      <c r="DM1433" s="110"/>
      <c r="DN1433" s="110"/>
      <c r="DO1433" s="110"/>
      <c r="DP1433" s="110"/>
      <c r="DQ1433" s="110"/>
      <c r="DR1433" s="110"/>
      <c r="DS1433" s="110"/>
      <c r="DT1433" s="110"/>
      <c r="DU1433" s="110"/>
      <c r="DV1433" s="110"/>
      <c r="DW1433" s="110"/>
      <c r="DX1433" s="110"/>
      <c r="DY1433" s="110"/>
      <c r="DZ1433" s="110"/>
      <c r="EA1433" s="110"/>
      <c r="EB1433" s="110"/>
      <c r="EC1433" s="110"/>
      <c r="ED1433" s="110"/>
      <c r="EF1433" s="264"/>
      <c r="EG1433" s="110"/>
      <c r="EH1433" s="110"/>
      <c r="EI1433" s="110"/>
      <c r="EJ1433" s="110"/>
      <c r="EK1433" s="266"/>
      <c r="EL1433" s="110"/>
      <c r="EM1433" s="110"/>
      <c r="EN1433" s="110"/>
      <c r="EO1433" s="110"/>
      <c r="EP1433" s="110"/>
      <c r="EQ1433" s="110"/>
      <c r="ER1433" s="110"/>
      <c r="ES1433" s="110"/>
      <c r="ET1433" s="110"/>
      <c r="EU1433" s="110"/>
      <c r="EV1433" s="110"/>
      <c r="EW1433" s="110"/>
      <c r="EX1433" s="110"/>
      <c r="EY1433" s="110"/>
      <c r="EZ1433" s="110"/>
      <c r="FA1433" s="110"/>
      <c r="FB1433" s="110"/>
      <c r="FC1433" s="110"/>
      <c r="FD1433" s="110"/>
      <c r="FE1433" s="110"/>
      <c r="FF1433" s="110"/>
      <c r="FG1433" s="110"/>
      <c r="FH1433" s="110"/>
      <c r="FI1433" s="110"/>
      <c r="FJ1433" s="110"/>
      <c r="FK1433" s="110"/>
      <c r="FL1433" s="110"/>
      <c r="FM1433" s="110"/>
      <c r="FN1433" s="110"/>
      <c r="FO1433" s="110"/>
      <c r="FP1433" s="110"/>
      <c r="FQ1433" s="110"/>
      <c r="FR1433" s="110"/>
      <c r="FS1433" s="110"/>
      <c r="FT1433" s="110"/>
      <c r="FU1433" s="110"/>
      <c r="FV1433" s="110"/>
      <c r="FW1433" s="110"/>
      <c r="FX1433" s="110"/>
      <c r="FY1433" s="110"/>
      <c r="FZ1433" s="110"/>
      <c r="GA1433" s="110"/>
      <c r="GB1433" s="110"/>
      <c r="GC1433" s="110"/>
      <c r="GD1433" s="110"/>
      <c r="GE1433" s="110"/>
      <c r="GF1433" s="110"/>
      <c r="GG1433" s="110"/>
      <c r="GH1433" s="110"/>
      <c r="GI1433" s="110"/>
      <c r="GJ1433" s="110"/>
      <c r="GK1433" s="110"/>
      <c r="GL1433" s="110"/>
      <c r="GM1433" s="110"/>
      <c r="GN1433" s="110"/>
      <c r="GO1433" s="110"/>
      <c r="GP1433" s="110"/>
      <c r="GQ1433" s="110"/>
      <c r="GR1433" s="110"/>
      <c r="GS1433" s="110"/>
      <c r="GT1433" s="110"/>
      <c r="GU1433" s="110"/>
      <c r="GV1433" s="110"/>
      <c r="GW1433" s="110"/>
      <c r="GX1433" s="110"/>
      <c r="GY1433" s="110"/>
      <c r="GZ1433" s="110"/>
      <c r="HA1433" s="110"/>
      <c r="HB1433" s="110"/>
      <c r="HC1433" s="110"/>
      <c r="HD1433" s="110"/>
      <c r="HE1433" s="110"/>
      <c r="HF1433" s="110"/>
      <c r="HG1433" s="110"/>
      <c r="HH1433" s="110"/>
      <c r="HI1433" s="110"/>
      <c r="HJ1433" s="110"/>
      <c r="HK1433" s="110"/>
      <c r="HL1433" s="110"/>
      <c r="HM1433" s="110"/>
      <c r="HN1433" s="110"/>
      <c r="HO1433" s="110"/>
      <c r="HP1433" s="110"/>
      <c r="HQ1433" s="110"/>
      <c r="HR1433" s="110"/>
      <c r="HS1433" s="110"/>
      <c r="HT1433" s="110"/>
      <c r="HU1433" s="110"/>
      <c r="HV1433" s="110"/>
      <c r="HW1433" s="110"/>
      <c r="HX1433" s="110"/>
      <c r="HY1433" s="110"/>
      <c r="HZ1433" s="110"/>
      <c r="IA1433" s="110"/>
      <c r="IB1433" s="110"/>
      <c r="IC1433" s="110"/>
      <c r="ID1433" s="110"/>
      <c r="IE1433" s="110"/>
      <c r="IF1433" s="110"/>
      <c r="IG1433" s="110"/>
      <c r="IH1433" s="110"/>
      <c r="II1433" s="110"/>
      <c r="IJ1433" s="110"/>
      <c r="IK1433" s="110"/>
      <c r="IL1433" s="110"/>
      <c r="IM1433" s="110"/>
      <c r="IN1433" s="110"/>
      <c r="IO1433" s="110"/>
      <c r="IP1433" s="110"/>
      <c r="IQ1433" s="110"/>
      <c r="IR1433" s="110"/>
    </row>
    <row r="1434" spans="18:252" ht="16.5" hidden="1" customHeight="1">
      <c r="R1434" s="264"/>
      <c r="S1434" s="110"/>
      <c r="T1434" s="110"/>
      <c r="U1434" s="110"/>
      <c r="V1434" s="110"/>
      <c r="W1434" s="266"/>
      <c r="X1434" s="110"/>
      <c r="Y1434" s="110"/>
      <c r="Z1434" s="110"/>
      <c r="AA1434" s="110"/>
      <c r="AB1434" s="110"/>
      <c r="AC1434" s="110"/>
      <c r="AD1434" s="110"/>
      <c r="AE1434" s="110"/>
      <c r="AF1434" s="110"/>
      <c r="AG1434" s="110"/>
      <c r="AH1434" s="110"/>
      <c r="AI1434" s="110"/>
      <c r="AJ1434" s="110"/>
      <c r="AK1434" s="110"/>
      <c r="AL1434" s="110"/>
      <c r="AM1434" s="110"/>
      <c r="AN1434" s="110"/>
      <c r="AO1434" s="110"/>
      <c r="AP1434" s="110"/>
      <c r="AQ1434" s="110"/>
      <c r="AR1434" s="110"/>
      <c r="AS1434" s="110"/>
      <c r="AT1434" s="110"/>
      <c r="AU1434" s="110"/>
      <c r="AV1434" s="110"/>
      <c r="AW1434" s="110"/>
      <c r="AX1434" s="110"/>
      <c r="AY1434" s="110"/>
      <c r="AZ1434" s="110"/>
      <c r="BA1434" s="110"/>
      <c r="BB1434" s="110"/>
      <c r="BC1434" s="110"/>
      <c r="BD1434" s="110"/>
      <c r="BE1434" s="110"/>
      <c r="BF1434" s="110"/>
      <c r="BG1434" s="110"/>
      <c r="BH1434" s="110"/>
      <c r="BI1434" s="110"/>
      <c r="BJ1434" s="110"/>
      <c r="BK1434" s="110"/>
      <c r="BL1434" s="110"/>
      <c r="BM1434" s="110"/>
      <c r="BN1434" s="110"/>
      <c r="BO1434" s="110"/>
      <c r="BP1434" s="110"/>
      <c r="BQ1434" s="110"/>
      <c r="BR1434" s="110"/>
      <c r="BS1434" s="110"/>
      <c r="BT1434" s="110"/>
      <c r="BU1434" s="110"/>
      <c r="BV1434" s="110"/>
      <c r="BW1434" s="110"/>
      <c r="BX1434" s="110"/>
      <c r="BY1434" s="110"/>
      <c r="BZ1434" s="110"/>
      <c r="CA1434" s="110"/>
      <c r="CB1434" s="110"/>
      <c r="CC1434" s="110"/>
      <c r="CD1434" s="110"/>
      <c r="CE1434" s="110"/>
      <c r="CF1434" s="110"/>
      <c r="CG1434" s="110"/>
      <c r="CH1434" s="110"/>
      <c r="CI1434" s="110"/>
      <c r="CJ1434" s="110"/>
      <c r="CK1434" s="110"/>
      <c r="CL1434" s="110"/>
      <c r="CM1434" s="110"/>
      <c r="CN1434" s="110"/>
      <c r="CO1434" s="110"/>
      <c r="CP1434" s="110"/>
      <c r="CQ1434" s="110"/>
      <c r="CR1434" s="110"/>
      <c r="CS1434" s="110"/>
      <c r="CT1434" s="110"/>
      <c r="CU1434" s="110"/>
      <c r="CV1434" s="110"/>
      <c r="CW1434" s="110"/>
      <c r="CX1434" s="110"/>
      <c r="CY1434" s="110"/>
      <c r="CZ1434" s="110"/>
      <c r="DA1434" s="110"/>
      <c r="DB1434" s="110"/>
      <c r="DC1434" s="110"/>
      <c r="DD1434" s="110"/>
      <c r="DE1434" s="110"/>
      <c r="DF1434" s="110"/>
      <c r="DG1434" s="110"/>
      <c r="DH1434" s="110"/>
      <c r="DI1434" s="110"/>
      <c r="DJ1434" s="110"/>
      <c r="DK1434" s="110"/>
      <c r="DL1434" s="110"/>
      <c r="DM1434" s="110"/>
      <c r="DN1434" s="110"/>
      <c r="DO1434" s="110"/>
      <c r="DP1434" s="110"/>
      <c r="DQ1434" s="110"/>
      <c r="DR1434" s="110"/>
      <c r="DS1434" s="110"/>
      <c r="DT1434" s="110"/>
      <c r="DU1434" s="110"/>
      <c r="DV1434" s="110"/>
      <c r="DW1434" s="110"/>
      <c r="DX1434" s="110"/>
      <c r="DY1434" s="110"/>
      <c r="DZ1434" s="110"/>
      <c r="EA1434" s="110"/>
      <c r="EB1434" s="110"/>
      <c r="EC1434" s="110"/>
      <c r="ED1434" s="110"/>
      <c r="EF1434" s="264"/>
      <c r="EG1434" s="110"/>
      <c r="EH1434" s="110"/>
      <c r="EI1434" s="110"/>
      <c r="EJ1434" s="110"/>
      <c r="EK1434" s="266"/>
      <c r="EL1434" s="110"/>
      <c r="EM1434" s="110"/>
      <c r="EN1434" s="110"/>
      <c r="EO1434" s="110"/>
      <c r="EP1434" s="110"/>
      <c r="EQ1434" s="110"/>
      <c r="ER1434" s="110"/>
      <c r="ES1434" s="110"/>
      <c r="ET1434" s="110"/>
      <c r="EU1434" s="110"/>
      <c r="EV1434" s="110"/>
      <c r="EW1434" s="110"/>
      <c r="EX1434" s="110"/>
      <c r="EY1434" s="110"/>
      <c r="EZ1434" s="110"/>
      <c r="FA1434" s="110"/>
      <c r="FB1434" s="110"/>
      <c r="FC1434" s="110"/>
      <c r="FD1434" s="110"/>
      <c r="FE1434" s="110"/>
      <c r="FF1434" s="110"/>
      <c r="FG1434" s="110"/>
      <c r="FH1434" s="110"/>
      <c r="FI1434" s="110"/>
      <c r="FJ1434" s="110"/>
      <c r="FK1434" s="110"/>
      <c r="FL1434" s="110"/>
      <c r="FM1434" s="110"/>
      <c r="FN1434" s="110"/>
      <c r="FO1434" s="110"/>
      <c r="FP1434" s="110"/>
      <c r="FQ1434" s="110"/>
      <c r="FR1434" s="110"/>
      <c r="FS1434" s="110"/>
      <c r="FT1434" s="110"/>
      <c r="FU1434" s="110"/>
      <c r="FV1434" s="110"/>
      <c r="FW1434" s="110"/>
      <c r="FX1434" s="110"/>
      <c r="FY1434" s="110"/>
      <c r="FZ1434" s="110"/>
      <c r="GA1434" s="110"/>
      <c r="GB1434" s="110"/>
      <c r="GC1434" s="110"/>
      <c r="GD1434" s="110"/>
      <c r="GE1434" s="110"/>
      <c r="GF1434" s="110"/>
      <c r="GG1434" s="110"/>
      <c r="GH1434" s="110"/>
      <c r="GI1434" s="110"/>
      <c r="GJ1434" s="110"/>
      <c r="GK1434" s="110"/>
      <c r="GL1434" s="110"/>
      <c r="GM1434" s="110"/>
      <c r="GN1434" s="110"/>
      <c r="GO1434" s="110"/>
      <c r="GP1434" s="110"/>
      <c r="GQ1434" s="110"/>
      <c r="GR1434" s="110"/>
      <c r="GS1434" s="110"/>
      <c r="GT1434" s="110"/>
      <c r="GU1434" s="110"/>
      <c r="GV1434" s="110"/>
      <c r="GW1434" s="110"/>
      <c r="GX1434" s="110"/>
      <c r="GY1434" s="110"/>
      <c r="GZ1434" s="110"/>
      <c r="HA1434" s="110"/>
      <c r="HB1434" s="110"/>
      <c r="HC1434" s="110"/>
      <c r="HD1434" s="110"/>
      <c r="HE1434" s="110"/>
      <c r="HF1434" s="110"/>
      <c r="HG1434" s="110"/>
      <c r="HH1434" s="110"/>
      <c r="HI1434" s="110"/>
      <c r="HJ1434" s="110"/>
      <c r="HK1434" s="110"/>
      <c r="HL1434" s="110"/>
      <c r="HM1434" s="110"/>
      <c r="HN1434" s="110"/>
      <c r="HO1434" s="110"/>
      <c r="HP1434" s="110"/>
      <c r="HQ1434" s="110"/>
      <c r="HR1434" s="110"/>
      <c r="HS1434" s="110"/>
      <c r="HT1434" s="110"/>
      <c r="HU1434" s="110"/>
      <c r="HV1434" s="110"/>
      <c r="HW1434" s="110"/>
      <c r="HX1434" s="110"/>
      <c r="HY1434" s="110"/>
      <c r="HZ1434" s="110"/>
      <c r="IA1434" s="110"/>
      <c r="IB1434" s="110"/>
      <c r="IC1434" s="110"/>
      <c r="ID1434" s="110"/>
      <c r="IE1434" s="110"/>
      <c r="IF1434" s="110"/>
      <c r="IG1434" s="110"/>
      <c r="IH1434" s="110"/>
      <c r="II1434" s="110"/>
      <c r="IJ1434" s="110"/>
      <c r="IK1434" s="110"/>
      <c r="IL1434" s="110"/>
      <c r="IM1434" s="110"/>
      <c r="IN1434" s="110"/>
      <c r="IO1434" s="110"/>
      <c r="IP1434" s="110"/>
      <c r="IQ1434" s="110"/>
      <c r="IR1434" s="110"/>
    </row>
    <row r="1435" spans="18:252" ht="16.5" hidden="1" customHeight="1">
      <c r="R1435" s="264"/>
      <c r="S1435" s="110"/>
      <c r="T1435" s="110"/>
      <c r="U1435" s="110"/>
      <c r="V1435" s="110"/>
      <c r="W1435" s="266"/>
      <c r="X1435" s="110"/>
      <c r="Y1435" s="110"/>
      <c r="Z1435" s="110"/>
      <c r="AA1435" s="110"/>
      <c r="AB1435" s="110"/>
      <c r="AC1435" s="110"/>
      <c r="AD1435" s="110"/>
      <c r="AE1435" s="110"/>
      <c r="AF1435" s="110"/>
      <c r="AG1435" s="110"/>
      <c r="AH1435" s="110"/>
      <c r="AI1435" s="110"/>
      <c r="AJ1435" s="110"/>
      <c r="AK1435" s="110"/>
      <c r="AL1435" s="110"/>
      <c r="AM1435" s="110"/>
      <c r="AN1435" s="110"/>
      <c r="AO1435" s="110"/>
      <c r="AP1435" s="110"/>
      <c r="AQ1435" s="110"/>
      <c r="AR1435" s="110"/>
      <c r="AS1435" s="110"/>
      <c r="AT1435" s="110"/>
      <c r="AU1435" s="110"/>
      <c r="AV1435" s="110"/>
      <c r="AW1435" s="110"/>
      <c r="AX1435" s="110"/>
      <c r="AY1435" s="110"/>
      <c r="AZ1435" s="110"/>
      <c r="BA1435" s="110"/>
      <c r="BB1435" s="110"/>
      <c r="BC1435" s="110"/>
      <c r="BD1435" s="110"/>
      <c r="BE1435" s="110"/>
      <c r="BF1435" s="110"/>
      <c r="BG1435" s="110"/>
      <c r="BH1435" s="110"/>
      <c r="BI1435" s="110"/>
      <c r="BJ1435" s="110"/>
      <c r="BK1435" s="110"/>
      <c r="BL1435" s="110"/>
      <c r="BM1435" s="110"/>
      <c r="BN1435" s="110"/>
      <c r="BO1435" s="110"/>
      <c r="BP1435" s="110"/>
      <c r="BQ1435" s="110"/>
      <c r="BR1435" s="110"/>
      <c r="BS1435" s="110"/>
      <c r="BT1435" s="110"/>
      <c r="BU1435" s="110"/>
      <c r="BV1435" s="110"/>
      <c r="BW1435" s="110"/>
      <c r="BX1435" s="110"/>
      <c r="BY1435" s="110"/>
      <c r="BZ1435" s="110"/>
      <c r="CA1435" s="110"/>
      <c r="CB1435" s="110"/>
      <c r="CC1435" s="110"/>
      <c r="CD1435" s="110"/>
      <c r="CE1435" s="110"/>
      <c r="CF1435" s="110"/>
      <c r="CG1435" s="110"/>
      <c r="CH1435" s="110"/>
      <c r="CI1435" s="110"/>
      <c r="CJ1435" s="110"/>
      <c r="CK1435" s="110"/>
      <c r="CL1435" s="110"/>
      <c r="CM1435" s="110"/>
      <c r="CN1435" s="110"/>
      <c r="CO1435" s="110"/>
      <c r="CP1435" s="110"/>
      <c r="CQ1435" s="110"/>
      <c r="CR1435" s="110"/>
      <c r="CS1435" s="110"/>
      <c r="CT1435" s="110"/>
      <c r="CU1435" s="110"/>
      <c r="CV1435" s="110"/>
      <c r="CW1435" s="110"/>
      <c r="CX1435" s="110"/>
      <c r="CY1435" s="110"/>
      <c r="CZ1435" s="110"/>
      <c r="DA1435" s="110"/>
      <c r="DB1435" s="110"/>
      <c r="DC1435" s="110"/>
      <c r="DD1435" s="110"/>
      <c r="DE1435" s="110"/>
      <c r="DF1435" s="110"/>
      <c r="DG1435" s="110"/>
      <c r="DH1435" s="110"/>
      <c r="DI1435" s="110"/>
      <c r="DJ1435" s="110"/>
      <c r="DK1435" s="110"/>
      <c r="DL1435" s="110"/>
      <c r="DM1435" s="110"/>
      <c r="DN1435" s="110"/>
      <c r="DO1435" s="110"/>
      <c r="DP1435" s="110"/>
      <c r="DQ1435" s="110"/>
      <c r="DR1435" s="110"/>
      <c r="DS1435" s="110"/>
      <c r="DT1435" s="110"/>
      <c r="DU1435" s="110"/>
      <c r="DV1435" s="110"/>
      <c r="DW1435" s="110"/>
      <c r="DX1435" s="110"/>
      <c r="DY1435" s="110"/>
      <c r="DZ1435" s="110"/>
      <c r="EA1435" s="110"/>
      <c r="EB1435" s="110"/>
      <c r="EC1435" s="110"/>
      <c r="ED1435" s="110"/>
      <c r="EF1435" s="264"/>
      <c r="EG1435" s="110"/>
      <c r="EH1435" s="110"/>
      <c r="EI1435" s="110"/>
      <c r="EJ1435" s="110"/>
      <c r="EK1435" s="266"/>
      <c r="EL1435" s="110"/>
      <c r="EM1435" s="110"/>
      <c r="EN1435" s="110"/>
      <c r="EO1435" s="110"/>
      <c r="EP1435" s="110"/>
      <c r="EQ1435" s="110"/>
      <c r="ER1435" s="110"/>
      <c r="ES1435" s="110"/>
      <c r="ET1435" s="110"/>
      <c r="EU1435" s="110"/>
      <c r="EV1435" s="110"/>
      <c r="EW1435" s="110"/>
      <c r="EX1435" s="110"/>
      <c r="EY1435" s="110"/>
      <c r="EZ1435" s="110"/>
      <c r="FA1435" s="110"/>
      <c r="FB1435" s="110"/>
      <c r="FC1435" s="110"/>
      <c r="FD1435" s="110"/>
      <c r="FE1435" s="110"/>
      <c r="FF1435" s="110"/>
      <c r="FG1435" s="110"/>
      <c r="FH1435" s="110"/>
      <c r="FI1435" s="110"/>
      <c r="FJ1435" s="110"/>
      <c r="FK1435" s="110"/>
      <c r="FL1435" s="110"/>
      <c r="FM1435" s="110"/>
      <c r="FN1435" s="110"/>
      <c r="FO1435" s="110"/>
      <c r="FP1435" s="110"/>
      <c r="FQ1435" s="110"/>
      <c r="FR1435" s="110"/>
      <c r="FS1435" s="110"/>
      <c r="FT1435" s="110"/>
      <c r="FU1435" s="110"/>
      <c r="FV1435" s="110"/>
      <c r="FW1435" s="110"/>
      <c r="FX1435" s="110"/>
      <c r="FY1435" s="110"/>
      <c r="FZ1435" s="110"/>
      <c r="GA1435" s="110"/>
      <c r="GB1435" s="110"/>
      <c r="GC1435" s="110"/>
      <c r="GD1435" s="110"/>
      <c r="GE1435" s="110"/>
      <c r="GF1435" s="110"/>
      <c r="GG1435" s="110"/>
      <c r="GH1435" s="110"/>
      <c r="GI1435" s="110"/>
      <c r="GJ1435" s="110"/>
      <c r="GK1435" s="110"/>
      <c r="GL1435" s="110"/>
      <c r="GM1435" s="110"/>
      <c r="GN1435" s="110"/>
      <c r="GO1435" s="110"/>
      <c r="GP1435" s="110"/>
      <c r="GQ1435" s="110"/>
      <c r="GR1435" s="110"/>
      <c r="GS1435" s="110"/>
      <c r="GT1435" s="110"/>
      <c r="GU1435" s="110"/>
      <c r="GV1435" s="110"/>
      <c r="GW1435" s="110"/>
      <c r="GX1435" s="110"/>
      <c r="GY1435" s="110"/>
      <c r="GZ1435" s="110"/>
      <c r="HA1435" s="110"/>
      <c r="HB1435" s="110"/>
      <c r="HC1435" s="110"/>
      <c r="HD1435" s="110"/>
      <c r="HE1435" s="110"/>
      <c r="HF1435" s="110"/>
      <c r="HG1435" s="110"/>
      <c r="HH1435" s="110"/>
      <c r="HI1435" s="110"/>
      <c r="HJ1435" s="110"/>
      <c r="HK1435" s="110"/>
      <c r="HL1435" s="110"/>
      <c r="HM1435" s="110"/>
      <c r="HN1435" s="110"/>
      <c r="HO1435" s="110"/>
      <c r="HP1435" s="110"/>
      <c r="HQ1435" s="110"/>
      <c r="HR1435" s="110"/>
      <c r="HS1435" s="110"/>
      <c r="HT1435" s="110"/>
      <c r="HU1435" s="110"/>
      <c r="HV1435" s="110"/>
      <c r="HW1435" s="110"/>
      <c r="HX1435" s="110"/>
      <c r="HY1435" s="110"/>
      <c r="HZ1435" s="110"/>
      <c r="IA1435" s="110"/>
      <c r="IB1435" s="110"/>
      <c r="IC1435" s="110"/>
      <c r="ID1435" s="110"/>
      <c r="IE1435" s="110"/>
      <c r="IF1435" s="110"/>
      <c r="IG1435" s="110"/>
      <c r="IH1435" s="110"/>
      <c r="II1435" s="110"/>
      <c r="IJ1435" s="110"/>
      <c r="IK1435" s="110"/>
      <c r="IL1435" s="110"/>
      <c r="IM1435" s="110"/>
      <c r="IN1435" s="110"/>
      <c r="IO1435" s="110"/>
      <c r="IP1435" s="110"/>
      <c r="IQ1435" s="110"/>
      <c r="IR1435" s="110"/>
    </row>
    <row r="1436" spans="18:252" ht="16.5" hidden="1" customHeight="1">
      <c r="R1436" s="264"/>
      <c r="S1436" s="110"/>
      <c r="T1436" s="110"/>
      <c r="U1436" s="110"/>
      <c r="V1436" s="110"/>
      <c r="W1436" s="266"/>
      <c r="X1436" s="110"/>
      <c r="Y1436" s="110"/>
      <c r="Z1436" s="110"/>
      <c r="AA1436" s="110"/>
      <c r="AB1436" s="110"/>
      <c r="AC1436" s="110"/>
      <c r="AD1436" s="110"/>
      <c r="AE1436" s="110"/>
      <c r="AF1436" s="110"/>
      <c r="AG1436" s="110"/>
      <c r="AH1436" s="110"/>
      <c r="AI1436" s="110"/>
      <c r="AJ1436" s="110"/>
      <c r="AK1436" s="110"/>
      <c r="AL1436" s="110"/>
      <c r="AM1436" s="110"/>
      <c r="AN1436" s="110"/>
      <c r="AO1436" s="110"/>
      <c r="AP1436" s="110"/>
      <c r="AQ1436" s="110"/>
      <c r="AR1436" s="110"/>
      <c r="AS1436" s="110"/>
      <c r="AT1436" s="110"/>
      <c r="AU1436" s="110"/>
      <c r="AV1436" s="110"/>
      <c r="AW1436" s="110"/>
      <c r="AX1436" s="110"/>
      <c r="AY1436" s="110"/>
      <c r="AZ1436" s="110"/>
      <c r="BA1436" s="110"/>
      <c r="BB1436" s="110"/>
      <c r="BC1436" s="110"/>
      <c r="BD1436" s="110"/>
      <c r="BE1436" s="110"/>
      <c r="BF1436" s="110"/>
      <c r="BG1436" s="110"/>
      <c r="BH1436" s="110"/>
      <c r="BI1436" s="110"/>
      <c r="BJ1436" s="110"/>
      <c r="BK1436" s="110"/>
      <c r="BL1436" s="110"/>
      <c r="BM1436" s="110"/>
      <c r="BN1436" s="110"/>
      <c r="BO1436" s="110"/>
      <c r="BP1436" s="110"/>
      <c r="BQ1436" s="110"/>
      <c r="BR1436" s="110"/>
      <c r="BS1436" s="110"/>
      <c r="BT1436" s="110"/>
      <c r="BU1436" s="110"/>
      <c r="BV1436" s="110"/>
      <c r="BW1436" s="110"/>
      <c r="BX1436" s="110"/>
      <c r="BY1436" s="110"/>
      <c r="BZ1436" s="110"/>
      <c r="CA1436" s="110"/>
      <c r="CB1436" s="110"/>
      <c r="CC1436" s="110"/>
      <c r="CD1436" s="110"/>
      <c r="CE1436" s="110"/>
      <c r="CF1436" s="110"/>
      <c r="CG1436" s="110"/>
      <c r="CH1436" s="110"/>
      <c r="CI1436" s="110"/>
      <c r="CJ1436" s="110"/>
      <c r="CK1436" s="110"/>
      <c r="CL1436" s="110"/>
      <c r="CM1436" s="110"/>
      <c r="CN1436" s="110"/>
      <c r="CO1436" s="110"/>
      <c r="CP1436" s="110"/>
      <c r="CQ1436" s="110"/>
      <c r="CR1436" s="110"/>
      <c r="CS1436" s="110"/>
      <c r="CT1436" s="110"/>
      <c r="CU1436" s="110"/>
      <c r="CV1436" s="110"/>
      <c r="CW1436" s="110"/>
      <c r="CX1436" s="110"/>
      <c r="CY1436" s="110"/>
      <c r="CZ1436" s="110"/>
      <c r="DA1436" s="110"/>
      <c r="DB1436" s="110"/>
      <c r="DC1436" s="110"/>
      <c r="DD1436" s="110"/>
      <c r="DE1436" s="110"/>
      <c r="DF1436" s="110"/>
      <c r="DG1436" s="110"/>
      <c r="DH1436" s="110"/>
      <c r="DI1436" s="110"/>
      <c r="DJ1436" s="110"/>
      <c r="DK1436" s="110"/>
      <c r="DL1436" s="110"/>
      <c r="DM1436" s="110"/>
      <c r="DN1436" s="110"/>
      <c r="DO1436" s="110"/>
      <c r="DP1436" s="110"/>
      <c r="DQ1436" s="110"/>
      <c r="DR1436" s="110"/>
      <c r="DS1436" s="110"/>
      <c r="DT1436" s="110"/>
      <c r="DU1436" s="110"/>
      <c r="DV1436" s="110"/>
      <c r="DW1436" s="110"/>
      <c r="DX1436" s="110"/>
      <c r="DY1436" s="110"/>
      <c r="DZ1436" s="110"/>
      <c r="EA1436" s="110"/>
      <c r="EB1436" s="110"/>
      <c r="EC1436" s="110"/>
      <c r="ED1436" s="110"/>
      <c r="EF1436" s="264"/>
      <c r="EG1436" s="110"/>
      <c r="EH1436" s="110"/>
      <c r="EI1436" s="110"/>
      <c r="EJ1436" s="110"/>
      <c r="EK1436" s="266"/>
      <c r="EL1436" s="110"/>
      <c r="EM1436" s="110"/>
      <c r="EN1436" s="110"/>
      <c r="EO1436" s="110"/>
      <c r="EP1436" s="110"/>
      <c r="EQ1436" s="110"/>
      <c r="ER1436" s="110"/>
      <c r="ES1436" s="110"/>
      <c r="ET1436" s="110"/>
      <c r="EU1436" s="110"/>
      <c r="EV1436" s="110"/>
      <c r="EW1436" s="110"/>
      <c r="EX1436" s="110"/>
      <c r="EY1436" s="110"/>
      <c r="EZ1436" s="110"/>
      <c r="FA1436" s="110"/>
      <c r="FB1436" s="110"/>
      <c r="FC1436" s="110"/>
      <c r="FD1436" s="110"/>
      <c r="FE1436" s="110"/>
      <c r="FF1436" s="110"/>
      <c r="FG1436" s="110"/>
      <c r="FH1436" s="110"/>
      <c r="FI1436" s="110"/>
      <c r="FJ1436" s="110"/>
      <c r="FK1436" s="110"/>
      <c r="FL1436" s="110"/>
      <c r="FM1436" s="110"/>
      <c r="FN1436" s="110"/>
      <c r="FO1436" s="110"/>
      <c r="FP1436" s="110"/>
      <c r="FQ1436" s="110"/>
      <c r="FR1436" s="110"/>
      <c r="FS1436" s="110"/>
      <c r="FT1436" s="110"/>
      <c r="FU1436" s="110"/>
      <c r="FV1436" s="110"/>
      <c r="FW1436" s="110"/>
      <c r="FX1436" s="110"/>
      <c r="FY1436" s="110"/>
      <c r="FZ1436" s="110"/>
      <c r="GA1436" s="110"/>
      <c r="GB1436" s="110"/>
      <c r="GC1436" s="110"/>
      <c r="GD1436" s="110"/>
      <c r="GE1436" s="110"/>
      <c r="GF1436" s="110"/>
      <c r="GG1436" s="110"/>
      <c r="GH1436" s="110"/>
      <c r="GI1436" s="110"/>
      <c r="GJ1436" s="110"/>
      <c r="GK1436" s="110"/>
      <c r="GL1436" s="110"/>
      <c r="GM1436" s="110"/>
      <c r="GN1436" s="110"/>
      <c r="GO1436" s="110"/>
      <c r="GP1436" s="110"/>
      <c r="GQ1436" s="110"/>
      <c r="GR1436" s="110"/>
      <c r="GS1436" s="110"/>
      <c r="GT1436" s="110"/>
      <c r="GU1436" s="110"/>
      <c r="GV1436" s="110"/>
      <c r="GW1436" s="110"/>
      <c r="GX1436" s="110"/>
      <c r="GY1436" s="110"/>
      <c r="GZ1436" s="110"/>
      <c r="HA1436" s="110"/>
      <c r="HB1436" s="110"/>
      <c r="HC1436" s="110"/>
      <c r="HD1436" s="110"/>
      <c r="HE1436" s="110"/>
      <c r="HF1436" s="110"/>
      <c r="HG1436" s="110"/>
      <c r="HH1436" s="110"/>
      <c r="HI1436" s="110"/>
      <c r="HJ1436" s="110"/>
      <c r="HK1436" s="110"/>
      <c r="HL1436" s="110"/>
      <c r="HM1436" s="110"/>
      <c r="HN1436" s="110"/>
      <c r="HO1436" s="110"/>
      <c r="HP1436" s="110"/>
      <c r="HQ1436" s="110"/>
      <c r="HR1436" s="110"/>
      <c r="HS1436" s="110"/>
      <c r="HT1436" s="110"/>
      <c r="HU1436" s="110"/>
      <c r="HV1436" s="110"/>
      <c r="HW1436" s="110"/>
      <c r="HX1436" s="110"/>
      <c r="HY1436" s="110"/>
      <c r="HZ1436" s="110"/>
      <c r="IA1436" s="110"/>
      <c r="IB1436" s="110"/>
      <c r="IC1436" s="110"/>
      <c r="ID1436" s="110"/>
      <c r="IE1436" s="110"/>
      <c r="IF1436" s="110"/>
      <c r="IG1436" s="110"/>
      <c r="IH1436" s="110"/>
      <c r="II1436" s="110"/>
      <c r="IJ1436" s="110"/>
      <c r="IK1436" s="110"/>
      <c r="IL1436" s="110"/>
      <c r="IM1436" s="110"/>
      <c r="IN1436" s="110"/>
      <c r="IO1436" s="110"/>
      <c r="IP1436" s="110"/>
      <c r="IQ1436" s="110"/>
      <c r="IR1436" s="110"/>
    </row>
    <row r="1437" spans="18:252" ht="16.5" hidden="1" customHeight="1">
      <c r="R1437" s="264"/>
      <c r="S1437" s="110"/>
      <c r="T1437" s="110"/>
      <c r="U1437" s="110"/>
      <c r="V1437" s="110"/>
      <c r="W1437" s="266"/>
      <c r="X1437" s="110"/>
      <c r="Y1437" s="110"/>
      <c r="Z1437" s="110"/>
      <c r="AA1437" s="110"/>
      <c r="AB1437" s="110"/>
      <c r="AC1437" s="110"/>
      <c r="AD1437" s="110"/>
      <c r="AE1437" s="110"/>
      <c r="AF1437" s="110"/>
      <c r="AG1437" s="110"/>
      <c r="AH1437" s="110"/>
      <c r="AI1437" s="110"/>
      <c r="AJ1437" s="110"/>
      <c r="AK1437" s="110"/>
      <c r="AL1437" s="110"/>
      <c r="AM1437" s="110"/>
      <c r="AN1437" s="110"/>
      <c r="AO1437" s="110"/>
      <c r="AP1437" s="110"/>
      <c r="AQ1437" s="110"/>
      <c r="AR1437" s="110"/>
      <c r="AS1437" s="110"/>
      <c r="AT1437" s="110"/>
      <c r="AU1437" s="110"/>
      <c r="AV1437" s="110"/>
      <c r="AW1437" s="110"/>
      <c r="AX1437" s="110"/>
      <c r="AY1437" s="110"/>
      <c r="AZ1437" s="110"/>
      <c r="BA1437" s="110"/>
      <c r="BB1437" s="110"/>
      <c r="BC1437" s="110"/>
      <c r="BD1437" s="110"/>
      <c r="BE1437" s="110"/>
      <c r="BF1437" s="110"/>
      <c r="BG1437" s="110"/>
      <c r="BH1437" s="110"/>
      <c r="BI1437" s="110"/>
      <c r="BJ1437" s="110"/>
      <c r="BK1437" s="110"/>
      <c r="BL1437" s="110"/>
      <c r="BM1437" s="110"/>
      <c r="BN1437" s="110"/>
      <c r="BO1437" s="110"/>
      <c r="BP1437" s="110"/>
      <c r="BQ1437" s="110"/>
      <c r="BR1437" s="110"/>
      <c r="BS1437" s="110"/>
      <c r="BT1437" s="110"/>
      <c r="BU1437" s="110"/>
      <c r="BV1437" s="110"/>
      <c r="BW1437" s="110"/>
      <c r="BX1437" s="110"/>
      <c r="BY1437" s="110"/>
      <c r="BZ1437" s="110"/>
      <c r="CA1437" s="110"/>
      <c r="CB1437" s="110"/>
      <c r="CC1437" s="110"/>
      <c r="CD1437" s="110"/>
      <c r="CE1437" s="110"/>
      <c r="CF1437" s="110"/>
      <c r="CG1437" s="110"/>
      <c r="CH1437" s="110"/>
      <c r="CI1437" s="110"/>
      <c r="CJ1437" s="110"/>
      <c r="CK1437" s="110"/>
      <c r="CL1437" s="110"/>
      <c r="CM1437" s="110"/>
      <c r="CN1437" s="110"/>
      <c r="CO1437" s="110"/>
      <c r="CP1437" s="110"/>
      <c r="CQ1437" s="110"/>
      <c r="CR1437" s="110"/>
      <c r="CS1437" s="110"/>
      <c r="CT1437" s="110"/>
      <c r="CU1437" s="110"/>
      <c r="CV1437" s="110"/>
      <c r="CW1437" s="110"/>
      <c r="CX1437" s="110"/>
      <c r="CY1437" s="110"/>
      <c r="CZ1437" s="110"/>
      <c r="DA1437" s="110"/>
      <c r="DB1437" s="110"/>
      <c r="DC1437" s="110"/>
      <c r="DD1437" s="110"/>
      <c r="DE1437" s="110"/>
      <c r="DF1437" s="110"/>
      <c r="DG1437" s="110"/>
      <c r="DH1437" s="110"/>
      <c r="DI1437" s="110"/>
      <c r="DJ1437" s="110"/>
      <c r="DK1437" s="110"/>
      <c r="DL1437" s="110"/>
      <c r="DM1437" s="110"/>
      <c r="DN1437" s="110"/>
      <c r="DO1437" s="110"/>
      <c r="DP1437" s="110"/>
      <c r="DQ1437" s="110"/>
      <c r="DR1437" s="110"/>
      <c r="DS1437" s="110"/>
      <c r="DT1437" s="110"/>
      <c r="DU1437" s="110"/>
      <c r="DV1437" s="110"/>
      <c r="DW1437" s="110"/>
      <c r="DX1437" s="110"/>
      <c r="DY1437" s="110"/>
      <c r="DZ1437" s="110"/>
      <c r="EA1437" s="110"/>
      <c r="EB1437" s="110"/>
      <c r="EC1437" s="110"/>
      <c r="ED1437" s="110"/>
      <c r="EF1437" s="264"/>
      <c r="EG1437" s="110"/>
      <c r="EH1437" s="110"/>
      <c r="EI1437" s="110"/>
      <c r="EJ1437" s="110"/>
      <c r="EK1437" s="266"/>
      <c r="EL1437" s="110"/>
      <c r="EM1437" s="110"/>
      <c r="EN1437" s="110"/>
      <c r="EO1437" s="110"/>
      <c r="EP1437" s="110"/>
      <c r="EQ1437" s="110"/>
      <c r="ER1437" s="110"/>
      <c r="ES1437" s="110"/>
      <c r="ET1437" s="110"/>
      <c r="EU1437" s="110"/>
      <c r="EV1437" s="110"/>
      <c r="EW1437" s="110"/>
      <c r="EX1437" s="110"/>
      <c r="EY1437" s="110"/>
      <c r="EZ1437" s="110"/>
      <c r="FA1437" s="110"/>
      <c r="FB1437" s="110"/>
      <c r="FC1437" s="110"/>
      <c r="FD1437" s="110"/>
      <c r="FE1437" s="110"/>
      <c r="FF1437" s="110"/>
      <c r="FG1437" s="110"/>
      <c r="FH1437" s="110"/>
      <c r="FI1437" s="110"/>
      <c r="FJ1437" s="110"/>
      <c r="FK1437" s="110"/>
      <c r="FL1437" s="110"/>
      <c r="FM1437" s="110"/>
      <c r="FN1437" s="110"/>
      <c r="FO1437" s="110"/>
      <c r="FP1437" s="110"/>
      <c r="FQ1437" s="110"/>
      <c r="FR1437" s="110"/>
      <c r="FS1437" s="110"/>
      <c r="FT1437" s="110"/>
      <c r="FU1437" s="110"/>
      <c r="FV1437" s="110"/>
      <c r="FW1437" s="110"/>
      <c r="FX1437" s="110"/>
      <c r="FY1437" s="110"/>
      <c r="FZ1437" s="110"/>
      <c r="GA1437" s="110"/>
      <c r="GB1437" s="110"/>
      <c r="GC1437" s="110"/>
      <c r="GD1437" s="110"/>
      <c r="GE1437" s="110"/>
      <c r="GF1437" s="110"/>
      <c r="GG1437" s="110"/>
      <c r="GH1437" s="110"/>
      <c r="GI1437" s="110"/>
      <c r="GJ1437" s="110"/>
      <c r="GK1437" s="110"/>
      <c r="GL1437" s="110"/>
      <c r="GM1437" s="110"/>
      <c r="GN1437" s="110"/>
      <c r="GO1437" s="110"/>
      <c r="GP1437" s="110"/>
      <c r="GQ1437" s="110"/>
      <c r="GR1437" s="110"/>
      <c r="GS1437" s="110"/>
      <c r="GT1437" s="110"/>
      <c r="GU1437" s="110"/>
      <c r="GV1437" s="110"/>
      <c r="GW1437" s="110"/>
      <c r="GX1437" s="110"/>
      <c r="GY1437" s="110"/>
      <c r="GZ1437" s="110"/>
      <c r="HA1437" s="110"/>
      <c r="HB1437" s="110"/>
      <c r="HC1437" s="110"/>
      <c r="HD1437" s="110"/>
      <c r="HE1437" s="110"/>
      <c r="HF1437" s="110"/>
      <c r="HG1437" s="110"/>
      <c r="HH1437" s="110"/>
      <c r="HI1437" s="110"/>
      <c r="HJ1437" s="110"/>
      <c r="HK1437" s="110"/>
      <c r="HL1437" s="110"/>
      <c r="HM1437" s="110"/>
      <c r="HN1437" s="110"/>
      <c r="HO1437" s="110"/>
      <c r="HP1437" s="110"/>
      <c r="HQ1437" s="110"/>
      <c r="HR1437" s="110"/>
      <c r="HS1437" s="110"/>
      <c r="HT1437" s="110"/>
      <c r="HU1437" s="110"/>
      <c r="HV1437" s="110"/>
      <c r="HW1437" s="110"/>
      <c r="HX1437" s="110"/>
      <c r="HY1437" s="110"/>
      <c r="HZ1437" s="110"/>
      <c r="IA1437" s="110"/>
      <c r="IB1437" s="110"/>
      <c r="IC1437" s="110"/>
      <c r="ID1437" s="110"/>
      <c r="IE1437" s="110"/>
      <c r="IF1437" s="110"/>
      <c r="IG1437" s="110"/>
      <c r="IH1437" s="110"/>
      <c r="II1437" s="110"/>
      <c r="IJ1437" s="110"/>
      <c r="IK1437" s="110"/>
      <c r="IL1437" s="110"/>
      <c r="IM1437" s="110"/>
      <c r="IN1437" s="110"/>
      <c r="IO1437" s="110"/>
      <c r="IP1437" s="110"/>
      <c r="IQ1437" s="110"/>
      <c r="IR1437" s="110"/>
    </row>
    <row r="1438" spans="18:252" ht="16.5" hidden="1" customHeight="1">
      <c r="R1438" s="264"/>
      <c r="S1438" s="110"/>
      <c r="T1438" s="110"/>
      <c r="U1438" s="110"/>
      <c r="V1438" s="110"/>
      <c r="W1438" s="266"/>
      <c r="X1438" s="110"/>
      <c r="Y1438" s="110"/>
      <c r="Z1438" s="110"/>
      <c r="AA1438" s="110"/>
      <c r="AB1438" s="110"/>
      <c r="AC1438" s="110"/>
      <c r="AD1438" s="110"/>
      <c r="AE1438" s="110"/>
      <c r="AF1438" s="110"/>
      <c r="AG1438" s="110"/>
      <c r="AH1438" s="110"/>
      <c r="AI1438" s="110"/>
      <c r="AJ1438" s="110"/>
      <c r="AK1438" s="110"/>
      <c r="AL1438" s="110"/>
      <c r="AM1438" s="110"/>
      <c r="AN1438" s="110"/>
      <c r="AO1438" s="110"/>
      <c r="AP1438" s="110"/>
      <c r="AQ1438" s="110"/>
      <c r="AR1438" s="110"/>
      <c r="AS1438" s="110"/>
      <c r="AT1438" s="110"/>
      <c r="AU1438" s="110"/>
      <c r="AV1438" s="110"/>
      <c r="AW1438" s="110"/>
      <c r="AX1438" s="110"/>
      <c r="AY1438" s="110"/>
      <c r="AZ1438" s="110"/>
      <c r="BA1438" s="110"/>
      <c r="BB1438" s="110"/>
      <c r="BC1438" s="110"/>
      <c r="BD1438" s="110"/>
      <c r="BE1438" s="110"/>
      <c r="BF1438" s="110"/>
      <c r="BG1438" s="110"/>
      <c r="BH1438" s="110"/>
      <c r="BI1438" s="110"/>
      <c r="BJ1438" s="110"/>
      <c r="BK1438" s="110"/>
      <c r="BL1438" s="110"/>
      <c r="BM1438" s="110"/>
      <c r="BN1438" s="110"/>
      <c r="BO1438" s="110"/>
      <c r="BP1438" s="110"/>
      <c r="BQ1438" s="110"/>
      <c r="BR1438" s="110"/>
      <c r="BS1438" s="110"/>
      <c r="BT1438" s="110"/>
      <c r="BU1438" s="110"/>
      <c r="BV1438" s="110"/>
      <c r="BW1438" s="110"/>
      <c r="BX1438" s="110"/>
      <c r="BY1438" s="110"/>
      <c r="BZ1438" s="110"/>
      <c r="CA1438" s="110"/>
      <c r="CB1438" s="110"/>
      <c r="CC1438" s="110"/>
      <c r="CD1438" s="110"/>
      <c r="CE1438" s="110"/>
      <c r="CF1438" s="110"/>
      <c r="CG1438" s="110"/>
      <c r="CH1438" s="110"/>
      <c r="CI1438" s="110"/>
      <c r="CJ1438" s="110"/>
      <c r="CK1438" s="110"/>
      <c r="CL1438" s="110"/>
      <c r="CM1438" s="110"/>
      <c r="CN1438" s="110"/>
      <c r="CO1438" s="110"/>
      <c r="CP1438" s="110"/>
      <c r="CQ1438" s="110"/>
      <c r="CR1438" s="110"/>
      <c r="CS1438" s="110"/>
      <c r="CT1438" s="110"/>
      <c r="CU1438" s="110"/>
      <c r="CV1438" s="110"/>
      <c r="CW1438" s="110"/>
      <c r="CX1438" s="110"/>
      <c r="CY1438" s="110"/>
      <c r="CZ1438" s="110"/>
      <c r="DA1438" s="110"/>
      <c r="DB1438" s="110"/>
      <c r="DC1438" s="110"/>
      <c r="DD1438" s="110"/>
      <c r="DE1438" s="110"/>
      <c r="DF1438" s="110"/>
      <c r="DG1438" s="110"/>
      <c r="DH1438" s="110"/>
      <c r="DI1438" s="110"/>
      <c r="DJ1438" s="110"/>
      <c r="DK1438" s="110"/>
      <c r="DL1438" s="110"/>
      <c r="DM1438" s="110"/>
      <c r="DN1438" s="110"/>
      <c r="DO1438" s="110"/>
      <c r="DP1438" s="110"/>
      <c r="DQ1438" s="110"/>
      <c r="DR1438" s="110"/>
      <c r="DS1438" s="110"/>
      <c r="DT1438" s="110"/>
      <c r="DU1438" s="110"/>
      <c r="DV1438" s="110"/>
      <c r="DW1438" s="110"/>
      <c r="DX1438" s="110"/>
      <c r="DY1438" s="110"/>
      <c r="DZ1438" s="110"/>
      <c r="EA1438" s="110"/>
      <c r="EB1438" s="110"/>
      <c r="EC1438" s="110"/>
      <c r="ED1438" s="110"/>
      <c r="EF1438" s="264"/>
      <c r="EG1438" s="110"/>
      <c r="EH1438" s="110"/>
      <c r="EI1438" s="110"/>
      <c r="EJ1438" s="110"/>
      <c r="EK1438" s="266"/>
      <c r="EL1438" s="110"/>
      <c r="EM1438" s="110"/>
      <c r="EN1438" s="110"/>
      <c r="EO1438" s="110"/>
      <c r="EP1438" s="110"/>
      <c r="EQ1438" s="110"/>
      <c r="ER1438" s="110"/>
      <c r="ES1438" s="110"/>
      <c r="ET1438" s="110"/>
      <c r="EU1438" s="110"/>
      <c r="EV1438" s="110"/>
      <c r="EW1438" s="110"/>
      <c r="EX1438" s="110"/>
      <c r="EY1438" s="110"/>
      <c r="EZ1438" s="110"/>
      <c r="FA1438" s="110"/>
      <c r="FB1438" s="110"/>
      <c r="FC1438" s="110"/>
      <c r="FD1438" s="110"/>
      <c r="FE1438" s="110"/>
      <c r="FF1438" s="110"/>
      <c r="FG1438" s="110"/>
      <c r="FH1438" s="110"/>
      <c r="FI1438" s="110"/>
      <c r="FJ1438" s="110"/>
      <c r="FK1438" s="110"/>
      <c r="FL1438" s="110"/>
      <c r="FM1438" s="110"/>
      <c r="FN1438" s="110"/>
      <c r="FO1438" s="110"/>
      <c r="FP1438" s="110"/>
      <c r="FQ1438" s="110"/>
      <c r="FR1438" s="110"/>
      <c r="FS1438" s="110"/>
      <c r="FT1438" s="110"/>
      <c r="FU1438" s="110"/>
      <c r="FV1438" s="110"/>
      <c r="FW1438" s="110"/>
      <c r="FX1438" s="110"/>
      <c r="FY1438" s="110"/>
      <c r="FZ1438" s="110"/>
      <c r="GA1438" s="110"/>
      <c r="GB1438" s="110"/>
      <c r="GC1438" s="110"/>
      <c r="GD1438" s="110"/>
      <c r="GE1438" s="110"/>
      <c r="GF1438" s="110"/>
      <c r="GG1438" s="110"/>
      <c r="GH1438" s="110"/>
      <c r="GI1438" s="110"/>
      <c r="GJ1438" s="110"/>
      <c r="GK1438" s="110"/>
      <c r="GL1438" s="110"/>
      <c r="GM1438" s="110"/>
      <c r="GN1438" s="110"/>
      <c r="GO1438" s="110"/>
      <c r="GP1438" s="110"/>
      <c r="GQ1438" s="110"/>
      <c r="GR1438" s="110"/>
      <c r="GS1438" s="110"/>
      <c r="GT1438" s="110"/>
      <c r="GU1438" s="110"/>
      <c r="GV1438" s="110"/>
      <c r="GW1438" s="110"/>
      <c r="GX1438" s="110"/>
      <c r="GY1438" s="110"/>
      <c r="GZ1438" s="110"/>
      <c r="HA1438" s="110"/>
      <c r="HB1438" s="110"/>
      <c r="HC1438" s="110"/>
      <c r="HD1438" s="110"/>
      <c r="HE1438" s="110"/>
      <c r="HF1438" s="110"/>
      <c r="HG1438" s="110"/>
      <c r="HH1438" s="110"/>
      <c r="HI1438" s="110"/>
      <c r="HJ1438" s="110"/>
      <c r="HK1438" s="110"/>
      <c r="HL1438" s="110"/>
      <c r="HM1438" s="110"/>
      <c r="HN1438" s="110"/>
      <c r="HO1438" s="110"/>
      <c r="HP1438" s="110"/>
      <c r="HQ1438" s="110"/>
      <c r="HR1438" s="110"/>
      <c r="HS1438" s="110"/>
      <c r="HT1438" s="110"/>
      <c r="HU1438" s="110"/>
      <c r="HV1438" s="110"/>
      <c r="HW1438" s="110"/>
      <c r="HX1438" s="110"/>
      <c r="HY1438" s="110"/>
      <c r="HZ1438" s="110"/>
      <c r="IA1438" s="110"/>
      <c r="IB1438" s="110"/>
      <c r="IC1438" s="110"/>
      <c r="ID1438" s="110"/>
      <c r="IE1438" s="110"/>
      <c r="IF1438" s="110"/>
      <c r="IG1438" s="110"/>
      <c r="IH1438" s="110"/>
      <c r="II1438" s="110"/>
      <c r="IJ1438" s="110"/>
      <c r="IK1438" s="110"/>
      <c r="IL1438" s="110"/>
      <c r="IM1438" s="110"/>
      <c r="IN1438" s="110"/>
      <c r="IO1438" s="110"/>
      <c r="IP1438" s="110"/>
      <c r="IQ1438" s="110"/>
      <c r="IR1438" s="110"/>
    </row>
    <row r="1439" spans="18:252" ht="16.5" hidden="1" customHeight="1">
      <c r="R1439" s="264"/>
      <c r="S1439" s="110"/>
      <c r="T1439" s="110"/>
      <c r="U1439" s="110"/>
      <c r="V1439" s="110"/>
      <c r="W1439" s="266"/>
      <c r="X1439" s="110"/>
      <c r="Y1439" s="110"/>
      <c r="Z1439" s="110"/>
      <c r="AA1439" s="110"/>
      <c r="AB1439" s="110"/>
      <c r="AC1439" s="110"/>
      <c r="AD1439" s="110"/>
      <c r="AE1439" s="110"/>
      <c r="AF1439" s="110"/>
      <c r="AG1439" s="110"/>
      <c r="AH1439" s="110"/>
      <c r="AI1439" s="110"/>
      <c r="AJ1439" s="110"/>
      <c r="AK1439" s="110"/>
      <c r="AL1439" s="110"/>
      <c r="AM1439" s="110"/>
      <c r="AN1439" s="110"/>
      <c r="AO1439" s="110"/>
      <c r="AP1439" s="110"/>
      <c r="AQ1439" s="110"/>
      <c r="AR1439" s="110"/>
      <c r="AS1439" s="110"/>
      <c r="AT1439" s="110"/>
      <c r="AU1439" s="110"/>
      <c r="AV1439" s="110"/>
      <c r="AW1439" s="110"/>
      <c r="AX1439" s="110"/>
      <c r="AY1439" s="110"/>
      <c r="AZ1439" s="110"/>
      <c r="BA1439" s="110"/>
      <c r="BB1439" s="110"/>
      <c r="BC1439" s="110"/>
      <c r="BD1439" s="110"/>
      <c r="BE1439" s="110"/>
      <c r="BF1439" s="110"/>
      <c r="BG1439" s="110"/>
      <c r="BH1439" s="110"/>
      <c r="BI1439" s="110"/>
      <c r="BJ1439" s="110"/>
      <c r="BK1439" s="110"/>
      <c r="BL1439" s="110"/>
      <c r="BM1439" s="110"/>
      <c r="BN1439" s="110"/>
      <c r="BO1439" s="110"/>
      <c r="BP1439" s="110"/>
      <c r="BQ1439" s="110"/>
      <c r="BR1439" s="110"/>
      <c r="BS1439" s="110"/>
      <c r="BT1439" s="110"/>
      <c r="BU1439" s="110"/>
      <c r="BV1439" s="110"/>
      <c r="BW1439" s="110"/>
      <c r="BX1439" s="110"/>
      <c r="BY1439" s="110"/>
      <c r="BZ1439" s="110"/>
      <c r="CA1439" s="110"/>
      <c r="CB1439" s="110"/>
      <c r="CC1439" s="110"/>
      <c r="CD1439" s="110"/>
      <c r="CE1439" s="110"/>
      <c r="CF1439" s="110"/>
      <c r="CG1439" s="110"/>
      <c r="CH1439" s="110"/>
      <c r="CI1439" s="110"/>
      <c r="CJ1439" s="110"/>
      <c r="CK1439" s="110"/>
      <c r="CL1439" s="110"/>
      <c r="CM1439" s="110"/>
      <c r="CN1439" s="110"/>
      <c r="CO1439" s="110"/>
      <c r="CP1439" s="110"/>
      <c r="CQ1439" s="110"/>
      <c r="CR1439" s="110"/>
      <c r="CS1439" s="110"/>
      <c r="CT1439" s="110"/>
      <c r="CU1439" s="110"/>
      <c r="CV1439" s="110"/>
      <c r="CW1439" s="110"/>
      <c r="CX1439" s="110"/>
      <c r="CY1439" s="110"/>
      <c r="CZ1439" s="110"/>
      <c r="DA1439" s="110"/>
      <c r="DB1439" s="110"/>
      <c r="DC1439" s="110"/>
      <c r="DD1439" s="110"/>
      <c r="DE1439" s="110"/>
      <c r="DF1439" s="110"/>
      <c r="DG1439" s="110"/>
      <c r="DH1439" s="110"/>
      <c r="DI1439" s="110"/>
      <c r="DJ1439" s="110"/>
      <c r="DK1439" s="110"/>
      <c r="DL1439" s="110"/>
      <c r="DM1439" s="110"/>
      <c r="DN1439" s="110"/>
      <c r="DO1439" s="110"/>
      <c r="DP1439" s="110"/>
      <c r="DQ1439" s="110"/>
      <c r="DR1439" s="110"/>
      <c r="DS1439" s="110"/>
      <c r="DT1439" s="110"/>
      <c r="DU1439" s="110"/>
      <c r="DV1439" s="110"/>
      <c r="DW1439" s="110"/>
      <c r="DX1439" s="110"/>
      <c r="DY1439" s="110"/>
      <c r="DZ1439" s="110"/>
      <c r="EA1439" s="110"/>
      <c r="EB1439" s="110"/>
      <c r="EC1439" s="110"/>
      <c r="ED1439" s="110"/>
      <c r="EF1439" s="264"/>
      <c r="EG1439" s="110"/>
      <c r="EH1439" s="110"/>
      <c r="EI1439" s="110"/>
      <c r="EJ1439" s="110"/>
      <c r="EK1439" s="266"/>
      <c r="EL1439" s="110"/>
      <c r="EM1439" s="110"/>
      <c r="EN1439" s="110"/>
      <c r="EO1439" s="110"/>
      <c r="EP1439" s="110"/>
      <c r="EQ1439" s="110"/>
      <c r="ER1439" s="110"/>
      <c r="ES1439" s="110"/>
      <c r="ET1439" s="110"/>
      <c r="EU1439" s="110"/>
      <c r="EV1439" s="110"/>
      <c r="EW1439" s="110"/>
      <c r="EX1439" s="110"/>
      <c r="EY1439" s="110"/>
      <c r="EZ1439" s="110"/>
      <c r="FA1439" s="110"/>
      <c r="FB1439" s="110"/>
      <c r="FC1439" s="110"/>
      <c r="FD1439" s="110"/>
      <c r="FE1439" s="110"/>
      <c r="FF1439" s="110"/>
      <c r="FG1439" s="110"/>
      <c r="FH1439" s="110"/>
      <c r="FI1439" s="110"/>
      <c r="FJ1439" s="110"/>
      <c r="FK1439" s="110"/>
      <c r="FL1439" s="110"/>
      <c r="FM1439" s="110"/>
      <c r="FN1439" s="110"/>
      <c r="FO1439" s="110"/>
      <c r="FP1439" s="110"/>
      <c r="FQ1439" s="110"/>
      <c r="FR1439" s="110"/>
      <c r="FS1439" s="110"/>
      <c r="FT1439" s="110"/>
      <c r="FU1439" s="110"/>
      <c r="FV1439" s="110"/>
      <c r="FW1439" s="110"/>
      <c r="FX1439" s="110"/>
      <c r="FY1439" s="110"/>
      <c r="FZ1439" s="110"/>
      <c r="GA1439" s="110"/>
      <c r="GB1439" s="110"/>
      <c r="GC1439" s="110"/>
      <c r="GD1439" s="110"/>
      <c r="GE1439" s="110"/>
      <c r="GF1439" s="110"/>
      <c r="GG1439" s="110"/>
      <c r="GH1439" s="110"/>
      <c r="GI1439" s="110"/>
      <c r="GJ1439" s="110"/>
      <c r="GK1439" s="110"/>
      <c r="GL1439" s="110"/>
      <c r="GM1439" s="110"/>
      <c r="GN1439" s="110"/>
      <c r="GO1439" s="110"/>
      <c r="GP1439" s="110"/>
      <c r="GQ1439" s="110"/>
      <c r="GR1439" s="110"/>
      <c r="GS1439" s="110"/>
      <c r="GT1439" s="110"/>
      <c r="GU1439" s="110"/>
      <c r="GV1439" s="110"/>
      <c r="GW1439" s="110"/>
      <c r="GX1439" s="110"/>
      <c r="GY1439" s="110"/>
      <c r="GZ1439" s="110"/>
      <c r="HA1439" s="110"/>
      <c r="HB1439" s="110"/>
      <c r="HC1439" s="110"/>
      <c r="HD1439" s="110"/>
      <c r="HE1439" s="110"/>
      <c r="HF1439" s="110"/>
      <c r="HG1439" s="110"/>
      <c r="HH1439" s="110"/>
      <c r="HI1439" s="110"/>
      <c r="HJ1439" s="110"/>
      <c r="HK1439" s="110"/>
      <c r="HL1439" s="110"/>
      <c r="HM1439" s="110"/>
      <c r="HN1439" s="110"/>
      <c r="HO1439" s="110"/>
      <c r="HP1439" s="110"/>
      <c r="HQ1439" s="110"/>
      <c r="HR1439" s="110"/>
      <c r="HS1439" s="110"/>
      <c r="HT1439" s="110"/>
      <c r="HU1439" s="110"/>
      <c r="HV1439" s="110"/>
      <c r="HW1439" s="110"/>
      <c r="HX1439" s="110"/>
      <c r="HY1439" s="110"/>
      <c r="HZ1439" s="110"/>
      <c r="IA1439" s="110"/>
      <c r="IB1439" s="110"/>
      <c r="IC1439" s="110"/>
      <c r="ID1439" s="110"/>
      <c r="IE1439" s="110"/>
      <c r="IF1439" s="110"/>
      <c r="IG1439" s="110"/>
      <c r="IH1439" s="110"/>
      <c r="II1439" s="110"/>
      <c r="IJ1439" s="110"/>
      <c r="IK1439" s="110"/>
      <c r="IL1439" s="110"/>
      <c r="IM1439" s="110"/>
      <c r="IN1439" s="110"/>
      <c r="IO1439" s="110"/>
      <c r="IP1439" s="110"/>
      <c r="IQ1439" s="110"/>
      <c r="IR1439" s="110"/>
    </row>
    <row r="1440" spans="18:252" ht="16.5" hidden="1" customHeight="1">
      <c r="R1440" s="264"/>
      <c r="S1440" s="110"/>
      <c r="T1440" s="110"/>
      <c r="U1440" s="110"/>
      <c r="V1440" s="110"/>
      <c r="W1440" s="266"/>
      <c r="X1440" s="110"/>
      <c r="Y1440" s="110"/>
      <c r="Z1440" s="110"/>
      <c r="AA1440" s="110"/>
      <c r="AB1440" s="110"/>
      <c r="AC1440" s="110"/>
      <c r="AD1440" s="110"/>
      <c r="AE1440" s="110"/>
      <c r="AF1440" s="110"/>
      <c r="AG1440" s="110"/>
      <c r="AH1440" s="110"/>
      <c r="AI1440" s="110"/>
      <c r="AJ1440" s="110"/>
      <c r="AK1440" s="110"/>
      <c r="AL1440" s="110"/>
      <c r="AM1440" s="110"/>
      <c r="AN1440" s="110"/>
      <c r="AO1440" s="110"/>
      <c r="AP1440" s="110"/>
      <c r="AQ1440" s="110"/>
      <c r="AR1440" s="110"/>
      <c r="AS1440" s="110"/>
      <c r="AT1440" s="110"/>
      <c r="AU1440" s="110"/>
      <c r="AV1440" s="110"/>
      <c r="AW1440" s="110"/>
      <c r="AX1440" s="110"/>
      <c r="AY1440" s="110"/>
      <c r="AZ1440" s="110"/>
      <c r="BA1440" s="110"/>
      <c r="BB1440" s="110"/>
      <c r="BC1440" s="110"/>
      <c r="BD1440" s="110"/>
      <c r="BE1440" s="110"/>
      <c r="BF1440" s="110"/>
      <c r="BG1440" s="110"/>
      <c r="BH1440" s="110"/>
      <c r="BI1440" s="110"/>
      <c r="BJ1440" s="110"/>
      <c r="BK1440" s="110"/>
      <c r="BL1440" s="110"/>
      <c r="BM1440" s="110"/>
      <c r="BN1440" s="110"/>
      <c r="BO1440" s="110"/>
      <c r="BP1440" s="110"/>
      <c r="BQ1440" s="110"/>
      <c r="BR1440" s="110"/>
      <c r="BS1440" s="110"/>
      <c r="BT1440" s="110"/>
      <c r="BU1440" s="110"/>
      <c r="BV1440" s="110"/>
      <c r="BW1440" s="110"/>
      <c r="BX1440" s="110"/>
      <c r="BY1440" s="110"/>
      <c r="BZ1440" s="110"/>
      <c r="CA1440" s="110"/>
      <c r="CB1440" s="110"/>
      <c r="CC1440" s="110"/>
      <c r="CD1440" s="110"/>
      <c r="CE1440" s="110"/>
      <c r="CF1440" s="110"/>
      <c r="CG1440" s="110"/>
      <c r="CH1440" s="110"/>
      <c r="CI1440" s="110"/>
      <c r="CJ1440" s="110"/>
      <c r="CK1440" s="110"/>
      <c r="CL1440" s="110"/>
      <c r="CM1440" s="110"/>
      <c r="CN1440" s="110"/>
      <c r="CO1440" s="110"/>
      <c r="CP1440" s="110"/>
      <c r="CQ1440" s="110"/>
      <c r="CR1440" s="110"/>
      <c r="CS1440" s="110"/>
      <c r="CT1440" s="110"/>
      <c r="CU1440" s="110"/>
      <c r="CV1440" s="110"/>
      <c r="CW1440" s="110"/>
      <c r="CX1440" s="110"/>
      <c r="CY1440" s="110"/>
      <c r="CZ1440" s="110"/>
      <c r="DA1440" s="110"/>
      <c r="DB1440" s="110"/>
      <c r="DC1440" s="110"/>
      <c r="DD1440" s="110"/>
      <c r="DE1440" s="110"/>
      <c r="DF1440" s="110"/>
      <c r="DG1440" s="110"/>
      <c r="DH1440" s="110"/>
      <c r="DI1440" s="110"/>
      <c r="DJ1440" s="110"/>
      <c r="DK1440" s="110"/>
      <c r="DL1440" s="110"/>
      <c r="DM1440" s="110"/>
      <c r="DN1440" s="110"/>
      <c r="DO1440" s="110"/>
      <c r="DP1440" s="110"/>
      <c r="DQ1440" s="110"/>
      <c r="DR1440" s="110"/>
      <c r="DS1440" s="110"/>
      <c r="DT1440" s="110"/>
      <c r="DU1440" s="110"/>
      <c r="DV1440" s="110"/>
      <c r="DW1440" s="110"/>
      <c r="DX1440" s="110"/>
      <c r="DY1440" s="110"/>
      <c r="DZ1440" s="110"/>
      <c r="EA1440" s="110"/>
      <c r="EB1440" s="110"/>
      <c r="EC1440" s="110"/>
      <c r="ED1440" s="110"/>
      <c r="EF1440" s="264"/>
      <c r="EG1440" s="110"/>
      <c r="EH1440" s="110"/>
      <c r="EI1440" s="110"/>
      <c r="EJ1440" s="110"/>
      <c r="EK1440" s="266"/>
      <c r="EL1440" s="110"/>
      <c r="EM1440" s="110"/>
      <c r="EN1440" s="110"/>
      <c r="EO1440" s="110"/>
      <c r="EP1440" s="110"/>
      <c r="EQ1440" s="110"/>
      <c r="ER1440" s="110"/>
      <c r="ES1440" s="110"/>
      <c r="ET1440" s="110"/>
      <c r="EU1440" s="110"/>
      <c r="EV1440" s="110"/>
      <c r="EW1440" s="110"/>
      <c r="EX1440" s="110"/>
      <c r="EY1440" s="110"/>
      <c r="EZ1440" s="110"/>
      <c r="FA1440" s="110"/>
      <c r="FB1440" s="110"/>
      <c r="FC1440" s="110"/>
      <c r="FD1440" s="110"/>
      <c r="FE1440" s="110"/>
      <c r="FF1440" s="110"/>
      <c r="FG1440" s="110"/>
      <c r="FH1440" s="110"/>
      <c r="FI1440" s="110"/>
      <c r="FJ1440" s="110"/>
      <c r="FK1440" s="110"/>
      <c r="FL1440" s="110"/>
      <c r="FM1440" s="110"/>
      <c r="FN1440" s="110"/>
      <c r="FO1440" s="110"/>
      <c r="FP1440" s="110"/>
      <c r="FQ1440" s="110"/>
      <c r="FR1440" s="110"/>
      <c r="FS1440" s="110"/>
      <c r="FT1440" s="110"/>
      <c r="FU1440" s="110"/>
      <c r="FV1440" s="110"/>
      <c r="FW1440" s="110"/>
      <c r="FX1440" s="110"/>
      <c r="FY1440" s="110"/>
      <c r="FZ1440" s="110"/>
      <c r="GA1440" s="110"/>
      <c r="GB1440" s="110"/>
      <c r="GC1440" s="110"/>
      <c r="GD1440" s="110"/>
      <c r="GE1440" s="110"/>
      <c r="GF1440" s="110"/>
      <c r="GG1440" s="110"/>
      <c r="GH1440" s="110"/>
      <c r="GI1440" s="110"/>
      <c r="GJ1440" s="110"/>
      <c r="GK1440" s="110"/>
      <c r="GL1440" s="110"/>
      <c r="GM1440" s="110"/>
      <c r="GN1440" s="110"/>
      <c r="GO1440" s="110"/>
      <c r="GP1440" s="110"/>
      <c r="GQ1440" s="110"/>
      <c r="GR1440" s="110"/>
      <c r="GS1440" s="110"/>
      <c r="GT1440" s="110"/>
      <c r="GU1440" s="110"/>
      <c r="GV1440" s="110"/>
      <c r="GW1440" s="110"/>
      <c r="GX1440" s="110"/>
      <c r="GY1440" s="110"/>
      <c r="GZ1440" s="110"/>
      <c r="HA1440" s="110"/>
      <c r="HB1440" s="110"/>
      <c r="HC1440" s="110"/>
      <c r="HD1440" s="110"/>
      <c r="HE1440" s="110"/>
      <c r="HF1440" s="110"/>
      <c r="HG1440" s="110"/>
      <c r="HH1440" s="110"/>
      <c r="HI1440" s="110"/>
      <c r="HJ1440" s="110"/>
      <c r="HK1440" s="110"/>
      <c r="HL1440" s="110"/>
      <c r="HM1440" s="110"/>
      <c r="HN1440" s="110"/>
      <c r="HO1440" s="110"/>
      <c r="HP1440" s="110"/>
      <c r="HQ1440" s="110"/>
      <c r="HR1440" s="110"/>
      <c r="HS1440" s="110"/>
      <c r="HT1440" s="110"/>
      <c r="HU1440" s="110"/>
      <c r="HV1440" s="110"/>
      <c r="HW1440" s="110"/>
      <c r="HX1440" s="110"/>
      <c r="HY1440" s="110"/>
      <c r="HZ1440" s="110"/>
      <c r="IA1440" s="110"/>
      <c r="IB1440" s="110"/>
      <c r="IC1440" s="110"/>
      <c r="ID1440" s="110"/>
      <c r="IE1440" s="110"/>
      <c r="IF1440" s="110"/>
      <c r="IG1440" s="110"/>
      <c r="IH1440" s="110"/>
      <c r="II1440" s="110"/>
      <c r="IJ1440" s="110"/>
      <c r="IK1440" s="110"/>
      <c r="IL1440" s="110"/>
      <c r="IM1440" s="110"/>
      <c r="IN1440" s="110"/>
      <c r="IO1440" s="110"/>
      <c r="IP1440" s="110"/>
      <c r="IQ1440" s="110"/>
      <c r="IR1440" s="110"/>
    </row>
    <row r="1441" spans="18:252" ht="16.5" hidden="1" customHeight="1">
      <c r="R1441" s="264"/>
      <c r="S1441" s="110"/>
      <c r="T1441" s="110"/>
      <c r="U1441" s="110"/>
      <c r="V1441" s="110"/>
      <c r="W1441" s="266"/>
      <c r="X1441" s="110"/>
      <c r="Y1441" s="110"/>
      <c r="Z1441" s="110"/>
      <c r="AA1441" s="110"/>
      <c r="AB1441" s="110"/>
      <c r="AC1441" s="110"/>
      <c r="AD1441" s="110"/>
      <c r="AE1441" s="110"/>
      <c r="AF1441" s="110"/>
      <c r="AG1441" s="110"/>
      <c r="AH1441" s="110"/>
      <c r="AI1441" s="110"/>
      <c r="AJ1441" s="110"/>
      <c r="AK1441" s="110"/>
      <c r="AL1441" s="110"/>
      <c r="AM1441" s="110"/>
      <c r="AN1441" s="110"/>
      <c r="AO1441" s="110"/>
      <c r="AP1441" s="110"/>
      <c r="AQ1441" s="110"/>
      <c r="AR1441" s="110"/>
      <c r="AS1441" s="110"/>
      <c r="AT1441" s="110"/>
      <c r="AU1441" s="110"/>
      <c r="AV1441" s="110"/>
      <c r="AW1441" s="110"/>
      <c r="AX1441" s="110"/>
      <c r="AY1441" s="110"/>
      <c r="AZ1441" s="110"/>
      <c r="BA1441" s="110"/>
      <c r="BB1441" s="110"/>
      <c r="BC1441" s="110"/>
      <c r="BD1441" s="110"/>
      <c r="BE1441" s="110"/>
      <c r="BF1441" s="110"/>
      <c r="BG1441" s="110"/>
      <c r="BH1441" s="110"/>
      <c r="BI1441" s="110"/>
      <c r="BJ1441" s="110"/>
      <c r="BK1441" s="110"/>
      <c r="BL1441" s="110"/>
      <c r="BM1441" s="110"/>
      <c r="BN1441" s="110"/>
      <c r="BO1441" s="110"/>
      <c r="BP1441" s="110"/>
      <c r="BQ1441" s="110"/>
      <c r="BR1441" s="110"/>
      <c r="BS1441" s="110"/>
      <c r="BT1441" s="110"/>
      <c r="BU1441" s="110"/>
      <c r="BV1441" s="110"/>
      <c r="BW1441" s="110"/>
      <c r="BX1441" s="110"/>
      <c r="BY1441" s="110"/>
      <c r="BZ1441" s="110"/>
      <c r="CA1441" s="110"/>
      <c r="CB1441" s="110"/>
      <c r="CC1441" s="110"/>
      <c r="CD1441" s="110"/>
      <c r="CE1441" s="110"/>
      <c r="CF1441" s="110"/>
      <c r="CG1441" s="110"/>
      <c r="CH1441" s="110"/>
      <c r="CI1441" s="110"/>
      <c r="CJ1441" s="110"/>
      <c r="CK1441" s="110"/>
      <c r="CL1441" s="110"/>
      <c r="CM1441" s="110"/>
      <c r="CN1441" s="110"/>
      <c r="CO1441" s="110"/>
      <c r="CP1441" s="110"/>
      <c r="CQ1441" s="110"/>
      <c r="CR1441" s="110"/>
      <c r="CS1441" s="110"/>
      <c r="CT1441" s="110"/>
      <c r="CU1441" s="110"/>
      <c r="CV1441" s="110"/>
      <c r="CW1441" s="110"/>
      <c r="CX1441" s="110"/>
      <c r="CY1441" s="110"/>
      <c r="CZ1441" s="110"/>
      <c r="DA1441" s="110"/>
      <c r="DB1441" s="110"/>
      <c r="DC1441" s="110"/>
      <c r="DD1441" s="110"/>
      <c r="DE1441" s="110"/>
      <c r="DF1441" s="110"/>
      <c r="DG1441" s="110"/>
      <c r="DH1441" s="110"/>
      <c r="DI1441" s="110"/>
      <c r="DJ1441" s="110"/>
      <c r="DK1441" s="110"/>
      <c r="DL1441" s="110"/>
      <c r="DM1441" s="110"/>
      <c r="DN1441" s="110"/>
      <c r="DO1441" s="110"/>
      <c r="DP1441" s="110"/>
      <c r="DQ1441" s="110"/>
      <c r="DR1441" s="110"/>
      <c r="DS1441" s="110"/>
      <c r="DT1441" s="110"/>
      <c r="DU1441" s="110"/>
      <c r="DV1441" s="110"/>
      <c r="DW1441" s="110"/>
      <c r="DX1441" s="110"/>
      <c r="DY1441" s="110"/>
      <c r="DZ1441" s="110"/>
      <c r="EA1441" s="110"/>
      <c r="EB1441" s="110"/>
      <c r="EC1441" s="110"/>
      <c r="ED1441" s="110"/>
      <c r="EF1441" s="264"/>
      <c r="EG1441" s="110"/>
      <c r="EH1441" s="110"/>
      <c r="EI1441" s="110"/>
      <c r="EJ1441" s="110"/>
      <c r="EK1441" s="266"/>
      <c r="EL1441" s="110"/>
      <c r="EM1441" s="110"/>
      <c r="EN1441" s="110"/>
      <c r="EO1441" s="110"/>
      <c r="EP1441" s="110"/>
      <c r="EQ1441" s="110"/>
      <c r="ER1441" s="110"/>
      <c r="ES1441" s="110"/>
      <c r="ET1441" s="110"/>
      <c r="EU1441" s="110"/>
      <c r="EV1441" s="110"/>
      <c r="EW1441" s="110"/>
      <c r="EX1441" s="110"/>
      <c r="EY1441" s="110"/>
      <c r="EZ1441" s="110"/>
      <c r="FA1441" s="110"/>
      <c r="FB1441" s="110"/>
      <c r="FC1441" s="110"/>
      <c r="FD1441" s="110"/>
      <c r="FE1441" s="110"/>
      <c r="FF1441" s="110"/>
      <c r="FG1441" s="110"/>
      <c r="FH1441" s="110"/>
      <c r="FI1441" s="110"/>
      <c r="FJ1441" s="110"/>
      <c r="FK1441" s="110"/>
      <c r="FL1441" s="110"/>
      <c r="FM1441" s="110"/>
      <c r="FN1441" s="110"/>
      <c r="FO1441" s="110"/>
      <c r="FP1441" s="110"/>
      <c r="FQ1441" s="110"/>
      <c r="FR1441" s="110"/>
      <c r="FS1441" s="110"/>
      <c r="FT1441" s="110"/>
      <c r="FU1441" s="110"/>
      <c r="FV1441" s="110"/>
      <c r="FW1441" s="110"/>
      <c r="FX1441" s="110"/>
      <c r="FY1441" s="110"/>
      <c r="FZ1441" s="110"/>
      <c r="GA1441" s="110"/>
      <c r="GB1441" s="110"/>
      <c r="GC1441" s="110"/>
      <c r="GD1441" s="110"/>
      <c r="GE1441" s="110"/>
      <c r="GF1441" s="110"/>
      <c r="GG1441" s="110"/>
      <c r="GH1441" s="110"/>
      <c r="GI1441" s="110"/>
      <c r="GJ1441" s="110"/>
      <c r="GK1441" s="110"/>
      <c r="GL1441" s="110"/>
      <c r="GM1441" s="110"/>
      <c r="GN1441" s="110"/>
      <c r="GO1441" s="110"/>
      <c r="GP1441" s="110"/>
      <c r="GQ1441" s="110"/>
      <c r="GR1441" s="110"/>
      <c r="GS1441" s="110"/>
      <c r="GT1441" s="110"/>
      <c r="GU1441" s="110"/>
      <c r="GV1441" s="110"/>
      <c r="GW1441" s="110"/>
      <c r="GX1441" s="110"/>
      <c r="GY1441" s="110"/>
      <c r="GZ1441" s="110"/>
      <c r="HA1441" s="110"/>
      <c r="HB1441" s="110"/>
      <c r="HC1441" s="110"/>
      <c r="HD1441" s="110"/>
      <c r="HE1441" s="110"/>
      <c r="HF1441" s="110"/>
      <c r="HG1441" s="110"/>
      <c r="HH1441" s="110"/>
      <c r="HI1441" s="110"/>
      <c r="HJ1441" s="110"/>
      <c r="HK1441" s="110"/>
      <c r="HL1441" s="110"/>
      <c r="HM1441" s="110"/>
      <c r="HN1441" s="110"/>
      <c r="HO1441" s="110"/>
      <c r="HP1441" s="110"/>
      <c r="HQ1441" s="110"/>
      <c r="HR1441" s="110"/>
      <c r="HS1441" s="110"/>
      <c r="HT1441" s="110"/>
      <c r="HU1441" s="110"/>
      <c r="HV1441" s="110"/>
      <c r="HW1441" s="110"/>
      <c r="HX1441" s="110"/>
      <c r="HY1441" s="110"/>
      <c r="HZ1441" s="110"/>
      <c r="IA1441" s="110"/>
      <c r="IB1441" s="110"/>
      <c r="IC1441" s="110"/>
      <c r="ID1441" s="110"/>
      <c r="IE1441" s="110"/>
      <c r="IF1441" s="110"/>
      <c r="IG1441" s="110"/>
      <c r="IH1441" s="110"/>
      <c r="II1441" s="110"/>
      <c r="IJ1441" s="110"/>
      <c r="IK1441" s="110"/>
      <c r="IL1441" s="110"/>
      <c r="IM1441" s="110"/>
      <c r="IN1441" s="110"/>
      <c r="IO1441" s="110"/>
      <c r="IP1441" s="110"/>
      <c r="IQ1441" s="110"/>
      <c r="IR1441" s="110"/>
    </row>
    <row r="1442" spans="18:252" ht="16.5" hidden="1" customHeight="1">
      <c r="R1442" s="264"/>
      <c r="S1442" s="110"/>
      <c r="T1442" s="110"/>
      <c r="U1442" s="110"/>
      <c r="V1442" s="110"/>
      <c r="W1442" s="266"/>
      <c r="X1442" s="110"/>
      <c r="Y1442" s="110"/>
      <c r="Z1442" s="110"/>
      <c r="AA1442" s="110"/>
      <c r="AB1442" s="110"/>
      <c r="AC1442" s="110"/>
      <c r="AD1442" s="110"/>
      <c r="AE1442" s="110"/>
      <c r="AF1442" s="110"/>
      <c r="AG1442" s="110"/>
      <c r="AH1442" s="110"/>
      <c r="AI1442" s="110"/>
      <c r="AJ1442" s="110"/>
      <c r="AK1442" s="110"/>
      <c r="AL1442" s="110"/>
      <c r="AM1442" s="110"/>
      <c r="AN1442" s="110"/>
      <c r="AO1442" s="110"/>
      <c r="AP1442" s="110"/>
      <c r="AQ1442" s="110"/>
      <c r="AR1442" s="110"/>
      <c r="AS1442" s="110"/>
      <c r="AT1442" s="110"/>
      <c r="AU1442" s="110"/>
      <c r="AV1442" s="110"/>
      <c r="AW1442" s="110"/>
      <c r="AX1442" s="110"/>
      <c r="AY1442" s="110"/>
      <c r="AZ1442" s="110"/>
      <c r="BA1442" s="110"/>
      <c r="BB1442" s="110"/>
      <c r="BC1442" s="110"/>
      <c r="BD1442" s="110"/>
      <c r="BE1442" s="110"/>
      <c r="BF1442" s="110"/>
      <c r="BG1442" s="110"/>
      <c r="BH1442" s="110"/>
      <c r="BI1442" s="110"/>
      <c r="BJ1442" s="110"/>
      <c r="BK1442" s="110"/>
      <c r="BL1442" s="110"/>
      <c r="BM1442" s="110"/>
      <c r="BN1442" s="110"/>
      <c r="BO1442" s="110"/>
      <c r="BP1442" s="110"/>
      <c r="BQ1442" s="110"/>
      <c r="BR1442" s="110"/>
      <c r="BS1442" s="110"/>
      <c r="BT1442" s="110"/>
      <c r="BU1442" s="110"/>
      <c r="BV1442" s="110"/>
      <c r="BW1442" s="110"/>
      <c r="BX1442" s="110"/>
      <c r="BY1442" s="110"/>
      <c r="BZ1442" s="110"/>
      <c r="CA1442" s="110"/>
      <c r="CB1442" s="110"/>
      <c r="CC1442" s="110"/>
      <c r="CD1442" s="110"/>
      <c r="CE1442" s="110"/>
      <c r="CF1442" s="110"/>
      <c r="CG1442" s="110"/>
      <c r="CH1442" s="110"/>
      <c r="CI1442" s="110"/>
      <c r="CJ1442" s="110"/>
      <c r="CK1442" s="110"/>
      <c r="CL1442" s="110"/>
      <c r="CM1442" s="110"/>
      <c r="CN1442" s="110"/>
      <c r="CO1442" s="110"/>
      <c r="CP1442" s="110"/>
      <c r="CQ1442" s="110"/>
      <c r="CR1442" s="110"/>
      <c r="CS1442" s="110"/>
      <c r="CT1442" s="110"/>
      <c r="CU1442" s="110"/>
      <c r="CV1442" s="110"/>
      <c r="CW1442" s="110"/>
      <c r="CX1442" s="110"/>
      <c r="CY1442" s="110"/>
      <c r="CZ1442" s="110"/>
      <c r="DA1442" s="110"/>
      <c r="DB1442" s="110"/>
      <c r="DC1442" s="110"/>
      <c r="DD1442" s="110"/>
      <c r="DE1442" s="110"/>
      <c r="DF1442" s="110"/>
      <c r="DG1442" s="110"/>
      <c r="DH1442" s="110"/>
      <c r="DI1442" s="110"/>
      <c r="DJ1442" s="110"/>
      <c r="DK1442" s="110"/>
      <c r="DL1442" s="110"/>
      <c r="DM1442" s="110"/>
      <c r="DN1442" s="110"/>
      <c r="DO1442" s="110"/>
      <c r="DP1442" s="110"/>
      <c r="DQ1442" s="110"/>
      <c r="DR1442" s="110"/>
      <c r="DS1442" s="110"/>
      <c r="DT1442" s="110"/>
      <c r="DU1442" s="110"/>
      <c r="DV1442" s="110"/>
      <c r="DW1442" s="110"/>
      <c r="DX1442" s="110"/>
      <c r="DY1442" s="110"/>
      <c r="DZ1442" s="110"/>
      <c r="EA1442" s="110"/>
      <c r="EB1442" s="110"/>
      <c r="EC1442" s="110"/>
      <c r="ED1442" s="110"/>
      <c r="EF1442" s="264"/>
      <c r="EG1442" s="110"/>
      <c r="EH1442" s="110"/>
      <c r="EI1442" s="110"/>
      <c r="EJ1442" s="110"/>
      <c r="EK1442" s="266"/>
      <c r="EL1442" s="110"/>
      <c r="EM1442" s="110"/>
      <c r="EN1442" s="110"/>
      <c r="EO1442" s="110"/>
      <c r="EP1442" s="110"/>
      <c r="EQ1442" s="110"/>
      <c r="ER1442" s="110"/>
      <c r="ES1442" s="110"/>
      <c r="ET1442" s="110"/>
      <c r="EU1442" s="110"/>
      <c r="EV1442" s="110"/>
      <c r="EW1442" s="110"/>
      <c r="EX1442" s="110"/>
      <c r="EY1442" s="110"/>
      <c r="EZ1442" s="110"/>
      <c r="FA1442" s="110"/>
      <c r="FB1442" s="110"/>
      <c r="FC1442" s="110"/>
      <c r="FD1442" s="110"/>
      <c r="FE1442" s="110"/>
      <c r="FF1442" s="110"/>
      <c r="FG1442" s="110"/>
      <c r="FH1442" s="110"/>
      <c r="FI1442" s="110"/>
      <c r="FJ1442" s="110"/>
      <c r="FK1442" s="110"/>
      <c r="FL1442" s="110"/>
      <c r="FM1442" s="110"/>
      <c r="FN1442" s="110"/>
      <c r="FO1442" s="110"/>
      <c r="FP1442" s="110"/>
      <c r="FQ1442" s="110"/>
      <c r="FR1442" s="110"/>
      <c r="FS1442" s="110"/>
      <c r="FT1442" s="110"/>
      <c r="FU1442" s="110"/>
      <c r="FV1442" s="110"/>
      <c r="FW1442" s="110"/>
      <c r="FX1442" s="110"/>
      <c r="FY1442" s="110"/>
      <c r="FZ1442" s="110"/>
      <c r="GA1442" s="110"/>
      <c r="GB1442" s="110"/>
      <c r="GC1442" s="110"/>
      <c r="GD1442" s="110"/>
      <c r="GE1442" s="110"/>
      <c r="GF1442" s="110"/>
      <c r="GG1442" s="110"/>
      <c r="GH1442" s="110"/>
      <c r="GI1442" s="110"/>
      <c r="GJ1442" s="110"/>
      <c r="GK1442" s="110"/>
      <c r="GL1442" s="110"/>
      <c r="GM1442" s="110"/>
      <c r="GN1442" s="110"/>
      <c r="GO1442" s="110"/>
      <c r="GP1442" s="110"/>
      <c r="GQ1442" s="110"/>
      <c r="GR1442" s="110"/>
      <c r="GS1442" s="110"/>
      <c r="GT1442" s="110"/>
      <c r="GU1442" s="110"/>
      <c r="GV1442" s="110"/>
      <c r="GW1442" s="110"/>
      <c r="GX1442" s="110"/>
      <c r="GY1442" s="110"/>
      <c r="GZ1442" s="110"/>
      <c r="HA1442" s="110"/>
      <c r="HB1442" s="110"/>
      <c r="HC1442" s="110"/>
      <c r="HD1442" s="110"/>
      <c r="HE1442" s="110"/>
      <c r="HF1442" s="110"/>
      <c r="HG1442" s="110"/>
      <c r="HH1442" s="110"/>
      <c r="HI1442" s="110"/>
      <c r="HJ1442" s="110"/>
      <c r="HK1442" s="110"/>
      <c r="HL1442" s="110"/>
      <c r="HM1442" s="110"/>
      <c r="HN1442" s="110"/>
      <c r="HO1442" s="110"/>
      <c r="HP1442" s="110"/>
      <c r="HQ1442" s="110"/>
      <c r="HR1442" s="110"/>
      <c r="HS1442" s="110"/>
      <c r="HT1442" s="110"/>
      <c r="HU1442" s="110"/>
      <c r="HV1442" s="110"/>
      <c r="HW1442" s="110"/>
      <c r="HX1442" s="110"/>
      <c r="HY1442" s="110"/>
      <c r="HZ1442" s="110"/>
      <c r="IA1442" s="110"/>
      <c r="IB1442" s="110"/>
      <c r="IC1442" s="110"/>
      <c r="ID1442" s="110"/>
      <c r="IE1442" s="110"/>
      <c r="IF1442" s="110"/>
      <c r="IG1442" s="110"/>
      <c r="IH1442" s="110"/>
      <c r="II1442" s="110"/>
      <c r="IJ1442" s="110"/>
      <c r="IK1442" s="110"/>
      <c r="IL1442" s="110"/>
      <c r="IM1442" s="110"/>
      <c r="IN1442" s="110"/>
      <c r="IO1442" s="110"/>
      <c r="IP1442" s="110"/>
      <c r="IQ1442" s="110"/>
      <c r="IR1442" s="110"/>
    </row>
    <row r="1443" spans="18:252" ht="16.5" hidden="1" customHeight="1">
      <c r="R1443" s="264"/>
      <c r="S1443" s="110"/>
      <c r="T1443" s="110"/>
      <c r="U1443" s="110"/>
      <c r="V1443" s="110"/>
      <c r="W1443" s="266"/>
      <c r="X1443" s="110"/>
      <c r="Y1443" s="110"/>
      <c r="Z1443" s="110"/>
      <c r="AA1443" s="110"/>
      <c r="AB1443" s="110"/>
      <c r="AC1443" s="110"/>
      <c r="AD1443" s="110"/>
      <c r="AE1443" s="110"/>
      <c r="AF1443" s="110"/>
      <c r="AG1443" s="110"/>
      <c r="AH1443" s="110"/>
      <c r="AI1443" s="110"/>
      <c r="AJ1443" s="110"/>
      <c r="AK1443" s="110"/>
      <c r="AL1443" s="110"/>
      <c r="AM1443" s="110"/>
      <c r="AN1443" s="110"/>
      <c r="AO1443" s="110"/>
      <c r="AP1443" s="110"/>
      <c r="AQ1443" s="110"/>
      <c r="AR1443" s="110"/>
      <c r="AS1443" s="110"/>
      <c r="AT1443" s="110"/>
      <c r="AU1443" s="110"/>
      <c r="AV1443" s="110"/>
      <c r="AW1443" s="110"/>
      <c r="AX1443" s="110"/>
      <c r="AY1443" s="110"/>
      <c r="AZ1443" s="110"/>
      <c r="BA1443" s="110"/>
      <c r="BB1443" s="110"/>
      <c r="BC1443" s="110"/>
      <c r="BD1443" s="110"/>
      <c r="BE1443" s="110"/>
      <c r="BF1443" s="110"/>
      <c r="BG1443" s="110"/>
      <c r="BH1443" s="110"/>
      <c r="BI1443" s="110"/>
      <c r="BJ1443" s="110"/>
      <c r="BK1443" s="110"/>
      <c r="BL1443" s="110"/>
      <c r="BM1443" s="110"/>
      <c r="BN1443" s="110"/>
      <c r="BO1443" s="110"/>
      <c r="BP1443" s="110"/>
      <c r="BQ1443" s="110"/>
      <c r="BR1443" s="110"/>
      <c r="BS1443" s="110"/>
      <c r="BT1443" s="110"/>
      <c r="BU1443" s="110"/>
      <c r="BV1443" s="110"/>
      <c r="BW1443" s="110"/>
      <c r="BX1443" s="110"/>
      <c r="BY1443" s="110"/>
      <c r="BZ1443" s="110"/>
      <c r="CA1443" s="110"/>
      <c r="CB1443" s="110"/>
      <c r="CC1443" s="110"/>
      <c r="CD1443" s="110"/>
      <c r="CE1443" s="110"/>
      <c r="CF1443" s="110"/>
      <c r="CG1443" s="110"/>
      <c r="CH1443" s="110"/>
      <c r="CI1443" s="110"/>
      <c r="CJ1443" s="110"/>
      <c r="CK1443" s="110"/>
      <c r="CL1443" s="110"/>
      <c r="CM1443" s="110"/>
      <c r="CN1443" s="110"/>
      <c r="CO1443" s="110"/>
      <c r="CP1443" s="110"/>
      <c r="CQ1443" s="110"/>
      <c r="CR1443" s="110"/>
      <c r="CS1443" s="110"/>
      <c r="CT1443" s="110"/>
      <c r="CU1443" s="110"/>
      <c r="CV1443" s="110"/>
      <c r="CW1443" s="110"/>
      <c r="CX1443" s="110"/>
      <c r="CY1443" s="110"/>
      <c r="CZ1443" s="110"/>
      <c r="DA1443" s="110"/>
      <c r="DB1443" s="110"/>
      <c r="DC1443" s="110"/>
      <c r="DD1443" s="110"/>
      <c r="DE1443" s="110"/>
      <c r="DF1443" s="110"/>
      <c r="DG1443" s="110"/>
      <c r="DH1443" s="110"/>
      <c r="DI1443" s="110"/>
      <c r="DJ1443" s="110"/>
      <c r="DK1443" s="110"/>
      <c r="DL1443" s="110"/>
      <c r="DM1443" s="110"/>
      <c r="DN1443" s="110"/>
      <c r="DO1443" s="110"/>
      <c r="DP1443" s="110"/>
      <c r="DQ1443" s="110"/>
      <c r="DR1443" s="110"/>
      <c r="DS1443" s="110"/>
      <c r="DT1443" s="110"/>
      <c r="DU1443" s="110"/>
      <c r="DV1443" s="110"/>
      <c r="DW1443" s="110"/>
      <c r="DX1443" s="110"/>
      <c r="DY1443" s="110"/>
      <c r="DZ1443" s="110"/>
      <c r="EA1443" s="110"/>
      <c r="EB1443" s="110"/>
      <c r="EC1443" s="110"/>
      <c r="ED1443" s="110"/>
      <c r="EF1443" s="264"/>
      <c r="EG1443" s="110"/>
      <c r="EH1443" s="110"/>
      <c r="EI1443" s="110"/>
      <c r="EJ1443" s="110"/>
      <c r="EK1443" s="266"/>
      <c r="EL1443" s="110"/>
      <c r="EM1443" s="110"/>
      <c r="EN1443" s="110"/>
      <c r="EO1443" s="110"/>
      <c r="EP1443" s="110"/>
      <c r="EQ1443" s="110"/>
      <c r="ER1443" s="110"/>
      <c r="ES1443" s="110"/>
      <c r="ET1443" s="110"/>
      <c r="EU1443" s="110"/>
      <c r="EV1443" s="110"/>
      <c r="EW1443" s="110"/>
      <c r="EX1443" s="110"/>
      <c r="EY1443" s="110"/>
      <c r="EZ1443" s="110"/>
      <c r="FA1443" s="110"/>
      <c r="FB1443" s="110"/>
      <c r="FC1443" s="110"/>
      <c r="FD1443" s="110"/>
      <c r="FE1443" s="110"/>
      <c r="FF1443" s="110"/>
      <c r="FG1443" s="110"/>
      <c r="FH1443" s="110"/>
      <c r="FI1443" s="110"/>
      <c r="FJ1443" s="110"/>
      <c r="FK1443" s="110"/>
      <c r="FL1443" s="110"/>
      <c r="FM1443" s="110"/>
      <c r="FN1443" s="110"/>
      <c r="FO1443" s="110"/>
      <c r="FP1443" s="110"/>
      <c r="FQ1443" s="110"/>
      <c r="FR1443" s="110"/>
      <c r="FS1443" s="110"/>
      <c r="FT1443" s="110"/>
      <c r="FU1443" s="110"/>
      <c r="FV1443" s="110"/>
      <c r="FW1443" s="110"/>
      <c r="FX1443" s="110"/>
      <c r="FY1443" s="110"/>
      <c r="FZ1443" s="110"/>
      <c r="GA1443" s="110"/>
      <c r="GB1443" s="110"/>
      <c r="GC1443" s="110"/>
      <c r="GD1443" s="110"/>
      <c r="GE1443" s="110"/>
      <c r="GF1443" s="110"/>
      <c r="GG1443" s="110"/>
      <c r="GH1443" s="110"/>
      <c r="GI1443" s="110"/>
      <c r="GJ1443" s="110"/>
      <c r="GK1443" s="110"/>
      <c r="GL1443" s="110"/>
      <c r="GM1443" s="110"/>
      <c r="GN1443" s="110"/>
      <c r="GO1443" s="110"/>
      <c r="GP1443" s="110"/>
      <c r="GQ1443" s="110"/>
      <c r="GR1443" s="110"/>
      <c r="GS1443" s="110"/>
      <c r="GT1443" s="110"/>
      <c r="GU1443" s="110"/>
      <c r="GV1443" s="110"/>
      <c r="GW1443" s="110"/>
      <c r="GX1443" s="110"/>
      <c r="GY1443" s="110"/>
      <c r="GZ1443" s="110"/>
      <c r="HA1443" s="110"/>
      <c r="HB1443" s="110"/>
      <c r="HC1443" s="110"/>
      <c r="HD1443" s="110"/>
      <c r="HE1443" s="110"/>
      <c r="HF1443" s="110"/>
      <c r="HG1443" s="110"/>
      <c r="HH1443" s="110"/>
      <c r="HI1443" s="110"/>
      <c r="HJ1443" s="110"/>
      <c r="HK1443" s="110"/>
      <c r="HL1443" s="110"/>
      <c r="HM1443" s="110"/>
      <c r="HN1443" s="110"/>
      <c r="HO1443" s="110"/>
      <c r="HP1443" s="110"/>
      <c r="HQ1443" s="110"/>
      <c r="HR1443" s="110"/>
      <c r="HS1443" s="110"/>
      <c r="HT1443" s="110"/>
      <c r="HU1443" s="110"/>
      <c r="HV1443" s="110"/>
      <c r="HW1443" s="110"/>
      <c r="HX1443" s="110"/>
      <c r="HY1443" s="110"/>
      <c r="HZ1443" s="110"/>
      <c r="IA1443" s="110"/>
      <c r="IB1443" s="110"/>
      <c r="IC1443" s="110"/>
      <c r="ID1443" s="110"/>
      <c r="IE1443" s="110"/>
      <c r="IF1443" s="110"/>
      <c r="IG1443" s="110"/>
      <c r="IH1443" s="110"/>
      <c r="II1443" s="110"/>
      <c r="IJ1443" s="110"/>
      <c r="IK1443" s="110"/>
      <c r="IL1443" s="110"/>
      <c r="IM1443" s="110"/>
      <c r="IN1443" s="110"/>
      <c r="IO1443" s="110"/>
      <c r="IP1443" s="110"/>
      <c r="IQ1443" s="110"/>
      <c r="IR1443" s="110"/>
    </row>
    <row r="1444" spans="18:252" ht="16.5" hidden="1" customHeight="1">
      <c r="R1444" s="264"/>
      <c r="S1444" s="110"/>
      <c r="T1444" s="110"/>
      <c r="U1444" s="110"/>
      <c r="V1444" s="110"/>
      <c r="W1444" s="266"/>
      <c r="X1444" s="110"/>
      <c r="Y1444" s="110"/>
      <c r="Z1444" s="110"/>
      <c r="AA1444" s="110"/>
      <c r="AB1444" s="110"/>
      <c r="AC1444" s="110"/>
      <c r="AD1444" s="110"/>
      <c r="AE1444" s="110"/>
      <c r="AF1444" s="110"/>
      <c r="AG1444" s="110"/>
      <c r="AH1444" s="110"/>
      <c r="AI1444" s="110"/>
      <c r="AJ1444" s="110"/>
      <c r="AK1444" s="110"/>
      <c r="AL1444" s="110"/>
      <c r="AM1444" s="110"/>
      <c r="AN1444" s="110"/>
      <c r="AO1444" s="110"/>
      <c r="AP1444" s="110"/>
      <c r="AQ1444" s="110"/>
      <c r="AR1444" s="110"/>
      <c r="AS1444" s="110"/>
      <c r="AT1444" s="110"/>
      <c r="AU1444" s="110"/>
      <c r="AV1444" s="110"/>
      <c r="AW1444" s="110"/>
      <c r="AX1444" s="110"/>
      <c r="AY1444" s="110"/>
      <c r="AZ1444" s="110"/>
      <c r="BA1444" s="110"/>
      <c r="BB1444" s="110"/>
      <c r="BC1444" s="110"/>
      <c r="BD1444" s="110"/>
      <c r="BE1444" s="110"/>
      <c r="BF1444" s="110"/>
      <c r="BG1444" s="110"/>
      <c r="BH1444" s="110"/>
      <c r="BI1444" s="110"/>
      <c r="BJ1444" s="110"/>
      <c r="BK1444" s="110"/>
      <c r="BL1444" s="110"/>
      <c r="BM1444" s="110"/>
      <c r="BN1444" s="110"/>
      <c r="BO1444" s="110"/>
      <c r="BP1444" s="110"/>
      <c r="BQ1444" s="110"/>
      <c r="BR1444" s="110"/>
      <c r="BS1444" s="110"/>
      <c r="BT1444" s="110"/>
      <c r="BU1444" s="110"/>
      <c r="BV1444" s="110"/>
      <c r="BW1444" s="110"/>
      <c r="BX1444" s="110"/>
      <c r="BY1444" s="110"/>
      <c r="BZ1444" s="110"/>
      <c r="CA1444" s="110"/>
      <c r="CB1444" s="110"/>
      <c r="CC1444" s="110"/>
      <c r="CD1444" s="110"/>
      <c r="CE1444" s="110"/>
      <c r="CF1444" s="110"/>
      <c r="CG1444" s="110"/>
      <c r="CH1444" s="110"/>
      <c r="CI1444" s="110"/>
      <c r="CJ1444" s="110"/>
      <c r="CK1444" s="110"/>
      <c r="CL1444" s="110"/>
      <c r="CM1444" s="110"/>
      <c r="CN1444" s="110"/>
      <c r="CO1444" s="110"/>
      <c r="CP1444" s="110"/>
      <c r="CQ1444" s="110"/>
      <c r="CR1444" s="110"/>
      <c r="CS1444" s="110"/>
      <c r="CT1444" s="110"/>
      <c r="CU1444" s="110"/>
      <c r="CV1444" s="110"/>
      <c r="CW1444" s="110"/>
      <c r="CX1444" s="110"/>
      <c r="CY1444" s="110"/>
      <c r="CZ1444" s="110"/>
      <c r="DA1444" s="110"/>
      <c r="DB1444" s="110"/>
      <c r="DC1444" s="110"/>
      <c r="DD1444" s="110"/>
      <c r="DE1444" s="110"/>
      <c r="DF1444" s="110"/>
      <c r="DG1444" s="110"/>
      <c r="DH1444" s="110"/>
      <c r="DI1444" s="110"/>
      <c r="DJ1444" s="110"/>
      <c r="DK1444" s="110"/>
      <c r="DL1444" s="110"/>
      <c r="DM1444" s="110"/>
      <c r="DN1444" s="110"/>
      <c r="DO1444" s="110"/>
      <c r="DP1444" s="110"/>
      <c r="DQ1444" s="110"/>
      <c r="DR1444" s="110"/>
      <c r="DS1444" s="110"/>
      <c r="DT1444" s="110"/>
      <c r="DU1444" s="110"/>
      <c r="DV1444" s="110"/>
      <c r="DW1444" s="110"/>
      <c r="DX1444" s="110"/>
      <c r="DY1444" s="110"/>
      <c r="DZ1444" s="110"/>
      <c r="EA1444" s="110"/>
      <c r="EB1444" s="110"/>
      <c r="EC1444" s="110"/>
      <c r="ED1444" s="110"/>
      <c r="EF1444" s="264"/>
      <c r="EG1444" s="110"/>
      <c r="EH1444" s="110"/>
      <c r="EI1444" s="110"/>
      <c r="EJ1444" s="110"/>
      <c r="EK1444" s="266"/>
      <c r="EL1444" s="110"/>
      <c r="EM1444" s="110"/>
      <c r="EN1444" s="110"/>
      <c r="EO1444" s="110"/>
      <c r="EP1444" s="110"/>
      <c r="EQ1444" s="110"/>
      <c r="ER1444" s="110"/>
      <c r="ES1444" s="110"/>
      <c r="ET1444" s="110"/>
      <c r="EU1444" s="110"/>
      <c r="EV1444" s="110"/>
      <c r="EW1444" s="110"/>
      <c r="EX1444" s="110"/>
      <c r="EY1444" s="110"/>
      <c r="EZ1444" s="110"/>
      <c r="FA1444" s="110"/>
      <c r="FB1444" s="110"/>
      <c r="FC1444" s="110"/>
      <c r="FD1444" s="110"/>
      <c r="FE1444" s="110"/>
      <c r="FF1444" s="110"/>
      <c r="FG1444" s="110"/>
      <c r="FH1444" s="110"/>
      <c r="FI1444" s="110"/>
      <c r="FJ1444" s="110"/>
      <c r="FK1444" s="110"/>
      <c r="FL1444" s="110"/>
      <c r="FM1444" s="110"/>
      <c r="FN1444" s="110"/>
      <c r="FO1444" s="110"/>
      <c r="FP1444" s="110"/>
      <c r="FQ1444" s="110"/>
      <c r="FR1444" s="110"/>
      <c r="FS1444" s="110"/>
      <c r="FT1444" s="110"/>
      <c r="FU1444" s="110"/>
      <c r="FV1444" s="110"/>
      <c r="FW1444" s="110"/>
      <c r="FX1444" s="110"/>
      <c r="FY1444" s="110"/>
      <c r="FZ1444" s="110"/>
      <c r="GA1444" s="110"/>
      <c r="GB1444" s="110"/>
      <c r="GC1444" s="110"/>
      <c r="GD1444" s="110"/>
      <c r="GE1444" s="110"/>
      <c r="GF1444" s="110"/>
      <c r="GG1444" s="110"/>
      <c r="GH1444" s="110"/>
      <c r="GI1444" s="110"/>
      <c r="GJ1444" s="110"/>
      <c r="GK1444" s="110"/>
      <c r="GL1444" s="110"/>
      <c r="GM1444" s="110"/>
      <c r="GN1444" s="110"/>
      <c r="GO1444" s="110"/>
      <c r="GP1444" s="110"/>
      <c r="GQ1444" s="110"/>
      <c r="GR1444" s="110"/>
      <c r="GS1444" s="110"/>
      <c r="GT1444" s="110"/>
      <c r="GU1444" s="110"/>
      <c r="GV1444" s="110"/>
      <c r="GW1444" s="110"/>
      <c r="GX1444" s="110"/>
      <c r="GY1444" s="110"/>
      <c r="GZ1444" s="110"/>
      <c r="HA1444" s="110"/>
      <c r="HB1444" s="110"/>
      <c r="HC1444" s="110"/>
      <c r="HD1444" s="110"/>
      <c r="HE1444" s="110"/>
      <c r="HF1444" s="110"/>
      <c r="HG1444" s="110"/>
      <c r="HH1444" s="110"/>
      <c r="HI1444" s="110"/>
      <c r="HJ1444" s="110"/>
      <c r="HK1444" s="110"/>
      <c r="HL1444" s="110"/>
      <c r="HM1444" s="110"/>
      <c r="HN1444" s="110"/>
      <c r="HO1444" s="110"/>
      <c r="HP1444" s="110"/>
      <c r="HQ1444" s="110"/>
      <c r="HR1444" s="110"/>
      <c r="HS1444" s="110"/>
      <c r="HT1444" s="110"/>
      <c r="HU1444" s="110"/>
      <c r="HV1444" s="110"/>
      <c r="HW1444" s="110"/>
      <c r="HX1444" s="110"/>
      <c r="HY1444" s="110"/>
      <c r="HZ1444" s="110"/>
      <c r="IA1444" s="110"/>
      <c r="IB1444" s="110"/>
      <c r="IC1444" s="110"/>
      <c r="ID1444" s="110"/>
      <c r="IE1444" s="110"/>
      <c r="IF1444" s="110"/>
      <c r="IG1444" s="110"/>
      <c r="IH1444" s="110"/>
      <c r="II1444" s="110"/>
      <c r="IJ1444" s="110"/>
      <c r="IK1444" s="110"/>
      <c r="IL1444" s="110"/>
      <c r="IM1444" s="110"/>
      <c r="IN1444" s="110"/>
      <c r="IO1444" s="110"/>
      <c r="IP1444" s="110"/>
      <c r="IQ1444" s="110"/>
      <c r="IR1444" s="110"/>
    </row>
    <row r="1445" spans="18:252" ht="16.5" hidden="1" customHeight="1">
      <c r="R1445" s="264"/>
      <c r="S1445" s="110"/>
      <c r="T1445" s="110"/>
      <c r="U1445" s="110"/>
      <c r="V1445" s="110"/>
      <c r="W1445" s="266"/>
      <c r="X1445" s="110"/>
      <c r="Y1445" s="110"/>
      <c r="Z1445" s="110"/>
      <c r="AA1445" s="110"/>
      <c r="AB1445" s="110"/>
      <c r="AC1445" s="110"/>
      <c r="AD1445" s="110"/>
      <c r="AE1445" s="110"/>
      <c r="AF1445" s="110"/>
      <c r="AG1445" s="110"/>
      <c r="AH1445" s="110"/>
      <c r="AI1445" s="110"/>
      <c r="AJ1445" s="110"/>
      <c r="AK1445" s="110"/>
      <c r="AL1445" s="110"/>
      <c r="AM1445" s="110"/>
      <c r="AN1445" s="110"/>
      <c r="AO1445" s="110"/>
      <c r="AP1445" s="110"/>
      <c r="AQ1445" s="110"/>
      <c r="AR1445" s="110"/>
      <c r="AS1445" s="110"/>
      <c r="AT1445" s="110"/>
      <c r="AU1445" s="110"/>
      <c r="AV1445" s="110"/>
      <c r="AW1445" s="110"/>
      <c r="AX1445" s="110"/>
      <c r="AY1445" s="110"/>
      <c r="AZ1445" s="110"/>
      <c r="BA1445" s="110"/>
      <c r="BB1445" s="110"/>
      <c r="BC1445" s="110"/>
      <c r="BD1445" s="110"/>
      <c r="BE1445" s="110"/>
      <c r="BF1445" s="110"/>
      <c r="BG1445" s="110"/>
      <c r="BH1445" s="110"/>
      <c r="BI1445" s="110"/>
      <c r="BJ1445" s="110"/>
      <c r="BK1445" s="110"/>
      <c r="BL1445" s="110"/>
      <c r="BM1445" s="110"/>
      <c r="BN1445" s="110"/>
      <c r="BO1445" s="110"/>
      <c r="BP1445" s="110"/>
      <c r="BQ1445" s="110"/>
      <c r="BR1445" s="110"/>
      <c r="BS1445" s="110"/>
      <c r="BT1445" s="110"/>
      <c r="BU1445" s="110"/>
      <c r="BV1445" s="110"/>
      <c r="BW1445" s="110"/>
      <c r="BX1445" s="110"/>
      <c r="BY1445" s="110"/>
      <c r="BZ1445" s="110"/>
      <c r="CA1445" s="110"/>
      <c r="CB1445" s="110"/>
      <c r="CC1445" s="110"/>
      <c r="CD1445" s="110"/>
      <c r="CE1445" s="110"/>
      <c r="CF1445" s="110"/>
      <c r="CG1445" s="110"/>
      <c r="CH1445" s="110"/>
      <c r="CI1445" s="110"/>
      <c r="CJ1445" s="110"/>
      <c r="CK1445" s="110"/>
      <c r="CL1445" s="110"/>
      <c r="CM1445" s="110"/>
      <c r="CN1445" s="110"/>
      <c r="CO1445" s="110"/>
      <c r="CP1445" s="110"/>
      <c r="CQ1445" s="110"/>
      <c r="CR1445" s="110"/>
      <c r="CS1445" s="110"/>
      <c r="CT1445" s="110"/>
      <c r="CU1445" s="110"/>
      <c r="CV1445" s="110"/>
      <c r="CW1445" s="110"/>
      <c r="CX1445" s="110"/>
      <c r="CY1445" s="110"/>
      <c r="CZ1445" s="110"/>
      <c r="DA1445" s="110"/>
      <c r="DB1445" s="110"/>
      <c r="DC1445" s="110"/>
      <c r="DD1445" s="110"/>
      <c r="DE1445" s="110"/>
      <c r="DF1445" s="110"/>
      <c r="DG1445" s="110"/>
      <c r="DH1445" s="110"/>
      <c r="DI1445" s="110"/>
      <c r="DJ1445" s="110"/>
      <c r="DK1445" s="110"/>
      <c r="DL1445" s="110"/>
      <c r="DM1445" s="110"/>
      <c r="DN1445" s="110"/>
      <c r="DO1445" s="110"/>
      <c r="DP1445" s="110"/>
      <c r="DQ1445" s="110"/>
      <c r="DR1445" s="110"/>
      <c r="DS1445" s="110"/>
      <c r="DT1445" s="110"/>
      <c r="DU1445" s="110"/>
      <c r="DV1445" s="110"/>
      <c r="DW1445" s="110"/>
      <c r="DX1445" s="110"/>
      <c r="DY1445" s="110"/>
      <c r="DZ1445" s="110"/>
      <c r="EA1445" s="110"/>
      <c r="EB1445" s="110"/>
      <c r="EC1445" s="110"/>
      <c r="ED1445" s="110"/>
      <c r="EF1445" s="264"/>
      <c r="EG1445" s="110"/>
      <c r="EH1445" s="110"/>
      <c r="EI1445" s="110"/>
      <c r="EJ1445" s="110"/>
      <c r="EK1445" s="266"/>
      <c r="EL1445" s="110"/>
      <c r="EM1445" s="110"/>
      <c r="EN1445" s="110"/>
      <c r="EO1445" s="110"/>
      <c r="EP1445" s="110"/>
      <c r="EQ1445" s="110"/>
      <c r="ER1445" s="110"/>
      <c r="ES1445" s="110"/>
      <c r="ET1445" s="110"/>
      <c r="EU1445" s="110"/>
      <c r="EV1445" s="110"/>
      <c r="EW1445" s="110"/>
      <c r="EX1445" s="110"/>
      <c r="EY1445" s="110"/>
      <c r="EZ1445" s="110"/>
      <c r="FA1445" s="110"/>
      <c r="FB1445" s="110"/>
      <c r="FC1445" s="110"/>
      <c r="FD1445" s="110"/>
      <c r="FE1445" s="110"/>
      <c r="FF1445" s="110"/>
      <c r="FG1445" s="110"/>
      <c r="FH1445" s="110"/>
      <c r="FI1445" s="110"/>
      <c r="FJ1445" s="110"/>
      <c r="FK1445" s="110"/>
      <c r="FL1445" s="110"/>
      <c r="FM1445" s="110"/>
      <c r="FN1445" s="110"/>
      <c r="FO1445" s="110"/>
      <c r="FP1445" s="110"/>
      <c r="FQ1445" s="110"/>
      <c r="FR1445" s="110"/>
      <c r="FS1445" s="110"/>
      <c r="FT1445" s="110"/>
      <c r="FU1445" s="110"/>
      <c r="FV1445" s="110"/>
      <c r="FW1445" s="110"/>
      <c r="FX1445" s="110"/>
      <c r="FY1445" s="110"/>
      <c r="FZ1445" s="110"/>
      <c r="GA1445" s="110"/>
      <c r="GB1445" s="110"/>
      <c r="GC1445" s="110"/>
      <c r="GD1445" s="110"/>
      <c r="GE1445" s="110"/>
      <c r="GF1445" s="110"/>
      <c r="GG1445" s="110"/>
      <c r="GH1445" s="110"/>
      <c r="GI1445" s="110"/>
      <c r="GJ1445" s="110"/>
      <c r="GK1445" s="110"/>
      <c r="GL1445" s="110"/>
      <c r="GM1445" s="110"/>
      <c r="GN1445" s="110"/>
      <c r="GO1445" s="110"/>
      <c r="GP1445" s="110"/>
      <c r="GQ1445" s="110"/>
      <c r="GR1445" s="110"/>
      <c r="GS1445" s="110"/>
      <c r="GT1445" s="110"/>
      <c r="GU1445" s="110"/>
      <c r="GV1445" s="110"/>
      <c r="GW1445" s="110"/>
      <c r="GX1445" s="110"/>
      <c r="GY1445" s="110"/>
      <c r="GZ1445" s="110"/>
      <c r="HA1445" s="110"/>
      <c r="HB1445" s="110"/>
      <c r="HC1445" s="110"/>
      <c r="HD1445" s="110"/>
      <c r="HE1445" s="110"/>
      <c r="HF1445" s="110"/>
      <c r="HG1445" s="110"/>
      <c r="HH1445" s="110"/>
      <c r="HI1445" s="110"/>
      <c r="HJ1445" s="110"/>
      <c r="HK1445" s="110"/>
      <c r="HL1445" s="110"/>
      <c r="HM1445" s="110"/>
      <c r="HN1445" s="110"/>
      <c r="HO1445" s="110"/>
      <c r="HP1445" s="110"/>
      <c r="HQ1445" s="110"/>
      <c r="HR1445" s="110"/>
      <c r="HS1445" s="110"/>
      <c r="HT1445" s="110"/>
      <c r="HU1445" s="110"/>
      <c r="HV1445" s="110"/>
      <c r="HW1445" s="110"/>
      <c r="HX1445" s="110"/>
      <c r="HY1445" s="110"/>
      <c r="HZ1445" s="110"/>
      <c r="IA1445" s="110"/>
      <c r="IB1445" s="110"/>
      <c r="IC1445" s="110"/>
      <c r="ID1445" s="110"/>
      <c r="IE1445" s="110"/>
      <c r="IF1445" s="110"/>
      <c r="IG1445" s="110"/>
      <c r="IH1445" s="110"/>
      <c r="II1445" s="110"/>
      <c r="IJ1445" s="110"/>
      <c r="IK1445" s="110"/>
      <c r="IL1445" s="110"/>
      <c r="IM1445" s="110"/>
      <c r="IN1445" s="110"/>
      <c r="IO1445" s="110"/>
      <c r="IP1445" s="110"/>
      <c r="IQ1445" s="110"/>
      <c r="IR1445" s="110"/>
    </row>
    <row r="1446" spans="18:252" ht="16.5" hidden="1" customHeight="1">
      <c r="R1446" s="264"/>
      <c r="S1446" s="110"/>
      <c r="T1446" s="110"/>
      <c r="U1446" s="110"/>
      <c r="V1446" s="110"/>
      <c r="W1446" s="266"/>
      <c r="X1446" s="110"/>
      <c r="Y1446" s="110"/>
      <c r="Z1446" s="110"/>
      <c r="AA1446" s="110"/>
      <c r="AB1446" s="110"/>
      <c r="AC1446" s="110"/>
      <c r="AD1446" s="110"/>
      <c r="AE1446" s="110"/>
      <c r="AF1446" s="110"/>
      <c r="AG1446" s="110"/>
      <c r="AH1446" s="110"/>
      <c r="AI1446" s="110"/>
      <c r="AJ1446" s="110"/>
      <c r="AK1446" s="110"/>
      <c r="AL1446" s="110"/>
      <c r="AM1446" s="110"/>
      <c r="AN1446" s="110"/>
      <c r="AO1446" s="110"/>
      <c r="AP1446" s="110"/>
      <c r="AQ1446" s="110"/>
      <c r="AR1446" s="110"/>
      <c r="AS1446" s="110"/>
      <c r="AT1446" s="110"/>
      <c r="AU1446" s="110"/>
      <c r="AV1446" s="110"/>
      <c r="AW1446" s="110"/>
      <c r="AX1446" s="110"/>
      <c r="AY1446" s="110"/>
      <c r="AZ1446" s="110"/>
      <c r="BA1446" s="110"/>
      <c r="BB1446" s="110"/>
      <c r="BC1446" s="110"/>
      <c r="BD1446" s="110"/>
      <c r="BE1446" s="110"/>
      <c r="BF1446" s="110"/>
      <c r="BG1446" s="110"/>
      <c r="BH1446" s="110"/>
      <c r="BI1446" s="110"/>
      <c r="BJ1446" s="110"/>
      <c r="BK1446" s="110"/>
      <c r="BL1446" s="110"/>
      <c r="BM1446" s="110"/>
      <c r="BN1446" s="110"/>
      <c r="BO1446" s="110"/>
      <c r="BP1446" s="110"/>
      <c r="BQ1446" s="110"/>
      <c r="BR1446" s="110"/>
      <c r="BS1446" s="110"/>
      <c r="BT1446" s="110"/>
      <c r="BU1446" s="110"/>
      <c r="BV1446" s="110"/>
      <c r="BW1446" s="110"/>
      <c r="BX1446" s="110"/>
      <c r="BY1446" s="110"/>
      <c r="BZ1446" s="110"/>
      <c r="CA1446" s="110"/>
      <c r="CB1446" s="110"/>
      <c r="CC1446" s="110"/>
      <c r="CD1446" s="110"/>
      <c r="CE1446" s="110"/>
      <c r="CF1446" s="110"/>
      <c r="CG1446" s="110"/>
      <c r="CH1446" s="110"/>
      <c r="CI1446" s="110"/>
      <c r="CJ1446" s="110"/>
      <c r="CK1446" s="110"/>
      <c r="CL1446" s="110"/>
      <c r="CM1446" s="110"/>
      <c r="CN1446" s="110"/>
      <c r="CO1446" s="110"/>
      <c r="CP1446" s="110"/>
      <c r="CQ1446" s="110"/>
      <c r="CR1446" s="110"/>
      <c r="CS1446" s="110"/>
      <c r="CT1446" s="110"/>
      <c r="CU1446" s="110"/>
      <c r="CV1446" s="110"/>
      <c r="CW1446" s="110"/>
      <c r="CX1446" s="110"/>
      <c r="CY1446" s="110"/>
      <c r="CZ1446" s="110"/>
      <c r="DA1446" s="110"/>
      <c r="DB1446" s="110"/>
      <c r="DC1446" s="110"/>
      <c r="DD1446" s="110"/>
      <c r="DE1446" s="110"/>
      <c r="DF1446" s="110"/>
      <c r="DG1446" s="110"/>
      <c r="DH1446" s="110"/>
      <c r="DI1446" s="110"/>
      <c r="DJ1446" s="110"/>
      <c r="DK1446" s="110"/>
      <c r="DL1446" s="110"/>
      <c r="DM1446" s="110"/>
      <c r="DN1446" s="110"/>
      <c r="DO1446" s="110"/>
      <c r="DP1446" s="110"/>
      <c r="DQ1446" s="110"/>
      <c r="DR1446" s="110"/>
      <c r="DS1446" s="110"/>
      <c r="DT1446" s="110"/>
      <c r="DU1446" s="110"/>
      <c r="DV1446" s="110"/>
      <c r="DW1446" s="110"/>
      <c r="DX1446" s="110"/>
      <c r="DY1446" s="110"/>
      <c r="DZ1446" s="110"/>
      <c r="EA1446" s="110"/>
      <c r="EB1446" s="110"/>
      <c r="EC1446" s="110"/>
      <c r="ED1446" s="110"/>
      <c r="EF1446" s="264"/>
      <c r="EG1446" s="110"/>
      <c r="EH1446" s="110"/>
      <c r="EI1446" s="110"/>
      <c r="EJ1446" s="110"/>
      <c r="EK1446" s="266"/>
      <c r="EL1446" s="110"/>
      <c r="EM1446" s="110"/>
      <c r="EN1446" s="110"/>
      <c r="EO1446" s="110"/>
      <c r="EP1446" s="110"/>
      <c r="EQ1446" s="110"/>
      <c r="ER1446" s="110"/>
      <c r="ES1446" s="110"/>
      <c r="ET1446" s="110"/>
      <c r="EU1446" s="110"/>
      <c r="EV1446" s="110"/>
      <c r="EW1446" s="110"/>
      <c r="EX1446" s="110"/>
      <c r="EY1446" s="110"/>
      <c r="EZ1446" s="110"/>
      <c r="FA1446" s="110"/>
      <c r="FB1446" s="110"/>
      <c r="FC1446" s="110"/>
      <c r="FD1446" s="110"/>
      <c r="FE1446" s="110"/>
      <c r="FF1446" s="110"/>
      <c r="FG1446" s="110"/>
      <c r="FH1446" s="110"/>
      <c r="FI1446" s="110"/>
      <c r="FJ1446" s="110"/>
      <c r="FK1446" s="110"/>
      <c r="FL1446" s="110"/>
      <c r="FM1446" s="110"/>
      <c r="FN1446" s="110"/>
      <c r="FO1446" s="110"/>
      <c r="FP1446" s="110"/>
      <c r="FQ1446" s="110"/>
      <c r="FR1446" s="110"/>
      <c r="FS1446" s="110"/>
      <c r="FT1446" s="110"/>
      <c r="FU1446" s="110"/>
      <c r="FV1446" s="110"/>
      <c r="FW1446" s="110"/>
      <c r="FX1446" s="110"/>
      <c r="FY1446" s="110"/>
      <c r="FZ1446" s="110"/>
      <c r="GA1446" s="110"/>
      <c r="GB1446" s="110"/>
      <c r="GC1446" s="110"/>
      <c r="GD1446" s="110"/>
      <c r="GE1446" s="110"/>
      <c r="GF1446" s="110"/>
      <c r="GG1446" s="110"/>
      <c r="GH1446" s="110"/>
      <c r="GI1446" s="110"/>
      <c r="GJ1446" s="110"/>
      <c r="GK1446" s="110"/>
      <c r="GL1446" s="110"/>
      <c r="GM1446" s="110"/>
      <c r="GN1446" s="110"/>
      <c r="GO1446" s="110"/>
      <c r="GP1446" s="110"/>
      <c r="GQ1446" s="110"/>
      <c r="GR1446" s="110"/>
      <c r="GS1446" s="110"/>
      <c r="GT1446" s="110"/>
      <c r="GU1446" s="110"/>
      <c r="GV1446" s="110"/>
      <c r="GW1446" s="110"/>
      <c r="GX1446" s="110"/>
      <c r="GY1446" s="110"/>
      <c r="GZ1446" s="110"/>
      <c r="HA1446" s="110"/>
      <c r="HB1446" s="110"/>
      <c r="HC1446" s="110"/>
      <c r="HD1446" s="110"/>
      <c r="HE1446" s="110"/>
      <c r="HF1446" s="110"/>
      <c r="HG1446" s="110"/>
      <c r="HH1446" s="110"/>
      <c r="HI1446" s="110"/>
      <c r="HJ1446" s="110"/>
      <c r="HK1446" s="110"/>
      <c r="HL1446" s="110"/>
      <c r="HM1446" s="110"/>
      <c r="HN1446" s="110"/>
      <c r="HO1446" s="110"/>
      <c r="HP1446" s="110"/>
      <c r="HQ1446" s="110"/>
      <c r="HR1446" s="110"/>
      <c r="HS1446" s="110"/>
      <c r="HT1446" s="110"/>
      <c r="HU1446" s="110"/>
      <c r="HV1446" s="110"/>
      <c r="HW1446" s="110"/>
      <c r="HX1446" s="110"/>
      <c r="HY1446" s="110"/>
      <c r="HZ1446" s="110"/>
      <c r="IA1446" s="110"/>
      <c r="IB1446" s="110"/>
      <c r="IC1446" s="110"/>
      <c r="ID1446" s="110"/>
      <c r="IE1446" s="110"/>
      <c r="IF1446" s="110"/>
      <c r="IG1446" s="110"/>
      <c r="IH1446" s="110"/>
      <c r="II1446" s="110"/>
      <c r="IJ1446" s="110"/>
      <c r="IK1446" s="110"/>
      <c r="IL1446" s="110"/>
      <c r="IM1446" s="110"/>
      <c r="IN1446" s="110"/>
      <c r="IO1446" s="110"/>
      <c r="IP1446" s="110"/>
      <c r="IQ1446" s="110"/>
      <c r="IR1446" s="110"/>
    </row>
    <row r="1447" spans="18:252" ht="16.5" hidden="1" customHeight="1">
      <c r="R1447" s="264"/>
      <c r="S1447" s="110"/>
      <c r="T1447" s="110"/>
      <c r="U1447" s="110"/>
      <c r="V1447" s="110"/>
      <c r="W1447" s="266"/>
      <c r="X1447" s="110"/>
      <c r="Y1447" s="110"/>
      <c r="Z1447" s="110"/>
      <c r="AA1447" s="110"/>
      <c r="AB1447" s="110"/>
      <c r="AC1447" s="110"/>
      <c r="AD1447" s="110"/>
      <c r="AE1447" s="110"/>
      <c r="AF1447" s="110"/>
      <c r="AG1447" s="110"/>
      <c r="AH1447" s="110"/>
      <c r="AI1447" s="110"/>
      <c r="AJ1447" s="110"/>
      <c r="AK1447" s="110"/>
      <c r="AL1447" s="110"/>
      <c r="AM1447" s="110"/>
      <c r="AN1447" s="110"/>
      <c r="AO1447" s="110"/>
      <c r="AP1447" s="110"/>
      <c r="AQ1447" s="110"/>
      <c r="AR1447" s="110"/>
      <c r="AS1447" s="110"/>
      <c r="AT1447" s="110"/>
      <c r="AU1447" s="110"/>
      <c r="AV1447" s="110"/>
      <c r="AW1447" s="110"/>
      <c r="AX1447" s="110"/>
      <c r="AY1447" s="110"/>
      <c r="AZ1447" s="110"/>
      <c r="BA1447" s="110"/>
      <c r="BB1447" s="110"/>
      <c r="BC1447" s="110"/>
      <c r="BD1447" s="110"/>
      <c r="BE1447" s="110"/>
      <c r="BF1447" s="110"/>
      <c r="BG1447" s="110"/>
      <c r="BH1447" s="110"/>
      <c r="BI1447" s="110"/>
      <c r="BJ1447" s="110"/>
      <c r="BK1447" s="110"/>
      <c r="BL1447" s="110"/>
      <c r="BM1447" s="110"/>
      <c r="BN1447" s="110"/>
      <c r="BO1447" s="110"/>
      <c r="BP1447" s="110"/>
      <c r="BQ1447" s="110"/>
      <c r="BR1447" s="110"/>
      <c r="BS1447" s="110"/>
      <c r="BT1447" s="110"/>
      <c r="BU1447" s="110"/>
      <c r="BV1447" s="110"/>
      <c r="BW1447" s="110"/>
      <c r="BX1447" s="110"/>
      <c r="BY1447" s="110"/>
      <c r="BZ1447" s="110"/>
      <c r="CA1447" s="110"/>
      <c r="CB1447" s="110"/>
      <c r="CC1447" s="110"/>
      <c r="CD1447" s="110"/>
      <c r="CE1447" s="110"/>
      <c r="CF1447" s="110"/>
      <c r="CG1447" s="110"/>
      <c r="CH1447" s="110"/>
      <c r="CI1447" s="110"/>
      <c r="CJ1447" s="110"/>
      <c r="CK1447" s="110"/>
      <c r="CL1447" s="110"/>
      <c r="CM1447" s="110"/>
      <c r="CN1447" s="110"/>
      <c r="CO1447" s="110"/>
      <c r="CP1447" s="110"/>
      <c r="CQ1447" s="110"/>
      <c r="CR1447" s="110"/>
      <c r="CS1447" s="110"/>
      <c r="CT1447" s="110"/>
      <c r="CU1447" s="110"/>
      <c r="CV1447" s="110"/>
      <c r="CW1447" s="110"/>
      <c r="CX1447" s="110"/>
      <c r="CY1447" s="110"/>
      <c r="CZ1447" s="110"/>
      <c r="DA1447" s="110"/>
      <c r="DB1447" s="110"/>
      <c r="DC1447" s="110"/>
      <c r="DD1447" s="110"/>
      <c r="DE1447" s="110"/>
      <c r="DF1447" s="110"/>
      <c r="DG1447" s="110"/>
      <c r="DH1447" s="110"/>
      <c r="DI1447" s="110"/>
      <c r="DJ1447" s="110"/>
      <c r="DK1447" s="110"/>
      <c r="DL1447" s="110"/>
      <c r="DM1447" s="110"/>
      <c r="DN1447" s="110"/>
      <c r="DO1447" s="110"/>
      <c r="DP1447" s="110"/>
      <c r="DQ1447" s="110"/>
      <c r="DR1447" s="110"/>
      <c r="DS1447" s="110"/>
      <c r="DT1447" s="110"/>
      <c r="DU1447" s="110"/>
      <c r="DV1447" s="110"/>
      <c r="DW1447" s="110"/>
      <c r="DX1447" s="110"/>
      <c r="DY1447" s="110"/>
      <c r="DZ1447" s="110"/>
      <c r="EA1447" s="110"/>
      <c r="EB1447" s="110"/>
      <c r="EC1447" s="110"/>
      <c r="ED1447" s="110"/>
      <c r="EF1447" s="264"/>
      <c r="EG1447" s="110"/>
      <c r="EH1447" s="110"/>
      <c r="EI1447" s="110"/>
      <c r="EJ1447" s="110"/>
      <c r="EK1447" s="266"/>
      <c r="EL1447" s="110"/>
      <c r="EM1447" s="110"/>
      <c r="EN1447" s="110"/>
      <c r="EO1447" s="110"/>
      <c r="EP1447" s="110"/>
      <c r="EQ1447" s="110"/>
      <c r="ER1447" s="110"/>
      <c r="ES1447" s="110"/>
      <c r="ET1447" s="110"/>
      <c r="EU1447" s="110"/>
      <c r="EV1447" s="110"/>
      <c r="EW1447" s="110"/>
      <c r="EX1447" s="110"/>
      <c r="EY1447" s="110"/>
      <c r="EZ1447" s="110"/>
      <c r="FA1447" s="110"/>
      <c r="FB1447" s="110"/>
      <c r="FC1447" s="110"/>
      <c r="FD1447" s="110"/>
      <c r="FE1447" s="110"/>
      <c r="FF1447" s="110"/>
      <c r="FG1447" s="110"/>
      <c r="FH1447" s="110"/>
      <c r="FI1447" s="110"/>
      <c r="FJ1447" s="110"/>
      <c r="FK1447" s="110"/>
      <c r="FL1447" s="110"/>
      <c r="FM1447" s="110"/>
      <c r="FN1447" s="110"/>
      <c r="FO1447" s="110"/>
      <c r="FP1447" s="110"/>
      <c r="FQ1447" s="110"/>
      <c r="FR1447" s="110"/>
      <c r="FS1447" s="110"/>
      <c r="FT1447" s="110"/>
      <c r="FU1447" s="110"/>
      <c r="FV1447" s="110"/>
      <c r="FW1447" s="110"/>
      <c r="FX1447" s="110"/>
      <c r="FY1447" s="110"/>
      <c r="FZ1447" s="110"/>
      <c r="GA1447" s="110"/>
      <c r="GB1447" s="110"/>
      <c r="GC1447" s="110"/>
      <c r="GD1447" s="110"/>
      <c r="GE1447" s="110"/>
      <c r="GF1447" s="110"/>
      <c r="GG1447" s="110"/>
      <c r="GH1447" s="110"/>
      <c r="GI1447" s="110"/>
      <c r="GJ1447" s="110"/>
      <c r="GK1447" s="110"/>
      <c r="GL1447" s="110"/>
      <c r="GM1447" s="110"/>
      <c r="GN1447" s="110"/>
      <c r="GO1447" s="110"/>
      <c r="GP1447" s="110"/>
      <c r="GQ1447" s="110"/>
      <c r="GR1447" s="110"/>
      <c r="GS1447" s="110"/>
      <c r="GT1447" s="110"/>
      <c r="GU1447" s="110"/>
      <c r="GV1447" s="110"/>
      <c r="GW1447" s="110"/>
      <c r="GX1447" s="110"/>
      <c r="GY1447" s="110"/>
      <c r="GZ1447" s="110"/>
      <c r="HA1447" s="110"/>
      <c r="HB1447" s="110"/>
      <c r="HC1447" s="110"/>
      <c r="HD1447" s="110"/>
      <c r="HE1447" s="110"/>
      <c r="HF1447" s="110"/>
      <c r="HG1447" s="110"/>
      <c r="HH1447" s="110"/>
      <c r="HI1447" s="110"/>
      <c r="HJ1447" s="110"/>
      <c r="HK1447" s="110"/>
      <c r="HL1447" s="110"/>
      <c r="HM1447" s="110"/>
      <c r="HN1447" s="110"/>
      <c r="HO1447" s="110"/>
      <c r="HP1447" s="110"/>
      <c r="HQ1447" s="110"/>
      <c r="HR1447" s="110"/>
      <c r="HS1447" s="110"/>
      <c r="HT1447" s="110"/>
      <c r="HU1447" s="110"/>
      <c r="HV1447" s="110"/>
      <c r="HW1447" s="110"/>
      <c r="HX1447" s="110"/>
      <c r="HY1447" s="110"/>
      <c r="HZ1447" s="110"/>
      <c r="IA1447" s="110"/>
      <c r="IB1447" s="110"/>
      <c r="IC1447" s="110"/>
      <c r="ID1447" s="110"/>
      <c r="IE1447" s="110"/>
      <c r="IF1447" s="110"/>
      <c r="IG1447" s="110"/>
      <c r="IH1447" s="110"/>
      <c r="II1447" s="110"/>
      <c r="IJ1447" s="110"/>
      <c r="IK1447" s="110"/>
      <c r="IL1447" s="110"/>
      <c r="IM1447" s="110"/>
      <c r="IN1447" s="110"/>
      <c r="IO1447" s="110"/>
      <c r="IP1447" s="110"/>
      <c r="IQ1447" s="110"/>
      <c r="IR1447" s="110"/>
    </row>
    <row r="1448" spans="18:252" ht="16.5" hidden="1" customHeight="1">
      <c r="R1448" s="264"/>
      <c r="S1448" s="110"/>
      <c r="T1448" s="110"/>
      <c r="U1448" s="110"/>
      <c r="V1448" s="110"/>
      <c r="W1448" s="266"/>
      <c r="X1448" s="110"/>
      <c r="Y1448" s="110"/>
      <c r="Z1448" s="110"/>
      <c r="AA1448" s="110"/>
      <c r="AB1448" s="110"/>
      <c r="AC1448" s="110"/>
      <c r="AD1448" s="110"/>
      <c r="AE1448" s="110"/>
      <c r="AF1448" s="110"/>
      <c r="AG1448" s="110"/>
      <c r="AH1448" s="110"/>
      <c r="AI1448" s="110"/>
      <c r="AJ1448" s="110"/>
      <c r="AK1448" s="110"/>
      <c r="AL1448" s="110"/>
      <c r="AM1448" s="110"/>
      <c r="AN1448" s="110"/>
      <c r="AO1448" s="110"/>
      <c r="AP1448" s="110"/>
      <c r="AQ1448" s="110"/>
      <c r="AR1448" s="110"/>
      <c r="AS1448" s="110"/>
      <c r="AT1448" s="110"/>
      <c r="AU1448" s="110"/>
      <c r="AV1448" s="110"/>
      <c r="AW1448" s="110"/>
      <c r="AX1448" s="110"/>
      <c r="AY1448" s="110"/>
      <c r="AZ1448" s="110"/>
      <c r="BA1448" s="110"/>
      <c r="BB1448" s="110"/>
      <c r="BC1448" s="110"/>
      <c r="BD1448" s="110"/>
      <c r="BE1448" s="110"/>
      <c r="BF1448" s="110"/>
      <c r="BG1448" s="110"/>
      <c r="BH1448" s="110"/>
      <c r="BI1448" s="110"/>
      <c r="BJ1448" s="110"/>
      <c r="BK1448" s="110"/>
      <c r="BL1448" s="110"/>
      <c r="BM1448" s="110"/>
      <c r="BN1448" s="110"/>
      <c r="BO1448" s="110"/>
      <c r="BP1448" s="110"/>
      <c r="BQ1448" s="110"/>
      <c r="BR1448" s="110"/>
      <c r="BS1448" s="110"/>
      <c r="BT1448" s="110"/>
      <c r="BU1448" s="110"/>
      <c r="BV1448" s="110"/>
      <c r="BW1448" s="110"/>
      <c r="BX1448" s="110"/>
      <c r="BY1448" s="110"/>
      <c r="BZ1448" s="110"/>
      <c r="CA1448" s="110"/>
      <c r="CB1448" s="110"/>
      <c r="CC1448" s="110"/>
      <c r="CD1448" s="110"/>
      <c r="CE1448" s="110"/>
      <c r="CF1448" s="110"/>
      <c r="CG1448" s="110"/>
      <c r="CH1448" s="110"/>
      <c r="CI1448" s="110"/>
      <c r="CJ1448" s="110"/>
      <c r="CK1448" s="110"/>
      <c r="CL1448" s="110"/>
      <c r="CM1448" s="110"/>
      <c r="CN1448" s="110"/>
      <c r="CO1448" s="110"/>
      <c r="CP1448" s="110"/>
      <c r="CQ1448" s="110"/>
      <c r="CR1448" s="110"/>
      <c r="CS1448" s="110"/>
      <c r="CT1448" s="110"/>
      <c r="CU1448" s="110"/>
      <c r="CV1448" s="110"/>
      <c r="CW1448" s="110"/>
      <c r="CX1448" s="110"/>
      <c r="CY1448" s="110"/>
      <c r="CZ1448" s="110"/>
      <c r="DA1448" s="110"/>
      <c r="DB1448" s="110"/>
      <c r="DC1448" s="110"/>
      <c r="DD1448" s="110"/>
      <c r="DE1448" s="110"/>
      <c r="DF1448" s="110"/>
      <c r="DG1448" s="110"/>
      <c r="DH1448" s="110"/>
      <c r="DI1448" s="110"/>
      <c r="DJ1448" s="110"/>
      <c r="DK1448" s="110"/>
      <c r="DL1448" s="110"/>
      <c r="DM1448" s="110"/>
      <c r="DN1448" s="110"/>
      <c r="DO1448" s="110"/>
      <c r="DP1448" s="110"/>
      <c r="DQ1448" s="110"/>
      <c r="DR1448" s="110"/>
      <c r="DS1448" s="110"/>
      <c r="DT1448" s="110"/>
      <c r="DU1448" s="110"/>
      <c r="DV1448" s="110"/>
      <c r="DW1448" s="110"/>
      <c r="DX1448" s="110"/>
      <c r="DY1448" s="110"/>
      <c r="DZ1448" s="110"/>
      <c r="EA1448" s="110"/>
      <c r="EB1448" s="110"/>
      <c r="EC1448" s="110"/>
      <c r="ED1448" s="110"/>
      <c r="EF1448" s="264"/>
      <c r="EG1448" s="110"/>
      <c r="EH1448" s="110"/>
      <c r="EI1448" s="110"/>
      <c r="EJ1448" s="110"/>
      <c r="EK1448" s="266"/>
      <c r="EL1448" s="110"/>
      <c r="EM1448" s="110"/>
      <c r="EN1448" s="110"/>
      <c r="EO1448" s="110"/>
      <c r="EP1448" s="110"/>
      <c r="EQ1448" s="110"/>
      <c r="ER1448" s="110"/>
      <c r="ES1448" s="110"/>
      <c r="ET1448" s="110"/>
      <c r="EU1448" s="110"/>
      <c r="EV1448" s="110"/>
      <c r="EW1448" s="110"/>
      <c r="EX1448" s="110"/>
      <c r="EY1448" s="110"/>
      <c r="EZ1448" s="110"/>
      <c r="FA1448" s="110"/>
      <c r="FB1448" s="110"/>
      <c r="FC1448" s="110"/>
      <c r="FD1448" s="110"/>
      <c r="FE1448" s="110"/>
      <c r="FF1448" s="110"/>
      <c r="FG1448" s="110"/>
      <c r="FH1448" s="110"/>
      <c r="FI1448" s="110"/>
      <c r="FJ1448" s="110"/>
      <c r="FK1448" s="110"/>
      <c r="FL1448" s="110"/>
      <c r="FM1448" s="110"/>
      <c r="FN1448" s="110"/>
      <c r="FO1448" s="110"/>
      <c r="FP1448" s="110"/>
      <c r="FQ1448" s="110"/>
      <c r="FR1448" s="110"/>
      <c r="FS1448" s="110"/>
      <c r="FT1448" s="110"/>
      <c r="FU1448" s="110"/>
      <c r="FV1448" s="110"/>
      <c r="FW1448" s="110"/>
      <c r="FX1448" s="110"/>
      <c r="FY1448" s="110"/>
      <c r="FZ1448" s="110"/>
      <c r="GA1448" s="110"/>
      <c r="GB1448" s="110"/>
      <c r="GC1448" s="110"/>
      <c r="GD1448" s="110"/>
      <c r="GE1448" s="110"/>
      <c r="GF1448" s="110"/>
      <c r="GG1448" s="110"/>
      <c r="GH1448" s="110"/>
      <c r="GI1448" s="110"/>
      <c r="GJ1448" s="110"/>
      <c r="GK1448" s="110"/>
      <c r="GL1448" s="110"/>
      <c r="GM1448" s="110"/>
      <c r="GN1448" s="110"/>
      <c r="GO1448" s="110"/>
      <c r="GP1448" s="110"/>
      <c r="GQ1448" s="110"/>
      <c r="GR1448" s="110"/>
      <c r="GS1448" s="110"/>
      <c r="GT1448" s="110"/>
      <c r="GU1448" s="110"/>
      <c r="GV1448" s="110"/>
      <c r="GW1448" s="110"/>
      <c r="GX1448" s="110"/>
      <c r="GY1448" s="110"/>
      <c r="GZ1448" s="110"/>
      <c r="HA1448" s="110"/>
      <c r="HB1448" s="110"/>
      <c r="HC1448" s="110"/>
      <c r="HD1448" s="110"/>
      <c r="HE1448" s="110"/>
      <c r="HF1448" s="110"/>
      <c r="HG1448" s="110"/>
      <c r="HH1448" s="110"/>
      <c r="HI1448" s="110"/>
      <c r="HJ1448" s="110"/>
      <c r="HK1448" s="110"/>
      <c r="HL1448" s="110"/>
      <c r="HM1448" s="110"/>
      <c r="HN1448" s="110"/>
      <c r="HO1448" s="110"/>
      <c r="HP1448" s="110"/>
      <c r="HQ1448" s="110"/>
      <c r="HR1448" s="110"/>
      <c r="HS1448" s="110"/>
      <c r="HT1448" s="110"/>
      <c r="HU1448" s="110"/>
      <c r="HV1448" s="110"/>
      <c r="HW1448" s="110"/>
      <c r="HX1448" s="110"/>
      <c r="HY1448" s="110"/>
      <c r="HZ1448" s="110"/>
      <c r="IA1448" s="110"/>
      <c r="IB1448" s="110"/>
      <c r="IC1448" s="110"/>
      <c r="ID1448" s="110"/>
      <c r="IE1448" s="110"/>
      <c r="IF1448" s="110"/>
      <c r="IG1448" s="110"/>
      <c r="IH1448" s="110"/>
      <c r="II1448" s="110"/>
      <c r="IJ1448" s="110"/>
      <c r="IK1448" s="110"/>
      <c r="IL1448" s="110"/>
      <c r="IM1448" s="110"/>
      <c r="IN1448" s="110"/>
      <c r="IO1448" s="110"/>
      <c r="IP1448" s="110"/>
      <c r="IQ1448" s="110"/>
      <c r="IR1448" s="110"/>
    </row>
    <row r="1449" spans="18:252" ht="16.5" hidden="1" customHeight="1">
      <c r="R1449" s="264"/>
      <c r="S1449" s="110"/>
      <c r="T1449" s="110"/>
      <c r="U1449" s="110"/>
      <c r="V1449" s="110"/>
      <c r="W1449" s="266"/>
      <c r="X1449" s="110"/>
      <c r="Y1449" s="110"/>
      <c r="Z1449" s="110"/>
      <c r="AA1449" s="110"/>
      <c r="AB1449" s="110"/>
      <c r="AC1449" s="110"/>
      <c r="AD1449" s="110"/>
      <c r="AE1449" s="110"/>
      <c r="AF1449" s="110"/>
      <c r="AG1449" s="110"/>
      <c r="AH1449" s="110"/>
      <c r="AI1449" s="110"/>
      <c r="AJ1449" s="110"/>
      <c r="AK1449" s="110"/>
      <c r="AL1449" s="110"/>
      <c r="AM1449" s="110"/>
      <c r="AN1449" s="110"/>
      <c r="AO1449" s="110"/>
      <c r="AP1449" s="110"/>
      <c r="AQ1449" s="110"/>
      <c r="AR1449" s="110"/>
      <c r="AS1449" s="110"/>
      <c r="AT1449" s="110"/>
      <c r="AU1449" s="110"/>
      <c r="AV1449" s="110"/>
      <c r="AW1449" s="110"/>
      <c r="AX1449" s="110"/>
      <c r="AY1449" s="110"/>
      <c r="AZ1449" s="110"/>
      <c r="BA1449" s="110"/>
      <c r="BB1449" s="110"/>
      <c r="BC1449" s="110"/>
      <c r="BD1449" s="110"/>
      <c r="BE1449" s="110"/>
      <c r="BF1449" s="110"/>
      <c r="BG1449" s="110"/>
      <c r="BH1449" s="110"/>
      <c r="BI1449" s="110"/>
      <c r="BJ1449" s="110"/>
      <c r="BK1449" s="110"/>
      <c r="BL1449" s="110"/>
      <c r="BM1449" s="110"/>
      <c r="BN1449" s="110"/>
      <c r="BO1449" s="110"/>
      <c r="BP1449" s="110"/>
      <c r="BQ1449" s="110"/>
      <c r="BR1449" s="110"/>
      <c r="BS1449" s="110"/>
      <c r="BT1449" s="110"/>
      <c r="BU1449" s="110"/>
      <c r="BV1449" s="110"/>
      <c r="BW1449" s="110"/>
      <c r="BX1449" s="110"/>
      <c r="BY1449" s="110"/>
      <c r="BZ1449" s="110"/>
      <c r="CA1449" s="110"/>
      <c r="CB1449" s="110"/>
      <c r="CC1449" s="110"/>
      <c r="CD1449" s="110"/>
      <c r="CE1449" s="110"/>
      <c r="CF1449" s="110"/>
      <c r="CG1449" s="110"/>
      <c r="CH1449" s="110"/>
      <c r="CI1449" s="110"/>
      <c r="CJ1449" s="110"/>
      <c r="CK1449" s="110"/>
      <c r="CL1449" s="110"/>
      <c r="CM1449" s="110"/>
      <c r="CN1449" s="110"/>
      <c r="CO1449" s="110"/>
      <c r="CP1449" s="110"/>
      <c r="CQ1449" s="110"/>
      <c r="CR1449" s="110"/>
      <c r="CS1449" s="110"/>
      <c r="CT1449" s="110"/>
      <c r="CU1449" s="110"/>
      <c r="CV1449" s="110"/>
      <c r="CW1449" s="110"/>
      <c r="CX1449" s="110"/>
      <c r="CY1449" s="110"/>
      <c r="CZ1449" s="110"/>
      <c r="DA1449" s="110"/>
      <c r="DB1449" s="110"/>
      <c r="DC1449" s="110"/>
      <c r="DD1449" s="110"/>
      <c r="DE1449" s="110"/>
      <c r="DF1449" s="110"/>
      <c r="DG1449" s="110"/>
      <c r="DH1449" s="110"/>
      <c r="DI1449" s="110"/>
      <c r="DJ1449" s="110"/>
      <c r="DK1449" s="110"/>
      <c r="DL1449" s="110"/>
      <c r="DM1449" s="110"/>
      <c r="DN1449" s="110"/>
      <c r="DO1449" s="110"/>
      <c r="DP1449" s="110"/>
      <c r="DQ1449" s="110"/>
      <c r="DR1449" s="110"/>
      <c r="DS1449" s="110"/>
      <c r="DT1449" s="110"/>
      <c r="DU1449" s="110"/>
      <c r="DV1449" s="110"/>
      <c r="DW1449" s="110"/>
      <c r="DX1449" s="110"/>
      <c r="DY1449" s="110"/>
      <c r="DZ1449" s="110"/>
      <c r="EA1449" s="110"/>
      <c r="EB1449" s="110"/>
      <c r="EC1449" s="110"/>
      <c r="ED1449" s="110"/>
      <c r="EF1449" s="264"/>
      <c r="EG1449" s="110"/>
      <c r="EH1449" s="110"/>
      <c r="EI1449" s="110"/>
      <c r="EJ1449" s="110"/>
      <c r="EK1449" s="266"/>
      <c r="EL1449" s="110"/>
      <c r="EM1449" s="110"/>
      <c r="EN1449" s="110"/>
      <c r="EO1449" s="110"/>
      <c r="EP1449" s="110"/>
      <c r="EQ1449" s="110"/>
      <c r="ER1449" s="110"/>
      <c r="ES1449" s="110"/>
      <c r="ET1449" s="110"/>
      <c r="EU1449" s="110"/>
      <c r="EV1449" s="110"/>
      <c r="EW1449" s="110"/>
      <c r="EX1449" s="110"/>
      <c r="EY1449" s="110"/>
      <c r="EZ1449" s="110"/>
      <c r="FA1449" s="110"/>
      <c r="FB1449" s="110"/>
      <c r="FC1449" s="110"/>
      <c r="FD1449" s="110"/>
      <c r="FE1449" s="110"/>
      <c r="FF1449" s="110"/>
      <c r="FG1449" s="110"/>
      <c r="FH1449" s="110"/>
      <c r="FI1449" s="110"/>
      <c r="FJ1449" s="110"/>
      <c r="FK1449" s="110"/>
      <c r="FL1449" s="110"/>
      <c r="FM1449" s="110"/>
      <c r="FN1449" s="110"/>
      <c r="FO1449" s="110"/>
      <c r="FP1449" s="110"/>
      <c r="FQ1449" s="110"/>
      <c r="FR1449" s="110"/>
      <c r="FS1449" s="110"/>
      <c r="FT1449" s="110"/>
      <c r="FU1449" s="110"/>
      <c r="FV1449" s="110"/>
      <c r="FW1449" s="110"/>
      <c r="FX1449" s="110"/>
      <c r="FY1449" s="110"/>
      <c r="FZ1449" s="110"/>
      <c r="GA1449" s="110"/>
      <c r="GB1449" s="110"/>
      <c r="GC1449" s="110"/>
      <c r="GD1449" s="110"/>
      <c r="GE1449" s="110"/>
      <c r="GF1449" s="110"/>
      <c r="GG1449" s="110"/>
      <c r="GH1449" s="110"/>
      <c r="GI1449" s="110"/>
      <c r="GJ1449" s="110"/>
      <c r="GK1449" s="110"/>
      <c r="GL1449" s="110"/>
      <c r="GM1449" s="110"/>
      <c r="GN1449" s="110"/>
      <c r="GO1449" s="110"/>
      <c r="GP1449" s="110"/>
      <c r="GQ1449" s="110"/>
      <c r="GR1449" s="110"/>
      <c r="GS1449" s="110"/>
      <c r="GT1449" s="110"/>
      <c r="GU1449" s="110"/>
      <c r="GV1449" s="110"/>
      <c r="GW1449" s="110"/>
      <c r="GX1449" s="110"/>
      <c r="GY1449" s="110"/>
      <c r="GZ1449" s="110"/>
      <c r="HA1449" s="110"/>
      <c r="HB1449" s="110"/>
      <c r="HC1449" s="110"/>
      <c r="HD1449" s="110"/>
      <c r="HE1449" s="110"/>
      <c r="HF1449" s="110"/>
      <c r="HG1449" s="110"/>
      <c r="HH1449" s="110"/>
      <c r="HI1449" s="110"/>
      <c r="HJ1449" s="110"/>
      <c r="HK1449" s="110"/>
      <c r="HL1449" s="110"/>
      <c r="HM1449" s="110"/>
      <c r="HN1449" s="110"/>
      <c r="HO1449" s="110"/>
      <c r="HP1449" s="110"/>
      <c r="HQ1449" s="110"/>
      <c r="HR1449" s="110"/>
      <c r="HS1449" s="110"/>
      <c r="HT1449" s="110"/>
      <c r="HU1449" s="110"/>
      <c r="HV1449" s="110"/>
      <c r="HW1449" s="110"/>
      <c r="HX1449" s="110"/>
      <c r="HY1449" s="110"/>
      <c r="HZ1449" s="110"/>
      <c r="IA1449" s="110"/>
      <c r="IB1449" s="110"/>
      <c r="IC1449" s="110"/>
      <c r="ID1449" s="110"/>
      <c r="IE1449" s="110"/>
      <c r="IF1449" s="110"/>
      <c r="IG1449" s="110"/>
      <c r="IH1449" s="110"/>
      <c r="II1449" s="110"/>
      <c r="IJ1449" s="110"/>
      <c r="IK1449" s="110"/>
      <c r="IL1449" s="110"/>
      <c r="IM1449" s="110"/>
      <c r="IN1449" s="110"/>
      <c r="IO1449" s="110"/>
      <c r="IP1449" s="110"/>
      <c r="IQ1449" s="110"/>
      <c r="IR1449" s="110"/>
    </row>
    <row r="1450" spans="18:252" ht="16.5" hidden="1" customHeight="1">
      <c r="R1450" s="264"/>
      <c r="S1450" s="110"/>
      <c r="T1450" s="110"/>
      <c r="U1450" s="110"/>
      <c r="V1450" s="110"/>
      <c r="W1450" s="266"/>
      <c r="X1450" s="110"/>
      <c r="Y1450" s="110"/>
      <c r="Z1450" s="110"/>
      <c r="AA1450" s="110"/>
      <c r="AB1450" s="110"/>
      <c r="AC1450" s="110"/>
      <c r="AD1450" s="110"/>
      <c r="AE1450" s="110"/>
      <c r="AF1450" s="110"/>
      <c r="AG1450" s="110"/>
      <c r="AH1450" s="110"/>
      <c r="AI1450" s="110"/>
      <c r="AJ1450" s="110"/>
      <c r="AK1450" s="110"/>
      <c r="AL1450" s="110"/>
      <c r="AM1450" s="110"/>
      <c r="AN1450" s="110"/>
      <c r="AO1450" s="110"/>
      <c r="AP1450" s="110"/>
      <c r="AQ1450" s="110"/>
      <c r="AR1450" s="110"/>
      <c r="AS1450" s="110"/>
      <c r="AT1450" s="110"/>
      <c r="AU1450" s="110"/>
      <c r="AV1450" s="110"/>
      <c r="AW1450" s="110"/>
      <c r="AX1450" s="110"/>
      <c r="AY1450" s="110"/>
      <c r="AZ1450" s="110"/>
      <c r="BA1450" s="110"/>
      <c r="BB1450" s="110"/>
      <c r="BC1450" s="110"/>
      <c r="BD1450" s="110"/>
      <c r="BE1450" s="110"/>
      <c r="BF1450" s="110"/>
      <c r="BG1450" s="110"/>
      <c r="BH1450" s="110"/>
      <c r="BI1450" s="110"/>
      <c r="BJ1450" s="110"/>
      <c r="BK1450" s="110"/>
      <c r="BL1450" s="110"/>
      <c r="BM1450" s="110"/>
      <c r="BN1450" s="110"/>
      <c r="BO1450" s="110"/>
      <c r="BP1450" s="110"/>
      <c r="BQ1450" s="110"/>
      <c r="BR1450" s="110"/>
      <c r="BS1450" s="110"/>
      <c r="BT1450" s="110"/>
      <c r="BU1450" s="110"/>
      <c r="BV1450" s="110"/>
      <c r="BW1450" s="110"/>
      <c r="BX1450" s="110"/>
      <c r="BY1450" s="110"/>
      <c r="BZ1450" s="110"/>
      <c r="CA1450" s="110"/>
      <c r="CB1450" s="110"/>
      <c r="CC1450" s="110"/>
      <c r="CD1450" s="110"/>
      <c r="CE1450" s="110"/>
      <c r="CF1450" s="110"/>
      <c r="CG1450" s="110"/>
      <c r="CH1450" s="110"/>
      <c r="CI1450" s="110"/>
      <c r="CJ1450" s="110"/>
      <c r="CK1450" s="110"/>
      <c r="CL1450" s="110"/>
      <c r="CM1450" s="110"/>
      <c r="CN1450" s="110"/>
      <c r="CO1450" s="110"/>
      <c r="CP1450" s="110"/>
      <c r="CQ1450" s="110"/>
      <c r="CR1450" s="110"/>
      <c r="CS1450" s="110"/>
      <c r="CT1450" s="110"/>
      <c r="CU1450" s="110"/>
      <c r="CV1450" s="110"/>
      <c r="CW1450" s="110"/>
      <c r="CX1450" s="110"/>
      <c r="CY1450" s="110"/>
      <c r="CZ1450" s="110"/>
      <c r="DA1450" s="110"/>
      <c r="DB1450" s="110"/>
      <c r="DC1450" s="110"/>
      <c r="DD1450" s="110"/>
      <c r="DE1450" s="110"/>
      <c r="DF1450" s="110"/>
      <c r="DG1450" s="110"/>
      <c r="DH1450" s="110"/>
      <c r="DI1450" s="110"/>
      <c r="DJ1450" s="110"/>
      <c r="DK1450" s="110"/>
      <c r="DL1450" s="110"/>
      <c r="DM1450" s="110"/>
      <c r="DN1450" s="110"/>
      <c r="DO1450" s="110"/>
      <c r="DP1450" s="110"/>
      <c r="DQ1450" s="110"/>
      <c r="DR1450" s="110"/>
      <c r="DS1450" s="110"/>
      <c r="DT1450" s="110"/>
      <c r="DU1450" s="110"/>
      <c r="DV1450" s="110"/>
      <c r="DW1450" s="110"/>
      <c r="DX1450" s="110"/>
      <c r="DY1450" s="110"/>
      <c r="DZ1450" s="110"/>
      <c r="EA1450" s="110"/>
      <c r="EB1450" s="110"/>
      <c r="EC1450" s="110"/>
      <c r="ED1450" s="110"/>
      <c r="EF1450" s="264"/>
      <c r="EG1450" s="110"/>
      <c r="EH1450" s="110"/>
      <c r="EI1450" s="110"/>
      <c r="EJ1450" s="110"/>
      <c r="EK1450" s="266"/>
      <c r="EL1450" s="110"/>
      <c r="EM1450" s="110"/>
      <c r="EN1450" s="110"/>
      <c r="EO1450" s="110"/>
      <c r="EP1450" s="110"/>
      <c r="EQ1450" s="110"/>
      <c r="ER1450" s="110"/>
      <c r="ES1450" s="110"/>
      <c r="ET1450" s="110"/>
      <c r="EU1450" s="110"/>
      <c r="EV1450" s="110"/>
      <c r="EW1450" s="110"/>
      <c r="EX1450" s="110"/>
      <c r="EY1450" s="110"/>
      <c r="EZ1450" s="110"/>
      <c r="FA1450" s="110"/>
      <c r="FB1450" s="110"/>
      <c r="FC1450" s="110"/>
      <c r="FD1450" s="110"/>
      <c r="FE1450" s="110"/>
      <c r="FF1450" s="110"/>
      <c r="FG1450" s="110"/>
      <c r="FH1450" s="110"/>
      <c r="FI1450" s="110"/>
      <c r="FJ1450" s="110"/>
      <c r="FK1450" s="110"/>
      <c r="FL1450" s="110"/>
      <c r="FM1450" s="110"/>
      <c r="FN1450" s="110"/>
      <c r="FO1450" s="110"/>
      <c r="FP1450" s="110"/>
      <c r="FQ1450" s="110"/>
      <c r="FR1450" s="110"/>
      <c r="FS1450" s="110"/>
      <c r="FT1450" s="110"/>
      <c r="FU1450" s="110"/>
      <c r="FV1450" s="110"/>
      <c r="FW1450" s="110"/>
      <c r="FX1450" s="110"/>
      <c r="FY1450" s="110"/>
      <c r="FZ1450" s="110"/>
      <c r="GA1450" s="110"/>
      <c r="GB1450" s="110"/>
      <c r="GC1450" s="110"/>
      <c r="GD1450" s="110"/>
      <c r="GE1450" s="110"/>
      <c r="GF1450" s="110"/>
      <c r="GG1450" s="110"/>
      <c r="GH1450" s="110"/>
      <c r="GI1450" s="110"/>
      <c r="GJ1450" s="110"/>
      <c r="GK1450" s="110"/>
      <c r="GL1450" s="110"/>
      <c r="GM1450" s="110"/>
      <c r="GN1450" s="110"/>
      <c r="GO1450" s="110"/>
      <c r="GP1450" s="110"/>
      <c r="GQ1450" s="110"/>
      <c r="GR1450" s="110"/>
      <c r="GS1450" s="110"/>
      <c r="GT1450" s="110"/>
      <c r="GU1450" s="110"/>
      <c r="GV1450" s="110"/>
      <c r="GW1450" s="110"/>
      <c r="GX1450" s="110"/>
      <c r="GY1450" s="110"/>
      <c r="GZ1450" s="110"/>
      <c r="HA1450" s="110"/>
      <c r="HB1450" s="110"/>
      <c r="HC1450" s="110"/>
      <c r="HD1450" s="110"/>
      <c r="HE1450" s="110"/>
      <c r="HF1450" s="110"/>
      <c r="HG1450" s="110"/>
      <c r="HH1450" s="110"/>
      <c r="HI1450" s="110"/>
      <c r="HJ1450" s="110"/>
      <c r="HK1450" s="110"/>
      <c r="HL1450" s="110"/>
      <c r="HM1450" s="110"/>
      <c r="HN1450" s="110"/>
      <c r="HO1450" s="110"/>
      <c r="HP1450" s="110"/>
      <c r="HQ1450" s="110"/>
      <c r="HR1450" s="110"/>
      <c r="HS1450" s="110"/>
      <c r="HT1450" s="110"/>
      <c r="HU1450" s="110"/>
      <c r="HV1450" s="110"/>
      <c r="HW1450" s="110"/>
      <c r="HX1450" s="110"/>
      <c r="HY1450" s="110"/>
      <c r="HZ1450" s="110"/>
      <c r="IA1450" s="110"/>
      <c r="IB1450" s="110"/>
      <c r="IC1450" s="110"/>
      <c r="ID1450" s="110"/>
      <c r="IE1450" s="110"/>
      <c r="IF1450" s="110"/>
      <c r="IG1450" s="110"/>
      <c r="IH1450" s="110"/>
      <c r="II1450" s="110"/>
      <c r="IJ1450" s="110"/>
      <c r="IK1450" s="110"/>
      <c r="IL1450" s="110"/>
      <c r="IM1450" s="110"/>
      <c r="IN1450" s="110"/>
      <c r="IO1450" s="110"/>
      <c r="IP1450" s="110"/>
      <c r="IQ1450" s="110"/>
      <c r="IR1450" s="110"/>
    </row>
    <row r="1451" spans="18:252" ht="16.5" hidden="1" customHeight="1">
      <c r="R1451" s="264"/>
      <c r="S1451" s="110"/>
      <c r="T1451" s="110"/>
      <c r="U1451" s="110"/>
      <c r="V1451" s="110"/>
      <c r="W1451" s="266"/>
      <c r="X1451" s="110"/>
      <c r="Y1451" s="110"/>
      <c r="Z1451" s="110"/>
      <c r="AA1451" s="110"/>
      <c r="AB1451" s="110"/>
      <c r="AC1451" s="110"/>
      <c r="AD1451" s="110"/>
      <c r="AE1451" s="110"/>
      <c r="AF1451" s="110"/>
      <c r="AG1451" s="110"/>
      <c r="AH1451" s="110"/>
      <c r="AI1451" s="110"/>
      <c r="AJ1451" s="110"/>
      <c r="AK1451" s="110"/>
      <c r="AL1451" s="110"/>
      <c r="AM1451" s="110"/>
      <c r="AN1451" s="110"/>
      <c r="AO1451" s="110"/>
      <c r="AP1451" s="110"/>
      <c r="AQ1451" s="110"/>
      <c r="AR1451" s="110"/>
      <c r="AS1451" s="110"/>
      <c r="AT1451" s="110"/>
      <c r="AU1451" s="110"/>
      <c r="AV1451" s="110"/>
      <c r="AW1451" s="110"/>
      <c r="AX1451" s="110"/>
      <c r="AY1451" s="110"/>
      <c r="AZ1451" s="110"/>
      <c r="BA1451" s="110"/>
      <c r="BB1451" s="110"/>
      <c r="BC1451" s="110"/>
      <c r="BD1451" s="110"/>
      <c r="BE1451" s="110"/>
      <c r="BF1451" s="110"/>
      <c r="BG1451" s="110"/>
      <c r="BH1451" s="110"/>
      <c r="BI1451" s="110"/>
      <c r="BJ1451" s="110"/>
      <c r="BK1451" s="110"/>
      <c r="BL1451" s="110"/>
      <c r="BM1451" s="110"/>
      <c r="BN1451" s="110"/>
      <c r="BO1451" s="110"/>
      <c r="BP1451" s="110"/>
      <c r="BQ1451" s="110"/>
      <c r="BR1451" s="110"/>
      <c r="BS1451" s="110"/>
      <c r="BT1451" s="110"/>
      <c r="BU1451" s="110"/>
      <c r="BV1451" s="110"/>
      <c r="BW1451" s="110"/>
      <c r="BX1451" s="110"/>
      <c r="BY1451" s="110"/>
      <c r="BZ1451" s="110"/>
      <c r="CA1451" s="110"/>
      <c r="CB1451" s="110"/>
      <c r="CC1451" s="110"/>
      <c r="CD1451" s="110"/>
      <c r="CE1451" s="110"/>
      <c r="CF1451" s="110"/>
      <c r="CG1451" s="110"/>
      <c r="CH1451" s="110"/>
      <c r="CI1451" s="110"/>
      <c r="CJ1451" s="110"/>
      <c r="CK1451" s="110"/>
      <c r="CL1451" s="110"/>
      <c r="CM1451" s="110"/>
      <c r="CN1451" s="110"/>
      <c r="CO1451" s="110"/>
      <c r="CP1451" s="110"/>
      <c r="CQ1451" s="110"/>
      <c r="CR1451" s="110"/>
      <c r="CS1451" s="110"/>
      <c r="CT1451" s="110"/>
      <c r="CU1451" s="110"/>
      <c r="CV1451" s="110"/>
      <c r="CW1451" s="110"/>
      <c r="CX1451" s="110"/>
      <c r="CY1451" s="110"/>
      <c r="CZ1451" s="110"/>
      <c r="DA1451" s="110"/>
      <c r="DB1451" s="110"/>
      <c r="DC1451" s="110"/>
      <c r="DD1451" s="110"/>
      <c r="DE1451" s="110"/>
      <c r="DF1451" s="110"/>
      <c r="DG1451" s="110"/>
      <c r="DH1451" s="110"/>
      <c r="DI1451" s="110"/>
      <c r="DJ1451" s="110"/>
      <c r="DK1451" s="110"/>
      <c r="DL1451" s="110"/>
      <c r="DM1451" s="110"/>
      <c r="DN1451" s="110"/>
      <c r="DO1451" s="110"/>
      <c r="DP1451" s="110"/>
      <c r="DQ1451" s="110"/>
      <c r="DR1451" s="110"/>
      <c r="DS1451" s="110"/>
      <c r="DT1451" s="110"/>
      <c r="DU1451" s="110"/>
      <c r="DV1451" s="110"/>
      <c r="DW1451" s="110"/>
      <c r="DX1451" s="110"/>
      <c r="DY1451" s="110"/>
      <c r="DZ1451" s="110"/>
      <c r="EA1451" s="110"/>
      <c r="EB1451" s="110"/>
      <c r="EC1451" s="110"/>
      <c r="ED1451" s="110"/>
      <c r="EF1451" s="264"/>
      <c r="EG1451" s="110"/>
      <c r="EH1451" s="110"/>
      <c r="EI1451" s="110"/>
      <c r="EJ1451" s="110"/>
      <c r="EK1451" s="266"/>
      <c r="EL1451" s="110"/>
      <c r="EM1451" s="110"/>
      <c r="EN1451" s="110"/>
      <c r="EO1451" s="110"/>
      <c r="EP1451" s="110"/>
      <c r="EQ1451" s="110"/>
      <c r="ER1451" s="110"/>
      <c r="ES1451" s="110"/>
      <c r="ET1451" s="110"/>
      <c r="EU1451" s="110"/>
      <c r="EV1451" s="110"/>
      <c r="EW1451" s="110"/>
      <c r="EX1451" s="110"/>
      <c r="EY1451" s="110"/>
      <c r="EZ1451" s="110"/>
      <c r="FA1451" s="110"/>
      <c r="FB1451" s="110"/>
      <c r="FC1451" s="110"/>
      <c r="FD1451" s="110"/>
      <c r="FE1451" s="110"/>
      <c r="FF1451" s="110"/>
      <c r="FG1451" s="110"/>
      <c r="FH1451" s="110"/>
      <c r="FI1451" s="110"/>
      <c r="FJ1451" s="110"/>
      <c r="FK1451" s="110"/>
      <c r="FL1451" s="110"/>
      <c r="FM1451" s="110"/>
      <c r="FN1451" s="110"/>
      <c r="FO1451" s="110"/>
      <c r="FP1451" s="110"/>
      <c r="FQ1451" s="110"/>
      <c r="FR1451" s="110"/>
      <c r="FS1451" s="110"/>
      <c r="FT1451" s="110"/>
      <c r="FU1451" s="110"/>
      <c r="FV1451" s="110"/>
      <c r="FW1451" s="110"/>
      <c r="FX1451" s="110"/>
      <c r="FY1451" s="110"/>
      <c r="FZ1451" s="110"/>
      <c r="GA1451" s="110"/>
      <c r="GB1451" s="110"/>
      <c r="GC1451" s="110"/>
      <c r="GD1451" s="110"/>
      <c r="GE1451" s="110"/>
      <c r="GF1451" s="110"/>
      <c r="GG1451" s="110"/>
      <c r="GH1451" s="110"/>
      <c r="GI1451" s="110"/>
      <c r="GJ1451" s="110"/>
      <c r="GK1451" s="110"/>
      <c r="GL1451" s="110"/>
      <c r="GM1451" s="110"/>
      <c r="GN1451" s="110"/>
      <c r="GO1451" s="110"/>
      <c r="GP1451" s="110"/>
      <c r="GQ1451" s="110"/>
      <c r="GR1451" s="110"/>
      <c r="GS1451" s="110"/>
      <c r="GT1451" s="110"/>
      <c r="GU1451" s="110"/>
      <c r="GV1451" s="110"/>
      <c r="GW1451" s="110"/>
      <c r="GX1451" s="110"/>
      <c r="GY1451" s="110"/>
      <c r="GZ1451" s="110"/>
      <c r="HA1451" s="110"/>
      <c r="HB1451" s="110"/>
      <c r="HC1451" s="110"/>
      <c r="HD1451" s="110"/>
      <c r="HE1451" s="110"/>
      <c r="HF1451" s="110"/>
      <c r="HG1451" s="110"/>
      <c r="HH1451" s="110"/>
      <c r="HI1451" s="110"/>
      <c r="HJ1451" s="110"/>
      <c r="HK1451" s="110"/>
      <c r="HL1451" s="110"/>
      <c r="HM1451" s="110"/>
      <c r="HN1451" s="110"/>
      <c r="HO1451" s="110"/>
      <c r="HP1451" s="110"/>
      <c r="HQ1451" s="110"/>
      <c r="HR1451" s="110"/>
      <c r="HS1451" s="110"/>
      <c r="HT1451" s="110"/>
      <c r="HU1451" s="110"/>
      <c r="HV1451" s="110"/>
      <c r="HW1451" s="110"/>
      <c r="HX1451" s="110"/>
      <c r="HY1451" s="110"/>
      <c r="HZ1451" s="110"/>
      <c r="IA1451" s="110"/>
      <c r="IB1451" s="110"/>
      <c r="IC1451" s="110"/>
      <c r="ID1451" s="110"/>
      <c r="IE1451" s="110"/>
      <c r="IF1451" s="110"/>
      <c r="IG1451" s="110"/>
      <c r="IH1451" s="110"/>
      <c r="II1451" s="110"/>
      <c r="IJ1451" s="110"/>
      <c r="IK1451" s="110"/>
      <c r="IL1451" s="110"/>
      <c r="IM1451" s="110"/>
      <c r="IN1451" s="110"/>
      <c r="IO1451" s="110"/>
      <c r="IP1451" s="110"/>
      <c r="IQ1451" s="110"/>
      <c r="IR1451" s="110"/>
    </row>
    <row r="1452" spans="18:252" ht="16.5" hidden="1" customHeight="1">
      <c r="R1452" s="264"/>
      <c r="S1452" s="110"/>
      <c r="T1452" s="110"/>
      <c r="U1452" s="110"/>
      <c r="V1452" s="110"/>
      <c r="W1452" s="266"/>
      <c r="X1452" s="110"/>
      <c r="Y1452" s="110"/>
      <c r="Z1452" s="110"/>
      <c r="AA1452" s="110"/>
      <c r="AB1452" s="110"/>
      <c r="AC1452" s="110"/>
      <c r="AD1452" s="110"/>
      <c r="AE1452" s="110"/>
      <c r="AF1452" s="110"/>
      <c r="AG1452" s="110"/>
      <c r="AH1452" s="110"/>
      <c r="AI1452" s="110"/>
      <c r="AJ1452" s="110"/>
      <c r="AK1452" s="110"/>
      <c r="AL1452" s="110"/>
      <c r="AM1452" s="110"/>
      <c r="AN1452" s="110"/>
      <c r="AO1452" s="110"/>
      <c r="AP1452" s="110"/>
      <c r="AQ1452" s="110"/>
      <c r="AR1452" s="110"/>
      <c r="AS1452" s="110"/>
      <c r="AT1452" s="110"/>
      <c r="AU1452" s="110"/>
      <c r="AV1452" s="110"/>
      <c r="AW1452" s="110"/>
      <c r="AX1452" s="110"/>
      <c r="AY1452" s="110"/>
      <c r="AZ1452" s="110"/>
      <c r="BA1452" s="110"/>
      <c r="BB1452" s="110"/>
      <c r="BC1452" s="110"/>
      <c r="BD1452" s="110"/>
      <c r="BE1452" s="110"/>
      <c r="BF1452" s="110"/>
      <c r="BG1452" s="110"/>
      <c r="BH1452" s="110"/>
      <c r="BI1452" s="110"/>
      <c r="BJ1452" s="110"/>
      <c r="BK1452" s="110"/>
      <c r="BL1452" s="110"/>
      <c r="BM1452" s="110"/>
      <c r="BN1452" s="110"/>
      <c r="BO1452" s="110"/>
      <c r="BP1452" s="110"/>
      <c r="BQ1452" s="110"/>
      <c r="BR1452" s="110"/>
      <c r="BS1452" s="110"/>
      <c r="BT1452" s="110"/>
      <c r="BU1452" s="110"/>
      <c r="BV1452" s="110"/>
      <c r="BW1452" s="110"/>
      <c r="BX1452" s="110"/>
      <c r="BY1452" s="110"/>
      <c r="BZ1452" s="110"/>
      <c r="CA1452" s="110"/>
      <c r="CB1452" s="110"/>
      <c r="CC1452" s="110"/>
      <c r="CD1452" s="110"/>
      <c r="CE1452" s="110"/>
      <c r="CF1452" s="110"/>
      <c r="CG1452" s="110"/>
      <c r="CH1452" s="110"/>
      <c r="CI1452" s="110"/>
      <c r="CJ1452" s="110"/>
      <c r="CK1452" s="110"/>
      <c r="CL1452" s="110"/>
      <c r="CM1452" s="110"/>
      <c r="CN1452" s="110"/>
      <c r="CO1452" s="110"/>
      <c r="CP1452" s="110"/>
      <c r="CQ1452" s="110"/>
      <c r="CR1452" s="110"/>
      <c r="CS1452" s="110"/>
      <c r="CT1452" s="110"/>
      <c r="CU1452" s="110"/>
      <c r="CV1452" s="110"/>
      <c r="CW1452" s="110"/>
      <c r="CX1452" s="110"/>
      <c r="CY1452" s="110"/>
      <c r="CZ1452" s="110"/>
      <c r="DA1452" s="110"/>
      <c r="DB1452" s="110"/>
      <c r="DC1452" s="110"/>
      <c r="DD1452" s="110"/>
      <c r="DE1452" s="110"/>
      <c r="DF1452" s="110"/>
      <c r="DG1452" s="110"/>
      <c r="DH1452" s="110"/>
      <c r="DI1452" s="110"/>
      <c r="DJ1452" s="110"/>
      <c r="DK1452" s="110"/>
      <c r="DL1452" s="110"/>
      <c r="DM1452" s="110"/>
      <c r="DN1452" s="110"/>
      <c r="DO1452" s="110"/>
      <c r="DP1452" s="110"/>
      <c r="DQ1452" s="110"/>
      <c r="DR1452" s="110"/>
      <c r="DS1452" s="110"/>
      <c r="DT1452" s="110"/>
      <c r="DU1452" s="110"/>
      <c r="DV1452" s="110"/>
      <c r="DW1452" s="110"/>
      <c r="DX1452" s="110"/>
      <c r="DY1452" s="110"/>
      <c r="DZ1452" s="110"/>
      <c r="EA1452" s="110"/>
      <c r="EB1452" s="110"/>
      <c r="EC1452" s="110"/>
      <c r="ED1452" s="110"/>
      <c r="EF1452" s="264"/>
      <c r="EG1452" s="110"/>
      <c r="EH1452" s="110"/>
      <c r="EI1452" s="110"/>
      <c r="EJ1452" s="110"/>
      <c r="EK1452" s="266"/>
      <c r="EL1452" s="110"/>
      <c r="EM1452" s="110"/>
      <c r="EN1452" s="110"/>
      <c r="EO1452" s="110"/>
      <c r="EP1452" s="110"/>
      <c r="EQ1452" s="110"/>
      <c r="ER1452" s="110"/>
      <c r="ES1452" s="110"/>
      <c r="ET1452" s="110"/>
      <c r="EU1452" s="110"/>
      <c r="EV1452" s="110"/>
      <c r="EW1452" s="110"/>
      <c r="EX1452" s="110"/>
      <c r="EY1452" s="110"/>
      <c r="EZ1452" s="110"/>
      <c r="FA1452" s="110"/>
      <c r="FB1452" s="110"/>
      <c r="FC1452" s="110"/>
      <c r="FD1452" s="110"/>
      <c r="FE1452" s="110"/>
      <c r="FF1452" s="110"/>
      <c r="FG1452" s="110"/>
      <c r="FH1452" s="110"/>
      <c r="FI1452" s="110"/>
      <c r="FJ1452" s="110"/>
      <c r="FK1452" s="110"/>
      <c r="FL1452" s="110"/>
      <c r="FM1452" s="110"/>
      <c r="FN1452" s="110"/>
      <c r="FO1452" s="110"/>
      <c r="FP1452" s="110"/>
      <c r="FQ1452" s="110"/>
      <c r="FR1452" s="110"/>
      <c r="FS1452" s="110"/>
      <c r="FT1452" s="110"/>
      <c r="FU1452" s="110"/>
      <c r="FV1452" s="110"/>
      <c r="FW1452" s="110"/>
      <c r="FX1452" s="110"/>
      <c r="FY1452" s="110"/>
      <c r="FZ1452" s="110"/>
      <c r="GA1452" s="110"/>
      <c r="GB1452" s="110"/>
      <c r="GC1452" s="110"/>
      <c r="GD1452" s="110"/>
      <c r="GE1452" s="110"/>
      <c r="GF1452" s="110"/>
      <c r="GG1452" s="110"/>
      <c r="GH1452" s="110"/>
      <c r="GI1452" s="110"/>
      <c r="GJ1452" s="110"/>
      <c r="GK1452" s="110"/>
      <c r="GL1452" s="110"/>
      <c r="GM1452" s="110"/>
      <c r="GN1452" s="110"/>
      <c r="GO1452" s="110"/>
      <c r="GP1452" s="110"/>
      <c r="GQ1452" s="110"/>
      <c r="GR1452" s="110"/>
      <c r="GS1452" s="110"/>
      <c r="GT1452" s="110"/>
      <c r="GU1452" s="110"/>
      <c r="GV1452" s="110"/>
      <c r="GW1452" s="110"/>
      <c r="GX1452" s="110"/>
      <c r="GY1452" s="110"/>
      <c r="GZ1452" s="110"/>
      <c r="HA1452" s="110"/>
      <c r="HB1452" s="110"/>
      <c r="HC1452" s="110"/>
      <c r="HD1452" s="110"/>
      <c r="HE1452" s="110"/>
      <c r="HF1452" s="110"/>
      <c r="HG1452" s="110"/>
      <c r="HH1452" s="110"/>
      <c r="HI1452" s="110"/>
      <c r="HJ1452" s="110"/>
      <c r="HK1452" s="110"/>
      <c r="HL1452" s="110"/>
      <c r="HM1452" s="110"/>
      <c r="HN1452" s="110"/>
      <c r="HO1452" s="110"/>
      <c r="HP1452" s="110"/>
      <c r="HQ1452" s="110"/>
      <c r="HR1452" s="110"/>
      <c r="HS1452" s="110"/>
      <c r="HT1452" s="110"/>
      <c r="HU1452" s="110"/>
      <c r="HV1452" s="110"/>
      <c r="HW1452" s="110"/>
      <c r="HX1452" s="110"/>
      <c r="HY1452" s="110"/>
      <c r="HZ1452" s="110"/>
      <c r="IA1452" s="110"/>
      <c r="IB1452" s="110"/>
      <c r="IC1452" s="110"/>
      <c r="ID1452" s="110"/>
      <c r="IE1452" s="110"/>
      <c r="IF1452" s="110"/>
      <c r="IG1452" s="110"/>
      <c r="IH1452" s="110"/>
      <c r="II1452" s="110"/>
      <c r="IJ1452" s="110"/>
      <c r="IK1452" s="110"/>
      <c r="IL1452" s="110"/>
      <c r="IM1452" s="110"/>
      <c r="IN1452" s="110"/>
      <c r="IO1452" s="110"/>
      <c r="IP1452" s="110"/>
      <c r="IQ1452" s="110"/>
      <c r="IR1452" s="110"/>
    </row>
    <row r="1453" spans="18:252" ht="16.5" hidden="1" customHeight="1">
      <c r="R1453" s="264"/>
      <c r="S1453" s="110"/>
      <c r="T1453" s="110"/>
      <c r="U1453" s="110"/>
      <c r="V1453" s="110"/>
      <c r="W1453" s="266"/>
      <c r="X1453" s="110"/>
      <c r="Y1453" s="110"/>
      <c r="Z1453" s="110"/>
      <c r="AA1453" s="110"/>
      <c r="AB1453" s="110"/>
      <c r="AC1453" s="110"/>
      <c r="AD1453" s="110"/>
      <c r="AE1453" s="110"/>
      <c r="AF1453" s="110"/>
      <c r="AG1453" s="110"/>
      <c r="AH1453" s="110"/>
      <c r="AI1453" s="110"/>
      <c r="AJ1453" s="110"/>
      <c r="AK1453" s="110"/>
      <c r="AL1453" s="110"/>
      <c r="AM1453" s="110"/>
      <c r="AN1453" s="110"/>
      <c r="AO1453" s="110"/>
      <c r="AP1453" s="110"/>
      <c r="AQ1453" s="110"/>
      <c r="AR1453" s="110"/>
      <c r="AS1453" s="110"/>
      <c r="AT1453" s="110"/>
      <c r="AU1453" s="110"/>
      <c r="AV1453" s="110"/>
      <c r="AW1453" s="110"/>
      <c r="AX1453" s="110"/>
      <c r="AY1453" s="110"/>
      <c r="AZ1453" s="110"/>
      <c r="BA1453" s="110"/>
      <c r="BB1453" s="110"/>
      <c r="BC1453" s="110"/>
      <c r="BD1453" s="110"/>
      <c r="BE1453" s="110"/>
      <c r="BF1453" s="110"/>
      <c r="BG1453" s="110"/>
      <c r="BH1453" s="110"/>
      <c r="BI1453" s="110"/>
      <c r="BJ1453" s="110"/>
      <c r="BK1453" s="110"/>
      <c r="BL1453" s="110"/>
      <c r="BM1453" s="110"/>
      <c r="BN1453" s="110"/>
      <c r="BO1453" s="110"/>
      <c r="BP1453" s="110"/>
      <c r="BQ1453" s="110"/>
      <c r="BR1453" s="110"/>
      <c r="BS1453" s="110"/>
      <c r="BT1453" s="110"/>
      <c r="BU1453" s="110"/>
      <c r="BV1453" s="110"/>
      <c r="BW1453" s="110"/>
      <c r="BX1453" s="110"/>
      <c r="BY1453" s="110"/>
      <c r="BZ1453" s="110"/>
      <c r="CA1453" s="110"/>
      <c r="CB1453" s="110"/>
      <c r="CC1453" s="110"/>
      <c r="CD1453" s="110"/>
      <c r="CE1453" s="110"/>
      <c r="CF1453" s="110"/>
      <c r="CG1453" s="110"/>
      <c r="CH1453" s="110"/>
      <c r="CI1453" s="110"/>
      <c r="CJ1453" s="110"/>
      <c r="CK1453" s="110"/>
      <c r="CL1453" s="110"/>
      <c r="CM1453" s="110"/>
      <c r="CN1453" s="110"/>
      <c r="CO1453" s="110"/>
      <c r="CP1453" s="110"/>
      <c r="CQ1453" s="110"/>
      <c r="CR1453" s="110"/>
      <c r="CS1453" s="110"/>
      <c r="CT1453" s="110"/>
      <c r="CU1453" s="110"/>
      <c r="CV1453" s="110"/>
      <c r="CW1453" s="110"/>
      <c r="CX1453" s="110"/>
      <c r="CY1453" s="110"/>
      <c r="CZ1453" s="110"/>
      <c r="DA1453" s="110"/>
      <c r="DB1453" s="110"/>
      <c r="DC1453" s="110"/>
      <c r="DD1453" s="110"/>
      <c r="DE1453" s="110"/>
      <c r="DF1453" s="110"/>
      <c r="DG1453" s="110"/>
      <c r="DH1453" s="110"/>
      <c r="DI1453" s="110"/>
      <c r="DJ1453" s="110"/>
      <c r="DK1453" s="110"/>
      <c r="DL1453" s="110"/>
      <c r="DM1453" s="110"/>
      <c r="DN1453" s="110"/>
      <c r="DO1453" s="110"/>
      <c r="DP1453" s="110"/>
      <c r="DQ1453" s="110"/>
      <c r="DR1453" s="110"/>
      <c r="DS1453" s="110"/>
      <c r="DT1453" s="110"/>
      <c r="DU1453" s="110"/>
      <c r="DV1453" s="110"/>
      <c r="DW1453" s="110"/>
      <c r="DX1453" s="110"/>
      <c r="DY1453" s="110"/>
      <c r="DZ1453" s="110"/>
      <c r="EA1453" s="110"/>
      <c r="EB1453" s="110"/>
      <c r="EC1453" s="110"/>
      <c r="ED1453" s="110"/>
      <c r="EF1453" s="264"/>
      <c r="EG1453" s="110"/>
      <c r="EH1453" s="110"/>
      <c r="EI1453" s="110"/>
      <c r="EJ1453" s="110"/>
      <c r="EK1453" s="266"/>
      <c r="EL1453" s="110"/>
      <c r="EM1453" s="110"/>
      <c r="EN1453" s="110"/>
      <c r="EO1453" s="110"/>
      <c r="EP1453" s="110"/>
      <c r="EQ1453" s="110"/>
      <c r="ER1453" s="110"/>
      <c r="ES1453" s="110"/>
      <c r="ET1453" s="110"/>
      <c r="EU1453" s="110"/>
      <c r="EV1453" s="110"/>
      <c r="EW1453" s="110"/>
      <c r="EX1453" s="110"/>
      <c r="EY1453" s="110"/>
      <c r="EZ1453" s="110"/>
      <c r="FA1453" s="110"/>
      <c r="FB1453" s="110"/>
      <c r="FC1453" s="110"/>
      <c r="FD1453" s="110"/>
      <c r="FE1453" s="110"/>
      <c r="FF1453" s="110"/>
      <c r="FG1453" s="110"/>
      <c r="FH1453" s="110"/>
      <c r="FI1453" s="110"/>
      <c r="FJ1453" s="110"/>
      <c r="FK1453" s="110"/>
      <c r="FL1453" s="110"/>
      <c r="FM1453" s="110"/>
      <c r="FN1453" s="110"/>
      <c r="FO1453" s="110"/>
      <c r="FP1453" s="110"/>
      <c r="FQ1453" s="110"/>
      <c r="FR1453" s="110"/>
      <c r="FS1453" s="110"/>
      <c r="FT1453" s="110"/>
      <c r="FU1453" s="110"/>
      <c r="FV1453" s="110"/>
      <c r="FW1453" s="110"/>
      <c r="FX1453" s="110"/>
      <c r="FY1453" s="110"/>
      <c r="FZ1453" s="110"/>
      <c r="GA1453" s="110"/>
      <c r="GB1453" s="110"/>
      <c r="GC1453" s="110"/>
      <c r="GD1453" s="110"/>
      <c r="GE1453" s="110"/>
      <c r="GF1453" s="110"/>
      <c r="GG1453" s="110"/>
      <c r="GH1453" s="110"/>
      <c r="GI1453" s="110"/>
      <c r="GJ1453" s="110"/>
      <c r="GK1453" s="110"/>
      <c r="GL1453" s="110"/>
      <c r="GM1453" s="110"/>
      <c r="GN1453" s="110"/>
      <c r="GO1453" s="110"/>
      <c r="GP1453" s="110"/>
      <c r="GQ1453" s="110"/>
      <c r="GR1453" s="110"/>
      <c r="GS1453" s="110"/>
      <c r="GT1453" s="110"/>
      <c r="GU1453" s="110"/>
      <c r="GV1453" s="110"/>
      <c r="GW1453" s="110"/>
      <c r="GX1453" s="110"/>
      <c r="GY1453" s="110"/>
      <c r="GZ1453" s="110"/>
      <c r="HA1453" s="110"/>
      <c r="HB1453" s="110"/>
      <c r="HC1453" s="110"/>
      <c r="HD1453" s="110"/>
      <c r="HE1453" s="110"/>
      <c r="HF1453" s="110"/>
      <c r="HG1453" s="110"/>
      <c r="HH1453" s="110"/>
      <c r="HI1453" s="110"/>
      <c r="HJ1453" s="110"/>
      <c r="HK1453" s="110"/>
      <c r="HL1453" s="110"/>
      <c r="HM1453" s="110"/>
      <c r="HN1453" s="110"/>
      <c r="HO1453" s="110"/>
      <c r="HP1453" s="110"/>
      <c r="HQ1453" s="110"/>
      <c r="HR1453" s="110"/>
      <c r="HS1453" s="110"/>
      <c r="HT1453" s="110"/>
      <c r="HU1453" s="110"/>
      <c r="HV1453" s="110"/>
      <c r="HW1453" s="110"/>
      <c r="HX1453" s="110"/>
      <c r="HY1453" s="110"/>
      <c r="HZ1453" s="110"/>
      <c r="IA1453" s="110"/>
      <c r="IB1453" s="110"/>
      <c r="IC1453" s="110"/>
      <c r="ID1453" s="110"/>
      <c r="IE1453" s="110"/>
      <c r="IF1453" s="110"/>
      <c r="IG1453" s="110"/>
      <c r="IH1453" s="110"/>
      <c r="II1453" s="110"/>
      <c r="IJ1453" s="110"/>
      <c r="IK1453" s="110"/>
      <c r="IL1453" s="110"/>
      <c r="IM1453" s="110"/>
      <c r="IN1453" s="110"/>
      <c r="IO1453" s="110"/>
      <c r="IP1453" s="110"/>
      <c r="IQ1453" s="110"/>
      <c r="IR1453" s="110"/>
    </row>
    <row r="1454" spans="18:252" ht="16.5" hidden="1" customHeight="1">
      <c r="R1454" s="264"/>
      <c r="S1454" s="110"/>
      <c r="T1454" s="110"/>
      <c r="U1454" s="110"/>
      <c r="V1454" s="110"/>
      <c r="W1454" s="266"/>
      <c r="X1454" s="110"/>
      <c r="Y1454" s="110"/>
      <c r="Z1454" s="110"/>
      <c r="AA1454" s="110"/>
      <c r="AB1454" s="110"/>
      <c r="AC1454" s="110"/>
      <c r="AD1454" s="110"/>
      <c r="AE1454" s="110"/>
      <c r="AF1454" s="110"/>
      <c r="AG1454" s="110"/>
      <c r="AH1454" s="110"/>
      <c r="AI1454" s="110"/>
      <c r="AJ1454" s="110"/>
      <c r="AK1454" s="110"/>
      <c r="AL1454" s="110"/>
      <c r="AM1454" s="110"/>
      <c r="AN1454" s="110"/>
      <c r="AO1454" s="110"/>
      <c r="AP1454" s="110"/>
      <c r="AQ1454" s="110"/>
      <c r="AR1454" s="110"/>
      <c r="AS1454" s="110"/>
      <c r="AT1454" s="110"/>
      <c r="AU1454" s="110"/>
      <c r="AV1454" s="110"/>
      <c r="AW1454" s="110"/>
      <c r="AX1454" s="110"/>
      <c r="AY1454" s="110"/>
      <c r="AZ1454" s="110"/>
      <c r="BA1454" s="110"/>
      <c r="BB1454" s="110"/>
      <c r="BC1454" s="110"/>
      <c r="BD1454" s="110"/>
      <c r="BE1454" s="110"/>
      <c r="BF1454" s="110"/>
      <c r="BG1454" s="110"/>
      <c r="BH1454" s="110"/>
      <c r="BI1454" s="110"/>
      <c r="BJ1454" s="110"/>
      <c r="BK1454" s="110"/>
      <c r="BL1454" s="110"/>
      <c r="BM1454" s="110"/>
      <c r="BN1454" s="110"/>
      <c r="BO1454" s="110"/>
      <c r="BP1454" s="110"/>
      <c r="BQ1454" s="110"/>
      <c r="BR1454" s="110"/>
      <c r="BS1454" s="110"/>
      <c r="BT1454" s="110"/>
      <c r="BU1454" s="110"/>
      <c r="BV1454" s="110"/>
      <c r="BW1454" s="110"/>
      <c r="BX1454" s="110"/>
      <c r="BY1454" s="110"/>
      <c r="BZ1454" s="110"/>
      <c r="CA1454" s="110"/>
      <c r="CB1454" s="110"/>
      <c r="CC1454" s="110"/>
      <c r="CD1454" s="110"/>
      <c r="CE1454" s="110"/>
      <c r="CF1454" s="110"/>
      <c r="CG1454" s="110"/>
      <c r="CH1454" s="110"/>
      <c r="CI1454" s="110"/>
      <c r="CJ1454" s="110"/>
      <c r="CK1454" s="110"/>
      <c r="CL1454" s="110"/>
      <c r="CM1454" s="110"/>
      <c r="CN1454" s="110"/>
      <c r="CO1454" s="110"/>
      <c r="CP1454" s="110"/>
      <c r="CQ1454" s="110"/>
      <c r="CR1454" s="110"/>
      <c r="CS1454" s="110"/>
      <c r="CT1454" s="110"/>
      <c r="CU1454" s="110"/>
      <c r="CV1454" s="110"/>
      <c r="CW1454" s="110"/>
      <c r="CX1454" s="110"/>
      <c r="CY1454" s="110"/>
      <c r="CZ1454" s="110"/>
      <c r="DA1454" s="110"/>
      <c r="DB1454" s="110"/>
      <c r="DC1454" s="110"/>
      <c r="DD1454" s="110"/>
      <c r="DE1454" s="110"/>
      <c r="DF1454" s="110"/>
      <c r="DG1454" s="110"/>
      <c r="DH1454" s="110"/>
      <c r="DI1454" s="110"/>
      <c r="DJ1454" s="110"/>
      <c r="DK1454" s="110"/>
      <c r="DL1454" s="110"/>
      <c r="DM1454" s="110"/>
      <c r="DN1454" s="110"/>
      <c r="DO1454" s="110"/>
      <c r="DP1454" s="110"/>
      <c r="DQ1454" s="110"/>
      <c r="DR1454" s="110"/>
      <c r="DS1454" s="110"/>
      <c r="DT1454" s="110"/>
      <c r="DU1454" s="110"/>
      <c r="DV1454" s="110"/>
      <c r="DW1454" s="110"/>
      <c r="DX1454" s="110"/>
      <c r="DY1454" s="110"/>
      <c r="DZ1454" s="110"/>
      <c r="EA1454" s="110"/>
      <c r="EB1454" s="110"/>
      <c r="EC1454" s="110"/>
      <c r="ED1454" s="110"/>
      <c r="EF1454" s="264"/>
      <c r="EG1454" s="110"/>
      <c r="EH1454" s="110"/>
      <c r="EI1454" s="110"/>
      <c r="EJ1454" s="110"/>
      <c r="EK1454" s="266"/>
      <c r="EL1454" s="110"/>
      <c r="EM1454" s="110"/>
      <c r="EN1454" s="110"/>
      <c r="EO1454" s="110"/>
      <c r="EP1454" s="110"/>
      <c r="EQ1454" s="110"/>
      <c r="ER1454" s="110"/>
      <c r="ES1454" s="110"/>
      <c r="ET1454" s="110"/>
      <c r="EU1454" s="110"/>
      <c r="EV1454" s="110"/>
      <c r="EW1454" s="110"/>
      <c r="EX1454" s="110"/>
      <c r="EY1454" s="110"/>
      <c r="EZ1454" s="110"/>
      <c r="FA1454" s="110"/>
      <c r="FB1454" s="110"/>
      <c r="FC1454" s="110"/>
      <c r="FD1454" s="110"/>
      <c r="FE1454" s="110"/>
      <c r="FF1454" s="110"/>
      <c r="FG1454" s="110"/>
      <c r="FH1454" s="110"/>
      <c r="FI1454" s="110"/>
      <c r="FJ1454" s="110"/>
      <c r="FK1454" s="110"/>
      <c r="FL1454" s="110"/>
      <c r="FM1454" s="110"/>
      <c r="FN1454" s="110"/>
      <c r="FO1454" s="110"/>
      <c r="FP1454" s="110"/>
      <c r="FQ1454" s="110"/>
      <c r="FR1454" s="110"/>
      <c r="FS1454" s="110"/>
      <c r="FT1454" s="110"/>
      <c r="FU1454" s="110"/>
      <c r="FV1454" s="110"/>
      <c r="FW1454" s="110"/>
      <c r="FX1454" s="110"/>
      <c r="FY1454" s="110"/>
      <c r="FZ1454" s="110"/>
      <c r="GA1454" s="110"/>
      <c r="GB1454" s="110"/>
      <c r="GC1454" s="110"/>
      <c r="GD1454" s="110"/>
      <c r="GE1454" s="110"/>
      <c r="GF1454" s="110"/>
      <c r="GG1454" s="110"/>
      <c r="GH1454" s="110"/>
      <c r="GI1454" s="110"/>
      <c r="GJ1454" s="110"/>
      <c r="GK1454" s="110"/>
      <c r="GL1454" s="110"/>
      <c r="GM1454" s="110"/>
      <c r="GN1454" s="110"/>
      <c r="GO1454" s="110"/>
      <c r="GP1454" s="110"/>
      <c r="GQ1454" s="110"/>
      <c r="GR1454" s="110"/>
      <c r="GS1454" s="110"/>
      <c r="GT1454" s="110"/>
      <c r="GU1454" s="110"/>
      <c r="GV1454" s="110"/>
      <c r="GW1454" s="110"/>
      <c r="GX1454" s="110"/>
      <c r="GY1454" s="110"/>
      <c r="GZ1454" s="110"/>
      <c r="HA1454" s="110"/>
      <c r="HB1454" s="110"/>
      <c r="HC1454" s="110"/>
      <c r="HD1454" s="110"/>
      <c r="HE1454" s="110"/>
      <c r="HF1454" s="110"/>
      <c r="HG1454" s="110"/>
      <c r="HH1454" s="110"/>
      <c r="HI1454" s="110"/>
      <c r="HJ1454" s="110"/>
      <c r="HK1454" s="110"/>
      <c r="HL1454" s="110"/>
      <c r="HM1454" s="110"/>
      <c r="HN1454" s="110"/>
      <c r="HO1454" s="110"/>
      <c r="HP1454" s="110"/>
      <c r="HQ1454" s="110"/>
      <c r="HR1454" s="110"/>
      <c r="HS1454" s="110"/>
      <c r="HT1454" s="110"/>
      <c r="HU1454" s="110"/>
      <c r="HV1454" s="110"/>
      <c r="HW1454" s="110"/>
      <c r="HX1454" s="110"/>
      <c r="HY1454" s="110"/>
      <c r="HZ1454" s="110"/>
      <c r="IA1454" s="110"/>
      <c r="IB1454" s="110"/>
      <c r="IC1454" s="110"/>
      <c r="ID1454" s="110"/>
      <c r="IE1454" s="110"/>
      <c r="IF1454" s="110"/>
      <c r="IG1454" s="110"/>
      <c r="IH1454" s="110"/>
      <c r="II1454" s="110"/>
      <c r="IJ1454" s="110"/>
      <c r="IK1454" s="110"/>
      <c r="IL1454" s="110"/>
      <c r="IM1454" s="110"/>
      <c r="IN1454" s="110"/>
      <c r="IO1454" s="110"/>
      <c r="IP1454" s="110"/>
      <c r="IQ1454" s="110"/>
      <c r="IR1454" s="110"/>
    </row>
    <row r="1455" spans="18:252" ht="16.5" hidden="1" customHeight="1">
      <c r="R1455" s="264"/>
      <c r="S1455" s="110"/>
      <c r="T1455" s="110"/>
      <c r="U1455" s="110"/>
      <c r="V1455" s="110"/>
      <c r="W1455" s="266"/>
      <c r="X1455" s="110"/>
      <c r="Y1455" s="110"/>
      <c r="Z1455" s="110"/>
      <c r="AA1455" s="110"/>
      <c r="AB1455" s="110"/>
      <c r="AC1455" s="110"/>
      <c r="AD1455" s="110"/>
      <c r="AE1455" s="110"/>
      <c r="AF1455" s="110"/>
      <c r="AG1455" s="110"/>
      <c r="AH1455" s="110"/>
      <c r="AI1455" s="110"/>
      <c r="AJ1455" s="110"/>
      <c r="AK1455" s="110"/>
      <c r="AL1455" s="110"/>
      <c r="AM1455" s="110"/>
      <c r="AN1455" s="110"/>
      <c r="AO1455" s="110"/>
      <c r="AP1455" s="110"/>
      <c r="AQ1455" s="110"/>
      <c r="AR1455" s="110"/>
      <c r="AS1455" s="110"/>
      <c r="AT1455" s="110"/>
      <c r="AU1455" s="110"/>
      <c r="AV1455" s="110"/>
      <c r="AW1455" s="110"/>
      <c r="AX1455" s="110"/>
      <c r="AY1455" s="110"/>
      <c r="AZ1455" s="110"/>
      <c r="BA1455" s="110"/>
      <c r="BB1455" s="110"/>
      <c r="BC1455" s="110"/>
      <c r="BD1455" s="110"/>
      <c r="BE1455" s="110"/>
      <c r="BF1455" s="110"/>
      <c r="BG1455" s="110"/>
      <c r="BH1455" s="110"/>
      <c r="BI1455" s="110"/>
      <c r="BJ1455" s="110"/>
      <c r="BK1455" s="110"/>
      <c r="BL1455" s="110"/>
      <c r="BM1455" s="110"/>
      <c r="BN1455" s="110"/>
      <c r="BO1455" s="110"/>
      <c r="BP1455" s="110"/>
      <c r="BQ1455" s="110"/>
      <c r="BR1455" s="110"/>
      <c r="BS1455" s="110"/>
      <c r="BT1455" s="110"/>
      <c r="BU1455" s="110"/>
      <c r="BV1455" s="110"/>
      <c r="BW1455" s="110"/>
      <c r="BX1455" s="110"/>
      <c r="BY1455" s="110"/>
      <c r="BZ1455" s="110"/>
      <c r="CA1455" s="110"/>
      <c r="CB1455" s="110"/>
      <c r="CC1455" s="110"/>
      <c r="CD1455" s="110"/>
      <c r="CE1455" s="110"/>
      <c r="CF1455" s="110"/>
      <c r="CG1455" s="110"/>
      <c r="CH1455" s="110"/>
      <c r="CI1455" s="110"/>
      <c r="CJ1455" s="110"/>
      <c r="CK1455" s="110"/>
      <c r="CL1455" s="110"/>
      <c r="CM1455" s="110"/>
      <c r="CN1455" s="110"/>
      <c r="CO1455" s="110"/>
      <c r="CP1455" s="110"/>
      <c r="CQ1455" s="110"/>
      <c r="CR1455" s="110"/>
      <c r="CS1455" s="110"/>
      <c r="CT1455" s="110"/>
      <c r="CU1455" s="110"/>
      <c r="CV1455" s="110"/>
      <c r="CW1455" s="110"/>
      <c r="CX1455" s="110"/>
      <c r="CY1455" s="110"/>
      <c r="CZ1455" s="110"/>
      <c r="DA1455" s="110"/>
      <c r="DB1455" s="110"/>
      <c r="DC1455" s="110"/>
      <c r="DD1455" s="110"/>
      <c r="DE1455" s="110"/>
      <c r="DF1455" s="110"/>
      <c r="DG1455" s="110"/>
      <c r="DH1455" s="110"/>
      <c r="DI1455" s="110"/>
      <c r="DJ1455" s="110"/>
      <c r="DK1455" s="110"/>
      <c r="DL1455" s="110"/>
      <c r="DM1455" s="110"/>
      <c r="DN1455" s="110"/>
      <c r="DO1455" s="110"/>
      <c r="DP1455" s="110"/>
      <c r="DQ1455" s="110"/>
      <c r="DR1455" s="110"/>
      <c r="DS1455" s="110"/>
      <c r="DT1455" s="110"/>
      <c r="DU1455" s="110"/>
      <c r="DV1455" s="110"/>
      <c r="DW1455" s="110"/>
      <c r="DX1455" s="110"/>
      <c r="DY1455" s="110"/>
      <c r="DZ1455" s="110"/>
      <c r="EA1455" s="110"/>
      <c r="EB1455" s="110"/>
      <c r="EC1455" s="110"/>
      <c r="ED1455" s="110"/>
      <c r="EF1455" s="264"/>
      <c r="EG1455" s="110"/>
      <c r="EH1455" s="110"/>
      <c r="EI1455" s="110"/>
      <c r="EJ1455" s="110"/>
      <c r="EK1455" s="266"/>
      <c r="EL1455" s="110"/>
      <c r="EM1455" s="110"/>
      <c r="EN1455" s="110"/>
      <c r="EO1455" s="110"/>
      <c r="EP1455" s="110"/>
      <c r="EQ1455" s="110"/>
      <c r="ER1455" s="110"/>
      <c r="ES1455" s="110"/>
      <c r="ET1455" s="110"/>
      <c r="EU1455" s="110"/>
      <c r="EV1455" s="110"/>
      <c r="EW1455" s="110"/>
      <c r="EX1455" s="110"/>
      <c r="EY1455" s="110"/>
      <c r="EZ1455" s="110"/>
      <c r="FA1455" s="110"/>
      <c r="FB1455" s="110"/>
      <c r="FC1455" s="110"/>
      <c r="FD1455" s="110"/>
      <c r="FE1455" s="110"/>
      <c r="FF1455" s="110"/>
      <c r="FG1455" s="110"/>
      <c r="FH1455" s="110"/>
      <c r="FI1455" s="110"/>
      <c r="FJ1455" s="110"/>
      <c r="FK1455" s="110"/>
      <c r="FL1455" s="110"/>
      <c r="FM1455" s="110"/>
      <c r="FN1455" s="110"/>
      <c r="FO1455" s="110"/>
      <c r="FP1455" s="110"/>
      <c r="FQ1455" s="110"/>
      <c r="FR1455" s="110"/>
      <c r="FS1455" s="110"/>
      <c r="FT1455" s="110"/>
      <c r="FU1455" s="110"/>
      <c r="FV1455" s="110"/>
      <c r="FW1455" s="110"/>
      <c r="FX1455" s="110"/>
      <c r="FY1455" s="110"/>
      <c r="FZ1455" s="110"/>
      <c r="GA1455" s="110"/>
      <c r="GB1455" s="110"/>
      <c r="GC1455" s="110"/>
      <c r="GD1455" s="110"/>
      <c r="GE1455" s="110"/>
      <c r="GF1455" s="110"/>
      <c r="GG1455" s="110"/>
      <c r="GH1455" s="110"/>
      <c r="GI1455" s="110"/>
      <c r="GJ1455" s="110"/>
      <c r="GK1455" s="110"/>
      <c r="GL1455" s="110"/>
      <c r="GM1455" s="110"/>
      <c r="GN1455" s="110"/>
      <c r="GO1455" s="110"/>
      <c r="GP1455" s="110"/>
      <c r="GQ1455" s="110"/>
      <c r="GR1455" s="110"/>
      <c r="GS1455" s="110"/>
      <c r="GT1455" s="110"/>
      <c r="GU1455" s="110"/>
      <c r="GV1455" s="110"/>
      <c r="GW1455" s="110"/>
      <c r="GX1455" s="110"/>
      <c r="GY1455" s="110"/>
      <c r="GZ1455" s="110"/>
      <c r="HA1455" s="110"/>
      <c r="HB1455" s="110"/>
      <c r="HC1455" s="110"/>
      <c r="HD1455" s="110"/>
      <c r="HE1455" s="110"/>
      <c r="HF1455" s="110"/>
      <c r="HG1455" s="110"/>
      <c r="HH1455" s="110"/>
      <c r="HI1455" s="110"/>
      <c r="HJ1455" s="110"/>
      <c r="HK1455" s="110"/>
      <c r="HL1455" s="110"/>
      <c r="HM1455" s="110"/>
      <c r="HN1455" s="110"/>
      <c r="HO1455" s="110"/>
      <c r="HP1455" s="110"/>
      <c r="HQ1455" s="110"/>
      <c r="HR1455" s="110"/>
      <c r="HS1455" s="110"/>
      <c r="HT1455" s="110"/>
      <c r="HU1455" s="110"/>
      <c r="HV1455" s="110"/>
      <c r="HW1455" s="110"/>
      <c r="HX1455" s="110"/>
      <c r="HY1455" s="110"/>
      <c r="HZ1455" s="110"/>
      <c r="IA1455" s="110"/>
      <c r="IB1455" s="110"/>
      <c r="IC1455" s="110"/>
      <c r="ID1455" s="110"/>
      <c r="IE1455" s="110"/>
      <c r="IF1455" s="110"/>
      <c r="IG1455" s="110"/>
      <c r="IH1455" s="110"/>
      <c r="II1455" s="110"/>
      <c r="IJ1455" s="110"/>
      <c r="IK1455" s="110"/>
      <c r="IL1455" s="110"/>
      <c r="IM1455" s="110"/>
      <c r="IN1455" s="110"/>
      <c r="IO1455" s="110"/>
      <c r="IP1455" s="110"/>
      <c r="IQ1455" s="110"/>
      <c r="IR1455" s="110"/>
    </row>
    <row r="1456" spans="18:252" ht="16.5" hidden="1" customHeight="1">
      <c r="R1456" s="264"/>
      <c r="S1456" s="110"/>
      <c r="T1456" s="110"/>
      <c r="U1456" s="110"/>
      <c r="V1456" s="110"/>
      <c r="W1456" s="266"/>
      <c r="X1456" s="110"/>
      <c r="Y1456" s="110"/>
      <c r="Z1456" s="110"/>
      <c r="AA1456" s="110"/>
      <c r="AB1456" s="110"/>
      <c r="AC1456" s="110"/>
      <c r="AD1456" s="110"/>
      <c r="AE1456" s="110"/>
      <c r="AF1456" s="110"/>
      <c r="AG1456" s="110"/>
      <c r="AH1456" s="110"/>
      <c r="AI1456" s="110"/>
      <c r="AJ1456" s="110"/>
      <c r="AK1456" s="110"/>
      <c r="AL1456" s="110"/>
      <c r="AM1456" s="110"/>
      <c r="AN1456" s="110"/>
      <c r="AO1456" s="110"/>
      <c r="AP1456" s="110"/>
      <c r="AQ1456" s="110"/>
      <c r="AR1456" s="110"/>
      <c r="AS1456" s="110"/>
      <c r="AT1456" s="110"/>
      <c r="AU1456" s="110"/>
      <c r="AV1456" s="110"/>
      <c r="AW1456" s="110"/>
      <c r="AX1456" s="110"/>
      <c r="AY1456" s="110"/>
      <c r="AZ1456" s="110"/>
      <c r="BA1456" s="110"/>
      <c r="BB1456" s="110"/>
      <c r="BC1456" s="110"/>
      <c r="BD1456" s="110"/>
      <c r="BE1456" s="110"/>
      <c r="BF1456" s="110"/>
      <c r="BG1456" s="110"/>
      <c r="BH1456" s="110"/>
      <c r="BI1456" s="110"/>
      <c r="BJ1456" s="110"/>
      <c r="BK1456" s="110"/>
      <c r="BL1456" s="110"/>
      <c r="BM1456" s="110"/>
      <c r="BN1456" s="110"/>
      <c r="BO1456" s="110"/>
      <c r="BP1456" s="110"/>
      <c r="BQ1456" s="110"/>
      <c r="BR1456" s="110"/>
      <c r="BS1456" s="110"/>
      <c r="BT1456" s="110"/>
      <c r="BU1456" s="110"/>
      <c r="BV1456" s="110"/>
      <c r="BW1456" s="110"/>
      <c r="BX1456" s="110"/>
      <c r="BY1456" s="110"/>
      <c r="BZ1456" s="110"/>
      <c r="CA1456" s="110"/>
      <c r="CB1456" s="110"/>
      <c r="CC1456" s="110"/>
      <c r="CD1456" s="110"/>
      <c r="CE1456" s="110"/>
      <c r="CF1456" s="110"/>
      <c r="CG1456" s="110"/>
      <c r="CH1456" s="110"/>
      <c r="CI1456" s="110"/>
      <c r="CJ1456" s="110"/>
      <c r="CK1456" s="110"/>
      <c r="CL1456" s="110"/>
      <c r="CM1456" s="110"/>
      <c r="CN1456" s="110"/>
      <c r="CO1456" s="110"/>
      <c r="CP1456" s="110"/>
      <c r="CQ1456" s="110"/>
      <c r="CR1456" s="110"/>
      <c r="CS1456" s="110"/>
      <c r="CT1456" s="110"/>
      <c r="CU1456" s="110"/>
      <c r="CV1456" s="110"/>
      <c r="CW1456" s="110"/>
      <c r="CX1456" s="110"/>
      <c r="CY1456" s="110"/>
      <c r="CZ1456" s="110"/>
      <c r="DA1456" s="110"/>
      <c r="DB1456" s="110"/>
      <c r="DC1456" s="110"/>
      <c r="DD1456" s="110"/>
      <c r="DE1456" s="110"/>
      <c r="DF1456" s="110"/>
      <c r="DG1456" s="110"/>
      <c r="DH1456" s="110"/>
      <c r="DI1456" s="110"/>
      <c r="DJ1456" s="110"/>
      <c r="DK1456" s="110"/>
      <c r="DL1456" s="110"/>
      <c r="DM1456" s="110"/>
      <c r="DN1456" s="110"/>
      <c r="DO1456" s="110"/>
      <c r="DP1456" s="110"/>
      <c r="DQ1456" s="110"/>
      <c r="DR1456" s="110"/>
      <c r="DS1456" s="110"/>
      <c r="DT1456" s="110"/>
      <c r="DU1456" s="110"/>
      <c r="DV1456" s="110"/>
      <c r="DW1456" s="110"/>
      <c r="DX1456" s="110"/>
      <c r="DY1456" s="110"/>
      <c r="DZ1456" s="110"/>
      <c r="EA1456" s="110"/>
      <c r="EB1456" s="110"/>
      <c r="EC1456" s="110"/>
      <c r="ED1456" s="110"/>
      <c r="EF1456" s="264"/>
      <c r="EG1456" s="110"/>
      <c r="EH1456" s="110"/>
      <c r="EI1456" s="110"/>
      <c r="EJ1456" s="110"/>
      <c r="EK1456" s="266"/>
      <c r="EL1456" s="110"/>
      <c r="EM1456" s="110"/>
      <c r="EN1456" s="110"/>
      <c r="EO1456" s="110"/>
      <c r="EP1456" s="110"/>
      <c r="EQ1456" s="110"/>
      <c r="ER1456" s="110"/>
      <c r="ES1456" s="110"/>
      <c r="ET1456" s="110"/>
      <c r="EU1456" s="110"/>
      <c r="EV1456" s="110"/>
      <c r="EW1456" s="110"/>
      <c r="EX1456" s="110"/>
      <c r="EY1456" s="110"/>
      <c r="EZ1456" s="110"/>
      <c r="FA1456" s="110"/>
      <c r="FB1456" s="110"/>
      <c r="FC1456" s="110"/>
      <c r="FD1456" s="110"/>
      <c r="FE1456" s="110"/>
      <c r="FF1456" s="110"/>
      <c r="FG1456" s="110"/>
      <c r="FH1456" s="110"/>
      <c r="FI1456" s="110"/>
      <c r="FJ1456" s="110"/>
      <c r="FK1456" s="110"/>
      <c r="FL1456" s="110"/>
      <c r="FM1456" s="110"/>
      <c r="FN1456" s="110"/>
      <c r="FO1456" s="110"/>
      <c r="FP1456" s="110"/>
      <c r="FQ1456" s="110"/>
      <c r="FR1456" s="110"/>
      <c r="FS1456" s="110"/>
      <c r="FT1456" s="110"/>
      <c r="FU1456" s="110"/>
      <c r="FV1456" s="110"/>
      <c r="FW1456" s="110"/>
      <c r="FX1456" s="110"/>
      <c r="FY1456" s="110"/>
      <c r="FZ1456" s="110"/>
      <c r="GA1456" s="110"/>
      <c r="GB1456" s="110"/>
      <c r="GC1456" s="110"/>
      <c r="GD1456" s="110"/>
      <c r="GE1456" s="110"/>
      <c r="GF1456" s="110"/>
      <c r="GG1456" s="110"/>
      <c r="GH1456" s="110"/>
      <c r="GI1456" s="110"/>
      <c r="GJ1456" s="110"/>
      <c r="GK1456" s="110"/>
      <c r="GL1456" s="110"/>
      <c r="GM1456" s="110"/>
      <c r="GN1456" s="110"/>
      <c r="GO1456" s="110"/>
      <c r="GP1456" s="110"/>
      <c r="GQ1456" s="110"/>
      <c r="GR1456" s="110"/>
      <c r="GS1456" s="110"/>
      <c r="GT1456" s="110"/>
      <c r="GU1456" s="110"/>
      <c r="GV1456" s="110"/>
      <c r="GW1456" s="110"/>
      <c r="GX1456" s="110"/>
      <c r="GY1456" s="110"/>
      <c r="GZ1456" s="110"/>
      <c r="HA1456" s="110"/>
      <c r="HB1456" s="110"/>
      <c r="HC1456" s="110"/>
      <c r="HD1456" s="110"/>
      <c r="HE1456" s="110"/>
      <c r="HF1456" s="110"/>
      <c r="HG1456" s="110"/>
      <c r="HH1456" s="110"/>
      <c r="HI1456" s="110"/>
      <c r="HJ1456" s="110"/>
      <c r="HK1456" s="110"/>
      <c r="HL1456" s="110"/>
      <c r="HM1456" s="110"/>
      <c r="HN1456" s="110"/>
      <c r="HO1456" s="110"/>
      <c r="HP1456" s="110"/>
      <c r="HQ1456" s="110"/>
      <c r="HR1456" s="110"/>
      <c r="HS1456" s="110"/>
      <c r="HT1456" s="110"/>
      <c r="HU1456" s="110"/>
      <c r="HV1456" s="110"/>
      <c r="HW1456" s="110"/>
      <c r="HX1456" s="110"/>
      <c r="HY1456" s="110"/>
      <c r="HZ1456" s="110"/>
      <c r="IA1456" s="110"/>
      <c r="IB1456" s="110"/>
      <c r="IC1456" s="110"/>
      <c r="ID1456" s="110"/>
      <c r="IE1456" s="110"/>
      <c r="IF1456" s="110"/>
      <c r="IG1456" s="110"/>
      <c r="IH1456" s="110"/>
      <c r="II1456" s="110"/>
      <c r="IJ1456" s="110"/>
      <c r="IK1456" s="110"/>
      <c r="IL1456" s="110"/>
      <c r="IM1456" s="110"/>
      <c r="IN1456" s="110"/>
      <c r="IO1456" s="110"/>
      <c r="IP1456" s="110"/>
      <c r="IQ1456" s="110"/>
      <c r="IR1456" s="110"/>
    </row>
    <row r="1457" spans="18:252" ht="16.5" hidden="1" customHeight="1">
      <c r="R1457" s="264"/>
      <c r="S1457" s="110"/>
      <c r="T1457" s="110"/>
      <c r="U1457" s="110"/>
      <c r="V1457" s="110"/>
      <c r="W1457" s="266"/>
      <c r="X1457" s="110"/>
      <c r="Y1457" s="110"/>
      <c r="Z1457" s="110"/>
      <c r="AA1457" s="110"/>
      <c r="AB1457" s="110"/>
      <c r="AC1457" s="110"/>
      <c r="AD1457" s="110"/>
      <c r="AE1457" s="110"/>
      <c r="AF1457" s="110"/>
      <c r="AG1457" s="110"/>
      <c r="AH1457" s="110"/>
      <c r="AI1457" s="110"/>
      <c r="AJ1457" s="110"/>
      <c r="AK1457" s="110"/>
      <c r="AL1457" s="110"/>
      <c r="AM1457" s="110"/>
      <c r="AN1457" s="110"/>
      <c r="AO1457" s="110"/>
      <c r="AP1457" s="110"/>
      <c r="AQ1457" s="110"/>
      <c r="AR1457" s="110"/>
      <c r="AS1457" s="110"/>
      <c r="AT1457" s="110"/>
      <c r="AU1457" s="110"/>
      <c r="AV1457" s="110"/>
      <c r="AW1457" s="110"/>
      <c r="AX1457" s="110"/>
      <c r="AY1457" s="110"/>
      <c r="AZ1457" s="110"/>
      <c r="BA1457" s="110"/>
      <c r="BB1457" s="110"/>
      <c r="BC1457" s="110"/>
      <c r="BD1457" s="110"/>
      <c r="BE1457" s="110"/>
      <c r="BF1457" s="110"/>
      <c r="BG1457" s="110"/>
      <c r="BH1457" s="110"/>
      <c r="BI1457" s="110"/>
      <c r="BJ1457" s="110"/>
      <c r="BK1457" s="110"/>
      <c r="BL1457" s="110"/>
      <c r="BM1457" s="110"/>
      <c r="BN1457" s="110"/>
      <c r="BO1457" s="110"/>
      <c r="BP1457" s="110"/>
      <c r="BQ1457" s="110"/>
      <c r="BR1457" s="110"/>
      <c r="BS1457" s="110"/>
      <c r="BT1457" s="110"/>
      <c r="BU1457" s="110"/>
      <c r="BV1457" s="110"/>
      <c r="BW1457" s="110"/>
      <c r="BX1457" s="110"/>
      <c r="BY1457" s="110"/>
      <c r="BZ1457" s="110"/>
      <c r="CA1457" s="110"/>
      <c r="CB1457" s="110"/>
      <c r="CC1457" s="110"/>
      <c r="CD1457" s="110"/>
      <c r="CE1457" s="110"/>
      <c r="CF1457" s="110"/>
      <c r="CG1457" s="110"/>
      <c r="CH1457" s="110"/>
      <c r="CI1457" s="110"/>
      <c r="CJ1457" s="110"/>
      <c r="CK1457" s="110"/>
      <c r="CL1457" s="110"/>
      <c r="CM1457" s="110"/>
      <c r="CN1457" s="110"/>
      <c r="CO1457" s="110"/>
      <c r="CP1457" s="110"/>
      <c r="CQ1457" s="110"/>
      <c r="CR1457" s="110"/>
      <c r="CS1457" s="110"/>
      <c r="CT1457" s="110"/>
      <c r="CU1457" s="110"/>
      <c r="CV1457" s="110"/>
      <c r="CW1457" s="110"/>
      <c r="CX1457" s="110"/>
      <c r="CY1457" s="110"/>
      <c r="CZ1457" s="110"/>
      <c r="DA1457" s="110"/>
      <c r="DB1457" s="110"/>
      <c r="DC1457" s="110"/>
      <c r="DD1457" s="110"/>
      <c r="DE1457" s="110"/>
      <c r="DF1457" s="110"/>
      <c r="DG1457" s="110"/>
      <c r="DH1457" s="110"/>
      <c r="DI1457" s="110"/>
      <c r="DJ1457" s="110"/>
      <c r="DK1457" s="110"/>
      <c r="DL1457" s="110"/>
      <c r="DM1457" s="110"/>
      <c r="DN1457" s="110"/>
      <c r="DO1457" s="110"/>
      <c r="DP1457" s="110"/>
      <c r="DQ1457" s="110"/>
      <c r="DR1457" s="110"/>
      <c r="DS1457" s="110"/>
      <c r="DT1457" s="110"/>
      <c r="DU1457" s="110"/>
      <c r="DV1457" s="110"/>
      <c r="DW1457" s="110"/>
      <c r="DX1457" s="110"/>
      <c r="DY1457" s="110"/>
      <c r="DZ1457" s="110"/>
      <c r="EA1457" s="110"/>
      <c r="EB1457" s="110"/>
      <c r="EC1457" s="110"/>
      <c r="ED1457" s="110"/>
      <c r="EF1457" s="264"/>
      <c r="EG1457" s="110"/>
      <c r="EH1457" s="110"/>
      <c r="EI1457" s="110"/>
      <c r="EJ1457" s="110"/>
      <c r="EK1457" s="266"/>
      <c r="EL1457" s="110"/>
      <c r="EM1457" s="110"/>
      <c r="EN1457" s="110"/>
      <c r="EO1457" s="110"/>
      <c r="EP1457" s="110"/>
      <c r="EQ1457" s="110"/>
      <c r="ER1457" s="110"/>
      <c r="ES1457" s="110"/>
      <c r="ET1457" s="110"/>
      <c r="EU1457" s="110"/>
      <c r="EV1457" s="110"/>
      <c r="EW1457" s="110"/>
      <c r="EX1457" s="110"/>
      <c r="EY1457" s="110"/>
      <c r="EZ1457" s="110"/>
      <c r="FA1457" s="110"/>
      <c r="FB1457" s="110"/>
      <c r="FC1457" s="110"/>
      <c r="FD1457" s="110"/>
      <c r="FE1457" s="110"/>
      <c r="FF1457" s="110"/>
      <c r="FG1457" s="110"/>
      <c r="FH1457" s="110"/>
      <c r="FI1457" s="110"/>
      <c r="FJ1457" s="110"/>
      <c r="FK1457" s="110"/>
      <c r="FL1457" s="110"/>
      <c r="FM1457" s="110"/>
      <c r="FN1457" s="110"/>
      <c r="FO1457" s="110"/>
      <c r="FP1457" s="110"/>
      <c r="FQ1457" s="110"/>
      <c r="FR1457" s="110"/>
      <c r="FS1457" s="110"/>
      <c r="FT1457" s="110"/>
      <c r="FU1457" s="110"/>
      <c r="FV1457" s="110"/>
      <c r="FW1457" s="110"/>
      <c r="FX1457" s="110"/>
      <c r="FY1457" s="110"/>
      <c r="FZ1457" s="110"/>
      <c r="GA1457" s="110"/>
      <c r="GB1457" s="110"/>
      <c r="GC1457" s="110"/>
      <c r="GD1457" s="110"/>
      <c r="GE1457" s="110"/>
      <c r="GF1457" s="110"/>
      <c r="GG1457" s="110"/>
      <c r="GH1457" s="110"/>
      <c r="GI1457" s="110"/>
      <c r="GJ1457" s="110"/>
      <c r="GK1457" s="110"/>
      <c r="GL1457" s="110"/>
      <c r="GM1457" s="110"/>
      <c r="GN1457" s="110"/>
      <c r="GO1457" s="110"/>
      <c r="GP1457" s="110"/>
      <c r="GQ1457" s="110"/>
      <c r="GR1457" s="110"/>
      <c r="GS1457" s="110"/>
      <c r="GT1457" s="110"/>
      <c r="GU1457" s="110"/>
      <c r="GV1457" s="110"/>
      <c r="GW1457" s="110"/>
      <c r="GX1457" s="110"/>
      <c r="GY1457" s="110"/>
      <c r="GZ1457" s="110"/>
      <c r="HA1457" s="110"/>
      <c r="HB1457" s="110"/>
      <c r="HC1457" s="110"/>
      <c r="HD1457" s="110"/>
      <c r="HE1457" s="110"/>
      <c r="HF1457" s="110"/>
      <c r="HG1457" s="110"/>
      <c r="HH1457" s="110"/>
      <c r="HI1457" s="110"/>
      <c r="HJ1457" s="110"/>
      <c r="HK1457" s="110"/>
      <c r="HL1457" s="110"/>
      <c r="HM1457" s="110"/>
      <c r="HN1457" s="110"/>
      <c r="HO1457" s="110"/>
      <c r="HP1457" s="110"/>
      <c r="HQ1457" s="110"/>
      <c r="HR1457" s="110"/>
      <c r="HS1457" s="110"/>
      <c r="HT1457" s="110"/>
      <c r="HU1457" s="110"/>
      <c r="HV1457" s="110"/>
      <c r="HW1457" s="110"/>
      <c r="HX1457" s="110"/>
      <c r="HY1457" s="110"/>
      <c r="HZ1457" s="110"/>
      <c r="IA1457" s="110"/>
      <c r="IB1457" s="110"/>
      <c r="IC1457" s="110"/>
      <c r="ID1457" s="110"/>
      <c r="IE1457" s="110"/>
      <c r="IF1457" s="110"/>
      <c r="IG1457" s="110"/>
      <c r="IH1457" s="110"/>
      <c r="II1457" s="110"/>
      <c r="IJ1457" s="110"/>
      <c r="IK1457" s="110"/>
      <c r="IL1457" s="110"/>
      <c r="IM1457" s="110"/>
      <c r="IN1457" s="110"/>
      <c r="IO1457" s="110"/>
      <c r="IP1457" s="110"/>
      <c r="IQ1457" s="110"/>
      <c r="IR1457" s="110"/>
    </row>
    <row r="1458" spans="18:252" ht="16.5" hidden="1" customHeight="1">
      <c r="R1458" s="264"/>
      <c r="S1458" s="110"/>
      <c r="T1458" s="110"/>
      <c r="U1458" s="110"/>
      <c r="V1458" s="110"/>
      <c r="W1458" s="266"/>
      <c r="X1458" s="110"/>
      <c r="Y1458" s="110"/>
      <c r="Z1458" s="110"/>
      <c r="AA1458" s="110"/>
      <c r="AB1458" s="110"/>
      <c r="AC1458" s="110"/>
      <c r="AD1458" s="110"/>
      <c r="AE1458" s="110"/>
      <c r="AF1458" s="110"/>
      <c r="AG1458" s="110"/>
      <c r="AH1458" s="110"/>
      <c r="AI1458" s="110"/>
      <c r="AJ1458" s="110"/>
      <c r="AK1458" s="110"/>
      <c r="AL1458" s="110"/>
      <c r="AM1458" s="110"/>
      <c r="AN1458" s="110"/>
      <c r="AO1458" s="110"/>
      <c r="AP1458" s="110"/>
      <c r="AQ1458" s="110"/>
      <c r="AR1458" s="110"/>
      <c r="AS1458" s="110"/>
      <c r="AT1458" s="110"/>
      <c r="AU1458" s="110"/>
      <c r="AV1458" s="110"/>
      <c r="AW1458" s="110"/>
      <c r="AX1458" s="110"/>
      <c r="AY1458" s="110"/>
      <c r="AZ1458" s="110"/>
      <c r="BA1458" s="110"/>
      <c r="BB1458" s="110"/>
      <c r="BC1458" s="110"/>
      <c r="BD1458" s="110"/>
      <c r="BE1458" s="110"/>
      <c r="BF1458" s="110"/>
      <c r="BG1458" s="110"/>
      <c r="BH1458" s="110"/>
      <c r="BI1458" s="110"/>
      <c r="BJ1458" s="110"/>
      <c r="BK1458" s="110"/>
      <c r="BL1458" s="110"/>
      <c r="BM1458" s="110"/>
      <c r="BN1458" s="110"/>
      <c r="BO1458" s="110"/>
      <c r="BP1458" s="110"/>
      <c r="BQ1458" s="110"/>
      <c r="BR1458" s="110"/>
      <c r="BS1458" s="110"/>
      <c r="BT1458" s="110"/>
      <c r="BU1458" s="110"/>
      <c r="BV1458" s="110"/>
      <c r="BW1458" s="110"/>
      <c r="BX1458" s="110"/>
      <c r="BY1458" s="110"/>
      <c r="BZ1458" s="110"/>
      <c r="CA1458" s="110"/>
      <c r="CB1458" s="110"/>
      <c r="CC1458" s="110"/>
      <c r="CD1458" s="110"/>
      <c r="CE1458" s="110"/>
      <c r="CF1458" s="110"/>
      <c r="CG1458" s="110"/>
      <c r="CH1458" s="110"/>
      <c r="CI1458" s="110"/>
      <c r="CJ1458" s="110"/>
      <c r="CK1458" s="110"/>
      <c r="CL1458" s="110"/>
      <c r="CM1458" s="110"/>
      <c r="CN1458" s="110"/>
      <c r="CO1458" s="110"/>
      <c r="CP1458" s="110"/>
      <c r="CQ1458" s="110"/>
      <c r="CR1458" s="110"/>
      <c r="CS1458" s="110"/>
      <c r="CT1458" s="110"/>
      <c r="CU1458" s="110"/>
      <c r="CV1458" s="110"/>
      <c r="CW1458" s="110"/>
      <c r="CX1458" s="110"/>
      <c r="CY1458" s="110"/>
      <c r="CZ1458" s="110"/>
      <c r="DA1458" s="110"/>
      <c r="DB1458" s="110"/>
      <c r="DC1458" s="110"/>
      <c r="DD1458" s="110"/>
      <c r="DE1458" s="110"/>
      <c r="DF1458" s="110"/>
      <c r="DG1458" s="110"/>
      <c r="DH1458" s="110"/>
      <c r="DI1458" s="110"/>
      <c r="DJ1458" s="110"/>
      <c r="DK1458" s="110"/>
      <c r="DL1458" s="110"/>
      <c r="DM1458" s="110"/>
      <c r="DN1458" s="110"/>
      <c r="DO1458" s="110"/>
      <c r="DP1458" s="110"/>
      <c r="DQ1458" s="110"/>
      <c r="DR1458" s="110"/>
      <c r="DS1458" s="110"/>
      <c r="DT1458" s="110"/>
      <c r="DU1458" s="110"/>
      <c r="DV1458" s="110"/>
      <c r="DW1458" s="110"/>
      <c r="DX1458" s="110"/>
      <c r="DY1458" s="110"/>
      <c r="DZ1458" s="110"/>
      <c r="EA1458" s="110"/>
      <c r="EB1458" s="110"/>
      <c r="EC1458" s="110"/>
      <c r="ED1458" s="110"/>
      <c r="EF1458" s="264"/>
      <c r="EG1458" s="110"/>
      <c r="EH1458" s="110"/>
      <c r="EI1458" s="110"/>
      <c r="EJ1458" s="110"/>
      <c r="EK1458" s="266"/>
      <c r="EL1458" s="110"/>
      <c r="EM1458" s="110"/>
      <c r="EN1458" s="110"/>
      <c r="EO1458" s="110"/>
      <c r="EP1458" s="110"/>
      <c r="EQ1458" s="110"/>
      <c r="ER1458" s="110"/>
      <c r="ES1458" s="110"/>
      <c r="ET1458" s="110"/>
      <c r="EU1458" s="110"/>
      <c r="EV1458" s="110"/>
      <c r="EW1458" s="110"/>
      <c r="EX1458" s="110"/>
      <c r="EY1458" s="110"/>
      <c r="EZ1458" s="110"/>
      <c r="FA1458" s="110"/>
      <c r="FB1458" s="110"/>
      <c r="FC1458" s="110"/>
      <c r="FD1458" s="110"/>
      <c r="FE1458" s="110"/>
      <c r="FF1458" s="110"/>
      <c r="FG1458" s="110"/>
      <c r="FH1458" s="110"/>
      <c r="FI1458" s="110"/>
      <c r="FJ1458" s="110"/>
      <c r="FK1458" s="110"/>
      <c r="FL1458" s="110"/>
      <c r="FM1458" s="110"/>
      <c r="FN1458" s="110"/>
      <c r="FO1458" s="110"/>
      <c r="FP1458" s="110"/>
      <c r="FQ1458" s="110"/>
      <c r="FR1458" s="110"/>
      <c r="FS1458" s="110"/>
      <c r="FT1458" s="110"/>
      <c r="FU1458" s="110"/>
      <c r="FV1458" s="110"/>
      <c r="FW1458" s="110"/>
      <c r="FX1458" s="110"/>
      <c r="FY1458" s="110"/>
      <c r="FZ1458" s="110"/>
      <c r="GA1458" s="110"/>
      <c r="GB1458" s="110"/>
      <c r="GC1458" s="110"/>
      <c r="GD1458" s="110"/>
      <c r="GE1458" s="110"/>
      <c r="GF1458" s="110"/>
      <c r="GG1458" s="110"/>
      <c r="GH1458" s="110"/>
      <c r="GI1458" s="110"/>
      <c r="GJ1458" s="110"/>
      <c r="GK1458" s="110"/>
      <c r="GL1458" s="110"/>
      <c r="GM1458" s="110"/>
      <c r="GN1458" s="110"/>
      <c r="GO1458" s="110"/>
      <c r="GP1458" s="110"/>
      <c r="GQ1458" s="110"/>
      <c r="GR1458" s="110"/>
      <c r="GS1458" s="110"/>
      <c r="GT1458" s="110"/>
      <c r="GU1458" s="110"/>
      <c r="GV1458" s="110"/>
      <c r="GW1458" s="110"/>
      <c r="GX1458" s="110"/>
      <c r="GY1458" s="110"/>
      <c r="GZ1458" s="110"/>
      <c r="HA1458" s="110"/>
      <c r="HB1458" s="110"/>
      <c r="HC1458" s="110"/>
      <c r="HD1458" s="110"/>
      <c r="HE1458" s="110"/>
      <c r="HF1458" s="110"/>
      <c r="HG1458" s="110"/>
      <c r="HH1458" s="110"/>
      <c r="HI1458" s="110"/>
      <c r="HJ1458" s="110"/>
      <c r="HK1458" s="110"/>
      <c r="HL1458" s="110"/>
      <c r="HM1458" s="110"/>
      <c r="HN1458" s="110"/>
      <c r="HO1458" s="110"/>
      <c r="HP1458" s="110"/>
      <c r="HQ1458" s="110"/>
      <c r="HR1458" s="110"/>
      <c r="HS1458" s="110"/>
      <c r="HT1458" s="110"/>
      <c r="HU1458" s="110"/>
      <c r="HV1458" s="110"/>
      <c r="HW1458" s="110"/>
      <c r="HX1458" s="110"/>
      <c r="HY1458" s="110"/>
      <c r="HZ1458" s="110"/>
      <c r="IA1458" s="110"/>
      <c r="IB1458" s="110"/>
      <c r="IC1458" s="110"/>
      <c r="ID1458" s="110"/>
      <c r="IE1458" s="110"/>
      <c r="IF1458" s="110"/>
      <c r="IG1458" s="110"/>
      <c r="IH1458" s="110"/>
      <c r="II1458" s="110"/>
      <c r="IJ1458" s="110"/>
      <c r="IK1458" s="110"/>
      <c r="IL1458" s="110"/>
      <c r="IM1458" s="110"/>
      <c r="IN1458" s="110"/>
      <c r="IO1458" s="110"/>
      <c r="IP1458" s="110"/>
      <c r="IQ1458" s="110"/>
      <c r="IR1458" s="110"/>
    </row>
    <row r="1459" spans="18:252" ht="16.5" hidden="1" customHeight="1">
      <c r="R1459" s="264"/>
      <c r="S1459" s="110"/>
      <c r="T1459" s="110"/>
      <c r="U1459" s="110"/>
      <c r="V1459" s="110"/>
      <c r="W1459" s="266"/>
      <c r="X1459" s="110"/>
      <c r="Y1459" s="110"/>
      <c r="Z1459" s="110"/>
      <c r="AA1459" s="110"/>
      <c r="AB1459" s="110"/>
      <c r="AC1459" s="110"/>
      <c r="AD1459" s="110"/>
      <c r="AE1459" s="110"/>
      <c r="AF1459" s="110"/>
      <c r="AG1459" s="110"/>
      <c r="AH1459" s="110"/>
      <c r="AI1459" s="110"/>
      <c r="AJ1459" s="110"/>
      <c r="AK1459" s="110"/>
      <c r="AL1459" s="110"/>
      <c r="AM1459" s="110"/>
      <c r="AN1459" s="110"/>
      <c r="AO1459" s="110"/>
      <c r="AP1459" s="110"/>
      <c r="AQ1459" s="110"/>
      <c r="AR1459" s="110"/>
      <c r="AS1459" s="110"/>
      <c r="AT1459" s="110"/>
      <c r="AU1459" s="110"/>
      <c r="AV1459" s="110"/>
      <c r="AW1459" s="110"/>
      <c r="AX1459" s="110"/>
      <c r="AY1459" s="110"/>
      <c r="AZ1459" s="110"/>
      <c r="BA1459" s="110"/>
      <c r="BB1459" s="110"/>
      <c r="BC1459" s="110"/>
      <c r="BD1459" s="110"/>
      <c r="BE1459" s="110"/>
      <c r="BF1459" s="110"/>
      <c r="BG1459" s="110"/>
      <c r="BH1459" s="110"/>
      <c r="BI1459" s="110"/>
      <c r="BJ1459" s="110"/>
      <c r="BK1459" s="110"/>
      <c r="BL1459" s="110"/>
      <c r="BM1459" s="110"/>
      <c r="BN1459" s="110"/>
      <c r="BO1459" s="110"/>
      <c r="BP1459" s="110"/>
      <c r="BQ1459" s="110"/>
      <c r="BR1459" s="110"/>
      <c r="BS1459" s="110"/>
      <c r="BT1459" s="110"/>
      <c r="BU1459" s="110"/>
      <c r="BV1459" s="110"/>
      <c r="BW1459" s="110"/>
      <c r="BX1459" s="110"/>
      <c r="BY1459" s="110"/>
      <c r="BZ1459" s="110"/>
      <c r="CA1459" s="110"/>
      <c r="CB1459" s="110"/>
      <c r="CC1459" s="110"/>
      <c r="CD1459" s="110"/>
      <c r="CE1459" s="110"/>
      <c r="CF1459" s="110"/>
      <c r="CG1459" s="110"/>
      <c r="CH1459" s="110"/>
      <c r="CI1459" s="110"/>
      <c r="CJ1459" s="110"/>
      <c r="CK1459" s="110"/>
      <c r="CL1459" s="110"/>
      <c r="CM1459" s="110"/>
      <c r="CN1459" s="110"/>
      <c r="CO1459" s="110"/>
      <c r="CP1459" s="110"/>
      <c r="CQ1459" s="110"/>
      <c r="CR1459" s="110"/>
      <c r="CS1459" s="110"/>
      <c r="CT1459" s="110"/>
      <c r="CU1459" s="110"/>
      <c r="CV1459" s="110"/>
      <c r="CW1459" s="110"/>
      <c r="CX1459" s="110"/>
      <c r="CY1459" s="110"/>
      <c r="CZ1459" s="110"/>
      <c r="DA1459" s="110"/>
      <c r="DB1459" s="110"/>
      <c r="DC1459" s="110"/>
      <c r="DD1459" s="110"/>
      <c r="DE1459" s="110"/>
      <c r="DF1459" s="110"/>
      <c r="DG1459" s="110"/>
      <c r="DH1459" s="110"/>
      <c r="DI1459" s="110"/>
      <c r="DJ1459" s="110"/>
      <c r="DK1459" s="110"/>
      <c r="DL1459" s="110"/>
      <c r="DM1459" s="110"/>
      <c r="DN1459" s="110"/>
      <c r="DO1459" s="110"/>
      <c r="DP1459" s="110"/>
      <c r="DQ1459" s="110"/>
      <c r="DR1459" s="110"/>
      <c r="DS1459" s="110"/>
      <c r="DT1459" s="110"/>
      <c r="DU1459" s="110"/>
      <c r="DV1459" s="110"/>
      <c r="DW1459" s="110"/>
      <c r="DX1459" s="110"/>
      <c r="DY1459" s="110"/>
      <c r="DZ1459" s="110"/>
      <c r="EA1459" s="110"/>
      <c r="EB1459" s="110"/>
      <c r="EC1459" s="110"/>
      <c r="ED1459" s="110"/>
      <c r="EF1459" s="264"/>
      <c r="EG1459" s="110"/>
      <c r="EH1459" s="110"/>
      <c r="EI1459" s="110"/>
      <c r="EJ1459" s="110"/>
      <c r="EK1459" s="266"/>
      <c r="EL1459" s="110"/>
      <c r="EM1459" s="110"/>
      <c r="EN1459" s="110"/>
      <c r="EO1459" s="110"/>
      <c r="EP1459" s="110"/>
      <c r="EQ1459" s="110"/>
      <c r="ER1459" s="110"/>
      <c r="ES1459" s="110"/>
      <c r="ET1459" s="110"/>
      <c r="EU1459" s="110"/>
      <c r="EV1459" s="110"/>
      <c r="EW1459" s="110"/>
      <c r="EX1459" s="110"/>
      <c r="EY1459" s="110"/>
      <c r="EZ1459" s="110"/>
      <c r="FA1459" s="110"/>
      <c r="FB1459" s="110"/>
      <c r="FC1459" s="110"/>
      <c r="FD1459" s="110"/>
      <c r="FE1459" s="110"/>
      <c r="FF1459" s="110"/>
      <c r="FG1459" s="110"/>
      <c r="FH1459" s="110"/>
      <c r="FI1459" s="110"/>
      <c r="FJ1459" s="110"/>
      <c r="FK1459" s="110"/>
      <c r="FL1459" s="110"/>
      <c r="FM1459" s="110"/>
      <c r="FN1459" s="110"/>
      <c r="FO1459" s="110"/>
      <c r="FP1459" s="110"/>
      <c r="FQ1459" s="110"/>
      <c r="FR1459" s="110"/>
      <c r="FS1459" s="110"/>
      <c r="FT1459" s="110"/>
      <c r="FU1459" s="110"/>
      <c r="FV1459" s="110"/>
      <c r="FW1459" s="110"/>
      <c r="FX1459" s="110"/>
      <c r="FY1459" s="110"/>
      <c r="FZ1459" s="110"/>
      <c r="GA1459" s="110"/>
      <c r="GB1459" s="110"/>
      <c r="GC1459" s="110"/>
      <c r="GD1459" s="110"/>
      <c r="GE1459" s="110"/>
      <c r="GF1459" s="110"/>
      <c r="GG1459" s="110"/>
      <c r="GH1459" s="110"/>
      <c r="GI1459" s="110"/>
      <c r="GJ1459" s="110"/>
      <c r="GK1459" s="110"/>
      <c r="GL1459" s="110"/>
      <c r="GM1459" s="110"/>
      <c r="GN1459" s="110"/>
      <c r="GO1459" s="110"/>
      <c r="GP1459" s="110"/>
      <c r="GQ1459" s="110"/>
      <c r="GR1459" s="110"/>
      <c r="GS1459" s="110"/>
      <c r="GT1459" s="110"/>
      <c r="GU1459" s="110"/>
      <c r="GV1459" s="110"/>
      <c r="GW1459" s="110"/>
      <c r="GX1459" s="110"/>
      <c r="GY1459" s="110"/>
      <c r="GZ1459" s="110"/>
      <c r="HA1459" s="110"/>
      <c r="HB1459" s="110"/>
      <c r="HC1459" s="110"/>
      <c r="HD1459" s="110"/>
      <c r="HE1459" s="110"/>
      <c r="HF1459" s="110"/>
      <c r="HG1459" s="110"/>
      <c r="HH1459" s="110"/>
      <c r="HI1459" s="110"/>
      <c r="HJ1459" s="110"/>
      <c r="HK1459" s="110"/>
      <c r="HL1459" s="110"/>
      <c r="HM1459" s="110"/>
      <c r="HN1459" s="110"/>
      <c r="HO1459" s="110"/>
      <c r="HP1459" s="110"/>
      <c r="HQ1459" s="110"/>
      <c r="HR1459" s="110"/>
      <c r="HS1459" s="110"/>
      <c r="HT1459" s="110"/>
      <c r="HU1459" s="110"/>
      <c r="HV1459" s="110"/>
      <c r="HW1459" s="110"/>
      <c r="HX1459" s="110"/>
      <c r="HY1459" s="110"/>
      <c r="HZ1459" s="110"/>
      <c r="IA1459" s="110"/>
      <c r="IB1459" s="110"/>
      <c r="IC1459" s="110"/>
      <c r="ID1459" s="110"/>
      <c r="IE1459" s="110"/>
      <c r="IF1459" s="110"/>
      <c r="IG1459" s="110"/>
      <c r="IH1459" s="110"/>
      <c r="II1459" s="110"/>
      <c r="IJ1459" s="110"/>
      <c r="IK1459" s="110"/>
      <c r="IL1459" s="110"/>
      <c r="IM1459" s="110"/>
      <c r="IN1459" s="110"/>
      <c r="IO1459" s="110"/>
      <c r="IP1459" s="110"/>
      <c r="IQ1459" s="110"/>
      <c r="IR1459" s="110"/>
    </row>
    <row r="1460" spans="18:252" ht="16.5" hidden="1" customHeight="1">
      <c r="R1460" s="264"/>
      <c r="S1460" s="110"/>
      <c r="T1460" s="110"/>
      <c r="U1460" s="110"/>
      <c r="V1460" s="110"/>
      <c r="W1460" s="266"/>
      <c r="X1460" s="110"/>
      <c r="Y1460" s="110"/>
      <c r="Z1460" s="110"/>
      <c r="AA1460" s="110"/>
      <c r="AB1460" s="110"/>
      <c r="AC1460" s="110"/>
      <c r="AD1460" s="110"/>
      <c r="AE1460" s="110"/>
      <c r="AF1460" s="110"/>
      <c r="AG1460" s="110"/>
      <c r="AH1460" s="110"/>
      <c r="AI1460" s="110"/>
      <c r="AJ1460" s="110"/>
      <c r="AK1460" s="110"/>
      <c r="AL1460" s="110"/>
      <c r="AM1460" s="110"/>
      <c r="AN1460" s="110"/>
      <c r="AO1460" s="110"/>
      <c r="AP1460" s="110"/>
      <c r="AQ1460" s="110"/>
      <c r="AR1460" s="110"/>
      <c r="AS1460" s="110"/>
      <c r="AT1460" s="110"/>
      <c r="AU1460" s="110"/>
      <c r="AV1460" s="110"/>
      <c r="AW1460" s="110"/>
      <c r="AX1460" s="110"/>
      <c r="AY1460" s="110"/>
      <c r="AZ1460" s="110"/>
      <c r="BA1460" s="110"/>
      <c r="BB1460" s="110"/>
      <c r="BC1460" s="110"/>
      <c r="BD1460" s="110"/>
      <c r="BE1460" s="110"/>
      <c r="BF1460" s="110"/>
      <c r="BG1460" s="110"/>
      <c r="BH1460" s="110"/>
      <c r="BI1460" s="110"/>
      <c r="BJ1460" s="110"/>
      <c r="BK1460" s="110"/>
      <c r="BL1460" s="110"/>
      <c r="BM1460" s="110"/>
      <c r="BN1460" s="110"/>
      <c r="BO1460" s="110"/>
      <c r="BP1460" s="110"/>
      <c r="BQ1460" s="110"/>
      <c r="BR1460" s="110"/>
      <c r="BS1460" s="110"/>
      <c r="BT1460" s="110"/>
      <c r="BU1460" s="110"/>
      <c r="BV1460" s="110"/>
      <c r="BW1460" s="110"/>
      <c r="BX1460" s="110"/>
      <c r="BY1460" s="110"/>
      <c r="BZ1460" s="110"/>
      <c r="CA1460" s="110"/>
      <c r="CB1460" s="110"/>
      <c r="CC1460" s="110"/>
      <c r="CD1460" s="110"/>
      <c r="CE1460" s="110"/>
      <c r="CF1460" s="110"/>
      <c r="CG1460" s="110"/>
      <c r="CH1460" s="110"/>
      <c r="CI1460" s="110"/>
      <c r="CJ1460" s="110"/>
      <c r="CK1460" s="110"/>
      <c r="CL1460" s="110"/>
      <c r="CM1460" s="110"/>
      <c r="CN1460" s="110"/>
      <c r="CO1460" s="110"/>
      <c r="CP1460" s="110"/>
      <c r="CQ1460" s="110"/>
      <c r="CR1460" s="110"/>
      <c r="CS1460" s="110"/>
      <c r="CT1460" s="110"/>
      <c r="CU1460" s="110"/>
      <c r="CV1460" s="110"/>
      <c r="CW1460" s="110"/>
      <c r="CX1460" s="110"/>
      <c r="CY1460" s="110"/>
      <c r="CZ1460" s="110"/>
      <c r="DA1460" s="110"/>
      <c r="DB1460" s="110"/>
      <c r="DC1460" s="110"/>
      <c r="DD1460" s="110"/>
      <c r="DE1460" s="110"/>
      <c r="DF1460" s="110"/>
      <c r="DG1460" s="110"/>
      <c r="DH1460" s="110"/>
      <c r="DI1460" s="110"/>
      <c r="DJ1460" s="110"/>
      <c r="DK1460" s="110"/>
      <c r="DL1460" s="110"/>
      <c r="DM1460" s="110"/>
      <c r="DN1460" s="110"/>
      <c r="DO1460" s="110"/>
      <c r="DP1460" s="110"/>
      <c r="DQ1460" s="110"/>
      <c r="DR1460" s="110"/>
      <c r="DS1460" s="110"/>
      <c r="DT1460" s="110"/>
      <c r="DU1460" s="110"/>
      <c r="DV1460" s="110"/>
      <c r="DW1460" s="110"/>
      <c r="DX1460" s="110"/>
      <c r="DY1460" s="110"/>
      <c r="DZ1460" s="110"/>
      <c r="EA1460" s="110"/>
      <c r="EB1460" s="110"/>
      <c r="EC1460" s="110"/>
      <c r="ED1460" s="110"/>
      <c r="EF1460" s="264"/>
      <c r="EG1460" s="110"/>
      <c r="EH1460" s="110"/>
      <c r="EI1460" s="110"/>
      <c r="EJ1460" s="110"/>
      <c r="EK1460" s="266"/>
      <c r="EL1460" s="110"/>
      <c r="EM1460" s="110"/>
      <c r="EN1460" s="110"/>
      <c r="EO1460" s="110"/>
      <c r="EP1460" s="110"/>
      <c r="EQ1460" s="110"/>
      <c r="ER1460" s="110"/>
      <c r="ES1460" s="110"/>
      <c r="ET1460" s="110"/>
      <c r="EU1460" s="110"/>
      <c r="EV1460" s="110"/>
      <c r="EW1460" s="110"/>
      <c r="EX1460" s="110"/>
      <c r="EY1460" s="110"/>
      <c r="EZ1460" s="110"/>
      <c r="FA1460" s="110"/>
      <c r="FB1460" s="110"/>
      <c r="FC1460" s="110"/>
      <c r="FD1460" s="110"/>
      <c r="FE1460" s="110"/>
      <c r="FF1460" s="110"/>
      <c r="FG1460" s="110"/>
      <c r="FH1460" s="110"/>
      <c r="FI1460" s="110"/>
      <c r="FJ1460" s="110"/>
      <c r="FK1460" s="110"/>
      <c r="FL1460" s="110"/>
      <c r="FM1460" s="110"/>
      <c r="FN1460" s="110"/>
      <c r="FO1460" s="110"/>
      <c r="FP1460" s="110"/>
      <c r="FQ1460" s="110"/>
      <c r="FR1460" s="110"/>
      <c r="FS1460" s="110"/>
      <c r="FT1460" s="110"/>
      <c r="FU1460" s="110"/>
      <c r="FV1460" s="110"/>
      <c r="FW1460" s="110"/>
      <c r="FX1460" s="110"/>
      <c r="FY1460" s="110"/>
      <c r="FZ1460" s="110"/>
      <c r="GA1460" s="110"/>
      <c r="GB1460" s="110"/>
      <c r="GC1460" s="110"/>
      <c r="GD1460" s="110"/>
      <c r="GE1460" s="110"/>
      <c r="GF1460" s="110"/>
      <c r="GG1460" s="110"/>
      <c r="GH1460" s="110"/>
      <c r="GI1460" s="110"/>
      <c r="GJ1460" s="110"/>
      <c r="GK1460" s="110"/>
      <c r="GL1460" s="110"/>
      <c r="GM1460" s="110"/>
      <c r="GN1460" s="110"/>
      <c r="GO1460" s="110"/>
      <c r="GP1460" s="110"/>
      <c r="GQ1460" s="110"/>
      <c r="GR1460" s="110"/>
      <c r="GS1460" s="110"/>
      <c r="GT1460" s="110"/>
      <c r="GU1460" s="110"/>
      <c r="GV1460" s="110"/>
      <c r="GW1460" s="110"/>
      <c r="GX1460" s="110"/>
      <c r="GY1460" s="110"/>
      <c r="GZ1460" s="110"/>
      <c r="HA1460" s="110"/>
      <c r="HB1460" s="110"/>
      <c r="HC1460" s="110"/>
      <c r="HD1460" s="110"/>
      <c r="HE1460" s="110"/>
      <c r="HF1460" s="110"/>
      <c r="HG1460" s="110"/>
      <c r="HH1460" s="110"/>
      <c r="HI1460" s="110"/>
      <c r="HJ1460" s="110"/>
      <c r="HK1460" s="110"/>
      <c r="HL1460" s="110"/>
      <c r="HM1460" s="110"/>
      <c r="HN1460" s="110"/>
      <c r="HO1460" s="110"/>
      <c r="HP1460" s="110"/>
      <c r="HQ1460" s="110"/>
      <c r="HR1460" s="110"/>
      <c r="HS1460" s="110"/>
      <c r="HT1460" s="110"/>
      <c r="HU1460" s="110"/>
      <c r="HV1460" s="110"/>
      <c r="HW1460" s="110"/>
      <c r="HX1460" s="110"/>
      <c r="HY1460" s="110"/>
      <c r="HZ1460" s="110"/>
      <c r="IA1460" s="110"/>
      <c r="IB1460" s="110"/>
      <c r="IC1460" s="110"/>
      <c r="ID1460" s="110"/>
      <c r="IE1460" s="110"/>
      <c r="IF1460" s="110"/>
      <c r="IG1460" s="110"/>
      <c r="IH1460" s="110"/>
      <c r="II1460" s="110"/>
      <c r="IJ1460" s="110"/>
      <c r="IK1460" s="110"/>
      <c r="IL1460" s="110"/>
      <c r="IM1460" s="110"/>
      <c r="IN1460" s="110"/>
      <c r="IO1460" s="110"/>
      <c r="IP1460" s="110"/>
      <c r="IQ1460" s="110"/>
      <c r="IR1460" s="110"/>
    </row>
    <row r="1461" spans="18:252" ht="16.5" hidden="1" customHeight="1">
      <c r="R1461" s="264"/>
      <c r="S1461" s="110"/>
      <c r="T1461" s="110"/>
      <c r="U1461" s="110"/>
      <c r="V1461" s="110"/>
      <c r="W1461" s="266"/>
      <c r="X1461" s="110"/>
      <c r="Y1461" s="110"/>
      <c r="Z1461" s="110"/>
      <c r="AA1461" s="110"/>
      <c r="AB1461" s="110"/>
      <c r="AC1461" s="110"/>
      <c r="AD1461" s="110"/>
      <c r="AE1461" s="110"/>
      <c r="AF1461" s="110"/>
      <c r="AG1461" s="110"/>
      <c r="AH1461" s="110"/>
      <c r="AI1461" s="110"/>
      <c r="AJ1461" s="110"/>
      <c r="AK1461" s="110"/>
      <c r="AL1461" s="110"/>
      <c r="AM1461" s="110"/>
      <c r="AN1461" s="110"/>
      <c r="AO1461" s="110"/>
      <c r="AP1461" s="110"/>
      <c r="AQ1461" s="110"/>
      <c r="AR1461" s="110"/>
      <c r="AS1461" s="110"/>
      <c r="AT1461" s="110"/>
      <c r="AU1461" s="110"/>
      <c r="AV1461" s="110"/>
      <c r="AW1461" s="110"/>
      <c r="AX1461" s="110"/>
      <c r="AY1461" s="110"/>
      <c r="AZ1461" s="110"/>
      <c r="BA1461" s="110"/>
      <c r="BB1461" s="110"/>
      <c r="BC1461" s="110"/>
      <c r="BD1461" s="110"/>
      <c r="BE1461" s="110"/>
      <c r="BF1461" s="110"/>
      <c r="BG1461" s="110"/>
      <c r="BH1461" s="110"/>
      <c r="BI1461" s="110"/>
      <c r="BJ1461" s="110"/>
      <c r="BK1461" s="110"/>
      <c r="BL1461" s="110"/>
      <c r="BM1461" s="110"/>
      <c r="BN1461" s="110"/>
      <c r="BO1461" s="110"/>
      <c r="BP1461" s="110"/>
      <c r="BQ1461" s="110"/>
      <c r="BR1461" s="110"/>
      <c r="BS1461" s="110"/>
      <c r="BT1461" s="110"/>
      <c r="BU1461" s="110"/>
      <c r="BV1461" s="110"/>
      <c r="BW1461" s="110"/>
      <c r="BX1461" s="110"/>
      <c r="BY1461" s="110"/>
      <c r="BZ1461" s="110"/>
      <c r="CA1461" s="110"/>
      <c r="CB1461" s="110"/>
      <c r="CC1461" s="110"/>
      <c r="CD1461" s="110"/>
      <c r="CE1461" s="110"/>
      <c r="CF1461" s="110"/>
      <c r="CG1461" s="110"/>
      <c r="CH1461" s="110"/>
      <c r="CI1461" s="110"/>
      <c r="CJ1461" s="110"/>
      <c r="CK1461" s="110"/>
      <c r="CL1461" s="110"/>
      <c r="CM1461" s="110"/>
      <c r="CN1461" s="110"/>
      <c r="CO1461" s="110"/>
      <c r="CP1461" s="110"/>
      <c r="CQ1461" s="110"/>
      <c r="CR1461" s="110"/>
      <c r="CS1461" s="110"/>
      <c r="CT1461" s="110"/>
      <c r="CU1461" s="110"/>
      <c r="CV1461" s="110"/>
      <c r="CW1461" s="110"/>
      <c r="CX1461" s="110"/>
      <c r="CY1461" s="110"/>
      <c r="CZ1461" s="110"/>
      <c r="DA1461" s="110"/>
      <c r="DB1461" s="110"/>
      <c r="DC1461" s="110"/>
      <c r="DD1461" s="110"/>
      <c r="DE1461" s="110"/>
      <c r="DF1461" s="110"/>
      <c r="DG1461" s="110"/>
      <c r="DH1461" s="110"/>
      <c r="DI1461" s="110"/>
      <c r="DJ1461" s="110"/>
      <c r="DK1461" s="110"/>
      <c r="DL1461" s="110"/>
      <c r="DM1461" s="110"/>
      <c r="DN1461" s="110"/>
      <c r="DO1461" s="110"/>
      <c r="DP1461" s="110"/>
      <c r="DQ1461" s="110"/>
      <c r="DR1461" s="110"/>
      <c r="DS1461" s="110"/>
      <c r="DT1461" s="110"/>
      <c r="DU1461" s="110"/>
      <c r="DV1461" s="110"/>
      <c r="DW1461" s="110"/>
      <c r="DX1461" s="110"/>
      <c r="DY1461" s="110"/>
      <c r="DZ1461" s="110"/>
      <c r="EA1461" s="110"/>
      <c r="EB1461" s="110"/>
      <c r="EC1461" s="110"/>
      <c r="ED1461" s="110"/>
      <c r="EF1461" s="264"/>
      <c r="EG1461" s="110"/>
      <c r="EH1461" s="110"/>
      <c r="EI1461" s="110"/>
      <c r="EJ1461" s="110"/>
      <c r="EK1461" s="266"/>
      <c r="EL1461" s="110"/>
      <c r="EM1461" s="110"/>
      <c r="EN1461" s="110"/>
      <c r="EO1461" s="110"/>
      <c r="EP1461" s="110"/>
      <c r="EQ1461" s="110"/>
      <c r="ER1461" s="110"/>
      <c r="ES1461" s="110"/>
      <c r="ET1461" s="110"/>
      <c r="EU1461" s="110"/>
      <c r="EV1461" s="110"/>
      <c r="EW1461" s="110"/>
      <c r="EX1461" s="110"/>
      <c r="EY1461" s="110"/>
      <c r="EZ1461" s="110"/>
      <c r="FA1461" s="110"/>
      <c r="FB1461" s="110"/>
      <c r="FC1461" s="110"/>
      <c r="FD1461" s="110"/>
      <c r="FE1461" s="110"/>
      <c r="FF1461" s="110"/>
      <c r="FG1461" s="110"/>
      <c r="FH1461" s="110"/>
      <c r="FI1461" s="110"/>
      <c r="FJ1461" s="110"/>
      <c r="FK1461" s="110"/>
      <c r="FL1461" s="110"/>
      <c r="FM1461" s="110"/>
      <c r="FN1461" s="110"/>
      <c r="FO1461" s="110"/>
      <c r="FP1461" s="110"/>
      <c r="FQ1461" s="110"/>
      <c r="FR1461" s="110"/>
      <c r="FS1461" s="110"/>
      <c r="FT1461" s="110"/>
      <c r="FU1461" s="110"/>
      <c r="FV1461" s="110"/>
      <c r="FW1461" s="110"/>
      <c r="FX1461" s="110"/>
      <c r="FY1461" s="110"/>
      <c r="FZ1461" s="110"/>
      <c r="GA1461" s="110"/>
      <c r="GB1461" s="110"/>
      <c r="GC1461" s="110"/>
      <c r="GD1461" s="110"/>
      <c r="GE1461" s="110"/>
      <c r="GF1461" s="110"/>
      <c r="GG1461" s="110"/>
      <c r="GH1461" s="110"/>
      <c r="GI1461" s="110"/>
      <c r="GJ1461" s="110"/>
      <c r="GK1461" s="110"/>
      <c r="GL1461" s="110"/>
      <c r="GM1461" s="110"/>
      <c r="GN1461" s="110"/>
      <c r="GO1461" s="110"/>
      <c r="GP1461" s="110"/>
      <c r="GQ1461" s="110"/>
      <c r="GR1461" s="110"/>
      <c r="GS1461" s="110"/>
      <c r="GT1461" s="110"/>
      <c r="GU1461" s="110"/>
      <c r="GV1461" s="110"/>
      <c r="GW1461" s="110"/>
      <c r="GX1461" s="110"/>
      <c r="GY1461" s="110"/>
      <c r="GZ1461" s="110"/>
      <c r="HA1461" s="110"/>
      <c r="HB1461" s="110"/>
      <c r="HC1461" s="110"/>
      <c r="HD1461" s="110"/>
      <c r="HE1461" s="110"/>
      <c r="HF1461" s="110"/>
      <c r="HG1461" s="110"/>
      <c r="HH1461" s="110"/>
      <c r="HI1461" s="110"/>
      <c r="HJ1461" s="110"/>
      <c r="HK1461" s="110"/>
      <c r="HL1461" s="110"/>
      <c r="HM1461" s="110"/>
      <c r="HN1461" s="110"/>
      <c r="HO1461" s="110"/>
      <c r="HP1461" s="110"/>
      <c r="HQ1461" s="110"/>
      <c r="HR1461" s="110"/>
      <c r="HS1461" s="110"/>
      <c r="HT1461" s="110"/>
      <c r="HU1461" s="110"/>
      <c r="HV1461" s="110"/>
      <c r="HW1461" s="110"/>
      <c r="HX1461" s="110"/>
      <c r="HY1461" s="110"/>
      <c r="HZ1461" s="110"/>
      <c r="IA1461" s="110"/>
      <c r="IB1461" s="110"/>
      <c r="IC1461" s="110"/>
      <c r="ID1461" s="110"/>
      <c r="IE1461" s="110"/>
      <c r="IF1461" s="110"/>
      <c r="IG1461" s="110"/>
      <c r="IH1461" s="110"/>
      <c r="II1461" s="110"/>
      <c r="IJ1461" s="110"/>
      <c r="IK1461" s="110"/>
      <c r="IL1461" s="110"/>
      <c r="IM1461" s="110"/>
      <c r="IN1461" s="110"/>
      <c r="IO1461" s="110"/>
      <c r="IP1461" s="110"/>
      <c r="IQ1461" s="110"/>
      <c r="IR1461" s="110"/>
    </row>
    <row r="1462" spans="18:252" ht="16.5" hidden="1" customHeight="1">
      <c r="R1462" s="264"/>
      <c r="S1462" s="110"/>
      <c r="T1462" s="110"/>
      <c r="U1462" s="110"/>
      <c r="V1462" s="110"/>
      <c r="W1462" s="266"/>
      <c r="X1462" s="110"/>
      <c r="Y1462" s="110"/>
      <c r="Z1462" s="110"/>
      <c r="AA1462" s="110"/>
      <c r="AB1462" s="110"/>
      <c r="AC1462" s="110"/>
      <c r="AD1462" s="110"/>
      <c r="AE1462" s="110"/>
      <c r="AF1462" s="110"/>
      <c r="AG1462" s="110"/>
      <c r="AH1462" s="110"/>
      <c r="AI1462" s="110"/>
      <c r="AJ1462" s="110"/>
      <c r="AK1462" s="110"/>
      <c r="AL1462" s="110"/>
      <c r="AM1462" s="110"/>
      <c r="AN1462" s="110"/>
      <c r="AO1462" s="110"/>
      <c r="AP1462" s="110"/>
      <c r="AQ1462" s="110"/>
      <c r="AR1462" s="110"/>
      <c r="AS1462" s="110"/>
      <c r="AT1462" s="110"/>
      <c r="AU1462" s="110"/>
      <c r="AV1462" s="110"/>
      <c r="AW1462" s="110"/>
      <c r="AX1462" s="110"/>
      <c r="AY1462" s="110"/>
      <c r="AZ1462" s="110"/>
      <c r="BA1462" s="110"/>
      <c r="BB1462" s="110"/>
      <c r="BC1462" s="110"/>
      <c r="BD1462" s="110"/>
      <c r="BE1462" s="110"/>
      <c r="BF1462" s="110"/>
      <c r="BG1462" s="110"/>
      <c r="BH1462" s="110"/>
      <c r="BI1462" s="110"/>
      <c r="BJ1462" s="110"/>
      <c r="BK1462" s="110"/>
      <c r="BL1462" s="110"/>
      <c r="BM1462" s="110"/>
      <c r="BN1462" s="110"/>
      <c r="BO1462" s="110"/>
      <c r="BP1462" s="110"/>
      <c r="BQ1462" s="110"/>
      <c r="BR1462" s="110"/>
      <c r="BS1462" s="110"/>
      <c r="BT1462" s="110"/>
      <c r="BU1462" s="110"/>
      <c r="BV1462" s="110"/>
      <c r="BW1462" s="110"/>
      <c r="BX1462" s="110"/>
      <c r="BY1462" s="110"/>
      <c r="BZ1462" s="110"/>
      <c r="CA1462" s="110"/>
      <c r="CB1462" s="110"/>
      <c r="CC1462" s="110"/>
      <c r="CD1462" s="110"/>
      <c r="CE1462" s="110"/>
      <c r="CF1462" s="110"/>
      <c r="CG1462" s="110"/>
      <c r="CH1462" s="110"/>
      <c r="CI1462" s="110"/>
      <c r="CJ1462" s="110"/>
      <c r="CK1462" s="110"/>
      <c r="CL1462" s="110"/>
      <c r="CM1462" s="110"/>
      <c r="CN1462" s="110"/>
      <c r="CO1462" s="110"/>
      <c r="CP1462" s="110"/>
      <c r="CQ1462" s="110"/>
      <c r="CR1462" s="110"/>
      <c r="CS1462" s="110"/>
      <c r="CT1462" s="110"/>
      <c r="CU1462" s="110"/>
      <c r="CV1462" s="110"/>
      <c r="CW1462" s="110"/>
      <c r="CX1462" s="110"/>
      <c r="CY1462" s="110"/>
      <c r="CZ1462" s="110"/>
      <c r="DA1462" s="110"/>
      <c r="DB1462" s="110"/>
      <c r="DC1462" s="110"/>
      <c r="DD1462" s="110"/>
      <c r="DE1462" s="110"/>
      <c r="DF1462" s="110"/>
      <c r="DG1462" s="110"/>
      <c r="DH1462" s="110"/>
      <c r="DI1462" s="110"/>
      <c r="DJ1462" s="110"/>
      <c r="DK1462" s="110"/>
      <c r="DL1462" s="110"/>
      <c r="DM1462" s="110"/>
      <c r="DN1462" s="110"/>
      <c r="DO1462" s="110"/>
      <c r="DP1462" s="110"/>
      <c r="DQ1462" s="110"/>
      <c r="DR1462" s="110"/>
      <c r="DS1462" s="110"/>
      <c r="DT1462" s="110"/>
      <c r="DU1462" s="110"/>
      <c r="DV1462" s="110"/>
      <c r="DW1462" s="110"/>
      <c r="DX1462" s="110"/>
      <c r="DY1462" s="110"/>
      <c r="DZ1462" s="110"/>
      <c r="EA1462" s="110"/>
      <c r="EB1462" s="110"/>
      <c r="EC1462" s="110"/>
      <c r="ED1462" s="110"/>
      <c r="EF1462" s="264"/>
      <c r="EG1462" s="110"/>
      <c r="EH1462" s="110"/>
      <c r="EI1462" s="110"/>
      <c r="EJ1462" s="110"/>
      <c r="EK1462" s="266"/>
      <c r="EL1462" s="110"/>
      <c r="EM1462" s="110"/>
      <c r="EN1462" s="110"/>
      <c r="EO1462" s="110"/>
      <c r="EP1462" s="110"/>
      <c r="EQ1462" s="110"/>
      <c r="ER1462" s="110"/>
      <c r="ES1462" s="110"/>
      <c r="ET1462" s="110"/>
      <c r="EU1462" s="110"/>
      <c r="EV1462" s="110"/>
      <c r="EW1462" s="110"/>
      <c r="EX1462" s="110"/>
      <c r="EY1462" s="110"/>
      <c r="EZ1462" s="110"/>
      <c r="FA1462" s="110"/>
      <c r="FB1462" s="110"/>
      <c r="FC1462" s="110"/>
      <c r="FD1462" s="110"/>
      <c r="FE1462" s="110"/>
      <c r="FF1462" s="110"/>
      <c r="FG1462" s="110"/>
      <c r="FH1462" s="110"/>
      <c r="FI1462" s="110"/>
      <c r="FJ1462" s="110"/>
      <c r="FK1462" s="110"/>
      <c r="FL1462" s="110"/>
      <c r="FM1462" s="110"/>
      <c r="FN1462" s="110"/>
      <c r="FO1462" s="110"/>
      <c r="FP1462" s="110"/>
      <c r="FQ1462" s="110"/>
      <c r="FR1462" s="110"/>
      <c r="FS1462" s="110"/>
      <c r="FT1462" s="110"/>
      <c r="FU1462" s="110"/>
      <c r="FV1462" s="110"/>
      <c r="FW1462" s="110"/>
      <c r="FX1462" s="110"/>
      <c r="FY1462" s="110"/>
      <c r="FZ1462" s="110"/>
      <c r="GA1462" s="110"/>
      <c r="GB1462" s="110"/>
      <c r="GC1462" s="110"/>
      <c r="GD1462" s="110"/>
      <c r="GE1462" s="110"/>
      <c r="GF1462" s="110"/>
      <c r="GG1462" s="110"/>
      <c r="GH1462" s="110"/>
      <c r="GI1462" s="110"/>
      <c r="GJ1462" s="110"/>
      <c r="GK1462" s="110"/>
      <c r="GL1462" s="110"/>
      <c r="GM1462" s="110"/>
      <c r="GN1462" s="110"/>
      <c r="GO1462" s="110"/>
      <c r="GP1462" s="110"/>
      <c r="GQ1462" s="110"/>
      <c r="GR1462" s="110"/>
      <c r="GS1462" s="110"/>
      <c r="GT1462" s="110"/>
      <c r="GU1462" s="110"/>
      <c r="GV1462" s="110"/>
      <c r="GW1462" s="110"/>
      <c r="GX1462" s="110"/>
      <c r="GY1462" s="110"/>
      <c r="GZ1462" s="110"/>
      <c r="HA1462" s="110"/>
      <c r="HB1462" s="110"/>
      <c r="HC1462" s="110"/>
      <c r="HD1462" s="110"/>
      <c r="HE1462" s="110"/>
      <c r="HF1462" s="110"/>
      <c r="HG1462" s="110"/>
      <c r="HH1462" s="110"/>
      <c r="HI1462" s="110"/>
      <c r="HJ1462" s="110"/>
      <c r="HK1462" s="110"/>
      <c r="HL1462" s="110"/>
      <c r="HM1462" s="110"/>
      <c r="HN1462" s="110"/>
      <c r="HO1462" s="110"/>
      <c r="HP1462" s="110"/>
      <c r="HQ1462" s="110"/>
      <c r="HR1462" s="110"/>
      <c r="HS1462" s="110"/>
      <c r="HT1462" s="110"/>
      <c r="HU1462" s="110"/>
      <c r="HV1462" s="110"/>
      <c r="HW1462" s="110"/>
      <c r="HX1462" s="110"/>
      <c r="HY1462" s="110"/>
      <c r="HZ1462" s="110"/>
      <c r="IA1462" s="110"/>
      <c r="IB1462" s="110"/>
      <c r="IC1462" s="110"/>
      <c r="ID1462" s="110"/>
      <c r="IE1462" s="110"/>
      <c r="IF1462" s="110"/>
      <c r="IG1462" s="110"/>
      <c r="IH1462" s="110"/>
      <c r="II1462" s="110"/>
      <c r="IJ1462" s="110"/>
      <c r="IK1462" s="110"/>
      <c r="IL1462" s="110"/>
      <c r="IM1462" s="110"/>
      <c r="IN1462" s="110"/>
      <c r="IO1462" s="110"/>
      <c r="IP1462" s="110"/>
      <c r="IQ1462" s="110"/>
      <c r="IR1462" s="110"/>
    </row>
    <row r="1463" spans="18:252" ht="16.5" hidden="1" customHeight="1">
      <c r="R1463" s="264"/>
      <c r="S1463" s="110"/>
      <c r="T1463" s="110"/>
      <c r="U1463" s="110"/>
      <c r="V1463" s="110"/>
      <c r="W1463" s="266"/>
      <c r="X1463" s="110"/>
      <c r="Y1463" s="110"/>
      <c r="Z1463" s="110"/>
      <c r="AA1463" s="110"/>
      <c r="AB1463" s="110"/>
      <c r="AC1463" s="110"/>
      <c r="AD1463" s="110"/>
      <c r="AE1463" s="110"/>
      <c r="AF1463" s="110"/>
      <c r="AG1463" s="110"/>
      <c r="AH1463" s="110"/>
      <c r="AI1463" s="110"/>
      <c r="AJ1463" s="110"/>
      <c r="AK1463" s="110"/>
      <c r="AL1463" s="110"/>
      <c r="AM1463" s="110"/>
      <c r="AN1463" s="110"/>
      <c r="AO1463" s="110"/>
      <c r="AP1463" s="110"/>
      <c r="AQ1463" s="110"/>
      <c r="AR1463" s="110"/>
      <c r="AS1463" s="110"/>
      <c r="AT1463" s="110"/>
      <c r="AU1463" s="110"/>
      <c r="AV1463" s="110"/>
      <c r="AW1463" s="110"/>
      <c r="AX1463" s="110"/>
      <c r="AY1463" s="110"/>
      <c r="AZ1463" s="110"/>
      <c r="BA1463" s="110"/>
      <c r="BB1463" s="110"/>
      <c r="BC1463" s="110"/>
      <c r="BD1463" s="110"/>
      <c r="BE1463" s="110"/>
      <c r="BF1463" s="110"/>
      <c r="BG1463" s="110"/>
      <c r="BH1463" s="110"/>
      <c r="BI1463" s="110"/>
      <c r="BJ1463" s="110"/>
      <c r="BK1463" s="110"/>
      <c r="BL1463" s="110"/>
      <c r="BM1463" s="110"/>
      <c r="BN1463" s="110"/>
      <c r="BO1463" s="110"/>
      <c r="BP1463" s="110"/>
      <c r="BQ1463" s="110"/>
      <c r="BR1463" s="110"/>
      <c r="BS1463" s="110"/>
      <c r="BT1463" s="110"/>
      <c r="BU1463" s="110"/>
      <c r="BV1463" s="110"/>
      <c r="BW1463" s="110"/>
      <c r="BX1463" s="110"/>
      <c r="BY1463" s="110"/>
      <c r="BZ1463" s="110"/>
      <c r="CA1463" s="110"/>
      <c r="CB1463" s="110"/>
      <c r="CC1463" s="110"/>
      <c r="CD1463" s="110"/>
      <c r="CE1463" s="110"/>
      <c r="CF1463" s="110"/>
      <c r="CG1463" s="110"/>
      <c r="CH1463" s="110"/>
      <c r="CI1463" s="110"/>
      <c r="CJ1463" s="110"/>
      <c r="CK1463" s="110"/>
      <c r="CL1463" s="110"/>
      <c r="CM1463" s="110"/>
      <c r="CN1463" s="110"/>
      <c r="CO1463" s="110"/>
      <c r="CP1463" s="110"/>
      <c r="CQ1463" s="110"/>
      <c r="CR1463" s="110"/>
      <c r="CS1463" s="110"/>
      <c r="CT1463" s="110"/>
      <c r="CU1463" s="110"/>
      <c r="CV1463" s="110"/>
      <c r="CW1463" s="110"/>
      <c r="CX1463" s="110"/>
      <c r="CY1463" s="110"/>
      <c r="CZ1463" s="110"/>
      <c r="DA1463" s="110"/>
      <c r="DB1463" s="110"/>
      <c r="DC1463" s="110"/>
      <c r="DD1463" s="110"/>
      <c r="DE1463" s="110"/>
      <c r="DF1463" s="110"/>
      <c r="DG1463" s="110"/>
      <c r="DH1463" s="110"/>
      <c r="DI1463" s="110"/>
      <c r="DJ1463" s="110"/>
      <c r="DK1463" s="110"/>
      <c r="DL1463" s="110"/>
      <c r="DM1463" s="110"/>
      <c r="DN1463" s="110"/>
      <c r="DO1463" s="110"/>
      <c r="DP1463" s="110"/>
      <c r="DQ1463" s="110"/>
      <c r="DR1463" s="110"/>
      <c r="DS1463" s="110"/>
      <c r="DT1463" s="110"/>
      <c r="DU1463" s="110"/>
      <c r="DV1463" s="110"/>
      <c r="DW1463" s="110"/>
      <c r="DX1463" s="110"/>
      <c r="DY1463" s="110"/>
      <c r="DZ1463" s="110"/>
      <c r="EA1463" s="110"/>
      <c r="EB1463" s="110"/>
      <c r="EC1463" s="110"/>
      <c r="ED1463" s="110"/>
      <c r="EF1463" s="264"/>
      <c r="EG1463" s="110"/>
      <c r="EH1463" s="110"/>
      <c r="EI1463" s="110"/>
      <c r="EJ1463" s="110"/>
      <c r="EK1463" s="266"/>
      <c r="EL1463" s="110"/>
      <c r="EM1463" s="110"/>
      <c r="EN1463" s="110"/>
      <c r="EO1463" s="110"/>
      <c r="EP1463" s="110"/>
      <c r="EQ1463" s="110"/>
      <c r="ER1463" s="110"/>
      <c r="ES1463" s="110"/>
      <c r="ET1463" s="110"/>
      <c r="EU1463" s="110"/>
      <c r="EV1463" s="110"/>
      <c r="EW1463" s="110"/>
      <c r="EX1463" s="110"/>
      <c r="EY1463" s="110"/>
      <c r="EZ1463" s="110"/>
      <c r="FA1463" s="110"/>
      <c r="FB1463" s="110"/>
      <c r="FC1463" s="110"/>
      <c r="FD1463" s="110"/>
      <c r="FE1463" s="110"/>
      <c r="FF1463" s="110"/>
      <c r="FG1463" s="110"/>
      <c r="FH1463" s="110"/>
      <c r="FI1463" s="110"/>
      <c r="FJ1463" s="110"/>
      <c r="FK1463" s="110"/>
      <c r="FL1463" s="110"/>
      <c r="FM1463" s="110"/>
      <c r="FN1463" s="110"/>
      <c r="FO1463" s="110"/>
      <c r="FP1463" s="110"/>
      <c r="FQ1463" s="110"/>
      <c r="FR1463" s="110"/>
      <c r="FS1463" s="110"/>
      <c r="FT1463" s="110"/>
      <c r="FU1463" s="110"/>
      <c r="FV1463" s="110"/>
      <c r="FW1463" s="110"/>
      <c r="FX1463" s="110"/>
      <c r="FY1463" s="110"/>
      <c r="FZ1463" s="110"/>
      <c r="GA1463" s="110"/>
      <c r="GB1463" s="110"/>
      <c r="GC1463" s="110"/>
      <c r="GD1463" s="110"/>
      <c r="GE1463" s="110"/>
      <c r="GF1463" s="110"/>
      <c r="GG1463" s="110"/>
      <c r="GH1463" s="110"/>
      <c r="GI1463" s="110"/>
      <c r="GJ1463" s="110"/>
      <c r="GK1463" s="110"/>
      <c r="GL1463" s="110"/>
      <c r="GM1463" s="110"/>
      <c r="GN1463" s="110"/>
      <c r="GO1463" s="110"/>
      <c r="GP1463" s="110"/>
      <c r="GQ1463" s="110"/>
      <c r="GR1463" s="110"/>
      <c r="GS1463" s="110"/>
      <c r="GT1463" s="110"/>
      <c r="GU1463" s="110"/>
      <c r="GV1463" s="110"/>
      <c r="GW1463" s="110"/>
      <c r="GX1463" s="110"/>
      <c r="GY1463" s="110"/>
      <c r="GZ1463" s="110"/>
      <c r="HA1463" s="110"/>
      <c r="HB1463" s="110"/>
      <c r="HC1463" s="110"/>
      <c r="HD1463" s="110"/>
      <c r="HE1463" s="110"/>
      <c r="HF1463" s="110"/>
      <c r="HG1463" s="110"/>
      <c r="HH1463" s="110"/>
      <c r="HI1463" s="110"/>
      <c r="HJ1463" s="110"/>
      <c r="HK1463" s="110"/>
      <c r="HL1463" s="110"/>
      <c r="HM1463" s="110"/>
      <c r="HN1463" s="110"/>
      <c r="HO1463" s="110"/>
      <c r="HP1463" s="110"/>
      <c r="HQ1463" s="110"/>
      <c r="HR1463" s="110"/>
      <c r="HS1463" s="110"/>
      <c r="HT1463" s="110"/>
      <c r="HU1463" s="110"/>
      <c r="HV1463" s="110"/>
      <c r="HW1463" s="110"/>
      <c r="HX1463" s="110"/>
      <c r="HY1463" s="110"/>
      <c r="HZ1463" s="110"/>
      <c r="IA1463" s="110"/>
      <c r="IB1463" s="110"/>
      <c r="IC1463" s="110"/>
      <c r="ID1463" s="110"/>
      <c r="IE1463" s="110"/>
      <c r="IF1463" s="110"/>
      <c r="IG1463" s="110"/>
      <c r="IH1463" s="110"/>
      <c r="II1463" s="110"/>
      <c r="IJ1463" s="110"/>
      <c r="IK1463" s="110"/>
      <c r="IL1463" s="110"/>
      <c r="IM1463" s="110"/>
      <c r="IN1463" s="110"/>
      <c r="IO1463" s="110"/>
      <c r="IP1463" s="110"/>
      <c r="IQ1463" s="110"/>
      <c r="IR1463" s="110"/>
    </row>
    <row r="1464" spans="18:252" ht="16.5" hidden="1" customHeight="1">
      <c r="R1464" s="264"/>
      <c r="S1464" s="110"/>
      <c r="T1464" s="110"/>
      <c r="U1464" s="110"/>
      <c r="V1464" s="110"/>
      <c r="W1464" s="266"/>
      <c r="X1464" s="110"/>
      <c r="Y1464" s="110"/>
      <c r="Z1464" s="110"/>
      <c r="AA1464" s="110"/>
      <c r="AB1464" s="110"/>
      <c r="AC1464" s="110"/>
      <c r="AD1464" s="110"/>
      <c r="AE1464" s="110"/>
      <c r="AF1464" s="110"/>
      <c r="AG1464" s="110"/>
      <c r="AH1464" s="110"/>
      <c r="AI1464" s="110"/>
      <c r="AJ1464" s="110"/>
      <c r="AK1464" s="110"/>
      <c r="AL1464" s="110"/>
      <c r="AM1464" s="110"/>
      <c r="AN1464" s="110"/>
      <c r="AO1464" s="110"/>
      <c r="AP1464" s="110"/>
      <c r="AQ1464" s="110"/>
      <c r="AR1464" s="110"/>
      <c r="AS1464" s="110"/>
      <c r="AT1464" s="110"/>
      <c r="AU1464" s="110"/>
      <c r="AV1464" s="110"/>
      <c r="AW1464" s="110"/>
      <c r="AX1464" s="110"/>
      <c r="AY1464" s="110"/>
      <c r="AZ1464" s="110"/>
      <c r="BA1464" s="110"/>
      <c r="BB1464" s="110"/>
      <c r="BC1464" s="110"/>
      <c r="BD1464" s="110"/>
      <c r="BE1464" s="110"/>
      <c r="BF1464" s="110"/>
      <c r="BG1464" s="110"/>
      <c r="BH1464" s="110"/>
      <c r="BI1464" s="110"/>
      <c r="BJ1464" s="110"/>
      <c r="BK1464" s="110"/>
      <c r="BL1464" s="110"/>
      <c r="BM1464" s="110"/>
      <c r="BN1464" s="110"/>
      <c r="BO1464" s="110"/>
      <c r="BP1464" s="110"/>
      <c r="BQ1464" s="110"/>
      <c r="BR1464" s="110"/>
      <c r="BS1464" s="110"/>
      <c r="BT1464" s="110"/>
      <c r="BU1464" s="110"/>
      <c r="BV1464" s="110"/>
      <c r="BW1464" s="110"/>
      <c r="BX1464" s="110"/>
      <c r="BY1464" s="110"/>
      <c r="BZ1464" s="110"/>
      <c r="CA1464" s="110"/>
      <c r="CB1464" s="110"/>
      <c r="CC1464" s="110"/>
      <c r="CD1464" s="110"/>
      <c r="CE1464" s="110"/>
      <c r="CF1464" s="110"/>
      <c r="CG1464" s="110"/>
      <c r="CH1464" s="110"/>
      <c r="CI1464" s="110"/>
      <c r="CJ1464" s="110"/>
      <c r="CK1464" s="110"/>
      <c r="CL1464" s="110"/>
      <c r="CM1464" s="110"/>
      <c r="CN1464" s="110"/>
      <c r="CO1464" s="110"/>
      <c r="CP1464" s="110"/>
      <c r="CQ1464" s="110"/>
      <c r="CR1464" s="110"/>
      <c r="CS1464" s="110"/>
      <c r="CT1464" s="110"/>
      <c r="CU1464" s="110"/>
      <c r="CV1464" s="110"/>
      <c r="CW1464" s="110"/>
      <c r="CX1464" s="110"/>
      <c r="CY1464" s="110"/>
      <c r="CZ1464" s="110"/>
      <c r="DA1464" s="110"/>
      <c r="DB1464" s="110"/>
      <c r="DC1464" s="110"/>
      <c r="DD1464" s="110"/>
      <c r="DE1464" s="110"/>
      <c r="DF1464" s="110"/>
      <c r="DG1464" s="110"/>
      <c r="DH1464" s="110"/>
      <c r="DI1464" s="110"/>
      <c r="DJ1464" s="110"/>
      <c r="DK1464" s="110"/>
      <c r="DL1464" s="110"/>
      <c r="DM1464" s="110"/>
      <c r="DN1464" s="110"/>
      <c r="DO1464" s="110"/>
      <c r="DP1464" s="110"/>
      <c r="DQ1464" s="110"/>
      <c r="DR1464" s="110"/>
      <c r="DS1464" s="110"/>
      <c r="DT1464" s="110"/>
      <c r="DU1464" s="110"/>
      <c r="DV1464" s="110"/>
      <c r="DW1464" s="110"/>
      <c r="DX1464" s="110"/>
      <c r="DY1464" s="110"/>
      <c r="DZ1464" s="110"/>
      <c r="EA1464" s="110"/>
      <c r="EB1464" s="110"/>
      <c r="EC1464" s="110"/>
      <c r="ED1464" s="110"/>
      <c r="EF1464" s="264"/>
      <c r="EG1464" s="110"/>
      <c r="EH1464" s="110"/>
      <c r="EI1464" s="110"/>
      <c r="EJ1464" s="110"/>
      <c r="EK1464" s="266"/>
      <c r="EL1464" s="110"/>
      <c r="EM1464" s="110"/>
      <c r="EN1464" s="110"/>
      <c r="EO1464" s="110"/>
      <c r="EP1464" s="110"/>
      <c r="EQ1464" s="110"/>
      <c r="ER1464" s="110"/>
      <c r="ES1464" s="110"/>
      <c r="ET1464" s="110"/>
      <c r="EU1464" s="110"/>
      <c r="EV1464" s="110"/>
      <c r="EW1464" s="110"/>
      <c r="EX1464" s="110"/>
      <c r="EY1464" s="110"/>
      <c r="EZ1464" s="110"/>
      <c r="FA1464" s="110"/>
      <c r="FB1464" s="110"/>
      <c r="FC1464" s="110"/>
      <c r="FD1464" s="110"/>
      <c r="FE1464" s="110"/>
      <c r="FF1464" s="110"/>
      <c r="FG1464" s="110"/>
      <c r="FH1464" s="110"/>
      <c r="FI1464" s="110"/>
      <c r="FJ1464" s="110"/>
      <c r="FK1464" s="110"/>
      <c r="FL1464" s="110"/>
      <c r="FM1464" s="110"/>
      <c r="FN1464" s="110"/>
      <c r="FO1464" s="110"/>
      <c r="FP1464" s="110"/>
      <c r="FQ1464" s="110"/>
      <c r="FR1464" s="110"/>
      <c r="FS1464" s="110"/>
      <c r="FT1464" s="110"/>
      <c r="FU1464" s="110"/>
      <c r="FV1464" s="110"/>
      <c r="FW1464" s="110"/>
      <c r="FX1464" s="110"/>
      <c r="FY1464" s="110"/>
      <c r="FZ1464" s="110"/>
      <c r="GA1464" s="110"/>
      <c r="GB1464" s="110"/>
      <c r="GC1464" s="110"/>
      <c r="GD1464" s="110"/>
      <c r="GE1464" s="110"/>
      <c r="GF1464" s="110"/>
      <c r="GG1464" s="110"/>
      <c r="GH1464" s="110"/>
      <c r="GI1464" s="110"/>
      <c r="GJ1464" s="110"/>
      <c r="GK1464" s="110"/>
      <c r="GL1464" s="110"/>
      <c r="GM1464" s="110"/>
      <c r="GN1464" s="110"/>
      <c r="GO1464" s="110"/>
      <c r="GP1464" s="110"/>
      <c r="GQ1464" s="110"/>
      <c r="GR1464" s="110"/>
      <c r="GS1464" s="110"/>
      <c r="GT1464" s="110"/>
      <c r="GU1464" s="110"/>
      <c r="GV1464" s="110"/>
      <c r="GW1464" s="110"/>
      <c r="GX1464" s="110"/>
      <c r="GY1464" s="110"/>
      <c r="GZ1464" s="110"/>
      <c r="HA1464" s="110"/>
      <c r="HB1464" s="110"/>
      <c r="HC1464" s="110"/>
      <c r="HD1464" s="110"/>
      <c r="HE1464" s="110"/>
      <c r="HF1464" s="110"/>
      <c r="HG1464" s="110"/>
      <c r="HH1464" s="110"/>
      <c r="HI1464" s="110"/>
      <c r="HJ1464" s="110"/>
      <c r="HK1464" s="110"/>
      <c r="HL1464" s="110"/>
      <c r="HM1464" s="110"/>
      <c r="HN1464" s="110"/>
      <c r="HO1464" s="110"/>
      <c r="HP1464" s="110"/>
      <c r="HQ1464" s="110"/>
      <c r="HR1464" s="110"/>
      <c r="HS1464" s="110"/>
      <c r="HT1464" s="110"/>
      <c r="HU1464" s="110"/>
      <c r="HV1464" s="110"/>
      <c r="HW1464" s="110"/>
      <c r="HX1464" s="110"/>
      <c r="HY1464" s="110"/>
      <c r="HZ1464" s="110"/>
      <c r="IA1464" s="110"/>
      <c r="IB1464" s="110"/>
      <c r="IC1464" s="110"/>
      <c r="ID1464" s="110"/>
      <c r="IE1464" s="110"/>
      <c r="IF1464" s="110"/>
      <c r="IG1464" s="110"/>
      <c r="IH1464" s="110"/>
      <c r="II1464" s="110"/>
      <c r="IJ1464" s="110"/>
      <c r="IK1464" s="110"/>
      <c r="IL1464" s="110"/>
      <c r="IM1464" s="110"/>
      <c r="IN1464" s="110"/>
      <c r="IO1464" s="110"/>
      <c r="IP1464" s="110"/>
      <c r="IQ1464" s="110"/>
      <c r="IR1464" s="110"/>
    </row>
    <row r="1465" spans="18:252" ht="16.5" hidden="1" customHeight="1">
      <c r="R1465" s="264"/>
      <c r="S1465" s="110"/>
      <c r="T1465" s="110"/>
      <c r="U1465" s="110"/>
      <c r="V1465" s="110"/>
      <c r="W1465" s="266"/>
      <c r="X1465" s="110"/>
      <c r="Y1465" s="110"/>
      <c r="Z1465" s="110"/>
      <c r="AA1465" s="110"/>
      <c r="AB1465" s="110"/>
      <c r="AC1465" s="110"/>
      <c r="AD1465" s="110"/>
      <c r="AE1465" s="110"/>
      <c r="AF1465" s="110"/>
      <c r="AG1465" s="110"/>
      <c r="AH1465" s="110"/>
      <c r="AI1465" s="110"/>
      <c r="AJ1465" s="110"/>
      <c r="AK1465" s="110"/>
      <c r="AL1465" s="110"/>
      <c r="AM1465" s="110"/>
      <c r="AN1465" s="110"/>
      <c r="AO1465" s="110"/>
      <c r="AP1465" s="110"/>
      <c r="AQ1465" s="110"/>
      <c r="AR1465" s="110"/>
      <c r="AS1465" s="110"/>
      <c r="AT1465" s="110"/>
      <c r="AU1465" s="110"/>
      <c r="AV1465" s="110"/>
      <c r="AW1465" s="110"/>
      <c r="AX1465" s="110"/>
      <c r="AY1465" s="110"/>
      <c r="AZ1465" s="110"/>
      <c r="BA1465" s="110"/>
      <c r="BB1465" s="110"/>
      <c r="BC1465" s="110"/>
      <c r="BD1465" s="110"/>
      <c r="BE1465" s="110"/>
      <c r="BF1465" s="110"/>
      <c r="BG1465" s="110"/>
      <c r="BH1465" s="110"/>
      <c r="BI1465" s="110"/>
      <c r="BJ1465" s="110"/>
      <c r="BK1465" s="110"/>
      <c r="BL1465" s="110"/>
      <c r="BM1465" s="110"/>
      <c r="BN1465" s="110"/>
      <c r="BO1465" s="110"/>
      <c r="BP1465" s="110"/>
      <c r="BQ1465" s="110"/>
      <c r="BR1465" s="110"/>
      <c r="BS1465" s="110"/>
      <c r="BT1465" s="110"/>
      <c r="BU1465" s="110"/>
      <c r="BV1465" s="110"/>
      <c r="BW1465" s="110"/>
      <c r="BX1465" s="110"/>
      <c r="BY1465" s="110"/>
      <c r="BZ1465" s="110"/>
      <c r="CA1465" s="110"/>
      <c r="CB1465" s="110"/>
      <c r="CC1465" s="110"/>
      <c r="CD1465" s="110"/>
      <c r="CE1465" s="110"/>
      <c r="CF1465" s="110"/>
      <c r="CG1465" s="110"/>
      <c r="CH1465" s="110"/>
      <c r="CI1465" s="110"/>
      <c r="CJ1465" s="110"/>
      <c r="CK1465" s="110"/>
      <c r="CL1465" s="110"/>
      <c r="CM1465" s="110"/>
      <c r="CN1465" s="110"/>
      <c r="CO1465" s="110"/>
      <c r="CP1465" s="110"/>
      <c r="CQ1465" s="110"/>
      <c r="CR1465" s="110"/>
      <c r="CS1465" s="110"/>
      <c r="CT1465" s="110"/>
      <c r="CU1465" s="110"/>
      <c r="CV1465" s="110"/>
      <c r="CW1465" s="110"/>
      <c r="CX1465" s="110"/>
      <c r="CY1465" s="110"/>
      <c r="CZ1465" s="110"/>
      <c r="DA1465" s="110"/>
      <c r="DB1465" s="110"/>
      <c r="DC1465" s="110"/>
      <c r="DD1465" s="110"/>
      <c r="DE1465" s="110"/>
      <c r="DF1465" s="110"/>
      <c r="DG1465" s="110"/>
      <c r="DH1465" s="110"/>
      <c r="DI1465" s="110"/>
      <c r="DJ1465" s="110"/>
      <c r="DK1465" s="110"/>
      <c r="DL1465" s="110"/>
      <c r="DM1465" s="110"/>
      <c r="DN1465" s="110"/>
      <c r="DO1465" s="110"/>
      <c r="DP1465" s="110"/>
      <c r="DQ1465" s="110"/>
      <c r="DR1465" s="110"/>
      <c r="DS1465" s="110"/>
      <c r="DT1465" s="110"/>
      <c r="DU1465" s="110"/>
      <c r="DV1465" s="110"/>
      <c r="DW1465" s="110"/>
      <c r="DX1465" s="110"/>
      <c r="DY1465" s="110"/>
      <c r="DZ1465" s="110"/>
      <c r="EA1465" s="110"/>
      <c r="EB1465" s="110"/>
      <c r="EC1465" s="110"/>
      <c r="ED1465" s="110"/>
      <c r="EF1465" s="264"/>
      <c r="EG1465" s="110"/>
      <c r="EH1465" s="110"/>
      <c r="EI1465" s="110"/>
      <c r="EJ1465" s="110"/>
      <c r="EK1465" s="266"/>
      <c r="EL1465" s="110"/>
      <c r="EM1465" s="110"/>
      <c r="EN1465" s="110"/>
      <c r="EO1465" s="110"/>
      <c r="EP1465" s="110"/>
      <c r="EQ1465" s="110"/>
      <c r="ER1465" s="110"/>
      <c r="ES1465" s="110"/>
      <c r="ET1465" s="110"/>
      <c r="EU1465" s="110"/>
      <c r="EV1465" s="110"/>
      <c r="EW1465" s="110"/>
      <c r="EX1465" s="110"/>
      <c r="EY1465" s="110"/>
      <c r="EZ1465" s="110"/>
      <c r="FA1465" s="110"/>
      <c r="FB1465" s="110"/>
      <c r="FC1465" s="110"/>
      <c r="FD1465" s="110"/>
      <c r="FE1465" s="110"/>
      <c r="FF1465" s="110"/>
      <c r="FG1465" s="110"/>
      <c r="FH1465" s="110"/>
      <c r="FI1465" s="110"/>
      <c r="FJ1465" s="110"/>
      <c r="FK1465" s="110"/>
      <c r="FL1465" s="110"/>
      <c r="FM1465" s="110"/>
      <c r="FN1465" s="110"/>
      <c r="FO1465" s="110"/>
      <c r="FP1465" s="110"/>
      <c r="FQ1465" s="110"/>
      <c r="FR1465" s="110"/>
      <c r="FS1465" s="110"/>
      <c r="FT1465" s="110"/>
      <c r="FU1465" s="110"/>
      <c r="FV1465" s="110"/>
      <c r="FW1465" s="110"/>
      <c r="FX1465" s="110"/>
      <c r="FY1465" s="110"/>
      <c r="FZ1465" s="110"/>
      <c r="GA1465" s="110"/>
      <c r="GB1465" s="110"/>
      <c r="GC1465" s="110"/>
      <c r="GD1465" s="110"/>
      <c r="GE1465" s="110"/>
      <c r="GF1465" s="110"/>
      <c r="GG1465" s="110"/>
      <c r="GH1465" s="110"/>
      <c r="GI1465" s="110"/>
      <c r="GJ1465" s="110"/>
      <c r="GK1465" s="110"/>
      <c r="GL1465" s="110"/>
      <c r="GM1465" s="110"/>
      <c r="GN1465" s="110"/>
      <c r="GO1465" s="110"/>
      <c r="GP1465" s="110"/>
      <c r="GQ1465" s="110"/>
      <c r="GR1465" s="110"/>
      <c r="GS1465" s="110"/>
      <c r="GT1465" s="110"/>
      <c r="GU1465" s="110"/>
      <c r="GV1465" s="110"/>
      <c r="GW1465" s="110"/>
      <c r="GX1465" s="110"/>
      <c r="GY1465" s="110"/>
      <c r="GZ1465" s="110"/>
      <c r="HA1465" s="110"/>
      <c r="HB1465" s="110"/>
      <c r="HC1465" s="110"/>
      <c r="HD1465" s="110"/>
      <c r="HE1465" s="110"/>
      <c r="HF1465" s="110"/>
      <c r="HG1465" s="110"/>
      <c r="HH1465" s="110"/>
      <c r="HI1465" s="110"/>
      <c r="HJ1465" s="110"/>
      <c r="HK1465" s="110"/>
      <c r="HL1465" s="110"/>
      <c r="HM1465" s="110"/>
      <c r="HN1465" s="110"/>
      <c r="HO1465" s="110"/>
      <c r="HP1465" s="110"/>
      <c r="HQ1465" s="110"/>
      <c r="HR1465" s="110"/>
      <c r="HS1465" s="110"/>
      <c r="HT1465" s="110"/>
      <c r="HU1465" s="110"/>
      <c r="HV1465" s="110"/>
      <c r="HW1465" s="110"/>
      <c r="HX1465" s="110"/>
      <c r="HY1465" s="110"/>
      <c r="HZ1465" s="110"/>
      <c r="IA1465" s="110"/>
      <c r="IB1465" s="110"/>
      <c r="IC1465" s="110"/>
      <c r="ID1465" s="110"/>
      <c r="IE1465" s="110"/>
      <c r="IF1465" s="110"/>
      <c r="IG1465" s="110"/>
      <c r="IH1465" s="110"/>
      <c r="II1465" s="110"/>
      <c r="IJ1465" s="110"/>
      <c r="IK1465" s="110"/>
      <c r="IL1465" s="110"/>
      <c r="IM1465" s="110"/>
      <c r="IN1465" s="110"/>
      <c r="IO1465" s="110"/>
      <c r="IP1465" s="110"/>
      <c r="IQ1465" s="110"/>
      <c r="IR1465" s="110"/>
    </row>
    <row r="1466" spans="18:252" ht="16.5" hidden="1" customHeight="1">
      <c r="R1466" s="264"/>
      <c r="S1466" s="110"/>
      <c r="T1466" s="110"/>
      <c r="U1466" s="110"/>
      <c r="V1466" s="110"/>
      <c r="W1466" s="266"/>
      <c r="X1466" s="110"/>
      <c r="Y1466" s="110"/>
      <c r="Z1466" s="110"/>
      <c r="AA1466" s="110"/>
      <c r="AB1466" s="110"/>
      <c r="AC1466" s="110"/>
      <c r="AD1466" s="110"/>
      <c r="AE1466" s="110"/>
      <c r="AF1466" s="110"/>
      <c r="AG1466" s="110"/>
      <c r="AH1466" s="110"/>
      <c r="AI1466" s="110"/>
      <c r="AJ1466" s="110"/>
      <c r="AK1466" s="110"/>
      <c r="AL1466" s="110"/>
      <c r="AM1466" s="110"/>
      <c r="AN1466" s="110"/>
      <c r="AO1466" s="110"/>
      <c r="AP1466" s="110"/>
      <c r="AQ1466" s="110"/>
      <c r="AR1466" s="110"/>
      <c r="AS1466" s="110"/>
      <c r="AT1466" s="110"/>
      <c r="AU1466" s="110"/>
      <c r="AV1466" s="110"/>
      <c r="AW1466" s="110"/>
      <c r="AX1466" s="110"/>
      <c r="AY1466" s="110"/>
      <c r="AZ1466" s="110"/>
      <c r="BA1466" s="110"/>
      <c r="BB1466" s="110"/>
      <c r="BC1466" s="110"/>
      <c r="BD1466" s="110"/>
      <c r="BE1466" s="110"/>
      <c r="BF1466" s="110"/>
      <c r="BG1466" s="110"/>
      <c r="BH1466" s="110"/>
      <c r="BI1466" s="110"/>
      <c r="BJ1466" s="110"/>
      <c r="BK1466" s="110"/>
      <c r="BL1466" s="110"/>
      <c r="BM1466" s="110"/>
      <c r="BN1466" s="110"/>
      <c r="BO1466" s="110"/>
      <c r="BP1466" s="110"/>
      <c r="BQ1466" s="110"/>
      <c r="BR1466" s="110"/>
      <c r="BS1466" s="110"/>
      <c r="BT1466" s="110"/>
      <c r="BU1466" s="110"/>
      <c r="BV1466" s="110"/>
      <c r="BW1466" s="110"/>
      <c r="BX1466" s="110"/>
      <c r="BY1466" s="110"/>
      <c r="BZ1466" s="110"/>
      <c r="CA1466" s="110"/>
      <c r="CB1466" s="110"/>
      <c r="CC1466" s="110"/>
      <c r="CD1466" s="110"/>
      <c r="CE1466" s="110"/>
      <c r="CF1466" s="110"/>
      <c r="CG1466" s="110"/>
      <c r="CH1466" s="110"/>
      <c r="CI1466" s="110"/>
      <c r="CJ1466" s="110"/>
      <c r="CK1466" s="110"/>
      <c r="CL1466" s="110"/>
      <c r="CM1466" s="110"/>
      <c r="CN1466" s="110"/>
      <c r="CO1466" s="110"/>
      <c r="CP1466" s="110"/>
      <c r="CQ1466" s="110"/>
      <c r="CR1466" s="110"/>
      <c r="CS1466" s="110"/>
      <c r="CT1466" s="110"/>
      <c r="CU1466" s="110"/>
      <c r="CV1466" s="110"/>
      <c r="CW1466" s="110"/>
      <c r="CX1466" s="110"/>
      <c r="CY1466" s="110"/>
      <c r="CZ1466" s="110"/>
      <c r="DA1466" s="110"/>
      <c r="DB1466" s="110"/>
      <c r="DC1466" s="110"/>
      <c r="DD1466" s="110"/>
      <c r="DE1466" s="110"/>
      <c r="DF1466" s="110"/>
      <c r="DG1466" s="110"/>
      <c r="DH1466" s="110"/>
      <c r="DI1466" s="110"/>
      <c r="DJ1466" s="110"/>
      <c r="DK1466" s="110"/>
      <c r="DL1466" s="110"/>
      <c r="DM1466" s="110"/>
      <c r="DN1466" s="110"/>
      <c r="DO1466" s="110"/>
      <c r="DP1466" s="110"/>
      <c r="DQ1466" s="110"/>
      <c r="DR1466" s="110"/>
      <c r="DS1466" s="110"/>
      <c r="DT1466" s="110"/>
      <c r="DU1466" s="110"/>
      <c r="DV1466" s="110"/>
      <c r="DW1466" s="110"/>
      <c r="DX1466" s="110"/>
      <c r="DY1466" s="110"/>
      <c r="DZ1466" s="110"/>
      <c r="EA1466" s="110"/>
      <c r="EB1466" s="110"/>
      <c r="EC1466" s="110"/>
      <c r="ED1466" s="110"/>
      <c r="EF1466" s="264"/>
      <c r="EG1466" s="110"/>
      <c r="EH1466" s="110"/>
      <c r="EI1466" s="110"/>
      <c r="EJ1466" s="110"/>
      <c r="EK1466" s="266"/>
      <c r="EL1466" s="110"/>
      <c r="EM1466" s="110"/>
      <c r="EN1466" s="110"/>
      <c r="EO1466" s="110"/>
      <c r="EP1466" s="110"/>
      <c r="EQ1466" s="110"/>
      <c r="ER1466" s="110"/>
      <c r="ES1466" s="110"/>
      <c r="ET1466" s="110"/>
      <c r="EU1466" s="110"/>
      <c r="EV1466" s="110"/>
      <c r="EW1466" s="110"/>
      <c r="EX1466" s="110"/>
      <c r="EY1466" s="110"/>
      <c r="EZ1466" s="110"/>
      <c r="FA1466" s="110"/>
      <c r="FB1466" s="110"/>
      <c r="FC1466" s="110"/>
      <c r="FD1466" s="110"/>
      <c r="FE1466" s="110"/>
      <c r="FF1466" s="110"/>
      <c r="FG1466" s="110"/>
      <c r="FH1466" s="110"/>
      <c r="FI1466" s="110"/>
      <c r="FJ1466" s="110"/>
      <c r="FK1466" s="110"/>
      <c r="FL1466" s="110"/>
      <c r="FM1466" s="110"/>
      <c r="FN1466" s="110"/>
      <c r="FO1466" s="110"/>
      <c r="FP1466" s="110"/>
      <c r="FQ1466" s="110"/>
      <c r="FR1466" s="110"/>
      <c r="FS1466" s="110"/>
      <c r="FT1466" s="110"/>
      <c r="FU1466" s="110"/>
      <c r="FV1466" s="110"/>
      <c r="FW1466" s="110"/>
      <c r="FX1466" s="110"/>
      <c r="FY1466" s="110"/>
      <c r="FZ1466" s="110"/>
      <c r="GA1466" s="110"/>
      <c r="GB1466" s="110"/>
      <c r="GC1466" s="110"/>
      <c r="GD1466" s="110"/>
      <c r="GE1466" s="110"/>
      <c r="GF1466" s="110"/>
      <c r="GG1466" s="110"/>
      <c r="GH1466" s="110"/>
      <c r="GI1466" s="110"/>
      <c r="GJ1466" s="110"/>
      <c r="GK1466" s="110"/>
      <c r="GL1466" s="110"/>
      <c r="GM1466" s="110"/>
      <c r="GN1466" s="110"/>
      <c r="GO1466" s="110"/>
      <c r="GP1466" s="110"/>
      <c r="GQ1466" s="110"/>
      <c r="GR1466" s="110"/>
      <c r="GS1466" s="110"/>
      <c r="GT1466" s="110"/>
      <c r="GU1466" s="110"/>
      <c r="GV1466" s="110"/>
      <c r="GW1466" s="110"/>
      <c r="GX1466" s="110"/>
      <c r="GY1466" s="110"/>
      <c r="GZ1466" s="110"/>
      <c r="HA1466" s="110"/>
      <c r="HB1466" s="110"/>
      <c r="HC1466" s="110"/>
      <c r="HD1466" s="110"/>
      <c r="HE1466" s="110"/>
      <c r="HF1466" s="110"/>
      <c r="HG1466" s="110"/>
      <c r="HH1466" s="110"/>
      <c r="HI1466" s="110"/>
      <c r="HJ1466" s="110"/>
      <c r="HK1466" s="110"/>
      <c r="HL1466" s="110"/>
      <c r="HM1466" s="110"/>
      <c r="HN1466" s="110"/>
      <c r="HO1466" s="110"/>
      <c r="HP1466" s="110"/>
      <c r="HQ1466" s="110"/>
      <c r="HR1466" s="110"/>
      <c r="HS1466" s="110"/>
      <c r="HT1466" s="110"/>
      <c r="HU1466" s="110"/>
      <c r="HV1466" s="110"/>
      <c r="HW1466" s="110"/>
      <c r="HX1466" s="110"/>
      <c r="HY1466" s="110"/>
      <c r="HZ1466" s="110"/>
      <c r="IA1466" s="110"/>
      <c r="IB1466" s="110"/>
      <c r="IC1466" s="110"/>
      <c r="ID1466" s="110"/>
      <c r="IE1466" s="110"/>
      <c r="IF1466" s="110"/>
      <c r="IG1466" s="110"/>
      <c r="IH1466" s="110"/>
      <c r="II1466" s="110"/>
      <c r="IJ1466" s="110"/>
      <c r="IK1466" s="110"/>
      <c r="IL1466" s="110"/>
      <c r="IM1466" s="110"/>
      <c r="IN1466" s="110"/>
      <c r="IO1466" s="110"/>
      <c r="IP1466" s="110"/>
      <c r="IQ1466" s="110"/>
      <c r="IR1466" s="110"/>
    </row>
    <row r="1467" spans="18:252" ht="16.5" hidden="1" customHeight="1">
      <c r="R1467" s="264"/>
      <c r="S1467" s="110"/>
      <c r="T1467" s="110"/>
      <c r="U1467" s="110"/>
      <c r="V1467" s="110"/>
      <c r="W1467" s="266"/>
      <c r="X1467" s="110"/>
      <c r="Y1467" s="110"/>
      <c r="Z1467" s="110"/>
      <c r="AA1467" s="110"/>
      <c r="AB1467" s="110"/>
      <c r="AC1467" s="110"/>
      <c r="AD1467" s="110"/>
      <c r="AE1467" s="110"/>
      <c r="AF1467" s="110"/>
      <c r="AG1467" s="110"/>
      <c r="AH1467" s="110"/>
      <c r="AI1467" s="110"/>
      <c r="AJ1467" s="110"/>
      <c r="AK1467" s="110"/>
      <c r="AL1467" s="110"/>
      <c r="AM1467" s="110"/>
      <c r="AN1467" s="110"/>
      <c r="AO1467" s="110"/>
      <c r="AP1467" s="110"/>
      <c r="AQ1467" s="110"/>
      <c r="AR1467" s="110"/>
      <c r="AS1467" s="110"/>
      <c r="AT1467" s="110"/>
      <c r="AU1467" s="110"/>
      <c r="AV1467" s="110"/>
      <c r="AW1467" s="110"/>
      <c r="AX1467" s="110"/>
      <c r="AY1467" s="110"/>
      <c r="AZ1467" s="110"/>
      <c r="BA1467" s="110"/>
      <c r="BB1467" s="110"/>
      <c r="BC1467" s="110"/>
      <c r="BD1467" s="110"/>
      <c r="BE1467" s="110"/>
      <c r="BF1467" s="110"/>
      <c r="BG1467" s="110"/>
      <c r="BH1467" s="110"/>
      <c r="BI1467" s="110"/>
      <c r="BJ1467" s="110"/>
      <c r="BK1467" s="110"/>
      <c r="BL1467" s="110"/>
      <c r="BM1467" s="110"/>
      <c r="BN1467" s="110"/>
      <c r="BO1467" s="110"/>
      <c r="BP1467" s="110"/>
      <c r="BQ1467" s="110"/>
      <c r="BR1467" s="110"/>
      <c r="BS1467" s="110"/>
      <c r="BT1467" s="110"/>
      <c r="BU1467" s="110"/>
      <c r="BV1467" s="110"/>
      <c r="BW1467" s="110"/>
      <c r="BX1467" s="110"/>
      <c r="BY1467" s="110"/>
      <c r="BZ1467" s="110"/>
      <c r="CA1467" s="110"/>
      <c r="CB1467" s="110"/>
      <c r="CC1467" s="110"/>
      <c r="CD1467" s="110"/>
      <c r="CE1467" s="110"/>
      <c r="CF1467" s="110"/>
      <c r="CG1467" s="110"/>
      <c r="CH1467" s="110"/>
      <c r="CI1467" s="110"/>
      <c r="CJ1467" s="110"/>
      <c r="CK1467" s="110"/>
      <c r="CL1467" s="110"/>
      <c r="CM1467" s="110"/>
      <c r="CN1467" s="110"/>
      <c r="CO1467" s="110"/>
      <c r="CP1467" s="110"/>
      <c r="CQ1467" s="110"/>
      <c r="CR1467" s="110"/>
      <c r="CS1467" s="110"/>
      <c r="CT1467" s="110"/>
      <c r="CU1467" s="110"/>
      <c r="CV1467" s="110"/>
      <c r="CW1467" s="110"/>
      <c r="CX1467" s="110"/>
      <c r="CY1467" s="110"/>
      <c r="CZ1467" s="110"/>
      <c r="DA1467" s="110"/>
      <c r="DB1467" s="110"/>
      <c r="DC1467" s="110"/>
      <c r="DD1467" s="110"/>
      <c r="DE1467" s="110"/>
      <c r="DF1467" s="110"/>
      <c r="DG1467" s="110"/>
      <c r="DH1467" s="110"/>
      <c r="DI1467" s="110"/>
      <c r="DJ1467" s="110"/>
      <c r="DK1467" s="110"/>
      <c r="DL1467" s="110"/>
      <c r="DM1467" s="110"/>
      <c r="DN1467" s="110"/>
      <c r="DO1467" s="110"/>
      <c r="DP1467" s="110"/>
      <c r="DQ1467" s="110"/>
      <c r="DR1467" s="110"/>
      <c r="DS1467" s="110"/>
      <c r="DT1467" s="110"/>
      <c r="DU1467" s="110"/>
      <c r="DV1467" s="110"/>
      <c r="DW1467" s="110"/>
      <c r="DX1467" s="110"/>
      <c r="DY1467" s="110"/>
      <c r="DZ1467" s="110"/>
      <c r="EA1467" s="110"/>
      <c r="EB1467" s="110"/>
      <c r="EC1467" s="110"/>
      <c r="ED1467" s="110"/>
      <c r="EF1467" s="264"/>
      <c r="EG1467" s="110"/>
      <c r="EH1467" s="110"/>
      <c r="EI1467" s="110"/>
      <c r="EJ1467" s="110"/>
      <c r="EK1467" s="266"/>
      <c r="EL1467" s="110"/>
      <c r="EM1467" s="110"/>
      <c r="EN1467" s="110"/>
      <c r="EO1467" s="110"/>
      <c r="EP1467" s="110"/>
      <c r="EQ1467" s="110"/>
      <c r="ER1467" s="110"/>
      <c r="ES1467" s="110"/>
      <c r="ET1467" s="110"/>
      <c r="EU1467" s="110"/>
      <c r="EV1467" s="110"/>
      <c r="EW1467" s="110"/>
      <c r="EX1467" s="110"/>
      <c r="EY1467" s="110"/>
      <c r="EZ1467" s="110"/>
      <c r="FA1467" s="110"/>
      <c r="FB1467" s="110"/>
      <c r="FC1467" s="110"/>
      <c r="FD1467" s="110"/>
      <c r="FE1467" s="110"/>
      <c r="FF1467" s="110"/>
      <c r="FG1467" s="110"/>
      <c r="FH1467" s="110"/>
      <c r="FI1467" s="110"/>
      <c r="FJ1467" s="110"/>
      <c r="FK1467" s="110"/>
      <c r="FL1467" s="110"/>
      <c r="FM1467" s="110"/>
      <c r="FN1467" s="110"/>
      <c r="FO1467" s="110"/>
      <c r="FP1467" s="110"/>
      <c r="FQ1467" s="110"/>
      <c r="FR1467" s="110"/>
      <c r="FS1467" s="110"/>
      <c r="FT1467" s="110"/>
      <c r="FU1467" s="110"/>
      <c r="FV1467" s="110"/>
      <c r="FW1467" s="110"/>
      <c r="FX1467" s="110"/>
      <c r="FY1467" s="110"/>
      <c r="FZ1467" s="110"/>
      <c r="GA1467" s="110"/>
      <c r="GB1467" s="110"/>
      <c r="GC1467" s="110"/>
      <c r="GD1467" s="110"/>
      <c r="GE1467" s="110"/>
      <c r="GF1467" s="110"/>
      <c r="GG1467" s="110"/>
      <c r="GH1467" s="110"/>
      <c r="GI1467" s="110"/>
      <c r="GJ1467" s="110"/>
      <c r="GK1467" s="110"/>
      <c r="GL1467" s="110"/>
      <c r="GM1467" s="110"/>
      <c r="GN1467" s="110"/>
      <c r="GO1467" s="110"/>
      <c r="GP1467" s="110"/>
      <c r="GQ1467" s="110"/>
      <c r="GR1467" s="110"/>
      <c r="GS1467" s="110"/>
      <c r="GT1467" s="110"/>
      <c r="GU1467" s="110"/>
      <c r="GV1467" s="110"/>
      <c r="GW1467" s="110"/>
      <c r="GX1467" s="110"/>
      <c r="GY1467" s="110"/>
      <c r="GZ1467" s="110"/>
      <c r="HA1467" s="110"/>
      <c r="HB1467" s="110"/>
      <c r="HC1467" s="110"/>
      <c r="HD1467" s="110"/>
      <c r="HE1467" s="110"/>
      <c r="HF1467" s="110"/>
      <c r="HG1467" s="110"/>
      <c r="HH1467" s="110"/>
      <c r="HI1467" s="110"/>
      <c r="HJ1467" s="110"/>
      <c r="HK1467" s="110"/>
      <c r="HL1467" s="110"/>
      <c r="HM1467" s="110"/>
      <c r="HN1467" s="110"/>
      <c r="HO1467" s="110"/>
      <c r="HP1467" s="110"/>
      <c r="HQ1467" s="110"/>
      <c r="HR1467" s="110"/>
      <c r="HS1467" s="110"/>
      <c r="HT1467" s="110"/>
      <c r="HU1467" s="110"/>
      <c r="HV1467" s="110"/>
      <c r="HW1467" s="110"/>
      <c r="HX1467" s="110"/>
      <c r="HY1467" s="110"/>
      <c r="HZ1467" s="110"/>
      <c r="IA1467" s="110"/>
      <c r="IB1467" s="110"/>
      <c r="IC1467" s="110"/>
      <c r="ID1467" s="110"/>
      <c r="IE1467" s="110"/>
      <c r="IF1467" s="110"/>
      <c r="IG1467" s="110"/>
      <c r="IH1467" s="110"/>
      <c r="II1467" s="110"/>
      <c r="IJ1467" s="110"/>
      <c r="IK1467" s="110"/>
      <c r="IL1467" s="110"/>
      <c r="IM1467" s="110"/>
      <c r="IN1467" s="110"/>
      <c r="IO1467" s="110"/>
      <c r="IP1467" s="110"/>
      <c r="IQ1467" s="110"/>
      <c r="IR1467" s="110"/>
    </row>
    <row r="1468" spans="18:252" ht="16.5" hidden="1" customHeight="1">
      <c r="R1468" s="264"/>
      <c r="S1468" s="110"/>
      <c r="T1468" s="110"/>
      <c r="U1468" s="110"/>
      <c r="V1468" s="110"/>
      <c r="W1468" s="266"/>
      <c r="X1468" s="110"/>
      <c r="Y1468" s="110"/>
      <c r="Z1468" s="110"/>
      <c r="AA1468" s="110"/>
      <c r="AB1468" s="110"/>
      <c r="AC1468" s="110"/>
      <c r="AD1468" s="110"/>
      <c r="AE1468" s="110"/>
      <c r="AF1468" s="110"/>
      <c r="AG1468" s="110"/>
      <c r="AH1468" s="110"/>
      <c r="AI1468" s="110"/>
      <c r="AJ1468" s="110"/>
      <c r="AK1468" s="110"/>
      <c r="AL1468" s="110"/>
      <c r="AM1468" s="110"/>
      <c r="AN1468" s="110"/>
      <c r="AO1468" s="110"/>
      <c r="AP1468" s="110"/>
      <c r="AQ1468" s="110"/>
      <c r="AR1468" s="110"/>
      <c r="AS1468" s="110"/>
      <c r="AT1468" s="110"/>
      <c r="AU1468" s="110"/>
      <c r="AV1468" s="110"/>
      <c r="AW1468" s="110"/>
      <c r="AX1468" s="110"/>
      <c r="AY1468" s="110"/>
      <c r="AZ1468" s="110"/>
      <c r="BA1468" s="110"/>
      <c r="BB1468" s="110"/>
      <c r="BC1468" s="110"/>
      <c r="BD1468" s="110"/>
      <c r="BE1468" s="110"/>
      <c r="BF1468" s="110"/>
      <c r="BG1468" s="110"/>
      <c r="BH1468" s="110"/>
      <c r="BI1468" s="110"/>
      <c r="BJ1468" s="110"/>
      <c r="BK1468" s="110"/>
      <c r="BL1468" s="110"/>
      <c r="BM1468" s="110"/>
      <c r="BN1468" s="110"/>
      <c r="BO1468" s="110"/>
      <c r="BP1468" s="110"/>
      <c r="BQ1468" s="110"/>
      <c r="BR1468" s="110"/>
      <c r="BS1468" s="110"/>
      <c r="BT1468" s="110"/>
      <c r="BU1468" s="110"/>
      <c r="BV1468" s="110"/>
      <c r="BW1468" s="110"/>
      <c r="BX1468" s="110"/>
      <c r="BY1468" s="110"/>
      <c r="BZ1468" s="110"/>
      <c r="CA1468" s="110"/>
      <c r="CB1468" s="110"/>
      <c r="CC1468" s="110"/>
      <c r="CD1468" s="110"/>
      <c r="CE1468" s="110"/>
      <c r="CF1468" s="110"/>
      <c r="CG1468" s="110"/>
      <c r="CH1468" s="110"/>
      <c r="CI1468" s="110"/>
      <c r="CJ1468" s="110"/>
      <c r="CK1468" s="110"/>
      <c r="CL1468" s="110"/>
      <c r="CM1468" s="110"/>
      <c r="CN1468" s="110"/>
      <c r="CO1468" s="110"/>
      <c r="CP1468" s="110"/>
      <c r="CQ1468" s="110"/>
      <c r="CR1468" s="110"/>
      <c r="CS1468" s="110"/>
      <c r="CT1468" s="110"/>
      <c r="CU1468" s="110"/>
      <c r="CV1468" s="110"/>
      <c r="CW1468" s="110"/>
      <c r="CX1468" s="110"/>
      <c r="CY1468" s="110"/>
      <c r="CZ1468" s="110"/>
      <c r="DA1468" s="110"/>
      <c r="DB1468" s="110"/>
      <c r="DC1468" s="110"/>
      <c r="DD1468" s="110"/>
      <c r="DE1468" s="110"/>
      <c r="DF1468" s="110"/>
      <c r="DG1468" s="110"/>
      <c r="DH1468" s="110"/>
      <c r="DI1468" s="110"/>
      <c r="DJ1468" s="110"/>
      <c r="DK1468" s="110"/>
      <c r="DL1468" s="110"/>
      <c r="DM1468" s="110"/>
      <c r="DN1468" s="110"/>
      <c r="DO1468" s="110"/>
      <c r="DP1468" s="110"/>
      <c r="DQ1468" s="110"/>
      <c r="DR1468" s="110"/>
      <c r="DS1468" s="110"/>
      <c r="DT1468" s="110"/>
      <c r="DU1468" s="110"/>
      <c r="DV1468" s="110"/>
      <c r="DW1468" s="110"/>
      <c r="DX1468" s="110"/>
      <c r="DY1468" s="110"/>
      <c r="DZ1468" s="110"/>
      <c r="EA1468" s="110"/>
      <c r="EB1468" s="110"/>
      <c r="EC1468" s="110"/>
      <c r="ED1468" s="110"/>
      <c r="EF1468" s="264"/>
      <c r="EG1468" s="110"/>
      <c r="EH1468" s="110"/>
      <c r="EI1468" s="110"/>
      <c r="EJ1468" s="110"/>
      <c r="EK1468" s="266"/>
      <c r="EL1468" s="110"/>
      <c r="EM1468" s="110"/>
      <c r="EN1468" s="110"/>
      <c r="EO1468" s="110"/>
      <c r="EP1468" s="110"/>
      <c r="EQ1468" s="110"/>
      <c r="ER1468" s="110"/>
      <c r="ES1468" s="110"/>
      <c r="ET1468" s="110"/>
      <c r="EU1468" s="110"/>
      <c r="EV1468" s="110"/>
      <c r="EW1468" s="110"/>
      <c r="EX1468" s="110"/>
      <c r="EY1468" s="110"/>
      <c r="EZ1468" s="110"/>
      <c r="FA1468" s="110"/>
      <c r="FB1468" s="110"/>
      <c r="FC1468" s="110"/>
      <c r="FD1468" s="110"/>
      <c r="FE1468" s="110"/>
      <c r="FF1468" s="110"/>
      <c r="FG1468" s="110"/>
      <c r="FH1468" s="110"/>
      <c r="FI1468" s="110"/>
      <c r="FJ1468" s="110"/>
      <c r="FK1468" s="110"/>
      <c r="FL1468" s="110"/>
      <c r="FM1468" s="110"/>
      <c r="FN1468" s="110"/>
      <c r="FO1468" s="110"/>
      <c r="FP1468" s="110"/>
      <c r="FQ1468" s="110"/>
      <c r="FR1468" s="110"/>
      <c r="FS1468" s="110"/>
      <c r="FT1468" s="110"/>
      <c r="FU1468" s="110"/>
      <c r="FV1468" s="110"/>
      <c r="FW1468" s="110"/>
      <c r="FX1468" s="110"/>
      <c r="FY1468" s="110"/>
      <c r="FZ1468" s="110"/>
      <c r="GA1468" s="110"/>
      <c r="GB1468" s="110"/>
      <c r="GC1468" s="110"/>
      <c r="GD1468" s="110"/>
      <c r="GE1468" s="110"/>
      <c r="GF1468" s="110"/>
      <c r="GG1468" s="110"/>
      <c r="GH1468" s="110"/>
      <c r="GI1468" s="110"/>
      <c r="GJ1468" s="110"/>
      <c r="GK1468" s="110"/>
      <c r="GL1468" s="110"/>
      <c r="GM1468" s="110"/>
      <c r="GN1468" s="110"/>
      <c r="GO1468" s="110"/>
      <c r="GP1468" s="110"/>
      <c r="GQ1468" s="110"/>
      <c r="GR1468" s="110"/>
      <c r="GS1468" s="110"/>
      <c r="GT1468" s="110"/>
      <c r="GU1468" s="110"/>
      <c r="GV1468" s="110"/>
      <c r="GW1468" s="110"/>
      <c r="GX1468" s="110"/>
      <c r="GY1468" s="110"/>
      <c r="GZ1468" s="110"/>
      <c r="HA1468" s="110"/>
      <c r="HB1468" s="110"/>
      <c r="HC1468" s="110"/>
      <c r="HD1468" s="110"/>
      <c r="HE1468" s="110"/>
      <c r="HF1468" s="110"/>
      <c r="HG1468" s="110"/>
      <c r="HH1468" s="110"/>
      <c r="HI1468" s="110"/>
      <c r="HJ1468" s="110"/>
      <c r="HK1468" s="110"/>
      <c r="HL1468" s="110"/>
      <c r="HM1468" s="110"/>
      <c r="HN1468" s="110"/>
      <c r="HO1468" s="110"/>
      <c r="HP1468" s="110"/>
      <c r="HQ1468" s="110"/>
      <c r="HR1468" s="110"/>
      <c r="HS1468" s="110"/>
      <c r="HT1468" s="110"/>
      <c r="HU1468" s="110"/>
      <c r="HV1468" s="110"/>
      <c r="HW1468" s="110"/>
      <c r="HX1468" s="110"/>
      <c r="HY1468" s="110"/>
      <c r="HZ1468" s="110"/>
      <c r="IA1468" s="110"/>
      <c r="IB1468" s="110"/>
      <c r="IC1468" s="110"/>
      <c r="ID1468" s="110"/>
      <c r="IE1468" s="110"/>
      <c r="IF1468" s="110"/>
      <c r="IG1468" s="110"/>
      <c r="IH1468" s="110"/>
      <c r="II1468" s="110"/>
      <c r="IJ1468" s="110"/>
      <c r="IK1468" s="110"/>
      <c r="IL1468" s="110"/>
      <c r="IM1468" s="110"/>
      <c r="IN1468" s="110"/>
      <c r="IO1468" s="110"/>
      <c r="IP1468" s="110"/>
      <c r="IQ1468" s="110"/>
      <c r="IR1468" s="110"/>
    </row>
    <row r="1469" spans="18:252" ht="16.5" hidden="1" customHeight="1">
      <c r="R1469" s="264"/>
      <c r="S1469" s="110"/>
      <c r="T1469" s="110"/>
      <c r="U1469" s="110"/>
      <c r="V1469" s="110"/>
      <c r="W1469" s="266"/>
      <c r="X1469" s="110"/>
      <c r="Y1469" s="110"/>
      <c r="Z1469" s="110"/>
      <c r="AA1469" s="110"/>
      <c r="AB1469" s="110"/>
      <c r="AC1469" s="110"/>
      <c r="AD1469" s="110"/>
      <c r="AE1469" s="110"/>
      <c r="AF1469" s="110"/>
      <c r="AG1469" s="110"/>
      <c r="AH1469" s="110"/>
      <c r="AI1469" s="110"/>
      <c r="AJ1469" s="110"/>
      <c r="AK1469" s="110"/>
      <c r="AL1469" s="110"/>
      <c r="AM1469" s="110"/>
      <c r="AN1469" s="110"/>
      <c r="AO1469" s="110"/>
      <c r="AP1469" s="110"/>
      <c r="AQ1469" s="110"/>
      <c r="AR1469" s="110"/>
      <c r="AS1469" s="110"/>
      <c r="AT1469" s="110"/>
      <c r="AU1469" s="110"/>
      <c r="AV1469" s="110"/>
      <c r="AW1469" s="110"/>
      <c r="AX1469" s="110"/>
      <c r="AY1469" s="110"/>
      <c r="AZ1469" s="110"/>
      <c r="BA1469" s="110"/>
      <c r="BB1469" s="110"/>
      <c r="BC1469" s="110"/>
      <c r="BD1469" s="110"/>
      <c r="BE1469" s="110"/>
      <c r="BF1469" s="110"/>
      <c r="BG1469" s="110"/>
      <c r="BH1469" s="110"/>
      <c r="BI1469" s="110"/>
      <c r="BJ1469" s="110"/>
      <c r="BK1469" s="110"/>
      <c r="BL1469" s="110"/>
      <c r="BM1469" s="110"/>
      <c r="BN1469" s="110"/>
      <c r="BO1469" s="110"/>
      <c r="BP1469" s="110"/>
      <c r="BQ1469" s="110"/>
      <c r="BR1469" s="110"/>
      <c r="BS1469" s="110"/>
      <c r="BT1469" s="110"/>
      <c r="BU1469" s="110"/>
      <c r="BV1469" s="110"/>
      <c r="BW1469" s="110"/>
      <c r="BX1469" s="110"/>
      <c r="BY1469" s="110"/>
      <c r="BZ1469" s="110"/>
      <c r="CA1469" s="110"/>
      <c r="CB1469" s="110"/>
      <c r="CC1469" s="110"/>
      <c r="CD1469" s="110"/>
      <c r="CE1469" s="110"/>
      <c r="CF1469" s="110"/>
      <c r="CG1469" s="110"/>
      <c r="CH1469" s="110"/>
      <c r="CI1469" s="110"/>
      <c r="CJ1469" s="110"/>
      <c r="CK1469" s="110"/>
      <c r="CL1469" s="110"/>
      <c r="CM1469" s="110"/>
      <c r="CN1469" s="110"/>
      <c r="CO1469" s="110"/>
      <c r="CP1469" s="110"/>
      <c r="CQ1469" s="110"/>
      <c r="CR1469" s="110"/>
      <c r="CS1469" s="110"/>
      <c r="CT1469" s="110"/>
      <c r="CU1469" s="110"/>
      <c r="CV1469" s="110"/>
      <c r="CW1469" s="110"/>
      <c r="CX1469" s="110"/>
      <c r="CY1469" s="110"/>
      <c r="CZ1469" s="110"/>
      <c r="DA1469" s="110"/>
      <c r="DB1469" s="110"/>
      <c r="DC1469" s="110"/>
      <c r="DD1469" s="110"/>
      <c r="DE1469" s="110"/>
      <c r="DF1469" s="110"/>
      <c r="DG1469" s="110"/>
      <c r="DH1469" s="110"/>
      <c r="DI1469" s="110"/>
      <c r="DJ1469" s="110"/>
      <c r="DK1469" s="110"/>
      <c r="DL1469" s="110"/>
      <c r="DM1469" s="110"/>
      <c r="DN1469" s="110"/>
      <c r="DO1469" s="110"/>
      <c r="DP1469" s="110"/>
      <c r="DQ1469" s="110"/>
      <c r="DR1469" s="110"/>
      <c r="DS1469" s="110"/>
      <c r="DT1469" s="110"/>
      <c r="DU1469" s="110"/>
      <c r="DV1469" s="110"/>
      <c r="DW1469" s="110"/>
      <c r="DX1469" s="110"/>
      <c r="DY1469" s="110"/>
      <c r="DZ1469" s="110"/>
      <c r="EA1469" s="110"/>
      <c r="EB1469" s="110"/>
      <c r="EC1469" s="110"/>
      <c r="ED1469" s="110"/>
      <c r="EF1469" s="264"/>
      <c r="EG1469" s="110"/>
      <c r="EH1469" s="110"/>
      <c r="EI1469" s="110"/>
      <c r="EJ1469" s="110"/>
      <c r="EK1469" s="266"/>
      <c r="EL1469" s="110"/>
      <c r="EM1469" s="110"/>
      <c r="EN1469" s="110"/>
      <c r="EO1469" s="110"/>
      <c r="EP1469" s="110"/>
      <c r="EQ1469" s="110"/>
      <c r="ER1469" s="110"/>
      <c r="ES1469" s="110"/>
      <c r="ET1469" s="110"/>
      <c r="EU1469" s="110"/>
      <c r="EV1469" s="110"/>
      <c r="EW1469" s="110"/>
      <c r="EX1469" s="110"/>
      <c r="EY1469" s="110"/>
      <c r="EZ1469" s="110"/>
      <c r="FA1469" s="110"/>
      <c r="FB1469" s="110"/>
      <c r="FC1469" s="110"/>
      <c r="FD1469" s="110"/>
      <c r="FE1469" s="110"/>
      <c r="FF1469" s="110"/>
      <c r="FG1469" s="110"/>
      <c r="FH1469" s="110"/>
      <c r="FI1469" s="110"/>
      <c r="FJ1469" s="110"/>
      <c r="FK1469" s="110"/>
      <c r="FL1469" s="110"/>
      <c r="FM1469" s="110"/>
      <c r="FN1469" s="110"/>
      <c r="FO1469" s="110"/>
      <c r="FP1469" s="110"/>
      <c r="FQ1469" s="110"/>
      <c r="FR1469" s="110"/>
      <c r="FS1469" s="110"/>
      <c r="FT1469" s="110"/>
      <c r="FU1469" s="110"/>
      <c r="FV1469" s="110"/>
      <c r="FW1469" s="110"/>
      <c r="FX1469" s="110"/>
      <c r="FY1469" s="110"/>
      <c r="FZ1469" s="110"/>
      <c r="GA1469" s="110"/>
      <c r="GB1469" s="110"/>
      <c r="GC1469" s="110"/>
      <c r="GD1469" s="110"/>
      <c r="GE1469" s="110"/>
      <c r="GF1469" s="110"/>
      <c r="GG1469" s="110"/>
      <c r="GH1469" s="110"/>
      <c r="GI1469" s="110"/>
      <c r="GJ1469" s="110"/>
      <c r="GK1469" s="110"/>
      <c r="GL1469" s="110"/>
      <c r="GM1469" s="110"/>
      <c r="GN1469" s="110"/>
      <c r="GO1469" s="110"/>
      <c r="GP1469" s="110"/>
      <c r="GQ1469" s="110"/>
      <c r="GR1469" s="110"/>
      <c r="GS1469" s="110"/>
      <c r="GT1469" s="110"/>
      <c r="GU1469" s="110"/>
      <c r="GV1469" s="110"/>
      <c r="GW1469" s="110"/>
      <c r="GX1469" s="110"/>
      <c r="GY1469" s="110"/>
      <c r="GZ1469" s="110"/>
      <c r="HA1469" s="110"/>
      <c r="HB1469" s="110"/>
      <c r="HC1469" s="110"/>
      <c r="HD1469" s="110"/>
      <c r="HE1469" s="110"/>
      <c r="HF1469" s="110"/>
      <c r="HG1469" s="110"/>
      <c r="HH1469" s="110"/>
      <c r="HI1469" s="110"/>
      <c r="HJ1469" s="110"/>
      <c r="HK1469" s="110"/>
      <c r="HL1469" s="110"/>
      <c r="HM1469" s="110"/>
      <c r="HN1469" s="110"/>
      <c r="HO1469" s="110"/>
      <c r="HP1469" s="110"/>
      <c r="HQ1469" s="110"/>
      <c r="HR1469" s="110"/>
      <c r="HS1469" s="110"/>
      <c r="HT1469" s="110"/>
      <c r="HU1469" s="110"/>
      <c r="HV1469" s="110"/>
      <c r="HW1469" s="110"/>
      <c r="HX1469" s="110"/>
      <c r="HY1469" s="110"/>
      <c r="HZ1469" s="110"/>
      <c r="IA1469" s="110"/>
      <c r="IB1469" s="110"/>
      <c r="IC1469" s="110"/>
      <c r="ID1469" s="110"/>
      <c r="IE1469" s="110"/>
      <c r="IF1469" s="110"/>
      <c r="IG1469" s="110"/>
      <c r="IH1469" s="110"/>
      <c r="II1469" s="110"/>
      <c r="IJ1469" s="110"/>
      <c r="IK1469" s="110"/>
      <c r="IL1469" s="110"/>
      <c r="IM1469" s="110"/>
      <c r="IN1469" s="110"/>
      <c r="IO1469" s="110"/>
      <c r="IP1469" s="110"/>
      <c r="IQ1469" s="110"/>
      <c r="IR1469" s="110"/>
    </row>
    <row r="1470" spans="18:252" ht="16.5" hidden="1" customHeight="1">
      <c r="R1470" s="264"/>
      <c r="S1470" s="110"/>
      <c r="T1470" s="110"/>
      <c r="U1470" s="110"/>
      <c r="V1470" s="110"/>
      <c r="W1470" s="266"/>
      <c r="X1470" s="110"/>
      <c r="Y1470" s="110"/>
      <c r="Z1470" s="110"/>
      <c r="AA1470" s="110"/>
      <c r="AB1470" s="110"/>
      <c r="AC1470" s="110"/>
      <c r="AD1470" s="110"/>
      <c r="AE1470" s="110"/>
      <c r="AF1470" s="110"/>
      <c r="AG1470" s="110"/>
      <c r="AH1470" s="110"/>
      <c r="AI1470" s="110"/>
      <c r="AJ1470" s="110"/>
      <c r="AK1470" s="110"/>
      <c r="AL1470" s="110"/>
      <c r="AM1470" s="110"/>
      <c r="AN1470" s="110"/>
      <c r="AO1470" s="110"/>
      <c r="AP1470" s="110"/>
      <c r="AQ1470" s="110"/>
      <c r="AR1470" s="110"/>
      <c r="AS1470" s="110"/>
      <c r="AT1470" s="110"/>
      <c r="AU1470" s="110"/>
      <c r="AV1470" s="110"/>
      <c r="AW1470" s="110"/>
      <c r="AX1470" s="110"/>
      <c r="AY1470" s="110"/>
      <c r="AZ1470" s="110"/>
      <c r="BA1470" s="110"/>
      <c r="BB1470" s="110"/>
      <c r="BC1470" s="110"/>
      <c r="BD1470" s="110"/>
      <c r="BE1470" s="110"/>
      <c r="BF1470" s="110"/>
      <c r="BG1470" s="110"/>
      <c r="BH1470" s="110"/>
      <c r="BI1470" s="110"/>
      <c r="BJ1470" s="110"/>
      <c r="BK1470" s="110"/>
      <c r="BL1470" s="110"/>
      <c r="BM1470" s="110"/>
      <c r="BN1470" s="110"/>
      <c r="BO1470" s="110"/>
      <c r="BP1470" s="110"/>
      <c r="BQ1470" s="110"/>
      <c r="BR1470" s="110"/>
      <c r="BS1470" s="110"/>
      <c r="BT1470" s="110"/>
      <c r="BU1470" s="110"/>
      <c r="BV1470" s="110"/>
      <c r="BW1470" s="110"/>
      <c r="BX1470" s="110"/>
      <c r="BY1470" s="110"/>
      <c r="BZ1470" s="110"/>
      <c r="CA1470" s="110"/>
      <c r="CB1470" s="110"/>
      <c r="CC1470" s="110"/>
      <c r="CD1470" s="110"/>
      <c r="CE1470" s="110"/>
      <c r="CF1470" s="110"/>
      <c r="CG1470" s="110"/>
      <c r="CH1470" s="110"/>
      <c r="CI1470" s="110"/>
      <c r="CJ1470" s="110"/>
      <c r="CK1470" s="110"/>
      <c r="CL1470" s="110"/>
      <c r="CM1470" s="110"/>
      <c r="CN1470" s="110"/>
      <c r="CO1470" s="110"/>
      <c r="CP1470" s="110"/>
      <c r="CQ1470" s="110"/>
      <c r="CR1470" s="110"/>
      <c r="CS1470" s="110"/>
      <c r="CT1470" s="110"/>
      <c r="CU1470" s="110"/>
      <c r="CV1470" s="110"/>
      <c r="CW1470" s="110"/>
      <c r="CX1470" s="110"/>
      <c r="CY1470" s="110"/>
      <c r="CZ1470" s="110"/>
      <c r="DA1470" s="110"/>
      <c r="DB1470" s="110"/>
      <c r="DC1470" s="110"/>
      <c r="DD1470" s="110"/>
      <c r="DE1470" s="110"/>
      <c r="DF1470" s="110"/>
      <c r="DG1470" s="110"/>
      <c r="DH1470" s="110"/>
      <c r="DI1470" s="110"/>
      <c r="DJ1470" s="110"/>
      <c r="DK1470" s="110"/>
      <c r="DL1470" s="110"/>
      <c r="DM1470" s="110"/>
      <c r="DN1470" s="110"/>
      <c r="DO1470" s="110"/>
      <c r="DP1470" s="110"/>
      <c r="DQ1470" s="110"/>
      <c r="DR1470" s="110"/>
      <c r="DS1470" s="110"/>
      <c r="DT1470" s="110"/>
      <c r="DU1470" s="110"/>
      <c r="DV1470" s="110"/>
      <c r="DW1470" s="110"/>
      <c r="DX1470" s="110"/>
      <c r="DY1470" s="110"/>
      <c r="DZ1470" s="110"/>
      <c r="EA1470" s="110"/>
      <c r="EB1470" s="110"/>
      <c r="EC1470" s="110"/>
      <c r="ED1470" s="110"/>
      <c r="EF1470" s="264"/>
      <c r="EG1470" s="110"/>
      <c r="EH1470" s="110"/>
      <c r="EI1470" s="110"/>
      <c r="EJ1470" s="110"/>
      <c r="EK1470" s="266"/>
      <c r="EL1470" s="110"/>
      <c r="EM1470" s="110"/>
      <c r="EN1470" s="110"/>
      <c r="EO1470" s="110"/>
      <c r="EP1470" s="110"/>
      <c r="EQ1470" s="110"/>
      <c r="ER1470" s="110"/>
      <c r="ES1470" s="110"/>
      <c r="ET1470" s="110"/>
      <c r="EU1470" s="110"/>
      <c r="EV1470" s="110"/>
      <c r="EW1470" s="110"/>
      <c r="EX1470" s="110"/>
      <c r="EY1470" s="110"/>
      <c r="EZ1470" s="110"/>
      <c r="FA1470" s="110"/>
      <c r="FB1470" s="110"/>
      <c r="FC1470" s="110"/>
      <c r="FD1470" s="110"/>
      <c r="FE1470" s="110"/>
      <c r="FF1470" s="110"/>
      <c r="FG1470" s="110"/>
      <c r="FH1470" s="110"/>
      <c r="FI1470" s="110"/>
      <c r="FJ1470" s="110"/>
      <c r="FK1470" s="110"/>
      <c r="FL1470" s="110"/>
      <c r="FM1470" s="110"/>
      <c r="FN1470" s="110"/>
      <c r="FO1470" s="110"/>
      <c r="FP1470" s="110"/>
      <c r="FQ1470" s="110"/>
      <c r="FR1470" s="110"/>
      <c r="FS1470" s="110"/>
      <c r="FT1470" s="110"/>
      <c r="FU1470" s="110"/>
      <c r="FV1470" s="110"/>
      <c r="FW1470" s="110"/>
      <c r="FX1470" s="110"/>
      <c r="FY1470" s="110"/>
      <c r="FZ1470" s="110"/>
      <c r="GA1470" s="110"/>
      <c r="GB1470" s="110"/>
      <c r="GC1470" s="110"/>
      <c r="GD1470" s="110"/>
      <c r="GE1470" s="110"/>
      <c r="GF1470" s="110"/>
      <c r="GG1470" s="110"/>
      <c r="GH1470" s="110"/>
      <c r="GI1470" s="110"/>
      <c r="GJ1470" s="110"/>
      <c r="GK1470" s="110"/>
      <c r="GL1470" s="110"/>
      <c r="GM1470" s="110"/>
      <c r="GN1470" s="110"/>
      <c r="GO1470" s="110"/>
      <c r="GP1470" s="110"/>
      <c r="GQ1470" s="110"/>
      <c r="GR1470" s="110"/>
      <c r="GS1470" s="110"/>
      <c r="GT1470" s="110"/>
      <c r="GU1470" s="110"/>
      <c r="GV1470" s="110"/>
      <c r="GW1470" s="110"/>
      <c r="GX1470" s="110"/>
      <c r="GY1470" s="110"/>
      <c r="GZ1470" s="110"/>
      <c r="HA1470" s="110"/>
      <c r="HB1470" s="110"/>
      <c r="HC1470" s="110"/>
      <c r="HD1470" s="110"/>
      <c r="HE1470" s="110"/>
      <c r="HF1470" s="110"/>
      <c r="HG1470" s="110"/>
      <c r="HH1470" s="110"/>
      <c r="HI1470" s="110"/>
      <c r="HJ1470" s="110"/>
      <c r="HK1470" s="110"/>
      <c r="HL1470" s="110"/>
      <c r="HM1470" s="110"/>
      <c r="HN1470" s="110"/>
      <c r="HO1470" s="110"/>
      <c r="HP1470" s="110"/>
      <c r="HQ1470" s="110"/>
      <c r="HR1470" s="110"/>
      <c r="HS1470" s="110"/>
      <c r="HT1470" s="110"/>
      <c r="HU1470" s="110"/>
      <c r="HV1470" s="110"/>
      <c r="HW1470" s="110"/>
      <c r="HX1470" s="110"/>
      <c r="HY1470" s="110"/>
      <c r="HZ1470" s="110"/>
      <c r="IA1470" s="110"/>
      <c r="IB1470" s="110"/>
      <c r="IC1470" s="110"/>
      <c r="ID1470" s="110"/>
      <c r="IE1470" s="110"/>
      <c r="IF1470" s="110"/>
      <c r="IG1470" s="110"/>
      <c r="IH1470" s="110"/>
      <c r="II1470" s="110"/>
      <c r="IJ1470" s="110"/>
      <c r="IK1470" s="110"/>
      <c r="IL1470" s="110"/>
      <c r="IM1470" s="110"/>
      <c r="IN1470" s="110"/>
      <c r="IO1470" s="110"/>
      <c r="IP1470" s="110"/>
      <c r="IQ1470" s="110"/>
      <c r="IR1470" s="110"/>
    </row>
    <row r="1471" spans="18:252" ht="16.5" hidden="1" customHeight="1">
      <c r="R1471" s="264"/>
      <c r="S1471" s="110"/>
      <c r="T1471" s="110"/>
      <c r="U1471" s="110"/>
      <c r="V1471" s="110"/>
      <c r="W1471" s="266"/>
      <c r="X1471" s="110"/>
      <c r="Y1471" s="110"/>
      <c r="Z1471" s="110"/>
      <c r="AA1471" s="110"/>
      <c r="AB1471" s="110"/>
      <c r="AC1471" s="110"/>
      <c r="AD1471" s="110"/>
      <c r="AE1471" s="110"/>
      <c r="AF1471" s="110"/>
      <c r="AG1471" s="110"/>
      <c r="AH1471" s="110"/>
      <c r="AI1471" s="110"/>
      <c r="AJ1471" s="110"/>
      <c r="AK1471" s="110"/>
      <c r="AL1471" s="110"/>
      <c r="AM1471" s="110"/>
      <c r="AN1471" s="110"/>
      <c r="AO1471" s="110"/>
      <c r="AP1471" s="110"/>
      <c r="AQ1471" s="110"/>
      <c r="AR1471" s="110"/>
      <c r="AS1471" s="110"/>
      <c r="AT1471" s="110"/>
      <c r="AU1471" s="110"/>
      <c r="AV1471" s="110"/>
      <c r="AW1471" s="110"/>
      <c r="AX1471" s="110"/>
      <c r="AY1471" s="110"/>
      <c r="AZ1471" s="110"/>
      <c r="BA1471" s="110"/>
      <c r="BB1471" s="110"/>
      <c r="BC1471" s="110"/>
      <c r="BD1471" s="110"/>
      <c r="BE1471" s="110"/>
      <c r="BF1471" s="110"/>
      <c r="BG1471" s="110"/>
      <c r="BH1471" s="110"/>
      <c r="BI1471" s="110"/>
      <c r="BJ1471" s="110"/>
      <c r="BK1471" s="110"/>
      <c r="BL1471" s="110"/>
      <c r="BM1471" s="110"/>
      <c r="BN1471" s="110"/>
      <c r="BO1471" s="110"/>
      <c r="BP1471" s="110"/>
      <c r="BQ1471" s="110"/>
      <c r="BR1471" s="110"/>
      <c r="BS1471" s="110"/>
      <c r="BT1471" s="110"/>
      <c r="BU1471" s="110"/>
      <c r="BV1471" s="110"/>
      <c r="BW1471" s="110"/>
      <c r="BX1471" s="110"/>
      <c r="BY1471" s="110"/>
      <c r="BZ1471" s="110"/>
      <c r="CA1471" s="110"/>
      <c r="CB1471" s="110"/>
      <c r="CC1471" s="110"/>
      <c r="CD1471" s="110"/>
      <c r="CE1471" s="110"/>
      <c r="CF1471" s="110"/>
      <c r="CG1471" s="110"/>
      <c r="CH1471" s="110"/>
      <c r="CI1471" s="110"/>
      <c r="CJ1471" s="110"/>
      <c r="CK1471" s="110"/>
      <c r="CL1471" s="110"/>
      <c r="CM1471" s="110"/>
      <c r="CN1471" s="110"/>
      <c r="CO1471" s="110"/>
      <c r="CP1471" s="110"/>
      <c r="CQ1471" s="110"/>
      <c r="CR1471" s="110"/>
      <c r="CS1471" s="110"/>
      <c r="CT1471" s="110"/>
      <c r="CU1471" s="110"/>
      <c r="CV1471" s="110"/>
      <c r="CW1471" s="110"/>
      <c r="CX1471" s="110"/>
      <c r="CY1471" s="110"/>
      <c r="CZ1471" s="110"/>
      <c r="DA1471" s="110"/>
      <c r="DB1471" s="110"/>
      <c r="DC1471" s="110"/>
      <c r="DD1471" s="110"/>
      <c r="DE1471" s="110"/>
      <c r="DF1471" s="110"/>
      <c r="DG1471" s="110"/>
      <c r="DH1471" s="110"/>
      <c r="DI1471" s="110"/>
      <c r="DJ1471" s="110"/>
      <c r="DK1471" s="110"/>
      <c r="DL1471" s="110"/>
      <c r="DM1471" s="110"/>
      <c r="DN1471" s="110"/>
      <c r="DO1471" s="110"/>
      <c r="DP1471" s="110"/>
      <c r="DQ1471" s="110"/>
      <c r="DR1471" s="110"/>
      <c r="DS1471" s="110"/>
      <c r="DT1471" s="110"/>
      <c r="DU1471" s="110"/>
      <c r="DV1471" s="110"/>
      <c r="DW1471" s="110"/>
      <c r="DX1471" s="110"/>
      <c r="DY1471" s="110"/>
      <c r="DZ1471" s="110"/>
      <c r="EA1471" s="110"/>
      <c r="EB1471" s="110"/>
      <c r="EC1471" s="110"/>
      <c r="ED1471" s="110"/>
      <c r="EF1471" s="264"/>
      <c r="EG1471" s="110"/>
      <c r="EH1471" s="110"/>
      <c r="EI1471" s="110"/>
      <c r="EJ1471" s="110"/>
      <c r="EK1471" s="266"/>
      <c r="EL1471" s="110"/>
      <c r="EM1471" s="110"/>
      <c r="EN1471" s="110"/>
      <c r="EO1471" s="110"/>
      <c r="EP1471" s="110"/>
      <c r="EQ1471" s="110"/>
      <c r="ER1471" s="110"/>
      <c r="ES1471" s="110"/>
      <c r="ET1471" s="110"/>
      <c r="EU1471" s="110"/>
      <c r="EV1471" s="110"/>
      <c r="EW1471" s="110"/>
      <c r="EX1471" s="110"/>
      <c r="EY1471" s="110"/>
      <c r="EZ1471" s="110"/>
      <c r="FA1471" s="110"/>
      <c r="FB1471" s="110"/>
      <c r="FC1471" s="110"/>
      <c r="FD1471" s="110"/>
      <c r="FE1471" s="110"/>
      <c r="FF1471" s="110"/>
      <c r="FG1471" s="110"/>
      <c r="FH1471" s="110"/>
      <c r="FI1471" s="110"/>
      <c r="FJ1471" s="110"/>
      <c r="FK1471" s="110"/>
      <c r="FL1471" s="110"/>
      <c r="FM1471" s="110"/>
      <c r="FN1471" s="110"/>
      <c r="FO1471" s="110"/>
      <c r="FP1471" s="110"/>
      <c r="FQ1471" s="110"/>
      <c r="FR1471" s="110"/>
      <c r="FS1471" s="110"/>
      <c r="FT1471" s="110"/>
      <c r="FU1471" s="110"/>
      <c r="FV1471" s="110"/>
      <c r="FW1471" s="110"/>
      <c r="FX1471" s="110"/>
      <c r="FY1471" s="110"/>
      <c r="FZ1471" s="110"/>
      <c r="GA1471" s="110"/>
      <c r="GB1471" s="110"/>
      <c r="GC1471" s="110"/>
      <c r="GD1471" s="110"/>
      <c r="GE1471" s="110"/>
      <c r="GF1471" s="110"/>
      <c r="GG1471" s="110"/>
      <c r="GH1471" s="110"/>
      <c r="GI1471" s="110"/>
      <c r="GJ1471" s="110"/>
      <c r="GK1471" s="110"/>
      <c r="GL1471" s="110"/>
      <c r="GM1471" s="110"/>
      <c r="GN1471" s="110"/>
      <c r="GO1471" s="110"/>
      <c r="GP1471" s="110"/>
      <c r="GQ1471" s="110"/>
      <c r="GR1471" s="110"/>
      <c r="GS1471" s="110"/>
      <c r="GT1471" s="110"/>
      <c r="GU1471" s="110"/>
      <c r="GV1471" s="110"/>
      <c r="GW1471" s="110"/>
      <c r="GX1471" s="110"/>
      <c r="GY1471" s="110"/>
      <c r="GZ1471" s="110"/>
      <c r="HA1471" s="110"/>
      <c r="HB1471" s="110"/>
      <c r="HC1471" s="110"/>
      <c r="HD1471" s="110"/>
      <c r="HE1471" s="110"/>
      <c r="HF1471" s="110"/>
      <c r="HG1471" s="110"/>
      <c r="HH1471" s="110"/>
      <c r="HI1471" s="110"/>
      <c r="HJ1471" s="110"/>
      <c r="HK1471" s="110"/>
      <c r="HL1471" s="110"/>
      <c r="HM1471" s="110"/>
      <c r="HN1471" s="110"/>
      <c r="HO1471" s="110"/>
      <c r="HP1471" s="110"/>
      <c r="HQ1471" s="110"/>
      <c r="HR1471" s="110"/>
      <c r="HS1471" s="110"/>
      <c r="HT1471" s="110"/>
      <c r="HU1471" s="110"/>
      <c r="HV1471" s="110"/>
      <c r="HW1471" s="110"/>
      <c r="HX1471" s="110"/>
      <c r="HY1471" s="110"/>
      <c r="HZ1471" s="110"/>
      <c r="IA1471" s="110"/>
      <c r="IB1471" s="110"/>
      <c r="IC1471" s="110"/>
      <c r="ID1471" s="110"/>
      <c r="IE1471" s="110"/>
      <c r="IF1471" s="110"/>
      <c r="IG1471" s="110"/>
      <c r="IH1471" s="110"/>
      <c r="II1471" s="110"/>
      <c r="IJ1471" s="110"/>
      <c r="IK1471" s="110"/>
      <c r="IL1471" s="110"/>
      <c r="IM1471" s="110"/>
      <c r="IN1471" s="110"/>
      <c r="IO1471" s="110"/>
      <c r="IP1471" s="110"/>
      <c r="IQ1471" s="110"/>
      <c r="IR1471" s="110"/>
    </row>
    <row r="1472" spans="18:252" ht="16.5" hidden="1" customHeight="1">
      <c r="R1472" s="264"/>
      <c r="S1472" s="110"/>
      <c r="T1472" s="110"/>
      <c r="U1472" s="110"/>
      <c r="V1472" s="110"/>
      <c r="W1472" s="266"/>
      <c r="X1472" s="110"/>
      <c r="Y1472" s="110"/>
      <c r="Z1472" s="110"/>
      <c r="AA1472" s="110"/>
      <c r="AB1472" s="110"/>
      <c r="AC1472" s="110"/>
      <c r="AD1472" s="110"/>
      <c r="AE1472" s="110"/>
      <c r="AF1472" s="110"/>
      <c r="AG1472" s="110"/>
      <c r="AH1472" s="110"/>
      <c r="AI1472" s="110"/>
      <c r="AJ1472" s="110"/>
      <c r="AK1472" s="110"/>
      <c r="AL1472" s="110"/>
      <c r="AM1472" s="110"/>
      <c r="AN1472" s="110"/>
      <c r="AO1472" s="110"/>
      <c r="AP1472" s="110"/>
      <c r="AQ1472" s="110"/>
      <c r="AR1472" s="110"/>
      <c r="AS1472" s="110"/>
      <c r="AT1472" s="110"/>
      <c r="AU1472" s="110"/>
      <c r="AV1472" s="110"/>
      <c r="AW1472" s="110"/>
      <c r="AX1472" s="110"/>
      <c r="AY1472" s="110"/>
      <c r="AZ1472" s="110"/>
      <c r="BA1472" s="110"/>
      <c r="BB1472" s="110"/>
      <c r="BC1472" s="110"/>
      <c r="BD1472" s="110"/>
      <c r="BE1472" s="110"/>
      <c r="BF1472" s="110"/>
      <c r="BG1472" s="110"/>
      <c r="BH1472" s="110"/>
      <c r="BI1472" s="110"/>
      <c r="BJ1472" s="110"/>
      <c r="BK1472" s="110"/>
      <c r="BL1472" s="110"/>
      <c r="BM1472" s="110"/>
      <c r="BN1472" s="110"/>
      <c r="BO1472" s="110"/>
      <c r="BP1472" s="110"/>
      <c r="BQ1472" s="110"/>
      <c r="BR1472" s="110"/>
      <c r="BS1472" s="110"/>
      <c r="BT1472" s="110"/>
      <c r="BU1472" s="110"/>
      <c r="BV1472" s="110"/>
      <c r="BW1472" s="110"/>
      <c r="BX1472" s="110"/>
      <c r="BY1472" s="110"/>
      <c r="BZ1472" s="110"/>
      <c r="CA1472" s="110"/>
      <c r="CB1472" s="110"/>
      <c r="CC1472" s="110"/>
      <c r="CD1472" s="110"/>
      <c r="CE1472" s="110"/>
      <c r="CF1472" s="110"/>
      <c r="CG1472" s="110"/>
      <c r="CH1472" s="110"/>
      <c r="CI1472" s="110"/>
      <c r="CJ1472" s="110"/>
      <c r="CK1472" s="110"/>
      <c r="CL1472" s="110"/>
      <c r="CM1472" s="110"/>
      <c r="CN1472" s="110"/>
      <c r="CO1472" s="110"/>
      <c r="CP1472" s="110"/>
      <c r="CQ1472" s="110"/>
      <c r="CR1472" s="110"/>
      <c r="CS1472" s="110"/>
      <c r="CT1472" s="110"/>
      <c r="CU1472" s="110"/>
      <c r="CV1472" s="110"/>
      <c r="CW1472" s="110"/>
      <c r="CX1472" s="110"/>
      <c r="CY1472" s="110"/>
      <c r="CZ1472" s="110"/>
      <c r="DA1472" s="110"/>
      <c r="DB1472" s="110"/>
      <c r="DC1472" s="110"/>
      <c r="DD1472" s="110"/>
      <c r="DE1472" s="110"/>
      <c r="DF1472" s="110"/>
      <c r="DG1472" s="110"/>
      <c r="DH1472" s="110"/>
      <c r="DI1472" s="110"/>
      <c r="DJ1472" s="110"/>
      <c r="DK1472" s="110"/>
      <c r="DL1472" s="110"/>
      <c r="DM1472" s="110"/>
      <c r="DN1472" s="110"/>
      <c r="DO1472" s="110"/>
      <c r="DP1472" s="110"/>
      <c r="DQ1472" s="110"/>
      <c r="DR1472" s="110"/>
      <c r="DS1472" s="110"/>
      <c r="DT1472" s="110"/>
      <c r="DU1472" s="110"/>
      <c r="DV1472" s="110"/>
      <c r="DW1472" s="110"/>
      <c r="DX1472" s="110"/>
      <c r="DY1472" s="110"/>
      <c r="DZ1472" s="110"/>
      <c r="EA1472" s="110"/>
      <c r="EB1472" s="110"/>
      <c r="EC1472" s="110"/>
      <c r="ED1472" s="110"/>
      <c r="EF1472" s="264"/>
      <c r="EG1472" s="110"/>
      <c r="EH1472" s="110"/>
      <c r="EI1472" s="110"/>
      <c r="EJ1472" s="110"/>
      <c r="EK1472" s="266"/>
      <c r="EL1472" s="110"/>
      <c r="EM1472" s="110"/>
      <c r="EN1472" s="110"/>
      <c r="EO1472" s="110"/>
      <c r="EP1472" s="110"/>
      <c r="EQ1472" s="110"/>
      <c r="ER1472" s="110"/>
      <c r="ES1472" s="110"/>
      <c r="ET1472" s="110"/>
      <c r="EU1472" s="110"/>
      <c r="EV1472" s="110"/>
      <c r="EW1472" s="110"/>
      <c r="EX1472" s="110"/>
      <c r="EY1472" s="110"/>
      <c r="EZ1472" s="110"/>
      <c r="FA1472" s="110"/>
      <c r="FB1472" s="110"/>
      <c r="FC1472" s="110"/>
      <c r="FD1472" s="110"/>
      <c r="FE1472" s="110"/>
      <c r="FF1472" s="110"/>
      <c r="FG1472" s="110"/>
      <c r="FH1472" s="110"/>
      <c r="FI1472" s="110"/>
      <c r="FJ1472" s="110"/>
      <c r="FK1472" s="110"/>
      <c r="FL1472" s="110"/>
      <c r="FM1472" s="110"/>
      <c r="FN1472" s="110"/>
      <c r="FO1472" s="110"/>
      <c r="FP1472" s="110"/>
      <c r="FQ1472" s="110"/>
      <c r="FR1472" s="110"/>
      <c r="FS1472" s="110"/>
      <c r="FT1472" s="110"/>
      <c r="FU1472" s="110"/>
      <c r="FV1472" s="110"/>
      <c r="FW1472" s="110"/>
      <c r="FX1472" s="110"/>
      <c r="FY1472" s="110"/>
      <c r="FZ1472" s="110"/>
      <c r="GA1472" s="110"/>
      <c r="GB1472" s="110"/>
      <c r="GC1472" s="110"/>
      <c r="GD1472" s="110"/>
      <c r="GE1472" s="110"/>
      <c r="GF1472" s="110"/>
      <c r="GG1472" s="110"/>
      <c r="GH1472" s="110"/>
      <c r="GI1472" s="110"/>
      <c r="GJ1472" s="110"/>
      <c r="GK1472" s="110"/>
      <c r="GL1472" s="110"/>
      <c r="GM1472" s="110"/>
      <c r="GN1472" s="110"/>
      <c r="GO1472" s="110"/>
      <c r="GP1472" s="110"/>
      <c r="GQ1472" s="110"/>
      <c r="GR1472" s="110"/>
      <c r="GS1472" s="110"/>
      <c r="GT1472" s="110"/>
      <c r="GU1472" s="110"/>
      <c r="GV1472" s="110"/>
      <c r="GW1472" s="110"/>
      <c r="GX1472" s="110"/>
      <c r="GY1472" s="110"/>
      <c r="GZ1472" s="110"/>
      <c r="HA1472" s="110"/>
      <c r="HB1472" s="110"/>
      <c r="HC1472" s="110"/>
      <c r="HD1472" s="110"/>
      <c r="HE1472" s="110"/>
      <c r="HF1472" s="110"/>
      <c r="HG1472" s="110"/>
      <c r="HH1472" s="110"/>
      <c r="HI1472" s="110"/>
      <c r="HJ1472" s="110"/>
      <c r="HK1472" s="110"/>
      <c r="HL1472" s="110"/>
      <c r="HM1472" s="110"/>
      <c r="HN1472" s="110"/>
      <c r="HO1472" s="110"/>
      <c r="HP1472" s="110"/>
      <c r="HQ1472" s="110"/>
      <c r="HR1472" s="110"/>
      <c r="HS1472" s="110"/>
      <c r="HT1472" s="110"/>
      <c r="HU1472" s="110"/>
      <c r="HV1472" s="110"/>
      <c r="HW1472" s="110"/>
      <c r="HX1472" s="110"/>
      <c r="HY1472" s="110"/>
      <c r="HZ1472" s="110"/>
      <c r="IA1472" s="110"/>
      <c r="IB1472" s="110"/>
      <c r="IC1472" s="110"/>
      <c r="ID1472" s="110"/>
      <c r="IE1472" s="110"/>
      <c r="IF1472" s="110"/>
      <c r="IG1472" s="110"/>
      <c r="IH1472" s="110"/>
      <c r="II1472" s="110"/>
      <c r="IJ1472" s="110"/>
      <c r="IK1472" s="110"/>
      <c r="IL1472" s="110"/>
      <c r="IM1472" s="110"/>
      <c r="IN1472" s="110"/>
      <c r="IO1472" s="110"/>
      <c r="IP1472" s="110"/>
      <c r="IQ1472" s="110"/>
      <c r="IR1472" s="110"/>
    </row>
    <row r="1473" spans="18:252" ht="16.5" hidden="1" customHeight="1">
      <c r="R1473" s="264"/>
      <c r="S1473" s="110"/>
      <c r="T1473" s="110"/>
      <c r="U1473" s="110"/>
      <c r="V1473" s="110"/>
      <c r="W1473" s="266"/>
      <c r="X1473" s="110"/>
      <c r="Y1473" s="110"/>
      <c r="Z1473" s="110"/>
      <c r="AA1473" s="110"/>
      <c r="AB1473" s="110"/>
      <c r="AC1473" s="110"/>
      <c r="AD1473" s="110"/>
      <c r="AE1473" s="110"/>
      <c r="AF1473" s="110"/>
      <c r="AG1473" s="110"/>
      <c r="AH1473" s="110"/>
      <c r="AI1473" s="110"/>
      <c r="AJ1473" s="110"/>
      <c r="AK1473" s="110"/>
      <c r="AL1473" s="110"/>
      <c r="AM1473" s="110"/>
      <c r="AN1473" s="110"/>
      <c r="AO1473" s="110"/>
      <c r="AP1473" s="110"/>
      <c r="AQ1473" s="110"/>
      <c r="AR1473" s="110"/>
      <c r="AS1473" s="110"/>
      <c r="AT1473" s="110"/>
      <c r="AU1473" s="110"/>
      <c r="AV1473" s="110"/>
      <c r="AW1473" s="110"/>
      <c r="AX1473" s="110"/>
      <c r="AY1473" s="110"/>
      <c r="AZ1473" s="110"/>
      <c r="BA1473" s="110"/>
      <c r="BB1473" s="110"/>
      <c r="BC1473" s="110"/>
      <c r="BD1473" s="110"/>
      <c r="BE1473" s="110"/>
      <c r="BF1473" s="110"/>
      <c r="BG1473" s="110"/>
      <c r="BH1473" s="110"/>
      <c r="BI1473" s="110"/>
      <c r="BJ1473" s="110"/>
      <c r="BK1473" s="110"/>
      <c r="BL1473" s="110"/>
      <c r="BM1473" s="110"/>
      <c r="BN1473" s="110"/>
      <c r="BO1473" s="110"/>
      <c r="BP1473" s="110"/>
      <c r="BQ1473" s="110"/>
      <c r="BR1473" s="110"/>
      <c r="BS1473" s="110"/>
      <c r="BT1473" s="110"/>
      <c r="BU1473" s="110"/>
      <c r="BV1473" s="110"/>
      <c r="BW1473" s="110"/>
      <c r="BX1473" s="110"/>
      <c r="BY1473" s="110"/>
      <c r="BZ1473" s="110"/>
      <c r="CA1473" s="110"/>
      <c r="CB1473" s="110"/>
      <c r="CC1473" s="110"/>
      <c r="CD1473" s="110"/>
      <c r="CE1473" s="110"/>
      <c r="CF1473" s="110"/>
      <c r="CG1473" s="110"/>
      <c r="CH1473" s="110"/>
      <c r="CI1473" s="110"/>
      <c r="CJ1473" s="110"/>
      <c r="CK1473" s="110"/>
      <c r="CL1473" s="110"/>
      <c r="CM1473" s="110"/>
      <c r="CN1473" s="110"/>
      <c r="CO1473" s="110"/>
      <c r="CP1473" s="110"/>
      <c r="CQ1473" s="110"/>
      <c r="CR1473" s="110"/>
      <c r="CS1473" s="110"/>
      <c r="CT1473" s="110"/>
      <c r="CU1473" s="110"/>
      <c r="CV1473" s="110"/>
      <c r="CW1473" s="110"/>
      <c r="CX1473" s="110"/>
      <c r="CY1473" s="110"/>
      <c r="CZ1473" s="110"/>
      <c r="DA1473" s="110"/>
      <c r="DB1473" s="110"/>
      <c r="DC1473" s="110"/>
      <c r="DD1473" s="110"/>
      <c r="DE1473" s="110"/>
      <c r="DF1473" s="110"/>
      <c r="DG1473" s="110"/>
      <c r="DH1473" s="110"/>
      <c r="DI1473" s="110"/>
      <c r="DJ1473" s="110"/>
      <c r="DK1473" s="110"/>
      <c r="DL1473" s="110"/>
      <c r="DM1473" s="110"/>
      <c r="DN1473" s="110"/>
      <c r="DO1473" s="110"/>
      <c r="DP1473" s="110"/>
      <c r="DQ1473" s="110"/>
      <c r="DR1473" s="110"/>
      <c r="DS1473" s="110"/>
      <c r="DT1473" s="110"/>
      <c r="DU1473" s="110"/>
      <c r="DV1473" s="110"/>
      <c r="DW1473" s="110"/>
      <c r="DX1473" s="110"/>
      <c r="DY1473" s="110"/>
      <c r="DZ1473" s="110"/>
      <c r="EA1473" s="110"/>
      <c r="EB1473" s="110"/>
      <c r="EC1473" s="110"/>
      <c r="ED1473" s="110"/>
      <c r="EF1473" s="264"/>
      <c r="EG1473" s="110"/>
      <c r="EH1473" s="110"/>
      <c r="EI1473" s="110"/>
      <c r="EJ1473" s="110"/>
      <c r="EK1473" s="266"/>
      <c r="EL1473" s="110"/>
      <c r="EM1473" s="110"/>
      <c r="EN1473" s="110"/>
      <c r="EO1473" s="110"/>
      <c r="EP1473" s="110"/>
      <c r="EQ1473" s="110"/>
      <c r="ER1473" s="110"/>
      <c r="ES1473" s="110"/>
      <c r="ET1473" s="110"/>
      <c r="EU1473" s="110"/>
      <c r="EV1473" s="110"/>
      <c r="EW1473" s="110"/>
      <c r="EX1473" s="110"/>
      <c r="EY1473" s="110"/>
      <c r="EZ1473" s="110"/>
      <c r="FA1473" s="110"/>
      <c r="FB1473" s="110"/>
      <c r="FC1473" s="110"/>
      <c r="FD1473" s="110"/>
      <c r="FE1473" s="110"/>
      <c r="FF1473" s="110"/>
      <c r="FG1473" s="110"/>
      <c r="FH1473" s="110"/>
      <c r="FI1473" s="110"/>
      <c r="FJ1473" s="110"/>
      <c r="FK1473" s="110"/>
      <c r="FL1473" s="110"/>
      <c r="FM1473" s="110"/>
      <c r="FN1473" s="110"/>
      <c r="FO1473" s="110"/>
      <c r="FP1473" s="110"/>
      <c r="FQ1473" s="110"/>
      <c r="FR1473" s="110"/>
      <c r="FS1473" s="110"/>
      <c r="FT1473" s="110"/>
      <c r="FU1473" s="110"/>
      <c r="FV1473" s="110"/>
      <c r="FW1473" s="110"/>
      <c r="FX1473" s="110"/>
      <c r="FY1473" s="110"/>
      <c r="FZ1473" s="110"/>
      <c r="GA1473" s="110"/>
      <c r="GB1473" s="110"/>
      <c r="GC1473" s="110"/>
      <c r="GD1473" s="110"/>
      <c r="GE1473" s="110"/>
      <c r="GF1473" s="110"/>
      <c r="GG1473" s="110"/>
      <c r="GH1473" s="110"/>
      <c r="GI1473" s="110"/>
      <c r="GJ1473" s="110"/>
      <c r="GK1473" s="110"/>
      <c r="GL1473" s="110"/>
      <c r="GM1473" s="110"/>
      <c r="GN1473" s="110"/>
      <c r="GO1473" s="110"/>
      <c r="GP1473" s="110"/>
      <c r="GQ1473" s="110"/>
      <c r="GR1473" s="110"/>
      <c r="GS1473" s="110"/>
      <c r="GT1473" s="110"/>
      <c r="GU1473" s="110"/>
      <c r="GV1473" s="110"/>
      <c r="GW1473" s="110"/>
      <c r="GX1473" s="110"/>
      <c r="GY1473" s="110"/>
      <c r="GZ1473" s="110"/>
      <c r="HA1473" s="110"/>
      <c r="HB1473" s="110"/>
      <c r="HC1473" s="110"/>
      <c r="HD1473" s="110"/>
      <c r="HE1473" s="110"/>
      <c r="HF1473" s="110"/>
      <c r="HG1473" s="110"/>
      <c r="HH1473" s="110"/>
      <c r="HI1473" s="110"/>
      <c r="HJ1473" s="110"/>
      <c r="HK1473" s="110"/>
      <c r="HL1473" s="110"/>
      <c r="HM1473" s="110"/>
      <c r="HN1473" s="110"/>
      <c r="HO1473" s="110"/>
      <c r="HP1473" s="110"/>
      <c r="HQ1473" s="110"/>
      <c r="HR1473" s="110"/>
      <c r="HS1473" s="110"/>
      <c r="HT1473" s="110"/>
      <c r="HU1473" s="110"/>
      <c r="HV1473" s="110"/>
      <c r="HW1473" s="110"/>
      <c r="HX1473" s="110"/>
      <c r="HY1473" s="110"/>
      <c r="HZ1473" s="110"/>
      <c r="IA1473" s="110"/>
      <c r="IB1473" s="110"/>
      <c r="IC1473" s="110"/>
      <c r="ID1473" s="110"/>
      <c r="IE1473" s="110"/>
      <c r="IF1473" s="110"/>
      <c r="IG1473" s="110"/>
      <c r="IH1473" s="110"/>
      <c r="II1473" s="110"/>
      <c r="IJ1473" s="110"/>
      <c r="IK1473" s="110"/>
      <c r="IL1473" s="110"/>
      <c r="IM1473" s="110"/>
      <c r="IN1473" s="110"/>
      <c r="IO1473" s="110"/>
      <c r="IP1473" s="110"/>
      <c r="IQ1473" s="110"/>
      <c r="IR1473" s="110"/>
    </row>
    <row r="1474" spans="18:252" ht="16.5" hidden="1" customHeight="1">
      <c r="R1474" s="264"/>
      <c r="S1474" s="110"/>
      <c r="T1474" s="110"/>
      <c r="U1474" s="110"/>
      <c r="V1474" s="110"/>
      <c r="W1474" s="266"/>
      <c r="X1474" s="110"/>
      <c r="Y1474" s="110"/>
      <c r="Z1474" s="110"/>
      <c r="AA1474" s="110"/>
      <c r="AB1474" s="110"/>
      <c r="AC1474" s="110"/>
      <c r="AD1474" s="110"/>
      <c r="AE1474" s="110"/>
      <c r="AF1474" s="110"/>
      <c r="AG1474" s="110"/>
      <c r="AH1474" s="110"/>
      <c r="AI1474" s="110"/>
      <c r="AJ1474" s="110"/>
      <c r="AK1474" s="110"/>
      <c r="AL1474" s="110"/>
      <c r="AM1474" s="110"/>
      <c r="AN1474" s="110"/>
      <c r="AO1474" s="110"/>
      <c r="AP1474" s="110"/>
      <c r="AQ1474" s="110"/>
      <c r="AR1474" s="110"/>
      <c r="AS1474" s="110"/>
      <c r="AT1474" s="110"/>
      <c r="AU1474" s="110"/>
      <c r="AV1474" s="110"/>
      <c r="AW1474" s="110"/>
      <c r="AX1474" s="110"/>
      <c r="AY1474" s="110"/>
      <c r="AZ1474" s="110"/>
      <c r="BA1474" s="110"/>
      <c r="BB1474" s="110"/>
      <c r="BC1474" s="110"/>
      <c r="BD1474" s="110"/>
      <c r="BE1474" s="110"/>
      <c r="BF1474" s="110"/>
      <c r="BG1474" s="110"/>
      <c r="BH1474" s="110"/>
      <c r="BI1474" s="110"/>
      <c r="BJ1474" s="110"/>
      <c r="BK1474" s="110"/>
      <c r="BL1474" s="110"/>
      <c r="BM1474" s="110"/>
      <c r="BN1474" s="110"/>
      <c r="BO1474" s="110"/>
      <c r="BP1474" s="110"/>
      <c r="BQ1474" s="110"/>
      <c r="BR1474" s="110"/>
      <c r="BS1474" s="110"/>
      <c r="BT1474" s="110"/>
      <c r="BU1474" s="110"/>
      <c r="BV1474" s="110"/>
      <c r="BW1474" s="110"/>
      <c r="BX1474" s="110"/>
      <c r="BY1474" s="110"/>
      <c r="BZ1474" s="110"/>
      <c r="CA1474" s="110"/>
      <c r="CB1474" s="110"/>
      <c r="CC1474" s="110"/>
      <c r="CD1474" s="110"/>
      <c r="CE1474" s="110"/>
      <c r="CF1474" s="110"/>
      <c r="CG1474" s="110"/>
      <c r="CH1474" s="110"/>
      <c r="CI1474" s="110"/>
      <c r="CJ1474" s="110"/>
      <c r="CK1474" s="110"/>
      <c r="CL1474" s="110"/>
      <c r="CM1474" s="110"/>
      <c r="CN1474" s="110"/>
      <c r="CO1474" s="110"/>
      <c r="CP1474" s="110"/>
      <c r="CQ1474" s="110"/>
      <c r="CR1474" s="110"/>
      <c r="CS1474" s="110"/>
      <c r="CT1474" s="110"/>
      <c r="CU1474" s="110"/>
      <c r="CV1474" s="110"/>
      <c r="CW1474" s="110"/>
      <c r="CX1474" s="110"/>
      <c r="CY1474" s="110"/>
      <c r="CZ1474" s="110"/>
      <c r="DA1474" s="110"/>
      <c r="DB1474" s="110"/>
      <c r="DC1474" s="110"/>
      <c r="DD1474" s="110"/>
      <c r="DE1474" s="110"/>
      <c r="DF1474" s="110"/>
      <c r="DG1474" s="110"/>
      <c r="DH1474" s="110"/>
      <c r="DI1474" s="110"/>
      <c r="DJ1474" s="110"/>
      <c r="DK1474" s="110"/>
      <c r="DL1474" s="110"/>
      <c r="DM1474" s="110"/>
      <c r="DN1474" s="110"/>
      <c r="DO1474" s="110"/>
      <c r="DP1474" s="110"/>
      <c r="DQ1474" s="110"/>
      <c r="DR1474" s="110"/>
      <c r="DS1474" s="110"/>
      <c r="DT1474" s="110"/>
      <c r="DU1474" s="110"/>
      <c r="DV1474" s="110"/>
      <c r="DW1474" s="110"/>
      <c r="DX1474" s="110"/>
      <c r="DY1474" s="110"/>
      <c r="DZ1474" s="110"/>
      <c r="EA1474" s="110"/>
      <c r="EB1474" s="110"/>
      <c r="EC1474" s="110"/>
      <c r="ED1474" s="110"/>
      <c r="EF1474" s="264"/>
      <c r="EG1474" s="110"/>
      <c r="EH1474" s="110"/>
      <c r="EI1474" s="110"/>
      <c r="EJ1474" s="110"/>
      <c r="EK1474" s="266"/>
      <c r="EL1474" s="110"/>
      <c r="EM1474" s="110"/>
      <c r="EN1474" s="110"/>
      <c r="EO1474" s="110"/>
      <c r="EP1474" s="110"/>
      <c r="EQ1474" s="110"/>
      <c r="ER1474" s="110"/>
      <c r="ES1474" s="110"/>
      <c r="ET1474" s="110"/>
      <c r="EU1474" s="110"/>
      <c r="EV1474" s="110"/>
      <c r="EW1474" s="110"/>
      <c r="EX1474" s="110"/>
      <c r="EY1474" s="110"/>
      <c r="EZ1474" s="110"/>
      <c r="FA1474" s="110"/>
      <c r="FB1474" s="110"/>
      <c r="FC1474" s="110"/>
      <c r="FD1474" s="110"/>
      <c r="FE1474" s="110"/>
      <c r="FF1474" s="110"/>
      <c r="FG1474" s="110"/>
      <c r="FH1474" s="110"/>
      <c r="FI1474" s="110"/>
      <c r="FJ1474" s="110"/>
      <c r="FK1474" s="110"/>
      <c r="FL1474" s="110"/>
      <c r="FM1474" s="110"/>
      <c r="FN1474" s="110"/>
      <c r="FO1474" s="110"/>
      <c r="FP1474" s="110"/>
      <c r="FQ1474" s="110"/>
      <c r="FR1474" s="110"/>
      <c r="FS1474" s="110"/>
      <c r="FT1474" s="110"/>
      <c r="FU1474" s="110"/>
      <c r="FV1474" s="110"/>
      <c r="FW1474" s="110"/>
      <c r="FX1474" s="110"/>
      <c r="FY1474" s="110"/>
      <c r="FZ1474" s="110"/>
      <c r="GA1474" s="110"/>
      <c r="GB1474" s="110"/>
      <c r="GC1474" s="110"/>
      <c r="GD1474" s="110"/>
      <c r="GE1474" s="110"/>
      <c r="GF1474" s="110"/>
      <c r="GG1474" s="110"/>
      <c r="GH1474" s="110"/>
      <c r="GI1474" s="110"/>
      <c r="GJ1474" s="110"/>
      <c r="GK1474" s="110"/>
      <c r="GL1474" s="110"/>
      <c r="GM1474" s="110"/>
      <c r="GN1474" s="110"/>
      <c r="GO1474" s="110"/>
      <c r="GP1474" s="110"/>
      <c r="GQ1474" s="110"/>
      <c r="GR1474" s="110"/>
      <c r="GS1474" s="110"/>
      <c r="GT1474" s="110"/>
      <c r="GU1474" s="110"/>
      <c r="GV1474" s="110"/>
      <c r="GW1474" s="110"/>
      <c r="GX1474" s="110"/>
      <c r="GY1474" s="110"/>
      <c r="GZ1474" s="110"/>
      <c r="HA1474" s="110"/>
      <c r="HB1474" s="110"/>
      <c r="HC1474" s="110"/>
      <c r="HD1474" s="110"/>
      <c r="HE1474" s="110"/>
      <c r="HF1474" s="110"/>
      <c r="HG1474" s="110"/>
      <c r="HH1474" s="110"/>
      <c r="HI1474" s="110"/>
      <c r="HJ1474" s="110"/>
      <c r="HK1474" s="110"/>
      <c r="HL1474" s="110"/>
      <c r="HM1474" s="110"/>
      <c r="HN1474" s="110"/>
      <c r="HO1474" s="110"/>
      <c r="HP1474" s="110"/>
      <c r="HQ1474" s="110"/>
      <c r="HR1474" s="110"/>
      <c r="HS1474" s="110"/>
      <c r="HT1474" s="110"/>
      <c r="HU1474" s="110"/>
      <c r="HV1474" s="110"/>
      <c r="HW1474" s="110"/>
      <c r="HX1474" s="110"/>
      <c r="HY1474" s="110"/>
      <c r="HZ1474" s="110"/>
      <c r="IA1474" s="110"/>
      <c r="IB1474" s="110"/>
      <c r="IC1474" s="110"/>
      <c r="ID1474" s="110"/>
      <c r="IE1474" s="110"/>
      <c r="IF1474" s="110"/>
      <c r="IG1474" s="110"/>
      <c r="IH1474" s="110"/>
      <c r="II1474" s="110"/>
      <c r="IJ1474" s="110"/>
      <c r="IK1474" s="110"/>
      <c r="IL1474" s="110"/>
      <c r="IM1474" s="110"/>
      <c r="IN1474" s="110"/>
      <c r="IO1474" s="110"/>
      <c r="IP1474" s="110"/>
      <c r="IQ1474" s="110"/>
      <c r="IR1474" s="110"/>
    </row>
    <row r="1475" spans="18:252" ht="16.5" hidden="1" customHeight="1">
      <c r="R1475" s="264"/>
      <c r="S1475" s="110"/>
      <c r="T1475" s="110"/>
      <c r="U1475" s="110"/>
      <c r="V1475" s="110"/>
      <c r="W1475" s="266"/>
      <c r="X1475" s="110"/>
      <c r="Y1475" s="110"/>
      <c r="Z1475" s="110"/>
      <c r="AA1475" s="110"/>
      <c r="AB1475" s="110"/>
      <c r="AC1475" s="110"/>
      <c r="AD1475" s="110"/>
      <c r="AE1475" s="110"/>
      <c r="AF1475" s="110"/>
      <c r="AG1475" s="110"/>
      <c r="AH1475" s="110"/>
      <c r="AI1475" s="110"/>
      <c r="AJ1475" s="110"/>
      <c r="AK1475" s="110"/>
      <c r="AL1475" s="110"/>
      <c r="AM1475" s="110"/>
      <c r="AN1475" s="110"/>
      <c r="AO1475" s="110"/>
      <c r="AP1475" s="110"/>
      <c r="AQ1475" s="110"/>
      <c r="AR1475" s="110"/>
      <c r="AS1475" s="110"/>
      <c r="AT1475" s="110"/>
      <c r="AU1475" s="110"/>
      <c r="AV1475" s="110"/>
      <c r="AW1475" s="110"/>
      <c r="AX1475" s="110"/>
      <c r="AY1475" s="110"/>
      <c r="AZ1475" s="110"/>
      <c r="BA1475" s="110"/>
      <c r="BB1475" s="110"/>
      <c r="BC1475" s="110"/>
      <c r="BD1475" s="110"/>
      <c r="BE1475" s="110"/>
      <c r="BF1475" s="110"/>
      <c r="BG1475" s="110"/>
      <c r="BH1475" s="110"/>
      <c r="BI1475" s="110"/>
      <c r="BJ1475" s="110"/>
      <c r="BK1475" s="110"/>
      <c r="BL1475" s="110"/>
      <c r="BM1475" s="110"/>
      <c r="BN1475" s="110"/>
      <c r="BO1475" s="110"/>
      <c r="BP1475" s="110"/>
      <c r="BQ1475" s="110"/>
      <c r="BR1475" s="110"/>
      <c r="BS1475" s="110"/>
      <c r="BT1475" s="110"/>
      <c r="BU1475" s="110"/>
      <c r="BV1475" s="110"/>
      <c r="BW1475" s="110"/>
      <c r="BX1475" s="110"/>
      <c r="BY1475" s="110"/>
      <c r="BZ1475" s="110"/>
      <c r="CA1475" s="110"/>
      <c r="CB1475" s="110"/>
      <c r="CC1475" s="110"/>
      <c r="CD1475" s="110"/>
      <c r="CE1475" s="110"/>
      <c r="CF1475" s="110"/>
      <c r="CG1475" s="110"/>
      <c r="CH1475" s="110"/>
      <c r="CI1475" s="110"/>
      <c r="CJ1475" s="110"/>
      <c r="CK1475" s="110"/>
      <c r="CL1475" s="110"/>
      <c r="CM1475" s="110"/>
      <c r="CN1475" s="110"/>
      <c r="CO1475" s="110"/>
      <c r="CP1475" s="110"/>
      <c r="CQ1475" s="110"/>
      <c r="CR1475" s="110"/>
      <c r="CS1475" s="110"/>
      <c r="CT1475" s="110"/>
      <c r="CU1475" s="110"/>
      <c r="CV1475" s="110"/>
      <c r="CW1475" s="110"/>
      <c r="CX1475" s="110"/>
      <c r="CY1475" s="110"/>
      <c r="CZ1475" s="110"/>
      <c r="DA1475" s="110"/>
      <c r="DB1475" s="110"/>
      <c r="DC1475" s="110"/>
      <c r="DD1475" s="110"/>
      <c r="DE1475" s="110"/>
      <c r="DF1475" s="110"/>
      <c r="DG1475" s="110"/>
      <c r="DH1475" s="110"/>
      <c r="DI1475" s="110"/>
      <c r="DJ1475" s="110"/>
      <c r="DK1475" s="110"/>
      <c r="DL1475" s="110"/>
      <c r="DM1475" s="110"/>
      <c r="DN1475" s="110"/>
      <c r="DO1475" s="110"/>
      <c r="DP1475" s="110"/>
      <c r="DQ1475" s="110"/>
      <c r="DR1475" s="110"/>
      <c r="DS1475" s="110"/>
      <c r="DT1475" s="110"/>
      <c r="DU1475" s="110"/>
      <c r="DV1475" s="110"/>
      <c r="DW1475" s="110"/>
      <c r="DX1475" s="110"/>
      <c r="DY1475" s="110"/>
      <c r="DZ1475" s="110"/>
      <c r="EA1475" s="110"/>
      <c r="EB1475" s="110"/>
      <c r="EC1475" s="110"/>
      <c r="ED1475" s="110"/>
      <c r="EF1475" s="264"/>
      <c r="EG1475" s="110"/>
      <c r="EH1475" s="110"/>
      <c r="EI1475" s="110"/>
      <c r="EJ1475" s="110"/>
      <c r="EK1475" s="266"/>
      <c r="EL1475" s="110"/>
      <c r="EM1475" s="110"/>
      <c r="EN1475" s="110"/>
      <c r="EO1475" s="110"/>
      <c r="EP1475" s="110"/>
      <c r="EQ1475" s="110"/>
      <c r="ER1475" s="110"/>
      <c r="ES1475" s="110"/>
      <c r="ET1475" s="110"/>
      <c r="EU1475" s="110"/>
      <c r="EV1475" s="110"/>
      <c r="EW1475" s="110"/>
      <c r="EX1475" s="110"/>
      <c r="EY1475" s="110"/>
      <c r="EZ1475" s="110"/>
      <c r="FA1475" s="110"/>
      <c r="FB1475" s="110"/>
      <c r="FC1475" s="110"/>
      <c r="FD1475" s="110"/>
      <c r="FE1475" s="110"/>
      <c r="FF1475" s="110"/>
      <c r="FG1475" s="110"/>
      <c r="FH1475" s="110"/>
      <c r="FI1475" s="110"/>
      <c r="FJ1475" s="110"/>
      <c r="FK1475" s="110"/>
      <c r="FL1475" s="110"/>
      <c r="FM1475" s="110"/>
      <c r="FN1475" s="110"/>
      <c r="FO1475" s="110"/>
      <c r="FP1475" s="110"/>
      <c r="FQ1475" s="110"/>
      <c r="FR1475" s="110"/>
      <c r="FS1475" s="110"/>
      <c r="FT1475" s="110"/>
      <c r="FU1475" s="110"/>
      <c r="FV1475" s="110"/>
      <c r="FW1475" s="110"/>
      <c r="FX1475" s="110"/>
      <c r="FY1475" s="110"/>
      <c r="FZ1475" s="110"/>
      <c r="GA1475" s="110"/>
      <c r="GB1475" s="110"/>
      <c r="GC1475" s="110"/>
      <c r="GD1475" s="110"/>
      <c r="GE1475" s="110"/>
      <c r="GF1475" s="110"/>
      <c r="GG1475" s="110"/>
      <c r="GH1475" s="110"/>
      <c r="GI1475" s="110"/>
      <c r="GJ1475" s="110"/>
      <c r="GK1475" s="110"/>
      <c r="GL1475" s="110"/>
      <c r="GM1475" s="110"/>
      <c r="GN1475" s="110"/>
      <c r="GO1475" s="110"/>
      <c r="GP1475" s="110"/>
      <c r="GQ1475" s="110"/>
      <c r="GR1475" s="110"/>
      <c r="GS1475" s="110"/>
      <c r="GT1475" s="110"/>
      <c r="GU1475" s="110"/>
      <c r="GV1475" s="110"/>
      <c r="GW1475" s="110"/>
      <c r="GX1475" s="110"/>
      <c r="GY1475" s="110"/>
      <c r="GZ1475" s="110"/>
      <c r="HA1475" s="110"/>
      <c r="HB1475" s="110"/>
      <c r="HC1475" s="110"/>
      <c r="HD1475" s="110"/>
      <c r="HE1475" s="110"/>
      <c r="HF1475" s="110"/>
      <c r="HG1475" s="110"/>
      <c r="HH1475" s="110"/>
      <c r="HI1475" s="110"/>
      <c r="HJ1475" s="110"/>
      <c r="HK1475" s="110"/>
      <c r="HL1475" s="110"/>
      <c r="HM1475" s="110"/>
      <c r="HN1475" s="110"/>
      <c r="HO1475" s="110"/>
      <c r="HP1475" s="110"/>
      <c r="HQ1475" s="110"/>
      <c r="HR1475" s="110"/>
      <c r="HS1475" s="110"/>
      <c r="HT1475" s="110"/>
      <c r="HU1475" s="110"/>
      <c r="HV1475" s="110"/>
      <c r="HW1475" s="110"/>
      <c r="HX1475" s="110"/>
      <c r="HY1475" s="110"/>
      <c r="HZ1475" s="110"/>
      <c r="IA1475" s="110"/>
      <c r="IB1475" s="110"/>
      <c r="IC1475" s="110"/>
      <c r="ID1475" s="110"/>
      <c r="IE1475" s="110"/>
      <c r="IF1475" s="110"/>
      <c r="IG1475" s="110"/>
      <c r="IH1475" s="110"/>
      <c r="II1475" s="110"/>
      <c r="IJ1475" s="110"/>
      <c r="IK1475" s="110"/>
      <c r="IL1475" s="110"/>
      <c r="IM1475" s="110"/>
      <c r="IN1475" s="110"/>
      <c r="IO1475" s="110"/>
      <c r="IP1475" s="110"/>
      <c r="IQ1475" s="110"/>
      <c r="IR1475" s="110"/>
    </row>
    <row r="1476" spans="18:252" ht="16.5" hidden="1" customHeight="1">
      <c r="R1476" s="264"/>
      <c r="S1476" s="110"/>
      <c r="T1476" s="110"/>
      <c r="U1476" s="110"/>
      <c r="V1476" s="110"/>
      <c r="W1476" s="266"/>
      <c r="X1476" s="110"/>
      <c r="Y1476" s="110"/>
      <c r="Z1476" s="110"/>
      <c r="AA1476" s="110"/>
      <c r="AB1476" s="110"/>
      <c r="AC1476" s="110"/>
      <c r="AD1476" s="110"/>
      <c r="AE1476" s="110"/>
      <c r="AF1476" s="110"/>
      <c r="AG1476" s="110"/>
      <c r="AH1476" s="110"/>
      <c r="AI1476" s="110"/>
      <c r="AJ1476" s="110"/>
      <c r="AK1476" s="110"/>
      <c r="AL1476" s="110"/>
      <c r="AM1476" s="110"/>
      <c r="AN1476" s="110"/>
      <c r="AO1476" s="110"/>
      <c r="AP1476" s="110"/>
      <c r="AQ1476" s="110"/>
      <c r="AR1476" s="110"/>
      <c r="AS1476" s="110"/>
      <c r="AT1476" s="110"/>
      <c r="AU1476" s="110"/>
      <c r="AV1476" s="110"/>
      <c r="AW1476" s="110"/>
      <c r="AX1476" s="110"/>
      <c r="AY1476" s="110"/>
      <c r="AZ1476" s="110"/>
      <c r="BA1476" s="110"/>
      <c r="BB1476" s="110"/>
      <c r="BC1476" s="110"/>
      <c r="BD1476" s="110"/>
      <c r="BE1476" s="110"/>
      <c r="BF1476" s="110"/>
      <c r="BG1476" s="110"/>
      <c r="BH1476" s="110"/>
      <c r="BI1476" s="110"/>
      <c r="BJ1476" s="110"/>
      <c r="BK1476" s="110"/>
      <c r="BL1476" s="110"/>
      <c r="BM1476" s="110"/>
      <c r="BN1476" s="110"/>
      <c r="BO1476" s="110"/>
      <c r="BP1476" s="110"/>
      <c r="BQ1476" s="110"/>
      <c r="BR1476" s="110"/>
      <c r="BS1476" s="110"/>
      <c r="BT1476" s="110"/>
      <c r="BU1476" s="110"/>
      <c r="BV1476" s="110"/>
      <c r="BW1476" s="110"/>
      <c r="BX1476" s="110"/>
      <c r="BY1476" s="110"/>
      <c r="BZ1476" s="110"/>
      <c r="CA1476" s="110"/>
      <c r="CB1476" s="110"/>
      <c r="CC1476" s="110"/>
      <c r="CD1476" s="110"/>
      <c r="CE1476" s="110"/>
      <c r="CF1476" s="110"/>
      <c r="CG1476" s="110"/>
      <c r="CH1476" s="110"/>
      <c r="CI1476" s="110"/>
      <c r="CJ1476" s="110"/>
      <c r="CK1476" s="110"/>
      <c r="CL1476" s="110"/>
      <c r="CM1476" s="110"/>
      <c r="CN1476" s="110"/>
      <c r="CO1476" s="110"/>
      <c r="CP1476" s="110"/>
      <c r="CQ1476" s="110"/>
      <c r="CR1476" s="110"/>
      <c r="CS1476" s="110"/>
      <c r="CT1476" s="110"/>
      <c r="CU1476" s="110"/>
      <c r="CV1476" s="110"/>
      <c r="CW1476" s="110"/>
      <c r="CX1476" s="110"/>
      <c r="CY1476" s="110"/>
      <c r="CZ1476" s="110"/>
      <c r="DA1476" s="110"/>
      <c r="DB1476" s="110"/>
      <c r="DC1476" s="110"/>
      <c r="DD1476" s="110"/>
      <c r="DE1476" s="110"/>
      <c r="DF1476" s="110"/>
      <c r="DG1476" s="110"/>
      <c r="DH1476" s="110"/>
      <c r="DI1476" s="110"/>
      <c r="DJ1476" s="110"/>
      <c r="DK1476" s="110"/>
      <c r="DL1476" s="110"/>
      <c r="DM1476" s="110"/>
      <c r="DN1476" s="110"/>
      <c r="DO1476" s="110"/>
      <c r="DP1476" s="110"/>
      <c r="DQ1476" s="110"/>
      <c r="DR1476" s="110"/>
      <c r="DS1476" s="110"/>
      <c r="DT1476" s="110"/>
      <c r="DU1476" s="110"/>
      <c r="DV1476" s="110"/>
      <c r="DW1476" s="110"/>
      <c r="DX1476" s="110"/>
      <c r="DY1476" s="110"/>
      <c r="DZ1476" s="110"/>
      <c r="EA1476" s="110"/>
      <c r="EB1476" s="110"/>
      <c r="EC1476" s="110"/>
      <c r="ED1476" s="110"/>
      <c r="EF1476" s="264"/>
      <c r="EG1476" s="110"/>
      <c r="EH1476" s="110"/>
      <c r="EI1476" s="110"/>
      <c r="EJ1476" s="110"/>
      <c r="EK1476" s="266"/>
      <c r="EL1476" s="110"/>
      <c r="EM1476" s="110"/>
      <c r="EN1476" s="110"/>
      <c r="EO1476" s="110"/>
      <c r="EP1476" s="110"/>
      <c r="EQ1476" s="110"/>
      <c r="ER1476" s="110"/>
      <c r="ES1476" s="110"/>
      <c r="ET1476" s="110"/>
      <c r="EU1476" s="110"/>
      <c r="EV1476" s="110"/>
      <c r="EW1476" s="110"/>
      <c r="EX1476" s="110"/>
      <c r="EY1476" s="110"/>
      <c r="EZ1476" s="110"/>
      <c r="FA1476" s="110"/>
      <c r="FB1476" s="110"/>
      <c r="FC1476" s="110"/>
      <c r="FD1476" s="110"/>
      <c r="FE1476" s="110"/>
      <c r="FF1476" s="110"/>
      <c r="FG1476" s="110"/>
      <c r="FH1476" s="110"/>
      <c r="FI1476" s="110"/>
      <c r="FJ1476" s="110"/>
      <c r="FK1476" s="110"/>
      <c r="FL1476" s="110"/>
      <c r="FM1476" s="110"/>
      <c r="FN1476" s="110"/>
      <c r="FO1476" s="110"/>
      <c r="FP1476" s="110"/>
      <c r="FQ1476" s="110"/>
      <c r="FR1476" s="110"/>
      <c r="FS1476" s="110"/>
      <c r="FT1476" s="110"/>
      <c r="FU1476" s="110"/>
      <c r="FV1476" s="110"/>
      <c r="FW1476" s="110"/>
      <c r="FX1476" s="110"/>
      <c r="FY1476" s="110"/>
      <c r="FZ1476" s="110"/>
      <c r="GA1476" s="110"/>
      <c r="GB1476" s="110"/>
      <c r="GC1476" s="110"/>
      <c r="GD1476" s="110"/>
      <c r="GE1476" s="110"/>
      <c r="GF1476" s="110"/>
      <c r="GG1476" s="110"/>
      <c r="GH1476" s="110"/>
      <c r="GI1476" s="110"/>
      <c r="GJ1476" s="110"/>
      <c r="GK1476" s="110"/>
      <c r="GL1476" s="110"/>
      <c r="GM1476" s="110"/>
      <c r="GN1476" s="110"/>
      <c r="GO1476" s="110"/>
      <c r="GP1476" s="110"/>
      <c r="GQ1476" s="110"/>
      <c r="GR1476" s="110"/>
      <c r="GS1476" s="110"/>
      <c r="GT1476" s="110"/>
      <c r="GU1476" s="110"/>
      <c r="GV1476" s="110"/>
      <c r="GW1476" s="110"/>
      <c r="GX1476" s="110"/>
      <c r="GY1476" s="110"/>
      <c r="GZ1476" s="110"/>
      <c r="HA1476" s="110"/>
      <c r="HB1476" s="110"/>
      <c r="HC1476" s="110"/>
      <c r="HD1476" s="110"/>
      <c r="HE1476" s="110"/>
      <c r="HF1476" s="110"/>
      <c r="HG1476" s="110"/>
      <c r="HH1476" s="110"/>
      <c r="HI1476" s="110"/>
      <c r="HJ1476" s="110"/>
      <c r="HK1476" s="110"/>
      <c r="HL1476" s="110"/>
      <c r="HM1476" s="110"/>
      <c r="HN1476" s="110"/>
      <c r="HO1476" s="110"/>
      <c r="HP1476" s="110"/>
      <c r="HQ1476" s="110"/>
      <c r="HR1476" s="110"/>
      <c r="HS1476" s="110"/>
      <c r="HT1476" s="110"/>
      <c r="HU1476" s="110"/>
      <c r="HV1476" s="110"/>
      <c r="HW1476" s="110"/>
      <c r="HX1476" s="110"/>
      <c r="HY1476" s="110"/>
      <c r="HZ1476" s="110"/>
      <c r="IA1476" s="110"/>
      <c r="IB1476" s="110"/>
      <c r="IC1476" s="110"/>
      <c r="ID1476" s="110"/>
      <c r="IE1476" s="110"/>
      <c r="IF1476" s="110"/>
      <c r="IG1476" s="110"/>
      <c r="IH1476" s="110"/>
      <c r="II1476" s="110"/>
      <c r="IJ1476" s="110"/>
      <c r="IK1476" s="110"/>
      <c r="IL1476" s="110"/>
      <c r="IM1476" s="110"/>
      <c r="IN1476" s="110"/>
      <c r="IO1476" s="110"/>
      <c r="IP1476" s="110"/>
      <c r="IQ1476" s="110"/>
      <c r="IR1476" s="110"/>
    </row>
    <row r="1477" spans="18:252" ht="16.5" hidden="1" customHeight="1">
      <c r="R1477" s="264"/>
      <c r="S1477" s="110"/>
      <c r="T1477" s="110"/>
      <c r="U1477" s="110"/>
      <c r="V1477" s="110"/>
      <c r="W1477" s="266"/>
      <c r="X1477" s="110"/>
      <c r="Y1477" s="110"/>
      <c r="Z1477" s="110"/>
      <c r="AA1477" s="110"/>
      <c r="AB1477" s="110"/>
      <c r="AC1477" s="110"/>
      <c r="AD1477" s="110"/>
      <c r="AE1477" s="110"/>
      <c r="AF1477" s="110"/>
      <c r="AG1477" s="110"/>
      <c r="AH1477" s="110"/>
      <c r="AI1477" s="110"/>
      <c r="AJ1477" s="110"/>
      <c r="AK1477" s="110"/>
      <c r="AL1477" s="110"/>
      <c r="AM1477" s="110"/>
      <c r="AN1477" s="110"/>
      <c r="AO1477" s="110"/>
      <c r="AP1477" s="110"/>
      <c r="AQ1477" s="110"/>
      <c r="AR1477" s="110"/>
      <c r="AS1477" s="110"/>
      <c r="AT1477" s="110"/>
      <c r="AU1477" s="110"/>
      <c r="AV1477" s="110"/>
      <c r="AW1477" s="110"/>
      <c r="AX1477" s="110"/>
      <c r="AY1477" s="110"/>
      <c r="AZ1477" s="110"/>
      <c r="BA1477" s="110"/>
      <c r="BB1477" s="110"/>
      <c r="BC1477" s="110"/>
      <c r="BD1477" s="110"/>
      <c r="BE1477" s="110"/>
      <c r="BF1477" s="110"/>
      <c r="BG1477" s="110"/>
      <c r="BH1477" s="110"/>
      <c r="BI1477" s="110"/>
      <c r="BJ1477" s="110"/>
      <c r="BK1477" s="110"/>
      <c r="BL1477" s="110"/>
      <c r="BM1477" s="110"/>
      <c r="BN1477" s="110"/>
      <c r="BO1477" s="110"/>
      <c r="BP1477" s="110"/>
      <c r="BQ1477" s="110"/>
      <c r="BR1477" s="110"/>
      <c r="BS1477" s="110"/>
      <c r="BT1477" s="110"/>
      <c r="BU1477" s="110"/>
      <c r="BV1477" s="110"/>
      <c r="BW1477" s="110"/>
      <c r="BX1477" s="110"/>
      <c r="BY1477" s="110"/>
      <c r="BZ1477" s="110"/>
      <c r="CA1477" s="110"/>
      <c r="CB1477" s="110"/>
      <c r="CC1477" s="110"/>
      <c r="CD1477" s="110"/>
      <c r="CE1477" s="110"/>
      <c r="CF1477" s="110"/>
      <c r="CG1477" s="110"/>
      <c r="CH1477" s="110"/>
      <c r="CI1477" s="110"/>
      <c r="CJ1477" s="110"/>
      <c r="CK1477" s="110"/>
      <c r="CL1477" s="110"/>
      <c r="CM1477" s="110"/>
      <c r="CN1477" s="110"/>
      <c r="CO1477" s="110"/>
      <c r="CP1477" s="110"/>
      <c r="CQ1477" s="110"/>
      <c r="CR1477" s="110"/>
      <c r="CS1477" s="110"/>
      <c r="CT1477" s="110"/>
      <c r="CU1477" s="110"/>
      <c r="CV1477" s="110"/>
      <c r="CW1477" s="110"/>
      <c r="CX1477" s="110"/>
      <c r="CY1477" s="110"/>
      <c r="CZ1477" s="110"/>
      <c r="DA1477" s="110"/>
      <c r="DB1477" s="110"/>
      <c r="DC1477" s="110"/>
      <c r="DD1477" s="110"/>
      <c r="DE1477" s="110"/>
      <c r="DF1477" s="110"/>
      <c r="DG1477" s="110"/>
      <c r="DH1477" s="110"/>
      <c r="DI1477" s="110"/>
      <c r="DJ1477" s="110"/>
      <c r="DK1477" s="110"/>
      <c r="DL1477" s="110"/>
      <c r="DM1477" s="110"/>
      <c r="DN1477" s="110"/>
      <c r="DO1477" s="110"/>
      <c r="DP1477" s="110"/>
      <c r="DQ1477" s="110"/>
      <c r="DR1477" s="110"/>
      <c r="DS1477" s="110"/>
      <c r="DT1477" s="110"/>
      <c r="DU1477" s="110"/>
      <c r="DV1477" s="110"/>
      <c r="DW1477" s="110"/>
      <c r="DX1477" s="110"/>
      <c r="DY1477" s="110"/>
      <c r="DZ1477" s="110"/>
      <c r="EA1477" s="110"/>
      <c r="EB1477" s="110"/>
      <c r="EC1477" s="110"/>
      <c r="ED1477" s="110"/>
      <c r="EF1477" s="264"/>
      <c r="EG1477" s="110"/>
      <c r="EH1477" s="110"/>
      <c r="EI1477" s="110"/>
      <c r="EJ1477" s="110"/>
      <c r="EK1477" s="266"/>
      <c r="EL1477" s="110"/>
      <c r="EM1477" s="110"/>
      <c r="EN1477" s="110"/>
      <c r="EO1477" s="110"/>
      <c r="EP1477" s="110"/>
      <c r="EQ1477" s="110"/>
      <c r="ER1477" s="110"/>
      <c r="ES1477" s="110"/>
      <c r="ET1477" s="110"/>
      <c r="EU1477" s="110"/>
      <c r="EV1477" s="110"/>
      <c r="EW1477" s="110"/>
      <c r="EX1477" s="110"/>
      <c r="EY1477" s="110"/>
      <c r="EZ1477" s="110"/>
      <c r="FA1477" s="110"/>
      <c r="FB1477" s="110"/>
      <c r="FC1477" s="110"/>
      <c r="FD1477" s="110"/>
      <c r="FE1477" s="110"/>
      <c r="FF1477" s="110"/>
      <c r="FG1477" s="110"/>
      <c r="FH1477" s="110"/>
      <c r="FI1477" s="110"/>
      <c r="FJ1477" s="110"/>
      <c r="FK1477" s="110"/>
      <c r="FL1477" s="110"/>
      <c r="FM1477" s="110"/>
      <c r="FN1477" s="110"/>
      <c r="FO1477" s="110"/>
      <c r="FP1477" s="110"/>
      <c r="FQ1477" s="110"/>
      <c r="FR1477" s="110"/>
      <c r="FS1477" s="110"/>
      <c r="FT1477" s="110"/>
      <c r="FU1477" s="110"/>
      <c r="FV1477" s="110"/>
      <c r="FW1477" s="110"/>
      <c r="FX1477" s="110"/>
      <c r="FY1477" s="110"/>
      <c r="FZ1477" s="110"/>
      <c r="GA1477" s="110"/>
      <c r="GB1477" s="110"/>
      <c r="GC1477" s="110"/>
      <c r="GD1477" s="110"/>
      <c r="GE1477" s="110"/>
      <c r="GF1477" s="110"/>
      <c r="GG1477" s="110"/>
      <c r="GH1477" s="110"/>
      <c r="GI1477" s="110"/>
      <c r="GJ1477" s="110"/>
      <c r="GK1477" s="110"/>
      <c r="GL1477" s="110"/>
      <c r="GM1477" s="110"/>
      <c r="GN1477" s="110"/>
      <c r="GO1477" s="110"/>
      <c r="GP1477" s="110"/>
      <c r="GQ1477" s="110"/>
      <c r="GR1477" s="110"/>
      <c r="GS1477" s="110"/>
      <c r="GT1477" s="110"/>
      <c r="GU1477" s="110"/>
      <c r="GV1477" s="110"/>
      <c r="GW1477" s="110"/>
      <c r="GX1477" s="110"/>
      <c r="GY1477" s="110"/>
      <c r="GZ1477" s="110"/>
      <c r="HA1477" s="110"/>
      <c r="HB1477" s="110"/>
      <c r="HC1477" s="110"/>
      <c r="HD1477" s="110"/>
      <c r="HE1477" s="110"/>
      <c r="HF1477" s="110"/>
      <c r="HG1477" s="110"/>
      <c r="HH1477" s="110"/>
      <c r="HI1477" s="110"/>
      <c r="HJ1477" s="110"/>
      <c r="HK1477" s="110"/>
      <c r="HL1477" s="110"/>
      <c r="HM1477" s="110"/>
      <c r="HN1477" s="110"/>
      <c r="HO1477" s="110"/>
      <c r="HP1477" s="110"/>
      <c r="HQ1477" s="110"/>
      <c r="HR1477" s="110"/>
      <c r="HS1477" s="110"/>
      <c r="HT1477" s="110"/>
      <c r="HU1477" s="110"/>
      <c r="HV1477" s="110"/>
      <c r="HW1477" s="110"/>
      <c r="HX1477" s="110"/>
      <c r="HY1477" s="110"/>
      <c r="HZ1477" s="110"/>
      <c r="IA1477" s="110"/>
      <c r="IB1477" s="110"/>
      <c r="IC1477" s="110"/>
      <c r="ID1477" s="110"/>
      <c r="IE1477" s="110"/>
      <c r="IF1477" s="110"/>
      <c r="IG1477" s="110"/>
      <c r="IH1477" s="110"/>
      <c r="II1477" s="110"/>
      <c r="IJ1477" s="110"/>
      <c r="IK1477" s="110"/>
      <c r="IL1477" s="110"/>
      <c r="IM1477" s="110"/>
      <c r="IN1477" s="110"/>
      <c r="IO1477" s="110"/>
      <c r="IP1477" s="110"/>
      <c r="IQ1477" s="110"/>
      <c r="IR1477" s="110"/>
    </row>
    <row r="1478" spans="18:252" ht="16.5" hidden="1" customHeight="1">
      <c r="R1478" s="264"/>
      <c r="S1478" s="110"/>
      <c r="T1478" s="110"/>
      <c r="U1478" s="110"/>
      <c r="V1478" s="110"/>
      <c r="W1478" s="266"/>
      <c r="X1478" s="110"/>
      <c r="Y1478" s="110"/>
      <c r="Z1478" s="110"/>
      <c r="AA1478" s="110"/>
      <c r="AB1478" s="110"/>
      <c r="AC1478" s="110"/>
      <c r="AD1478" s="110"/>
      <c r="AE1478" s="110"/>
      <c r="AF1478" s="110"/>
      <c r="AG1478" s="110"/>
      <c r="AH1478" s="110"/>
      <c r="AI1478" s="110"/>
      <c r="AJ1478" s="110"/>
      <c r="AK1478" s="110"/>
      <c r="AL1478" s="110"/>
      <c r="AM1478" s="110"/>
      <c r="AN1478" s="110"/>
      <c r="AO1478" s="110"/>
      <c r="AP1478" s="110"/>
      <c r="AQ1478" s="110"/>
      <c r="AR1478" s="110"/>
      <c r="AS1478" s="110"/>
      <c r="AT1478" s="110"/>
      <c r="AU1478" s="110"/>
      <c r="AV1478" s="110"/>
      <c r="AW1478" s="110"/>
      <c r="AX1478" s="110"/>
      <c r="AY1478" s="110"/>
      <c r="AZ1478" s="110"/>
      <c r="BA1478" s="110"/>
      <c r="BB1478" s="110"/>
      <c r="BC1478" s="110"/>
      <c r="BD1478" s="110"/>
      <c r="BE1478" s="110"/>
      <c r="BF1478" s="110"/>
      <c r="BG1478" s="110"/>
      <c r="BH1478" s="110"/>
      <c r="BI1478" s="110"/>
      <c r="BJ1478" s="110"/>
      <c r="BK1478" s="110"/>
      <c r="BL1478" s="110"/>
      <c r="BM1478" s="110"/>
      <c r="BN1478" s="110"/>
      <c r="BO1478" s="110"/>
      <c r="BP1478" s="110"/>
      <c r="BQ1478" s="110"/>
      <c r="BR1478" s="110"/>
      <c r="BS1478" s="110"/>
      <c r="BT1478" s="110"/>
      <c r="BU1478" s="110"/>
      <c r="BV1478" s="110"/>
      <c r="BW1478" s="110"/>
      <c r="BX1478" s="110"/>
      <c r="BY1478" s="110"/>
      <c r="BZ1478" s="110"/>
      <c r="CA1478" s="110"/>
      <c r="CB1478" s="110"/>
      <c r="CC1478" s="110"/>
      <c r="CD1478" s="110"/>
      <c r="CE1478" s="110"/>
      <c r="CF1478" s="110"/>
      <c r="CG1478" s="110"/>
      <c r="CH1478" s="110"/>
      <c r="CI1478" s="110"/>
      <c r="CJ1478" s="110"/>
      <c r="CK1478" s="110"/>
      <c r="CL1478" s="110"/>
      <c r="CM1478" s="110"/>
      <c r="CN1478" s="110"/>
      <c r="CO1478" s="110"/>
      <c r="CP1478" s="110"/>
      <c r="CQ1478" s="110"/>
      <c r="CR1478" s="110"/>
      <c r="CS1478" s="110"/>
      <c r="CT1478" s="110"/>
      <c r="CU1478" s="110"/>
      <c r="CV1478" s="110"/>
      <c r="CW1478" s="110"/>
      <c r="CX1478" s="110"/>
      <c r="CY1478" s="110"/>
      <c r="CZ1478" s="110"/>
      <c r="DA1478" s="110"/>
      <c r="DB1478" s="110"/>
      <c r="DC1478" s="110"/>
      <c r="DD1478" s="110"/>
      <c r="DE1478" s="110"/>
      <c r="DF1478" s="110"/>
      <c r="DG1478" s="110"/>
      <c r="DH1478" s="110"/>
      <c r="DI1478" s="110"/>
      <c r="DJ1478" s="110"/>
      <c r="DK1478" s="110"/>
      <c r="DL1478" s="110"/>
      <c r="DM1478" s="110"/>
      <c r="DN1478" s="110"/>
      <c r="DO1478" s="110"/>
      <c r="DP1478" s="110"/>
      <c r="DQ1478" s="110"/>
      <c r="DR1478" s="110"/>
      <c r="DS1478" s="110"/>
      <c r="DT1478" s="110"/>
      <c r="DU1478" s="110"/>
      <c r="DV1478" s="110"/>
      <c r="DW1478" s="110"/>
      <c r="DX1478" s="110"/>
      <c r="DY1478" s="110"/>
      <c r="DZ1478" s="110"/>
      <c r="EA1478" s="110"/>
      <c r="EB1478" s="110"/>
      <c r="EC1478" s="110"/>
      <c r="ED1478" s="110"/>
      <c r="EF1478" s="264"/>
      <c r="EG1478" s="110"/>
      <c r="EH1478" s="110"/>
      <c r="EI1478" s="110"/>
      <c r="EJ1478" s="110"/>
      <c r="EK1478" s="266"/>
      <c r="EL1478" s="110"/>
      <c r="EM1478" s="110"/>
      <c r="EN1478" s="110"/>
      <c r="EO1478" s="110"/>
      <c r="EP1478" s="110"/>
      <c r="EQ1478" s="110"/>
      <c r="ER1478" s="110"/>
      <c r="ES1478" s="110"/>
      <c r="ET1478" s="110"/>
      <c r="EU1478" s="110"/>
      <c r="EV1478" s="110"/>
      <c r="EW1478" s="110"/>
      <c r="EX1478" s="110"/>
      <c r="EY1478" s="110"/>
      <c r="EZ1478" s="110"/>
      <c r="FA1478" s="110"/>
      <c r="FB1478" s="110"/>
      <c r="FC1478" s="110"/>
      <c r="FD1478" s="110"/>
      <c r="FE1478" s="110"/>
      <c r="FF1478" s="110"/>
      <c r="FG1478" s="110"/>
      <c r="FH1478" s="110"/>
      <c r="FI1478" s="110"/>
      <c r="FJ1478" s="110"/>
      <c r="FK1478" s="110"/>
      <c r="FL1478" s="110"/>
      <c r="FM1478" s="110"/>
      <c r="FN1478" s="110"/>
      <c r="FO1478" s="110"/>
      <c r="FP1478" s="110"/>
      <c r="FQ1478" s="110"/>
      <c r="FR1478" s="110"/>
      <c r="FS1478" s="110"/>
      <c r="FT1478" s="110"/>
      <c r="FU1478" s="110"/>
      <c r="FV1478" s="110"/>
      <c r="FW1478" s="110"/>
      <c r="FX1478" s="110"/>
      <c r="FY1478" s="110"/>
      <c r="FZ1478" s="110"/>
      <c r="GA1478" s="110"/>
      <c r="GB1478" s="110"/>
      <c r="GC1478" s="110"/>
      <c r="GD1478" s="110"/>
      <c r="GE1478" s="110"/>
      <c r="GF1478" s="110"/>
      <c r="GG1478" s="110"/>
      <c r="GH1478" s="110"/>
      <c r="GI1478" s="110"/>
      <c r="GJ1478" s="110"/>
      <c r="GK1478" s="110"/>
      <c r="GL1478" s="110"/>
      <c r="GM1478" s="110"/>
      <c r="GN1478" s="110"/>
      <c r="GO1478" s="110"/>
      <c r="GP1478" s="110"/>
      <c r="GQ1478" s="110"/>
      <c r="GR1478" s="110"/>
      <c r="GS1478" s="110"/>
      <c r="GT1478" s="110"/>
      <c r="GU1478" s="110"/>
      <c r="GV1478" s="110"/>
      <c r="GW1478" s="110"/>
      <c r="GX1478" s="110"/>
      <c r="GY1478" s="110"/>
      <c r="GZ1478" s="110"/>
      <c r="HA1478" s="110"/>
      <c r="HB1478" s="110"/>
      <c r="HC1478" s="110"/>
      <c r="HD1478" s="110"/>
      <c r="HE1478" s="110"/>
      <c r="HF1478" s="110"/>
      <c r="HG1478" s="110"/>
      <c r="HH1478" s="110"/>
      <c r="HI1478" s="110"/>
      <c r="HJ1478" s="110"/>
      <c r="HK1478" s="110"/>
      <c r="HL1478" s="110"/>
      <c r="HM1478" s="110"/>
      <c r="HN1478" s="110"/>
      <c r="HO1478" s="110"/>
      <c r="HP1478" s="110"/>
      <c r="HQ1478" s="110"/>
      <c r="HR1478" s="110"/>
      <c r="HS1478" s="110"/>
      <c r="HT1478" s="110"/>
      <c r="HU1478" s="110"/>
      <c r="HV1478" s="110"/>
      <c r="HW1478" s="110"/>
      <c r="HX1478" s="110"/>
      <c r="HY1478" s="110"/>
      <c r="HZ1478" s="110"/>
      <c r="IA1478" s="110"/>
      <c r="IB1478" s="110"/>
      <c r="IC1478" s="110"/>
      <c r="ID1478" s="110"/>
      <c r="IE1478" s="110"/>
      <c r="IF1478" s="110"/>
      <c r="IG1478" s="110"/>
      <c r="IH1478" s="110"/>
      <c r="II1478" s="110"/>
      <c r="IJ1478" s="110"/>
      <c r="IK1478" s="110"/>
      <c r="IL1478" s="110"/>
      <c r="IM1478" s="110"/>
      <c r="IN1478" s="110"/>
      <c r="IO1478" s="110"/>
      <c r="IP1478" s="110"/>
      <c r="IQ1478" s="110"/>
      <c r="IR1478" s="110"/>
    </row>
    <row r="1479" spans="18:252" ht="16.5" hidden="1" customHeight="1">
      <c r="R1479" s="264"/>
      <c r="S1479" s="110"/>
      <c r="T1479" s="110"/>
      <c r="U1479" s="110"/>
      <c r="V1479" s="110"/>
      <c r="W1479" s="266"/>
      <c r="X1479" s="110"/>
      <c r="Y1479" s="110"/>
      <c r="Z1479" s="110"/>
      <c r="AA1479" s="110"/>
      <c r="AB1479" s="110"/>
      <c r="AC1479" s="110"/>
      <c r="AD1479" s="110"/>
      <c r="AE1479" s="110"/>
      <c r="AF1479" s="110"/>
      <c r="AG1479" s="110"/>
      <c r="AH1479" s="110"/>
      <c r="AI1479" s="110"/>
      <c r="AJ1479" s="110"/>
      <c r="AK1479" s="110"/>
      <c r="AL1479" s="110"/>
      <c r="AM1479" s="110"/>
      <c r="AN1479" s="110"/>
      <c r="AO1479" s="110"/>
      <c r="AP1479" s="110"/>
      <c r="AQ1479" s="110"/>
      <c r="AR1479" s="110"/>
      <c r="AS1479" s="110"/>
      <c r="AT1479" s="110"/>
      <c r="AU1479" s="110"/>
      <c r="AV1479" s="110"/>
      <c r="AW1479" s="110"/>
      <c r="AX1479" s="110"/>
      <c r="AY1479" s="110"/>
      <c r="AZ1479" s="110"/>
      <c r="BA1479" s="110"/>
      <c r="BB1479" s="110"/>
      <c r="BC1479" s="110"/>
      <c r="BD1479" s="110"/>
      <c r="BE1479" s="110"/>
      <c r="BF1479" s="110"/>
      <c r="BG1479" s="110"/>
      <c r="BH1479" s="110"/>
      <c r="BI1479" s="110"/>
      <c r="BJ1479" s="110"/>
      <c r="BK1479" s="110"/>
      <c r="BL1479" s="110"/>
      <c r="BM1479" s="110"/>
      <c r="BN1479" s="110"/>
      <c r="BO1479" s="110"/>
      <c r="BP1479" s="110"/>
      <c r="BQ1479" s="110"/>
      <c r="BR1479" s="110"/>
      <c r="BS1479" s="110"/>
      <c r="BT1479" s="110"/>
      <c r="BU1479" s="110"/>
      <c r="BV1479" s="110"/>
      <c r="BW1479" s="110"/>
      <c r="BX1479" s="110"/>
      <c r="BY1479" s="110"/>
      <c r="BZ1479" s="110"/>
      <c r="CA1479" s="110"/>
      <c r="CB1479" s="110"/>
      <c r="CC1479" s="110"/>
      <c r="CD1479" s="110"/>
      <c r="CE1479" s="110"/>
      <c r="CF1479" s="110"/>
      <c r="CG1479" s="110"/>
      <c r="CH1479" s="110"/>
      <c r="CI1479" s="110"/>
      <c r="CJ1479" s="110"/>
      <c r="CK1479" s="110"/>
      <c r="CL1479" s="110"/>
      <c r="CM1479" s="110"/>
      <c r="CN1479" s="110"/>
      <c r="CO1479" s="110"/>
      <c r="CP1479" s="110"/>
      <c r="CQ1479" s="110"/>
      <c r="CR1479" s="110"/>
      <c r="CS1479" s="110"/>
      <c r="CT1479" s="110"/>
      <c r="CU1479" s="110"/>
      <c r="CV1479" s="110"/>
      <c r="CW1479" s="110"/>
      <c r="CX1479" s="110"/>
      <c r="CY1479" s="110"/>
      <c r="CZ1479" s="110"/>
      <c r="DA1479" s="110"/>
      <c r="DB1479" s="110"/>
      <c r="DC1479" s="110"/>
      <c r="DD1479" s="110"/>
      <c r="DE1479" s="110"/>
      <c r="DF1479" s="110"/>
      <c r="DG1479" s="110"/>
      <c r="DH1479" s="110"/>
      <c r="DI1479" s="110"/>
      <c r="DJ1479" s="110"/>
      <c r="DK1479" s="110"/>
      <c r="DL1479" s="110"/>
      <c r="DM1479" s="110"/>
      <c r="DN1479" s="110"/>
      <c r="DO1479" s="110"/>
      <c r="DP1479" s="110"/>
      <c r="DQ1479" s="110"/>
      <c r="DR1479" s="110"/>
      <c r="DS1479" s="110"/>
      <c r="DT1479" s="110"/>
      <c r="DU1479" s="110"/>
      <c r="DV1479" s="110"/>
      <c r="DW1479" s="110"/>
      <c r="DX1479" s="110"/>
      <c r="DY1479" s="110"/>
      <c r="DZ1479" s="110"/>
      <c r="EA1479" s="110"/>
      <c r="EB1479" s="110"/>
      <c r="EC1479" s="110"/>
      <c r="ED1479" s="110"/>
      <c r="EF1479" s="264"/>
      <c r="EG1479" s="110"/>
      <c r="EH1479" s="110"/>
      <c r="EI1479" s="110"/>
      <c r="EJ1479" s="110"/>
      <c r="EK1479" s="266"/>
      <c r="EL1479" s="110"/>
      <c r="EM1479" s="110"/>
      <c r="EN1479" s="110"/>
      <c r="EO1479" s="110"/>
      <c r="EP1479" s="110"/>
      <c r="EQ1479" s="110"/>
      <c r="ER1479" s="110"/>
      <c r="ES1479" s="110"/>
      <c r="ET1479" s="110"/>
      <c r="EU1479" s="110"/>
      <c r="EV1479" s="110"/>
      <c r="EW1479" s="110"/>
      <c r="EX1479" s="110"/>
      <c r="EY1479" s="110"/>
      <c r="EZ1479" s="110"/>
      <c r="FA1479" s="110"/>
      <c r="FB1479" s="110"/>
      <c r="FC1479" s="110"/>
      <c r="FD1479" s="110"/>
      <c r="FE1479" s="110"/>
      <c r="FF1479" s="110"/>
      <c r="FG1479" s="110"/>
      <c r="FH1479" s="110"/>
      <c r="FI1479" s="110"/>
      <c r="FJ1479" s="110"/>
      <c r="FK1479" s="110"/>
      <c r="FL1479" s="110"/>
      <c r="FM1479" s="110"/>
      <c r="FN1479" s="110"/>
      <c r="FO1479" s="110"/>
      <c r="FP1479" s="110"/>
      <c r="FQ1479" s="110"/>
      <c r="FR1479" s="110"/>
      <c r="FS1479" s="110"/>
      <c r="FT1479" s="110"/>
      <c r="FU1479" s="110"/>
      <c r="FV1479" s="110"/>
      <c r="FW1479" s="110"/>
      <c r="FX1479" s="110"/>
      <c r="FY1479" s="110"/>
      <c r="FZ1479" s="110"/>
      <c r="GA1479" s="110"/>
      <c r="GB1479" s="110"/>
      <c r="GC1479" s="110"/>
      <c r="GD1479" s="110"/>
      <c r="GE1479" s="110"/>
      <c r="GF1479" s="110"/>
      <c r="GG1479" s="110"/>
      <c r="GH1479" s="110"/>
      <c r="GI1479" s="110"/>
      <c r="GJ1479" s="110"/>
      <c r="GK1479" s="110"/>
      <c r="GL1479" s="110"/>
      <c r="GM1479" s="110"/>
      <c r="GN1479" s="110"/>
      <c r="GO1479" s="110"/>
      <c r="GP1479" s="110"/>
      <c r="GQ1479" s="110"/>
      <c r="GR1479" s="110"/>
      <c r="GS1479" s="110"/>
      <c r="GT1479" s="110"/>
      <c r="GU1479" s="110"/>
      <c r="GV1479" s="110"/>
      <c r="GW1479" s="110"/>
      <c r="GX1479" s="110"/>
      <c r="GY1479" s="110"/>
      <c r="GZ1479" s="110"/>
      <c r="HA1479" s="110"/>
      <c r="HB1479" s="110"/>
      <c r="HC1479" s="110"/>
      <c r="HD1479" s="110"/>
      <c r="HE1479" s="110"/>
      <c r="HF1479" s="110"/>
      <c r="HG1479" s="110"/>
      <c r="HH1479" s="110"/>
      <c r="HI1479" s="110"/>
      <c r="HJ1479" s="110"/>
      <c r="HK1479" s="110"/>
      <c r="HL1479" s="110"/>
      <c r="HM1479" s="110"/>
      <c r="HN1479" s="110"/>
      <c r="HO1479" s="110"/>
      <c r="HP1479" s="110"/>
      <c r="HQ1479" s="110"/>
      <c r="HR1479" s="110"/>
      <c r="HS1479" s="110"/>
      <c r="HT1479" s="110"/>
      <c r="HU1479" s="110"/>
      <c r="HV1479" s="110"/>
      <c r="HW1479" s="110"/>
      <c r="HX1479" s="110"/>
      <c r="HY1479" s="110"/>
      <c r="HZ1479" s="110"/>
      <c r="IA1479" s="110"/>
      <c r="IB1479" s="110"/>
      <c r="IC1479" s="110"/>
      <c r="ID1479" s="110"/>
      <c r="IE1479" s="110"/>
      <c r="IF1479" s="110"/>
      <c r="IG1479" s="110"/>
      <c r="IH1479" s="110"/>
      <c r="II1479" s="110"/>
      <c r="IJ1479" s="110"/>
      <c r="IK1479" s="110"/>
      <c r="IL1479" s="110"/>
      <c r="IM1479" s="110"/>
      <c r="IN1479" s="110"/>
      <c r="IO1479" s="110"/>
      <c r="IP1479" s="110"/>
      <c r="IQ1479" s="110"/>
      <c r="IR1479" s="110"/>
    </row>
    <row r="1480" spans="18:252" ht="16.5" hidden="1" customHeight="1">
      <c r="R1480" s="264"/>
      <c r="S1480" s="110"/>
      <c r="T1480" s="110"/>
      <c r="U1480" s="110"/>
      <c r="V1480" s="110"/>
      <c r="W1480" s="266"/>
      <c r="X1480" s="110"/>
      <c r="Y1480" s="110"/>
      <c r="Z1480" s="110"/>
      <c r="AA1480" s="110"/>
      <c r="AB1480" s="110"/>
      <c r="AC1480" s="110"/>
      <c r="AD1480" s="110"/>
      <c r="AE1480" s="110"/>
      <c r="AF1480" s="110"/>
      <c r="AG1480" s="110"/>
      <c r="AH1480" s="110"/>
      <c r="AI1480" s="110"/>
      <c r="AJ1480" s="110"/>
      <c r="AK1480" s="110"/>
      <c r="AL1480" s="110"/>
      <c r="AM1480" s="110"/>
      <c r="AN1480" s="110"/>
      <c r="AO1480" s="110"/>
      <c r="AP1480" s="110"/>
      <c r="AQ1480" s="110"/>
      <c r="AR1480" s="110"/>
      <c r="AS1480" s="110"/>
      <c r="AT1480" s="110"/>
      <c r="AU1480" s="110"/>
      <c r="AV1480" s="110"/>
      <c r="AW1480" s="110"/>
      <c r="AX1480" s="110"/>
      <c r="AY1480" s="110"/>
      <c r="AZ1480" s="110"/>
      <c r="BA1480" s="110"/>
      <c r="BB1480" s="110"/>
      <c r="BC1480" s="110"/>
      <c r="BD1480" s="110"/>
      <c r="BE1480" s="110"/>
      <c r="BF1480" s="110"/>
      <c r="BG1480" s="110"/>
      <c r="BH1480" s="110"/>
      <c r="BI1480" s="110"/>
      <c r="BJ1480" s="110"/>
      <c r="BK1480" s="110"/>
      <c r="BL1480" s="110"/>
      <c r="BM1480" s="110"/>
      <c r="BN1480" s="110"/>
      <c r="BO1480" s="110"/>
      <c r="BP1480" s="110"/>
      <c r="BQ1480" s="110"/>
      <c r="BR1480" s="110"/>
      <c r="BS1480" s="110"/>
      <c r="BT1480" s="110"/>
      <c r="BU1480" s="110"/>
      <c r="BV1480" s="110"/>
      <c r="BW1480" s="110"/>
      <c r="BX1480" s="110"/>
      <c r="BY1480" s="110"/>
      <c r="BZ1480" s="110"/>
      <c r="CA1480" s="110"/>
      <c r="CB1480" s="110"/>
      <c r="CC1480" s="110"/>
      <c r="CD1480" s="110"/>
      <c r="CE1480" s="110"/>
      <c r="CF1480" s="110"/>
      <c r="CG1480" s="110"/>
      <c r="CH1480" s="110"/>
      <c r="CI1480" s="110"/>
      <c r="CJ1480" s="110"/>
      <c r="CK1480" s="110"/>
      <c r="CL1480" s="110"/>
      <c r="CM1480" s="110"/>
      <c r="CN1480" s="110"/>
      <c r="CO1480" s="110"/>
      <c r="CP1480" s="110"/>
      <c r="CQ1480" s="110"/>
      <c r="CR1480" s="110"/>
      <c r="CS1480" s="110"/>
      <c r="CT1480" s="110"/>
      <c r="CU1480" s="110"/>
      <c r="CV1480" s="110"/>
      <c r="CW1480" s="110"/>
      <c r="CX1480" s="110"/>
      <c r="CY1480" s="110"/>
      <c r="CZ1480" s="110"/>
      <c r="DA1480" s="110"/>
      <c r="DB1480" s="110"/>
      <c r="DC1480" s="110"/>
      <c r="DD1480" s="110"/>
      <c r="DE1480" s="110"/>
      <c r="DF1480" s="110"/>
      <c r="DG1480" s="110"/>
      <c r="DH1480" s="110"/>
      <c r="DI1480" s="110"/>
      <c r="DJ1480" s="110"/>
      <c r="DK1480" s="110"/>
      <c r="DL1480" s="110"/>
      <c r="DM1480" s="110"/>
      <c r="DN1480" s="110"/>
      <c r="DO1480" s="110"/>
      <c r="DP1480" s="110"/>
      <c r="DQ1480" s="110"/>
      <c r="DR1480" s="110"/>
      <c r="DS1480" s="110"/>
      <c r="DT1480" s="110"/>
      <c r="DU1480" s="110"/>
      <c r="DV1480" s="110"/>
      <c r="DW1480" s="110"/>
      <c r="DX1480" s="110"/>
      <c r="DY1480" s="110"/>
      <c r="DZ1480" s="110"/>
      <c r="EA1480" s="110"/>
      <c r="EB1480" s="110"/>
      <c r="EC1480" s="110"/>
      <c r="ED1480" s="110"/>
      <c r="EF1480" s="264"/>
      <c r="EG1480" s="110"/>
      <c r="EH1480" s="110"/>
      <c r="EI1480" s="110"/>
      <c r="EJ1480" s="110"/>
      <c r="EK1480" s="266"/>
      <c r="EL1480" s="110"/>
      <c r="EM1480" s="110"/>
      <c r="EN1480" s="110"/>
      <c r="EO1480" s="110"/>
      <c r="EP1480" s="110"/>
      <c r="EQ1480" s="110"/>
      <c r="ER1480" s="110"/>
      <c r="ES1480" s="110"/>
      <c r="ET1480" s="110"/>
      <c r="EU1480" s="110"/>
      <c r="EV1480" s="110"/>
      <c r="EW1480" s="110"/>
      <c r="EX1480" s="110"/>
      <c r="EY1480" s="110"/>
      <c r="EZ1480" s="110"/>
      <c r="FA1480" s="110"/>
      <c r="FB1480" s="110"/>
      <c r="FC1480" s="110"/>
      <c r="FD1480" s="110"/>
      <c r="FE1480" s="110"/>
      <c r="FF1480" s="110"/>
      <c r="FG1480" s="110"/>
      <c r="FH1480" s="110"/>
      <c r="FI1480" s="110"/>
      <c r="FJ1480" s="110"/>
      <c r="FK1480" s="110"/>
      <c r="FL1480" s="110"/>
      <c r="FM1480" s="110"/>
      <c r="FN1480" s="110"/>
      <c r="FO1480" s="110"/>
      <c r="FP1480" s="110"/>
      <c r="FQ1480" s="110"/>
      <c r="FR1480" s="110"/>
      <c r="FS1480" s="110"/>
      <c r="FT1480" s="110"/>
      <c r="FU1480" s="110"/>
      <c r="FV1480" s="110"/>
      <c r="FW1480" s="110"/>
      <c r="FX1480" s="110"/>
      <c r="FY1480" s="110"/>
      <c r="FZ1480" s="110"/>
      <c r="GA1480" s="110"/>
      <c r="GB1480" s="110"/>
      <c r="GC1480" s="110"/>
      <c r="GD1480" s="110"/>
      <c r="GE1480" s="110"/>
      <c r="GF1480" s="110"/>
      <c r="GG1480" s="110"/>
      <c r="GH1480" s="110"/>
      <c r="GI1480" s="110"/>
      <c r="GJ1480" s="110"/>
      <c r="GK1480" s="110"/>
      <c r="GL1480" s="110"/>
      <c r="GM1480" s="110"/>
      <c r="GN1480" s="110"/>
      <c r="GO1480" s="110"/>
      <c r="GP1480" s="110"/>
      <c r="GQ1480" s="110"/>
      <c r="GR1480" s="110"/>
      <c r="GS1480" s="110"/>
      <c r="GT1480" s="110"/>
      <c r="GU1480" s="110"/>
      <c r="GV1480" s="110"/>
      <c r="GW1480" s="110"/>
      <c r="GX1480" s="110"/>
      <c r="GY1480" s="110"/>
      <c r="GZ1480" s="110"/>
      <c r="HA1480" s="110"/>
      <c r="HB1480" s="110"/>
      <c r="HC1480" s="110"/>
      <c r="HD1480" s="110"/>
      <c r="HE1480" s="110"/>
      <c r="HF1480" s="110"/>
      <c r="HG1480" s="110"/>
      <c r="HH1480" s="110"/>
      <c r="HI1480" s="110"/>
      <c r="HJ1480" s="110"/>
      <c r="HK1480" s="110"/>
      <c r="HL1480" s="110"/>
      <c r="HM1480" s="110"/>
      <c r="HN1480" s="110"/>
      <c r="HO1480" s="110"/>
      <c r="HP1480" s="110"/>
      <c r="HQ1480" s="110"/>
      <c r="HR1480" s="110"/>
      <c r="HS1480" s="110"/>
      <c r="HT1480" s="110"/>
      <c r="HU1480" s="110"/>
      <c r="HV1480" s="110"/>
      <c r="HW1480" s="110"/>
      <c r="HX1480" s="110"/>
      <c r="HY1480" s="110"/>
      <c r="HZ1480" s="110"/>
      <c r="IA1480" s="110"/>
      <c r="IB1480" s="110"/>
      <c r="IC1480" s="110"/>
      <c r="ID1480" s="110"/>
      <c r="IE1480" s="110"/>
      <c r="IF1480" s="110"/>
      <c r="IG1480" s="110"/>
      <c r="IH1480" s="110"/>
      <c r="II1480" s="110"/>
      <c r="IJ1480" s="110"/>
      <c r="IK1480" s="110"/>
      <c r="IL1480" s="110"/>
      <c r="IM1480" s="110"/>
      <c r="IN1480" s="110"/>
      <c r="IO1480" s="110"/>
      <c r="IP1480" s="110"/>
      <c r="IQ1480" s="110"/>
      <c r="IR1480" s="110"/>
    </row>
    <row r="1481" spans="18:252" ht="16.5" hidden="1" customHeight="1">
      <c r="R1481" s="264"/>
      <c r="S1481" s="110"/>
      <c r="T1481" s="110"/>
      <c r="U1481" s="110"/>
      <c r="V1481" s="110"/>
      <c r="W1481" s="266"/>
      <c r="X1481" s="110"/>
      <c r="Y1481" s="110"/>
      <c r="Z1481" s="110"/>
      <c r="AA1481" s="110"/>
      <c r="AB1481" s="110"/>
      <c r="AC1481" s="110"/>
      <c r="AD1481" s="110"/>
      <c r="AE1481" s="110"/>
      <c r="AF1481" s="110"/>
      <c r="AG1481" s="110"/>
      <c r="AH1481" s="110"/>
      <c r="AI1481" s="110"/>
      <c r="AJ1481" s="110"/>
      <c r="AK1481" s="110"/>
      <c r="AL1481" s="110"/>
      <c r="AM1481" s="110"/>
      <c r="AN1481" s="110"/>
      <c r="AO1481" s="110"/>
      <c r="AP1481" s="110"/>
      <c r="AQ1481" s="110"/>
      <c r="AR1481" s="110"/>
      <c r="AS1481" s="110"/>
      <c r="AT1481" s="110"/>
      <c r="AU1481" s="110"/>
      <c r="AV1481" s="110"/>
      <c r="AW1481" s="110"/>
      <c r="AX1481" s="110"/>
      <c r="AY1481" s="110"/>
      <c r="AZ1481" s="110"/>
      <c r="BA1481" s="110"/>
      <c r="BB1481" s="110"/>
      <c r="BC1481" s="110"/>
      <c r="BD1481" s="110"/>
      <c r="BE1481" s="110"/>
      <c r="BF1481" s="110"/>
      <c r="BG1481" s="110"/>
      <c r="BH1481" s="110"/>
      <c r="BI1481" s="110"/>
      <c r="BJ1481" s="110"/>
      <c r="BK1481" s="110"/>
      <c r="BL1481" s="110"/>
      <c r="BM1481" s="110"/>
      <c r="BN1481" s="110"/>
      <c r="BO1481" s="110"/>
      <c r="BP1481" s="110"/>
      <c r="BQ1481" s="110"/>
      <c r="BR1481" s="110"/>
      <c r="BS1481" s="110"/>
      <c r="BT1481" s="110"/>
      <c r="BU1481" s="110"/>
      <c r="BV1481" s="110"/>
      <c r="BW1481" s="110"/>
      <c r="BX1481" s="110"/>
      <c r="BY1481" s="110"/>
      <c r="BZ1481" s="110"/>
      <c r="CA1481" s="110"/>
      <c r="CB1481" s="110"/>
      <c r="CC1481" s="110"/>
      <c r="CD1481" s="110"/>
      <c r="CE1481" s="110"/>
      <c r="CF1481" s="110"/>
      <c r="CG1481" s="110"/>
      <c r="CH1481" s="110"/>
      <c r="CI1481" s="110"/>
      <c r="CJ1481" s="110"/>
      <c r="CK1481" s="110"/>
      <c r="CL1481" s="110"/>
      <c r="CM1481" s="110"/>
      <c r="CN1481" s="110"/>
      <c r="CO1481" s="110"/>
      <c r="CP1481" s="110"/>
      <c r="CQ1481" s="110"/>
      <c r="CR1481" s="110"/>
      <c r="CS1481" s="110"/>
      <c r="CT1481" s="110"/>
      <c r="CU1481" s="110"/>
      <c r="CV1481" s="110"/>
      <c r="CW1481" s="110"/>
      <c r="CX1481" s="110"/>
      <c r="CY1481" s="110"/>
      <c r="CZ1481" s="110"/>
      <c r="DA1481" s="110"/>
      <c r="DB1481" s="110"/>
      <c r="DC1481" s="110"/>
      <c r="DD1481" s="110"/>
      <c r="DE1481" s="110"/>
      <c r="DF1481" s="110"/>
      <c r="DG1481" s="110"/>
      <c r="DH1481" s="110"/>
      <c r="DI1481" s="110"/>
      <c r="DJ1481" s="110"/>
      <c r="DK1481" s="110"/>
      <c r="DL1481" s="110"/>
      <c r="DM1481" s="110"/>
      <c r="DN1481" s="110"/>
      <c r="DO1481" s="110"/>
      <c r="DP1481" s="110"/>
      <c r="DQ1481" s="110"/>
      <c r="DR1481" s="110"/>
      <c r="DS1481" s="110"/>
      <c r="DT1481" s="110"/>
      <c r="DU1481" s="110"/>
      <c r="DV1481" s="110"/>
      <c r="DW1481" s="110"/>
      <c r="DX1481" s="110"/>
      <c r="DY1481" s="110"/>
      <c r="DZ1481" s="110"/>
      <c r="EA1481" s="110"/>
      <c r="EB1481" s="110"/>
      <c r="EC1481" s="110"/>
      <c r="ED1481" s="110"/>
      <c r="EF1481" s="264"/>
      <c r="EG1481" s="110"/>
      <c r="EH1481" s="110"/>
      <c r="EI1481" s="110"/>
      <c r="EJ1481" s="110"/>
      <c r="EK1481" s="266"/>
      <c r="EL1481" s="110"/>
      <c r="EM1481" s="110"/>
      <c r="EN1481" s="110"/>
      <c r="EO1481" s="110"/>
      <c r="EP1481" s="110"/>
      <c r="EQ1481" s="110"/>
      <c r="ER1481" s="110"/>
      <c r="ES1481" s="110"/>
      <c r="ET1481" s="110"/>
      <c r="EU1481" s="110"/>
      <c r="EV1481" s="110"/>
      <c r="EW1481" s="110"/>
      <c r="EX1481" s="110"/>
      <c r="EY1481" s="110"/>
      <c r="EZ1481" s="110"/>
      <c r="FA1481" s="110"/>
      <c r="FB1481" s="110"/>
      <c r="FC1481" s="110"/>
      <c r="FD1481" s="110"/>
      <c r="FE1481" s="110"/>
      <c r="FF1481" s="110"/>
      <c r="FG1481" s="110"/>
      <c r="FH1481" s="110"/>
      <c r="FI1481" s="110"/>
      <c r="FJ1481" s="110"/>
      <c r="FK1481" s="110"/>
      <c r="FL1481" s="110"/>
      <c r="FM1481" s="110"/>
      <c r="FN1481" s="110"/>
      <c r="FO1481" s="110"/>
      <c r="FP1481" s="110"/>
      <c r="FQ1481" s="110"/>
      <c r="FR1481" s="110"/>
      <c r="FS1481" s="110"/>
      <c r="FT1481" s="110"/>
      <c r="FU1481" s="110"/>
      <c r="FV1481" s="110"/>
      <c r="FW1481" s="110"/>
      <c r="FX1481" s="110"/>
      <c r="FY1481" s="110"/>
      <c r="FZ1481" s="110"/>
      <c r="GA1481" s="110"/>
      <c r="GB1481" s="110"/>
      <c r="GC1481" s="110"/>
      <c r="GD1481" s="110"/>
      <c r="GE1481" s="110"/>
      <c r="GF1481" s="110"/>
      <c r="GG1481" s="110"/>
      <c r="GH1481" s="110"/>
      <c r="GI1481" s="110"/>
      <c r="GJ1481" s="110"/>
      <c r="GK1481" s="110"/>
      <c r="GL1481" s="110"/>
      <c r="GM1481" s="110"/>
      <c r="GN1481" s="110"/>
      <c r="GO1481" s="110"/>
      <c r="GP1481" s="110"/>
      <c r="GQ1481" s="110"/>
      <c r="GR1481" s="110"/>
      <c r="GS1481" s="110"/>
      <c r="GT1481" s="110"/>
      <c r="GU1481" s="110"/>
      <c r="GV1481" s="110"/>
      <c r="GW1481" s="110"/>
      <c r="GX1481" s="110"/>
      <c r="GY1481" s="110"/>
      <c r="GZ1481" s="110"/>
      <c r="HA1481" s="110"/>
      <c r="HB1481" s="110"/>
      <c r="HC1481" s="110"/>
      <c r="HD1481" s="110"/>
      <c r="HE1481" s="110"/>
      <c r="HF1481" s="110"/>
      <c r="HG1481" s="110"/>
      <c r="HH1481" s="110"/>
      <c r="HI1481" s="110"/>
      <c r="HJ1481" s="110"/>
      <c r="HK1481" s="110"/>
      <c r="HL1481" s="110"/>
      <c r="HM1481" s="110"/>
      <c r="HN1481" s="110"/>
      <c r="HO1481" s="110"/>
      <c r="HP1481" s="110"/>
      <c r="HQ1481" s="110"/>
      <c r="HR1481" s="110"/>
      <c r="HS1481" s="110"/>
      <c r="HT1481" s="110"/>
      <c r="HU1481" s="110"/>
      <c r="HV1481" s="110"/>
      <c r="HW1481" s="110"/>
      <c r="HX1481" s="110"/>
      <c r="HY1481" s="110"/>
      <c r="HZ1481" s="110"/>
      <c r="IA1481" s="110"/>
      <c r="IB1481" s="110"/>
      <c r="IC1481" s="110"/>
      <c r="ID1481" s="110"/>
      <c r="IE1481" s="110"/>
      <c r="IF1481" s="110"/>
      <c r="IG1481" s="110"/>
      <c r="IH1481" s="110"/>
      <c r="II1481" s="110"/>
      <c r="IJ1481" s="110"/>
      <c r="IK1481" s="110"/>
      <c r="IL1481" s="110"/>
      <c r="IM1481" s="110"/>
      <c r="IN1481" s="110"/>
      <c r="IO1481" s="110"/>
      <c r="IP1481" s="110"/>
      <c r="IQ1481" s="110"/>
      <c r="IR1481" s="110"/>
    </row>
    <row r="1482" spans="18:252" ht="16.5" hidden="1" customHeight="1">
      <c r="R1482" s="264"/>
      <c r="S1482" s="110"/>
      <c r="T1482" s="110"/>
      <c r="U1482" s="110"/>
      <c r="V1482" s="110"/>
      <c r="W1482" s="266"/>
      <c r="X1482" s="110"/>
      <c r="Y1482" s="110"/>
      <c r="Z1482" s="110"/>
      <c r="AA1482" s="110"/>
      <c r="AB1482" s="110"/>
      <c r="AC1482" s="110"/>
      <c r="AD1482" s="110"/>
      <c r="AE1482" s="110"/>
      <c r="AF1482" s="110"/>
      <c r="AG1482" s="110"/>
      <c r="AH1482" s="110"/>
      <c r="AI1482" s="110"/>
      <c r="AJ1482" s="110"/>
      <c r="AK1482" s="110"/>
      <c r="AL1482" s="110"/>
      <c r="AM1482" s="110"/>
      <c r="AN1482" s="110"/>
      <c r="AO1482" s="110"/>
      <c r="AP1482" s="110"/>
      <c r="AQ1482" s="110"/>
      <c r="AR1482" s="110"/>
      <c r="AS1482" s="110"/>
      <c r="AT1482" s="110"/>
      <c r="AU1482" s="110"/>
      <c r="AV1482" s="110"/>
      <c r="AW1482" s="110"/>
      <c r="AX1482" s="110"/>
      <c r="AY1482" s="110"/>
      <c r="AZ1482" s="110"/>
      <c r="BA1482" s="110"/>
      <c r="BB1482" s="110"/>
      <c r="BC1482" s="110"/>
      <c r="BD1482" s="110"/>
      <c r="BE1482" s="110"/>
      <c r="BF1482" s="110"/>
      <c r="BG1482" s="110"/>
      <c r="BH1482" s="110"/>
      <c r="BI1482" s="110"/>
      <c r="BJ1482" s="110"/>
      <c r="BK1482" s="110"/>
      <c r="BL1482" s="110"/>
      <c r="BM1482" s="110"/>
      <c r="BN1482" s="110"/>
      <c r="BO1482" s="110"/>
      <c r="BP1482" s="110"/>
      <c r="BQ1482" s="110"/>
      <c r="BR1482" s="110"/>
      <c r="BS1482" s="110"/>
      <c r="BT1482" s="110"/>
      <c r="BU1482" s="110"/>
      <c r="BV1482" s="110"/>
      <c r="BW1482" s="110"/>
      <c r="BX1482" s="110"/>
      <c r="BY1482" s="110"/>
      <c r="BZ1482" s="110"/>
      <c r="CA1482" s="110"/>
      <c r="CB1482" s="110"/>
      <c r="CC1482" s="110"/>
      <c r="CD1482" s="110"/>
      <c r="CE1482" s="110"/>
      <c r="CF1482" s="110"/>
      <c r="CG1482" s="110"/>
      <c r="CH1482" s="110"/>
      <c r="CI1482" s="110"/>
      <c r="CJ1482" s="110"/>
      <c r="CK1482" s="110"/>
      <c r="CL1482" s="110"/>
      <c r="CM1482" s="110"/>
      <c r="CN1482" s="110"/>
      <c r="CO1482" s="110"/>
      <c r="CP1482" s="110"/>
      <c r="CQ1482" s="110"/>
      <c r="CR1482" s="110"/>
      <c r="CS1482" s="110"/>
      <c r="CT1482" s="110"/>
      <c r="CU1482" s="110"/>
      <c r="CV1482" s="110"/>
      <c r="CW1482" s="110"/>
      <c r="CX1482" s="110"/>
      <c r="CY1482" s="110"/>
      <c r="CZ1482" s="110"/>
      <c r="DA1482" s="110"/>
      <c r="DB1482" s="110"/>
      <c r="DC1482" s="110"/>
      <c r="DD1482" s="110"/>
      <c r="DE1482" s="110"/>
      <c r="DF1482" s="110"/>
      <c r="DG1482" s="110"/>
      <c r="DH1482" s="110"/>
      <c r="DI1482" s="110"/>
      <c r="DJ1482" s="110"/>
      <c r="DK1482" s="110"/>
      <c r="DL1482" s="110"/>
      <c r="DM1482" s="110"/>
      <c r="DN1482" s="110"/>
      <c r="DO1482" s="110"/>
      <c r="DP1482" s="110"/>
      <c r="DQ1482" s="110"/>
      <c r="DR1482" s="110"/>
      <c r="DS1482" s="110"/>
      <c r="DT1482" s="110"/>
      <c r="DU1482" s="110"/>
      <c r="DV1482" s="110"/>
      <c r="DW1482" s="110"/>
      <c r="DX1482" s="110"/>
      <c r="DY1482" s="110"/>
      <c r="DZ1482" s="110"/>
      <c r="EA1482" s="110"/>
      <c r="EB1482" s="110"/>
      <c r="EC1482" s="110"/>
      <c r="ED1482" s="110"/>
      <c r="EF1482" s="264"/>
      <c r="EG1482" s="110"/>
      <c r="EH1482" s="110"/>
      <c r="EI1482" s="110"/>
      <c r="EJ1482" s="110"/>
      <c r="EK1482" s="266"/>
      <c r="EL1482" s="110"/>
      <c r="EM1482" s="110"/>
      <c r="EN1482" s="110"/>
      <c r="EO1482" s="110"/>
      <c r="EP1482" s="110"/>
      <c r="EQ1482" s="110"/>
      <c r="ER1482" s="110"/>
      <c r="ES1482" s="110"/>
      <c r="ET1482" s="110"/>
      <c r="EU1482" s="110"/>
      <c r="EV1482" s="110"/>
      <c r="EW1482" s="110"/>
      <c r="EX1482" s="110"/>
      <c r="EY1482" s="110"/>
      <c r="EZ1482" s="110"/>
      <c r="FA1482" s="110"/>
      <c r="FB1482" s="110"/>
      <c r="FC1482" s="110"/>
      <c r="FD1482" s="110"/>
      <c r="FE1482" s="110"/>
      <c r="FF1482" s="110"/>
      <c r="FG1482" s="110"/>
      <c r="FH1482" s="110"/>
      <c r="FI1482" s="110"/>
      <c r="FJ1482" s="110"/>
      <c r="FK1482" s="110"/>
      <c r="FL1482" s="110"/>
      <c r="FM1482" s="110"/>
      <c r="FN1482" s="110"/>
      <c r="FO1482" s="110"/>
      <c r="FP1482" s="110"/>
      <c r="FQ1482" s="110"/>
      <c r="FR1482" s="110"/>
      <c r="FS1482" s="110"/>
      <c r="FT1482" s="110"/>
      <c r="FU1482" s="110"/>
      <c r="FV1482" s="110"/>
      <c r="FW1482" s="110"/>
      <c r="FX1482" s="110"/>
      <c r="FY1482" s="110"/>
      <c r="FZ1482" s="110"/>
      <c r="GA1482" s="110"/>
      <c r="GB1482" s="110"/>
      <c r="GC1482" s="110"/>
      <c r="GD1482" s="110"/>
      <c r="GE1482" s="110"/>
      <c r="GF1482" s="110"/>
      <c r="GG1482" s="110"/>
      <c r="GH1482" s="110"/>
      <c r="GI1482" s="110"/>
      <c r="GJ1482" s="110"/>
      <c r="GK1482" s="110"/>
      <c r="GL1482" s="110"/>
      <c r="GM1482" s="110"/>
      <c r="GN1482" s="110"/>
      <c r="GO1482" s="110"/>
      <c r="GP1482" s="110"/>
      <c r="GQ1482" s="110"/>
      <c r="GR1482" s="110"/>
      <c r="GS1482" s="110"/>
      <c r="GT1482" s="110"/>
      <c r="GU1482" s="110"/>
      <c r="GV1482" s="110"/>
      <c r="GW1482" s="110"/>
      <c r="GX1482" s="110"/>
      <c r="GY1482" s="110"/>
      <c r="GZ1482" s="110"/>
      <c r="HA1482" s="110"/>
      <c r="HB1482" s="110"/>
      <c r="HC1482" s="110"/>
      <c r="HD1482" s="110"/>
      <c r="HE1482" s="110"/>
      <c r="HF1482" s="110"/>
      <c r="HG1482" s="110"/>
      <c r="HH1482" s="110"/>
      <c r="HI1482" s="110"/>
      <c r="HJ1482" s="110"/>
      <c r="HK1482" s="110"/>
      <c r="HL1482" s="110"/>
      <c r="HM1482" s="110"/>
      <c r="HN1482" s="110"/>
      <c r="HO1482" s="110"/>
      <c r="HP1482" s="110"/>
      <c r="HQ1482" s="110"/>
      <c r="HR1482" s="110"/>
      <c r="HS1482" s="110"/>
      <c r="HT1482" s="110"/>
      <c r="HU1482" s="110"/>
      <c r="HV1482" s="110"/>
      <c r="HW1482" s="110"/>
      <c r="HX1482" s="110"/>
      <c r="HY1482" s="110"/>
      <c r="HZ1482" s="110"/>
      <c r="IA1482" s="110"/>
      <c r="IB1482" s="110"/>
      <c r="IC1482" s="110"/>
      <c r="ID1482" s="110"/>
      <c r="IE1482" s="110"/>
      <c r="IF1482" s="110"/>
      <c r="IG1482" s="110"/>
      <c r="IH1482" s="110"/>
      <c r="II1482" s="110"/>
      <c r="IJ1482" s="110"/>
      <c r="IK1482" s="110"/>
      <c r="IL1482" s="110"/>
      <c r="IM1482" s="110"/>
      <c r="IN1482" s="110"/>
      <c r="IO1482" s="110"/>
      <c r="IP1482" s="110"/>
      <c r="IQ1482" s="110"/>
      <c r="IR1482" s="110"/>
    </row>
    <row r="1483" spans="18:252" ht="16.5" hidden="1" customHeight="1">
      <c r="R1483" s="264"/>
      <c r="S1483" s="110"/>
      <c r="T1483" s="110"/>
      <c r="U1483" s="110"/>
      <c r="V1483" s="110"/>
      <c r="W1483" s="266"/>
      <c r="X1483" s="110"/>
      <c r="Y1483" s="110"/>
      <c r="Z1483" s="110"/>
      <c r="AA1483" s="110"/>
      <c r="AB1483" s="110"/>
      <c r="AC1483" s="110"/>
      <c r="AD1483" s="110"/>
      <c r="AE1483" s="110"/>
      <c r="AF1483" s="110"/>
      <c r="AG1483" s="110"/>
      <c r="AH1483" s="110"/>
      <c r="AI1483" s="110"/>
      <c r="AJ1483" s="110"/>
      <c r="AK1483" s="110"/>
      <c r="AL1483" s="110"/>
      <c r="AM1483" s="110"/>
      <c r="AN1483" s="110"/>
      <c r="AO1483" s="110"/>
      <c r="AP1483" s="110"/>
      <c r="AQ1483" s="110"/>
      <c r="AR1483" s="110"/>
      <c r="AS1483" s="110"/>
      <c r="AT1483" s="110"/>
      <c r="AU1483" s="110"/>
      <c r="AV1483" s="110"/>
      <c r="AW1483" s="110"/>
      <c r="AX1483" s="110"/>
      <c r="AY1483" s="110"/>
      <c r="AZ1483" s="110"/>
      <c r="BA1483" s="110"/>
      <c r="BB1483" s="110"/>
      <c r="BC1483" s="110"/>
      <c r="BD1483" s="110"/>
      <c r="BE1483" s="110"/>
      <c r="BF1483" s="110"/>
      <c r="BG1483" s="110"/>
      <c r="BH1483" s="110"/>
      <c r="BI1483" s="110"/>
      <c r="BJ1483" s="110"/>
      <c r="BK1483" s="110"/>
      <c r="BL1483" s="110"/>
      <c r="BM1483" s="110"/>
      <c r="BN1483" s="110"/>
      <c r="BO1483" s="110"/>
      <c r="BP1483" s="110"/>
      <c r="BQ1483" s="110"/>
      <c r="BR1483" s="110"/>
      <c r="BS1483" s="110"/>
      <c r="BT1483" s="110"/>
      <c r="BU1483" s="110"/>
      <c r="BV1483" s="110"/>
      <c r="BW1483" s="110"/>
      <c r="BX1483" s="110"/>
      <c r="BY1483" s="110"/>
      <c r="BZ1483" s="110"/>
      <c r="CA1483" s="110"/>
      <c r="CB1483" s="110"/>
      <c r="CC1483" s="110"/>
      <c r="CD1483" s="110"/>
      <c r="CE1483" s="110"/>
      <c r="CF1483" s="110"/>
      <c r="CG1483" s="110"/>
      <c r="CH1483" s="110"/>
      <c r="CI1483" s="110"/>
      <c r="CJ1483" s="110"/>
      <c r="CK1483" s="110"/>
      <c r="CL1483" s="110"/>
      <c r="CM1483" s="110"/>
      <c r="CN1483" s="110"/>
      <c r="CO1483" s="110"/>
      <c r="CP1483" s="110"/>
      <c r="CQ1483" s="110"/>
      <c r="CR1483" s="110"/>
      <c r="CS1483" s="110"/>
      <c r="CT1483" s="110"/>
      <c r="CU1483" s="110"/>
      <c r="CV1483" s="110"/>
      <c r="CW1483" s="110"/>
      <c r="CX1483" s="110"/>
      <c r="CY1483" s="110"/>
      <c r="CZ1483" s="110"/>
      <c r="DA1483" s="110"/>
      <c r="DB1483" s="110"/>
      <c r="DC1483" s="110"/>
      <c r="DD1483" s="110"/>
      <c r="DE1483" s="110"/>
      <c r="DF1483" s="110"/>
      <c r="DG1483" s="110"/>
      <c r="DH1483" s="110"/>
      <c r="DI1483" s="110"/>
      <c r="DJ1483" s="110"/>
      <c r="DK1483" s="110"/>
      <c r="DL1483" s="110"/>
      <c r="DM1483" s="110"/>
      <c r="DN1483" s="110"/>
      <c r="DO1483" s="110"/>
      <c r="DP1483" s="110"/>
      <c r="DQ1483" s="110"/>
      <c r="DR1483" s="110"/>
      <c r="DS1483" s="110"/>
      <c r="DT1483" s="110"/>
      <c r="DU1483" s="110"/>
      <c r="DV1483" s="110"/>
      <c r="DW1483" s="110"/>
      <c r="DX1483" s="110"/>
      <c r="DY1483" s="110"/>
      <c r="DZ1483" s="110"/>
      <c r="EA1483" s="110"/>
      <c r="EB1483" s="110"/>
      <c r="EC1483" s="110"/>
      <c r="ED1483" s="110"/>
      <c r="EF1483" s="264"/>
      <c r="EG1483" s="110"/>
      <c r="EH1483" s="110"/>
      <c r="EI1483" s="110"/>
      <c r="EJ1483" s="110"/>
      <c r="EK1483" s="266"/>
      <c r="EL1483" s="110"/>
      <c r="EM1483" s="110"/>
      <c r="EN1483" s="110"/>
      <c r="EO1483" s="110"/>
      <c r="EP1483" s="110"/>
      <c r="EQ1483" s="110"/>
      <c r="ER1483" s="110"/>
      <c r="ES1483" s="110"/>
      <c r="ET1483" s="110"/>
      <c r="EU1483" s="110"/>
      <c r="EV1483" s="110"/>
      <c r="EW1483" s="110"/>
      <c r="EX1483" s="110"/>
      <c r="EY1483" s="110"/>
      <c r="EZ1483" s="110"/>
      <c r="FA1483" s="110"/>
      <c r="FB1483" s="110"/>
      <c r="FC1483" s="110"/>
      <c r="FD1483" s="110"/>
      <c r="FE1483" s="110"/>
      <c r="FF1483" s="110"/>
      <c r="FG1483" s="110"/>
      <c r="FH1483" s="110"/>
      <c r="FI1483" s="110"/>
      <c r="FJ1483" s="110"/>
      <c r="FK1483" s="110"/>
      <c r="FL1483" s="110"/>
      <c r="FM1483" s="110"/>
      <c r="FN1483" s="110"/>
      <c r="FO1483" s="110"/>
      <c r="FP1483" s="110"/>
      <c r="FQ1483" s="110"/>
      <c r="FR1483" s="110"/>
      <c r="FS1483" s="110"/>
      <c r="FT1483" s="110"/>
      <c r="FU1483" s="110"/>
      <c r="FV1483" s="110"/>
      <c r="FW1483" s="110"/>
      <c r="FX1483" s="110"/>
      <c r="FY1483" s="110"/>
      <c r="FZ1483" s="110"/>
      <c r="GA1483" s="110"/>
      <c r="GB1483" s="110"/>
      <c r="GC1483" s="110"/>
      <c r="GD1483" s="110"/>
      <c r="GE1483" s="110"/>
      <c r="GF1483" s="110"/>
      <c r="GG1483" s="110"/>
      <c r="GH1483" s="110"/>
      <c r="GI1483" s="110"/>
      <c r="GJ1483" s="110"/>
      <c r="GK1483" s="110"/>
      <c r="GL1483" s="110"/>
      <c r="GM1483" s="110"/>
      <c r="GN1483" s="110"/>
      <c r="GO1483" s="110"/>
      <c r="GP1483" s="110"/>
      <c r="GQ1483" s="110"/>
      <c r="GR1483" s="110"/>
      <c r="GS1483" s="110"/>
      <c r="GT1483" s="110"/>
      <c r="GU1483" s="110"/>
      <c r="GV1483" s="110"/>
      <c r="GW1483" s="110"/>
      <c r="GX1483" s="110"/>
      <c r="GY1483" s="110"/>
      <c r="GZ1483" s="110"/>
      <c r="HA1483" s="110"/>
      <c r="HB1483" s="110"/>
      <c r="HC1483" s="110"/>
      <c r="HD1483" s="110"/>
      <c r="HE1483" s="110"/>
      <c r="HF1483" s="110"/>
      <c r="HG1483" s="110"/>
      <c r="HH1483" s="110"/>
      <c r="HI1483" s="110"/>
      <c r="HJ1483" s="110"/>
      <c r="HK1483" s="110"/>
      <c r="HL1483" s="110"/>
      <c r="HM1483" s="110"/>
      <c r="HN1483" s="110"/>
      <c r="HO1483" s="110"/>
      <c r="HP1483" s="110"/>
      <c r="HQ1483" s="110"/>
      <c r="HR1483" s="110"/>
      <c r="HS1483" s="110"/>
      <c r="HT1483" s="110"/>
      <c r="HU1483" s="110"/>
      <c r="HV1483" s="110"/>
      <c r="HW1483" s="110"/>
      <c r="HX1483" s="110"/>
      <c r="HY1483" s="110"/>
      <c r="HZ1483" s="110"/>
      <c r="IA1483" s="110"/>
      <c r="IB1483" s="110"/>
      <c r="IC1483" s="110"/>
      <c r="ID1483" s="110"/>
      <c r="IE1483" s="110"/>
      <c r="IF1483" s="110"/>
      <c r="IG1483" s="110"/>
      <c r="IH1483" s="110"/>
      <c r="II1483" s="110"/>
      <c r="IJ1483" s="110"/>
      <c r="IK1483" s="110"/>
      <c r="IL1483" s="110"/>
      <c r="IM1483" s="110"/>
      <c r="IN1483" s="110"/>
      <c r="IO1483" s="110"/>
      <c r="IP1483" s="110"/>
      <c r="IQ1483" s="110"/>
      <c r="IR1483" s="110"/>
    </row>
    <row r="1484" spans="18:252" ht="16.5" hidden="1" customHeight="1">
      <c r="R1484" s="264"/>
      <c r="S1484" s="110"/>
      <c r="T1484" s="110"/>
      <c r="U1484" s="110"/>
      <c r="V1484" s="110"/>
      <c r="W1484" s="266"/>
      <c r="X1484" s="110"/>
      <c r="Y1484" s="110"/>
      <c r="Z1484" s="110"/>
      <c r="AA1484" s="110"/>
      <c r="AB1484" s="110"/>
      <c r="AC1484" s="110"/>
      <c r="AD1484" s="110"/>
      <c r="AE1484" s="110"/>
      <c r="AF1484" s="110"/>
      <c r="AG1484" s="110"/>
      <c r="AH1484" s="110"/>
      <c r="AI1484" s="110"/>
      <c r="AJ1484" s="110"/>
      <c r="AK1484" s="110"/>
      <c r="AL1484" s="110"/>
      <c r="AM1484" s="110"/>
      <c r="AN1484" s="110"/>
      <c r="AO1484" s="110"/>
      <c r="AP1484" s="110"/>
      <c r="AQ1484" s="110"/>
      <c r="AR1484" s="110"/>
      <c r="AS1484" s="110"/>
      <c r="AT1484" s="110"/>
      <c r="AU1484" s="110"/>
      <c r="AV1484" s="110"/>
      <c r="AW1484" s="110"/>
      <c r="AX1484" s="110"/>
      <c r="AY1484" s="110"/>
      <c r="AZ1484" s="110"/>
      <c r="BA1484" s="110"/>
      <c r="BB1484" s="110"/>
      <c r="BC1484" s="110"/>
      <c r="BD1484" s="110"/>
      <c r="BE1484" s="110"/>
      <c r="BF1484" s="110"/>
      <c r="BG1484" s="110"/>
      <c r="BH1484" s="110"/>
      <c r="BI1484" s="110"/>
      <c r="BJ1484" s="110"/>
      <c r="BK1484" s="110"/>
      <c r="BL1484" s="110"/>
      <c r="BM1484" s="110"/>
      <c r="BN1484" s="110"/>
      <c r="BO1484" s="110"/>
      <c r="BP1484" s="110"/>
      <c r="BQ1484" s="110"/>
      <c r="BR1484" s="110"/>
      <c r="BS1484" s="110"/>
      <c r="BT1484" s="110"/>
      <c r="BU1484" s="110"/>
      <c r="BV1484" s="110"/>
      <c r="BW1484" s="110"/>
      <c r="BX1484" s="110"/>
      <c r="BY1484" s="110"/>
      <c r="BZ1484" s="110"/>
      <c r="CA1484" s="110"/>
      <c r="CB1484" s="110"/>
      <c r="CC1484" s="110"/>
      <c r="CD1484" s="110"/>
      <c r="CE1484" s="110"/>
      <c r="CF1484" s="110"/>
      <c r="CG1484" s="110"/>
      <c r="CH1484" s="110"/>
      <c r="CI1484" s="110"/>
      <c r="CJ1484" s="110"/>
      <c r="CK1484" s="110"/>
      <c r="CL1484" s="110"/>
      <c r="CM1484" s="110"/>
      <c r="CN1484" s="110"/>
      <c r="CO1484" s="110"/>
      <c r="CP1484" s="110"/>
      <c r="CQ1484" s="110"/>
      <c r="CR1484" s="110"/>
      <c r="CS1484" s="110"/>
      <c r="CT1484" s="110"/>
      <c r="CU1484" s="110"/>
      <c r="CV1484" s="110"/>
      <c r="CW1484" s="110"/>
      <c r="CX1484" s="110"/>
      <c r="CY1484" s="110"/>
      <c r="CZ1484" s="110"/>
      <c r="DA1484" s="110"/>
      <c r="DB1484" s="110"/>
      <c r="DC1484" s="110"/>
      <c r="DD1484" s="110"/>
      <c r="DE1484" s="110"/>
      <c r="DF1484" s="110"/>
      <c r="DG1484" s="110"/>
      <c r="DH1484" s="110"/>
      <c r="DI1484" s="110"/>
      <c r="DJ1484" s="110"/>
      <c r="DK1484" s="110"/>
      <c r="DL1484" s="110"/>
      <c r="DM1484" s="110"/>
      <c r="DN1484" s="110"/>
      <c r="DO1484" s="110"/>
      <c r="DP1484" s="110"/>
      <c r="DQ1484" s="110"/>
      <c r="DR1484" s="110"/>
      <c r="DS1484" s="110"/>
      <c r="DT1484" s="110"/>
      <c r="DU1484" s="110"/>
      <c r="DV1484" s="110"/>
      <c r="DW1484" s="110"/>
      <c r="DX1484" s="110"/>
      <c r="DY1484" s="110"/>
      <c r="DZ1484" s="110"/>
      <c r="EA1484" s="110"/>
      <c r="EB1484" s="110"/>
      <c r="EC1484" s="110"/>
      <c r="ED1484" s="110"/>
      <c r="EF1484" s="264"/>
      <c r="EG1484" s="110"/>
      <c r="EH1484" s="110"/>
      <c r="EI1484" s="110"/>
      <c r="EJ1484" s="110"/>
      <c r="EK1484" s="266"/>
      <c r="EL1484" s="110"/>
      <c r="EM1484" s="110"/>
      <c r="EN1484" s="110"/>
      <c r="EO1484" s="110"/>
      <c r="EP1484" s="110"/>
      <c r="EQ1484" s="110"/>
      <c r="ER1484" s="110"/>
      <c r="ES1484" s="110"/>
      <c r="ET1484" s="110"/>
      <c r="EU1484" s="110"/>
      <c r="EV1484" s="110"/>
      <c r="EW1484" s="110"/>
      <c r="EX1484" s="110"/>
      <c r="EY1484" s="110"/>
      <c r="EZ1484" s="110"/>
      <c r="FA1484" s="110"/>
      <c r="FB1484" s="110"/>
      <c r="FC1484" s="110"/>
      <c r="FD1484" s="110"/>
      <c r="FE1484" s="110"/>
      <c r="FF1484" s="110"/>
      <c r="FG1484" s="110"/>
      <c r="FH1484" s="110"/>
      <c r="FI1484" s="110"/>
      <c r="FJ1484" s="110"/>
      <c r="FK1484" s="110"/>
      <c r="FL1484" s="110"/>
      <c r="FM1484" s="110"/>
      <c r="FN1484" s="110"/>
      <c r="FO1484" s="110"/>
      <c r="FP1484" s="110"/>
      <c r="FQ1484" s="110"/>
      <c r="FR1484" s="110"/>
      <c r="FS1484" s="110"/>
      <c r="FT1484" s="110"/>
      <c r="FU1484" s="110"/>
      <c r="FV1484" s="110"/>
      <c r="FW1484" s="110"/>
      <c r="FX1484" s="110"/>
      <c r="FY1484" s="110"/>
      <c r="FZ1484" s="110"/>
      <c r="GA1484" s="110"/>
      <c r="GB1484" s="110"/>
      <c r="GC1484" s="110"/>
      <c r="GD1484" s="110"/>
      <c r="GE1484" s="110"/>
      <c r="GF1484" s="110"/>
      <c r="GG1484" s="110"/>
      <c r="GH1484" s="110"/>
      <c r="GI1484" s="110"/>
      <c r="GJ1484" s="110"/>
      <c r="GK1484" s="110"/>
      <c r="GL1484" s="110"/>
      <c r="GM1484" s="110"/>
      <c r="GN1484" s="110"/>
      <c r="GO1484" s="110"/>
      <c r="GP1484" s="110"/>
      <c r="GQ1484" s="110"/>
      <c r="GR1484" s="110"/>
      <c r="GS1484" s="110"/>
      <c r="GT1484" s="110"/>
      <c r="GU1484" s="110"/>
      <c r="GV1484" s="110"/>
      <c r="GW1484" s="110"/>
      <c r="GX1484" s="110"/>
      <c r="GY1484" s="110"/>
      <c r="GZ1484" s="110"/>
      <c r="HA1484" s="110"/>
      <c r="HB1484" s="110"/>
      <c r="HC1484" s="110"/>
      <c r="HD1484" s="110"/>
      <c r="HE1484" s="110"/>
      <c r="HF1484" s="110"/>
      <c r="HG1484" s="110"/>
      <c r="HH1484" s="110"/>
      <c r="HI1484" s="110"/>
      <c r="HJ1484" s="110"/>
      <c r="HK1484" s="110"/>
      <c r="HL1484" s="110"/>
      <c r="HM1484" s="110"/>
      <c r="HN1484" s="110"/>
      <c r="HO1484" s="110"/>
      <c r="HP1484" s="110"/>
      <c r="HQ1484" s="110"/>
      <c r="HR1484" s="110"/>
      <c r="HS1484" s="110"/>
      <c r="HT1484" s="110"/>
      <c r="HU1484" s="110"/>
      <c r="HV1484" s="110"/>
      <c r="HW1484" s="110"/>
      <c r="HX1484" s="110"/>
      <c r="HY1484" s="110"/>
      <c r="HZ1484" s="110"/>
      <c r="IA1484" s="110"/>
      <c r="IB1484" s="110"/>
      <c r="IC1484" s="110"/>
      <c r="ID1484" s="110"/>
      <c r="IE1484" s="110"/>
      <c r="IF1484" s="110"/>
      <c r="IG1484" s="110"/>
      <c r="IH1484" s="110"/>
      <c r="II1484" s="110"/>
      <c r="IJ1484" s="110"/>
      <c r="IK1484" s="110"/>
      <c r="IL1484" s="110"/>
      <c r="IM1484" s="110"/>
      <c r="IN1484" s="110"/>
      <c r="IO1484" s="110"/>
      <c r="IP1484" s="110"/>
      <c r="IQ1484" s="110"/>
      <c r="IR1484" s="110"/>
    </row>
    <row r="1485" spans="18:252" ht="16.5" hidden="1" customHeight="1">
      <c r="R1485" s="264"/>
      <c r="S1485" s="110"/>
      <c r="T1485" s="110"/>
      <c r="U1485" s="110"/>
      <c r="V1485" s="110"/>
      <c r="W1485" s="266"/>
      <c r="X1485" s="110"/>
      <c r="Y1485" s="110"/>
      <c r="Z1485" s="110"/>
      <c r="AA1485" s="110"/>
      <c r="AB1485" s="110"/>
      <c r="AC1485" s="110"/>
      <c r="AD1485" s="110"/>
      <c r="AE1485" s="110"/>
      <c r="AF1485" s="110"/>
      <c r="AG1485" s="110"/>
      <c r="AH1485" s="110"/>
      <c r="AI1485" s="110"/>
      <c r="AJ1485" s="110"/>
      <c r="AK1485" s="110"/>
      <c r="AL1485" s="110"/>
      <c r="AM1485" s="110"/>
      <c r="AN1485" s="110"/>
      <c r="AO1485" s="110"/>
      <c r="AP1485" s="110"/>
      <c r="AQ1485" s="110"/>
      <c r="AR1485" s="110"/>
      <c r="AS1485" s="110"/>
      <c r="AT1485" s="110"/>
      <c r="AU1485" s="110"/>
      <c r="AV1485" s="110"/>
      <c r="AW1485" s="110"/>
      <c r="AX1485" s="110"/>
      <c r="AY1485" s="110"/>
      <c r="AZ1485" s="110"/>
      <c r="BA1485" s="110"/>
      <c r="BB1485" s="110"/>
      <c r="BC1485" s="110"/>
      <c r="BD1485" s="110"/>
      <c r="BE1485" s="110"/>
      <c r="BF1485" s="110"/>
      <c r="BG1485" s="110"/>
      <c r="BH1485" s="110"/>
      <c r="BI1485" s="110"/>
      <c r="BJ1485" s="110"/>
      <c r="BK1485" s="110"/>
      <c r="BL1485" s="110"/>
      <c r="BM1485" s="110"/>
      <c r="BN1485" s="110"/>
      <c r="BO1485" s="110"/>
      <c r="BP1485" s="110"/>
      <c r="BQ1485" s="110"/>
      <c r="BR1485" s="110"/>
      <c r="BS1485" s="110"/>
      <c r="BT1485" s="110"/>
      <c r="BU1485" s="110"/>
      <c r="BV1485" s="110"/>
      <c r="BW1485" s="110"/>
      <c r="BX1485" s="110"/>
      <c r="BY1485" s="110"/>
      <c r="BZ1485" s="110"/>
      <c r="CA1485" s="110"/>
      <c r="CB1485" s="110"/>
      <c r="CC1485" s="110"/>
      <c r="CD1485" s="110"/>
      <c r="CE1485" s="110"/>
      <c r="CF1485" s="110"/>
      <c r="CG1485" s="110"/>
      <c r="CH1485" s="110"/>
      <c r="CI1485" s="110"/>
      <c r="CJ1485" s="110"/>
      <c r="CK1485" s="110"/>
      <c r="CL1485" s="110"/>
      <c r="CM1485" s="110"/>
      <c r="CN1485" s="110"/>
      <c r="CO1485" s="110"/>
      <c r="CP1485" s="110"/>
      <c r="CQ1485" s="110"/>
      <c r="CR1485" s="110"/>
      <c r="CS1485" s="110"/>
      <c r="CT1485" s="110"/>
      <c r="CU1485" s="110"/>
      <c r="CV1485" s="110"/>
      <c r="CW1485" s="110"/>
      <c r="CX1485" s="110"/>
      <c r="CY1485" s="110"/>
      <c r="CZ1485" s="110"/>
      <c r="DA1485" s="110"/>
      <c r="DB1485" s="110"/>
      <c r="DC1485" s="110"/>
      <c r="DD1485" s="110"/>
      <c r="DE1485" s="110"/>
      <c r="DF1485" s="110"/>
      <c r="DG1485" s="110"/>
      <c r="DH1485" s="110"/>
      <c r="DI1485" s="110"/>
      <c r="DJ1485" s="110"/>
      <c r="DK1485" s="110"/>
      <c r="DL1485" s="110"/>
      <c r="DM1485" s="110"/>
      <c r="DN1485" s="110"/>
      <c r="DO1485" s="110"/>
      <c r="DP1485" s="110"/>
      <c r="DQ1485" s="110"/>
      <c r="DR1485" s="110"/>
      <c r="DS1485" s="110"/>
      <c r="DT1485" s="110"/>
      <c r="DU1485" s="110"/>
      <c r="DV1485" s="110"/>
      <c r="DW1485" s="110"/>
      <c r="DX1485" s="110"/>
      <c r="DY1485" s="110"/>
      <c r="DZ1485" s="110"/>
      <c r="EA1485" s="110"/>
      <c r="EB1485" s="110"/>
      <c r="EC1485" s="110"/>
      <c r="ED1485" s="110"/>
      <c r="EF1485" s="264"/>
      <c r="EG1485" s="110"/>
      <c r="EH1485" s="110"/>
      <c r="EI1485" s="110"/>
      <c r="EJ1485" s="110"/>
      <c r="EK1485" s="266"/>
      <c r="EL1485" s="110"/>
      <c r="EM1485" s="110"/>
      <c r="EN1485" s="110"/>
      <c r="EO1485" s="110"/>
      <c r="EP1485" s="110"/>
      <c r="EQ1485" s="110"/>
      <c r="ER1485" s="110"/>
      <c r="ES1485" s="110"/>
      <c r="ET1485" s="110"/>
      <c r="EU1485" s="110"/>
      <c r="EV1485" s="110"/>
      <c r="EW1485" s="110"/>
      <c r="EX1485" s="110"/>
      <c r="EY1485" s="110"/>
      <c r="EZ1485" s="110"/>
      <c r="FA1485" s="110"/>
      <c r="FB1485" s="110"/>
      <c r="FC1485" s="110"/>
      <c r="FD1485" s="110"/>
      <c r="FE1485" s="110"/>
      <c r="FF1485" s="110"/>
      <c r="FG1485" s="110"/>
      <c r="FH1485" s="110"/>
      <c r="FI1485" s="110"/>
      <c r="FJ1485" s="110"/>
      <c r="FK1485" s="110"/>
      <c r="FL1485" s="110"/>
      <c r="FM1485" s="110"/>
      <c r="FN1485" s="110"/>
      <c r="FO1485" s="110"/>
      <c r="FP1485" s="110"/>
      <c r="FQ1485" s="110"/>
      <c r="FR1485" s="110"/>
      <c r="FS1485" s="110"/>
      <c r="FT1485" s="110"/>
      <c r="FU1485" s="110"/>
      <c r="FV1485" s="110"/>
      <c r="FW1485" s="110"/>
      <c r="FX1485" s="110"/>
      <c r="FY1485" s="110"/>
      <c r="FZ1485" s="110"/>
      <c r="GA1485" s="110"/>
      <c r="GB1485" s="110"/>
      <c r="GC1485" s="110"/>
      <c r="GD1485" s="110"/>
      <c r="GE1485" s="110"/>
      <c r="GF1485" s="110"/>
      <c r="GG1485" s="110"/>
      <c r="GH1485" s="110"/>
      <c r="GI1485" s="110"/>
      <c r="GJ1485" s="110"/>
      <c r="GK1485" s="110"/>
      <c r="GL1485" s="110"/>
      <c r="GM1485" s="110"/>
      <c r="GN1485" s="110"/>
      <c r="GO1485" s="110"/>
      <c r="GP1485" s="110"/>
      <c r="GQ1485" s="110"/>
      <c r="GR1485" s="110"/>
      <c r="GS1485" s="110"/>
      <c r="GT1485" s="110"/>
      <c r="GU1485" s="110"/>
      <c r="GV1485" s="110"/>
      <c r="GW1485" s="110"/>
      <c r="GX1485" s="110"/>
      <c r="GY1485" s="110"/>
      <c r="GZ1485" s="110"/>
      <c r="HA1485" s="110"/>
      <c r="HB1485" s="110"/>
      <c r="HC1485" s="110"/>
      <c r="HD1485" s="110"/>
      <c r="HE1485" s="110"/>
      <c r="HF1485" s="110"/>
      <c r="HG1485" s="110"/>
      <c r="HH1485" s="110"/>
      <c r="HI1485" s="110"/>
      <c r="HJ1485" s="110"/>
      <c r="HK1485" s="110"/>
      <c r="HL1485" s="110"/>
      <c r="HM1485" s="110"/>
      <c r="HN1485" s="110"/>
      <c r="HO1485" s="110"/>
      <c r="HP1485" s="110"/>
      <c r="HQ1485" s="110"/>
      <c r="HR1485" s="110"/>
      <c r="HS1485" s="110"/>
      <c r="HT1485" s="110"/>
      <c r="HU1485" s="110"/>
      <c r="HV1485" s="110"/>
      <c r="HW1485" s="110"/>
      <c r="HX1485" s="110"/>
      <c r="HY1485" s="110"/>
      <c r="HZ1485" s="110"/>
      <c r="IA1485" s="110"/>
      <c r="IB1485" s="110"/>
      <c r="IC1485" s="110"/>
      <c r="ID1485" s="110"/>
      <c r="IE1485" s="110"/>
      <c r="IF1485" s="110"/>
      <c r="IG1485" s="110"/>
      <c r="IH1485" s="110"/>
      <c r="II1485" s="110"/>
      <c r="IJ1485" s="110"/>
      <c r="IK1485" s="110"/>
      <c r="IL1485" s="110"/>
      <c r="IM1485" s="110"/>
      <c r="IN1485" s="110"/>
      <c r="IO1485" s="110"/>
      <c r="IP1485" s="110"/>
      <c r="IQ1485" s="110"/>
      <c r="IR1485" s="110"/>
    </row>
    <row r="1486" spans="18:252" ht="16.5" hidden="1" customHeight="1">
      <c r="R1486" s="264"/>
      <c r="S1486" s="110"/>
      <c r="T1486" s="110"/>
      <c r="U1486" s="110"/>
      <c r="V1486" s="110"/>
      <c r="W1486" s="266"/>
      <c r="X1486" s="110"/>
      <c r="Y1486" s="110"/>
      <c r="Z1486" s="110"/>
      <c r="AA1486" s="110"/>
      <c r="AB1486" s="110"/>
      <c r="AC1486" s="110"/>
      <c r="AD1486" s="110"/>
      <c r="AE1486" s="110"/>
      <c r="AF1486" s="110"/>
      <c r="AG1486" s="110"/>
      <c r="AH1486" s="110"/>
      <c r="AI1486" s="110"/>
      <c r="AJ1486" s="110"/>
      <c r="AK1486" s="110"/>
      <c r="AL1486" s="110"/>
      <c r="AM1486" s="110"/>
      <c r="AN1486" s="110"/>
      <c r="AO1486" s="110"/>
      <c r="AP1486" s="110"/>
      <c r="AQ1486" s="110"/>
      <c r="AR1486" s="110"/>
      <c r="AS1486" s="110"/>
      <c r="AT1486" s="110"/>
      <c r="AU1486" s="110"/>
      <c r="AV1486" s="110"/>
      <c r="AW1486" s="110"/>
      <c r="AX1486" s="110"/>
      <c r="AY1486" s="110"/>
      <c r="AZ1486" s="110"/>
      <c r="BA1486" s="110"/>
      <c r="BB1486" s="110"/>
      <c r="BC1486" s="110"/>
      <c r="BD1486" s="110"/>
      <c r="BE1486" s="110"/>
      <c r="BF1486" s="110"/>
      <c r="BG1486" s="110"/>
      <c r="BH1486" s="110"/>
      <c r="BI1486" s="110"/>
      <c r="BJ1486" s="110"/>
      <c r="BK1486" s="110"/>
      <c r="BL1486" s="110"/>
      <c r="BM1486" s="110"/>
      <c r="BN1486" s="110"/>
      <c r="BO1486" s="110"/>
      <c r="BP1486" s="110"/>
      <c r="BQ1486" s="110"/>
      <c r="BR1486" s="110"/>
      <c r="BS1486" s="110"/>
      <c r="BT1486" s="110"/>
      <c r="BU1486" s="110"/>
      <c r="BV1486" s="110"/>
      <c r="BW1486" s="110"/>
      <c r="BX1486" s="110"/>
      <c r="BY1486" s="110"/>
      <c r="BZ1486" s="110"/>
      <c r="CA1486" s="110"/>
      <c r="CB1486" s="110"/>
      <c r="CC1486" s="110"/>
      <c r="CD1486" s="110"/>
      <c r="CE1486" s="110"/>
      <c r="CF1486" s="110"/>
      <c r="CG1486" s="110"/>
      <c r="CH1486" s="110"/>
      <c r="CI1486" s="110"/>
      <c r="CJ1486" s="110"/>
      <c r="CK1486" s="110"/>
      <c r="CL1486" s="110"/>
      <c r="CM1486" s="110"/>
      <c r="CN1486" s="110"/>
      <c r="CO1486" s="110"/>
      <c r="CP1486" s="110"/>
      <c r="CQ1486" s="110"/>
      <c r="CR1486" s="110"/>
      <c r="CS1486" s="110"/>
      <c r="CT1486" s="110"/>
      <c r="CU1486" s="110"/>
      <c r="CV1486" s="110"/>
      <c r="CW1486" s="110"/>
      <c r="CX1486" s="110"/>
      <c r="CY1486" s="110"/>
      <c r="CZ1486" s="110"/>
      <c r="DA1486" s="110"/>
      <c r="DB1486" s="110"/>
      <c r="DC1486" s="110"/>
      <c r="DD1486" s="110"/>
      <c r="DE1486" s="110"/>
      <c r="DF1486" s="110"/>
      <c r="DG1486" s="110"/>
      <c r="DH1486" s="110"/>
      <c r="DI1486" s="110"/>
      <c r="DJ1486" s="110"/>
      <c r="DK1486" s="110"/>
      <c r="DL1486" s="110"/>
      <c r="DM1486" s="110"/>
      <c r="DN1486" s="110"/>
      <c r="DO1486" s="110"/>
      <c r="DP1486" s="110"/>
      <c r="DQ1486" s="110"/>
      <c r="DR1486" s="110"/>
      <c r="DS1486" s="110"/>
      <c r="DT1486" s="110"/>
      <c r="DU1486" s="110"/>
      <c r="DV1486" s="110"/>
      <c r="DW1486" s="110"/>
      <c r="DX1486" s="110"/>
      <c r="DY1486" s="110"/>
      <c r="DZ1486" s="110"/>
      <c r="EA1486" s="110"/>
      <c r="EB1486" s="110"/>
      <c r="EC1486" s="110"/>
      <c r="ED1486" s="110"/>
      <c r="EF1486" s="264"/>
      <c r="EG1486" s="110"/>
      <c r="EH1486" s="110"/>
      <c r="EI1486" s="110"/>
      <c r="EJ1486" s="110"/>
      <c r="EK1486" s="266"/>
      <c r="EL1486" s="110"/>
      <c r="EM1486" s="110"/>
      <c r="EN1486" s="110"/>
      <c r="EO1486" s="110"/>
      <c r="EP1486" s="110"/>
      <c r="EQ1486" s="110"/>
      <c r="ER1486" s="110"/>
      <c r="ES1486" s="110"/>
      <c r="ET1486" s="110"/>
      <c r="EU1486" s="110"/>
      <c r="EV1486" s="110"/>
      <c r="EW1486" s="110"/>
      <c r="EX1486" s="110"/>
      <c r="EY1486" s="110"/>
      <c r="EZ1486" s="110"/>
      <c r="FA1486" s="110"/>
      <c r="FB1486" s="110"/>
      <c r="FC1486" s="110"/>
      <c r="FD1486" s="110"/>
      <c r="FE1486" s="110"/>
      <c r="FF1486" s="110"/>
      <c r="FG1486" s="110"/>
      <c r="FH1486" s="110"/>
      <c r="FI1486" s="110"/>
      <c r="FJ1486" s="110"/>
      <c r="FK1486" s="110"/>
      <c r="FL1486" s="110"/>
      <c r="FM1486" s="110"/>
      <c r="FN1486" s="110"/>
      <c r="FO1486" s="110"/>
      <c r="FP1486" s="110"/>
      <c r="FQ1486" s="110"/>
      <c r="FR1486" s="110"/>
      <c r="FS1486" s="110"/>
      <c r="FT1486" s="110"/>
      <c r="FU1486" s="110"/>
      <c r="FV1486" s="110"/>
      <c r="FW1486" s="110"/>
      <c r="FX1486" s="110"/>
      <c r="FY1486" s="110"/>
      <c r="FZ1486" s="110"/>
      <c r="GA1486" s="110"/>
      <c r="GB1486" s="110"/>
      <c r="GC1486" s="110"/>
      <c r="GD1486" s="110"/>
      <c r="GE1486" s="110"/>
      <c r="GF1486" s="110"/>
      <c r="GG1486" s="110"/>
      <c r="GH1486" s="110"/>
      <c r="GI1486" s="110"/>
      <c r="GJ1486" s="110"/>
      <c r="GK1486" s="110"/>
      <c r="GL1486" s="110"/>
      <c r="GM1486" s="110"/>
      <c r="GN1486" s="110"/>
      <c r="GO1486" s="110"/>
      <c r="GP1486" s="110"/>
      <c r="GQ1486" s="110"/>
      <c r="GR1486" s="110"/>
      <c r="GS1486" s="110"/>
      <c r="GT1486" s="110"/>
      <c r="GU1486" s="110"/>
      <c r="GV1486" s="110"/>
      <c r="GW1486" s="110"/>
      <c r="GX1486" s="110"/>
      <c r="GY1486" s="110"/>
      <c r="GZ1486" s="110"/>
      <c r="HA1486" s="110"/>
      <c r="HB1486" s="110"/>
      <c r="HC1486" s="110"/>
      <c r="HD1486" s="110"/>
      <c r="HE1486" s="110"/>
      <c r="HF1486" s="110"/>
      <c r="HG1486" s="110"/>
      <c r="HH1486" s="110"/>
      <c r="HI1486" s="110"/>
      <c r="HJ1486" s="110"/>
      <c r="HK1486" s="110"/>
      <c r="HL1486" s="110"/>
      <c r="HM1486" s="110"/>
      <c r="HN1486" s="110"/>
      <c r="HO1486" s="110"/>
      <c r="HP1486" s="110"/>
      <c r="HQ1486" s="110"/>
      <c r="HR1486" s="110"/>
      <c r="HS1486" s="110"/>
      <c r="HT1486" s="110"/>
      <c r="HU1486" s="110"/>
      <c r="HV1486" s="110"/>
      <c r="HW1486" s="110"/>
      <c r="HX1486" s="110"/>
      <c r="HY1486" s="110"/>
      <c r="HZ1486" s="110"/>
      <c r="IA1486" s="110"/>
      <c r="IB1486" s="110"/>
      <c r="IC1486" s="110"/>
      <c r="ID1486" s="110"/>
      <c r="IE1486" s="110"/>
      <c r="IF1486" s="110"/>
      <c r="IG1486" s="110"/>
      <c r="IH1486" s="110"/>
      <c r="II1486" s="110"/>
      <c r="IJ1486" s="110"/>
      <c r="IK1486" s="110"/>
      <c r="IL1486" s="110"/>
      <c r="IM1486" s="110"/>
      <c r="IN1486" s="110"/>
      <c r="IO1486" s="110"/>
      <c r="IP1486" s="110"/>
      <c r="IQ1486" s="110"/>
      <c r="IR1486" s="110"/>
    </row>
    <row r="1487" spans="18:252" ht="16.5" hidden="1" customHeight="1">
      <c r="R1487" s="264"/>
      <c r="S1487" s="110"/>
      <c r="T1487" s="110"/>
      <c r="U1487" s="110"/>
      <c r="V1487" s="110"/>
      <c r="W1487" s="266"/>
      <c r="X1487" s="110"/>
      <c r="Y1487" s="110"/>
      <c r="Z1487" s="110"/>
      <c r="AA1487" s="110"/>
      <c r="AB1487" s="110"/>
      <c r="AC1487" s="110"/>
      <c r="AD1487" s="110"/>
      <c r="AE1487" s="110"/>
      <c r="AF1487" s="110"/>
      <c r="AG1487" s="110"/>
      <c r="AH1487" s="110"/>
      <c r="AI1487" s="110"/>
      <c r="AJ1487" s="110"/>
      <c r="AK1487" s="110"/>
      <c r="AL1487" s="110"/>
      <c r="AM1487" s="110"/>
      <c r="AN1487" s="110"/>
      <c r="AO1487" s="110"/>
      <c r="AP1487" s="110"/>
      <c r="AQ1487" s="110"/>
      <c r="AR1487" s="110"/>
      <c r="AS1487" s="110"/>
      <c r="AT1487" s="110"/>
      <c r="AU1487" s="110"/>
      <c r="AV1487" s="110"/>
      <c r="AW1487" s="110"/>
      <c r="AX1487" s="110"/>
      <c r="AY1487" s="110"/>
      <c r="AZ1487" s="110"/>
      <c r="BA1487" s="110"/>
      <c r="BB1487" s="110"/>
      <c r="BC1487" s="110"/>
      <c r="BD1487" s="110"/>
      <c r="BE1487" s="110"/>
      <c r="BF1487" s="110"/>
      <c r="BG1487" s="110"/>
      <c r="BH1487" s="110"/>
      <c r="BI1487" s="110"/>
      <c r="BJ1487" s="110"/>
      <c r="BK1487" s="110"/>
      <c r="BL1487" s="110"/>
      <c r="BM1487" s="110"/>
      <c r="BN1487" s="110"/>
      <c r="BO1487" s="110"/>
      <c r="BP1487" s="110"/>
      <c r="BQ1487" s="110"/>
      <c r="BR1487" s="110"/>
      <c r="BS1487" s="110"/>
      <c r="BT1487" s="110"/>
      <c r="BU1487" s="110"/>
      <c r="BV1487" s="110"/>
      <c r="BW1487" s="110"/>
      <c r="BX1487" s="110"/>
      <c r="BY1487" s="110"/>
      <c r="BZ1487" s="110"/>
      <c r="CA1487" s="110"/>
      <c r="CB1487" s="110"/>
      <c r="CC1487" s="110"/>
      <c r="CD1487" s="110"/>
      <c r="CE1487" s="110"/>
      <c r="CF1487" s="110"/>
      <c r="CG1487" s="110"/>
      <c r="CH1487" s="110"/>
      <c r="CI1487" s="110"/>
      <c r="CJ1487" s="110"/>
      <c r="CK1487" s="110"/>
      <c r="CL1487" s="110"/>
      <c r="CM1487" s="110"/>
      <c r="CN1487" s="110"/>
      <c r="CO1487" s="110"/>
      <c r="CP1487" s="110"/>
      <c r="CQ1487" s="110"/>
      <c r="CR1487" s="110"/>
      <c r="CS1487" s="110"/>
      <c r="CT1487" s="110"/>
      <c r="CU1487" s="110"/>
      <c r="CV1487" s="110"/>
      <c r="CW1487" s="110"/>
      <c r="CX1487" s="110"/>
      <c r="CY1487" s="110"/>
      <c r="CZ1487" s="110"/>
      <c r="DA1487" s="110"/>
      <c r="DB1487" s="110"/>
      <c r="DC1487" s="110"/>
      <c r="DD1487" s="110"/>
      <c r="DE1487" s="110"/>
      <c r="DF1487" s="110"/>
      <c r="DG1487" s="110"/>
      <c r="DH1487" s="110"/>
      <c r="DI1487" s="110"/>
      <c r="DJ1487" s="110"/>
      <c r="DK1487" s="110"/>
      <c r="DL1487" s="110"/>
      <c r="DM1487" s="110"/>
      <c r="DN1487" s="110"/>
      <c r="DO1487" s="110"/>
      <c r="DP1487" s="110"/>
      <c r="DQ1487" s="110"/>
      <c r="DR1487" s="110"/>
      <c r="DS1487" s="110"/>
      <c r="DT1487" s="110"/>
      <c r="DU1487" s="110"/>
      <c r="DV1487" s="110"/>
      <c r="DW1487" s="110"/>
      <c r="DX1487" s="110"/>
      <c r="DY1487" s="110"/>
      <c r="DZ1487" s="110"/>
      <c r="EA1487" s="110"/>
      <c r="EB1487" s="110"/>
      <c r="EC1487" s="110"/>
      <c r="ED1487" s="110"/>
      <c r="EF1487" s="264"/>
      <c r="EG1487" s="110"/>
      <c r="EH1487" s="110"/>
      <c r="EI1487" s="110"/>
      <c r="EJ1487" s="110"/>
      <c r="EK1487" s="266"/>
      <c r="EL1487" s="110"/>
      <c r="EM1487" s="110"/>
      <c r="EN1487" s="110"/>
      <c r="EO1487" s="110"/>
      <c r="EP1487" s="110"/>
      <c r="EQ1487" s="110"/>
      <c r="ER1487" s="110"/>
      <c r="ES1487" s="110"/>
      <c r="ET1487" s="110"/>
      <c r="EU1487" s="110"/>
      <c r="EV1487" s="110"/>
      <c r="EW1487" s="110"/>
      <c r="EX1487" s="110"/>
      <c r="EY1487" s="110"/>
      <c r="EZ1487" s="110"/>
      <c r="FA1487" s="110"/>
      <c r="FB1487" s="110"/>
      <c r="FC1487" s="110"/>
      <c r="FD1487" s="110"/>
      <c r="FE1487" s="110"/>
      <c r="FF1487" s="110"/>
      <c r="FG1487" s="110"/>
      <c r="FH1487" s="110"/>
      <c r="FI1487" s="110"/>
      <c r="FJ1487" s="110"/>
      <c r="FK1487" s="110"/>
      <c r="FL1487" s="110"/>
      <c r="FM1487" s="110"/>
      <c r="FN1487" s="110"/>
      <c r="FO1487" s="110"/>
      <c r="FP1487" s="110"/>
      <c r="FQ1487" s="110"/>
      <c r="FR1487" s="110"/>
      <c r="FS1487" s="110"/>
      <c r="FT1487" s="110"/>
      <c r="FU1487" s="110"/>
      <c r="FV1487" s="110"/>
      <c r="FW1487" s="110"/>
      <c r="FX1487" s="110"/>
      <c r="FY1487" s="110"/>
      <c r="FZ1487" s="110"/>
      <c r="GA1487" s="110"/>
      <c r="GB1487" s="110"/>
      <c r="GC1487" s="110"/>
      <c r="GD1487" s="110"/>
      <c r="GE1487" s="110"/>
      <c r="GF1487" s="110"/>
      <c r="GG1487" s="110"/>
      <c r="GH1487" s="110"/>
      <c r="GI1487" s="110"/>
      <c r="GJ1487" s="110"/>
      <c r="GK1487" s="110"/>
      <c r="GL1487" s="110"/>
      <c r="GM1487" s="110"/>
      <c r="GN1487" s="110"/>
      <c r="GO1487" s="110"/>
      <c r="GP1487" s="110"/>
      <c r="GQ1487" s="110"/>
      <c r="GR1487" s="110"/>
      <c r="GS1487" s="110"/>
      <c r="GT1487" s="110"/>
      <c r="GU1487" s="110"/>
      <c r="GV1487" s="110"/>
      <c r="GW1487" s="110"/>
      <c r="GX1487" s="110"/>
      <c r="GY1487" s="110"/>
      <c r="GZ1487" s="110"/>
      <c r="HA1487" s="110"/>
      <c r="HB1487" s="110"/>
      <c r="HC1487" s="110"/>
      <c r="HD1487" s="110"/>
      <c r="HE1487" s="110"/>
      <c r="HF1487" s="110"/>
      <c r="HG1487" s="110"/>
      <c r="HH1487" s="110"/>
      <c r="HI1487" s="110"/>
      <c r="HJ1487" s="110"/>
      <c r="HK1487" s="110"/>
      <c r="HL1487" s="110"/>
      <c r="HM1487" s="110"/>
      <c r="HN1487" s="110"/>
      <c r="HO1487" s="110"/>
      <c r="HP1487" s="110"/>
      <c r="HQ1487" s="110"/>
      <c r="HR1487" s="110"/>
      <c r="HS1487" s="110"/>
      <c r="HT1487" s="110"/>
      <c r="HU1487" s="110"/>
      <c r="HV1487" s="110"/>
      <c r="HW1487" s="110"/>
      <c r="HX1487" s="110"/>
      <c r="HY1487" s="110"/>
      <c r="HZ1487" s="110"/>
      <c r="IA1487" s="110"/>
      <c r="IB1487" s="110"/>
      <c r="IC1487" s="110"/>
      <c r="ID1487" s="110"/>
      <c r="IE1487" s="110"/>
      <c r="IF1487" s="110"/>
      <c r="IG1487" s="110"/>
      <c r="IH1487" s="110"/>
      <c r="II1487" s="110"/>
      <c r="IJ1487" s="110"/>
      <c r="IK1487" s="110"/>
      <c r="IL1487" s="110"/>
      <c r="IM1487" s="110"/>
      <c r="IN1487" s="110"/>
      <c r="IO1487" s="110"/>
      <c r="IP1487" s="110"/>
      <c r="IQ1487" s="110"/>
      <c r="IR1487" s="110"/>
    </row>
    <row r="1488" spans="18:252" ht="16.5" hidden="1" customHeight="1">
      <c r="R1488" s="264"/>
      <c r="S1488" s="110"/>
      <c r="T1488" s="110"/>
      <c r="U1488" s="110"/>
      <c r="V1488" s="110"/>
      <c r="W1488" s="266"/>
      <c r="X1488" s="110"/>
      <c r="Y1488" s="110"/>
      <c r="Z1488" s="110"/>
      <c r="AA1488" s="110"/>
      <c r="AB1488" s="110"/>
      <c r="AC1488" s="110"/>
      <c r="AD1488" s="110"/>
      <c r="AE1488" s="110"/>
      <c r="AF1488" s="110"/>
      <c r="AG1488" s="110"/>
      <c r="AH1488" s="110"/>
      <c r="AI1488" s="110"/>
      <c r="AJ1488" s="110"/>
      <c r="AK1488" s="110"/>
      <c r="AL1488" s="110"/>
      <c r="AM1488" s="110"/>
      <c r="AN1488" s="110"/>
      <c r="AO1488" s="110"/>
      <c r="AP1488" s="110"/>
      <c r="AQ1488" s="110"/>
      <c r="AR1488" s="110"/>
      <c r="AS1488" s="110"/>
      <c r="AT1488" s="110"/>
      <c r="AU1488" s="110"/>
      <c r="AV1488" s="110"/>
      <c r="AW1488" s="110"/>
      <c r="AX1488" s="110"/>
      <c r="AY1488" s="110"/>
      <c r="AZ1488" s="110"/>
      <c r="BA1488" s="110"/>
      <c r="BB1488" s="110"/>
      <c r="BC1488" s="110"/>
      <c r="BD1488" s="110"/>
      <c r="BE1488" s="110"/>
      <c r="BF1488" s="110"/>
      <c r="BG1488" s="110"/>
      <c r="BH1488" s="110"/>
      <c r="BI1488" s="110"/>
      <c r="BJ1488" s="110"/>
      <c r="BK1488" s="110"/>
      <c r="BL1488" s="110"/>
      <c r="BM1488" s="110"/>
      <c r="BN1488" s="110"/>
      <c r="BO1488" s="110"/>
      <c r="BP1488" s="110"/>
      <c r="BQ1488" s="110"/>
      <c r="BR1488" s="110"/>
      <c r="BS1488" s="110"/>
      <c r="BT1488" s="110"/>
      <c r="BU1488" s="110"/>
      <c r="BV1488" s="110"/>
      <c r="BW1488" s="110"/>
      <c r="BX1488" s="110"/>
      <c r="BY1488" s="110"/>
      <c r="BZ1488" s="110"/>
      <c r="CA1488" s="110"/>
      <c r="CB1488" s="110"/>
      <c r="CC1488" s="110"/>
      <c r="CD1488" s="110"/>
      <c r="CE1488" s="110"/>
      <c r="CF1488" s="110"/>
      <c r="CG1488" s="110"/>
      <c r="CH1488" s="110"/>
      <c r="CI1488" s="110"/>
      <c r="CJ1488" s="110"/>
      <c r="CK1488" s="110"/>
      <c r="CL1488" s="110"/>
      <c r="CM1488" s="110"/>
      <c r="CN1488" s="110"/>
      <c r="CO1488" s="110"/>
      <c r="CP1488" s="110"/>
      <c r="CQ1488" s="110"/>
      <c r="CR1488" s="110"/>
      <c r="CS1488" s="110"/>
      <c r="CT1488" s="110"/>
      <c r="CU1488" s="110"/>
      <c r="CV1488" s="110"/>
      <c r="CW1488" s="110"/>
      <c r="CX1488" s="110"/>
      <c r="CY1488" s="110"/>
      <c r="CZ1488" s="110"/>
      <c r="DA1488" s="110"/>
      <c r="DB1488" s="110"/>
      <c r="DC1488" s="110"/>
      <c r="DD1488" s="110"/>
      <c r="DE1488" s="110"/>
      <c r="DF1488" s="110"/>
      <c r="DG1488" s="110"/>
      <c r="DH1488" s="110"/>
      <c r="DI1488" s="110"/>
      <c r="DJ1488" s="110"/>
      <c r="DK1488" s="110"/>
      <c r="DL1488" s="110"/>
      <c r="DM1488" s="110"/>
      <c r="DN1488" s="110"/>
      <c r="DO1488" s="110"/>
      <c r="DP1488" s="110"/>
      <c r="DQ1488" s="110"/>
      <c r="DR1488" s="110"/>
      <c r="DS1488" s="110"/>
      <c r="DT1488" s="110"/>
      <c r="DU1488" s="110"/>
      <c r="DV1488" s="110"/>
      <c r="DW1488" s="110"/>
      <c r="DX1488" s="110"/>
      <c r="DY1488" s="110"/>
      <c r="DZ1488" s="110"/>
      <c r="EA1488" s="110"/>
      <c r="EB1488" s="110"/>
      <c r="EC1488" s="110"/>
      <c r="ED1488" s="110"/>
      <c r="EF1488" s="264"/>
      <c r="EG1488" s="110"/>
      <c r="EH1488" s="110"/>
      <c r="EI1488" s="110"/>
      <c r="EJ1488" s="110"/>
      <c r="EK1488" s="266"/>
      <c r="EL1488" s="110"/>
      <c r="EM1488" s="110"/>
      <c r="EN1488" s="110"/>
      <c r="EO1488" s="110"/>
      <c r="EP1488" s="110"/>
      <c r="EQ1488" s="110"/>
      <c r="ER1488" s="110"/>
      <c r="ES1488" s="110"/>
      <c r="ET1488" s="110"/>
      <c r="EU1488" s="110"/>
      <c r="EV1488" s="110"/>
      <c r="EW1488" s="110"/>
      <c r="EX1488" s="110"/>
      <c r="EY1488" s="110"/>
      <c r="EZ1488" s="110"/>
      <c r="FA1488" s="110"/>
      <c r="FB1488" s="110"/>
      <c r="FC1488" s="110"/>
      <c r="FD1488" s="110"/>
      <c r="FE1488" s="110"/>
      <c r="FF1488" s="110"/>
      <c r="FG1488" s="110"/>
      <c r="FH1488" s="110"/>
      <c r="FI1488" s="110"/>
      <c r="FJ1488" s="110"/>
      <c r="FK1488" s="110"/>
      <c r="FL1488" s="110"/>
      <c r="FM1488" s="110"/>
      <c r="FN1488" s="110"/>
      <c r="FO1488" s="110"/>
      <c r="FP1488" s="110"/>
      <c r="FQ1488" s="110"/>
      <c r="FR1488" s="110"/>
      <c r="FS1488" s="110"/>
      <c r="FT1488" s="110"/>
      <c r="FU1488" s="110"/>
      <c r="FV1488" s="110"/>
      <c r="FW1488" s="110"/>
      <c r="FX1488" s="110"/>
      <c r="FY1488" s="110"/>
      <c r="FZ1488" s="110"/>
      <c r="GA1488" s="110"/>
      <c r="GB1488" s="110"/>
      <c r="GC1488" s="110"/>
      <c r="GD1488" s="110"/>
      <c r="GE1488" s="110"/>
      <c r="GF1488" s="110"/>
      <c r="GG1488" s="110"/>
      <c r="GH1488" s="110"/>
      <c r="GI1488" s="110"/>
      <c r="GJ1488" s="110"/>
      <c r="GK1488" s="110"/>
      <c r="GL1488" s="110"/>
      <c r="GM1488" s="110"/>
      <c r="GN1488" s="110"/>
      <c r="GO1488" s="110"/>
      <c r="GP1488" s="110"/>
      <c r="GQ1488" s="110"/>
      <c r="GR1488" s="110"/>
      <c r="GS1488" s="110"/>
      <c r="GT1488" s="110"/>
      <c r="GU1488" s="110"/>
      <c r="GV1488" s="110"/>
      <c r="GW1488" s="110"/>
      <c r="GX1488" s="110"/>
      <c r="GY1488" s="110"/>
      <c r="GZ1488" s="110"/>
      <c r="HA1488" s="110"/>
      <c r="HB1488" s="110"/>
      <c r="HC1488" s="110"/>
      <c r="HD1488" s="110"/>
      <c r="HE1488" s="110"/>
      <c r="HF1488" s="110"/>
      <c r="HG1488" s="110"/>
      <c r="HH1488" s="110"/>
      <c r="HI1488" s="110"/>
      <c r="HJ1488" s="110"/>
      <c r="HK1488" s="110"/>
      <c r="HL1488" s="110"/>
      <c r="HM1488" s="110"/>
      <c r="HN1488" s="110"/>
      <c r="HO1488" s="110"/>
      <c r="HP1488" s="110"/>
      <c r="HQ1488" s="110"/>
      <c r="HR1488" s="110"/>
      <c r="HS1488" s="110"/>
      <c r="HT1488" s="110"/>
      <c r="HU1488" s="110"/>
      <c r="HV1488" s="110"/>
      <c r="HW1488" s="110"/>
      <c r="HX1488" s="110"/>
      <c r="HY1488" s="110"/>
      <c r="HZ1488" s="110"/>
      <c r="IA1488" s="110"/>
      <c r="IB1488" s="110"/>
      <c r="IC1488" s="110"/>
      <c r="ID1488" s="110"/>
      <c r="IE1488" s="110"/>
      <c r="IF1488" s="110"/>
      <c r="IG1488" s="110"/>
      <c r="IH1488" s="110"/>
      <c r="II1488" s="110"/>
      <c r="IJ1488" s="110"/>
      <c r="IK1488" s="110"/>
      <c r="IL1488" s="110"/>
      <c r="IM1488" s="110"/>
      <c r="IN1488" s="110"/>
      <c r="IO1488" s="110"/>
      <c r="IP1488" s="110"/>
      <c r="IQ1488" s="110"/>
      <c r="IR1488" s="110"/>
    </row>
    <row r="1489" spans="18:252" ht="16.5" hidden="1" customHeight="1">
      <c r="R1489" s="264"/>
      <c r="S1489" s="110"/>
      <c r="T1489" s="110"/>
      <c r="U1489" s="110"/>
      <c r="V1489" s="110"/>
      <c r="W1489" s="266"/>
      <c r="X1489" s="110"/>
      <c r="Y1489" s="110"/>
      <c r="Z1489" s="110"/>
      <c r="AA1489" s="110"/>
      <c r="AB1489" s="110"/>
      <c r="AC1489" s="110"/>
      <c r="AD1489" s="110"/>
      <c r="AE1489" s="110"/>
      <c r="AF1489" s="110"/>
      <c r="AG1489" s="110"/>
      <c r="AH1489" s="110"/>
      <c r="AI1489" s="110"/>
      <c r="AJ1489" s="110"/>
      <c r="AK1489" s="110"/>
      <c r="AL1489" s="110"/>
      <c r="AM1489" s="110"/>
      <c r="AN1489" s="110"/>
      <c r="AO1489" s="110"/>
      <c r="AP1489" s="110"/>
      <c r="AQ1489" s="110"/>
      <c r="AR1489" s="110"/>
      <c r="AS1489" s="110"/>
      <c r="AT1489" s="110"/>
      <c r="AU1489" s="110"/>
      <c r="AV1489" s="110"/>
      <c r="AW1489" s="110"/>
      <c r="AX1489" s="110"/>
      <c r="AY1489" s="110"/>
      <c r="AZ1489" s="110"/>
      <c r="BA1489" s="110"/>
      <c r="BB1489" s="110"/>
      <c r="BC1489" s="110"/>
      <c r="BD1489" s="110"/>
      <c r="BE1489" s="110"/>
      <c r="BF1489" s="110"/>
      <c r="BG1489" s="110"/>
      <c r="BH1489" s="110"/>
      <c r="BI1489" s="110"/>
      <c r="BJ1489" s="110"/>
      <c r="BK1489" s="110"/>
      <c r="BL1489" s="110"/>
      <c r="BM1489" s="110"/>
      <c r="BN1489" s="110"/>
      <c r="BO1489" s="110"/>
      <c r="BP1489" s="110"/>
      <c r="BQ1489" s="110"/>
      <c r="BR1489" s="110"/>
      <c r="BS1489" s="110"/>
      <c r="BT1489" s="110"/>
      <c r="BU1489" s="110"/>
      <c r="BV1489" s="110"/>
      <c r="BW1489" s="110"/>
      <c r="BX1489" s="110"/>
      <c r="BY1489" s="110"/>
      <c r="BZ1489" s="110"/>
      <c r="CA1489" s="110"/>
      <c r="CB1489" s="110"/>
      <c r="CC1489" s="110"/>
      <c r="CD1489" s="110"/>
      <c r="CE1489" s="110"/>
      <c r="CF1489" s="110"/>
      <c r="CG1489" s="110"/>
      <c r="CH1489" s="110"/>
      <c r="CI1489" s="110"/>
      <c r="CJ1489" s="110"/>
      <c r="CK1489" s="110"/>
      <c r="CL1489" s="110"/>
      <c r="CM1489" s="110"/>
      <c r="CN1489" s="110"/>
      <c r="CO1489" s="110"/>
      <c r="CP1489" s="110"/>
      <c r="CQ1489" s="110"/>
      <c r="CR1489" s="110"/>
      <c r="CS1489" s="110"/>
      <c r="CT1489" s="110"/>
      <c r="CU1489" s="110"/>
      <c r="CV1489" s="110"/>
      <c r="CW1489" s="110"/>
      <c r="CX1489" s="110"/>
      <c r="CY1489" s="110"/>
      <c r="CZ1489" s="110"/>
      <c r="DA1489" s="110"/>
      <c r="DB1489" s="110"/>
      <c r="DC1489" s="110"/>
      <c r="DD1489" s="110"/>
      <c r="DE1489" s="110"/>
      <c r="DF1489" s="110"/>
      <c r="DG1489" s="110"/>
      <c r="DH1489" s="110"/>
      <c r="DI1489" s="110"/>
      <c r="DJ1489" s="110"/>
      <c r="DK1489" s="110"/>
      <c r="DL1489" s="110"/>
      <c r="DM1489" s="110"/>
      <c r="DN1489" s="110"/>
      <c r="DO1489" s="110"/>
      <c r="DP1489" s="110"/>
      <c r="DQ1489" s="110"/>
      <c r="DR1489" s="110"/>
      <c r="DS1489" s="110"/>
      <c r="DT1489" s="110"/>
      <c r="DU1489" s="110"/>
      <c r="DV1489" s="110"/>
      <c r="DW1489" s="110"/>
      <c r="DX1489" s="110"/>
      <c r="DY1489" s="110"/>
      <c r="DZ1489" s="110"/>
      <c r="EA1489" s="110"/>
      <c r="EB1489" s="110"/>
      <c r="EC1489" s="110"/>
      <c r="ED1489" s="110"/>
      <c r="EF1489" s="264"/>
      <c r="EG1489" s="110"/>
      <c r="EH1489" s="110"/>
      <c r="EI1489" s="110"/>
      <c r="EJ1489" s="110"/>
      <c r="EK1489" s="266"/>
      <c r="EL1489" s="110"/>
      <c r="EM1489" s="110"/>
      <c r="EN1489" s="110"/>
      <c r="EO1489" s="110"/>
      <c r="EP1489" s="110"/>
      <c r="EQ1489" s="110"/>
      <c r="ER1489" s="110"/>
      <c r="ES1489" s="110"/>
      <c r="ET1489" s="110"/>
      <c r="EU1489" s="110"/>
      <c r="EV1489" s="110"/>
      <c r="EW1489" s="110"/>
      <c r="EX1489" s="110"/>
      <c r="EY1489" s="110"/>
      <c r="EZ1489" s="110"/>
      <c r="FA1489" s="110"/>
      <c r="FB1489" s="110"/>
      <c r="FC1489" s="110"/>
      <c r="FD1489" s="110"/>
      <c r="FE1489" s="110"/>
      <c r="FF1489" s="110"/>
      <c r="FG1489" s="110"/>
      <c r="FH1489" s="110"/>
      <c r="FI1489" s="110"/>
      <c r="FJ1489" s="110"/>
      <c r="FK1489" s="110"/>
      <c r="FL1489" s="110"/>
      <c r="FM1489" s="110"/>
      <c r="FN1489" s="110"/>
      <c r="FO1489" s="110"/>
      <c r="FP1489" s="110"/>
      <c r="FQ1489" s="110"/>
      <c r="FR1489" s="110"/>
      <c r="FS1489" s="110"/>
      <c r="FT1489" s="110"/>
      <c r="FU1489" s="110"/>
      <c r="FV1489" s="110"/>
      <c r="FW1489" s="110"/>
      <c r="FX1489" s="110"/>
      <c r="FY1489" s="110"/>
      <c r="FZ1489" s="110"/>
      <c r="GA1489" s="110"/>
      <c r="GB1489" s="110"/>
      <c r="GC1489" s="110"/>
      <c r="GD1489" s="110"/>
      <c r="GE1489" s="110"/>
      <c r="GF1489" s="110"/>
      <c r="GG1489" s="110"/>
      <c r="GH1489" s="110"/>
      <c r="GI1489" s="110"/>
      <c r="GJ1489" s="110"/>
      <c r="GK1489" s="110"/>
      <c r="GL1489" s="110"/>
      <c r="GM1489" s="110"/>
      <c r="GN1489" s="110"/>
      <c r="GO1489" s="110"/>
      <c r="GP1489" s="110"/>
      <c r="GQ1489" s="110"/>
      <c r="GR1489" s="110"/>
      <c r="GS1489" s="110"/>
      <c r="GT1489" s="110"/>
      <c r="GU1489" s="110"/>
      <c r="GV1489" s="110"/>
      <c r="GW1489" s="110"/>
      <c r="GX1489" s="110"/>
      <c r="GY1489" s="110"/>
      <c r="GZ1489" s="110"/>
      <c r="HA1489" s="110"/>
      <c r="HB1489" s="110"/>
      <c r="HC1489" s="110"/>
      <c r="HD1489" s="110"/>
      <c r="HE1489" s="110"/>
      <c r="HF1489" s="110"/>
      <c r="HG1489" s="110"/>
      <c r="HH1489" s="110"/>
      <c r="HI1489" s="110"/>
      <c r="HJ1489" s="110"/>
      <c r="HK1489" s="110"/>
      <c r="HL1489" s="110"/>
      <c r="HM1489" s="110"/>
      <c r="HN1489" s="110"/>
      <c r="HO1489" s="110"/>
      <c r="HP1489" s="110"/>
      <c r="HQ1489" s="110"/>
      <c r="HR1489" s="110"/>
      <c r="HS1489" s="110"/>
      <c r="HT1489" s="110"/>
      <c r="HU1489" s="110"/>
      <c r="HV1489" s="110"/>
      <c r="HW1489" s="110"/>
      <c r="HX1489" s="110"/>
      <c r="HY1489" s="110"/>
      <c r="HZ1489" s="110"/>
      <c r="IA1489" s="110"/>
      <c r="IB1489" s="110"/>
      <c r="IC1489" s="110"/>
      <c r="ID1489" s="110"/>
      <c r="IE1489" s="110"/>
      <c r="IF1489" s="110"/>
      <c r="IG1489" s="110"/>
      <c r="IH1489" s="110"/>
      <c r="II1489" s="110"/>
      <c r="IJ1489" s="110"/>
      <c r="IK1489" s="110"/>
      <c r="IL1489" s="110"/>
      <c r="IM1489" s="110"/>
      <c r="IN1489" s="110"/>
      <c r="IO1489" s="110"/>
      <c r="IP1489" s="110"/>
      <c r="IQ1489" s="110"/>
      <c r="IR1489" s="110"/>
    </row>
    <row r="1490" spans="18:252" ht="16.5" hidden="1" customHeight="1">
      <c r="R1490" s="264"/>
      <c r="S1490" s="110"/>
      <c r="T1490" s="110"/>
      <c r="U1490" s="110"/>
      <c r="V1490" s="110"/>
      <c r="W1490" s="266"/>
      <c r="X1490" s="110"/>
      <c r="Y1490" s="110"/>
      <c r="Z1490" s="110"/>
      <c r="AA1490" s="110"/>
      <c r="AB1490" s="110"/>
      <c r="AC1490" s="110"/>
      <c r="AD1490" s="110"/>
      <c r="AE1490" s="110"/>
      <c r="AF1490" s="110"/>
      <c r="AG1490" s="110"/>
      <c r="AH1490" s="110"/>
      <c r="AI1490" s="110"/>
      <c r="AJ1490" s="110"/>
      <c r="AK1490" s="110"/>
      <c r="AL1490" s="110"/>
      <c r="AM1490" s="110"/>
      <c r="AN1490" s="110"/>
      <c r="AO1490" s="110"/>
      <c r="AP1490" s="110"/>
      <c r="AQ1490" s="110"/>
      <c r="AR1490" s="110"/>
      <c r="AS1490" s="110"/>
      <c r="AT1490" s="110"/>
      <c r="AU1490" s="110"/>
      <c r="AV1490" s="110"/>
      <c r="AW1490" s="110"/>
      <c r="AX1490" s="110"/>
      <c r="AY1490" s="110"/>
      <c r="AZ1490" s="110"/>
      <c r="BA1490" s="110"/>
      <c r="BB1490" s="110"/>
      <c r="BC1490" s="110"/>
      <c r="BD1490" s="110"/>
      <c r="BE1490" s="110"/>
      <c r="BF1490" s="110"/>
      <c r="BG1490" s="110"/>
      <c r="BH1490" s="110"/>
      <c r="BI1490" s="110"/>
      <c r="BJ1490" s="110"/>
      <c r="BK1490" s="110"/>
      <c r="BL1490" s="110"/>
      <c r="BM1490" s="110"/>
      <c r="BN1490" s="110"/>
      <c r="BO1490" s="110"/>
      <c r="BP1490" s="110"/>
      <c r="BQ1490" s="110"/>
      <c r="BR1490" s="110"/>
      <c r="BS1490" s="110"/>
      <c r="BT1490" s="110"/>
      <c r="BU1490" s="110"/>
      <c r="BV1490" s="110"/>
      <c r="BW1490" s="110"/>
      <c r="BX1490" s="110"/>
      <c r="BY1490" s="110"/>
      <c r="BZ1490" s="110"/>
      <c r="CA1490" s="110"/>
      <c r="CB1490" s="110"/>
      <c r="CC1490" s="110"/>
      <c r="CD1490" s="110"/>
      <c r="CE1490" s="110"/>
      <c r="CF1490" s="110"/>
      <c r="CG1490" s="110"/>
      <c r="CH1490" s="110"/>
      <c r="CI1490" s="110"/>
      <c r="CJ1490" s="110"/>
      <c r="CK1490" s="110"/>
      <c r="CL1490" s="110"/>
      <c r="CM1490" s="110"/>
      <c r="CN1490" s="110"/>
      <c r="CO1490" s="110"/>
      <c r="CP1490" s="110"/>
      <c r="CQ1490" s="110"/>
      <c r="CR1490" s="110"/>
      <c r="CS1490" s="110"/>
      <c r="CT1490" s="110"/>
      <c r="CU1490" s="110"/>
      <c r="CV1490" s="110"/>
      <c r="CW1490" s="110"/>
      <c r="CX1490" s="110"/>
      <c r="CY1490" s="110"/>
      <c r="CZ1490" s="110"/>
      <c r="DA1490" s="110"/>
      <c r="DB1490" s="110"/>
      <c r="DC1490" s="110"/>
      <c r="DD1490" s="110"/>
      <c r="DE1490" s="110"/>
      <c r="DF1490" s="110"/>
      <c r="DG1490" s="110"/>
      <c r="DH1490" s="110"/>
      <c r="DI1490" s="110"/>
      <c r="DJ1490" s="110"/>
      <c r="DK1490" s="110"/>
      <c r="DL1490" s="110"/>
      <c r="DM1490" s="110"/>
      <c r="DN1490" s="110"/>
      <c r="DO1490" s="110"/>
      <c r="DP1490" s="110"/>
      <c r="DQ1490" s="110"/>
      <c r="DR1490" s="110"/>
      <c r="DS1490" s="110"/>
      <c r="DT1490" s="110"/>
      <c r="DU1490" s="110"/>
      <c r="DV1490" s="110"/>
      <c r="DW1490" s="110"/>
      <c r="DX1490" s="110"/>
      <c r="DY1490" s="110"/>
      <c r="DZ1490" s="110"/>
      <c r="EA1490" s="110"/>
      <c r="EB1490" s="110"/>
      <c r="EC1490" s="110"/>
      <c r="ED1490" s="110"/>
      <c r="EF1490" s="264"/>
      <c r="EG1490" s="110"/>
      <c r="EH1490" s="110"/>
      <c r="EI1490" s="110"/>
      <c r="EJ1490" s="110"/>
      <c r="EK1490" s="266"/>
      <c r="EL1490" s="110"/>
      <c r="EM1490" s="110"/>
      <c r="EN1490" s="110"/>
      <c r="EO1490" s="110"/>
      <c r="EP1490" s="110"/>
      <c r="EQ1490" s="110"/>
      <c r="ER1490" s="110"/>
      <c r="ES1490" s="110"/>
      <c r="ET1490" s="110"/>
      <c r="EU1490" s="110"/>
      <c r="EV1490" s="110"/>
      <c r="EW1490" s="110"/>
      <c r="EX1490" s="110"/>
      <c r="EY1490" s="110"/>
      <c r="EZ1490" s="110"/>
      <c r="FA1490" s="110"/>
      <c r="FB1490" s="110"/>
      <c r="FC1490" s="110"/>
      <c r="FD1490" s="110"/>
      <c r="FE1490" s="110"/>
      <c r="FF1490" s="110"/>
      <c r="FG1490" s="110"/>
      <c r="FH1490" s="110"/>
      <c r="FI1490" s="110"/>
      <c r="FJ1490" s="110"/>
      <c r="FK1490" s="110"/>
      <c r="FL1490" s="110"/>
      <c r="FM1490" s="110"/>
      <c r="FN1490" s="110"/>
      <c r="FO1490" s="110"/>
      <c r="FP1490" s="110"/>
      <c r="FQ1490" s="110"/>
      <c r="FR1490" s="110"/>
      <c r="FS1490" s="110"/>
      <c r="FT1490" s="110"/>
      <c r="FU1490" s="110"/>
      <c r="FV1490" s="110"/>
      <c r="FW1490" s="110"/>
      <c r="FX1490" s="110"/>
      <c r="FY1490" s="110"/>
      <c r="FZ1490" s="110"/>
      <c r="GA1490" s="110"/>
      <c r="GB1490" s="110"/>
      <c r="GC1490" s="110"/>
      <c r="GD1490" s="110"/>
      <c r="GE1490" s="110"/>
      <c r="GF1490" s="110"/>
      <c r="GG1490" s="110"/>
      <c r="GH1490" s="110"/>
      <c r="GI1490" s="110"/>
      <c r="GJ1490" s="110"/>
      <c r="GK1490" s="110"/>
      <c r="GL1490" s="110"/>
      <c r="GM1490" s="110"/>
      <c r="GN1490" s="110"/>
      <c r="GO1490" s="110"/>
      <c r="GP1490" s="110"/>
      <c r="GQ1490" s="110"/>
      <c r="GR1490" s="110"/>
      <c r="GS1490" s="110"/>
      <c r="GT1490" s="110"/>
      <c r="GU1490" s="110"/>
      <c r="GV1490" s="110"/>
      <c r="GW1490" s="110"/>
      <c r="GX1490" s="110"/>
      <c r="GY1490" s="110"/>
      <c r="GZ1490" s="110"/>
      <c r="HA1490" s="110"/>
      <c r="HB1490" s="110"/>
      <c r="HC1490" s="110"/>
      <c r="HD1490" s="110"/>
      <c r="HE1490" s="110"/>
      <c r="HF1490" s="110"/>
      <c r="HG1490" s="110"/>
      <c r="HH1490" s="110"/>
      <c r="HI1490" s="110"/>
      <c r="HJ1490" s="110"/>
      <c r="HK1490" s="110"/>
      <c r="HL1490" s="110"/>
      <c r="HM1490" s="110"/>
      <c r="HN1490" s="110"/>
      <c r="HO1490" s="110"/>
      <c r="HP1490" s="110"/>
      <c r="HQ1490" s="110"/>
      <c r="HR1490" s="110"/>
      <c r="HS1490" s="110"/>
      <c r="HT1490" s="110"/>
      <c r="HU1490" s="110"/>
      <c r="HV1490" s="110"/>
      <c r="HW1490" s="110"/>
      <c r="HX1490" s="110"/>
      <c r="HY1490" s="110"/>
      <c r="HZ1490" s="110"/>
      <c r="IA1490" s="110"/>
      <c r="IB1490" s="110"/>
      <c r="IC1490" s="110"/>
      <c r="ID1490" s="110"/>
      <c r="IE1490" s="110"/>
      <c r="IF1490" s="110"/>
      <c r="IG1490" s="110"/>
      <c r="IH1490" s="110"/>
      <c r="II1490" s="110"/>
      <c r="IJ1490" s="110"/>
      <c r="IK1490" s="110"/>
      <c r="IL1490" s="110"/>
      <c r="IM1490" s="110"/>
      <c r="IN1490" s="110"/>
      <c r="IO1490" s="110"/>
      <c r="IP1490" s="110"/>
      <c r="IQ1490" s="110"/>
      <c r="IR1490" s="110"/>
    </row>
    <row r="1491" spans="18:252" ht="16.5" hidden="1" customHeight="1">
      <c r="R1491" s="264"/>
      <c r="S1491" s="110"/>
      <c r="T1491" s="110"/>
      <c r="U1491" s="110"/>
      <c r="V1491" s="110"/>
      <c r="W1491" s="266"/>
      <c r="X1491" s="110"/>
      <c r="Y1491" s="110"/>
      <c r="Z1491" s="110"/>
      <c r="AA1491" s="110"/>
      <c r="AB1491" s="110"/>
      <c r="AC1491" s="110"/>
      <c r="AD1491" s="110"/>
      <c r="AE1491" s="110"/>
      <c r="AF1491" s="110"/>
      <c r="AG1491" s="110"/>
      <c r="AH1491" s="110"/>
      <c r="AI1491" s="110"/>
      <c r="AJ1491" s="110"/>
      <c r="AK1491" s="110"/>
      <c r="AL1491" s="110"/>
      <c r="AM1491" s="110"/>
      <c r="AN1491" s="110"/>
      <c r="AO1491" s="110"/>
      <c r="AP1491" s="110"/>
      <c r="AQ1491" s="110"/>
      <c r="AR1491" s="110"/>
      <c r="AS1491" s="110"/>
      <c r="AT1491" s="110"/>
      <c r="AU1491" s="110"/>
      <c r="AV1491" s="110"/>
      <c r="AW1491" s="110"/>
      <c r="AX1491" s="110"/>
      <c r="AY1491" s="110"/>
      <c r="AZ1491" s="110"/>
      <c r="BA1491" s="110"/>
      <c r="BB1491" s="110"/>
      <c r="BC1491" s="110"/>
      <c r="BD1491" s="110"/>
      <c r="BE1491" s="110"/>
      <c r="BF1491" s="110"/>
      <c r="BG1491" s="110"/>
      <c r="BH1491" s="110"/>
      <c r="BI1491" s="110"/>
      <c r="BJ1491" s="110"/>
      <c r="BK1491" s="110"/>
      <c r="BL1491" s="110"/>
      <c r="BM1491" s="110"/>
      <c r="BN1491" s="110"/>
      <c r="BO1491" s="110"/>
      <c r="BP1491" s="110"/>
      <c r="BQ1491" s="110"/>
      <c r="BR1491" s="110"/>
      <c r="BS1491" s="110"/>
      <c r="BT1491" s="110"/>
      <c r="BU1491" s="110"/>
      <c r="BV1491" s="110"/>
      <c r="BW1491" s="110"/>
      <c r="BX1491" s="110"/>
      <c r="BY1491" s="110"/>
      <c r="BZ1491" s="110"/>
      <c r="CA1491" s="110"/>
      <c r="CB1491" s="110"/>
      <c r="CC1491" s="110"/>
      <c r="CD1491" s="110"/>
      <c r="CE1491" s="110"/>
      <c r="CF1491" s="110"/>
      <c r="CG1491" s="110"/>
      <c r="CH1491" s="110"/>
      <c r="CI1491" s="110"/>
      <c r="CJ1491" s="110"/>
      <c r="CK1491" s="110"/>
      <c r="CL1491" s="110"/>
      <c r="CM1491" s="110"/>
      <c r="CN1491" s="110"/>
      <c r="CO1491" s="110"/>
      <c r="CP1491" s="110"/>
      <c r="CQ1491" s="110"/>
      <c r="CR1491" s="110"/>
      <c r="CS1491" s="110"/>
      <c r="CT1491" s="110"/>
      <c r="CU1491" s="110"/>
      <c r="CV1491" s="110"/>
      <c r="CW1491" s="110"/>
      <c r="CX1491" s="110"/>
      <c r="CY1491" s="110"/>
      <c r="CZ1491" s="110"/>
      <c r="DA1491" s="110"/>
      <c r="DB1491" s="110"/>
      <c r="DC1491" s="110"/>
      <c r="DD1491" s="110"/>
      <c r="DE1491" s="110"/>
      <c r="DF1491" s="110"/>
      <c r="DG1491" s="110"/>
      <c r="DH1491" s="110"/>
      <c r="DI1491" s="110"/>
      <c r="DJ1491" s="110"/>
      <c r="DK1491" s="110"/>
      <c r="DL1491" s="110"/>
      <c r="DM1491" s="110"/>
      <c r="DN1491" s="110"/>
      <c r="DO1491" s="110"/>
      <c r="DP1491" s="110"/>
      <c r="DQ1491" s="110"/>
      <c r="DR1491" s="110"/>
      <c r="DS1491" s="110"/>
      <c r="DT1491" s="110"/>
      <c r="DU1491" s="110"/>
      <c r="DV1491" s="110"/>
      <c r="DW1491" s="110"/>
      <c r="DX1491" s="110"/>
      <c r="DY1491" s="110"/>
      <c r="DZ1491" s="110"/>
      <c r="EA1491" s="110"/>
      <c r="EB1491" s="110"/>
      <c r="EC1491" s="110"/>
      <c r="ED1491" s="110"/>
      <c r="EF1491" s="264"/>
      <c r="EG1491" s="110"/>
      <c r="EH1491" s="110"/>
      <c r="EI1491" s="110"/>
      <c r="EJ1491" s="110"/>
      <c r="EK1491" s="266"/>
      <c r="EL1491" s="110"/>
      <c r="EM1491" s="110"/>
      <c r="EN1491" s="110"/>
      <c r="EO1491" s="110"/>
      <c r="EP1491" s="110"/>
      <c r="EQ1491" s="110"/>
      <c r="ER1491" s="110"/>
      <c r="ES1491" s="110"/>
      <c r="ET1491" s="110"/>
      <c r="EU1491" s="110"/>
      <c r="EV1491" s="110"/>
      <c r="EW1491" s="110"/>
      <c r="EX1491" s="110"/>
      <c r="EY1491" s="110"/>
      <c r="EZ1491" s="110"/>
      <c r="FA1491" s="110"/>
      <c r="FB1491" s="110"/>
      <c r="FC1491" s="110"/>
      <c r="FD1491" s="110"/>
      <c r="FE1491" s="110"/>
      <c r="FF1491" s="110"/>
      <c r="FG1491" s="110"/>
      <c r="FH1491" s="110"/>
      <c r="FI1491" s="110"/>
      <c r="FJ1491" s="110"/>
      <c r="FK1491" s="110"/>
      <c r="FL1491" s="110"/>
      <c r="FM1491" s="110"/>
      <c r="FN1491" s="110"/>
      <c r="FO1491" s="110"/>
      <c r="FP1491" s="110"/>
      <c r="FQ1491" s="110"/>
      <c r="FR1491" s="110"/>
      <c r="FS1491" s="110"/>
      <c r="FT1491" s="110"/>
      <c r="FU1491" s="110"/>
      <c r="FV1491" s="110"/>
      <c r="FW1491" s="110"/>
      <c r="FX1491" s="110"/>
      <c r="FY1491" s="110"/>
      <c r="FZ1491" s="110"/>
      <c r="GA1491" s="110"/>
      <c r="GB1491" s="110"/>
      <c r="GC1491" s="110"/>
      <c r="GD1491" s="110"/>
      <c r="GE1491" s="110"/>
      <c r="GF1491" s="110"/>
      <c r="GG1491" s="110"/>
      <c r="GH1491" s="110"/>
      <c r="GI1491" s="110"/>
      <c r="GJ1491" s="110"/>
      <c r="GK1491" s="110"/>
      <c r="GL1491" s="110"/>
      <c r="GM1491" s="110"/>
      <c r="GN1491" s="110"/>
      <c r="GO1491" s="110"/>
      <c r="GP1491" s="110"/>
      <c r="GQ1491" s="110"/>
      <c r="GR1491" s="110"/>
      <c r="GS1491" s="110"/>
      <c r="GT1491" s="110"/>
      <c r="GU1491" s="110"/>
      <c r="GV1491" s="110"/>
      <c r="GW1491" s="110"/>
      <c r="GX1491" s="110"/>
      <c r="GY1491" s="110"/>
      <c r="GZ1491" s="110"/>
      <c r="HA1491" s="110"/>
      <c r="HB1491" s="110"/>
      <c r="HC1491" s="110"/>
      <c r="HD1491" s="110"/>
      <c r="HE1491" s="110"/>
      <c r="HF1491" s="110"/>
      <c r="HG1491" s="110"/>
      <c r="HH1491" s="110"/>
      <c r="HI1491" s="110"/>
      <c r="HJ1491" s="110"/>
      <c r="HK1491" s="110"/>
      <c r="HL1491" s="110"/>
      <c r="HM1491" s="110"/>
      <c r="HN1491" s="110"/>
      <c r="HO1491" s="110"/>
      <c r="HP1491" s="110"/>
      <c r="HQ1491" s="110"/>
      <c r="HR1491" s="110"/>
      <c r="HS1491" s="110"/>
      <c r="HT1491" s="110"/>
      <c r="HU1491" s="110"/>
      <c r="HV1491" s="110"/>
      <c r="HW1491" s="110"/>
      <c r="HX1491" s="110"/>
      <c r="HY1491" s="110"/>
      <c r="HZ1491" s="110"/>
      <c r="IA1491" s="110"/>
      <c r="IB1491" s="110"/>
      <c r="IC1491" s="110"/>
      <c r="ID1491" s="110"/>
      <c r="IE1491" s="110"/>
      <c r="IF1491" s="110"/>
      <c r="IG1491" s="110"/>
      <c r="IH1491" s="110"/>
      <c r="II1491" s="110"/>
      <c r="IJ1491" s="110"/>
      <c r="IK1491" s="110"/>
      <c r="IL1491" s="110"/>
      <c r="IM1491" s="110"/>
      <c r="IN1491" s="110"/>
      <c r="IO1491" s="110"/>
      <c r="IP1491" s="110"/>
      <c r="IQ1491" s="110"/>
      <c r="IR1491" s="110"/>
    </row>
    <row r="1492" spans="18:252" ht="16.5" hidden="1" customHeight="1">
      <c r="R1492" s="264"/>
      <c r="S1492" s="110"/>
      <c r="T1492" s="110"/>
      <c r="U1492" s="110"/>
      <c r="V1492" s="110"/>
      <c r="W1492" s="266"/>
      <c r="X1492" s="110"/>
      <c r="Y1492" s="110"/>
      <c r="Z1492" s="110"/>
      <c r="AA1492" s="110"/>
      <c r="AB1492" s="110"/>
      <c r="AC1492" s="110"/>
      <c r="AD1492" s="110"/>
      <c r="AE1492" s="110"/>
      <c r="AF1492" s="110"/>
      <c r="AG1492" s="110"/>
      <c r="AH1492" s="110"/>
      <c r="AI1492" s="110"/>
      <c r="AJ1492" s="110"/>
      <c r="AK1492" s="110"/>
      <c r="AL1492" s="110"/>
      <c r="AM1492" s="110"/>
      <c r="AN1492" s="110"/>
      <c r="AO1492" s="110"/>
      <c r="AP1492" s="110"/>
      <c r="AQ1492" s="110"/>
      <c r="AR1492" s="110"/>
      <c r="AS1492" s="110"/>
      <c r="AT1492" s="110"/>
      <c r="AU1492" s="110"/>
      <c r="AV1492" s="110"/>
      <c r="AW1492" s="110"/>
      <c r="AX1492" s="110"/>
      <c r="AY1492" s="110"/>
      <c r="AZ1492" s="110"/>
      <c r="BA1492" s="110"/>
      <c r="BB1492" s="110"/>
      <c r="BC1492" s="110"/>
      <c r="BD1492" s="110"/>
      <c r="BE1492" s="110"/>
      <c r="BF1492" s="110"/>
      <c r="BG1492" s="110"/>
      <c r="BH1492" s="110"/>
      <c r="BI1492" s="110"/>
      <c r="BJ1492" s="110"/>
      <c r="BK1492" s="110"/>
      <c r="BL1492" s="110"/>
      <c r="BM1492" s="110"/>
      <c r="BN1492" s="110"/>
      <c r="BO1492" s="110"/>
      <c r="BP1492" s="110"/>
      <c r="BQ1492" s="110"/>
      <c r="BR1492" s="110"/>
      <c r="BS1492" s="110"/>
      <c r="BT1492" s="110"/>
      <c r="BU1492" s="110"/>
      <c r="BV1492" s="110"/>
      <c r="BW1492" s="110"/>
      <c r="BX1492" s="110"/>
      <c r="BY1492" s="110"/>
      <c r="BZ1492" s="110"/>
      <c r="CA1492" s="110"/>
      <c r="CB1492" s="110"/>
      <c r="CC1492" s="110"/>
      <c r="CD1492" s="110"/>
      <c r="CE1492" s="110"/>
      <c r="CF1492" s="110"/>
      <c r="CG1492" s="110"/>
      <c r="CH1492" s="110"/>
      <c r="CI1492" s="110"/>
      <c r="CJ1492" s="110"/>
      <c r="CK1492" s="110"/>
      <c r="CL1492" s="110"/>
      <c r="CM1492" s="110"/>
      <c r="CN1492" s="110"/>
      <c r="CO1492" s="110"/>
      <c r="CP1492" s="110"/>
      <c r="CQ1492" s="110"/>
      <c r="CR1492" s="110"/>
      <c r="CS1492" s="110"/>
      <c r="CT1492" s="110"/>
      <c r="CU1492" s="110"/>
      <c r="CV1492" s="110"/>
      <c r="CW1492" s="110"/>
      <c r="CX1492" s="110"/>
      <c r="CY1492" s="110"/>
      <c r="CZ1492" s="110"/>
      <c r="DA1492" s="110"/>
      <c r="DB1492" s="110"/>
      <c r="DC1492" s="110"/>
      <c r="DD1492" s="110"/>
      <c r="DE1492" s="110"/>
      <c r="DF1492" s="110"/>
      <c r="DG1492" s="110"/>
      <c r="DH1492" s="110"/>
      <c r="DI1492" s="110"/>
      <c r="DJ1492" s="110"/>
      <c r="DK1492" s="110"/>
      <c r="DL1492" s="110"/>
      <c r="DM1492" s="110"/>
      <c r="DN1492" s="110"/>
      <c r="DO1492" s="110"/>
      <c r="DP1492" s="110"/>
      <c r="DQ1492" s="110"/>
      <c r="DR1492" s="110"/>
      <c r="DS1492" s="110"/>
      <c r="DT1492" s="110"/>
      <c r="DU1492" s="110"/>
      <c r="DV1492" s="110"/>
      <c r="DW1492" s="110"/>
      <c r="DX1492" s="110"/>
      <c r="DY1492" s="110"/>
      <c r="DZ1492" s="110"/>
      <c r="EA1492" s="110"/>
      <c r="EB1492" s="110"/>
      <c r="EC1492" s="110"/>
      <c r="ED1492" s="110"/>
      <c r="EF1492" s="264"/>
      <c r="EG1492" s="110"/>
      <c r="EH1492" s="110"/>
      <c r="EI1492" s="110"/>
      <c r="EJ1492" s="110"/>
      <c r="EK1492" s="266"/>
      <c r="EL1492" s="110"/>
      <c r="EM1492" s="110"/>
      <c r="EN1492" s="110"/>
      <c r="EO1492" s="110"/>
      <c r="EP1492" s="110"/>
      <c r="EQ1492" s="110"/>
      <c r="ER1492" s="110"/>
      <c r="ES1492" s="110"/>
      <c r="ET1492" s="110"/>
      <c r="EU1492" s="110"/>
      <c r="EV1492" s="110"/>
      <c r="EW1492" s="110"/>
      <c r="EX1492" s="110"/>
      <c r="EY1492" s="110"/>
      <c r="EZ1492" s="110"/>
      <c r="FA1492" s="110"/>
      <c r="FB1492" s="110"/>
      <c r="FC1492" s="110"/>
      <c r="FD1492" s="110"/>
      <c r="FE1492" s="110"/>
      <c r="FF1492" s="110"/>
      <c r="FG1492" s="110"/>
      <c r="FH1492" s="110"/>
      <c r="FI1492" s="110"/>
      <c r="FJ1492" s="110"/>
      <c r="FK1492" s="110"/>
      <c r="FL1492" s="110"/>
      <c r="FM1492" s="110"/>
      <c r="FN1492" s="110"/>
      <c r="FO1492" s="110"/>
      <c r="FP1492" s="110"/>
      <c r="FQ1492" s="110"/>
      <c r="FR1492" s="110"/>
      <c r="FS1492" s="110"/>
      <c r="FT1492" s="110"/>
      <c r="FU1492" s="110"/>
      <c r="FV1492" s="110"/>
      <c r="FW1492" s="110"/>
      <c r="FX1492" s="110"/>
      <c r="FY1492" s="110"/>
      <c r="FZ1492" s="110"/>
      <c r="GA1492" s="110"/>
      <c r="GB1492" s="110"/>
      <c r="GC1492" s="110"/>
      <c r="GD1492" s="110"/>
      <c r="GE1492" s="110"/>
      <c r="GF1492" s="110"/>
      <c r="GG1492" s="110"/>
      <c r="GH1492" s="110"/>
      <c r="GI1492" s="110"/>
      <c r="GJ1492" s="110"/>
      <c r="GK1492" s="110"/>
      <c r="GL1492" s="110"/>
      <c r="GM1492" s="110"/>
      <c r="GN1492" s="110"/>
      <c r="GO1492" s="110"/>
      <c r="GP1492" s="110"/>
      <c r="GQ1492" s="110"/>
      <c r="GR1492" s="110"/>
      <c r="GS1492" s="110"/>
      <c r="GT1492" s="110"/>
      <c r="GU1492" s="110"/>
      <c r="GV1492" s="110"/>
      <c r="GW1492" s="110"/>
      <c r="GX1492" s="110"/>
      <c r="GY1492" s="110"/>
      <c r="GZ1492" s="110"/>
      <c r="HA1492" s="110"/>
      <c r="HB1492" s="110"/>
      <c r="HC1492" s="110"/>
      <c r="HD1492" s="110"/>
      <c r="HE1492" s="110"/>
      <c r="HF1492" s="110"/>
      <c r="HG1492" s="110"/>
      <c r="HH1492" s="110"/>
      <c r="HI1492" s="110"/>
      <c r="HJ1492" s="110"/>
      <c r="HK1492" s="110"/>
      <c r="HL1492" s="110"/>
      <c r="HM1492" s="110"/>
      <c r="HN1492" s="110"/>
      <c r="HO1492" s="110"/>
      <c r="HP1492" s="110"/>
      <c r="HQ1492" s="110"/>
      <c r="HR1492" s="110"/>
      <c r="HS1492" s="110"/>
      <c r="HT1492" s="110"/>
      <c r="HU1492" s="110"/>
      <c r="HV1492" s="110"/>
      <c r="HW1492" s="110"/>
      <c r="HX1492" s="110"/>
      <c r="HY1492" s="110"/>
      <c r="HZ1492" s="110"/>
      <c r="IA1492" s="110"/>
      <c r="IB1492" s="110"/>
      <c r="IC1492" s="110"/>
      <c r="ID1492" s="110"/>
      <c r="IE1492" s="110"/>
      <c r="IF1492" s="110"/>
      <c r="IG1492" s="110"/>
      <c r="IH1492" s="110"/>
      <c r="II1492" s="110"/>
      <c r="IJ1492" s="110"/>
      <c r="IK1492" s="110"/>
      <c r="IL1492" s="110"/>
      <c r="IM1492" s="110"/>
      <c r="IN1492" s="110"/>
      <c r="IO1492" s="110"/>
      <c r="IP1492" s="110"/>
      <c r="IQ1492" s="110"/>
      <c r="IR1492" s="110"/>
    </row>
    <row r="1493" spans="18:252" ht="16.5" hidden="1" customHeight="1">
      <c r="R1493" s="264"/>
      <c r="S1493" s="110"/>
      <c r="T1493" s="110"/>
      <c r="U1493" s="110"/>
      <c r="V1493" s="110"/>
      <c r="W1493" s="266"/>
      <c r="X1493" s="110"/>
      <c r="Y1493" s="110"/>
      <c r="Z1493" s="110"/>
      <c r="AA1493" s="110"/>
      <c r="AB1493" s="110"/>
      <c r="AC1493" s="110"/>
      <c r="AD1493" s="110"/>
      <c r="AE1493" s="110"/>
      <c r="AF1493" s="110"/>
      <c r="AG1493" s="110"/>
      <c r="AH1493" s="110"/>
      <c r="AI1493" s="110"/>
      <c r="AJ1493" s="110"/>
      <c r="AK1493" s="110"/>
      <c r="AL1493" s="110"/>
      <c r="AM1493" s="110"/>
      <c r="AN1493" s="110"/>
      <c r="AO1493" s="110"/>
      <c r="AP1493" s="110"/>
      <c r="AQ1493" s="110"/>
      <c r="AR1493" s="110"/>
      <c r="AS1493" s="110"/>
      <c r="AT1493" s="110"/>
      <c r="AU1493" s="110"/>
      <c r="AV1493" s="110"/>
      <c r="AW1493" s="110"/>
      <c r="AX1493" s="110"/>
      <c r="AY1493" s="110"/>
      <c r="AZ1493" s="110"/>
      <c r="BA1493" s="110"/>
      <c r="BB1493" s="110"/>
      <c r="BC1493" s="110"/>
      <c r="BD1493" s="110"/>
      <c r="BE1493" s="110"/>
      <c r="BF1493" s="110"/>
      <c r="BG1493" s="110"/>
      <c r="BH1493" s="110"/>
      <c r="BI1493" s="110"/>
      <c r="BJ1493" s="110"/>
      <c r="BK1493" s="110"/>
      <c r="BL1493" s="110"/>
      <c r="BM1493" s="110"/>
      <c r="BN1493" s="110"/>
      <c r="BO1493" s="110"/>
      <c r="BP1493" s="110"/>
      <c r="BQ1493" s="110"/>
      <c r="BR1493" s="110"/>
      <c r="BS1493" s="110"/>
      <c r="BT1493" s="110"/>
      <c r="BU1493" s="110"/>
      <c r="BV1493" s="110"/>
      <c r="BW1493" s="110"/>
      <c r="BX1493" s="110"/>
      <c r="BY1493" s="110"/>
      <c r="BZ1493" s="110"/>
      <c r="CA1493" s="110"/>
      <c r="CB1493" s="110"/>
      <c r="CC1493" s="110"/>
      <c r="CD1493" s="110"/>
      <c r="CE1493" s="110"/>
      <c r="CF1493" s="110"/>
      <c r="CG1493" s="110"/>
      <c r="CH1493" s="110"/>
      <c r="CI1493" s="110"/>
      <c r="CJ1493" s="110"/>
      <c r="CK1493" s="110"/>
      <c r="CL1493" s="110"/>
      <c r="CM1493" s="110"/>
      <c r="CN1493" s="110"/>
      <c r="CO1493" s="110"/>
      <c r="CP1493" s="110"/>
      <c r="CQ1493" s="110"/>
      <c r="CR1493" s="110"/>
      <c r="CS1493" s="110"/>
      <c r="CT1493" s="110"/>
      <c r="CU1493" s="110"/>
      <c r="CV1493" s="110"/>
      <c r="CW1493" s="110"/>
      <c r="CX1493" s="110"/>
      <c r="CY1493" s="110"/>
      <c r="CZ1493" s="110"/>
      <c r="DA1493" s="110"/>
      <c r="DB1493" s="110"/>
      <c r="DC1493" s="110"/>
      <c r="DD1493" s="110"/>
      <c r="DE1493" s="110"/>
      <c r="DF1493" s="110"/>
      <c r="DG1493" s="110"/>
      <c r="DH1493" s="110"/>
      <c r="DI1493" s="110"/>
      <c r="DJ1493" s="110"/>
      <c r="DK1493" s="110"/>
      <c r="DL1493" s="110"/>
      <c r="DM1493" s="110"/>
      <c r="DN1493" s="110"/>
      <c r="DO1493" s="110"/>
      <c r="DP1493" s="110"/>
      <c r="DQ1493" s="110"/>
      <c r="DR1493" s="110"/>
      <c r="DS1493" s="110"/>
      <c r="DT1493" s="110"/>
      <c r="DU1493" s="110"/>
      <c r="DV1493" s="110"/>
      <c r="DW1493" s="110"/>
      <c r="DX1493" s="110"/>
      <c r="DY1493" s="110"/>
      <c r="DZ1493" s="110"/>
      <c r="EA1493" s="110"/>
      <c r="EB1493" s="110"/>
      <c r="EC1493" s="110"/>
      <c r="ED1493" s="110"/>
      <c r="EF1493" s="264"/>
      <c r="EG1493" s="110"/>
      <c r="EH1493" s="110"/>
      <c r="EI1493" s="110"/>
      <c r="EJ1493" s="110"/>
      <c r="EK1493" s="266"/>
      <c r="EL1493" s="110"/>
      <c r="EM1493" s="110"/>
      <c r="EN1493" s="110"/>
      <c r="EO1493" s="110"/>
      <c r="EP1493" s="110"/>
      <c r="EQ1493" s="110"/>
      <c r="ER1493" s="110"/>
      <c r="ES1493" s="110"/>
      <c r="ET1493" s="110"/>
      <c r="EU1493" s="110"/>
      <c r="EV1493" s="110"/>
      <c r="EW1493" s="110"/>
      <c r="EX1493" s="110"/>
      <c r="EY1493" s="110"/>
      <c r="EZ1493" s="110"/>
      <c r="FA1493" s="110"/>
      <c r="FB1493" s="110"/>
      <c r="FC1493" s="110"/>
      <c r="FD1493" s="110"/>
      <c r="FE1493" s="110"/>
      <c r="FF1493" s="110"/>
      <c r="FG1493" s="110"/>
      <c r="FH1493" s="110"/>
      <c r="FI1493" s="110"/>
      <c r="FJ1493" s="110"/>
      <c r="FK1493" s="110"/>
      <c r="FL1493" s="110"/>
      <c r="FM1493" s="110"/>
      <c r="FN1493" s="110"/>
      <c r="FO1493" s="110"/>
      <c r="FP1493" s="110"/>
      <c r="FQ1493" s="110"/>
      <c r="FR1493" s="110"/>
      <c r="FS1493" s="110"/>
      <c r="FT1493" s="110"/>
      <c r="FU1493" s="110"/>
      <c r="FV1493" s="110"/>
      <c r="FW1493" s="110"/>
      <c r="FX1493" s="110"/>
      <c r="FY1493" s="110"/>
      <c r="FZ1493" s="110"/>
      <c r="GA1493" s="110"/>
      <c r="GB1493" s="110"/>
      <c r="GC1493" s="110"/>
      <c r="GD1493" s="110"/>
      <c r="GE1493" s="110"/>
      <c r="GF1493" s="110"/>
      <c r="GG1493" s="110"/>
      <c r="GH1493" s="110"/>
      <c r="GI1493" s="110"/>
      <c r="GJ1493" s="110"/>
      <c r="GK1493" s="110"/>
      <c r="GL1493" s="110"/>
      <c r="GM1493" s="110"/>
      <c r="GN1493" s="110"/>
      <c r="GO1493" s="110"/>
      <c r="GP1493" s="110"/>
      <c r="GQ1493" s="110"/>
      <c r="GR1493" s="110"/>
      <c r="GS1493" s="110"/>
      <c r="GT1493" s="110"/>
      <c r="GU1493" s="110"/>
      <c r="GV1493" s="110"/>
      <c r="GW1493" s="110"/>
      <c r="GX1493" s="110"/>
      <c r="GY1493" s="110"/>
      <c r="GZ1493" s="110"/>
      <c r="HA1493" s="110"/>
      <c r="HB1493" s="110"/>
      <c r="HC1493" s="110"/>
      <c r="HD1493" s="110"/>
      <c r="HE1493" s="110"/>
      <c r="HF1493" s="110"/>
      <c r="HG1493" s="110"/>
      <c r="HH1493" s="110"/>
      <c r="HI1493" s="110"/>
      <c r="HJ1493" s="110"/>
      <c r="HK1493" s="110"/>
      <c r="HL1493" s="110"/>
      <c r="HM1493" s="110"/>
      <c r="HN1493" s="110"/>
      <c r="HO1493" s="110"/>
      <c r="HP1493" s="110"/>
      <c r="HQ1493" s="110"/>
      <c r="HR1493" s="110"/>
      <c r="HS1493" s="110"/>
      <c r="HT1493" s="110"/>
      <c r="HU1493" s="110"/>
      <c r="HV1493" s="110"/>
      <c r="HW1493" s="110"/>
      <c r="HX1493" s="110"/>
      <c r="HY1493" s="110"/>
      <c r="HZ1493" s="110"/>
      <c r="IA1493" s="110"/>
      <c r="IB1493" s="110"/>
      <c r="IC1493" s="110"/>
      <c r="ID1493" s="110"/>
      <c r="IE1493" s="110"/>
      <c r="IF1493" s="110"/>
      <c r="IG1493" s="110"/>
      <c r="IH1493" s="110"/>
      <c r="II1493" s="110"/>
      <c r="IJ1493" s="110"/>
      <c r="IK1493" s="110"/>
      <c r="IL1493" s="110"/>
      <c r="IM1493" s="110"/>
      <c r="IN1493" s="110"/>
      <c r="IO1493" s="110"/>
      <c r="IP1493" s="110"/>
      <c r="IQ1493" s="110"/>
      <c r="IR1493" s="110"/>
    </row>
    <row r="1494" spans="18:252" ht="16.5" hidden="1" customHeight="1">
      <c r="R1494" s="264"/>
      <c r="S1494" s="110"/>
      <c r="T1494" s="110"/>
      <c r="U1494" s="110"/>
      <c r="V1494" s="110"/>
      <c r="W1494" s="266"/>
      <c r="X1494" s="110"/>
      <c r="Y1494" s="110"/>
      <c r="Z1494" s="110"/>
      <c r="AA1494" s="110"/>
      <c r="AB1494" s="110"/>
      <c r="AC1494" s="110"/>
      <c r="AD1494" s="110"/>
      <c r="AE1494" s="110"/>
      <c r="AF1494" s="110"/>
      <c r="AG1494" s="110"/>
      <c r="AH1494" s="110"/>
      <c r="AI1494" s="110"/>
      <c r="AJ1494" s="110"/>
      <c r="AK1494" s="110"/>
      <c r="AL1494" s="110"/>
      <c r="AM1494" s="110"/>
      <c r="AN1494" s="110"/>
      <c r="AO1494" s="110"/>
      <c r="AP1494" s="110"/>
      <c r="AQ1494" s="110"/>
      <c r="AR1494" s="110"/>
      <c r="AS1494" s="110"/>
      <c r="AT1494" s="110"/>
      <c r="AU1494" s="110"/>
      <c r="AV1494" s="110"/>
      <c r="AW1494" s="110"/>
      <c r="AX1494" s="110"/>
      <c r="AY1494" s="110"/>
      <c r="AZ1494" s="110"/>
      <c r="BA1494" s="110"/>
      <c r="BB1494" s="110"/>
      <c r="BC1494" s="110"/>
      <c r="BD1494" s="110"/>
      <c r="BE1494" s="110"/>
      <c r="BF1494" s="110"/>
      <c r="BG1494" s="110"/>
      <c r="BH1494" s="110"/>
      <c r="BI1494" s="110"/>
      <c r="BJ1494" s="110"/>
      <c r="BK1494" s="110"/>
      <c r="BL1494" s="110"/>
      <c r="BM1494" s="110"/>
      <c r="BN1494" s="110"/>
      <c r="BO1494" s="110"/>
      <c r="BP1494" s="110"/>
      <c r="BQ1494" s="110"/>
      <c r="BR1494" s="110"/>
      <c r="BS1494" s="110"/>
      <c r="BT1494" s="110"/>
      <c r="BU1494" s="110"/>
      <c r="BV1494" s="110"/>
      <c r="BW1494" s="110"/>
      <c r="BX1494" s="110"/>
      <c r="BY1494" s="110"/>
      <c r="BZ1494" s="110"/>
      <c r="CA1494" s="110"/>
      <c r="CB1494" s="110"/>
      <c r="CC1494" s="110"/>
      <c r="CD1494" s="110"/>
      <c r="CE1494" s="110"/>
      <c r="CF1494" s="110"/>
      <c r="CG1494" s="110"/>
      <c r="CH1494" s="110"/>
      <c r="CI1494" s="110"/>
      <c r="CJ1494" s="110"/>
      <c r="CK1494" s="110"/>
      <c r="CL1494" s="110"/>
      <c r="CM1494" s="110"/>
      <c r="CN1494" s="110"/>
      <c r="CO1494" s="110"/>
      <c r="CP1494" s="110"/>
      <c r="CQ1494" s="110"/>
      <c r="CR1494" s="110"/>
      <c r="CS1494" s="110"/>
      <c r="CT1494" s="110"/>
      <c r="CU1494" s="110"/>
      <c r="CV1494" s="110"/>
      <c r="CW1494" s="110"/>
      <c r="CX1494" s="110"/>
      <c r="CY1494" s="110"/>
      <c r="CZ1494" s="110"/>
      <c r="DA1494" s="110"/>
      <c r="DB1494" s="110"/>
      <c r="DC1494" s="110"/>
      <c r="DD1494" s="110"/>
      <c r="DE1494" s="110"/>
      <c r="DF1494" s="110"/>
      <c r="DG1494" s="110"/>
      <c r="DH1494" s="110"/>
      <c r="DI1494" s="110"/>
      <c r="DJ1494" s="110"/>
      <c r="DK1494" s="110"/>
      <c r="DL1494" s="110"/>
      <c r="DM1494" s="110"/>
      <c r="DN1494" s="110"/>
      <c r="DO1494" s="110"/>
      <c r="DP1494" s="110"/>
      <c r="DQ1494" s="110"/>
      <c r="DR1494" s="110"/>
      <c r="DS1494" s="110"/>
      <c r="DT1494" s="110"/>
      <c r="DU1494" s="110"/>
      <c r="DV1494" s="110"/>
      <c r="DW1494" s="110"/>
      <c r="DX1494" s="110"/>
      <c r="DY1494" s="110"/>
      <c r="DZ1494" s="110"/>
      <c r="EA1494" s="110"/>
      <c r="EB1494" s="110"/>
      <c r="EC1494" s="110"/>
      <c r="ED1494" s="110"/>
      <c r="EF1494" s="264"/>
      <c r="EG1494" s="110"/>
      <c r="EH1494" s="110"/>
      <c r="EI1494" s="110"/>
      <c r="EJ1494" s="110"/>
      <c r="EK1494" s="266"/>
      <c r="EL1494" s="110"/>
      <c r="EM1494" s="110"/>
      <c r="EN1494" s="110"/>
      <c r="EO1494" s="110"/>
      <c r="EP1494" s="110"/>
      <c r="EQ1494" s="110"/>
      <c r="ER1494" s="110"/>
      <c r="ES1494" s="110"/>
      <c r="ET1494" s="110"/>
      <c r="EU1494" s="110"/>
      <c r="EV1494" s="110"/>
      <c r="EW1494" s="110"/>
      <c r="EX1494" s="110"/>
      <c r="EY1494" s="110"/>
      <c r="EZ1494" s="110"/>
      <c r="FA1494" s="110"/>
      <c r="FB1494" s="110"/>
      <c r="FC1494" s="110"/>
      <c r="FD1494" s="110"/>
      <c r="FE1494" s="110"/>
      <c r="FF1494" s="110"/>
      <c r="FG1494" s="110"/>
      <c r="FH1494" s="110"/>
      <c r="FI1494" s="110"/>
      <c r="FJ1494" s="110"/>
      <c r="FK1494" s="110"/>
      <c r="FL1494" s="110"/>
      <c r="FM1494" s="110"/>
      <c r="FN1494" s="110"/>
      <c r="FO1494" s="110"/>
      <c r="FP1494" s="110"/>
      <c r="FQ1494" s="110"/>
      <c r="FR1494" s="110"/>
      <c r="FS1494" s="110"/>
      <c r="FT1494" s="110"/>
      <c r="FU1494" s="110"/>
      <c r="FV1494" s="110"/>
      <c r="FW1494" s="110"/>
      <c r="FX1494" s="110"/>
      <c r="FY1494" s="110"/>
      <c r="FZ1494" s="110"/>
      <c r="GA1494" s="110"/>
      <c r="GB1494" s="110"/>
      <c r="GC1494" s="110"/>
      <c r="GD1494" s="110"/>
      <c r="GE1494" s="110"/>
      <c r="GF1494" s="110"/>
      <c r="GG1494" s="110"/>
      <c r="GH1494" s="110"/>
      <c r="GI1494" s="110"/>
      <c r="GJ1494" s="110"/>
      <c r="GK1494" s="110"/>
      <c r="GL1494" s="110"/>
      <c r="GM1494" s="110"/>
      <c r="GN1494" s="110"/>
      <c r="GO1494" s="110"/>
      <c r="GP1494" s="110"/>
      <c r="GQ1494" s="110"/>
      <c r="GR1494" s="110"/>
      <c r="GS1494" s="110"/>
      <c r="GT1494" s="110"/>
      <c r="GU1494" s="110"/>
      <c r="GV1494" s="110"/>
      <c r="GW1494" s="110"/>
      <c r="GX1494" s="110"/>
      <c r="GY1494" s="110"/>
      <c r="GZ1494" s="110"/>
      <c r="HA1494" s="110"/>
      <c r="HB1494" s="110"/>
      <c r="HC1494" s="110"/>
      <c r="HD1494" s="110"/>
      <c r="HE1494" s="110"/>
      <c r="HF1494" s="110"/>
      <c r="HG1494" s="110"/>
      <c r="HH1494" s="110"/>
      <c r="HI1494" s="110"/>
      <c r="HJ1494" s="110"/>
      <c r="HK1494" s="110"/>
      <c r="HL1494" s="110"/>
      <c r="HM1494" s="110"/>
      <c r="HN1494" s="110"/>
      <c r="HO1494" s="110"/>
      <c r="HP1494" s="110"/>
      <c r="HQ1494" s="110"/>
      <c r="HR1494" s="110"/>
      <c r="HS1494" s="110"/>
      <c r="HT1494" s="110"/>
      <c r="HU1494" s="110"/>
      <c r="HV1494" s="110"/>
      <c r="HW1494" s="110"/>
      <c r="HX1494" s="110"/>
      <c r="HY1494" s="110"/>
      <c r="HZ1494" s="110"/>
      <c r="IA1494" s="110"/>
      <c r="IB1494" s="110"/>
      <c r="IC1494" s="110"/>
      <c r="ID1494" s="110"/>
      <c r="IE1494" s="110"/>
      <c r="IF1494" s="110"/>
      <c r="IG1494" s="110"/>
      <c r="IH1494" s="110"/>
      <c r="II1494" s="110"/>
      <c r="IJ1494" s="110"/>
      <c r="IK1494" s="110"/>
      <c r="IL1494" s="110"/>
      <c r="IM1494" s="110"/>
      <c r="IN1494" s="110"/>
      <c r="IO1494" s="110"/>
      <c r="IP1494" s="110"/>
      <c r="IQ1494" s="110"/>
      <c r="IR1494" s="110"/>
    </row>
    <row r="1495" spans="18:252" ht="16.5" hidden="1" customHeight="1">
      <c r="R1495" s="264"/>
      <c r="S1495" s="110"/>
      <c r="T1495" s="110"/>
      <c r="U1495" s="110"/>
      <c r="V1495" s="110"/>
      <c r="W1495" s="266"/>
      <c r="X1495" s="110"/>
      <c r="Y1495" s="110"/>
      <c r="Z1495" s="110"/>
      <c r="AA1495" s="110"/>
      <c r="AB1495" s="110"/>
      <c r="AC1495" s="110"/>
      <c r="AD1495" s="110"/>
      <c r="AE1495" s="110"/>
      <c r="AF1495" s="110"/>
      <c r="AG1495" s="110"/>
      <c r="AH1495" s="110"/>
      <c r="AI1495" s="110"/>
      <c r="AJ1495" s="110"/>
      <c r="AK1495" s="110"/>
      <c r="AL1495" s="110"/>
      <c r="AM1495" s="110"/>
      <c r="AN1495" s="110"/>
      <c r="AO1495" s="110"/>
      <c r="AP1495" s="110"/>
      <c r="AQ1495" s="110"/>
      <c r="AR1495" s="110"/>
      <c r="AS1495" s="110"/>
      <c r="AT1495" s="110"/>
      <c r="AU1495" s="110"/>
      <c r="AV1495" s="110"/>
      <c r="AW1495" s="110"/>
      <c r="AX1495" s="110"/>
      <c r="AY1495" s="110"/>
      <c r="AZ1495" s="110"/>
      <c r="BA1495" s="110"/>
      <c r="BB1495" s="110"/>
      <c r="BC1495" s="110"/>
      <c r="BD1495" s="110"/>
      <c r="BE1495" s="110"/>
      <c r="BF1495" s="110"/>
      <c r="BG1495" s="110"/>
      <c r="BH1495" s="110"/>
      <c r="BI1495" s="110"/>
      <c r="BJ1495" s="110"/>
      <c r="BK1495" s="110"/>
      <c r="BL1495" s="110"/>
      <c r="BM1495" s="110"/>
      <c r="BN1495" s="110"/>
      <c r="BO1495" s="110"/>
      <c r="BP1495" s="110"/>
      <c r="BQ1495" s="110"/>
      <c r="BR1495" s="110"/>
      <c r="BS1495" s="110"/>
      <c r="BT1495" s="110"/>
      <c r="BU1495" s="110"/>
      <c r="BV1495" s="110"/>
      <c r="BW1495" s="110"/>
      <c r="BX1495" s="110"/>
      <c r="BY1495" s="110"/>
      <c r="BZ1495" s="110"/>
      <c r="CA1495" s="110"/>
      <c r="CB1495" s="110"/>
      <c r="CC1495" s="110"/>
      <c r="CD1495" s="110"/>
      <c r="CE1495" s="110"/>
      <c r="CF1495" s="110"/>
      <c r="CG1495" s="110"/>
      <c r="CH1495" s="110"/>
      <c r="CI1495" s="110"/>
      <c r="CJ1495" s="110"/>
      <c r="CK1495" s="110"/>
      <c r="CL1495" s="110"/>
      <c r="CM1495" s="110"/>
      <c r="CN1495" s="110"/>
      <c r="CO1495" s="110"/>
      <c r="CP1495" s="110"/>
      <c r="CQ1495" s="110"/>
      <c r="CR1495" s="110"/>
      <c r="CS1495" s="110"/>
      <c r="CT1495" s="110"/>
      <c r="CU1495" s="110"/>
      <c r="CV1495" s="110"/>
      <c r="CW1495" s="110"/>
      <c r="CX1495" s="110"/>
      <c r="CY1495" s="110"/>
      <c r="CZ1495" s="110"/>
      <c r="DA1495" s="110"/>
      <c r="DB1495" s="110"/>
      <c r="DC1495" s="110"/>
      <c r="DD1495" s="110"/>
      <c r="DE1495" s="110"/>
      <c r="DF1495" s="110"/>
      <c r="DG1495" s="110"/>
      <c r="DH1495" s="110"/>
      <c r="DI1495" s="110"/>
      <c r="DJ1495" s="110"/>
      <c r="DK1495" s="110"/>
      <c r="DL1495" s="110"/>
      <c r="DM1495" s="110"/>
      <c r="DN1495" s="110"/>
      <c r="DO1495" s="110"/>
      <c r="DP1495" s="110"/>
      <c r="DQ1495" s="110"/>
      <c r="DR1495" s="110"/>
      <c r="DS1495" s="110"/>
      <c r="DT1495" s="110"/>
      <c r="DU1495" s="110"/>
      <c r="DV1495" s="110"/>
      <c r="DW1495" s="110"/>
      <c r="DX1495" s="110"/>
      <c r="DY1495" s="110"/>
      <c r="DZ1495" s="110"/>
      <c r="EA1495" s="110"/>
      <c r="EB1495" s="110"/>
      <c r="EC1495" s="110"/>
      <c r="ED1495" s="110"/>
      <c r="EF1495" s="264"/>
      <c r="EG1495" s="110"/>
      <c r="EH1495" s="110"/>
      <c r="EI1495" s="110"/>
      <c r="EJ1495" s="110"/>
      <c r="EK1495" s="266"/>
      <c r="EL1495" s="110"/>
      <c r="EM1495" s="110"/>
      <c r="EN1495" s="110"/>
      <c r="EO1495" s="110"/>
      <c r="EP1495" s="110"/>
      <c r="EQ1495" s="110"/>
      <c r="ER1495" s="110"/>
      <c r="ES1495" s="110"/>
      <c r="ET1495" s="110"/>
      <c r="EU1495" s="110"/>
      <c r="EV1495" s="110"/>
      <c r="EW1495" s="110"/>
      <c r="EX1495" s="110"/>
      <c r="EY1495" s="110"/>
      <c r="EZ1495" s="110"/>
      <c r="FA1495" s="110"/>
      <c r="FB1495" s="110"/>
      <c r="FC1495" s="110"/>
      <c r="FD1495" s="110"/>
      <c r="FE1495" s="110"/>
      <c r="FF1495" s="110"/>
      <c r="FG1495" s="110"/>
      <c r="FH1495" s="110"/>
      <c r="FI1495" s="110"/>
      <c r="FJ1495" s="110"/>
      <c r="FK1495" s="110"/>
      <c r="FL1495" s="110"/>
      <c r="FM1495" s="110"/>
      <c r="FN1495" s="110"/>
      <c r="FO1495" s="110"/>
      <c r="FP1495" s="110"/>
      <c r="FQ1495" s="110"/>
      <c r="FR1495" s="110"/>
      <c r="FS1495" s="110"/>
      <c r="FT1495" s="110"/>
      <c r="FU1495" s="110"/>
      <c r="FV1495" s="110"/>
      <c r="FW1495" s="110"/>
      <c r="FX1495" s="110"/>
      <c r="FY1495" s="110"/>
      <c r="FZ1495" s="110"/>
      <c r="GA1495" s="110"/>
      <c r="GB1495" s="110"/>
      <c r="GC1495" s="110"/>
      <c r="GD1495" s="110"/>
      <c r="GE1495" s="110"/>
      <c r="GF1495" s="110"/>
      <c r="GG1495" s="110"/>
      <c r="GH1495" s="110"/>
      <c r="GI1495" s="110"/>
      <c r="GJ1495" s="110"/>
      <c r="GK1495" s="110"/>
      <c r="GL1495" s="110"/>
      <c r="GM1495" s="110"/>
      <c r="GN1495" s="110"/>
      <c r="GO1495" s="110"/>
      <c r="GP1495" s="110"/>
      <c r="GQ1495" s="110"/>
      <c r="GR1495" s="110"/>
      <c r="GS1495" s="110"/>
      <c r="GT1495" s="110"/>
      <c r="GU1495" s="110"/>
      <c r="GV1495" s="110"/>
      <c r="GW1495" s="110"/>
      <c r="GX1495" s="110"/>
      <c r="GY1495" s="110"/>
      <c r="GZ1495" s="110"/>
      <c r="HA1495" s="110"/>
      <c r="HB1495" s="110"/>
      <c r="HC1495" s="110"/>
      <c r="HD1495" s="110"/>
      <c r="HE1495" s="110"/>
      <c r="HF1495" s="110"/>
      <c r="HG1495" s="110"/>
      <c r="HH1495" s="110"/>
      <c r="HI1495" s="110"/>
      <c r="HJ1495" s="110"/>
      <c r="HK1495" s="110"/>
      <c r="HL1495" s="110"/>
      <c r="HM1495" s="110"/>
      <c r="HN1495" s="110"/>
      <c r="HO1495" s="110"/>
      <c r="HP1495" s="110"/>
      <c r="HQ1495" s="110"/>
      <c r="HR1495" s="110"/>
      <c r="HS1495" s="110"/>
      <c r="HT1495" s="110"/>
      <c r="HU1495" s="110"/>
      <c r="HV1495" s="110"/>
      <c r="HW1495" s="110"/>
      <c r="HX1495" s="110"/>
      <c r="HY1495" s="110"/>
      <c r="HZ1495" s="110"/>
      <c r="IA1495" s="110"/>
      <c r="IB1495" s="110"/>
      <c r="IC1495" s="110"/>
      <c r="ID1495" s="110"/>
      <c r="IE1495" s="110"/>
      <c r="IF1495" s="110"/>
      <c r="IG1495" s="110"/>
      <c r="IH1495" s="110"/>
      <c r="II1495" s="110"/>
      <c r="IJ1495" s="110"/>
      <c r="IK1495" s="110"/>
      <c r="IL1495" s="110"/>
      <c r="IM1495" s="110"/>
      <c r="IN1495" s="110"/>
      <c r="IO1495" s="110"/>
      <c r="IP1495" s="110"/>
      <c r="IQ1495" s="110"/>
      <c r="IR1495" s="110"/>
    </row>
    <row r="1496" spans="18:252" ht="16.5" hidden="1" customHeight="1">
      <c r="R1496" s="264"/>
      <c r="S1496" s="110"/>
      <c r="T1496" s="110"/>
      <c r="U1496" s="110"/>
      <c r="V1496" s="110"/>
      <c r="W1496" s="266"/>
      <c r="X1496" s="110"/>
      <c r="Y1496" s="110"/>
      <c r="Z1496" s="110"/>
      <c r="AA1496" s="110"/>
      <c r="AB1496" s="110"/>
      <c r="AC1496" s="110"/>
      <c r="AD1496" s="110"/>
      <c r="AE1496" s="110"/>
      <c r="AF1496" s="110"/>
      <c r="AG1496" s="110"/>
      <c r="AH1496" s="110"/>
      <c r="AI1496" s="110"/>
      <c r="AJ1496" s="110"/>
      <c r="AK1496" s="110"/>
      <c r="AL1496" s="110"/>
      <c r="AM1496" s="110"/>
      <c r="AN1496" s="110"/>
      <c r="AO1496" s="110"/>
      <c r="AP1496" s="110"/>
      <c r="AQ1496" s="110"/>
      <c r="AR1496" s="110"/>
      <c r="AS1496" s="110"/>
      <c r="AT1496" s="110"/>
      <c r="AU1496" s="110"/>
      <c r="AV1496" s="110"/>
      <c r="AW1496" s="110"/>
      <c r="AX1496" s="110"/>
      <c r="AY1496" s="110"/>
      <c r="AZ1496" s="110"/>
      <c r="BA1496" s="110"/>
      <c r="BB1496" s="110"/>
      <c r="BC1496" s="110"/>
      <c r="BD1496" s="110"/>
      <c r="BE1496" s="110"/>
      <c r="BF1496" s="110"/>
      <c r="BG1496" s="110"/>
      <c r="BH1496" s="110"/>
      <c r="BI1496" s="110"/>
      <c r="BJ1496" s="110"/>
      <c r="BK1496" s="110"/>
      <c r="BL1496" s="110"/>
      <c r="BM1496" s="110"/>
      <c r="BN1496" s="110"/>
      <c r="BO1496" s="110"/>
      <c r="BP1496" s="110"/>
      <c r="BQ1496" s="110"/>
      <c r="BR1496" s="110"/>
      <c r="BS1496" s="110"/>
      <c r="BT1496" s="110"/>
      <c r="BU1496" s="110"/>
      <c r="BV1496" s="110"/>
      <c r="BW1496" s="110"/>
      <c r="BX1496" s="110"/>
      <c r="BY1496" s="110"/>
      <c r="BZ1496" s="110"/>
      <c r="CA1496" s="110"/>
      <c r="CB1496" s="110"/>
      <c r="CC1496" s="110"/>
      <c r="CD1496" s="110"/>
      <c r="CE1496" s="110"/>
      <c r="CF1496" s="110"/>
      <c r="CG1496" s="110"/>
      <c r="CH1496" s="110"/>
      <c r="CI1496" s="110"/>
      <c r="CJ1496" s="110"/>
      <c r="CK1496" s="110"/>
      <c r="CL1496" s="110"/>
      <c r="CM1496" s="110"/>
      <c r="CN1496" s="110"/>
      <c r="CO1496" s="110"/>
      <c r="CP1496" s="110"/>
      <c r="CQ1496" s="110"/>
      <c r="CR1496" s="110"/>
      <c r="CS1496" s="110"/>
      <c r="CT1496" s="110"/>
      <c r="CU1496" s="110"/>
      <c r="CV1496" s="110"/>
      <c r="CW1496" s="110"/>
      <c r="CX1496" s="110"/>
      <c r="CY1496" s="110"/>
      <c r="CZ1496" s="110"/>
      <c r="DA1496" s="110"/>
      <c r="DB1496" s="110"/>
      <c r="DC1496" s="110"/>
      <c r="DD1496" s="110"/>
      <c r="DE1496" s="110"/>
      <c r="DF1496" s="110"/>
      <c r="DG1496" s="110"/>
      <c r="DH1496" s="110"/>
      <c r="DI1496" s="110"/>
      <c r="DJ1496" s="110"/>
      <c r="DK1496" s="110"/>
      <c r="DL1496" s="110"/>
      <c r="DM1496" s="110"/>
      <c r="DN1496" s="110"/>
      <c r="DO1496" s="110"/>
      <c r="DP1496" s="110"/>
      <c r="DQ1496" s="110"/>
      <c r="DR1496" s="110"/>
      <c r="DS1496" s="110"/>
      <c r="DT1496" s="110"/>
      <c r="DU1496" s="110"/>
      <c r="DV1496" s="110"/>
      <c r="DW1496" s="110"/>
      <c r="DX1496" s="110"/>
      <c r="DY1496" s="110"/>
      <c r="DZ1496" s="110"/>
      <c r="EA1496" s="110"/>
      <c r="EB1496" s="110"/>
      <c r="EC1496" s="110"/>
      <c r="ED1496" s="110"/>
      <c r="EF1496" s="264"/>
      <c r="EG1496" s="110"/>
      <c r="EH1496" s="110"/>
      <c r="EI1496" s="110"/>
      <c r="EJ1496" s="110"/>
      <c r="EK1496" s="266"/>
      <c r="EL1496" s="110"/>
      <c r="EM1496" s="110"/>
      <c r="EN1496" s="110"/>
      <c r="EO1496" s="110"/>
      <c r="EP1496" s="110"/>
      <c r="EQ1496" s="110"/>
      <c r="ER1496" s="110"/>
      <c r="ES1496" s="110"/>
      <c r="ET1496" s="110"/>
      <c r="EU1496" s="110"/>
      <c r="EV1496" s="110"/>
      <c r="EW1496" s="110"/>
      <c r="EX1496" s="110"/>
      <c r="EY1496" s="110"/>
      <c r="EZ1496" s="110"/>
      <c r="FA1496" s="110"/>
      <c r="FB1496" s="110"/>
      <c r="FC1496" s="110"/>
      <c r="FD1496" s="110"/>
      <c r="FE1496" s="110"/>
      <c r="FF1496" s="110"/>
      <c r="FG1496" s="110"/>
      <c r="FH1496" s="110"/>
      <c r="FI1496" s="110"/>
      <c r="FJ1496" s="110"/>
      <c r="FK1496" s="110"/>
      <c r="FL1496" s="110"/>
      <c r="FM1496" s="110"/>
      <c r="FN1496" s="110"/>
      <c r="FO1496" s="110"/>
      <c r="FP1496" s="110"/>
      <c r="FQ1496" s="110"/>
      <c r="FR1496" s="110"/>
      <c r="FS1496" s="110"/>
      <c r="FT1496" s="110"/>
      <c r="FU1496" s="110"/>
      <c r="FV1496" s="110"/>
      <c r="FW1496" s="110"/>
      <c r="FX1496" s="110"/>
      <c r="FY1496" s="110"/>
      <c r="FZ1496" s="110"/>
      <c r="GA1496" s="110"/>
      <c r="GB1496" s="110"/>
      <c r="GC1496" s="110"/>
      <c r="GD1496" s="110"/>
      <c r="GE1496" s="110"/>
      <c r="GF1496" s="110"/>
      <c r="GG1496" s="110"/>
      <c r="GH1496" s="110"/>
      <c r="GI1496" s="110"/>
      <c r="GJ1496" s="110"/>
      <c r="GK1496" s="110"/>
      <c r="GL1496" s="110"/>
      <c r="GM1496" s="110"/>
      <c r="GN1496" s="110"/>
      <c r="GO1496" s="110"/>
      <c r="GP1496" s="110"/>
      <c r="GQ1496" s="110"/>
      <c r="GR1496" s="110"/>
      <c r="GS1496" s="110"/>
      <c r="GT1496" s="110"/>
      <c r="GU1496" s="110"/>
      <c r="GV1496" s="110"/>
      <c r="GW1496" s="110"/>
      <c r="GX1496" s="110"/>
      <c r="GY1496" s="110"/>
      <c r="GZ1496" s="110"/>
      <c r="HA1496" s="110"/>
      <c r="HB1496" s="110"/>
      <c r="HC1496" s="110"/>
      <c r="HD1496" s="110"/>
      <c r="HE1496" s="110"/>
      <c r="HF1496" s="110"/>
      <c r="HG1496" s="110"/>
      <c r="HH1496" s="110"/>
      <c r="HI1496" s="110"/>
      <c r="HJ1496" s="110"/>
      <c r="HK1496" s="110"/>
      <c r="HL1496" s="110"/>
      <c r="HM1496" s="110"/>
      <c r="HN1496" s="110"/>
      <c r="HO1496" s="110"/>
      <c r="HP1496" s="110"/>
      <c r="HQ1496" s="110"/>
      <c r="HR1496" s="110"/>
      <c r="HS1496" s="110"/>
      <c r="HT1496" s="110"/>
      <c r="HU1496" s="110"/>
      <c r="HV1496" s="110"/>
      <c r="HW1496" s="110"/>
      <c r="HX1496" s="110"/>
      <c r="HY1496" s="110"/>
      <c r="HZ1496" s="110"/>
      <c r="IA1496" s="110"/>
      <c r="IB1496" s="110"/>
      <c r="IC1496" s="110"/>
      <c r="ID1496" s="110"/>
      <c r="IE1496" s="110"/>
      <c r="IF1496" s="110"/>
      <c r="IG1496" s="110"/>
      <c r="IH1496" s="110"/>
      <c r="II1496" s="110"/>
      <c r="IJ1496" s="110"/>
      <c r="IK1496" s="110"/>
      <c r="IL1496" s="110"/>
      <c r="IM1496" s="110"/>
      <c r="IN1496" s="110"/>
      <c r="IO1496" s="110"/>
      <c r="IP1496" s="110"/>
      <c r="IQ1496" s="110"/>
      <c r="IR1496" s="110"/>
    </row>
    <row r="1497" spans="18:252" ht="16.5" hidden="1" customHeight="1">
      <c r="R1497" s="264"/>
      <c r="S1497" s="110"/>
      <c r="T1497" s="110"/>
      <c r="U1497" s="110"/>
      <c r="V1497" s="110"/>
      <c r="W1497" s="266"/>
      <c r="X1497" s="110"/>
      <c r="Y1497" s="110"/>
      <c r="Z1497" s="110"/>
      <c r="AA1497" s="110"/>
      <c r="AB1497" s="110"/>
      <c r="AC1497" s="110"/>
      <c r="AD1497" s="110"/>
      <c r="AE1497" s="110"/>
      <c r="AF1497" s="110"/>
      <c r="AG1497" s="110"/>
      <c r="AH1497" s="110"/>
      <c r="AI1497" s="110"/>
      <c r="AJ1497" s="110"/>
      <c r="AK1497" s="110"/>
      <c r="AL1497" s="110"/>
      <c r="AM1497" s="110"/>
      <c r="AN1497" s="110"/>
      <c r="AO1497" s="110"/>
      <c r="AP1497" s="110"/>
      <c r="AQ1497" s="110"/>
      <c r="AR1497" s="110"/>
      <c r="AS1497" s="110"/>
      <c r="AT1497" s="110"/>
      <c r="AU1497" s="110"/>
      <c r="AV1497" s="110"/>
      <c r="AW1497" s="110"/>
      <c r="AX1497" s="110"/>
      <c r="AY1497" s="110"/>
      <c r="AZ1497" s="110"/>
      <c r="BA1497" s="110"/>
      <c r="BB1497" s="110"/>
      <c r="BC1497" s="110"/>
      <c r="BD1497" s="110"/>
      <c r="BE1497" s="110"/>
      <c r="BF1497" s="110"/>
      <c r="BG1497" s="110"/>
      <c r="BH1497" s="110"/>
      <c r="BI1497" s="110"/>
      <c r="BJ1497" s="110"/>
      <c r="BK1497" s="110"/>
      <c r="BL1497" s="110"/>
      <c r="BM1497" s="110"/>
      <c r="BN1497" s="110"/>
      <c r="BO1497" s="110"/>
      <c r="BP1497" s="110"/>
      <c r="BQ1497" s="110"/>
      <c r="BR1497" s="110"/>
      <c r="BS1497" s="110"/>
      <c r="BT1497" s="110"/>
      <c r="BU1497" s="110"/>
      <c r="BV1497" s="110"/>
      <c r="BW1497" s="110"/>
      <c r="BX1497" s="110"/>
      <c r="BY1497" s="110"/>
      <c r="BZ1497" s="110"/>
      <c r="CA1497" s="110"/>
      <c r="CB1497" s="110"/>
      <c r="CC1497" s="110"/>
      <c r="CD1497" s="110"/>
      <c r="CE1497" s="110"/>
      <c r="CF1497" s="110"/>
      <c r="CG1497" s="110"/>
      <c r="CH1497" s="110"/>
      <c r="CI1497" s="110"/>
      <c r="CJ1497" s="110"/>
      <c r="CK1497" s="110"/>
      <c r="CL1497" s="110"/>
      <c r="CM1497" s="110"/>
      <c r="CN1497" s="110"/>
      <c r="CO1497" s="110"/>
      <c r="CP1497" s="110"/>
      <c r="CQ1497" s="110"/>
      <c r="CR1497" s="110"/>
      <c r="CS1497" s="110"/>
      <c r="CT1497" s="110"/>
      <c r="CU1497" s="110"/>
      <c r="CV1497" s="110"/>
      <c r="CW1497" s="110"/>
      <c r="CX1497" s="110"/>
      <c r="CY1497" s="110"/>
      <c r="CZ1497" s="110"/>
      <c r="DA1497" s="110"/>
      <c r="DB1497" s="110"/>
      <c r="DC1497" s="110"/>
      <c r="DD1497" s="110"/>
      <c r="DE1497" s="110"/>
      <c r="DF1497" s="110"/>
      <c r="DG1497" s="110"/>
      <c r="DH1497" s="110"/>
      <c r="DI1497" s="110"/>
      <c r="DJ1497" s="110"/>
      <c r="DK1497" s="110"/>
      <c r="DL1497" s="110"/>
      <c r="DM1497" s="110"/>
      <c r="DN1497" s="110"/>
      <c r="DO1497" s="110"/>
      <c r="DP1497" s="110"/>
      <c r="DQ1497" s="110"/>
      <c r="DR1497" s="110"/>
      <c r="DS1497" s="110"/>
      <c r="DT1497" s="110"/>
      <c r="DU1497" s="110"/>
      <c r="DV1497" s="110"/>
      <c r="DW1497" s="110"/>
      <c r="DX1497" s="110"/>
      <c r="DY1497" s="110"/>
      <c r="DZ1497" s="110"/>
      <c r="EA1497" s="110"/>
      <c r="EB1497" s="110"/>
      <c r="EC1497" s="110"/>
      <c r="ED1497" s="110"/>
      <c r="EF1497" s="264"/>
      <c r="EG1497" s="110"/>
      <c r="EH1497" s="110"/>
      <c r="EI1497" s="110"/>
      <c r="EJ1497" s="110"/>
      <c r="EK1497" s="266"/>
      <c r="EL1497" s="110"/>
      <c r="EM1497" s="110"/>
      <c r="EN1497" s="110"/>
      <c r="EO1497" s="110"/>
      <c r="EP1497" s="110"/>
      <c r="EQ1497" s="110"/>
      <c r="ER1497" s="110"/>
      <c r="ES1497" s="110"/>
      <c r="ET1497" s="110"/>
      <c r="EU1497" s="110"/>
      <c r="EV1497" s="110"/>
      <c r="EW1497" s="110"/>
      <c r="EX1497" s="110"/>
      <c r="EY1497" s="110"/>
      <c r="EZ1497" s="110"/>
      <c r="FA1497" s="110"/>
      <c r="FB1497" s="110"/>
      <c r="FC1497" s="110"/>
      <c r="FD1497" s="110"/>
      <c r="FE1497" s="110"/>
      <c r="FF1497" s="110"/>
      <c r="FG1497" s="110"/>
      <c r="FH1497" s="110"/>
      <c r="FI1497" s="110"/>
      <c r="FJ1497" s="110"/>
      <c r="FK1497" s="110"/>
      <c r="FL1497" s="110"/>
      <c r="FM1497" s="110"/>
      <c r="FN1497" s="110"/>
      <c r="FO1497" s="110"/>
      <c r="FP1497" s="110"/>
      <c r="FQ1497" s="110"/>
      <c r="FR1497" s="110"/>
      <c r="FS1497" s="110"/>
      <c r="FT1497" s="110"/>
      <c r="FU1497" s="110"/>
      <c r="FV1497" s="110"/>
      <c r="FW1497" s="110"/>
      <c r="FX1497" s="110"/>
      <c r="FY1497" s="110"/>
      <c r="FZ1497" s="110"/>
      <c r="GA1497" s="110"/>
      <c r="GB1497" s="110"/>
      <c r="GC1497" s="110"/>
      <c r="GD1497" s="110"/>
      <c r="GE1497" s="110"/>
      <c r="GF1497" s="110"/>
      <c r="GG1497" s="110"/>
      <c r="GH1497" s="110"/>
      <c r="GI1497" s="110"/>
      <c r="GJ1497" s="110"/>
      <c r="GK1497" s="110"/>
      <c r="GL1497" s="110"/>
      <c r="GM1497" s="110"/>
      <c r="GN1497" s="110"/>
      <c r="GO1497" s="110"/>
      <c r="GP1497" s="110"/>
      <c r="GQ1497" s="110"/>
      <c r="GR1497" s="110"/>
      <c r="GS1497" s="110"/>
      <c r="GT1497" s="110"/>
      <c r="GU1497" s="110"/>
      <c r="GV1497" s="110"/>
      <c r="GW1497" s="110"/>
      <c r="GX1497" s="110"/>
      <c r="GY1497" s="110"/>
      <c r="GZ1497" s="110"/>
      <c r="HA1497" s="110"/>
      <c r="HB1497" s="110"/>
      <c r="HC1497" s="110"/>
      <c r="HD1497" s="110"/>
      <c r="HE1497" s="110"/>
      <c r="HF1497" s="110"/>
      <c r="HG1497" s="110"/>
      <c r="HH1497" s="110"/>
      <c r="HI1497" s="110"/>
      <c r="HJ1497" s="110"/>
      <c r="HK1497" s="110"/>
      <c r="HL1497" s="110"/>
      <c r="HM1497" s="110"/>
      <c r="HN1497" s="110"/>
      <c r="HO1497" s="110"/>
      <c r="HP1497" s="110"/>
      <c r="HQ1497" s="110"/>
      <c r="HR1497" s="110"/>
      <c r="HS1497" s="110"/>
      <c r="HT1497" s="110"/>
      <c r="HU1497" s="110"/>
      <c r="HV1497" s="110"/>
      <c r="HW1497" s="110"/>
      <c r="HX1497" s="110"/>
      <c r="HY1497" s="110"/>
      <c r="HZ1497" s="110"/>
      <c r="IA1497" s="110"/>
      <c r="IB1497" s="110"/>
      <c r="IC1497" s="110"/>
      <c r="ID1497" s="110"/>
      <c r="IE1497" s="110"/>
      <c r="IF1497" s="110"/>
      <c r="IG1497" s="110"/>
      <c r="IH1497" s="110"/>
      <c r="II1497" s="110"/>
      <c r="IJ1497" s="110"/>
      <c r="IK1497" s="110"/>
      <c r="IL1497" s="110"/>
      <c r="IM1497" s="110"/>
      <c r="IN1497" s="110"/>
      <c r="IO1497" s="110"/>
      <c r="IP1497" s="110"/>
      <c r="IQ1497" s="110"/>
      <c r="IR1497" s="110"/>
    </row>
    <row r="1498" spans="18:252" ht="16.5" hidden="1" customHeight="1">
      <c r="R1498" s="264"/>
      <c r="S1498" s="110"/>
      <c r="T1498" s="110"/>
      <c r="U1498" s="110"/>
      <c r="V1498" s="110"/>
      <c r="W1498" s="266"/>
      <c r="X1498" s="110"/>
      <c r="Y1498" s="110"/>
      <c r="Z1498" s="110"/>
      <c r="AA1498" s="110"/>
      <c r="AB1498" s="110"/>
      <c r="AC1498" s="110"/>
      <c r="AD1498" s="110"/>
      <c r="AE1498" s="110"/>
      <c r="AF1498" s="110"/>
      <c r="AG1498" s="110"/>
      <c r="AH1498" s="110"/>
      <c r="AI1498" s="110"/>
      <c r="AJ1498" s="110"/>
      <c r="AK1498" s="110"/>
      <c r="AL1498" s="110"/>
      <c r="AM1498" s="110"/>
      <c r="AN1498" s="110"/>
      <c r="AO1498" s="110"/>
      <c r="AP1498" s="110"/>
      <c r="AQ1498" s="110"/>
      <c r="AR1498" s="110"/>
      <c r="AS1498" s="110"/>
      <c r="AT1498" s="110"/>
      <c r="AU1498" s="110"/>
      <c r="AV1498" s="110"/>
      <c r="AW1498" s="110"/>
      <c r="AX1498" s="110"/>
      <c r="AY1498" s="110"/>
      <c r="AZ1498" s="110"/>
      <c r="BA1498" s="110"/>
      <c r="BB1498" s="110"/>
      <c r="BC1498" s="110"/>
      <c r="BD1498" s="110"/>
      <c r="BE1498" s="110"/>
      <c r="BF1498" s="110"/>
      <c r="BG1498" s="110"/>
      <c r="BH1498" s="110"/>
      <c r="BI1498" s="110"/>
      <c r="BJ1498" s="110"/>
      <c r="BK1498" s="110"/>
      <c r="BL1498" s="110"/>
      <c r="BM1498" s="110"/>
      <c r="BN1498" s="110"/>
      <c r="BO1498" s="110"/>
      <c r="BP1498" s="110"/>
      <c r="BQ1498" s="110"/>
      <c r="BR1498" s="110"/>
      <c r="BS1498" s="110"/>
      <c r="BT1498" s="110"/>
      <c r="BU1498" s="110"/>
      <c r="BV1498" s="110"/>
      <c r="BW1498" s="110"/>
      <c r="BX1498" s="110"/>
      <c r="BY1498" s="110"/>
      <c r="BZ1498" s="110"/>
      <c r="CA1498" s="110"/>
      <c r="CB1498" s="110"/>
      <c r="CC1498" s="110"/>
      <c r="CD1498" s="110"/>
      <c r="CE1498" s="110"/>
      <c r="CF1498" s="110"/>
      <c r="CG1498" s="110"/>
      <c r="CH1498" s="110"/>
      <c r="CI1498" s="110"/>
      <c r="CJ1498" s="110"/>
      <c r="CK1498" s="110"/>
      <c r="CL1498" s="110"/>
      <c r="CM1498" s="110"/>
      <c r="CN1498" s="110"/>
      <c r="CO1498" s="110"/>
      <c r="CP1498" s="110"/>
      <c r="CQ1498" s="110"/>
      <c r="CR1498" s="110"/>
      <c r="CS1498" s="110"/>
      <c r="CT1498" s="110"/>
      <c r="CU1498" s="110"/>
      <c r="CV1498" s="110"/>
      <c r="CW1498" s="110"/>
      <c r="CX1498" s="110"/>
      <c r="CY1498" s="110"/>
      <c r="CZ1498" s="110"/>
      <c r="DA1498" s="110"/>
      <c r="DB1498" s="110"/>
      <c r="DC1498" s="110"/>
      <c r="DD1498" s="110"/>
      <c r="DE1498" s="110"/>
      <c r="DF1498" s="110"/>
      <c r="DG1498" s="110"/>
      <c r="DH1498" s="110"/>
      <c r="DI1498" s="110"/>
      <c r="DJ1498" s="110"/>
      <c r="DK1498" s="110"/>
      <c r="DL1498" s="110"/>
      <c r="DM1498" s="110"/>
      <c r="DN1498" s="110"/>
      <c r="DO1498" s="110"/>
      <c r="DP1498" s="110"/>
      <c r="DQ1498" s="110"/>
      <c r="DR1498" s="110"/>
      <c r="DS1498" s="110"/>
      <c r="DT1498" s="110"/>
      <c r="DU1498" s="110"/>
      <c r="DV1498" s="110"/>
      <c r="DW1498" s="110"/>
      <c r="DX1498" s="110"/>
      <c r="DY1498" s="110"/>
      <c r="DZ1498" s="110"/>
      <c r="EA1498" s="110"/>
      <c r="EB1498" s="110"/>
      <c r="EC1498" s="110"/>
      <c r="ED1498" s="110"/>
      <c r="EF1498" s="264"/>
      <c r="EG1498" s="110"/>
      <c r="EH1498" s="110"/>
      <c r="EI1498" s="110"/>
      <c r="EJ1498" s="110"/>
      <c r="EK1498" s="266"/>
      <c r="EL1498" s="110"/>
      <c r="EM1498" s="110"/>
      <c r="EN1498" s="110"/>
      <c r="EO1498" s="110"/>
      <c r="EP1498" s="110"/>
      <c r="EQ1498" s="110"/>
      <c r="ER1498" s="110"/>
      <c r="ES1498" s="110"/>
      <c r="ET1498" s="110"/>
      <c r="EU1498" s="110"/>
      <c r="EV1498" s="110"/>
      <c r="EW1498" s="110"/>
      <c r="EX1498" s="110"/>
      <c r="EY1498" s="110"/>
      <c r="EZ1498" s="110"/>
      <c r="FA1498" s="110"/>
      <c r="FB1498" s="110"/>
      <c r="FC1498" s="110"/>
      <c r="FD1498" s="110"/>
      <c r="FE1498" s="110"/>
      <c r="FF1498" s="110"/>
      <c r="FG1498" s="110"/>
      <c r="FH1498" s="110"/>
      <c r="FI1498" s="110"/>
      <c r="FJ1498" s="110"/>
      <c r="FK1498" s="110"/>
      <c r="FL1498" s="110"/>
      <c r="FM1498" s="110"/>
      <c r="FN1498" s="110"/>
      <c r="FO1498" s="110"/>
      <c r="FP1498" s="110"/>
      <c r="FQ1498" s="110"/>
      <c r="FR1498" s="110"/>
      <c r="FS1498" s="110"/>
      <c r="FT1498" s="110"/>
      <c r="FU1498" s="110"/>
      <c r="FV1498" s="110"/>
      <c r="FW1498" s="110"/>
      <c r="FX1498" s="110"/>
      <c r="FY1498" s="110"/>
      <c r="FZ1498" s="110"/>
      <c r="GA1498" s="110"/>
      <c r="GB1498" s="110"/>
      <c r="GC1498" s="110"/>
      <c r="GD1498" s="110"/>
      <c r="GE1498" s="110"/>
      <c r="GF1498" s="110"/>
      <c r="GG1498" s="110"/>
      <c r="GH1498" s="110"/>
      <c r="GI1498" s="110"/>
      <c r="GJ1498" s="110"/>
      <c r="GK1498" s="110"/>
      <c r="GL1498" s="110"/>
      <c r="GM1498" s="110"/>
      <c r="GN1498" s="110"/>
      <c r="GO1498" s="110"/>
      <c r="GP1498" s="110"/>
      <c r="GQ1498" s="110"/>
      <c r="GR1498" s="110"/>
      <c r="GS1498" s="110"/>
      <c r="GT1498" s="110"/>
      <c r="GU1498" s="110"/>
      <c r="GV1498" s="110"/>
      <c r="GW1498" s="110"/>
      <c r="GX1498" s="110"/>
      <c r="GY1498" s="110"/>
      <c r="GZ1498" s="110"/>
      <c r="HA1498" s="110"/>
      <c r="HB1498" s="110"/>
      <c r="HC1498" s="110"/>
      <c r="HD1498" s="110"/>
      <c r="HE1498" s="110"/>
      <c r="HF1498" s="110"/>
      <c r="HG1498" s="110"/>
      <c r="HH1498" s="110"/>
      <c r="HI1498" s="110"/>
      <c r="HJ1498" s="110"/>
      <c r="HK1498" s="110"/>
      <c r="HL1498" s="110"/>
      <c r="HM1498" s="110"/>
      <c r="HN1498" s="110"/>
      <c r="HO1498" s="110"/>
      <c r="HP1498" s="110"/>
      <c r="HQ1498" s="110"/>
      <c r="HR1498" s="110"/>
      <c r="HS1498" s="110"/>
      <c r="HT1498" s="110"/>
      <c r="HU1498" s="110"/>
      <c r="HV1498" s="110"/>
      <c r="HW1498" s="110"/>
      <c r="HX1498" s="110"/>
      <c r="HY1498" s="110"/>
      <c r="HZ1498" s="110"/>
      <c r="IA1498" s="110"/>
      <c r="IB1498" s="110"/>
      <c r="IC1498" s="110"/>
      <c r="ID1498" s="110"/>
      <c r="IE1498" s="110"/>
      <c r="IF1498" s="110"/>
      <c r="IG1498" s="110"/>
      <c r="IH1498" s="110"/>
      <c r="II1498" s="110"/>
      <c r="IJ1498" s="110"/>
      <c r="IK1498" s="110"/>
      <c r="IL1498" s="110"/>
      <c r="IM1498" s="110"/>
      <c r="IN1498" s="110"/>
      <c r="IO1498" s="110"/>
      <c r="IP1498" s="110"/>
      <c r="IQ1498" s="110"/>
      <c r="IR1498" s="110"/>
    </row>
    <row r="1499" spans="18:252" ht="16.5" hidden="1" customHeight="1">
      <c r="R1499" s="264"/>
      <c r="S1499" s="110"/>
      <c r="T1499" s="110"/>
      <c r="U1499" s="110"/>
      <c r="V1499" s="110"/>
      <c r="W1499" s="266"/>
      <c r="X1499" s="110"/>
      <c r="Y1499" s="110"/>
      <c r="Z1499" s="110"/>
      <c r="AA1499" s="110"/>
      <c r="AB1499" s="110"/>
      <c r="AC1499" s="110"/>
      <c r="AD1499" s="110"/>
      <c r="AE1499" s="110"/>
      <c r="AF1499" s="110"/>
      <c r="AG1499" s="110"/>
      <c r="AH1499" s="110"/>
      <c r="AI1499" s="110"/>
      <c r="AJ1499" s="110"/>
      <c r="AK1499" s="110"/>
      <c r="AL1499" s="110"/>
      <c r="AM1499" s="110"/>
      <c r="AN1499" s="110"/>
      <c r="AO1499" s="110"/>
      <c r="AP1499" s="110"/>
      <c r="AQ1499" s="110"/>
      <c r="AR1499" s="110"/>
      <c r="AS1499" s="110"/>
      <c r="AT1499" s="110"/>
      <c r="AU1499" s="110"/>
      <c r="AV1499" s="110"/>
      <c r="AW1499" s="110"/>
      <c r="AX1499" s="110"/>
      <c r="AY1499" s="110"/>
      <c r="AZ1499" s="110"/>
      <c r="BA1499" s="110"/>
      <c r="BB1499" s="110"/>
      <c r="BC1499" s="110"/>
      <c r="BD1499" s="110"/>
      <c r="BE1499" s="110"/>
      <c r="BF1499" s="110"/>
      <c r="BG1499" s="110"/>
      <c r="BH1499" s="110"/>
      <c r="BI1499" s="110"/>
      <c r="BJ1499" s="110"/>
      <c r="BK1499" s="110"/>
      <c r="BL1499" s="110"/>
      <c r="BM1499" s="110"/>
      <c r="BN1499" s="110"/>
      <c r="BO1499" s="110"/>
      <c r="BP1499" s="110"/>
      <c r="BQ1499" s="110"/>
      <c r="BR1499" s="110"/>
      <c r="BS1499" s="110"/>
      <c r="BT1499" s="110"/>
      <c r="BU1499" s="110"/>
      <c r="BV1499" s="110"/>
      <c r="BW1499" s="110"/>
      <c r="BX1499" s="110"/>
      <c r="BY1499" s="110"/>
      <c r="BZ1499" s="110"/>
      <c r="CA1499" s="110"/>
      <c r="CB1499" s="110"/>
      <c r="CC1499" s="110"/>
      <c r="CD1499" s="110"/>
      <c r="CE1499" s="110"/>
      <c r="CF1499" s="110"/>
      <c r="CG1499" s="110"/>
      <c r="CH1499" s="110"/>
      <c r="CI1499" s="110"/>
      <c r="CJ1499" s="110"/>
      <c r="CK1499" s="110"/>
      <c r="CL1499" s="110"/>
      <c r="CM1499" s="110"/>
      <c r="CN1499" s="110"/>
      <c r="CO1499" s="110"/>
      <c r="CP1499" s="110"/>
      <c r="CQ1499" s="110"/>
      <c r="CR1499" s="110"/>
      <c r="CS1499" s="110"/>
      <c r="CT1499" s="110"/>
      <c r="CU1499" s="110"/>
      <c r="CV1499" s="110"/>
      <c r="CW1499" s="110"/>
      <c r="CX1499" s="110"/>
      <c r="CY1499" s="110"/>
      <c r="CZ1499" s="110"/>
      <c r="DA1499" s="110"/>
      <c r="DB1499" s="110"/>
      <c r="DC1499" s="110"/>
      <c r="DD1499" s="110"/>
      <c r="DE1499" s="110"/>
      <c r="DF1499" s="110"/>
      <c r="DG1499" s="110"/>
      <c r="DH1499" s="110"/>
      <c r="DI1499" s="110"/>
      <c r="DJ1499" s="110"/>
      <c r="DK1499" s="110"/>
      <c r="DL1499" s="110"/>
      <c r="DM1499" s="110"/>
      <c r="DN1499" s="110"/>
      <c r="DO1499" s="110"/>
      <c r="DP1499" s="110"/>
      <c r="DQ1499" s="110"/>
      <c r="DR1499" s="110"/>
      <c r="DS1499" s="110"/>
      <c r="DT1499" s="110"/>
      <c r="DU1499" s="110"/>
      <c r="DV1499" s="110"/>
      <c r="DW1499" s="110"/>
      <c r="DX1499" s="110"/>
      <c r="DY1499" s="110"/>
      <c r="DZ1499" s="110"/>
      <c r="EA1499" s="110"/>
      <c r="EB1499" s="110"/>
      <c r="EC1499" s="110"/>
      <c r="ED1499" s="110"/>
      <c r="EF1499" s="264"/>
      <c r="EG1499" s="110"/>
      <c r="EH1499" s="110"/>
      <c r="EI1499" s="110"/>
      <c r="EJ1499" s="110"/>
      <c r="EK1499" s="266"/>
      <c r="EL1499" s="110"/>
      <c r="EM1499" s="110"/>
      <c r="EN1499" s="110"/>
      <c r="EO1499" s="110"/>
      <c r="EP1499" s="110"/>
      <c r="EQ1499" s="110"/>
      <c r="ER1499" s="110"/>
      <c r="ES1499" s="110"/>
      <c r="ET1499" s="110"/>
      <c r="EU1499" s="110"/>
      <c r="EV1499" s="110"/>
      <c r="EW1499" s="110"/>
      <c r="EX1499" s="110"/>
      <c r="EY1499" s="110"/>
      <c r="EZ1499" s="110"/>
      <c r="FA1499" s="110"/>
      <c r="FB1499" s="110"/>
      <c r="FC1499" s="110"/>
      <c r="FD1499" s="110"/>
      <c r="FE1499" s="110"/>
      <c r="FF1499" s="110"/>
      <c r="FG1499" s="110"/>
      <c r="FH1499" s="110"/>
      <c r="FI1499" s="110"/>
      <c r="FJ1499" s="110"/>
      <c r="FK1499" s="110"/>
      <c r="FL1499" s="110"/>
      <c r="FM1499" s="110"/>
      <c r="FN1499" s="110"/>
      <c r="FO1499" s="110"/>
      <c r="FP1499" s="110"/>
      <c r="FQ1499" s="110"/>
      <c r="FR1499" s="110"/>
      <c r="FS1499" s="110"/>
      <c r="FT1499" s="110"/>
      <c r="FU1499" s="110"/>
      <c r="FV1499" s="110"/>
      <c r="FW1499" s="110"/>
      <c r="FX1499" s="110"/>
      <c r="FY1499" s="110"/>
      <c r="FZ1499" s="110"/>
      <c r="GA1499" s="110"/>
      <c r="GB1499" s="110"/>
      <c r="GC1499" s="110"/>
      <c r="GD1499" s="110"/>
      <c r="GE1499" s="110"/>
      <c r="GF1499" s="110"/>
      <c r="GG1499" s="110"/>
      <c r="GH1499" s="110"/>
      <c r="GI1499" s="110"/>
      <c r="GJ1499" s="110"/>
      <c r="GK1499" s="110"/>
      <c r="GL1499" s="110"/>
      <c r="GM1499" s="110"/>
      <c r="GN1499" s="110"/>
      <c r="GO1499" s="110"/>
      <c r="GP1499" s="110"/>
      <c r="GQ1499" s="110"/>
      <c r="GR1499" s="110"/>
      <c r="GS1499" s="110"/>
      <c r="GT1499" s="110"/>
      <c r="GU1499" s="110"/>
      <c r="GV1499" s="110"/>
      <c r="GW1499" s="110"/>
      <c r="GX1499" s="110"/>
      <c r="GY1499" s="110"/>
      <c r="GZ1499" s="110"/>
      <c r="HA1499" s="110"/>
      <c r="HB1499" s="110"/>
      <c r="HC1499" s="110"/>
      <c r="HD1499" s="110"/>
      <c r="HE1499" s="110"/>
      <c r="HF1499" s="110"/>
      <c r="HG1499" s="110"/>
      <c r="HH1499" s="110"/>
      <c r="HI1499" s="110"/>
      <c r="HJ1499" s="110"/>
      <c r="HK1499" s="110"/>
      <c r="HL1499" s="110"/>
      <c r="HM1499" s="110"/>
      <c r="HN1499" s="110"/>
      <c r="HO1499" s="110"/>
      <c r="HP1499" s="110"/>
      <c r="HQ1499" s="110"/>
      <c r="HR1499" s="110"/>
      <c r="HS1499" s="110"/>
      <c r="HT1499" s="110"/>
      <c r="HU1499" s="110"/>
      <c r="HV1499" s="110"/>
      <c r="HW1499" s="110"/>
      <c r="HX1499" s="110"/>
      <c r="HY1499" s="110"/>
      <c r="HZ1499" s="110"/>
      <c r="IA1499" s="110"/>
      <c r="IB1499" s="110"/>
      <c r="IC1499" s="110"/>
      <c r="ID1499" s="110"/>
      <c r="IE1499" s="110"/>
      <c r="IF1499" s="110"/>
      <c r="IG1499" s="110"/>
      <c r="IH1499" s="110"/>
      <c r="II1499" s="110"/>
      <c r="IJ1499" s="110"/>
      <c r="IK1499" s="110"/>
      <c r="IL1499" s="110"/>
      <c r="IM1499" s="110"/>
      <c r="IN1499" s="110"/>
      <c r="IO1499" s="110"/>
      <c r="IP1499" s="110"/>
      <c r="IQ1499" s="110"/>
      <c r="IR1499" s="110"/>
    </row>
    <row r="1500" spans="18:252" ht="16.5" hidden="1" customHeight="1">
      <c r="R1500" s="264"/>
      <c r="S1500" s="110"/>
      <c r="T1500" s="110"/>
      <c r="U1500" s="110"/>
      <c r="V1500" s="110"/>
      <c r="W1500" s="266"/>
      <c r="X1500" s="110"/>
      <c r="Y1500" s="110"/>
      <c r="Z1500" s="110"/>
      <c r="AA1500" s="110"/>
      <c r="AB1500" s="110"/>
      <c r="AC1500" s="110"/>
      <c r="AD1500" s="110"/>
      <c r="AE1500" s="110"/>
      <c r="AF1500" s="110"/>
      <c r="AG1500" s="110"/>
      <c r="AH1500" s="110"/>
      <c r="AI1500" s="110"/>
      <c r="AJ1500" s="110"/>
      <c r="AK1500" s="110"/>
      <c r="AL1500" s="110"/>
      <c r="AM1500" s="110"/>
      <c r="AN1500" s="110"/>
      <c r="AO1500" s="110"/>
      <c r="AP1500" s="110"/>
      <c r="AQ1500" s="110"/>
      <c r="AR1500" s="110"/>
      <c r="AS1500" s="110"/>
      <c r="AT1500" s="110"/>
      <c r="AU1500" s="110"/>
      <c r="AV1500" s="110"/>
      <c r="AW1500" s="110"/>
      <c r="AX1500" s="110"/>
      <c r="AY1500" s="110"/>
      <c r="AZ1500" s="110"/>
      <c r="BA1500" s="110"/>
      <c r="BB1500" s="110"/>
      <c r="BC1500" s="110"/>
      <c r="BD1500" s="110"/>
      <c r="BE1500" s="110"/>
      <c r="BF1500" s="110"/>
      <c r="BG1500" s="110"/>
      <c r="BH1500" s="110"/>
      <c r="BI1500" s="110"/>
      <c r="BJ1500" s="110"/>
      <c r="BK1500" s="110"/>
      <c r="BL1500" s="110"/>
      <c r="BM1500" s="110"/>
      <c r="BN1500" s="110"/>
      <c r="BO1500" s="110"/>
      <c r="BP1500" s="110"/>
      <c r="BQ1500" s="110"/>
      <c r="BR1500" s="110"/>
      <c r="BS1500" s="110"/>
      <c r="BT1500" s="110"/>
      <c r="BU1500" s="110"/>
      <c r="BV1500" s="110"/>
      <c r="BW1500" s="110"/>
      <c r="BX1500" s="110"/>
      <c r="BY1500" s="110"/>
      <c r="BZ1500" s="110"/>
      <c r="CA1500" s="110"/>
      <c r="CB1500" s="110"/>
      <c r="CC1500" s="110"/>
      <c r="CD1500" s="110"/>
      <c r="CE1500" s="110"/>
      <c r="CF1500" s="110"/>
      <c r="CG1500" s="110"/>
      <c r="CH1500" s="110"/>
      <c r="CI1500" s="110"/>
      <c r="CJ1500" s="110"/>
      <c r="CK1500" s="110"/>
      <c r="CL1500" s="110"/>
      <c r="CM1500" s="110"/>
      <c r="CN1500" s="110"/>
      <c r="CO1500" s="110"/>
      <c r="CP1500" s="110"/>
      <c r="CQ1500" s="110"/>
      <c r="CR1500" s="110"/>
      <c r="CS1500" s="110"/>
      <c r="CT1500" s="110"/>
      <c r="CU1500" s="110"/>
      <c r="CV1500" s="110"/>
      <c r="CW1500" s="110"/>
      <c r="CX1500" s="110"/>
      <c r="CY1500" s="110"/>
      <c r="CZ1500" s="110"/>
      <c r="DA1500" s="110"/>
      <c r="DB1500" s="110"/>
      <c r="DC1500" s="110"/>
      <c r="DD1500" s="110"/>
      <c r="DE1500" s="110"/>
      <c r="DF1500" s="110"/>
      <c r="DG1500" s="110"/>
      <c r="DH1500" s="110"/>
      <c r="DI1500" s="110"/>
      <c r="DJ1500" s="110"/>
      <c r="DK1500" s="110"/>
      <c r="DL1500" s="110"/>
      <c r="DM1500" s="110"/>
      <c r="DN1500" s="110"/>
      <c r="DO1500" s="110"/>
      <c r="DP1500" s="110"/>
      <c r="DQ1500" s="110"/>
      <c r="DR1500" s="110"/>
      <c r="DS1500" s="110"/>
      <c r="DT1500" s="110"/>
      <c r="DU1500" s="110"/>
      <c r="DV1500" s="110"/>
      <c r="DW1500" s="110"/>
      <c r="DX1500" s="110"/>
      <c r="DY1500" s="110"/>
      <c r="DZ1500" s="110"/>
      <c r="EA1500" s="110"/>
      <c r="EB1500" s="110"/>
      <c r="EC1500" s="110"/>
      <c r="ED1500" s="110"/>
      <c r="EF1500" s="264"/>
      <c r="EG1500" s="110"/>
      <c r="EH1500" s="110"/>
      <c r="EI1500" s="110"/>
      <c r="EJ1500" s="110"/>
      <c r="EK1500" s="266"/>
      <c r="EL1500" s="110"/>
      <c r="EM1500" s="110"/>
      <c r="EN1500" s="110"/>
      <c r="EO1500" s="110"/>
      <c r="EP1500" s="110"/>
      <c r="EQ1500" s="110"/>
      <c r="ER1500" s="110"/>
      <c r="ES1500" s="110"/>
      <c r="ET1500" s="110"/>
      <c r="EU1500" s="110"/>
      <c r="EV1500" s="110"/>
      <c r="EW1500" s="110"/>
      <c r="EX1500" s="110"/>
      <c r="EY1500" s="110"/>
      <c r="EZ1500" s="110"/>
      <c r="FA1500" s="110"/>
      <c r="FB1500" s="110"/>
      <c r="FC1500" s="110"/>
      <c r="FD1500" s="110"/>
      <c r="FE1500" s="110"/>
      <c r="FF1500" s="110"/>
      <c r="FG1500" s="110"/>
      <c r="FH1500" s="110"/>
      <c r="FI1500" s="110"/>
      <c r="FJ1500" s="110"/>
      <c r="FK1500" s="110"/>
      <c r="FL1500" s="110"/>
      <c r="FM1500" s="110"/>
      <c r="FN1500" s="110"/>
      <c r="FO1500" s="110"/>
      <c r="FP1500" s="110"/>
      <c r="FQ1500" s="110"/>
      <c r="FR1500" s="110"/>
      <c r="FS1500" s="110"/>
      <c r="FT1500" s="110"/>
      <c r="FU1500" s="110"/>
      <c r="FV1500" s="110"/>
      <c r="FW1500" s="110"/>
      <c r="FX1500" s="110"/>
      <c r="FY1500" s="110"/>
      <c r="FZ1500" s="110"/>
      <c r="GA1500" s="110"/>
      <c r="GB1500" s="110"/>
      <c r="GC1500" s="110"/>
      <c r="GD1500" s="110"/>
      <c r="GE1500" s="110"/>
      <c r="GF1500" s="110"/>
      <c r="GG1500" s="110"/>
      <c r="GH1500" s="110"/>
      <c r="GI1500" s="110"/>
      <c r="GJ1500" s="110"/>
      <c r="GK1500" s="110"/>
      <c r="GL1500" s="110"/>
      <c r="GM1500" s="110"/>
      <c r="GN1500" s="110"/>
      <c r="GO1500" s="110"/>
      <c r="GP1500" s="110"/>
      <c r="GQ1500" s="110"/>
      <c r="GR1500" s="110"/>
      <c r="GS1500" s="110"/>
      <c r="GT1500" s="110"/>
      <c r="GU1500" s="110"/>
      <c r="GV1500" s="110"/>
      <c r="GW1500" s="110"/>
      <c r="GX1500" s="110"/>
      <c r="GY1500" s="110"/>
      <c r="GZ1500" s="110"/>
      <c r="HA1500" s="110"/>
      <c r="HB1500" s="110"/>
      <c r="HC1500" s="110"/>
      <c r="HD1500" s="110"/>
      <c r="HE1500" s="110"/>
      <c r="HF1500" s="110"/>
      <c r="HG1500" s="110"/>
      <c r="HH1500" s="110"/>
      <c r="HI1500" s="110"/>
      <c r="HJ1500" s="110"/>
      <c r="HK1500" s="110"/>
      <c r="HL1500" s="110"/>
      <c r="HM1500" s="110"/>
      <c r="HN1500" s="110"/>
      <c r="HO1500" s="110"/>
      <c r="HP1500" s="110"/>
      <c r="HQ1500" s="110"/>
      <c r="HR1500" s="110"/>
      <c r="HS1500" s="110"/>
      <c r="HT1500" s="110"/>
      <c r="HU1500" s="110"/>
      <c r="HV1500" s="110"/>
      <c r="HW1500" s="110"/>
      <c r="HX1500" s="110"/>
      <c r="HY1500" s="110"/>
      <c r="HZ1500" s="110"/>
      <c r="IA1500" s="110"/>
      <c r="IB1500" s="110"/>
      <c r="IC1500" s="110"/>
      <c r="ID1500" s="110"/>
      <c r="IE1500" s="110"/>
      <c r="IF1500" s="110"/>
      <c r="IG1500" s="110"/>
      <c r="IH1500" s="110"/>
      <c r="II1500" s="110"/>
      <c r="IJ1500" s="110"/>
      <c r="IK1500" s="110"/>
      <c r="IL1500" s="110"/>
      <c r="IM1500" s="110"/>
      <c r="IN1500" s="110"/>
      <c r="IO1500" s="110"/>
      <c r="IP1500" s="110"/>
      <c r="IQ1500" s="110"/>
      <c r="IR1500" s="110"/>
    </row>
    <row r="1501" spans="18:252" ht="16.5" hidden="1" customHeight="1">
      <c r="R1501" s="264"/>
      <c r="S1501" s="110"/>
      <c r="T1501" s="110"/>
      <c r="U1501" s="110"/>
      <c r="V1501" s="110"/>
      <c r="W1501" s="266"/>
      <c r="X1501" s="110"/>
      <c r="Y1501" s="110"/>
      <c r="Z1501" s="110"/>
      <c r="AA1501" s="110"/>
      <c r="AB1501" s="110"/>
      <c r="AC1501" s="110"/>
      <c r="AD1501" s="110"/>
      <c r="AE1501" s="110"/>
      <c r="AF1501" s="110"/>
      <c r="AG1501" s="110"/>
      <c r="AH1501" s="110"/>
      <c r="AI1501" s="110"/>
      <c r="AJ1501" s="110"/>
      <c r="AK1501" s="110"/>
      <c r="AL1501" s="110"/>
      <c r="AM1501" s="110"/>
      <c r="AN1501" s="110"/>
      <c r="AO1501" s="110"/>
      <c r="AP1501" s="110"/>
      <c r="AQ1501" s="110"/>
      <c r="AR1501" s="110"/>
      <c r="AS1501" s="110"/>
      <c r="AT1501" s="110"/>
      <c r="AU1501" s="110"/>
      <c r="AV1501" s="110"/>
      <c r="AW1501" s="110"/>
      <c r="AX1501" s="110"/>
      <c r="AY1501" s="110"/>
      <c r="AZ1501" s="110"/>
      <c r="BA1501" s="110"/>
      <c r="BB1501" s="110"/>
      <c r="BC1501" s="110"/>
      <c r="BD1501" s="110"/>
      <c r="BE1501" s="110"/>
      <c r="BF1501" s="110"/>
      <c r="BG1501" s="110"/>
      <c r="BH1501" s="110"/>
      <c r="BI1501" s="110"/>
      <c r="BJ1501" s="110"/>
      <c r="BK1501" s="110"/>
      <c r="BL1501" s="110"/>
      <c r="BM1501" s="110"/>
      <c r="BN1501" s="110"/>
      <c r="BO1501" s="110"/>
      <c r="BP1501" s="110"/>
      <c r="BQ1501" s="110"/>
      <c r="BR1501" s="110"/>
      <c r="BS1501" s="110"/>
      <c r="BT1501" s="110"/>
      <c r="BU1501" s="110"/>
      <c r="BV1501" s="110"/>
      <c r="BW1501" s="110"/>
      <c r="BX1501" s="110"/>
      <c r="BY1501" s="110"/>
      <c r="BZ1501" s="110"/>
      <c r="CA1501" s="110"/>
      <c r="CB1501" s="110"/>
      <c r="CC1501" s="110"/>
      <c r="CD1501" s="110"/>
      <c r="CE1501" s="110"/>
      <c r="CF1501" s="110"/>
      <c r="CG1501" s="110"/>
      <c r="CH1501" s="110"/>
      <c r="CI1501" s="110"/>
      <c r="CJ1501" s="110"/>
      <c r="CK1501" s="110"/>
      <c r="CL1501" s="110"/>
      <c r="CM1501" s="110"/>
      <c r="CN1501" s="110"/>
      <c r="CO1501" s="110"/>
      <c r="CP1501" s="110"/>
      <c r="CQ1501" s="110"/>
      <c r="CR1501" s="110"/>
      <c r="CS1501" s="110"/>
      <c r="CT1501" s="110"/>
      <c r="CU1501" s="110"/>
      <c r="CV1501" s="110"/>
      <c r="CW1501" s="110"/>
      <c r="CX1501" s="110"/>
      <c r="CY1501" s="110"/>
      <c r="CZ1501" s="110"/>
      <c r="DA1501" s="110"/>
      <c r="DB1501" s="110"/>
      <c r="DC1501" s="110"/>
      <c r="DD1501" s="110"/>
      <c r="DE1501" s="110"/>
      <c r="DF1501" s="110"/>
      <c r="DG1501" s="110"/>
      <c r="DH1501" s="110"/>
      <c r="DI1501" s="110"/>
      <c r="DJ1501" s="110"/>
      <c r="DK1501" s="110"/>
      <c r="DL1501" s="110"/>
      <c r="DM1501" s="110"/>
      <c r="DN1501" s="110"/>
      <c r="DO1501" s="110"/>
      <c r="DP1501" s="110"/>
      <c r="DQ1501" s="110"/>
      <c r="DR1501" s="110"/>
      <c r="DS1501" s="110"/>
      <c r="DT1501" s="110"/>
      <c r="DU1501" s="110"/>
      <c r="DV1501" s="110"/>
      <c r="DW1501" s="110"/>
      <c r="DX1501" s="110"/>
      <c r="DY1501" s="110"/>
      <c r="DZ1501" s="110"/>
      <c r="EA1501" s="110"/>
      <c r="EB1501" s="110"/>
      <c r="EC1501" s="110"/>
      <c r="ED1501" s="110"/>
      <c r="EF1501" s="264"/>
      <c r="EG1501" s="110"/>
      <c r="EH1501" s="110"/>
      <c r="EI1501" s="110"/>
      <c r="EJ1501" s="110"/>
      <c r="EK1501" s="266"/>
      <c r="EL1501" s="110"/>
      <c r="EM1501" s="110"/>
      <c r="EN1501" s="110"/>
      <c r="EO1501" s="110"/>
      <c r="EP1501" s="110"/>
      <c r="EQ1501" s="110"/>
      <c r="ER1501" s="110"/>
      <c r="ES1501" s="110"/>
      <c r="ET1501" s="110"/>
      <c r="EU1501" s="110"/>
      <c r="EV1501" s="110"/>
      <c r="EW1501" s="110"/>
      <c r="EX1501" s="110"/>
      <c r="EY1501" s="110"/>
      <c r="EZ1501" s="110"/>
      <c r="FA1501" s="110"/>
      <c r="FB1501" s="110"/>
      <c r="FC1501" s="110"/>
      <c r="FD1501" s="110"/>
      <c r="FE1501" s="110"/>
      <c r="FF1501" s="110"/>
      <c r="FG1501" s="110"/>
      <c r="FH1501" s="110"/>
      <c r="FI1501" s="110"/>
      <c r="FJ1501" s="110"/>
      <c r="FK1501" s="110"/>
      <c r="FL1501" s="110"/>
      <c r="FM1501" s="110"/>
      <c r="FN1501" s="110"/>
      <c r="FO1501" s="110"/>
      <c r="FP1501" s="110"/>
      <c r="FQ1501" s="110"/>
      <c r="FR1501" s="110"/>
      <c r="FS1501" s="110"/>
      <c r="FT1501" s="110"/>
      <c r="FU1501" s="110"/>
      <c r="FV1501" s="110"/>
      <c r="FW1501" s="110"/>
      <c r="FX1501" s="110"/>
      <c r="FY1501" s="110"/>
      <c r="FZ1501" s="110"/>
      <c r="GA1501" s="110"/>
      <c r="GB1501" s="110"/>
      <c r="GC1501" s="110"/>
      <c r="GD1501" s="110"/>
      <c r="GE1501" s="110"/>
      <c r="GF1501" s="110"/>
      <c r="GG1501" s="110"/>
      <c r="GH1501" s="110"/>
      <c r="GI1501" s="110"/>
      <c r="GJ1501" s="110"/>
      <c r="GK1501" s="110"/>
      <c r="GL1501" s="110"/>
      <c r="GM1501" s="110"/>
      <c r="GN1501" s="110"/>
      <c r="GO1501" s="110"/>
      <c r="GP1501" s="110"/>
      <c r="GQ1501" s="110"/>
      <c r="GR1501" s="110"/>
      <c r="GS1501" s="110"/>
      <c r="GT1501" s="110"/>
      <c r="GU1501" s="110"/>
      <c r="GV1501" s="110"/>
      <c r="GW1501" s="110"/>
      <c r="GX1501" s="110"/>
      <c r="GY1501" s="110"/>
      <c r="GZ1501" s="110"/>
      <c r="HA1501" s="110"/>
      <c r="HB1501" s="110"/>
      <c r="HC1501" s="110"/>
      <c r="HD1501" s="110"/>
      <c r="HE1501" s="110"/>
      <c r="HF1501" s="110"/>
      <c r="HG1501" s="110"/>
      <c r="HH1501" s="110"/>
      <c r="HI1501" s="110"/>
      <c r="HJ1501" s="110"/>
      <c r="HK1501" s="110"/>
      <c r="HL1501" s="110"/>
      <c r="HM1501" s="110"/>
      <c r="HN1501" s="110"/>
      <c r="HO1501" s="110"/>
      <c r="HP1501" s="110"/>
      <c r="HQ1501" s="110"/>
      <c r="HR1501" s="110"/>
      <c r="HS1501" s="110"/>
      <c r="HT1501" s="110"/>
      <c r="HU1501" s="110"/>
      <c r="HV1501" s="110"/>
      <c r="HW1501" s="110"/>
      <c r="HX1501" s="110"/>
      <c r="HY1501" s="110"/>
      <c r="HZ1501" s="110"/>
      <c r="IA1501" s="110"/>
      <c r="IB1501" s="110"/>
      <c r="IC1501" s="110"/>
      <c r="ID1501" s="110"/>
      <c r="IE1501" s="110"/>
      <c r="IF1501" s="110"/>
      <c r="IG1501" s="110"/>
      <c r="IH1501" s="110"/>
      <c r="II1501" s="110"/>
      <c r="IJ1501" s="110"/>
      <c r="IK1501" s="110"/>
      <c r="IL1501" s="110"/>
      <c r="IM1501" s="110"/>
      <c r="IN1501" s="110"/>
      <c r="IO1501" s="110"/>
      <c r="IP1501" s="110"/>
      <c r="IQ1501" s="110"/>
      <c r="IR1501" s="110"/>
    </row>
    <row r="1502" spans="18:252" ht="16.5" hidden="1" customHeight="1">
      <c r="R1502" s="264"/>
      <c r="S1502" s="110"/>
      <c r="T1502" s="110"/>
      <c r="U1502" s="110"/>
      <c r="V1502" s="110"/>
      <c r="W1502" s="266"/>
      <c r="X1502" s="110"/>
      <c r="Y1502" s="110"/>
      <c r="Z1502" s="110"/>
      <c r="AA1502" s="110"/>
      <c r="AB1502" s="110"/>
      <c r="AC1502" s="110"/>
      <c r="AD1502" s="110"/>
      <c r="AE1502" s="110"/>
      <c r="AF1502" s="110"/>
      <c r="AG1502" s="110"/>
      <c r="AH1502" s="110"/>
      <c r="AI1502" s="110"/>
      <c r="AJ1502" s="110"/>
      <c r="AK1502" s="110"/>
      <c r="AL1502" s="110"/>
      <c r="AM1502" s="110"/>
      <c r="AN1502" s="110"/>
      <c r="AO1502" s="110"/>
      <c r="AP1502" s="110"/>
      <c r="AQ1502" s="110"/>
      <c r="AR1502" s="110"/>
      <c r="AS1502" s="110"/>
      <c r="AT1502" s="110"/>
      <c r="AU1502" s="110"/>
      <c r="AV1502" s="110"/>
      <c r="AW1502" s="110"/>
      <c r="AX1502" s="110"/>
      <c r="AY1502" s="110"/>
      <c r="AZ1502" s="110"/>
      <c r="BA1502" s="110"/>
      <c r="BB1502" s="110"/>
      <c r="BC1502" s="110"/>
      <c r="BD1502" s="110"/>
      <c r="BE1502" s="110"/>
      <c r="BF1502" s="110"/>
      <c r="BG1502" s="110"/>
      <c r="BH1502" s="110"/>
      <c r="BI1502" s="110"/>
      <c r="BJ1502" s="110"/>
      <c r="BK1502" s="110"/>
      <c r="BL1502" s="110"/>
      <c r="BM1502" s="110"/>
      <c r="BN1502" s="110"/>
      <c r="BO1502" s="110"/>
      <c r="BP1502" s="110"/>
      <c r="BQ1502" s="110"/>
      <c r="BR1502" s="110"/>
      <c r="BS1502" s="110"/>
      <c r="BT1502" s="110"/>
      <c r="BU1502" s="110"/>
      <c r="BV1502" s="110"/>
      <c r="BW1502" s="110"/>
      <c r="BX1502" s="110"/>
      <c r="BY1502" s="110"/>
      <c r="BZ1502" s="110"/>
      <c r="CA1502" s="110"/>
      <c r="CB1502" s="110"/>
      <c r="CC1502" s="110"/>
      <c r="CD1502" s="110"/>
      <c r="CE1502" s="110"/>
      <c r="CF1502" s="110"/>
      <c r="CG1502" s="110"/>
      <c r="CH1502" s="110"/>
      <c r="CI1502" s="110"/>
      <c r="CJ1502" s="110"/>
      <c r="CK1502" s="110"/>
      <c r="CL1502" s="110"/>
      <c r="CM1502" s="110"/>
      <c r="CN1502" s="110"/>
      <c r="CO1502" s="110"/>
      <c r="CP1502" s="110"/>
      <c r="CQ1502" s="110"/>
      <c r="CR1502" s="110"/>
      <c r="CS1502" s="110"/>
      <c r="CT1502" s="110"/>
      <c r="CU1502" s="110"/>
      <c r="CV1502" s="110"/>
      <c r="CW1502" s="110"/>
      <c r="CX1502" s="110"/>
      <c r="CY1502" s="110"/>
      <c r="CZ1502" s="110"/>
      <c r="DA1502" s="110"/>
      <c r="DB1502" s="110"/>
      <c r="DC1502" s="110"/>
      <c r="DD1502" s="110"/>
      <c r="DE1502" s="110"/>
      <c r="DF1502" s="110"/>
      <c r="DG1502" s="110"/>
      <c r="DH1502" s="110"/>
      <c r="DI1502" s="110"/>
      <c r="DJ1502" s="110"/>
      <c r="DK1502" s="110"/>
      <c r="DL1502" s="110"/>
      <c r="DM1502" s="110"/>
      <c r="DN1502" s="110"/>
      <c r="DO1502" s="110"/>
      <c r="DP1502" s="110"/>
      <c r="DQ1502" s="110"/>
      <c r="DR1502" s="110"/>
      <c r="DS1502" s="110"/>
      <c r="DT1502" s="110"/>
      <c r="DU1502" s="110"/>
      <c r="DV1502" s="110"/>
      <c r="DW1502" s="110"/>
      <c r="DX1502" s="110"/>
      <c r="DY1502" s="110"/>
      <c r="DZ1502" s="110"/>
      <c r="EA1502" s="110"/>
      <c r="EB1502" s="110"/>
      <c r="EC1502" s="110"/>
      <c r="ED1502" s="110"/>
      <c r="EF1502" s="264"/>
      <c r="EG1502" s="110"/>
      <c r="EH1502" s="110"/>
      <c r="EI1502" s="110"/>
      <c r="EJ1502" s="110"/>
      <c r="EK1502" s="266"/>
      <c r="EL1502" s="110"/>
      <c r="EM1502" s="110"/>
      <c r="EN1502" s="110"/>
      <c r="EO1502" s="110"/>
      <c r="EP1502" s="110"/>
      <c r="EQ1502" s="110"/>
      <c r="ER1502" s="110"/>
      <c r="ES1502" s="110"/>
      <c r="ET1502" s="110"/>
      <c r="EU1502" s="110"/>
      <c r="EV1502" s="110"/>
      <c r="EW1502" s="110"/>
      <c r="EX1502" s="110"/>
      <c r="EY1502" s="110"/>
      <c r="EZ1502" s="110"/>
      <c r="FA1502" s="110"/>
      <c r="FB1502" s="110"/>
      <c r="FC1502" s="110"/>
      <c r="FD1502" s="110"/>
      <c r="FE1502" s="110"/>
      <c r="FF1502" s="110"/>
      <c r="FG1502" s="110"/>
      <c r="FH1502" s="110"/>
      <c r="FI1502" s="110"/>
      <c r="FJ1502" s="110"/>
      <c r="FK1502" s="110"/>
      <c r="FL1502" s="110"/>
      <c r="FM1502" s="110"/>
      <c r="FN1502" s="110"/>
      <c r="FO1502" s="110"/>
      <c r="FP1502" s="110"/>
      <c r="FQ1502" s="110"/>
      <c r="FR1502" s="110"/>
      <c r="FS1502" s="110"/>
      <c r="FT1502" s="110"/>
      <c r="FU1502" s="110"/>
      <c r="FV1502" s="110"/>
      <c r="FW1502" s="110"/>
      <c r="FX1502" s="110"/>
      <c r="FY1502" s="110"/>
      <c r="FZ1502" s="110"/>
      <c r="GA1502" s="110"/>
      <c r="GB1502" s="110"/>
      <c r="GC1502" s="110"/>
      <c r="GD1502" s="110"/>
      <c r="GE1502" s="110"/>
      <c r="GF1502" s="110"/>
      <c r="GG1502" s="110"/>
      <c r="GH1502" s="110"/>
      <c r="GI1502" s="110"/>
      <c r="GJ1502" s="110"/>
      <c r="GK1502" s="110"/>
      <c r="GL1502" s="110"/>
      <c r="GM1502" s="110"/>
      <c r="GN1502" s="110"/>
      <c r="GO1502" s="110"/>
      <c r="GP1502" s="110"/>
      <c r="GQ1502" s="110"/>
      <c r="GR1502" s="110"/>
      <c r="GS1502" s="110"/>
      <c r="GT1502" s="110"/>
      <c r="GU1502" s="110"/>
      <c r="GV1502" s="110"/>
      <c r="GW1502" s="110"/>
      <c r="GX1502" s="110"/>
      <c r="GY1502" s="110"/>
      <c r="GZ1502" s="110"/>
      <c r="HA1502" s="110"/>
      <c r="HB1502" s="110"/>
      <c r="HC1502" s="110"/>
      <c r="HD1502" s="110"/>
      <c r="HE1502" s="110"/>
      <c r="HF1502" s="110"/>
      <c r="HG1502" s="110"/>
      <c r="HH1502" s="110"/>
      <c r="HI1502" s="110"/>
      <c r="HJ1502" s="110"/>
      <c r="HK1502" s="110"/>
      <c r="HL1502" s="110"/>
      <c r="HM1502" s="110"/>
      <c r="HN1502" s="110"/>
      <c r="HO1502" s="110"/>
      <c r="HP1502" s="110"/>
      <c r="HQ1502" s="110"/>
      <c r="HR1502" s="110"/>
      <c r="HS1502" s="110"/>
      <c r="HT1502" s="110"/>
      <c r="HU1502" s="110"/>
      <c r="HV1502" s="110"/>
      <c r="HW1502" s="110"/>
      <c r="HX1502" s="110"/>
      <c r="HY1502" s="110"/>
      <c r="HZ1502" s="110"/>
      <c r="IA1502" s="110"/>
      <c r="IB1502" s="110"/>
      <c r="IC1502" s="110"/>
      <c r="ID1502" s="110"/>
      <c r="IE1502" s="110"/>
      <c r="IF1502" s="110"/>
      <c r="IG1502" s="110"/>
      <c r="IH1502" s="110"/>
      <c r="II1502" s="110"/>
      <c r="IJ1502" s="110"/>
      <c r="IK1502" s="110"/>
      <c r="IL1502" s="110"/>
      <c r="IM1502" s="110"/>
      <c r="IN1502" s="110"/>
      <c r="IO1502" s="110"/>
      <c r="IP1502" s="110"/>
      <c r="IQ1502" s="110"/>
      <c r="IR1502" s="110"/>
    </row>
    <row r="1503" spans="18:252" ht="16.5" hidden="1" customHeight="1">
      <c r="R1503" s="264"/>
      <c r="S1503" s="110"/>
      <c r="T1503" s="110"/>
      <c r="U1503" s="110"/>
      <c r="V1503" s="110"/>
      <c r="W1503" s="266"/>
      <c r="X1503" s="110"/>
      <c r="Y1503" s="110"/>
      <c r="Z1503" s="110"/>
      <c r="AA1503" s="110"/>
      <c r="AB1503" s="110"/>
      <c r="AC1503" s="110"/>
      <c r="AD1503" s="110"/>
      <c r="AE1503" s="110"/>
      <c r="AF1503" s="110"/>
      <c r="AG1503" s="110"/>
      <c r="AH1503" s="110"/>
      <c r="AI1503" s="110"/>
      <c r="AJ1503" s="110"/>
      <c r="AK1503" s="110"/>
      <c r="AL1503" s="110"/>
      <c r="AM1503" s="110"/>
      <c r="AN1503" s="110"/>
      <c r="AO1503" s="110"/>
      <c r="AP1503" s="110"/>
      <c r="AQ1503" s="110"/>
      <c r="AR1503" s="110"/>
      <c r="AS1503" s="110"/>
      <c r="AT1503" s="110"/>
      <c r="AU1503" s="110"/>
      <c r="AV1503" s="110"/>
      <c r="AW1503" s="110"/>
      <c r="AX1503" s="110"/>
      <c r="AY1503" s="110"/>
      <c r="AZ1503" s="110"/>
      <c r="BA1503" s="110"/>
      <c r="BB1503" s="110"/>
      <c r="BC1503" s="110"/>
      <c r="BD1503" s="110"/>
      <c r="BE1503" s="110"/>
      <c r="BF1503" s="110"/>
      <c r="BG1503" s="110"/>
      <c r="BH1503" s="110"/>
      <c r="BI1503" s="110"/>
      <c r="BJ1503" s="110"/>
      <c r="BK1503" s="110"/>
      <c r="BL1503" s="110"/>
      <c r="BM1503" s="110"/>
      <c r="BN1503" s="110"/>
      <c r="BO1503" s="110"/>
      <c r="BP1503" s="110"/>
      <c r="BQ1503" s="110"/>
      <c r="BR1503" s="110"/>
      <c r="BS1503" s="110"/>
      <c r="BT1503" s="110"/>
      <c r="BU1503" s="110"/>
      <c r="BV1503" s="110"/>
      <c r="BW1503" s="110"/>
      <c r="BX1503" s="110"/>
      <c r="BY1503" s="110"/>
      <c r="BZ1503" s="110"/>
      <c r="CA1503" s="110"/>
      <c r="CB1503" s="110"/>
      <c r="CC1503" s="110"/>
      <c r="CD1503" s="110"/>
      <c r="CE1503" s="110"/>
      <c r="CF1503" s="110"/>
      <c r="CG1503" s="110"/>
      <c r="CH1503" s="110"/>
      <c r="CI1503" s="110"/>
      <c r="CJ1503" s="110"/>
      <c r="CK1503" s="110"/>
      <c r="CL1503" s="110"/>
      <c r="CM1503" s="110"/>
      <c r="CN1503" s="110"/>
      <c r="CO1503" s="110"/>
      <c r="CP1503" s="110"/>
      <c r="CQ1503" s="110"/>
      <c r="CR1503" s="110"/>
      <c r="CS1503" s="110"/>
      <c r="CT1503" s="110"/>
      <c r="CU1503" s="110"/>
      <c r="CV1503" s="110"/>
      <c r="CW1503" s="110"/>
      <c r="CX1503" s="110"/>
      <c r="CY1503" s="110"/>
      <c r="CZ1503" s="110"/>
      <c r="DA1503" s="110"/>
      <c r="DB1503" s="110"/>
      <c r="DC1503" s="110"/>
      <c r="DD1503" s="110"/>
      <c r="DE1503" s="110"/>
      <c r="DF1503" s="110"/>
      <c r="DG1503" s="110"/>
      <c r="DH1503" s="110"/>
      <c r="DI1503" s="110"/>
      <c r="DJ1503" s="110"/>
      <c r="DK1503" s="110"/>
      <c r="DL1503" s="110"/>
      <c r="DM1503" s="110"/>
      <c r="DN1503" s="110"/>
      <c r="DO1503" s="110"/>
      <c r="DP1503" s="110"/>
      <c r="DQ1503" s="110"/>
      <c r="DR1503" s="110"/>
      <c r="DS1503" s="110"/>
      <c r="DT1503" s="110"/>
      <c r="DU1503" s="110"/>
      <c r="DV1503" s="110"/>
      <c r="DW1503" s="110"/>
      <c r="DX1503" s="110"/>
      <c r="DY1503" s="110"/>
      <c r="DZ1503" s="110"/>
      <c r="EA1503" s="110"/>
      <c r="EB1503" s="110"/>
      <c r="EC1503" s="110"/>
      <c r="ED1503" s="110"/>
      <c r="EF1503" s="264"/>
      <c r="EG1503" s="110"/>
      <c r="EH1503" s="110"/>
      <c r="EI1503" s="110"/>
      <c r="EJ1503" s="110"/>
      <c r="EK1503" s="266"/>
      <c r="EL1503" s="110"/>
      <c r="EM1503" s="110"/>
      <c r="EN1503" s="110"/>
      <c r="EO1503" s="110"/>
      <c r="EP1503" s="110"/>
      <c r="EQ1503" s="110"/>
      <c r="ER1503" s="110"/>
      <c r="ES1503" s="110"/>
      <c r="ET1503" s="110"/>
      <c r="EU1503" s="110"/>
      <c r="EV1503" s="110"/>
      <c r="EW1503" s="110"/>
      <c r="EX1503" s="110"/>
      <c r="EY1503" s="110"/>
      <c r="EZ1503" s="110"/>
      <c r="FA1503" s="110"/>
      <c r="FB1503" s="110"/>
      <c r="FC1503" s="110"/>
      <c r="FD1503" s="110"/>
      <c r="FE1503" s="110"/>
      <c r="FF1503" s="110"/>
      <c r="FG1503" s="110"/>
      <c r="FH1503" s="110"/>
      <c r="FI1503" s="110"/>
      <c r="FJ1503" s="110"/>
      <c r="FK1503" s="110"/>
      <c r="FL1503" s="110"/>
      <c r="FM1503" s="110"/>
      <c r="FN1503" s="110"/>
      <c r="FO1503" s="110"/>
      <c r="FP1503" s="110"/>
      <c r="FQ1503" s="110"/>
      <c r="FR1503" s="110"/>
      <c r="FS1503" s="110"/>
      <c r="FT1503" s="110"/>
      <c r="FU1503" s="110"/>
      <c r="FV1503" s="110"/>
      <c r="FW1503" s="110"/>
      <c r="FX1503" s="110"/>
      <c r="FY1503" s="110"/>
      <c r="FZ1503" s="110"/>
      <c r="GA1503" s="110"/>
      <c r="GB1503" s="110"/>
      <c r="GC1503" s="110"/>
      <c r="GD1503" s="110"/>
      <c r="GE1503" s="110"/>
      <c r="GF1503" s="110"/>
      <c r="GG1503" s="110"/>
      <c r="GH1503" s="110"/>
      <c r="GI1503" s="110"/>
      <c r="GJ1503" s="110"/>
      <c r="GK1503" s="110"/>
      <c r="GL1503" s="110"/>
      <c r="GM1503" s="110"/>
      <c r="GN1503" s="110"/>
      <c r="GO1503" s="110"/>
      <c r="GP1503" s="110"/>
      <c r="GQ1503" s="110"/>
      <c r="GR1503" s="110"/>
      <c r="GS1503" s="110"/>
      <c r="GT1503" s="110"/>
      <c r="GU1503" s="110"/>
      <c r="GV1503" s="110"/>
      <c r="GW1503" s="110"/>
      <c r="GX1503" s="110"/>
      <c r="GY1503" s="110"/>
      <c r="GZ1503" s="110"/>
      <c r="HA1503" s="110"/>
      <c r="HB1503" s="110"/>
      <c r="HC1503" s="110"/>
      <c r="HD1503" s="110"/>
      <c r="HE1503" s="110"/>
      <c r="HF1503" s="110"/>
      <c r="HG1503" s="110"/>
      <c r="HH1503" s="110"/>
      <c r="HI1503" s="110"/>
      <c r="HJ1503" s="110"/>
      <c r="HK1503" s="110"/>
      <c r="HL1503" s="110"/>
      <c r="HM1503" s="110"/>
      <c r="HN1503" s="110"/>
      <c r="HO1503" s="110"/>
      <c r="HP1503" s="110"/>
      <c r="HQ1503" s="110"/>
      <c r="HR1503" s="110"/>
      <c r="HS1503" s="110"/>
      <c r="HT1503" s="110"/>
      <c r="HU1503" s="110"/>
      <c r="HV1503" s="110"/>
      <c r="HW1503" s="110"/>
      <c r="HX1503" s="110"/>
      <c r="HY1503" s="110"/>
      <c r="HZ1503" s="110"/>
      <c r="IA1503" s="110"/>
      <c r="IB1503" s="110"/>
      <c r="IC1503" s="110"/>
      <c r="ID1503" s="110"/>
      <c r="IE1503" s="110"/>
      <c r="IF1503" s="110"/>
      <c r="IG1503" s="110"/>
      <c r="IH1503" s="110"/>
      <c r="II1503" s="110"/>
      <c r="IJ1503" s="110"/>
      <c r="IK1503" s="110"/>
      <c r="IL1503" s="110"/>
      <c r="IM1503" s="110"/>
      <c r="IN1503" s="110"/>
      <c r="IO1503" s="110"/>
      <c r="IP1503" s="110"/>
      <c r="IQ1503" s="110"/>
      <c r="IR1503" s="110"/>
    </row>
    <row r="1504" spans="18:252" ht="16.5" hidden="1" customHeight="1">
      <c r="R1504" s="264"/>
      <c r="S1504" s="110"/>
      <c r="T1504" s="110"/>
      <c r="U1504" s="110"/>
      <c r="V1504" s="110"/>
      <c r="W1504" s="266"/>
      <c r="X1504" s="110"/>
      <c r="Y1504" s="110"/>
      <c r="Z1504" s="110"/>
      <c r="AA1504" s="110"/>
      <c r="AB1504" s="110"/>
      <c r="AC1504" s="110"/>
      <c r="AD1504" s="110"/>
      <c r="AE1504" s="110"/>
      <c r="AF1504" s="110"/>
      <c r="AG1504" s="110"/>
      <c r="AH1504" s="110"/>
      <c r="AI1504" s="110"/>
      <c r="AJ1504" s="110"/>
      <c r="AK1504" s="110"/>
      <c r="AL1504" s="110"/>
      <c r="AM1504" s="110"/>
      <c r="AN1504" s="110"/>
      <c r="AO1504" s="110"/>
      <c r="AP1504" s="110"/>
      <c r="AQ1504" s="110"/>
      <c r="AR1504" s="110"/>
      <c r="AS1504" s="110"/>
      <c r="AT1504" s="110"/>
      <c r="AU1504" s="110"/>
      <c r="AV1504" s="110"/>
      <c r="AW1504" s="110"/>
      <c r="AX1504" s="110"/>
      <c r="AY1504" s="110"/>
      <c r="AZ1504" s="110"/>
      <c r="BA1504" s="110"/>
      <c r="BB1504" s="110"/>
      <c r="BC1504" s="110"/>
      <c r="BD1504" s="110"/>
      <c r="BE1504" s="110"/>
      <c r="BF1504" s="110"/>
      <c r="BG1504" s="110"/>
      <c r="BH1504" s="110"/>
      <c r="BI1504" s="110"/>
      <c r="BJ1504" s="110"/>
      <c r="BK1504" s="110"/>
      <c r="BL1504" s="110"/>
      <c r="BM1504" s="110"/>
      <c r="BN1504" s="110"/>
      <c r="BO1504" s="110"/>
      <c r="BP1504" s="110"/>
      <c r="BQ1504" s="110"/>
      <c r="BR1504" s="110"/>
      <c r="BS1504" s="110"/>
      <c r="BT1504" s="110"/>
      <c r="BU1504" s="110"/>
      <c r="BV1504" s="110"/>
      <c r="BW1504" s="110"/>
      <c r="BX1504" s="110"/>
      <c r="BY1504" s="110"/>
      <c r="BZ1504" s="110"/>
      <c r="CA1504" s="110"/>
      <c r="CB1504" s="110"/>
      <c r="CC1504" s="110"/>
      <c r="CD1504" s="110"/>
      <c r="CE1504" s="110"/>
      <c r="CF1504" s="110"/>
      <c r="CG1504" s="110"/>
      <c r="CH1504" s="110"/>
      <c r="CI1504" s="110"/>
      <c r="CJ1504" s="110"/>
      <c r="CK1504" s="110"/>
      <c r="CL1504" s="110"/>
      <c r="CM1504" s="110"/>
      <c r="CN1504" s="110"/>
      <c r="CO1504" s="110"/>
      <c r="CP1504" s="110"/>
      <c r="CQ1504" s="110"/>
      <c r="CR1504" s="110"/>
      <c r="CS1504" s="110"/>
      <c r="CT1504" s="110"/>
      <c r="CU1504" s="110"/>
      <c r="CV1504" s="110"/>
      <c r="CW1504" s="110"/>
      <c r="CX1504" s="110"/>
      <c r="CY1504" s="110"/>
      <c r="CZ1504" s="110"/>
      <c r="DA1504" s="110"/>
      <c r="DB1504" s="110"/>
      <c r="DC1504" s="110"/>
      <c r="DD1504" s="110"/>
      <c r="DE1504" s="110"/>
      <c r="DF1504" s="110"/>
      <c r="DG1504" s="110"/>
      <c r="DH1504" s="110"/>
      <c r="DI1504" s="110"/>
      <c r="DJ1504" s="110"/>
      <c r="DK1504" s="110"/>
      <c r="DL1504" s="110"/>
      <c r="DM1504" s="110"/>
      <c r="DN1504" s="110"/>
      <c r="DO1504" s="110"/>
      <c r="DP1504" s="110"/>
      <c r="DQ1504" s="110"/>
      <c r="DR1504" s="110"/>
      <c r="DS1504" s="110"/>
      <c r="DT1504" s="110"/>
      <c r="DU1504" s="110"/>
      <c r="DV1504" s="110"/>
      <c r="DW1504" s="110"/>
      <c r="DX1504" s="110"/>
      <c r="DY1504" s="110"/>
      <c r="DZ1504" s="110"/>
      <c r="EA1504" s="110"/>
      <c r="EB1504" s="110"/>
      <c r="EC1504" s="110"/>
      <c r="ED1504" s="110"/>
      <c r="EF1504" s="264"/>
      <c r="EG1504" s="110"/>
      <c r="EH1504" s="110"/>
      <c r="EI1504" s="110"/>
      <c r="EJ1504" s="110"/>
      <c r="EK1504" s="266"/>
      <c r="EL1504" s="110"/>
      <c r="EM1504" s="110"/>
      <c r="EN1504" s="110"/>
      <c r="EO1504" s="110"/>
      <c r="EP1504" s="110"/>
      <c r="EQ1504" s="110"/>
      <c r="ER1504" s="110"/>
      <c r="ES1504" s="110"/>
      <c r="ET1504" s="110"/>
      <c r="EU1504" s="110"/>
      <c r="EV1504" s="110"/>
      <c r="EW1504" s="110"/>
      <c r="EX1504" s="110"/>
      <c r="EY1504" s="110"/>
      <c r="EZ1504" s="110"/>
      <c r="FA1504" s="110"/>
      <c r="FB1504" s="110"/>
      <c r="FC1504" s="110"/>
      <c r="FD1504" s="110"/>
      <c r="FE1504" s="110"/>
      <c r="FF1504" s="110"/>
      <c r="FG1504" s="110"/>
      <c r="FH1504" s="110"/>
      <c r="FI1504" s="110"/>
      <c r="FJ1504" s="110"/>
      <c r="FK1504" s="110"/>
      <c r="FL1504" s="110"/>
      <c r="FM1504" s="110"/>
      <c r="FN1504" s="110"/>
      <c r="FO1504" s="110"/>
      <c r="FP1504" s="110"/>
      <c r="FQ1504" s="110"/>
      <c r="FR1504" s="110"/>
      <c r="FS1504" s="110"/>
      <c r="FT1504" s="110"/>
      <c r="FU1504" s="110"/>
      <c r="FV1504" s="110"/>
      <c r="FW1504" s="110"/>
      <c r="FX1504" s="110"/>
      <c r="FY1504" s="110"/>
      <c r="FZ1504" s="110"/>
      <c r="GA1504" s="110"/>
      <c r="GB1504" s="110"/>
      <c r="GC1504" s="110"/>
      <c r="GD1504" s="110"/>
      <c r="GE1504" s="110"/>
      <c r="GF1504" s="110"/>
      <c r="GG1504" s="110"/>
      <c r="GH1504" s="110"/>
      <c r="GI1504" s="110"/>
      <c r="GJ1504" s="110"/>
      <c r="GK1504" s="110"/>
      <c r="GL1504" s="110"/>
      <c r="GM1504" s="110"/>
      <c r="GN1504" s="110"/>
      <c r="GO1504" s="110"/>
      <c r="GP1504" s="110"/>
      <c r="GQ1504" s="110"/>
      <c r="GR1504" s="110"/>
      <c r="GS1504" s="110"/>
      <c r="GT1504" s="110"/>
      <c r="GU1504" s="110"/>
      <c r="GV1504" s="110"/>
      <c r="GW1504" s="110"/>
      <c r="GX1504" s="110"/>
      <c r="GY1504" s="110"/>
      <c r="GZ1504" s="110"/>
      <c r="HA1504" s="110"/>
      <c r="HB1504" s="110"/>
      <c r="HC1504" s="110"/>
      <c r="HD1504" s="110"/>
      <c r="HE1504" s="110"/>
      <c r="HF1504" s="110"/>
      <c r="HG1504" s="110"/>
      <c r="HH1504" s="110"/>
      <c r="HI1504" s="110"/>
      <c r="HJ1504" s="110"/>
      <c r="HK1504" s="110"/>
      <c r="HL1504" s="110"/>
      <c r="HM1504" s="110"/>
      <c r="HN1504" s="110"/>
      <c r="HO1504" s="110"/>
      <c r="HP1504" s="110"/>
      <c r="HQ1504" s="110"/>
      <c r="HR1504" s="110"/>
      <c r="HS1504" s="110"/>
      <c r="HT1504" s="110"/>
      <c r="HU1504" s="110"/>
      <c r="HV1504" s="110"/>
      <c r="HW1504" s="110"/>
      <c r="HX1504" s="110"/>
      <c r="HY1504" s="110"/>
      <c r="HZ1504" s="110"/>
      <c r="IA1504" s="110"/>
      <c r="IB1504" s="110"/>
      <c r="IC1504" s="110"/>
      <c r="ID1504" s="110"/>
      <c r="IE1504" s="110"/>
      <c r="IF1504" s="110"/>
      <c r="IG1504" s="110"/>
      <c r="IH1504" s="110"/>
      <c r="II1504" s="110"/>
      <c r="IJ1504" s="110"/>
      <c r="IK1504" s="110"/>
      <c r="IL1504" s="110"/>
      <c r="IM1504" s="110"/>
      <c r="IN1504" s="110"/>
      <c r="IO1504" s="110"/>
      <c r="IP1504" s="110"/>
      <c r="IQ1504" s="110"/>
      <c r="IR1504" s="110"/>
    </row>
    <row r="1505" spans="18:252" ht="16.5" hidden="1" customHeight="1">
      <c r="R1505" s="264"/>
      <c r="S1505" s="110"/>
      <c r="T1505" s="110"/>
      <c r="U1505" s="110"/>
      <c r="V1505" s="110"/>
      <c r="W1505" s="266"/>
      <c r="X1505" s="110"/>
      <c r="Y1505" s="110"/>
      <c r="Z1505" s="110"/>
      <c r="AA1505" s="110"/>
      <c r="AB1505" s="110"/>
      <c r="AC1505" s="110"/>
      <c r="AD1505" s="110"/>
      <c r="AE1505" s="110"/>
      <c r="AF1505" s="110"/>
      <c r="AG1505" s="110"/>
      <c r="AH1505" s="110"/>
      <c r="AI1505" s="110"/>
      <c r="AJ1505" s="110"/>
      <c r="AK1505" s="110"/>
      <c r="AL1505" s="110"/>
      <c r="AM1505" s="110"/>
      <c r="AN1505" s="110"/>
      <c r="AO1505" s="110"/>
      <c r="AP1505" s="110"/>
      <c r="AQ1505" s="110"/>
      <c r="AR1505" s="110"/>
      <c r="AS1505" s="110"/>
      <c r="AT1505" s="110"/>
      <c r="AU1505" s="110"/>
      <c r="AV1505" s="110"/>
      <c r="AW1505" s="110"/>
      <c r="AX1505" s="110"/>
      <c r="AY1505" s="110"/>
      <c r="AZ1505" s="110"/>
      <c r="BA1505" s="110"/>
      <c r="BB1505" s="110"/>
      <c r="BC1505" s="110"/>
      <c r="BD1505" s="110"/>
      <c r="BE1505" s="110"/>
      <c r="BF1505" s="110"/>
      <c r="BG1505" s="110"/>
      <c r="BH1505" s="110"/>
      <c r="BI1505" s="110"/>
      <c r="BJ1505" s="110"/>
      <c r="BK1505" s="110"/>
      <c r="BL1505" s="110"/>
      <c r="BM1505" s="110"/>
      <c r="BN1505" s="110"/>
      <c r="BO1505" s="110"/>
      <c r="BP1505" s="110"/>
      <c r="BQ1505" s="110"/>
      <c r="BR1505" s="110"/>
      <c r="BS1505" s="110"/>
      <c r="BT1505" s="110"/>
      <c r="BU1505" s="110"/>
      <c r="BV1505" s="110"/>
      <c r="BW1505" s="110"/>
      <c r="BX1505" s="110"/>
      <c r="BY1505" s="110"/>
      <c r="BZ1505" s="110"/>
      <c r="CA1505" s="110"/>
      <c r="CB1505" s="110"/>
      <c r="CC1505" s="110"/>
      <c r="CD1505" s="110"/>
      <c r="CE1505" s="110"/>
      <c r="CF1505" s="110"/>
      <c r="CG1505" s="110"/>
      <c r="CH1505" s="110"/>
      <c r="CI1505" s="110"/>
      <c r="CJ1505" s="110"/>
      <c r="CK1505" s="110"/>
      <c r="CL1505" s="110"/>
      <c r="CM1505" s="110"/>
      <c r="CN1505" s="110"/>
      <c r="CO1505" s="110"/>
      <c r="CP1505" s="110"/>
      <c r="CQ1505" s="110"/>
      <c r="CR1505" s="110"/>
      <c r="CS1505" s="110"/>
      <c r="CT1505" s="110"/>
      <c r="CU1505" s="110"/>
      <c r="CV1505" s="110"/>
      <c r="CW1505" s="110"/>
      <c r="CX1505" s="110"/>
      <c r="CY1505" s="110"/>
      <c r="CZ1505" s="110"/>
      <c r="DA1505" s="110"/>
      <c r="DB1505" s="110"/>
      <c r="DC1505" s="110"/>
      <c r="DD1505" s="110"/>
      <c r="DE1505" s="110"/>
      <c r="DF1505" s="110"/>
      <c r="DG1505" s="110"/>
      <c r="DH1505" s="110"/>
      <c r="DI1505" s="110"/>
      <c r="DJ1505" s="110"/>
      <c r="DK1505" s="110"/>
      <c r="DL1505" s="110"/>
      <c r="DM1505" s="110"/>
      <c r="DN1505" s="110"/>
      <c r="DO1505" s="110"/>
      <c r="DP1505" s="110"/>
      <c r="DQ1505" s="110"/>
      <c r="DR1505" s="110"/>
      <c r="DS1505" s="110"/>
      <c r="DT1505" s="110"/>
      <c r="DU1505" s="110"/>
      <c r="DV1505" s="110"/>
      <c r="DW1505" s="110"/>
      <c r="DX1505" s="110"/>
      <c r="DY1505" s="110"/>
      <c r="DZ1505" s="110"/>
      <c r="EA1505" s="110"/>
      <c r="EB1505" s="110"/>
      <c r="EC1505" s="110"/>
      <c r="ED1505" s="110"/>
      <c r="EF1505" s="264"/>
      <c r="EG1505" s="110"/>
      <c r="EH1505" s="110"/>
      <c r="EI1505" s="110"/>
      <c r="EJ1505" s="110"/>
      <c r="EK1505" s="266"/>
      <c r="EL1505" s="110"/>
      <c r="EM1505" s="110"/>
      <c r="EN1505" s="110"/>
      <c r="EO1505" s="110"/>
      <c r="EP1505" s="110"/>
      <c r="EQ1505" s="110"/>
      <c r="ER1505" s="110"/>
      <c r="ES1505" s="110"/>
      <c r="ET1505" s="110"/>
      <c r="EU1505" s="110"/>
      <c r="EV1505" s="110"/>
      <c r="EW1505" s="110"/>
      <c r="EX1505" s="110"/>
      <c r="EY1505" s="110"/>
      <c r="EZ1505" s="110"/>
      <c r="FA1505" s="110"/>
      <c r="FB1505" s="110"/>
      <c r="FC1505" s="110"/>
      <c r="FD1505" s="110"/>
      <c r="FE1505" s="110"/>
      <c r="FF1505" s="110"/>
      <c r="FG1505" s="110"/>
      <c r="FH1505" s="110"/>
      <c r="FI1505" s="110"/>
      <c r="FJ1505" s="110"/>
      <c r="FK1505" s="110"/>
      <c r="FL1505" s="110"/>
      <c r="FM1505" s="110"/>
      <c r="FN1505" s="110"/>
      <c r="FO1505" s="110"/>
      <c r="FP1505" s="110"/>
      <c r="FQ1505" s="110"/>
      <c r="FR1505" s="110"/>
      <c r="FS1505" s="110"/>
      <c r="FT1505" s="110"/>
      <c r="FU1505" s="110"/>
      <c r="FV1505" s="110"/>
      <c r="FW1505" s="110"/>
      <c r="FX1505" s="110"/>
      <c r="FY1505" s="110"/>
      <c r="FZ1505" s="110"/>
      <c r="GA1505" s="110"/>
      <c r="GB1505" s="110"/>
      <c r="GC1505" s="110"/>
      <c r="GD1505" s="110"/>
      <c r="GE1505" s="110"/>
      <c r="GF1505" s="110"/>
      <c r="GG1505" s="110"/>
      <c r="GH1505" s="110"/>
      <c r="GI1505" s="110"/>
      <c r="GJ1505" s="110"/>
      <c r="GK1505" s="110"/>
      <c r="GL1505" s="110"/>
      <c r="GM1505" s="110"/>
      <c r="GN1505" s="110"/>
      <c r="GO1505" s="110"/>
      <c r="GP1505" s="110"/>
      <c r="GQ1505" s="110"/>
      <c r="GR1505" s="110"/>
      <c r="GS1505" s="110"/>
      <c r="GT1505" s="110"/>
      <c r="GU1505" s="110"/>
      <c r="GV1505" s="110"/>
      <c r="GW1505" s="110"/>
      <c r="GX1505" s="110"/>
      <c r="GY1505" s="110"/>
      <c r="GZ1505" s="110"/>
      <c r="HA1505" s="110"/>
      <c r="HB1505" s="110"/>
      <c r="HC1505" s="110"/>
      <c r="HD1505" s="110"/>
      <c r="HE1505" s="110"/>
      <c r="HF1505" s="110"/>
      <c r="HG1505" s="110"/>
      <c r="HH1505" s="110"/>
      <c r="HI1505" s="110"/>
      <c r="HJ1505" s="110"/>
      <c r="HK1505" s="110"/>
      <c r="HL1505" s="110"/>
      <c r="HM1505" s="110"/>
      <c r="HN1505" s="110"/>
      <c r="HO1505" s="110"/>
      <c r="HP1505" s="110"/>
      <c r="HQ1505" s="110"/>
      <c r="HR1505" s="110"/>
      <c r="HS1505" s="110"/>
      <c r="HT1505" s="110"/>
      <c r="HU1505" s="110"/>
      <c r="HV1505" s="110"/>
      <c r="HW1505" s="110"/>
      <c r="HX1505" s="110"/>
      <c r="HY1505" s="110"/>
      <c r="HZ1505" s="110"/>
      <c r="IA1505" s="110"/>
      <c r="IB1505" s="110"/>
      <c r="IC1505" s="110"/>
      <c r="ID1505" s="110"/>
      <c r="IE1505" s="110"/>
      <c r="IF1505" s="110"/>
      <c r="IG1505" s="110"/>
      <c r="IH1505" s="110"/>
      <c r="II1505" s="110"/>
      <c r="IJ1505" s="110"/>
      <c r="IK1505" s="110"/>
      <c r="IL1505" s="110"/>
      <c r="IM1505" s="110"/>
      <c r="IN1505" s="110"/>
      <c r="IO1505" s="110"/>
      <c r="IP1505" s="110"/>
      <c r="IQ1505" s="110"/>
      <c r="IR1505" s="110"/>
    </row>
    <row r="1506" spans="18:252" ht="16.5" hidden="1" customHeight="1">
      <c r="R1506" s="264"/>
      <c r="S1506" s="110"/>
      <c r="T1506" s="110"/>
      <c r="U1506" s="110"/>
      <c r="V1506" s="110"/>
      <c r="W1506" s="266"/>
      <c r="X1506" s="110"/>
      <c r="Y1506" s="110"/>
      <c r="Z1506" s="110"/>
      <c r="AA1506" s="110"/>
      <c r="AB1506" s="110"/>
      <c r="AC1506" s="110"/>
      <c r="AD1506" s="110"/>
      <c r="AE1506" s="110"/>
      <c r="AF1506" s="110"/>
      <c r="AG1506" s="110"/>
      <c r="AH1506" s="110"/>
      <c r="AI1506" s="110"/>
      <c r="AJ1506" s="110"/>
      <c r="AK1506" s="110"/>
      <c r="AL1506" s="110"/>
      <c r="AM1506" s="110"/>
      <c r="AN1506" s="110"/>
      <c r="AO1506" s="110"/>
      <c r="AP1506" s="110"/>
      <c r="AQ1506" s="110"/>
      <c r="AR1506" s="110"/>
      <c r="AS1506" s="110"/>
      <c r="AT1506" s="110"/>
      <c r="AU1506" s="110"/>
      <c r="AV1506" s="110"/>
      <c r="AW1506" s="110"/>
      <c r="AX1506" s="110"/>
      <c r="AY1506" s="110"/>
      <c r="AZ1506" s="110"/>
      <c r="BA1506" s="110"/>
      <c r="BB1506" s="110"/>
      <c r="BC1506" s="110"/>
      <c r="BD1506" s="110"/>
      <c r="BE1506" s="110"/>
      <c r="BF1506" s="110"/>
      <c r="BG1506" s="110"/>
      <c r="BH1506" s="110"/>
      <c r="BI1506" s="110"/>
      <c r="BJ1506" s="110"/>
      <c r="BK1506" s="110"/>
      <c r="BL1506" s="110"/>
      <c r="BM1506" s="110"/>
      <c r="BN1506" s="110"/>
      <c r="BO1506" s="110"/>
      <c r="BP1506" s="110"/>
      <c r="BQ1506" s="110"/>
      <c r="BR1506" s="110"/>
      <c r="BS1506" s="110"/>
      <c r="BT1506" s="110"/>
      <c r="BU1506" s="110"/>
      <c r="BV1506" s="110"/>
      <c r="BW1506" s="110"/>
      <c r="BX1506" s="110"/>
      <c r="BY1506" s="110"/>
      <c r="BZ1506" s="110"/>
      <c r="CA1506" s="110"/>
      <c r="CB1506" s="110"/>
      <c r="CC1506" s="110"/>
      <c r="CD1506" s="110"/>
      <c r="CE1506" s="110"/>
      <c r="CF1506" s="110"/>
      <c r="CG1506" s="110"/>
      <c r="CH1506" s="110"/>
      <c r="CI1506" s="110"/>
      <c r="CJ1506" s="110"/>
      <c r="CK1506" s="110"/>
      <c r="CL1506" s="110"/>
      <c r="CM1506" s="110"/>
      <c r="CN1506" s="110"/>
      <c r="CO1506" s="110"/>
      <c r="CP1506" s="110"/>
      <c r="CQ1506" s="110"/>
      <c r="CR1506" s="110"/>
      <c r="CS1506" s="110"/>
      <c r="CT1506" s="110"/>
      <c r="CU1506" s="110"/>
      <c r="CV1506" s="110"/>
      <c r="CW1506" s="110"/>
      <c r="CX1506" s="110"/>
      <c r="CY1506" s="110"/>
      <c r="CZ1506" s="110"/>
      <c r="DA1506" s="110"/>
      <c r="DB1506" s="110"/>
      <c r="DC1506" s="110"/>
      <c r="DD1506" s="110"/>
      <c r="DE1506" s="110"/>
      <c r="DF1506" s="110"/>
      <c r="DG1506" s="110"/>
      <c r="DH1506" s="110"/>
      <c r="DI1506" s="110"/>
      <c r="DJ1506" s="110"/>
      <c r="DK1506" s="110"/>
      <c r="DL1506" s="110"/>
      <c r="DM1506" s="110"/>
      <c r="DN1506" s="110"/>
      <c r="DO1506" s="110"/>
      <c r="DP1506" s="110"/>
      <c r="DQ1506" s="110"/>
      <c r="DR1506" s="110"/>
      <c r="DS1506" s="110"/>
      <c r="DT1506" s="110"/>
      <c r="DU1506" s="110"/>
      <c r="DV1506" s="110"/>
      <c r="DW1506" s="110"/>
      <c r="DX1506" s="110"/>
      <c r="DY1506" s="110"/>
      <c r="DZ1506" s="110"/>
      <c r="EA1506" s="110"/>
      <c r="EB1506" s="110"/>
      <c r="EC1506" s="110"/>
      <c r="ED1506" s="110"/>
      <c r="EF1506" s="264"/>
      <c r="EG1506" s="110"/>
      <c r="EH1506" s="110"/>
      <c r="EI1506" s="110"/>
      <c r="EJ1506" s="110"/>
      <c r="EK1506" s="266"/>
      <c r="EL1506" s="110"/>
      <c r="EM1506" s="110"/>
      <c r="EN1506" s="110"/>
      <c r="EO1506" s="110"/>
      <c r="EP1506" s="110"/>
      <c r="EQ1506" s="110"/>
      <c r="ER1506" s="110"/>
      <c r="ES1506" s="110"/>
      <c r="ET1506" s="110"/>
      <c r="EU1506" s="110"/>
      <c r="EV1506" s="110"/>
      <c r="EW1506" s="110"/>
      <c r="EX1506" s="110"/>
      <c r="EY1506" s="110"/>
      <c r="EZ1506" s="110"/>
      <c r="FA1506" s="110"/>
      <c r="FB1506" s="110"/>
      <c r="FC1506" s="110"/>
      <c r="FD1506" s="110"/>
      <c r="FE1506" s="110"/>
      <c r="FF1506" s="110"/>
      <c r="FG1506" s="110"/>
      <c r="FH1506" s="110"/>
      <c r="FI1506" s="110"/>
      <c r="FJ1506" s="110"/>
      <c r="FK1506" s="110"/>
      <c r="FL1506" s="110"/>
      <c r="FM1506" s="110"/>
      <c r="FN1506" s="110"/>
      <c r="FO1506" s="110"/>
      <c r="FP1506" s="110"/>
      <c r="FQ1506" s="110"/>
      <c r="FR1506" s="110"/>
      <c r="FS1506" s="110"/>
      <c r="FT1506" s="110"/>
      <c r="FU1506" s="110"/>
      <c r="FV1506" s="110"/>
      <c r="FW1506" s="110"/>
      <c r="FX1506" s="110"/>
      <c r="FY1506" s="110"/>
      <c r="FZ1506" s="110"/>
      <c r="GA1506" s="110"/>
      <c r="GB1506" s="110"/>
      <c r="GC1506" s="110"/>
      <c r="GD1506" s="110"/>
      <c r="GE1506" s="110"/>
      <c r="GF1506" s="110"/>
      <c r="GG1506" s="110"/>
      <c r="GH1506" s="110"/>
      <c r="GI1506" s="110"/>
      <c r="GJ1506" s="110"/>
      <c r="GK1506" s="110"/>
      <c r="GL1506" s="110"/>
      <c r="GM1506" s="110"/>
      <c r="GN1506" s="110"/>
      <c r="GO1506" s="110"/>
      <c r="GP1506" s="110"/>
      <c r="GQ1506" s="110"/>
      <c r="GR1506" s="110"/>
      <c r="GS1506" s="110"/>
      <c r="GT1506" s="110"/>
      <c r="GU1506" s="110"/>
      <c r="GV1506" s="110"/>
      <c r="GW1506" s="110"/>
      <c r="GX1506" s="110"/>
      <c r="GY1506" s="110"/>
      <c r="GZ1506" s="110"/>
      <c r="HA1506" s="110"/>
      <c r="HB1506" s="110"/>
      <c r="HC1506" s="110"/>
      <c r="HD1506" s="110"/>
      <c r="HE1506" s="110"/>
      <c r="HF1506" s="110"/>
      <c r="HG1506" s="110"/>
      <c r="HH1506" s="110"/>
      <c r="HI1506" s="110"/>
      <c r="HJ1506" s="110"/>
      <c r="HK1506" s="110"/>
      <c r="HL1506" s="110"/>
      <c r="HM1506" s="110"/>
      <c r="HN1506" s="110"/>
      <c r="HO1506" s="110"/>
      <c r="HP1506" s="110"/>
      <c r="HQ1506" s="110"/>
      <c r="HR1506" s="110"/>
      <c r="HS1506" s="110"/>
      <c r="HT1506" s="110"/>
      <c r="HU1506" s="110"/>
      <c r="HV1506" s="110"/>
      <c r="HW1506" s="110"/>
      <c r="HX1506" s="110"/>
      <c r="HY1506" s="110"/>
      <c r="HZ1506" s="110"/>
      <c r="IA1506" s="110"/>
      <c r="IB1506" s="110"/>
      <c r="IC1506" s="110"/>
      <c r="ID1506" s="110"/>
      <c r="IE1506" s="110"/>
      <c r="IF1506" s="110"/>
      <c r="IG1506" s="110"/>
      <c r="IH1506" s="110"/>
      <c r="II1506" s="110"/>
      <c r="IJ1506" s="110"/>
      <c r="IK1506" s="110"/>
      <c r="IL1506" s="110"/>
      <c r="IM1506" s="110"/>
      <c r="IN1506" s="110"/>
      <c r="IO1506" s="110"/>
      <c r="IP1506" s="110"/>
      <c r="IQ1506" s="110"/>
      <c r="IR1506" s="110"/>
    </row>
    <row r="1507" spans="18:252" ht="16.5" hidden="1" customHeight="1">
      <c r="R1507" s="264"/>
      <c r="S1507" s="110"/>
      <c r="T1507" s="110"/>
      <c r="U1507" s="110"/>
      <c r="V1507" s="110"/>
      <c r="W1507" s="266"/>
      <c r="X1507" s="110"/>
      <c r="Y1507" s="110"/>
      <c r="Z1507" s="110"/>
      <c r="AA1507" s="110"/>
      <c r="AB1507" s="110"/>
      <c r="AC1507" s="110"/>
      <c r="AD1507" s="110"/>
      <c r="AE1507" s="110"/>
      <c r="AF1507" s="110"/>
      <c r="AG1507" s="110"/>
      <c r="AH1507" s="110"/>
      <c r="AI1507" s="110"/>
      <c r="AJ1507" s="110"/>
      <c r="AK1507" s="110"/>
      <c r="AL1507" s="110"/>
      <c r="AM1507" s="110"/>
      <c r="AN1507" s="110"/>
      <c r="AO1507" s="110"/>
      <c r="AP1507" s="110"/>
      <c r="AQ1507" s="110"/>
      <c r="AR1507" s="110"/>
      <c r="AS1507" s="110"/>
      <c r="AT1507" s="110"/>
      <c r="AU1507" s="110"/>
      <c r="AV1507" s="110"/>
      <c r="AW1507" s="110"/>
      <c r="AX1507" s="110"/>
      <c r="AY1507" s="110"/>
      <c r="AZ1507" s="110"/>
      <c r="BA1507" s="110"/>
      <c r="BB1507" s="110"/>
      <c r="BC1507" s="110"/>
      <c r="BD1507" s="110"/>
      <c r="BE1507" s="110"/>
      <c r="BF1507" s="110"/>
      <c r="BG1507" s="110"/>
      <c r="BH1507" s="110"/>
      <c r="BI1507" s="110"/>
      <c r="BJ1507" s="110"/>
      <c r="BK1507" s="110"/>
      <c r="BL1507" s="110"/>
      <c r="BM1507" s="110"/>
      <c r="BN1507" s="110"/>
      <c r="BO1507" s="110"/>
      <c r="BP1507" s="110"/>
      <c r="BQ1507" s="110"/>
      <c r="BR1507" s="110"/>
      <c r="BS1507" s="110"/>
      <c r="BT1507" s="110"/>
      <c r="BU1507" s="110"/>
      <c r="BV1507" s="110"/>
      <c r="BW1507" s="110"/>
      <c r="BX1507" s="110"/>
      <c r="BY1507" s="110"/>
      <c r="BZ1507" s="110"/>
      <c r="CA1507" s="110"/>
      <c r="CB1507" s="110"/>
      <c r="CC1507" s="110"/>
      <c r="CD1507" s="110"/>
      <c r="CE1507" s="110"/>
      <c r="CF1507" s="110"/>
      <c r="CG1507" s="110"/>
      <c r="CH1507" s="110"/>
      <c r="CI1507" s="110"/>
      <c r="CJ1507" s="110"/>
      <c r="CK1507" s="110"/>
      <c r="CL1507" s="110"/>
      <c r="CM1507" s="110"/>
      <c r="CN1507" s="110"/>
      <c r="CO1507" s="110"/>
      <c r="CP1507" s="110"/>
      <c r="CQ1507" s="110"/>
      <c r="CR1507" s="110"/>
      <c r="CS1507" s="110"/>
      <c r="CT1507" s="110"/>
      <c r="CU1507" s="110"/>
      <c r="CV1507" s="110"/>
      <c r="CW1507" s="110"/>
      <c r="CX1507" s="110"/>
      <c r="CY1507" s="110"/>
      <c r="CZ1507" s="110"/>
      <c r="DA1507" s="110"/>
      <c r="DB1507" s="110"/>
      <c r="DC1507" s="110"/>
      <c r="DD1507" s="110"/>
      <c r="DE1507" s="110"/>
      <c r="DF1507" s="110"/>
      <c r="DG1507" s="110"/>
      <c r="DH1507" s="110"/>
      <c r="DI1507" s="110"/>
      <c r="DJ1507" s="110"/>
      <c r="DK1507" s="110"/>
      <c r="DL1507" s="110"/>
      <c r="DM1507" s="110"/>
      <c r="DN1507" s="110"/>
      <c r="DO1507" s="110"/>
      <c r="DP1507" s="110"/>
      <c r="DQ1507" s="110"/>
      <c r="DR1507" s="110"/>
      <c r="DS1507" s="110"/>
      <c r="DT1507" s="110"/>
      <c r="DU1507" s="110"/>
      <c r="DV1507" s="110"/>
      <c r="DW1507" s="110"/>
      <c r="DX1507" s="110"/>
      <c r="DY1507" s="110"/>
      <c r="DZ1507" s="110"/>
      <c r="EA1507" s="110"/>
      <c r="EB1507" s="110"/>
      <c r="EC1507" s="110"/>
      <c r="ED1507" s="110"/>
      <c r="EF1507" s="264"/>
      <c r="EG1507" s="110"/>
      <c r="EH1507" s="110"/>
      <c r="EI1507" s="110"/>
      <c r="EJ1507" s="110"/>
      <c r="EK1507" s="266"/>
      <c r="EL1507" s="110"/>
      <c r="EM1507" s="110"/>
      <c r="EN1507" s="110"/>
      <c r="EO1507" s="110"/>
      <c r="EP1507" s="110"/>
      <c r="EQ1507" s="110"/>
      <c r="ER1507" s="110"/>
      <c r="ES1507" s="110"/>
      <c r="ET1507" s="110"/>
      <c r="EU1507" s="110"/>
      <c r="EV1507" s="110"/>
      <c r="EW1507" s="110"/>
      <c r="EX1507" s="110"/>
      <c r="EY1507" s="110"/>
      <c r="EZ1507" s="110"/>
      <c r="FA1507" s="110"/>
      <c r="FB1507" s="110"/>
      <c r="FC1507" s="110"/>
      <c r="FD1507" s="110"/>
      <c r="FE1507" s="110"/>
      <c r="FF1507" s="110"/>
      <c r="FG1507" s="110"/>
      <c r="FH1507" s="110"/>
      <c r="FI1507" s="110"/>
      <c r="FJ1507" s="110"/>
      <c r="FK1507" s="110"/>
      <c r="FL1507" s="110"/>
      <c r="FM1507" s="110"/>
      <c r="FN1507" s="110"/>
      <c r="FO1507" s="110"/>
      <c r="FP1507" s="110"/>
      <c r="FQ1507" s="110"/>
      <c r="FR1507" s="110"/>
      <c r="FS1507" s="110"/>
      <c r="FT1507" s="110"/>
      <c r="FU1507" s="110"/>
      <c r="FV1507" s="110"/>
      <c r="FW1507" s="110"/>
      <c r="FX1507" s="110"/>
      <c r="FY1507" s="110"/>
      <c r="FZ1507" s="110"/>
      <c r="GA1507" s="110"/>
      <c r="GB1507" s="110"/>
      <c r="GC1507" s="110"/>
      <c r="GD1507" s="110"/>
      <c r="GE1507" s="110"/>
      <c r="GF1507" s="110"/>
      <c r="GG1507" s="110"/>
      <c r="GH1507" s="110"/>
      <c r="GI1507" s="110"/>
      <c r="GJ1507" s="110"/>
      <c r="GK1507" s="110"/>
      <c r="GL1507" s="110"/>
      <c r="GM1507" s="110"/>
      <c r="GN1507" s="110"/>
      <c r="GO1507" s="110"/>
      <c r="GP1507" s="110"/>
      <c r="GQ1507" s="110"/>
      <c r="GR1507" s="110"/>
      <c r="GS1507" s="110"/>
      <c r="GT1507" s="110"/>
      <c r="GU1507" s="110"/>
      <c r="GV1507" s="110"/>
      <c r="GW1507" s="110"/>
      <c r="GX1507" s="110"/>
      <c r="GY1507" s="110"/>
      <c r="GZ1507" s="110"/>
      <c r="HA1507" s="110"/>
      <c r="HB1507" s="110"/>
      <c r="HC1507" s="110"/>
      <c r="HD1507" s="110"/>
      <c r="HE1507" s="110"/>
      <c r="HF1507" s="110"/>
      <c r="HG1507" s="110"/>
      <c r="HH1507" s="110"/>
      <c r="HI1507" s="110"/>
      <c r="HJ1507" s="110"/>
      <c r="HK1507" s="110"/>
      <c r="HL1507" s="110"/>
      <c r="HM1507" s="110"/>
      <c r="HN1507" s="110"/>
      <c r="HO1507" s="110"/>
      <c r="HP1507" s="110"/>
      <c r="HQ1507" s="110"/>
      <c r="HR1507" s="110"/>
      <c r="HS1507" s="110"/>
      <c r="HT1507" s="110"/>
      <c r="HU1507" s="110"/>
      <c r="HV1507" s="110"/>
      <c r="HW1507" s="110"/>
      <c r="HX1507" s="110"/>
      <c r="HY1507" s="110"/>
      <c r="HZ1507" s="110"/>
      <c r="IA1507" s="110"/>
      <c r="IB1507" s="110"/>
      <c r="IC1507" s="110"/>
      <c r="ID1507" s="110"/>
      <c r="IE1507" s="110"/>
      <c r="IF1507" s="110"/>
      <c r="IG1507" s="110"/>
      <c r="IH1507" s="110"/>
      <c r="II1507" s="110"/>
      <c r="IJ1507" s="110"/>
      <c r="IK1507" s="110"/>
      <c r="IL1507" s="110"/>
      <c r="IM1507" s="110"/>
      <c r="IN1507" s="110"/>
      <c r="IO1507" s="110"/>
      <c r="IP1507" s="110"/>
      <c r="IQ1507" s="110"/>
      <c r="IR1507" s="110"/>
    </row>
    <row r="1508" spans="18:252" ht="16.5" hidden="1" customHeight="1">
      <c r="R1508" s="264"/>
      <c r="S1508" s="110"/>
      <c r="T1508" s="110"/>
      <c r="U1508" s="110"/>
      <c r="V1508" s="110"/>
      <c r="W1508" s="266"/>
      <c r="X1508" s="110"/>
      <c r="Y1508" s="110"/>
      <c r="Z1508" s="110"/>
      <c r="AA1508" s="110"/>
      <c r="AB1508" s="110"/>
      <c r="AC1508" s="110"/>
      <c r="AD1508" s="110"/>
      <c r="AE1508" s="110"/>
      <c r="AF1508" s="110"/>
      <c r="AG1508" s="110"/>
      <c r="AH1508" s="110"/>
      <c r="AI1508" s="110"/>
      <c r="AJ1508" s="110"/>
      <c r="AK1508" s="110"/>
      <c r="AL1508" s="110"/>
      <c r="AM1508" s="110"/>
      <c r="AN1508" s="110"/>
      <c r="AO1508" s="110"/>
      <c r="AP1508" s="110"/>
      <c r="AQ1508" s="110"/>
      <c r="AR1508" s="110"/>
      <c r="AS1508" s="110"/>
      <c r="AT1508" s="110"/>
      <c r="AU1508" s="110"/>
      <c r="AV1508" s="110"/>
      <c r="AW1508" s="110"/>
      <c r="AX1508" s="110"/>
      <c r="AY1508" s="110"/>
      <c r="AZ1508" s="110"/>
      <c r="BA1508" s="110"/>
      <c r="BB1508" s="110"/>
      <c r="BC1508" s="110"/>
      <c r="BD1508" s="110"/>
      <c r="BE1508" s="110"/>
      <c r="BF1508" s="110"/>
      <c r="BG1508" s="110"/>
      <c r="BH1508" s="110"/>
      <c r="BI1508" s="110"/>
      <c r="BJ1508" s="110"/>
      <c r="BK1508" s="110"/>
      <c r="BL1508" s="110"/>
      <c r="BM1508" s="110"/>
      <c r="BN1508" s="110"/>
      <c r="BO1508" s="110"/>
      <c r="BP1508" s="110"/>
      <c r="BQ1508" s="110"/>
      <c r="BR1508" s="110"/>
      <c r="BS1508" s="110"/>
      <c r="BT1508" s="110"/>
      <c r="BU1508" s="110"/>
      <c r="BV1508" s="110"/>
      <c r="BW1508" s="110"/>
      <c r="BX1508" s="110"/>
      <c r="BY1508" s="110"/>
      <c r="BZ1508" s="110"/>
      <c r="CA1508" s="110"/>
      <c r="CB1508" s="110"/>
      <c r="CC1508" s="110"/>
      <c r="CD1508" s="110"/>
      <c r="CE1508" s="110"/>
      <c r="CF1508" s="110"/>
      <c r="CG1508" s="110"/>
      <c r="CH1508" s="110"/>
      <c r="CI1508" s="110"/>
      <c r="CJ1508" s="110"/>
      <c r="CK1508" s="110"/>
      <c r="CL1508" s="110"/>
      <c r="CM1508" s="110"/>
      <c r="CN1508" s="110"/>
      <c r="CO1508" s="110"/>
      <c r="CP1508" s="110"/>
      <c r="CQ1508" s="110"/>
      <c r="CR1508" s="110"/>
      <c r="CS1508" s="110"/>
      <c r="CT1508" s="110"/>
      <c r="CU1508" s="110"/>
      <c r="CV1508" s="110"/>
      <c r="CW1508" s="110"/>
      <c r="CX1508" s="110"/>
      <c r="CY1508" s="110"/>
      <c r="CZ1508" s="110"/>
      <c r="DA1508" s="110"/>
      <c r="DB1508" s="110"/>
      <c r="DC1508" s="110"/>
      <c r="DD1508" s="110"/>
      <c r="DE1508" s="110"/>
      <c r="DF1508" s="110"/>
      <c r="DG1508" s="110"/>
      <c r="DH1508" s="110"/>
      <c r="DI1508" s="110"/>
      <c r="DJ1508" s="110"/>
      <c r="DK1508" s="110"/>
      <c r="DL1508" s="110"/>
      <c r="DM1508" s="110"/>
      <c r="DN1508" s="110"/>
      <c r="DO1508" s="110"/>
      <c r="DP1508" s="110"/>
      <c r="DQ1508" s="110"/>
      <c r="DR1508" s="110"/>
      <c r="DS1508" s="110"/>
      <c r="DT1508" s="110"/>
      <c r="DU1508" s="110"/>
      <c r="DV1508" s="110"/>
      <c r="DW1508" s="110"/>
      <c r="DX1508" s="110"/>
      <c r="DY1508" s="110"/>
      <c r="DZ1508" s="110"/>
      <c r="EA1508" s="110"/>
      <c r="EB1508" s="110"/>
      <c r="EC1508" s="110"/>
      <c r="ED1508" s="110"/>
      <c r="EF1508" s="264"/>
      <c r="EG1508" s="110"/>
      <c r="EH1508" s="110"/>
      <c r="EI1508" s="110"/>
      <c r="EJ1508" s="110"/>
      <c r="EK1508" s="266"/>
      <c r="EL1508" s="110"/>
      <c r="EM1508" s="110"/>
      <c r="EN1508" s="110"/>
      <c r="EO1508" s="110"/>
      <c r="EP1508" s="110"/>
      <c r="EQ1508" s="110"/>
      <c r="ER1508" s="110"/>
      <c r="ES1508" s="110"/>
      <c r="ET1508" s="110"/>
      <c r="EU1508" s="110"/>
      <c r="EV1508" s="110"/>
      <c r="EW1508" s="110"/>
      <c r="EX1508" s="110"/>
      <c r="EY1508" s="110"/>
      <c r="EZ1508" s="110"/>
      <c r="FA1508" s="110"/>
      <c r="FB1508" s="110"/>
      <c r="FC1508" s="110"/>
      <c r="FD1508" s="110"/>
      <c r="FE1508" s="110"/>
      <c r="FF1508" s="110"/>
      <c r="FG1508" s="110"/>
      <c r="FH1508" s="110"/>
      <c r="FI1508" s="110"/>
      <c r="FJ1508" s="110"/>
      <c r="FK1508" s="110"/>
      <c r="FL1508" s="110"/>
      <c r="FM1508" s="110"/>
      <c r="FN1508" s="110"/>
      <c r="FO1508" s="110"/>
      <c r="FP1508" s="110"/>
      <c r="FQ1508" s="110"/>
      <c r="FR1508" s="110"/>
      <c r="FS1508" s="110"/>
      <c r="FT1508" s="110"/>
      <c r="FU1508" s="110"/>
      <c r="FV1508" s="110"/>
      <c r="FW1508" s="110"/>
      <c r="FX1508" s="110"/>
      <c r="FY1508" s="110"/>
      <c r="FZ1508" s="110"/>
      <c r="GA1508" s="110"/>
      <c r="GB1508" s="110"/>
      <c r="GC1508" s="110"/>
      <c r="GD1508" s="110"/>
      <c r="GE1508" s="110"/>
      <c r="GF1508" s="110"/>
      <c r="GG1508" s="110"/>
      <c r="GH1508" s="110"/>
      <c r="GI1508" s="110"/>
      <c r="GJ1508" s="110"/>
      <c r="GK1508" s="110"/>
      <c r="GL1508" s="110"/>
      <c r="GM1508" s="110"/>
      <c r="GN1508" s="110"/>
      <c r="GO1508" s="110"/>
      <c r="GP1508" s="110"/>
      <c r="GQ1508" s="110"/>
      <c r="GR1508" s="110"/>
      <c r="GS1508" s="110"/>
      <c r="GT1508" s="110"/>
      <c r="GU1508" s="110"/>
      <c r="GV1508" s="110"/>
      <c r="GW1508" s="110"/>
      <c r="GX1508" s="110"/>
      <c r="GY1508" s="110"/>
      <c r="GZ1508" s="110"/>
      <c r="HA1508" s="110"/>
      <c r="HB1508" s="110"/>
      <c r="HC1508" s="110"/>
      <c r="HD1508" s="110"/>
      <c r="HE1508" s="110"/>
      <c r="HF1508" s="110"/>
      <c r="HG1508" s="110"/>
      <c r="HH1508" s="110"/>
      <c r="HI1508" s="110"/>
      <c r="HJ1508" s="110"/>
      <c r="HK1508" s="110"/>
      <c r="HL1508" s="110"/>
      <c r="HM1508" s="110"/>
      <c r="HN1508" s="110"/>
      <c r="HO1508" s="110"/>
      <c r="HP1508" s="110"/>
      <c r="HQ1508" s="110"/>
      <c r="HR1508" s="110"/>
      <c r="HS1508" s="110"/>
      <c r="HT1508" s="110"/>
      <c r="HU1508" s="110"/>
      <c r="HV1508" s="110"/>
      <c r="HW1508" s="110"/>
      <c r="HX1508" s="110"/>
      <c r="HY1508" s="110"/>
      <c r="HZ1508" s="110"/>
      <c r="IA1508" s="110"/>
      <c r="IB1508" s="110"/>
      <c r="IC1508" s="110"/>
      <c r="ID1508" s="110"/>
      <c r="IE1508" s="110"/>
      <c r="IF1508" s="110"/>
      <c r="IG1508" s="110"/>
      <c r="IH1508" s="110"/>
      <c r="II1508" s="110"/>
      <c r="IJ1508" s="110"/>
      <c r="IK1508" s="110"/>
      <c r="IL1508" s="110"/>
      <c r="IM1508" s="110"/>
      <c r="IN1508" s="110"/>
      <c r="IO1508" s="110"/>
      <c r="IP1508" s="110"/>
      <c r="IQ1508" s="110"/>
      <c r="IR1508" s="110"/>
    </row>
    <row r="1509" spans="18:252" ht="16.5" hidden="1" customHeight="1">
      <c r="R1509" s="264"/>
      <c r="S1509" s="110"/>
      <c r="T1509" s="110"/>
      <c r="U1509" s="110"/>
      <c r="V1509" s="110"/>
      <c r="W1509" s="266"/>
      <c r="X1509" s="110"/>
      <c r="Y1509" s="110"/>
      <c r="Z1509" s="110"/>
      <c r="AA1509" s="110"/>
      <c r="AB1509" s="110"/>
      <c r="AC1509" s="110"/>
      <c r="AD1509" s="110"/>
      <c r="AE1509" s="110"/>
      <c r="AF1509" s="110"/>
      <c r="AG1509" s="110"/>
      <c r="AH1509" s="110"/>
      <c r="AI1509" s="110"/>
      <c r="AJ1509" s="110"/>
      <c r="AK1509" s="110"/>
      <c r="AL1509" s="110"/>
      <c r="AM1509" s="110"/>
      <c r="AN1509" s="110"/>
      <c r="AO1509" s="110"/>
      <c r="AP1509" s="110"/>
      <c r="AQ1509" s="110"/>
      <c r="AR1509" s="110"/>
      <c r="AS1509" s="110"/>
      <c r="AT1509" s="110"/>
      <c r="AU1509" s="110"/>
      <c r="AV1509" s="110"/>
      <c r="AW1509" s="110"/>
      <c r="AX1509" s="110"/>
      <c r="AY1509" s="110"/>
      <c r="AZ1509" s="110"/>
      <c r="BA1509" s="110"/>
      <c r="BB1509" s="110"/>
      <c r="BC1509" s="110"/>
      <c r="BD1509" s="110"/>
      <c r="BE1509" s="110"/>
      <c r="BF1509" s="110"/>
      <c r="BG1509" s="110"/>
      <c r="BH1509" s="110"/>
      <c r="BI1509" s="110"/>
      <c r="BJ1509" s="110"/>
      <c r="BK1509" s="110"/>
      <c r="BL1509" s="110"/>
      <c r="BM1509" s="110"/>
      <c r="BN1509" s="110"/>
      <c r="BO1509" s="110"/>
      <c r="BP1509" s="110"/>
      <c r="BQ1509" s="110"/>
      <c r="BR1509" s="110"/>
      <c r="BS1509" s="110"/>
      <c r="BT1509" s="110"/>
      <c r="BU1509" s="110"/>
      <c r="BV1509" s="110"/>
      <c r="BW1509" s="110"/>
      <c r="BX1509" s="110"/>
      <c r="BY1509" s="110"/>
      <c r="BZ1509" s="110"/>
      <c r="CA1509" s="110"/>
      <c r="CB1509" s="110"/>
      <c r="CC1509" s="110"/>
      <c r="CD1509" s="110"/>
      <c r="CE1509" s="110"/>
      <c r="CF1509" s="110"/>
      <c r="CG1509" s="110"/>
      <c r="CH1509" s="110"/>
      <c r="CI1509" s="110"/>
      <c r="CJ1509" s="110"/>
      <c r="CK1509" s="110"/>
      <c r="CL1509" s="110"/>
      <c r="CM1509" s="110"/>
      <c r="CN1509" s="110"/>
      <c r="CO1509" s="110"/>
      <c r="CP1509" s="110"/>
      <c r="CQ1509" s="110"/>
      <c r="CR1509" s="110"/>
      <c r="CS1509" s="110"/>
      <c r="CT1509" s="110"/>
      <c r="CU1509" s="110"/>
      <c r="CV1509" s="110"/>
      <c r="CW1509" s="110"/>
      <c r="CX1509" s="110"/>
      <c r="CY1509" s="110"/>
      <c r="CZ1509" s="110"/>
      <c r="DA1509" s="110"/>
      <c r="DB1509" s="110"/>
      <c r="DC1509" s="110"/>
      <c r="DD1509" s="110"/>
      <c r="DE1509" s="110"/>
      <c r="DF1509" s="110"/>
      <c r="DG1509" s="110"/>
      <c r="DH1509" s="110"/>
      <c r="DI1509" s="110"/>
      <c r="DJ1509" s="110"/>
      <c r="DK1509" s="110"/>
      <c r="DL1509" s="110"/>
      <c r="DM1509" s="110"/>
      <c r="DN1509" s="110"/>
      <c r="DO1509" s="110"/>
      <c r="DP1509" s="110"/>
      <c r="DQ1509" s="110"/>
      <c r="DR1509" s="110"/>
      <c r="DS1509" s="110"/>
      <c r="DT1509" s="110"/>
      <c r="DU1509" s="110"/>
      <c r="DV1509" s="110"/>
      <c r="DW1509" s="110"/>
      <c r="DX1509" s="110"/>
      <c r="DY1509" s="110"/>
      <c r="DZ1509" s="110"/>
      <c r="EA1509" s="110"/>
      <c r="EB1509" s="110"/>
      <c r="EC1509" s="110"/>
      <c r="ED1509" s="110"/>
      <c r="EF1509" s="264"/>
      <c r="EG1509" s="110"/>
      <c r="EH1509" s="110"/>
      <c r="EI1509" s="110"/>
      <c r="EJ1509" s="110"/>
      <c r="EK1509" s="266"/>
      <c r="EL1509" s="110"/>
      <c r="EM1509" s="110"/>
      <c r="EN1509" s="110"/>
      <c r="EO1509" s="110"/>
      <c r="EP1509" s="110"/>
      <c r="EQ1509" s="110"/>
      <c r="ER1509" s="110"/>
      <c r="ES1509" s="110"/>
      <c r="ET1509" s="110"/>
      <c r="EU1509" s="110"/>
      <c r="EV1509" s="110"/>
      <c r="EW1509" s="110"/>
      <c r="EX1509" s="110"/>
      <c r="EY1509" s="110"/>
      <c r="EZ1509" s="110"/>
      <c r="FA1509" s="110"/>
      <c r="FB1509" s="110"/>
      <c r="FC1509" s="110"/>
      <c r="FD1509" s="110"/>
      <c r="FE1509" s="110"/>
      <c r="FF1509" s="110"/>
      <c r="FG1509" s="110"/>
      <c r="FH1509" s="110"/>
      <c r="FI1509" s="110"/>
      <c r="FJ1509" s="110"/>
      <c r="FK1509" s="110"/>
      <c r="FL1509" s="110"/>
      <c r="FM1509" s="110"/>
      <c r="FN1509" s="110"/>
      <c r="FO1509" s="110"/>
      <c r="FP1509" s="110"/>
      <c r="FQ1509" s="110"/>
      <c r="FR1509" s="110"/>
      <c r="FS1509" s="110"/>
      <c r="FT1509" s="110"/>
      <c r="FU1509" s="110"/>
      <c r="FV1509" s="110"/>
      <c r="FW1509" s="110"/>
      <c r="FX1509" s="110"/>
      <c r="FY1509" s="110"/>
      <c r="FZ1509" s="110"/>
      <c r="GA1509" s="110"/>
      <c r="GB1509" s="110"/>
      <c r="GC1509" s="110"/>
      <c r="GD1509" s="110"/>
      <c r="GE1509" s="110"/>
      <c r="GF1509" s="110"/>
      <c r="GG1509" s="110"/>
      <c r="GH1509" s="110"/>
      <c r="GI1509" s="110"/>
      <c r="GJ1509" s="110"/>
      <c r="GK1509" s="110"/>
      <c r="GL1509" s="110"/>
      <c r="GM1509" s="110"/>
      <c r="GN1509" s="110"/>
      <c r="GO1509" s="110"/>
      <c r="GP1509" s="110"/>
      <c r="GQ1509" s="110"/>
      <c r="GR1509" s="110"/>
      <c r="GS1509" s="110"/>
      <c r="GT1509" s="110"/>
      <c r="GU1509" s="110"/>
      <c r="GV1509" s="110"/>
      <c r="GW1509" s="110"/>
      <c r="GX1509" s="110"/>
      <c r="GY1509" s="110"/>
      <c r="GZ1509" s="110"/>
      <c r="HA1509" s="110"/>
      <c r="HB1509" s="110"/>
      <c r="HC1509" s="110"/>
      <c r="HD1509" s="110"/>
      <c r="HE1509" s="110"/>
      <c r="HF1509" s="110"/>
      <c r="HG1509" s="110"/>
      <c r="HH1509" s="110"/>
      <c r="HI1509" s="110"/>
      <c r="HJ1509" s="110"/>
      <c r="HK1509" s="110"/>
      <c r="HL1509" s="110"/>
      <c r="HM1509" s="110"/>
      <c r="HN1509" s="110"/>
      <c r="HO1509" s="110"/>
      <c r="HP1509" s="110"/>
      <c r="HQ1509" s="110"/>
      <c r="HR1509" s="110"/>
      <c r="HS1509" s="110"/>
      <c r="HT1509" s="110"/>
      <c r="HU1509" s="110"/>
      <c r="HV1509" s="110"/>
      <c r="HW1509" s="110"/>
      <c r="HX1509" s="110"/>
      <c r="HY1509" s="110"/>
      <c r="HZ1509" s="110"/>
      <c r="IA1509" s="110"/>
      <c r="IB1509" s="110"/>
      <c r="IC1509" s="110"/>
      <c r="ID1509" s="110"/>
      <c r="IE1509" s="110"/>
      <c r="IF1509" s="110"/>
      <c r="IG1509" s="110"/>
      <c r="IH1509" s="110"/>
      <c r="II1509" s="110"/>
      <c r="IJ1509" s="110"/>
      <c r="IK1509" s="110"/>
      <c r="IL1509" s="110"/>
      <c r="IM1509" s="110"/>
      <c r="IN1509" s="110"/>
      <c r="IO1509" s="110"/>
      <c r="IP1509" s="110"/>
      <c r="IQ1509" s="110"/>
      <c r="IR1509" s="110"/>
    </row>
    <row r="1510" spans="18:252" ht="16.5" hidden="1" customHeight="1">
      <c r="R1510" s="264"/>
      <c r="S1510" s="110"/>
      <c r="T1510" s="110"/>
      <c r="U1510" s="110"/>
      <c r="V1510" s="110"/>
      <c r="W1510" s="266"/>
      <c r="X1510" s="110"/>
      <c r="Y1510" s="110"/>
      <c r="Z1510" s="110"/>
      <c r="AA1510" s="110"/>
      <c r="AB1510" s="110"/>
      <c r="AC1510" s="110"/>
      <c r="AD1510" s="110"/>
      <c r="AE1510" s="110"/>
      <c r="AF1510" s="110"/>
      <c r="AG1510" s="110"/>
      <c r="AH1510" s="110"/>
      <c r="AI1510" s="110"/>
      <c r="AJ1510" s="110"/>
      <c r="AK1510" s="110"/>
      <c r="AL1510" s="110"/>
      <c r="AM1510" s="110"/>
      <c r="AN1510" s="110"/>
      <c r="AO1510" s="110"/>
      <c r="AP1510" s="110"/>
      <c r="AQ1510" s="110"/>
      <c r="AR1510" s="110"/>
      <c r="AS1510" s="110"/>
      <c r="AT1510" s="110"/>
      <c r="AU1510" s="110"/>
      <c r="AV1510" s="110"/>
      <c r="AW1510" s="110"/>
      <c r="AX1510" s="110"/>
      <c r="AY1510" s="110"/>
      <c r="AZ1510" s="110"/>
      <c r="BA1510" s="110"/>
      <c r="BB1510" s="110"/>
      <c r="BC1510" s="110"/>
      <c r="BD1510" s="110"/>
      <c r="BE1510" s="110"/>
      <c r="BF1510" s="110"/>
      <c r="BG1510" s="110"/>
      <c r="BH1510" s="110"/>
      <c r="BI1510" s="110"/>
      <c r="BJ1510" s="110"/>
      <c r="BK1510" s="110"/>
      <c r="BL1510" s="110"/>
      <c r="BM1510" s="110"/>
      <c r="BN1510" s="110"/>
      <c r="BO1510" s="110"/>
      <c r="BP1510" s="110"/>
      <c r="BQ1510" s="110"/>
      <c r="BR1510" s="110"/>
      <c r="BS1510" s="110"/>
      <c r="BT1510" s="110"/>
      <c r="BU1510" s="110"/>
      <c r="BV1510" s="110"/>
      <c r="BW1510" s="110"/>
      <c r="BX1510" s="110"/>
      <c r="BY1510" s="110"/>
      <c r="BZ1510" s="110"/>
      <c r="CA1510" s="110"/>
      <c r="CB1510" s="110"/>
      <c r="CC1510" s="110"/>
      <c r="CD1510" s="110"/>
      <c r="CE1510" s="110"/>
      <c r="CF1510" s="110"/>
      <c r="CG1510" s="110"/>
      <c r="CH1510" s="110"/>
      <c r="CI1510" s="110"/>
      <c r="CJ1510" s="110"/>
      <c r="CK1510" s="110"/>
      <c r="CL1510" s="110"/>
      <c r="CM1510" s="110"/>
      <c r="CN1510" s="110"/>
      <c r="CO1510" s="110"/>
      <c r="CP1510" s="110"/>
      <c r="CQ1510" s="110"/>
      <c r="CR1510" s="110"/>
      <c r="CS1510" s="110"/>
      <c r="CT1510" s="110"/>
      <c r="CU1510" s="110"/>
      <c r="CV1510" s="110"/>
      <c r="CW1510" s="110"/>
      <c r="CX1510" s="110"/>
      <c r="CY1510" s="110"/>
      <c r="CZ1510" s="110"/>
      <c r="DA1510" s="110"/>
      <c r="DB1510" s="110"/>
      <c r="DC1510" s="110"/>
      <c r="DD1510" s="110"/>
      <c r="DE1510" s="110"/>
      <c r="DF1510" s="110"/>
      <c r="DG1510" s="110"/>
      <c r="DH1510" s="110"/>
      <c r="DI1510" s="110"/>
      <c r="DJ1510" s="110"/>
      <c r="DK1510" s="110"/>
      <c r="DL1510" s="110"/>
      <c r="DM1510" s="110"/>
      <c r="DN1510" s="110"/>
      <c r="DO1510" s="110"/>
      <c r="DP1510" s="110"/>
      <c r="DQ1510" s="110"/>
      <c r="DR1510" s="110"/>
      <c r="DS1510" s="110"/>
      <c r="DT1510" s="110"/>
      <c r="DU1510" s="110"/>
      <c r="DV1510" s="110"/>
      <c r="DW1510" s="110"/>
      <c r="DX1510" s="110"/>
      <c r="DY1510" s="110"/>
      <c r="DZ1510" s="110"/>
      <c r="EA1510" s="110"/>
      <c r="EB1510" s="110"/>
      <c r="EC1510" s="110"/>
      <c r="ED1510" s="110"/>
      <c r="EF1510" s="264"/>
      <c r="EG1510" s="110"/>
      <c r="EH1510" s="110"/>
      <c r="EI1510" s="110"/>
      <c r="EJ1510" s="110"/>
      <c r="EK1510" s="266"/>
      <c r="EL1510" s="110"/>
      <c r="EM1510" s="110"/>
      <c r="EN1510" s="110"/>
      <c r="EO1510" s="110"/>
      <c r="EP1510" s="110"/>
      <c r="EQ1510" s="110"/>
      <c r="ER1510" s="110"/>
      <c r="ES1510" s="110"/>
      <c r="ET1510" s="110"/>
      <c r="EU1510" s="110"/>
      <c r="EV1510" s="110"/>
      <c r="EW1510" s="110"/>
      <c r="EX1510" s="110"/>
      <c r="EY1510" s="110"/>
      <c r="EZ1510" s="110"/>
      <c r="FA1510" s="110"/>
      <c r="FB1510" s="110"/>
      <c r="FC1510" s="110"/>
      <c r="FD1510" s="110"/>
      <c r="FE1510" s="110"/>
      <c r="FF1510" s="110"/>
      <c r="FG1510" s="110"/>
      <c r="FH1510" s="110"/>
      <c r="FI1510" s="110"/>
      <c r="FJ1510" s="110"/>
      <c r="FK1510" s="110"/>
      <c r="FL1510" s="110"/>
      <c r="FM1510" s="110"/>
      <c r="FN1510" s="110"/>
      <c r="FO1510" s="110"/>
      <c r="FP1510" s="110"/>
      <c r="FQ1510" s="110"/>
      <c r="FR1510" s="110"/>
      <c r="FS1510" s="110"/>
      <c r="FT1510" s="110"/>
      <c r="FU1510" s="110"/>
      <c r="FV1510" s="110"/>
      <c r="FW1510" s="110"/>
      <c r="FX1510" s="110"/>
      <c r="FY1510" s="110"/>
      <c r="FZ1510" s="110"/>
      <c r="GA1510" s="110"/>
      <c r="GB1510" s="110"/>
      <c r="GC1510" s="110"/>
      <c r="GD1510" s="110"/>
      <c r="GE1510" s="110"/>
      <c r="GF1510" s="110"/>
      <c r="GG1510" s="110"/>
      <c r="GH1510" s="110"/>
      <c r="GI1510" s="110"/>
      <c r="GJ1510" s="110"/>
      <c r="GK1510" s="110"/>
      <c r="GL1510" s="110"/>
      <c r="GM1510" s="110"/>
      <c r="GN1510" s="110"/>
      <c r="GO1510" s="110"/>
      <c r="GP1510" s="110"/>
      <c r="GQ1510" s="110"/>
      <c r="GR1510" s="110"/>
      <c r="GS1510" s="110"/>
      <c r="GT1510" s="110"/>
      <c r="GU1510" s="110"/>
      <c r="GV1510" s="110"/>
      <c r="GW1510" s="110"/>
      <c r="GX1510" s="110"/>
      <c r="GY1510" s="110"/>
      <c r="GZ1510" s="110"/>
      <c r="HA1510" s="110"/>
      <c r="HB1510" s="110"/>
      <c r="HC1510" s="110"/>
      <c r="HD1510" s="110"/>
      <c r="HE1510" s="110"/>
      <c r="HF1510" s="110"/>
      <c r="HG1510" s="110"/>
      <c r="HH1510" s="110"/>
      <c r="HI1510" s="110"/>
      <c r="HJ1510" s="110"/>
      <c r="HK1510" s="110"/>
      <c r="HL1510" s="110"/>
      <c r="HM1510" s="110"/>
      <c r="HN1510" s="110"/>
      <c r="HO1510" s="110"/>
      <c r="HP1510" s="110"/>
      <c r="HQ1510" s="110"/>
      <c r="HR1510" s="110"/>
      <c r="HS1510" s="110"/>
      <c r="HT1510" s="110"/>
      <c r="HU1510" s="110"/>
      <c r="HV1510" s="110"/>
      <c r="HW1510" s="110"/>
      <c r="HX1510" s="110"/>
      <c r="HY1510" s="110"/>
      <c r="HZ1510" s="110"/>
      <c r="IA1510" s="110"/>
      <c r="IB1510" s="110"/>
      <c r="IC1510" s="110"/>
      <c r="ID1510" s="110"/>
      <c r="IE1510" s="110"/>
      <c r="IF1510" s="110"/>
      <c r="IG1510" s="110"/>
      <c r="IH1510" s="110"/>
      <c r="II1510" s="110"/>
      <c r="IJ1510" s="110"/>
      <c r="IK1510" s="110"/>
      <c r="IL1510" s="110"/>
      <c r="IM1510" s="110"/>
      <c r="IN1510" s="110"/>
      <c r="IO1510" s="110"/>
      <c r="IP1510" s="110"/>
      <c r="IQ1510" s="110"/>
      <c r="IR1510" s="110"/>
    </row>
    <row r="1511" spans="18:252" ht="16.5" hidden="1" customHeight="1">
      <c r="R1511" s="264"/>
      <c r="S1511" s="110"/>
      <c r="T1511" s="110"/>
      <c r="U1511" s="110"/>
      <c r="V1511" s="110"/>
      <c r="W1511" s="266"/>
      <c r="X1511" s="110"/>
      <c r="Y1511" s="110"/>
      <c r="Z1511" s="110"/>
      <c r="AA1511" s="110"/>
      <c r="AB1511" s="110"/>
      <c r="AC1511" s="110"/>
      <c r="AD1511" s="110"/>
      <c r="AE1511" s="110"/>
      <c r="AF1511" s="110"/>
      <c r="AG1511" s="110"/>
      <c r="AH1511" s="110"/>
      <c r="AI1511" s="110"/>
      <c r="AJ1511" s="110"/>
      <c r="AK1511" s="110"/>
      <c r="AL1511" s="110"/>
      <c r="AM1511" s="110"/>
      <c r="AN1511" s="110"/>
      <c r="AO1511" s="110"/>
      <c r="AP1511" s="110"/>
      <c r="AQ1511" s="110"/>
      <c r="AR1511" s="110"/>
      <c r="AS1511" s="110"/>
      <c r="AT1511" s="110"/>
      <c r="AU1511" s="110"/>
      <c r="AV1511" s="110"/>
      <c r="AW1511" s="110"/>
      <c r="AX1511" s="110"/>
      <c r="AY1511" s="110"/>
      <c r="AZ1511" s="110"/>
      <c r="BA1511" s="110"/>
      <c r="BB1511" s="110"/>
      <c r="BC1511" s="110"/>
      <c r="BD1511" s="110"/>
      <c r="BE1511" s="110"/>
      <c r="BF1511" s="110"/>
      <c r="BG1511" s="110"/>
      <c r="BH1511" s="110"/>
      <c r="BI1511" s="110"/>
      <c r="BJ1511" s="110"/>
      <c r="BK1511" s="110"/>
      <c r="BL1511" s="110"/>
      <c r="BM1511" s="110"/>
      <c r="BN1511" s="110"/>
      <c r="BO1511" s="110"/>
      <c r="BP1511" s="110"/>
      <c r="BQ1511" s="110"/>
      <c r="BR1511" s="110"/>
      <c r="BS1511" s="110"/>
      <c r="BT1511" s="110"/>
      <c r="BU1511" s="110"/>
      <c r="BV1511" s="110"/>
      <c r="BW1511" s="110"/>
      <c r="BX1511" s="110"/>
      <c r="BY1511" s="110"/>
      <c r="BZ1511" s="110"/>
      <c r="CA1511" s="110"/>
      <c r="CB1511" s="110"/>
      <c r="CC1511" s="110"/>
      <c r="CD1511" s="110"/>
      <c r="CE1511" s="110"/>
      <c r="CF1511" s="110"/>
      <c r="CG1511" s="110"/>
      <c r="CH1511" s="110"/>
      <c r="CI1511" s="110"/>
      <c r="CJ1511" s="110"/>
      <c r="CK1511" s="110"/>
      <c r="CL1511" s="110"/>
      <c r="CM1511" s="110"/>
      <c r="CN1511" s="110"/>
      <c r="CO1511" s="110"/>
      <c r="CP1511" s="110"/>
      <c r="CQ1511" s="110"/>
      <c r="CR1511" s="110"/>
      <c r="CS1511" s="110"/>
      <c r="CT1511" s="110"/>
      <c r="CU1511" s="110"/>
      <c r="CV1511" s="110"/>
      <c r="CW1511" s="110"/>
      <c r="CX1511" s="110"/>
      <c r="CY1511" s="110"/>
      <c r="CZ1511" s="110"/>
      <c r="DA1511" s="110"/>
      <c r="DB1511" s="110"/>
      <c r="DC1511" s="110"/>
      <c r="DD1511" s="110"/>
      <c r="DE1511" s="110"/>
      <c r="DF1511" s="110"/>
      <c r="DG1511" s="110"/>
      <c r="DH1511" s="110"/>
      <c r="DI1511" s="110"/>
      <c r="DJ1511" s="110"/>
      <c r="DK1511" s="110"/>
      <c r="DL1511" s="110"/>
      <c r="DM1511" s="110"/>
      <c r="DN1511" s="110"/>
      <c r="DO1511" s="110"/>
      <c r="DP1511" s="110"/>
      <c r="DQ1511" s="110"/>
      <c r="DR1511" s="110"/>
      <c r="DS1511" s="110"/>
      <c r="DT1511" s="110"/>
      <c r="DU1511" s="110"/>
      <c r="DV1511" s="110"/>
      <c r="DW1511" s="110"/>
      <c r="DX1511" s="110"/>
      <c r="DY1511" s="110"/>
      <c r="DZ1511" s="110"/>
      <c r="EA1511" s="110"/>
      <c r="EB1511" s="110"/>
      <c r="EC1511" s="110"/>
      <c r="ED1511" s="110"/>
      <c r="EF1511" s="264"/>
      <c r="EG1511" s="110"/>
      <c r="EH1511" s="110"/>
      <c r="EI1511" s="110"/>
      <c r="EJ1511" s="110"/>
      <c r="EK1511" s="266"/>
      <c r="EL1511" s="110"/>
      <c r="EM1511" s="110"/>
      <c r="EN1511" s="110"/>
      <c r="EO1511" s="110"/>
      <c r="EP1511" s="110"/>
      <c r="EQ1511" s="110"/>
      <c r="ER1511" s="110"/>
      <c r="ES1511" s="110"/>
      <c r="ET1511" s="110"/>
      <c r="EU1511" s="110"/>
      <c r="EV1511" s="110"/>
      <c r="EW1511" s="110"/>
      <c r="EX1511" s="110"/>
      <c r="EY1511" s="110"/>
      <c r="EZ1511" s="110"/>
      <c r="FA1511" s="110"/>
      <c r="FB1511" s="110"/>
      <c r="FC1511" s="110"/>
      <c r="FD1511" s="110"/>
      <c r="FE1511" s="110"/>
      <c r="FF1511" s="110"/>
      <c r="FG1511" s="110"/>
      <c r="FH1511" s="110"/>
      <c r="FI1511" s="110"/>
      <c r="FJ1511" s="110"/>
      <c r="FK1511" s="110"/>
      <c r="FL1511" s="110"/>
      <c r="FM1511" s="110"/>
      <c r="FN1511" s="110"/>
      <c r="FO1511" s="110"/>
      <c r="FP1511" s="110"/>
      <c r="FQ1511" s="110"/>
      <c r="FR1511" s="110"/>
      <c r="FS1511" s="110"/>
      <c r="FT1511" s="110"/>
      <c r="FU1511" s="110"/>
      <c r="FV1511" s="110"/>
      <c r="FW1511" s="110"/>
      <c r="FX1511" s="110"/>
      <c r="FY1511" s="110"/>
      <c r="FZ1511" s="110"/>
      <c r="GA1511" s="110"/>
      <c r="GB1511" s="110"/>
      <c r="GC1511" s="110"/>
      <c r="GD1511" s="110"/>
      <c r="GE1511" s="110"/>
      <c r="GF1511" s="110"/>
      <c r="GG1511" s="110"/>
      <c r="GH1511" s="110"/>
      <c r="GI1511" s="110"/>
      <c r="GJ1511" s="110"/>
      <c r="GK1511" s="110"/>
      <c r="GL1511" s="110"/>
      <c r="GM1511" s="110"/>
      <c r="GN1511" s="110"/>
      <c r="GO1511" s="110"/>
      <c r="GP1511" s="110"/>
      <c r="GQ1511" s="110"/>
      <c r="GR1511" s="110"/>
      <c r="GS1511" s="110"/>
      <c r="GT1511" s="110"/>
      <c r="GU1511" s="110"/>
      <c r="GV1511" s="110"/>
      <c r="GW1511" s="110"/>
      <c r="GX1511" s="110"/>
      <c r="GY1511" s="110"/>
      <c r="GZ1511" s="110"/>
      <c r="HA1511" s="110"/>
      <c r="HB1511" s="110"/>
      <c r="HC1511" s="110"/>
      <c r="HD1511" s="110"/>
      <c r="HE1511" s="110"/>
      <c r="HF1511" s="110"/>
      <c r="HG1511" s="110"/>
      <c r="HH1511" s="110"/>
      <c r="HI1511" s="110"/>
      <c r="HJ1511" s="110"/>
      <c r="HK1511" s="110"/>
      <c r="HL1511" s="110"/>
      <c r="HM1511" s="110"/>
      <c r="HN1511" s="110"/>
      <c r="HO1511" s="110"/>
      <c r="HP1511" s="110"/>
      <c r="HQ1511" s="110"/>
      <c r="HR1511" s="110"/>
      <c r="HS1511" s="110"/>
      <c r="HT1511" s="110"/>
      <c r="HU1511" s="110"/>
      <c r="HV1511" s="110"/>
      <c r="HW1511" s="110"/>
      <c r="HX1511" s="110"/>
      <c r="HY1511" s="110"/>
      <c r="HZ1511" s="110"/>
      <c r="IA1511" s="110"/>
      <c r="IB1511" s="110"/>
      <c r="IC1511" s="110"/>
      <c r="ID1511" s="110"/>
      <c r="IE1511" s="110"/>
      <c r="IF1511" s="110"/>
      <c r="IG1511" s="110"/>
      <c r="IH1511" s="110"/>
      <c r="II1511" s="110"/>
      <c r="IJ1511" s="110"/>
      <c r="IK1511" s="110"/>
      <c r="IL1511" s="110"/>
      <c r="IM1511" s="110"/>
      <c r="IN1511" s="110"/>
      <c r="IO1511" s="110"/>
      <c r="IP1511" s="110"/>
      <c r="IQ1511" s="110"/>
      <c r="IR1511" s="110"/>
    </row>
    <row r="1512" spans="18:252" ht="16.5" hidden="1" customHeight="1">
      <c r="R1512" s="264"/>
      <c r="S1512" s="110"/>
      <c r="T1512" s="110"/>
      <c r="U1512" s="110"/>
      <c r="V1512" s="110"/>
      <c r="W1512" s="266"/>
      <c r="X1512" s="110"/>
      <c r="Y1512" s="110"/>
      <c r="Z1512" s="110"/>
      <c r="AA1512" s="110"/>
      <c r="AB1512" s="110"/>
      <c r="AC1512" s="110"/>
      <c r="AD1512" s="110"/>
      <c r="AE1512" s="110"/>
      <c r="AF1512" s="110"/>
      <c r="AG1512" s="110"/>
      <c r="AH1512" s="110"/>
      <c r="AI1512" s="110"/>
      <c r="AJ1512" s="110"/>
      <c r="AK1512" s="110"/>
      <c r="AL1512" s="110"/>
      <c r="AM1512" s="110"/>
      <c r="AN1512" s="110"/>
      <c r="AO1512" s="110"/>
      <c r="AP1512" s="110"/>
      <c r="AQ1512" s="110"/>
      <c r="AR1512" s="110"/>
      <c r="AS1512" s="110"/>
      <c r="AT1512" s="110"/>
      <c r="AU1512" s="110"/>
      <c r="AV1512" s="110"/>
      <c r="AW1512" s="110"/>
      <c r="AX1512" s="110"/>
      <c r="AY1512" s="110"/>
      <c r="AZ1512" s="110"/>
      <c r="BA1512" s="110"/>
      <c r="BB1512" s="110"/>
      <c r="BC1512" s="110"/>
      <c r="BD1512" s="110"/>
      <c r="BE1512" s="110"/>
      <c r="BF1512" s="110"/>
      <c r="BG1512" s="110"/>
      <c r="BH1512" s="110"/>
      <c r="BI1512" s="110"/>
      <c r="BJ1512" s="110"/>
      <c r="BK1512" s="110"/>
      <c r="BL1512" s="110"/>
      <c r="BM1512" s="110"/>
      <c r="BN1512" s="110"/>
      <c r="BO1512" s="110"/>
      <c r="BP1512" s="110"/>
      <c r="BQ1512" s="110"/>
      <c r="BR1512" s="110"/>
      <c r="BS1512" s="110"/>
      <c r="BT1512" s="110"/>
      <c r="BU1512" s="110"/>
      <c r="BV1512" s="110"/>
      <c r="BW1512" s="110"/>
      <c r="BX1512" s="110"/>
      <c r="BY1512" s="110"/>
      <c r="BZ1512" s="110"/>
      <c r="CA1512" s="110"/>
      <c r="CB1512" s="110"/>
      <c r="CC1512" s="110"/>
      <c r="CD1512" s="110"/>
      <c r="CE1512" s="110"/>
      <c r="CF1512" s="110"/>
      <c r="CG1512" s="110"/>
      <c r="CH1512" s="110"/>
      <c r="CI1512" s="110"/>
      <c r="CJ1512" s="110"/>
      <c r="CK1512" s="110"/>
      <c r="CL1512" s="110"/>
      <c r="CM1512" s="110"/>
      <c r="CN1512" s="110"/>
      <c r="CO1512" s="110"/>
      <c r="CP1512" s="110"/>
      <c r="CQ1512" s="110"/>
      <c r="CR1512" s="110"/>
      <c r="CS1512" s="110"/>
      <c r="CT1512" s="110"/>
      <c r="CU1512" s="110"/>
      <c r="CV1512" s="110"/>
      <c r="CW1512" s="110"/>
      <c r="CX1512" s="110"/>
      <c r="CY1512" s="110"/>
      <c r="CZ1512" s="110"/>
      <c r="DA1512" s="110"/>
      <c r="DB1512" s="110"/>
      <c r="DC1512" s="110"/>
      <c r="DD1512" s="110"/>
      <c r="DE1512" s="110"/>
      <c r="DF1512" s="110"/>
      <c r="DG1512" s="110"/>
      <c r="DH1512" s="110"/>
      <c r="DI1512" s="110"/>
      <c r="DJ1512" s="110"/>
      <c r="DK1512" s="110"/>
      <c r="DL1512" s="110"/>
      <c r="DM1512" s="110"/>
      <c r="DN1512" s="110"/>
      <c r="DO1512" s="110"/>
      <c r="DP1512" s="110"/>
      <c r="DQ1512" s="110"/>
      <c r="DR1512" s="110"/>
      <c r="DS1512" s="110"/>
      <c r="DT1512" s="110"/>
      <c r="DU1512" s="110"/>
      <c r="DV1512" s="110"/>
      <c r="DW1512" s="110"/>
      <c r="DX1512" s="110"/>
      <c r="DY1512" s="110"/>
      <c r="DZ1512" s="110"/>
      <c r="EA1512" s="110"/>
      <c r="EB1512" s="110"/>
      <c r="EC1512" s="110"/>
      <c r="ED1512" s="110"/>
      <c r="EF1512" s="264"/>
      <c r="EG1512" s="110"/>
      <c r="EH1512" s="110"/>
      <c r="EI1512" s="110"/>
      <c r="EJ1512" s="110"/>
      <c r="EK1512" s="266"/>
      <c r="EL1512" s="110"/>
      <c r="EM1512" s="110"/>
      <c r="EN1512" s="110"/>
      <c r="EO1512" s="110"/>
      <c r="EP1512" s="110"/>
      <c r="EQ1512" s="110"/>
      <c r="ER1512" s="110"/>
      <c r="ES1512" s="110"/>
      <c r="ET1512" s="110"/>
      <c r="EU1512" s="110"/>
      <c r="EV1512" s="110"/>
      <c r="EW1512" s="110"/>
      <c r="EX1512" s="110"/>
      <c r="EY1512" s="110"/>
      <c r="EZ1512" s="110"/>
      <c r="FA1512" s="110"/>
      <c r="FB1512" s="110"/>
      <c r="FC1512" s="110"/>
      <c r="FD1512" s="110"/>
      <c r="FE1512" s="110"/>
      <c r="FF1512" s="110"/>
      <c r="FG1512" s="110"/>
      <c r="FH1512" s="110"/>
      <c r="FI1512" s="110"/>
      <c r="FJ1512" s="110"/>
      <c r="FK1512" s="110"/>
      <c r="FL1512" s="110"/>
      <c r="FM1512" s="110"/>
      <c r="FN1512" s="110"/>
      <c r="FO1512" s="110"/>
      <c r="FP1512" s="110"/>
      <c r="FQ1512" s="110"/>
      <c r="FR1512" s="110"/>
      <c r="FS1512" s="110"/>
      <c r="FT1512" s="110"/>
      <c r="FU1512" s="110"/>
      <c r="FV1512" s="110"/>
      <c r="FW1512" s="110"/>
      <c r="FX1512" s="110"/>
      <c r="FY1512" s="110"/>
      <c r="FZ1512" s="110"/>
      <c r="GA1512" s="110"/>
      <c r="GB1512" s="110"/>
      <c r="GC1512" s="110"/>
      <c r="GD1512" s="110"/>
      <c r="GE1512" s="110"/>
      <c r="GF1512" s="110"/>
      <c r="GG1512" s="110"/>
      <c r="GH1512" s="110"/>
      <c r="GI1512" s="110"/>
      <c r="GJ1512" s="110"/>
      <c r="GK1512" s="110"/>
      <c r="GL1512" s="110"/>
      <c r="GM1512" s="110"/>
      <c r="GN1512" s="110"/>
      <c r="GO1512" s="110"/>
      <c r="GP1512" s="110"/>
      <c r="GQ1512" s="110"/>
      <c r="GR1512" s="110"/>
      <c r="GS1512" s="110"/>
      <c r="GT1512" s="110"/>
      <c r="GU1512" s="110"/>
      <c r="GV1512" s="110"/>
      <c r="GW1512" s="110"/>
      <c r="GX1512" s="110"/>
      <c r="GY1512" s="110"/>
      <c r="GZ1512" s="110"/>
      <c r="HA1512" s="110"/>
      <c r="HB1512" s="110"/>
      <c r="HC1512" s="110"/>
      <c r="HD1512" s="110"/>
      <c r="HE1512" s="110"/>
      <c r="HF1512" s="110"/>
      <c r="HG1512" s="110"/>
      <c r="HH1512" s="110"/>
      <c r="HI1512" s="110"/>
      <c r="HJ1512" s="110"/>
      <c r="HK1512" s="110"/>
      <c r="HL1512" s="110"/>
      <c r="HM1512" s="110"/>
      <c r="HN1512" s="110"/>
      <c r="HO1512" s="110"/>
      <c r="HP1512" s="110"/>
      <c r="HQ1512" s="110"/>
      <c r="HR1512" s="110"/>
      <c r="HS1512" s="110"/>
      <c r="HT1512" s="110"/>
      <c r="HU1512" s="110"/>
      <c r="HV1512" s="110"/>
      <c r="HW1512" s="110"/>
      <c r="HX1512" s="110"/>
      <c r="HY1512" s="110"/>
      <c r="HZ1512" s="110"/>
      <c r="IA1512" s="110"/>
      <c r="IB1512" s="110"/>
      <c r="IC1512" s="110"/>
      <c r="ID1512" s="110"/>
      <c r="IE1512" s="110"/>
      <c r="IF1512" s="110"/>
      <c r="IG1512" s="110"/>
      <c r="IH1512" s="110"/>
      <c r="II1512" s="110"/>
      <c r="IJ1512" s="110"/>
      <c r="IK1512" s="110"/>
      <c r="IL1512" s="110"/>
      <c r="IM1512" s="110"/>
      <c r="IN1512" s="110"/>
      <c r="IO1512" s="110"/>
      <c r="IP1512" s="110"/>
      <c r="IQ1512" s="110"/>
      <c r="IR1512" s="110"/>
    </row>
    <row r="1513" spans="18:252" ht="16.5" hidden="1" customHeight="1">
      <c r="R1513" s="264"/>
      <c r="S1513" s="110"/>
      <c r="T1513" s="110"/>
      <c r="U1513" s="110"/>
      <c r="V1513" s="110"/>
      <c r="W1513" s="266"/>
      <c r="X1513" s="110"/>
      <c r="Y1513" s="110"/>
      <c r="Z1513" s="110"/>
      <c r="AA1513" s="110"/>
      <c r="AB1513" s="110"/>
      <c r="AC1513" s="110"/>
      <c r="AD1513" s="110"/>
      <c r="AE1513" s="110"/>
      <c r="AF1513" s="110"/>
      <c r="AG1513" s="110"/>
      <c r="AH1513" s="110"/>
      <c r="AI1513" s="110"/>
      <c r="AJ1513" s="110"/>
      <c r="AK1513" s="110"/>
      <c r="AL1513" s="110"/>
      <c r="AM1513" s="110"/>
      <c r="AN1513" s="110"/>
      <c r="AO1513" s="110"/>
      <c r="AP1513" s="110"/>
      <c r="AQ1513" s="110"/>
      <c r="AR1513" s="110"/>
      <c r="AS1513" s="110"/>
      <c r="AT1513" s="110"/>
      <c r="AU1513" s="110"/>
      <c r="AV1513" s="110"/>
      <c r="AW1513" s="110"/>
      <c r="AX1513" s="110"/>
      <c r="AY1513" s="110"/>
      <c r="AZ1513" s="110"/>
      <c r="BA1513" s="110"/>
      <c r="BB1513" s="110"/>
      <c r="BC1513" s="110"/>
      <c r="BD1513" s="110"/>
      <c r="BE1513" s="110"/>
      <c r="BF1513" s="110"/>
      <c r="BG1513" s="110"/>
      <c r="BH1513" s="110"/>
      <c r="BI1513" s="110"/>
      <c r="BJ1513" s="110"/>
      <c r="BK1513" s="110"/>
      <c r="BL1513" s="110"/>
      <c r="BM1513" s="110"/>
      <c r="BN1513" s="110"/>
      <c r="BO1513" s="110"/>
      <c r="BP1513" s="110"/>
      <c r="BQ1513" s="110"/>
      <c r="BR1513" s="110"/>
      <c r="BS1513" s="110"/>
      <c r="BT1513" s="110"/>
      <c r="BU1513" s="110"/>
      <c r="BV1513" s="110"/>
      <c r="BW1513" s="110"/>
      <c r="BX1513" s="110"/>
      <c r="BY1513" s="110"/>
      <c r="BZ1513" s="110"/>
      <c r="CA1513" s="110"/>
      <c r="CB1513" s="110"/>
      <c r="CC1513" s="110"/>
      <c r="CD1513" s="110"/>
      <c r="CE1513" s="110"/>
      <c r="CF1513" s="110"/>
      <c r="CG1513" s="110"/>
      <c r="CH1513" s="110"/>
      <c r="CI1513" s="110"/>
      <c r="CJ1513" s="110"/>
      <c r="CK1513" s="110"/>
      <c r="CL1513" s="110"/>
      <c r="CM1513" s="110"/>
      <c r="CN1513" s="110"/>
      <c r="CO1513" s="110"/>
      <c r="CP1513" s="110"/>
      <c r="CQ1513" s="110"/>
      <c r="CR1513" s="110"/>
      <c r="CS1513" s="110"/>
      <c r="CT1513" s="110"/>
      <c r="CU1513" s="110"/>
      <c r="CV1513" s="110"/>
      <c r="CW1513" s="110"/>
      <c r="CX1513" s="110"/>
      <c r="CY1513" s="110"/>
      <c r="CZ1513" s="110"/>
      <c r="DA1513" s="110"/>
      <c r="DB1513" s="110"/>
      <c r="DC1513" s="110"/>
      <c r="DD1513" s="110"/>
      <c r="DE1513" s="110"/>
      <c r="DF1513" s="110"/>
      <c r="DG1513" s="110"/>
      <c r="DH1513" s="110"/>
      <c r="DI1513" s="110"/>
      <c r="DJ1513" s="110"/>
      <c r="DK1513" s="110"/>
      <c r="DL1513" s="110"/>
      <c r="DM1513" s="110"/>
      <c r="DN1513" s="110"/>
      <c r="DO1513" s="110"/>
      <c r="DP1513" s="110"/>
      <c r="DQ1513" s="110"/>
      <c r="DR1513" s="110"/>
      <c r="DS1513" s="110"/>
      <c r="DT1513" s="110"/>
      <c r="DU1513" s="110"/>
      <c r="DV1513" s="110"/>
      <c r="DW1513" s="110"/>
      <c r="DX1513" s="110"/>
      <c r="DY1513" s="110"/>
      <c r="DZ1513" s="110"/>
      <c r="EA1513" s="110"/>
      <c r="EB1513" s="110"/>
      <c r="EC1513" s="110"/>
      <c r="ED1513" s="110"/>
      <c r="EF1513" s="264"/>
      <c r="EG1513" s="110"/>
      <c r="EH1513" s="110"/>
      <c r="EI1513" s="110"/>
      <c r="EJ1513" s="110"/>
      <c r="EK1513" s="266"/>
      <c r="EL1513" s="110"/>
      <c r="EM1513" s="110"/>
      <c r="EN1513" s="110"/>
      <c r="EO1513" s="110"/>
      <c r="EP1513" s="110"/>
      <c r="EQ1513" s="110"/>
      <c r="ER1513" s="110"/>
      <c r="ES1513" s="110"/>
      <c r="ET1513" s="110"/>
      <c r="EU1513" s="110"/>
      <c r="EV1513" s="110"/>
      <c r="EW1513" s="110"/>
      <c r="EX1513" s="110"/>
      <c r="EY1513" s="110"/>
      <c r="EZ1513" s="110"/>
      <c r="FA1513" s="110"/>
      <c r="FB1513" s="110"/>
      <c r="FC1513" s="110"/>
      <c r="FD1513" s="110"/>
      <c r="FE1513" s="110"/>
      <c r="FF1513" s="110"/>
      <c r="FG1513" s="110"/>
      <c r="FH1513" s="110"/>
      <c r="FI1513" s="110"/>
      <c r="FJ1513" s="110"/>
      <c r="FK1513" s="110"/>
      <c r="FL1513" s="110"/>
      <c r="FM1513" s="110"/>
      <c r="FN1513" s="110"/>
      <c r="FO1513" s="110"/>
      <c r="FP1513" s="110"/>
      <c r="FQ1513" s="110"/>
      <c r="FR1513" s="110"/>
      <c r="FS1513" s="110"/>
      <c r="FT1513" s="110"/>
      <c r="FU1513" s="110"/>
      <c r="FV1513" s="110"/>
      <c r="FW1513" s="110"/>
      <c r="FX1513" s="110"/>
      <c r="FY1513" s="110"/>
      <c r="FZ1513" s="110"/>
      <c r="GA1513" s="110"/>
      <c r="GB1513" s="110"/>
      <c r="GC1513" s="110"/>
      <c r="GD1513" s="110"/>
      <c r="GE1513" s="110"/>
      <c r="GF1513" s="110"/>
      <c r="GG1513" s="110"/>
      <c r="GH1513" s="110"/>
      <c r="GI1513" s="110"/>
      <c r="GJ1513" s="110"/>
      <c r="GK1513" s="110"/>
      <c r="GL1513" s="110"/>
      <c r="GM1513" s="110"/>
      <c r="GN1513" s="110"/>
      <c r="GO1513" s="110"/>
      <c r="GP1513" s="110"/>
      <c r="GQ1513" s="110"/>
      <c r="GR1513" s="110"/>
      <c r="GS1513" s="110"/>
      <c r="GT1513" s="110"/>
      <c r="GU1513" s="110"/>
      <c r="GV1513" s="110"/>
      <c r="GW1513" s="110"/>
      <c r="GX1513" s="110"/>
      <c r="GY1513" s="110"/>
      <c r="GZ1513" s="110"/>
      <c r="HA1513" s="110"/>
      <c r="HB1513" s="110"/>
      <c r="HC1513" s="110"/>
      <c r="HD1513" s="110"/>
      <c r="HE1513" s="110"/>
      <c r="HF1513" s="110"/>
      <c r="HG1513" s="110"/>
      <c r="HH1513" s="110"/>
      <c r="HI1513" s="110"/>
      <c r="HJ1513" s="110"/>
      <c r="HK1513" s="110"/>
      <c r="HL1513" s="110"/>
      <c r="HM1513" s="110"/>
      <c r="HN1513" s="110"/>
      <c r="HO1513" s="110"/>
      <c r="HP1513" s="110"/>
      <c r="HQ1513" s="110"/>
      <c r="HR1513" s="110"/>
      <c r="HS1513" s="110"/>
      <c r="HT1513" s="110"/>
      <c r="HU1513" s="110"/>
      <c r="HV1513" s="110"/>
      <c r="HW1513" s="110"/>
      <c r="HX1513" s="110"/>
      <c r="HY1513" s="110"/>
      <c r="HZ1513" s="110"/>
      <c r="IA1513" s="110"/>
      <c r="IB1513" s="110"/>
      <c r="IC1513" s="110"/>
      <c r="ID1513" s="110"/>
      <c r="IE1513" s="110"/>
      <c r="IF1513" s="110"/>
      <c r="IG1513" s="110"/>
      <c r="IH1513" s="110"/>
      <c r="II1513" s="110"/>
      <c r="IJ1513" s="110"/>
      <c r="IK1513" s="110"/>
      <c r="IL1513" s="110"/>
      <c r="IM1513" s="110"/>
      <c r="IN1513" s="110"/>
      <c r="IO1513" s="110"/>
      <c r="IP1513" s="110"/>
      <c r="IQ1513" s="110"/>
      <c r="IR1513" s="110"/>
    </row>
    <row r="1514" spans="18:252" ht="16.5" hidden="1" customHeight="1">
      <c r="R1514" s="264"/>
      <c r="S1514" s="110"/>
      <c r="T1514" s="110"/>
      <c r="U1514" s="110"/>
      <c r="V1514" s="110"/>
      <c r="W1514" s="266"/>
      <c r="X1514" s="110"/>
      <c r="Y1514" s="110"/>
      <c r="Z1514" s="110"/>
      <c r="AA1514" s="110"/>
      <c r="AB1514" s="110"/>
      <c r="AC1514" s="110"/>
      <c r="AD1514" s="110"/>
      <c r="AE1514" s="110"/>
      <c r="AF1514" s="110"/>
      <c r="AG1514" s="110"/>
      <c r="AH1514" s="110"/>
      <c r="AI1514" s="110"/>
      <c r="AJ1514" s="110"/>
      <c r="AK1514" s="110"/>
      <c r="AL1514" s="110"/>
      <c r="AM1514" s="110"/>
      <c r="AN1514" s="110"/>
      <c r="AO1514" s="110"/>
      <c r="AP1514" s="110"/>
      <c r="AQ1514" s="110"/>
      <c r="AR1514" s="110"/>
      <c r="AS1514" s="110"/>
      <c r="AT1514" s="110"/>
      <c r="AU1514" s="110"/>
      <c r="AV1514" s="110"/>
      <c r="AW1514" s="110"/>
      <c r="AX1514" s="110"/>
      <c r="AY1514" s="110"/>
      <c r="AZ1514" s="110"/>
      <c r="BA1514" s="110"/>
      <c r="BB1514" s="110"/>
      <c r="BC1514" s="110"/>
      <c r="BD1514" s="110"/>
      <c r="BE1514" s="110"/>
      <c r="BF1514" s="110"/>
      <c r="BG1514" s="110"/>
      <c r="BH1514" s="110"/>
      <c r="BI1514" s="110"/>
      <c r="BJ1514" s="110"/>
      <c r="BK1514" s="110"/>
      <c r="BL1514" s="110"/>
      <c r="BM1514" s="110"/>
      <c r="BN1514" s="110"/>
      <c r="BO1514" s="110"/>
      <c r="BP1514" s="110"/>
      <c r="BQ1514" s="110"/>
      <c r="BR1514" s="110"/>
      <c r="BS1514" s="110"/>
      <c r="BT1514" s="110"/>
      <c r="BU1514" s="110"/>
      <c r="BV1514" s="110"/>
      <c r="BW1514" s="110"/>
      <c r="BX1514" s="110"/>
      <c r="BY1514" s="110"/>
      <c r="BZ1514" s="110"/>
      <c r="CA1514" s="110"/>
      <c r="CB1514" s="110"/>
      <c r="CC1514" s="110"/>
      <c r="CD1514" s="110"/>
      <c r="CE1514" s="110"/>
      <c r="CF1514" s="110"/>
      <c r="CG1514" s="110"/>
      <c r="CH1514" s="110"/>
      <c r="CI1514" s="110"/>
      <c r="CJ1514" s="110"/>
      <c r="CK1514" s="110"/>
      <c r="CL1514" s="110"/>
      <c r="CM1514" s="110"/>
      <c r="CN1514" s="110"/>
      <c r="CO1514" s="110"/>
      <c r="CP1514" s="110"/>
      <c r="CQ1514" s="110"/>
      <c r="CR1514" s="110"/>
      <c r="CS1514" s="110"/>
      <c r="CT1514" s="110"/>
      <c r="CU1514" s="110"/>
      <c r="CV1514" s="110"/>
      <c r="CW1514" s="110"/>
      <c r="CX1514" s="110"/>
      <c r="CY1514" s="110"/>
      <c r="CZ1514" s="110"/>
      <c r="DA1514" s="110"/>
      <c r="DB1514" s="110"/>
      <c r="DC1514" s="110"/>
      <c r="DD1514" s="110"/>
      <c r="DE1514" s="110"/>
      <c r="DF1514" s="110"/>
      <c r="DG1514" s="110"/>
      <c r="DH1514" s="110"/>
      <c r="DI1514" s="110"/>
      <c r="DJ1514" s="110"/>
      <c r="DK1514" s="110"/>
      <c r="DL1514" s="110"/>
      <c r="DM1514" s="110"/>
      <c r="DN1514" s="110"/>
      <c r="DO1514" s="110"/>
      <c r="DP1514" s="110"/>
      <c r="DQ1514" s="110"/>
      <c r="DR1514" s="110"/>
      <c r="DS1514" s="110"/>
      <c r="DT1514" s="110"/>
      <c r="DU1514" s="110"/>
      <c r="DV1514" s="110"/>
      <c r="DW1514" s="110"/>
      <c r="DX1514" s="110"/>
      <c r="DY1514" s="110"/>
      <c r="DZ1514" s="110"/>
      <c r="EA1514" s="110"/>
      <c r="EB1514" s="110"/>
      <c r="EC1514" s="110"/>
      <c r="ED1514" s="110"/>
      <c r="EF1514" s="264"/>
      <c r="EG1514" s="110"/>
      <c r="EH1514" s="110"/>
      <c r="EI1514" s="110"/>
      <c r="EJ1514" s="110"/>
      <c r="EK1514" s="266"/>
      <c r="EL1514" s="110"/>
      <c r="EM1514" s="110"/>
      <c r="EN1514" s="110"/>
      <c r="EO1514" s="110"/>
      <c r="EP1514" s="110"/>
      <c r="EQ1514" s="110"/>
      <c r="ER1514" s="110"/>
      <c r="ES1514" s="110"/>
      <c r="ET1514" s="110"/>
      <c r="EU1514" s="110"/>
      <c r="EV1514" s="110"/>
      <c r="EW1514" s="110"/>
      <c r="EX1514" s="110"/>
      <c r="EY1514" s="110"/>
      <c r="EZ1514" s="110"/>
      <c r="FA1514" s="110"/>
      <c r="FB1514" s="110"/>
      <c r="FC1514" s="110"/>
      <c r="FD1514" s="110"/>
      <c r="FE1514" s="110"/>
      <c r="FF1514" s="110"/>
      <c r="FG1514" s="110"/>
      <c r="FH1514" s="110"/>
      <c r="FI1514" s="110"/>
      <c r="FJ1514" s="110"/>
      <c r="FK1514" s="110"/>
      <c r="FL1514" s="110"/>
      <c r="FM1514" s="110"/>
      <c r="FN1514" s="110"/>
      <c r="FO1514" s="110"/>
      <c r="FP1514" s="110"/>
      <c r="FQ1514" s="110"/>
      <c r="FR1514" s="110"/>
      <c r="FS1514" s="110"/>
      <c r="FT1514" s="110"/>
      <c r="FU1514" s="110"/>
      <c r="FV1514" s="110"/>
      <c r="FW1514" s="110"/>
      <c r="FX1514" s="110"/>
      <c r="FY1514" s="110"/>
      <c r="FZ1514" s="110"/>
      <c r="GA1514" s="110"/>
      <c r="GB1514" s="110"/>
      <c r="GC1514" s="110"/>
      <c r="GD1514" s="110"/>
      <c r="GE1514" s="110"/>
      <c r="GF1514" s="110"/>
      <c r="GG1514" s="110"/>
      <c r="GH1514" s="110"/>
      <c r="GI1514" s="110"/>
      <c r="GJ1514" s="110"/>
      <c r="GK1514" s="110"/>
      <c r="GL1514" s="110"/>
      <c r="GM1514" s="110"/>
      <c r="GN1514" s="110"/>
      <c r="GO1514" s="110"/>
      <c r="GP1514" s="110"/>
      <c r="GQ1514" s="110"/>
      <c r="GR1514" s="110"/>
      <c r="GS1514" s="110"/>
      <c r="GT1514" s="110"/>
      <c r="GU1514" s="110"/>
      <c r="GV1514" s="110"/>
      <c r="GW1514" s="110"/>
      <c r="GX1514" s="110"/>
      <c r="GY1514" s="110"/>
      <c r="GZ1514" s="110"/>
      <c r="HA1514" s="110"/>
      <c r="HB1514" s="110"/>
      <c r="HC1514" s="110"/>
      <c r="HD1514" s="110"/>
      <c r="HE1514" s="110"/>
      <c r="HF1514" s="110"/>
      <c r="HG1514" s="110"/>
      <c r="HH1514" s="110"/>
      <c r="HI1514" s="110"/>
      <c r="HJ1514" s="110"/>
      <c r="HK1514" s="110"/>
      <c r="HL1514" s="110"/>
      <c r="HM1514" s="110"/>
      <c r="HN1514" s="110"/>
      <c r="HO1514" s="110"/>
      <c r="HP1514" s="110"/>
      <c r="HQ1514" s="110"/>
      <c r="HR1514" s="110"/>
      <c r="HS1514" s="110"/>
      <c r="HT1514" s="110"/>
      <c r="HU1514" s="110"/>
      <c r="HV1514" s="110"/>
      <c r="HW1514" s="110"/>
      <c r="HX1514" s="110"/>
      <c r="HY1514" s="110"/>
      <c r="HZ1514" s="110"/>
      <c r="IA1514" s="110"/>
      <c r="IB1514" s="110"/>
      <c r="IC1514" s="110"/>
      <c r="ID1514" s="110"/>
      <c r="IE1514" s="110"/>
      <c r="IF1514" s="110"/>
      <c r="IG1514" s="110"/>
      <c r="IH1514" s="110"/>
      <c r="II1514" s="110"/>
      <c r="IJ1514" s="110"/>
      <c r="IK1514" s="110"/>
      <c r="IL1514" s="110"/>
      <c r="IM1514" s="110"/>
      <c r="IN1514" s="110"/>
      <c r="IO1514" s="110"/>
      <c r="IP1514" s="110"/>
      <c r="IQ1514" s="110"/>
      <c r="IR1514" s="110"/>
    </row>
    <row r="1515" spans="18:252" ht="16.5" hidden="1" customHeight="1">
      <c r="R1515" s="264"/>
      <c r="S1515" s="110"/>
      <c r="T1515" s="110"/>
      <c r="U1515" s="110"/>
      <c r="V1515" s="110"/>
      <c r="W1515" s="266"/>
      <c r="X1515" s="110"/>
      <c r="Y1515" s="110"/>
      <c r="Z1515" s="110"/>
      <c r="AA1515" s="110"/>
      <c r="AB1515" s="110"/>
      <c r="AC1515" s="110"/>
      <c r="AD1515" s="110"/>
      <c r="AE1515" s="110"/>
      <c r="AF1515" s="110"/>
      <c r="AG1515" s="110"/>
      <c r="AH1515" s="110"/>
      <c r="AI1515" s="110"/>
      <c r="AJ1515" s="110"/>
      <c r="AK1515" s="110"/>
      <c r="AL1515" s="110"/>
      <c r="AM1515" s="110"/>
      <c r="AN1515" s="110"/>
      <c r="AO1515" s="110"/>
      <c r="AP1515" s="110"/>
      <c r="AQ1515" s="110"/>
      <c r="AR1515" s="110"/>
      <c r="AS1515" s="110"/>
      <c r="AT1515" s="110"/>
      <c r="AU1515" s="110"/>
      <c r="AV1515" s="110"/>
      <c r="AW1515" s="110"/>
      <c r="AX1515" s="110"/>
      <c r="AY1515" s="110"/>
      <c r="AZ1515" s="110"/>
      <c r="BA1515" s="110"/>
      <c r="BB1515" s="110"/>
      <c r="BC1515" s="110"/>
      <c r="BD1515" s="110"/>
      <c r="BE1515" s="110"/>
      <c r="BF1515" s="110"/>
      <c r="BG1515" s="110"/>
      <c r="BH1515" s="110"/>
      <c r="BI1515" s="110"/>
      <c r="BJ1515" s="110"/>
      <c r="BK1515" s="110"/>
      <c r="BL1515" s="110"/>
      <c r="BM1515" s="110"/>
      <c r="BN1515" s="110"/>
      <c r="BO1515" s="110"/>
      <c r="BP1515" s="110"/>
      <c r="BQ1515" s="110"/>
      <c r="BR1515" s="110"/>
      <c r="BS1515" s="110"/>
      <c r="BT1515" s="110"/>
      <c r="BU1515" s="110"/>
      <c r="BV1515" s="110"/>
      <c r="BW1515" s="110"/>
      <c r="BX1515" s="110"/>
      <c r="BY1515" s="110"/>
      <c r="BZ1515" s="110"/>
      <c r="CA1515" s="110"/>
      <c r="CB1515" s="110"/>
      <c r="CC1515" s="110"/>
      <c r="CD1515" s="110"/>
      <c r="CE1515" s="110"/>
      <c r="CF1515" s="110"/>
      <c r="CG1515" s="110"/>
      <c r="CH1515" s="110"/>
      <c r="CI1515" s="110"/>
      <c r="CJ1515" s="110"/>
      <c r="CK1515" s="110"/>
      <c r="CL1515" s="110"/>
      <c r="CM1515" s="110"/>
      <c r="CN1515" s="110"/>
      <c r="CO1515" s="110"/>
      <c r="CP1515" s="110"/>
      <c r="CQ1515" s="110"/>
      <c r="CR1515" s="110"/>
      <c r="CS1515" s="110"/>
      <c r="CT1515" s="110"/>
      <c r="CU1515" s="110"/>
      <c r="CV1515" s="110"/>
      <c r="CW1515" s="110"/>
      <c r="CX1515" s="110"/>
      <c r="CY1515" s="110"/>
      <c r="CZ1515" s="110"/>
      <c r="DA1515" s="110"/>
      <c r="DB1515" s="110"/>
      <c r="DC1515" s="110"/>
      <c r="DD1515" s="110"/>
      <c r="DE1515" s="110"/>
      <c r="DF1515" s="110"/>
      <c r="DG1515" s="110"/>
      <c r="DH1515" s="110"/>
      <c r="DI1515" s="110"/>
      <c r="DJ1515" s="110"/>
      <c r="DK1515" s="110"/>
      <c r="DL1515" s="110"/>
      <c r="DM1515" s="110"/>
      <c r="DN1515" s="110"/>
      <c r="DO1515" s="110"/>
      <c r="DP1515" s="110"/>
      <c r="DQ1515" s="110"/>
      <c r="DR1515" s="110"/>
      <c r="DS1515" s="110"/>
      <c r="DT1515" s="110"/>
      <c r="DU1515" s="110"/>
      <c r="DV1515" s="110"/>
      <c r="DW1515" s="110"/>
      <c r="DX1515" s="110"/>
      <c r="DY1515" s="110"/>
      <c r="DZ1515" s="110"/>
      <c r="EA1515" s="110"/>
      <c r="EB1515" s="110"/>
      <c r="EC1515" s="110"/>
      <c r="ED1515" s="110"/>
      <c r="EF1515" s="264"/>
      <c r="EG1515" s="110"/>
      <c r="EH1515" s="110"/>
      <c r="EI1515" s="110"/>
      <c r="EJ1515" s="110"/>
      <c r="EK1515" s="266"/>
      <c r="EL1515" s="110"/>
      <c r="EM1515" s="110"/>
      <c r="EN1515" s="110"/>
      <c r="EO1515" s="110"/>
      <c r="EP1515" s="110"/>
      <c r="EQ1515" s="110"/>
      <c r="ER1515" s="110"/>
      <c r="ES1515" s="110"/>
      <c r="ET1515" s="110"/>
      <c r="EU1515" s="110"/>
      <c r="EV1515" s="110"/>
      <c r="EW1515" s="110"/>
      <c r="EX1515" s="110"/>
      <c r="EY1515" s="110"/>
      <c r="EZ1515" s="110"/>
      <c r="FA1515" s="110"/>
      <c r="FB1515" s="110"/>
      <c r="FC1515" s="110"/>
      <c r="FD1515" s="110"/>
      <c r="FE1515" s="110"/>
      <c r="FF1515" s="110"/>
      <c r="FG1515" s="110"/>
      <c r="FH1515" s="110"/>
      <c r="FI1515" s="110"/>
      <c r="FJ1515" s="110"/>
      <c r="FK1515" s="110"/>
      <c r="FL1515" s="110"/>
      <c r="FM1515" s="110"/>
      <c r="FN1515" s="110"/>
      <c r="FO1515" s="110"/>
      <c r="FP1515" s="110"/>
      <c r="FQ1515" s="110"/>
      <c r="FR1515" s="110"/>
      <c r="FS1515" s="110"/>
      <c r="FT1515" s="110"/>
      <c r="FU1515" s="110"/>
      <c r="FV1515" s="110"/>
      <c r="FW1515" s="110"/>
      <c r="FX1515" s="110"/>
      <c r="FY1515" s="110"/>
      <c r="FZ1515" s="110"/>
      <c r="GA1515" s="110"/>
      <c r="GB1515" s="110"/>
      <c r="GC1515" s="110"/>
      <c r="GD1515" s="110"/>
      <c r="GE1515" s="110"/>
      <c r="GF1515" s="110"/>
      <c r="GG1515" s="110"/>
      <c r="GH1515" s="110"/>
      <c r="GI1515" s="110"/>
      <c r="GJ1515" s="110"/>
      <c r="GK1515" s="110"/>
      <c r="GL1515" s="110"/>
      <c r="GM1515" s="110"/>
      <c r="GN1515" s="110"/>
      <c r="GO1515" s="110"/>
      <c r="GP1515" s="110"/>
      <c r="GQ1515" s="110"/>
      <c r="GR1515" s="110"/>
      <c r="GS1515" s="110"/>
      <c r="GT1515" s="110"/>
      <c r="GU1515" s="110"/>
      <c r="GV1515" s="110"/>
      <c r="GW1515" s="110"/>
      <c r="GX1515" s="110"/>
      <c r="GY1515" s="110"/>
      <c r="GZ1515" s="110"/>
      <c r="HA1515" s="110"/>
      <c r="HB1515" s="110"/>
      <c r="HC1515" s="110"/>
      <c r="HD1515" s="110"/>
      <c r="HE1515" s="110"/>
      <c r="HF1515" s="110"/>
      <c r="HG1515" s="110"/>
      <c r="HH1515" s="110"/>
      <c r="HI1515" s="110"/>
      <c r="HJ1515" s="110"/>
      <c r="HK1515" s="110"/>
      <c r="HL1515" s="110"/>
      <c r="HM1515" s="110"/>
      <c r="HN1515" s="110"/>
      <c r="HO1515" s="110"/>
      <c r="HP1515" s="110"/>
      <c r="HQ1515" s="110"/>
      <c r="HR1515" s="110"/>
      <c r="HS1515" s="110"/>
      <c r="HT1515" s="110"/>
      <c r="HU1515" s="110"/>
      <c r="HV1515" s="110"/>
      <c r="HW1515" s="110"/>
      <c r="HX1515" s="110"/>
      <c r="HY1515" s="110"/>
      <c r="HZ1515" s="110"/>
      <c r="IA1515" s="110"/>
      <c r="IB1515" s="110"/>
      <c r="IC1515" s="110"/>
      <c r="ID1515" s="110"/>
      <c r="IE1515" s="110"/>
      <c r="IF1515" s="110"/>
      <c r="IG1515" s="110"/>
      <c r="IH1515" s="110"/>
      <c r="II1515" s="110"/>
      <c r="IJ1515" s="110"/>
      <c r="IK1515" s="110"/>
      <c r="IL1515" s="110"/>
      <c r="IM1515" s="110"/>
      <c r="IN1515" s="110"/>
      <c r="IO1515" s="110"/>
      <c r="IP1515" s="110"/>
      <c r="IQ1515" s="110"/>
      <c r="IR1515" s="110"/>
    </row>
    <row r="1516" spans="18:252" ht="16.5" hidden="1" customHeight="1">
      <c r="R1516" s="264"/>
      <c r="S1516" s="110"/>
      <c r="T1516" s="110"/>
      <c r="U1516" s="110"/>
      <c r="V1516" s="110"/>
      <c r="W1516" s="266"/>
      <c r="X1516" s="110"/>
      <c r="Y1516" s="110"/>
      <c r="Z1516" s="110"/>
      <c r="AA1516" s="110"/>
      <c r="AB1516" s="110"/>
      <c r="AC1516" s="110"/>
      <c r="AD1516" s="110"/>
      <c r="AE1516" s="110"/>
      <c r="AF1516" s="110"/>
      <c r="AG1516" s="110"/>
      <c r="AH1516" s="110"/>
      <c r="AI1516" s="110"/>
      <c r="AJ1516" s="110"/>
      <c r="AK1516" s="110"/>
      <c r="AL1516" s="110"/>
      <c r="AM1516" s="110"/>
      <c r="AN1516" s="110"/>
      <c r="AO1516" s="110"/>
      <c r="AP1516" s="110"/>
      <c r="AQ1516" s="110"/>
      <c r="AR1516" s="110"/>
      <c r="AS1516" s="110"/>
      <c r="AT1516" s="110"/>
      <c r="AU1516" s="110"/>
      <c r="AV1516" s="110"/>
      <c r="AW1516" s="110"/>
      <c r="AX1516" s="110"/>
      <c r="AY1516" s="110"/>
      <c r="AZ1516" s="110"/>
      <c r="BA1516" s="110"/>
      <c r="BB1516" s="110"/>
      <c r="BC1516" s="110"/>
      <c r="BD1516" s="110"/>
      <c r="BE1516" s="110"/>
      <c r="BF1516" s="110"/>
      <c r="BG1516" s="110"/>
      <c r="BH1516" s="110"/>
      <c r="BI1516" s="110"/>
      <c r="BJ1516" s="110"/>
      <c r="BK1516" s="110"/>
      <c r="BL1516" s="110"/>
      <c r="BM1516" s="110"/>
      <c r="BN1516" s="110"/>
      <c r="BO1516" s="110"/>
      <c r="BP1516" s="110"/>
      <c r="BQ1516" s="110"/>
      <c r="BR1516" s="110"/>
      <c r="BS1516" s="110"/>
      <c r="BT1516" s="110"/>
      <c r="BU1516" s="110"/>
      <c r="BV1516" s="110"/>
      <c r="BW1516" s="110"/>
      <c r="BX1516" s="110"/>
      <c r="BY1516" s="110"/>
      <c r="BZ1516" s="110"/>
      <c r="CA1516" s="110"/>
      <c r="CB1516" s="110"/>
      <c r="CC1516" s="110"/>
      <c r="CD1516" s="110"/>
      <c r="CE1516" s="110"/>
      <c r="CF1516" s="110"/>
      <c r="CG1516" s="110"/>
      <c r="CH1516" s="110"/>
      <c r="CI1516" s="110"/>
      <c r="CJ1516" s="110"/>
      <c r="CK1516" s="110"/>
      <c r="CL1516" s="110"/>
      <c r="CM1516" s="110"/>
      <c r="CN1516" s="110"/>
      <c r="CO1516" s="110"/>
      <c r="CP1516" s="110"/>
      <c r="CQ1516" s="110"/>
      <c r="CR1516" s="110"/>
      <c r="CS1516" s="110"/>
      <c r="CT1516" s="110"/>
      <c r="CU1516" s="110"/>
      <c r="CV1516" s="110"/>
      <c r="CW1516" s="110"/>
      <c r="CX1516" s="110"/>
      <c r="CY1516" s="110"/>
      <c r="CZ1516" s="110"/>
      <c r="DA1516" s="110"/>
      <c r="DB1516" s="110"/>
      <c r="DC1516" s="110"/>
      <c r="DD1516" s="110"/>
      <c r="DE1516" s="110"/>
      <c r="DF1516" s="110"/>
      <c r="DG1516" s="110"/>
      <c r="DH1516" s="110"/>
      <c r="DI1516" s="110"/>
      <c r="DJ1516" s="110"/>
      <c r="DK1516" s="110"/>
      <c r="DL1516" s="110"/>
      <c r="DM1516" s="110"/>
      <c r="DN1516" s="110"/>
      <c r="DO1516" s="110"/>
      <c r="DP1516" s="110"/>
      <c r="DQ1516" s="110"/>
      <c r="DR1516" s="110"/>
      <c r="DS1516" s="110"/>
      <c r="DT1516" s="110"/>
      <c r="DU1516" s="110"/>
      <c r="DV1516" s="110"/>
      <c r="DW1516" s="110"/>
      <c r="DX1516" s="110"/>
      <c r="DY1516" s="110"/>
      <c r="DZ1516" s="110"/>
      <c r="EA1516" s="110"/>
      <c r="EB1516" s="110"/>
      <c r="EC1516" s="110"/>
      <c r="ED1516" s="110"/>
      <c r="EF1516" s="264"/>
      <c r="EG1516" s="110"/>
      <c r="EH1516" s="110"/>
      <c r="EI1516" s="110"/>
      <c r="EJ1516" s="110"/>
      <c r="EK1516" s="266"/>
      <c r="EL1516" s="110"/>
      <c r="EM1516" s="110"/>
      <c r="EN1516" s="110"/>
      <c r="EO1516" s="110"/>
      <c r="EP1516" s="110"/>
      <c r="EQ1516" s="110"/>
      <c r="ER1516" s="110"/>
      <c r="ES1516" s="110"/>
      <c r="ET1516" s="110"/>
      <c r="EU1516" s="110"/>
      <c r="EV1516" s="110"/>
      <c r="EW1516" s="110"/>
      <c r="EX1516" s="110"/>
      <c r="EY1516" s="110"/>
      <c r="EZ1516" s="110"/>
      <c r="FA1516" s="110"/>
      <c r="FB1516" s="110"/>
      <c r="FC1516" s="110"/>
      <c r="FD1516" s="110"/>
      <c r="FE1516" s="110"/>
      <c r="FF1516" s="110"/>
      <c r="FG1516" s="110"/>
      <c r="FH1516" s="110"/>
      <c r="FI1516" s="110"/>
      <c r="FJ1516" s="110"/>
      <c r="FK1516" s="110"/>
      <c r="FL1516" s="110"/>
      <c r="FM1516" s="110"/>
      <c r="FN1516" s="110"/>
      <c r="FO1516" s="110"/>
      <c r="FP1516" s="110"/>
      <c r="FQ1516" s="110"/>
      <c r="FR1516" s="110"/>
      <c r="FS1516" s="110"/>
      <c r="FT1516" s="110"/>
      <c r="FU1516" s="110"/>
      <c r="FV1516" s="110"/>
      <c r="FW1516" s="110"/>
      <c r="FX1516" s="110"/>
      <c r="FY1516" s="110"/>
      <c r="FZ1516" s="110"/>
      <c r="GA1516" s="110"/>
      <c r="GB1516" s="110"/>
      <c r="GC1516" s="110"/>
      <c r="GD1516" s="110"/>
      <c r="GE1516" s="110"/>
      <c r="GF1516" s="110"/>
      <c r="GG1516" s="110"/>
      <c r="GH1516" s="110"/>
      <c r="GI1516" s="110"/>
      <c r="GJ1516" s="110"/>
      <c r="GK1516" s="110"/>
      <c r="GL1516" s="110"/>
      <c r="GM1516" s="110"/>
      <c r="GN1516" s="110"/>
      <c r="GO1516" s="110"/>
      <c r="GP1516" s="110"/>
      <c r="GQ1516" s="110"/>
      <c r="GR1516" s="110"/>
      <c r="GS1516" s="110"/>
      <c r="GT1516" s="110"/>
      <c r="GU1516" s="110"/>
      <c r="GV1516" s="110"/>
      <c r="GW1516" s="110"/>
      <c r="GX1516" s="110"/>
      <c r="GY1516" s="110"/>
      <c r="GZ1516" s="110"/>
      <c r="HA1516" s="110"/>
      <c r="HB1516" s="110"/>
      <c r="HC1516" s="110"/>
      <c r="HD1516" s="110"/>
      <c r="HE1516" s="110"/>
      <c r="HF1516" s="110"/>
      <c r="HG1516" s="110"/>
      <c r="HH1516" s="110"/>
      <c r="HI1516" s="110"/>
      <c r="HJ1516" s="110"/>
      <c r="HK1516" s="110"/>
      <c r="HL1516" s="110"/>
      <c r="HM1516" s="110"/>
      <c r="HN1516" s="110"/>
      <c r="HO1516" s="110"/>
      <c r="HP1516" s="110"/>
      <c r="HQ1516" s="110"/>
      <c r="HR1516" s="110"/>
      <c r="HS1516" s="110"/>
      <c r="HT1516" s="110"/>
      <c r="HU1516" s="110"/>
      <c r="HV1516" s="110"/>
      <c r="HW1516" s="110"/>
      <c r="HX1516" s="110"/>
      <c r="HY1516" s="110"/>
      <c r="HZ1516" s="110"/>
      <c r="IA1516" s="110"/>
      <c r="IB1516" s="110"/>
      <c r="IC1516" s="110"/>
      <c r="ID1516" s="110"/>
      <c r="IE1516" s="110"/>
      <c r="IF1516" s="110"/>
      <c r="IG1516" s="110"/>
      <c r="IH1516" s="110"/>
      <c r="II1516" s="110"/>
      <c r="IJ1516" s="110"/>
      <c r="IK1516" s="110"/>
      <c r="IL1516" s="110"/>
      <c r="IM1516" s="110"/>
      <c r="IN1516" s="110"/>
      <c r="IO1516" s="110"/>
      <c r="IP1516" s="110"/>
      <c r="IQ1516" s="110"/>
      <c r="IR1516" s="110"/>
    </row>
    <row r="1517" spans="18:252" ht="16.5" hidden="1" customHeight="1">
      <c r="R1517" s="264"/>
      <c r="S1517" s="110"/>
      <c r="T1517" s="110"/>
      <c r="U1517" s="110"/>
      <c r="V1517" s="110"/>
      <c r="W1517" s="266"/>
      <c r="X1517" s="110"/>
      <c r="Y1517" s="110"/>
      <c r="Z1517" s="110"/>
      <c r="AA1517" s="110"/>
      <c r="AB1517" s="110"/>
      <c r="AC1517" s="110"/>
      <c r="AD1517" s="110"/>
      <c r="AE1517" s="110"/>
      <c r="AF1517" s="110"/>
      <c r="AG1517" s="110"/>
      <c r="AH1517" s="110"/>
      <c r="AI1517" s="110"/>
      <c r="AJ1517" s="110"/>
      <c r="AK1517" s="110"/>
      <c r="AL1517" s="110"/>
      <c r="AM1517" s="110"/>
      <c r="AN1517" s="110"/>
      <c r="AO1517" s="110"/>
      <c r="AP1517" s="110"/>
      <c r="AQ1517" s="110"/>
      <c r="AR1517" s="110"/>
      <c r="AS1517" s="110"/>
      <c r="AT1517" s="110"/>
      <c r="AU1517" s="110"/>
      <c r="AV1517" s="110"/>
      <c r="AW1517" s="110"/>
      <c r="AX1517" s="110"/>
      <c r="AY1517" s="110"/>
      <c r="AZ1517" s="110"/>
      <c r="BA1517" s="110"/>
      <c r="BB1517" s="110"/>
      <c r="BC1517" s="110"/>
      <c r="BD1517" s="110"/>
      <c r="BE1517" s="110"/>
      <c r="BF1517" s="110"/>
      <c r="BG1517" s="110"/>
      <c r="BH1517" s="110"/>
      <c r="BI1517" s="110"/>
      <c r="BJ1517" s="110"/>
      <c r="BK1517" s="110"/>
      <c r="BL1517" s="110"/>
      <c r="BM1517" s="110"/>
      <c r="BN1517" s="110"/>
      <c r="BO1517" s="110"/>
      <c r="BP1517" s="110"/>
      <c r="BQ1517" s="110"/>
      <c r="BR1517" s="110"/>
      <c r="BS1517" s="110"/>
      <c r="BT1517" s="110"/>
      <c r="BU1517" s="110"/>
      <c r="BV1517" s="110"/>
      <c r="BW1517" s="110"/>
      <c r="BX1517" s="110"/>
      <c r="BY1517" s="110"/>
      <c r="BZ1517" s="110"/>
      <c r="CA1517" s="110"/>
      <c r="CB1517" s="110"/>
      <c r="CC1517" s="110"/>
      <c r="CD1517" s="110"/>
      <c r="CE1517" s="110"/>
      <c r="CF1517" s="110"/>
      <c r="CG1517" s="110"/>
      <c r="CH1517" s="110"/>
      <c r="CI1517" s="110"/>
      <c r="CJ1517" s="110"/>
      <c r="CK1517" s="110"/>
      <c r="CL1517" s="110"/>
      <c r="CM1517" s="110"/>
      <c r="CN1517" s="110"/>
      <c r="CO1517" s="110"/>
      <c r="CP1517" s="110"/>
      <c r="CQ1517" s="110"/>
      <c r="CR1517" s="110"/>
      <c r="CS1517" s="110"/>
      <c r="CT1517" s="110"/>
      <c r="CU1517" s="110"/>
      <c r="CV1517" s="110"/>
      <c r="CW1517" s="110"/>
      <c r="CX1517" s="110"/>
      <c r="CY1517" s="110"/>
      <c r="CZ1517" s="110"/>
      <c r="DA1517" s="110"/>
      <c r="DB1517" s="110"/>
      <c r="DC1517" s="110"/>
      <c r="DD1517" s="110"/>
      <c r="DE1517" s="110"/>
      <c r="DF1517" s="110"/>
      <c r="DG1517" s="110"/>
      <c r="DH1517" s="110"/>
      <c r="DI1517" s="110"/>
      <c r="DJ1517" s="110"/>
      <c r="DK1517" s="110"/>
      <c r="DL1517" s="110"/>
      <c r="DM1517" s="110"/>
      <c r="DN1517" s="110"/>
      <c r="DO1517" s="110"/>
      <c r="DP1517" s="110"/>
      <c r="DQ1517" s="110"/>
      <c r="DR1517" s="110"/>
      <c r="DS1517" s="110"/>
      <c r="DT1517" s="110"/>
      <c r="DU1517" s="110"/>
      <c r="DV1517" s="110"/>
      <c r="DW1517" s="110"/>
      <c r="DX1517" s="110"/>
      <c r="DY1517" s="110"/>
      <c r="DZ1517" s="110"/>
      <c r="EA1517" s="110"/>
      <c r="EB1517" s="110"/>
      <c r="EC1517" s="110"/>
      <c r="ED1517" s="110"/>
      <c r="EF1517" s="264"/>
      <c r="EG1517" s="110"/>
      <c r="EH1517" s="110"/>
      <c r="EI1517" s="110"/>
      <c r="EJ1517" s="110"/>
      <c r="EK1517" s="266"/>
      <c r="EL1517" s="110"/>
      <c r="EM1517" s="110"/>
      <c r="EN1517" s="110"/>
      <c r="EO1517" s="110"/>
      <c r="EP1517" s="110"/>
      <c r="EQ1517" s="110"/>
      <c r="ER1517" s="110"/>
      <c r="ES1517" s="110"/>
      <c r="ET1517" s="110"/>
      <c r="EU1517" s="110"/>
      <c r="EV1517" s="110"/>
      <c r="EW1517" s="110"/>
      <c r="EX1517" s="110"/>
      <c r="EY1517" s="110"/>
      <c r="EZ1517" s="110"/>
      <c r="FA1517" s="110"/>
      <c r="FB1517" s="110"/>
      <c r="FC1517" s="110"/>
      <c r="FD1517" s="110"/>
      <c r="FE1517" s="110"/>
      <c r="FF1517" s="110"/>
      <c r="FG1517" s="110"/>
      <c r="FH1517" s="110"/>
      <c r="FI1517" s="110"/>
      <c r="FJ1517" s="110"/>
      <c r="FK1517" s="110"/>
      <c r="FL1517" s="110"/>
      <c r="FM1517" s="110"/>
      <c r="FN1517" s="110"/>
      <c r="FO1517" s="110"/>
      <c r="FP1517" s="110"/>
      <c r="FQ1517" s="110"/>
      <c r="FR1517" s="110"/>
      <c r="FS1517" s="110"/>
      <c r="FT1517" s="110"/>
      <c r="FU1517" s="110"/>
      <c r="FV1517" s="110"/>
      <c r="FW1517" s="110"/>
      <c r="FX1517" s="110"/>
      <c r="FY1517" s="110"/>
      <c r="FZ1517" s="110"/>
      <c r="GA1517" s="110"/>
      <c r="GB1517" s="110"/>
      <c r="GC1517" s="110"/>
      <c r="GD1517" s="110"/>
      <c r="GE1517" s="110"/>
      <c r="GF1517" s="110"/>
      <c r="GG1517" s="110"/>
      <c r="GH1517" s="110"/>
      <c r="GI1517" s="110"/>
      <c r="GJ1517" s="110"/>
      <c r="GK1517" s="110"/>
      <c r="GL1517" s="110"/>
      <c r="GM1517" s="110"/>
      <c r="GN1517" s="110"/>
      <c r="GO1517" s="110"/>
      <c r="GP1517" s="110"/>
      <c r="GQ1517" s="110"/>
      <c r="GR1517" s="110"/>
      <c r="GS1517" s="110"/>
      <c r="GT1517" s="110"/>
      <c r="GU1517" s="110"/>
      <c r="GV1517" s="110"/>
      <c r="GW1517" s="110"/>
      <c r="GX1517" s="110"/>
      <c r="GY1517" s="110"/>
      <c r="GZ1517" s="110"/>
      <c r="HA1517" s="110"/>
      <c r="HB1517" s="110"/>
      <c r="HC1517" s="110"/>
      <c r="HD1517" s="110"/>
      <c r="HE1517" s="110"/>
      <c r="HF1517" s="110"/>
      <c r="HG1517" s="110"/>
      <c r="HH1517" s="110"/>
      <c r="HI1517" s="110"/>
      <c r="HJ1517" s="110"/>
      <c r="HK1517" s="110"/>
      <c r="HL1517" s="110"/>
      <c r="HM1517" s="110"/>
      <c r="HN1517" s="110"/>
      <c r="HO1517" s="110"/>
      <c r="HP1517" s="110"/>
      <c r="HQ1517" s="110"/>
      <c r="HR1517" s="110"/>
      <c r="HS1517" s="110"/>
      <c r="HT1517" s="110"/>
      <c r="HU1517" s="110"/>
      <c r="HV1517" s="110"/>
      <c r="HW1517" s="110"/>
      <c r="HX1517" s="110"/>
      <c r="HY1517" s="110"/>
      <c r="HZ1517" s="110"/>
      <c r="IA1517" s="110"/>
      <c r="IB1517" s="110"/>
      <c r="IC1517" s="110"/>
      <c r="ID1517" s="110"/>
      <c r="IE1517" s="110"/>
      <c r="IF1517" s="110"/>
      <c r="IG1517" s="110"/>
      <c r="IH1517" s="110"/>
      <c r="II1517" s="110"/>
      <c r="IJ1517" s="110"/>
      <c r="IK1517" s="110"/>
      <c r="IL1517" s="110"/>
      <c r="IM1517" s="110"/>
      <c r="IN1517" s="110"/>
      <c r="IO1517" s="110"/>
      <c r="IP1517" s="110"/>
      <c r="IQ1517" s="110"/>
      <c r="IR1517" s="110"/>
    </row>
    <row r="1518" spans="18:252" ht="16.5" hidden="1" customHeight="1">
      <c r="R1518" s="264"/>
      <c r="S1518" s="110"/>
      <c r="T1518" s="110"/>
      <c r="U1518" s="110"/>
      <c r="V1518" s="110"/>
      <c r="W1518" s="266"/>
      <c r="X1518" s="110"/>
      <c r="Y1518" s="110"/>
      <c r="Z1518" s="110"/>
      <c r="AA1518" s="110"/>
      <c r="AB1518" s="110"/>
      <c r="AC1518" s="110"/>
      <c r="AD1518" s="110"/>
      <c r="AE1518" s="110"/>
      <c r="AF1518" s="110"/>
      <c r="AG1518" s="110"/>
      <c r="AH1518" s="110"/>
      <c r="AI1518" s="110"/>
      <c r="AJ1518" s="110"/>
      <c r="AK1518" s="110"/>
      <c r="AL1518" s="110"/>
      <c r="AM1518" s="110"/>
      <c r="AN1518" s="110"/>
      <c r="AO1518" s="110"/>
      <c r="AP1518" s="110"/>
      <c r="AQ1518" s="110"/>
      <c r="AR1518" s="110"/>
      <c r="AS1518" s="110"/>
      <c r="AT1518" s="110"/>
      <c r="AU1518" s="110"/>
      <c r="AV1518" s="110"/>
      <c r="AW1518" s="110"/>
      <c r="AX1518" s="110"/>
      <c r="AY1518" s="110"/>
      <c r="AZ1518" s="110"/>
      <c r="BA1518" s="110"/>
      <c r="BB1518" s="110"/>
      <c r="BC1518" s="110"/>
      <c r="BD1518" s="110"/>
      <c r="BE1518" s="110"/>
      <c r="BF1518" s="110"/>
      <c r="BG1518" s="110"/>
      <c r="BH1518" s="110"/>
      <c r="BI1518" s="110"/>
      <c r="BJ1518" s="110"/>
      <c r="BK1518" s="110"/>
      <c r="BL1518" s="110"/>
      <c r="BM1518" s="110"/>
      <c r="BN1518" s="110"/>
      <c r="BO1518" s="110"/>
      <c r="BP1518" s="110"/>
      <c r="BQ1518" s="110"/>
      <c r="BR1518" s="110"/>
      <c r="BS1518" s="110"/>
      <c r="BT1518" s="110"/>
      <c r="BU1518" s="110"/>
      <c r="BV1518" s="110"/>
      <c r="BW1518" s="110"/>
      <c r="BX1518" s="110"/>
      <c r="BY1518" s="110"/>
      <c r="BZ1518" s="110"/>
      <c r="CA1518" s="110"/>
      <c r="CB1518" s="110"/>
      <c r="CC1518" s="110"/>
      <c r="CD1518" s="110"/>
      <c r="CE1518" s="110"/>
      <c r="CF1518" s="110"/>
      <c r="CG1518" s="110"/>
      <c r="CH1518" s="110"/>
      <c r="CI1518" s="110"/>
      <c r="CJ1518" s="110"/>
      <c r="CK1518" s="110"/>
      <c r="CL1518" s="110"/>
      <c r="CM1518" s="110"/>
      <c r="CN1518" s="110"/>
      <c r="CO1518" s="110"/>
      <c r="CP1518" s="110"/>
      <c r="CQ1518" s="110"/>
      <c r="CR1518" s="110"/>
      <c r="CS1518" s="110"/>
      <c r="CT1518" s="110"/>
      <c r="CU1518" s="110"/>
      <c r="CV1518" s="110"/>
      <c r="CW1518" s="110"/>
      <c r="CX1518" s="110"/>
      <c r="CY1518" s="110"/>
      <c r="CZ1518" s="110"/>
      <c r="DA1518" s="110"/>
      <c r="DB1518" s="110"/>
      <c r="DC1518" s="110"/>
      <c r="DD1518" s="110"/>
      <c r="DE1518" s="110"/>
      <c r="DF1518" s="110"/>
      <c r="DG1518" s="110"/>
      <c r="DH1518" s="110"/>
      <c r="DI1518" s="110"/>
      <c r="DJ1518" s="110"/>
      <c r="DK1518" s="110"/>
      <c r="DL1518" s="110"/>
      <c r="DM1518" s="110"/>
      <c r="DN1518" s="110"/>
      <c r="DO1518" s="110"/>
      <c r="DP1518" s="110"/>
      <c r="DQ1518" s="110"/>
      <c r="DR1518" s="110"/>
      <c r="DS1518" s="110"/>
      <c r="DT1518" s="110"/>
      <c r="DU1518" s="110"/>
      <c r="DV1518" s="110"/>
      <c r="DW1518" s="110"/>
      <c r="DX1518" s="110"/>
      <c r="DY1518" s="110"/>
      <c r="DZ1518" s="110"/>
      <c r="EA1518" s="110"/>
      <c r="EB1518" s="110"/>
      <c r="EC1518" s="110"/>
      <c r="ED1518" s="110"/>
      <c r="EF1518" s="264"/>
      <c r="EG1518" s="110"/>
      <c r="EH1518" s="110"/>
      <c r="EI1518" s="110"/>
      <c r="EJ1518" s="110"/>
      <c r="EK1518" s="266"/>
      <c r="EL1518" s="110"/>
      <c r="EM1518" s="110"/>
      <c r="EN1518" s="110"/>
      <c r="EO1518" s="110"/>
      <c r="EP1518" s="110"/>
      <c r="EQ1518" s="110"/>
      <c r="ER1518" s="110"/>
      <c r="ES1518" s="110"/>
      <c r="ET1518" s="110"/>
      <c r="EU1518" s="110"/>
      <c r="EV1518" s="110"/>
      <c r="EW1518" s="110"/>
      <c r="EX1518" s="110"/>
      <c r="EY1518" s="110"/>
      <c r="EZ1518" s="110"/>
      <c r="FA1518" s="110"/>
      <c r="FB1518" s="110"/>
      <c r="FC1518" s="110"/>
      <c r="FD1518" s="110"/>
      <c r="FE1518" s="110"/>
      <c r="FF1518" s="110"/>
      <c r="FG1518" s="110"/>
      <c r="FH1518" s="110"/>
      <c r="FI1518" s="110"/>
      <c r="FJ1518" s="110"/>
      <c r="FK1518" s="110"/>
      <c r="FL1518" s="110"/>
      <c r="FM1518" s="110"/>
      <c r="FN1518" s="110"/>
      <c r="FO1518" s="110"/>
      <c r="FP1518" s="110"/>
      <c r="FQ1518" s="110"/>
      <c r="FR1518" s="110"/>
      <c r="FS1518" s="110"/>
      <c r="FT1518" s="110"/>
      <c r="FU1518" s="110"/>
      <c r="FV1518" s="110"/>
      <c r="FW1518" s="110"/>
      <c r="FX1518" s="110"/>
      <c r="FY1518" s="110"/>
      <c r="FZ1518" s="110"/>
      <c r="GA1518" s="110"/>
      <c r="GB1518" s="110"/>
      <c r="GC1518" s="110"/>
      <c r="GD1518" s="110"/>
      <c r="GE1518" s="110"/>
      <c r="GF1518" s="110"/>
      <c r="GG1518" s="110"/>
      <c r="GH1518" s="110"/>
      <c r="GI1518" s="110"/>
      <c r="GJ1518" s="110"/>
      <c r="GK1518" s="110"/>
      <c r="GL1518" s="110"/>
      <c r="GM1518" s="110"/>
      <c r="GN1518" s="110"/>
      <c r="GO1518" s="110"/>
      <c r="GP1518" s="110"/>
      <c r="GQ1518" s="110"/>
      <c r="GR1518" s="110"/>
      <c r="GS1518" s="110"/>
      <c r="GT1518" s="110"/>
      <c r="GU1518" s="110"/>
      <c r="GV1518" s="110"/>
      <c r="GW1518" s="110"/>
      <c r="GX1518" s="110"/>
      <c r="GY1518" s="110"/>
      <c r="GZ1518" s="110"/>
      <c r="HA1518" s="110"/>
      <c r="HB1518" s="110"/>
      <c r="HC1518" s="110"/>
      <c r="HD1518" s="110"/>
      <c r="HE1518" s="110"/>
      <c r="HF1518" s="110"/>
      <c r="HG1518" s="110"/>
      <c r="HH1518" s="110"/>
      <c r="HI1518" s="110"/>
      <c r="HJ1518" s="110"/>
      <c r="HK1518" s="110"/>
      <c r="HL1518" s="110"/>
      <c r="HM1518" s="110"/>
      <c r="HN1518" s="110"/>
      <c r="HO1518" s="110"/>
      <c r="HP1518" s="110"/>
      <c r="HQ1518" s="110"/>
      <c r="HR1518" s="110"/>
      <c r="HS1518" s="110"/>
      <c r="HT1518" s="110"/>
      <c r="HU1518" s="110"/>
      <c r="HV1518" s="110"/>
      <c r="HW1518" s="110"/>
      <c r="HX1518" s="110"/>
      <c r="HY1518" s="110"/>
      <c r="HZ1518" s="110"/>
      <c r="IA1518" s="110"/>
      <c r="IB1518" s="110"/>
      <c r="IC1518" s="110"/>
      <c r="ID1518" s="110"/>
      <c r="IE1518" s="110"/>
      <c r="IF1518" s="110"/>
      <c r="IG1518" s="110"/>
      <c r="IH1518" s="110"/>
      <c r="II1518" s="110"/>
      <c r="IJ1518" s="110"/>
      <c r="IK1518" s="110"/>
      <c r="IL1518" s="110"/>
      <c r="IM1518" s="110"/>
      <c r="IN1518" s="110"/>
      <c r="IO1518" s="110"/>
      <c r="IP1518" s="110"/>
      <c r="IQ1518" s="110"/>
      <c r="IR1518" s="110"/>
    </row>
    <row r="1519" spans="18:252" ht="16.5" hidden="1" customHeight="1">
      <c r="R1519" s="264"/>
      <c r="S1519" s="110"/>
      <c r="T1519" s="110"/>
      <c r="U1519" s="110"/>
      <c r="V1519" s="110"/>
      <c r="W1519" s="266"/>
      <c r="X1519" s="110"/>
      <c r="Y1519" s="110"/>
      <c r="Z1519" s="110"/>
      <c r="AA1519" s="110"/>
      <c r="AB1519" s="110"/>
      <c r="AC1519" s="110"/>
      <c r="AD1519" s="110"/>
      <c r="AE1519" s="110"/>
      <c r="AF1519" s="110"/>
      <c r="AG1519" s="110"/>
      <c r="AH1519" s="110"/>
      <c r="AI1519" s="110"/>
      <c r="AJ1519" s="110"/>
      <c r="AK1519" s="110"/>
      <c r="AL1519" s="110"/>
      <c r="AM1519" s="110"/>
      <c r="AN1519" s="110"/>
      <c r="AO1519" s="110"/>
      <c r="AP1519" s="110"/>
      <c r="AQ1519" s="110"/>
      <c r="AR1519" s="110"/>
      <c r="AS1519" s="110"/>
      <c r="AT1519" s="110"/>
      <c r="AU1519" s="110"/>
      <c r="AV1519" s="110"/>
      <c r="AW1519" s="110"/>
      <c r="AX1519" s="110"/>
      <c r="AY1519" s="110"/>
      <c r="AZ1519" s="110"/>
      <c r="BA1519" s="110"/>
      <c r="BB1519" s="110"/>
      <c r="BC1519" s="110"/>
      <c r="BD1519" s="110"/>
      <c r="BE1519" s="110"/>
      <c r="BF1519" s="110"/>
      <c r="BG1519" s="110"/>
      <c r="BH1519" s="110"/>
      <c r="BI1519" s="110"/>
      <c r="BJ1519" s="110"/>
      <c r="BK1519" s="110"/>
      <c r="BL1519" s="110"/>
      <c r="BM1519" s="110"/>
      <c r="BN1519" s="110"/>
      <c r="BO1519" s="110"/>
      <c r="BP1519" s="110"/>
      <c r="BQ1519" s="110"/>
      <c r="BR1519" s="110"/>
      <c r="BS1519" s="110"/>
      <c r="BT1519" s="110"/>
      <c r="BU1519" s="110"/>
      <c r="BV1519" s="110"/>
      <c r="BW1519" s="110"/>
      <c r="BX1519" s="110"/>
      <c r="BY1519" s="110"/>
      <c r="BZ1519" s="110"/>
      <c r="CA1519" s="110"/>
      <c r="CB1519" s="110"/>
      <c r="CC1519" s="110"/>
      <c r="CD1519" s="110"/>
      <c r="CE1519" s="110"/>
      <c r="CF1519" s="110"/>
      <c r="CG1519" s="110"/>
      <c r="CH1519" s="110"/>
      <c r="CI1519" s="110"/>
      <c r="CJ1519" s="110"/>
      <c r="CK1519" s="110"/>
      <c r="CL1519" s="110"/>
      <c r="CM1519" s="110"/>
      <c r="CN1519" s="110"/>
      <c r="CO1519" s="110"/>
      <c r="CP1519" s="110"/>
      <c r="CQ1519" s="110"/>
      <c r="CR1519" s="110"/>
      <c r="CS1519" s="110"/>
      <c r="CT1519" s="110"/>
      <c r="CU1519" s="110"/>
      <c r="CV1519" s="110"/>
      <c r="CW1519" s="110"/>
      <c r="CX1519" s="110"/>
      <c r="CY1519" s="110"/>
      <c r="CZ1519" s="110"/>
      <c r="DA1519" s="110"/>
      <c r="DB1519" s="110"/>
      <c r="DC1519" s="110"/>
      <c r="DD1519" s="110"/>
      <c r="DE1519" s="110"/>
      <c r="DF1519" s="110"/>
      <c r="DG1519" s="110"/>
      <c r="DH1519" s="110"/>
      <c r="DI1519" s="110"/>
      <c r="DJ1519" s="110"/>
      <c r="DK1519" s="110"/>
      <c r="DL1519" s="110"/>
      <c r="DM1519" s="110"/>
      <c r="DN1519" s="110"/>
      <c r="DO1519" s="110"/>
      <c r="DP1519" s="110"/>
      <c r="DQ1519" s="110"/>
      <c r="DR1519" s="110"/>
      <c r="DS1519" s="110"/>
      <c r="DT1519" s="110"/>
      <c r="DU1519" s="110"/>
      <c r="DV1519" s="110"/>
      <c r="DW1519" s="110"/>
      <c r="DX1519" s="110"/>
      <c r="DY1519" s="110"/>
      <c r="DZ1519" s="110"/>
      <c r="EA1519" s="110"/>
      <c r="EB1519" s="110"/>
      <c r="EC1519" s="110"/>
      <c r="ED1519" s="110"/>
      <c r="EF1519" s="264"/>
      <c r="EG1519" s="110"/>
      <c r="EH1519" s="110"/>
      <c r="EI1519" s="110"/>
      <c r="EJ1519" s="110"/>
      <c r="EK1519" s="266"/>
      <c r="EL1519" s="110"/>
      <c r="EM1519" s="110"/>
      <c r="EN1519" s="110"/>
      <c r="EO1519" s="110"/>
      <c r="EP1519" s="110"/>
      <c r="EQ1519" s="110"/>
      <c r="ER1519" s="110"/>
      <c r="ES1519" s="110"/>
      <c r="ET1519" s="110"/>
      <c r="EU1519" s="110"/>
      <c r="EV1519" s="110"/>
      <c r="EW1519" s="110"/>
      <c r="EX1519" s="110"/>
      <c r="EY1519" s="110"/>
      <c r="EZ1519" s="110"/>
      <c r="FA1519" s="110"/>
      <c r="FB1519" s="110"/>
      <c r="FC1519" s="110"/>
      <c r="FD1519" s="110"/>
      <c r="FE1519" s="110"/>
      <c r="FF1519" s="110"/>
      <c r="FG1519" s="110"/>
      <c r="FH1519" s="110"/>
      <c r="FI1519" s="110"/>
      <c r="FJ1519" s="110"/>
      <c r="FK1519" s="110"/>
      <c r="FL1519" s="110"/>
      <c r="FM1519" s="110"/>
      <c r="FN1519" s="110"/>
      <c r="FO1519" s="110"/>
      <c r="FP1519" s="110"/>
      <c r="FQ1519" s="110"/>
      <c r="FR1519" s="110"/>
      <c r="FS1519" s="110"/>
      <c r="FT1519" s="110"/>
      <c r="FU1519" s="110"/>
      <c r="FV1519" s="110"/>
      <c r="FW1519" s="110"/>
      <c r="FX1519" s="110"/>
      <c r="FY1519" s="110"/>
      <c r="FZ1519" s="110"/>
      <c r="GA1519" s="110"/>
      <c r="GB1519" s="110"/>
      <c r="GC1519" s="110"/>
      <c r="GD1519" s="110"/>
      <c r="GE1519" s="110"/>
      <c r="GF1519" s="110"/>
      <c r="GG1519" s="110"/>
      <c r="GH1519" s="110"/>
      <c r="GI1519" s="110"/>
      <c r="GJ1519" s="110"/>
      <c r="GK1519" s="110"/>
      <c r="GL1519" s="110"/>
      <c r="GM1519" s="110"/>
      <c r="GN1519" s="110"/>
      <c r="GO1519" s="110"/>
      <c r="GP1519" s="110"/>
      <c r="GQ1519" s="110"/>
      <c r="GR1519" s="110"/>
      <c r="GS1519" s="110"/>
      <c r="GT1519" s="110"/>
      <c r="GU1519" s="110"/>
      <c r="GV1519" s="110"/>
      <c r="GW1519" s="110"/>
      <c r="GX1519" s="110"/>
      <c r="GY1519" s="110"/>
      <c r="GZ1519" s="110"/>
      <c r="HA1519" s="110"/>
      <c r="HB1519" s="110"/>
      <c r="HC1519" s="110"/>
      <c r="HD1519" s="110"/>
      <c r="HE1519" s="110"/>
      <c r="HF1519" s="110"/>
      <c r="HG1519" s="110"/>
      <c r="HH1519" s="110"/>
      <c r="HI1519" s="110"/>
      <c r="HJ1519" s="110"/>
      <c r="HK1519" s="110"/>
      <c r="HL1519" s="110"/>
      <c r="HM1519" s="110"/>
      <c r="HN1519" s="110"/>
      <c r="HO1519" s="110"/>
      <c r="HP1519" s="110"/>
      <c r="HQ1519" s="110"/>
      <c r="HR1519" s="110"/>
      <c r="HS1519" s="110"/>
      <c r="HT1519" s="110"/>
      <c r="HU1519" s="110"/>
      <c r="HV1519" s="110"/>
      <c r="HW1519" s="110"/>
      <c r="HX1519" s="110"/>
      <c r="HY1519" s="110"/>
      <c r="HZ1519" s="110"/>
      <c r="IA1519" s="110"/>
      <c r="IB1519" s="110"/>
      <c r="IC1519" s="110"/>
      <c r="ID1519" s="110"/>
      <c r="IE1519" s="110"/>
      <c r="IF1519" s="110"/>
      <c r="IG1519" s="110"/>
      <c r="IH1519" s="110"/>
      <c r="II1519" s="110"/>
      <c r="IJ1519" s="110"/>
      <c r="IK1519" s="110"/>
      <c r="IL1519" s="110"/>
      <c r="IM1519" s="110"/>
      <c r="IN1519" s="110"/>
      <c r="IO1519" s="110"/>
      <c r="IP1519" s="110"/>
      <c r="IQ1519" s="110"/>
      <c r="IR1519" s="110"/>
    </row>
    <row r="1520" spans="18:252" ht="16.5" hidden="1" customHeight="1">
      <c r="R1520" s="264"/>
      <c r="S1520" s="110"/>
      <c r="T1520" s="110"/>
      <c r="U1520" s="110"/>
      <c r="V1520" s="110"/>
      <c r="W1520" s="266"/>
      <c r="X1520" s="110"/>
      <c r="Y1520" s="110"/>
      <c r="Z1520" s="110"/>
      <c r="AA1520" s="110"/>
      <c r="AB1520" s="110"/>
      <c r="AC1520" s="110"/>
      <c r="AD1520" s="110"/>
      <c r="AE1520" s="110"/>
      <c r="AF1520" s="110"/>
      <c r="AG1520" s="110"/>
      <c r="AH1520" s="110"/>
      <c r="AI1520" s="110"/>
      <c r="AJ1520" s="110"/>
      <c r="AK1520" s="110"/>
      <c r="AL1520" s="110"/>
      <c r="AM1520" s="110"/>
      <c r="AN1520" s="110"/>
      <c r="AO1520" s="110"/>
      <c r="AP1520" s="110"/>
      <c r="AQ1520" s="110"/>
      <c r="AR1520" s="110"/>
      <c r="AS1520" s="110"/>
      <c r="AT1520" s="110"/>
      <c r="AU1520" s="110"/>
      <c r="AV1520" s="110"/>
      <c r="AW1520" s="110"/>
      <c r="AX1520" s="110"/>
      <c r="AY1520" s="110"/>
      <c r="AZ1520" s="110"/>
      <c r="BA1520" s="110"/>
      <c r="BB1520" s="110"/>
      <c r="BC1520" s="110"/>
      <c r="BD1520" s="110"/>
      <c r="BE1520" s="110"/>
      <c r="BF1520" s="110"/>
      <c r="BG1520" s="110"/>
      <c r="BH1520" s="110"/>
      <c r="BI1520" s="110"/>
      <c r="BJ1520" s="110"/>
      <c r="BK1520" s="110"/>
      <c r="BL1520" s="110"/>
      <c r="BM1520" s="110"/>
      <c r="BN1520" s="110"/>
      <c r="BO1520" s="110"/>
      <c r="BP1520" s="110"/>
      <c r="BQ1520" s="110"/>
      <c r="BR1520" s="110"/>
      <c r="BS1520" s="110"/>
      <c r="BT1520" s="110"/>
      <c r="BU1520" s="110"/>
      <c r="BV1520" s="110"/>
      <c r="BW1520" s="110"/>
      <c r="BX1520" s="110"/>
      <c r="BY1520" s="110"/>
      <c r="BZ1520" s="110"/>
      <c r="CA1520" s="110"/>
      <c r="CB1520" s="110"/>
      <c r="CC1520" s="110"/>
      <c r="CD1520" s="110"/>
      <c r="CE1520" s="110"/>
      <c r="CF1520" s="110"/>
      <c r="CG1520" s="110"/>
      <c r="CH1520" s="110"/>
      <c r="CI1520" s="110"/>
      <c r="CJ1520" s="110"/>
      <c r="CK1520" s="110"/>
      <c r="CL1520" s="110"/>
      <c r="CM1520" s="110"/>
      <c r="CN1520" s="110"/>
      <c r="CO1520" s="110"/>
      <c r="CP1520" s="110"/>
      <c r="CQ1520" s="110"/>
      <c r="CR1520" s="110"/>
      <c r="CS1520" s="110"/>
      <c r="CT1520" s="110"/>
      <c r="CU1520" s="110"/>
      <c r="CV1520" s="110"/>
      <c r="CW1520" s="110"/>
      <c r="CX1520" s="110"/>
      <c r="CY1520" s="110"/>
      <c r="CZ1520" s="110"/>
      <c r="DA1520" s="110"/>
      <c r="DB1520" s="110"/>
      <c r="DC1520" s="110"/>
      <c r="DD1520" s="110"/>
      <c r="DE1520" s="110"/>
      <c r="DF1520" s="110"/>
      <c r="DG1520" s="110"/>
      <c r="DH1520" s="110"/>
      <c r="DI1520" s="110"/>
      <c r="DJ1520" s="110"/>
      <c r="DK1520" s="110"/>
      <c r="DL1520" s="110"/>
      <c r="DM1520" s="110"/>
      <c r="DN1520" s="110"/>
      <c r="DO1520" s="110"/>
      <c r="DP1520" s="110"/>
      <c r="DQ1520" s="110"/>
      <c r="DR1520" s="110"/>
      <c r="DS1520" s="110"/>
      <c r="DT1520" s="110"/>
      <c r="DU1520" s="110"/>
      <c r="DV1520" s="110"/>
      <c r="DW1520" s="110"/>
      <c r="DX1520" s="110"/>
      <c r="DY1520" s="110"/>
      <c r="DZ1520" s="110"/>
      <c r="EA1520" s="110"/>
      <c r="EB1520" s="110"/>
      <c r="EC1520" s="110"/>
      <c r="ED1520" s="110"/>
      <c r="EF1520" s="264"/>
      <c r="EG1520" s="110"/>
      <c r="EH1520" s="110"/>
      <c r="EI1520" s="110"/>
      <c r="EJ1520" s="110"/>
      <c r="EK1520" s="266"/>
      <c r="EL1520" s="110"/>
      <c r="EM1520" s="110"/>
      <c r="EN1520" s="110"/>
      <c r="EO1520" s="110"/>
      <c r="EP1520" s="110"/>
      <c r="EQ1520" s="110"/>
      <c r="ER1520" s="110"/>
      <c r="ES1520" s="110"/>
      <c r="ET1520" s="110"/>
      <c r="EU1520" s="110"/>
      <c r="EV1520" s="110"/>
      <c r="EW1520" s="110"/>
      <c r="EX1520" s="110"/>
      <c r="EY1520" s="110"/>
      <c r="EZ1520" s="110"/>
      <c r="FA1520" s="110"/>
      <c r="FB1520" s="110"/>
      <c r="FC1520" s="110"/>
      <c r="FD1520" s="110"/>
      <c r="FE1520" s="110"/>
      <c r="FF1520" s="110"/>
      <c r="FG1520" s="110"/>
      <c r="FH1520" s="110"/>
      <c r="FI1520" s="110"/>
      <c r="FJ1520" s="110"/>
      <c r="FK1520" s="110"/>
      <c r="FL1520" s="110"/>
      <c r="FM1520" s="110"/>
      <c r="FN1520" s="110"/>
      <c r="FO1520" s="110"/>
      <c r="FP1520" s="110"/>
      <c r="FQ1520" s="110"/>
      <c r="FR1520" s="110"/>
      <c r="FS1520" s="110"/>
      <c r="FT1520" s="110"/>
      <c r="FU1520" s="110"/>
      <c r="FV1520" s="110"/>
      <c r="FW1520" s="110"/>
      <c r="FX1520" s="110"/>
      <c r="FY1520" s="110"/>
      <c r="FZ1520" s="110"/>
      <c r="GA1520" s="110"/>
      <c r="GB1520" s="110"/>
      <c r="GC1520" s="110"/>
      <c r="GD1520" s="110"/>
      <c r="GE1520" s="110"/>
      <c r="GF1520" s="110"/>
      <c r="GG1520" s="110"/>
      <c r="GH1520" s="110"/>
      <c r="GI1520" s="110"/>
      <c r="GJ1520" s="110"/>
      <c r="GK1520" s="110"/>
      <c r="GL1520" s="110"/>
      <c r="GM1520" s="110"/>
      <c r="GN1520" s="110"/>
      <c r="GO1520" s="110"/>
      <c r="GP1520" s="110"/>
      <c r="GQ1520" s="110"/>
      <c r="GR1520" s="110"/>
      <c r="GS1520" s="110"/>
      <c r="GT1520" s="110"/>
      <c r="GU1520" s="110"/>
      <c r="GV1520" s="110"/>
      <c r="GW1520" s="110"/>
      <c r="GX1520" s="110"/>
      <c r="GY1520" s="110"/>
      <c r="GZ1520" s="110"/>
      <c r="HA1520" s="110"/>
      <c r="HB1520" s="110"/>
      <c r="HC1520" s="110"/>
      <c r="HD1520" s="110"/>
      <c r="HE1520" s="110"/>
      <c r="HF1520" s="110"/>
      <c r="HG1520" s="110"/>
      <c r="HH1520" s="110"/>
      <c r="HI1520" s="110"/>
      <c r="HJ1520" s="110"/>
      <c r="HK1520" s="110"/>
      <c r="HL1520" s="110"/>
      <c r="HM1520" s="110"/>
      <c r="HN1520" s="110"/>
      <c r="HO1520" s="110"/>
      <c r="HP1520" s="110"/>
      <c r="HQ1520" s="110"/>
      <c r="HR1520" s="110"/>
      <c r="HS1520" s="110"/>
      <c r="HT1520" s="110"/>
      <c r="HU1520" s="110"/>
      <c r="HV1520" s="110"/>
      <c r="HW1520" s="110"/>
      <c r="HX1520" s="110"/>
      <c r="HY1520" s="110"/>
      <c r="HZ1520" s="110"/>
      <c r="IA1520" s="110"/>
      <c r="IB1520" s="110"/>
      <c r="IC1520" s="110"/>
      <c r="ID1520" s="110"/>
      <c r="IE1520" s="110"/>
      <c r="IF1520" s="110"/>
      <c r="IG1520" s="110"/>
      <c r="IH1520" s="110"/>
      <c r="II1520" s="110"/>
      <c r="IJ1520" s="110"/>
      <c r="IK1520" s="110"/>
      <c r="IL1520" s="110"/>
      <c r="IM1520" s="110"/>
      <c r="IN1520" s="110"/>
      <c r="IO1520" s="110"/>
      <c r="IP1520" s="110"/>
      <c r="IQ1520" s="110"/>
      <c r="IR1520" s="110"/>
    </row>
    <row r="1521" spans="18:252" ht="16.5" hidden="1" customHeight="1">
      <c r="R1521" s="264"/>
      <c r="S1521" s="110"/>
      <c r="T1521" s="110"/>
      <c r="U1521" s="110"/>
      <c r="V1521" s="110"/>
      <c r="W1521" s="266"/>
      <c r="X1521" s="110"/>
      <c r="Y1521" s="110"/>
      <c r="Z1521" s="110"/>
      <c r="AA1521" s="110"/>
      <c r="AB1521" s="110"/>
      <c r="AC1521" s="110"/>
      <c r="AD1521" s="110"/>
      <c r="AE1521" s="110"/>
      <c r="AF1521" s="110"/>
      <c r="AG1521" s="110"/>
      <c r="AH1521" s="110"/>
      <c r="AI1521" s="110"/>
      <c r="AJ1521" s="110"/>
      <c r="AK1521" s="110"/>
      <c r="AL1521" s="110"/>
      <c r="AM1521" s="110"/>
      <c r="AN1521" s="110"/>
      <c r="AO1521" s="110"/>
      <c r="AP1521" s="110"/>
      <c r="AQ1521" s="110"/>
      <c r="AR1521" s="110"/>
      <c r="AS1521" s="110"/>
      <c r="AT1521" s="110"/>
      <c r="AU1521" s="110"/>
      <c r="AV1521" s="110"/>
      <c r="AW1521" s="110"/>
      <c r="AX1521" s="110"/>
      <c r="AY1521" s="110"/>
      <c r="AZ1521" s="110"/>
      <c r="BA1521" s="110"/>
      <c r="BB1521" s="110"/>
      <c r="BC1521" s="110"/>
      <c r="BD1521" s="110"/>
      <c r="BE1521" s="110"/>
      <c r="BF1521" s="110"/>
      <c r="BG1521" s="110"/>
      <c r="BH1521" s="110"/>
      <c r="BI1521" s="110"/>
      <c r="BJ1521" s="110"/>
      <c r="BK1521" s="110"/>
      <c r="BL1521" s="110"/>
      <c r="BM1521" s="110"/>
      <c r="BN1521" s="110"/>
      <c r="BO1521" s="110"/>
      <c r="BP1521" s="110"/>
      <c r="BQ1521" s="110"/>
      <c r="BR1521" s="110"/>
      <c r="BS1521" s="110"/>
      <c r="BT1521" s="110"/>
      <c r="BU1521" s="110"/>
      <c r="BV1521" s="110"/>
      <c r="BW1521" s="110"/>
      <c r="BX1521" s="110"/>
      <c r="BY1521" s="110"/>
      <c r="BZ1521" s="110"/>
      <c r="CA1521" s="110"/>
      <c r="CB1521" s="110"/>
      <c r="CC1521" s="110"/>
      <c r="CD1521" s="110"/>
      <c r="CE1521" s="110"/>
      <c r="CF1521" s="110"/>
      <c r="CG1521" s="110"/>
      <c r="CH1521" s="110"/>
      <c r="CI1521" s="110"/>
      <c r="CJ1521" s="110"/>
      <c r="CK1521" s="110"/>
      <c r="CL1521" s="110"/>
      <c r="CM1521" s="110"/>
      <c r="CN1521" s="110"/>
      <c r="CO1521" s="110"/>
      <c r="CP1521" s="110"/>
      <c r="CQ1521" s="110"/>
      <c r="CR1521" s="110"/>
      <c r="CS1521" s="110"/>
      <c r="CT1521" s="110"/>
      <c r="CU1521" s="110"/>
      <c r="CV1521" s="110"/>
      <c r="CW1521" s="110"/>
      <c r="CX1521" s="110"/>
      <c r="CY1521" s="110"/>
      <c r="CZ1521" s="110"/>
      <c r="DA1521" s="110"/>
      <c r="DB1521" s="110"/>
      <c r="DC1521" s="110"/>
      <c r="DD1521" s="110"/>
      <c r="DE1521" s="110"/>
      <c r="DF1521" s="110"/>
      <c r="DG1521" s="110"/>
      <c r="DH1521" s="110"/>
      <c r="DI1521" s="110"/>
      <c r="DJ1521" s="110"/>
      <c r="DK1521" s="110"/>
      <c r="DL1521" s="110"/>
      <c r="DM1521" s="110"/>
      <c r="DN1521" s="110"/>
      <c r="DO1521" s="110"/>
      <c r="DP1521" s="110"/>
      <c r="DQ1521" s="110"/>
      <c r="DR1521" s="110"/>
      <c r="DS1521" s="110"/>
      <c r="DT1521" s="110"/>
      <c r="DU1521" s="110"/>
      <c r="DV1521" s="110"/>
      <c r="DW1521" s="110"/>
      <c r="DX1521" s="110"/>
      <c r="DY1521" s="110"/>
      <c r="DZ1521" s="110"/>
      <c r="EA1521" s="110"/>
      <c r="EB1521" s="110"/>
      <c r="EC1521" s="110"/>
      <c r="ED1521" s="110"/>
      <c r="EF1521" s="264"/>
      <c r="EG1521" s="110"/>
      <c r="EH1521" s="110"/>
      <c r="EI1521" s="110"/>
      <c r="EJ1521" s="110"/>
      <c r="EK1521" s="266"/>
      <c r="EL1521" s="110"/>
      <c r="EM1521" s="110"/>
      <c r="EN1521" s="110"/>
      <c r="EO1521" s="110"/>
      <c r="EP1521" s="110"/>
      <c r="EQ1521" s="110"/>
      <c r="ER1521" s="110"/>
      <c r="ES1521" s="110"/>
      <c r="ET1521" s="110"/>
      <c r="EU1521" s="110"/>
      <c r="EV1521" s="110"/>
      <c r="EW1521" s="110"/>
      <c r="EX1521" s="110"/>
      <c r="EY1521" s="110"/>
      <c r="EZ1521" s="110"/>
      <c r="FA1521" s="110"/>
      <c r="FB1521" s="110"/>
      <c r="FC1521" s="110"/>
      <c r="FD1521" s="110"/>
      <c r="FE1521" s="110"/>
      <c r="FF1521" s="110"/>
      <c r="FG1521" s="110"/>
      <c r="FH1521" s="110"/>
      <c r="FI1521" s="110"/>
      <c r="FJ1521" s="110"/>
      <c r="FK1521" s="110"/>
      <c r="FL1521" s="110"/>
      <c r="FM1521" s="110"/>
      <c r="FN1521" s="110"/>
      <c r="FO1521" s="110"/>
      <c r="FP1521" s="110"/>
      <c r="FQ1521" s="110"/>
      <c r="FR1521" s="110"/>
      <c r="FS1521" s="110"/>
      <c r="FT1521" s="110"/>
      <c r="FU1521" s="110"/>
      <c r="FV1521" s="110"/>
      <c r="FW1521" s="110"/>
      <c r="FX1521" s="110"/>
      <c r="FY1521" s="110"/>
      <c r="FZ1521" s="110"/>
      <c r="GA1521" s="110"/>
      <c r="GB1521" s="110"/>
      <c r="GC1521" s="110"/>
      <c r="GD1521" s="110"/>
      <c r="GE1521" s="110"/>
      <c r="GF1521" s="110"/>
      <c r="GG1521" s="110"/>
      <c r="GH1521" s="110"/>
      <c r="GI1521" s="110"/>
      <c r="GJ1521" s="110"/>
      <c r="GK1521" s="110"/>
      <c r="GL1521" s="110"/>
      <c r="GM1521" s="110"/>
      <c r="GN1521" s="110"/>
      <c r="GO1521" s="110"/>
      <c r="GP1521" s="110"/>
      <c r="GQ1521" s="110"/>
      <c r="GR1521" s="110"/>
      <c r="GS1521" s="110"/>
      <c r="GT1521" s="110"/>
      <c r="GU1521" s="110"/>
      <c r="GV1521" s="110"/>
      <c r="GW1521" s="110"/>
      <c r="GX1521" s="110"/>
      <c r="GY1521" s="110"/>
      <c r="GZ1521" s="110"/>
      <c r="HA1521" s="110"/>
      <c r="HB1521" s="110"/>
      <c r="HC1521" s="110"/>
      <c r="HD1521" s="110"/>
      <c r="HE1521" s="110"/>
      <c r="HF1521" s="110"/>
      <c r="HG1521" s="110"/>
      <c r="HH1521" s="110"/>
      <c r="HI1521" s="110"/>
      <c r="HJ1521" s="110"/>
      <c r="HK1521" s="110"/>
      <c r="HL1521" s="110"/>
      <c r="HM1521" s="110"/>
      <c r="HN1521" s="110"/>
      <c r="HO1521" s="110"/>
      <c r="HP1521" s="110"/>
      <c r="HQ1521" s="110"/>
      <c r="HR1521" s="110"/>
      <c r="HS1521" s="110"/>
      <c r="HT1521" s="110"/>
      <c r="HU1521" s="110"/>
      <c r="HV1521" s="110"/>
      <c r="HW1521" s="110"/>
      <c r="HX1521" s="110"/>
      <c r="HY1521" s="110"/>
      <c r="HZ1521" s="110"/>
      <c r="IA1521" s="110"/>
      <c r="IB1521" s="110"/>
      <c r="IC1521" s="110"/>
      <c r="ID1521" s="110"/>
      <c r="IE1521" s="110"/>
      <c r="IF1521" s="110"/>
      <c r="IG1521" s="110"/>
      <c r="IH1521" s="110"/>
      <c r="II1521" s="110"/>
      <c r="IJ1521" s="110"/>
      <c r="IK1521" s="110"/>
      <c r="IL1521" s="110"/>
      <c r="IM1521" s="110"/>
      <c r="IN1521" s="110"/>
      <c r="IO1521" s="110"/>
      <c r="IP1521" s="110"/>
      <c r="IQ1521" s="110"/>
      <c r="IR1521" s="110"/>
    </row>
    <row r="1522" spans="18:252" ht="16.5" hidden="1" customHeight="1">
      <c r="R1522" s="264"/>
      <c r="S1522" s="110"/>
      <c r="T1522" s="110"/>
      <c r="U1522" s="110"/>
      <c r="V1522" s="110"/>
      <c r="W1522" s="266"/>
      <c r="X1522" s="110"/>
      <c r="Y1522" s="110"/>
      <c r="Z1522" s="110"/>
      <c r="AA1522" s="110"/>
      <c r="AB1522" s="110"/>
      <c r="AC1522" s="110"/>
      <c r="AD1522" s="110"/>
      <c r="AE1522" s="110"/>
      <c r="AF1522" s="110"/>
      <c r="AG1522" s="110"/>
      <c r="AH1522" s="110"/>
      <c r="AI1522" s="110"/>
      <c r="AJ1522" s="110"/>
      <c r="AK1522" s="110"/>
      <c r="AL1522" s="110"/>
      <c r="AM1522" s="110"/>
      <c r="AN1522" s="110"/>
      <c r="AO1522" s="110"/>
      <c r="AP1522" s="110"/>
      <c r="AQ1522" s="110"/>
      <c r="AR1522" s="110"/>
      <c r="AS1522" s="110"/>
      <c r="AT1522" s="110"/>
      <c r="AU1522" s="110"/>
      <c r="AV1522" s="110"/>
      <c r="AW1522" s="110"/>
      <c r="AX1522" s="110"/>
      <c r="AY1522" s="110"/>
      <c r="AZ1522" s="110"/>
      <c r="BA1522" s="110"/>
      <c r="BB1522" s="110"/>
      <c r="BC1522" s="110"/>
      <c r="BD1522" s="110"/>
      <c r="BE1522" s="110"/>
      <c r="BF1522" s="110"/>
      <c r="BG1522" s="110"/>
      <c r="BH1522" s="110"/>
      <c r="BI1522" s="110"/>
      <c r="BJ1522" s="110"/>
      <c r="BK1522" s="110"/>
      <c r="BL1522" s="110"/>
      <c r="BM1522" s="110"/>
      <c r="BN1522" s="110"/>
      <c r="BO1522" s="110"/>
      <c r="BP1522" s="110"/>
      <c r="BQ1522" s="110"/>
      <c r="BR1522" s="110"/>
      <c r="BS1522" s="110"/>
      <c r="BT1522" s="110"/>
      <c r="BU1522" s="110"/>
      <c r="BV1522" s="110"/>
      <c r="BW1522" s="110"/>
      <c r="BX1522" s="110"/>
      <c r="BY1522" s="110"/>
      <c r="BZ1522" s="110"/>
      <c r="CA1522" s="110"/>
      <c r="CB1522" s="110"/>
      <c r="CC1522" s="110"/>
      <c r="CD1522" s="110"/>
      <c r="CE1522" s="110"/>
      <c r="CF1522" s="110"/>
      <c r="CG1522" s="110"/>
      <c r="CH1522" s="110"/>
      <c r="CI1522" s="110"/>
      <c r="CJ1522" s="110"/>
      <c r="CK1522" s="110"/>
      <c r="CL1522" s="110"/>
      <c r="CM1522" s="110"/>
      <c r="CN1522" s="110"/>
      <c r="CO1522" s="110"/>
      <c r="CP1522" s="110"/>
      <c r="CQ1522" s="110"/>
      <c r="CR1522" s="110"/>
      <c r="CS1522" s="110"/>
      <c r="CT1522" s="110"/>
      <c r="CU1522" s="110"/>
      <c r="CV1522" s="110"/>
      <c r="CW1522" s="110"/>
      <c r="CX1522" s="110"/>
      <c r="CY1522" s="110"/>
      <c r="CZ1522" s="110"/>
      <c r="DA1522" s="110"/>
      <c r="DB1522" s="110"/>
      <c r="DC1522" s="110"/>
      <c r="DD1522" s="110"/>
      <c r="DE1522" s="110"/>
      <c r="DF1522" s="110"/>
      <c r="DG1522" s="110"/>
      <c r="DH1522" s="110"/>
      <c r="DI1522" s="110"/>
      <c r="DJ1522" s="110"/>
      <c r="DK1522" s="110"/>
      <c r="DL1522" s="110"/>
      <c r="DM1522" s="110"/>
      <c r="DN1522" s="110"/>
      <c r="DO1522" s="110"/>
      <c r="DP1522" s="110"/>
      <c r="DQ1522" s="110"/>
      <c r="DR1522" s="110"/>
      <c r="DS1522" s="110"/>
      <c r="DT1522" s="110"/>
      <c r="DU1522" s="110"/>
      <c r="DV1522" s="110"/>
      <c r="DW1522" s="110"/>
      <c r="DX1522" s="110"/>
      <c r="DY1522" s="110"/>
      <c r="DZ1522" s="110"/>
      <c r="EA1522" s="110"/>
      <c r="EB1522" s="110"/>
      <c r="EC1522" s="110"/>
      <c r="ED1522" s="110"/>
      <c r="EF1522" s="264"/>
      <c r="EG1522" s="110"/>
      <c r="EH1522" s="110"/>
      <c r="EI1522" s="110"/>
      <c r="EJ1522" s="110"/>
      <c r="EK1522" s="266"/>
      <c r="EL1522" s="110"/>
      <c r="EM1522" s="110"/>
      <c r="EN1522" s="110"/>
      <c r="EO1522" s="110"/>
      <c r="EP1522" s="110"/>
      <c r="EQ1522" s="110"/>
      <c r="ER1522" s="110"/>
      <c r="ES1522" s="110"/>
      <c r="ET1522" s="110"/>
      <c r="EU1522" s="110"/>
      <c r="EV1522" s="110"/>
      <c r="EW1522" s="110"/>
      <c r="EX1522" s="110"/>
      <c r="EY1522" s="110"/>
      <c r="EZ1522" s="110"/>
      <c r="FA1522" s="110"/>
      <c r="FB1522" s="110"/>
      <c r="FC1522" s="110"/>
      <c r="FD1522" s="110"/>
      <c r="FE1522" s="110"/>
      <c r="FF1522" s="110"/>
      <c r="FG1522" s="110"/>
      <c r="FH1522" s="110"/>
      <c r="FI1522" s="110"/>
      <c r="FJ1522" s="110"/>
      <c r="FK1522" s="110"/>
      <c r="FL1522" s="110"/>
      <c r="FM1522" s="110"/>
      <c r="FN1522" s="110"/>
      <c r="FO1522" s="110"/>
      <c r="FP1522" s="110"/>
      <c r="FQ1522" s="110"/>
      <c r="FR1522" s="110"/>
      <c r="FS1522" s="110"/>
      <c r="FT1522" s="110"/>
      <c r="FU1522" s="110"/>
      <c r="FV1522" s="110"/>
      <c r="FW1522" s="110"/>
      <c r="FX1522" s="110"/>
      <c r="FY1522" s="110"/>
      <c r="FZ1522" s="110"/>
      <c r="GA1522" s="110"/>
      <c r="GB1522" s="110"/>
      <c r="GC1522" s="110"/>
      <c r="GD1522" s="110"/>
      <c r="GE1522" s="110"/>
      <c r="GF1522" s="110"/>
      <c r="GG1522" s="110"/>
      <c r="GH1522" s="110"/>
      <c r="GI1522" s="110"/>
      <c r="GJ1522" s="110"/>
      <c r="GK1522" s="110"/>
      <c r="GL1522" s="110"/>
      <c r="GM1522" s="110"/>
      <c r="GN1522" s="110"/>
      <c r="GO1522" s="110"/>
      <c r="GP1522" s="110"/>
      <c r="GQ1522" s="110"/>
      <c r="GR1522" s="110"/>
      <c r="GS1522" s="110"/>
      <c r="GT1522" s="110"/>
      <c r="GU1522" s="110"/>
      <c r="GV1522" s="110"/>
      <c r="GW1522" s="110"/>
      <c r="GX1522" s="110"/>
      <c r="GY1522" s="110"/>
      <c r="GZ1522" s="110"/>
      <c r="HA1522" s="110"/>
      <c r="HB1522" s="110"/>
      <c r="HC1522" s="110"/>
      <c r="HD1522" s="110"/>
      <c r="HE1522" s="110"/>
      <c r="HF1522" s="110"/>
      <c r="HG1522" s="110"/>
      <c r="HH1522" s="110"/>
      <c r="HI1522" s="110"/>
      <c r="HJ1522" s="110"/>
      <c r="HK1522" s="110"/>
      <c r="HL1522" s="110"/>
      <c r="HM1522" s="110"/>
      <c r="HN1522" s="110"/>
      <c r="HO1522" s="110"/>
      <c r="HP1522" s="110"/>
      <c r="HQ1522" s="110"/>
      <c r="HR1522" s="110"/>
      <c r="HS1522" s="110"/>
      <c r="HT1522" s="110"/>
      <c r="HU1522" s="110"/>
      <c r="HV1522" s="110"/>
      <c r="HW1522" s="110"/>
      <c r="HX1522" s="110"/>
      <c r="HY1522" s="110"/>
      <c r="HZ1522" s="110"/>
      <c r="IA1522" s="110"/>
      <c r="IB1522" s="110"/>
      <c r="IC1522" s="110"/>
      <c r="ID1522" s="110"/>
      <c r="IE1522" s="110"/>
      <c r="IF1522" s="110"/>
      <c r="IG1522" s="110"/>
      <c r="IH1522" s="110"/>
      <c r="II1522" s="110"/>
      <c r="IJ1522" s="110"/>
      <c r="IK1522" s="110"/>
      <c r="IL1522" s="110"/>
      <c r="IM1522" s="110"/>
      <c r="IN1522" s="110"/>
      <c r="IO1522" s="110"/>
      <c r="IP1522" s="110"/>
      <c r="IQ1522" s="110"/>
      <c r="IR1522" s="110"/>
    </row>
    <row r="1523" spans="18:252" ht="16.5" hidden="1" customHeight="1">
      <c r="R1523" s="264"/>
      <c r="S1523" s="110"/>
      <c r="T1523" s="110"/>
      <c r="U1523" s="110"/>
      <c r="V1523" s="110"/>
      <c r="W1523" s="266"/>
      <c r="X1523" s="110"/>
      <c r="Y1523" s="110"/>
      <c r="Z1523" s="110"/>
      <c r="AA1523" s="110"/>
      <c r="AB1523" s="110"/>
      <c r="AC1523" s="110"/>
      <c r="AD1523" s="110"/>
      <c r="AE1523" s="110"/>
      <c r="AF1523" s="110"/>
      <c r="AG1523" s="110"/>
      <c r="AH1523" s="110"/>
      <c r="AI1523" s="110"/>
      <c r="AJ1523" s="110"/>
      <c r="AK1523" s="110"/>
      <c r="AL1523" s="110"/>
      <c r="AM1523" s="110"/>
      <c r="AN1523" s="110"/>
      <c r="AO1523" s="110"/>
      <c r="AP1523" s="110"/>
      <c r="AQ1523" s="110"/>
      <c r="AR1523" s="110"/>
      <c r="AS1523" s="110"/>
      <c r="AT1523" s="110"/>
      <c r="AU1523" s="110"/>
      <c r="AV1523" s="110"/>
      <c r="AW1523" s="110"/>
      <c r="AX1523" s="110"/>
      <c r="AY1523" s="110"/>
      <c r="AZ1523" s="110"/>
      <c r="BA1523" s="110"/>
      <c r="BB1523" s="110"/>
      <c r="BC1523" s="110"/>
      <c r="BD1523" s="110"/>
      <c r="BE1523" s="110"/>
      <c r="BF1523" s="110"/>
      <c r="BG1523" s="110"/>
      <c r="BH1523" s="110"/>
      <c r="BI1523" s="110"/>
      <c r="BJ1523" s="110"/>
      <c r="BK1523" s="110"/>
      <c r="BL1523" s="110"/>
      <c r="BM1523" s="110"/>
      <c r="BN1523" s="110"/>
      <c r="BO1523" s="110"/>
      <c r="BP1523" s="110"/>
      <c r="BQ1523" s="110"/>
      <c r="BR1523" s="110"/>
      <c r="BS1523" s="110"/>
      <c r="BT1523" s="110"/>
      <c r="BU1523" s="110"/>
      <c r="BV1523" s="110"/>
      <c r="BW1523" s="110"/>
      <c r="BX1523" s="110"/>
      <c r="BY1523" s="110"/>
      <c r="BZ1523" s="110"/>
      <c r="CA1523" s="110"/>
      <c r="CB1523" s="110"/>
      <c r="CC1523" s="110"/>
      <c r="CD1523" s="110"/>
      <c r="CE1523" s="110"/>
      <c r="CF1523" s="110"/>
      <c r="CG1523" s="110"/>
      <c r="CH1523" s="110"/>
      <c r="CI1523" s="110"/>
      <c r="CJ1523" s="110"/>
      <c r="CK1523" s="110"/>
      <c r="CL1523" s="110"/>
      <c r="CM1523" s="110"/>
      <c r="CN1523" s="110"/>
      <c r="CO1523" s="110"/>
      <c r="CP1523" s="110"/>
      <c r="CQ1523" s="110"/>
      <c r="CR1523" s="110"/>
      <c r="CS1523" s="110"/>
      <c r="CT1523" s="110"/>
      <c r="CU1523" s="110"/>
      <c r="CV1523" s="110"/>
      <c r="CW1523" s="110"/>
      <c r="CX1523" s="110"/>
      <c r="CY1523" s="110"/>
      <c r="CZ1523" s="110"/>
      <c r="DA1523" s="110"/>
      <c r="DB1523" s="110"/>
      <c r="DC1523" s="110"/>
      <c r="DD1523" s="110"/>
      <c r="DE1523" s="110"/>
      <c r="DF1523" s="110"/>
      <c r="DG1523" s="110"/>
      <c r="DH1523" s="110"/>
      <c r="DI1523" s="110"/>
      <c r="DJ1523" s="110"/>
      <c r="DK1523" s="110"/>
      <c r="DL1523" s="110"/>
      <c r="DM1523" s="110"/>
      <c r="DN1523" s="110"/>
      <c r="DO1523" s="110"/>
      <c r="DP1523" s="110"/>
      <c r="DQ1523" s="110"/>
      <c r="DR1523" s="110"/>
      <c r="DS1523" s="110"/>
      <c r="DT1523" s="110"/>
      <c r="DU1523" s="110"/>
      <c r="DV1523" s="110"/>
      <c r="DW1523" s="110"/>
      <c r="DX1523" s="110"/>
      <c r="DY1523" s="110"/>
      <c r="DZ1523" s="110"/>
      <c r="EA1523" s="110"/>
      <c r="EB1523" s="110"/>
      <c r="EC1523" s="110"/>
      <c r="ED1523" s="110"/>
      <c r="EF1523" s="264"/>
      <c r="EG1523" s="110"/>
      <c r="EH1523" s="110"/>
      <c r="EI1523" s="110"/>
      <c r="EJ1523" s="110"/>
      <c r="EK1523" s="266"/>
      <c r="EL1523" s="110"/>
      <c r="EM1523" s="110"/>
      <c r="EN1523" s="110"/>
      <c r="EO1523" s="110"/>
      <c r="EP1523" s="110"/>
      <c r="EQ1523" s="110"/>
      <c r="ER1523" s="110"/>
      <c r="ES1523" s="110"/>
      <c r="ET1523" s="110"/>
      <c r="EU1523" s="110"/>
      <c r="EV1523" s="110"/>
      <c r="EW1523" s="110"/>
      <c r="EX1523" s="110"/>
      <c r="EY1523" s="110"/>
      <c r="EZ1523" s="110"/>
      <c r="FA1523" s="110"/>
      <c r="FB1523" s="110"/>
      <c r="FC1523" s="110"/>
      <c r="FD1523" s="110"/>
      <c r="FE1523" s="110"/>
      <c r="FF1523" s="110"/>
      <c r="FG1523" s="110"/>
      <c r="FH1523" s="110"/>
      <c r="FI1523" s="110"/>
      <c r="FJ1523" s="110"/>
      <c r="FK1523" s="110"/>
      <c r="FL1523" s="110"/>
      <c r="FM1523" s="110"/>
      <c r="FN1523" s="110"/>
      <c r="FO1523" s="110"/>
      <c r="FP1523" s="110"/>
      <c r="FQ1523" s="110"/>
      <c r="FR1523" s="110"/>
      <c r="FS1523" s="110"/>
      <c r="FT1523" s="110"/>
      <c r="FU1523" s="110"/>
      <c r="FV1523" s="110"/>
      <c r="FW1523" s="110"/>
      <c r="FX1523" s="110"/>
      <c r="FY1523" s="110"/>
      <c r="FZ1523" s="110"/>
      <c r="GA1523" s="110"/>
      <c r="GB1523" s="110"/>
      <c r="GC1523" s="110"/>
      <c r="GD1523" s="110"/>
      <c r="GE1523" s="110"/>
      <c r="GF1523" s="110"/>
      <c r="GG1523" s="110"/>
      <c r="GH1523" s="110"/>
      <c r="GI1523" s="110"/>
      <c r="GJ1523" s="110"/>
      <c r="GK1523" s="110"/>
      <c r="GL1523" s="110"/>
      <c r="GM1523" s="110"/>
      <c r="GN1523" s="110"/>
      <c r="GO1523" s="110"/>
      <c r="GP1523" s="110"/>
      <c r="GQ1523" s="110"/>
      <c r="GR1523" s="110"/>
      <c r="GS1523" s="110"/>
      <c r="GT1523" s="110"/>
      <c r="GU1523" s="110"/>
      <c r="GV1523" s="110"/>
      <c r="GW1523" s="110"/>
      <c r="GX1523" s="110"/>
      <c r="GY1523" s="110"/>
      <c r="GZ1523" s="110"/>
      <c r="HA1523" s="110"/>
      <c r="HB1523" s="110"/>
      <c r="HC1523" s="110"/>
      <c r="HD1523" s="110"/>
      <c r="HE1523" s="110"/>
      <c r="HF1523" s="110"/>
      <c r="HG1523" s="110"/>
      <c r="HH1523" s="110"/>
      <c r="HI1523" s="110"/>
      <c r="HJ1523" s="110"/>
      <c r="HK1523" s="110"/>
      <c r="HL1523" s="110"/>
      <c r="HM1523" s="110"/>
      <c r="HN1523" s="110"/>
      <c r="HO1523" s="110"/>
      <c r="HP1523" s="110"/>
      <c r="HQ1523" s="110"/>
      <c r="HR1523" s="110"/>
      <c r="HS1523" s="110"/>
      <c r="HT1523" s="110"/>
      <c r="HU1523" s="110"/>
      <c r="HV1523" s="110"/>
      <c r="HW1523" s="110"/>
      <c r="HX1523" s="110"/>
      <c r="HY1523" s="110"/>
      <c r="HZ1523" s="110"/>
      <c r="IA1523" s="110"/>
      <c r="IB1523" s="110"/>
      <c r="IC1523" s="110"/>
      <c r="ID1523" s="110"/>
      <c r="IE1523" s="110"/>
      <c r="IF1523" s="110"/>
      <c r="IG1523" s="110"/>
      <c r="IH1523" s="110"/>
      <c r="II1523" s="110"/>
      <c r="IJ1523" s="110"/>
      <c r="IK1523" s="110"/>
      <c r="IL1523" s="110"/>
      <c r="IM1523" s="110"/>
      <c r="IN1523" s="110"/>
      <c r="IO1523" s="110"/>
      <c r="IP1523" s="110"/>
      <c r="IQ1523" s="110"/>
      <c r="IR1523" s="110"/>
    </row>
    <row r="1524" spans="18:252" ht="16.5" hidden="1" customHeight="1">
      <c r="R1524" s="264"/>
      <c r="S1524" s="110"/>
      <c r="T1524" s="110"/>
      <c r="U1524" s="110"/>
      <c r="V1524" s="110"/>
      <c r="W1524" s="266"/>
      <c r="X1524" s="110"/>
      <c r="Y1524" s="110"/>
      <c r="Z1524" s="110"/>
      <c r="AA1524" s="110"/>
      <c r="AB1524" s="110"/>
      <c r="AC1524" s="110"/>
      <c r="AD1524" s="110"/>
      <c r="AE1524" s="110"/>
      <c r="AF1524" s="110"/>
      <c r="AG1524" s="110"/>
      <c r="AH1524" s="110"/>
      <c r="AI1524" s="110"/>
      <c r="AJ1524" s="110"/>
      <c r="AK1524" s="110"/>
      <c r="AL1524" s="110"/>
      <c r="AM1524" s="110"/>
      <c r="AN1524" s="110"/>
      <c r="AO1524" s="110"/>
      <c r="AP1524" s="110"/>
      <c r="AQ1524" s="110"/>
      <c r="AR1524" s="110"/>
      <c r="AS1524" s="110"/>
      <c r="AT1524" s="110"/>
      <c r="AU1524" s="110"/>
      <c r="AV1524" s="110"/>
      <c r="AW1524" s="110"/>
      <c r="AX1524" s="110"/>
      <c r="AY1524" s="110"/>
      <c r="AZ1524" s="110"/>
      <c r="BA1524" s="110"/>
      <c r="BB1524" s="110"/>
      <c r="BC1524" s="110"/>
      <c r="BD1524" s="110"/>
      <c r="BE1524" s="110"/>
      <c r="BF1524" s="110"/>
      <c r="BG1524" s="110"/>
      <c r="BH1524" s="110"/>
      <c r="BI1524" s="110"/>
      <c r="BJ1524" s="110"/>
      <c r="BK1524" s="110"/>
      <c r="BL1524" s="110"/>
      <c r="BM1524" s="110"/>
      <c r="BN1524" s="110"/>
      <c r="BO1524" s="110"/>
      <c r="BP1524" s="110"/>
      <c r="BQ1524" s="110"/>
      <c r="BR1524" s="110"/>
      <c r="BS1524" s="110"/>
      <c r="BT1524" s="110"/>
      <c r="BU1524" s="110"/>
      <c r="BV1524" s="110"/>
      <c r="BW1524" s="110"/>
      <c r="BX1524" s="110"/>
      <c r="BY1524" s="110"/>
      <c r="BZ1524" s="110"/>
      <c r="CA1524" s="110"/>
      <c r="CB1524" s="110"/>
      <c r="CC1524" s="110"/>
      <c r="CD1524" s="110"/>
      <c r="CE1524" s="110"/>
      <c r="CF1524" s="110"/>
      <c r="CG1524" s="110"/>
      <c r="CH1524" s="110"/>
      <c r="CI1524" s="110"/>
      <c r="CJ1524" s="110"/>
      <c r="CK1524" s="110"/>
      <c r="CL1524" s="110"/>
      <c r="CM1524" s="110"/>
      <c r="CN1524" s="110"/>
      <c r="CO1524" s="110"/>
      <c r="CP1524" s="110"/>
      <c r="CQ1524" s="110"/>
      <c r="CR1524" s="110"/>
      <c r="CS1524" s="110"/>
      <c r="CT1524" s="110"/>
      <c r="CU1524" s="110"/>
      <c r="CV1524" s="110"/>
      <c r="CW1524" s="110"/>
      <c r="CX1524" s="110"/>
      <c r="CY1524" s="110"/>
      <c r="CZ1524" s="110"/>
      <c r="DA1524" s="110"/>
      <c r="DB1524" s="110"/>
      <c r="DC1524" s="110"/>
      <c r="DD1524" s="110"/>
      <c r="DE1524" s="110"/>
      <c r="DF1524" s="110"/>
      <c r="DG1524" s="110"/>
      <c r="DH1524" s="110"/>
      <c r="DI1524" s="110"/>
      <c r="DJ1524" s="110"/>
      <c r="DK1524" s="110"/>
      <c r="DL1524" s="110"/>
      <c r="DM1524" s="110"/>
      <c r="DN1524" s="110"/>
      <c r="DO1524" s="110"/>
      <c r="DP1524" s="110"/>
      <c r="DQ1524" s="110"/>
      <c r="DR1524" s="110"/>
      <c r="DS1524" s="110"/>
      <c r="DT1524" s="110"/>
      <c r="DU1524" s="110"/>
      <c r="DV1524" s="110"/>
      <c r="DW1524" s="110"/>
      <c r="DX1524" s="110"/>
      <c r="DY1524" s="110"/>
      <c r="DZ1524" s="110"/>
      <c r="EA1524" s="110"/>
      <c r="EB1524" s="110"/>
      <c r="EC1524" s="110"/>
      <c r="ED1524" s="110"/>
      <c r="EF1524" s="264"/>
      <c r="EG1524" s="110"/>
      <c r="EH1524" s="110"/>
      <c r="EI1524" s="110"/>
      <c r="EJ1524" s="110"/>
      <c r="EK1524" s="266"/>
      <c r="EL1524" s="110"/>
      <c r="EM1524" s="110"/>
      <c r="EN1524" s="110"/>
      <c r="EO1524" s="110"/>
      <c r="EP1524" s="110"/>
      <c r="EQ1524" s="110"/>
      <c r="ER1524" s="110"/>
      <c r="ES1524" s="110"/>
      <c r="ET1524" s="110"/>
      <c r="EU1524" s="110"/>
      <c r="EV1524" s="110"/>
      <c r="EW1524" s="110"/>
      <c r="EX1524" s="110"/>
      <c r="EY1524" s="110"/>
      <c r="EZ1524" s="110"/>
      <c r="FA1524" s="110"/>
      <c r="FB1524" s="110"/>
      <c r="FC1524" s="110"/>
      <c r="FD1524" s="110"/>
      <c r="FE1524" s="110"/>
      <c r="FF1524" s="110"/>
      <c r="FG1524" s="110"/>
      <c r="FH1524" s="110"/>
      <c r="FI1524" s="110"/>
      <c r="FJ1524" s="110"/>
      <c r="FK1524" s="110"/>
      <c r="FL1524" s="110"/>
      <c r="FM1524" s="110"/>
      <c r="FN1524" s="110"/>
      <c r="FO1524" s="110"/>
      <c r="FP1524" s="110"/>
      <c r="FQ1524" s="110"/>
      <c r="FR1524" s="110"/>
      <c r="FS1524" s="110"/>
      <c r="FT1524" s="110"/>
      <c r="FU1524" s="110"/>
      <c r="FV1524" s="110"/>
      <c r="FW1524" s="110"/>
      <c r="FX1524" s="110"/>
      <c r="FY1524" s="110"/>
      <c r="FZ1524" s="110"/>
      <c r="GA1524" s="110"/>
      <c r="GB1524" s="110"/>
      <c r="GC1524" s="110"/>
      <c r="GD1524" s="110"/>
      <c r="GE1524" s="110"/>
      <c r="GF1524" s="110"/>
      <c r="GG1524" s="110"/>
      <c r="GH1524" s="110"/>
      <c r="GI1524" s="110"/>
      <c r="GJ1524" s="110"/>
      <c r="GK1524" s="110"/>
      <c r="GL1524" s="110"/>
      <c r="GM1524" s="110"/>
      <c r="GN1524" s="110"/>
      <c r="GO1524" s="110"/>
      <c r="GP1524" s="110"/>
      <c r="GQ1524" s="110"/>
      <c r="GR1524" s="110"/>
      <c r="GS1524" s="110"/>
      <c r="GT1524" s="110"/>
      <c r="GU1524" s="110"/>
      <c r="GV1524" s="110"/>
      <c r="GW1524" s="110"/>
      <c r="GX1524" s="110"/>
      <c r="GY1524" s="110"/>
      <c r="GZ1524" s="110"/>
      <c r="HA1524" s="110"/>
      <c r="HB1524" s="110"/>
      <c r="HC1524" s="110"/>
      <c r="HD1524" s="110"/>
      <c r="HE1524" s="110"/>
      <c r="HF1524" s="110"/>
      <c r="HG1524" s="110"/>
      <c r="HH1524" s="110"/>
      <c r="HI1524" s="110"/>
      <c r="HJ1524" s="110"/>
      <c r="HK1524" s="110"/>
      <c r="HL1524" s="110"/>
      <c r="HM1524" s="110"/>
      <c r="HN1524" s="110"/>
      <c r="HO1524" s="110"/>
      <c r="HP1524" s="110"/>
      <c r="HQ1524" s="110"/>
      <c r="HR1524" s="110"/>
      <c r="HS1524" s="110"/>
      <c r="HT1524" s="110"/>
      <c r="HU1524" s="110"/>
      <c r="HV1524" s="110"/>
      <c r="HW1524" s="110"/>
      <c r="HX1524" s="110"/>
      <c r="HY1524" s="110"/>
      <c r="HZ1524" s="110"/>
      <c r="IA1524" s="110"/>
      <c r="IB1524" s="110"/>
      <c r="IC1524" s="110"/>
      <c r="ID1524" s="110"/>
      <c r="IE1524" s="110"/>
      <c r="IF1524" s="110"/>
      <c r="IG1524" s="110"/>
      <c r="IH1524" s="110"/>
      <c r="II1524" s="110"/>
      <c r="IJ1524" s="110"/>
      <c r="IK1524" s="110"/>
      <c r="IL1524" s="110"/>
      <c r="IM1524" s="110"/>
      <c r="IN1524" s="110"/>
      <c r="IO1524" s="110"/>
      <c r="IP1524" s="110"/>
      <c r="IQ1524" s="110"/>
      <c r="IR1524" s="110"/>
    </row>
    <row r="1525" spans="18:252" ht="16.5" hidden="1" customHeight="1">
      <c r="R1525" s="264"/>
      <c r="S1525" s="110"/>
      <c r="T1525" s="110"/>
      <c r="U1525" s="110"/>
      <c r="V1525" s="110"/>
      <c r="W1525" s="266"/>
      <c r="X1525" s="110"/>
      <c r="Y1525" s="110"/>
      <c r="Z1525" s="110"/>
      <c r="AA1525" s="110"/>
      <c r="AB1525" s="110"/>
      <c r="AC1525" s="110"/>
      <c r="AD1525" s="110"/>
      <c r="AE1525" s="110"/>
      <c r="AF1525" s="110"/>
      <c r="AG1525" s="110"/>
      <c r="AH1525" s="110"/>
      <c r="AI1525" s="110"/>
      <c r="AJ1525" s="110"/>
      <c r="AK1525" s="110"/>
      <c r="AL1525" s="110"/>
      <c r="AM1525" s="110"/>
      <c r="AN1525" s="110"/>
      <c r="AO1525" s="110"/>
      <c r="AP1525" s="110"/>
      <c r="AQ1525" s="110"/>
      <c r="AR1525" s="110"/>
      <c r="AS1525" s="110"/>
      <c r="AT1525" s="110"/>
      <c r="AU1525" s="110"/>
      <c r="AV1525" s="110"/>
      <c r="AW1525" s="110"/>
      <c r="AX1525" s="110"/>
      <c r="AY1525" s="110"/>
      <c r="AZ1525" s="110"/>
      <c r="BA1525" s="110"/>
      <c r="BB1525" s="110"/>
      <c r="BC1525" s="110"/>
      <c r="BD1525" s="110"/>
      <c r="BE1525" s="110"/>
      <c r="BF1525" s="110"/>
      <c r="BG1525" s="110"/>
      <c r="BH1525" s="110"/>
      <c r="BI1525" s="110"/>
      <c r="BJ1525" s="110"/>
      <c r="BK1525" s="110"/>
      <c r="BL1525" s="110"/>
      <c r="BM1525" s="110"/>
      <c r="BN1525" s="110"/>
      <c r="BO1525" s="110"/>
      <c r="BP1525" s="110"/>
      <c r="BQ1525" s="110"/>
      <c r="BR1525" s="110"/>
      <c r="BS1525" s="110"/>
      <c r="BT1525" s="110"/>
      <c r="BU1525" s="110"/>
      <c r="BV1525" s="110"/>
      <c r="BW1525" s="110"/>
      <c r="BX1525" s="110"/>
      <c r="BY1525" s="110"/>
      <c r="BZ1525" s="110"/>
      <c r="CA1525" s="110"/>
      <c r="CB1525" s="110"/>
      <c r="CC1525" s="110"/>
      <c r="CD1525" s="110"/>
      <c r="CE1525" s="110"/>
      <c r="CF1525" s="110"/>
      <c r="CG1525" s="110"/>
      <c r="CH1525" s="110"/>
      <c r="CI1525" s="110"/>
      <c r="CJ1525" s="110"/>
      <c r="CK1525" s="110"/>
      <c r="CL1525" s="110"/>
      <c r="CM1525" s="110"/>
      <c r="CN1525" s="110"/>
      <c r="CO1525" s="110"/>
      <c r="CP1525" s="110"/>
      <c r="CQ1525" s="110"/>
      <c r="CR1525" s="110"/>
      <c r="CS1525" s="110"/>
      <c r="CT1525" s="110"/>
      <c r="CU1525" s="110"/>
      <c r="CV1525" s="110"/>
      <c r="CW1525" s="110"/>
      <c r="CX1525" s="110"/>
      <c r="CY1525" s="110"/>
      <c r="CZ1525" s="110"/>
      <c r="DA1525" s="110"/>
      <c r="DB1525" s="110"/>
      <c r="DC1525" s="110"/>
      <c r="DD1525" s="110"/>
      <c r="DE1525" s="110"/>
      <c r="DF1525" s="110"/>
      <c r="DG1525" s="110"/>
      <c r="DH1525" s="110"/>
      <c r="DI1525" s="110"/>
      <c r="DJ1525" s="110"/>
      <c r="DK1525" s="110"/>
      <c r="DL1525" s="110"/>
      <c r="DM1525" s="110"/>
      <c r="DN1525" s="110"/>
      <c r="DO1525" s="110"/>
      <c r="DP1525" s="110"/>
      <c r="DQ1525" s="110"/>
      <c r="DR1525" s="110"/>
      <c r="DS1525" s="110"/>
      <c r="DT1525" s="110"/>
      <c r="DU1525" s="110"/>
      <c r="DV1525" s="110"/>
      <c r="DW1525" s="110"/>
      <c r="DX1525" s="110"/>
      <c r="DY1525" s="110"/>
      <c r="DZ1525" s="110"/>
      <c r="EA1525" s="110"/>
      <c r="EB1525" s="110"/>
      <c r="EC1525" s="110"/>
      <c r="ED1525" s="110"/>
      <c r="EF1525" s="264"/>
      <c r="EG1525" s="110"/>
      <c r="EH1525" s="110"/>
      <c r="EI1525" s="110"/>
      <c r="EJ1525" s="110"/>
      <c r="EK1525" s="266"/>
      <c r="EL1525" s="110"/>
      <c r="EM1525" s="110"/>
      <c r="EN1525" s="110"/>
      <c r="EO1525" s="110"/>
      <c r="EP1525" s="110"/>
      <c r="EQ1525" s="110"/>
      <c r="ER1525" s="110"/>
      <c r="ES1525" s="110"/>
      <c r="ET1525" s="110"/>
      <c r="EU1525" s="110"/>
      <c r="EV1525" s="110"/>
      <c r="EW1525" s="110"/>
      <c r="EX1525" s="110"/>
      <c r="EY1525" s="110"/>
      <c r="EZ1525" s="110"/>
      <c r="FA1525" s="110"/>
      <c r="FB1525" s="110"/>
      <c r="FC1525" s="110"/>
      <c r="FD1525" s="110"/>
      <c r="FE1525" s="110"/>
      <c r="FF1525" s="110"/>
      <c r="FG1525" s="110"/>
      <c r="FH1525" s="110"/>
      <c r="FI1525" s="110"/>
      <c r="FJ1525" s="110"/>
      <c r="FK1525" s="110"/>
      <c r="FL1525" s="110"/>
      <c r="FM1525" s="110"/>
      <c r="FN1525" s="110"/>
      <c r="FO1525" s="110"/>
      <c r="FP1525" s="110"/>
      <c r="FQ1525" s="110"/>
      <c r="FR1525" s="110"/>
      <c r="FS1525" s="110"/>
      <c r="FT1525" s="110"/>
      <c r="FU1525" s="110"/>
      <c r="FV1525" s="110"/>
      <c r="FW1525" s="110"/>
      <c r="FX1525" s="110"/>
      <c r="FY1525" s="110"/>
      <c r="FZ1525" s="110"/>
      <c r="GA1525" s="110"/>
      <c r="GB1525" s="110"/>
      <c r="GC1525" s="110"/>
      <c r="GD1525" s="110"/>
      <c r="GE1525" s="110"/>
      <c r="GF1525" s="110"/>
      <c r="GG1525" s="110"/>
      <c r="GH1525" s="110"/>
      <c r="GI1525" s="110"/>
      <c r="GJ1525" s="110"/>
      <c r="GK1525" s="110"/>
      <c r="GL1525" s="110"/>
      <c r="GM1525" s="110"/>
      <c r="GN1525" s="110"/>
      <c r="GO1525" s="110"/>
      <c r="GP1525" s="110"/>
      <c r="GQ1525" s="110"/>
      <c r="GR1525" s="110"/>
      <c r="GS1525" s="110"/>
      <c r="GT1525" s="110"/>
      <c r="GU1525" s="110"/>
      <c r="GV1525" s="110"/>
      <c r="GW1525" s="110"/>
      <c r="GX1525" s="110"/>
      <c r="GY1525" s="110"/>
      <c r="GZ1525" s="110"/>
      <c r="HA1525" s="110"/>
      <c r="HB1525" s="110"/>
      <c r="HC1525" s="110"/>
      <c r="HD1525" s="110"/>
      <c r="HE1525" s="110"/>
      <c r="HF1525" s="110"/>
      <c r="HG1525" s="110"/>
      <c r="HH1525" s="110"/>
      <c r="HI1525" s="110"/>
      <c r="HJ1525" s="110"/>
      <c r="HK1525" s="110"/>
      <c r="HL1525" s="110"/>
      <c r="HM1525" s="110"/>
      <c r="HN1525" s="110"/>
      <c r="HO1525" s="110"/>
      <c r="HP1525" s="110"/>
      <c r="HQ1525" s="110"/>
      <c r="HR1525" s="110"/>
      <c r="HS1525" s="110"/>
      <c r="HT1525" s="110"/>
      <c r="HU1525" s="110"/>
      <c r="HV1525" s="110"/>
      <c r="HW1525" s="110"/>
      <c r="HX1525" s="110"/>
      <c r="HY1525" s="110"/>
      <c r="HZ1525" s="110"/>
      <c r="IA1525" s="110"/>
      <c r="IB1525" s="110"/>
      <c r="IC1525" s="110"/>
      <c r="ID1525" s="110"/>
      <c r="IE1525" s="110"/>
      <c r="IF1525" s="110"/>
      <c r="IG1525" s="110"/>
      <c r="IH1525" s="110"/>
      <c r="II1525" s="110"/>
      <c r="IJ1525" s="110"/>
      <c r="IK1525" s="110"/>
      <c r="IL1525" s="110"/>
      <c r="IM1525" s="110"/>
      <c r="IN1525" s="110"/>
      <c r="IO1525" s="110"/>
      <c r="IP1525" s="110"/>
      <c r="IQ1525" s="110"/>
      <c r="IR1525" s="110"/>
    </row>
    <row r="1526" spans="18:252" ht="16.5" hidden="1" customHeight="1">
      <c r="R1526" s="264"/>
      <c r="S1526" s="110"/>
      <c r="T1526" s="110"/>
      <c r="U1526" s="110"/>
      <c r="V1526" s="110"/>
      <c r="W1526" s="266"/>
      <c r="X1526" s="110"/>
      <c r="Y1526" s="110"/>
      <c r="Z1526" s="110"/>
      <c r="AA1526" s="110"/>
      <c r="AB1526" s="110"/>
      <c r="AC1526" s="110"/>
      <c r="AD1526" s="110"/>
      <c r="AE1526" s="110"/>
      <c r="AF1526" s="110"/>
      <c r="AG1526" s="110"/>
      <c r="AH1526" s="110"/>
      <c r="AI1526" s="110"/>
      <c r="AJ1526" s="110"/>
      <c r="AK1526" s="110"/>
      <c r="AL1526" s="110"/>
      <c r="AM1526" s="110"/>
      <c r="AN1526" s="110"/>
      <c r="AO1526" s="110"/>
      <c r="AP1526" s="110"/>
      <c r="AQ1526" s="110"/>
      <c r="AR1526" s="110"/>
      <c r="AS1526" s="110"/>
      <c r="AT1526" s="110"/>
      <c r="AU1526" s="110"/>
      <c r="AV1526" s="110"/>
      <c r="AW1526" s="110"/>
      <c r="AX1526" s="110"/>
      <c r="AY1526" s="110"/>
      <c r="AZ1526" s="110"/>
      <c r="BA1526" s="110"/>
      <c r="BB1526" s="110"/>
      <c r="BC1526" s="110"/>
      <c r="BD1526" s="110"/>
      <c r="BE1526" s="110"/>
      <c r="BF1526" s="110"/>
      <c r="BG1526" s="110"/>
      <c r="BH1526" s="110"/>
      <c r="BI1526" s="110"/>
      <c r="BJ1526" s="110"/>
      <c r="BK1526" s="110"/>
      <c r="BL1526" s="110"/>
      <c r="BM1526" s="110"/>
      <c r="BN1526" s="110"/>
      <c r="BO1526" s="110"/>
      <c r="BP1526" s="110"/>
      <c r="BQ1526" s="110"/>
      <c r="BR1526" s="110"/>
      <c r="BS1526" s="110"/>
      <c r="BT1526" s="110"/>
      <c r="BU1526" s="110"/>
      <c r="BV1526" s="110"/>
      <c r="BW1526" s="110"/>
      <c r="BX1526" s="110"/>
      <c r="BY1526" s="110"/>
      <c r="BZ1526" s="110"/>
      <c r="CA1526" s="110"/>
      <c r="CB1526" s="110"/>
      <c r="CC1526" s="110"/>
      <c r="CD1526" s="110"/>
      <c r="CE1526" s="110"/>
      <c r="CF1526" s="110"/>
      <c r="CG1526" s="110"/>
      <c r="CH1526" s="110"/>
      <c r="CI1526" s="110"/>
      <c r="CJ1526" s="110"/>
      <c r="CK1526" s="110"/>
      <c r="CL1526" s="110"/>
      <c r="CM1526" s="110"/>
      <c r="CN1526" s="110"/>
      <c r="CO1526" s="110"/>
      <c r="CP1526" s="110"/>
      <c r="CQ1526" s="110"/>
      <c r="CR1526" s="110"/>
      <c r="CS1526" s="110"/>
      <c r="CT1526" s="110"/>
      <c r="CU1526" s="110"/>
      <c r="CV1526" s="110"/>
      <c r="CW1526" s="110"/>
      <c r="CX1526" s="110"/>
      <c r="CY1526" s="110"/>
      <c r="CZ1526" s="110"/>
      <c r="DA1526" s="110"/>
      <c r="DB1526" s="110"/>
      <c r="DC1526" s="110"/>
      <c r="DD1526" s="110"/>
      <c r="DE1526" s="110"/>
      <c r="DF1526" s="110"/>
      <c r="DG1526" s="110"/>
      <c r="DH1526" s="110"/>
      <c r="DI1526" s="110"/>
      <c r="DJ1526" s="110"/>
      <c r="DK1526" s="110"/>
      <c r="DL1526" s="110"/>
      <c r="DM1526" s="110"/>
      <c r="DN1526" s="110"/>
      <c r="DO1526" s="110"/>
      <c r="DP1526" s="110"/>
      <c r="DQ1526" s="110"/>
      <c r="DR1526" s="110"/>
      <c r="DS1526" s="110"/>
      <c r="DT1526" s="110"/>
      <c r="DU1526" s="110"/>
      <c r="DV1526" s="110"/>
      <c r="DW1526" s="110"/>
      <c r="DX1526" s="110"/>
      <c r="DY1526" s="110"/>
      <c r="DZ1526" s="110"/>
      <c r="EA1526" s="110"/>
      <c r="EB1526" s="110"/>
      <c r="EC1526" s="110"/>
      <c r="ED1526" s="110"/>
      <c r="EF1526" s="264"/>
      <c r="EG1526" s="110"/>
      <c r="EH1526" s="110"/>
      <c r="EI1526" s="110"/>
      <c r="EJ1526" s="110"/>
      <c r="EK1526" s="266"/>
      <c r="EL1526" s="110"/>
      <c r="EM1526" s="110"/>
      <c r="EN1526" s="110"/>
      <c r="EO1526" s="110"/>
      <c r="EP1526" s="110"/>
      <c r="EQ1526" s="110"/>
      <c r="ER1526" s="110"/>
      <c r="ES1526" s="110"/>
      <c r="ET1526" s="110"/>
      <c r="EU1526" s="110"/>
      <c r="EV1526" s="110"/>
      <c r="EW1526" s="110"/>
      <c r="EX1526" s="110"/>
      <c r="EY1526" s="110"/>
      <c r="EZ1526" s="110"/>
      <c r="FA1526" s="110"/>
      <c r="FB1526" s="110"/>
      <c r="FC1526" s="110"/>
      <c r="FD1526" s="110"/>
      <c r="FE1526" s="110"/>
      <c r="FF1526" s="110"/>
      <c r="FG1526" s="110"/>
      <c r="FH1526" s="110"/>
      <c r="FI1526" s="110"/>
      <c r="FJ1526" s="110"/>
      <c r="FK1526" s="110"/>
      <c r="FL1526" s="110"/>
      <c r="FM1526" s="110"/>
      <c r="FN1526" s="110"/>
      <c r="FO1526" s="110"/>
      <c r="FP1526" s="110"/>
      <c r="FQ1526" s="110"/>
      <c r="FR1526" s="110"/>
      <c r="FS1526" s="110"/>
      <c r="FT1526" s="110"/>
      <c r="FU1526" s="110"/>
      <c r="FV1526" s="110"/>
      <c r="FW1526" s="110"/>
      <c r="FX1526" s="110"/>
      <c r="FY1526" s="110"/>
      <c r="FZ1526" s="110"/>
      <c r="GA1526" s="110"/>
      <c r="GB1526" s="110"/>
      <c r="GC1526" s="110"/>
      <c r="GD1526" s="110"/>
      <c r="GE1526" s="110"/>
      <c r="GF1526" s="110"/>
      <c r="GG1526" s="110"/>
      <c r="GH1526" s="110"/>
      <c r="GI1526" s="110"/>
      <c r="GJ1526" s="110"/>
      <c r="GK1526" s="110"/>
      <c r="GL1526" s="110"/>
      <c r="GM1526" s="110"/>
      <c r="GN1526" s="110"/>
      <c r="GO1526" s="110"/>
      <c r="GP1526" s="110"/>
      <c r="GQ1526" s="110"/>
      <c r="GR1526" s="110"/>
      <c r="GS1526" s="110"/>
      <c r="GT1526" s="110"/>
      <c r="GU1526" s="110"/>
      <c r="GV1526" s="110"/>
      <c r="GW1526" s="110"/>
      <c r="GX1526" s="110"/>
      <c r="GY1526" s="110"/>
      <c r="GZ1526" s="110"/>
      <c r="HA1526" s="110"/>
      <c r="HB1526" s="110"/>
      <c r="HC1526" s="110"/>
      <c r="HD1526" s="110"/>
      <c r="HE1526" s="110"/>
      <c r="HF1526" s="110"/>
      <c r="HG1526" s="110"/>
      <c r="HH1526" s="110"/>
      <c r="HI1526" s="110"/>
      <c r="HJ1526" s="110"/>
      <c r="HK1526" s="110"/>
      <c r="HL1526" s="110"/>
      <c r="HM1526" s="110"/>
      <c r="HN1526" s="110"/>
      <c r="HO1526" s="110"/>
      <c r="HP1526" s="110"/>
      <c r="HQ1526" s="110"/>
      <c r="HR1526" s="110"/>
      <c r="HS1526" s="110"/>
      <c r="HT1526" s="110"/>
      <c r="HU1526" s="110"/>
      <c r="HV1526" s="110"/>
      <c r="HW1526" s="110"/>
      <c r="HX1526" s="110"/>
      <c r="HY1526" s="110"/>
      <c r="HZ1526" s="110"/>
      <c r="IA1526" s="110"/>
      <c r="IB1526" s="110"/>
      <c r="IC1526" s="110"/>
      <c r="ID1526" s="110"/>
      <c r="IE1526" s="110"/>
      <c r="IF1526" s="110"/>
      <c r="IG1526" s="110"/>
      <c r="IH1526" s="110"/>
      <c r="II1526" s="110"/>
      <c r="IJ1526" s="110"/>
      <c r="IK1526" s="110"/>
      <c r="IL1526" s="110"/>
      <c r="IM1526" s="110"/>
      <c r="IN1526" s="110"/>
      <c r="IO1526" s="110"/>
      <c r="IP1526" s="110"/>
      <c r="IQ1526" s="110"/>
      <c r="IR1526" s="110"/>
    </row>
    <row r="1527" spans="18:252" ht="16.5" hidden="1" customHeight="1">
      <c r="R1527" s="264"/>
      <c r="S1527" s="110"/>
      <c r="T1527" s="110"/>
      <c r="U1527" s="110"/>
      <c r="V1527" s="110"/>
      <c r="W1527" s="266"/>
      <c r="X1527" s="110"/>
      <c r="Y1527" s="110"/>
      <c r="Z1527" s="110"/>
      <c r="AA1527" s="110"/>
      <c r="AB1527" s="110"/>
      <c r="AC1527" s="110"/>
      <c r="AD1527" s="110"/>
      <c r="AE1527" s="110"/>
      <c r="AF1527" s="110"/>
      <c r="AG1527" s="110"/>
      <c r="AH1527" s="110"/>
      <c r="AI1527" s="110"/>
      <c r="AJ1527" s="110"/>
      <c r="AK1527" s="110"/>
      <c r="AL1527" s="110"/>
      <c r="AM1527" s="110"/>
      <c r="AN1527" s="110"/>
      <c r="AO1527" s="110"/>
      <c r="AP1527" s="110"/>
      <c r="AQ1527" s="110"/>
      <c r="AR1527" s="110"/>
      <c r="AS1527" s="110"/>
      <c r="AT1527" s="110"/>
      <c r="AU1527" s="110"/>
      <c r="AV1527" s="110"/>
      <c r="AW1527" s="110"/>
      <c r="AX1527" s="110"/>
      <c r="AY1527" s="110"/>
      <c r="AZ1527" s="110"/>
      <c r="BA1527" s="110"/>
      <c r="BB1527" s="110"/>
      <c r="BC1527" s="110"/>
      <c r="BD1527" s="110"/>
      <c r="BE1527" s="110"/>
      <c r="BF1527" s="110"/>
      <c r="BG1527" s="110"/>
      <c r="BH1527" s="110"/>
      <c r="BI1527" s="110"/>
      <c r="BJ1527" s="110"/>
      <c r="BK1527" s="110"/>
      <c r="BL1527" s="110"/>
      <c r="BM1527" s="110"/>
      <c r="BN1527" s="110"/>
      <c r="BO1527" s="110"/>
      <c r="BP1527" s="110"/>
      <c r="BQ1527" s="110"/>
      <c r="BR1527" s="110"/>
      <c r="BS1527" s="110"/>
      <c r="BT1527" s="110"/>
      <c r="BU1527" s="110"/>
      <c r="BV1527" s="110"/>
      <c r="BW1527" s="110"/>
      <c r="BX1527" s="110"/>
      <c r="BY1527" s="110"/>
      <c r="BZ1527" s="110"/>
      <c r="CA1527" s="110"/>
      <c r="CB1527" s="110"/>
      <c r="CC1527" s="110"/>
      <c r="CD1527" s="110"/>
      <c r="CE1527" s="110"/>
      <c r="CF1527" s="110"/>
      <c r="CG1527" s="110"/>
      <c r="CH1527" s="110"/>
      <c r="CI1527" s="110"/>
      <c r="CJ1527" s="110"/>
      <c r="CK1527" s="110"/>
      <c r="CL1527" s="110"/>
      <c r="CM1527" s="110"/>
      <c r="CN1527" s="110"/>
      <c r="CO1527" s="110"/>
      <c r="CP1527" s="110"/>
      <c r="CQ1527" s="110"/>
      <c r="CR1527" s="110"/>
      <c r="CS1527" s="110"/>
      <c r="CT1527" s="110"/>
      <c r="CU1527" s="110"/>
      <c r="CV1527" s="110"/>
      <c r="CW1527" s="110"/>
      <c r="CX1527" s="110"/>
      <c r="CY1527" s="110"/>
      <c r="CZ1527" s="110"/>
      <c r="DA1527" s="110"/>
      <c r="DB1527" s="110"/>
      <c r="DC1527" s="110"/>
      <c r="DD1527" s="110"/>
      <c r="DE1527" s="110"/>
      <c r="DF1527" s="110"/>
      <c r="DG1527" s="110"/>
      <c r="DH1527" s="110"/>
      <c r="DI1527" s="110"/>
      <c r="DJ1527" s="110"/>
      <c r="DK1527" s="110"/>
      <c r="DL1527" s="110"/>
      <c r="DM1527" s="110"/>
      <c r="DN1527" s="110"/>
      <c r="DO1527" s="110"/>
      <c r="DP1527" s="110"/>
      <c r="DQ1527" s="110"/>
      <c r="DR1527" s="110"/>
      <c r="DS1527" s="110"/>
      <c r="DT1527" s="110"/>
      <c r="DU1527" s="110"/>
      <c r="DV1527" s="110"/>
      <c r="DW1527" s="110"/>
      <c r="DX1527" s="110"/>
      <c r="DY1527" s="110"/>
      <c r="DZ1527" s="110"/>
      <c r="EA1527" s="110"/>
      <c r="EB1527" s="110"/>
      <c r="EC1527" s="110"/>
      <c r="ED1527" s="110"/>
      <c r="EF1527" s="264"/>
      <c r="EG1527" s="110"/>
      <c r="EH1527" s="110"/>
      <c r="EI1527" s="110"/>
      <c r="EJ1527" s="110"/>
      <c r="EK1527" s="266"/>
      <c r="EL1527" s="110"/>
      <c r="EM1527" s="110"/>
      <c r="EN1527" s="110"/>
      <c r="EO1527" s="110"/>
      <c r="EP1527" s="110"/>
      <c r="EQ1527" s="110"/>
      <c r="ER1527" s="110"/>
      <c r="ES1527" s="110"/>
      <c r="ET1527" s="110"/>
      <c r="EU1527" s="110"/>
      <c r="EV1527" s="110"/>
      <c r="EW1527" s="110"/>
      <c r="EX1527" s="110"/>
      <c r="EY1527" s="110"/>
      <c r="EZ1527" s="110"/>
      <c r="FA1527" s="110"/>
      <c r="FB1527" s="110"/>
      <c r="FC1527" s="110"/>
      <c r="FD1527" s="110"/>
      <c r="FE1527" s="110"/>
      <c r="FF1527" s="110"/>
      <c r="FG1527" s="110"/>
      <c r="FH1527" s="110"/>
      <c r="FI1527" s="110"/>
      <c r="FJ1527" s="110"/>
      <c r="FK1527" s="110"/>
      <c r="FL1527" s="110"/>
      <c r="FM1527" s="110"/>
      <c r="FN1527" s="110"/>
      <c r="FO1527" s="110"/>
      <c r="FP1527" s="110"/>
      <c r="FQ1527" s="110"/>
      <c r="FR1527" s="110"/>
      <c r="FS1527" s="110"/>
      <c r="FT1527" s="110"/>
      <c r="FU1527" s="110"/>
      <c r="FV1527" s="110"/>
      <c r="FW1527" s="110"/>
      <c r="FX1527" s="110"/>
      <c r="FY1527" s="110"/>
      <c r="FZ1527" s="110"/>
      <c r="GA1527" s="110"/>
      <c r="GB1527" s="110"/>
      <c r="GC1527" s="110"/>
      <c r="GD1527" s="110"/>
      <c r="GE1527" s="110"/>
      <c r="GF1527" s="110"/>
      <c r="GG1527" s="110"/>
      <c r="GH1527" s="110"/>
      <c r="GI1527" s="110"/>
      <c r="GJ1527" s="110"/>
      <c r="GK1527" s="110"/>
      <c r="GL1527" s="110"/>
      <c r="GM1527" s="110"/>
      <c r="GN1527" s="110"/>
      <c r="GO1527" s="110"/>
      <c r="GP1527" s="110"/>
      <c r="GQ1527" s="110"/>
      <c r="GR1527" s="110"/>
      <c r="GS1527" s="110"/>
      <c r="GT1527" s="110"/>
      <c r="GU1527" s="110"/>
      <c r="GV1527" s="110"/>
      <c r="GW1527" s="110"/>
      <c r="GX1527" s="110"/>
      <c r="GY1527" s="110"/>
      <c r="GZ1527" s="110"/>
      <c r="HA1527" s="110"/>
      <c r="HB1527" s="110"/>
      <c r="HC1527" s="110"/>
      <c r="HD1527" s="110"/>
      <c r="HE1527" s="110"/>
      <c r="HF1527" s="110"/>
      <c r="HG1527" s="110"/>
      <c r="HH1527" s="110"/>
      <c r="HI1527" s="110"/>
      <c r="HJ1527" s="110"/>
      <c r="HK1527" s="110"/>
      <c r="HL1527" s="110"/>
      <c r="HM1527" s="110"/>
      <c r="HN1527" s="110"/>
      <c r="HO1527" s="110"/>
      <c r="HP1527" s="110"/>
      <c r="HQ1527" s="110"/>
      <c r="HR1527" s="110"/>
      <c r="HS1527" s="110"/>
      <c r="HT1527" s="110"/>
      <c r="HU1527" s="110"/>
      <c r="HV1527" s="110"/>
      <c r="HW1527" s="110"/>
      <c r="HX1527" s="110"/>
      <c r="HY1527" s="110"/>
      <c r="HZ1527" s="110"/>
      <c r="IA1527" s="110"/>
      <c r="IB1527" s="110"/>
      <c r="IC1527" s="110"/>
      <c r="ID1527" s="110"/>
      <c r="IE1527" s="110"/>
      <c r="IF1527" s="110"/>
      <c r="IG1527" s="110"/>
      <c r="IH1527" s="110"/>
      <c r="II1527" s="110"/>
      <c r="IJ1527" s="110"/>
      <c r="IK1527" s="110"/>
      <c r="IL1527" s="110"/>
      <c r="IM1527" s="110"/>
      <c r="IN1527" s="110"/>
      <c r="IO1527" s="110"/>
      <c r="IP1527" s="110"/>
      <c r="IQ1527" s="110"/>
      <c r="IR1527" s="110"/>
    </row>
    <row r="1528" spans="18:252" ht="16.5" hidden="1" customHeight="1">
      <c r="R1528" s="264"/>
      <c r="S1528" s="110"/>
      <c r="T1528" s="110"/>
      <c r="U1528" s="110"/>
      <c r="V1528" s="110"/>
      <c r="W1528" s="266"/>
      <c r="X1528" s="110"/>
      <c r="Y1528" s="110"/>
      <c r="Z1528" s="110"/>
      <c r="AA1528" s="110"/>
      <c r="AB1528" s="110"/>
      <c r="AC1528" s="110"/>
      <c r="AD1528" s="110"/>
      <c r="AE1528" s="110"/>
      <c r="AF1528" s="110"/>
      <c r="AG1528" s="110"/>
      <c r="AH1528" s="110"/>
      <c r="AI1528" s="110"/>
      <c r="AJ1528" s="110"/>
      <c r="AK1528" s="110"/>
      <c r="AL1528" s="110"/>
      <c r="AM1528" s="110"/>
      <c r="AN1528" s="110"/>
      <c r="AO1528" s="110"/>
      <c r="AP1528" s="110"/>
      <c r="AQ1528" s="110"/>
      <c r="AR1528" s="110"/>
      <c r="AS1528" s="110"/>
      <c r="AT1528" s="110"/>
      <c r="AU1528" s="110"/>
      <c r="AV1528" s="110"/>
      <c r="AW1528" s="110"/>
      <c r="AX1528" s="110"/>
      <c r="AY1528" s="110"/>
      <c r="AZ1528" s="110"/>
      <c r="BA1528" s="110"/>
      <c r="BB1528" s="110"/>
      <c r="BC1528" s="110"/>
      <c r="BD1528" s="110"/>
      <c r="BE1528" s="110"/>
      <c r="BF1528" s="110"/>
      <c r="BG1528" s="110"/>
      <c r="BH1528" s="110"/>
      <c r="BI1528" s="110"/>
      <c r="BJ1528" s="110"/>
      <c r="BK1528" s="110"/>
      <c r="BL1528" s="110"/>
      <c r="BM1528" s="110"/>
      <c r="BN1528" s="110"/>
      <c r="BO1528" s="110"/>
      <c r="BP1528" s="110"/>
      <c r="BQ1528" s="110"/>
      <c r="BR1528" s="110"/>
      <c r="BS1528" s="110"/>
      <c r="BT1528" s="110"/>
      <c r="BU1528" s="110"/>
      <c r="BV1528" s="110"/>
      <c r="BW1528" s="110"/>
      <c r="BX1528" s="110"/>
      <c r="BY1528" s="110"/>
      <c r="BZ1528" s="110"/>
      <c r="CA1528" s="110"/>
      <c r="CB1528" s="110"/>
      <c r="CC1528" s="110"/>
      <c r="CD1528" s="110"/>
      <c r="CE1528" s="110"/>
      <c r="CF1528" s="110"/>
      <c r="CG1528" s="110"/>
      <c r="CH1528" s="110"/>
      <c r="CI1528" s="110"/>
      <c r="CJ1528" s="110"/>
      <c r="CK1528" s="110"/>
      <c r="CL1528" s="110"/>
      <c r="CM1528" s="110"/>
      <c r="CN1528" s="110"/>
      <c r="CO1528" s="110"/>
      <c r="CP1528" s="110"/>
      <c r="CQ1528" s="110"/>
      <c r="CR1528" s="110"/>
      <c r="CS1528" s="110"/>
      <c r="CT1528" s="110"/>
      <c r="CU1528" s="110"/>
      <c r="CV1528" s="110"/>
      <c r="CW1528" s="110"/>
      <c r="CX1528" s="110"/>
      <c r="CY1528" s="110"/>
      <c r="CZ1528" s="110"/>
      <c r="DA1528" s="110"/>
      <c r="DB1528" s="110"/>
      <c r="DC1528" s="110"/>
      <c r="DD1528" s="110"/>
      <c r="DE1528" s="110"/>
      <c r="DF1528" s="110"/>
      <c r="DG1528" s="110"/>
      <c r="DH1528" s="110"/>
      <c r="DI1528" s="110"/>
      <c r="DJ1528" s="110"/>
      <c r="DK1528" s="110"/>
      <c r="DL1528" s="110"/>
      <c r="DM1528" s="110"/>
      <c r="DN1528" s="110"/>
      <c r="DO1528" s="110"/>
      <c r="DP1528" s="110"/>
      <c r="DQ1528" s="110"/>
      <c r="DR1528" s="110"/>
      <c r="DS1528" s="110"/>
      <c r="DT1528" s="110"/>
      <c r="DU1528" s="110"/>
      <c r="DV1528" s="110"/>
      <c r="DW1528" s="110"/>
      <c r="DX1528" s="110"/>
      <c r="DY1528" s="110"/>
      <c r="DZ1528" s="110"/>
      <c r="EA1528" s="110"/>
      <c r="EB1528" s="110"/>
      <c r="EC1528" s="110"/>
      <c r="ED1528" s="110"/>
      <c r="EF1528" s="264"/>
      <c r="EG1528" s="110"/>
      <c r="EH1528" s="110"/>
      <c r="EI1528" s="110"/>
      <c r="EJ1528" s="110"/>
      <c r="EK1528" s="266"/>
      <c r="EL1528" s="110"/>
      <c r="EM1528" s="110"/>
      <c r="EN1528" s="110"/>
      <c r="EO1528" s="110"/>
      <c r="EP1528" s="110"/>
      <c r="EQ1528" s="110"/>
      <c r="ER1528" s="110"/>
      <c r="ES1528" s="110"/>
      <c r="ET1528" s="110"/>
      <c r="EU1528" s="110"/>
      <c r="EV1528" s="110"/>
      <c r="EW1528" s="110"/>
      <c r="EX1528" s="110"/>
      <c r="EY1528" s="110"/>
      <c r="EZ1528" s="110"/>
      <c r="FA1528" s="110"/>
      <c r="FB1528" s="110"/>
      <c r="FC1528" s="110"/>
      <c r="FD1528" s="110"/>
      <c r="FE1528" s="110"/>
      <c r="FF1528" s="110"/>
      <c r="FG1528" s="110"/>
      <c r="FH1528" s="110"/>
      <c r="FI1528" s="110"/>
      <c r="FJ1528" s="110"/>
      <c r="FK1528" s="110"/>
      <c r="FL1528" s="110"/>
      <c r="FM1528" s="110"/>
      <c r="FN1528" s="110"/>
      <c r="FO1528" s="110"/>
      <c r="FP1528" s="110"/>
      <c r="FQ1528" s="110"/>
      <c r="FR1528" s="110"/>
      <c r="FS1528" s="110"/>
      <c r="FT1528" s="110"/>
      <c r="FU1528" s="110"/>
      <c r="FV1528" s="110"/>
      <c r="FW1528" s="110"/>
      <c r="FX1528" s="110"/>
      <c r="FY1528" s="110"/>
      <c r="FZ1528" s="110"/>
      <c r="GA1528" s="110"/>
      <c r="GB1528" s="110"/>
      <c r="GC1528" s="110"/>
      <c r="GD1528" s="110"/>
      <c r="GE1528" s="110"/>
      <c r="GF1528" s="110"/>
      <c r="GG1528" s="110"/>
      <c r="GH1528" s="110"/>
      <c r="GI1528" s="110"/>
      <c r="GJ1528" s="110"/>
      <c r="GK1528" s="110"/>
      <c r="GL1528" s="110"/>
      <c r="GM1528" s="110"/>
      <c r="GN1528" s="110"/>
      <c r="GO1528" s="110"/>
      <c r="GP1528" s="110"/>
      <c r="GQ1528" s="110"/>
      <c r="GR1528" s="110"/>
      <c r="GS1528" s="110"/>
      <c r="GT1528" s="110"/>
      <c r="GU1528" s="110"/>
      <c r="GV1528" s="110"/>
      <c r="GW1528" s="110"/>
      <c r="GX1528" s="110"/>
      <c r="GY1528" s="110"/>
      <c r="GZ1528" s="110"/>
      <c r="HA1528" s="110"/>
      <c r="HB1528" s="110"/>
      <c r="HC1528" s="110"/>
      <c r="HD1528" s="110"/>
      <c r="HE1528" s="110"/>
      <c r="HF1528" s="110"/>
      <c r="HG1528" s="110"/>
      <c r="HH1528" s="110"/>
      <c r="HI1528" s="110"/>
      <c r="HJ1528" s="110"/>
      <c r="HK1528" s="110"/>
      <c r="HL1528" s="110"/>
      <c r="HM1528" s="110"/>
      <c r="HN1528" s="110"/>
      <c r="HO1528" s="110"/>
      <c r="HP1528" s="110"/>
      <c r="HQ1528" s="110"/>
      <c r="HR1528" s="110"/>
      <c r="HS1528" s="110"/>
      <c r="HT1528" s="110"/>
      <c r="HU1528" s="110"/>
      <c r="HV1528" s="110"/>
      <c r="HW1528" s="110"/>
      <c r="HX1528" s="110"/>
      <c r="HY1528" s="110"/>
      <c r="HZ1528" s="110"/>
      <c r="IA1528" s="110"/>
      <c r="IB1528" s="110"/>
      <c r="IC1528" s="110"/>
      <c r="ID1528" s="110"/>
      <c r="IE1528" s="110"/>
      <c r="IF1528" s="110"/>
      <c r="IG1528" s="110"/>
      <c r="IH1528" s="110"/>
      <c r="II1528" s="110"/>
      <c r="IJ1528" s="110"/>
      <c r="IK1528" s="110"/>
      <c r="IL1528" s="110"/>
      <c r="IM1528" s="110"/>
      <c r="IN1528" s="110"/>
      <c r="IO1528" s="110"/>
      <c r="IP1528" s="110"/>
      <c r="IQ1528" s="110"/>
      <c r="IR1528" s="110"/>
    </row>
    <row r="1529" spans="18:252" ht="16.5" hidden="1" customHeight="1">
      <c r="R1529" s="264"/>
      <c r="S1529" s="110"/>
      <c r="T1529" s="110"/>
      <c r="U1529" s="110"/>
      <c r="V1529" s="110"/>
      <c r="W1529" s="266"/>
      <c r="X1529" s="110"/>
      <c r="Y1529" s="110"/>
      <c r="Z1529" s="110"/>
      <c r="AA1529" s="110"/>
      <c r="AB1529" s="110"/>
      <c r="AC1529" s="110"/>
      <c r="AD1529" s="110"/>
      <c r="AE1529" s="110"/>
      <c r="AF1529" s="110"/>
      <c r="AG1529" s="110"/>
      <c r="AH1529" s="110"/>
      <c r="AI1529" s="110"/>
      <c r="AJ1529" s="110"/>
      <c r="AK1529" s="110"/>
      <c r="AL1529" s="110"/>
      <c r="AM1529" s="110"/>
      <c r="AN1529" s="110"/>
      <c r="AO1529" s="110"/>
      <c r="AP1529" s="110"/>
      <c r="AQ1529" s="110"/>
      <c r="AR1529" s="110"/>
      <c r="AS1529" s="110"/>
      <c r="AT1529" s="110"/>
      <c r="AU1529" s="110"/>
      <c r="AV1529" s="110"/>
      <c r="AW1529" s="110"/>
      <c r="AX1529" s="110"/>
      <c r="AY1529" s="110"/>
      <c r="AZ1529" s="110"/>
      <c r="BA1529" s="110"/>
      <c r="BB1529" s="110"/>
      <c r="BC1529" s="110"/>
      <c r="BD1529" s="110"/>
      <c r="BE1529" s="110"/>
      <c r="BF1529" s="110"/>
      <c r="BG1529" s="110"/>
      <c r="BH1529" s="110"/>
      <c r="BI1529" s="110"/>
      <c r="BJ1529" s="110"/>
      <c r="BK1529" s="110"/>
      <c r="BL1529" s="110"/>
      <c r="BM1529" s="110"/>
      <c r="BN1529" s="110"/>
      <c r="BO1529" s="110"/>
      <c r="BP1529" s="110"/>
      <c r="BQ1529" s="110"/>
      <c r="BR1529" s="110"/>
      <c r="BS1529" s="110"/>
      <c r="BT1529" s="110"/>
      <c r="BU1529" s="110"/>
      <c r="BV1529" s="110"/>
      <c r="BW1529" s="110"/>
      <c r="BX1529" s="110"/>
      <c r="BY1529" s="110"/>
      <c r="BZ1529" s="110"/>
      <c r="CA1529" s="110"/>
      <c r="CB1529" s="110"/>
      <c r="CC1529" s="110"/>
      <c r="CD1529" s="110"/>
      <c r="CE1529" s="110"/>
      <c r="CF1529" s="110"/>
      <c r="CG1529" s="110"/>
      <c r="CH1529" s="110"/>
      <c r="CI1529" s="110"/>
      <c r="CJ1529" s="110"/>
      <c r="CK1529" s="110"/>
      <c r="CL1529" s="110"/>
      <c r="CM1529" s="110"/>
      <c r="CN1529" s="110"/>
      <c r="CO1529" s="110"/>
      <c r="CP1529" s="110"/>
      <c r="CQ1529" s="110"/>
      <c r="CR1529" s="110"/>
      <c r="CS1529" s="110"/>
      <c r="CT1529" s="110"/>
      <c r="CU1529" s="110"/>
      <c r="CV1529" s="110"/>
      <c r="CW1529" s="110"/>
      <c r="CX1529" s="110"/>
      <c r="CY1529" s="110"/>
      <c r="CZ1529" s="110"/>
      <c r="DA1529" s="110"/>
      <c r="DB1529" s="110"/>
      <c r="DC1529" s="110"/>
      <c r="DD1529" s="110"/>
      <c r="DE1529" s="110"/>
      <c r="DF1529" s="110"/>
      <c r="DG1529" s="110"/>
      <c r="DH1529" s="110"/>
      <c r="DI1529" s="110"/>
      <c r="DJ1529" s="110"/>
      <c r="DK1529" s="110"/>
      <c r="DL1529" s="110"/>
      <c r="DM1529" s="110"/>
      <c r="DN1529" s="110"/>
      <c r="DO1529" s="110"/>
      <c r="DP1529" s="110"/>
      <c r="DQ1529" s="110"/>
      <c r="DR1529" s="110"/>
      <c r="DS1529" s="110"/>
      <c r="DT1529" s="110"/>
      <c r="DU1529" s="110"/>
      <c r="DV1529" s="110"/>
      <c r="DW1529" s="110"/>
      <c r="DX1529" s="110"/>
      <c r="DY1529" s="110"/>
      <c r="DZ1529" s="110"/>
      <c r="EA1529" s="110"/>
      <c r="EB1529" s="110"/>
      <c r="EC1529" s="110"/>
      <c r="ED1529" s="110"/>
      <c r="EF1529" s="264"/>
      <c r="EG1529" s="110"/>
      <c r="EH1529" s="110"/>
      <c r="EI1529" s="110"/>
      <c r="EJ1529" s="110"/>
      <c r="EK1529" s="266"/>
      <c r="EL1529" s="110"/>
      <c r="EM1529" s="110"/>
      <c r="EN1529" s="110"/>
      <c r="EO1529" s="110"/>
      <c r="EP1529" s="110"/>
      <c r="EQ1529" s="110"/>
      <c r="ER1529" s="110"/>
      <c r="ES1529" s="110"/>
      <c r="ET1529" s="110"/>
      <c r="EU1529" s="110"/>
      <c r="EV1529" s="110"/>
      <c r="EW1529" s="110"/>
      <c r="EX1529" s="110"/>
      <c r="EY1529" s="110"/>
      <c r="EZ1529" s="110"/>
      <c r="FA1529" s="110"/>
      <c r="FB1529" s="110"/>
      <c r="FC1529" s="110"/>
      <c r="FD1529" s="110"/>
      <c r="FE1529" s="110"/>
      <c r="FF1529" s="110"/>
      <c r="FG1529" s="110"/>
      <c r="FH1529" s="110"/>
      <c r="FI1529" s="110"/>
      <c r="FJ1529" s="110"/>
      <c r="FK1529" s="110"/>
      <c r="FL1529" s="110"/>
      <c r="FM1529" s="110"/>
      <c r="FN1529" s="110"/>
      <c r="FO1529" s="110"/>
      <c r="FP1529" s="110"/>
      <c r="FQ1529" s="110"/>
      <c r="FR1529" s="110"/>
      <c r="FS1529" s="110"/>
      <c r="FT1529" s="110"/>
      <c r="FU1529" s="110"/>
      <c r="FV1529" s="110"/>
      <c r="FW1529" s="110"/>
      <c r="FX1529" s="110"/>
      <c r="FY1529" s="110"/>
      <c r="FZ1529" s="110"/>
      <c r="GA1529" s="110"/>
      <c r="GB1529" s="110"/>
      <c r="GC1529" s="110"/>
      <c r="GD1529" s="110"/>
      <c r="GE1529" s="110"/>
      <c r="GF1529" s="110"/>
      <c r="GG1529" s="110"/>
      <c r="GH1529" s="110"/>
      <c r="GI1529" s="110"/>
      <c r="GJ1529" s="110"/>
      <c r="GK1529" s="110"/>
      <c r="GL1529" s="110"/>
      <c r="GM1529" s="110"/>
      <c r="GN1529" s="110"/>
      <c r="GO1529" s="110"/>
      <c r="GP1529" s="110"/>
      <c r="GQ1529" s="110"/>
      <c r="GR1529" s="110"/>
      <c r="GS1529" s="110"/>
      <c r="GT1529" s="110"/>
      <c r="GU1529" s="110"/>
      <c r="GV1529" s="110"/>
      <c r="GW1529" s="110"/>
      <c r="GX1529" s="110"/>
      <c r="GY1529" s="110"/>
      <c r="GZ1529" s="110"/>
      <c r="HA1529" s="110"/>
      <c r="HB1529" s="110"/>
      <c r="HC1529" s="110"/>
      <c r="HD1529" s="110"/>
      <c r="HE1529" s="110"/>
      <c r="HF1529" s="110"/>
      <c r="HG1529" s="110"/>
      <c r="HH1529" s="110"/>
      <c r="HI1529" s="110"/>
      <c r="HJ1529" s="110"/>
      <c r="HK1529" s="110"/>
      <c r="HL1529" s="110"/>
      <c r="HM1529" s="110"/>
      <c r="HN1529" s="110"/>
      <c r="HO1529" s="110"/>
      <c r="HP1529" s="110"/>
      <c r="HQ1529" s="110"/>
      <c r="HR1529" s="110"/>
      <c r="HS1529" s="110"/>
      <c r="HT1529" s="110"/>
      <c r="HU1529" s="110"/>
      <c r="HV1529" s="110"/>
      <c r="HW1529" s="110"/>
      <c r="HX1529" s="110"/>
      <c r="HY1529" s="110"/>
      <c r="HZ1529" s="110"/>
      <c r="IA1529" s="110"/>
      <c r="IB1529" s="110"/>
      <c r="IC1529" s="110"/>
      <c r="ID1529" s="110"/>
      <c r="IE1529" s="110"/>
      <c r="IF1529" s="110"/>
      <c r="IG1529" s="110"/>
      <c r="IH1529" s="110"/>
      <c r="II1529" s="110"/>
      <c r="IJ1529" s="110"/>
      <c r="IK1529" s="110"/>
      <c r="IL1529" s="110"/>
      <c r="IM1529" s="110"/>
      <c r="IN1529" s="110"/>
      <c r="IO1529" s="110"/>
      <c r="IP1529" s="110"/>
      <c r="IQ1529" s="110"/>
      <c r="IR1529" s="110"/>
    </row>
    <row r="1530" spans="18:252" ht="16.5" hidden="1" customHeight="1">
      <c r="R1530" s="264"/>
      <c r="S1530" s="110"/>
      <c r="T1530" s="110"/>
      <c r="U1530" s="110"/>
      <c r="V1530" s="110"/>
      <c r="W1530" s="266"/>
      <c r="X1530" s="110"/>
      <c r="Y1530" s="110"/>
      <c r="Z1530" s="110"/>
      <c r="AA1530" s="110"/>
      <c r="AB1530" s="110"/>
      <c r="AC1530" s="110"/>
      <c r="AD1530" s="110"/>
      <c r="AE1530" s="110"/>
      <c r="AF1530" s="110"/>
      <c r="AG1530" s="110"/>
      <c r="AH1530" s="110"/>
      <c r="AI1530" s="110"/>
      <c r="AJ1530" s="110"/>
      <c r="AK1530" s="110"/>
      <c r="AL1530" s="110"/>
      <c r="AM1530" s="110"/>
      <c r="AN1530" s="110"/>
      <c r="AO1530" s="110"/>
      <c r="AP1530" s="110"/>
      <c r="AQ1530" s="110"/>
      <c r="AR1530" s="110"/>
      <c r="AS1530" s="110"/>
      <c r="AT1530" s="110"/>
      <c r="AU1530" s="110"/>
      <c r="AV1530" s="110"/>
      <c r="AW1530" s="110"/>
      <c r="AX1530" s="110"/>
      <c r="AY1530" s="110"/>
      <c r="AZ1530" s="110"/>
      <c r="BA1530" s="110"/>
      <c r="BB1530" s="110"/>
      <c r="BC1530" s="110"/>
      <c r="BD1530" s="110"/>
      <c r="BE1530" s="110"/>
      <c r="BF1530" s="110"/>
      <c r="BG1530" s="110"/>
      <c r="BH1530" s="110"/>
      <c r="BI1530" s="110"/>
      <c r="BJ1530" s="110"/>
      <c r="BK1530" s="110"/>
      <c r="BL1530" s="110"/>
      <c r="BM1530" s="110"/>
      <c r="BN1530" s="110"/>
      <c r="BO1530" s="110"/>
      <c r="BP1530" s="110"/>
      <c r="BQ1530" s="110"/>
      <c r="BR1530" s="110"/>
      <c r="BS1530" s="110"/>
      <c r="BT1530" s="110"/>
      <c r="BU1530" s="110"/>
      <c r="BV1530" s="110"/>
      <c r="BW1530" s="110"/>
      <c r="BX1530" s="110"/>
      <c r="BY1530" s="110"/>
      <c r="BZ1530" s="110"/>
      <c r="CA1530" s="110"/>
      <c r="CB1530" s="110"/>
      <c r="CC1530" s="110"/>
      <c r="CD1530" s="110"/>
      <c r="CE1530" s="110"/>
      <c r="CF1530" s="110"/>
      <c r="CG1530" s="110"/>
      <c r="CH1530" s="110"/>
      <c r="CI1530" s="110"/>
      <c r="CJ1530" s="110"/>
      <c r="CK1530" s="110"/>
      <c r="CL1530" s="110"/>
      <c r="CM1530" s="110"/>
      <c r="CN1530" s="110"/>
      <c r="CO1530" s="110"/>
      <c r="CP1530" s="110"/>
      <c r="CQ1530" s="110"/>
      <c r="CR1530" s="110"/>
      <c r="CS1530" s="110"/>
      <c r="CT1530" s="110"/>
      <c r="CU1530" s="110"/>
      <c r="CV1530" s="110"/>
      <c r="CW1530" s="110"/>
      <c r="CX1530" s="110"/>
      <c r="CY1530" s="110"/>
      <c r="CZ1530" s="110"/>
      <c r="DA1530" s="110"/>
      <c r="DB1530" s="110"/>
      <c r="DC1530" s="110"/>
      <c r="DD1530" s="110"/>
      <c r="DE1530" s="110"/>
      <c r="DF1530" s="110"/>
      <c r="DG1530" s="110"/>
      <c r="DH1530" s="110"/>
      <c r="DI1530" s="110"/>
      <c r="DJ1530" s="110"/>
      <c r="DK1530" s="110"/>
      <c r="DL1530" s="110"/>
      <c r="DM1530" s="110"/>
      <c r="DN1530" s="110"/>
      <c r="DO1530" s="110"/>
      <c r="DP1530" s="110"/>
      <c r="DQ1530" s="110"/>
      <c r="DR1530" s="110"/>
      <c r="DS1530" s="110"/>
      <c r="DT1530" s="110"/>
      <c r="DU1530" s="110"/>
      <c r="DV1530" s="110"/>
      <c r="DW1530" s="110"/>
      <c r="DX1530" s="110"/>
      <c r="DY1530" s="110"/>
      <c r="DZ1530" s="110"/>
      <c r="EA1530" s="110"/>
      <c r="EB1530" s="110"/>
      <c r="EC1530" s="110"/>
      <c r="ED1530" s="110"/>
      <c r="EF1530" s="264"/>
      <c r="EG1530" s="110"/>
      <c r="EH1530" s="110"/>
      <c r="EI1530" s="110"/>
      <c r="EJ1530" s="110"/>
      <c r="EK1530" s="266"/>
      <c r="EL1530" s="110"/>
      <c r="EM1530" s="110"/>
      <c r="EN1530" s="110"/>
      <c r="EO1530" s="110"/>
      <c r="EP1530" s="110"/>
      <c r="EQ1530" s="110"/>
      <c r="ER1530" s="110"/>
      <c r="ES1530" s="110"/>
      <c r="ET1530" s="110"/>
      <c r="EU1530" s="110"/>
      <c r="EV1530" s="110"/>
      <c r="EW1530" s="110"/>
      <c r="EX1530" s="110"/>
      <c r="EY1530" s="110"/>
      <c r="EZ1530" s="110"/>
      <c r="FA1530" s="110"/>
      <c r="FB1530" s="110"/>
      <c r="FC1530" s="110"/>
      <c r="FD1530" s="110"/>
      <c r="FE1530" s="110"/>
      <c r="FF1530" s="110"/>
      <c r="FG1530" s="110"/>
      <c r="FH1530" s="110"/>
      <c r="FI1530" s="110"/>
      <c r="FJ1530" s="110"/>
      <c r="FK1530" s="110"/>
      <c r="FL1530" s="110"/>
      <c r="FM1530" s="110"/>
      <c r="FN1530" s="110"/>
      <c r="FO1530" s="110"/>
      <c r="FP1530" s="110"/>
      <c r="FQ1530" s="110"/>
      <c r="FR1530" s="110"/>
      <c r="FS1530" s="110"/>
      <c r="FT1530" s="110"/>
      <c r="FU1530" s="110"/>
      <c r="FV1530" s="110"/>
      <c r="FW1530" s="110"/>
      <c r="FX1530" s="110"/>
      <c r="FY1530" s="110"/>
      <c r="FZ1530" s="110"/>
      <c r="GA1530" s="110"/>
      <c r="GB1530" s="110"/>
      <c r="GC1530" s="110"/>
      <c r="GD1530" s="110"/>
      <c r="GE1530" s="110"/>
      <c r="GF1530" s="110"/>
      <c r="GG1530" s="110"/>
      <c r="GH1530" s="110"/>
      <c r="GI1530" s="110"/>
      <c r="GJ1530" s="110"/>
      <c r="GK1530" s="110"/>
      <c r="GL1530" s="110"/>
      <c r="GM1530" s="110"/>
      <c r="GN1530" s="110"/>
      <c r="GO1530" s="110"/>
      <c r="GP1530" s="110"/>
      <c r="GQ1530" s="110"/>
      <c r="GR1530" s="110"/>
      <c r="GS1530" s="110"/>
      <c r="GT1530" s="110"/>
      <c r="GU1530" s="110"/>
      <c r="GV1530" s="110"/>
      <c r="GW1530" s="110"/>
      <c r="GX1530" s="110"/>
      <c r="GY1530" s="110"/>
      <c r="GZ1530" s="110"/>
      <c r="HA1530" s="110"/>
      <c r="HB1530" s="110"/>
      <c r="HC1530" s="110"/>
      <c r="HD1530" s="110"/>
      <c r="HE1530" s="110"/>
      <c r="HF1530" s="110"/>
      <c r="HG1530" s="110"/>
      <c r="HH1530" s="110"/>
      <c r="HI1530" s="110"/>
      <c r="HJ1530" s="110"/>
      <c r="HK1530" s="110"/>
      <c r="HL1530" s="110"/>
      <c r="HM1530" s="110"/>
      <c r="HN1530" s="110"/>
      <c r="HO1530" s="110"/>
      <c r="HP1530" s="110"/>
      <c r="HQ1530" s="110"/>
      <c r="HR1530" s="110"/>
      <c r="HS1530" s="110"/>
      <c r="HT1530" s="110"/>
      <c r="HU1530" s="110"/>
      <c r="HV1530" s="110"/>
      <c r="HW1530" s="110"/>
      <c r="HX1530" s="110"/>
      <c r="HY1530" s="110"/>
      <c r="HZ1530" s="110"/>
      <c r="IA1530" s="110"/>
      <c r="IB1530" s="110"/>
      <c r="IC1530" s="110"/>
      <c r="ID1530" s="110"/>
      <c r="IE1530" s="110"/>
      <c r="IF1530" s="110"/>
      <c r="IG1530" s="110"/>
      <c r="IH1530" s="110"/>
      <c r="II1530" s="110"/>
      <c r="IJ1530" s="110"/>
      <c r="IK1530" s="110"/>
      <c r="IL1530" s="110"/>
      <c r="IM1530" s="110"/>
      <c r="IN1530" s="110"/>
      <c r="IO1530" s="110"/>
      <c r="IP1530" s="110"/>
      <c r="IQ1530" s="110"/>
      <c r="IR1530" s="110"/>
    </row>
    <row r="1531" spans="18:252" ht="16.5" hidden="1" customHeight="1">
      <c r="R1531" s="264"/>
      <c r="S1531" s="110"/>
      <c r="T1531" s="110"/>
      <c r="U1531" s="110"/>
      <c r="V1531" s="110"/>
      <c r="W1531" s="266"/>
      <c r="X1531" s="110"/>
      <c r="Y1531" s="110"/>
      <c r="Z1531" s="110"/>
      <c r="AA1531" s="110"/>
      <c r="AB1531" s="110"/>
      <c r="AC1531" s="110"/>
      <c r="AD1531" s="110"/>
      <c r="AE1531" s="110"/>
      <c r="AF1531" s="110"/>
      <c r="AG1531" s="110"/>
      <c r="AH1531" s="110"/>
      <c r="AI1531" s="110"/>
      <c r="AJ1531" s="110"/>
      <c r="AK1531" s="110"/>
      <c r="AL1531" s="110"/>
      <c r="AM1531" s="110"/>
      <c r="AN1531" s="110"/>
      <c r="AO1531" s="110"/>
      <c r="AP1531" s="110"/>
      <c r="AQ1531" s="110"/>
      <c r="AR1531" s="110"/>
      <c r="AS1531" s="110"/>
      <c r="AT1531" s="110"/>
      <c r="AU1531" s="110"/>
      <c r="AV1531" s="110"/>
      <c r="AW1531" s="110"/>
      <c r="AX1531" s="110"/>
      <c r="AY1531" s="110"/>
      <c r="AZ1531" s="110"/>
      <c r="BA1531" s="110"/>
      <c r="BB1531" s="110"/>
      <c r="BC1531" s="110"/>
      <c r="BD1531" s="110"/>
      <c r="BE1531" s="110"/>
      <c r="BF1531" s="110"/>
      <c r="BG1531" s="110"/>
      <c r="BH1531" s="110"/>
      <c r="BI1531" s="110"/>
      <c r="BJ1531" s="110"/>
      <c r="BK1531" s="110"/>
      <c r="BL1531" s="110"/>
      <c r="BM1531" s="110"/>
      <c r="BN1531" s="110"/>
      <c r="BO1531" s="110"/>
      <c r="BP1531" s="110"/>
      <c r="BQ1531" s="110"/>
      <c r="BR1531" s="110"/>
      <c r="BS1531" s="110"/>
      <c r="BT1531" s="110"/>
      <c r="BU1531" s="110"/>
      <c r="BV1531" s="110"/>
      <c r="BW1531" s="110"/>
      <c r="BX1531" s="110"/>
      <c r="BY1531" s="110"/>
      <c r="BZ1531" s="110"/>
      <c r="CA1531" s="110"/>
      <c r="CB1531" s="110"/>
      <c r="CC1531" s="110"/>
      <c r="CD1531" s="110"/>
      <c r="CE1531" s="110"/>
      <c r="CF1531" s="110"/>
      <c r="CG1531" s="110"/>
      <c r="CH1531" s="110"/>
      <c r="CI1531" s="110"/>
      <c r="CJ1531" s="110"/>
      <c r="CK1531" s="110"/>
      <c r="CL1531" s="110"/>
      <c r="CM1531" s="110"/>
      <c r="CN1531" s="110"/>
      <c r="CO1531" s="110"/>
      <c r="CP1531" s="110"/>
      <c r="CQ1531" s="110"/>
      <c r="CR1531" s="110"/>
      <c r="CS1531" s="110"/>
      <c r="CT1531" s="110"/>
      <c r="CU1531" s="110"/>
      <c r="CV1531" s="110"/>
      <c r="CW1531" s="110"/>
      <c r="CX1531" s="110"/>
      <c r="CY1531" s="110"/>
      <c r="CZ1531" s="110"/>
      <c r="DA1531" s="110"/>
      <c r="DB1531" s="110"/>
      <c r="DC1531" s="110"/>
      <c r="DD1531" s="110"/>
      <c r="DE1531" s="110"/>
      <c r="DF1531" s="110"/>
      <c r="DG1531" s="110"/>
      <c r="DH1531" s="110"/>
      <c r="DI1531" s="110"/>
      <c r="DJ1531" s="110"/>
      <c r="DK1531" s="110"/>
      <c r="DL1531" s="110"/>
      <c r="DM1531" s="110"/>
      <c r="DN1531" s="110"/>
      <c r="DO1531" s="110"/>
      <c r="DP1531" s="110"/>
      <c r="DQ1531" s="110"/>
      <c r="DR1531" s="110"/>
      <c r="DS1531" s="110"/>
      <c r="DT1531" s="110"/>
      <c r="DU1531" s="110"/>
      <c r="DV1531" s="110"/>
      <c r="DW1531" s="110"/>
      <c r="DX1531" s="110"/>
      <c r="DY1531" s="110"/>
      <c r="DZ1531" s="110"/>
      <c r="EA1531" s="110"/>
      <c r="EB1531" s="110"/>
      <c r="EC1531" s="110"/>
      <c r="ED1531" s="110"/>
      <c r="EF1531" s="264"/>
      <c r="EG1531" s="110"/>
      <c r="EH1531" s="110"/>
      <c r="EI1531" s="110"/>
      <c r="EJ1531" s="110"/>
      <c r="EK1531" s="266"/>
      <c r="EL1531" s="110"/>
      <c r="EM1531" s="110"/>
      <c r="EN1531" s="110"/>
      <c r="EO1531" s="110"/>
      <c r="EP1531" s="110"/>
      <c r="EQ1531" s="110"/>
      <c r="ER1531" s="110"/>
      <c r="ES1531" s="110"/>
      <c r="ET1531" s="110"/>
      <c r="EU1531" s="110"/>
      <c r="EV1531" s="110"/>
      <c r="EW1531" s="110"/>
      <c r="EX1531" s="110"/>
      <c r="EY1531" s="110"/>
      <c r="EZ1531" s="110"/>
      <c r="FA1531" s="110"/>
      <c r="FB1531" s="110"/>
      <c r="FC1531" s="110"/>
      <c r="FD1531" s="110"/>
      <c r="FE1531" s="110"/>
      <c r="FF1531" s="110"/>
      <c r="FG1531" s="110"/>
      <c r="FH1531" s="110"/>
      <c r="FI1531" s="110"/>
      <c r="FJ1531" s="110"/>
      <c r="FK1531" s="110"/>
      <c r="FL1531" s="110"/>
      <c r="FM1531" s="110"/>
      <c r="FN1531" s="110"/>
      <c r="FO1531" s="110"/>
      <c r="FP1531" s="110"/>
      <c r="FQ1531" s="110"/>
      <c r="FR1531" s="110"/>
      <c r="FS1531" s="110"/>
      <c r="FT1531" s="110"/>
      <c r="FU1531" s="110"/>
      <c r="FV1531" s="110"/>
      <c r="FW1531" s="110"/>
      <c r="FX1531" s="110"/>
      <c r="FY1531" s="110"/>
      <c r="FZ1531" s="110"/>
      <c r="GA1531" s="110"/>
      <c r="GB1531" s="110"/>
      <c r="GC1531" s="110"/>
      <c r="GD1531" s="110"/>
      <c r="GE1531" s="110"/>
      <c r="GF1531" s="110"/>
      <c r="GG1531" s="110"/>
      <c r="GH1531" s="110"/>
      <c r="GI1531" s="110"/>
      <c r="GJ1531" s="110"/>
      <c r="GK1531" s="110"/>
      <c r="GL1531" s="110"/>
      <c r="GM1531" s="110"/>
      <c r="GN1531" s="110"/>
      <c r="GO1531" s="110"/>
      <c r="GP1531" s="110"/>
      <c r="GQ1531" s="110"/>
      <c r="GR1531" s="110"/>
      <c r="GS1531" s="110"/>
      <c r="GT1531" s="110"/>
      <c r="GU1531" s="110"/>
      <c r="GV1531" s="110"/>
      <c r="GW1531" s="110"/>
      <c r="GX1531" s="110"/>
      <c r="GY1531" s="110"/>
      <c r="GZ1531" s="110"/>
      <c r="HA1531" s="110"/>
      <c r="HB1531" s="110"/>
      <c r="HC1531" s="110"/>
      <c r="HD1531" s="110"/>
      <c r="HE1531" s="110"/>
      <c r="HF1531" s="110"/>
      <c r="HG1531" s="110"/>
      <c r="HH1531" s="110"/>
      <c r="HI1531" s="110"/>
      <c r="HJ1531" s="110"/>
      <c r="HK1531" s="110"/>
      <c r="HL1531" s="110"/>
      <c r="HM1531" s="110"/>
      <c r="HN1531" s="110"/>
      <c r="HO1531" s="110"/>
      <c r="HP1531" s="110"/>
      <c r="HQ1531" s="110"/>
      <c r="HR1531" s="110"/>
      <c r="HS1531" s="110"/>
      <c r="HT1531" s="110"/>
      <c r="HU1531" s="110"/>
      <c r="HV1531" s="110"/>
      <c r="HW1531" s="110"/>
      <c r="HX1531" s="110"/>
      <c r="HY1531" s="110"/>
      <c r="HZ1531" s="110"/>
      <c r="IA1531" s="110"/>
      <c r="IB1531" s="110"/>
      <c r="IC1531" s="110"/>
      <c r="ID1531" s="110"/>
      <c r="IE1531" s="110"/>
      <c r="IF1531" s="110"/>
      <c r="IG1531" s="110"/>
      <c r="IH1531" s="110"/>
      <c r="II1531" s="110"/>
      <c r="IJ1531" s="110"/>
      <c r="IK1531" s="110"/>
      <c r="IL1531" s="110"/>
      <c r="IM1531" s="110"/>
      <c r="IN1531" s="110"/>
      <c r="IO1531" s="110"/>
      <c r="IP1531" s="110"/>
      <c r="IQ1531" s="110"/>
      <c r="IR1531" s="110"/>
    </row>
    <row r="1532" spans="18:252" ht="16.5" hidden="1" customHeight="1">
      <c r="R1532" s="264"/>
      <c r="S1532" s="110"/>
      <c r="T1532" s="110"/>
      <c r="U1532" s="110"/>
      <c r="V1532" s="110"/>
      <c r="W1532" s="266"/>
      <c r="X1532" s="110"/>
      <c r="Y1532" s="110"/>
      <c r="Z1532" s="110"/>
      <c r="AA1532" s="110"/>
      <c r="AB1532" s="110"/>
      <c r="AC1532" s="110"/>
      <c r="AD1532" s="110"/>
      <c r="AE1532" s="110"/>
      <c r="AF1532" s="110"/>
      <c r="AG1532" s="110"/>
      <c r="AH1532" s="110"/>
      <c r="AI1532" s="110"/>
      <c r="AJ1532" s="110"/>
      <c r="AK1532" s="110"/>
      <c r="AL1532" s="110"/>
      <c r="AM1532" s="110"/>
      <c r="AN1532" s="110"/>
      <c r="AO1532" s="110"/>
      <c r="AP1532" s="110"/>
      <c r="AQ1532" s="110"/>
      <c r="AR1532" s="110"/>
      <c r="AS1532" s="110"/>
      <c r="AT1532" s="110"/>
      <c r="AU1532" s="110"/>
      <c r="AV1532" s="110"/>
      <c r="AW1532" s="110"/>
      <c r="AX1532" s="110"/>
      <c r="AY1532" s="110"/>
      <c r="AZ1532" s="110"/>
      <c r="BA1532" s="110"/>
      <c r="BB1532" s="110"/>
      <c r="BC1532" s="110"/>
      <c r="BD1532" s="110"/>
      <c r="BE1532" s="110"/>
      <c r="BF1532" s="110"/>
      <c r="BG1532" s="110"/>
      <c r="BH1532" s="110"/>
      <c r="BI1532" s="110"/>
      <c r="BJ1532" s="110"/>
      <c r="BK1532" s="110"/>
      <c r="BL1532" s="110"/>
      <c r="BM1532" s="110"/>
      <c r="BN1532" s="110"/>
      <c r="BO1532" s="110"/>
      <c r="BP1532" s="110"/>
      <c r="BQ1532" s="110"/>
      <c r="BR1532" s="110"/>
      <c r="BS1532" s="110"/>
      <c r="BT1532" s="110"/>
      <c r="BU1532" s="110"/>
      <c r="BV1532" s="110"/>
      <c r="BW1532" s="110"/>
      <c r="BX1532" s="110"/>
      <c r="BY1532" s="110"/>
      <c r="BZ1532" s="110"/>
      <c r="CA1532" s="110"/>
      <c r="CB1532" s="110"/>
      <c r="CC1532" s="110"/>
      <c r="CD1532" s="110"/>
      <c r="CE1532" s="110"/>
      <c r="CF1532" s="110"/>
      <c r="CG1532" s="110"/>
      <c r="CH1532" s="110"/>
      <c r="CI1532" s="110"/>
      <c r="CJ1532" s="110"/>
      <c r="CK1532" s="110"/>
      <c r="CL1532" s="110"/>
      <c r="CM1532" s="110"/>
      <c r="CN1532" s="110"/>
      <c r="CO1532" s="110"/>
      <c r="CP1532" s="110"/>
      <c r="CQ1532" s="110"/>
      <c r="CR1532" s="110"/>
      <c r="CS1532" s="110"/>
      <c r="CT1532" s="110"/>
      <c r="CU1532" s="110"/>
      <c r="CV1532" s="110"/>
      <c r="CW1532" s="110"/>
      <c r="CX1532" s="110"/>
      <c r="CY1532" s="110"/>
      <c r="CZ1532" s="110"/>
      <c r="DA1532" s="110"/>
      <c r="DB1532" s="110"/>
      <c r="DC1532" s="110"/>
      <c r="DD1532" s="110"/>
      <c r="DE1532" s="110"/>
      <c r="DF1532" s="110"/>
      <c r="DG1532" s="110"/>
      <c r="DH1532" s="110"/>
      <c r="DI1532" s="110"/>
      <c r="DJ1532" s="110"/>
      <c r="DK1532" s="110"/>
      <c r="DL1532" s="110"/>
      <c r="DM1532" s="110"/>
      <c r="DN1532" s="110"/>
      <c r="DO1532" s="110"/>
      <c r="DP1532" s="110"/>
      <c r="DQ1532" s="110"/>
      <c r="DR1532" s="110"/>
      <c r="DS1532" s="110"/>
      <c r="DT1532" s="110"/>
      <c r="DU1532" s="110"/>
      <c r="DV1532" s="110"/>
      <c r="DW1532" s="110"/>
      <c r="DX1532" s="110"/>
      <c r="DY1532" s="110"/>
      <c r="DZ1532" s="110"/>
      <c r="EA1532" s="110"/>
      <c r="EB1532" s="110"/>
      <c r="EC1532" s="110"/>
      <c r="ED1532" s="110"/>
      <c r="EF1532" s="264"/>
      <c r="EG1532" s="110"/>
      <c r="EH1532" s="110"/>
      <c r="EI1532" s="110"/>
      <c r="EJ1532" s="110"/>
      <c r="EK1532" s="266"/>
      <c r="EL1532" s="110"/>
      <c r="EM1532" s="110"/>
      <c r="EN1532" s="110"/>
      <c r="EO1532" s="110"/>
      <c r="EP1532" s="110"/>
      <c r="EQ1532" s="110"/>
      <c r="ER1532" s="110"/>
      <c r="ES1532" s="110"/>
      <c r="ET1532" s="110"/>
      <c r="EU1532" s="110"/>
      <c r="EV1532" s="110"/>
      <c r="EW1532" s="110"/>
      <c r="EX1532" s="110"/>
      <c r="EY1532" s="110"/>
      <c r="EZ1532" s="110"/>
      <c r="FA1532" s="110"/>
      <c r="FB1532" s="110"/>
      <c r="FC1532" s="110"/>
      <c r="FD1532" s="110"/>
      <c r="FE1532" s="110"/>
      <c r="FF1532" s="110"/>
      <c r="FG1532" s="110"/>
      <c r="FH1532" s="110"/>
      <c r="FI1532" s="110"/>
      <c r="FJ1532" s="110"/>
      <c r="FK1532" s="110"/>
      <c r="FL1532" s="110"/>
      <c r="FM1532" s="110"/>
      <c r="FN1532" s="110"/>
      <c r="FO1532" s="110"/>
      <c r="FP1532" s="110"/>
      <c r="FQ1532" s="110"/>
      <c r="FR1532" s="110"/>
      <c r="FS1532" s="110"/>
      <c r="FT1532" s="110"/>
      <c r="FU1532" s="110"/>
      <c r="FV1532" s="110"/>
      <c r="FW1532" s="110"/>
      <c r="FX1532" s="110"/>
      <c r="FY1532" s="110"/>
      <c r="FZ1532" s="110"/>
      <c r="GA1532" s="110"/>
      <c r="GB1532" s="110"/>
      <c r="GC1532" s="110"/>
      <c r="GD1532" s="110"/>
      <c r="GE1532" s="110"/>
      <c r="GF1532" s="110"/>
      <c r="GG1532" s="110"/>
      <c r="GH1532" s="110"/>
      <c r="GI1532" s="110"/>
      <c r="GJ1532" s="110"/>
      <c r="GK1532" s="110"/>
      <c r="GL1532" s="110"/>
      <c r="GM1532" s="110"/>
      <c r="GN1532" s="110"/>
      <c r="GO1532" s="110"/>
      <c r="GP1532" s="110"/>
      <c r="GQ1532" s="110"/>
      <c r="GR1532" s="110"/>
      <c r="GS1532" s="110"/>
      <c r="GT1532" s="110"/>
      <c r="GU1532" s="110"/>
      <c r="GV1532" s="110"/>
      <c r="GW1532" s="110"/>
      <c r="GX1532" s="110"/>
      <c r="GY1532" s="110"/>
      <c r="GZ1532" s="110"/>
      <c r="HA1532" s="110"/>
      <c r="HB1532" s="110"/>
      <c r="HC1532" s="110"/>
      <c r="HD1532" s="110"/>
      <c r="HE1532" s="110"/>
      <c r="HF1532" s="110"/>
      <c r="HG1532" s="110"/>
      <c r="HH1532" s="110"/>
      <c r="HI1532" s="110"/>
      <c r="HJ1532" s="110"/>
      <c r="HK1532" s="110"/>
      <c r="HL1532" s="110"/>
      <c r="HM1532" s="110"/>
      <c r="HN1532" s="110"/>
      <c r="HO1532" s="110"/>
      <c r="HP1532" s="110"/>
      <c r="HQ1532" s="110"/>
      <c r="HR1532" s="110"/>
      <c r="HS1532" s="110"/>
      <c r="HT1532" s="110"/>
      <c r="HU1532" s="110"/>
      <c r="HV1532" s="110"/>
      <c r="HW1532" s="110"/>
      <c r="HX1532" s="110"/>
      <c r="HY1532" s="110"/>
      <c r="HZ1532" s="110"/>
      <c r="IA1532" s="110"/>
      <c r="IB1532" s="110"/>
      <c r="IC1532" s="110"/>
      <c r="ID1532" s="110"/>
      <c r="IE1532" s="110"/>
      <c r="IF1532" s="110"/>
      <c r="IG1532" s="110"/>
      <c r="IH1532" s="110"/>
      <c r="II1532" s="110"/>
      <c r="IJ1532" s="110"/>
      <c r="IK1532" s="110"/>
      <c r="IL1532" s="110"/>
      <c r="IM1532" s="110"/>
      <c r="IN1532" s="110"/>
      <c r="IO1532" s="110"/>
      <c r="IP1532" s="110"/>
      <c r="IQ1532" s="110"/>
      <c r="IR1532" s="110"/>
    </row>
    <row r="1533" spans="18:252" ht="16.5" hidden="1" customHeight="1">
      <c r="R1533" s="264"/>
      <c r="S1533" s="110"/>
      <c r="T1533" s="110"/>
      <c r="U1533" s="110"/>
      <c r="V1533" s="110"/>
      <c r="W1533" s="266"/>
      <c r="X1533" s="110"/>
      <c r="Y1533" s="110"/>
      <c r="Z1533" s="110"/>
      <c r="AA1533" s="110"/>
      <c r="AB1533" s="110"/>
      <c r="AC1533" s="110"/>
      <c r="AD1533" s="110"/>
      <c r="AE1533" s="110"/>
      <c r="AF1533" s="110"/>
      <c r="AG1533" s="110"/>
      <c r="AH1533" s="110"/>
      <c r="AI1533" s="110"/>
      <c r="AJ1533" s="110"/>
      <c r="AK1533" s="110"/>
      <c r="AL1533" s="110"/>
      <c r="AM1533" s="110"/>
      <c r="AN1533" s="110"/>
      <c r="AO1533" s="110"/>
      <c r="AP1533" s="110"/>
      <c r="AQ1533" s="110"/>
      <c r="AR1533" s="110"/>
      <c r="AS1533" s="110"/>
      <c r="AT1533" s="110"/>
      <c r="AU1533" s="110"/>
      <c r="AV1533" s="110"/>
      <c r="AW1533" s="110"/>
      <c r="AX1533" s="110"/>
      <c r="AY1533" s="110"/>
      <c r="AZ1533" s="110"/>
      <c r="BA1533" s="110"/>
      <c r="BB1533" s="110"/>
      <c r="BC1533" s="110"/>
      <c r="BD1533" s="110"/>
      <c r="BE1533" s="110"/>
      <c r="BF1533" s="110"/>
      <c r="BG1533" s="110"/>
      <c r="BH1533" s="110"/>
      <c r="BI1533" s="110"/>
      <c r="BJ1533" s="110"/>
      <c r="BK1533" s="110"/>
      <c r="BL1533" s="110"/>
      <c r="BM1533" s="110"/>
      <c r="BN1533" s="110"/>
      <c r="BO1533" s="110"/>
      <c r="BP1533" s="110"/>
      <c r="BQ1533" s="110"/>
      <c r="BR1533" s="110"/>
      <c r="BS1533" s="110"/>
      <c r="BT1533" s="110"/>
      <c r="BU1533" s="110"/>
      <c r="BV1533" s="110"/>
      <c r="BW1533" s="110"/>
      <c r="BX1533" s="110"/>
      <c r="BY1533" s="110"/>
      <c r="BZ1533" s="110"/>
      <c r="CA1533" s="110"/>
      <c r="CB1533" s="110"/>
      <c r="CC1533" s="110"/>
      <c r="CD1533" s="110"/>
      <c r="CE1533" s="110"/>
      <c r="CF1533" s="110"/>
      <c r="CG1533" s="110"/>
      <c r="CH1533" s="110"/>
      <c r="CI1533" s="110"/>
      <c r="CJ1533" s="110"/>
      <c r="CK1533" s="110"/>
      <c r="CL1533" s="110"/>
      <c r="CM1533" s="110"/>
      <c r="CN1533" s="110"/>
      <c r="CO1533" s="110"/>
      <c r="CP1533" s="110"/>
      <c r="CQ1533" s="110"/>
      <c r="CR1533" s="110"/>
      <c r="CS1533" s="110"/>
      <c r="CT1533" s="110"/>
      <c r="CU1533" s="110"/>
      <c r="CV1533" s="110"/>
      <c r="CW1533" s="110"/>
      <c r="CX1533" s="110"/>
      <c r="CY1533" s="110"/>
      <c r="CZ1533" s="110"/>
      <c r="DA1533" s="110"/>
      <c r="DB1533" s="110"/>
      <c r="DC1533" s="110"/>
      <c r="DD1533" s="110"/>
      <c r="DE1533" s="110"/>
      <c r="DF1533" s="110"/>
      <c r="DG1533" s="110"/>
      <c r="DH1533" s="110"/>
      <c r="DI1533" s="110"/>
      <c r="DJ1533" s="110"/>
      <c r="DK1533" s="110"/>
      <c r="DL1533" s="110"/>
      <c r="DM1533" s="110"/>
      <c r="DN1533" s="110"/>
      <c r="DO1533" s="110"/>
      <c r="DP1533" s="110"/>
      <c r="DQ1533" s="110"/>
      <c r="DR1533" s="110"/>
      <c r="DS1533" s="110"/>
      <c r="DT1533" s="110"/>
      <c r="DU1533" s="110"/>
      <c r="DV1533" s="110"/>
      <c r="DW1533" s="110"/>
      <c r="DX1533" s="110"/>
      <c r="DY1533" s="110"/>
      <c r="DZ1533" s="110"/>
      <c r="EA1533" s="110"/>
      <c r="EB1533" s="110"/>
      <c r="EC1533" s="110"/>
      <c r="ED1533" s="110"/>
      <c r="EF1533" s="264"/>
      <c r="EG1533" s="110"/>
      <c r="EH1533" s="110"/>
      <c r="EI1533" s="110"/>
      <c r="EJ1533" s="110"/>
      <c r="EK1533" s="266"/>
      <c r="EL1533" s="110"/>
      <c r="EM1533" s="110"/>
      <c r="EN1533" s="110"/>
      <c r="EO1533" s="110"/>
      <c r="EP1533" s="110"/>
      <c r="EQ1533" s="110"/>
      <c r="ER1533" s="110"/>
      <c r="ES1533" s="110"/>
      <c r="ET1533" s="110"/>
      <c r="EU1533" s="110"/>
      <c r="EV1533" s="110"/>
      <c r="EW1533" s="110"/>
      <c r="EX1533" s="110"/>
      <c r="EY1533" s="110"/>
      <c r="EZ1533" s="110"/>
      <c r="FA1533" s="110"/>
      <c r="FB1533" s="110"/>
      <c r="FC1533" s="110"/>
      <c r="FD1533" s="110"/>
      <c r="FE1533" s="110"/>
      <c r="FF1533" s="110"/>
      <c r="FG1533" s="110"/>
      <c r="FH1533" s="110"/>
      <c r="FI1533" s="110"/>
      <c r="FJ1533" s="110"/>
      <c r="FK1533" s="110"/>
      <c r="FL1533" s="110"/>
      <c r="FM1533" s="110"/>
      <c r="FN1533" s="110"/>
      <c r="FO1533" s="110"/>
      <c r="FP1533" s="110"/>
      <c r="FQ1533" s="110"/>
      <c r="FR1533" s="110"/>
      <c r="FS1533" s="110"/>
      <c r="FT1533" s="110"/>
      <c r="FU1533" s="110"/>
      <c r="FV1533" s="110"/>
      <c r="FW1533" s="110"/>
      <c r="FX1533" s="110"/>
      <c r="FY1533" s="110"/>
      <c r="FZ1533" s="110"/>
      <c r="GA1533" s="110"/>
      <c r="GB1533" s="110"/>
      <c r="GC1533" s="110"/>
      <c r="GD1533" s="110"/>
      <c r="GE1533" s="110"/>
      <c r="GF1533" s="110"/>
      <c r="GG1533" s="110"/>
      <c r="GH1533" s="110"/>
      <c r="GI1533" s="110"/>
      <c r="GJ1533" s="110"/>
      <c r="GK1533" s="110"/>
      <c r="GL1533" s="110"/>
      <c r="GM1533" s="110"/>
      <c r="GN1533" s="110"/>
      <c r="GO1533" s="110"/>
      <c r="GP1533" s="110"/>
      <c r="GQ1533" s="110"/>
      <c r="GR1533" s="110"/>
      <c r="GS1533" s="110"/>
      <c r="GT1533" s="110"/>
      <c r="GU1533" s="110"/>
      <c r="GV1533" s="110"/>
      <c r="GW1533" s="110"/>
      <c r="GX1533" s="110"/>
      <c r="GY1533" s="110"/>
      <c r="GZ1533" s="110"/>
      <c r="HA1533" s="110"/>
      <c r="HB1533" s="110"/>
      <c r="HC1533" s="110"/>
      <c r="HD1533" s="110"/>
      <c r="HE1533" s="110"/>
      <c r="HF1533" s="110"/>
      <c r="HG1533" s="110"/>
      <c r="HH1533" s="110"/>
      <c r="HI1533" s="110"/>
      <c r="HJ1533" s="110"/>
      <c r="HK1533" s="110"/>
      <c r="HL1533" s="110"/>
      <c r="HM1533" s="110"/>
      <c r="HN1533" s="110"/>
      <c r="HO1533" s="110"/>
      <c r="HP1533" s="110"/>
      <c r="HQ1533" s="110"/>
      <c r="HR1533" s="110"/>
      <c r="HS1533" s="110"/>
      <c r="HT1533" s="110"/>
      <c r="HU1533" s="110"/>
      <c r="HV1533" s="110"/>
      <c r="HW1533" s="110"/>
      <c r="HX1533" s="110"/>
      <c r="HY1533" s="110"/>
      <c r="HZ1533" s="110"/>
      <c r="IA1533" s="110"/>
      <c r="IB1533" s="110"/>
      <c r="IC1533" s="110"/>
      <c r="ID1533" s="110"/>
      <c r="IE1533" s="110"/>
      <c r="IF1533" s="110"/>
      <c r="IG1533" s="110"/>
      <c r="IH1533" s="110"/>
      <c r="II1533" s="110"/>
      <c r="IJ1533" s="110"/>
      <c r="IK1533" s="110"/>
      <c r="IL1533" s="110"/>
      <c r="IM1533" s="110"/>
      <c r="IN1533" s="110"/>
      <c r="IO1533" s="110"/>
      <c r="IP1533" s="110"/>
      <c r="IQ1533" s="110"/>
      <c r="IR1533" s="110"/>
    </row>
    <row r="1534" spans="18:252" ht="16.5" hidden="1" customHeight="1">
      <c r="R1534" s="264"/>
      <c r="S1534" s="110"/>
      <c r="T1534" s="110"/>
      <c r="U1534" s="110"/>
      <c r="V1534" s="110"/>
      <c r="W1534" s="266"/>
      <c r="X1534" s="110"/>
      <c r="Y1534" s="110"/>
      <c r="Z1534" s="110"/>
      <c r="AA1534" s="110"/>
      <c r="AB1534" s="110"/>
      <c r="AC1534" s="110"/>
      <c r="AD1534" s="110"/>
      <c r="AE1534" s="110"/>
      <c r="AF1534" s="110"/>
      <c r="AG1534" s="110"/>
      <c r="AH1534" s="110"/>
      <c r="AI1534" s="110"/>
      <c r="AJ1534" s="110"/>
      <c r="AK1534" s="110"/>
      <c r="AL1534" s="110"/>
      <c r="AM1534" s="110"/>
      <c r="AN1534" s="110"/>
      <c r="AO1534" s="110"/>
      <c r="AP1534" s="110"/>
      <c r="AQ1534" s="110"/>
      <c r="AR1534" s="110"/>
      <c r="AS1534" s="110"/>
      <c r="AT1534" s="110"/>
      <c r="AU1534" s="110"/>
      <c r="AV1534" s="110"/>
      <c r="AW1534" s="110"/>
      <c r="AX1534" s="110"/>
      <c r="AY1534" s="110"/>
      <c r="AZ1534" s="110"/>
      <c r="BA1534" s="110"/>
      <c r="BB1534" s="110"/>
      <c r="BC1534" s="110"/>
      <c r="BD1534" s="110"/>
      <c r="BE1534" s="110"/>
      <c r="BF1534" s="110"/>
      <c r="BG1534" s="110"/>
      <c r="BH1534" s="110"/>
      <c r="BI1534" s="110"/>
      <c r="BJ1534" s="110"/>
      <c r="BK1534" s="110"/>
      <c r="BL1534" s="110"/>
      <c r="BM1534" s="110"/>
      <c r="BN1534" s="110"/>
      <c r="BO1534" s="110"/>
      <c r="BP1534" s="110"/>
      <c r="BQ1534" s="110"/>
      <c r="BR1534" s="110"/>
      <c r="BS1534" s="110"/>
      <c r="BT1534" s="110"/>
      <c r="BU1534" s="110"/>
      <c r="BV1534" s="110"/>
      <c r="BW1534" s="110"/>
      <c r="BX1534" s="110"/>
      <c r="BY1534" s="110"/>
      <c r="BZ1534" s="110"/>
      <c r="CA1534" s="110"/>
      <c r="CB1534" s="110"/>
      <c r="CC1534" s="110"/>
      <c r="CD1534" s="110"/>
      <c r="CE1534" s="110"/>
      <c r="CF1534" s="110"/>
      <c r="CG1534" s="110"/>
      <c r="CH1534" s="110"/>
      <c r="CI1534" s="110"/>
      <c r="CJ1534" s="110"/>
      <c r="CK1534" s="110"/>
      <c r="CL1534" s="110"/>
      <c r="CM1534" s="110"/>
      <c r="CN1534" s="110"/>
      <c r="CO1534" s="110"/>
      <c r="CP1534" s="110"/>
      <c r="CQ1534" s="110"/>
      <c r="CR1534" s="110"/>
      <c r="CS1534" s="110"/>
      <c r="CT1534" s="110"/>
      <c r="CU1534" s="110"/>
      <c r="CV1534" s="110"/>
      <c r="CW1534" s="110"/>
      <c r="CX1534" s="110"/>
      <c r="CY1534" s="110"/>
      <c r="CZ1534" s="110"/>
      <c r="DA1534" s="110"/>
      <c r="DB1534" s="110"/>
      <c r="DC1534" s="110"/>
      <c r="DD1534" s="110"/>
      <c r="DE1534" s="110"/>
      <c r="DF1534" s="110"/>
      <c r="DG1534" s="110"/>
      <c r="DH1534" s="110"/>
      <c r="DI1534" s="110"/>
      <c r="DJ1534" s="110"/>
      <c r="DK1534" s="110"/>
      <c r="DL1534" s="110"/>
      <c r="DM1534" s="110"/>
      <c r="DN1534" s="110"/>
      <c r="DO1534" s="110"/>
      <c r="DP1534" s="110"/>
      <c r="DQ1534" s="110"/>
      <c r="DR1534" s="110"/>
      <c r="DS1534" s="110"/>
      <c r="DT1534" s="110"/>
      <c r="DU1534" s="110"/>
      <c r="DV1534" s="110"/>
      <c r="DW1534" s="110"/>
      <c r="DX1534" s="110"/>
      <c r="DY1534" s="110"/>
      <c r="DZ1534" s="110"/>
      <c r="EA1534" s="110"/>
      <c r="EB1534" s="110"/>
      <c r="EC1534" s="110"/>
      <c r="ED1534" s="110"/>
      <c r="EF1534" s="264"/>
      <c r="EG1534" s="110"/>
      <c r="EH1534" s="110"/>
      <c r="EI1534" s="110"/>
      <c r="EJ1534" s="110"/>
      <c r="EK1534" s="266"/>
      <c r="EL1534" s="110"/>
      <c r="EM1534" s="110"/>
      <c r="EN1534" s="110"/>
      <c r="EO1534" s="110"/>
      <c r="EP1534" s="110"/>
      <c r="EQ1534" s="110"/>
      <c r="ER1534" s="110"/>
      <c r="ES1534" s="110"/>
      <c r="ET1534" s="110"/>
      <c r="EU1534" s="110"/>
      <c r="EV1534" s="110"/>
      <c r="EW1534" s="110"/>
      <c r="EX1534" s="110"/>
      <c r="EY1534" s="110"/>
      <c r="EZ1534" s="110"/>
      <c r="FA1534" s="110"/>
      <c r="FB1534" s="110"/>
      <c r="FC1534" s="110"/>
      <c r="FD1534" s="110"/>
      <c r="FE1534" s="110"/>
      <c r="FF1534" s="110"/>
      <c r="FG1534" s="110"/>
      <c r="FH1534" s="110"/>
      <c r="FI1534" s="110"/>
      <c r="FJ1534" s="110"/>
      <c r="FK1534" s="110"/>
      <c r="FL1534" s="110"/>
      <c r="FM1534" s="110"/>
      <c r="FN1534" s="110"/>
      <c r="FO1534" s="110"/>
      <c r="FP1534" s="110"/>
      <c r="FQ1534" s="110"/>
      <c r="FR1534" s="110"/>
      <c r="FS1534" s="110"/>
      <c r="FT1534" s="110"/>
      <c r="FU1534" s="110"/>
      <c r="FV1534" s="110"/>
      <c r="FW1534" s="110"/>
      <c r="FX1534" s="110"/>
      <c r="FY1534" s="110"/>
      <c r="FZ1534" s="110"/>
      <c r="GA1534" s="110"/>
      <c r="GB1534" s="110"/>
      <c r="GC1534" s="110"/>
      <c r="GD1534" s="110"/>
      <c r="GE1534" s="110"/>
      <c r="GF1534" s="110"/>
      <c r="GG1534" s="110"/>
      <c r="GH1534" s="110"/>
      <c r="GI1534" s="110"/>
      <c r="GJ1534" s="110"/>
      <c r="GK1534" s="110"/>
      <c r="GL1534" s="110"/>
      <c r="GM1534" s="110"/>
      <c r="GN1534" s="110"/>
      <c r="GO1534" s="110"/>
      <c r="GP1534" s="110"/>
      <c r="GQ1534" s="110"/>
      <c r="GR1534" s="110"/>
      <c r="GS1534" s="110"/>
      <c r="GT1534" s="110"/>
      <c r="GU1534" s="110"/>
      <c r="GV1534" s="110"/>
      <c r="GW1534" s="110"/>
      <c r="GX1534" s="110"/>
      <c r="GY1534" s="110"/>
      <c r="GZ1534" s="110"/>
      <c r="HA1534" s="110"/>
      <c r="HB1534" s="110"/>
      <c r="HC1534" s="110"/>
      <c r="HD1534" s="110"/>
      <c r="HE1534" s="110"/>
      <c r="HF1534" s="110"/>
      <c r="HG1534" s="110"/>
      <c r="HH1534" s="110"/>
      <c r="HI1534" s="110"/>
      <c r="HJ1534" s="110"/>
      <c r="HK1534" s="110"/>
      <c r="HL1534" s="110"/>
      <c r="HM1534" s="110"/>
      <c r="HN1534" s="110"/>
      <c r="HO1534" s="110"/>
      <c r="HP1534" s="110"/>
      <c r="HQ1534" s="110"/>
      <c r="HR1534" s="110"/>
      <c r="HS1534" s="110"/>
      <c r="HT1534" s="110"/>
      <c r="HU1534" s="110"/>
      <c r="HV1534" s="110"/>
      <c r="HW1534" s="110"/>
      <c r="HX1534" s="110"/>
      <c r="HY1534" s="110"/>
      <c r="HZ1534" s="110"/>
      <c r="IA1534" s="110"/>
      <c r="IB1534" s="110"/>
      <c r="IC1534" s="110"/>
      <c r="ID1534" s="110"/>
      <c r="IE1534" s="110"/>
      <c r="IF1534" s="110"/>
      <c r="IG1534" s="110"/>
      <c r="IH1534" s="110"/>
      <c r="II1534" s="110"/>
      <c r="IJ1534" s="110"/>
      <c r="IK1534" s="110"/>
      <c r="IL1534" s="110"/>
      <c r="IM1534" s="110"/>
      <c r="IN1534" s="110"/>
      <c r="IO1534" s="110"/>
      <c r="IP1534" s="110"/>
      <c r="IQ1534" s="110"/>
      <c r="IR1534" s="110"/>
    </row>
    <row r="1535" spans="18:252" ht="16.5" hidden="1" customHeight="1">
      <c r="R1535" s="264"/>
      <c r="S1535" s="110"/>
      <c r="T1535" s="110"/>
      <c r="U1535" s="110"/>
      <c r="V1535" s="110"/>
      <c r="W1535" s="266"/>
      <c r="X1535" s="110"/>
      <c r="Y1535" s="110"/>
      <c r="Z1535" s="110"/>
      <c r="AA1535" s="110"/>
      <c r="AB1535" s="110"/>
      <c r="AC1535" s="110"/>
      <c r="AD1535" s="110"/>
      <c r="AE1535" s="110"/>
      <c r="AF1535" s="110"/>
      <c r="AG1535" s="110"/>
      <c r="AH1535" s="110"/>
      <c r="AI1535" s="110"/>
      <c r="AJ1535" s="110"/>
      <c r="AK1535" s="110"/>
      <c r="AL1535" s="110"/>
      <c r="AM1535" s="110"/>
      <c r="AN1535" s="110"/>
      <c r="AO1535" s="110"/>
      <c r="AP1535" s="110"/>
      <c r="AQ1535" s="110"/>
      <c r="AR1535" s="110"/>
      <c r="AS1535" s="110"/>
      <c r="AT1535" s="110"/>
      <c r="AU1535" s="110"/>
      <c r="AV1535" s="110"/>
      <c r="AW1535" s="110"/>
      <c r="AX1535" s="110"/>
      <c r="AY1535" s="110"/>
      <c r="AZ1535" s="110"/>
      <c r="BA1535" s="110"/>
      <c r="BB1535" s="110"/>
      <c r="BC1535" s="110"/>
      <c r="BD1535" s="110"/>
      <c r="BE1535" s="110"/>
      <c r="BF1535" s="110"/>
      <c r="BG1535" s="110"/>
      <c r="BH1535" s="110"/>
      <c r="BI1535" s="110"/>
      <c r="BJ1535" s="110"/>
      <c r="BK1535" s="110"/>
      <c r="BL1535" s="110"/>
      <c r="BM1535" s="110"/>
      <c r="BN1535" s="110"/>
      <c r="BO1535" s="110"/>
      <c r="BP1535" s="110"/>
      <c r="BQ1535" s="110"/>
      <c r="BR1535" s="110"/>
      <c r="BS1535" s="110"/>
      <c r="BT1535" s="110"/>
      <c r="BU1535" s="110"/>
      <c r="BV1535" s="110"/>
      <c r="BW1535" s="110"/>
      <c r="BX1535" s="110"/>
      <c r="BY1535" s="110"/>
      <c r="BZ1535" s="110"/>
      <c r="CA1535" s="110"/>
      <c r="CB1535" s="110"/>
      <c r="CC1535" s="110"/>
      <c r="CD1535" s="110"/>
      <c r="CE1535" s="110"/>
      <c r="CF1535" s="110"/>
      <c r="CG1535" s="110"/>
      <c r="CH1535" s="110"/>
      <c r="CI1535" s="110"/>
      <c r="CJ1535" s="110"/>
      <c r="CK1535" s="110"/>
      <c r="CL1535" s="110"/>
      <c r="CM1535" s="110"/>
      <c r="CN1535" s="110"/>
      <c r="CO1535" s="110"/>
      <c r="CP1535" s="110"/>
      <c r="CQ1535" s="110"/>
      <c r="CR1535" s="110"/>
      <c r="CS1535" s="110"/>
      <c r="CT1535" s="110"/>
      <c r="CU1535" s="110"/>
      <c r="CV1535" s="110"/>
      <c r="CW1535" s="110"/>
      <c r="CX1535" s="110"/>
      <c r="CY1535" s="110"/>
      <c r="CZ1535" s="110"/>
      <c r="DA1535" s="110"/>
      <c r="DB1535" s="110"/>
      <c r="DC1535" s="110"/>
      <c r="DD1535" s="110"/>
      <c r="DE1535" s="110"/>
      <c r="DF1535" s="110"/>
      <c r="DG1535" s="110"/>
      <c r="DH1535" s="110"/>
      <c r="DI1535" s="110"/>
      <c r="DJ1535" s="110"/>
      <c r="DK1535" s="110"/>
      <c r="DL1535" s="110"/>
      <c r="DM1535" s="110"/>
      <c r="DN1535" s="110"/>
      <c r="DO1535" s="110"/>
      <c r="DP1535" s="110"/>
      <c r="DQ1535" s="110"/>
      <c r="DR1535" s="110"/>
      <c r="DS1535" s="110"/>
      <c r="DT1535" s="110"/>
      <c r="DU1535" s="110"/>
      <c r="DV1535" s="110"/>
      <c r="DW1535" s="110"/>
      <c r="DX1535" s="110"/>
      <c r="DY1535" s="110"/>
      <c r="DZ1535" s="110"/>
      <c r="EA1535" s="110"/>
      <c r="EB1535" s="110"/>
      <c r="EC1535" s="110"/>
      <c r="ED1535" s="110"/>
      <c r="EF1535" s="264"/>
      <c r="EG1535" s="110"/>
      <c r="EH1535" s="110"/>
      <c r="EI1535" s="110"/>
      <c r="EJ1535" s="110"/>
      <c r="EK1535" s="266"/>
      <c r="EL1535" s="110"/>
      <c r="EM1535" s="110"/>
      <c r="EN1535" s="110"/>
      <c r="EO1535" s="110"/>
      <c r="EP1535" s="110"/>
      <c r="EQ1535" s="110"/>
      <c r="ER1535" s="110"/>
      <c r="ES1535" s="110"/>
      <c r="ET1535" s="110"/>
      <c r="EU1535" s="110"/>
      <c r="EV1535" s="110"/>
      <c r="EW1535" s="110"/>
      <c r="EX1535" s="110"/>
      <c r="EY1535" s="110"/>
      <c r="EZ1535" s="110"/>
      <c r="FA1535" s="110"/>
      <c r="FB1535" s="110"/>
      <c r="FC1535" s="110"/>
      <c r="FD1535" s="110"/>
      <c r="FE1535" s="110"/>
      <c r="FF1535" s="110"/>
      <c r="FG1535" s="110"/>
      <c r="FH1535" s="110"/>
      <c r="FI1535" s="110"/>
      <c r="FJ1535" s="110"/>
      <c r="FK1535" s="110"/>
      <c r="FL1535" s="110"/>
      <c r="FM1535" s="110"/>
      <c r="FN1535" s="110"/>
      <c r="FO1535" s="110"/>
      <c r="FP1535" s="110"/>
      <c r="FQ1535" s="110"/>
      <c r="FR1535" s="110"/>
      <c r="FS1535" s="110"/>
      <c r="FT1535" s="110"/>
      <c r="FU1535" s="110"/>
      <c r="FV1535" s="110"/>
      <c r="FW1535" s="110"/>
      <c r="FX1535" s="110"/>
      <c r="FY1535" s="110"/>
      <c r="FZ1535" s="110"/>
      <c r="GA1535" s="110"/>
      <c r="GB1535" s="110"/>
      <c r="GC1535" s="110"/>
      <c r="GD1535" s="110"/>
      <c r="GE1535" s="110"/>
      <c r="GF1535" s="110"/>
      <c r="GG1535" s="110"/>
      <c r="GH1535" s="110"/>
      <c r="GI1535" s="110"/>
      <c r="GJ1535" s="110"/>
      <c r="GK1535" s="110"/>
      <c r="GL1535" s="110"/>
      <c r="GM1535" s="110"/>
      <c r="GN1535" s="110"/>
      <c r="GO1535" s="110"/>
      <c r="GP1535" s="110"/>
      <c r="GQ1535" s="110"/>
      <c r="GR1535" s="110"/>
      <c r="GS1535" s="110"/>
      <c r="GT1535" s="110"/>
      <c r="GU1535" s="110"/>
      <c r="GV1535" s="110"/>
      <c r="GW1535" s="110"/>
      <c r="GX1535" s="110"/>
      <c r="GY1535" s="110"/>
      <c r="GZ1535" s="110"/>
      <c r="HA1535" s="110"/>
      <c r="HB1535" s="110"/>
      <c r="HC1535" s="110"/>
      <c r="HD1535" s="110"/>
      <c r="HE1535" s="110"/>
      <c r="HF1535" s="110"/>
      <c r="HG1535" s="110"/>
      <c r="HH1535" s="110"/>
      <c r="HI1535" s="110"/>
      <c r="HJ1535" s="110"/>
      <c r="HK1535" s="110"/>
      <c r="HL1535" s="110"/>
      <c r="HM1535" s="110"/>
      <c r="HN1535" s="110"/>
      <c r="HO1535" s="110"/>
      <c r="HP1535" s="110"/>
      <c r="HQ1535" s="110"/>
      <c r="HR1535" s="110"/>
      <c r="HS1535" s="110"/>
      <c r="HT1535" s="110"/>
      <c r="HU1535" s="110"/>
      <c r="HV1535" s="110"/>
      <c r="HW1535" s="110"/>
      <c r="HX1535" s="110"/>
      <c r="HY1535" s="110"/>
      <c r="HZ1535" s="110"/>
      <c r="IA1535" s="110"/>
      <c r="IB1535" s="110"/>
      <c r="IC1535" s="110"/>
      <c r="ID1535" s="110"/>
      <c r="IE1535" s="110"/>
      <c r="IF1535" s="110"/>
      <c r="IG1535" s="110"/>
      <c r="IH1535" s="110"/>
      <c r="II1535" s="110"/>
      <c r="IJ1535" s="110"/>
      <c r="IK1535" s="110"/>
      <c r="IL1535" s="110"/>
      <c r="IM1535" s="110"/>
      <c r="IN1535" s="110"/>
      <c r="IO1535" s="110"/>
      <c r="IP1535" s="110"/>
      <c r="IQ1535" s="110"/>
      <c r="IR1535" s="110"/>
    </row>
    <row r="1536" spans="18:252" ht="16.5" hidden="1" customHeight="1">
      <c r="R1536" s="264"/>
      <c r="S1536" s="110"/>
      <c r="T1536" s="110"/>
      <c r="U1536" s="110"/>
      <c r="V1536" s="110"/>
      <c r="W1536" s="266"/>
      <c r="X1536" s="110"/>
      <c r="Y1536" s="110"/>
      <c r="Z1536" s="110"/>
      <c r="AA1536" s="110"/>
      <c r="AB1536" s="110"/>
      <c r="AC1536" s="110"/>
      <c r="AD1536" s="110"/>
      <c r="AE1536" s="110"/>
      <c r="AF1536" s="110"/>
      <c r="AG1536" s="110"/>
      <c r="AH1536" s="110"/>
      <c r="AI1536" s="110"/>
      <c r="AJ1536" s="110"/>
      <c r="AK1536" s="110"/>
      <c r="AL1536" s="110"/>
      <c r="AM1536" s="110"/>
      <c r="AN1536" s="110"/>
      <c r="AO1536" s="110"/>
      <c r="AP1536" s="110"/>
      <c r="AQ1536" s="110"/>
      <c r="AR1536" s="110"/>
      <c r="AS1536" s="110"/>
      <c r="AT1536" s="110"/>
      <c r="AU1536" s="110"/>
      <c r="AV1536" s="110"/>
      <c r="AW1536" s="110"/>
      <c r="AX1536" s="110"/>
      <c r="AY1536" s="110"/>
      <c r="AZ1536" s="110"/>
      <c r="BA1536" s="110"/>
      <c r="BB1536" s="110"/>
      <c r="BC1536" s="110"/>
      <c r="BD1536" s="110"/>
      <c r="BE1536" s="110"/>
      <c r="BF1536" s="110"/>
      <c r="BG1536" s="110"/>
      <c r="BH1536" s="110"/>
      <c r="BI1536" s="110"/>
      <c r="BJ1536" s="110"/>
      <c r="BK1536" s="110"/>
      <c r="BL1536" s="110"/>
      <c r="BM1536" s="110"/>
      <c r="BN1536" s="110"/>
      <c r="BO1536" s="110"/>
      <c r="BP1536" s="110"/>
      <c r="BQ1536" s="110"/>
      <c r="BR1536" s="110"/>
      <c r="BS1536" s="110"/>
      <c r="BT1536" s="110"/>
      <c r="BU1536" s="110"/>
      <c r="BV1536" s="110"/>
      <c r="BW1536" s="110"/>
      <c r="BX1536" s="110"/>
      <c r="BY1536" s="110"/>
      <c r="BZ1536" s="110"/>
      <c r="CA1536" s="110"/>
      <c r="CB1536" s="110"/>
      <c r="CC1536" s="110"/>
      <c r="CD1536" s="110"/>
      <c r="CE1536" s="110"/>
      <c r="CF1536" s="110"/>
      <c r="CG1536" s="110"/>
      <c r="CH1536" s="110"/>
      <c r="CI1536" s="110"/>
      <c r="CJ1536" s="110"/>
      <c r="CK1536" s="110"/>
      <c r="CL1536" s="110"/>
      <c r="CM1536" s="110"/>
      <c r="CN1536" s="110"/>
      <c r="CO1536" s="110"/>
      <c r="CP1536" s="110"/>
      <c r="CQ1536" s="110"/>
      <c r="CR1536" s="110"/>
      <c r="CS1536" s="110"/>
      <c r="CT1536" s="110"/>
      <c r="CU1536" s="110"/>
      <c r="CV1536" s="110"/>
      <c r="CW1536" s="110"/>
      <c r="CX1536" s="110"/>
      <c r="CY1536" s="110"/>
      <c r="CZ1536" s="110"/>
      <c r="DA1536" s="110"/>
      <c r="DB1536" s="110"/>
      <c r="DC1536" s="110"/>
      <c r="DD1536" s="110"/>
      <c r="DE1536" s="110"/>
      <c r="DF1536" s="110"/>
      <c r="DG1536" s="110"/>
      <c r="DH1536" s="110"/>
      <c r="DI1536" s="110"/>
      <c r="DJ1536" s="110"/>
      <c r="DK1536" s="110"/>
      <c r="DL1536" s="110"/>
      <c r="DM1536" s="110"/>
      <c r="DN1536" s="110"/>
      <c r="DO1536" s="110"/>
      <c r="DP1536" s="110"/>
      <c r="DQ1536" s="110"/>
      <c r="DR1536" s="110"/>
      <c r="DS1536" s="110"/>
      <c r="DT1536" s="110"/>
      <c r="DU1536" s="110"/>
      <c r="DV1536" s="110"/>
      <c r="DW1536" s="110"/>
      <c r="DX1536" s="110"/>
      <c r="DY1536" s="110"/>
      <c r="DZ1536" s="110"/>
      <c r="EA1536" s="110"/>
      <c r="EB1536" s="110"/>
      <c r="EC1536" s="110"/>
      <c r="ED1536" s="110"/>
      <c r="EF1536" s="264"/>
      <c r="EG1536" s="110"/>
      <c r="EH1536" s="110"/>
      <c r="EI1536" s="110"/>
      <c r="EJ1536" s="110"/>
      <c r="EK1536" s="266"/>
      <c r="EL1536" s="110"/>
      <c r="EM1536" s="110"/>
      <c r="EN1536" s="110"/>
      <c r="EO1536" s="110"/>
      <c r="EP1536" s="110"/>
      <c r="EQ1536" s="110"/>
      <c r="ER1536" s="110"/>
      <c r="ES1536" s="110"/>
      <c r="ET1536" s="110"/>
      <c r="EU1536" s="110"/>
      <c r="EV1536" s="110"/>
      <c r="EW1536" s="110"/>
      <c r="EX1536" s="110"/>
      <c r="EY1536" s="110"/>
      <c r="EZ1536" s="110"/>
      <c r="FA1536" s="110"/>
      <c r="FB1536" s="110"/>
      <c r="FC1536" s="110"/>
      <c r="FD1536" s="110"/>
      <c r="FE1536" s="110"/>
      <c r="FF1536" s="110"/>
      <c r="FG1536" s="110"/>
      <c r="FH1536" s="110"/>
      <c r="FI1536" s="110"/>
      <c r="FJ1536" s="110"/>
      <c r="FK1536" s="110"/>
      <c r="FL1536" s="110"/>
      <c r="FM1536" s="110"/>
      <c r="FN1536" s="110"/>
      <c r="FO1536" s="110"/>
      <c r="FP1536" s="110"/>
      <c r="FQ1536" s="110"/>
      <c r="FR1536" s="110"/>
      <c r="FS1536" s="110"/>
      <c r="FT1536" s="110"/>
      <c r="FU1536" s="110"/>
      <c r="FV1536" s="110"/>
      <c r="FW1536" s="110"/>
      <c r="FX1536" s="110"/>
      <c r="FY1536" s="110"/>
      <c r="FZ1536" s="110"/>
      <c r="GA1536" s="110"/>
      <c r="GB1536" s="110"/>
      <c r="GC1536" s="110"/>
      <c r="GD1536" s="110"/>
      <c r="GE1536" s="110"/>
      <c r="GF1536" s="110"/>
      <c r="GG1536" s="110"/>
      <c r="GH1536" s="110"/>
      <c r="GI1536" s="110"/>
      <c r="GJ1536" s="110"/>
      <c r="GK1536" s="110"/>
      <c r="GL1536" s="110"/>
      <c r="GM1536" s="110"/>
      <c r="GN1536" s="110"/>
      <c r="GO1536" s="110"/>
      <c r="GP1536" s="110"/>
      <c r="GQ1536" s="110"/>
      <c r="GR1536" s="110"/>
      <c r="GS1536" s="110"/>
      <c r="GT1536" s="110"/>
      <c r="GU1536" s="110"/>
      <c r="GV1536" s="110"/>
      <c r="GW1536" s="110"/>
      <c r="GX1536" s="110"/>
      <c r="GY1536" s="110"/>
      <c r="GZ1536" s="110"/>
      <c r="HA1536" s="110"/>
      <c r="HB1536" s="110"/>
      <c r="HC1536" s="110"/>
      <c r="HD1536" s="110"/>
      <c r="HE1536" s="110"/>
      <c r="HF1536" s="110"/>
      <c r="HG1536" s="110"/>
      <c r="HH1536" s="110"/>
      <c r="HI1536" s="110"/>
      <c r="HJ1536" s="110"/>
      <c r="HK1536" s="110"/>
      <c r="HL1536" s="110"/>
      <c r="HM1536" s="110"/>
      <c r="HN1536" s="110"/>
      <c r="HO1536" s="110"/>
      <c r="HP1536" s="110"/>
      <c r="HQ1536" s="110"/>
      <c r="HR1536" s="110"/>
      <c r="HS1536" s="110"/>
      <c r="HT1536" s="110"/>
      <c r="HU1536" s="110"/>
      <c r="HV1536" s="110"/>
      <c r="HW1536" s="110"/>
      <c r="HX1536" s="110"/>
      <c r="HY1536" s="110"/>
      <c r="HZ1536" s="110"/>
      <c r="IA1536" s="110"/>
      <c r="IB1536" s="110"/>
      <c r="IC1536" s="110"/>
      <c r="ID1536" s="110"/>
      <c r="IE1536" s="110"/>
      <c r="IF1536" s="110"/>
      <c r="IG1536" s="110"/>
      <c r="IH1536" s="110"/>
      <c r="II1536" s="110"/>
      <c r="IJ1536" s="110"/>
      <c r="IK1536" s="110"/>
      <c r="IL1536" s="110"/>
      <c r="IM1536" s="110"/>
      <c r="IN1536" s="110"/>
      <c r="IO1536" s="110"/>
      <c r="IP1536" s="110"/>
      <c r="IQ1536" s="110"/>
      <c r="IR1536" s="110"/>
    </row>
    <row r="1537" spans="18:252" ht="16.5" hidden="1" customHeight="1">
      <c r="R1537" s="264"/>
      <c r="S1537" s="110"/>
      <c r="T1537" s="110"/>
      <c r="U1537" s="110"/>
      <c r="V1537" s="110"/>
      <c r="W1537" s="266"/>
      <c r="X1537" s="110"/>
      <c r="Y1537" s="110"/>
      <c r="Z1537" s="110"/>
      <c r="AA1537" s="110"/>
      <c r="AB1537" s="110"/>
      <c r="AC1537" s="110"/>
      <c r="AD1537" s="110"/>
      <c r="AE1537" s="110"/>
      <c r="AF1537" s="110"/>
      <c r="AG1537" s="110"/>
      <c r="AH1537" s="110"/>
      <c r="AI1537" s="110"/>
      <c r="AJ1537" s="110"/>
      <c r="AK1537" s="110"/>
      <c r="AL1537" s="110"/>
      <c r="AM1537" s="110"/>
      <c r="AN1537" s="110"/>
      <c r="AO1537" s="110"/>
      <c r="AP1537" s="110"/>
      <c r="AQ1537" s="110"/>
      <c r="AR1537" s="110"/>
      <c r="AS1537" s="110"/>
      <c r="AT1537" s="110"/>
      <c r="AU1537" s="110"/>
      <c r="AV1537" s="110"/>
      <c r="AW1537" s="110"/>
      <c r="AX1537" s="110"/>
      <c r="AY1537" s="110"/>
      <c r="AZ1537" s="110"/>
      <c r="BA1537" s="110"/>
      <c r="BB1537" s="110"/>
      <c r="BC1537" s="110"/>
      <c r="BD1537" s="110"/>
      <c r="BE1537" s="110"/>
      <c r="BF1537" s="110"/>
      <c r="BG1537" s="110"/>
      <c r="BH1537" s="110"/>
      <c r="BI1537" s="110"/>
      <c r="BJ1537" s="110"/>
      <c r="BK1537" s="110"/>
      <c r="BL1537" s="110"/>
      <c r="BM1537" s="110"/>
      <c r="BN1537" s="110"/>
      <c r="BO1537" s="110"/>
      <c r="BP1537" s="110"/>
      <c r="BQ1537" s="110"/>
      <c r="BR1537" s="110"/>
      <c r="BS1537" s="110"/>
      <c r="BT1537" s="110"/>
      <c r="BU1537" s="110"/>
      <c r="BV1537" s="110"/>
      <c r="BW1537" s="110"/>
      <c r="BX1537" s="110"/>
      <c r="BY1537" s="110"/>
      <c r="BZ1537" s="110"/>
      <c r="CA1537" s="110"/>
      <c r="CB1537" s="110"/>
      <c r="CC1537" s="110"/>
      <c r="CD1537" s="110"/>
      <c r="CE1537" s="110"/>
      <c r="CF1537" s="110"/>
      <c r="CG1537" s="110"/>
      <c r="CH1537" s="110"/>
      <c r="CI1537" s="110"/>
      <c r="CJ1537" s="110"/>
      <c r="CK1537" s="110"/>
      <c r="CL1537" s="110"/>
      <c r="CM1537" s="110"/>
      <c r="CN1537" s="110"/>
      <c r="CO1537" s="110"/>
      <c r="CP1537" s="110"/>
      <c r="CQ1537" s="110"/>
      <c r="CR1537" s="110"/>
      <c r="CS1537" s="110"/>
      <c r="CT1537" s="110"/>
      <c r="CU1537" s="110"/>
      <c r="CV1537" s="110"/>
      <c r="CW1537" s="110"/>
      <c r="CX1537" s="110"/>
      <c r="CY1537" s="110"/>
      <c r="CZ1537" s="110"/>
      <c r="DA1537" s="110"/>
      <c r="DB1537" s="110"/>
      <c r="DC1537" s="110"/>
      <c r="DD1537" s="110"/>
      <c r="DE1537" s="110"/>
      <c r="DF1537" s="110"/>
      <c r="DG1537" s="110"/>
      <c r="DH1537" s="110"/>
      <c r="DI1537" s="110"/>
      <c r="DJ1537" s="110"/>
      <c r="DK1537" s="110"/>
      <c r="DL1537" s="110"/>
      <c r="DM1537" s="110"/>
      <c r="DN1537" s="110"/>
      <c r="DO1537" s="110"/>
      <c r="DP1537" s="110"/>
      <c r="DQ1537" s="110"/>
      <c r="DR1537" s="110"/>
      <c r="DS1537" s="110"/>
      <c r="DT1537" s="110"/>
      <c r="DU1537" s="110"/>
      <c r="DV1537" s="110"/>
      <c r="DW1537" s="110"/>
      <c r="DX1537" s="110"/>
      <c r="DY1537" s="110"/>
      <c r="DZ1537" s="110"/>
      <c r="EA1537" s="110"/>
      <c r="EB1537" s="110"/>
      <c r="EC1537" s="110"/>
      <c r="ED1537" s="110"/>
      <c r="EF1537" s="264"/>
      <c r="EG1537" s="110"/>
      <c r="EH1537" s="110"/>
      <c r="EI1537" s="110"/>
      <c r="EJ1537" s="110"/>
      <c r="EK1537" s="266"/>
      <c r="EL1537" s="110"/>
      <c r="EM1537" s="110"/>
      <c r="EN1537" s="110"/>
      <c r="EO1537" s="110"/>
      <c r="EP1537" s="110"/>
      <c r="EQ1537" s="110"/>
      <c r="ER1537" s="110"/>
      <c r="ES1537" s="110"/>
      <c r="ET1537" s="110"/>
      <c r="EU1537" s="110"/>
      <c r="EV1537" s="110"/>
      <c r="EW1537" s="110"/>
      <c r="EX1537" s="110"/>
      <c r="EY1537" s="110"/>
      <c r="EZ1537" s="110"/>
      <c r="FA1537" s="110"/>
      <c r="FB1537" s="110"/>
      <c r="FC1537" s="110"/>
      <c r="FD1537" s="110"/>
      <c r="FE1537" s="110"/>
      <c r="FF1537" s="110"/>
      <c r="FG1537" s="110"/>
      <c r="FH1537" s="110"/>
      <c r="FI1537" s="110"/>
      <c r="FJ1537" s="110"/>
      <c r="FK1537" s="110"/>
      <c r="FL1537" s="110"/>
      <c r="FM1537" s="110"/>
      <c r="FN1537" s="110"/>
      <c r="FO1537" s="110"/>
      <c r="FP1537" s="110"/>
      <c r="FQ1537" s="110"/>
      <c r="FR1537" s="110"/>
      <c r="FS1537" s="110"/>
      <c r="FT1537" s="110"/>
      <c r="FU1537" s="110"/>
      <c r="FV1537" s="110"/>
      <c r="FW1537" s="110"/>
      <c r="FX1537" s="110"/>
      <c r="FY1537" s="110"/>
      <c r="FZ1537" s="110"/>
      <c r="GA1537" s="110"/>
      <c r="GB1537" s="110"/>
      <c r="GC1537" s="110"/>
      <c r="GD1537" s="110"/>
      <c r="GE1537" s="110"/>
      <c r="GF1537" s="110"/>
      <c r="GG1537" s="110"/>
      <c r="GH1537" s="110"/>
      <c r="GI1537" s="110"/>
      <c r="GJ1537" s="110"/>
      <c r="GK1537" s="110"/>
      <c r="GL1537" s="110"/>
      <c r="GM1537" s="110"/>
      <c r="GN1537" s="110"/>
      <c r="GO1537" s="110"/>
      <c r="GP1537" s="110"/>
      <c r="GQ1537" s="110"/>
      <c r="GR1537" s="110"/>
      <c r="GS1537" s="110"/>
      <c r="GT1537" s="110"/>
      <c r="GU1537" s="110"/>
      <c r="GV1537" s="110"/>
      <c r="GW1537" s="110"/>
      <c r="GX1537" s="110"/>
      <c r="GY1537" s="110"/>
      <c r="GZ1537" s="110"/>
      <c r="HA1537" s="110"/>
      <c r="HB1537" s="110"/>
      <c r="HC1537" s="110"/>
      <c r="HD1537" s="110"/>
      <c r="HE1537" s="110"/>
      <c r="HF1537" s="110"/>
      <c r="HG1537" s="110"/>
      <c r="HH1537" s="110"/>
      <c r="HI1537" s="110"/>
      <c r="HJ1537" s="110"/>
      <c r="HK1537" s="110"/>
      <c r="HL1537" s="110"/>
      <c r="HM1537" s="110"/>
      <c r="HN1537" s="110"/>
      <c r="HO1537" s="110"/>
      <c r="HP1537" s="110"/>
      <c r="HQ1537" s="110"/>
      <c r="HR1537" s="110"/>
      <c r="HS1537" s="110"/>
      <c r="HT1537" s="110"/>
      <c r="HU1537" s="110"/>
      <c r="HV1537" s="110"/>
      <c r="HW1537" s="110"/>
      <c r="HX1537" s="110"/>
      <c r="HY1537" s="110"/>
      <c r="HZ1537" s="110"/>
      <c r="IA1537" s="110"/>
      <c r="IB1537" s="110"/>
      <c r="IC1537" s="110"/>
      <c r="ID1537" s="110"/>
      <c r="IE1537" s="110"/>
      <c r="IF1537" s="110"/>
      <c r="IG1537" s="110"/>
      <c r="IH1537" s="110"/>
      <c r="II1537" s="110"/>
      <c r="IJ1537" s="110"/>
      <c r="IK1537" s="110"/>
      <c r="IL1537" s="110"/>
      <c r="IM1537" s="110"/>
      <c r="IN1537" s="110"/>
      <c r="IO1537" s="110"/>
      <c r="IP1537" s="110"/>
      <c r="IQ1537" s="110"/>
      <c r="IR1537" s="110"/>
    </row>
    <row r="1538" spans="18:252" ht="16.5" hidden="1" customHeight="1">
      <c r="R1538" s="264"/>
      <c r="S1538" s="110"/>
      <c r="T1538" s="110"/>
      <c r="U1538" s="110"/>
      <c r="V1538" s="110"/>
      <c r="W1538" s="266"/>
      <c r="X1538" s="110"/>
      <c r="Y1538" s="110"/>
      <c r="Z1538" s="110"/>
      <c r="AA1538" s="110"/>
      <c r="AB1538" s="110"/>
      <c r="AC1538" s="110"/>
      <c r="AD1538" s="110"/>
      <c r="AE1538" s="110"/>
      <c r="AF1538" s="110"/>
      <c r="AG1538" s="110"/>
      <c r="AH1538" s="110"/>
      <c r="AI1538" s="110"/>
      <c r="AJ1538" s="110"/>
      <c r="AK1538" s="110"/>
      <c r="AL1538" s="110"/>
      <c r="AM1538" s="110"/>
      <c r="AN1538" s="110"/>
      <c r="AO1538" s="110"/>
      <c r="AP1538" s="110"/>
      <c r="AQ1538" s="110"/>
      <c r="AR1538" s="110"/>
      <c r="AS1538" s="110"/>
      <c r="AT1538" s="110"/>
      <c r="AU1538" s="110"/>
      <c r="AV1538" s="110"/>
      <c r="AW1538" s="110"/>
      <c r="AX1538" s="110"/>
      <c r="AY1538" s="110"/>
      <c r="AZ1538" s="110"/>
      <c r="BA1538" s="110"/>
      <c r="BB1538" s="110"/>
      <c r="BC1538" s="110"/>
      <c r="BD1538" s="110"/>
      <c r="BE1538" s="110"/>
      <c r="BF1538" s="110"/>
      <c r="BG1538" s="110"/>
      <c r="BH1538" s="110"/>
      <c r="BI1538" s="110"/>
      <c r="BJ1538" s="110"/>
      <c r="BK1538" s="110"/>
      <c r="BL1538" s="110"/>
      <c r="BM1538" s="110"/>
      <c r="BN1538" s="110"/>
      <c r="BO1538" s="110"/>
      <c r="BP1538" s="110"/>
      <c r="BQ1538" s="110"/>
      <c r="BR1538" s="110"/>
      <c r="BS1538" s="110"/>
      <c r="BT1538" s="110"/>
      <c r="BU1538" s="110"/>
      <c r="BV1538" s="110"/>
      <c r="BW1538" s="110"/>
      <c r="BX1538" s="110"/>
      <c r="BY1538" s="110"/>
      <c r="BZ1538" s="110"/>
      <c r="CA1538" s="110"/>
      <c r="CB1538" s="110"/>
      <c r="CC1538" s="110"/>
      <c r="CD1538" s="110"/>
      <c r="CE1538" s="110"/>
      <c r="CF1538" s="110"/>
      <c r="CG1538" s="110"/>
      <c r="CH1538" s="110"/>
      <c r="CI1538" s="110"/>
      <c r="CJ1538" s="110"/>
      <c r="CK1538" s="110"/>
      <c r="CL1538" s="110"/>
      <c r="CM1538" s="110"/>
      <c r="CN1538" s="110"/>
      <c r="CO1538" s="110"/>
      <c r="CP1538" s="110"/>
      <c r="CQ1538" s="110"/>
      <c r="CR1538" s="110"/>
      <c r="CS1538" s="110"/>
      <c r="CT1538" s="110"/>
      <c r="CU1538" s="110"/>
      <c r="CV1538" s="110"/>
      <c r="CW1538" s="110"/>
      <c r="CX1538" s="110"/>
      <c r="CY1538" s="110"/>
      <c r="CZ1538" s="110"/>
      <c r="DA1538" s="110"/>
      <c r="DB1538" s="110"/>
      <c r="DC1538" s="110"/>
      <c r="DD1538" s="110"/>
      <c r="DE1538" s="110"/>
      <c r="DF1538" s="110"/>
      <c r="DG1538" s="110"/>
      <c r="DH1538" s="110"/>
      <c r="DI1538" s="110"/>
      <c r="DJ1538" s="110"/>
      <c r="DK1538" s="110"/>
      <c r="DL1538" s="110"/>
      <c r="DM1538" s="110"/>
      <c r="DN1538" s="110"/>
      <c r="DO1538" s="110"/>
      <c r="DP1538" s="110"/>
      <c r="DQ1538" s="110"/>
      <c r="DR1538" s="110"/>
      <c r="DS1538" s="110"/>
      <c r="DT1538" s="110"/>
      <c r="DU1538" s="110"/>
      <c r="DV1538" s="110"/>
      <c r="DW1538" s="110"/>
      <c r="DX1538" s="110"/>
      <c r="DY1538" s="110"/>
      <c r="DZ1538" s="110"/>
      <c r="EA1538" s="110"/>
      <c r="EB1538" s="110"/>
      <c r="EC1538" s="110"/>
      <c r="ED1538" s="110"/>
      <c r="EF1538" s="264"/>
      <c r="EG1538" s="110"/>
      <c r="EH1538" s="110"/>
      <c r="EI1538" s="110"/>
      <c r="EJ1538" s="110"/>
      <c r="EK1538" s="266"/>
      <c r="EL1538" s="110"/>
      <c r="EM1538" s="110"/>
      <c r="EN1538" s="110"/>
      <c r="EO1538" s="110"/>
      <c r="EP1538" s="110"/>
      <c r="EQ1538" s="110"/>
      <c r="ER1538" s="110"/>
      <c r="ES1538" s="110"/>
      <c r="ET1538" s="110"/>
      <c r="EU1538" s="110"/>
      <c r="EV1538" s="110"/>
      <c r="EW1538" s="110"/>
      <c r="EX1538" s="110"/>
      <c r="EY1538" s="110"/>
      <c r="EZ1538" s="110"/>
      <c r="FA1538" s="110"/>
      <c r="FB1538" s="110"/>
      <c r="FC1538" s="110"/>
      <c r="FD1538" s="110"/>
      <c r="FE1538" s="110"/>
      <c r="FF1538" s="110"/>
      <c r="FG1538" s="110"/>
      <c r="FH1538" s="110"/>
      <c r="FI1538" s="110"/>
      <c r="FJ1538" s="110"/>
      <c r="FK1538" s="110"/>
      <c r="FL1538" s="110"/>
      <c r="FM1538" s="110"/>
      <c r="FN1538" s="110"/>
      <c r="FO1538" s="110"/>
      <c r="FP1538" s="110"/>
      <c r="FQ1538" s="110"/>
      <c r="FR1538" s="110"/>
      <c r="FS1538" s="110"/>
      <c r="FT1538" s="110"/>
      <c r="FU1538" s="110"/>
      <c r="FV1538" s="110"/>
      <c r="FW1538" s="110"/>
      <c r="FX1538" s="110"/>
      <c r="FY1538" s="110"/>
      <c r="FZ1538" s="110"/>
      <c r="GA1538" s="110"/>
      <c r="GB1538" s="110"/>
      <c r="GC1538" s="110"/>
      <c r="GD1538" s="110"/>
      <c r="GE1538" s="110"/>
      <c r="GF1538" s="110"/>
      <c r="GG1538" s="110"/>
      <c r="GH1538" s="110"/>
      <c r="GI1538" s="110"/>
      <c r="GJ1538" s="110"/>
      <c r="GK1538" s="110"/>
      <c r="GL1538" s="110"/>
      <c r="GM1538" s="110"/>
      <c r="GN1538" s="110"/>
      <c r="GO1538" s="110"/>
      <c r="GP1538" s="110"/>
      <c r="GQ1538" s="110"/>
      <c r="GR1538" s="110"/>
      <c r="GS1538" s="110"/>
      <c r="GT1538" s="110"/>
      <c r="GU1538" s="110"/>
      <c r="GV1538" s="110"/>
      <c r="GW1538" s="110"/>
      <c r="GX1538" s="110"/>
      <c r="GY1538" s="110"/>
      <c r="GZ1538" s="110"/>
      <c r="HA1538" s="110"/>
      <c r="HB1538" s="110"/>
      <c r="HC1538" s="110"/>
      <c r="HD1538" s="110"/>
      <c r="HE1538" s="110"/>
      <c r="HF1538" s="110"/>
      <c r="HG1538" s="110"/>
      <c r="HH1538" s="110"/>
      <c r="HI1538" s="110"/>
      <c r="HJ1538" s="110"/>
      <c r="HK1538" s="110"/>
      <c r="HL1538" s="110"/>
      <c r="HM1538" s="110"/>
      <c r="HN1538" s="110"/>
      <c r="HO1538" s="110"/>
      <c r="HP1538" s="110"/>
      <c r="HQ1538" s="110"/>
      <c r="HR1538" s="110"/>
      <c r="HS1538" s="110"/>
      <c r="HT1538" s="110"/>
      <c r="HU1538" s="110"/>
      <c r="HV1538" s="110"/>
      <c r="HW1538" s="110"/>
      <c r="HX1538" s="110"/>
      <c r="HY1538" s="110"/>
      <c r="HZ1538" s="110"/>
      <c r="IA1538" s="110"/>
      <c r="IB1538" s="110"/>
      <c r="IC1538" s="110"/>
      <c r="ID1538" s="110"/>
      <c r="IE1538" s="110"/>
      <c r="IF1538" s="110"/>
      <c r="IG1538" s="110"/>
      <c r="IH1538" s="110"/>
      <c r="II1538" s="110"/>
      <c r="IJ1538" s="110"/>
      <c r="IK1538" s="110"/>
      <c r="IL1538" s="110"/>
      <c r="IM1538" s="110"/>
      <c r="IN1538" s="110"/>
      <c r="IO1538" s="110"/>
      <c r="IP1538" s="110"/>
      <c r="IQ1538" s="110"/>
      <c r="IR1538" s="110"/>
    </row>
    <row r="1539" spans="18:252" ht="16.5" hidden="1" customHeight="1">
      <c r="R1539" s="264"/>
      <c r="S1539" s="110"/>
      <c r="T1539" s="110"/>
      <c r="U1539" s="110"/>
      <c r="V1539" s="110"/>
      <c r="W1539" s="266"/>
      <c r="X1539" s="110"/>
      <c r="Y1539" s="110"/>
      <c r="Z1539" s="110"/>
      <c r="AA1539" s="110"/>
      <c r="AB1539" s="110"/>
      <c r="AC1539" s="110"/>
      <c r="AD1539" s="110"/>
      <c r="AE1539" s="110"/>
      <c r="AF1539" s="110"/>
      <c r="AG1539" s="110"/>
      <c r="AH1539" s="110"/>
      <c r="AI1539" s="110"/>
      <c r="AJ1539" s="110"/>
      <c r="AK1539" s="110"/>
      <c r="AL1539" s="110"/>
      <c r="AM1539" s="110"/>
      <c r="AN1539" s="110"/>
      <c r="AO1539" s="110"/>
      <c r="AP1539" s="110"/>
      <c r="AQ1539" s="110"/>
      <c r="AR1539" s="110"/>
      <c r="AS1539" s="110"/>
      <c r="AT1539" s="110"/>
      <c r="AU1539" s="110"/>
      <c r="AV1539" s="110"/>
      <c r="AW1539" s="110"/>
      <c r="AX1539" s="110"/>
      <c r="AY1539" s="110"/>
      <c r="AZ1539" s="110"/>
      <c r="BA1539" s="110"/>
      <c r="BB1539" s="110"/>
      <c r="BC1539" s="110"/>
      <c r="BD1539" s="110"/>
      <c r="BE1539" s="110"/>
      <c r="BF1539" s="110"/>
      <c r="BG1539" s="110"/>
      <c r="BH1539" s="110"/>
      <c r="BI1539" s="110"/>
      <c r="BJ1539" s="110"/>
      <c r="BK1539" s="110"/>
      <c r="BL1539" s="110"/>
      <c r="BM1539" s="110"/>
      <c r="BN1539" s="110"/>
      <c r="BO1539" s="110"/>
      <c r="BP1539" s="110"/>
      <c r="BQ1539" s="110"/>
      <c r="BR1539" s="110"/>
      <c r="BS1539" s="110"/>
      <c r="BT1539" s="110"/>
      <c r="BU1539" s="110"/>
      <c r="BV1539" s="110"/>
      <c r="BW1539" s="110"/>
      <c r="BX1539" s="110"/>
      <c r="BY1539" s="110"/>
      <c r="BZ1539" s="110"/>
      <c r="CA1539" s="110"/>
      <c r="CB1539" s="110"/>
      <c r="CC1539" s="110"/>
      <c r="CD1539" s="110"/>
      <c r="CE1539" s="110"/>
      <c r="CF1539" s="110"/>
      <c r="CG1539" s="110"/>
      <c r="CH1539" s="110"/>
      <c r="CI1539" s="110"/>
      <c r="CJ1539" s="110"/>
      <c r="CK1539" s="110"/>
      <c r="CL1539" s="110"/>
      <c r="CM1539" s="110"/>
      <c r="CN1539" s="110"/>
      <c r="CO1539" s="110"/>
      <c r="CP1539" s="110"/>
      <c r="CQ1539" s="110"/>
      <c r="CR1539" s="110"/>
      <c r="CS1539" s="110"/>
      <c r="CT1539" s="110"/>
      <c r="CU1539" s="110"/>
      <c r="CV1539" s="110"/>
      <c r="CW1539" s="110"/>
      <c r="CX1539" s="110"/>
      <c r="CY1539" s="110"/>
      <c r="CZ1539" s="110"/>
      <c r="DA1539" s="110"/>
      <c r="DB1539" s="110"/>
      <c r="DC1539" s="110"/>
      <c r="DD1539" s="110"/>
      <c r="DE1539" s="110"/>
      <c r="DF1539" s="110"/>
      <c r="DG1539" s="110"/>
      <c r="DH1539" s="110"/>
      <c r="DI1539" s="110"/>
      <c r="DJ1539" s="110"/>
      <c r="DK1539" s="110"/>
      <c r="DL1539" s="110"/>
      <c r="DM1539" s="110"/>
      <c r="DN1539" s="110"/>
      <c r="DO1539" s="110"/>
      <c r="DP1539" s="110"/>
      <c r="DQ1539" s="110"/>
      <c r="DR1539" s="110"/>
      <c r="DS1539" s="110"/>
      <c r="DT1539" s="110"/>
      <c r="DU1539" s="110"/>
      <c r="DV1539" s="110"/>
      <c r="DW1539" s="110"/>
      <c r="DX1539" s="110"/>
      <c r="DY1539" s="110"/>
      <c r="DZ1539" s="110"/>
      <c r="EA1539" s="110"/>
      <c r="EB1539" s="110"/>
      <c r="EC1539" s="110"/>
      <c r="ED1539" s="110"/>
      <c r="EF1539" s="264"/>
      <c r="EG1539" s="110"/>
      <c r="EH1539" s="110"/>
      <c r="EI1539" s="110"/>
      <c r="EJ1539" s="110"/>
      <c r="EK1539" s="266"/>
      <c r="EL1539" s="110"/>
      <c r="EM1539" s="110"/>
      <c r="EN1539" s="110"/>
      <c r="EO1539" s="110"/>
      <c r="EP1539" s="110"/>
      <c r="EQ1539" s="110"/>
      <c r="ER1539" s="110"/>
      <c r="ES1539" s="110"/>
      <c r="ET1539" s="110"/>
      <c r="EU1539" s="110"/>
      <c r="EV1539" s="110"/>
      <c r="EW1539" s="110"/>
      <c r="EX1539" s="110"/>
      <c r="EY1539" s="110"/>
      <c r="EZ1539" s="110"/>
      <c r="FA1539" s="110"/>
      <c r="FB1539" s="110"/>
      <c r="FC1539" s="110"/>
      <c r="FD1539" s="110"/>
      <c r="FE1539" s="110"/>
      <c r="FF1539" s="110"/>
      <c r="FG1539" s="110"/>
      <c r="FH1539" s="110"/>
      <c r="FI1539" s="110"/>
      <c r="FJ1539" s="110"/>
      <c r="FK1539" s="110"/>
      <c r="FL1539" s="110"/>
      <c r="FM1539" s="110"/>
      <c r="FN1539" s="110"/>
      <c r="FO1539" s="110"/>
      <c r="FP1539" s="110"/>
      <c r="FQ1539" s="110"/>
      <c r="FR1539" s="110"/>
      <c r="FS1539" s="110"/>
      <c r="FT1539" s="110"/>
      <c r="FU1539" s="110"/>
      <c r="FV1539" s="110"/>
      <c r="FW1539" s="110"/>
      <c r="FX1539" s="110"/>
      <c r="FY1539" s="110"/>
      <c r="FZ1539" s="110"/>
      <c r="GA1539" s="110"/>
      <c r="GB1539" s="110"/>
      <c r="GC1539" s="110"/>
      <c r="GD1539" s="110"/>
      <c r="GE1539" s="110"/>
      <c r="GF1539" s="110"/>
      <c r="GG1539" s="110"/>
      <c r="GH1539" s="110"/>
      <c r="GI1539" s="110"/>
      <c r="GJ1539" s="110"/>
      <c r="GK1539" s="110"/>
      <c r="GL1539" s="110"/>
      <c r="GM1539" s="110"/>
      <c r="GN1539" s="110"/>
      <c r="GO1539" s="110"/>
      <c r="GP1539" s="110"/>
      <c r="GQ1539" s="110"/>
      <c r="GR1539" s="110"/>
      <c r="GS1539" s="110"/>
      <c r="GT1539" s="110"/>
      <c r="GU1539" s="110"/>
      <c r="GV1539" s="110"/>
      <c r="GW1539" s="110"/>
      <c r="GX1539" s="110"/>
      <c r="GY1539" s="110"/>
      <c r="GZ1539" s="110"/>
      <c r="HA1539" s="110"/>
      <c r="HB1539" s="110"/>
      <c r="HC1539" s="110"/>
      <c r="HD1539" s="110"/>
      <c r="HE1539" s="110"/>
      <c r="HF1539" s="110"/>
      <c r="HG1539" s="110"/>
      <c r="HH1539" s="110"/>
      <c r="HI1539" s="110"/>
      <c r="HJ1539" s="110"/>
      <c r="HK1539" s="110"/>
      <c r="HL1539" s="110"/>
      <c r="HM1539" s="110"/>
      <c r="HN1539" s="110"/>
      <c r="HO1539" s="110"/>
      <c r="HP1539" s="110"/>
      <c r="HQ1539" s="110"/>
      <c r="HR1539" s="110"/>
      <c r="HS1539" s="110"/>
      <c r="HT1539" s="110"/>
      <c r="HU1539" s="110"/>
      <c r="HV1539" s="110"/>
      <c r="HW1539" s="110"/>
      <c r="HX1539" s="110"/>
      <c r="HY1539" s="110"/>
      <c r="HZ1539" s="110"/>
      <c r="IA1539" s="110"/>
      <c r="IB1539" s="110"/>
      <c r="IC1539" s="110"/>
      <c r="ID1539" s="110"/>
      <c r="IE1539" s="110"/>
      <c r="IF1539" s="110"/>
      <c r="IG1539" s="110"/>
      <c r="IH1539" s="110"/>
      <c r="II1539" s="110"/>
      <c r="IJ1539" s="110"/>
      <c r="IK1539" s="110"/>
      <c r="IL1539" s="110"/>
      <c r="IM1539" s="110"/>
      <c r="IN1539" s="110"/>
      <c r="IO1539" s="110"/>
      <c r="IP1539" s="110"/>
      <c r="IQ1539" s="110"/>
      <c r="IR1539" s="110"/>
    </row>
    <row r="1540" spans="18:252" ht="16.5" hidden="1" customHeight="1">
      <c r="R1540" s="264"/>
      <c r="S1540" s="110"/>
      <c r="T1540" s="110"/>
      <c r="U1540" s="110"/>
      <c r="V1540" s="110"/>
      <c r="W1540" s="266"/>
      <c r="X1540" s="110"/>
      <c r="Y1540" s="110"/>
      <c r="Z1540" s="110"/>
      <c r="AA1540" s="110"/>
      <c r="AB1540" s="110"/>
      <c r="AC1540" s="110"/>
      <c r="AD1540" s="110"/>
      <c r="AE1540" s="110"/>
      <c r="AF1540" s="110"/>
      <c r="AG1540" s="110"/>
      <c r="AH1540" s="110"/>
      <c r="AI1540" s="110"/>
      <c r="AJ1540" s="110"/>
      <c r="AK1540" s="110"/>
      <c r="AL1540" s="110"/>
      <c r="AM1540" s="110"/>
      <c r="AN1540" s="110"/>
      <c r="AO1540" s="110"/>
      <c r="AP1540" s="110"/>
      <c r="AQ1540" s="110"/>
      <c r="AR1540" s="110"/>
      <c r="AS1540" s="110"/>
      <c r="AT1540" s="110"/>
      <c r="AU1540" s="110"/>
      <c r="AV1540" s="110"/>
      <c r="AW1540" s="110"/>
      <c r="AX1540" s="110"/>
      <c r="AY1540" s="110"/>
      <c r="AZ1540" s="110"/>
      <c r="BA1540" s="110"/>
      <c r="BB1540" s="110"/>
      <c r="BC1540" s="110"/>
      <c r="BD1540" s="110"/>
      <c r="BE1540" s="110"/>
      <c r="BF1540" s="110"/>
      <c r="BG1540" s="110"/>
      <c r="BH1540" s="110"/>
      <c r="BI1540" s="110"/>
      <c r="BJ1540" s="110"/>
      <c r="BK1540" s="110"/>
      <c r="BL1540" s="110"/>
      <c r="BM1540" s="110"/>
      <c r="BN1540" s="110"/>
      <c r="BO1540" s="110"/>
      <c r="BP1540" s="110"/>
      <c r="BQ1540" s="110"/>
      <c r="BR1540" s="110"/>
      <c r="BS1540" s="110"/>
      <c r="BT1540" s="110"/>
      <c r="BU1540" s="110"/>
      <c r="BV1540" s="110"/>
      <c r="BW1540" s="110"/>
      <c r="BX1540" s="110"/>
      <c r="BY1540" s="110"/>
      <c r="BZ1540" s="110"/>
      <c r="CA1540" s="110"/>
      <c r="CB1540" s="110"/>
      <c r="CC1540" s="110"/>
      <c r="CD1540" s="110"/>
      <c r="CE1540" s="110"/>
      <c r="CF1540" s="110"/>
      <c r="CG1540" s="110"/>
      <c r="CH1540" s="110"/>
      <c r="CI1540" s="110"/>
      <c r="CJ1540" s="110"/>
      <c r="CK1540" s="110"/>
      <c r="CL1540" s="110"/>
      <c r="CM1540" s="110"/>
      <c r="CN1540" s="110"/>
      <c r="CO1540" s="110"/>
      <c r="CP1540" s="110"/>
      <c r="CQ1540" s="110"/>
      <c r="CR1540" s="110"/>
      <c r="CS1540" s="110"/>
      <c r="CT1540" s="110"/>
      <c r="CU1540" s="110"/>
      <c r="CV1540" s="110"/>
      <c r="CW1540" s="110"/>
      <c r="CX1540" s="110"/>
      <c r="CY1540" s="110"/>
      <c r="CZ1540" s="110"/>
      <c r="DA1540" s="110"/>
      <c r="DB1540" s="110"/>
      <c r="DC1540" s="110"/>
      <c r="DD1540" s="110"/>
      <c r="DE1540" s="110"/>
      <c r="DF1540" s="110"/>
      <c r="DG1540" s="110"/>
      <c r="DH1540" s="110"/>
      <c r="DI1540" s="110"/>
      <c r="DJ1540" s="110"/>
      <c r="DK1540" s="110"/>
      <c r="DL1540" s="110"/>
      <c r="DM1540" s="110"/>
      <c r="DN1540" s="110"/>
      <c r="DO1540" s="110"/>
      <c r="DP1540" s="110"/>
      <c r="DQ1540" s="110"/>
      <c r="DR1540" s="110"/>
      <c r="DS1540" s="110"/>
      <c r="DT1540" s="110"/>
      <c r="DU1540" s="110"/>
      <c r="DV1540" s="110"/>
      <c r="DW1540" s="110"/>
      <c r="DX1540" s="110"/>
      <c r="DY1540" s="110"/>
      <c r="DZ1540" s="110"/>
      <c r="EA1540" s="110"/>
      <c r="EB1540" s="110"/>
      <c r="EC1540" s="110"/>
      <c r="ED1540" s="110"/>
      <c r="EF1540" s="264"/>
      <c r="EG1540" s="110"/>
      <c r="EH1540" s="110"/>
      <c r="EI1540" s="110"/>
      <c r="EJ1540" s="110"/>
      <c r="EK1540" s="266"/>
      <c r="EL1540" s="110"/>
      <c r="EM1540" s="110"/>
      <c r="EN1540" s="110"/>
      <c r="EO1540" s="110"/>
      <c r="EP1540" s="110"/>
      <c r="EQ1540" s="110"/>
      <c r="ER1540" s="110"/>
      <c r="ES1540" s="110"/>
      <c r="ET1540" s="110"/>
      <c r="EU1540" s="110"/>
      <c r="EV1540" s="110"/>
      <c r="EW1540" s="110"/>
      <c r="EX1540" s="110"/>
      <c r="EY1540" s="110"/>
      <c r="EZ1540" s="110"/>
      <c r="FA1540" s="110"/>
      <c r="FB1540" s="110"/>
      <c r="FC1540" s="110"/>
      <c r="FD1540" s="110"/>
      <c r="FE1540" s="110"/>
      <c r="FF1540" s="110"/>
      <c r="FG1540" s="110"/>
      <c r="FH1540" s="110"/>
      <c r="FI1540" s="110"/>
      <c r="FJ1540" s="110"/>
      <c r="FK1540" s="110"/>
      <c r="FL1540" s="110"/>
      <c r="FM1540" s="110"/>
      <c r="FN1540" s="110"/>
      <c r="FO1540" s="110"/>
      <c r="FP1540" s="110"/>
      <c r="FQ1540" s="110"/>
      <c r="FR1540" s="110"/>
      <c r="FS1540" s="110"/>
      <c r="FT1540" s="110"/>
      <c r="FU1540" s="110"/>
      <c r="FV1540" s="110"/>
      <c r="FW1540" s="110"/>
      <c r="FX1540" s="110"/>
      <c r="FY1540" s="110"/>
      <c r="FZ1540" s="110"/>
      <c r="GA1540" s="110"/>
      <c r="GB1540" s="110"/>
      <c r="GC1540" s="110"/>
      <c r="GD1540" s="110"/>
      <c r="GE1540" s="110"/>
      <c r="GF1540" s="110"/>
      <c r="GG1540" s="110"/>
      <c r="GH1540" s="110"/>
      <c r="GI1540" s="110"/>
      <c r="GJ1540" s="110"/>
      <c r="GK1540" s="110"/>
      <c r="GL1540" s="110"/>
      <c r="GM1540" s="110"/>
      <c r="GN1540" s="110"/>
      <c r="GO1540" s="110"/>
      <c r="GP1540" s="110"/>
      <c r="GQ1540" s="110"/>
      <c r="GR1540" s="110"/>
      <c r="GS1540" s="110"/>
      <c r="GT1540" s="110"/>
      <c r="GU1540" s="110"/>
      <c r="GV1540" s="110"/>
      <c r="GW1540" s="110"/>
      <c r="GX1540" s="110"/>
      <c r="GY1540" s="110"/>
      <c r="GZ1540" s="110"/>
      <c r="HA1540" s="110"/>
      <c r="HB1540" s="110"/>
      <c r="HC1540" s="110"/>
      <c r="HD1540" s="110"/>
      <c r="HE1540" s="110"/>
      <c r="HF1540" s="110"/>
      <c r="HG1540" s="110"/>
      <c r="HH1540" s="110"/>
      <c r="HI1540" s="110"/>
      <c r="HJ1540" s="110"/>
      <c r="HK1540" s="110"/>
      <c r="HL1540" s="110"/>
      <c r="HM1540" s="110"/>
      <c r="HN1540" s="110"/>
      <c r="HO1540" s="110"/>
      <c r="HP1540" s="110"/>
      <c r="HQ1540" s="110"/>
      <c r="HR1540" s="110"/>
      <c r="HS1540" s="110"/>
      <c r="HT1540" s="110"/>
      <c r="HU1540" s="110"/>
      <c r="HV1540" s="110"/>
      <c r="HW1540" s="110"/>
      <c r="HX1540" s="110"/>
      <c r="HY1540" s="110"/>
      <c r="HZ1540" s="110"/>
      <c r="IA1540" s="110"/>
      <c r="IB1540" s="110"/>
      <c r="IC1540" s="110"/>
      <c r="ID1540" s="110"/>
      <c r="IE1540" s="110"/>
      <c r="IF1540" s="110"/>
      <c r="IG1540" s="110"/>
      <c r="IH1540" s="110"/>
      <c r="II1540" s="110"/>
      <c r="IJ1540" s="110"/>
      <c r="IK1540" s="110"/>
      <c r="IL1540" s="110"/>
      <c r="IM1540" s="110"/>
      <c r="IN1540" s="110"/>
      <c r="IO1540" s="110"/>
      <c r="IP1540" s="110"/>
      <c r="IQ1540" s="110"/>
      <c r="IR1540" s="110"/>
    </row>
    <row r="1541" spans="18:252" ht="16.5" hidden="1" customHeight="1">
      <c r="R1541" s="264"/>
      <c r="S1541" s="110"/>
      <c r="T1541" s="110"/>
      <c r="U1541" s="110"/>
      <c r="V1541" s="110"/>
      <c r="W1541" s="266"/>
      <c r="X1541" s="110"/>
      <c r="Y1541" s="110"/>
      <c r="Z1541" s="110"/>
      <c r="AA1541" s="110"/>
      <c r="AB1541" s="110"/>
      <c r="AC1541" s="110"/>
      <c r="AD1541" s="110"/>
      <c r="AE1541" s="110"/>
      <c r="AF1541" s="110"/>
      <c r="AG1541" s="110"/>
      <c r="AH1541" s="110"/>
      <c r="AI1541" s="110"/>
      <c r="AJ1541" s="110"/>
      <c r="AK1541" s="110"/>
      <c r="AL1541" s="110"/>
      <c r="AM1541" s="110"/>
      <c r="AN1541" s="110"/>
      <c r="AO1541" s="110"/>
      <c r="AP1541" s="110"/>
      <c r="AQ1541" s="110"/>
      <c r="AR1541" s="110"/>
      <c r="AS1541" s="110"/>
      <c r="AT1541" s="110"/>
      <c r="AU1541" s="110"/>
      <c r="AV1541" s="110"/>
      <c r="AW1541" s="110"/>
      <c r="AX1541" s="110"/>
      <c r="AY1541" s="110"/>
      <c r="AZ1541" s="110"/>
      <c r="BA1541" s="110"/>
      <c r="BB1541" s="110"/>
      <c r="BC1541" s="110"/>
      <c r="BD1541" s="110"/>
      <c r="BE1541" s="110"/>
      <c r="BF1541" s="110"/>
      <c r="BG1541" s="110"/>
      <c r="BH1541" s="110"/>
      <c r="BI1541" s="110"/>
      <c r="BJ1541" s="110"/>
      <c r="BK1541" s="110"/>
      <c r="BL1541" s="110"/>
      <c r="BM1541" s="110"/>
      <c r="BN1541" s="110"/>
      <c r="BO1541" s="110"/>
      <c r="BP1541" s="110"/>
      <c r="BQ1541" s="110"/>
      <c r="BR1541" s="110"/>
      <c r="BS1541" s="110"/>
      <c r="BT1541" s="110"/>
      <c r="BU1541" s="110"/>
      <c r="BV1541" s="110"/>
      <c r="BW1541" s="110"/>
      <c r="BX1541" s="110"/>
      <c r="BY1541" s="110"/>
      <c r="BZ1541" s="110"/>
      <c r="CA1541" s="110"/>
      <c r="CB1541" s="110"/>
      <c r="CC1541" s="110"/>
      <c r="CD1541" s="110"/>
      <c r="CE1541" s="110"/>
      <c r="CF1541" s="110"/>
      <c r="CG1541" s="110"/>
      <c r="CH1541" s="110"/>
      <c r="CI1541" s="110"/>
      <c r="CJ1541" s="110"/>
      <c r="CK1541" s="110"/>
      <c r="CL1541" s="110"/>
      <c r="CM1541" s="110"/>
      <c r="CN1541" s="110"/>
      <c r="CO1541" s="110"/>
      <c r="CP1541" s="110"/>
      <c r="CQ1541" s="110"/>
      <c r="CR1541" s="110"/>
      <c r="CS1541" s="110"/>
      <c r="CT1541" s="110"/>
      <c r="CU1541" s="110"/>
      <c r="CV1541" s="110"/>
      <c r="CW1541" s="110"/>
      <c r="CX1541" s="110"/>
      <c r="CY1541" s="110"/>
      <c r="CZ1541" s="110"/>
      <c r="DA1541" s="110"/>
      <c r="DB1541" s="110"/>
      <c r="DC1541" s="110"/>
      <c r="DD1541" s="110"/>
      <c r="DE1541" s="110"/>
      <c r="DF1541" s="110"/>
      <c r="DG1541" s="110"/>
      <c r="DH1541" s="110"/>
      <c r="DI1541" s="110"/>
      <c r="DJ1541" s="110"/>
      <c r="DK1541" s="110"/>
      <c r="DL1541" s="110"/>
      <c r="DM1541" s="110"/>
      <c r="DN1541" s="110"/>
      <c r="DO1541" s="110"/>
      <c r="DP1541" s="110"/>
      <c r="DQ1541" s="110"/>
      <c r="DR1541" s="110"/>
      <c r="DS1541" s="110"/>
      <c r="DT1541" s="110"/>
      <c r="DU1541" s="110"/>
      <c r="DV1541" s="110"/>
      <c r="DW1541" s="110"/>
      <c r="DX1541" s="110"/>
      <c r="DY1541" s="110"/>
      <c r="DZ1541" s="110"/>
      <c r="EA1541" s="110"/>
      <c r="EB1541" s="110"/>
      <c r="EC1541" s="110"/>
      <c r="ED1541" s="110"/>
      <c r="EF1541" s="264"/>
      <c r="EG1541" s="110"/>
      <c r="EH1541" s="110"/>
      <c r="EI1541" s="110"/>
      <c r="EJ1541" s="110"/>
      <c r="EK1541" s="266"/>
      <c r="EL1541" s="110"/>
      <c r="EM1541" s="110"/>
      <c r="EN1541" s="110"/>
      <c r="EO1541" s="110"/>
      <c r="EP1541" s="110"/>
      <c r="EQ1541" s="110"/>
      <c r="ER1541" s="110"/>
      <c r="ES1541" s="110"/>
      <c r="ET1541" s="110"/>
      <c r="EU1541" s="110"/>
      <c r="EV1541" s="110"/>
      <c r="EW1541" s="110"/>
      <c r="EX1541" s="110"/>
      <c r="EY1541" s="110"/>
      <c r="EZ1541" s="110"/>
      <c r="FA1541" s="110"/>
      <c r="FB1541" s="110"/>
      <c r="FC1541" s="110"/>
      <c r="FD1541" s="110"/>
      <c r="FE1541" s="110"/>
      <c r="FF1541" s="110"/>
      <c r="FG1541" s="110"/>
      <c r="FH1541" s="110"/>
      <c r="FI1541" s="110"/>
      <c r="FJ1541" s="110"/>
      <c r="FK1541" s="110"/>
      <c r="FL1541" s="110"/>
      <c r="FM1541" s="110"/>
      <c r="FN1541" s="110"/>
      <c r="FO1541" s="110"/>
      <c r="FP1541" s="110"/>
      <c r="FQ1541" s="110"/>
      <c r="FR1541" s="110"/>
      <c r="FS1541" s="110"/>
      <c r="FT1541" s="110"/>
      <c r="FU1541" s="110"/>
      <c r="FV1541" s="110"/>
      <c r="FW1541" s="110"/>
      <c r="FX1541" s="110"/>
      <c r="FY1541" s="110"/>
      <c r="FZ1541" s="110"/>
      <c r="GA1541" s="110"/>
      <c r="GB1541" s="110"/>
      <c r="GC1541" s="110"/>
      <c r="GD1541" s="110"/>
      <c r="GE1541" s="110"/>
      <c r="GF1541" s="110"/>
      <c r="GG1541" s="110"/>
      <c r="GH1541" s="110"/>
      <c r="GI1541" s="110"/>
      <c r="GJ1541" s="110"/>
      <c r="GK1541" s="110"/>
      <c r="GL1541" s="110"/>
      <c r="GM1541" s="110"/>
      <c r="GN1541" s="110"/>
      <c r="GO1541" s="110"/>
      <c r="GP1541" s="110"/>
      <c r="GQ1541" s="110"/>
      <c r="GR1541" s="110"/>
      <c r="GS1541" s="110"/>
      <c r="GT1541" s="110"/>
      <c r="GU1541" s="110"/>
      <c r="GV1541" s="110"/>
      <c r="GW1541" s="110"/>
      <c r="GX1541" s="110"/>
      <c r="GY1541" s="110"/>
      <c r="GZ1541" s="110"/>
      <c r="HA1541" s="110"/>
      <c r="HB1541" s="110"/>
      <c r="HC1541" s="110"/>
      <c r="HD1541" s="110"/>
      <c r="HE1541" s="110"/>
      <c r="HF1541" s="110"/>
      <c r="HG1541" s="110"/>
      <c r="HH1541" s="110"/>
      <c r="HI1541" s="110"/>
      <c r="HJ1541" s="110"/>
      <c r="HK1541" s="110"/>
      <c r="HL1541" s="110"/>
      <c r="HM1541" s="110"/>
      <c r="HN1541" s="110"/>
      <c r="HO1541" s="110"/>
      <c r="HP1541" s="110"/>
      <c r="HQ1541" s="110"/>
      <c r="HR1541" s="110"/>
      <c r="HS1541" s="110"/>
      <c r="HT1541" s="110"/>
      <c r="HU1541" s="110"/>
      <c r="HV1541" s="110"/>
      <c r="HW1541" s="110"/>
      <c r="HX1541" s="110"/>
      <c r="HY1541" s="110"/>
      <c r="HZ1541" s="110"/>
      <c r="IA1541" s="110"/>
      <c r="IB1541" s="110"/>
      <c r="IC1541" s="110"/>
      <c r="ID1541" s="110"/>
      <c r="IE1541" s="110"/>
      <c r="IF1541" s="110"/>
      <c r="IG1541" s="110"/>
      <c r="IH1541" s="110"/>
      <c r="II1541" s="110"/>
      <c r="IJ1541" s="110"/>
      <c r="IK1541" s="110"/>
      <c r="IL1541" s="110"/>
      <c r="IM1541" s="110"/>
      <c r="IN1541" s="110"/>
      <c r="IO1541" s="110"/>
      <c r="IP1541" s="110"/>
      <c r="IQ1541" s="110"/>
      <c r="IR1541" s="110"/>
    </row>
    <row r="1542" spans="18:252" ht="16.5" hidden="1" customHeight="1">
      <c r="R1542" s="264"/>
      <c r="S1542" s="110"/>
      <c r="T1542" s="110"/>
      <c r="U1542" s="110"/>
      <c r="V1542" s="110"/>
      <c r="W1542" s="266"/>
      <c r="X1542" s="110"/>
      <c r="Y1542" s="110"/>
      <c r="Z1542" s="110"/>
      <c r="AA1542" s="110"/>
      <c r="AB1542" s="110"/>
      <c r="AC1542" s="110"/>
      <c r="AD1542" s="110"/>
      <c r="AE1542" s="110"/>
      <c r="AF1542" s="110"/>
      <c r="AG1542" s="110"/>
      <c r="AH1542" s="110"/>
      <c r="AI1542" s="110"/>
      <c r="AJ1542" s="110"/>
      <c r="AK1542" s="110"/>
      <c r="AL1542" s="110"/>
      <c r="AM1542" s="110"/>
      <c r="AN1542" s="110"/>
      <c r="AO1542" s="110"/>
      <c r="AP1542" s="110"/>
      <c r="AQ1542" s="110"/>
      <c r="AR1542" s="110"/>
      <c r="AS1542" s="110"/>
      <c r="AT1542" s="110"/>
      <c r="AU1542" s="110"/>
      <c r="AV1542" s="110"/>
      <c r="AW1542" s="110"/>
      <c r="AX1542" s="110"/>
      <c r="AY1542" s="110"/>
      <c r="AZ1542" s="110"/>
      <c r="BA1542" s="110"/>
      <c r="BB1542" s="110"/>
      <c r="BC1542" s="110"/>
      <c r="BD1542" s="110"/>
      <c r="BE1542" s="110"/>
      <c r="BF1542" s="110"/>
      <c r="BG1542" s="110"/>
      <c r="BH1542" s="110"/>
      <c r="BI1542" s="110"/>
      <c r="BJ1542" s="110"/>
      <c r="BK1542" s="110"/>
      <c r="BL1542" s="110"/>
      <c r="BM1542" s="110"/>
      <c r="BN1542" s="110"/>
      <c r="BO1542" s="110"/>
      <c r="BP1542" s="110"/>
      <c r="BQ1542" s="110"/>
      <c r="BR1542" s="110"/>
      <c r="BS1542" s="110"/>
      <c r="BT1542" s="110"/>
      <c r="BU1542" s="110"/>
      <c r="BV1542" s="110"/>
      <c r="BW1542" s="110"/>
      <c r="BX1542" s="110"/>
      <c r="BY1542" s="110"/>
      <c r="BZ1542" s="110"/>
      <c r="CA1542" s="110"/>
      <c r="CB1542" s="110"/>
      <c r="CC1542" s="110"/>
      <c r="CD1542" s="110"/>
      <c r="CE1542" s="110"/>
      <c r="CF1542" s="110"/>
      <c r="CG1542" s="110"/>
      <c r="CH1542" s="110"/>
      <c r="CI1542" s="110"/>
      <c r="CJ1542" s="110"/>
      <c r="CK1542" s="110"/>
      <c r="CL1542" s="110"/>
      <c r="CM1542" s="110"/>
      <c r="CN1542" s="110"/>
      <c r="CO1542" s="110"/>
      <c r="CP1542" s="110"/>
      <c r="CQ1542" s="110"/>
      <c r="CR1542" s="110"/>
      <c r="CS1542" s="110"/>
      <c r="CT1542" s="110"/>
      <c r="CU1542" s="110"/>
      <c r="CV1542" s="110"/>
      <c r="CW1542" s="110"/>
      <c r="CX1542" s="110"/>
      <c r="CY1542" s="110"/>
      <c r="CZ1542" s="110"/>
      <c r="DA1542" s="110"/>
      <c r="DB1542" s="110"/>
      <c r="DC1542" s="110"/>
      <c r="DD1542" s="110"/>
      <c r="DE1542" s="110"/>
      <c r="DF1542" s="110"/>
      <c r="DG1542" s="110"/>
      <c r="DH1542" s="110"/>
      <c r="DI1542" s="110"/>
      <c r="DJ1542" s="110"/>
      <c r="DK1542" s="110"/>
      <c r="DL1542" s="110"/>
      <c r="DM1542" s="110"/>
      <c r="DN1542" s="110"/>
      <c r="DO1542" s="110"/>
      <c r="DP1542" s="110"/>
      <c r="DQ1542" s="110"/>
      <c r="DR1542" s="110"/>
      <c r="DS1542" s="110"/>
      <c r="DT1542" s="110"/>
      <c r="DU1542" s="110"/>
      <c r="DV1542" s="110"/>
      <c r="DW1542" s="110"/>
      <c r="DX1542" s="110"/>
      <c r="DY1542" s="110"/>
      <c r="DZ1542" s="110"/>
      <c r="EA1542" s="110"/>
      <c r="EB1542" s="110"/>
      <c r="EC1542" s="110"/>
      <c r="ED1542" s="110"/>
      <c r="EF1542" s="264"/>
      <c r="EG1542" s="110"/>
      <c r="EH1542" s="110"/>
      <c r="EI1542" s="110"/>
      <c r="EJ1542" s="110"/>
      <c r="EK1542" s="266"/>
      <c r="EL1542" s="110"/>
      <c r="EM1542" s="110"/>
      <c r="EN1542" s="110"/>
      <c r="EO1542" s="110"/>
      <c r="EP1542" s="110"/>
      <c r="EQ1542" s="110"/>
      <c r="ER1542" s="110"/>
      <c r="ES1542" s="110"/>
      <c r="ET1542" s="110"/>
      <c r="EU1542" s="110"/>
      <c r="EV1542" s="110"/>
      <c r="EW1542" s="110"/>
      <c r="EX1542" s="110"/>
      <c r="EY1542" s="110"/>
      <c r="EZ1542" s="110"/>
      <c r="FA1542" s="110"/>
      <c r="FB1542" s="110"/>
      <c r="FC1542" s="110"/>
      <c r="FD1542" s="110"/>
      <c r="FE1542" s="110"/>
      <c r="FF1542" s="110"/>
      <c r="FG1542" s="110"/>
      <c r="FH1542" s="110"/>
      <c r="FI1542" s="110"/>
      <c r="FJ1542" s="110"/>
      <c r="FK1542" s="110"/>
      <c r="FL1542" s="110"/>
      <c r="FM1542" s="110"/>
      <c r="FN1542" s="110"/>
      <c r="FO1542" s="110"/>
      <c r="FP1542" s="110"/>
      <c r="FQ1542" s="110"/>
      <c r="FR1542" s="110"/>
      <c r="FS1542" s="110"/>
      <c r="FT1542" s="110"/>
      <c r="FU1542" s="110"/>
      <c r="FV1542" s="110"/>
      <c r="FW1542" s="110"/>
      <c r="FX1542" s="110"/>
      <c r="FY1542" s="110"/>
      <c r="FZ1542" s="110"/>
      <c r="GA1542" s="110"/>
      <c r="GB1542" s="110"/>
      <c r="GC1542" s="110"/>
      <c r="GD1542" s="110"/>
      <c r="GE1542" s="110"/>
      <c r="GF1542" s="110"/>
      <c r="GG1542" s="110"/>
      <c r="GH1542" s="110"/>
      <c r="GI1542" s="110"/>
      <c r="GJ1542" s="110"/>
      <c r="GK1542" s="110"/>
      <c r="GL1542" s="110"/>
      <c r="GM1542" s="110"/>
      <c r="GN1542" s="110"/>
      <c r="GO1542" s="110"/>
      <c r="GP1542" s="110"/>
      <c r="GQ1542" s="110"/>
      <c r="GR1542" s="110"/>
      <c r="GS1542" s="110"/>
      <c r="GT1542" s="110"/>
      <c r="GU1542" s="110"/>
      <c r="GV1542" s="110"/>
      <c r="GW1542" s="110"/>
      <c r="GX1542" s="110"/>
      <c r="GY1542" s="110"/>
      <c r="GZ1542" s="110"/>
      <c r="HA1542" s="110"/>
      <c r="HB1542" s="110"/>
      <c r="HC1542" s="110"/>
      <c r="HD1542" s="110"/>
      <c r="HE1542" s="110"/>
      <c r="HF1542" s="110"/>
      <c r="HG1542" s="110"/>
      <c r="HH1542" s="110"/>
      <c r="HI1542" s="110"/>
      <c r="HJ1542" s="110"/>
      <c r="HK1542" s="110"/>
      <c r="HL1542" s="110"/>
      <c r="HM1542" s="110"/>
      <c r="HN1542" s="110"/>
      <c r="HO1542" s="110"/>
      <c r="HP1542" s="110"/>
      <c r="HQ1542" s="110"/>
      <c r="HR1542" s="110"/>
      <c r="HS1542" s="110"/>
      <c r="HT1542" s="110"/>
      <c r="HU1542" s="110"/>
      <c r="HV1542" s="110"/>
      <c r="HW1542" s="110"/>
      <c r="HX1542" s="110"/>
      <c r="HY1542" s="110"/>
      <c r="HZ1542" s="110"/>
      <c r="IA1542" s="110"/>
      <c r="IB1542" s="110"/>
      <c r="IC1542" s="110"/>
      <c r="ID1542" s="110"/>
      <c r="IE1542" s="110"/>
      <c r="IF1542" s="110"/>
      <c r="IG1542" s="110"/>
      <c r="IH1542" s="110"/>
      <c r="II1542" s="110"/>
      <c r="IJ1542" s="110"/>
      <c r="IK1542" s="110"/>
      <c r="IL1542" s="110"/>
      <c r="IM1542" s="110"/>
      <c r="IN1542" s="110"/>
      <c r="IO1542" s="110"/>
      <c r="IP1542" s="110"/>
      <c r="IQ1542" s="110"/>
      <c r="IR1542" s="110"/>
    </row>
    <row r="1543" spans="18:252" ht="16.5" hidden="1" customHeight="1">
      <c r="R1543" s="264"/>
      <c r="S1543" s="110"/>
      <c r="T1543" s="110"/>
      <c r="U1543" s="110"/>
      <c r="V1543" s="110"/>
      <c r="W1543" s="266"/>
      <c r="X1543" s="110"/>
      <c r="Y1543" s="110"/>
      <c r="Z1543" s="110"/>
      <c r="AA1543" s="110"/>
      <c r="AB1543" s="110"/>
      <c r="AC1543" s="110"/>
      <c r="AD1543" s="110"/>
      <c r="AE1543" s="110"/>
      <c r="AF1543" s="110"/>
      <c r="AG1543" s="110"/>
      <c r="AH1543" s="110"/>
      <c r="AI1543" s="110"/>
      <c r="AJ1543" s="110"/>
      <c r="AK1543" s="110"/>
      <c r="AL1543" s="110"/>
      <c r="AM1543" s="110"/>
      <c r="AN1543" s="110"/>
      <c r="AO1543" s="110"/>
      <c r="AP1543" s="110"/>
      <c r="AQ1543" s="110"/>
      <c r="AR1543" s="110"/>
      <c r="AS1543" s="110"/>
      <c r="AT1543" s="110"/>
      <c r="AU1543" s="110"/>
      <c r="AV1543" s="110"/>
      <c r="AW1543" s="110"/>
      <c r="AX1543" s="110"/>
      <c r="AY1543" s="110"/>
      <c r="AZ1543" s="110"/>
      <c r="BA1543" s="110"/>
      <c r="BB1543" s="110"/>
      <c r="BC1543" s="110"/>
      <c r="BD1543" s="110"/>
      <c r="BE1543" s="110"/>
      <c r="BF1543" s="110"/>
      <c r="BG1543" s="110"/>
      <c r="BH1543" s="110"/>
      <c r="BI1543" s="110"/>
      <c r="BJ1543" s="110"/>
      <c r="BK1543" s="110"/>
      <c r="BL1543" s="110"/>
      <c r="BM1543" s="110"/>
      <c r="BN1543" s="110"/>
      <c r="BO1543" s="110"/>
      <c r="BP1543" s="110"/>
      <c r="BQ1543" s="110"/>
      <c r="BR1543" s="110"/>
      <c r="BS1543" s="110"/>
      <c r="BT1543" s="110"/>
      <c r="BU1543" s="110"/>
      <c r="BV1543" s="110"/>
      <c r="BW1543" s="110"/>
      <c r="BX1543" s="110"/>
      <c r="BY1543" s="110"/>
      <c r="BZ1543" s="110"/>
      <c r="CA1543" s="110"/>
      <c r="CB1543" s="110"/>
      <c r="CC1543" s="110"/>
      <c r="CD1543" s="110"/>
      <c r="CE1543" s="110"/>
      <c r="CF1543" s="110"/>
      <c r="CG1543" s="110"/>
      <c r="CH1543" s="110"/>
      <c r="CI1543" s="110"/>
      <c r="CJ1543" s="110"/>
      <c r="CK1543" s="110"/>
      <c r="CL1543" s="110"/>
      <c r="CM1543" s="110"/>
      <c r="CN1543" s="110"/>
      <c r="CO1543" s="110"/>
      <c r="CP1543" s="110"/>
      <c r="CQ1543" s="110"/>
      <c r="CR1543" s="110"/>
      <c r="CS1543" s="110"/>
      <c r="CT1543" s="110"/>
      <c r="CU1543" s="110"/>
      <c r="CV1543" s="110"/>
      <c r="CW1543" s="110"/>
      <c r="CX1543" s="110"/>
      <c r="CY1543" s="110"/>
      <c r="CZ1543" s="110"/>
      <c r="DA1543" s="110"/>
      <c r="DB1543" s="110"/>
      <c r="DC1543" s="110"/>
      <c r="DD1543" s="110"/>
      <c r="DE1543" s="110"/>
      <c r="DF1543" s="110"/>
      <c r="DG1543" s="110"/>
      <c r="DH1543" s="110"/>
      <c r="DI1543" s="110"/>
      <c r="DJ1543" s="110"/>
      <c r="DK1543" s="110"/>
      <c r="DL1543" s="110"/>
      <c r="DM1543" s="110"/>
      <c r="DN1543" s="110"/>
      <c r="DO1543" s="110"/>
      <c r="DP1543" s="110"/>
      <c r="DQ1543" s="110"/>
      <c r="DR1543" s="110"/>
      <c r="DS1543" s="110"/>
      <c r="DT1543" s="110"/>
      <c r="DU1543" s="110"/>
      <c r="DV1543" s="110"/>
      <c r="DW1543" s="110"/>
      <c r="DX1543" s="110"/>
      <c r="DY1543" s="110"/>
      <c r="DZ1543" s="110"/>
      <c r="EA1543" s="110"/>
      <c r="EB1543" s="110"/>
      <c r="EC1543" s="110"/>
      <c r="ED1543" s="110"/>
      <c r="EF1543" s="264"/>
      <c r="EG1543" s="110"/>
      <c r="EH1543" s="110"/>
      <c r="EI1543" s="110"/>
      <c r="EJ1543" s="110"/>
      <c r="EK1543" s="266"/>
      <c r="EL1543" s="110"/>
      <c r="EM1543" s="110"/>
      <c r="EN1543" s="110"/>
      <c r="EO1543" s="110"/>
      <c r="EP1543" s="110"/>
      <c r="EQ1543" s="110"/>
      <c r="ER1543" s="110"/>
      <c r="ES1543" s="110"/>
      <c r="ET1543" s="110"/>
      <c r="EU1543" s="110"/>
      <c r="EV1543" s="110"/>
      <c r="EW1543" s="110"/>
      <c r="EX1543" s="110"/>
      <c r="EY1543" s="110"/>
      <c r="EZ1543" s="110"/>
      <c r="FA1543" s="110"/>
      <c r="FB1543" s="110"/>
      <c r="FC1543" s="110"/>
      <c r="FD1543" s="110"/>
      <c r="FE1543" s="110"/>
      <c r="FF1543" s="110"/>
      <c r="FG1543" s="110"/>
      <c r="FH1543" s="110"/>
      <c r="FI1543" s="110"/>
      <c r="FJ1543" s="110"/>
      <c r="FK1543" s="110"/>
      <c r="FL1543" s="110"/>
      <c r="FM1543" s="110"/>
      <c r="FN1543" s="110"/>
      <c r="FO1543" s="110"/>
      <c r="FP1543" s="110"/>
      <c r="FQ1543" s="110"/>
      <c r="FR1543" s="110"/>
      <c r="FS1543" s="110"/>
      <c r="FT1543" s="110"/>
      <c r="FU1543" s="110"/>
      <c r="FV1543" s="110"/>
      <c r="FW1543" s="110"/>
      <c r="FX1543" s="110"/>
      <c r="FY1543" s="110"/>
      <c r="FZ1543" s="110"/>
      <c r="GA1543" s="110"/>
      <c r="GB1543" s="110"/>
      <c r="GC1543" s="110"/>
      <c r="GD1543" s="110"/>
      <c r="GE1543" s="110"/>
      <c r="GF1543" s="110"/>
      <c r="GG1543" s="110"/>
      <c r="GH1543" s="110"/>
      <c r="GI1543" s="110"/>
      <c r="GJ1543" s="110"/>
      <c r="GK1543" s="110"/>
      <c r="GL1543" s="110"/>
      <c r="GM1543" s="110"/>
      <c r="GN1543" s="110"/>
      <c r="GO1543" s="110"/>
      <c r="GP1543" s="110"/>
      <c r="GQ1543" s="110"/>
      <c r="GR1543" s="110"/>
      <c r="GS1543" s="110"/>
      <c r="GT1543" s="110"/>
      <c r="GU1543" s="110"/>
      <c r="GV1543" s="110"/>
      <c r="GW1543" s="110"/>
      <c r="GX1543" s="110"/>
      <c r="GY1543" s="110"/>
      <c r="GZ1543" s="110"/>
      <c r="HA1543" s="110"/>
      <c r="HB1543" s="110"/>
      <c r="HC1543" s="110"/>
      <c r="HD1543" s="110"/>
      <c r="HE1543" s="110"/>
      <c r="HF1543" s="110"/>
      <c r="HG1543" s="110"/>
      <c r="HH1543" s="110"/>
      <c r="HI1543" s="110"/>
      <c r="HJ1543" s="110"/>
      <c r="HK1543" s="110"/>
      <c r="HL1543" s="110"/>
      <c r="HM1543" s="110"/>
      <c r="HN1543" s="110"/>
      <c r="HO1543" s="110"/>
      <c r="HP1543" s="110"/>
      <c r="HQ1543" s="110"/>
      <c r="HR1543" s="110"/>
      <c r="HS1543" s="110"/>
      <c r="HT1543" s="110"/>
      <c r="HU1543" s="110"/>
      <c r="HV1543" s="110"/>
      <c r="HW1543" s="110"/>
      <c r="HX1543" s="110"/>
      <c r="HY1543" s="110"/>
      <c r="HZ1543" s="110"/>
      <c r="IA1543" s="110"/>
      <c r="IB1543" s="110"/>
      <c r="IC1543" s="110"/>
      <c r="ID1543" s="110"/>
      <c r="IE1543" s="110"/>
      <c r="IF1543" s="110"/>
      <c r="IG1543" s="110"/>
      <c r="IH1543" s="110"/>
      <c r="II1543" s="110"/>
      <c r="IJ1543" s="110"/>
      <c r="IK1543" s="110"/>
      <c r="IL1543" s="110"/>
      <c r="IM1543" s="110"/>
      <c r="IN1543" s="110"/>
      <c r="IO1543" s="110"/>
      <c r="IP1543" s="110"/>
      <c r="IQ1543" s="110"/>
      <c r="IR1543" s="110"/>
    </row>
    <row r="1544" spans="18:252" ht="16.5" hidden="1" customHeight="1">
      <c r="R1544" s="264"/>
      <c r="S1544" s="110"/>
      <c r="T1544" s="110"/>
      <c r="U1544" s="110"/>
      <c r="V1544" s="110"/>
      <c r="W1544" s="266"/>
      <c r="X1544" s="110"/>
      <c r="Y1544" s="110"/>
      <c r="Z1544" s="110"/>
      <c r="AA1544" s="110"/>
      <c r="AB1544" s="110"/>
      <c r="AC1544" s="110"/>
      <c r="AD1544" s="110"/>
      <c r="AE1544" s="110"/>
      <c r="AF1544" s="110"/>
      <c r="AG1544" s="110"/>
      <c r="AH1544" s="110"/>
      <c r="AI1544" s="110"/>
      <c r="AJ1544" s="110"/>
      <c r="AK1544" s="110"/>
      <c r="AL1544" s="110"/>
      <c r="AM1544" s="110"/>
      <c r="AN1544" s="110"/>
      <c r="AO1544" s="110"/>
      <c r="AP1544" s="110"/>
      <c r="AQ1544" s="110"/>
      <c r="AR1544" s="110"/>
      <c r="AS1544" s="110"/>
      <c r="AT1544" s="110"/>
      <c r="AU1544" s="110"/>
      <c r="AV1544" s="110"/>
      <c r="AW1544" s="110"/>
      <c r="AX1544" s="110"/>
      <c r="AY1544" s="110"/>
      <c r="AZ1544" s="110"/>
      <c r="BA1544" s="110"/>
      <c r="BB1544" s="110"/>
      <c r="BC1544" s="110"/>
      <c r="BD1544" s="110"/>
      <c r="BE1544" s="110"/>
      <c r="BF1544" s="110"/>
      <c r="BG1544" s="110"/>
      <c r="BH1544" s="110"/>
      <c r="BI1544" s="110"/>
      <c r="BJ1544" s="110"/>
      <c r="BK1544" s="110"/>
      <c r="BL1544" s="110"/>
      <c r="BM1544" s="110"/>
      <c r="BN1544" s="110"/>
      <c r="BO1544" s="110"/>
      <c r="BP1544" s="110"/>
      <c r="BQ1544" s="110"/>
      <c r="BR1544" s="110"/>
      <c r="BS1544" s="110"/>
      <c r="BT1544" s="110"/>
      <c r="BU1544" s="110"/>
      <c r="BV1544" s="110"/>
      <c r="BW1544" s="110"/>
      <c r="BX1544" s="110"/>
      <c r="BY1544" s="110"/>
      <c r="BZ1544" s="110"/>
      <c r="CA1544" s="110"/>
      <c r="CB1544" s="110"/>
      <c r="CC1544" s="110"/>
      <c r="CD1544" s="110"/>
      <c r="CE1544" s="110"/>
      <c r="CF1544" s="110"/>
      <c r="CG1544" s="110"/>
      <c r="CH1544" s="110"/>
      <c r="CI1544" s="110"/>
      <c r="CJ1544" s="110"/>
      <c r="CK1544" s="110"/>
      <c r="CL1544" s="110"/>
      <c r="CM1544" s="110"/>
      <c r="CN1544" s="110"/>
      <c r="CO1544" s="110"/>
      <c r="CP1544" s="110"/>
      <c r="CQ1544" s="110"/>
      <c r="CR1544" s="110"/>
      <c r="CS1544" s="110"/>
      <c r="CT1544" s="110"/>
      <c r="CU1544" s="110"/>
      <c r="CV1544" s="110"/>
      <c r="CW1544" s="110"/>
      <c r="CX1544" s="110"/>
      <c r="CY1544" s="110"/>
      <c r="CZ1544" s="110"/>
      <c r="DA1544" s="110"/>
      <c r="DB1544" s="110"/>
      <c r="DC1544" s="110"/>
      <c r="DD1544" s="110"/>
      <c r="DE1544" s="110"/>
      <c r="DF1544" s="110"/>
      <c r="DG1544" s="110"/>
      <c r="DH1544" s="110"/>
      <c r="DI1544" s="110"/>
      <c r="DJ1544" s="110"/>
      <c r="DK1544" s="110"/>
      <c r="DL1544" s="110"/>
      <c r="DM1544" s="110"/>
      <c r="DN1544" s="110"/>
      <c r="DO1544" s="110"/>
      <c r="DP1544" s="110"/>
      <c r="DQ1544" s="110"/>
      <c r="DR1544" s="110"/>
      <c r="DS1544" s="110"/>
      <c r="DT1544" s="110"/>
      <c r="DU1544" s="110"/>
      <c r="DV1544" s="110"/>
      <c r="DW1544" s="110"/>
      <c r="DX1544" s="110"/>
      <c r="DY1544" s="110"/>
      <c r="DZ1544" s="110"/>
      <c r="EA1544" s="110"/>
      <c r="EB1544" s="110"/>
      <c r="EC1544" s="110"/>
      <c r="ED1544" s="110"/>
      <c r="EF1544" s="264"/>
      <c r="EG1544" s="110"/>
      <c r="EH1544" s="110"/>
      <c r="EI1544" s="110"/>
      <c r="EJ1544" s="110"/>
      <c r="EK1544" s="266"/>
      <c r="EL1544" s="110"/>
      <c r="EM1544" s="110"/>
      <c r="EN1544" s="110"/>
      <c r="EO1544" s="110"/>
      <c r="EP1544" s="110"/>
      <c r="EQ1544" s="110"/>
      <c r="ER1544" s="110"/>
      <c r="ES1544" s="110"/>
      <c r="ET1544" s="110"/>
      <c r="EU1544" s="110"/>
      <c r="EV1544" s="110"/>
      <c r="EW1544" s="110"/>
      <c r="EX1544" s="110"/>
      <c r="EY1544" s="110"/>
      <c r="EZ1544" s="110"/>
      <c r="FA1544" s="110"/>
      <c r="FB1544" s="110"/>
      <c r="FC1544" s="110"/>
      <c r="FD1544" s="110"/>
      <c r="FE1544" s="110"/>
      <c r="FF1544" s="110"/>
      <c r="FG1544" s="110"/>
      <c r="FH1544" s="110"/>
      <c r="FI1544" s="110"/>
      <c r="FJ1544" s="110"/>
      <c r="FK1544" s="110"/>
      <c r="FL1544" s="110"/>
      <c r="FM1544" s="110"/>
      <c r="FN1544" s="110"/>
      <c r="FO1544" s="110"/>
      <c r="FP1544" s="110"/>
      <c r="FQ1544" s="110"/>
      <c r="FR1544" s="110"/>
      <c r="FS1544" s="110"/>
      <c r="FT1544" s="110"/>
      <c r="FU1544" s="110"/>
      <c r="FV1544" s="110"/>
      <c r="FW1544" s="110"/>
      <c r="FX1544" s="110"/>
      <c r="FY1544" s="110"/>
      <c r="FZ1544" s="110"/>
      <c r="GA1544" s="110"/>
      <c r="GB1544" s="110"/>
      <c r="GC1544" s="110"/>
      <c r="GD1544" s="110"/>
      <c r="GE1544" s="110"/>
      <c r="GF1544" s="110"/>
      <c r="GG1544" s="110"/>
      <c r="GH1544" s="110"/>
      <c r="GI1544" s="110"/>
      <c r="GJ1544" s="110"/>
      <c r="GK1544" s="110"/>
      <c r="GL1544" s="110"/>
      <c r="GM1544" s="110"/>
      <c r="GN1544" s="110"/>
      <c r="GO1544" s="110"/>
      <c r="GP1544" s="110"/>
      <c r="GQ1544" s="110"/>
      <c r="GR1544" s="110"/>
      <c r="GS1544" s="110"/>
      <c r="GT1544" s="110"/>
      <c r="GU1544" s="110"/>
      <c r="GV1544" s="110"/>
      <c r="GW1544" s="110"/>
      <c r="GX1544" s="110"/>
      <c r="GY1544" s="110"/>
      <c r="GZ1544" s="110"/>
      <c r="HA1544" s="110"/>
      <c r="HB1544" s="110"/>
      <c r="HC1544" s="110"/>
      <c r="HD1544" s="110"/>
      <c r="HE1544" s="110"/>
      <c r="HF1544" s="110"/>
      <c r="HG1544" s="110"/>
      <c r="HH1544" s="110"/>
      <c r="HI1544" s="110"/>
      <c r="HJ1544" s="110"/>
      <c r="HK1544" s="110"/>
      <c r="HL1544" s="110"/>
      <c r="HM1544" s="110"/>
      <c r="HN1544" s="110"/>
      <c r="HO1544" s="110"/>
      <c r="HP1544" s="110"/>
      <c r="HQ1544" s="110"/>
      <c r="HR1544" s="110"/>
      <c r="HS1544" s="110"/>
      <c r="HT1544" s="110"/>
      <c r="HU1544" s="110"/>
      <c r="HV1544" s="110"/>
      <c r="HW1544" s="110"/>
      <c r="HX1544" s="110"/>
      <c r="HY1544" s="110"/>
      <c r="HZ1544" s="110"/>
      <c r="IA1544" s="110"/>
      <c r="IB1544" s="110"/>
      <c r="IC1544" s="110"/>
      <c r="ID1544" s="110"/>
      <c r="IE1544" s="110"/>
      <c r="IF1544" s="110"/>
      <c r="IG1544" s="110"/>
      <c r="IH1544" s="110"/>
      <c r="II1544" s="110"/>
      <c r="IJ1544" s="110"/>
      <c r="IK1544" s="110"/>
      <c r="IL1544" s="110"/>
      <c r="IM1544" s="110"/>
      <c r="IN1544" s="110"/>
      <c r="IO1544" s="110"/>
      <c r="IP1544" s="110"/>
      <c r="IQ1544" s="110"/>
      <c r="IR1544" s="110"/>
    </row>
    <row r="1545" spans="18:252" ht="16.5" hidden="1" customHeight="1">
      <c r="R1545" s="264"/>
      <c r="S1545" s="110"/>
      <c r="T1545" s="110"/>
      <c r="U1545" s="110"/>
      <c r="V1545" s="110"/>
      <c r="W1545" s="266"/>
      <c r="X1545" s="110"/>
      <c r="Y1545" s="110"/>
      <c r="Z1545" s="110"/>
      <c r="AA1545" s="110"/>
      <c r="AB1545" s="110"/>
      <c r="AC1545" s="110"/>
      <c r="AD1545" s="110"/>
      <c r="AE1545" s="110"/>
      <c r="AF1545" s="110"/>
      <c r="AG1545" s="110"/>
      <c r="AH1545" s="110"/>
      <c r="AI1545" s="110"/>
      <c r="AJ1545" s="110"/>
      <c r="AK1545" s="110"/>
      <c r="AL1545" s="110"/>
      <c r="AM1545" s="110"/>
      <c r="AN1545" s="110"/>
      <c r="AO1545" s="110"/>
      <c r="AP1545" s="110"/>
      <c r="AQ1545" s="110"/>
      <c r="AR1545" s="110"/>
      <c r="AS1545" s="110"/>
      <c r="AT1545" s="110"/>
      <c r="AU1545" s="110"/>
      <c r="AV1545" s="110"/>
      <c r="AW1545" s="110"/>
      <c r="AX1545" s="110"/>
      <c r="AY1545" s="110"/>
      <c r="AZ1545" s="110"/>
      <c r="BA1545" s="110"/>
      <c r="BB1545" s="110"/>
      <c r="BC1545" s="110"/>
      <c r="BD1545" s="110"/>
      <c r="BE1545" s="110"/>
      <c r="BF1545" s="110"/>
      <c r="BG1545" s="110"/>
      <c r="BH1545" s="110"/>
      <c r="BI1545" s="110"/>
      <c r="BJ1545" s="110"/>
      <c r="BK1545" s="110"/>
      <c r="BL1545" s="110"/>
      <c r="BM1545" s="110"/>
      <c r="BN1545" s="110"/>
      <c r="BO1545" s="110"/>
      <c r="BP1545" s="110"/>
      <c r="BQ1545" s="110"/>
      <c r="BR1545" s="110"/>
      <c r="BS1545" s="110"/>
      <c r="BT1545" s="110"/>
      <c r="BU1545" s="110"/>
      <c r="BV1545" s="110"/>
      <c r="BW1545" s="110"/>
      <c r="BX1545" s="110"/>
      <c r="BY1545" s="110"/>
      <c r="BZ1545" s="110"/>
      <c r="CA1545" s="110"/>
      <c r="CB1545" s="110"/>
      <c r="CC1545" s="110"/>
      <c r="CD1545" s="110"/>
      <c r="CE1545" s="110"/>
      <c r="CF1545" s="110"/>
      <c r="CG1545" s="110"/>
      <c r="CH1545" s="110"/>
      <c r="CI1545" s="110"/>
      <c r="CJ1545" s="110"/>
      <c r="CK1545" s="110"/>
      <c r="CL1545" s="110"/>
      <c r="CM1545" s="110"/>
      <c r="CN1545" s="110"/>
      <c r="CO1545" s="110"/>
      <c r="CP1545" s="110"/>
      <c r="CQ1545" s="110"/>
      <c r="CR1545" s="110"/>
      <c r="CS1545" s="110"/>
      <c r="CT1545" s="110"/>
      <c r="CU1545" s="110"/>
      <c r="CV1545" s="110"/>
      <c r="CW1545" s="110"/>
      <c r="CX1545" s="110"/>
      <c r="CY1545" s="110"/>
      <c r="CZ1545" s="110"/>
      <c r="DA1545" s="110"/>
      <c r="DB1545" s="110"/>
      <c r="DC1545" s="110"/>
      <c r="DD1545" s="110"/>
      <c r="DE1545" s="110"/>
      <c r="DF1545" s="110"/>
      <c r="DG1545" s="110"/>
      <c r="DH1545" s="110"/>
      <c r="DI1545" s="110"/>
      <c r="DJ1545" s="110"/>
      <c r="DK1545" s="110"/>
      <c r="DL1545" s="110"/>
      <c r="DM1545" s="110"/>
      <c r="DN1545" s="110"/>
      <c r="DO1545" s="110"/>
      <c r="DP1545" s="110"/>
      <c r="DQ1545" s="110"/>
      <c r="DR1545" s="110"/>
      <c r="DS1545" s="110"/>
      <c r="DT1545" s="110"/>
      <c r="DU1545" s="110"/>
      <c r="DV1545" s="110"/>
      <c r="DW1545" s="110"/>
      <c r="DX1545" s="110"/>
      <c r="DY1545" s="110"/>
      <c r="DZ1545" s="110"/>
      <c r="EA1545" s="110"/>
      <c r="EB1545" s="110"/>
      <c r="EC1545" s="110"/>
      <c r="ED1545" s="110"/>
      <c r="EF1545" s="264"/>
      <c r="EG1545" s="110"/>
      <c r="EH1545" s="110"/>
      <c r="EI1545" s="110"/>
      <c r="EJ1545" s="110"/>
      <c r="EK1545" s="266"/>
      <c r="EL1545" s="110"/>
      <c r="EM1545" s="110"/>
      <c r="EN1545" s="110"/>
      <c r="EO1545" s="110"/>
      <c r="EP1545" s="110"/>
      <c r="EQ1545" s="110"/>
      <c r="ER1545" s="110"/>
      <c r="ES1545" s="110"/>
      <c r="ET1545" s="110"/>
      <c r="EU1545" s="110"/>
      <c r="EV1545" s="110"/>
      <c r="EW1545" s="110"/>
      <c r="EX1545" s="110"/>
      <c r="EY1545" s="110"/>
      <c r="EZ1545" s="110"/>
      <c r="FA1545" s="110"/>
      <c r="FB1545" s="110"/>
      <c r="FC1545" s="110"/>
      <c r="FD1545" s="110"/>
      <c r="FE1545" s="110"/>
      <c r="FF1545" s="110"/>
      <c r="FG1545" s="110"/>
      <c r="FH1545" s="110"/>
      <c r="FI1545" s="110"/>
      <c r="FJ1545" s="110"/>
      <c r="FK1545" s="110"/>
      <c r="FL1545" s="110"/>
      <c r="FM1545" s="110"/>
      <c r="FN1545" s="110"/>
      <c r="FO1545" s="110"/>
      <c r="FP1545" s="110"/>
      <c r="FQ1545" s="110"/>
      <c r="FR1545" s="110"/>
      <c r="FS1545" s="110"/>
      <c r="FT1545" s="110"/>
      <c r="FU1545" s="110"/>
      <c r="FV1545" s="110"/>
      <c r="FW1545" s="110"/>
      <c r="FX1545" s="110"/>
      <c r="FY1545" s="110"/>
      <c r="FZ1545" s="110"/>
      <c r="GA1545" s="110"/>
      <c r="GB1545" s="110"/>
      <c r="GC1545" s="110"/>
      <c r="GD1545" s="110"/>
      <c r="GE1545" s="110"/>
      <c r="GF1545" s="110"/>
      <c r="GG1545" s="110"/>
      <c r="GH1545" s="110"/>
      <c r="GI1545" s="110"/>
      <c r="GJ1545" s="110"/>
      <c r="GK1545" s="110"/>
      <c r="GL1545" s="110"/>
      <c r="GM1545" s="110"/>
      <c r="GN1545" s="110"/>
      <c r="GO1545" s="110"/>
      <c r="GP1545" s="110"/>
      <c r="GQ1545" s="110"/>
      <c r="GR1545" s="110"/>
      <c r="GS1545" s="110"/>
      <c r="GT1545" s="110"/>
      <c r="GU1545" s="110"/>
      <c r="GV1545" s="110"/>
      <c r="GW1545" s="110"/>
      <c r="GX1545" s="110"/>
      <c r="GY1545" s="110"/>
      <c r="GZ1545" s="110"/>
      <c r="HA1545" s="110"/>
      <c r="HB1545" s="110"/>
      <c r="HC1545" s="110"/>
      <c r="HD1545" s="110"/>
      <c r="HE1545" s="110"/>
      <c r="HF1545" s="110"/>
      <c r="HG1545" s="110"/>
      <c r="HH1545" s="110"/>
      <c r="HI1545" s="110"/>
      <c r="HJ1545" s="110"/>
      <c r="HK1545" s="110"/>
      <c r="HL1545" s="110"/>
      <c r="HM1545" s="110"/>
      <c r="HN1545" s="110"/>
      <c r="HO1545" s="110"/>
      <c r="HP1545" s="110"/>
      <c r="HQ1545" s="110"/>
      <c r="HR1545" s="110"/>
      <c r="HS1545" s="110"/>
      <c r="HT1545" s="110"/>
      <c r="HU1545" s="110"/>
      <c r="HV1545" s="110"/>
      <c r="HW1545" s="110"/>
      <c r="HX1545" s="110"/>
      <c r="HY1545" s="110"/>
      <c r="HZ1545" s="110"/>
      <c r="IA1545" s="110"/>
      <c r="IB1545" s="110"/>
      <c r="IC1545" s="110"/>
      <c r="ID1545" s="110"/>
      <c r="IE1545" s="110"/>
      <c r="IF1545" s="110"/>
      <c r="IG1545" s="110"/>
      <c r="IH1545" s="110"/>
      <c r="II1545" s="110"/>
      <c r="IJ1545" s="110"/>
      <c r="IK1545" s="110"/>
      <c r="IL1545" s="110"/>
      <c r="IM1545" s="110"/>
      <c r="IN1545" s="110"/>
      <c r="IO1545" s="110"/>
      <c r="IP1545" s="110"/>
      <c r="IQ1545" s="110"/>
      <c r="IR1545" s="110"/>
    </row>
    <row r="1546" spans="18:252" ht="16.5" hidden="1" customHeight="1">
      <c r="R1546" s="264"/>
      <c r="S1546" s="110"/>
      <c r="T1546" s="110"/>
      <c r="U1546" s="110"/>
      <c r="V1546" s="110"/>
      <c r="W1546" s="266"/>
      <c r="X1546" s="110"/>
      <c r="Y1546" s="110"/>
      <c r="Z1546" s="110"/>
      <c r="AA1546" s="110"/>
      <c r="AB1546" s="110"/>
      <c r="AC1546" s="110"/>
      <c r="AD1546" s="110"/>
      <c r="AE1546" s="110"/>
      <c r="AF1546" s="110"/>
      <c r="AG1546" s="110"/>
      <c r="AH1546" s="110"/>
      <c r="AI1546" s="110"/>
      <c r="AJ1546" s="110"/>
      <c r="AK1546" s="110"/>
      <c r="AL1546" s="110"/>
      <c r="AM1546" s="110"/>
      <c r="AN1546" s="110"/>
      <c r="AO1546" s="110"/>
      <c r="AP1546" s="110"/>
      <c r="AQ1546" s="110"/>
      <c r="AR1546" s="110"/>
      <c r="AS1546" s="110"/>
      <c r="AT1546" s="110"/>
      <c r="AU1546" s="110"/>
      <c r="AV1546" s="110"/>
      <c r="AW1546" s="110"/>
      <c r="AX1546" s="110"/>
      <c r="AY1546" s="110"/>
      <c r="AZ1546" s="110"/>
      <c r="BA1546" s="110"/>
      <c r="BB1546" s="110"/>
      <c r="BC1546" s="110"/>
      <c r="BD1546" s="110"/>
      <c r="BE1546" s="110"/>
      <c r="BF1546" s="110"/>
      <c r="BG1546" s="110"/>
      <c r="BH1546" s="110"/>
      <c r="BI1546" s="110"/>
      <c r="BJ1546" s="110"/>
      <c r="BK1546" s="110"/>
      <c r="BL1546" s="110"/>
      <c r="BM1546" s="110"/>
      <c r="BN1546" s="110"/>
      <c r="BO1546" s="110"/>
      <c r="BP1546" s="110"/>
      <c r="BQ1546" s="110"/>
      <c r="BR1546" s="110"/>
      <c r="BS1546" s="110"/>
      <c r="BT1546" s="110"/>
      <c r="BU1546" s="110"/>
      <c r="BV1546" s="110"/>
      <c r="BW1546" s="110"/>
      <c r="BX1546" s="110"/>
      <c r="BY1546" s="110"/>
      <c r="BZ1546" s="110"/>
      <c r="CA1546" s="110"/>
      <c r="CB1546" s="110"/>
      <c r="CC1546" s="110"/>
      <c r="CD1546" s="110"/>
      <c r="CE1546" s="110"/>
      <c r="CF1546" s="110"/>
      <c r="CG1546" s="110"/>
      <c r="CH1546" s="110"/>
      <c r="CI1546" s="110"/>
      <c r="CJ1546" s="110"/>
      <c r="CK1546" s="110"/>
      <c r="CL1546" s="110"/>
      <c r="CM1546" s="110"/>
      <c r="CN1546" s="110"/>
      <c r="CO1546" s="110"/>
      <c r="CP1546" s="110"/>
      <c r="CQ1546" s="110"/>
      <c r="CR1546" s="110"/>
      <c r="CS1546" s="110"/>
      <c r="CT1546" s="110"/>
      <c r="CU1546" s="110"/>
      <c r="CV1546" s="110"/>
      <c r="CW1546" s="110"/>
      <c r="CX1546" s="110"/>
      <c r="CY1546" s="110"/>
      <c r="CZ1546" s="110"/>
      <c r="DA1546" s="110"/>
      <c r="DB1546" s="110"/>
      <c r="DC1546" s="110"/>
      <c r="DD1546" s="110"/>
      <c r="DE1546" s="110"/>
      <c r="DF1546" s="110"/>
      <c r="DG1546" s="110"/>
      <c r="DH1546" s="110"/>
      <c r="DI1546" s="110"/>
      <c r="DJ1546" s="110"/>
      <c r="DK1546" s="110"/>
      <c r="DL1546" s="110"/>
      <c r="DM1546" s="110"/>
      <c r="DN1546" s="110"/>
      <c r="DO1546" s="110"/>
      <c r="DP1546" s="110"/>
      <c r="DQ1546" s="110"/>
      <c r="DR1546" s="110"/>
      <c r="DS1546" s="110"/>
      <c r="DT1546" s="110"/>
      <c r="DU1546" s="110"/>
      <c r="DV1546" s="110"/>
      <c r="DW1546" s="110"/>
      <c r="DX1546" s="110"/>
      <c r="DY1546" s="110"/>
      <c r="DZ1546" s="110"/>
      <c r="EA1546" s="110"/>
      <c r="EB1546" s="110"/>
      <c r="EC1546" s="110"/>
      <c r="ED1546" s="110"/>
      <c r="EF1546" s="264"/>
      <c r="EG1546" s="110"/>
      <c r="EH1546" s="110"/>
      <c r="EI1546" s="110"/>
      <c r="EJ1546" s="110"/>
      <c r="EK1546" s="266"/>
      <c r="EL1546" s="110"/>
      <c r="EM1546" s="110"/>
      <c r="EN1546" s="110"/>
      <c r="EO1546" s="110"/>
      <c r="EP1546" s="110"/>
      <c r="EQ1546" s="110"/>
      <c r="ER1546" s="110"/>
      <c r="ES1546" s="110"/>
      <c r="ET1546" s="110"/>
      <c r="EU1546" s="110"/>
      <c r="EV1546" s="110"/>
      <c r="EW1546" s="110"/>
      <c r="EX1546" s="110"/>
      <c r="EY1546" s="110"/>
      <c r="EZ1546" s="110"/>
      <c r="FA1546" s="110"/>
      <c r="FB1546" s="110"/>
      <c r="FC1546" s="110"/>
      <c r="FD1546" s="110"/>
      <c r="FE1546" s="110"/>
      <c r="FF1546" s="110"/>
      <c r="FG1546" s="110"/>
      <c r="FH1546" s="110"/>
      <c r="FI1546" s="110"/>
      <c r="FJ1546" s="110"/>
      <c r="FK1546" s="110"/>
      <c r="FL1546" s="110"/>
      <c r="FM1546" s="110"/>
      <c r="FN1546" s="110"/>
      <c r="FO1546" s="110"/>
      <c r="FP1546" s="110"/>
      <c r="FQ1546" s="110"/>
      <c r="FR1546" s="110"/>
      <c r="FS1546" s="110"/>
      <c r="FT1546" s="110"/>
      <c r="FU1546" s="110"/>
      <c r="FV1546" s="110"/>
      <c r="FW1546" s="110"/>
      <c r="FX1546" s="110"/>
      <c r="FY1546" s="110"/>
      <c r="FZ1546" s="110"/>
      <c r="GA1546" s="110"/>
      <c r="GB1546" s="110"/>
      <c r="GC1546" s="110"/>
      <c r="GD1546" s="110"/>
      <c r="GE1546" s="110"/>
      <c r="GF1546" s="110"/>
      <c r="GG1546" s="110"/>
      <c r="GH1546" s="110"/>
      <c r="GI1546" s="110"/>
      <c r="GJ1546" s="110"/>
      <c r="GK1546" s="110"/>
      <c r="GL1546" s="110"/>
      <c r="GM1546" s="110"/>
      <c r="GN1546" s="110"/>
      <c r="GO1546" s="110"/>
      <c r="GP1546" s="110"/>
      <c r="GQ1546" s="110"/>
      <c r="GR1546" s="110"/>
      <c r="GS1546" s="110"/>
      <c r="GT1546" s="110"/>
      <c r="GU1546" s="110"/>
      <c r="GV1546" s="110"/>
      <c r="GW1546" s="110"/>
      <c r="GX1546" s="110"/>
      <c r="GY1546" s="110"/>
      <c r="GZ1546" s="110"/>
      <c r="HA1546" s="110"/>
      <c r="HB1546" s="110"/>
      <c r="HC1546" s="110"/>
      <c r="HD1546" s="110"/>
      <c r="HE1546" s="110"/>
      <c r="HF1546" s="110"/>
      <c r="HG1546" s="110"/>
      <c r="HH1546" s="110"/>
      <c r="HI1546" s="110"/>
      <c r="HJ1546" s="110"/>
      <c r="HK1546" s="110"/>
      <c r="HL1546" s="110"/>
      <c r="HM1546" s="110"/>
      <c r="HN1546" s="110"/>
      <c r="HO1546" s="110"/>
      <c r="HP1546" s="110"/>
      <c r="HQ1546" s="110"/>
      <c r="HR1546" s="110"/>
      <c r="HS1546" s="110"/>
      <c r="HT1546" s="110"/>
      <c r="HU1546" s="110"/>
      <c r="HV1546" s="110"/>
      <c r="HW1546" s="110"/>
      <c r="HX1546" s="110"/>
      <c r="HY1546" s="110"/>
      <c r="HZ1546" s="110"/>
      <c r="IA1546" s="110"/>
      <c r="IB1546" s="110"/>
      <c r="IC1546" s="110"/>
      <c r="ID1546" s="110"/>
      <c r="IE1546" s="110"/>
      <c r="IF1546" s="110"/>
      <c r="IG1546" s="110"/>
      <c r="IH1546" s="110"/>
      <c r="II1546" s="110"/>
      <c r="IJ1546" s="110"/>
      <c r="IK1546" s="110"/>
      <c r="IL1546" s="110"/>
      <c r="IM1546" s="110"/>
      <c r="IN1546" s="110"/>
      <c r="IO1546" s="110"/>
      <c r="IP1546" s="110"/>
      <c r="IQ1546" s="110"/>
      <c r="IR1546" s="110"/>
    </row>
    <row r="1547" spans="18:252" ht="16.5" hidden="1" customHeight="1">
      <c r="R1547" s="264"/>
      <c r="S1547" s="110"/>
      <c r="T1547" s="110"/>
      <c r="U1547" s="110"/>
      <c r="V1547" s="110"/>
      <c r="W1547" s="266"/>
      <c r="X1547" s="110"/>
      <c r="Y1547" s="110"/>
      <c r="Z1547" s="110"/>
      <c r="AA1547" s="110"/>
      <c r="AB1547" s="110"/>
      <c r="AC1547" s="110"/>
      <c r="AD1547" s="110"/>
      <c r="AE1547" s="110"/>
      <c r="AF1547" s="110"/>
      <c r="AG1547" s="110"/>
      <c r="AH1547" s="110"/>
      <c r="AI1547" s="110"/>
      <c r="AJ1547" s="110"/>
      <c r="AK1547" s="110"/>
      <c r="AL1547" s="110"/>
      <c r="AM1547" s="110"/>
      <c r="AN1547" s="110"/>
      <c r="AO1547" s="110"/>
      <c r="AP1547" s="110"/>
      <c r="AQ1547" s="110"/>
      <c r="AR1547" s="110"/>
      <c r="AS1547" s="110"/>
      <c r="AT1547" s="110"/>
      <c r="AU1547" s="110"/>
      <c r="AV1547" s="110"/>
      <c r="AW1547" s="110"/>
      <c r="AX1547" s="110"/>
      <c r="AY1547" s="110"/>
      <c r="AZ1547" s="110"/>
      <c r="BA1547" s="110"/>
      <c r="BB1547" s="110"/>
      <c r="BC1547" s="110"/>
      <c r="BD1547" s="110"/>
      <c r="BE1547" s="110"/>
      <c r="BF1547" s="110"/>
      <c r="BG1547" s="110"/>
      <c r="BH1547" s="110"/>
      <c r="BI1547" s="110"/>
      <c r="BJ1547" s="110"/>
      <c r="BK1547" s="110"/>
      <c r="BL1547" s="110"/>
      <c r="BM1547" s="110"/>
      <c r="BN1547" s="110"/>
      <c r="BO1547" s="110"/>
      <c r="BP1547" s="110"/>
      <c r="BQ1547" s="110"/>
      <c r="BR1547" s="110"/>
      <c r="BS1547" s="110"/>
      <c r="BT1547" s="110"/>
      <c r="BU1547" s="110"/>
      <c r="BV1547" s="110"/>
      <c r="BW1547" s="110"/>
      <c r="BX1547" s="110"/>
      <c r="BY1547" s="110"/>
      <c r="BZ1547" s="110"/>
      <c r="CA1547" s="110"/>
      <c r="CB1547" s="110"/>
      <c r="CC1547" s="110"/>
      <c r="CD1547" s="110"/>
      <c r="CE1547" s="110"/>
      <c r="CF1547" s="110"/>
      <c r="CG1547" s="110"/>
      <c r="CH1547" s="110"/>
      <c r="CI1547" s="110"/>
      <c r="CJ1547" s="110"/>
      <c r="CK1547" s="110"/>
      <c r="CL1547" s="110"/>
      <c r="CM1547" s="110"/>
      <c r="CN1547" s="110"/>
      <c r="CO1547" s="110"/>
      <c r="CP1547" s="110"/>
      <c r="CQ1547" s="110"/>
      <c r="CR1547" s="110"/>
      <c r="CS1547" s="110"/>
      <c r="CT1547" s="110"/>
      <c r="CU1547" s="110"/>
      <c r="CV1547" s="110"/>
      <c r="CW1547" s="110"/>
      <c r="CX1547" s="110"/>
      <c r="CY1547" s="110"/>
      <c r="CZ1547" s="110"/>
      <c r="DA1547" s="110"/>
      <c r="DB1547" s="110"/>
      <c r="DC1547" s="110"/>
      <c r="DD1547" s="110"/>
      <c r="DE1547" s="110"/>
      <c r="DF1547" s="110"/>
      <c r="DG1547" s="110"/>
      <c r="DH1547" s="110"/>
      <c r="DI1547" s="110"/>
      <c r="DJ1547" s="110"/>
      <c r="DK1547" s="110"/>
      <c r="DL1547" s="110"/>
      <c r="DM1547" s="110"/>
      <c r="DN1547" s="110"/>
      <c r="DO1547" s="110"/>
      <c r="DP1547" s="110"/>
      <c r="DQ1547" s="110"/>
      <c r="DR1547" s="110"/>
      <c r="DS1547" s="110"/>
      <c r="DT1547" s="110"/>
      <c r="DU1547" s="110"/>
      <c r="DV1547" s="110"/>
      <c r="DW1547" s="110"/>
      <c r="DX1547" s="110"/>
      <c r="DY1547" s="110"/>
      <c r="DZ1547" s="110"/>
      <c r="EA1547" s="110"/>
      <c r="EB1547" s="110"/>
      <c r="EC1547" s="110"/>
      <c r="ED1547" s="110"/>
      <c r="EF1547" s="264"/>
      <c r="EG1547" s="110"/>
      <c r="EH1547" s="110"/>
      <c r="EI1547" s="110"/>
      <c r="EJ1547" s="110"/>
      <c r="EK1547" s="266"/>
      <c r="EL1547" s="110"/>
      <c r="EM1547" s="110"/>
      <c r="EN1547" s="110"/>
      <c r="EO1547" s="110"/>
      <c r="EP1547" s="110"/>
      <c r="EQ1547" s="110"/>
      <c r="ER1547" s="110"/>
      <c r="ES1547" s="110"/>
      <c r="ET1547" s="110"/>
      <c r="EU1547" s="110"/>
      <c r="EV1547" s="110"/>
      <c r="EW1547" s="110"/>
      <c r="EX1547" s="110"/>
      <c r="EY1547" s="110"/>
      <c r="EZ1547" s="110"/>
      <c r="FA1547" s="110"/>
      <c r="FB1547" s="110"/>
      <c r="FC1547" s="110"/>
      <c r="FD1547" s="110"/>
      <c r="FE1547" s="110"/>
      <c r="FF1547" s="110"/>
      <c r="FG1547" s="110"/>
      <c r="FH1547" s="110"/>
      <c r="FI1547" s="110"/>
      <c r="FJ1547" s="110"/>
      <c r="FK1547" s="110"/>
      <c r="FL1547" s="110"/>
      <c r="FM1547" s="110"/>
      <c r="FN1547" s="110"/>
      <c r="FO1547" s="110"/>
      <c r="FP1547" s="110"/>
      <c r="FQ1547" s="110"/>
      <c r="FR1547" s="110"/>
      <c r="FS1547" s="110"/>
      <c r="FT1547" s="110"/>
      <c r="FU1547" s="110"/>
      <c r="FV1547" s="110"/>
      <c r="FW1547" s="110"/>
      <c r="FX1547" s="110"/>
      <c r="FY1547" s="110"/>
      <c r="FZ1547" s="110"/>
      <c r="GA1547" s="110"/>
      <c r="GB1547" s="110"/>
      <c r="GC1547" s="110"/>
      <c r="GD1547" s="110"/>
      <c r="GE1547" s="110"/>
      <c r="GF1547" s="110"/>
      <c r="GG1547" s="110"/>
      <c r="GH1547" s="110"/>
      <c r="GI1547" s="110"/>
      <c r="GJ1547" s="110"/>
      <c r="GK1547" s="110"/>
      <c r="GL1547" s="110"/>
      <c r="GM1547" s="110"/>
      <c r="GN1547" s="110"/>
      <c r="GO1547" s="110"/>
      <c r="GP1547" s="110"/>
      <c r="GQ1547" s="110"/>
      <c r="GR1547" s="110"/>
      <c r="GS1547" s="110"/>
      <c r="GT1547" s="110"/>
      <c r="GU1547" s="110"/>
      <c r="GV1547" s="110"/>
      <c r="GW1547" s="110"/>
      <c r="GX1547" s="110"/>
      <c r="GY1547" s="110"/>
      <c r="GZ1547" s="110"/>
      <c r="HA1547" s="110"/>
      <c r="HB1547" s="110"/>
      <c r="HC1547" s="110"/>
      <c r="HD1547" s="110"/>
      <c r="HE1547" s="110"/>
      <c r="HF1547" s="110"/>
      <c r="HG1547" s="110"/>
      <c r="HH1547" s="110"/>
      <c r="HI1547" s="110"/>
      <c r="HJ1547" s="110"/>
      <c r="HK1547" s="110"/>
      <c r="HL1547" s="110"/>
      <c r="HM1547" s="110"/>
      <c r="HN1547" s="110"/>
      <c r="HO1547" s="110"/>
      <c r="HP1547" s="110"/>
      <c r="HQ1547" s="110"/>
      <c r="HR1547" s="110"/>
      <c r="HS1547" s="110"/>
      <c r="HT1547" s="110"/>
      <c r="HU1547" s="110"/>
      <c r="HV1547" s="110"/>
      <c r="HW1547" s="110"/>
      <c r="HX1547" s="110"/>
      <c r="HY1547" s="110"/>
      <c r="HZ1547" s="110"/>
      <c r="IA1547" s="110"/>
      <c r="IB1547" s="110"/>
      <c r="IC1547" s="110"/>
      <c r="ID1547" s="110"/>
      <c r="IE1547" s="110"/>
      <c r="IF1547" s="110"/>
      <c r="IG1547" s="110"/>
      <c r="IH1547" s="110"/>
      <c r="II1547" s="110"/>
      <c r="IJ1547" s="110"/>
      <c r="IK1547" s="110"/>
      <c r="IL1547" s="110"/>
      <c r="IM1547" s="110"/>
      <c r="IN1547" s="110"/>
      <c r="IO1547" s="110"/>
      <c r="IP1547" s="110"/>
      <c r="IQ1547" s="110"/>
      <c r="IR1547" s="110"/>
    </row>
    <row r="1548" spans="18:252" ht="16.5" hidden="1" customHeight="1">
      <c r="R1548" s="264"/>
      <c r="S1548" s="110"/>
      <c r="T1548" s="110"/>
      <c r="U1548" s="110"/>
      <c r="V1548" s="110"/>
      <c r="W1548" s="266"/>
      <c r="X1548" s="110"/>
      <c r="Y1548" s="110"/>
      <c r="Z1548" s="110"/>
      <c r="AA1548" s="110"/>
      <c r="AB1548" s="110"/>
      <c r="AC1548" s="110"/>
      <c r="AD1548" s="110"/>
      <c r="AE1548" s="110"/>
      <c r="AF1548" s="110"/>
      <c r="AG1548" s="110"/>
      <c r="AH1548" s="110"/>
      <c r="AI1548" s="110"/>
      <c r="AJ1548" s="110"/>
      <c r="AK1548" s="110"/>
      <c r="AL1548" s="110"/>
      <c r="AM1548" s="110"/>
      <c r="AN1548" s="110"/>
      <c r="AO1548" s="110"/>
      <c r="AP1548" s="110"/>
      <c r="AQ1548" s="110"/>
      <c r="AR1548" s="110"/>
      <c r="AS1548" s="110"/>
      <c r="AT1548" s="110"/>
      <c r="AU1548" s="110"/>
      <c r="AV1548" s="110"/>
      <c r="AW1548" s="110"/>
      <c r="AX1548" s="110"/>
      <c r="AY1548" s="110"/>
      <c r="AZ1548" s="110"/>
      <c r="BA1548" s="110"/>
      <c r="BB1548" s="110"/>
      <c r="BC1548" s="110"/>
      <c r="BD1548" s="110"/>
      <c r="BE1548" s="110"/>
      <c r="BF1548" s="110"/>
      <c r="BG1548" s="110"/>
      <c r="BH1548" s="110"/>
      <c r="BI1548" s="110"/>
      <c r="BJ1548" s="110"/>
      <c r="BK1548" s="110"/>
      <c r="BL1548" s="110"/>
      <c r="BM1548" s="110"/>
      <c r="BN1548" s="110"/>
      <c r="BO1548" s="110"/>
      <c r="BP1548" s="110"/>
      <c r="BQ1548" s="110"/>
      <c r="BR1548" s="110"/>
      <c r="BS1548" s="110"/>
      <c r="BT1548" s="110"/>
      <c r="BU1548" s="110"/>
      <c r="BV1548" s="110"/>
      <c r="BW1548" s="110"/>
      <c r="BX1548" s="110"/>
      <c r="BY1548" s="110"/>
      <c r="BZ1548" s="110"/>
      <c r="CA1548" s="110"/>
      <c r="CB1548" s="110"/>
      <c r="CC1548" s="110"/>
      <c r="CD1548" s="110"/>
      <c r="CE1548" s="110"/>
      <c r="CF1548" s="110"/>
      <c r="CG1548" s="110"/>
      <c r="CH1548" s="110"/>
      <c r="CI1548" s="110"/>
      <c r="CJ1548" s="110"/>
      <c r="CK1548" s="110"/>
      <c r="CL1548" s="110"/>
      <c r="CM1548" s="110"/>
      <c r="CN1548" s="110"/>
      <c r="CO1548" s="110"/>
      <c r="CP1548" s="110"/>
      <c r="CQ1548" s="110"/>
      <c r="CR1548" s="110"/>
      <c r="CS1548" s="110"/>
      <c r="CT1548" s="110"/>
      <c r="CU1548" s="110"/>
      <c r="CV1548" s="110"/>
      <c r="CW1548" s="110"/>
      <c r="CX1548" s="110"/>
      <c r="CY1548" s="110"/>
      <c r="CZ1548" s="110"/>
      <c r="DA1548" s="110"/>
      <c r="DB1548" s="110"/>
      <c r="DC1548" s="110"/>
      <c r="DD1548" s="110"/>
      <c r="DE1548" s="110"/>
      <c r="DF1548" s="110"/>
      <c r="DG1548" s="110"/>
      <c r="DH1548" s="110"/>
      <c r="DI1548" s="110"/>
      <c r="DJ1548" s="110"/>
      <c r="DK1548" s="110"/>
      <c r="DL1548" s="110"/>
      <c r="DM1548" s="110"/>
      <c r="DN1548" s="110"/>
      <c r="DO1548" s="110"/>
      <c r="DP1548" s="110"/>
      <c r="DQ1548" s="110"/>
      <c r="DR1548" s="110"/>
      <c r="DS1548" s="110"/>
      <c r="DT1548" s="110"/>
      <c r="DU1548" s="110"/>
      <c r="DV1548" s="110"/>
      <c r="DW1548" s="110"/>
      <c r="DX1548" s="110"/>
      <c r="DY1548" s="110"/>
      <c r="DZ1548" s="110"/>
      <c r="EA1548" s="110"/>
      <c r="EB1548" s="110"/>
      <c r="EC1548" s="110"/>
      <c r="ED1548" s="110"/>
      <c r="EF1548" s="264"/>
      <c r="EG1548" s="110"/>
      <c r="EH1548" s="110"/>
      <c r="EI1548" s="110"/>
      <c r="EJ1548" s="110"/>
      <c r="EK1548" s="266"/>
      <c r="EL1548" s="110"/>
      <c r="EM1548" s="110"/>
      <c r="EN1548" s="110"/>
      <c r="EO1548" s="110"/>
      <c r="EP1548" s="110"/>
      <c r="EQ1548" s="110"/>
      <c r="ER1548" s="110"/>
      <c r="ES1548" s="110"/>
      <c r="ET1548" s="110"/>
      <c r="EU1548" s="110"/>
      <c r="EV1548" s="110"/>
      <c r="EW1548" s="110"/>
      <c r="EX1548" s="110"/>
      <c r="EY1548" s="110"/>
      <c r="EZ1548" s="110"/>
      <c r="FA1548" s="110"/>
      <c r="FB1548" s="110"/>
      <c r="FC1548" s="110"/>
      <c r="FD1548" s="110"/>
      <c r="FE1548" s="110"/>
      <c r="FF1548" s="110"/>
      <c r="FG1548" s="110"/>
      <c r="FH1548" s="110"/>
      <c r="FI1548" s="110"/>
      <c r="FJ1548" s="110"/>
      <c r="FK1548" s="110"/>
      <c r="FL1548" s="110"/>
      <c r="FM1548" s="110"/>
      <c r="FN1548" s="110"/>
      <c r="FO1548" s="110"/>
      <c r="FP1548" s="110"/>
      <c r="FQ1548" s="110"/>
      <c r="FR1548" s="110"/>
      <c r="FS1548" s="110"/>
      <c r="FT1548" s="110"/>
      <c r="FU1548" s="110"/>
      <c r="FV1548" s="110"/>
      <c r="FW1548" s="110"/>
      <c r="FX1548" s="110"/>
      <c r="FY1548" s="110"/>
      <c r="FZ1548" s="110"/>
      <c r="GA1548" s="110"/>
      <c r="GB1548" s="110"/>
      <c r="GC1548" s="110"/>
      <c r="GD1548" s="110"/>
      <c r="GE1548" s="110"/>
      <c r="GF1548" s="110"/>
      <c r="GG1548" s="110"/>
      <c r="GH1548" s="110"/>
      <c r="GI1548" s="110"/>
      <c r="GJ1548" s="110"/>
      <c r="GK1548" s="110"/>
      <c r="GL1548" s="110"/>
      <c r="GM1548" s="110"/>
      <c r="GN1548" s="110"/>
      <c r="GO1548" s="110"/>
      <c r="GP1548" s="110"/>
      <c r="GQ1548" s="110"/>
      <c r="GR1548" s="110"/>
      <c r="GS1548" s="110"/>
      <c r="GT1548" s="110"/>
      <c r="GU1548" s="110"/>
      <c r="GV1548" s="110"/>
      <c r="GW1548" s="110"/>
      <c r="GX1548" s="110"/>
      <c r="GY1548" s="110"/>
      <c r="GZ1548" s="110"/>
      <c r="HA1548" s="110"/>
      <c r="HB1548" s="110"/>
      <c r="HC1548" s="110"/>
      <c r="HD1548" s="110"/>
      <c r="HE1548" s="110"/>
      <c r="HF1548" s="110"/>
      <c r="HG1548" s="110"/>
      <c r="HH1548" s="110"/>
      <c r="HI1548" s="110"/>
      <c r="HJ1548" s="110"/>
      <c r="HK1548" s="110"/>
      <c r="HL1548" s="110"/>
      <c r="HM1548" s="110"/>
      <c r="HN1548" s="110"/>
      <c r="HO1548" s="110"/>
      <c r="HP1548" s="110"/>
      <c r="HQ1548" s="110"/>
      <c r="HR1548" s="110"/>
      <c r="HS1548" s="110"/>
      <c r="HT1548" s="110"/>
      <c r="HU1548" s="110"/>
      <c r="HV1548" s="110"/>
      <c r="HW1548" s="110"/>
      <c r="HX1548" s="110"/>
      <c r="HY1548" s="110"/>
      <c r="HZ1548" s="110"/>
      <c r="IA1548" s="110"/>
      <c r="IB1548" s="110"/>
      <c r="IC1548" s="110"/>
      <c r="ID1548" s="110"/>
      <c r="IE1548" s="110"/>
      <c r="IF1548" s="110"/>
      <c r="IG1548" s="110"/>
      <c r="IH1548" s="110"/>
      <c r="II1548" s="110"/>
      <c r="IJ1548" s="110"/>
      <c r="IK1548" s="110"/>
      <c r="IL1548" s="110"/>
      <c r="IM1548" s="110"/>
      <c r="IN1548" s="110"/>
      <c r="IO1548" s="110"/>
      <c r="IP1548" s="110"/>
      <c r="IQ1548" s="110"/>
      <c r="IR1548" s="110"/>
    </row>
    <row r="1549" spans="18:252" ht="16.5" hidden="1" customHeight="1">
      <c r="R1549" s="264"/>
      <c r="S1549" s="110"/>
      <c r="T1549" s="110"/>
      <c r="U1549" s="110"/>
      <c r="V1549" s="110"/>
      <c r="W1549" s="266"/>
      <c r="X1549" s="110"/>
      <c r="Y1549" s="110"/>
      <c r="Z1549" s="110"/>
      <c r="AA1549" s="110"/>
      <c r="AB1549" s="110"/>
      <c r="AC1549" s="110"/>
      <c r="AD1549" s="110"/>
      <c r="AE1549" s="110"/>
      <c r="AF1549" s="110"/>
      <c r="AG1549" s="110"/>
      <c r="AH1549" s="110"/>
      <c r="AI1549" s="110"/>
      <c r="AJ1549" s="110"/>
      <c r="AK1549" s="110"/>
      <c r="AL1549" s="110"/>
      <c r="AM1549" s="110"/>
      <c r="AN1549" s="110"/>
      <c r="AO1549" s="110"/>
      <c r="AP1549" s="110"/>
      <c r="AQ1549" s="110"/>
      <c r="AR1549" s="110"/>
      <c r="AS1549" s="110"/>
      <c r="AT1549" s="110"/>
      <c r="AU1549" s="110"/>
      <c r="AV1549" s="110"/>
      <c r="AW1549" s="110"/>
      <c r="AX1549" s="110"/>
      <c r="AY1549" s="110"/>
      <c r="AZ1549" s="110"/>
      <c r="BA1549" s="110"/>
      <c r="BB1549" s="110"/>
      <c r="BC1549" s="110"/>
      <c r="BD1549" s="110"/>
      <c r="BE1549" s="110"/>
      <c r="BF1549" s="110"/>
      <c r="BG1549" s="110"/>
      <c r="BH1549" s="110"/>
      <c r="BI1549" s="110"/>
      <c r="BJ1549" s="110"/>
      <c r="BK1549" s="110"/>
      <c r="BL1549" s="110"/>
      <c r="BM1549" s="110"/>
      <c r="BN1549" s="110"/>
      <c r="BO1549" s="110"/>
      <c r="BP1549" s="110"/>
      <c r="BQ1549" s="110"/>
      <c r="BR1549" s="110"/>
      <c r="BS1549" s="110"/>
      <c r="BT1549" s="110"/>
      <c r="BU1549" s="110"/>
      <c r="BV1549" s="110"/>
      <c r="BW1549" s="110"/>
      <c r="BX1549" s="110"/>
      <c r="BY1549" s="110"/>
      <c r="BZ1549" s="110"/>
      <c r="CA1549" s="110"/>
      <c r="CB1549" s="110"/>
      <c r="CC1549" s="110"/>
      <c r="CD1549" s="110"/>
      <c r="CE1549" s="110"/>
      <c r="CF1549" s="110"/>
      <c r="CG1549" s="110"/>
      <c r="CH1549" s="110"/>
      <c r="CI1549" s="110"/>
      <c r="CJ1549" s="110"/>
      <c r="CK1549" s="110"/>
      <c r="CL1549" s="110"/>
      <c r="CM1549" s="110"/>
      <c r="CN1549" s="110"/>
      <c r="CO1549" s="110"/>
      <c r="CP1549" s="110"/>
      <c r="CQ1549" s="110"/>
      <c r="CR1549" s="110"/>
      <c r="CS1549" s="110"/>
      <c r="CT1549" s="110"/>
      <c r="CU1549" s="110"/>
      <c r="CV1549" s="110"/>
      <c r="CW1549" s="110"/>
      <c r="CX1549" s="110"/>
      <c r="CY1549" s="110"/>
      <c r="CZ1549" s="110"/>
      <c r="DA1549" s="110"/>
      <c r="DB1549" s="110"/>
      <c r="DC1549" s="110"/>
      <c r="DD1549" s="110"/>
      <c r="DE1549" s="110"/>
      <c r="DF1549" s="110"/>
      <c r="DG1549" s="110"/>
      <c r="DH1549" s="110"/>
      <c r="DI1549" s="110"/>
      <c r="DJ1549" s="110"/>
      <c r="DK1549" s="110"/>
      <c r="DL1549" s="110"/>
      <c r="DM1549" s="110"/>
      <c r="DN1549" s="110"/>
      <c r="DO1549" s="110"/>
      <c r="DP1549" s="110"/>
      <c r="DQ1549" s="110"/>
      <c r="DR1549" s="110"/>
      <c r="DS1549" s="110"/>
      <c r="DT1549" s="110"/>
      <c r="DU1549" s="110"/>
      <c r="DV1549" s="110"/>
      <c r="DW1549" s="110"/>
      <c r="DX1549" s="110"/>
      <c r="DY1549" s="110"/>
      <c r="DZ1549" s="110"/>
      <c r="EA1549" s="110"/>
      <c r="EB1549" s="110"/>
      <c r="EC1549" s="110"/>
      <c r="ED1549" s="110"/>
      <c r="EF1549" s="264"/>
      <c r="EG1549" s="110"/>
      <c r="EH1549" s="110"/>
      <c r="EI1549" s="110"/>
      <c r="EJ1549" s="110"/>
      <c r="EK1549" s="266"/>
      <c r="EL1549" s="110"/>
      <c r="EM1549" s="110"/>
      <c r="EN1549" s="110"/>
      <c r="EO1549" s="110"/>
      <c r="EP1549" s="110"/>
      <c r="EQ1549" s="110"/>
      <c r="ER1549" s="110"/>
      <c r="ES1549" s="110"/>
      <c r="ET1549" s="110"/>
      <c r="EU1549" s="110"/>
      <c r="EV1549" s="110"/>
      <c r="EW1549" s="110"/>
      <c r="EX1549" s="110"/>
      <c r="EY1549" s="110"/>
      <c r="EZ1549" s="110"/>
      <c r="FA1549" s="110"/>
      <c r="FB1549" s="110"/>
      <c r="FC1549" s="110"/>
      <c r="FD1549" s="110"/>
      <c r="FE1549" s="110"/>
      <c r="FF1549" s="110"/>
      <c r="FG1549" s="110"/>
      <c r="FH1549" s="110"/>
      <c r="FI1549" s="110"/>
      <c r="FJ1549" s="110"/>
      <c r="FK1549" s="110"/>
      <c r="FL1549" s="110"/>
      <c r="FM1549" s="110"/>
      <c r="FN1549" s="110"/>
      <c r="FO1549" s="110"/>
      <c r="FP1549" s="110"/>
      <c r="FQ1549" s="110"/>
      <c r="FR1549" s="110"/>
      <c r="FS1549" s="110"/>
      <c r="FT1549" s="110"/>
      <c r="FU1549" s="110"/>
      <c r="FV1549" s="110"/>
      <c r="FW1549" s="110"/>
      <c r="FX1549" s="110"/>
      <c r="FY1549" s="110"/>
      <c r="FZ1549" s="110"/>
      <c r="GA1549" s="110"/>
      <c r="GB1549" s="110"/>
      <c r="GC1549" s="110"/>
      <c r="GD1549" s="110"/>
      <c r="GE1549" s="110"/>
      <c r="GF1549" s="110"/>
      <c r="GG1549" s="110"/>
      <c r="GH1549" s="110"/>
      <c r="GI1549" s="110"/>
      <c r="GJ1549" s="110"/>
      <c r="GK1549" s="110"/>
      <c r="GL1549" s="110"/>
      <c r="GM1549" s="110"/>
      <c r="GN1549" s="110"/>
      <c r="GO1549" s="110"/>
      <c r="GP1549" s="110"/>
      <c r="GQ1549" s="110"/>
      <c r="GR1549" s="110"/>
      <c r="GS1549" s="110"/>
      <c r="GT1549" s="110"/>
      <c r="GU1549" s="110"/>
      <c r="GV1549" s="110"/>
      <c r="GW1549" s="110"/>
      <c r="GX1549" s="110"/>
      <c r="GY1549" s="110"/>
      <c r="GZ1549" s="110"/>
      <c r="HA1549" s="110"/>
      <c r="HB1549" s="110"/>
      <c r="HC1549" s="110"/>
      <c r="HD1549" s="110"/>
      <c r="HE1549" s="110"/>
      <c r="HF1549" s="110"/>
      <c r="HG1549" s="110"/>
      <c r="HH1549" s="110"/>
      <c r="HI1549" s="110"/>
      <c r="HJ1549" s="110"/>
      <c r="HK1549" s="110"/>
      <c r="HL1549" s="110"/>
      <c r="HM1549" s="110"/>
      <c r="HN1549" s="110"/>
      <c r="HO1549" s="110"/>
      <c r="HP1549" s="110"/>
      <c r="HQ1549" s="110"/>
      <c r="HR1549" s="110"/>
      <c r="HS1549" s="110"/>
      <c r="HT1549" s="110"/>
      <c r="HU1549" s="110"/>
      <c r="HV1549" s="110"/>
      <c r="HW1549" s="110"/>
      <c r="HX1549" s="110"/>
      <c r="HY1549" s="110"/>
      <c r="HZ1549" s="110"/>
      <c r="IA1549" s="110"/>
      <c r="IB1549" s="110"/>
      <c r="IC1549" s="110"/>
      <c r="ID1549" s="110"/>
      <c r="IE1549" s="110"/>
      <c r="IF1549" s="110"/>
      <c r="IG1549" s="110"/>
      <c r="IH1549" s="110"/>
      <c r="II1549" s="110"/>
      <c r="IJ1549" s="110"/>
      <c r="IK1549" s="110"/>
      <c r="IL1549" s="110"/>
      <c r="IM1549" s="110"/>
      <c r="IN1549" s="110"/>
      <c r="IO1549" s="110"/>
      <c r="IP1549" s="110"/>
      <c r="IQ1549" s="110"/>
      <c r="IR1549" s="110"/>
    </row>
    <row r="1550" spans="18:252" ht="16.5" hidden="1" customHeight="1">
      <c r="R1550" s="264"/>
      <c r="S1550" s="110"/>
      <c r="T1550" s="110"/>
      <c r="U1550" s="110"/>
      <c r="V1550" s="110"/>
      <c r="W1550" s="266"/>
      <c r="X1550" s="110"/>
      <c r="Y1550" s="110"/>
      <c r="Z1550" s="110"/>
      <c r="AA1550" s="110"/>
      <c r="AB1550" s="110"/>
      <c r="AC1550" s="110"/>
      <c r="AD1550" s="110"/>
      <c r="AE1550" s="110"/>
      <c r="AF1550" s="110"/>
      <c r="AG1550" s="110"/>
      <c r="AH1550" s="110"/>
      <c r="AI1550" s="110"/>
      <c r="AJ1550" s="110"/>
      <c r="AK1550" s="110"/>
      <c r="AL1550" s="110"/>
      <c r="AM1550" s="110"/>
      <c r="AN1550" s="110"/>
      <c r="AO1550" s="110"/>
      <c r="AP1550" s="110"/>
      <c r="AQ1550" s="110"/>
      <c r="AR1550" s="110"/>
      <c r="AS1550" s="110"/>
      <c r="AT1550" s="110"/>
      <c r="AU1550" s="110"/>
      <c r="AV1550" s="110"/>
      <c r="AW1550" s="110"/>
      <c r="AX1550" s="110"/>
      <c r="AY1550" s="110"/>
      <c r="AZ1550" s="110"/>
      <c r="BA1550" s="110"/>
      <c r="BB1550" s="110"/>
      <c r="BC1550" s="110"/>
      <c r="BD1550" s="110"/>
      <c r="BE1550" s="110"/>
      <c r="BF1550" s="110"/>
      <c r="BG1550" s="110"/>
      <c r="BH1550" s="110"/>
      <c r="BI1550" s="110"/>
      <c r="BJ1550" s="110"/>
      <c r="BK1550" s="110"/>
      <c r="BL1550" s="110"/>
      <c r="BM1550" s="110"/>
      <c r="BN1550" s="110"/>
      <c r="BO1550" s="110"/>
      <c r="BP1550" s="110"/>
      <c r="BQ1550" s="110"/>
      <c r="BR1550" s="110"/>
      <c r="BS1550" s="110"/>
      <c r="BT1550" s="110"/>
      <c r="BU1550" s="110"/>
      <c r="BV1550" s="110"/>
      <c r="BW1550" s="110"/>
      <c r="BX1550" s="110"/>
      <c r="BY1550" s="110"/>
      <c r="BZ1550" s="110"/>
      <c r="CA1550" s="110"/>
      <c r="CB1550" s="110"/>
      <c r="CC1550" s="110"/>
      <c r="CD1550" s="110"/>
      <c r="CE1550" s="110"/>
      <c r="CF1550" s="110"/>
      <c r="CG1550" s="110"/>
      <c r="CH1550" s="110"/>
      <c r="CI1550" s="110"/>
      <c r="CJ1550" s="110"/>
      <c r="CK1550" s="110"/>
      <c r="CL1550" s="110"/>
      <c r="CM1550" s="110"/>
      <c r="CN1550" s="110"/>
      <c r="CO1550" s="110"/>
      <c r="CP1550" s="110"/>
      <c r="CQ1550" s="110"/>
      <c r="CR1550" s="110"/>
      <c r="CS1550" s="110"/>
      <c r="CT1550" s="110"/>
      <c r="CU1550" s="110"/>
      <c r="CV1550" s="110"/>
      <c r="CW1550" s="110"/>
      <c r="CX1550" s="110"/>
      <c r="CY1550" s="110"/>
      <c r="CZ1550" s="110"/>
      <c r="DA1550" s="110"/>
      <c r="DB1550" s="110"/>
      <c r="DC1550" s="110"/>
      <c r="DD1550" s="110"/>
      <c r="DE1550" s="110"/>
      <c r="DF1550" s="110"/>
      <c r="DG1550" s="110"/>
      <c r="DH1550" s="110"/>
      <c r="DI1550" s="110"/>
      <c r="DJ1550" s="110"/>
      <c r="DK1550" s="110"/>
      <c r="DL1550" s="110"/>
      <c r="DM1550" s="110"/>
      <c r="DN1550" s="110"/>
      <c r="DO1550" s="110"/>
      <c r="DP1550" s="110"/>
      <c r="DQ1550" s="110"/>
      <c r="DR1550" s="110"/>
      <c r="DS1550" s="110"/>
      <c r="DT1550" s="110"/>
      <c r="DU1550" s="110"/>
      <c r="DV1550" s="110"/>
      <c r="DW1550" s="110"/>
      <c r="DX1550" s="110"/>
      <c r="DY1550" s="110"/>
      <c r="DZ1550" s="110"/>
      <c r="EA1550" s="110"/>
      <c r="EB1550" s="110"/>
      <c r="EC1550" s="110"/>
      <c r="ED1550" s="110"/>
      <c r="EF1550" s="264"/>
      <c r="EG1550" s="110"/>
      <c r="EH1550" s="110"/>
      <c r="EI1550" s="110"/>
      <c r="EJ1550" s="110"/>
      <c r="EK1550" s="266"/>
      <c r="EL1550" s="110"/>
      <c r="EM1550" s="110"/>
      <c r="EN1550" s="110"/>
      <c r="EO1550" s="110"/>
      <c r="EP1550" s="110"/>
      <c r="EQ1550" s="110"/>
      <c r="ER1550" s="110"/>
      <c r="ES1550" s="110"/>
      <c r="ET1550" s="110"/>
      <c r="EU1550" s="110"/>
      <c r="EV1550" s="110"/>
      <c r="EW1550" s="110"/>
      <c r="EX1550" s="110"/>
      <c r="EY1550" s="110"/>
      <c r="EZ1550" s="110"/>
      <c r="FA1550" s="110"/>
      <c r="FB1550" s="110"/>
      <c r="FC1550" s="110"/>
      <c r="FD1550" s="110"/>
      <c r="FE1550" s="110"/>
      <c r="FF1550" s="110"/>
      <c r="FG1550" s="110"/>
      <c r="FH1550" s="110"/>
      <c r="FI1550" s="110"/>
      <c r="FJ1550" s="110"/>
      <c r="FK1550" s="110"/>
      <c r="FL1550" s="110"/>
      <c r="FM1550" s="110"/>
      <c r="FN1550" s="110"/>
      <c r="FO1550" s="110"/>
      <c r="FP1550" s="110"/>
      <c r="FQ1550" s="110"/>
      <c r="FR1550" s="110"/>
      <c r="FS1550" s="110"/>
      <c r="FT1550" s="110"/>
      <c r="FU1550" s="110"/>
      <c r="FV1550" s="110"/>
      <c r="FW1550" s="110"/>
      <c r="FX1550" s="110"/>
      <c r="FY1550" s="110"/>
      <c r="FZ1550" s="110"/>
      <c r="GA1550" s="110"/>
      <c r="GB1550" s="110"/>
      <c r="GC1550" s="110"/>
      <c r="GD1550" s="110"/>
      <c r="GE1550" s="110"/>
      <c r="GF1550" s="110"/>
      <c r="GG1550" s="110"/>
      <c r="GH1550" s="110"/>
      <c r="GI1550" s="110"/>
      <c r="GJ1550" s="110"/>
      <c r="GK1550" s="110"/>
      <c r="GL1550" s="110"/>
      <c r="GM1550" s="110"/>
      <c r="GN1550" s="110"/>
      <c r="GO1550" s="110"/>
      <c r="GP1550" s="110"/>
      <c r="GQ1550" s="110"/>
      <c r="GR1550" s="110"/>
      <c r="GS1550" s="110"/>
      <c r="GT1550" s="110"/>
      <c r="GU1550" s="110"/>
      <c r="GV1550" s="110"/>
      <c r="GW1550" s="110"/>
      <c r="GX1550" s="110"/>
      <c r="GY1550" s="110"/>
      <c r="GZ1550" s="110"/>
      <c r="HA1550" s="110"/>
      <c r="HB1550" s="110"/>
      <c r="HC1550" s="110"/>
      <c r="HD1550" s="110"/>
      <c r="HE1550" s="110"/>
      <c r="HF1550" s="110"/>
      <c r="HG1550" s="110"/>
      <c r="HH1550" s="110"/>
      <c r="HI1550" s="110"/>
      <c r="HJ1550" s="110"/>
      <c r="HK1550" s="110"/>
      <c r="HL1550" s="110"/>
      <c r="HM1550" s="110"/>
      <c r="HN1550" s="110"/>
      <c r="HO1550" s="110"/>
      <c r="HP1550" s="110"/>
      <c r="HQ1550" s="110"/>
      <c r="HR1550" s="110"/>
      <c r="HS1550" s="110"/>
      <c r="HT1550" s="110"/>
      <c r="HU1550" s="110"/>
      <c r="HV1550" s="110"/>
      <c r="HW1550" s="110"/>
      <c r="HX1550" s="110"/>
      <c r="HY1550" s="110"/>
      <c r="HZ1550" s="110"/>
      <c r="IA1550" s="110"/>
      <c r="IB1550" s="110"/>
      <c r="IC1550" s="110"/>
      <c r="ID1550" s="110"/>
      <c r="IE1550" s="110"/>
      <c r="IF1550" s="110"/>
      <c r="IG1550" s="110"/>
      <c r="IH1550" s="110"/>
      <c r="II1550" s="110"/>
      <c r="IJ1550" s="110"/>
      <c r="IK1550" s="110"/>
      <c r="IL1550" s="110"/>
      <c r="IM1550" s="110"/>
      <c r="IN1550" s="110"/>
      <c r="IO1550" s="110"/>
      <c r="IP1550" s="110"/>
      <c r="IQ1550" s="110"/>
      <c r="IR1550" s="110"/>
    </row>
    <row r="1551" spans="18:252" ht="16.5" hidden="1" customHeight="1">
      <c r="R1551" s="264"/>
      <c r="S1551" s="110"/>
      <c r="T1551" s="110"/>
      <c r="U1551" s="110"/>
      <c r="V1551" s="110"/>
      <c r="W1551" s="266"/>
      <c r="X1551" s="110"/>
      <c r="Y1551" s="110"/>
      <c r="Z1551" s="110"/>
      <c r="AA1551" s="110"/>
      <c r="AB1551" s="110"/>
      <c r="AC1551" s="110"/>
      <c r="AD1551" s="110"/>
      <c r="AE1551" s="110"/>
      <c r="AF1551" s="110"/>
      <c r="AG1551" s="110"/>
      <c r="AH1551" s="110"/>
      <c r="AI1551" s="110"/>
      <c r="AJ1551" s="110"/>
      <c r="AK1551" s="110"/>
      <c r="AL1551" s="110"/>
      <c r="AM1551" s="110"/>
      <c r="AN1551" s="110"/>
      <c r="AO1551" s="110"/>
      <c r="AP1551" s="110"/>
      <c r="AQ1551" s="110"/>
      <c r="AR1551" s="110"/>
      <c r="AS1551" s="110"/>
      <c r="AT1551" s="110"/>
      <c r="AU1551" s="110"/>
      <c r="AV1551" s="110"/>
      <c r="AW1551" s="110"/>
      <c r="AX1551" s="110"/>
      <c r="AY1551" s="110"/>
      <c r="AZ1551" s="110"/>
      <c r="BA1551" s="110"/>
      <c r="BB1551" s="110"/>
      <c r="BC1551" s="110"/>
      <c r="BD1551" s="110"/>
      <c r="BE1551" s="110"/>
      <c r="BF1551" s="110"/>
      <c r="BG1551" s="110"/>
      <c r="BH1551" s="110"/>
      <c r="BI1551" s="110"/>
      <c r="BJ1551" s="110"/>
      <c r="BK1551" s="110"/>
      <c r="BL1551" s="110"/>
      <c r="BM1551" s="110"/>
      <c r="BN1551" s="110"/>
      <c r="BO1551" s="110"/>
      <c r="BP1551" s="110"/>
      <c r="BQ1551" s="110"/>
      <c r="BR1551" s="110"/>
      <c r="BS1551" s="110"/>
      <c r="BT1551" s="110"/>
      <c r="BU1551" s="110"/>
      <c r="BV1551" s="110"/>
      <c r="BW1551" s="110"/>
      <c r="BX1551" s="110"/>
      <c r="BY1551" s="110"/>
      <c r="BZ1551" s="110"/>
      <c r="CA1551" s="110"/>
      <c r="CB1551" s="110"/>
      <c r="CC1551" s="110"/>
      <c r="CD1551" s="110"/>
      <c r="CE1551" s="110"/>
      <c r="CF1551" s="110"/>
      <c r="CG1551" s="110"/>
      <c r="CH1551" s="110"/>
      <c r="CI1551" s="110"/>
      <c r="CJ1551" s="110"/>
      <c r="CK1551" s="110"/>
      <c r="CL1551" s="110"/>
      <c r="CM1551" s="110"/>
      <c r="CN1551" s="110"/>
      <c r="CO1551" s="110"/>
      <c r="CP1551" s="110"/>
      <c r="CQ1551" s="110"/>
      <c r="CR1551" s="110"/>
      <c r="CS1551" s="110"/>
      <c r="CT1551" s="110"/>
      <c r="CU1551" s="110"/>
      <c r="CV1551" s="110"/>
      <c r="CW1551" s="110"/>
      <c r="CX1551" s="110"/>
      <c r="CY1551" s="110"/>
      <c r="CZ1551" s="110"/>
      <c r="DA1551" s="110"/>
      <c r="DB1551" s="110"/>
      <c r="DC1551" s="110"/>
      <c r="DD1551" s="110"/>
      <c r="DE1551" s="110"/>
      <c r="DF1551" s="110"/>
      <c r="DG1551" s="110"/>
      <c r="DH1551" s="110"/>
      <c r="DI1551" s="110"/>
      <c r="DJ1551" s="110"/>
      <c r="DK1551" s="110"/>
      <c r="DL1551" s="110"/>
      <c r="DM1551" s="110"/>
      <c r="DN1551" s="110"/>
      <c r="DO1551" s="110"/>
      <c r="DP1551" s="110"/>
      <c r="DQ1551" s="110"/>
      <c r="DR1551" s="110"/>
      <c r="DS1551" s="110"/>
      <c r="DT1551" s="110"/>
      <c r="DU1551" s="110"/>
      <c r="DV1551" s="110"/>
      <c r="DW1551" s="110"/>
      <c r="DX1551" s="110"/>
      <c r="DY1551" s="110"/>
      <c r="DZ1551" s="110"/>
      <c r="EA1551" s="110"/>
      <c r="EB1551" s="110"/>
      <c r="EC1551" s="110"/>
      <c r="ED1551" s="110"/>
      <c r="EF1551" s="264"/>
      <c r="EG1551" s="110"/>
      <c r="EH1551" s="110"/>
      <c r="EI1551" s="110"/>
      <c r="EJ1551" s="110"/>
      <c r="EK1551" s="266"/>
      <c r="EL1551" s="110"/>
      <c r="EM1551" s="110"/>
      <c r="EN1551" s="110"/>
      <c r="EO1551" s="110"/>
      <c r="EP1551" s="110"/>
      <c r="EQ1551" s="110"/>
      <c r="ER1551" s="110"/>
      <c r="ES1551" s="110"/>
      <c r="ET1551" s="110"/>
      <c r="EU1551" s="110"/>
      <c r="EV1551" s="110"/>
      <c r="EW1551" s="110"/>
      <c r="EX1551" s="110"/>
      <c r="EY1551" s="110"/>
      <c r="EZ1551" s="110"/>
      <c r="FA1551" s="110"/>
      <c r="FB1551" s="110"/>
      <c r="FC1551" s="110"/>
      <c r="FD1551" s="110"/>
      <c r="FE1551" s="110"/>
      <c r="FF1551" s="110"/>
      <c r="FG1551" s="110"/>
      <c r="FH1551" s="110"/>
      <c r="FI1551" s="110"/>
      <c r="FJ1551" s="110"/>
      <c r="FK1551" s="110"/>
      <c r="FL1551" s="110"/>
      <c r="FM1551" s="110"/>
      <c r="FN1551" s="110"/>
      <c r="FO1551" s="110"/>
      <c r="FP1551" s="110"/>
      <c r="FQ1551" s="110"/>
      <c r="FR1551" s="110"/>
      <c r="FS1551" s="110"/>
      <c r="FT1551" s="110"/>
      <c r="FU1551" s="110"/>
      <c r="FV1551" s="110"/>
      <c r="FW1551" s="110"/>
      <c r="FX1551" s="110"/>
      <c r="FY1551" s="110"/>
      <c r="FZ1551" s="110"/>
      <c r="GA1551" s="110"/>
      <c r="GB1551" s="110"/>
      <c r="GC1551" s="110"/>
      <c r="GD1551" s="110"/>
      <c r="GE1551" s="110"/>
      <c r="GF1551" s="110"/>
      <c r="GG1551" s="110"/>
      <c r="GH1551" s="110"/>
      <c r="GI1551" s="110"/>
      <c r="GJ1551" s="110"/>
      <c r="GK1551" s="110"/>
      <c r="GL1551" s="110"/>
      <c r="GM1551" s="110"/>
      <c r="GN1551" s="110"/>
      <c r="GO1551" s="110"/>
      <c r="GP1551" s="110"/>
      <c r="GQ1551" s="110"/>
      <c r="GR1551" s="110"/>
      <c r="GS1551" s="110"/>
      <c r="GT1551" s="110"/>
      <c r="GU1551" s="110"/>
      <c r="GV1551" s="110"/>
      <c r="GW1551" s="110"/>
      <c r="GX1551" s="110"/>
      <c r="GY1551" s="110"/>
      <c r="GZ1551" s="110"/>
      <c r="HA1551" s="110"/>
      <c r="HB1551" s="110"/>
      <c r="HC1551" s="110"/>
      <c r="HD1551" s="110"/>
      <c r="HE1551" s="110"/>
      <c r="HF1551" s="110"/>
      <c r="HG1551" s="110"/>
      <c r="HH1551" s="110"/>
      <c r="HI1551" s="110"/>
      <c r="HJ1551" s="110"/>
      <c r="HK1551" s="110"/>
      <c r="HL1551" s="110"/>
      <c r="HM1551" s="110"/>
      <c r="HN1551" s="110"/>
      <c r="HO1551" s="110"/>
      <c r="HP1551" s="110"/>
      <c r="HQ1551" s="110"/>
      <c r="HR1551" s="110"/>
      <c r="HS1551" s="110"/>
      <c r="HT1551" s="110"/>
      <c r="HU1551" s="110"/>
      <c r="HV1551" s="110"/>
      <c r="HW1551" s="110"/>
      <c r="HX1551" s="110"/>
      <c r="HY1551" s="110"/>
      <c r="HZ1551" s="110"/>
      <c r="IA1551" s="110"/>
      <c r="IB1551" s="110"/>
      <c r="IC1551" s="110"/>
      <c r="ID1551" s="110"/>
      <c r="IE1551" s="110"/>
      <c r="IF1551" s="110"/>
      <c r="IG1551" s="110"/>
      <c r="IH1551" s="110"/>
      <c r="II1551" s="110"/>
      <c r="IJ1551" s="110"/>
      <c r="IK1551" s="110"/>
      <c r="IL1551" s="110"/>
      <c r="IM1551" s="110"/>
      <c r="IN1551" s="110"/>
      <c r="IO1551" s="110"/>
      <c r="IP1551" s="110"/>
      <c r="IQ1551" s="110"/>
      <c r="IR1551" s="110"/>
    </row>
    <row r="1552" spans="18:252" ht="16.5" hidden="1" customHeight="1">
      <c r="R1552" s="264"/>
      <c r="S1552" s="110"/>
      <c r="T1552" s="110"/>
      <c r="U1552" s="110"/>
      <c r="V1552" s="110"/>
      <c r="W1552" s="266"/>
      <c r="X1552" s="110"/>
      <c r="Y1552" s="110"/>
      <c r="Z1552" s="110"/>
      <c r="AA1552" s="110"/>
      <c r="AB1552" s="110"/>
      <c r="AC1552" s="110"/>
      <c r="AD1552" s="110"/>
      <c r="AE1552" s="110"/>
      <c r="AF1552" s="110"/>
      <c r="AG1552" s="110"/>
      <c r="AH1552" s="110"/>
      <c r="AI1552" s="110"/>
      <c r="AJ1552" s="110"/>
      <c r="AK1552" s="110"/>
      <c r="AL1552" s="110"/>
      <c r="AM1552" s="110"/>
      <c r="AN1552" s="110"/>
      <c r="AO1552" s="110"/>
      <c r="AP1552" s="110"/>
      <c r="AQ1552" s="110"/>
      <c r="AR1552" s="110"/>
      <c r="AS1552" s="110"/>
      <c r="AT1552" s="110"/>
      <c r="AU1552" s="110"/>
      <c r="AV1552" s="110"/>
      <c r="AW1552" s="110"/>
      <c r="AX1552" s="110"/>
      <c r="AY1552" s="110"/>
      <c r="AZ1552" s="110"/>
      <c r="BA1552" s="110"/>
      <c r="BB1552" s="110"/>
      <c r="BC1552" s="110"/>
      <c r="BD1552" s="110"/>
      <c r="BE1552" s="110"/>
      <c r="BF1552" s="110"/>
      <c r="BG1552" s="110"/>
      <c r="BH1552" s="110"/>
      <c r="BI1552" s="110"/>
      <c r="BJ1552" s="110"/>
      <c r="BK1552" s="110"/>
      <c r="BL1552" s="110"/>
      <c r="BM1552" s="110"/>
      <c r="BN1552" s="110"/>
      <c r="BO1552" s="110"/>
      <c r="BP1552" s="110"/>
      <c r="BQ1552" s="110"/>
      <c r="BR1552" s="110"/>
      <c r="BS1552" s="110"/>
      <c r="BT1552" s="110"/>
      <c r="BU1552" s="110"/>
      <c r="BV1552" s="110"/>
      <c r="BW1552" s="110"/>
      <c r="BX1552" s="110"/>
      <c r="BY1552" s="110"/>
      <c r="BZ1552" s="110"/>
      <c r="CA1552" s="110"/>
      <c r="CB1552" s="110"/>
      <c r="CC1552" s="110"/>
      <c r="CD1552" s="110"/>
      <c r="CE1552" s="110"/>
      <c r="CF1552" s="110"/>
      <c r="CG1552" s="110"/>
      <c r="CH1552" s="110"/>
      <c r="CI1552" s="110"/>
      <c r="CJ1552" s="110"/>
      <c r="CK1552" s="110"/>
      <c r="CL1552" s="110"/>
      <c r="CM1552" s="110"/>
      <c r="CN1552" s="110"/>
      <c r="CO1552" s="110"/>
      <c r="CP1552" s="110"/>
      <c r="CQ1552" s="110"/>
      <c r="CR1552" s="110"/>
      <c r="CS1552" s="110"/>
      <c r="CT1552" s="110"/>
      <c r="CU1552" s="110"/>
      <c r="CV1552" s="110"/>
      <c r="CW1552" s="110"/>
      <c r="CX1552" s="110"/>
      <c r="CY1552" s="110"/>
      <c r="CZ1552" s="110"/>
      <c r="DA1552" s="110"/>
      <c r="DB1552" s="110"/>
      <c r="DC1552" s="110"/>
      <c r="DD1552" s="110"/>
      <c r="DE1552" s="110"/>
      <c r="DF1552" s="110"/>
      <c r="DG1552" s="110"/>
      <c r="DH1552" s="110"/>
      <c r="DI1552" s="110"/>
      <c r="DJ1552" s="110"/>
      <c r="DK1552" s="110"/>
      <c r="DL1552" s="110"/>
      <c r="DM1552" s="110"/>
      <c r="DN1552" s="110"/>
      <c r="DO1552" s="110"/>
      <c r="DP1552" s="110"/>
      <c r="DQ1552" s="110"/>
      <c r="DR1552" s="110"/>
      <c r="DS1552" s="110"/>
      <c r="DT1552" s="110"/>
      <c r="DU1552" s="110"/>
      <c r="DV1552" s="110"/>
      <c r="DW1552" s="110"/>
      <c r="DX1552" s="110"/>
      <c r="DY1552" s="110"/>
      <c r="DZ1552" s="110"/>
      <c r="EA1552" s="110"/>
      <c r="EB1552" s="110"/>
      <c r="EC1552" s="110"/>
      <c r="ED1552" s="110"/>
      <c r="EF1552" s="264"/>
      <c r="EG1552" s="110"/>
      <c r="EH1552" s="110"/>
      <c r="EI1552" s="110"/>
      <c r="EJ1552" s="110"/>
      <c r="EK1552" s="266"/>
      <c r="EL1552" s="110"/>
      <c r="EM1552" s="110"/>
      <c r="EN1552" s="110"/>
      <c r="EO1552" s="110"/>
      <c r="EP1552" s="110"/>
      <c r="EQ1552" s="110"/>
      <c r="ER1552" s="110"/>
      <c r="ES1552" s="110"/>
      <c r="ET1552" s="110"/>
      <c r="EU1552" s="110"/>
      <c r="EV1552" s="110"/>
      <c r="EW1552" s="110"/>
      <c r="EX1552" s="110"/>
      <c r="EY1552" s="110"/>
      <c r="EZ1552" s="110"/>
      <c r="FA1552" s="110"/>
      <c r="FB1552" s="110"/>
      <c r="FC1552" s="110"/>
      <c r="FD1552" s="110"/>
      <c r="FE1552" s="110"/>
      <c r="FF1552" s="110"/>
      <c r="FG1552" s="110"/>
      <c r="FH1552" s="110"/>
      <c r="FI1552" s="110"/>
      <c r="FJ1552" s="110"/>
      <c r="FK1552" s="110"/>
      <c r="FL1552" s="110"/>
      <c r="FM1552" s="110"/>
      <c r="FN1552" s="110"/>
      <c r="FO1552" s="110"/>
      <c r="FP1552" s="110"/>
      <c r="FQ1552" s="110"/>
      <c r="FR1552" s="110"/>
      <c r="FS1552" s="110"/>
      <c r="FT1552" s="110"/>
      <c r="FU1552" s="110"/>
      <c r="FV1552" s="110"/>
      <c r="FW1552" s="110"/>
      <c r="FX1552" s="110"/>
      <c r="FY1552" s="110"/>
      <c r="FZ1552" s="110"/>
      <c r="GA1552" s="110"/>
      <c r="GB1552" s="110"/>
      <c r="GC1552" s="110"/>
      <c r="GD1552" s="110"/>
      <c r="GE1552" s="110"/>
      <c r="GF1552" s="110"/>
      <c r="GG1552" s="110"/>
      <c r="GH1552" s="110"/>
      <c r="GI1552" s="110"/>
      <c r="GJ1552" s="110"/>
      <c r="GK1552" s="110"/>
      <c r="GL1552" s="110"/>
      <c r="GM1552" s="110"/>
      <c r="GN1552" s="110"/>
      <c r="GO1552" s="110"/>
      <c r="GP1552" s="110"/>
      <c r="GQ1552" s="110"/>
      <c r="GR1552" s="110"/>
      <c r="GS1552" s="110"/>
      <c r="GT1552" s="110"/>
      <c r="GU1552" s="110"/>
      <c r="GV1552" s="110"/>
      <c r="GW1552" s="110"/>
      <c r="GX1552" s="110"/>
      <c r="GY1552" s="110"/>
      <c r="GZ1552" s="110"/>
      <c r="HA1552" s="110"/>
      <c r="HB1552" s="110"/>
      <c r="HC1552" s="110"/>
      <c r="HD1552" s="110"/>
      <c r="HE1552" s="110"/>
      <c r="HF1552" s="110"/>
      <c r="HG1552" s="110"/>
      <c r="HH1552" s="110"/>
      <c r="HI1552" s="110"/>
      <c r="HJ1552" s="110"/>
      <c r="HK1552" s="110"/>
      <c r="HL1552" s="110"/>
      <c r="HM1552" s="110"/>
      <c r="HN1552" s="110"/>
      <c r="HO1552" s="110"/>
      <c r="HP1552" s="110"/>
      <c r="HQ1552" s="110"/>
      <c r="HR1552" s="110"/>
      <c r="HS1552" s="110"/>
      <c r="HT1552" s="110"/>
      <c r="HU1552" s="110"/>
      <c r="HV1552" s="110"/>
      <c r="HW1552" s="110"/>
      <c r="HX1552" s="110"/>
      <c r="HY1552" s="110"/>
      <c r="HZ1552" s="110"/>
      <c r="IA1552" s="110"/>
      <c r="IB1552" s="110"/>
      <c r="IC1552" s="110"/>
      <c r="ID1552" s="110"/>
      <c r="IE1552" s="110"/>
      <c r="IF1552" s="110"/>
      <c r="IG1552" s="110"/>
      <c r="IH1552" s="110"/>
      <c r="II1552" s="110"/>
      <c r="IJ1552" s="110"/>
      <c r="IK1552" s="110"/>
      <c r="IL1552" s="110"/>
      <c r="IM1552" s="110"/>
      <c r="IN1552" s="110"/>
      <c r="IO1552" s="110"/>
      <c r="IP1552" s="110"/>
      <c r="IQ1552" s="110"/>
      <c r="IR1552" s="110"/>
    </row>
    <row r="1553" spans="18:252" ht="16.5" hidden="1" customHeight="1">
      <c r="R1553" s="264"/>
      <c r="S1553" s="110"/>
      <c r="T1553" s="110"/>
      <c r="U1553" s="110"/>
      <c r="V1553" s="110"/>
      <c r="W1553" s="266"/>
      <c r="X1553" s="110"/>
      <c r="Y1553" s="110"/>
      <c r="Z1553" s="110"/>
      <c r="AA1553" s="110"/>
      <c r="AB1553" s="110"/>
      <c r="AC1553" s="110"/>
      <c r="AD1553" s="110"/>
      <c r="AE1553" s="110"/>
      <c r="AF1553" s="110"/>
      <c r="AG1553" s="110"/>
      <c r="AH1553" s="110"/>
      <c r="AI1553" s="110"/>
      <c r="AJ1553" s="110"/>
      <c r="AK1553" s="110"/>
      <c r="AL1553" s="110"/>
      <c r="AM1553" s="110"/>
      <c r="AN1553" s="110"/>
      <c r="AO1553" s="110"/>
      <c r="AP1553" s="110"/>
      <c r="AQ1553" s="110"/>
      <c r="AR1553" s="110"/>
      <c r="AS1553" s="110"/>
      <c r="AT1553" s="110"/>
      <c r="AU1553" s="110"/>
      <c r="AV1553" s="110"/>
      <c r="AW1553" s="110"/>
      <c r="AX1553" s="110"/>
      <c r="AY1553" s="110"/>
      <c r="AZ1553" s="110"/>
      <c r="BA1553" s="110"/>
      <c r="BB1553" s="110"/>
      <c r="BC1553" s="110"/>
      <c r="BD1553" s="110"/>
      <c r="BE1553" s="110"/>
      <c r="BF1553" s="110"/>
      <c r="BG1553" s="110"/>
      <c r="BH1553" s="110"/>
      <c r="BI1553" s="110"/>
      <c r="BJ1553" s="110"/>
      <c r="BK1553" s="110"/>
      <c r="BL1553" s="110"/>
      <c r="BM1553" s="110"/>
      <c r="BN1553" s="110"/>
      <c r="BO1553" s="110"/>
      <c r="BP1553" s="110"/>
      <c r="BQ1553" s="110"/>
      <c r="BR1553" s="110"/>
      <c r="BS1553" s="110"/>
      <c r="BT1553" s="110"/>
      <c r="BU1553" s="110"/>
      <c r="BV1553" s="110"/>
      <c r="BW1553" s="110"/>
      <c r="BX1553" s="110"/>
      <c r="BY1553" s="110"/>
      <c r="BZ1553" s="110"/>
      <c r="CA1553" s="110"/>
      <c r="CB1553" s="110"/>
      <c r="CC1553" s="110"/>
      <c r="CD1553" s="110"/>
      <c r="CE1553" s="110"/>
      <c r="CF1553" s="110"/>
      <c r="CG1553" s="110"/>
      <c r="CH1553" s="110"/>
      <c r="CI1553" s="110"/>
      <c r="CJ1553" s="110"/>
      <c r="CK1553" s="110"/>
      <c r="CL1553" s="110"/>
      <c r="CM1553" s="110"/>
      <c r="CN1553" s="110"/>
      <c r="CO1553" s="110"/>
      <c r="CP1553" s="110"/>
      <c r="CQ1553" s="110"/>
      <c r="CR1553" s="110"/>
      <c r="CS1553" s="110"/>
      <c r="CT1553" s="110"/>
      <c r="CU1553" s="110"/>
      <c r="CV1553" s="110"/>
      <c r="CW1553" s="110"/>
      <c r="CX1553" s="110"/>
      <c r="CY1553" s="110"/>
      <c r="CZ1553" s="110"/>
      <c r="DA1553" s="110"/>
      <c r="DB1553" s="110"/>
      <c r="DC1553" s="110"/>
      <c r="DD1553" s="110"/>
      <c r="DE1553" s="110"/>
      <c r="DF1553" s="110"/>
      <c r="DG1553" s="110"/>
      <c r="DH1553" s="110"/>
      <c r="DI1553" s="110"/>
      <c r="DJ1553" s="110"/>
      <c r="DK1553" s="110"/>
      <c r="DL1553" s="110"/>
      <c r="DM1553" s="110"/>
      <c r="DN1553" s="110"/>
      <c r="DO1553" s="110"/>
      <c r="DP1553" s="110"/>
      <c r="DQ1553" s="110"/>
      <c r="DR1553" s="110"/>
      <c r="DS1553" s="110"/>
      <c r="DT1553" s="110"/>
      <c r="DU1553" s="110"/>
      <c r="DV1553" s="110"/>
      <c r="DW1553" s="110"/>
      <c r="DX1553" s="110"/>
      <c r="DY1553" s="110"/>
      <c r="DZ1553" s="110"/>
      <c r="EA1553" s="110"/>
      <c r="EB1553" s="110"/>
      <c r="EC1553" s="110"/>
      <c r="ED1553" s="110"/>
      <c r="EF1553" s="264"/>
      <c r="EG1553" s="110"/>
      <c r="EH1553" s="110"/>
      <c r="EI1553" s="110"/>
      <c r="EJ1553" s="110"/>
      <c r="EK1553" s="266"/>
      <c r="EL1553" s="110"/>
      <c r="EM1553" s="110"/>
      <c r="EN1553" s="110"/>
      <c r="EO1553" s="110"/>
      <c r="EP1553" s="110"/>
      <c r="EQ1553" s="110"/>
      <c r="ER1553" s="110"/>
      <c r="ES1553" s="110"/>
      <c r="ET1553" s="110"/>
      <c r="EU1553" s="110"/>
      <c r="EV1553" s="110"/>
      <c r="EW1553" s="110"/>
      <c r="EX1553" s="110"/>
      <c r="EY1553" s="110"/>
      <c r="EZ1553" s="110"/>
      <c r="FA1553" s="110"/>
      <c r="FB1553" s="110"/>
      <c r="FC1553" s="110"/>
      <c r="FD1553" s="110"/>
      <c r="FE1553" s="110"/>
      <c r="FF1553" s="110"/>
      <c r="FG1553" s="110"/>
      <c r="FH1553" s="110"/>
      <c r="FI1553" s="110"/>
      <c r="FJ1553" s="110"/>
      <c r="FK1553" s="110"/>
      <c r="FL1553" s="110"/>
      <c r="FM1553" s="110"/>
      <c r="FN1553" s="110"/>
      <c r="FO1553" s="110"/>
      <c r="FP1553" s="110"/>
      <c r="FQ1553" s="110"/>
      <c r="FR1553" s="110"/>
      <c r="FS1553" s="110"/>
      <c r="FT1553" s="110"/>
      <c r="FU1553" s="110"/>
      <c r="FV1553" s="110"/>
      <c r="FW1553" s="110"/>
      <c r="FX1553" s="110"/>
      <c r="FY1553" s="110"/>
      <c r="FZ1553" s="110"/>
      <c r="GA1553" s="110"/>
      <c r="GB1553" s="110"/>
      <c r="GC1553" s="110"/>
      <c r="GD1553" s="110"/>
      <c r="GE1553" s="110"/>
      <c r="GF1553" s="110"/>
      <c r="GG1553" s="110"/>
      <c r="GH1553" s="110"/>
      <c r="GI1553" s="110"/>
      <c r="GJ1553" s="110"/>
      <c r="GK1553" s="110"/>
      <c r="GL1553" s="110"/>
      <c r="GM1553" s="110"/>
      <c r="GN1553" s="110"/>
      <c r="GO1553" s="110"/>
      <c r="GP1553" s="110"/>
      <c r="GQ1553" s="110"/>
      <c r="GR1553" s="110"/>
      <c r="GS1553" s="110"/>
      <c r="GT1553" s="110"/>
      <c r="GU1553" s="110"/>
      <c r="GV1553" s="110"/>
      <c r="GW1553" s="110"/>
      <c r="GX1553" s="110"/>
      <c r="GY1553" s="110"/>
      <c r="GZ1553" s="110"/>
      <c r="HA1553" s="110"/>
      <c r="HB1553" s="110"/>
      <c r="HC1553" s="110"/>
      <c r="HD1553" s="110"/>
      <c r="HE1553" s="110"/>
      <c r="HF1553" s="110"/>
      <c r="HG1553" s="110"/>
      <c r="HH1553" s="110"/>
      <c r="HI1553" s="110"/>
      <c r="HJ1553" s="110"/>
      <c r="HK1553" s="110"/>
      <c r="HL1553" s="110"/>
      <c r="HM1553" s="110"/>
      <c r="HN1553" s="110"/>
      <c r="HO1553" s="110"/>
      <c r="HP1553" s="110"/>
      <c r="HQ1553" s="110"/>
      <c r="HR1553" s="110"/>
      <c r="HS1553" s="110"/>
      <c r="HT1553" s="110"/>
      <c r="HU1553" s="110"/>
      <c r="HV1553" s="110"/>
      <c r="HW1553" s="110"/>
      <c r="HX1553" s="110"/>
      <c r="HY1553" s="110"/>
      <c r="HZ1553" s="110"/>
      <c r="IA1553" s="110"/>
      <c r="IB1553" s="110"/>
      <c r="IC1553" s="110"/>
      <c r="ID1553" s="110"/>
      <c r="IE1553" s="110"/>
      <c r="IF1553" s="110"/>
      <c r="IG1553" s="110"/>
      <c r="IH1553" s="110"/>
      <c r="II1553" s="110"/>
      <c r="IJ1553" s="110"/>
      <c r="IK1553" s="110"/>
      <c r="IL1553" s="110"/>
      <c r="IM1553" s="110"/>
      <c r="IN1553" s="110"/>
      <c r="IO1553" s="110"/>
      <c r="IP1553" s="110"/>
      <c r="IQ1553" s="110"/>
      <c r="IR1553" s="110"/>
    </row>
    <row r="1554" spans="18:252" ht="16.5" hidden="1" customHeight="1">
      <c r="R1554" s="264"/>
      <c r="S1554" s="110"/>
      <c r="T1554" s="110"/>
      <c r="U1554" s="110"/>
      <c r="V1554" s="110"/>
      <c r="W1554" s="266"/>
      <c r="X1554" s="110"/>
      <c r="Y1554" s="110"/>
      <c r="Z1554" s="110"/>
      <c r="AA1554" s="110"/>
      <c r="AB1554" s="110"/>
      <c r="AC1554" s="110"/>
      <c r="AD1554" s="110"/>
      <c r="AE1554" s="110"/>
      <c r="AF1554" s="110"/>
      <c r="AG1554" s="110"/>
      <c r="AH1554" s="110"/>
      <c r="AI1554" s="110"/>
      <c r="AJ1554" s="110"/>
      <c r="AK1554" s="110"/>
      <c r="AL1554" s="110"/>
      <c r="AM1554" s="110"/>
      <c r="AN1554" s="110"/>
      <c r="AO1554" s="110"/>
      <c r="AP1554" s="110"/>
      <c r="AQ1554" s="110"/>
      <c r="AR1554" s="110"/>
      <c r="AS1554" s="110"/>
      <c r="AT1554" s="110"/>
      <c r="AU1554" s="110"/>
      <c r="AV1554" s="110"/>
      <c r="AW1554" s="110"/>
      <c r="AX1554" s="110"/>
      <c r="AY1554" s="110"/>
      <c r="AZ1554" s="110"/>
      <c r="BA1554" s="110"/>
      <c r="BB1554" s="110"/>
      <c r="BC1554" s="110"/>
      <c r="BD1554" s="110"/>
      <c r="BE1554" s="110"/>
      <c r="BF1554" s="110"/>
      <c r="BG1554" s="110"/>
      <c r="BH1554" s="110"/>
      <c r="BI1554" s="110"/>
      <c r="BJ1554" s="110"/>
      <c r="BK1554" s="110"/>
      <c r="BL1554" s="110"/>
      <c r="BM1554" s="110"/>
      <c r="BN1554" s="110"/>
      <c r="BO1554" s="110"/>
      <c r="BP1554" s="110"/>
      <c r="BQ1554" s="110"/>
      <c r="BR1554" s="110"/>
      <c r="BS1554" s="110"/>
      <c r="BT1554" s="110"/>
      <c r="BU1554" s="110"/>
      <c r="BV1554" s="110"/>
      <c r="BW1554" s="110"/>
      <c r="BX1554" s="110"/>
      <c r="BY1554" s="110"/>
      <c r="BZ1554" s="110"/>
      <c r="CA1554" s="110"/>
      <c r="CB1554" s="110"/>
      <c r="CC1554" s="110"/>
      <c r="CD1554" s="110"/>
      <c r="CE1554" s="110"/>
      <c r="CF1554" s="110"/>
      <c r="CG1554" s="110"/>
      <c r="CH1554" s="110"/>
      <c r="CI1554" s="110"/>
      <c r="CJ1554" s="110"/>
      <c r="CK1554" s="110"/>
      <c r="CL1554" s="110"/>
      <c r="CM1554" s="110"/>
      <c r="CN1554" s="110"/>
      <c r="CO1554" s="110"/>
      <c r="CP1554" s="110"/>
      <c r="CQ1554" s="110"/>
      <c r="CR1554" s="110"/>
      <c r="CS1554" s="110"/>
      <c r="CT1554" s="110"/>
      <c r="CU1554" s="110"/>
      <c r="CV1554" s="110"/>
      <c r="CW1554" s="110"/>
      <c r="CX1554" s="110"/>
      <c r="CY1554" s="110"/>
      <c r="CZ1554" s="110"/>
      <c r="DA1554" s="110"/>
      <c r="DB1554" s="110"/>
      <c r="DC1554" s="110"/>
      <c r="DD1554" s="110"/>
      <c r="DE1554" s="110"/>
      <c r="DF1554" s="110"/>
      <c r="DG1554" s="110"/>
      <c r="DH1554" s="110"/>
      <c r="DI1554" s="110"/>
      <c r="DJ1554" s="110"/>
      <c r="DK1554" s="110"/>
      <c r="DL1554" s="110"/>
      <c r="DM1554" s="110"/>
      <c r="DN1554" s="110"/>
      <c r="DO1554" s="110"/>
      <c r="DP1554" s="110"/>
      <c r="DQ1554" s="110"/>
      <c r="DR1554" s="110"/>
      <c r="DS1554" s="110"/>
      <c r="DT1554" s="110"/>
      <c r="DU1554" s="110"/>
      <c r="DV1554" s="110"/>
      <c r="DW1554" s="110"/>
      <c r="DX1554" s="110"/>
      <c r="DY1554" s="110"/>
      <c r="DZ1554" s="110"/>
      <c r="EA1554" s="110"/>
      <c r="EB1554" s="110"/>
      <c r="EC1554" s="110"/>
      <c r="ED1554" s="110"/>
      <c r="EF1554" s="264"/>
      <c r="EG1554" s="110"/>
      <c r="EH1554" s="110"/>
      <c r="EI1554" s="110"/>
      <c r="EJ1554" s="110"/>
      <c r="EK1554" s="266"/>
      <c r="EL1554" s="110"/>
      <c r="EM1554" s="110"/>
      <c r="EN1554" s="110"/>
      <c r="EO1554" s="110"/>
      <c r="EP1554" s="110"/>
      <c r="EQ1554" s="110"/>
      <c r="ER1554" s="110"/>
      <c r="ES1554" s="110"/>
      <c r="ET1554" s="110"/>
      <c r="EU1554" s="110"/>
      <c r="EV1554" s="110"/>
      <c r="EW1554" s="110"/>
      <c r="EX1554" s="110"/>
      <c r="EY1554" s="110"/>
      <c r="EZ1554" s="110"/>
      <c r="FA1554" s="110"/>
      <c r="FB1554" s="110"/>
      <c r="FC1554" s="110"/>
      <c r="FD1554" s="110"/>
      <c r="FE1554" s="110"/>
      <c r="FF1554" s="110"/>
      <c r="FG1554" s="110"/>
      <c r="FH1554" s="110"/>
      <c r="FI1554" s="110"/>
      <c r="FJ1554" s="110"/>
      <c r="FK1554" s="110"/>
      <c r="FL1554" s="110"/>
      <c r="FM1554" s="110"/>
      <c r="FN1554" s="110"/>
      <c r="FO1554" s="110"/>
      <c r="FP1554" s="110"/>
      <c r="FQ1554" s="110"/>
      <c r="FR1554" s="110"/>
      <c r="FS1554" s="110"/>
      <c r="FT1554" s="110"/>
      <c r="FU1554" s="110"/>
      <c r="FV1554" s="110"/>
      <c r="FW1554" s="110"/>
      <c r="FX1554" s="110"/>
      <c r="FY1554" s="110"/>
      <c r="FZ1554" s="110"/>
      <c r="GA1554" s="110"/>
      <c r="GB1554" s="110"/>
      <c r="GC1554" s="110"/>
      <c r="GD1554" s="110"/>
      <c r="GE1554" s="110"/>
      <c r="GF1554" s="110"/>
      <c r="GG1554" s="110"/>
      <c r="GH1554" s="110"/>
      <c r="GI1554" s="110"/>
      <c r="GJ1554" s="110"/>
      <c r="GK1554" s="110"/>
      <c r="GL1554" s="110"/>
      <c r="GM1554" s="110"/>
      <c r="GN1554" s="110"/>
      <c r="GO1554" s="110"/>
      <c r="GP1554" s="110"/>
      <c r="GQ1554" s="110"/>
      <c r="GR1554" s="110"/>
      <c r="GS1554" s="110"/>
      <c r="GT1554" s="110"/>
      <c r="GU1554" s="110"/>
      <c r="GV1554" s="110"/>
      <c r="GW1554" s="110"/>
      <c r="GX1554" s="110"/>
      <c r="GY1554" s="110"/>
      <c r="GZ1554" s="110"/>
      <c r="HA1554" s="110"/>
      <c r="HB1554" s="110"/>
      <c r="HC1554" s="110"/>
      <c r="HD1554" s="110"/>
      <c r="HE1554" s="110"/>
      <c r="HF1554" s="110"/>
      <c r="HG1554" s="110"/>
      <c r="HH1554" s="110"/>
      <c r="HI1554" s="110"/>
      <c r="HJ1554" s="110"/>
      <c r="HK1554" s="110"/>
      <c r="HL1554" s="110"/>
      <c r="HM1554" s="110"/>
      <c r="HN1554" s="110"/>
      <c r="HO1554" s="110"/>
      <c r="HP1554" s="110"/>
      <c r="HQ1554" s="110"/>
      <c r="HR1554" s="110"/>
      <c r="HS1554" s="110"/>
      <c r="HT1554" s="110"/>
      <c r="HU1554" s="110"/>
      <c r="HV1554" s="110"/>
      <c r="HW1554" s="110"/>
      <c r="HX1554" s="110"/>
      <c r="HY1554" s="110"/>
      <c r="HZ1554" s="110"/>
      <c r="IA1554" s="110"/>
      <c r="IB1554" s="110"/>
      <c r="IC1554" s="110"/>
      <c r="ID1554" s="110"/>
      <c r="IE1554" s="110"/>
      <c r="IF1554" s="110"/>
      <c r="IG1554" s="110"/>
      <c r="IH1554" s="110"/>
      <c r="II1554" s="110"/>
      <c r="IJ1554" s="110"/>
      <c r="IK1554" s="110"/>
      <c r="IL1554" s="110"/>
      <c r="IM1554" s="110"/>
      <c r="IN1554" s="110"/>
      <c r="IO1554" s="110"/>
      <c r="IP1554" s="110"/>
      <c r="IQ1554" s="110"/>
      <c r="IR1554" s="110"/>
    </row>
    <row r="1555" spans="18:252" ht="16.5" hidden="1" customHeight="1">
      <c r="R1555" s="264"/>
      <c r="S1555" s="110"/>
      <c r="T1555" s="110"/>
      <c r="U1555" s="110"/>
      <c r="V1555" s="110"/>
      <c r="W1555" s="266"/>
      <c r="X1555" s="110"/>
      <c r="Y1555" s="110"/>
      <c r="Z1555" s="110"/>
      <c r="AA1555" s="110"/>
      <c r="AB1555" s="110"/>
      <c r="AC1555" s="110"/>
      <c r="AD1555" s="110"/>
      <c r="AE1555" s="110"/>
      <c r="AF1555" s="110"/>
      <c r="AG1555" s="110"/>
      <c r="AH1555" s="110"/>
      <c r="AI1555" s="110"/>
      <c r="AJ1555" s="110"/>
      <c r="AK1555" s="110"/>
      <c r="AL1555" s="110"/>
      <c r="AM1555" s="110"/>
      <c r="AN1555" s="110"/>
      <c r="AO1555" s="110"/>
      <c r="AP1555" s="110"/>
      <c r="AQ1555" s="110"/>
      <c r="AR1555" s="110"/>
      <c r="AS1555" s="110"/>
      <c r="AT1555" s="110"/>
      <c r="AU1555" s="110"/>
      <c r="AV1555" s="110"/>
      <c r="AW1555" s="110"/>
      <c r="AX1555" s="110"/>
      <c r="AY1555" s="110"/>
      <c r="AZ1555" s="110"/>
      <c r="BA1555" s="110"/>
      <c r="BB1555" s="110"/>
      <c r="BC1555" s="110"/>
      <c r="BD1555" s="110"/>
      <c r="BE1555" s="110"/>
      <c r="BF1555" s="110"/>
      <c r="BG1555" s="110"/>
      <c r="BH1555" s="110"/>
      <c r="BI1555" s="110"/>
      <c r="BJ1555" s="110"/>
      <c r="BK1555" s="110"/>
      <c r="BL1555" s="110"/>
      <c r="BM1555" s="110"/>
      <c r="BN1555" s="110"/>
      <c r="BO1555" s="110"/>
      <c r="BP1555" s="110"/>
      <c r="BQ1555" s="110"/>
      <c r="BR1555" s="110"/>
      <c r="BS1555" s="110"/>
      <c r="BT1555" s="110"/>
      <c r="BU1555" s="110"/>
      <c r="BV1555" s="110"/>
      <c r="BW1555" s="110"/>
      <c r="BX1555" s="110"/>
      <c r="BY1555" s="110"/>
      <c r="BZ1555" s="110"/>
      <c r="CA1555" s="110"/>
      <c r="CB1555" s="110"/>
      <c r="CC1555" s="110"/>
      <c r="CD1555" s="110"/>
      <c r="CE1555" s="110"/>
      <c r="CF1555" s="110"/>
      <c r="CG1555" s="110"/>
      <c r="CH1555" s="110"/>
      <c r="CI1555" s="110"/>
      <c r="CJ1555" s="110"/>
      <c r="CK1555" s="110"/>
      <c r="CL1555" s="110"/>
      <c r="CM1555" s="110"/>
      <c r="CN1555" s="110"/>
      <c r="CO1555" s="110"/>
      <c r="CP1555" s="110"/>
      <c r="CQ1555" s="110"/>
      <c r="CR1555" s="110"/>
      <c r="CS1555" s="110"/>
      <c r="CT1555" s="110"/>
      <c r="CU1555" s="110"/>
      <c r="CV1555" s="110"/>
      <c r="CW1555" s="110"/>
      <c r="CX1555" s="110"/>
      <c r="CY1555" s="110"/>
      <c r="CZ1555" s="110"/>
      <c r="DA1555" s="110"/>
      <c r="DB1555" s="110"/>
      <c r="DC1555" s="110"/>
      <c r="DD1555" s="110"/>
      <c r="DE1555" s="110"/>
      <c r="DF1555" s="110"/>
      <c r="DG1555" s="110"/>
      <c r="DH1555" s="110"/>
      <c r="DI1555" s="110"/>
      <c r="DJ1555" s="110"/>
      <c r="DK1555" s="110"/>
      <c r="DL1555" s="110"/>
      <c r="DM1555" s="110"/>
      <c r="DN1555" s="110"/>
      <c r="DO1555" s="110"/>
      <c r="DP1555" s="110"/>
      <c r="DQ1555" s="110"/>
      <c r="DR1555" s="110"/>
      <c r="DS1555" s="110"/>
      <c r="DT1555" s="110"/>
      <c r="DU1555" s="110"/>
      <c r="DV1555" s="110"/>
      <c r="DW1555" s="110"/>
      <c r="DX1555" s="110"/>
      <c r="DY1555" s="110"/>
      <c r="DZ1555" s="110"/>
      <c r="EA1555" s="110"/>
      <c r="EB1555" s="110"/>
      <c r="EC1555" s="110"/>
      <c r="ED1555" s="110"/>
      <c r="EF1555" s="264"/>
      <c r="EG1555" s="110"/>
      <c r="EH1555" s="110"/>
      <c r="EI1555" s="110"/>
      <c r="EJ1555" s="110"/>
      <c r="EK1555" s="266"/>
      <c r="EL1555" s="110"/>
      <c r="EM1555" s="110"/>
      <c r="EN1555" s="110"/>
      <c r="EO1555" s="110"/>
      <c r="EP1555" s="110"/>
      <c r="EQ1555" s="110"/>
      <c r="ER1555" s="110"/>
      <c r="ES1555" s="110"/>
      <c r="ET1555" s="110"/>
      <c r="EU1555" s="110"/>
      <c r="EV1555" s="110"/>
      <c r="EW1555" s="110"/>
      <c r="EX1555" s="110"/>
      <c r="EY1555" s="110"/>
      <c r="EZ1555" s="110"/>
      <c r="FA1555" s="110"/>
      <c r="FB1555" s="110"/>
      <c r="FC1555" s="110"/>
      <c r="FD1555" s="110"/>
      <c r="FE1555" s="110"/>
      <c r="FF1555" s="110"/>
      <c r="FG1555" s="110"/>
      <c r="FH1555" s="110"/>
      <c r="FI1555" s="110"/>
      <c r="FJ1555" s="110"/>
      <c r="FK1555" s="110"/>
      <c r="FL1555" s="110"/>
      <c r="FM1555" s="110"/>
      <c r="FN1555" s="110"/>
      <c r="FO1555" s="110"/>
      <c r="FP1555" s="110"/>
      <c r="FQ1555" s="110"/>
      <c r="FR1555" s="110"/>
      <c r="FS1555" s="110"/>
      <c r="FT1555" s="110"/>
      <c r="FU1555" s="110"/>
      <c r="FV1555" s="110"/>
      <c r="FW1555" s="110"/>
      <c r="FX1555" s="110"/>
      <c r="FY1555" s="110"/>
      <c r="FZ1555" s="110"/>
      <c r="GA1555" s="110"/>
      <c r="GB1555" s="110"/>
      <c r="GC1555" s="110"/>
      <c r="GD1555" s="110"/>
      <c r="GE1555" s="110"/>
      <c r="GF1555" s="110"/>
      <c r="GG1555" s="110"/>
      <c r="GH1555" s="110"/>
      <c r="GI1555" s="110"/>
      <c r="GJ1555" s="110"/>
      <c r="GK1555" s="110"/>
      <c r="GL1555" s="110"/>
      <c r="GM1555" s="110"/>
      <c r="GN1555" s="110"/>
      <c r="GO1555" s="110"/>
      <c r="GP1555" s="110"/>
      <c r="GQ1555" s="110"/>
      <c r="GR1555" s="110"/>
      <c r="GS1555" s="110"/>
      <c r="GT1555" s="110"/>
      <c r="GU1555" s="110"/>
      <c r="GV1555" s="110"/>
      <c r="GW1555" s="110"/>
      <c r="GX1555" s="110"/>
      <c r="GY1555" s="110"/>
      <c r="GZ1555" s="110"/>
      <c r="HA1555" s="110"/>
      <c r="HB1555" s="110"/>
      <c r="HC1555" s="110"/>
      <c r="HD1555" s="110"/>
      <c r="HE1555" s="110"/>
      <c r="HF1555" s="110"/>
      <c r="HG1555" s="110"/>
      <c r="HH1555" s="110"/>
      <c r="HI1555" s="110"/>
      <c r="HJ1555" s="110"/>
      <c r="HK1555" s="110"/>
      <c r="HL1555" s="110"/>
      <c r="HM1555" s="110"/>
      <c r="HN1555" s="110"/>
      <c r="HO1555" s="110"/>
      <c r="HP1555" s="110"/>
      <c r="HQ1555" s="110"/>
      <c r="HR1555" s="110"/>
      <c r="HS1555" s="110"/>
      <c r="HT1555" s="110"/>
      <c r="HU1555" s="110"/>
      <c r="HV1555" s="110"/>
      <c r="HW1555" s="110"/>
      <c r="HX1555" s="110"/>
      <c r="HY1555" s="110"/>
      <c r="HZ1555" s="110"/>
      <c r="IA1555" s="110"/>
      <c r="IB1555" s="110"/>
      <c r="IC1555" s="110"/>
      <c r="ID1555" s="110"/>
      <c r="IE1555" s="110"/>
      <c r="IF1555" s="110"/>
      <c r="IG1555" s="110"/>
      <c r="IH1555" s="110"/>
      <c r="II1555" s="110"/>
      <c r="IJ1555" s="110"/>
      <c r="IK1555" s="110"/>
      <c r="IL1555" s="110"/>
      <c r="IM1555" s="110"/>
      <c r="IN1555" s="110"/>
      <c r="IO1555" s="110"/>
      <c r="IP1555" s="110"/>
      <c r="IQ1555" s="110"/>
      <c r="IR1555" s="110"/>
    </row>
    <row r="1556" spans="18:252" ht="16.5" hidden="1" customHeight="1">
      <c r="R1556" s="264"/>
      <c r="S1556" s="110"/>
      <c r="T1556" s="110"/>
      <c r="U1556" s="110"/>
      <c r="V1556" s="110"/>
      <c r="W1556" s="266"/>
      <c r="X1556" s="110"/>
      <c r="Y1556" s="110"/>
      <c r="Z1556" s="110"/>
      <c r="AA1556" s="110"/>
      <c r="AB1556" s="110"/>
      <c r="AC1556" s="110"/>
      <c r="AD1556" s="110"/>
      <c r="AE1556" s="110"/>
      <c r="AF1556" s="110"/>
      <c r="AG1556" s="110"/>
      <c r="AH1556" s="110"/>
      <c r="AI1556" s="110"/>
      <c r="AJ1556" s="110"/>
      <c r="AK1556" s="110"/>
      <c r="AL1556" s="110"/>
      <c r="AM1556" s="110"/>
      <c r="AN1556" s="110"/>
      <c r="AO1556" s="110"/>
      <c r="AP1556" s="110"/>
      <c r="AQ1556" s="110"/>
      <c r="AR1556" s="110"/>
      <c r="AS1556" s="110"/>
      <c r="AT1556" s="110"/>
      <c r="AU1556" s="110"/>
      <c r="AV1556" s="110"/>
      <c r="AW1556" s="110"/>
      <c r="AX1556" s="110"/>
      <c r="AY1556" s="110"/>
      <c r="AZ1556" s="110"/>
      <c r="BA1556" s="110"/>
      <c r="BB1556" s="110"/>
      <c r="BC1556" s="110"/>
      <c r="BD1556" s="110"/>
      <c r="BE1556" s="110"/>
      <c r="BF1556" s="110"/>
      <c r="BG1556" s="110"/>
      <c r="BH1556" s="110"/>
      <c r="BI1556" s="110"/>
      <c r="BJ1556" s="110"/>
      <c r="BK1556" s="110"/>
      <c r="BL1556" s="110"/>
      <c r="BM1556" s="110"/>
      <c r="BN1556" s="110"/>
      <c r="BO1556" s="110"/>
      <c r="BP1556" s="110"/>
      <c r="BQ1556" s="110"/>
      <c r="BR1556" s="110"/>
      <c r="BS1556" s="110"/>
      <c r="BT1556" s="110"/>
      <c r="BU1556" s="110"/>
      <c r="BV1556" s="110"/>
      <c r="BW1556" s="110"/>
      <c r="BX1556" s="110"/>
      <c r="BY1556" s="110"/>
      <c r="BZ1556" s="110"/>
      <c r="CA1556" s="110"/>
      <c r="CB1556" s="110"/>
      <c r="CC1556" s="110"/>
      <c r="CD1556" s="110"/>
      <c r="CE1556" s="110"/>
      <c r="CF1556" s="110"/>
      <c r="CG1556" s="110"/>
      <c r="CH1556" s="110"/>
      <c r="CI1556" s="110"/>
      <c r="CJ1556" s="110"/>
      <c r="CK1556" s="110"/>
      <c r="CL1556" s="110"/>
      <c r="CM1556" s="110"/>
      <c r="CN1556" s="110"/>
      <c r="CO1556" s="110"/>
      <c r="CP1556" s="110"/>
      <c r="CQ1556" s="110"/>
      <c r="CR1556" s="110"/>
      <c r="CS1556" s="110"/>
      <c r="CT1556" s="110"/>
      <c r="CU1556" s="110"/>
      <c r="CV1556" s="110"/>
      <c r="CW1556" s="110"/>
      <c r="CX1556" s="110"/>
      <c r="CY1556" s="110"/>
      <c r="CZ1556" s="110"/>
      <c r="DA1556" s="110"/>
      <c r="DB1556" s="110"/>
      <c r="DC1556" s="110"/>
      <c r="DD1556" s="110"/>
      <c r="DE1556" s="110"/>
      <c r="DF1556" s="110"/>
      <c r="DG1556" s="110"/>
      <c r="DH1556" s="110"/>
      <c r="DI1556" s="110"/>
      <c r="DJ1556" s="110"/>
      <c r="DK1556" s="110"/>
      <c r="DL1556" s="110"/>
      <c r="DM1556" s="110"/>
      <c r="DN1556" s="110"/>
      <c r="DO1556" s="110"/>
      <c r="DP1556" s="110"/>
      <c r="DQ1556" s="110"/>
      <c r="DR1556" s="110"/>
      <c r="DS1556" s="110"/>
      <c r="DT1556" s="110"/>
      <c r="DU1556" s="110"/>
      <c r="DV1556" s="110"/>
      <c r="DW1556" s="110"/>
      <c r="DX1556" s="110"/>
      <c r="DY1556" s="110"/>
      <c r="DZ1556" s="110"/>
      <c r="EA1556" s="110"/>
      <c r="EB1556" s="110"/>
      <c r="EC1556" s="110"/>
      <c r="ED1556" s="110"/>
      <c r="EF1556" s="264"/>
      <c r="EG1556" s="110"/>
      <c r="EH1556" s="110"/>
      <c r="EI1556" s="110"/>
      <c r="EJ1556" s="110"/>
      <c r="EK1556" s="266"/>
      <c r="EL1556" s="110"/>
      <c r="EM1556" s="110"/>
      <c r="EN1556" s="110"/>
      <c r="EO1556" s="110"/>
      <c r="EP1556" s="110"/>
      <c r="EQ1556" s="110"/>
      <c r="ER1556" s="110"/>
      <c r="ES1556" s="110"/>
      <c r="ET1556" s="110"/>
      <c r="EU1556" s="110"/>
      <c r="EV1556" s="110"/>
      <c r="EW1556" s="110"/>
      <c r="EX1556" s="110"/>
      <c r="EY1556" s="110"/>
      <c r="EZ1556" s="110"/>
      <c r="FA1556" s="110"/>
      <c r="FB1556" s="110"/>
      <c r="FC1556" s="110"/>
      <c r="FD1556" s="110"/>
      <c r="FE1556" s="110"/>
      <c r="FF1556" s="110"/>
      <c r="FG1556" s="110"/>
      <c r="FH1556" s="110"/>
      <c r="FI1556" s="110"/>
      <c r="FJ1556" s="110"/>
      <c r="FK1556" s="110"/>
      <c r="FL1556" s="110"/>
      <c r="FM1556" s="110"/>
      <c r="FN1556" s="110"/>
      <c r="FO1556" s="110"/>
      <c r="FP1556" s="110"/>
      <c r="FQ1556" s="110"/>
      <c r="FR1556" s="110"/>
      <c r="FS1556" s="110"/>
      <c r="FT1556" s="110"/>
      <c r="FU1556" s="110"/>
      <c r="FV1556" s="110"/>
      <c r="FW1556" s="110"/>
      <c r="FX1556" s="110"/>
      <c r="FY1556" s="110"/>
      <c r="FZ1556" s="110"/>
      <c r="GA1556" s="110"/>
      <c r="GB1556" s="110"/>
      <c r="GC1556" s="110"/>
      <c r="GD1556" s="110"/>
      <c r="GE1556" s="110"/>
      <c r="GF1556" s="110"/>
      <c r="GG1556" s="110"/>
      <c r="GH1556" s="110"/>
      <c r="GI1556" s="110"/>
      <c r="GJ1556" s="110"/>
      <c r="GK1556" s="110"/>
      <c r="GL1556" s="110"/>
      <c r="GM1556" s="110"/>
      <c r="GN1556" s="110"/>
      <c r="GO1556" s="110"/>
      <c r="GP1556" s="110"/>
      <c r="GQ1556" s="110"/>
      <c r="GR1556" s="110"/>
      <c r="GS1556" s="110"/>
      <c r="GT1556" s="110"/>
      <c r="GU1556" s="110"/>
      <c r="GV1556" s="110"/>
      <c r="GW1556" s="110"/>
      <c r="GX1556" s="110"/>
      <c r="GY1556" s="110"/>
      <c r="GZ1556" s="110"/>
      <c r="HA1556" s="110"/>
      <c r="HB1556" s="110"/>
      <c r="HC1556" s="110"/>
      <c r="HD1556" s="110"/>
      <c r="HE1556" s="110"/>
      <c r="HF1556" s="110"/>
      <c r="HG1556" s="110"/>
      <c r="HH1556" s="110"/>
      <c r="HI1556" s="110"/>
      <c r="HJ1556" s="110"/>
      <c r="HK1556" s="110"/>
      <c r="HL1556" s="110"/>
      <c r="HM1556" s="110"/>
      <c r="HN1556" s="110"/>
      <c r="HO1556" s="110"/>
      <c r="HP1556" s="110"/>
      <c r="HQ1556" s="110"/>
      <c r="HR1556" s="110"/>
      <c r="HS1556" s="110"/>
      <c r="HT1556" s="110"/>
      <c r="HU1556" s="110"/>
      <c r="HV1556" s="110"/>
      <c r="HW1556" s="110"/>
      <c r="HX1556" s="110"/>
      <c r="HY1556" s="110"/>
      <c r="HZ1556" s="110"/>
      <c r="IA1556" s="110"/>
      <c r="IB1556" s="110"/>
      <c r="IC1556" s="110"/>
      <c r="ID1556" s="110"/>
      <c r="IE1556" s="110"/>
      <c r="IF1556" s="110"/>
      <c r="IG1556" s="110"/>
      <c r="IH1556" s="110"/>
      <c r="II1556" s="110"/>
      <c r="IJ1556" s="110"/>
      <c r="IK1556" s="110"/>
      <c r="IL1556" s="110"/>
      <c r="IM1556" s="110"/>
      <c r="IN1556" s="110"/>
      <c r="IO1556" s="110"/>
      <c r="IP1556" s="110"/>
      <c r="IQ1556" s="110"/>
      <c r="IR1556" s="110"/>
    </row>
    <row r="1557" spans="18:252" ht="16.5" hidden="1" customHeight="1">
      <c r="R1557" s="264"/>
      <c r="S1557" s="110"/>
      <c r="T1557" s="110"/>
      <c r="U1557" s="110"/>
      <c r="V1557" s="110"/>
      <c r="W1557" s="266"/>
      <c r="X1557" s="110"/>
      <c r="Y1557" s="110"/>
      <c r="Z1557" s="110"/>
      <c r="AA1557" s="110"/>
      <c r="AB1557" s="110"/>
      <c r="AC1557" s="110"/>
      <c r="AD1557" s="110"/>
      <c r="AE1557" s="110"/>
      <c r="AF1557" s="110"/>
      <c r="AG1557" s="110"/>
      <c r="AH1557" s="110"/>
      <c r="AI1557" s="110"/>
      <c r="AJ1557" s="110"/>
      <c r="AK1557" s="110"/>
      <c r="AL1557" s="110"/>
      <c r="AM1557" s="110"/>
      <c r="AN1557" s="110"/>
      <c r="AO1557" s="110"/>
      <c r="AP1557" s="110"/>
      <c r="AQ1557" s="110"/>
      <c r="AR1557" s="110"/>
      <c r="AS1557" s="110"/>
      <c r="AT1557" s="110"/>
      <c r="AU1557" s="110"/>
      <c r="AV1557" s="110"/>
      <c r="AW1557" s="110"/>
      <c r="AX1557" s="110"/>
      <c r="AY1557" s="110"/>
      <c r="AZ1557" s="110"/>
      <c r="BA1557" s="110"/>
      <c r="BB1557" s="110"/>
      <c r="BC1557" s="110"/>
      <c r="BD1557" s="110"/>
      <c r="BE1557" s="110"/>
      <c r="BF1557" s="110"/>
      <c r="BG1557" s="110"/>
      <c r="BH1557" s="110"/>
      <c r="BI1557" s="110"/>
      <c r="BJ1557" s="110"/>
      <c r="BK1557" s="110"/>
      <c r="BL1557" s="110"/>
      <c r="BM1557" s="110"/>
      <c r="BN1557" s="110"/>
      <c r="BO1557" s="110"/>
      <c r="BP1557" s="110"/>
      <c r="BQ1557" s="110"/>
      <c r="BR1557" s="110"/>
      <c r="BS1557" s="110"/>
      <c r="BT1557" s="110"/>
      <c r="BU1557" s="110"/>
      <c r="BV1557" s="110"/>
      <c r="BW1557" s="110"/>
      <c r="BX1557" s="110"/>
      <c r="BY1557" s="110"/>
      <c r="BZ1557" s="110"/>
      <c r="CA1557" s="110"/>
      <c r="CB1557" s="110"/>
      <c r="CC1557" s="110"/>
      <c r="CD1557" s="110"/>
      <c r="CE1557" s="110"/>
      <c r="CF1557" s="110"/>
      <c r="CG1557" s="110"/>
      <c r="CH1557" s="110"/>
      <c r="CI1557" s="110"/>
      <c r="CJ1557" s="110"/>
      <c r="CK1557" s="110"/>
      <c r="CL1557" s="110"/>
      <c r="CM1557" s="110"/>
      <c r="CN1557" s="110"/>
      <c r="CO1557" s="110"/>
      <c r="CP1557" s="110"/>
      <c r="CQ1557" s="110"/>
      <c r="CR1557" s="110"/>
      <c r="CS1557" s="110"/>
      <c r="CT1557" s="110"/>
      <c r="CU1557" s="110"/>
      <c r="CV1557" s="110"/>
      <c r="CW1557" s="110"/>
      <c r="CX1557" s="110"/>
      <c r="CY1557" s="110"/>
      <c r="CZ1557" s="110"/>
      <c r="DA1557" s="110"/>
      <c r="DB1557" s="110"/>
      <c r="DC1557" s="110"/>
      <c r="DD1557" s="110"/>
      <c r="DE1557" s="110"/>
      <c r="DF1557" s="110"/>
      <c r="DG1557" s="110"/>
      <c r="DH1557" s="110"/>
      <c r="DI1557" s="110"/>
      <c r="DJ1557" s="110"/>
      <c r="DK1557" s="110"/>
      <c r="DL1557" s="110"/>
      <c r="DM1557" s="110"/>
      <c r="DN1557" s="110"/>
      <c r="DO1557" s="110"/>
      <c r="DP1557" s="110"/>
      <c r="DQ1557" s="110"/>
      <c r="DR1557" s="110"/>
      <c r="DS1557" s="110"/>
      <c r="DT1557" s="110"/>
      <c r="DU1557" s="110"/>
      <c r="DV1557" s="110"/>
      <c r="DW1557" s="110"/>
      <c r="DX1557" s="110"/>
      <c r="DY1557" s="110"/>
      <c r="DZ1557" s="110"/>
      <c r="EA1557" s="110"/>
      <c r="EB1557" s="110"/>
      <c r="EC1557" s="110"/>
      <c r="ED1557" s="110"/>
      <c r="EF1557" s="264"/>
      <c r="EG1557" s="110"/>
      <c r="EH1557" s="110"/>
      <c r="EI1557" s="110"/>
      <c r="EJ1557" s="110"/>
      <c r="EK1557" s="266"/>
      <c r="EL1557" s="110"/>
      <c r="EM1557" s="110"/>
      <c r="EN1557" s="110"/>
      <c r="EO1557" s="110"/>
      <c r="EP1557" s="110"/>
      <c r="EQ1557" s="110"/>
      <c r="ER1557" s="110"/>
      <c r="ES1557" s="110"/>
      <c r="ET1557" s="110"/>
      <c r="EU1557" s="110"/>
      <c r="EV1557" s="110"/>
      <c r="EW1557" s="110"/>
      <c r="EX1557" s="110"/>
      <c r="EY1557" s="110"/>
      <c r="EZ1557" s="110"/>
      <c r="FA1557" s="110"/>
      <c r="FB1557" s="110"/>
      <c r="FC1557" s="110"/>
      <c r="FD1557" s="110"/>
      <c r="FE1557" s="110"/>
      <c r="FF1557" s="110"/>
      <c r="FG1557" s="110"/>
      <c r="FH1557" s="110"/>
      <c r="FI1557" s="110"/>
      <c r="FJ1557" s="110"/>
      <c r="FK1557" s="110"/>
      <c r="FL1557" s="110"/>
      <c r="FM1557" s="110"/>
      <c r="FN1557" s="110"/>
      <c r="FO1557" s="110"/>
      <c r="FP1557" s="110"/>
      <c r="FQ1557" s="110"/>
      <c r="FR1557" s="110"/>
      <c r="FS1557" s="110"/>
      <c r="FT1557" s="110"/>
      <c r="FU1557" s="110"/>
      <c r="FV1557" s="110"/>
      <c r="FW1557" s="110"/>
      <c r="FX1557" s="110"/>
      <c r="FY1557" s="110"/>
      <c r="FZ1557" s="110"/>
      <c r="GA1557" s="110"/>
      <c r="GB1557" s="110"/>
      <c r="GC1557" s="110"/>
      <c r="GD1557" s="110"/>
      <c r="GE1557" s="110"/>
      <c r="GF1557" s="110"/>
      <c r="GG1557" s="110"/>
      <c r="GH1557" s="110"/>
      <c r="GI1557" s="110"/>
      <c r="GJ1557" s="110"/>
      <c r="GK1557" s="110"/>
      <c r="GL1557" s="110"/>
      <c r="GM1557" s="110"/>
      <c r="GN1557" s="110"/>
      <c r="GO1557" s="110"/>
      <c r="GP1557" s="110"/>
      <c r="GQ1557" s="110"/>
      <c r="GR1557" s="110"/>
      <c r="GS1557" s="110"/>
      <c r="GT1557" s="110"/>
      <c r="GU1557" s="110"/>
      <c r="GV1557" s="110"/>
      <c r="GW1557" s="110"/>
      <c r="GX1557" s="110"/>
      <c r="GY1557" s="110"/>
      <c r="GZ1557" s="110"/>
      <c r="HA1557" s="110"/>
      <c r="HB1557" s="110"/>
      <c r="HC1557" s="110"/>
      <c r="HD1557" s="110"/>
      <c r="HE1557" s="110"/>
      <c r="HF1557" s="110"/>
      <c r="HG1557" s="110"/>
      <c r="HH1557" s="110"/>
      <c r="HI1557" s="110"/>
      <c r="HJ1557" s="110"/>
      <c r="HK1557" s="110"/>
      <c r="HL1557" s="110"/>
      <c r="HM1557" s="110"/>
      <c r="HN1557" s="110"/>
      <c r="HO1557" s="110"/>
      <c r="HP1557" s="110"/>
      <c r="HQ1557" s="110"/>
      <c r="HR1557" s="110"/>
      <c r="HS1557" s="110"/>
      <c r="HT1557" s="110"/>
      <c r="HU1557" s="110"/>
      <c r="HV1557" s="110"/>
      <c r="HW1557" s="110"/>
      <c r="HX1557" s="110"/>
      <c r="HY1557" s="110"/>
      <c r="HZ1557" s="110"/>
      <c r="IA1557" s="110"/>
      <c r="IB1557" s="110"/>
      <c r="IC1557" s="110"/>
      <c r="ID1557" s="110"/>
      <c r="IE1557" s="110"/>
      <c r="IF1557" s="110"/>
      <c r="IG1557" s="110"/>
      <c r="IH1557" s="110"/>
      <c r="II1557" s="110"/>
      <c r="IJ1557" s="110"/>
      <c r="IK1557" s="110"/>
      <c r="IL1557" s="110"/>
      <c r="IM1557" s="110"/>
      <c r="IN1557" s="110"/>
      <c r="IO1557" s="110"/>
      <c r="IP1557" s="110"/>
      <c r="IQ1557" s="110"/>
      <c r="IR1557" s="110"/>
    </row>
    <row r="1558" spans="18:252" ht="16.5" hidden="1" customHeight="1">
      <c r="R1558" s="264"/>
      <c r="S1558" s="110"/>
      <c r="T1558" s="110"/>
      <c r="U1558" s="110"/>
      <c r="V1558" s="110"/>
      <c r="W1558" s="266"/>
      <c r="X1558" s="110"/>
      <c r="Y1558" s="110"/>
      <c r="Z1558" s="110"/>
      <c r="AA1558" s="110"/>
      <c r="AB1558" s="110"/>
      <c r="AC1558" s="110"/>
      <c r="AD1558" s="110"/>
      <c r="AE1558" s="110"/>
      <c r="AF1558" s="110"/>
      <c r="AG1558" s="110"/>
      <c r="AH1558" s="110"/>
      <c r="AI1558" s="110"/>
      <c r="AJ1558" s="110"/>
      <c r="AK1558" s="110"/>
      <c r="AL1558" s="110"/>
      <c r="AM1558" s="110"/>
      <c r="AN1558" s="110"/>
      <c r="AO1558" s="110"/>
      <c r="AP1558" s="110"/>
      <c r="AQ1558" s="110"/>
      <c r="AR1558" s="110"/>
      <c r="AS1558" s="110"/>
      <c r="AT1558" s="110"/>
      <c r="AU1558" s="110"/>
      <c r="AV1558" s="110"/>
      <c r="AW1558" s="110"/>
      <c r="AX1558" s="110"/>
      <c r="AY1558" s="110"/>
      <c r="AZ1558" s="110"/>
      <c r="BA1558" s="110"/>
      <c r="BB1558" s="110"/>
      <c r="BC1558" s="110"/>
      <c r="BD1558" s="110"/>
      <c r="BE1558" s="110"/>
      <c r="BF1558" s="110"/>
      <c r="BG1558" s="110"/>
      <c r="BH1558" s="110"/>
      <c r="BI1558" s="110"/>
      <c r="BJ1558" s="110"/>
      <c r="BK1558" s="110"/>
      <c r="BL1558" s="110"/>
      <c r="BM1558" s="110"/>
      <c r="BN1558" s="110"/>
      <c r="BO1558" s="110"/>
      <c r="BP1558" s="110"/>
      <c r="BQ1558" s="110"/>
      <c r="BR1558" s="110"/>
      <c r="BS1558" s="110"/>
      <c r="BT1558" s="110"/>
      <c r="BU1558" s="110"/>
      <c r="BV1558" s="110"/>
      <c r="BW1558" s="110"/>
      <c r="BX1558" s="110"/>
      <c r="BY1558" s="110"/>
      <c r="BZ1558" s="110"/>
      <c r="CA1558" s="110"/>
      <c r="CB1558" s="110"/>
      <c r="CC1558" s="110"/>
      <c r="CD1558" s="110"/>
      <c r="CE1558" s="110"/>
      <c r="CF1558" s="110"/>
      <c r="CG1558" s="110"/>
      <c r="CH1558" s="110"/>
      <c r="CI1558" s="110"/>
      <c r="CJ1558" s="110"/>
      <c r="CK1558" s="110"/>
      <c r="CL1558" s="110"/>
      <c r="CM1558" s="110"/>
      <c r="CN1558" s="110"/>
      <c r="CO1558" s="110"/>
      <c r="CP1558" s="110"/>
      <c r="CQ1558" s="110"/>
      <c r="CR1558" s="110"/>
      <c r="CS1558" s="110"/>
      <c r="CT1558" s="110"/>
      <c r="CU1558" s="110"/>
      <c r="CV1558" s="110"/>
      <c r="CW1558" s="110"/>
      <c r="CX1558" s="110"/>
      <c r="CY1558" s="110"/>
      <c r="CZ1558" s="110"/>
      <c r="DA1558" s="110"/>
      <c r="DB1558" s="110"/>
      <c r="DC1558" s="110"/>
      <c r="DD1558" s="110"/>
      <c r="DE1558" s="110"/>
      <c r="DF1558" s="110"/>
      <c r="DG1558" s="110"/>
      <c r="DH1558" s="110"/>
      <c r="DI1558" s="110"/>
      <c r="DJ1558" s="110"/>
      <c r="DK1558" s="110"/>
      <c r="DL1558" s="110"/>
      <c r="DM1558" s="110"/>
      <c r="DN1558" s="110"/>
      <c r="DO1558" s="110"/>
      <c r="DP1558" s="110"/>
      <c r="DQ1558" s="110"/>
      <c r="DR1558" s="110"/>
      <c r="DS1558" s="110"/>
      <c r="DT1558" s="110"/>
      <c r="DU1558" s="110"/>
      <c r="DV1558" s="110"/>
      <c r="DW1558" s="110"/>
      <c r="DX1558" s="110"/>
      <c r="DY1558" s="110"/>
      <c r="DZ1558" s="110"/>
      <c r="EA1558" s="110"/>
      <c r="EB1558" s="110"/>
      <c r="EC1558" s="110"/>
      <c r="ED1558" s="110"/>
      <c r="EF1558" s="264"/>
      <c r="EG1558" s="110"/>
      <c r="EH1558" s="110"/>
      <c r="EI1558" s="110"/>
      <c r="EJ1558" s="110"/>
      <c r="EK1558" s="266"/>
      <c r="EL1558" s="110"/>
      <c r="EM1558" s="110"/>
      <c r="EN1558" s="110"/>
      <c r="EO1558" s="110"/>
      <c r="EP1558" s="110"/>
      <c r="EQ1558" s="110"/>
      <c r="ER1558" s="110"/>
      <c r="ES1558" s="110"/>
      <c r="ET1558" s="110"/>
      <c r="EU1558" s="110"/>
      <c r="EV1558" s="110"/>
      <c r="EW1558" s="110"/>
      <c r="EX1558" s="110"/>
      <c r="EY1558" s="110"/>
      <c r="EZ1558" s="110"/>
      <c r="FA1558" s="110"/>
      <c r="FB1558" s="110"/>
      <c r="FC1558" s="110"/>
      <c r="FD1558" s="110"/>
      <c r="FE1558" s="110"/>
      <c r="FF1558" s="110"/>
      <c r="FG1558" s="110"/>
      <c r="FH1558" s="110"/>
      <c r="FI1558" s="110"/>
      <c r="FJ1558" s="110"/>
      <c r="FK1558" s="110"/>
      <c r="FL1558" s="110"/>
      <c r="FM1558" s="110"/>
      <c r="FN1558" s="110"/>
      <c r="FO1558" s="110"/>
      <c r="FP1558" s="110"/>
      <c r="FQ1558" s="110"/>
      <c r="FR1558" s="110"/>
      <c r="FS1558" s="110"/>
      <c r="FT1558" s="110"/>
      <c r="FU1558" s="110"/>
      <c r="FV1558" s="110"/>
      <c r="FW1558" s="110"/>
      <c r="FX1558" s="110"/>
      <c r="FY1558" s="110"/>
      <c r="FZ1558" s="110"/>
      <c r="GA1558" s="110"/>
      <c r="GB1558" s="110"/>
      <c r="GC1558" s="110"/>
      <c r="GD1558" s="110"/>
      <c r="GE1558" s="110"/>
      <c r="GF1558" s="110"/>
      <c r="GG1558" s="110"/>
      <c r="GH1558" s="110"/>
      <c r="GI1558" s="110"/>
      <c r="GJ1558" s="110"/>
      <c r="GK1558" s="110"/>
      <c r="GL1558" s="110"/>
      <c r="GM1558" s="110"/>
      <c r="GN1558" s="110"/>
      <c r="GO1558" s="110"/>
      <c r="GP1558" s="110"/>
      <c r="GQ1558" s="110"/>
      <c r="GR1558" s="110"/>
      <c r="GS1558" s="110"/>
      <c r="GT1558" s="110"/>
      <c r="GU1558" s="110"/>
      <c r="GV1558" s="110"/>
      <c r="GW1558" s="110"/>
      <c r="GX1558" s="110"/>
      <c r="GY1558" s="110"/>
      <c r="GZ1558" s="110"/>
      <c r="HA1558" s="110"/>
      <c r="HB1558" s="110"/>
      <c r="HC1558" s="110"/>
      <c r="HD1558" s="110"/>
      <c r="HE1558" s="110"/>
      <c r="HF1558" s="110"/>
      <c r="HG1558" s="110"/>
      <c r="HH1558" s="110"/>
      <c r="HI1558" s="110"/>
      <c r="HJ1558" s="110"/>
      <c r="HK1558" s="110"/>
      <c r="HL1558" s="110"/>
      <c r="HM1558" s="110"/>
      <c r="HN1558" s="110"/>
      <c r="HO1558" s="110"/>
      <c r="HP1558" s="110"/>
      <c r="HQ1558" s="110"/>
      <c r="HR1558" s="110"/>
      <c r="HS1558" s="110"/>
      <c r="HT1558" s="110"/>
      <c r="HU1558" s="110"/>
      <c r="HV1558" s="110"/>
      <c r="HW1558" s="110"/>
      <c r="HX1558" s="110"/>
      <c r="HY1558" s="110"/>
      <c r="HZ1558" s="110"/>
      <c r="IA1558" s="110"/>
      <c r="IB1558" s="110"/>
      <c r="IC1558" s="110"/>
      <c r="ID1558" s="110"/>
      <c r="IE1558" s="110"/>
      <c r="IF1558" s="110"/>
      <c r="IG1558" s="110"/>
      <c r="IH1558" s="110"/>
      <c r="II1558" s="110"/>
      <c r="IJ1558" s="110"/>
      <c r="IK1558" s="110"/>
      <c r="IL1558" s="110"/>
      <c r="IM1558" s="110"/>
      <c r="IN1558" s="110"/>
      <c r="IO1558" s="110"/>
      <c r="IP1558" s="110"/>
      <c r="IQ1558" s="110"/>
      <c r="IR1558" s="110"/>
    </row>
    <row r="1559" spans="18:252" ht="16.5" hidden="1" customHeight="1">
      <c r="R1559" s="264"/>
      <c r="S1559" s="110"/>
      <c r="T1559" s="110"/>
      <c r="U1559" s="110"/>
      <c r="V1559" s="110"/>
      <c r="W1559" s="266"/>
      <c r="X1559" s="110"/>
      <c r="Y1559" s="110"/>
      <c r="Z1559" s="110"/>
      <c r="AA1559" s="110"/>
      <c r="AB1559" s="110"/>
      <c r="AC1559" s="110"/>
      <c r="AD1559" s="110"/>
      <c r="AE1559" s="110"/>
      <c r="AF1559" s="110"/>
      <c r="AG1559" s="110"/>
      <c r="AH1559" s="110"/>
      <c r="AI1559" s="110"/>
      <c r="AJ1559" s="110"/>
      <c r="AK1559" s="110"/>
      <c r="AL1559" s="110"/>
      <c r="AM1559" s="110"/>
      <c r="AN1559" s="110"/>
      <c r="AO1559" s="110"/>
      <c r="AP1559" s="110"/>
      <c r="AQ1559" s="110"/>
      <c r="AR1559" s="110"/>
      <c r="AS1559" s="110"/>
      <c r="AT1559" s="110"/>
      <c r="AU1559" s="110"/>
      <c r="AV1559" s="110"/>
      <c r="AW1559" s="110"/>
      <c r="AX1559" s="110"/>
      <c r="AY1559" s="110"/>
      <c r="AZ1559" s="110"/>
      <c r="BA1559" s="110"/>
      <c r="BB1559" s="110"/>
      <c r="BC1559" s="110"/>
      <c r="BD1559" s="110"/>
      <c r="BE1559" s="110"/>
      <c r="BF1559" s="110"/>
      <c r="BG1559" s="110"/>
      <c r="BH1559" s="110"/>
      <c r="BI1559" s="110"/>
      <c r="BJ1559" s="110"/>
      <c r="BK1559" s="110"/>
      <c r="BL1559" s="110"/>
      <c r="BM1559" s="110"/>
      <c r="BN1559" s="110"/>
      <c r="BO1559" s="110"/>
      <c r="BP1559" s="110"/>
      <c r="BQ1559" s="110"/>
      <c r="BR1559" s="110"/>
      <c r="BS1559" s="110"/>
      <c r="BT1559" s="110"/>
      <c r="BU1559" s="110"/>
      <c r="BV1559" s="110"/>
      <c r="BW1559" s="110"/>
      <c r="BX1559" s="110"/>
      <c r="BY1559" s="110"/>
      <c r="BZ1559" s="110"/>
      <c r="CA1559" s="110"/>
      <c r="CB1559" s="110"/>
      <c r="CC1559" s="110"/>
      <c r="CD1559" s="110"/>
      <c r="CE1559" s="110"/>
      <c r="CF1559" s="110"/>
      <c r="CG1559" s="110"/>
      <c r="CH1559" s="110"/>
      <c r="CI1559" s="110"/>
      <c r="CJ1559" s="110"/>
      <c r="CK1559" s="110"/>
      <c r="CL1559" s="110"/>
      <c r="CM1559" s="110"/>
      <c r="CN1559" s="110"/>
      <c r="CO1559" s="110"/>
      <c r="CP1559" s="110"/>
      <c r="CQ1559" s="110"/>
      <c r="CR1559" s="110"/>
      <c r="CS1559" s="110"/>
      <c r="CT1559" s="110"/>
      <c r="CU1559" s="110"/>
      <c r="CV1559" s="110"/>
      <c r="CW1559" s="110"/>
      <c r="CX1559" s="110"/>
      <c r="CY1559" s="110"/>
      <c r="CZ1559" s="110"/>
      <c r="DA1559" s="110"/>
      <c r="DB1559" s="110"/>
      <c r="DC1559" s="110"/>
      <c r="DD1559" s="110"/>
      <c r="DE1559" s="110"/>
      <c r="DF1559" s="110"/>
      <c r="DG1559" s="110"/>
      <c r="DH1559" s="110"/>
      <c r="DI1559" s="110"/>
      <c r="DJ1559" s="110"/>
      <c r="DK1559" s="110"/>
      <c r="DL1559" s="110"/>
      <c r="DM1559" s="110"/>
      <c r="DN1559" s="110"/>
      <c r="DO1559" s="110"/>
      <c r="DP1559" s="110"/>
      <c r="DQ1559" s="110"/>
      <c r="DR1559" s="110"/>
      <c r="DS1559" s="110"/>
      <c r="DT1559" s="110"/>
      <c r="DU1559" s="110"/>
      <c r="DV1559" s="110"/>
      <c r="DW1559" s="110"/>
      <c r="DX1559" s="110"/>
      <c r="DY1559" s="110"/>
      <c r="DZ1559" s="110"/>
      <c r="EA1559" s="110"/>
      <c r="EB1559" s="110"/>
      <c r="EC1559" s="110"/>
      <c r="ED1559" s="110"/>
      <c r="EF1559" s="264"/>
      <c r="EG1559" s="110"/>
      <c r="EH1559" s="110"/>
      <c r="EI1559" s="110"/>
      <c r="EJ1559" s="110"/>
      <c r="EK1559" s="266"/>
      <c r="EL1559" s="110"/>
      <c r="EM1559" s="110"/>
      <c r="EN1559" s="110"/>
      <c r="EO1559" s="110"/>
      <c r="EP1559" s="110"/>
      <c r="EQ1559" s="110"/>
      <c r="ER1559" s="110"/>
      <c r="ES1559" s="110"/>
      <c r="ET1559" s="110"/>
      <c r="EU1559" s="110"/>
      <c r="EV1559" s="110"/>
      <c r="EW1559" s="110"/>
      <c r="EX1559" s="110"/>
      <c r="EY1559" s="110"/>
      <c r="EZ1559" s="110"/>
      <c r="FA1559" s="110"/>
      <c r="FB1559" s="110"/>
      <c r="FC1559" s="110"/>
      <c r="FD1559" s="110"/>
      <c r="FE1559" s="110"/>
      <c r="FF1559" s="110"/>
      <c r="FG1559" s="110"/>
      <c r="FH1559" s="110"/>
      <c r="FI1559" s="110"/>
      <c r="FJ1559" s="110"/>
      <c r="FK1559" s="110"/>
      <c r="FL1559" s="110"/>
      <c r="FM1559" s="110"/>
      <c r="FN1559" s="110"/>
      <c r="FO1559" s="110"/>
      <c r="FP1559" s="110"/>
      <c r="FQ1559" s="110"/>
      <c r="FR1559" s="110"/>
      <c r="FS1559" s="110"/>
      <c r="FT1559" s="110"/>
      <c r="FU1559" s="110"/>
      <c r="FV1559" s="110"/>
      <c r="FW1559" s="110"/>
      <c r="FX1559" s="110"/>
      <c r="FY1559" s="110"/>
      <c r="FZ1559" s="110"/>
      <c r="GA1559" s="110"/>
      <c r="GB1559" s="110"/>
      <c r="GC1559" s="110"/>
      <c r="GD1559" s="110"/>
      <c r="GE1559" s="110"/>
      <c r="GF1559" s="110"/>
      <c r="GG1559" s="110"/>
      <c r="GH1559" s="110"/>
      <c r="GI1559" s="110"/>
      <c r="GJ1559" s="110"/>
      <c r="GK1559" s="110"/>
      <c r="GL1559" s="110"/>
      <c r="GM1559" s="110"/>
      <c r="GN1559" s="110"/>
      <c r="GO1559" s="110"/>
      <c r="GP1559" s="110"/>
      <c r="GQ1559" s="110"/>
      <c r="GR1559" s="110"/>
      <c r="GS1559" s="110"/>
      <c r="GT1559" s="110"/>
      <c r="GU1559" s="110"/>
      <c r="GV1559" s="110"/>
      <c r="GW1559" s="110"/>
      <c r="GX1559" s="110"/>
      <c r="GY1559" s="110"/>
      <c r="GZ1559" s="110"/>
      <c r="HA1559" s="110"/>
      <c r="HB1559" s="110"/>
      <c r="HC1559" s="110"/>
      <c r="HD1559" s="110"/>
      <c r="HE1559" s="110"/>
      <c r="HF1559" s="110"/>
      <c r="HG1559" s="110"/>
      <c r="HH1559" s="110"/>
      <c r="HI1559" s="110"/>
      <c r="HJ1559" s="110"/>
      <c r="HK1559" s="110"/>
      <c r="HL1559" s="110"/>
      <c r="HM1559" s="110"/>
      <c r="HN1559" s="110"/>
      <c r="HO1559" s="110"/>
      <c r="HP1559" s="110"/>
      <c r="HQ1559" s="110"/>
      <c r="HR1559" s="110"/>
      <c r="HS1559" s="110"/>
      <c r="HT1559" s="110"/>
      <c r="HU1559" s="110"/>
      <c r="HV1559" s="110"/>
      <c r="HW1559" s="110"/>
      <c r="HX1559" s="110"/>
      <c r="HY1559" s="110"/>
      <c r="HZ1559" s="110"/>
      <c r="IA1559" s="110"/>
      <c r="IB1559" s="110"/>
      <c r="IC1559" s="110"/>
      <c r="ID1559" s="110"/>
      <c r="IE1559" s="110"/>
      <c r="IF1559" s="110"/>
      <c r="IG1559" s="110"/>
      <c r="IH1559" s="110"/>
      <c r="II1559" s="110"/>
      <c r="IJ1559" s="110"/>
      <c r="IK1559" s="110"/>
      <c r="IL1559" s="110"/>
      <c r="IM1559" s="110"/>
      <c r="IN1559" s="110"/>
      <c r="IO1559" s="110"/>
      <c r="IP1559" s="110"/>
      <c r="IQ1559" s="110"/>
      <c r="IR1559" s="110"/>
    </row>
    <row r="1560" spans="18:252" ht="16.5" hidden="1" customHeight="1">
      <c r="R1560" s="264"/>
      <c r="S1560" s="110"/>
      <c r="T1560" s="110"/>
      <c r="U1560" s="110"/>
      <c r="V1560" s="110"/>
      <c r="W1560" s="266"/>
      <c r="X1560" s="110"/>
      <c r="Y1560" s="110"/>
      <c r="Z1560" s="110"/>
      <c r="AA1560" s="110"/>
      <c r="AB1560" s="110"/>
      <c r="AC1560" s="110"/>
      <c r="AD1560" s="110"/>
      <c r="AE1560" s="110"/>
      <c r="AF1560" s="110"/>
      <c r="AG1560" s="110"/>
      <c r="AH1560" s="110"/>
      <c r="AI1560" s="110"/>
      <c r="AJ1560" s="110"/>
      <c r="AK1560" s="110"/>
      <c r="AL1560" s="110"/>
      <c r="AM1560" s="110"/>
      <c r="AN1560" s="110"/>
      <c r="AO1560" s="110"/>
      <c r="AP1560" s="110"/>
      <c r="AQ1560" s="110"/>
      <c r="AR1560" s="110"/>
      <c r="AS1560" s="110"/>
      <c r="AT1560" s="110"/>
      <c r="AU1560" s="110"/>
      <c r="AV1560" s="110"/>
      <c r="AW1560" s="110"/>
      <c r="AX1560" s="110"/>
      <c r="AY1560" s="110"/>
      <c r="AZ1560" s="110"/>
      <c r="BA1560" s="110"/>
      <c r="BB1560" s="110"/>
      <c r="BC1560" s="110"/>
      <c r="BD1560" s="110"/>
      <c r="BE1560" s="110"/>
      <c r="BF1560" s="110"/>
      <c r="BG1560" s="110"/>
      <c r="BH1560" s="110"/>
      <c r="BI1560" s="110"/>
      <c r="BJ1560" s="110"/>
      <c r="BK1560" s="110"/>
      <c r="BL1560" s="110"/>
      <c r="BM1560" s="110"/>
      <c r="BN1560" s="110"/>
      <c r="BO1560" s="110"/>
      <c r="BP1560" s="110"/>
      <c r="BQ1560" s="110"/>
      <c r="BR1560" s="110"/>
      <c r="BS1560" s="110"/>
      <c r="BT1560" s="110"/>
      <c r="BU1560" s="110"/>
      <c r="BV1560" s="110"/>
      <c r="BW1560" s="110"/>
      <c r="BX1560" s="110"/>
      <c r="BY1560" s="110"/>
      <c r="BZ1560" s="110"/>
      <c r="CA1560" s="110"/>
      <c r="CB1560" s="110"/>
      <c r="CC1560" s="110"/>
      <c r="CD1560" s="110"/>
      <c r="CE1560" s="110"/>
      <c r="CF1560" s="110"/>
      <c r="CG1560" s="110"/>
      <c r="CH1560" s="110"/>
      <c r="CI1560" s="110"/>
      <c r="CJ1560" s="110"/>
      <c r="CK1560" s="110"/>
      <c r="CL1560" s="110"/>
      <c r="CM1560" s="110"/>
      <c r="CN1560" s="110"/>
      <c r="CO1560" s="110"/>
      <c r="CP1560" s="110"/>
      <c r="CQ1560" s="110"/>
      <c r="CR1560" s="110"/>
      <c r="CS1560" s="110"/>
      <c r="CT1560" s="110"/>
      <c r="CU1560" s="110"/>
      <c r="CV1560" s="110"/>
      <c r="CW1560" s="110"/>
      <c r="CX1560" s="110"/>
      <c r="CY1560" s="110"/>
      <c r="CZ1560" s="110"/>
      <c r="DA1560" s="110"/>
      <c r="DB1560" s="110"/>
      <c r="DC1560" s="110"/>
      <c r="DD1560" s="110"/>
      <c r="DE1560" s="110"/>
      <c r="DF1560" s="110"/>
      <c r="DG1560" s="110"/>
      <c r="DH1560" s="110"/>
      <c r="DI1560" s="110"/>
      <c r="DJ1560" s="110"/>
      <c r="DK1560" s="110"/>
      <c r="DL1560" s="110"/>
      <c r="DM1560" s="110"/>
      <c r="DN1560" s="110"/>
      <c r="DO1560" s="110"/>
      <c r="DP1560" s="110"/>
      <c r="DQ1560" s="110"/>
      <c r="DR1560" s="110"/>
      <c r="DS1560" s="110"/>
      <c r="DT1560" s="110"/>
      <c r="DU1560" s="110"/>
      <c r="DV1560" s="110"/>
      <c r="DW1560" s="110"/>
      <c r="DX1560" s="110"/>
      <c r="DY1560" s="110"/>
      <c r="DZ1560" s="110"/>
      <c r="EA1560" s="110"/>
      <c r="EB1560" s="110"/>
      <c r="EC1560" s="110"/>
      <c r="ED1560" s="110"/>
      <c r="EF1560" s="264"/>
      <c r="EG1560" s="110"/>
      <c r="EH1560" s="110"/>
      <c r="EI1560" s="110"/>
      <c r="EJ1560" s="110"/>
      <c r="EK1560" s="266"/>
      <c r="EL1560" s="110"/>
      <c r="EM1560" s="110"/>
      <c r="EN1560" s="110"/>
      <c r="EO1560" s="110"/>
      <c r="EP1560" s="110"/>
      <c r="EQ1560" s="110"/>
      <c r="ER1560" s="110"/>
      <c r="ES1560" s="110"/>
      <c r="ET1560" s="110"/>
      <c r="EU1560" s="110"/>
      <c r="EV1560" s="110"/>
      <c r="EW1560" s="110"/>
      <c r="EX1560" s="110"/>
      <c r="EY1560" s="110"/>
      <c r="EZ1560" s="110"/>
      <c r="FA1560" s="110"/>
      <c r="FB1560" s="110"/>
      <c r="FC1560" s="110"/>
      <c r="FD1560" s="110"/>
      <c r="FE1560" s="110"/>
      <c r="FF1560" s="110"/>
      <c r="FG1560" s="110"/>
      <c r="FH1560" s="110"/>
      <c r="FI1560" s="110"/>
      <c r="FJ1560" s="110"/>
      <c r="FK1560" s="110"/>
      <c r="FL1560" s="110"/>
      <c r="FM1560" s="110"/>
      <c r="FN1560" s="110"/>
      <c r="FO1560" s="110"/>
      <c r="FP1560" s="110"/>
      <c r="FQ1560" s="110"/>
      <c r="FR1560" s="110"/>
      <c r="FS1560" s="110"/>
      <c r="FT1560" s="110"/>
      <c r="FU1560" s="110"/>
      <c r="FV1560" s="110"/>
      <c r="FW1560" s="110"/>
      <c r="FX1560" s="110"/>
      <c r="FY1560" s="110"/>
      <c r="FZ1560" s="110"/>
      <c r="GA1560" s="110"/>
      <c r="GB1560" s="110"/>
      <c r="GC1560" s="110"/>
      <c r="GD1560" s="110"/>
      <c r="GE1560" s="110"/>
      <c r="GF1560" s="110"/>
      <c r="GG1560" s="110"/>
      <c r="GH1560" s="110"/>
      <c r="GI1560" s="110"/>
      <c r="GJ1560" s="110"/>
      <c r="GK1560" s="110"/>
      <c r="GL1560" s="110"/>
      <c r="GM1560" s="110"/>
      <c r="GN1560" s="110"/>
      <c r="GO1560" s="110"/>
      <c r="GP1560" s="110"/>
      <c r="GQ1560" s="110"/>
      <c r="GR1560" s="110"/>
      <c r="GS1560" s="110"/>
      <c r="GT1560" s="110"/>
      <c r="GU1560" s="110"/>
      <c r="GV1560" s="110"/>
      <c r="GW1560" s="110"/>
      <c r="GX1560" s="110"/>
      <c r="GY1560" s="110"/>
      <c r="GZ1560" s="110"/>
      <c r="HA1560" s="110"/>
      <c r="HB1560" s="110"/>
      <c r="HC1560" s="110"/>
      <c r="HD1560" s="110"/>
      <c r="HE1560" s="110"/>
      <c r="HF1560" s="110"/>
      <c r="HG1560" s="110"/>
      <c r="HH1560" s="110"/>
      <c r="HI1560" s="110"/>
      <c r="HJ1560" s="110"/>
      <c r="HK1560" s="110"/>
      <c r="HL1560" s="110"/>
      <c r="HM1560" s="110"/>
      <c r="HN1560" s="110"/>
      <c r="HO1560" s="110"/>
      <c r="HP1560" s="110"/>
      <c r="HQ1560" s="110"/>
      <c r="HR1560" s="110"/>
      <c r="HS1560" s="110"/>
      <c r="HT1560" s="110"/>
      <c r="HU1560" s="110"/>
      <c r="HV1560" s="110"/>
      <c r="HW1560" s="110"/>
      <c r="HX1560" s="110"/>
      <c r="HY1560" s="110"/>
      <c r="HZ1560" s="110"/>
      <c r="IA1560" s="110"/>
      <c r="IB1560" s="110"/>
      <c r="IC1560" s="110"/>
      <c r="ID1560" s="110"/>
      <c r="IE1560" s="110"/>
      <c r="IF1560" s="110"/>
      <c r="IG1560" s="110"/>
      <c r="IH1560" s="110"/>
      <c r="II1560" s="110"/>
      <c r="IJ1560" s="110"/>
      <c r="IK1560" s="110"/>
      <c r="IL1560" s="110"/>
      <c r="IM1560" s="110"/>
      <c r="IN1560" s="110"/>
      <c r="IO1560" s="110"/>
      <c r="IP1560" s="110"/>
      <c r="IQ1560" s="110"/>
      <c r="IR1560" s="110"/>
    </row>
    <row r="1561" spans="18:252" ht="16.5" hidden="1" customHeight="1">
      <c r="R1561" s="264"/>
      <c r="S1561" s="110"/>
      <c r="T1561" s="110"/>
      <c r="U1561" s="110"/>
      <c r="V1561" s="110"/>
      <c r="W1561" s="266"/>
      <c r="X1561" s="110"/>
      <c r="Y1561" s="110"/>
      <c r="Z1561" s="110"/>
      <c r="AA1561" s="110"/>
      <c r="AB1561" s="110"/>
      <c r="AC1561" s="110"/>
      <c r="AD1561" s="110"/>
      <c r="AE1561" s="110"/>
      <c r="AF1561" s="110"/>
      <c r="AG1561" s="110"/>
      <c r="AH1561" s="110"/>
      <c r="AI1561" s="110"/>
      <c r="AJ1561" s="110"/>
      <c r="AK1561" s="110"/>
      <c r="AL1561" s="110"/>
      <c r="AM1561" s="110"/>
      <c r="AN1561" s="110"/>
      <c r="AO1561" s="110"/>
      <c r="AP1561" s="110"/>
      <c r="AQ1561" s="110"/>
      <c r="AR1561" s="110"/>
      <c r="AS1561" s="110"/>
      <c r="AT1561" s="110"/>
      <c r="AU1561" s="110"/>
      <c r="AV1561" s="110"/>
      <c r="AW1561" s="110"/>
      <c r="AX1561" s="110"/>
      <c r="AY1561" s="110"/>
      <c r="AZ1561" s="110"/>
      <c r="BA1561" s="110"/>
      <c r="BB1561" s="110"/>
      <c r="BC1561" s="110"/>
      <c r="BD1561" s="110"/>
      <c r="BE1561" s="110"/>
      <c r="BF1561" s="110"/>
      <c r="BG1561" s="110"/>
      <c r="BH1561" s="110"/>
      <c r="BI1561" s="110"/>
      <c r="BJ1561" s="110"/>
      <c r="BK1561" s="110"/>
      <c r="BL1561" s="110"/>
      <c r="BM1561" s="110"/>
      <c r="BN1561" s="110"/>
      <c r="BO1561" s="110"/>
      <c r="BP1561" s="110"/>
      <c r="BQ1561" s="110"/>
      <c r="BR1561" s="110"/>
      <c r="BS1561" s="110"/>
      <c r="BT1561" s="110"/>
      <c r="BU1561" s="110"/>
      <c r="BV1561" s="110"/>
      <c r="BW1561" s="110"/>
      <c r="BX1561" s="110"/>
      <c r="BY1561" s="110"/>
      <c r="BZ1561" s="110"/>
      <c r="CA1561" s="110"/>
      <c r="CB1561" s="110"/>
      <c r="CC1561" s="110"/>
      <c r="CD1561" s="110"/>
      <c r="CE1561" s="110"/>
      <c r="CF1561" s="110"/>
      <c r="CG1561" s="110"/>
      <c r="CH1561" s="110"/>
      <c r="CI1561" s="110"/>
      <c r="CJ1561" s="110"/>
      <c r="CK1561" s="110"/>
      <c r="CL1561" s="110"/>
      <c r="CM1561" s="110"/>
      <c r="CN1561" s="110"/>
      <c r="CO1561" s="110"/>
      <c r="CP1561" s="110"/>
      <c r="CQ1561" s="110"/>
      <c r="CR1561" s="110"/>
      <c r="CS1561" s="110"/>
      <c r="CT1561" s="110"/>
      <c r="CU1561" s="110"/>
      <c r="CV1561" s="110"/>
      <c r="CW1561" s="110"/>
      <c r="CX1561" s="110"/>
      <c r="CY1561" s="110"/>
      <c r="CZ1561" s="110"/>
      <c r="DA1561" s="110"/>
      <c r="DB1561" s="110"/>
      <c r="DC1561" s="110"/>
      <c r="DD1561" s="110"/>
      <c r="DE1561" s="110"/>
      <c r="DF1561" s="110"/>
      <c r="DG1561" s="110"/>
      <c r="DH1561" s="110"/>
      <c r="DI1561" s="110"/>
      <c r="DJ1561" s="110"/>
      <c r="DK1561" s="110"/>
      <c r="DL1561" s="110"/>
      <c r="DM1561" s="110"/>
      <c r="DN1561" s="110"/>
      <c r="DO1561" s="110"/>
      <c r="DP1561" s="110"/>
      <c r="DQ1561" s="110"/>
      <c r="DR1561" s="110"/>
      <c r="DS1561" s="110"/>
      <c r="DT1561" s="110"/>
      <c r="DU1561" s="110"/>
      <c r="DV1561" s="110"/>
      <c r="DW1561" s="110"/>
      <c r="DX1561" s="110"/>
      <c r="DY1561" s="110"/>
      <c r="DZ1561" s="110"/>
      <c r="EA1561" s="110"/>
      <c r="EB1561" s="110"/>
      <c r="EC1561" s="110"/>
      <c r="ED1561" s="110"/>
      <c r="EF1561" s="264"/>
      <c r="EG1561" s="110"/>
      <c r="EH1561" s="110"/>
      <c r="EI1561" s="110"/>
      <c r="EJ1561" s="110"/>
      <c r="EK1561" s="266"/>
      <c r="EL1561" s="110"/>
      <c r="EM1561" s="110"/>
      <c r="EN1561" s="110"/>
      <c r="EO1561" s="110"/>
      <c r="EP1561" s="110"/>
      <c r="EQ1561" s="110"/>
      <c r="ER1561" s="110"/>
      <c r="ES1561" s="110"/>
      <c r="ET1561" s="110"/>
      <c r="EU1561" s="110"/>
      <c r="EV1561" s="110"/>
      <c r="EW1561" s="110"/>
      <c r="EX1561" s="110"/>
      <c r="EY1561" s="110"/>
      <c r="EZ1561" s="110"/>
      <c r="FA1561" s="110"/>
      <c r="FB1561" s="110"/>
      <c r="FC1561" s="110"/>
      <c r="FD1561" s="110"/>
      <c r="FE1561" s="110"/>
      <c r="FF1561" s="110"/>
      <c r="FG1561" s="110"/>
      <c r="FH1561" s="110"/>
      <c r="FI1561" s="110"/>
      <c r="FJ1561" s="110"/>
      <c r="FK1561" s="110"/>
      <c r="FL1561" s="110"/>
      <c r="FM1561" s="110"/>
      <c r="FN1561" s="110"/>
      <c r="FO1561" s="110"/>
      <c r="FP1561" s="110"/>
      <c r="FQ1561" s="110"/>
      <c r="FR1561" s="110"/>
      <c r="FS1561" s="110"/>
      <c r="FT1561" s="110"/>
      <c r="FU1561" s="110"/>
      <c r="FV1561" s="110"/>
      <c r="FW1561" s="110"/>
      <c r="FX1561" s="110"/>
      <c r="FY1561" s="110"/>
      <c r="FZ1561" s="110"/>
      <c r="GA1561" s="110"/>
      <c r="GB1561" s="110"/>
      <c r="GC1561" s="110"/>
      <c r="GD1561" s="110"/>
      <c r="GE1561" s="110"/>
      <c r="GF1561" s="110"/>
      <c r="GG1561" s="110"/>
      <c r="GH1561" s="110"/>
      <c r="GI1561" s="110"/>
      <c r="GJ1561" s="110"/>
      <c r="GK1561" s="110"/>
      <c r="GL1561" s="110"/>
      <c r="GM1561" s="110"/>
      <c r="GN1561" s="110"/>
      <c r="GO1561" s="110"/>
      <c r="GP1561" s="110"/>
      <c r="GQ1561" s="110"/>
      <c r="GR1561" s="110"/>
      <c r="GS1561" s="110"/>
      <c r="GT1561" s="110"/>
      <c r="GU1561" s="110"/>
      <c r="GV1561" s="110"/>
      <c r="GW1561" s="110"/>
      <c r="GX1561" s="110"/>
      <c r="GY1561" s="110"/>
      <c r="GZ1561" s="110"/>
      <c r="HA1561" s="110"/>
      <c r="HB1561" s="110"/>
      <c r="HC1561" s="110"/>
      <c r="HD1561" s="110"/>
      <c r="HE1561" s="110"/>
      <c r="HF1561" s="110"/>
      <c r="HG1561" s="110"/>
      <c r="HH1561" s="110"/>
      <c r="HI1561" s="110"/>
      <c r="HJ1561" s="110"/>
      <c r="HK1561" s="110"/>
      <c r="HL1561" s="110"/>
      <c r="HM1561" s="110"/>
      <c r="HN1561" s="110"/>
      <c r="HO1561" s="110"/>
      <c r="HP1561" s="110"/>
      <c r="HQ1561" s="110"/>
      <c r="HR1561" s="110"/>
      <c r="HS1561" s="110"/>
      <c r="HT1561" s="110"/>
      <c r="HU1561" s="110"/>
      <c r="HV1561" s="110"/>
      <c r="HW1561" s="110"/>
      <c r="HX1561" s="110"/>
      <c r="HY1561" s="110"/>
      <c r="HZ1561" s="110"/>
      <c r="IA1561" s="110"/>
      <c r="IB1561" s="110"/>
      <c r="IC1561" s="110"/>
      <c r="ID1561" s="110"/>
      <c r="IE1561" s="110"/>
      <c r="IF1561" s="110"/>
      <c r="IG1561" s="110"/>
      <c r="IH1561" s="110"/>
      <c r="II1561" s="110"/>
      <c r="IJ1561" s="110"/>
      <c r="IK1561" s="110"/>
      <c r="IL1561" s="110"/>
      <c r="IM1561" s="110"/>
      <c r="IN1561" s="110"/>
      <c r="IO1561" s="110"/>
      <c r="IP1561" s="110"/>
      <c r="IQ1561" s="110"/>
      <c r="IR1561" s="110"/>
    </row>
    <row r="1562" spans="18:252" ht="16.5" hidden="1" customHeight="1">
      <c r="R1562" s="264"/>
      <c r="S1562" s="110"/>
      <c r="T1562" s="110"/>
      <c r="U1562" s="110"/>
      <c r="V1562" s="110"/>
      <c r="W1562" s="266"/>
      <c r="X1562" s="110"/>
      <c r="Y1562" s="110"/>
      <c r="Z1562" s="110"/>
      <c r="AA1562" s="110"/>
      <c r="AB1562" s="110"/>
      <c r="AC1562" s="110"/>
      <c r="AD1562" s="110"/>
      <c r="AE1562" s="110"/>
      <c r="AF1562" s="110"/>
      <c r="AG1562" s="110"/>
      <c r="AH1562" s="110"/>
      <c r="AI1562" s="110"/>
      <c r="AJ1562" s="110"/>
      <c r="AK1562" s="110"/>
      <c r="AL1562" s="110"/>
      <c r="AM1562" s="110"/>
      <c r="AN1562" s="110"/>
      <c r="AO1562" s="110"/>
      <c r="AP1562" s="110"/>
      <c r="AQ1562" s="110"/>
      <c r="AR1562" s="110"/>
      <c r="AS1562" s="110"/>
      <c r="AT1562" s="110"/>
      <c r="AU1562" s="110"/>
      <c r="AV1562" s="110"/>
      <c r="AW1562" s="110"/>
      <c r="AX1562" s="110"/>
      <c r="AY1562" s="110"/>
      <c r="AZ1562" s="110"/>
      <c r="BA1562" s="110"/>
      <c r="BB1562" s="110"/>
      <c r="BC1562" s="110"/>
      <c r="BD1562" s="110"/>
      <c r="BE1562" s="110"/>
      <c r="BF1562" s="110"/>
      <c r="BG1562" s="110"/>
      <c r="BH1562" s="110"/>
      <c r="BI1562" s="110"/>
      <c r="BJ1562" s="110"/>
      <c r="BK1562" s="110"/>
      <c r="BL1562" s="110"/>
      <c r="BM1562" s="110"/>
      <c r="BN1562" s="110"/>
      <c r="BO1562" s="110"/>
      <c r="BP1562" s="110"/>
      <c r="BQ1562" s="110"/>
      <c r="BR1562" s="110"/>
      <c r="BS1562" s="110"/>
      <c r="BT1562" s="110"/>
      <c r="BU1562" s="110"/>
      <c r="BV1562" s="110"/>
      <c r="BW1562" s="110"/>
      <c r="BX1562" s="110"/>
      <c r="BY1562" s="110"/>
      <c r="BZ1562" s="110"/>
      <c r="CA1562" s="110"/>
      <c r="CB1562" s="110"/>
      <c r="CC1562" s="110"/>
      <c r="CD1562" s="110"/>
      <c r="CE1562" s="110"/>
      <c r="CF1562" s="110"/>
      <c r="CG1562" s="110"/>
      <c r="CH1562" s="110"/>
      <c r="CI1562" s="110"/>
      <c r="CJ1562" s="110"/>
      <c r="CK1562" s="110"/>
      <c r="CL1562" s="110"/>
      <c r="CM1562" s="110"/>
      <c r="CN1562" s="110"/>
      <c r="CO1562" s="110"/>
      <c r="CP1562" s="110"/>
      <c r="CQ1562" s="110"/>
      <c r="CR1562" s="110"/>
      <c r="CS1562" s="110"/>
      <c r="CT1562" s="110"/>
      <c r="CU1562" s="110"/>
      <c r="CV1562" s="110"/>
      <c r="CW1562" s="110"/>
      <c r="CX1562" s="110"/>
      <c r="CY1562" s="110"/>
      <c r="CZ1562" s="110"/>
      <c r="DA1562" s="110"/>
      <c r="DB1562" s="110"/>
      <c r="DC1562" s="110"/>
      <c r="DD1562" s="110"/>
      <c r="DE1562" s="110"/>
      <c r="DF1562" s="110"/>
      <c r="DG1562" s="110"/>
      <c r="DH1562" s="110"/>
      <c r="DI1562" s="110"/>
      <c r="DJ1562" s="110"/>
      <c r="DK1562" s="110"/>
      <c r="DL1562" s="110"/>
      <c r="DM1562" s="110"/>
      <c r="DN1562" s="110"/>
      <c r="DO1562" s="110"/>
      <c r="DP1562" s="110"/>
      <c r="DQ1562" s="110"/>
      <c r="DR1562" s="110"/>
      <c r="DS1562" s="110"/>
      <c r="DT1562" s="110"/>
      <c r="DU1562" s="110"/>
      <c r="DV1562" s="110"/>
      <c r="DW1562" s="110"/>
      <c r="DX1562" s="110"/>
      <c r="DY1562" s="110"/>
      <c r="DZ1562" s="110"/>
      <c r="EA1562" s="110"/>
      <c r="EB1562" s="110"/>
      <c r="EC1562" s="110"/>
      <c r="ED1562" s="110"/>
      <c r="EF1562" s="264"/>
      <c r="EG1562" s="110"/>
      <c r="EH1562" s="110"/>
      <c r="EI1562" s="110"/>
      <c r="EJ1562" s="110"/>
      <c r="EK1562" s="266"/>
      <c r="EL1562" s="110"/>
      <c r="EM1562" s="110"/>
      <c r="EN1562" s="110"/>
      <c r="EO1562" s="110"/>
      <c r="EP1562" s="110"/>
      <c r="EQ1562" s="110"/>
      <c r="ER1562" s="110"/>
      <c r="ES1562" s="110"/>
      <c r="ET1562" s="110"/>
      <c r="EU1562" s="110"/>
      <c r="EV1562" s="110"/>
      <c r="EW1562" s="110"/>
      <c r="EX1562" s="110"/>
      <c r="EY1562" s="110"/>
      <c r="EZ1562" s="110"/>
      <c r="FA1562" s="110"/>
      <c r="FB1562" s="110"/>
      <c r="FC1562" s="110"/>
      <c r="FD1562" s="110"/>
      <c r="FE1562" s="110"/>
      <c r="FF1562" s="110"/>
      <c r="FG1562" s="110"/>
      <c r="FH1562" s="110"/>
      <c r="FI1562" s="110"/>
      <c r="FJ1562" s="110"/>
      <c r="FK1562" s="110"/>
      <c r="FL1562" s="110"/>
      <c r="FM1562" s="110"/>
      <c r="FN1562" s="110"/>
      <c r="FO1562" s="110"/>
      <c r="FP1562" s="110"/>
      <c r="FQ1562" s="110"/>
      <c r="FR1562" s="110"/>
      <c r="FS1562" s="110"/>
      <c r="FT1562" s="110"/>
      <c r="FU1562" s="110"/>
      <c r="FV1562" s="110"/>
      <c r="FW1562" s="110"/>
      <c r="FX1562" s="110"/>
      <c r="FY1562" s="110"/>
      <c r="FZ1562" s="110"/>
      <c r="GA1562" s="110"/>
      <c r="GB1562" s="110"/>
      <c r="GC1562" s="110"/>
      <c r="GD1562" s="110"/>
      <c r="GE1562" s="110"/>
      <c r="GF1562" s="110"/>
      <c r="GG1562" s="110"/>
      <c r="GH1562" s="110"/>
      <c r="GI1562" s="110"/>
      <c r="GJ1562" s="110"/>
      <c r="GK1562" s="110"/>
      <c r="GL1562" s="110"/>
      <c r="GM1562" s="110"/>
      <c r="GN1562" s="110"/>
      <c r="GO1562" s="110"/>
      <c r="GP1562" s="110"/>
      <c r="GQ1562" s="110"/>
      <c r="GR1562" s="110"/>
      <c r="GS1562" s="110"/>
      <c r="GT1562" s="110"/>
      <c r="GU1562" s="110"/>
      <c r="GV1562" s="110"/>
      <c r="GW1562" s="110"/>
      <c r="GX1562" s="110"/>
      <c r="GY1562" s="110"/>
      <c r="GZ1562" s="110"/>
      <c r="HA1562" s="110"/>
      <c r="HB1562" s="110"/>
      <c r="HC1562" s="110"/>
      <c r="HD1562" s="110"/>
      <c r="HE1562" s="110"/>
      <c r="HF1562" s="110"/>
      <c r="HG1562" s="110"/>
      <c r="HH1562" s="110"/>
      <c r="HI1562" s="110"/>
      <c r="HJ1562" s="110"/>
      <c r="HK1562" s="110"/>
      <c r="HL1562" s="110"/>
      <c r="HM1562" s="110"/>
      <c r="HN1562" s="110"/>
      <c r="HO1562" s="110"/>
      <c r="HP1562" s="110"/>
      <c r="HQ1562" s="110"/>
      <c r="HR1562" s="110"/>
      <c r="HS1562" s="110"/>
      <c r="HT1562" s="110"/>
      <c r="HU1562" s="110"/>
      <c r="HV1562" s="110"/>
      <c r="HW1562" s="110"/>
      <c r="HX1562" s="110"/>
      <c r="HY1562" s="110"/>
      <c r="HZ1562" s="110"/>
      <c r="IA1562" s="110"/>
      <c r="IB1562" s="110"/>
      <c r="IC1562" s="110"/>
      <c r="ID1562" s="110"/>
      <c r="IE1562" s="110"/>
      <c r="IF1562" s="110"/>
      <c r="IG1562" s="110"/>
      <c r="IH1562" s="110"/>
      <c r="II1562" s="110"/>
      <c r="IJ1562" s="110"/>
      <c r="IK1562" s="110"/>
      <c r="IL1562" s="110"/>
      <c r="IM1562" s="110"/>
      <c r="IN1562" s="110"/>
      <c r="IO1562" s="110"/>
      <c r="IP1562" s="110"/>
      <c r="IQ1562" s="110"/>
      <c r="IR1562" s="110"/>
    </row>
    <row r="1563" spans="18:252" ht="16.5" hidden="1" customHeight="1">
      <c r="R1563" s="264"/>
      <c r="S1563" s="110"/>
      <c r="T1563" s="110"/>
      <c r="U1563" s="110"/>
      <c r="V1563" s="110"/>
      <c r="W1563" s="266"/>
      <c r="X1563" s="110"/>
      <c r="Y1563" s="110"/>
      <c r="Z1563" s="110"/>
      <c r="AA1563" s="110"/>
      <c r="AB1563" s="110"/>
      <c r="AC1563" s="110"/>
      <c r="AD1563" s="110"/>
      <c r="AE1563" s="110"/>
      <c r="AF1563" s="110"/>
      <c r="AG1563" s="110"/>
      <c r="AH1563" s="110"/>
      <c r="AI1563" s="110"/>
      <c r="AJ1563" s="110"/>
      <c r="AK1563" s="110"/>
      <c r="AL1563" s="110"/>
      <c r="AM1563" s="110"/>
      <c r="AN1563" s="110"/>
      <c r="AO1563" s="110"/>
      <c r="AP1563" s="110"/>
      <c r="AQ1563" s="110"/>
      <c r="AR1563" s="110"/>
      <c r="AS1563" s="110"/>
      <c r="AT1563" s="110"/>
      <c r="AU1563" s="110"/>
      <c r="AV1563" s="110"/>
      <c r="AW1563" s="110"/>
      <c r="AX1563" s="110"/>
      <c r="AY1563" s="110"/>
      <c r="AZ1563" s="110"/>
      <c r="BA1563" s="110"/>
      <c r="BB1563" s="110"/>
      <c r="BC1563" s="110"/>
      <c r="BD1563" s="110"/>
      <c r="BE1563" s="110"/>
      <c r="BF1563" s="110"/>
      <c r="BG1563" s="110"/>
      <c r="BH1563" s="110"/>
      <c r="BI1563" s="110"/>
      <c r="BJ1563" s="110"/>
      <c r="BK1563" s="110"/>
      <c r="BL1563" s="110"/>
      <c r="BM1563" s="110"/>
      <c r="BN1563" s="110"/>
      <c r="BO1563" s="110"/>
      <c r="BP1563" s="110"/>
      <c r="BQ1563" s="110"/>
      <c r="BR1563" s="110"/>
      <c r="BS1563" s="110"/>
      <c r="BT1563" s="110"/>
      <c r="BU1563" s="110"/>
      <c r="BV1563" s="110"/>
      <c r="BW1563" s="110"/>
      <c r="BX1563" s="110"/>
      <c r="BY1563" s="110"/>
      <c r="BZ1563" s="110"/>
      <c r="CA1563" s="110"/>
      <c r="CB1563" s="110"/>
      <c r="CC1563" s="110"/>
      <c r="CD1563" s="110"/>
      <c r="CE1563" s="110"/>
      <c r="CF1563" s="110"/>
      <c r="CG1563" s="110"/>
      <c r="CH1563" s="110"/>
      <c r="CI1563" s="110"/>
      <c r="CJ1563" s="110"/>
      <c r="CK1563" s="110"/>
      <c r="CL1563" s="110"/>
      <c r="CM1563" s="110"/>
      <c r="CN1563" s="110"/>
      <c r="CO1563" s="110"/>
      <c r="CP1563" s="110"/>
      <c r="CQ1563" s="110"/>
      <c r="CR1563" s="110"/>
      <c r="CS1563" s="110"/>
      <c r="CT1563" s="110"/>
      <c r="CU1563" s="110"/>
      <c r="CV1563" s="110"/>
      <c r="CW1563" s="110"/>
      <c r="CX1563" s="110"/>
      <c r="CY1563" s="110"/>
      <c r="CZ1563" s="110"/>
      <c r="DA1563" s="110"/>
      <c r="DB1563" s="110"/>
      <c r="DC1563" s="110"/>
      <c r="DD1563" s="110"/>
      <c r="DE1563" s="110"/>
      <c r="DF1563" s="110"/>
      <c r="DG1563" s="110"/>
      <c r="DH1563" s="110"/>
      <c r="DI1563" s="110"/>
      <c r="DJ1563" s="110"/>
      <c r="DK1563" s="110"/>
      <c r="DL1563" s="110"/>
      <c r="DM1563" s="110"/>
      <c r="DN1563" s="110"/>
      <c r="DO1563" s="110"/>
      <c r="DP1563" s="110"/>
      <c r="DQ1563" s="110"/>
      <c r="DR1563" s="110"/>
      <c r="DS1563" s="110"/>
      <c r="DT1563" s="110"/>
      <c r="DU1563" s="110"/>
      <c r="DV1563" s="110"/>
      <c r="DW1563" s="110"/>
      <c r="DX1563" s="110"/>
      <c r="DY1563" s="110"/>
      <c r="DZ1563" s="110"/>
      <c r="EA1563" s="110"/>
      <c r="EB1563" s="110"/>
      <c r="EC1563" s="110"/>
      <c r="ED1563" s="110"/>
      <c r="EF1563" s="264"/>
      <c r="EG1563" s="110"/>
      <c r="EH1563" s="110"/>
      <c r="EI1563" s="110"/>
      <c r="EJ1563" s="110"/>
      <c r="EK1563" s="266"/>
      <c r="EL1563" s="110"/>
      <c r="EM1563" s="110"/>
      <c r="EN1563" s="110"/>
      <c r="EO1563" s="110"/>
      <c r="EP1563" s="110"/>
      <c r="EQ1563" s="110"/>
      <c r="ER1563" s="110"/>
      <c r="ES1563" s="110"/>
      <c r="ET1563" s="110"/>
      <c r="EU1563" s="110"/>
      <c r="EV1563" s="110"/>
      <c r="EW1563" s="110"/>
      <c r="EX1563" s="110"/>
      <c r="EY1563" s="110"/>
      <c r="EZ1563" s="110"/>
      <c r="FA1563" s="110"/>
      <c r="FB1563" s="110"/>
      <c r="FC1563" s="110"/>
      <c r="FD1563" s="110"/>
      <c r="FE1563" s="110"/>
      <c r="FF1563" s="110"/>
      <c r="FG1563" s="110"/>
      <c r="FH1563" s="110"/>
      <c r="FI1563" s="110"/>
      <c r="FJ1563" s="110"/>
      <c r="FK1563" s="110"/>
      <c r="FL1563" s="110"/>
      <c r="FM1563" s="110"/>
      <c r="FN1563" s="110"/>
      <c r="FO1563" s="110"/>
      <c r="FP1563" s="110"/>
      <c r="FQ1563" s="110"/>
      <c r="FR1563" s="110"/>
      <c r="FS1563" s="110"/>
      <c r="FT1563" s="110"/>
      <c r="FU1563" s="110"/>
      <c r="FV1563" s="110"/>
      <c r="FW1563" s="110"/>
      <c r="FX1563" s="110"/>
      <c r="FY1563" s="110"/>
      <c r="FZ1563" s="110"/>
      <c r="GA1563" s="110"/>
      <c r="GB1563" s="110"/>
      <c r="GC1563" s="110"/>
      <c r="GD1563" s="110"/>
      <c r="GE1563" s="110"/>
      <c r="GF1563" s="110"/>
      <c r="GG1563" s="110"/>
      <c r="GH1563" s="110"/>
      <c r="GI1563" s="110"/>
      <c r="GJ1563" s="110"/>
      <c r="GK1563" s="110"/>
      <c r="GL1563" s="110"/>
      <c r="GM1563" s="110"/>
      <c r="GN1563" s="110"/>
      <c r="GO1563" s="110"/>
      <c r="GP1563" s="110"/>
      <c r="GQ1563" s="110"/>
      <c r="GR1563" s="110"/>
      <c r="GS1563" s="110"/>
      <c r="GT1563" s="110"/>
      <c r="GU1563" s="110"/>
      <c r="GV1563" s="110"/>
      <c r="GW1563" s="110"/>
      <c r="GX1563" s="110"/>
      <c r="GY1563" s="110"/>
      <c r="GZ1563" s="110"/>
      <c r="HA1563" s="110"/>
      <c r="HB1563" s="110"/>
      <c r="HC1563" s="110"/>
      <c r="HD1563" s="110"/>
      <c r="HE1563" s="110"/>
      <c r="HF1563" s="110"/>
      <c r="HG1563" s="110"/>
      <c r="HH1563" s="110"/>
      <c r="HI1563" s="110"/>
      <c r="HJ1563" s="110"/>
      <c r="HK1563" s="110"/>
      <c r="HL1563" s="110"/>
      <c r="HM1563" s="110"/>
      <c r="HN1563" s="110"/>
      <c r="HO1563" s="110"/>
      <c r="HP1563" s="110"/>
      <c r="HQ1563" s="110"/>
      <c r="HR1563" s="110"/>
      <c r="HS1563" s="110"/>
      <c r="HT1563" s="110"/>
      <c r="HU1563" s="110"/>
      <c r="HV1563" s="110"/>
      <c r="HW1563" s="110"/>
      <c r="HX1563" s="110"/>
      <c r="HY1563" s="110"/>
      <c r="HZ1563" s="110"/>
      <c r="IA1563" s="110"/>
      <c r="IB1563" s="110"/>
      <c r="IC1563" s="110"/>
      <c r="ID1563" s="110"/>
      <c r="IE1563" s="110"/>
      <c r="IF1563" s="110"/>
      <c r="IG1563" s="110"/>
      <c r="IH1563" s="110"/>
      <c r="II1563" s="110"/>
      <c r="IJ1563" s="110"/>
      <c r="IK1563" s="110"/>
      <c r="IL1563" s="110"/>
      <c r="IM1563" s="110"/>
      <c r="IN1563" s="110"/>
      <c r="IO1563" s="110"/>
      <c r="IP1563" s="110"/>
      <c r="IQ1563" s="110"/>
      <c r="IR1563" s="110"/>
    </row>
    <row r="1564" spans="18:252" ht="16.5" hidden="1" customHeight="1">
      <c r="R1564" s="264"/>
      <c r="S1564" s="110"/>
      <c r="T1564" s="110"/>
      <c r="U1564" s="110"/>
      <c r="V1564" s="110"/>
      <c r="W1564" s="266"/>
      <c r="X1564" s="110"/>
      <c r="Y1564" s="110"/>
      <c r="Z1564" s="110"/>
      <c r="AA1564" s="110"/>
      <c r="AB1564" s="110"/>
      <c r="AC1564" s="110"/>
      <c r="AD1564" s="110"/>
      <c r="AE1564" s="110"/>
      <c r="AF1564" s="110"/>
      <c r="AG1564" s="110"/>
      <c r="AH1564" s="110"/>
      <c r="AI1564" s="110"/>
      <c r="AJ1564" s="110"/>
      <c r="AK1564" s="110"/>
      <c r="AL1564" s="110"/>
      <c r="AM1564" s="110"/>
      <c r="AN1564" s="110"/>
      <c r="AO1564" s="110"/>
      <c r="AP1564" s="110"/>
      <c r="AQ1564" s="110"/>
      <c r="AR1564" s="110"/>
      <c r="AS1564" s="110"/>
      <c r="AT1564" s="110"/>
      <c r="AU1564" s="110"/>
      <c r="AV1564" s="110"/>
      <c r="AW1564" s="110"/>
      <c r="AX1564" s="110"/>
      <c r="AY1564" s="110"/>
      <c r="AZ1564" s="110"/>
      <c r="BA1564" s="110"/>
      <c r="BB1564" s="110"/>
      <c r="BC1564" s="110"/>
      <c r="BD1564" s="110"/>
      <c r="BE1564" s="110"/>
      <c r="BF1564" s="110"/>
      <c r="BG1564" s="110"/>
      <c r="BH1564" s="110"/>
      <c r="BI1564" s="110"/>
      <c r="BJ1564" s="110"/>
      <c r="BK1564" s="110"/>
      <c r="BL1564" s="110"/>
      <c r="BM1564" s="110"/>
      <c r="BN1564" s="110"/>
      <c r="BO1564" s="110"/>
      <c r="BP1564" s="110"/>
      <c r="BQ1564" s="110"/>
      <c r="BR1564" s="110"/>
      <c r="BS1564" s="110"/>
      <c r="BT1564" s="110"/>
      <c r="BU1564" s="110"/>
      <c r="BV1564" s="110"/>
      <c r="BW1564" s="110"/>
      <c r="BX1564" s="110"/>
      <c r="BY1564" s="110"/>
      <c r="BZ1564" s="110"/>
      <c r="CA1564" s="110"/>
      <c r="CB1564" s="110"/>
      <c r="CC1564" s="110"/>
      <c r="CD1564" s="110"/>
      <c r="CE1564" s="110"/>
      <c r="CF1564" s="110"/>
      <c r="CG1564" s="110"/>
      <c r="CH1564" s="110"/>
      <c r="CI1564" s="110"/>
      <c r="CJ1564" s="110"/>
      <c r="CK1564" s="110"/>
      <c r="CL1564" s="110"/>
      <c r="CM1564" s="110"/>
      <c r="CN1564" s="110"/>
      <c r="CO1564" s="110"/>
      <c r="CP1564" s="110"/>
      <c r="CQ1564" s="110"/>
      <c r="CR1564" s="110"/>
      <c r="CS1564" s="110"/>
      <c r="CT1564" s="110"/>
      <c r="CU1564" s="110"/>
      <c r="CV1564" s="110"/>
      <c r="CW1564" s="110"/>
      <c r="CX1564" s="110"/>
      <c r="CY1564" s="110"/>
      <c r="CZ1564" s="110"/>
      <c r="DA1564" s="110"/>
      <c r="DB1564" s="110"/>
      <c r="DC1564" s="110"/>
      <c r="DD1564" s="110"/>
      <c r="DE1564" s="110"/>
      <c r="DF1564" s="110"/>
      <c r="DG1564" s="110"/>
      <c r="DH1564" s="110"/>
      <c r="DI1564" s="110"/>
      <c r="DJ1564" s="110"/>
      <c r="DK1564" s="110"/>
      <c r="DL1564" s="110"/>
      <c r="DM1564" s="110"/>
      <c r="DN1564" s="110"/>
      <c r="DO1564" s="110"/>
      <c r="DP1564" s="110"/>
      <c r="DQ1564" s="110"/>
      <c r="DR1564" s="110"/>
      <c r="DS1564" s="110"/>
      <c r="DT1564" s="110"/>
      <c r="DU1564" s="110"/>
      <c r="DV1564" s="110"/>
      <c r="DW1564" s="110"/>
      <c r="DX1564" s="110"/>
      <c r="DY1564" s="110"/>
      <c r="DZ1564" s="110"/>
      <c r="EA1564" s="110"/>
      <c r="EB1564" s="110"/>
      <c r="EC1564" s="110"/>
      <c r="ED1564" s="110"/>
      <c r="EF1564" s="264"/>
      <c r="EG1564" s="110"/>
      <c r="EH1564" s="110"/>
      <c r="EI1564" s="110"/>
      <c r="EJ1564" s="110"/>
      <c r="EK1564" s="266"/>
      <c r="EL1564" s="110"/>
      <c r="EM1564" s="110"/>
      <c r="EN1564" s="110"/>
      <c r="EO1564" s="110"/>
      <c r="EP1564" s="110"/>
      <c r="EQ1564" s="110"/>
      <c r="ER1564" s="110"/>
      <c r="ES1564" s="110"/>
      <c r="ET1564" s="110"/>
      <c r="EU1564" s="110"/>
      <c r="EV1564" s="110"/>
      <c r="EW1564" s="110"/>
      <c r="EX1564" s="110"/>
      <c r="EY1564" s="110"/>
      <c r="EZ1564" s="110"/>
      <c r="FA1564" s="110"/>
      <c r="FB1564" s="110"/>
      <c r="FC1564" s="110"/>
      <c r="FD1564" s="110"/>
      <c r="FE1564" s="110"/>
      <c r="FF1564" s="110"/>
      <c r="FG1564" s="110"/>
      <c r="FH1564" s="110"/>
      <c r="FI1564" s="110"/>
      <c r="FJ1564" s="110"/>
      <c r="FK1564" s="110"/>
      <c r="FL1564" s="110"/>
      <c r="FM1564" s="110"/>
      <c r="FN1564" s="110"/>
      <c r="FO1564" s="110"/>
      <c r="FP1564" s="110"/>
      <c r="FQ1564" s="110"/>
      <c r="FR1564" s="110"/>
      <c r="FS1564" s="110"/>
      <c r="FT1564" s="110"/>
      <c r="FU1564" s="110"/>
      <c r="FV1564" s="110"/>
      <c r="FW1564" s="110"/>
      <c r="FX1564" s="110"/>
      <c r="FY1564" s="110"/>
      <c r="FZ1564" s="110"/>
      <c r="GA1564" s="110"/>
      <c r="GB1564" s="110"/>
      <c r="GC1564" s="110"/>
      <c r="GD1564" s="110"/>
      <c r="GE1564" s="110"/>
      <c r="GF1564" s="110"/>
      <c r="GG1564" s="110"/>
      <c r="GH1564" s="110"/>
      <c r="GI1564" s="110"/>
      <c r="GJ1564" s="110"/>
      <c r="GK1564" s="110"/>
      <c r="GL1564" s="110"/>
      <c r="GM1564" s="110"/>
      <c r="GN1564" s="110"/>
      <c r="GO1564" s="110"/>
      <c r="GP1564" s="110"/>
      <c r="GQ1564" s="110"/>
      <c r="GR1564" s="110"/>
      <c r="GS1564" s="110"/>
      <c r="GT1564" s="110"/>
      <c r="GU1564" s="110"/>
      <c r="GV1564" s="110"/>
      <c r="GW1564" s="110"/>
      <c r="GX1564" s="110"/>
      <c r="GY1564" s="110"/>
      <c r="GZ1564" s="110"/>
      <c r="HA1564" s="110"/>
      <c r="HB1564" s="110"/>
      <c r="HC1564" s="110"/>
      <c r="HD1564" s="110"/>
      <c r="HE1564" s="110"/>
      <c r="HF1564" s="110"/>
      <c r="HG1564" s="110"/>
      <c r="HH1564" s="110"/>
      <c r="HI1564" s="110"/>
      <c r="HJ1564" s="110"/>
      <c r="HK1564" s="110"/>
      <c r="HL1564" s="110"/>
      <c r="HM1564" s="110"/>
      <c r="HN1564" s="110"/>
      <c r="HO1564" s="110"/>
      <c r="HP1564" s="110"/>
      <c r="HQ1564" s="110"/>
      <c r="HR1564" s="110"/>
      <c r="HS1564" s="110"/>
      <c r="HT1564" s="110"/>
      <c r="HU1564" s="110"/>
      <c r="HV1564" s="110"/>
      <c r="HW1564" s="110"/>
      <c r="HX1564" s="110"/>
      <c r="HY1564" s="110"/>
      <c r="HZ1564" s="110"/>
      <c r="IA1564" s="110"/>
      <c r="IB1564" s="110"/>
      <c r="IC1564" s="110"/>
      <c r="ID1564" s="110"/>
      <c r="IE1564" s="110"/>
      <c r="IF1564" s="110"/>
      <c r="IG1564" s="110"/>
      <c r="IH1564" s="110"/>
      <c r="II1564" s="110"/>
      <c r="IJ1564" s="110"/>
      <c r="IK1564" s="110"/>
      <c r="IL1564" s="110"/>
      <c r="IM1564" s="110"/>
      <c r="IN1564" s="110"/>
      <c r="IO1564" s="110"/>
      <c r="IP1564" s="110"/>
      <c r="IQ1564" s="110"/>
      <c r="IR1564" s="110"/>
    </row>
    <row r="1565" spans="18:252" ht="16.5" hidden="1" customHeight="1">
      <c r="R1565" s="264"/>
      <c r="S1565" s="110"/>
      <c r="T1565" s="110"/>
      <c r="U1565" s="110"/>
      <c r="V1565" s="110"/>
      <c r="W1565" s="266"/>
      <c r="X1565" s="110"/>
      <c r="Y1565" s="110"/>
      <c r="Z1565" s="110"/>
      <c r="AA1565" s="110"/>
      <c r="AB1565" s="110"/>
      <c r="AC1565" s="110"/>
      <c r="AD1565" s="110"/>
      <c r="AE1565" s="110"/>
      <c r="AF1565" s="110"/>
      <c r="AG1565" s="110"/>
      <c r="AH1565" s="110"/>
      <c r="AI1565" s="110"/>
      <c r="AJ1565" s="110"/>
      <c r="AK1565" s="110"/>
      <c r="AL1565" s="110"/>
      <c r="AM1565" s="110"/>
      <c r="AN1565" s="110"/>
      <c r="AO1565" s="110"/>
      <c r="AP1565" s="110"/>
      <c r="AQ1565" s="110"/>
      <c r="AR1565" s="110"/>
      <c r="AS1565" s="110"/>
      <c r="AT1565" s="110"/>
      <c r="AU1565" s="110"/>
      <c r="AV1565" s="110"/>
      <c r="AW1565" s="110"/>
      <c r="AX1565" s="110"/>
      <c r="AY1565" s="110"/>
      <c r="AZ1565" s="110"/>
      <c r="BA1565" s="110"/>
      <c r="BB1565" s="110"/>
      <c r="BC1565" s="110"/>
      <c r="BD1565" s="110"/>
      <c r="BE1565" s="110"/>
      <c r="BF1565" s="110"/>
      <c r="BG1565" s="110"/>
      <c r="BH1565" s="110"/>
      <c r="BI1565" s="110"/>
      <c r="BJ1565" s="110"/>
      <c r="BK1565" s="110"/>
      <c r="BL1565" s="110"/>
      <c r="BM1565" s="110"/>
      <c r="BN1565" s="110"/>
      <c r="BO1565" s="110"/>
      <c r="BP1565" s="110"/>
      <c r="BQ1565" s="110"/>
      <c r="BR1565" s="110"/>
      <c r="BS1565" s="110"/>
      <c r="BT1565" s="110"/>
      <c r="BU1565" s="110"/>
      <c r="BV1565" s="110"/>
      <c r="BW1565" s="110"/>
      <c r="BX1565" s="110"/>
      <c r="BY1565" s="110"/>
      <c r="BZ1565" s="110"/>
      <c r="CA1565" s="110"/>
      <c r="CB1565" s="110"/>
      <c r="CC1565" s="110"/>
      <c r="CD1565" s="110"/>
      <c r="CE1565" s="110"/>
      <c r="CF1565" s="110"/>
      <c r="CG1565" s="110"/>
      <c r="CH1565" s="110"/>
      <c r="CI1565" s="110"/>
      <c r="CJ1565" s="110"/>
      <c r="CK1565" s="110"/>
      <c r="CL1565" s="110"/>
      <c r="CM1565" s="110"/>
      <c r="CN1565" s="110"/>
      <c r="CO1565" s="110"/>
      <c r="CP1565" s="110"/>
      <c r="CQ1565" s="110"/>
      <c r="CR1565" s="110"/>
      <c r="CS1565" s="110"/>
      <c r="CT1565" s="110"/>
      <c r="CU1565" s="110"/>
      <c r="CV1565" s="110"/>
      <c r="CW1565" s="110"/>
      <c r="CX1565" s="110"/>
      <c r="CY1565" s="110"/>
      <c r="CZ1565" s="110"/>
      <c r="DA1565" s="110"/>
      <c r="DB1565" s="110"/>
      <c r="DC1565" s="110"/>
      <c r="DD1565" s="110"/>
      <c r="DE1565" s="110"/>
      <c r="DF1565" s="110"/>
      <c r="DG1565" s="110"/>
      <c r="DH1565" s="110"/>
      <c r="DI1565" s="110"/>
      <c r="DJ1565" s="110"/>
      <c r="DK1565" s="110"/>
      <c r="DL1565" s="110"/>
      <c r="DM1565" s="110"/>
      <c r="DN1565" s="110"/>
      <c r="DO1565" s="110"/>
      <c r="DP1565" s="110"/>
      <c r="DQ1565" s="110"/>
      <c r="DR1565" s="110"/>
      <c r="DS1565" s="110"/>
      <c r="DT1565" s="110"/>
      <c r="DU1565" s="110"/>
      <c r="DV1565" s="110"/>
      <c r="DW1565" s="110"/>
      <c r="DX1565" s="110"/>
      <c r="DY1565" s="110"/>
      <c r="DZ1565" s="110"/>
      <c r="EA1565" s="110"/>
      <c r="EB1565" s="110"/>
      <c r="EC1565" s="110"/>
      <c r="ED1565" s="110"/>
      <c r="EF1565" s="264"/>
      <c r="EG1565" s="110"/>
      <c r="EH1565" s="110"/>
      <c r="EI1565" s="110"/>
      <c r="EJ1565" s="110"/>
      <c r="EK1565" s="266"/>
      <c r="EL1565" s="110"/>
      <c r="EM1565" s="110"/>
      <c r="EN1565" s="110"/>
      <c r="EO1565" s="110"/>
      <c r="EP1565" s="110"/>
      <c r="EQ1565" s="110"/>
      <c r="ER1565" s="110"/>
      <c r="ES1565" s="110"/>
      <c r="ET1565" s="110"/>
      <c r="EU1565" s="110"/>
      <c r="EV1565" s="110"/>
      <c r="EW1565" s="110"/>
      <c r="EX1565" s="110"/>
      <c r="EY1565" s="110"/>
      <c r="EZ1565" s="110"/>
      <c r="FA1565" s="110"/>
      <c r="FB1565" s="110"/>
      <c r="FC1565" s="110"/>
      <c r="FD1565" s="110"/>
      <c r="FE1565" s="110"/>
      <c r="FF1565" s="110"/>
      <c r="FG1565" s="110"/>
      <c r="FH1565" s="110"/>
      <c r="FI1565" s="110"/>
      <c r="FJ1565" s="110"/>
      <c r="FK1565" s="110"/>
      <c r="FL1565" s="110"/>
      <c r="FM1565" s="110"/>
      <c r="FN1565" s="110"/>
      <c r="FO1565" s="110"/>
      <c r="FP1565" s="110"/>
      <c r="FQ1565" s="110"/>
      <c r="FR1565" s="110"/>
      <c r="FS1565" s="110"/>
      <c r="FT1565" s="110"/>
      <c r="FU1565" s="110"/>
      <c r="FV1565" s="110"/>
      <c r="FW1565" s="110"/>
      <c r="FX1565" s="110"/>
      <c r="FY1565" s="110"/>
      <c r="FZ1565" s="110"/>
      <c r="GA1565" s="110"/>
      <c r="GB1565" s="110"/>
      <c r="GC1565" s="110"/>
      <c r="GD1565" s="110"/>
      <c r="GE1565" s="110"/>
      <c r="GF1565" s="110"/>
      <c r="GG1565" s="110"/>
      <c r="GH1565" s="110"/>
      <c r="GI1565" s="110"/>
      <c r="GJ1565" s="110"/>
      <c r="GK1565" s="110"/>
      <c r="GL1565" s="110"/>
      <c r="GM1565" s="110"/>
      <c r="GN1565" s="110"/>
      <c r="GO1565" s="110"/>
      <c r="GP1565" s="110"/>
      <c r="GQ1565" s="110"/>
      <c r="GR1565" s="110"/>
      <c r="GS1565" s="110"/>
      <c r="GT1565" s="110"/>
      <c r="GU1565" s="110"/>
      <c r="GV1565" s="110"/>
      <c r="GW1565" s="110"/>
      <c r="GX1565" s="110"/>
      <c r="GY1565" s="110"/>
      <c r="GZ1565" s="110"/>
      <c r="HA1565" s="110"/>
      <c r="HB1565" s="110"/>
      <c r="HC1565" s="110"/>
      <c r="HD1565" s="110"/>
      <c r="HE1565" s="110"/>
      <c r="HF1565" s="110"/>
      <c r="HG1565" s="110"/>
      <c r="HH1565" s="110"/>
      <c r="HI1565" s="110"/>
      <c r="HJ1565" s="110"/>
      <c r="HK1565" s="110"/>
      <c r="HL1565" s="110"/>
      <c r="HM1565" s="110"/>
      <c r="HN1565" s="110"/>
      <c r="HO1565" s="110"/>
      <c r="HP1565" s="110"/>
      <c r="HQ1565" s="110"/>
      <c r="HR1565" s="110"/>
      <c r="HS1565" s="110"/>
      <c r="HT1565" s="110"/>
      <c r="HU1565" s="110"/>
      <c r="HV1565" s="110"/>
      <c r="HW1565" s="110"/>
      <c r="HX1565" s="110"/>
      <c r="HY1565" s="110"/>
      <c r="HZ1565" s="110"/>
      <c r="IA1565" s="110"/>
      <c r="IB1565" s="110"/>
      <c r="IC1565" s="110"/>
      <c r="ID1565" s="110"/>
      <c r="IE1565" s="110"/>
      <c r="IF1565" s="110"/>
      <c r="IG1565" s="110"/>
      <c r="IH1565" s="110"/>
      <c r="II1565" s="110"/>
      <c r="IJ1565" s="110"/>
      <c r="IK1565" s="110"/>
      <c r="IL1565" s="110"/>
      <c r="IM1565" s="110"/>
      <c r="IN1565" s="110"/>
      <c r="IO1565" s="110"/>
      <c r="IP1565" s="110"/>
      <c r="IQ1565" s="110"/>
      <c r="IR1565" s="110"/>
    </row>
    <row r="1566" spans="18:252" ht="16.5" hidden="1" customHeight="1">
      <c r="R1566" s="264"/>
      <c r="S1566" s="110"/>
      <c r="T1566" s="110"/>
      <c r="U1566" s="110"/>
      <c r="V1566" s="110"/>
      <c r="W1566" s="266"/>
      <c r="X1566" s="110"/>
      <c r="Y1566" s="110"/>
      <c r="Z1566" s="110"/>
      <c r="AA1566" s="110"/>
      <c r="AB1566" s="110"/>
      <c r="AC1566" s="110"/>
      <c r="AD1566" s="110"/>
      <c r="AE1566" s="110"/>
      <c r="AF1566" s="110"/>
      <c r="AG1566" s="110"/>
      <c r="AH1566" s="110"/>
      <c r="AI1566" s="110"/>
      <c r="AJ1566" s="110"/>
      <c r="AK1566" s="110"/>
      <c r="AL1566" s="110"/>
      <c r="AM1566" s="110"/>
      <c r="AN1566" s="110"/>
      <c r="AO1566" s="110"/>
      <c r="AP1566" s="110"/>
      <c r="AQ1566" s="110"/>
      <c r="AR1566" s="110"/>
      <c r="AS1566" s="110"/>
      <c r="AT1566" s="110"/>
      <c r="AU1566" s="110"/>
      <c r="AV1566" s="110"/>
      <c r="AW1566" s="110"/>
      <c r="AX1566" s="110"/>
      <c r="AY1566" s="110"/>
      <c r="AZ1566" s="110"/>
      <c r="BA1566" s="110"/>
      <c r="BB1566" s="110"/>
      <c r="BC1566" s="110"/>
      <c r="BD1566" s="110"/>
      <c r="BE1566" s="110"/>
      <c r="BF1566" s="110"/>
      <c r="BG1566" s="110"/>
      <c r="BH1566" s="110"/>
      <c r="BI1566" s="110"/>
      <c r="BJ1566" s="110"/>
      <c r="BK1566" s="110"/>
      <c r="BL1566" s="110"/>
      <c r="BM1566" s="110"/>
      <c r="BN1566" s="110"/>
      <c r="BO1566" s="110"/>
      <c r="BP1566" s="110"/>
      <c r="BQ1566" s="110"/>
      <c r="BR1566" s="110"/>
      <c r="BS1566" s="110"/>
      <c r="BT1566" s="110"/>
      <c r="BU1566" s="110"/>
      <c r="BV1566" s="110"/>
      <c r="BW1566" s="110"/>
      <c r="BX1566" s="110"/>
      <c r="BY1566" s="110"/>
      <c r="BZ1566" s="110"/>
      <c r="CA1566" s="110"/>
      <c r="CB1566" s="110"/>
      <c r="CC1566" s="110"/>
      <c r="CD1566" s="110"/>
      <c r="CE1566" s="110"/>
      <c r="CF1566" s="110"/>
      <c r="CG1566" s="110"/>
      <c r="CH1566" s="110"/>
      <c r="CI1566" s="110"/>
      <c r="CJ1566" s="110"/>
      <c r="CK1566" s="110"/>
      <c r="CL1566" s="110"/>
      <c r="CM1566" s="110"/>
      <c r="CN1566" s="110"/>
      <c r="CO1566" s="110"/>
      <c r="CP1566" s="110"/>
      <c r="CQ1566" s="110"/>
      <c r="CR1566" s="110"/>
      <c r="CS1566" s="110"/>
      <c r="CT1566" s="110"/>
      <c r="CU1566" s="110"/>
      <c r="CV1566" s="110"/>
      <c r="CW1566" s="110"/>
      <c r="CX1566" s="110"/>
      <c r="CY1566" s="110"/>
      <c r="CZ1566" s="110"/>
      <c r="DA1566" s="110"/>
      <c r="DB1566" s="110"/>
      <c r="DC1566" s="110"/>
      <c r="DD1566" s="110"/>
      <c r="DE1566" s="110"/>
      <c r="DF1566" s="110"/>
      <c r="DG1566" s="110"/>
      <c r="DH1566" s="110"/>
      <c r="DI1566" s="110"/>
      <c r="DJ1566" s="110"/>
      <c r="DK1566" s="110"/>
      <c r="DL1566" s="110"/>
      <c r="DM1566" s="110"/>
      <c r="DN1566" s="110"/>
      <c r="DO1566" s="110"/>
      <c r="DP1566" s="110"/>
      <c r="DQ1566" s="110"/>
      <c r="DR1566" s="110"/>
      <c r="DS1566" s="110"/>
      <c r="DT1566" s="110"/>
      <c r="DU1566" s="110"/>
      <c r="DV1566" s="110"/>
      <c r="DW1566" s="110"/>
      <c r="DX1566" s="110"/>
      <c r="DY1566" s="110"/>
      <c r="DZ1566" s="110"/>
      <c r="EA1566" s="110"/>
      <c r="EB1566" s="110"/>
      <c r="EC1566" s="110"/>
      <c r="ED1566" s="110"/>
      <c r="EF1566" s="264"/>
      <c r="EG1566" s="110"/>
      <c r="EH1566" s="110"/>
      <c r="EI1566" s="110"/>
      <c r="EJ1566" s="110"/>
      <c r="EK1566" s="266"/>
      <c r="EL1566" s="110"/>
      <c r="EM1566" s="110"/>
      <c r="EN1566" s="110"/>
      <c r="EO1566" s="110"/>
      <c r="EP1566" s="110"/>
      <c r="EQ1566" s="110"/>
      <c r="ER1566" s="110"/>
      <c r="ES1566" s="110"/>
      <c r="ET1566" s="110"/>
      <c r="EU1566" s="110"/>
      <c r="EV1566" s="110"/>
      <c r="EW1566" s="110"/>
      <c r="EX1566" s="110"/>
      <c r="EY1566" s="110"/>
      <c r="EZ1566" s="110"/>
      <c r="FA1566" s="110"/>
      <c r="FB1566" s="110"/>
      <c r="FC1566" s="110"/>
      <c r="FD1566" s="110"/>
      <c r="FE1566" s="110"/>
      <c r="FF1566" s="110"/>
      <c r="FG1566" s="110"/>
      <c r="FH1566" s="110"/>
      <c r="FI1566" s="110"/>
      <c r="FJ1566" s="110"/>
      <c r="FK1566" s="110"/>
      <c r="FL1566" s="110"/>
      <c r="FM1566" s="110"/>
      <c r="FN1566" s="110"/>
      <c r="FO1566" s="110"/>
      <c r="FP1566" s="110"/>
      <c r="FQ1566" s="110"/>
      <c r="FR1566" s="110"/>
      <c r="FS1566" s="110"/>
      <c r="FT1566" s="110"/>
      <c r="FU1566" s="110"/>
      <c r="FV1566" s="110"/>
      <c r="FW1566" s="110"/>
      <c r="FX1566" s="110"/>
      <c r="FY1566" s="110"/>
      <c r="FZ1566" s="110"/>
      <c r="GA1566" s="110"/>
      <c r="GB1566" s="110"/>
      <c r="GC1566" s="110"/>
      <c r="GD1566" s="110"/>
      <c r="GE1566" s="110"/>
      <c r="GF1566" s="110"/>
      <c r="GG1566" s="110"/>
      <c r="GH1566" s="110"/>
      <c r="GI1566" s="110"/>
      <c r="GJ1566" s="110"/>
      <c r="GK1566" s="110"/>
      <c r="GL1566" s="110"/>
      <c r="GM1566" s="110"/>
      <c r="GN1566" s="110"/>
      <c r="GO1566" s="110"/>
      <c r="GP1566" s="110"/>
      <c r="GQ1566" s="110"/>
      <c r="GR1566" s="110"/>
      <c r="GS1566" s="110"/>
      <c r="GT1566" s="110"/>
      <c r="GU1566" s="110"/>
      <c r="GV1566" s="110"/>
      <c r="GW1566" s="110"/>
      <c r="GX1566" s="110"/>
      <c r="GY1566" s="110"/>
      <c r="GZ1566" s="110"/>
      <c r="HA1566" s="110"/>
      <c r="HB1566" s="110"/>
      <c r="HC1566" s="110"/>
      <c r="HD1566" s="110"/>
      <c r="HE1566" s="110"/>
      <c r="HF1566" s="110"/>
      <c r="HG1566" s="110"/>
      <c r="HH1566" s="110"/>
      <c r="HI1566" s="110"/>
      <c r="HJ1566" s="110"/>
      <c r="HK1566" s="110"/>
      <c r="HL1566" s="110"/>
      <c r="HM1566" s="110"/>
      <c r="HN1566" s="110"/>
      <c r="HO1566" s="110"/>
      <c r="HP1566" s="110"/>
      <c r="HQ1566" s="110"/>
      <c r="HR1566" s="110"/>
      <c r="HS1566" s="110"/>
      <c r="HT1566" s="110"/>
      <c r="HU1566" s="110"/>
      <c r="HV1566" s="110"/>
      <c r="HW1566" s="110"/>
      <c r="HX1566" s="110"/>
      <c r="HY1566" s="110"/>
      <c r="HZ1566" s="110"/>
      <c r="IA1566" s="110"/>
      <c r="IB1566" s="110"/>
      <c r="IC1566" s="110"/>
      <c r="ID1566" s="110"/>
      <c r="IE1566" s="110"/>
      <c r="IF1566" s="110"/>
      <c r="IG1566" s="110"/>
      <c r="IH1566" s="110"/>
      <c r="II1566" s="110"/>
      <c r="IJ1566" s="110"/>
      <c r="IK1566" s="110"/>
      <c r="IL1566" s="110"/>
      <c r="IM1566" s="110"/>
      <c r="IN1566" s="110"/>
      <c r="IO1566" s="110"/>
      <c r="IP1566" s="110"/>
      <c r="IQ1566" s="110"/>
      <c r="IR1566" s="110"/>
    </row>
    <row r="1567" spans="18:252" ht="16.5" hidden="1" customHeight="1">
      <c r="R1567" s="264"/>
      <c r="S1567" s="110"/>
      <c r="T1567" s="110"/>
      <c r="U1567" s="110"/>
      <c r="V1567" s="110"/>
      <c r="W1567" s="266"/>
      <c r="X1567" s="110"/>
      <c r="Y1567" s="110"/>
      <c r="Z1567" s="110"/>
      <c r="AA1567" s="110"/>
      <c r="AB1567" s="110"/>
      <c r="AC1567" s="110"/>
      <c r="AD1567" s="110"/>
      <c r="AE1567" s="110"/>
      <c r="AF1567" s="110"/>
      <c r="AG1567" s="110"/>
      <c r="AH1567" s="110"/>
      <c r="AI1567" s="110"/>
      <c r="AJ1567" s="110"/>
      <c r="AK1567" s="110"/>
      <c r="AL1567" s="110"/>
      <c r="AM1567" s="110"/>
      <c r="AN1567" s="110"/>
      <c r="AO1567" s="110"/>
      <c r="AP1567" s="110"/>
      <c r="AQ1567" s="110"/>
      <c r="AR1567" s="110"/>
      <c r="AS1567" s="110"/>
      <c r="AT1567" s="110"/>
      <c r="AU1567" s="110"/>
      <c r="AV1567" s="110"/>
      <c r="AW1567" s="110"/>
      <c r="AX1567" s="110"/>
      <c r="AY1567" s="110"/>
      <c r="AZ1567" s="110"/>
      <c r="BA1567" s="110"/>
      <c r="BB1567" s="110"/>
      <c r="BC1567" s="110"/>
      <c r="BD1567" s="110"/>
      <c r="BE1567" s="110"/>
      <c r="BF1567" s="110"/>
      <c r="BG1567" s="110"/>
      <c r="BH1567" s="110"/>
      <c r="BI1567" s="110"/>
      <c r="BJ1567" s="110"/>
      <c r="BK1567" s="110"/>
      <c r="BL1567" s="110"/>
      <c r="BM1567" s="110"/>
      <c r="BN1567" s="110"/>
      <c r="BO1567" s="110"/>
      <c r="BP1567" s="110"/>
      <c r="BQ1567" s="110"/>
      <c r="BR1567" s="110"/>
      <c r="BS1567" s="110"/>
      <c r="BT1567" s="110"/>
      <c r="BU1567" s="110"/>
      <c r="BV1567" s="110"/>
      <c r="BW1567" s="110"/>
      <c r="BX1567" s="110"/>
      <c r="BY1567" s="110"/>
      <c r="BZ1567" s="110"/>
      <c r="CA1567" s="110"/>
      <c r="CB1567" s="110"/>
      <c r="CC1567" s="110"/>
      <c r="CD1567" s="110"/>
      <c r="CE1567" s="110"/>
      <c r="CF1567" s="110"/>
      <c r="CG1567" s="110"/>
      <c r="CH1567" s="110"/>
      <c r="CI1567" s="110"/>
      <c r="CJ1567" s="110"/>
      <c r="CK1567" s="110"/>
      <c r="CL1567" s="110"/>
      <c r="CM1567" s="110"/>
      <c r="CN1567" s="110"/>
      <c r="CO1567" s="110"/>
      <c r="CP1567" s="110"/>
      <c r="CQ1567" s="110"/>
      <c r="CR1567" s="110"/>
      <c r="CS1567" s="110"/>
      <c r="CT1567" s="110"/>
      <c r="CU1567" s="110"/>
      <c r="CV1567" s="110"/>
      <c r="CW1567" s="110"/>
      <c r="CX1567" s="110"/>
      <c r="CY1567" s="110"/>
      <c r="CZ1567" s="110"/>
      <c r="DA1567" s="110"/>
      <c r="DB1567" s="110"/>
      <c r="DC1567" s="110"/>
      <c r="DD1567" s="110"/>
      <c r="DE1567" s="110"/>
      <c r="DF1567" s="110"/>
      <c r="DG1567" s="110"/>
      <c r="DH1567" s="110"/>
      <c r="DI1567" s="110"/>
      <c r="DJ1567" s="110"/>
      <c r="DK1567" s="110"/>
      <c r="DL1567" s="110"/>
      <c r="DM1567" s="110"/>
      <c r="DN1567" s="110"/>
      <c r="DO1567" s="110"/>
      <c r="DP1567" s="110"/>
      <c r="DQ1567" s="110"/>
      <c r="DR1567" s="110"/>
      <c r="DS1567" s="110"/>
      <c r="DT1567" s="110"/>
      <c r="DU1567" s="110"/>
      <c r="DV1567" s="110"/>
      <c r="DW1567" s="110"/>
      <c r="DX1567" s="110"/>
      <c r="DY1567" s="110"/>
      <c r="DZ1567" s="110"/>
      <c r="EA1567" s="110"/>
      <c r="EB1567" s="110"/>
      <c r="EC1567" s="110"/>
      <c r="ED1567" s="110"/>
      <c r="EF1567" s="264"/>
      <c r="EG1567" s="110"/>
      <c r="EH1567" s="110"/>
      <c r="EI1567" s="110"/>
      <c r="EJ1567" s="110"/>
      <c r="EK1567" s="266"/>
      <c r="EL1567" s="110"/>
      <c r="EM1567" s="110"/>
      <c r="EN1567" s="110"/>
      <c r="EO1567" s="110"/>
      <c r="EP1567" s="110"/>
      <c r="EQ1567" s="110"/>
      <c r="ER1567" s="110"/>
      <c r="ES1567" s="110"/>
      <c r="ET1567" s="110"/>
      <c r="EU1567" s="110"/>
      <c r="EV1567" s="110"/>
      <c r="EW1567" s="110"/>
      <c r="EX1567" s="110"/>
      <c r="EY1567" s="110"/>
      <c r="EZ1567" s="110"/>
      <c r="FA1567" s="110"/>
      <c r="FB1567" s="110"/>
      <c r="FC1567" s="110"/>
      <c r="FD1567" s="110"/>
      <c r="FE1567" s="110"/>
      <c r="FF1567" s="110"/>
      <c r="FG1567" s="110"/>
      <c r="FH1567" s="110"/>
      <c r="FI1567" s="110"/>
      <c r="FJ1567" s="110"/>
      <c r="FK1567" s="110"/>
      <c r="FL1567" s="110"/>
      <c r="FM1567" s="110"/>
      <c r="FN1567" s="110"/>
      <c r="FO1567" s="110"/>
      <c r="FP1567" s="110"/>
      <c r="FQ1567" s="110"/>
      <c r="FR1567" s="110"/>
      <c r="FS1567" s="110"/>
      <c r="FT1567" s="110"/>
      <c r="FU1567" s="110"/>
      <c r="FV1567" s="110"/>
      <c r="FW1567" s="110"/>
      <c r="FX1567" s="110"/>
      <c r="FY1567" s="110"/>
      <c r="FZ1567" s="110"/>
      <c r="GA1567" s="110"/>
      <c r="GB1567" s="110"/>
      <c r="GC1567" s="110"/>
      <c r="GD1567" s="110"/>
      <c r="GE1567" s="110"/>
      <c r="GF1567" s="110"/>
      <c r="GG1567" s="110"/>
      <c r="GH1567" s="110"/>
      <c r="GI1567" s="110"/>
      <c r="GJ1567" s="110"/>
      <c r="GK1567" s="110"/>
      <c r="GL1567" s="110"/>
      <c r="GM1567" s="110"/>
      <c r="GN1567" s="110"/>
      <c r="GO1567" s="110"/>
      <c r="GP1567" s="110"/>
      <c r="GQ1567" s="110"/>
      <c r="GR1567" s="110"/>
      <c r="GS1567" s="110"/>
      <c r="GT1567" s="110"/>
      <c r="GU1567" s="110"/>
      <c r="GV1567" s="110"/>
      <c r="GW1567" s="110"/>
      <c r="GX1567" s="110"/>
      <c r="GY1567" s="110"/>
      <c r="GZ1567" s="110"/>
      <c r="HA1567" s="110"/>
      <c r="HB1567" s="110"/>
      <c r="HC1567" s="110"/>
      <c r="HD1567" s="110"/>
      <c r="HE1567" s="110"/>
      <c r="HF1567" s="110"/>
      <c r="HG1567" s="110"/>
      <c r="HH1567" s="110"/>
      <c r="HI1567" s="110"/>
      <c r="HJ1567" s="110"/>
      <c r="HK1567" s="110"/>
      <c r="HL1567" s="110"/>
      <c r="HM1567" s="110"/>
      <c r="HN1567" s="110"/>
      <c r="HO1567" s="110"/>
      <c r="HP1567" s="110"/>
      <c r="HQ1567" s="110"/>
      <c r="HR1567" s="110"/>
      <c r="HS1567" s="110"/>
      <c r="HT1567" s="110"/>
      <c r="HU1567" s="110"/>
      <c r="HV1567" s="110"/>
      <c r="HW1567" s="110"/>
      <c r="HX1567" s="110"/>
      <c r="HY1567" s="110"/>
      <c r="HZ1567" s="110"/>
      <c r="IA1567" s="110"/>
      <c r="IB1567" s="110"/>
      <c r="IC1567" s="110"/>
      <c r="ID1567" s="110"/>
      <c r="IE1567" s="110"/>
      <c r="IF1567" s="110"/>
      <c r="IG1567" s="110"/>
      <c r="IH1567" s="110"/>
      <c r="II1567" s="110"/>
      <c r="IJ1567" s="110"/>
      <c r="IK1567" s="110"/>
      <c r="IL1567" s="110"/>
      <c r="IM1567" s="110"/>
      <c r="IN1567" s="110"/>
      <c r="IO1567" s="110"/>
      <c r="IP1567" s="110"/>
      <c r="IQ1567" s="110"/>
      <c r="IR1567" s="110"/>
    </row>
    <row r="1568" spans="18:252" ht="16.5" hidden="1" customHeight="1">
      <c r="R1568" s="264"/>
      <c r="S1568" s="110"/>
      <c r="T1568" s="110"/>
      <c r="U1568" s="110"/>
      <c r="V1568" s="110"/>
      <c r="W1568" s="266"/>
      <c r="X1568" s="110"/>
      <c r="Y1568" s="110"/>
      <c r="Z1568" s="110"/>
      <c r="AA1568" s="110"/>
      <c r="AB1568" s="110"/>
      <c r="AC1568" s="110"/>
      <c r="AD1568" s="110"/>
      <c r="AE1568" s="110"/>
      <c r="AF1568" s="110"/>
      <c r="AG1568" s="110"/>
      <c r="AH1568" s="110"/>
      <c r="AI1568" s="110"/>
      <c r="AJ1568" s="110"/>
      <c r="AK1568" s="110"/>
      <c r="AL1568" s="110"/>
      <c r="AM1568" s="110"/>
      <c r="AN1568" s="110"/>
      <c r="AO1568" s="110"/>
      <c r="AP1568" s="110"/>
      <c r="AQ1568" s="110"/>
      <c r="AR1568" s="110"/>
      <c r="AS1568" s="110"/>
      <c r="AT1568" s="110"/>
      <c r="AU1568" s="110"/>
      <c r="AV1568" s="110"/>
      <c r="AW1568" s="110"/>
      <c r="AX1568" s="110"/>
      <c r="AY1568" s="110"/>
      <c r="AZ1568" s="110"/>
      <c r="BA1568" s="110"/>
      <c r="BB1568" s="110"/>
      <c r="BC1568" s="110"/>
      <c r="BD1568" s="110"/>
      <c r="BE1568" s="110"/>
      <c r="BF1568" s="110"/>
      <c r="BG1568" s="110"/>
      <c r="BH1568" s="110"/>
      <c r="BI1568" s="110"/>
      <c r="BJ1568" s="110"/>
      <c r="BK1568" s="110"/>
      <c r="BL1568" s="110"/>
      <c r="BM1568" s="110"/>
      <c r="BN1568" s="110"/>
      <c r="BO1568" s="110"/>
      <c r="BP1568" s="110"/>
      <c r="BQ1568" s="110"/>
      <c r="BR1568" s="110"/>
      <c r="BS1568" s="110"/>
      <c r="BT1568" s="110"/>
      <c r="BU1568" s="110"/>
      <c r="BV1568" s="110"/>
      <c r="BW1568" s="110"/>
      <c r="BX1568" s="110"/>
      <c r="BY1568" s="110"/>
      <c r="BZ1568" s="110"/>
      <c r="CA1568" s="110"/>
      <c r="CB1568" s="110"/>
      <c r="CC1568" s="110"/>
      <c r="CD1568" s="110"/>
      <c r="CE1568" s="110"/>
      <c r="CF1568" s="110"/>
      <c r="CG1568" s="110"/>
      <c r="CH1568" s="110"/>
      <c r="CI1568" s="110"/>
      <c r="CJ1568" s="110"/>
      <c r="CK1568" s="110"/>
      <c r="CL1568" s="110"/>
      <c r="CM1568" s="110"/>
      <c r="CN1568" s="110"/>
      <c r="CO1568" s="110"/>
      <c r="CP1568" s="110"/>
      <c r="CQ1568" s="110"/>
      <c r="CR1568" s="110"/>
      <c r="CS1568" s="110"/>
      <c r="CT1568" s="110"/>
      <c r="CU1568" s="110"/>
      <c r="CV1568" s="110"/>
      <c r="CW1568" s="110"/>
      <c r="CX1568" s="110"/>
      <c r="CY1568" s="110"/>
      <c r="CZ1568" s="110"/>
      <c r="DA1568" s="110"/>
      <c r="DB1568" s="110"/>
      <c r="DC1568" s="110"/>
      <c r="DD1568" s="110"/>
      <c r="DE1568" s="110"/>
      <c r="DF1568" s="110"/>
      <c r="DG1568" s="110"/>
      <c r="DH1568" s="110"/>
      <c r="DI1568" s="110"/>
      <c r="DJ1568" s="110"/>
      <c r="DK1568" s="110"/>
      <c r="DL1568" s="110"/>
      <c r="DM1568" s="110"/>
      <c r="DN1568" s="110"/>
      <c r="DO1568" s="110"/>
      <c r="DP1568" s="110"/>
      <c r="DQ1568" s="110"/>
      <c r="DR1568" s="110"/>
      <c r="DS1568" s="110"/>
      <c r="DT1568" s="110"/>
      <c r="DU1568" s="110"/>
      <c r="DV1568" s="110"/>
      <c r="DW1568" s="110"/>
      <c r="DX1568" s="110"/>
      <c r="DY1568" s="110"/>
      <c r="DZ1568" s="110"/>
      <c r="EA1568" s="110"/>
      <c r="EB1568" s="110"/>
      <c r="EC1568" s="110"/>
      <c r="ED1568" s="110"/>
      <c r="EF1568" s="264"/>
      <c r="EG1568" s="110"/>
      <c r="EH1568" s="110"/>
      <c r="EI1568" s="110"/>
      <c r="EJ1568" s="110"/>
      <c r="EK1568" s="266"/>
      <c r="EL1568" s="110"/>
      <c r="EM1568" s="110"/>
      <c r="EN1568" s="110"/>
      <c r="EO1568" s="110"/>
      <c r="EP1568" s="110"/>
      <c r="EQ1568" s="110"/>
      <c r="ER1568" s="110"/>
      <c r="ES1568" s="110"/>
      <c r="ET1568" s="110"/>
      <c r="EU1568" s="110"/>
      <c r="EV1568" s="110"/>
      <c r="EW1568" s="110"/>
      <c r="EX1568" s="110"/>
      <c r="EY1568" s="110"/>
      <c r="EZ1568" s="110"/>
      <c r="FA1568" s="110"/>
      <c r="FB1568" s="110"/>
      <c r="FC1568" s="110"/>
      <c r="FD1568" s="110"/>
      <c r="FE1568" s="110"/>
      <c r="FF1568" s="110"/>
      <c r="FG1568" s="110"/>
      <c r="FH1568" s="110"/>
      <c r="FI1568" s="110"/>
      <c r="FJ1568" s="110"/>
      <c r="FK1568" s="110"/>
      <c r="FL1568" s="110"/>
      <c r="FM1568" s="110"/>
      <c r="FN1568" s="110"/>
      <c r="FO1568" s="110"/>
      <c r="FP1568" s="110"/>
      <c r="FQ1568" s="110"/>
      <c r="FR1568" s="110"/>
      <c r="FS1568" s="110"/>
      <c r="FT1568" s="110"/>
      <c r="FU1568" s="110"/>
      <c r="FV1568" s="110"/>
      <c r="FW1568" s="110"/>
      <c r="FX1568" s="110"/>
      <c r="FY1568" s="110"/>
      <c r="FZ1568" s="110"/>
      <c r="GA1568" s="110"/>
      <c r="GB1568" s="110"/>
      <c r="GC1568" s="110"/>
      <c r="GD1568" s="110"/>
      <c r="GE1568" s="110"/>
      <c r="GF1568" s="110"/>
      <c r="GG1568" s="110"/>
      <c r="GH1568" s="110"/>
      <c r="GI1568" s="110"/>
      <c r="GJ1568" s="110"/>
      <c r="GK1568" s="110"/>
      <c r="GL1568" s="110"/>
      <c r="GM1568" s="110"/>
      <c r="GN1568" s="110"/>
      <c r="GO1568" s="110"/>
      <c r="GP1568" s="110"/>
      <c r="GQ1568" s="110"/>
      <c r="GR1568" s="110"/>
      <c r="GS1568" s="110"/>
      <c r="GT1568" s="110"/>
      <c r="GU1568" s="110"/>
      <c r="GV1568" s="110"/>
      <c r="GW1568" s="110"/>
      <c r="GX1568" s="110"/>
      <c r="GY1568" s="110"/>
      <c r="GZ1568" s="110"/>
      <c r="HA1568" s="110"/>
      <c r="HB1568" s="110"/>
      <c r="HC1568" s="110"/>
      <c r="HD1568" s="110"/>
      <c r="HE1568" s="110"/>
      <c r="HF1568" s="110"/>
      <c r="HG1568" s="110"/>
      <c r="HH1568" s="110"/>
      <c r="HI1568" s="110"/>
      <c r="HJ1568" s="110"/>
      <c r="HK1568" s="110"/>
      <c r="HL1568" s="110"/>
      <c r="HM1568" s="110"/>
      <c r="HN1568" s="110"/>
      <c r="HO1568" s="110"/>
      <c r="HP1568" s="110"/>
      <c r="HQ1568" s="110"/>
      <c r="HR1568" s="110"/>
      <c r="HS1568" s="110"/>
      <c r="HT1568" s="110"/>
      <c r="HU1568" s="110"/>
      <c r="HV1568" s="110"/>
      <c r="HW1568" s="110"/>
      <c r="HX1568" s="110"/>
      <c r="HY1568" s="110"/>
      <c r="HZ1568" s="110"/>
      <c r="IA1568" s="110"/>
      <c r="IB1568" s="110"/>
      <c r="IC1568" s="110"/>
      <c r="ID1568" s="110"/>
      <c r="IE1568" s="110"/>
      <c r="IF1568" s="110"/>
      <c r="IG1568" s="110"/>
      <c r="IH1568" s="110"/>
      <c r="II1568" s="110"/>
      <c r="IJ1568" s="110"/>
      <c r="IK1568" s="110"/>
      <c r="IL1568" s="110"/>
      <c r="IM1568" s="110"/>
      <c r="IN1568" s="110"/>
      <c r="IO1568" s="110"/>
      <c r="IP1568" s="110"/>
      <c r="IQ1568" s="110"/>
      <c r="IR1568" s="110"/>
    </row>
    <row r="1569" spans="18:252" ht="16.5" hidden="1" customHeight="1">
      <c r="R1569" s="264"/>
      <c r="S1569" s="110"/>
      <c r="T1569" s="110"/>
      <c r="U1569" s="110"/>
      <c r="V1569" s="110"/>
      <c r="W1569" s="266"/>
      <c r="X1569" s="110"/>
      <c r="Y1569" s="110"/>
      <c r="Z1569" s="110"/>
      <c r="AA1569" s="110"/>
      <c r="AB1569" s="110"/>
      <c r="AC1569" s="110"/>
      <c r="AD1569" s="110"/>
      <c r="AE1569" s="110"/>
      <c r="AF1569" s="110"/>
      <c r="AG1569" s="110"/>
      <c r="AH1569" s="110"/>
      <c r="AI1569" s="110"/>
      <c r="AJ1569" s="110"/>
      <c r="AK1569" s="110"/>
      <c r="AL1569" s="110"/>
      <c r="AM1569" s="110"/>
      <c r="AN1569" s="110"/>
      <c r="AO1569" s="110"/>
      <c r="AP1569" s="110"/>
      <c r="AQ1569" s="110"/>
      <c r="AR1569" s="110"/>
      <c r="AS1569" s="110"/>
      <c r="AT1569" s="110"/>
      <c r="AU1569" s="110"/>
      <c r="AV1569" s="110"/>
      <c r="AW1569" s="110"/>
      <c r="AX1569" s="110"/>
      <c r="AY1569" s="110"/>
      <c r="AZ1569" s="110"/>
      <c r="BA1569" s="110"/>
      <c r="BB1569" s="110"/>
      <c r="BC1569" s="110"/>
      <c r="BD1569" s="110"/>
      <c r="BE1569" s="110"/>
      <c r="BF1569" s="110"/>
      <c r="BG1569" s="110"/>
      <c r="BH1569" s="110"/>
      <c r="BI1569" s="110"/>
      <c r="BJ1569" s="110"/>
      <c r="BK1569" s="110"/>
      <c r="BL1569" s="110"/>
      <c r="BM1569" s="110"/>
      <c r="BN1569" s="110"/>
      <c r="BO1569" s="110"/>
      <c r="BP1569" s="110"/>
      <c r="BQ1569" s="110"/>
      <c r="BR1569" s="110"/>
      <c r="BS1569" s="110"/>
      <c r="BT1569" s="110"/>
      <c r="BU1569" s="110"/>
      <c r="BV1569" s="110"/>
      <c r="BW1569" s="110"/>
      <c r="BX1569" s="110"/>
      <c r="BY1569" s="110"/>
      <c r="BZ1569" s="110"/>
      <c r="CA1569" s="110"/>
      <c r="CB1569" s="110"/>
      <c r="CC1569" s="110"/>
      <c r="CD1569" s="110"/>
      <c r="CE1569" s="110"/>
      <c r="CF1569" s="110"/>
      <c r="CG1569" s="110"/>
      <c r="CH1569" s="110"/>
      <c r="CI1569" s="110"/>
      <c r="CJ1569" s="110"/>
      <c r="CK1569" s="110"/>
      <c r="CL1569" s="110"/>
      <c r="CM1569" s="110"/>
      <c r="CN1569" s="110"/>
      <c r="CO1569" s="110"/>
      <c r="CP1569" s="110"/>
      <c r="CQ1569" s="110"/>
      <c r="CR1569" s="110"/>
      <c r="CS1569" s="110"/>
      <c r="CT1569" s="110"/>
      <c r="CU1569" s="110"/>
      <c r="CV1569" s="110"/>
      <c r="CW1569" s="110"/>
      <c r="CX1569" s="110"/>
      <c r="CY1569" s="110"/>
      <c r="CZ1569" s="110"/>
      <c r="DA1569" s="110"/>
      <c r="DB1569" s="110"/>
      <c r="DC1569" s="110"/>
      <c r="DD1569" s="110"/>
      <c r="DE1569" s="110"/>
      <c r="DF1569" s="110"/>
      <c r="DG1569" s="110"/>
      <c r="DH1569" s="110"/>
      <c r="DI1569" s="110"/>
      <c r="DJ1569" s="110"/>
      <c r="DK1569" s="110"/>
      <c r="DL1569" s="110"/>
      <c r="DM1569" s="110"/>
      <c r="DN1569" s="110"/>
      <c r="DO1569" s="110"/>
      <c r="DP1569" s="110"/>
      <c r="DQ1569" s="110"/>
      <c r="DR1569" s="110"/>
      <c r="DS1569" s="110"/>
      <c r="DT1569" s="110"/>
      <c r="DU1569" s="110"/>
      <c r="DV1569" s="110"/>
      <c r="DW1569" s="110"/>
      <c r="DX1569" s="110"/>
      <c r="DY1569" s="110"/>
      <c r="DZ1569" s="110"/>
      <c r="EA1569" s="110"/>
      <c r="EB1569" s="110"/>
      <c r="EC1569" s="110"/>
      <c r="ED1569" s="110"/>
      <c r="EF1569" s="264"/>
      <c r="EG1569" s="110"/>
      <c r="EH1569" s="110"/>
      <c r="EI1569" s="110"/>
      <c r="EJ1569" s="110"/>
      <c r="EK1569" s="266"/>
      <c r="EL1569" s="110"/>
      <c r="EM1569" s="110"/>
      <c r="EN1569" s="110"/>
      <c r="EO1569" s="110"/>
      <c r="EP1569" s="110"/>
      <c r="EQ1569" s="110"/>
      <c r="ER1569" s="110"/>
      <c r="ES1569" s="110"/>
      <c r="ET1569" s="110"/>
      <c r="EU1569" s="110"/>
      <c r="EV1569" s="110"/>
      <c r="EW1569" s="110"/>
      <c r="EX1569" s="110"/>
      <c r="EY1569" s="110"/>
      <c r="EZ1569" s="110"/>
      <c r="FA1569" s="110"/>
      <c r="FB1569" s="110"/>
      <c r="FC1569" s="110"/>
      <c r="FD1569" s="110"/>
      <c r="FE1569" s="110"/>
      <c r="FF1569" s="110"/>
      <c r="FG1569" s="110"/>
      <c r="FH1569" s="110"/>
      <c r="FI1569" s="110"/>
      <c r="FJ1569" s="110"/>
      <c r="FK1569" s="110"/>
      <c r="FL1569" s="110"/>
      <c r="FM1569" s="110"/>
      <c r="FN1569" s="110"/>
      <c r="FO1569" s="110"/>
      <c r="FP1569" s="110"/>
      <c r="FQ1569" s="110"/>
      <c r="FR1569" s="110"/>
      <c r="FS1569" s="110"/>
      <c r="FT1569" s="110"/>
      <c r="FU1569" s="110"/>
      <c r="FV1569" s="110"/>
      <c r="FW1569" s="110"/>
      <c r="FX1569" s="110"/>
      <c r="FY1569" s="110"/>
      <c r="FZ1569" s="110"/>
      <c r="GA1569" s="110"/>
      <c r="GB1569" s="110"/>
      <c r="GC1569" s="110"/>
      <c r="GD1569" s="110"/>
      <c r="GE1569" s="110"/>
      <c r="GF1569" s="110"/>
      <c r="GG1569" s="110"/>
      <c r="GH1569" s="110"/>
      <c r="GI1569" s="110"/>
      <c r="GJ1569" s="110"/>
      <c r="GK1569" s="110"/>
      <c r="GL1569" s="110"/>
      <c r="GM1569" s="110"/>
      <c r="GN1569" s="110"/>
      <c r="GO1569" s="110"/>
      <c r="GP1569" s="110"/>
      <c r="GQ1569" s="110"/>
      <c r="GR1569" s="110"/>
      <c r="GS1569" s="110"/>
      <c r="GT1569" s="110"/>
      <c r="GU1569" s="110"/>
      <c r="GV1569" s="110"/>
      <c r="GW1569" s="110"/>
      <c r="GX1569" s="110"/>
      <c r="GY1569" s="110"/>
      <c r="GZ1569" s="110"/>
      <c r="HA1569" s="110"/>
      <c r="HB1569" s="110"/>
      <c r="HC1569" s="110"/>
      <c r="HD1569" s="110"/>
      <c r="HE1569" s="110"/>
      <c r="HF1569" s="110"/>
      <c r="HG1569" s="110"/>
      <c r="HH1569" s="110"/>
      <c r="HI1569" s="110"/>
      <c r="HJ1569" s="110"/>
      <c r="HK1569" s="110"/>
      <c r="HL1569" s="110"/>
      <c r="HM1569" s="110"/>
      <c r="HN1569" s="110"/>
      <c r="HO1569" s="110"/>
      <c r="HP1569" s="110"/>
      <c r="HQ1569" s="110"/>
      <c r="HR1569" s="110"/>
      <c r="HS1569" s="110"/>
      <c r="HT1569" s="110"/>
      <c r="HU1569" s="110"/>
      <c r="HV1569" s="110"/>
      <c r="HW1569" s="110"/>
      <c r="HX1569" s="110"/>
      <c r="HY1569" s="110"/>
      <c r="HZ1569" s="110"/>
      <c r="IA1569" s="110"/>
      <c r="IB1569" s="110"/>
      <c r="IC1569" s="110"/>
      <c r="ID1569" s="110"/>
      <c r="IE1569" s="110"/>
      <c r="IF1569" s="110"/>
      <c r="IG1569" s="110"/>
      <c r="IH1569" s="110"/>
      <c r="II1569" s="110"/>
      <c r="IJ1569" s="110"/>
      <c r="IK1569" s="110"/>
      <c r="IL1569" s="110"/>
      <c r="IM1569" s="110"/>
      <c r="IN1569" s="110"/>
      <c r="IO1569" s="110"/>
      <c r="IP1569" s="110"/>
      <c r="IQ1569" s="110"/>
      <c r="IR1569" s="110"/>
    </row>
    <row r="1570" spans="18:252" ht="16.5" hidden="1" customHeight="1">
      <c r="R1570" s="264"/>
      <c r="S1570" s="110"/>
      <c r="T1570" s="110"/>
      <c r="U1570" s="110"/>
      <c r="V1570" s="110"/>
      <c r="W1570" s="266"/>
      <c r="X1570" s="110"/>
      <c r="Y1570" s="110"/>
      <c r="Z1570" s="110"/>
      <c r="AA1570" s="110"/>
      <c r="AB1570" s="110"/>
      <c r="AC1570" s="110"/>
      <c r="AD1570" s="110"/>
      <c r="AE1570" s="110"/>
      <c r="AF1570" s="110"/>
      <c r="AG1570" s="110"/>
      <c r="AH1570" s="110"/>
      <c r="AI1570" s="110"/>
      <c r="AJ1570" s="110"/>
      <c r="AK1570" s="110"/>
      <c r="AL1570" s="110"/>
      <c r="AM1570" s="110"/>
      <c r="AN1570" s="110"/>
      <c r="AO1570" s="110"/>
      <c r="AP1570" s="110"/>
      <c r="AQ1570" s="110"/>
      <c r="AR1570" s="110"/>
      <c r="AS1570" s="110"/>
      <c r="AT1570" s="110"/>
      <c r="AU1570" s="110"/>
      <c r="AV1570" s="110"/>
      <c r="AW1570" s="110"/>
      <c r="AX1570" s="110"/>
      <c r="AY1570" s="110"/>
      <c r="AZ1570" s="110"/>
      <c r="BA1570" s="110"/>
      <c r="BB1570" s="110"/>
      <c r="BC1570" s="110"/>
      <c r="BD1570" s="110"/>
      <c r="BE1570" s="110"/>
      <c r="BF1570" s="110"/>
      <c r="BG1570" s="110"/>
      <c r="BH1570" s="110"/>
      <c r="BI1570" s="110"/>
      <c r="BJ1570" s="110"/>
      <c r="BK1570" s="110"/>
      <c r="BL1570" s="110"/>
      <c r="BM1570" s="110"/>
      <c r="BN1570" s="110"/>
      <c r="BO1570" s="110"/>
      <c r="BP1570" s="110"/>
      <c r="BQ1570" s="110"/>
      <c r="BR1570" s="110"/>
      <c r="BS1570" s="110"/>
      <c r="BT1570" s="110"/>
      <c r="BU1570" s="110"/>
      <c r="BV1570" s="110"/>
      <c r="BW1570" s="110"/>
      <c r="BX1570" s="110"/>
      <c r="BY1570" s="110"/>
      <c r="BZ1570" s="110"/>
      <c r="CA1570" s="110"/>
      <c r="CB1570" s="110"/>
      <c r="CC1570" s="110"/>
      <c r="CD1570" s="110"/>
      <c r="CE1570" s="110"/>
      <c r="CF1570" s="110"/>
      <c r="CG1570" s="110"/>
      <c r="CH1570" s="110"/>
      <c r="CI1570" s="110"/>
      <c r="CJ1570" s="110"/>
      <c r="CK1570" s="110"/>
      <c r="CL1570" s="110"/>
      <c r="CM1570" s="110"/>
      <c r="CN1570" s="110"/>
      <c r="CO1570" s="110"/>
      <c r="CP1570" s="110"/>
      <c r="CQ1570" s="110"/>
      <c r="CR1570" s="110"/>
      <c r="CS1570" s="110"/>
      <c r="CT1570" s="110"/>
      <c r="CU1570" s="110"/>
      <c r="CV1570" s="110"/>
      <c r="CW1570" s="110"/>
      <c r="CX1570" s="110"/>
      <c r="CY1570" s="110"/>
      <c r="CZ1570" s="110"/>
      <c r="DA1570" s="110"/>
      <c r="DB1570" s="110"/>
      <c r="DC1570" s="110"/>
      <c r="DD1570" s="110"/>
      <c r="DE1570" s="110"/>
      <c r="DF1570" s="110"/>
      <c r="DG1570" s="110"/>
      <c r="DH1570" s="110"/>
      <c r="DI1570" s="110"/>
      <c r="DJ1570" s="110"/>
      <c r="DK1570" s="110"/>
      <c r="DL1570" s="110"/>
      <c r="DM1570" s="110"/>
      <c r="DN1570" s="110"/>
      <c r="DO1570" s="110"/>
      <c r="DP1570" s="110"/>
      <c r="DQ1570" s="110"/>
      <c r="DR1570" s="110"/>
      <c r="DS1570" s="110"/>
      <c r="DT1570" s="110"/>
      <c r="DU1570" s="110"/>
      <c r="DV1570" s="110"/>
      <c r="DW1570" s="110"/>
      <c r="DX1570" s="110"/>
      <c r="DY1570" s="110"/>
      <c r="DZ1570" s="110"/>
      <c r="EA1570" s="110"/>
      <c r="EB1570" s="110"/>
      <c r="EC1570" s="110"/>
      <c r="ED1570" s="110"/>
      <c r="EF1570" s="264"/>
      <c r="EG1570" s="110"/>
      <c r="EH1570" s="110"/>
      <c r="EI1570" s="110"/>
      <c r="EJ1570" s="110"/>
      <c r="EK1570" s="266"/>
      <c r="EL1570" s="110"/>
      <c r="EM1570" s="110"/>
      <c r="EN1570" s="110"/>
      <c r="EO1570" s="110"/>
      <c r="EP1570" s="110"/>
      <c r="EQ1570" s="110"/>
      <c r="ER1570" s="110"/>
      <c r="ES1570" s="110"/>
      <c r="ET1570" s="110"/>
      <c r="EU1570" s="110"/>
      <c r="EV1570" s="110"/>
      <c r="EW1570" s="110"/>
      <c r="EX1570" s="110"/>
      <c r="EY1570" s="110"/>
      <c r="EZ1570" s="110"/>
      <c r="FA1570" s="110"/>
      <c r="FB1570" s="110"/>
      <c r="FC1570" s="110"/>
      <c r="FD1570" s="110"/>
      <c r="FE1570" s="110"/>
      <c r="FF1570" s="110"/>
      <c r="FG1570" s="110"/>
      <c r="FH1570" s="110"/>
      <c r="FI1570" s="110"/>
      <c r="FJ1570" s="110"/>
      <c r="FK1570" s="110"/>
      <c r="FL1570" s="110"/>
      <c r="FM1570" s="110"/>
      <c r="FN1570" s="110"/>
      <c r="FO1570" s="110"/>
      <c r="FP1570" s="110"/>
      <c r="FQ1570" s="110"/>
      <c r="FR1570" s="110"/>
      <c r="FS1570" s="110"/>
      <c r="FT1570" s="110"/>
      <c r="FU1570" s="110"/>
      <c r="FV1570" s="110"/>
      <c r="FW1570" s="110"/>
      <c r="FX1570" s="110"/>
      <c r="FY1570" s="110"/>
      <c r="FZ1570" s="110"/>
      <c r="GA1570" s="110"/>
      <c r="GB1570" s="110"/>
      <c r="GC1570" s="110"/>
      <c r="GD1570" s="110"/>
      <c r="GE1570" s="110"/>
      <c r="GF1570" s="110"/>
      <c r="GG1570" s="110"/>
      <c r="GH1570" s="110"/>
      <c r="GI1570" s="110"/>
      <c r="GJ1570" s="110"/>
      <c r="GK1570" s="110"/>
      <c r="GL1570" s="110"/>
      <c r="GM1570" s="110"/>
      <c r="GN1570" s="110"/>
      <c r="GO1570" s="110"/>
      <c r="GP1570" s="110"/>
      <c r="GQ1570" s="110"/>
      <c r="GR1570" s="110"/>
      <c r="GS1570" s="110"/>
      <c r="GT1570" s="110"/>
      <c r="GU1570" s="110"/>
      <c r="GV1570" s="110"/>
      <c r="GW1570" s="110"/>
      <c r="GX1570" s="110"/>
      <c r="GY1570" s="110"/>
      <c r="GZ1570" s="110"/>
      <c r="HA1570" s="110"/>
      <c r="HB1570" s="110"/>
      <c r="HC1570" s="110"/>
      <c r="HD1570" s="110"/>
      <c r="HE1570" s="110"/>
      <c r="HF1570" s="110"/>
      <c r="HG1570" s="110"/>
      <c r="HH1570" s="110"/>
      <c r="HI1570" s="110"/>
      <c r="HJ1570" s="110"/>
      <c r="HK1570" s="110"/>
      <c r="HL1570" s="110"/>
      <c r="HM1570" s="110"/>
      <c r="HN1570" s="110"/>
      <c r="HO1570" s="110"/>
      <c r="HP1570" s="110"/>
      <c r="HQ1570" s="110"/>
      <c r="HR1570" s="110"/>
      <c r="HS1570" s="110"/>
      <c r="HT1570" s="110"/>
      <c r="HU1570" s="110"/>
      <c r="HV1570" s="110"/>
      <c r="HW1570" s="110"/>
      <c r="HX1570" s="110"/>
      <c r="HY1570" s="110"/>
      <c r="HZ1570" s="110"/>
      <c r="IA1570" s="110"/>
      <c r="IB1570" s="110"/>
      <c r="IC1570" s="110"/>
      <c r="ID1570" s="110"/>
      <c r="IE1570" s="110"/>
      <c r="IF1570" s="110"/>
      <c r="IG1570" s="110"/>
      <c r="IH1570" s="110"/>
      <c r="II1570" s="110"/>
      <c r="IJ1570" s="110"/>
      <c r="IK1570" s="110"/>
      <c r="IL1570" s="110"/>
      <c r="IM1570" s="110"/>
      <c r="IN1570" s="110"/>
      <c r="IO1570" s="110"/>
      <c r="IP1570" s="110"/>
      <c r="IQ1570" s="110"/>
      <c r="IR1570" s="110"/>
    </row>
    <row r="1571" spans="18:252" ht="16.5" hidden="1" customHeight="1">
      <c r="R1571" s="264"/>
      <c r="S1571" s="110"/>
      <c r="T1571" s="110"/>
      <c r="U1571" s="110"/>
      <c r="V1571" s="110"/>
      <c r="W1571" s="266"/>
      <c r="X1571" s="110"/>
      <c r="Y1571" s="110"/>
      <c r="Z1571" s="110"/>
      <c r="AA1571" s="110"/>
      <c r="AB1571" s="110"/>
      <c r="AC1571" s="110"/>
      <c r="AD1571" s="110"/>
      <c r="AE1571" s="110"/>
      <c r="AF1571" s="110"/>
      <c r="AG1571" s="110"/>
      <c r="AH1571" s="110"/>
      <c r="AI1571" s="110"/>
      <c r="AJ1571" s="110"/>
      <c r="AK1571" s="110"/>
      <c r="AL1571" s="110"/>
      <c r="AM1571" s="110"/>
      <c r="AN1571" s="110"/>
      <c r="AO1571" s="110"/>
      <c r="AP1571" s="110"/>
      <c r="AQ1571" s="110"/>
      <c r="AR1571" s="110"/>
      <c r="AS1571" s="110"/>
      <c r="AT1571" s="110"/>
      <c r="AU1571" s="110"/>
      <c r="AV1571" s="110"/>
      <c r="AW1571" s="110"/>
      <c r="AX1571" s="110"/>
      <c r="AY1571" s="110"/>
      <c r="AZ1571" s="110"/>
      <c r="BA1571" s="110"/>
      <c r="BB1571" s="110"/>
      <c r="BC1571" s="110"/>
      <c r="BD1571" s="110"/>
      <c r="BE1571" s="110"/>
      <c r="BF1571" s="110"/>
      <c r="BG1571" s="110"/>
      <c r="BH1571" s="110"/>
      <c r="BI1571" s="110"/>
      <c r="BJ1571" s="110"/>
      <c r="BK1571" s="110"/>
      <c r="BL1571" s="110"/>
      <c r="BM1571" s="110"/>
      <c r="BN1571" s="110"/>
      <c r="BO1571" s="110"/>
      <c r="BP1571" s="110"/>
      <c r="BQ1571" s="110"/>
      <c r="BR1571" s="110"/>
      <c r="BS1571" s="110"/>
      <c r="BT1571" s="110"/>
      <c r="BU1571" s="110"/>
      <c r="BV1571" s="110"/>
      <c r="BW1571" s="110"/>
      <c r="BX1571" s="110"/>
      <c r="BY1571" s="110"/>
      <c r="BZ1571" s="110"/>
      <c r="CA1571" s="110"/>
      <c r="CB1571" s="110"/>
      <c r="CC1571" s="110"/>
      <c r="CD1571" s="110"/>
      <c r="CE1571" s="110"/>
      <c r="CF1571" s="110"/>
      <c r="CG1571" s="110"/>
      <c r="CH1571" s="110"/>
      <c r="CI1571" s="110"/>
      <c r="CJ1571" s="110"/>
      <c r="CK1571" s="110"/>
      <c r="CL1571" s="110"/>
      <c r="CM1571" s="110"/>
      <c r="CN1571" s="110"/>
      <c r="CO1571" s="110"/>
      <c r="CP1571" s="110"/>
      <c r="CQ1571" s="110"/>
      <c r="CR1571" s="110"/>
      <c r="CS1571" s="110"/>
      <c r="CT1571" s="110"/>
      <c r="CU1571" s="110"/>
      <c r="CV1571" s="110"/>
      <c r="CW1571" s="110"/>
      <c r="CX1571" s="110"/>
      <c r="CY1571" s="110"/>
      <c r="CZ1571" s="110"/>
      <c r="DA1571" s="110"/>
      <c r="DB1571" s="110"/>
      <c r="DC1571" s="110"/>
      <c r="DD1571" s="110"/>
      <c r="DE1571" s="110"/>
      <c r="DF1571" s="110"/>
      <c r="DG1571" s="110"/>
      <c r="DH1571" s="110"/>
      <c r="DI1571" s="110"/>
      <c r="DJ1571" s="110"/>
      <c r="DK1571" s="110"/>
      <c r="DL1571" s="110"/>
      <c r="DM1571" s="110"/>
      <c r="DN1571" s="110"/>
      <c r="DO1571" s="110"/>
      <c r="DP1571" s="110"/>
      <c r="DQ1571" s="110"/>
      <c r="DR1571" s="110"/>
      <c r="DS1571" s="110"/>
      <c r="DT1571" s="110"/>
      <c r="DU1571" s="110"/>
      <c r="DV1571" s="110"/>
      <c r="DW1571" s="110"/>
      <c r="DX1571" s="110"/>
      <c r="DY1571" s="110"/>
      <c r="DZ1571" s="110"/>
      <c r="EA1571" s="110"/>
      <c r="EB1571" s="110"/>
      <c r="EC1571" s="110"/>
      <c r="ED1571" s="110"/>
      <c r="EF1571" s="264"/>
      <c r="EG1571" s="110"/>
      <c r="EH1571" s="110"/>
      <c r="EI1571" s="110"/>
      <c r="EJ1571" s="110"/>
      <c r="EK1571" s="266"/>
      <c r="EL1571" s="110"/>
      <c r="EM1571" s="110"/>
      <c r="EN1571" s="110"/>
      <c r="EO1571" s="110"/>
      <c r="EP1571" s="110"/>
      <c r="EQ1571" s="110"/>
      <c r="ER1571" s="110"/>
      <c r="ES1571" s="110"/>
      <c r="ET1571" s="110"/>
      <c r="EU1571" s="110"/>
      <c r="EV1571" s="110"/>
      <c r="EW1571" s="110"/>
      <c r="EX1571" s="110"/>
      <c r="EY1571" s="110"/>
      <c r="EZ1571" s="110"/>
      <c r="FA1571" s="110"/>
      <c r="FB1571" s="110"/>
      <c r="FC1571" s="110"/>
      <c r="FD1571" s="110"/>
      <c r="FE1571" s="110"/>
      <c r="FF1571" s="110"/>
      <c r="FG1571" s="110"/>
      <c r="FH1571" s="110"/>
      <c r="FI1571" s="110"/>
      <c r="FJ1571" s="110"/>
      <c r="FK1571" s="110"/>
      <c r="FL1571" s="110"/>
      <c r="FM1571" s="110"/>
      <c r="FN1571" s="110"/>
      <c r="FO1571" s="110"/>
      <c r="FP1571" s="110"/>
      <c r="FQ1571" s="110"/>
      <c r="FR1571" s="110"/>
      <c r="FS1571" s="110"/>
      <c r="FT1571" s="110"/>
      <c r="FU1571" s="110"/>
      <c r="FV1571" s="110"/>
      <c r="FW1571" s="110"/>
      <c r="FX1571" s="110"/>
      <c r="FY1571" s="110"/>
      <c r="FZ1571" s="110"/>
      <c r="GA1571" s="110"/>
      <c r="GB1571" s="110"/>
      <c r="GC1571" s="110"/>
      <c r="GD1571" s="110"/>
      <c r="GE1571" s="110"/>
      <c r="GF1571" s="110"/>
      <c r="GG1571" s="110"/>
      <c r="GH1571" s="110"/>
      <c r="GI1571" s="110"/>
      <c r="GJ1571" s="110"/>
      <c r="GK1571" s="110"/>
      <c r="GL1571" s="110"/>
      <c r="GM1571" s="110"/>
      <c r="GN1571" s="110"/>
      <c r="GO1571" s="110"/>
      <c r="GP1571" s="110"/>
      <c r="GQ1571" s="110"/>
      <c r="GR1571" s="110"/>
      <c r="GS1571" s="110"/>
      <c r="GT1571" s="110"/>
      <c r="GU1571" s="110"/>
      <c r="GV1571" s="110"/>
      <c r="GW1571" s="110"/>
      <c r="GX1571" s="110"/>
      <c r="GY1571" s="110"/>
      <c r="GZ1571" s="110"/>
      <c r="HA1571" s="110"/>
      <c r="HB1571" s="110"/>
      <c r="HC1571" s="110"/>
      <c r="HD1571" s="110"/>
      <c r="HE1571" s="110"/>
      <c r="HF1571" s="110"/>
      <c r="HG1571" s="110"/>
      <c r="HH1571" s="110"/>
      <c r="HI1571" s="110"/>
      <c r="HJ1571" s="110"/>
      <c r="HK1571" s="110"/>
      <c r="HL1571" s="110"/>
      <c r="HM1571" s="110"/>
      <c r="HN1571" s="110"/>
      <c r="HO1571" s="110"/>
      <c r="HP1571" s="110"/>
      <c r="HQ1571" s="110"/>
      <c r="HR1571" s="110"/>
      <c r="HS1571" s="110"/>
      <c r="HT1571" s="110"/>
      <c r="HU1571" s="110"/>
      <c r="HV1571" s="110"/>
      <c r="HW1571" s="110"/>
      <c r="HX1571" s="110"/>
      <c r="HY1571" s="110"/>
      <c r="HZ1571" s="110"/>
      <c r="IA1571" s="110"/>
      <c r="IB1571" s="110"/>
      <c r="IC1571" s="110"/>
      <c r="ID1571" s="110"/>
      <c r="IE1571" s="110"/>
      <c r="IF1571" s="110"/>
      <c r="IG1571" s="110"/>
      <c r="IH1571" s="110"/>
      <c r="II1571" s="110"/>
      <c r="IJ1571" s="110"/>
      <c r="IK1571" s="110"/>
      <c r="IL1571" s="110"/>
      <c r="IM1571" s="110"/>
      <c r="IN1571" s="110"/>
      <c r="IO1571" s="110"/>
      <c r="IP1571" s="110"/>
      <c r="IQ1571" s="110"/>
      <c r="IR1571" s="110"/>
    </row>
    <row r="1572" spans="18:252" ht="16.5" hidden="1" customHeight="1">
      <c r="R1572" s="264"/>
      <c r="S1572" s="110"/>
      <c r="T1572" s="110"/>
      <c r="U1572" s="110"/>
      <c r="V1572" s="110"/>
      <c r="W1572" s="266"/>
      <c r="X1572" s="110"/>
      <c r="Y1572" s="110"/>
      <c r="Z1572" s="110"/>
      <c r="AA1572" s="110"/>
      <c r="AB1572" s="110"/>
      <c r="AC1572" s="110"/>
      <c r="AD1572" s="110"/>
      <c r="AE1572" s="110"/>
      <c r="AF1572" s="110"/>
      <c r="AG1572" s="110"/>
      <c r="AH1572" s="110"/>
      <c r="AI1572" s="110"/>
      <c r="AJ1572" s="110"/>
      <c r="AK1572" s="110"/>
      <c r="AL1572" s="110"/>
      <c r="AM1572" s="110"/>
      <c r="AN1572" s="110"/>
      <c r="AO1572" s="110"/>
      <c r="AP1572" s="110"/>
      <c r="AQ1572" s="110"/>
      <c r="AR1572" s="110"/>
      <c r="AS1572" s="110"/>
      <c r="AT1572" s="110"/>
      <c r="AU1572" s="110"/>
      <c r="AV1572" s="110"/>
      <c r="AW1572" s="110"/>
      <c r="AX1572" s="110"/>
      <c r="AY1572" s="110"/>
      <c r="AZ1572" s="110"/>
      <c r="BA1572" s="110"/>
      <c r="BB1572" s="110"/>
      <c r="BC1572" s="110"/>
      <c r="BD1572" s="110"/>
      <c r="BE1572" s="110"/>
      <c r="BF1572" s="110"/>
      <c r="BG1572" s="110"/>
      <c r="BH1572" s="110"/>
      <c r="BI1572" s="110"/>
      <c r="BJ1572" s="110"/>
      <c r="BK1572" s="110"/>
      <c r="BL1572" s="110"/>
      <c r="BM1572" s="110"/>
      <c r="BN1572" s="110"/>
      <c r="BO1572" s="110"/>
      <c r="BP1572" s="110"/>
      <c r="BQ1572" s="110"/>
      <c r="BR1572" s="110"/>
      <c r="BS1572" s="110"/>
      <c r="BT1572" s="110"/>
      <c r="BU1572" s="110"/>
      <c r="BV1572" s="110"/>
      <c r="BW1572" s="110"/>
      <c r="BX1572" s="110"/>
      <c r="BY1572" s="110"/>
      <c r="BZ1572" s="110"/>
      <c r="CA1572" s="110"/>
      <c r="CB1572" s="110"/>
      <c r="CC1572" s="110"/>
      <c r="CD1572" s="110"/>
      <c r="CE1572" s="110"/>
      <c r="CF1572" s="110"/>
      <c r="CG1572" s="110"/>
      <c r="CH1572" s="110"/>
      <c r="CI1572" s="110"/>
      <c r="CJ1572" s="110"/>
      <c r="CK1572" s="110"/>
      <c r="CL1572" s="110"/>
      <c r="CM1572" s="110"/>
      <c r="CN1572" s="110"/>
      <c r="CO1572" s="110"/>
      <c r="CP1572" s="110"/>
      <c r="CQ1572" s="110"/>
      <c r="CR1572" s="110"/>
      <c r="CS1572" s="110"/>
      <c r="CT1572" s="110"/>
      <c r="CU1572" s="110"/>
      <c r="CV1572" s="110"/>
      <c r="CW1572" s="110"/>
      <c r="CX1572" s="110"/>
      <c r="CY1572" s="110"/>
      <c r="CZ1572" s="110"/>
      <c r="DA1572" s="110"/>
      <c r="DB1572" s="110"/>
      <c r="DC1572" s="110"/>
      <c r="DD1572" s="110"/>
      <c r="DE1572" s="110"/>
      <c r="DF1572" s="110"/>
      <c r="DG1572" s="110"/>
      <c r="DH1572" s="110"/>
      <c r="DI1572" s="110"/>
      <c r="DJ1572" s="110"/>
      <c r="DK1572" s="110"/>
      <c r="DL1572" s="110"/>
      <c r="DM1572" s="110"/>
      <c r="DN1572" s="110"/>
      <c r="DO1572" s="110"/>
      <c r="DP1572" s="110"/>
      <c r="DQ1572" s="110"/>
      <c r="DR1572" s="110"/>
      <c r="DS1572" s="110"/>
      <c r="DT1572" s="110"/>
      <c r="DU1572" s="110"/>
      <c r="DV1572" s="110"/>
      <c r="DW1572" s="110"/>
      <c r="DX1572" s="110"/>
      <c r="DY1572" s="110"/>
      <c r="DZ1572" s="110"/>
      <c r="EA1572" s="110"/>
      <c r="EB1572" s="110"/>
      <c r="EC1572" s="110"/>
      <c r="ED1572" s="110"/>
      <c r="EF1572" s="264"/>
      <c r="EG1572" s="110"/>
      <c r="EH1572" s="110"/>
      <c r="EI1572" s="110"/>
      <c r="EJ1572" s="110"/>
      <c r="EK1572" s="266"/>
      <c r="EL1572" s="110"/>
      <c r="EM1572" s="110"/>
      <c r="EN1572" s="110"/>
      <c r="EO1572" s="110"/>
      <c r="EP1572" s="110"/>
      <c r="EQ1572" s="110"/>
      <c r="ER1572" s="110"/>
      <c r="ES1572" s="110"/>
      <c r="ET1572" s="110"/>
      <c r="EU1572" s="110"/>
      <c r="EV1572" s="110"/>
      <c r="EW1572" s="110"/>
      <c r="EX1572" s="110"/>
      <c r="EY1572" s="110"/>
      <c r="EZ1572" s="110"/>
      <c r="FA1572" s="110"/>
      <c r="FB1572" s="110"/>
      <c r="FC1572" s="110"/>
      <c r="FD1572" s="110"/>
      <c r="FE1572" s="110"/>
      <c r="FF1572" s="110"/>
      <c r="FG1572" s="110"/>
      <c r="FH1572" s="110"/>
      <c r="FI1572" s="110"/>
      <c r="FJ1572" s="110"/>
      <c r="FK1572" s="110"/>
      <c r="FL1572" s="110"/>
      <c r="FM1572" s="110"/>
      <c r="FN1572" s="110"/>
      <c r="FO1572" s="110"/>
      <c r="FP1572" s="110"/>
      <c r="FQ1572" s="110"/>
      <c r="FR1572" s="110"/>
      <c r="FS1572" s="110"/>
      <c r="FT1572" s="110"/>
      <c r="FU1572" s="110"/>
      <c r="FV1572" s="110"/>
      <c r="FW1572" s="110"/>
      <c r="FX1572" s="110"/>
      <c r="FY1572" s="110"/>
      <c r="FZ1572" s="110"/>
      <c r="GA1572" s="110"/>
      <c r="GB1572" s="110"/>
      <c r="GC1572" s="110"/>
      <c r="GD1572" s="110"/>
      <c r="GE1572" s="110"/>
      <c r="GF1572" s="110"/>
      <c r="GG1572" s="110"/>
      <c r="GH1572" s="110"/>
      <c r="GI1572" s="110"/>
      <c r="GJ1572" s="110"/>
      <c r="GK1572" s="110"/>
      <c r="GL1572" s="110"/>
      <c r="GM1572" s="110"/>
      <c r="GN1572" s="110"/>
      <c r="GO1572" s="110"/>
      <c r="GP1572" s="110"/>
      <c r="GQ1572" s="110"/>
      <c r="GR1572" s="110"/>
      <c r="GS1572" s="110"/>
      <c r="GT1572" s="110"/>
      <c r="GU1572" s="110"/>
      <c r="GV1572" s="110"/>
      <c r="GW1572" s="110"/>
      <c r="GX1572" s="110"/>
      <c r="GY1572" s="110"/>
      <c r="GZ1572" s="110"/>
      <c r="HA1572" s="110"/>
      <c r="HB1572" s="110"/>
      <c r="HC1572" s="110"/>
      <c r="HD1572" s="110"/>
      <c r="HE1572" s="110"/>
      <c r="HF1572" s="110"/>
      <c r="HG1572" s="110"/>
      <c r="HH1572" s="110"/>
      <c r="HI1572" s="110"/>
      <c r="HJ1572" s="110"/>
      <c r="HK1572" s="110"/>
      <c r="HL1572" s="110"/>
      <c r="HM1572" s="110"/>
      <c r="HN1572" s="110"/>
      <c r="HO1572" s="110"/>
      <c r="HP1572" s="110"/>
      <c r="HQ1572" s="110"/>
      <c r="HR1572" s="110"/>
      <c r="HS1572" s="110"/>
      <c r="HT1572" s="110"/>
      <c r="HU1572" s="110"/>
      <c r="HV1572" s="110"/>
      <c r="HW1572" s="110"/>
      <c r="HX1572" s="110"/>
      <c r="HY1572" s="110"/>
      <c r="HZ1572" s="110"/>
      <c r="IA1572" s="110"/>
      <c r="IB1572" s="110"/>
      <c r="IC1572" s="110"/>
      <c r="ID1572" s="110"/>
      <c r="IE1572" s="110"/>
      <c r="IF1572" s="110"/>
      <c r="IG1572" s="110"/>
      <c r="IH1572" s="110"/>
      <c r="II1572" s="110"/>
      <c r="IJ1572" s="110"/>
      <c r="IK1572" s="110"/>
      <c r="IL1572" s="110"/>
      <c r="IM1572" s="110"/>
      <c r="IN1572" s="110"/>
      <c r="IO1572" s="110"/>
      <c r="IP1572" s="110"/>
      <c r="IQ1572" s="110"/>
      <c r="IR1572" s="110"/>
    </row>
    <row r="1573" spans="18:252" ht="16.5" hidden="1" customHeight="1">
      <c r="R1573" s="264"/>
      <c r="S1573" s="110"/>
      <c r="T1573" s="110"/>
      <c r="U1573" s="110"/>
      <c r="V1573" s="110"/>
      <c r="W1573" s="266"/>
      <c r="X1573" s="110"/>
      <c r="Y1573" s="110"/>
      <c r="Z1573" s="110"/>
      <c r="AA1573" s="110"/>
      <c r="AB1573" s="110"/>
      <c r="AC1573" s="110"/>
      <c r="AD1573" s="110"/>
      <c r="AE1573" s="110"/>
      <c r="AF1573" s="110"/>
      <c r="AG1573" s="110"/>
      <c r="AH1573" s="110"/>
      <c r="AI1573" s="110"/>
      <c r="AJ1573" s="110"/>
      <c r="AK1573" s="110"/>
      <c r="AL1573" s="110"/>
      <c r="AM1573" s="110"/>
      <c r="AN1573" s="110"/>
      <c r="AO1573" s="110"/>
      <c r="AP1573" s="110"/>
      <c r="AQ1573" s="110"/>
      <c r="AR1573" s="110"/>
      <c r="AS1573" s="110"/>
      <c r="AT1573" s="110"/>
      <c r="AU1573" s="110"/>
      <c r="AV1573" s="110"/>
      <c r="AW1573" s="110"/>
      <c r="AX1573" s="110"/>
      <c r="AY1573" s="110"/>
      <c r="AZ1573" s="110"/>
      <c r="BA1573" s="110"/>
      <c r="BB1573" s="110"/>
      <c r="BC1573" s="110"/>
      <c r="BD1573" s="110"/>
      <c r="BE1573" s="110"/>
      <c r="BF1573" s="110"/>
      <c r="BG1573" s="110"/>
      <c r="BH1573" s="110"/>
      <c r="BI1573" s="110"/>
      <c r="BJ1573" s="110"/>
      <c r="BK1573" s="110"/>
      <c r="BL1573" s="110"/>
      <c r="BM1573" s="110"/>
      <c r="BN1573" s="110"/>
      <c r="BO1573" s="110"/>
      <c r="BP1573" s="110"/>
      <c r="BQ1573" s="110"/>
      <c r="BR1573" s="110"/>
      <c r="BS1573" s="110"/>
      <c r="BT1573" s="110"/>
      <c r="BU1573" s="110"/>
      <c r="BV1573" s="110"/>
      <c r="BW1573" s="110"/>
      <c r="BX1573" s="110"/>
      <c r="BY1573" s="110"/>
      <c r="BZ1573" s="110"/>
      <c r="CA1573" s="110"/>
      <c r="CB1573" s="110"/>
      <c r="CC1573" s="110"/>
      <c r="CD1573" s="110"/>
      <c r="CE1573" s="110"/>
      <c r="CF1573" s="110"/>
      <c r="CG1573" s="110"/>
      <c r="CH1573" s="110"/>
      <c r="CI1573" s="110"/>
      <c r="CJ1573" s="110"/>
      <c r="CK1573" s="110"/>
      <c r="CL1573" s="110"/>
      <c r="CM1573" s="110"/>
      <c r="CN1573" s="110"/>
      <c r="CO1573" s="110"/>
      <c r="CP1573" s="110"/>
      <c r="CQ1573" s="110"/>
      <c r="CR1573" s="110"/>
      <c r="CS1573" s="110"/>
      <c r="CT1573" s="110"/>
      <c r="CU1573" s="110"/>
      <c r="CV1573" s="110"/>
      <c r="CW1573" s="110"/>
      <c r="CX1573" s="110"/>
      <c r="CY1573" s="110"/>
      <c r="CZ1573" s="110"/>
      <c r="DA1573" s="110"/>
      <c r="DB1573" s="110"/>
      <c r="DC1573" s="110"/>
      <c r="DD1573" s="110"/>
      <c r="DE1573" s="110"/>
      <c r="DF1573" s="110"/>
      <c r="DG1573" s="110"/>
      <c r="DH1573" s="110"/>
      <c r="DI1573" s="110"/>
      <c r="DJ1573" s="110"/>
      <c r="DK1573" s="110"/>
      <c r="DL1573" s="110"/>
      <c r="DM1573" s="110"/>
      <c r="DN1573" s="110"/>
      <c r="DO1573" s="110"/>
      <c r="DP1573" s="110"/>
      <c r="DQ1573" s="110"/>
      <c r="DR1573" s="110"/>
      <c r="DS1573" s="110"/>
      <c r="DT1573" s="110"/>
      <c r="DU1573" s="110"/>
      <c r="DV1573" s="110"/>
      <c r="DW1573" s="110"/>
      <c r="DX1573" s="110"/>
      <c r="DY1573" s="110"/>
      <c r="DZ1573" s="110"/>
      <c r="EA1573" s="110"/>
      <c r="EB1573" s="110"/>
      <c r="EC1573" s="110"/>
      <c r="ED1573" s="110"/>
      <c r="EF1573" s="264"/>
      <c r="EG1573" s="110"/>
      <c r="EH1573" s="110"/>
      <c r="EI1573" s="110"/>
      <c r="EJ1573" s="110"/>
      <c r="EK1573" s="266"/>
      <c r="EL1573" s="110"/>
      <c r="EM1573" s="110"/>
      <c r="EN1573" s="110"/>
      <c r="EO1573" s="110"/>
      <c r="EP1573" s="110"/>
      <c r="EQ1573" s="110"/>
      <c r="ER1573" s="110"/>
      <c r="ES1573" s="110"/>
      <c r="ET1573" s="110"/>
      <c r="EU1573" s="110"/>
      <c r="EV1573" s="110"/>
      <c r="EW1573" s="110"/>
      <c r="EX1573" s="110"/>
      <c r="EY1573" s="110"/>
      <c r="EZ1573" s="110"/>
      <c r="FA1573" s="110"/>
      <c r="FB1573" s="110"/>
      <c r="FC1573" s="110"/>
      <c r="FD1573" s="110"/>
      <c r="FE1573" s="110"/>
      <c r="FF1573" s="110"/>
      <c r="FG1573" s="110"/>
      <c r="FH1573" s="110"/>
      <c r="FI1573" s="110"/>
      <c r="FJ1573" s="110"/>
      <c r="FK1573" s="110"/>
      <c r="FL1573" s="110"/>
      <c r="FM1573" s="110"/>
      <c r="FN1573" s="110"/>
      <c r="FO1573" s="110"/>
      <c r="FP1573" s="110"/>
      <c r="FQ1573" s="110"/>
      <c r="FR1573" s="110"/>
      <c r="FS1573" s="110"/>
      <c r="FT1573" s="110"/>
      <c r="FU1573" s="110"/>
      <c r="FV1573" s="110"/>
      <c r="FW1573" s="110"/>
      <c r="FX1573" s="110"/>
      <c r="FY1573" s="110"/>
      <c r="FZ1573" s="110"/>
      <c r="GA1573" s="110"/>
      <c r="GB1573" s="110"/>
      <c r="GC1573" s="110"/>
      <c r="GD1573" s="110"/>
      <c r="GE1573" s="110"/>
      <c r="GF1573" s="110"/>
      <c r="GG1573" s="110"/>
      <c r="GH1573" s="110"/>
      <c r="GI1573" s="110"/>
      <c r="GJ1573" s="110"/>
      <c r="GK1573" s="110"/>
      <c r="GL1573" s="110"/>
      <c r="GM1573" s="110"/>
      <c r="GN1573" s="110"/>
      <c r="GO1573" s="110"/>
      <c r="GP1573" s="110"/>
      <c r="GQ1573" s="110"/>
      <c r="GR1573" s="110"/>
      <c r="GS1573" s="110"/>
      <c r="GT1573" s="110"/>
      <c r="GU1573" s="110"/>
      <c r="GV1573" s="110"/>
      <c r="GW1573" s="110"/>
      <c r="GX1573" s="110"/>
      <c r="GY1573" s="110"/>
      <c r="GZ1573" s="110"/>
      <c r="HA1573" s="110"/>
      <c r="HB1573" s="110"/>
      <c r="HC1573" s="110"/>
      <c r="HD1573" s="110"/>
      <c r="HE1573" s="110"/>
      <c r="HF1573" s="110"/>
      <c r="HG1573" s="110"/>
      <c r="HH1573" s="110"/>
      <c r="HI1573" s="110"/>
      <c r="HJ1573" s="110"/>
      <c r="HK1573" s="110"/>
      <c r="HL1573" s="110"/>
      <c r="HM1573" s="110"/>
      <c r="HN1573" s="110"/>
      <c r="HO1573" s="110"/>
      <c r="HP1573" s="110"/>
      <c r="HQ1573" s="110"/>
      <c r="HR1573" s="110"/>
      <c r="HS1573" s="110"/>
      <c r="HT1573" s="110"/>
      <c r="HU1573" s="110"/>
      <c r="HV1573" s="110"/>
      <c r="HW1573" s="110"/>
      <c r="HX1573" s="110"/>
      <c r="HY1573" s="110"/>
      <c r="HZ1573" s="110"/>
      <c r="IA1573" s="110"/>
      <c r="IB1573" s="110"/>
      <c r="IC1573" s="110"/>
      <c r="ID1573" s="110"/>
      <c r="IE1573" s="110"/>
      <c r="IF1573" s="110"/>
      <c r="IG1573" s="110"/>
      <c r="IH1573" s="110"/>
      <c r="II1573" s="110"/>
      <c r="IJ1573" s="110"/>
      <c r="IK1573" s="110"/>
      <c r="IL1573" s="110"/>
      <c r="IM1573" s="110"/>
      <c r="IN1573" s="110"/>
      <c r="IO1573" s="110"/>
      <c r="IP1573" s="110"/>
      <c r="IQ1573" s="110"/>
      <c r="IR1573" s="110"/>
    </row>
    <row r="1574" spans="18:252" ht="16.5" hidden="1" customHeight="1">
      <c r="R1574" s="264"/>
      <c r="S1574" s="110"/>
      <c r="T1574" s="110"/>
      <c r="U1574" s="110"/>
      <c r="V1574" s="110"/>
      <c r="W1574" s="266"/>
      <c r="X1574" s="110"/>
      <c r="Y1574" s="110"/>
      <c r="Z1574" s="110"/>
      <c r="AA1574" s="110"/>
      <c r="AB1574" s="110"/>
      <c r="AC1574" s="110"/>
      <c r="AD1574" s="110"/>
      <c r="AE1574" s="110"/>
      <c r="AF1574" s="110"/>
      <c r="AG1574" s="110"/>
      <c r="AH1574" s="110"/>
      <c r="AI1574" s="110"/>
      <c r="AJ1574" s="110"/>
      <c r="AK1574" s="110"/>
      <c r="AL1574" s="110"/>
      <c r="AM1574" s="110"/>
      <c r="AN1574" s="110"/>
      <c r="AO1574" s="110"/>
      <c r="AP1574" s="110"/>
      <c r="AQ1574" s="110"/>
      <c r="AR1574" s="110"/>
      <c r="AS1574" s="110"/>
      <c r="AT1574" s="110"/>
      <c r="AU1574" s="110"/>
      <c r="AV1574" s="110"/>
      <c r="AW1574" s="110"/>
      <c r="AX1574" s="110"/>
      <c r="AY1574" s="110"/>
      <c r="AZ1574" s="110"/>
      <c r="BA1574" s="110"/>
      <c r="BB1574" s="110"/>
      <c r="BC1574" s="110"/>
      <c r="BD1574" s="110"/>
      <c r="BE1574" s="110"/>
      <c r="BF1574" s="110"/>
      <c r="BG1574" s="110"/>
      <c r="BH1574" s="110"/>
      <c r="BI1574" s="110"/>
      <c r="BJ1574" s="110"/>
      <c r="BK1574" s="110"/>
      <c r="BL1574" s="110"/>
      <c r="BM1574" s="110"/>
      <c r="BN1574" s="110"/>
      <c r="BO1574" s="110"/>
      <c r="BP1574" s="110"/>
      <c r="BQ1574" s="110"/>
      <c r="BR1574" s="110"/>
      <c r="BS1574" s="110"/>
      <c r="BT1574" s="110"/>
      <c r="BU1574" s="110"/>
      <c r="BV1574" s="110"/>
      <c r="BW1574" s="110"/>
      <c r="BX1574" s="110"/>
      <c r="BY1574" s="110"/>
      <c r="BZ1574" s="110"/>
      <c r="CA1574" s="110"/>
      <c r="CB1574" s="110"/>
      <c r="CC1574" s="110"/>
      <c r="CD1574" s="110"/>
      <c r="CE1574" s="110"/>
      <c r="CF1574" s="110"/>
      <c r="CG1574" s="110"/>
      <c r="CH1574" s="110"/>
      <c r="CI1574" s="110"/>
      <c r="CJ1574" s="110"/>
      <c r="CK1574" s="110"/>
      <c r="CL1574" s="110"/>
      <c r="CM1574" s="110"/>
      <c r="CN1574" s="110"/>
      <c r="CO1574" s="110"/>
      <c r="CP1574" s="110"/>
      <c r="CQ1574" s="110"/>
      <c r="CR1574" s="110"/>
      <c r="CS1574" s="110"/>
      <c r="CT1574" s="110"/>
      <c r="CU1574" s="110"/>
      <c r="CV1574" s="110"/>
      <c r="CW1574" s="110"/>
      <c r="CX1574" s="110"/>
      <c r="CY1574" s="110"/>
      <c r="CZ1574" s="110"/>
      <c r="DA1574" s="110"/>
      <c r="DB1574" s="110"/>
      <c r="DC1574" s="110"/>
      <c r="DD1574" s="110"/>
      <c r="DE1574" s="110"/>
      <c r="DF1574" s="110"/>
      <c r="DG1574" s="110"/>
      <c r="DH1574" s="110"/>
      <c r="DI1574" s="110"/>
      <c r="DJ1574" s="110"/>
      <c r="DK1574" s="110"/>
      <c r="DL1574" s="110"/>
      <c r="DM1574" s="110"/>
      <c r="DN1574" s="110"/>
      <c r="DO1574" s="110"/>
      <c r="DP1574" s="110"/>
      <c r="DQ1574" s="110"/>
      <c r="DR1574" s="110"/>
      <c r="DS1574" s="110"/>
      <c r="DT1574" s="110"/>
      <c r="DU1574" s="110"/>
      <c r="DV1574" s="110"/>
      <c r="DW1574" s="110"/>
      <c r="DX1574" s="110"/>
      <c r="DY1574" s="110"/>
      <c r="DZ1574" s="110"/>
      <c r="EA1574" s="110"/>
      <c r="EB1574" s="110"/>
      <c r="EC1574" s="110"/>
      <c r="ED1574" s="110"/>
      <c r="EF1574" s="264"/>
      <c r="EG1574" s="110"/>
      <c r="EH1574" s="110"/>
      <c r="EI1574" s="110"/>
      <c r="EJ1574" s="110"/>
      <c r="EK1574" s="266"/>
      <c r="EL1574" s="110"/>
      <c r="EM1574" s="110"/>
      <c r="EN1574" s="110"/>
      <c r="EO1574" s="110"/>
      <c r="EP1574" s="110"/>
      <c r="EQ1574" s="110"/>
      <c r="ER1574" s="110"/>
      <c r="ES1574" s="110"/>
      <c r="ET1574" s="110"/>
      <c r="EU1574" s="110"/>
      <c r="EV1574" s="110"/>
      <c r="EW1574" s="110"/>
      <c r="EX1574" s="110"/>
      <c r="EY1574" s="110"/>
      <c r="EZ1574" s="110"/>
      <c r="FA1574" s="110"/>
      <c r="FB1574" s="110"/>
      <c r="FC1574" s="110"/>
      <c r="FD1574" s="110"/>
      <c r="FE1574" s="110"/>
      <c r="FF1574" s="110"/>
      <c r="FG1574" s="110"/>
      <c r="FH1574" s="110"/>
      <c r="FI1574" s="110"/>
      <c r="FJ1574" s="110"/>
      <c r="FK1574" s="110"/>
      <c r="FL1574" s="110"/>
      <c r="FM1574" s="110"/>
      <c r="FN1574" s="110"/>
      <c r="FO1574" s="110"/>
      <c r="FP1574" s="110"/>
      <c r="FQ1574" s="110"/>
      <c r="FR1574" s="110"/>
      <c r="FS1574" s="110"/>
      <c r="FT1574" s="110"/>
      <c r="FU1574" s="110"/>
      <c r="FV1574" s="110"/>
      <c r="FW1574" s="110"/>
      <c r="FX1574" s="110"/>
      <c r="FY1574" s="110"/>
      <c r="FZ1574" s="110"/>
      <c r="GA1574" s="110"/>
      <c r="GB1574" s="110"/>
      <c r="GC1574" s="110"/>
      <c r="GD1574" s="110"/>
      <c r="GE1574" s="110"/>
      <c r="GF1574" s="110"/>
      <c r="GG1574" s="110"/>
      <c r="GH1574" s="110"/>
      <c r="GI1574" s="110"/>
      <c r="GJ1574" s="110"/>
      <c r="GK1574" s="110"/>
      <c r="GL1574" s="110"/>
      <c r="GM1574" s="110"/>
      <c r="GN1574" s="110"/>
      <c r="GO1574" s="110"/>
      <c r="GP1574" s="110"/>
      <c r="GQ1574" s="110"/>
      <c r="GR1574" s="110"/>
      <c r="GS1574" s="110"/>
      <c r="GT1574" s="110"/>
      <c r="GU1574" s="110"/>
      <c r="GV1574" s="110"/>
      <c r="GW1574" s="110"/>
      <c r="GX1574" s="110"/>
      <c r="GY1574" s="110"/>
      <c r="GZ1574" s="110"/>
      <c r="HA1574" s="110"/>
      <c r="HB1574" s="110"/>
      <c r="HC1574" s="110"/>
      <c r="HD1574" s="110"/>
      <c r="HE1574" s="110"/>
      <c r="HF1574" s="110"/>
      <c r="HG1574" s="110"/>
      <c r="HH1574" s="110"/>
      <c r="HI1574" s="110"/>
      <c r="HJ1574" s="110"/>
      <c r="HK1574" s="110"/>
      <c r="HL1574" s="110"/>
      <c r="HM1574" s="110"/>
      <c r="HN1574" s="110"/>
      <c r="HO1574" s="110"/>
      <c r="HP1574" s="110"/>
      <c r="HQ1574" s="110"/>
      <c r="HR1574" s="110"/>
      <c r="HS1574" s="110"/>
      <c r="HT1574" s="110"/>
      <c r="HU1574" s="110"/>
      <c r="HV1574" s="110"/>
      <c r="HW1574" s="110"/>
      <c r="HX1574" s="110"/>
      <c r="HY1574" s="110"/>
      <c r="HZ1574" s="110"/>
      <c r="IA1574" s="110"/>
      <c r="IB1574" s="110"/>
      <c r="IC1574" s="110"/>
      <c r="ID1574" s="110"/>
      <c r="IE1574" s="110"/>
      <c r="IF1574" s="110"/>
      <c r="IG1574" s="110"/>
      <c r="IH1574" s="110"/>
      <c r="II1574" s="110"/>
      <c r="IJ1574" s="110"/>
      <c r="IK1574" s="110"/>
      <c r="IL1574" s="110"/>
      <c r="IM1574" s="110"/>
      <c r="IN1574" s="110"/>
      <c r="IO1574" s="110"/>
      <c r="IP1574" s="110"/>
      <c r="IQ1574" s="110"/>
      <c r="IR1574" s="110"/>
    </row>
    <row r="1575" spans="18:252" ht="16.5" hidden="1" customHeight="1">
      <c r="R1575" s="264"/>
      <c r="S1575" s="110"/>
      <c r="T1575" s="110"/>
      <c r="U1575" s="110"/>
      <c r="V1575" s="110"/>
      <c r="W1575" s="266"/>
      <c r="X1575" s="110"/>
      <c r="Y1575" s="110"/>
      <c r="Z1575" s="110"/>
      <c r="AA1575" s="110"/>
      <c r="AB1575" s="110"/>
      <c r="AC1575" s="110"/>
      <c r="AD1575" s="110"/>
      <c r="AE1575" s="110"/>
      <c r="AF1575" s="110"/>
      <c r="AG1575" s="110"/>
      <c r="AH1575" s="110"/>
      <c r="AI1575" s="110"/>
      <c r="AJ1575" s="110"/>
      <c r="AK1575" s="110"/>
      <c r="AL1575" s="110"/>
      <c r="AM1575" s="110"/>
      <c r="AN1575" s="110"/>
      <c r="AO1575" s="110"/>
      <c r="AP1575" s="110"/>
      <c r="AQ1575" s="110"/>
      <c r="AR1575" s="110"/>
      <c r="AS1575" s="110"/>
      <c r="AT1575" s="110"/>
      <c r="AU1575" s="110"/>
      <c r="AV1575" s="110"/>
      <c r="AW1575" s="110"/>
      <c r="AX1575" s="110"/>
      <c r="AY1575" s="110"/>
      <c r="AZ1575" s="110"/>
      <c r="BA1575" s="110"/>
      <c r="BB1575" s="110"/>
      <c r="BC1575" s="110"/>
      <c r="BD1575" s="110"/>
      <c r="BE1575" s="110"/>
      <c r="BF1575" s="110"/>
      <c r="BG1575" s="110"/>
      <c r="BH1575" s="110"/>
      <c r="BI1575" s="110"/>
      <c r="BJ1575" s="110"/>
      <c r="BK1575" s="110"/>
      <c r="BL1575" s="110"/>
      <c r="BM1575" s="110"/>
      <c r="BN1575" s="110"/>
      <c r="BO1575" s="110"/>
      <c r="BP1575" s="110"/>
      <c r="BQ1575" s="110"/>
      <c r="BR1575" s="110"/>
      <c r="BS1575" s="110"/>
      <c r="BT1575" s="110"/>
      <c r="BU1575" s="110"/>
      <c r="BV1575" s="110"/>
      <c r="BW1575" s="110"/>
      <c r="BX1575" s="110"/>
      <c r="BY1575" s="110"/>
      <c r="BZ1575" s="110"/>
      <c r="CA1575" s="110"/>
      <c r="CB1575" s="110"/>
      <c r="CC1575" s="110"/>
      <c r="CD1575" s="110"/>
      <c r="CE1575" s="110"/>
      <c r="CF1575" s="110"/>
      <c r="CG1575" s="110"/>
      <c r="CH1575" s="110"/>
      <c r="CI1575" s="110"/>
      <c r="CJ1575" s="110"/>
      <c r="CK1575" s="110"/>
      <c r="CL1575" s="110"/>
      <c r="CM1575" s="110"/>
      <c r="CN1575" s="110"/>
      <c r="CO1575" s="110"/>
      <c r="CP1575" s="110"/>
      <c r="CQ1575" s="110"/>
      <c r="CR1575" s="110"/>
      <c r="CS1575" s="110"/>
      <c r="CT1575" s="110"/>
      <c r="CU1575" s="110"/>
      <c r="CV1575" s="110"/>
      <c r="CW1575" s="110"/>
      <c r="CX1575" s="110"/>
      <c r="CY1575" s="110"/>
      <c r="CZ1575" s="110"/>
      <c r="DA1575" s="110"/>
      <c r="DB1575" s="110"/>
      <c r="DC1575" s="110"/>
      <c r="DD1575" s="110"/>
      <c r="DE1575" s="110"/>
      <c r="DF1575" s="110"/>
      <c r="DG1575" s="110"/>
      <c r="DH1575" s="110"/>
      <c r="DI1575" s="110"/>
      <c r="DJ1575" s="110"/>
      <c r="DK1575" s="110"/>
      <c r="DL1575" s="110"/>
      <c r="DM1575" s="110"/>
      <c r="DN1575" s="110"/>
      <c r="DO1575" s="110"/>
      <c r="DP1575" s="110"/>
      <c r="DQ1575" s="110"/>
      <c r="DR1575" s="110"/>
      <c r="DS1575" s="110"/>
      <c r="DT1575" s="110"/>
      <c r="DU1575" s="110"/>
      <c r="DV1575" s="110"/>
      <c r="DW1575" s="110"/>
      <c r="DX1575" s="110"/>
      <c r="DY1575" s="110"/>
      <c r="DZ1575" s="110"/>
      <c r="EA1575" s="110"/>
      <c r="EB1575" s="110"/>
      <c r="EC1575" s="110"/>
      <c r="ED1575" s="110"/>
      <c r="EF1575" s="264"/>
      <c r="EG1575" s="110"/>
      <c r="EH1575" s="110"/>
      <c r="EI1575" s="110"/>
      <c r="EJ1575" s="110"/>
      <c r="EK1575" s="266"/>
      <c r="EL1575" s="110"/>
      <c r="EM1575" s="110"/>
      <c r="EN1575" s="110"/>
      <c r="EO1575" s="110"/>
      <c r="EP1575" s="110"/>
      <c r="EQ1575" s="110"/>
      <c r="ER1575" s="110"/>
      <c r="ES1575" s="110"/>
      <c r="ET1575" s="110"/>
      <c r="EU1575" s="110"/>
      <c r="EV1575" s="110"/>
      <c r="EW1575" s="110"/>
      <c r="EX1575" s="110"/>
      <c r="EY1575" s="110"/>
      <c r="EZ1575" s="110"/>
      <c r="FA1575" s="110"/>
      <c r="FB1575" s="110"/>
      <c r="FC1575" s="110"/>
      <c r="FD1575" s="110"/>
      <c r="FE1575" s="110"/>
      <c r="FF1575" s="110"/>
      <c r="FG1575" s="110"/>
      <c r="FH1575" s="110"/>
      <c r="FI1575" s="110"/>
      <c r="FJ1575" s="110"/>
      <c r="FK1575" s="110"/>
      <c r="FL1575" s="110"/>
      <c r="FM1575" s="110"/>
      <c r="FN1575" s="110"/>
      <c r="FO1575" s="110"/>
      <c r="FP1575" s="110"/>
      <c r="FQ1575" s="110"/>
      <c r="FR1575" s="110"/>
      <c r="FS1575" s="110"/>
      <c r="FT1575" s="110"/>
      <c r="FU1575" s="110"/>
      <c r="FV1575" s="110"/>
      <c r="FW1575" s="110"/>
      <c r="FX1575" s="110"/>
      <c r="FY1575" s="110"/>
      <c r="FZ1575" s="110"/>
      <c r="GA1575" s="110"/>
      <c r="GB1575" s="110"/>
      <c r="GC1575" s="110"/>
      <c r="GD1575" s="110"/>
      <c r="GE1575" s="110"/>
      <c r="GF1575" s="110"/>
      <c r="GG1575" s="110"/>
      <c r="GH1575" s="110"/>
      <c r="GI1575" s="110"/>
      <c r="GJ1575" s="110"/>
      <c r="GK1575" s="110"/>
      <c r="GL1575" s="110"/>
      <c r="GM1575" s="110"/>
      <c r="GN1575" s="110"/>
      <c r="GO1575" s="110"/>
      <c r="GP1575" s="110"/>
      <c r="GQ1575" s="110"/>
      <c r="GR1575" s="110"/>
      <c r="GS1575" s="110"/>
      <c r="GT1575" s="110"/>
      <c r="GU1575" s="110"/>
      <c r="GV1575" s="110"/>
      <c r="GW1575" s="110"/>
      <c r="GX1575" s="110"/>
      <c r="GY1575" s="110"/>
      <c r="GZ1575" s="110"/>
      <c r="HA1575" s="110"/>
      <c r="HB1575" s="110"/>
      <c r="HC1575" s="110"/>
      <c r="HD1575" s="110"/>
      <c r="HE1575" s="110"/>
      <c r="HF1575" s="110"/>
      <c r="HG1575" s="110"/>
      <c r="HH1575" s="110"/>
      <c r="HI1575" s="110"/>
      <c r="HJ1575" s="110"/>
      <c r="HK1575" s="110"/>
      <c r="HL1575" s="110"/>
      <c r="HM1575" s="110"/>
      <c r="HN1575" s="110"/>
      <c r="HO1575" s="110"/>
      <c r="HP1575" s="110"/>
      <c r="HQ1575" s="110"/>
      <c r="HR1575" s="110"/>
      <c r="HS1575" s="110"/>
      <c r="HT1575" s="110"/>
      <c r="HU1575" s="110"/>
      <c r="HV1575" s="110"/>
      <c r="HW1575" s="110"/>
      <c r="HX1575" s="110"/>
      <c r="HY1575" s="110"/>
      <c r="HZ1575" s="110"/>
      <c r="IA1575" s="110"/>
      <c r="IB1575" s="110"/>
      <c r="IC1575" s="110"/>
      <c r="ID1575" s="110"/>
      <c r="IE1575" s="110"/>
      <c r="IF1575" s="110"/>
      <c r="IG1575" s="110"/>
      <c r="IH1575" s="110"/>
      <c r="II1575" s="110"/>
      <c r="IJ1575" s="110"/>
      <c r="IK1575" s="110"/>
      <c r="IL1575" s="110"/>
      <c r="IM1575" s="110"/>
      <c r="IN1575" s="110"/>
      <c r="IO1575" s="110"/>
      <c r="IP1575" s="110"/>
      <c r="IQ1575" s="110"/>
      <c r="IR1575" s="110"/>
    </row>
    <row r="1576" spans="18:252" ht="16.5" hidden="1" customHeight="1">
      <c r="R1576" s="264"/>
      <c r="S1576" s="110"/>
      <c r="T1576" s="110"/>
      <c r="U1576" s="110"/>
      <c r="V1576" s="110"/>
      <c r="W1576" s="266"/>
      <c r="X1576" s="110"/>
      <c r="Y1576" s="110"/>
      <c r="Z1576" s="110"/>
      <c r="AA1576" s="110"/>
      <c r="AB1576" s="110"/>
      <c r="AC1576" s="110"/>
      <c r="AD1576" s="110"/>
      <c r="AE1576" s="110"/>
      <c r="AF1576" s="110"/>
      <c r="AG1576" s="110"/>
      <c r="AH1576" s="110"/>
      <c r="AI1576" s="110"/>
      <c r="AJ1576" s="110"/>
      <c r="AK1576" s="110"/>
      <c r="AL1576" s="110"/>
      <c r="AM1576" s="110"/>
      <c r="AN1576" s="110"/>
      <c r="AO1576" s="110"/>
      <c r="AP1576" s="110"/>
      <c r="AQ1576" s="110"/>
      <c r="AR1576" s="110"/>
      <c r="AS1576" s="110"/>
      <c r="AT1576" s="110"/>
      <c r="AU1576" s="110"/>
      <c r="AV1576" s="110"/>
      <c r="AW1576" s="110"/>
      <c r="AX1576" s="110"/>
      <c r="AY1576" s="110"/>
      <c r="AZ1576" s="110"/>
      <c r="BA1576" s="110"/>
      <c r="BB1576" s="110"/>
      <c r="BC1576" s="110"/>
      <c r="BD1576" s="110"/>
      <c r="BE1576" s="110"/>
      <c r="BF1576" s="110"/>
      <c r="BG1576" s="110"/>
      <c r="BH1576" s="110"/>
      <c r="BI1576" s="110"/>
      <c r="BJ1576" s="110"/>
      <c r="BK1576" s="110"/>
      <c r="BL1576" s="110"/>
      <c r="BM1576" s="110"/>
      <c r="BN1576" s="110"/>
      <c r="BO1576" s="110"/>
      <c r="BP1576" s="110"/>
      <c r="BQ1576" s="110"/>
      <c r="BR1576" s="110"/>
      <c r="BS1576" s="110"/>
      <c r="BT1576" s="110"/>
      <c r="BU1576" s="110"/>
      <c r="BV1576" s="110"/>
      <c r="BW1576" s="110"/>
      <c r="BX1576" s="110"/>
      <c r="BY1576" s="110"/>
      <c r="BZ1576" s="110"/>
      <c r="CA1576" s="110"/>
      <c r="CB1576" s="110"/>
      <c r="CC1576" s="110"/>
      <c r="CD1576" s="110"/>
      <c r="CE1576" s="110"/>
      <c r="CF1576" s="110"/>
      <c r="CG1576" s="110"/>
      <c r="CH1576" s="110"/>
      <c r="CI1576" s="110"/>
      <c r="CJ1576" s="110"/>
      <c r="CK1576" s="110"/>
      <c r="CL1576" s="110"/>
      <c r="CM1576" s="110"/>
      <c r="CN1576" s="110"/>
      <c r="CO1576" s="110"/>
      <c r="CP1576" s="110"/>
      <c r="CQ1576" s="110"/>
      <c r="CR1576" s="110"/>
      <c r="CS1576" s="110"/>
      <c r="CT1576" s="110"/>
      <c r="CU1576" s="110"/>
      <c r="CV1576" s="110"/>
      <c r="CW1576" s="110"/>
      <c r="CX1576" s="110"/>
      <c r="CY1576" s="110"/>
      <c r="CZ1576" s="110"/>
      <c r="DA1576" s="110"/>
      <c r="DB1576" s="110"/>
      <c r="DC1576" s="110"/>
      <c r="DD1576" s="110"/>
      <c r="DE1576" s="110"/>
      <c r="DF1576" s="110"/>
      <c r="DG1576" s="110"/>
      <c r="DH1576" s="110"/>
      <c r="DI1576" s="110"/>
      <c r="DJ1576" s="110"/>
      <c r="DK1576" s="110"/>
      <c r="DL1576" s="110"/>
      <c r="DM1576" s="110"/>
      <c r="DN1576" s="110"/>
      <c r="DO1576" s="110"/>
      <c r="DP1576" s="110"/>
      <c r="DQ1576" s="110"/>
      <c r="DR1576" s="110"/>
      <c r="DS1576" s="110"/>
      <c r="DT1576" s="110"/>
      <c r="DU1576" s="110"/>
      <c r="DV1576" s="110"/>
      <c r="DW1576" s="110"/>
      <c r="DX1576" s="110"/>
      <c r="DY1576" s="110"/>
      <c r="DZ1576" s="110"/>
      <c r="EA1576" s="110"/>
      <c r="EB1576" s="110"/>
      <c r="EC1576" s="110"/>
      <c r="ED1576" s="110"/>
      <c r="EF1576" s="264"/>
      <c r="EG1576" s="110"/>
      <c r="EH1576" s="110"/>
      <c r="EI1576" s="110"/>
      <c r="EJ1576" s="110"/>
      <c r="EK1576" s="266"/>
      <c r="EL1576" s="110"/>
      <c r="EM1576" s="110"/>
      <c r="EN1576" s="110"/>
      <c r="EO1576" s="110"/>
      <c r="EP1576" s="110"/>
      <c r="EQ1576" s="110"/>
      <c r="ER1576" s="110"/>
      <c r="ES1576" s="110"/>
      <c r="ET1576" s="110"/>
      <c r="EU1576" s="110"/>
      <c r="EV1576" s="110"/>
      <c r="EW1576" s="110"/>
      <c r="EX1576" s="110"/>
      <c r="EY1576" s="110"/>
      <c r="EZ1576" s="110"/>
      <c r="FA1576" s="110"/>
      <c r="FB1576" s="110"/>
      <c r="FC1576" s="110"/>
      <c r="FD1576" s="110"/>
      <c r="FE1576" s="110"/>
      <c r="FF1576" s="110"/>
      <c r="FG1576" s="110"/>
      <c r="FH1576" s="110"/>
      <c r="FI1576" s="110"/>
      <c r="FJ1576" s="110"/>
      <c r="FK1576" s="110"/>
      <c r="FL1576" s="110"/>
      <c r="FM1576" s="110"/>
      <c r="FN1576" s="110"/>
      <c r="FO1576" s="110"/>
      <c r="FP1576" s="110"/>
      <c r="FQ1576" s="110"/>
      <c r="FR1576" s="110"/>
      <c r="FS1576" s="110"/>
      <c r="FT1576" s="110"/>
      <c r="FU1576" s="110"/>
      <c r="FV1576" s="110"/>
      <c r="FW1576" s="110"/>
      <c r="FX1576" s="110"/>
      <c r="FY1576" s="110"/>
      <c r="FZ1576" s="110"/>
      <c r="GA1576" s="110"/>
      <c r="GB1576" s="110"/>
      <c r="GC1576" s="110"/>
      <c r="GD1576" s="110"/>
      <c r="GE1576" s="110"/>
      <c r="GF1576" s="110"/>
      <c r="GG1576" s="110"/>
      <c r="GH1576" s="110"/>
      <c r="GI1576" s="110"/>
      <c r="GJ1576" s="110"/>
      <c r="GK1576" s="110"/>
      <c r="GL1576" s="110"/>
      <c r="GM1576" s="110"/>
      <c r="GN1576" s="110"/>
      <c r="GO1576" s="110"/>
      <c r="GP1576" s="110"/>
      <c r="GQ1576" s="110"/>
      <c r="GR1576" s="110"/>
      <c r="GS1576" s="110"/>
      <c r="GT1576" s="110"/>
      <c r="GU1576" s="110"/>
      <c r="GV1576" s="110"/>
      <c r="GW1576" s="110"/>
      <c r="GX1576" s="110"/>
      <c r="GY1576" s="110"/>
      <c r="GZ1576" s="110"/>
      <c r="HA1576" s="110"/>
      <c r="HB1576" s="110"/>
      <c r="HC1576" s="110"/>
      <c r="HD1576" s="110"/>
      <c r="HE1576" s="110"/>
      <c r="HF1576" s="110"/>
      <c r="HG1576" s="110"/>
      <c r="HH1576" s="110"/>
      <c r="HI1576" s="110"/>
      <c r="HJ1576" s="110"/>
      <c r="HK1576" s="110"/>
      <c r="HL1576" s="110"/>
      <c r="HM1576" s="110"/>
      <c r="HN1576" s="110"/>
      <c r="HO1576" s="110"/>
      <c r="HP1576" s="110"/>
      <c r="HQ1576" s="110"/>
      <c r="HR1576" s="110"/>
      <c r="HS1576" s="110"/>
      <c r="HT1576" s="110"/>
      <c r="HU1576" s="110"/>
      <c r="HV1576" s="110"/>
      <c r="HW1576" s="110"/>
      <c r="HX1576" s="110"/>
      <c r="HY1576" s="110"/>
      <c r="HZ1576" s="110"/>
      <c r="IA1576" s="110"/>
      <c r="IB1576" s="110"/>
      <c r="IC1576" s="110"/>
      <c r="ID1576" s="110"/>
      <c r="IE1576" s="110"/>
      <c r="IF1576" s="110"/>
      <c r="IG1576" s="110"/>
      <c r="IH1576" s="110"/>
      <c r="II1576" s="110"/>
      <c r="IJ1576" s="110"/>
      <c r="IK1576" s="110"/>
      <c r="IL1576" s="110"/>
      <c r="IM1576" s="110"/>
      <c r="IN1576" s="110"/>
      <c r="IO1576" s="110"/>
      <c r="IP1576" s="110"/>
      <c r="IQ1576" s="110"/>
      <c r="IR1576" s="110"/>
    </row>
    <row r="1577" spans="18:252" ht="16.5" hidden="1" customHeight="1">
      <c r="R1577" s="264"/>
      <c r="S1577" s="110"/>
      <c r="T1577" s="110"/>
      <c r="U1577" s="110"/>
      <c r="V1577" s="110"/>
      <c r="W1577" s="266"/>
      <c r="X1577" s="110"/>
      <c r="Y1577" s="110"/>
      <c r="Z1577" s="110"/>
      <c r="AA1577" s="110"/>
      <c r="AB1577" s="110"/>
      <c r="AC1577" s="110"/>
      <c r="AD1577" s="110"/>
      <c r="AE1577" s="110"/>
      <c r="AF1577" s="110"/>
      <c r="AG1577" s="110"/>
      <c r="AH1577" s="110"/>
      <c r="AI1577" s="110"/>
      <c r="AJ1577" s="110"/>
      <c r="AK1577" s="110"/>
      <c r="AL1577" s="110"/>
      <c r="AM1577" s="110"/>
      <c r="AN1577" s="110"/>
      <c r="AO1577" s="110"/>
      <c r="AP1577" s="110"/>
      <c r="AQ1577" s="110"/>
      <c r="AR1577" s="110"/>
      <c r="AS1577" s="110"/>
      <c r="AT1577" s="110"/>
      <c r="AU1577" s="110"/>
      <c r="AV1577" s="110"/>
      <c r="AW1577" s="110"/>
      <c r="AX1577" s="110"/>
      <c r="AY1577" s="110"/>
      <c r="AZ1577" s="110"/>
      <c r="BA1577" s="110"/>
      <c r="BB1577" s="110"/>
      <c r="BC1577" s="110"/>
      <c r="BD1577" s="110"/>
      <c r="BE1577" s="110"/>
      <c r="BF1577" s="110"/>
      <c r="BG1577" s="110"/>
      <c r="BH1577" s="110"/>
      <c r="BI1577" s="110"/>
      <c r="BJ1577" s="110"/>
      <c r="BK1577" s="110"/>
      <c r="BL1577" s="110"/>
      <c r="BM1577" s="110"/>
      <c r="BN1577" s="110"/>
      <c r="BO1577" s="110"/>
      <c r="BP1577" s="110"/>
      <c r="BQ1577" s="110"/>
      <c r="BR1577" s="110"/>
      <c r="BS1577" s="110"/>
      <c r="BT1577" s="110"/>
      <c r="BU1577" s="110"/>
      <c r="BV1577" s="110"/>
      <c r="BW1577" s="110"/>
      <c r="BX1577" s="110"/>
      <c r="BY1577" s="110"/>
      <c r="BZ1577" s="110"/>
      <c r="CA1577" s="110"/>
      <c r="CB1577" s="110"/>
      <c r="CC1577" s="110"/>
      <c r="CD1577" s="110"/>
      <c r="CE1577" s="110"/>
      <c r="CF1577" s="110"/>
      <c r="CG1577" s="110"/>
      <c r="CH1577" s="110"/>
      <c r="CI1577" s="110"/>
      <c r="CJ1577" s="110"/>
      <c r="CK1577" s="110"/>
      <c r="CL1577" s="110"/>
      <c r="CM1577" s="110"/>
      <c r="CN1577" s="110"/>
      <c r="CO1577" s="110"/>
      <c r="CP1577" s="110"/>
      <c r="CQ1577" s="110"/>
      <c r="CR1577" s="110"/>
      <c r="CS1577" s="110"/>
      <c r="CT1577" s="110"/>
      <c r="CU1577" s="110"/>
      <c r="CV1577" s="110"/>
      <c r="CW1577" s="110"/>
      <c r="CX1577" s="110"/>
      <c r="CY1577" s="110"/>
      <c r="CZ1577" s="110"/>
      <c r="DA1577" s="110"/>
      <c r="DB1577" s="110"/>
      <c r="DC1577" s="110"/>
      <c r="DD1577" s="110"/>
      <c r="DE1577" s="110"/>
      <c r="DF1577" s="110"/>
      <c r="DG1577" s="110"/>
      <c r="DH1577" s="110"/>
      <c r="DI1577" s="110"/>
      <c r="DJ1577" s="110"/>
      <c r="DK1577" s="110"/>
      <c r="DL1577" s="110"/>
      <c r="DM1577" s="110"/>
      <c r="DN1577" s="110"/>
      <c r="DO1577" s="110"/>
      <c r="DP1577" s="110"/>
      <c r="DQ1577" s="110"/>
      <c r="DR1577" s="110"/>
      <c r="DS1577" s="110"/>
      <c r="DT1577" s="110"/>
      <c r="DU1577" s="110"/>
      <c r="DV1577" s="110"/>
      <c r="DW1577" s="110"/>
      <c r="DX1577" s="110"/>
      <c r="DY1577" s="110"/>
      <c r="DZ1577" s="110"/>
      <c r="EA1577" s="110"/>
      <c r="EB1577" s="110"/>
      <c r="EC1577" s="110"/>
      <c r="ED1577" s="110"/>
      <c r="EF1577" s="264"/>
      <c r="EG1577" s="110"/>
      <c r="EH1577" s="110"/>
      <c r="EI1577" s="110"/>
      <c r="EJ1577" s="110"/>
      <c r="EK1577" s="266"/>
      <c r="EL1577" s="110"/>
      <c r="EM1577" s="110"/>
      <c r="EN1577" s="110"/>
      <c r="EO1577" s="110"/>
      <c r="EP1577" s="110"/>
      <c r="EQ1577" s="110"/>
      <c r="ER1577" s="110"/>
      <c r="ES1577" s="110"/>
      <c r="ET1577" s="110"/>
      <c r="EU1577" s="110"/>
      <c r="EV1577" s="110"/>
      <c r="EW1577" s="110"/>
      <c r="EX1577" s="110"/>
      <c r="EY1577" s="110"/>
      <c r="EZ1577" s="110"/>
      <c r="FA1577" s="110"/>
      <c r="FB1577" s="110"/>
      <c r="FC1577" s="110"/>
      <c r="FD1577" s="110"/>
      <c r="FE1577" s="110"/>
      <c r="FF1577" s="110"/>
      <c r="FG1577" s="110"/>
      <c r="FH1577" s="110"/>
      <c r="FI1577" s="110"/>
      <c r="FJ1577" s="110"/>
      <c r="FK1577" s="110"/>
      <c r="FL1577" s="110"/>
      <c r="FM1577" s="110"/>
      <c r="FN1577" s="110"/>
      <c r="FO1577" s="110"/>
      <c r="FP1577" s="110"/>
      <c r="FQ1577" s="110"/>
      <c r="FR1577" s="110"/>
      <c r="FS1577" s="110"/>
      <c r="FT1577" s="110"/>
      <c r="FU1577" s="110"/>
      <c r="FV1577" s="110"/>
      <c r="FW1577" s="110"/>
      <c r="FX1577" s="110"/>
      <c r="FY1577" s="110"/>
      <c r="FZ1577" s="110"/>
      <c r="GA1577" s="110"/>
      <c r="GB1577" s="110"/>
      <c r="GC1577" s="110"/>
      <c r="GD1577" s="110"/>
      <c r="GE1577" s="110"/>
      <c r="GF1577" s="110"/>
      <c r="GG1577" s="110"/>
      <c r="GH1577" s="110"/>
      <c r="GI1577" s="110"/>
      <c r="GJ1577" s="110"/>
      <c r="GK1577" s="110"/>
      <c r="GL1577" s="110"/>
      <c r="GM1577" s="110"/>
      <c r="GN1577" s="110"/>
      <c r="GO1577" s="110"/>
      <c r="GP1577" s="110"/>
      <c r="GQ1577" s="110"/>
      <c r="GR1577" s="110"/>
      <c r="GS1577" s="110"/>
      <c r="GT1577" s="110"/>
      <c r="GU1577" s="110"/>
      <c r="GV1577" s="110"/>
      <c r="GW1577" s="110"/>
      <c r="GX1577" s="110"/>
      <c r="GY1577" s="110"/>
      <c r="GZ1577" s="110"/>
      <c r="HA1577" s="110"/>
      <c r="HB1577" s="110"/>
      <c r="HC1577" s="110"/>
      <c r="HD1577" s="110"/>
      <c r="HE1577" s="110"/>
      <c r="HF1577" s="110"/>
      <c r="HG1577" s="110"/>
      <c r="HH1577" s="110"/>
      <c r="HI1577" s="110"/>
      <c r="HJ1577" s="110"/>
      <c r="HK1577" s="110"/>
      <c r="HL1577" s="110"/>
      <c r="HM1577" s="110"/>
      <c r="HN1577" s="110"/>
      <c r="HO1577" s="110"/>
      <c r="HP1577" s="110"/>
      <c r="HQ1577" s="110"/>
      <c r="HR1577" s="110"/>
      <c r="HS1577" s="110"/>
      <c r="HT1577" s="110"/>
      <c r="HU1577" s="110"/>
      <c r="HV1577" s="110"/>
      <c r="HW1577" s="110"/>
      <c r="HX1577" s="110"/>
      <c r="HY1577" s="110"/>
      <c r="HZ1577" s="110"/>
      <c r="IA1577" s="110"/>
      <c r="IB1577" s="110"/>
      <c r="IC1577" s="110"/>
      <c r="ID1577" s="110"/>
      <c r="IE1577" s="110"/>
      <c r="IF1577" s="110"/>
      <c r="IG1577" s="110"/>
      <c r="IH1577" s="110"/>
      <c r="II1577" s="110"/>
      <c r="IJ1577" s="110"/>
      <c r="IK1577" s="110"/>
      <c r="IL1577" s="110"/>
      <c r="IM1577" s="110"/>
      <c r="IN1577" s="110"/>
      <c r="IO1577" s="110"/>
      <c r="IP1577" s="110"/>
      <c r="IQ1577" s="110"/>
      <c r="IR1577" s="110"/>
    </row>
    <row r="1578" spans="18:252" ht="16.5" hidden="1" customHeight="1">
      <c r="R1578" s="264"/>
      <c r="S1578" s="110"/>
      <c r="T1578" s="110"/>
      <c r="U1578" s="110"/>
      <c r="V1578" s="110"/>
      <c r="W1578" s="266"/>
      <c r="X1578" s="110"/>
      <c r="Y1578" s="110"/>
      <c r="Z1578" s="110"/>
      <c r="AA1578" s="110"/>
      <c r="AB1578" s="110"/>
      <c r="AC1578" s="110"/>
      <c r="AD1578" s="110"/>
      <c r="AE1578" s="110"/>
      <c r="AF1578" s="110"/>
      <c r="AG1578" s="110"/>
      <c r="AH1578" s="110"/>
      <c r="AI1578" s="110"/>
      <c r="AJ1578" s="110"/>
      <c r="AK1578" s="110"/>
      <c r="AL1578" s="110"/>
      <c r="AM1578" s="110"/>
      <c r="AN1578" s="110"/>
      <c r="AO1578" s="110"/>
      <c r="AP1578" s="110"/>
      <c r="AQ1578" s="110"/>
      <c r="AR1578" s="110"/>
      <c r="AS1578" s="110"/>
      <c r="AT1578" s="110"/>
      <c r="AU1578" s="110"/>
      <c r="AV1578" s="110"/>
      <c r="AW1578" s="110"/>
      <c r="AX1578" s="110"/>
      <c r="AY1578" s="110"/>
      <c r="AZ1578" s="110"/>
      <c r="BA1578" s="110"/>
      <c r="BB1578" s="110"/>
      <c r="BC1578" s="110"/>
      <c r="BD1578" s="110"/>
      <c r="BE1578" s="110"/>
      <c r="BF1578" s="110"/>
      <c r="BG1578" s="110"/>
      <c r="BH1578" s="110"/>
      <c r="BI1578" s="110"/>
      <c r="BJ1578" s="110"/>
      <c r="BK1578" s="110"/>
      <c r="BL1578" s="110"/>
      <c r="BM1578" s="110"/>
      <c r="BN1578" s="110"/>
      <c r="BO1578" s="110"/>
      <c r="BP1578" s="110"/>
      <c r="BQ1578" s="110"/>
      <c r="BR1578" s="110"/>
      <c r="BS1578" s="110"/>
      <c r="BT1578" s="110"/>
      <c r="BU1578" s="110"/>
      <c r="BV1578" s="110"/>
      <c r="BW1578" s="110"/>
      <c r="BX1578" s="110"/>
      <c r="BY1578" s="110"/>
      <c r="BZ1578" s="110"/>
      <c r="CA1578" s="110"/>
      <c r="CB1578" s="110"/>
      <c r="CC1578" s="110"/>
      <c r="CD1578" s="110"/>
      <c r="CE1578" s="110"/>
      <c r="CF1578" s="110"/>
      <c r="CG1578" s="110"/>
      <c r="CH1578" s="110"/>
      <c r="CI1578" s="110"/>
      <c r="CJ1578" s="110"/>
      <c r="CK1578" s="110"/>
      <c r="CL1578" s="110"/>
      <c r="CM1578" s="110"/>
      <c r="CN1578" s="110"/>
      <c r="CO1578" s="110"/>
      <c r="CP1578" s="110"/>
      <c r="CQ1578" s="110"/>
      <c r="CR1578" s="110"/>
      <c r="CS1578" s="110"/>
      <c r="CT1578" s="110"/>
      <c r="CU1578" s="110"/>
      <c r="CV1578" s="110"/>
      <c r="CW1578" s="110"/>
      <c r="CX1578" s="110"/>
      <c r="CY1578" s="110"/>
      <c r="CZ1578" s="110"/>
      <c r="DA1578" s="110"/>
      <c r="DB1578" s="110"/>
      <c r="DC1578" s="110"/>
      <c r="DD1578" s="110"/>
      <c r="DE1578" s="110"/>
      <c r="DF1578" s="110"/>
      <c r="DG1578" s="110"/>
      <c r="DH1578" s="110"/>
      <c r="DI1578" s="110"/>
      <c r="DJ1578" s="110"/>
      <c r="DK1578" s="110"/>
      <c r="DL1578" s="110"/>
      <c r="DM1578" s="110"/>
      <c r="DN1578" s="110"/>
      <c r="DO1578" s="110"/>
      <c r="DP1578" s="110"/>
      <c r="DQ1578" s="110"/>
      <c r="DR1578" s="110"/>
      <c r="DS1578" s="110"/>
      <c r="DT1578" s="110"/>
      <c r="DU1578" s="110"/>
      <c r="DV1578" s="110"/>
      <c r="DW1578" s="110"/>
      <c r="DX1578" s="110"/>
      <c r="DY1578" s="110"/>
      <c r="DZ1578" s="110"/>
      <c r="EA1578" s="110"/>
      <c r="EB1578" s="110"/>
      <c r="EC1578" s="110"/>
      <c r="ED1578" s="110"/>
      <c r="EF1578" s="264"/>
      <c r="EG1578" s="110"/>
      <c r="EH1578" s="110"/>
      <c r="EI1578" s="110"/>
      <c r="EJ1578" s="110"/>
      <c r="EK1578" s="266"/>
      <c r="EL1578" s="110"/>
      <c r="EM1578" s="110"/>
      <c r="EN1578" s="110"/>
      <c r="EO1578" s="110"/>
      <c r="EP1578" s="110"/>
      <c r="EQ1578" s="110"/>
      <c r="ER1578" s="110"/>
      <c r="ES1578" s="110"/>
      <c r="ET1578" s="110"/>
      <c r="EU1578" s="110"/>
      <c r="EV1578" s="110"/>
      <c r="EW1578" s="110"/>
      <c r="EX1578" s="110"/>
      <c r="EY1578" s="110"/>
      <c r="EZ1578" s="110"/>
      <c r="FA1578" s="110"/>
      <c r="FB1578" s="110"/>
      <c r="FC1578" s="110"/>
      <c r="FD1578" s="110"/>
      <c r="FE1578" s="110"/>
      <c r="FF1578" s="110"/>
      <c r="FG1578" s="110"/>
      <c r="FH1578" s="110"/>
      <c r="FI1578" s="110"/>
      <c r="FJ1578" s="110"/>
      <c r="FK1578" s="110"/>
      <c r="FL1578" s="110"/>
      <c r="FM1578" s="110"/>
      <c r="FN1578" s="110"/>
      <c r="FO1578" s="110"/>
      <c r="FP1578" s="110"/>
      <c r="FQ1578" s="110"/>
      <c r="FR1578" s="110"/>
      <c r="FS1578" s="110"/>
      <c r="FT1578" s="110"/>
      <c r="FU1578" s="110"/>
      <c r="FV1578" s="110"/>
      <c r="FW1578" s="110"/>
      <c r="FX1578" s="110"/>
      <c r="FY1578" s="110"/>
      <c r="FZ1578" s="110"/>
      <c r="GA1578" s="110"/>
      <c r="GB1578" s="110"/>
      <c r="GC1578" s="110"/>
      <c r="GD1578" s="110"/>
      <c r="GE1578" s="110"/>
      <c r="GF1578" s="110"/>
      <c r="GG1578" s="110"/>
      <c r="GH1578" s="110"/>
      <c r="GI1578" s="110"/>
      <c r="GJ1578" s="110"/>
      <c r="GK1578" s="110"/>
      <c r="GL1578" s="110"/>
      <c r="GM1578" s="110"/>
      <c r="GN1578" s="110"/>
      <c r="GO1578" s="110"/>
      <c r="GP1578" s="110"/>
      <c r="GQ1578" s="110"/>
      <c r="GR1578" s="110"/>
      <c r="GS1578" s="110"/>
      <c r="GT1578" s="110"/>
      <c r="GU1578" s="110"/>
      <c r="GV1578" s="110"/>
      <c r="GW1578" s="110"/>
      <c r="GX1578" s="110"/>
      <c r="GY1578" s="110"/>
      <c r="GZ1578" s="110"/>
      <c r="HA1578" s="110"/>
      <c r="HB1578" s="110"/>
      <c r="HC1578" s="110"/>
      <c r="HD1578" s="110"/>
      <c r="HE1578" s="110"/>
      <c r="HF1578" s="110"/>
      <c r="HG1578" s="110"/>
      <c r="HH1578" s="110"/>
      <c r="HI1578" s="110"/>
      <c r="HJ1578" s="110"/>
      <c r="HK1578" s="110"/>
      <c r="HL1578" s="110"/>
      <c r="HM1578" s="110"/>
      <c r="HN1578" s="110"/>
      <c r="HO1578" s="110"/>
      <c r="HP1578" s="110"/>
      <c r="HQ1578" s="110"/>
      <c r="HR1578" s="110"/>
      <c r="HS1578" s="110"/>
      <c r="HT1578" s="110"/>
      <c r="HU1578" s="110"/>
      <c r="HV1578" s="110"/>
      <c r="HW1578" s="110"/>
      <c r="HX1578" s="110"/>
      <c r="HY1578" s="110"/>
      <c r="HZ1578" s="110"/>
      <c r="IA1578" s="110"/>
      <c r="IB1578" s="110"/>
      <c r="IC1578" s="110"/>
      <c r="ID1578" s="110"/>
      <c r="IE1578" s="110"/>
      <c r="IF1578" s="110"/>
      <c r="IG1578" s="110"/>
      <c r="IH1578" s="110"/>
      <c r="II1578" s="110"/>
      <c r="IJ1578" s="110"/>
      <c r="IK1578" s="110"/>
      <c r="IL1578" s="110"/>
      <c r="IM1578" s="110"/>
      <c r="IN1578" s="110"/>
      <c r="IO1578" s="110"/>
      <c r="IP1578" s="110"/>
      <c r="IQ1578" s="110"/>
      <c r="IR1578" s="110"/>
    </row>
    <row r="1579" spans="18:252" ht="16.5" hidden="1" customHeight="1">
      <c r="R1579" s="264"/>
      <c r="S1579" s="110"/>
      <c r="T1579" s="110"/>
      <c r="U1579" s="110"/>
      <c r="V1579" s="110"/>
      <c r="W1579" s="266"/>
      <c r="X1579" s="110"/>
      <c r="Y1579" s="110"/>
      <c r="Z1579" s="110"/>
      <c r="AA1579" s="110"/>
      <c r="AB1579" s="110"/>
      <c r="AC1579" s="110"/>
      <c r="AD1579" s="110"/>
      <c r="AE1579" s="110"/>
      <c r="AF1579" s="110"/>
      <c r="AG1579" s="110"/>
      <c r="AH1579" s="110"/>
      <c r="AI1579" s="110"/>
      <c r="AJ1579" s="110"/>
      <c r="AK1579" s="110"/>
      <c r="AL1579" s="110"/>
      <c r="AM1579" s="110"/>
      <c r="AN1579" s="110"/>
      <c r="AO1579" s="110"/>
      <c r="AP1579" s="110"/>
      <c r="AQ1579" s="110"/>
      <c r="AR1579" s="110"/>
      <c r="AS1579" s="110"/>
      <c r="AT1579" s="110"/>
      <c r="AU1579" s="110"/>
      <c r="AV1579" s="110"/>
      <c r="AW1579" s="110"/>
      <c r="AX1579" s="110"/>
      <c r="AY1579" s="110"/>
      <c r="AZ1579" s="110"/>
      <c r="BA1579" s="110"/>
      <c r="BB1579" s="110"/>
      <c r="BC1579" s="110"/>
      <c r="BD1579" s="110"/>
      <c r="BE1579" s="110"/>
      <c r="BF1579" s="110"/>
      <c r="BG1579" s="110"/>
      <c r="BH1579" s="110"/>
      <c r="BI1579" s="110"/>
      <c r="BJ1579" s="110"/>
      <c r="BK1579" s="110"/>
      <c r="BL1579" s="110"/>
      <c r="BM1579" s="110"/>
      <c r="BN1579" s="110"/>
      <c r="BO1579" s="110"/>
      <c r="BP1579" s="110"/>
      <c r="BQ1579" s="110"/>
      <c r="BR1579" s="110"/>
      <c r="BS1579" s="110"/>
      <c r="BT1579" s="110"/>
      <c r="BU1579" s="110"/>
      <c r="BV1579" s="110"/>
      <c r="BW1579" s="110"/>
      <c r="BX1579" s="110"/>
      <c r="BY1579" s="110"/>
      <c r="BZ1579" s="110"/>
      <c r="CA1579" s="110"/>
      <c r="CB1579" s="110"/>
      <c r="CC1579" s="110"/>
      <c r="CD1579" s="110"/>
      <c r="CE1579" s="110"/>
      <c r="CF1579" s="110"/>
      <c r="CG1579" s="110"/>
      <c r="CH1579" s="110"/>
      <c r="CI1579" s="110"/>
      <c r="CJ1579" s="110"/>
      <c r="CK1579" s="110"/>
      <c r="CL1579" s="110"/>
      <c r="CM1579" s="110"/>
      <c r="CN1579" s="110"/>
      <c r="CO1579" s="110"/>
      <c r="CP1579" s="110"/>
      <c r="CQ1579" s="110"/>
      <c r="CR1579" s="110"/>
      <c r="CS1579" s="110"/>
      <c r="CT1579" s="110"/>
      <c r="CU1579" s="110"/>
      <c r="CV1579" s="110"/>
      <c r="CW1579" s="110"/>
      <c r="CX1579" s="110"/>
      <c r="CY1579" s="110"/>
      <c r="CZ1579" s="110"/>
      <c r="DA1579" s="110"/>
      <c r="DB1579" s="110"/>
      <c r="DC1579" s="110"/>
      <c r="DD1579" s="110"/>
      <c r="DE1579" s="110"/>
      <c r="DF1579" s="110"/>
      <c r="DG1579" s="110"/>
      <c r="DH1579" s="110"/>
      <c r="DI1579" s="110"/>
      <c r="DJ1579" s="110"/>
      <c r="DK1579" s="110"/>
      <c r="DL1579" s="110"/>
      <c r="DM1579" s="110"/>
      <c r="DN1579" s="110"/>
      <c r="DO1579" s="110"/>
      <c r="DP1579" s="110"/>
      <c r="DQ1579" s="110"/>
      <c r="DR1579" s="110"/>
      <c r="DS1579" s="110"/>
      <c r="DT1579" s="110"/>
      <c r="DU1579" s="110"/>
      <c r="DV1579" s="110"/>
      <c r="DW1579" s="110"/>
      <c r="DX1579" s="110"/>
      <c r="DY1579" s="110"/>
      <c r="DZ1579" s="110"/>
      <c r="EA1579" s="110"/>
      <c r="EB1579" s="110"/>
      <c r="EC1579" s="110"/>
      <c r="ED1579" s="110"/>
      <c r="EF1579" s="264"/>
      <c r="EG1579" s="110"/>
      <c r="EH1579" s="110"/>
      <c r="EI1579" s="110"/>
      <c r="EJ1579" s="110"/>
      <c r="EK1579" s="266"/>
      <c r="EL1579" s="110"/>
      <c r="EM1579" s="110"/>
      <c r="EN1579" s="110"/>
      <c r="EO1579" s="110"/>
      <c r="EP1579" s="110"/>
      <c r="EQ1579" s="110"/>
      <c r="ER1579" s="110"/>
      <c r="ES1579" s="110"/>
      <c r="ET1579" s="110"/>
      <c r="EU1579" s="110"/>
      <c r="EV1579" s="110"/>
      <c r="EW1579" s="110"/>
      <c r="EX1579" s="110"/>
      <c r="EY1579" s="110"/>
      <c r="EZ1579" s="110"/>
      <c r="FA1579" s="110"/>
      <c r="FB1579" s="110"/>
      <c r="FC1579" s="110"/>
      <c r="FD1579" s="110"/>
      <c r="FE1579" s="110"/>
      <c r="FF1579" s="110"/>
      <c r="FG1579" s="110"/>
      <c r="FH1579" s="110"/>
      <c r="FI1579" s="110"/>
      <c r="FJ1579" s="110"/>
      <c r="FK1579" s="110"/>
      <c r="FL1579" s="110"/>
      <c r="FM1579" s="110"/>
      <c r="FN1579" s="110"/>
      <c r="FO1579" s="110"/>
      <c r="FP1579" s="110"/>
      <c r="FQ1579" s="110"/>
      <c r="FR1579" s="110"/>
      <c r="FS1579" s="110"/>
      <c r="FT1579" s="110"/>
      <c r="FU1579" s="110"/>
      <c r="FV1579" s="110"/>
      <c r="FW1579" s="110"/>
      <c r="FX1579" s="110"/>
      <c r="FY1579" s="110"/>
      <c r="FZ1579" s="110"/>
      <c r="GA1579" s="110"/>
      <c r="GB1579" s="110"/>
      <c r="GC1579" s="110"/>
      <c r="GD1579" s="110"/>
      <c r="GE1579" s="110"/>
      <c r="GF1579" s="110"/>
      <c r="GG1579" s="110"/>
      <c r="GH1579" s="110"/>
      <c r="GI1579" s="110"/>
      <c r="GJ1579" s="110"/>
      <c r="GK1579" s="110"/>
      <c r="GL1579" s="110"/>
      <c r="GM1579" s="110"/>
      <c r="GN1579" s="110"/>
      <c r="GO1579" s="110"/>
      <c r="GP1579" s="110"/>
      <c r="GQ1579" s="110"/>
      <c r="GR1579" s="110"/>
      <c r="GS1579" s="110"/>
      <c r="GT1579" s="110"/>
      <c r="GU1579" s="110"/>
      <c r="GV1579" s="110"/>
      <c r="GW1579" s="110"/>
      <c r="GX1579" s="110"/>
      <c r="GY1579" s="110"/>
      <c r="GZ1579" s="110"/>
      <c r="HA1579" s="110"/>
      <c r="HB1579" s="110"/>
      <c r="HC1579" s="110"/>
      <c r="HD1579" s="110"/>
      <c r="HE1579" s="110"/>
      <c r="HF1579" s="110"/>
      <c r="HG1579" s="110"/>
      <c r="HH1579" s="110"/>
      <c r="HI1579" s="110"/>
      <c r="HJ1579" s="110"/>
      <c r="HK1579" s="110"/>
      <c r="HL1579" s="110"/>
      <c r="HM1579" s="110"/>
      <c r="HN1579" s="110"/>
      <c r="HO1579" s="110"/>
      <c r="HP1579" s="110"/>
      <c r="HQ1579" s="110"/>
      <c r="HR1579" s="110"/>
      <c r="HS1579" s="110"/>
      <c r="HT1579" s="110"/>
      <c r="HU1579" s="110"/>
      <c r="HV1579" s="110"/>
      <c r="HW1579" s="110"/>
      <c r="HX1579" s="110"/>
      <c r="HY1579" s="110"/>
      <c r="HZ1579" s="110"/>
      <c r="IA1579" s="110"/>
      <c r="IB1579" s="110"/>
      <c r="IC1579" s="110"/>
      <c r="ID1579" s="110"/>
      <c r="IE1579" s="110"/>
      <c r="IF1579" s="110"/>
      <c r="IG1579" s="110"/>
      <c r="IH1579" s="110"/>
      <c r="II1579" s="110"/>
      <c r="IJ1579" s="110"/>
      <c r="IK1579" s="110"/>
      <c r="IL1579" s="110"/>
      <c r="IM1579" s="110"/>
      <c r="IN1579" s="110"/>
      <c r="IO1579" s="110"/>
      <c r="IP1579" s="110"/>
      <c r="IQ1579" s="110"/>
      <c r="IR1579" s="110"/>
    </row>
    <row r="1580" spans="18:252" ht="16.5" hidden="1" customHeight="1">
      <c r="R1580" s="264"/>
      <c r="S1580" s="110"/>
      <c r="T1580" s="110"/>
      <c r="U1580" s="110"/>
      <c r="V1580" s="110"/>
      <c r="W1580" s="266"/>
      <c r="X1580" s="110"/>
      <c r="Y1580" s="110"/>
      <c r="Z1580" s="110"/>
      <c r="AA1580" s="110"/>
      <c r="AB1580" s="110"/>
      <c r="AC1580" s="110"/>
      <c r="AD1580" s="110"/>
      <c r="AE1580" s="110"/>
      <c r="AF1580" s="110"/>
      <c r="AG1580" s="110"/>
      <c r="AH1580" s="110"/>
      <c r="AI1580" s="110"/>
      <c r="AJ1580" s="110"/>
      <c r="AK1580" s="110"/>
      <c r="AL1580" s="110"/>
      <c r="AM1580" s="110"/>
      <c r="AN1580" s="110"/>
      <c r="AO1580" s="110"/>
      <c r="AP1580" s="110"/>
      <c r="AQ1580" s="110"/>
      <c r="AR1580" s="110"/>
      <c r="AS1580" s="110"/>
      <c r="AT1580" s="110"/>
      <c r="AU1580" s="110"/>
      <c r="AV1580" s="110"/>
      <c r="AW1580" s="110"/>
      <c r="AX1580" s="110"/>
      <c r="AY1580" s="110"/>
      <c r="AZ1580" s="110"/>
      <c r="BA1580" s="110"/>
      <c r="BB1580" s="110"/>
      <c r="BC1580" s="110"/>
      <c r="BD1580" s="110"/>
      <c r="BE1580" s="110"/>
      <c r="BF1580" s="110"/>
      <c r="BG1580" s="110"/>
      <c r="BH1580" s="110"/>
      <c r="BI1580" s="110"/>
      <c r="BJ1580" s="110"/>
      <c r="BK1580" s="110"/>
      <c r="BL1580" s="110"/>
      <c r="BM1580" s="110"/>
      <c r="BN1580" s="110"/>
      <c r="BO1580" s="110"/>
      <c r="BP1580" s="110"/>
      <c r="BQ1580" s="110"/>
      <c r="BR1580" s="110"/>
      <c r="BS1580" s="110"/>
      <c r="BT1580" s="110"/>
      <c r="BU1580" s="110"/>
      <c r="BV1580" s="110"/>
      <c r="BW1580" s="110"/>
      <c r="BX1580" s="110"/>
      <c r="BY1580" s="110"/>
      <c r="BZ1580" s="110"/>
      <c r="CA1580" s="110"/>
      <c r="CB1580" s="110"/>
      <c r="CC1580" s="110"/>
      <c r="CD1580" s="110"/>
      <c r="CE1580" s="110"/>
      <c r="CF1580" s="110"/>
      <c r="CG1580" s="110"/>
      <c r="CH1580" s="110"/>
      <c r="CI1580" s="110"/>
      <c r="CJ1580" s="110"/>
      <c r="CK1580" s="110"/>
      <c r="CL1580" s="110"/>
      <c r="CM1580" s="110"/>
      <c r="CN1580" s="110"/>
      <c r="CO1580" s="110"/>
      <c r="CP1580" s="110"/>
      <c r="CQ1580" s="110"/>
      <c r="CR1580" s="110"/>
      <c r="CS1580" s="110"/>
      <c r="CT1580" s="110"/>
      <c r="CU1580" s="110"/>
      <c r="CV1580" s="110"/>
      <c r="CW1580" s="110"/>
      <c r="CX1580" s="110"/>
      <c r="CY1580" s="110"/>
      <c r="CZ1580" s="110"/>
      <c r="DA1580" s="110"/>
      <c r="DB1580" s="110"/>
      <c r="DC1580" s="110"/>
      <c r="DD1580" s="110"/>
      <c r="DE1580" s="110"/>
      <c r="DF1580" s="110"/>
      <c r="DG1580" s="110"/>
      <c r="DH1580" s="110"/>
      <c r="DI1580" s="110"/>
      <c r="DJ1580" s="110"/>
      <c r="DK1580" s="110"/>
      <c r="DL1580" s="110"/>
      <c r="DM1580" s="110"/>
      <c r="DN1580" s="110"/>
      <c r="DO1580" s="110"/>
      <c r="DP1580" s="110"/>
      <c r="DQ1580" s="110"/>
      <c r="DR1580" s="110"/>
      <c r="DS1580" s="110"/>
      <c r="DT1580" s="110"/>
      <c r="DU1580" s="110"/>
      <c r="DV1580" s="110"/>
      <c r="DW1580" s="110"/>
      <c r="DX1580" s="110"/>
      <c r="DY1580" s="110"/>
      <c r="DZ1580" s="110"/>
      <c r="EA1580" s="110"/>
      <c r="EB1580" s="110"/>
      <c r="EC1580" s="110"/>
      <c r="ED1580" s="110"/>
      <c r="EF1580" s="264"/>
      <c r="EG1580" s="110"/>
      <c r="EH1580" s="110"/>
      <c r="EI1580" s="110"/>
      <c r="EJ1580" s="110"/>
      <c r="EK1580" s="266"/>
      <c r="EL1580" s="110"/>
      <c r="EM1580" s="110"/>
      <c r="EN1580" s="110"/>
      <c r="EO1580" s="110"/>
      <c r="EP1580" s="110"/>
      <c r="EQ1580" s="110"/>
      <c r="ER1580" s="110"/>
      <c r="ES1580" s="110"/>
      <c r="ET1580" s="110"/>
      <c r="EU1580" s="110"/>
      <c r="EV1580" s="110"/>
      <c r="EW1580" s="110"/>
      <c r="EX1580" s="110"/>
      <c r="EY1580" s="110"/>
      <c r="EZ1580" s="110"/>
      <c r="FA1580" s="110"/>
      <c r="FB1580" s="110"/>
      <c r="FC1580" s="110"/>
      <c r="FD1580" s="110"/>
      <c r="FE1580" s="110"/>
      <c r="FF1580" s="110"/>
      <c r="FG1580" s="110"/>
      <c r="FH1580" s="110"/>
      <c r="FI1580" s="110"/>
      <c r="FJ1580" s="110"/>
      <c r="FK1580" s="110"/>
      <c r="FL1580" s="110"/>
      <c r="FM1580" s="110"/>
      <c r="FN1580" s="110"/>
      <c r="FO1580" s="110"/>
      <c r="FP1580" s="110"/>
      <c r="FQ1580" s="110"/>
      <c r="FR1580" s="110"/>
      <c r="FS1580" s="110"/>
      <c r="FT1580" s="110"/>
      <c r="FU1580" s="110"/>
      <c r="FV1580" s="110"/>
      <c r="FW1580" s="110"/>
      <c r="FX1580" s="110"/>
      <c r="FY1580" s="110"/>
      <c r="FZ1580" s="110"/>
      <c r="GA1580" s="110"/>
      <c r="GB1580" s="110"/>
      <c r="GC1580" s="110"/>
      <c r="GD1580" s="110"/>
      <c r="GE1580" s="110"/>
      <c r="GF1580" s="110"/>
      <c r="GG1580" s="110"/>
      <c r="GH1580" s="110"/>
      <c r="GI1580" s="110"/>
      <c r="GJ1580" s="110"/>
      <c r="GK1580" s="110"/>
      <c r="GL1580" s="110"/>
      <c r="GM1580" s="110"/>
      <c r="GN1580" s="110"/>
      <c r="GO1580" s="110"/>
      <c r="GP1580" s="110"/>
      <c r="GQ1580" s="110"/>
      <c r="GR1580" s="110"/>
      <c r="GS1580" s="110"/>
      <c r="GT1580" s="110"/>
      <c r="GU1580" s="110"/>
      <c r="GV1580" s="110"/>
      <c r="GW1580" s="110"/>
      <c r="GX1580" s="110"/>
      <c r="GY1580" s="110"/>
      <c r="GZ1580" s="110"/>
      <c r="HA1580" s="110"/>
      <c r="HB1580" s="110"/>
      <c r="HC1580" s="110"/>
      <c r="HD1580" s="110"/>
      <c r="HE1580" s="110"/>
      <c r="HF1580" s="110"/>
      <c r="HG1580" s="110"/>
      <c r="HH1580" s="110"/>
      <c r="HI1580" s="110"/>
      <c r="HJ1580" s="110"/>
      <c r="HK1580" s="110"/>
      <c r="HL1580" s="110"/>
      <c r="HM1580" s="110"/>
      <c r="HN1580" s="110"/>
      <c r="HO1580" s="110"/>
      <c r="HP1580" s="110"/>
      <c r="HQ1580" s="110"/>
      <c r="HR1580" s="110"/>
      <c r="HS1580" s="110"/>
      <c r="HT1580" s="110"/>
      <c r="HU1580" s="110"/>
      <c r="HV1580" s="110"/>
      <c r="HW1580" s="110"/>
      <c r="HX1580" s="110"/>
      <c r="HY1580" s="110"/>
      <c r="HZ1580" s="110"/>
      <c r="IA1580" s="110"/>
      <c r="IB1580" s="110"/>
      <c r="IC1580" s="110"/>
      <c r="ID1580" s="110"/>
      <c r="IE1580" s="110"/>
      <c r="IF1580" s="110"/>
      <c r="IG1580" s="110"/>
      <c r="IH1580" s="110"/>
      <c r="II1580" s="110"/>
      <c r="IJ1580" s="110"/>
      <c r="IK1580" s="110"/>
      <c r="IL1580" s="110"/>
      <c r="IM1580" s="110"/>
      <c r="IN1580" s="110"/>
      <c r="IO1580" s="110"/>
      <c r="IP1580" s="110"/>
      <c r="IQ1580" s="110"/>
      <c r="IR1580" s="110"/>
    </row>
    <row r="1581" spans="18:252" ht="16.5" hidden="1" customHeight="1">
      <c r="R1581" s="264"/>
      <c r="S1581" s="110"/>
      <c r="T1581" s="110"/>
      <c r="U1581" s="110"/>
      <c r="V1581" s="110"/>
      <c r="W1581" s="266"/>
      <c r="X1581" s="110"/>
      <c r="Y1581" s="110"/>
      <c r="Z1581" s="110"/>
      <c r="AA1581" s="110"/>
      <c r="AB1581" s="110"/>
      <c r="AC1581" s="110"/>
      <c r="AD1581" s="110"/>
      <c r="AE1581" s="110"/>
      <c r="AF1581" s="110"/>
      <c r="AG1581" s="110"/>
      <c r="AH1581" s="110"/>
      <c r="AI1581" s="110"/>
      <c r="AJ1581" s="110"/>
      <c r="AK1581" s="110"/>
      <c r="AL1581" s="110"/>
      <c r="AM1581" s="110"/>
      <c r="AN1581" s="110"/>
      <c r="AO1581" s="110"/>
      <c r="AP1581" s="110"/>
      <c r="AQ1581" s="110"/>
      <c r="AR1581" s="110"/>
      <c r="AS1581" s="110"/>
      <c r="AT1581" s="110"/>
      <c r="AU1581" s="110"/>
      <c r="AV1581" s="110"/>
      <c r="AW1581" s="110"/>
      <c r="AX1581" s="110"/>
      <c r="AY1581" s="110"/>
      <c r="AZ1581" s="110"/>
      <c r="BA1581" s="110"/>
      <c r="BB1581" s="110"/>
      <c r="BC1581" s="110"/>
      <c r="BD1581" s="110"/>
      <c r="BE1581" s="110"/>
      <c r="BF1581" s="110"/>
      <c r="BG1581" s="110"/>
      <c r="BH1581" s="110"/>
      <c r="BI1581" s="110"/>
      <c r="BJ1581" s="110"/>
      <c r="BK1581" s="110"/>
      <c r="BL1581" s="110"/>
      <c r="BM1581" s="110"/>
      <c r="BN1581" s="110"/>
      <c r="BO1581" s="110"/>
      <c r="BP1581" s="110"/>
      <c r="BQ1581" s="110"/>
      <c r="BR1581" s="110"/>
      <c r="BS1581" s="110"/>
      <c r="BT1581" s="110"/>
      <c r="BU1581" s="110"/>
      <c r="BV1581" s="110"/>
      <c r="BW1581" s="110"/>
      <c r="BX1581" s="110"/>
      <c r="BY1581" s="110"/>
      <c r="BZ1581" s="110"/>
      <c r="CA1581" s="110"/>
      <c r="CB1581" s="110"/>
      <c r="CC1581" s="110"/>
      <c r="CD1581" s="110"/>
      <c r="CE1581" s="110"/>
      <c r="CF1581" s="110"/>
      <c r="CG1581" s="110"/>
      <c r="CH1581" s="110"/>
      <c r="CI1581" s="110"/>
      <c r="CJ1581" s="110"/>
      <c r="CK1581" s="110"/>
      <c r="CL1581" s="110"/>
      <c r="CM1581" s="110"/>
      <c r="CN1581" s="110"/>
      <c r="CO1581" s="110"/>
      <c r="CP1581" s="110"/>
      <c r="CQ1581" s="110"/>
      <c r="CR1581" s="110"/>
      <c r="CS1581" s="110"/>
      <c r="CT1581" s="110"/>
      <c r="CU1581" s="110"/>
      <c r="CV1581" s="110"/>
      <c r="CW1581" s="110"/>
      <c r="CX1581" s="110"/>
      <c r="CY1581" s="110"/>
      <c r="CZ1581" s="110"/>
      <c r="DA1581" s="110"/>
      <c r="DB1581" s="110"/>
      <c r="DC1581" s="110"/>
      <c r="DD1581" s="110"/>
      <c r="DE1581" s="110"/>
      <c r="DF1581" s="110"/>
      <c r="DG1581" s="110"/>
      <c r="DH1581" s="110"/>
      <c r="DI1581" s="110"/>
      <c r="DJ1581" s="110"/>
      <c r="DK1581" s="110"/>
      <c r="DL1581" s="110"/>
      <c r="DM1581" s="110"/>
      <c r="DN1581" s="110"/>
      <c r="DO1581" s="110"/>
      <c r="DP1581" s="110"/>
      <c r="DQ1581" s="110"/>
      <c r="DR1581" s="110"/>
      <c r="DS1581" s="110"/>
      <c r="DT1581" s="110"/>
      <c r="DU1581" s="110"/>
      <c r="DV1581" s="110"/>
      <c r="DW1581" s="110"/>
      <c r="DX1581" s="110"/>
      <c r="DY1581" s="110"/>
      <c r="DZ1581" s="110"/>
      <c r="EA1581" s="110"/>
      <c r="EB1581" s="110"/>
      <c r="EC1581" s="110"/>
      <c r="ED1581" s="110"/>
      <c r="EF1581" s="264"/>
      <c r="EG1581" s="110"/>
      <c r="EH1581" s="110"/>
      <c r="EI1581" s="110"/>
      <c r="EJ1581" s="110"/>
      <c r="EK1581" s="266"/>
      <c r="EL1581" s="110"/>
      <c r="EM1581" s="110"/>
      <c r="EN1581" s="110"/>
      <c r="EO1581" s="110"/>
      <c r="EP1581" s="110"/>
      <c r="EQ1581" s="110"/>
      <c r="ER1581" s="110"/>
      <c r="ES1581" s="110"/>
      <c r="ET1581" s="110"/>
      <c r="EU1581" s="110"/>
      <c r="EV1581" s="110"/>
      <c r="EW1581" s="110"/>
      <c r="EX1581" s="110"/>
      <c r="EY1581" s="110"/>
      <c r="EZ1581" s="110"/>
      <c r="FA1581" s="110"/>
      <c r="FB1581" s="110"/>
      <c r="FC1581" s="110"/>
      <c r="FD1581" s="110"/>
      <c r="FE1581" s="110"/>
      <c r="FF1581" s="110"/>
      <c r="FG1581" s="110"/>
      <c r="FH1581" s="110"/>
      <c r="FI1581" s="110"/>
      <c r="FJ1581" s="110"/>
      <c r="FK1581" s="110"/>
      <c r="FL1581" s="110"/>
      <c r="FM1581" s="110"/>
      <c r="FN1581" s="110"/>
      <c r="FO1581" s="110"/>
      <c r="FP1581" s="110"/>
      <c r="FQ1581" s="110"/>
      <c r="FR1581" s="110"/>
      <c r="FS1581" s="110"/>
      <c r="FT1581" s="110"/>
      <c r="FU1581" s="110"/>
      <c r="FV1581" s="110"/>
      <c r="FW1581" s="110"/>
      <c r="FX1581" s="110"/>
      <c r="FY1581" s="110"/>
      <c r="FZ1581" s="110"/>
      <c r="GA1581" s="110"/>
      <c r="GB1581" s="110"/>
      <c r="GC1581" s="110"/>
      <c r="GD1581" s="110"/>
      <c r="GE1581" s="110"/>
      <c r="GF1581" s="110"/>
      <c r="GG1581" s="110"/>
      <c r="GH1581" s="110"/>
      <c r="GI1581" s="110"/>
      <c r="GJ1581" s="110"/>
      <c r="GK1581" s="110"/>
      <c r="GL1581" s="110"/>
      <c r="GM1581" s="110"/>
      <c r="GN1581" s="110"/>
      <c r="GO1581" s="110"/>
      <c r="GP1581" s="110"/>
      <c r="GQ1581" s="110"/>
      <c r="GR1581" s="110"/>
      <c r="GS1581" s="110"/>
      <c r="GT1581" s="110"/>
      <c r="GU1581" s="110"/>
      <c r="GV1581" s="110"/>
      <c r="GW1581" s="110"/>
      <c r="GX1581" s="110"/>
      <c r="GY1581" s="110"/>
      <c r="GZ1581" s="110"/>
      <c r="HA1581" s="110"/>
      <c r="HB1581" s="110"/>
      <c r="HC1581" s="110"/>
      <c r="HD1581" s="110"/>
      <c r="HE1581" s="110"/>
      <c r="HF1581" s="110"/>
      <c r="HG1581" s="110"/>
      <c r="HH1581" s="110"/>
      <c r="HI1581" s="110"/>
      <c r="HJ1581" s="110"/>
      <c r="HK1581" s="110"/>
      <c r="HL1581" s="110"/>
      <c r="HM1581" s="110"/>
      <c r="HN1581" s="110"/>
      <c r="HO1581" s="110"/>
      <c r="HP1581" s="110"/>
      <c r="HQ1581" s="110"/>
      <c r="HR1581" s="110"/>
      <c r="HS1581" s="110"/>
      <c r="HT1581" s="110"/>
      <c r="HU1581" s="110"/>
      <c r="HV1581" s="110"/>
      <c r="HW1581" s="110"/>
      <c r="HX1581" s="110"/>
      <c r="HY1581" s="110"/>
      <c r="HZ1581" s="110"/>
      <c r="IA1581" s="110"/>
      <c r="IB1581" s="110"/>
      <c r="IC1581" s="110"/>
      <c r="ID1581" s="110"/>
      <c r="IE1581" s="110"/>
      <c r="IF1581" s="110"/>
      <c r="IG1581" s="110"/>
      <c r="IH1581" s="110"/>
      <c r="II1581" s="110"/>
      <c r="IJ1581" s="110"/>
      <c r="IK1581" s="110"/>
      <c r="IL1581" s="110"/>
      <c r="IM1581" s="110"/>
      <c r="IN1581" s="110"/>
      <c r="IO1581" s="110"/>
      <c r="IP1581" s="110"/>
      <c r="IQ1581" s="110"/>
      <c r="IR1581" s="110"/>
    </row>
    <row r="1582" spans="18:252" ht="16.5" hidden="1" customHeight="1">
      <c r="R1582" s="264"/>
      <c r="S1582" s="110"/>
      <c r="T1582" s="110"/>
      <c r="U1582" s="110"/>
      <c r="V1582" s="110"/>
      <c r="W1582" s="266"/>
      <c r="X1582" s="110"/>
      <c r="Y1582" s="110"/>
      <c r="Z1582" s="110"/>
      <c r="AA1582" s="110"/>
      <c r="AB1582" s="110"/>
      <c r="AC1582" s="110"/>
      <c r="AD1582" s="110"/>
      <c r="AE1582" s="110"/>
      <c r="AF1582" s="110"/>
      <c r="AG1582" s="110"/>
      <c r="AH1582" s="110"/>
      <c r="AI1582" s="110"/>
      <c r="AJ1582" s="110"/>
      <c r="AK1582" s="110"/>
      <c r="AL1582" s="110"/>
      <c r="AM1582" s="110"/>
      <c r="AN1582" s="110"/>
      <c r="AO1582" s="110"/>
      <c r="AP1582" s="110"/>
      <c r="AQ1582" s="110"/>
      <c r="AR1582" s="110"/>
      <c r="AS1582" s="110"/>
      <c r="AT1582" s="110"/>
      <c r="AU1582" s="110"/>
      <c r="AV1582" s="110"/>
      <c r="AW1582" s="110"/>
      <c r="AX1582" s="110"/>
      <c r="AY1582" s="110"/>
      <c r="AZ1582" s="110"/>
      <c r="BA1582" s="110"/>
      <c r="BB1582" s="110"/>
      <c r="BC1582" s="110"/>
      <c r="BD1582" s="110"/>
      <c r="BE1582" s="110"/>
      <c r="BF1582" s="110"/>
      <c r="BG1582" s="110"/>
      <c r="BH1582" s="110"/>
      <c r="BI1582" s="110"/>
      <c r="BJ1582" s="110"/>
      <c r="BK1582" s="110"/>
      <c r="BL1582" s="110"/>
      <c r="BM1582" s="110"/>
      <c r="BN1582" s="110"/>
      <c r="BO1582" s="110"/>
      <c r="BP1582" s="110"/>
      <c r="BQ1582" s="110"/>
      <c r="BR1582" s="110"/>
      <c r="BS1582" s="110"/>
      <c r="BT1582" s="110"/>
      <c r="BU1582" s="110"/>
      <c r="BV1582" s="110"/>
      <c r="BW1582" s="110"/>
      <c r="BX1582" s="110"/>
      <c r="BY1582" s="110"/>
      <c r="BZ1582" s="110"/>
      <c r="CA1582" s="110"/>
      <c r="CB1582" s="110"/>
      <c r="CC1582" s="110"/>
      <c r="CD1582" s="110"/>
      <c r="CE1582" s="110"/>
      <c r="CF1582" s="110"/>
      <c r="CG1582" s="110"/>
      <c r="CH1582" s="110"/>
      <c r="CI1582" s="110"/>
      <c r="CJ1582" s="110"/>
      <c r="CK1582" s="110"/>
      <c r="CL1582" s="110"/>
      <c r="CM1582" s="110"/>
      <c r="CN1582" s="110"/>
      <c r="CO1582" s="110"/>
      <c r="CP1582" s="110"/>
      <c r="CQ1582" s="110"/>
      <c r="CR1582" s="110"/>
      <c r="CS1582" s="110"/>
      <c r="CT1582" s="110"/>
      <c r="CU1582" s="110"/>
      <c r="CV1582" s="110"/>
      <c r="CW1582" s="110"/>
      <c r="CX1582" s="110"/>
      <c r="CY1582" s="110"/>
      <c r="CZ1582" s="110"/>
      <c r="DA1582" s="110"/>
      <c r="DB1582" s="110"/>
      <c r="DC1582" s="110"/>
      <c r="DD1582" s="110"/>
      <c r="DE1582" s="110"/>
      <c r="DF1582" s="110"/>
      <c r="DG1582" s="110"/>
      <c r="DH1582" s="110"/>
      <c r="DI1582" s="110"/>
      <c r="DJ1582" s="110"/>
      <c r="DK1582" s="110"/>
      <c r="DL1582" s="110"/>
      <c r="DM1582" s="110"/>
      <c r="DN1582" s="110"/>
      <c r="DO1582" s="110"/>
      <c r="DP1582" s="110"/>
      <c r="DQ1582" s="110"/>
      <c r="DR1582" s="110"/>
      <c r="DS1582" s="110"/>
      <c r="DT1582" s="110"/>
      <c r="DU1582" s="110"/>
      <c r="DV1582" s="110"/>
      <c r="DW1582" s="110"/>
      <c r="DX1582" s="110"/>
      <c r="DY1582" s="110"/>
      <c r="DZ1582" s="110"/>
      <c r="EA1582" s="110"/>
      <c r="EB1582" s="110"/>
      <c r="EC1582" s="110"/>
      <c r="ED1582" s="110"/>
      <c r="EF1582" s="264"/>
      <c r="EG1582" s="110"/>
      <c r="EH1582" s="110"/>
      <c r="EI1582" s="110"/>
      <c r="EJ1582" s="110"/>
      <c r="EK1582" s="266"/>
      <c r="EL1582" s="110"/>
      <c r="EM1582" s="110"/>
      <c r="EN1582" s="110"/>
      <c r="EO1582" s="110"/>
      <c r="EP1582" s="110"/>
      <c r="EQ1582" s="110"/>
      <c r="ER1582" s="110"/>
      <c r="ES1582" s="110"/>
      <c r="ET1582" s="110"/>
      <c r="EU1582" s="110"/>
      <c r="EV1582" s="110"/>
      <c r="EW1582" s="110"/>
      <c r="EX1582" s="110"/>
      <c r="EY1582" s="110"/>
      <c r="EZ1582" s="110"/>
      <c r="FA1582" s="110"/>
      <c r="FB1582" s="110"/>
      <c r="FC1582" s="110"/>
      <c r="FD1582" s="110"/>
      <c r="FE1582" s="110"/>
      <c r="FF1582" s="110"/>
      <c r="FG1582" s="110"/>
      <c r="FH1582" s="110"/>
      <c r="FI1582" s="110"/>
      <c r="FJ1582" s="110"/>
      <c r="FK1582" s="110"/>
      <c r="FL1582" s="110"/>
      <c r="FM1582" s="110"/>
      <c r="FN1582" s="110"/>
      <c r="FO1582" s="110"/>
      <c r="FP1582" s="110"/>
      <c r="FQ1582" s="110"/>
      <c r="FR1582" s="110"/>
      <c r="FS1582" s="110"/>
      <c r="FT1582" s="110"/>
      <c r="FU1582" s="110"/>
      <c r="FV1582" s="110"/>
      <c r="FW1582" s="110"/>
      <c r="FX1582" s="110"/>
      <c r="FY1582" s="110"/>
      <c r="FZ1582" s="110"/>
      <c r="GA1582" s="110"/>
      <c r="GB1582" s="110"/>
      <c r="GC1582" s="110"/>
      <c r="GD1582" s="110"/>
      <c r="GE1582" s="110"/>
      <c r="GF1582" s="110"/>
      <c r="GG1582" s="110"/>
      <c r="GH1582" s="110"/>
      <c r="GI1582" s="110"/>
      <c r="GJ1582" s="110"/>
      <c r="GK1582" s="110"/>
      <c r="GL1582" s="110"/>
      <c r="GM1582" s="110"/>
      <c r="GN1582" s="110"/>
      <c r="GO1582" s="110"/>
      <c r="GP1582" s="110"/>
      <c r="GQ1582" s="110"/>
      <c r="GR1582" s="110"/>
      <c r="GS1582" s="110"/>
      <c r="GT1582" s="110"/>
      <c r="GU1582" s="110"/>
      <c r="GV1582" s="110"/>
      <c r="GW1582" s="110"/>
      <c r="GX1582" s="110"/>
      <c r="GY1582" s="110"/>
      <c r="GZ1582" s="110"/>
      <c r="HA1582" s="110"/>
      <c r="HB1582" s="110"/>
      <c r="HC1582" s="110"/>
      <c r="HD1582" s="110"/>
      <c r="HE1582" s="110"/>
      <c r="HF1582" s="110"/>
      <c r="HG1582" s="110"/>
      <c r="HH1582" s="110"/>
      <c r="HI1582" s="110"/>
      <c r="HJ1582" s="110"/>
      <c r="HK1582" s="110"/>
      <c r="HL1582" s="110"/>
      <c r="HM1582" s="110"/>
      <c r="HN1582" s="110"/>
      <c r="HO1582" s="110"/>
      <c r="HP1582" s="110"/>
      <c r="HQ1582" s="110"/>
      <c r="HR1582" s="110"/>
      <c r="HS1582" s="110"/>
      <c r="HT1582" s="110"/>
      <c r="HU1582" s="110"/>
      <c r="HV1582" s="110"/>
      <c r="HW1582" s="110"/>
      <c r="HX1582" s="110"/>
      <c r="HY1582" s="110"/>
      <c r="HZ1582" s="110"/>
      <c r="IA1582" s="110"/>
      <c r="IB1582" s="110"/>
      <c r="IC1582" s="110"/>
      <c r="ID1582" s="110"/>
      <c r="IE1582" s="110"/>
      <c r="IF1582" s="110"/>
      <c r="IG1582" s="110"/>
      <c r="IH1582" s="110"/>
      <c r="II1582" s="110"/>
      <c r="IJ1582" s="110"/>
      <c r="IK1582" s="110"/>
      <c r="IL1582" s="110"/>
      <c r="IM1582" s="110"/>
      <c r="IN1582" s="110"/>
      <c r="IO1582" s="110"/>
      <c r="IP1582" s="110"/>
      <c r="IQ1582" s="110"/>
      <c r="IR1582" s="110"/>
    </row>
    <row r="1583" spans="18:252" ht="16.5" hidden="1" customHeight="1">
      <c r="R1583" s="264"/>
      <c r="S1583" s="110"/>
      <c r="T1583" s="110"/>
      <c r="U1583" s="110"/>
      <c r="V1583" s="110"/>
      <c r="W1583" s="266"/>
      <c r="X1583" s="110"/>
      <c r="Y1583" s="110"/>
      <c r="Z1583" s="110"/>
      <c r="AA1583" s="110"/>
      <c r="AB1583" s="110"/>
      <c r="AC1583" s="110"/>
      <c r="AD1583" s="110"/>
      <c r="AE1583" s="110"/>
      <c r="AF1583" s="110"/>
      <c r="AG1583" s="110"/>
      <c r="AH1583" s="110"/>
      <c r="AI1583" s="110"/>
      <c r="AJ1583" s="110"/>
      <c r="AK1583" s="110"/>
      <c r="AL1583" s="110"/>
      <c r="AM1583" s="110"/>
      <c r="AN1583" s="110"/>
      <c r="AO1583" s="110"/>
      <c r="AP1583" s="110"/>
      <c r="AQ1583" s="110"/>
      <c r="AR1583" s="110"/>
      <c r="AS1583" s="110"/>
      <c r="AT1583" s="110"/>
      <c r="AU1583" s="110"/>
      <c r="AV1583" s="110"/>
      <c r="AW1583" s="110"/>
      <c r="AX1583" s="110"/>
      <c r="AY1583" s="110"/>
      <c r="AZ1583" s="110"/>
      <c r="BA1583" s="110"/>
      <c r="BB1583" s="110"/>
      <c r="BC1583" s="110"/>
      <c r="BD1583" s="110"/>
      <c r="BE1583" s="110"/>
      <c r="BF1583" s="110"/>
      <c r="BG1583" s="110"/>
      <c r="BH1583" s="110"/>
      <c r="BI1583" s="110"/>
      <c r="BJ1583" s="110"/>
      <c r="BK1583" s="110"/>
      <c r="BL1583" s="110"/>
      <c r="BM1583" s="110"/>
      <c r="BN1583" s="110"/>
      <c r="BO1583" s="110"/>
      <c r="BP1583" s="110"/>
      <c r="BQ1583" s="110"/>
      <c r="BR1583" s="110"/>
      <c r="BS1583" s="110"/>
      <c r="BT1583" s="110"/>
      <c r="BU1583" s="110"/>
      <c r="BV1583" s="110"/>
      <c r="BW1583" s="110"/>
      <c r="BX1583" s="110"/>
      <c r="BY1583" s="110"/>
      <c r="BZ1583" s="110"/>
      <c r="CA1583" s="110"/>
      <c r="CB1583" s="110"/>
      <c r="CC1583" s="110"/>
      <c r="CD1583" s="110"/>
      <c r="CE1583" s="110"/>
      <c r="CF1583" s="110"/>
      <c r="CG1583" s="110"/>
      <c r="CH1583" s="110"/>
      <c r="CI1583" s="110"/>
      <c r="CJ1583" s="110"/>
      <c r="CK1583" s="110"/>
      <c r="CL1583" s="110"/>
      <c r="CM1583" s="110"/>
      <c r="CN1583" s="110"/>
      <c r="CO1583" s="110"/>
      <c r="CP1583" s="110"/>
      <c r="CQ1583" s="110"/>
      <c r="CR1583" s="110"/>
      <c r="CS1583" s="110"/>
      <c r="CT1583" s="110"/>
      <c r="CU1583" s="110"/>
      <c r="CV1583" s="110"/>
      <c r="CW1583" s="110"/>
      <c r="CX1583" s="110"/>
      <c r="CY1583" s="110"/>
      <c r="CZ1583" s="110"/>
      <c r="DA1583" s="110"/>
      <c r="DB1583" s="110"/>
      <c r="DC1583" s="110"/>
      <c r="DD1583" s="110"/>
      <c r="DE1583" s="110"/>
      <c r="DF1583" s="110"/>
      <c r="DG1583" s="110"/>
      <c r="DH1583" s="110"/>
      <c r="DI1583" s="110"/>
      <c r="DJ1583" s="110"/>
      <c r="DK1583" s="110"/>
      <c r="DL1583" s="110"/>
      <c r="DM1583" s="110"/>
      <c r="DN1583" s="110"/>
      <c r="DO1583" s="110"/>
      <c r="DP1583" s="110"/>
      <c r="DQ1583" s="110"/>
      <c r="DR1583" s="110"/>
      <c r="DS1583" s="110"/>
      <c r="DT1583" s="110"/>
      <c r="DU1583" s="110"/>
      <c r="DV1583" s="110"/>
      <c r="DW1583" s="110"/>
      <c r="DX1583" s="110"/>
      <c r="DY1583" s="110"/>
      <c r="DZ1583" s="110"/>
      <c r="EA1583" s="110"/>
      <c r="EB1583" s="110"/>
      <c r="EC1583" s="110"/>
      <c r="ED1583" s="110"/>
      <c r="EF1583" s="264"/>
      <c r="EG1583" s="110"/>
      <c r="EH1583" s="110"/>
      <c r="EI1583" s="110"/>
      <c r="EJ1583" s="110"/>
      <c r="EK1583" s="266"/>
      <c r="EL1583" s="110"/>
      <c r="EM1583" s="110"/>
      <c r="EN1583" s="110"/>
      <c r="EO1583" s="110"/>
      <c r="EP1583" s="110"/>
      <c r="EQ1583" s="110"/>
      <c r="ER1583" s="110"/>
      <c r="ES1583" s="110"/>
      <c r="ET1583" s="110"/>
      <c r="EU1583" s="110"/>
      <c r="EV1583" s="110"/>
      <c r="EW1583" s="110"/>
      <c r="EX1583" s="110"/>
      <c r="EY1583" s="110"/>
      <c r="EZ1583" s="110"/>
      <c r="FA1583" s="110"/>
      <c r="FB1583" s="110"/>
      <c r="FC1583" s="110"/>
      <c r="FD1583" s="110"/>
      <c r="FE1583" s="110"/>
      <c r="FF1583" s="110"/>
      <c r="FG1583" s="110"/>
      <c r="FH1583" s="110"/>
      <c r="FI1583" s="110"/>
      <c r="FJ1583" s="110"/>
      <c r="FK1583" s="110"/>
      <c r="FL1583" s="110"/>
      <c r="FM1583" s="110"/>
      <c r="FN1583" s="110"/>
      <c r="FO1583" s="110"/>
      <c r="FP1583" s="110"/>
      <c r="FQ1583" s="110"/>
      <c r="FR1583" s="110"/>
      <c r="FS1583" s="110"/>
      <c r="FT1583" s="110"/>
      <c r="FU1583" s="110"/>
      <c r="FV1583" s="110"/>
      <c r="FW1583" s="110"/>
      <c r="FX1583" s="110"/>
      <c r="FY1583" s="110"/>
      <c r="FZ1583" s="110"/>
      <c r="GA1583" s="110"/>
      <c r="GB1583" s="110"/>
      <c r="GC1583" s="110"/>
      <c r="GD1583" s="110"/>
      <c r="GE1583" s="110"/>
      <c r="GF1583" s="110"/>
      <c r="GG1583" s="110"/>
      <c r="GH1583" s="110"/>
      <c r="GI1583" s="110"/>
      <c r="GJ1583" s="110"/>
      <c r="GK1583" s="110"/>
      <c r="GL1583" s="110"/>
      <c r="GM1583" s="110"/>
      <c r="GN1583" s="110"/>
      <c r="GO1583" s="110"/>
      <c r="GP1583" s="110"/>
      <c r="GQ1583" s="110"/>
      <c r="GR1583" s="110"/>
      <c r="GS1583" s="110"/>
      <c r="GT1583" s="110"/>
      <c r="GU1583" s="110"/>
      <c r="GV1583" s="110"/>
      <c r="GW1583" s="110"/>
      <c r="GX1583" s="110"/>
      <c r="GY1583" s="110"/>
      <c r="GZ1583" s="110"/>
      <c r="HA1583" s="110"/>
      <c r="HB1583" s="110"/>
      <c r="HC1583" s="110"/>
      <c r="HD1583" s="110"/>
      <c r="HE1583" s="110"/>
      <c r="HF1583" s="110"/>
      <c r="HG1583" s="110"/>
      <c r="HH1583" s="110"/>
      <c r="HI1583" s="110"/>
      <c r="HJ1583" s="110"/>
      <c r="HK1583" s="110"/>
      <c r="HL1583" s="110"/>
      <c r="HM1583" s="110"/>
      <c r="HN1583" s="110"/>
      <c r="HO1583" s="110"/>
      <c r="HP1583" s="110"/>
      <c r="HQ1583" s="110"/>
      <c r="HR1583" s="110"/>
      <c r="HS1583" s="110"/>
      <c r="HT1583" s="110"/>
      <c r="HU1583" s="110"/>
      <c r="HV1583" s="110"/>
      <c r="HW1583" s="110"/>
      <c r="HX1583" s="110"/>
      <c r="HY1583" s="110"/>
      <c r="HZ1583" s="110"/>
      <c r="IA1583" s="110"/>
      <c r="IB1583" s="110"/>
      <c r="IC1583" s="110"/>
      <c r="ID1583" s="110"/>
      <c r="IE1583" s="110"/>
      <c r="IF1583" s="110"/>
      <c r="IG1583" s="110"/>
      <c r="IH1583" s="110"/>
      <c r="II1583" s="110"/>
      <c r="IJ1583" s="110"/>
      <c r="IK1583" s="110"/>
      <c r="IL1583" s="110"/>
      <c r="IM1583" s="110"/>
      <c r="IN1583" s="110"/>
      <c r="IO1583" s="110"/>
      <c r="IP1583" s="110"/>
      <c r="IQ1583" s="110"/>
      <c r="IR1583" s="110"/>
    </row>
    <row r="1584" spans="18:252" ht="16.5" hidden="1" customHeight="1">
      <c r="R1584" s="264"/>
      <c r="S1584" s="110"/>
      <c r="T1584" s="110"/>
      <c r="U1584" s="110"/>
      <c r="V1584" s="110"/>
      <c r="W1584" s="266"/>
      <c r="X1584" s="110"/>
      <c r="Y1584" s="110"/>
      <c r="Z1584" s="110"/>
      <c r="AA1584" s="110"/>
      <c r="AB1584" s="110"/>
      <c r="AC1584" s="110"/>
      <c r="AD1584" s="110"/>
      <c r="AE1584" s="110"/>
      <c r="AF1584" s="110"/>
      <c r="AG1584" s="110"/>
      <c r="AH1584" s="110"/>
      <c r="AI1584" s="110"/>
      <c r="AJ1584" s="110"/>
      <c r="AK1584" s="110"/>
      <c r="AL1584" s="110"/>
      <c r="AM1584" s="110"/>
      <c r="AN1584" s="110"/>
      <c r="AO1584" s="110"/>
      <c r="AP1584" s="110"/>
      <c r="AQ1584" s="110"/>
      <c r="AR1584" s="110"/>
      <c r="AS1584" s="110"/>
      <c r="AT1584" s="110"/>
      <c r="AU1584" s="110"/>
      <c r="AV1584" s="110"/>
      <c r="AW1584" s="110"/>
      <c r="AX1584" s="110"/>
      <c r="AY1584" s="110"/>
      <c r="AZ1584" s="110"/>
      <c r="BA1584" s="110"/>
      <c r="BB1584" s="110"/>
      <c r="BC1584" s="110"/>
      <c r="BD1584" s="110"/>
      <c r="BE1584" s="110"/>
      <c r="BF1584" s="110"/>
      <c r="BG1584" s="110"/>
      <c r="BH1584" s="110"/>
      <c r="BI1584" s="110"/>
      <c r="BJ1584" s="110"/>
      <c r="BK1584" s="110"/>
      <c r="BL1584" s="110"/>
      <c r="BM1584" s="110"/>
      <c r="BN1584" s="110"/>
      <c r="BO1584" s="110"/>
      <c r="BP1584" s="110"/>
      <c r="BQ1584" s="110"/>
      <c r="BR1584" s="110"/>
      <c r="BS1584" s="110"/>
      <c r="BT1584" s="110"/>
      <c r="BU1584" s="110"/>
      <c r="BV1584" s="110"/>
      <c r="BW1584" s="110"/>
      <c r="BX1584" s="110"/>
      <c r="BY1584" s="110"/>
      <c r="BZ1584" s="110"/>
      <c r="CA1584" s="110"/>
      <c r="CB1584" s="110"/>
      <c r="CC1584" s="110"/>
      <c r="CD1584" s="110"/>
      <c r="CE1584" s="110"/>
      <c r="CF1584" s="110"/>
      <c r="CG1584" s="110"/>
      <c r="CH1584" s="110"/>
      <c r="CI1584" s="110"/>
      <c r="CJ1584" s="110"/>
      <c r="CK1584" s="110"/>
      <c r="CL1584" s="110"/>
      <c r="CM1584" s="110"/>
      <c r="CN1584" s="110"/>
      <c r="CO1584" s="110"/>
      <c r="CP1584" s="110"/>
      <c r="CQ1584" s="110"/>
      <c r="CR1584" s="110"/>
      <c r="CS1584" s="110"/>
      <c r="CT1584" s="110"/>
      <c r="CU1584" s="110"/>
      <c r="CV1584" s="110"/>
      <c r="CW1584" s="110"/>
      <c r="CX1584" s="110"/>
      <c r="CY1584" s="110"/>
      <c r="CZ1584" s="110"/>
      <c r="DA1584" s="110"/>
      <c r="DB1584" s="110"/>
      <c r="DC1584" s="110"/>
      <c r="DD1584" s="110"/>
      <c r="DE1584" s="110"/>
      <c r="DF1584" s="110"/>
      <c r="DG1584" s="110"/>
      <c r="DH1584" s="110"/>
      <c r="DI1584" s="110"/>
      <c r="DJ1584" s="110"/>
      <c r="DK1584" s="110"/>
      <c r="DL1584" s="110"/>
      <c r="DM1584" s="110"/>
      <c r="DN1584" s="110"/>
      <c r="DO1584" s="110"/>
      <c r="DP1584" s="110"/>
      <c r="DQ1584" s="110"/>
      <c r="DR1584" s="110"/>
      <c r="DS1584" s="110"/>
      <c r="DT1584" s="110"/>
      <c r="DU1584" s="110"/>
      <c r="DV1584" s="110"/>
      <c r="DW1584" s="110"/>
      <c r="DX1584" s="110"/>
      <c r="DY1584" s="110"/>
      <c r="DZ1584" s="110"/>
      <c r="EA1584" s="110"/>
      <c r="EB1584" s="110"/>
      <c r="EC1584" s="110"/>
      <c r="ED1584" s="110"/>
      <c r="EF1584" s="264"/>
      <c r="EG1584" s="110"/>
      <c r="EH1584" s="110"/>
      <c r="EI1584" s="110"/>
      <c r="EJ1584" s="110"/>
      <c r="EK1584" s="266"/>
      <c r="EL1584" s="110"/>
      <c r="EM1584" s="110"/>
      <c r="EN1584" s="110"/>
      <c r="EO1584" s="110"/>
      <c r="EP1584" s="110"/>
      <c r="EQ1584" s="110"/>
      <c r="ER1584" s="110"/>
      <c r="ES1584" s="110"/>
      <c r="ET1584" s="110"/>
      <c r="EU1584" s="110"/>
      <c r="EV1584" s="110"/>
      <c r="EW1584" s="110"/>
      <c r="EX1584" s="110"/>
      <c r="EY1584" s="110"/>
      <c r="EZ1584" s="110"/>
      <c r="FA1584" s="110"/>
      <c r="FB1584" s="110"/>
      <c r="FC1584" s="110"/>
      <c r="FD1584" s="110"/>
      <c r="FE1584" s="110"/>
      <c r="FF1584" s="110"/>
      <c r="FG1584" s="110"/>
      <c r="FH1584" s="110"/>
      <c r="FI1584" s="110"/>
      <c r="FJ1584" s="110"/>
      <c r="FK1584" s="110"/>
      <c r="FL1584" s="110"/>
      <c r="FM1584" s="110"/>
      <c r="FN1584" s="110"/>
      <c r="FO1584" s="110"/>
      <c r="FP1584" s="110"/>
      <c r="FQ1584" s="110"/>
      <c r="FR1584" s="110"/>
      <c r="FS1584" s="110"/>
      <c r="FT1584" s="110"/>
      <c r="FU1584" s="110"/>
      <c r="FV1584" s="110"/>
      <c r="FW1584" s="110"/>
      <c r="FX1584" s="110"/>
      <c r="FY1584" s="110"/>
      <c r="FZ1584" s="110"/>
      <c r="GA1584" s="110"/>
      <c r="GB1584" s="110"/>
      <c r="GC1584" s="110"/>
      <c r="GD1584" s="110"/>
      <c r="GE1584" s="110"/>
      <c r="GF1584" s="110"/>
      <c r="GG1584" s="110"/>
      <c r="GH1584" s="110"/>
      <c r="GI1584" s="110"/>
      <c r="GJ1584" s="110"/>
      <c r="GK1584" s="110"/>
      <c r="GL1584" s="110"/>
      <c r="GM1584" s="110"/>
      <c r="GN1584" s="110"/>
      <c r="GO1584" s="110"/>
      <c r="GP1584" s="110"/>
      <c r="GQ1584" s="110"/>
      <c r="GR1584" s="110"/>
      <c r="GS1584" s="110"/>
      <c r="GT1584" s="110"/>
      <c r="GU1584" s="110"/>
      <c r="GV1584" s="110"/>
      <c r="GW1584" s="110"/>
      <c r="GX1584" s="110"/>
      <c r="GY1584" s="110"/>
      <c r="GZ1584" s="110"/>
      <c r="HA1584" s="110"/>
      <c r="HB1584" s="110"/>
      <c r="HC1584" s="110"/>
      <c r="HD1584" s="110"/>
      <c r="HE1584" s="110"/>
      <c r="HF1584" s="110"/>
      <c r="HG1584" s="110"/>
      <c r="HH1584" s="110"/>
      <c r="HI1584" s="110"/>
      <c r="HJ1584" s="110"/>
      <c r="HK1584" s="110"/>
      <c r="HL1584" s="110"/>
      <c r="HM1584" s="110"/>
      <c r="HN1584" s="110"/>
      <c r="HO1584" s="110"/>
      <c r="HP1584" s="110"/>
      <c r="HQ1584" s="110"/>
      <c r="HR1584" s="110"/>
      <c r="HS1584" s="110"/>
      <c r="HT1584" s="110"/>
      <c r="HU1584" s="110"/>
      <c r="HV1584" s="110"/>
      <c r="HW1584" s="110"/>
      <c r="HX1584" s="110"/>
      <c r="HY1584" s="110"/>
      <c r="HZ1584" s="110"/>
      <c r="IA1584" s="110"/>
      <c r="IB1584" s="110"/>
      <c r="IC1584" s="110"/>
      <c r="ID1584" s="110"/>
      <c r="IE1584" s="110"/>
      <c r="IF1584" s="110"/>
      <c r="IG1584" s="110"/>
      <c r="IH1584" s="110"/>
      <c r="II1584" s="110"/>
      <c r="IJ1584" s="110"/>
      <c r="IK1584" s="110"/>
      <c r="IL1584" s="110"/>
      <c r="IM1584" s="110"/>
      <c r="IN1584" s="110"/>
      <c r="IO1584" s="110"/>
      <c r="IP1584" s="110"/>
      <c r="IQ1584" s="110"/>
      <c r="IR1584" s="110"/>
    </row>
    <row r="1585" spans="18:252" ht="16.5" hidden="1" customHeight="1">
      <c r="R1585" s="264"/>
      <c r="S1585" s="110"/>
      <c r="T1585" s="110"/>
      <c r="U1585" s="110"/>
      <c r="V1585" s="110"/>
      <c r="W1585" s="266"/>
      <c r="X1585" s="110"/>
      <c r="Y1585" s="110"/>
      <c r="Z1585" s="110"/>
      <c r="AA1585" s="110"/>
      <c r="AB1585" s="110"/>
      <c r="AC1585" s="110"/>
      <c r="AD1585" s="110"/>
      <c r="AE1585" s="110"/>
      <c r="AF1585" s="110"/>
      <c r="AG1585" s="110"/>
      <c r="AH1585" s="110"/>
      <c r="AI1585" s="110"/>
      <c r="AJ1585" s="110"/>
      <c r="AK1585" s="110"/>
      <c r="AL1585" s="110"/>
      <c r="AM1585" s="110"/>
      <c r="AN1585" s="110"/>
      <c r="AO1585" s="110"/>
      <c r="AP1585" s="110"/>
      <c r="AQ1585" s="110"/>
      <c r="AR1585" s="110"/>
      <c r="AS1585" s="110"/>
      <c r="AT1585" s="110"/>
      <c r="AU1585" s="110"/>
      <c r="AV1585" s="110"/>
      <c r="AW1585" s="110"/>
      <c r="AX1585" s="110"/>
      <c r="AY1585" s="110"/>
      <c r="AZ1585" s="110"/>
      <c r="BA1585" s="110"/>
      <c r="BB1585" s="110"/>
      <c r="BC1585" s="110"/>
      <c r="BD1585" s="110"/>
      <c r="BE1585" s="110"/>
      <c r="BF1585" s="110"/>
      <c r="BG1585" s="110"/>
      <c r="BH1585" s="110"/>
      <c r="BI1585" s="110"/>
      <c r="BJ1585" s="110"/>
      <c r="BK1585" s="110"/>
      <c r="BL1585" s="110"/>
      <c r="BM1585" s="110"/>
      <c r="BN1585" s="110"/>
      <c r="BO1585" s="110"/>
      <c r="BP1585" s="110"/>
      <c r="BQ1585" s="110"/>
      <c r="BR1585" s="110"/>
      <c r="BS1585" s="110"/>
      <c r="BT1585" s="110"/>
      <c r="BU1585" s="110"/>
      <c r="BV1585" s="110"/>
      <c r="BW1585" s="110"/>
      <c r="BX1585" s="110"/>
      <c r="BY1585" s="110"/>
      <c r="BZ1585" s="110"/>
      <c r="CA1585" s="110"/>
      <c r="CB1585" s="110"/>
      <c r="CC1585" s="110"/>
      <c r="CD1585" s="110"/>
      <c r="CE1585" s="110"/>
      <c r="CF1585" s="110"/>
      <c r="CG1585" s="110"/>
      <c r="CH1585" s="110"/>
      <c r="CI1585" s="110"/>
      <c r="CJ1585" s="110"/>
      <c r="CK1585" s="110"/>
      <c r="CL1585" s="110"/>
      <c r="CM1585" s="110"/>
      <c r="CN1585" s="110"/>
      <c r="CO1585" s="110"/>
      <c r="CP1585" s="110"/>
      <c r="CQ1585" s="110"/>
      <c r="CR1585" s="110"/>
      <c r="CS1585" s="110"/>
      <c r="CT1585" s="110"/>
      <c r="CU1585" s="110"/>
      <c r="CV1585" s="110"/>
      <c r="CW1585" s="110"/>
      <c r="CX1585" s="110"/>
      <c r="CY1585" s="110"/>
      <c r="CZ1585" s="110"/>
      <c r="DA1585" s="110"/>
      <c r="DB1585" s="110"/>
      <c r="DC1585" s="110"/>
      <c r="DD1585" s="110"/>
      <c r="DE1585" s="110"/>
      <c r="DF1585" s="110"/>
      <c r="DG1585" s="110"/>
      <c r="DH1585" s="110"/>
      <c r="DI1585" s="110"/>
      <c r="DJ1585" s="110"/>
      <c r="DK1585" s="110"/>
      <c r="DL1585" s="110"/>
      <c r="DM1585" s="110"/>
      <c r="DN1585" s="110"/>
      <c r="DO1585" s="110"/>
      <c r="DP1585" s="110"/>
      <c r="DQ1585" s="110"/>
      <c r="DR1585" s="110"/>
      <c r="DS1585" s="110"/>
      <c r="DT1585" s="110"/>
      <c r="DU1585" s="110"/>
      <c r="DV1585" s="110"/>
      <c r="DW1585" s="110"/>
      <c r="DX1585" s="110"/>
      <c r="DY1585" s="110"/>
      <c r="DZ1585" s="110"/>
      <c r="EA1585" s="110"/>
      <c r="EB1585" s="110"/>
      <c r="EC1585" s="110"/>
      <c r="ED1585" s="110"/>
      <c r="EF1585" s="264"/>
      <c r="EG1585" s="110"/>
      <c r="EH1585" s="110"/>
      <c r="EI1585" s="110"/>
      <c r="EJ1585" s="110"/>
      <c r="EK1585" s="266"/>
      <c r="EL1585" s="110"/>
      <c r="EM1585" s="110"/>
      <c r="EN1585" s="110"/>
      <c r="EO1585" s="110"/>
      <c r="EP1585" s="110"/>
      <c r="EQ1585" s="110"/>
      <c r="ER1585" s="110"/>
      <c r="ES1585" s="110"/>
      <c r="ET1585" s="110"/>
      <c r="EU1585" s="110"/>
      <c r="EV1585" s="110"/>
      <c r="EW1585" s="110"/>
      <c r="EX1585" s="110"/>
      <c r="EY1585" s="110"/>
      <c r="EZ1585" s="110"/>
      <c r="FA1585" s="110"/>
      <c r="FB1585" s="110"/>
      <c r="FC1585" s="110"/>
      <c r="FD1585" s="110"/>
      <c r="FE1585" s="110"/>
      <c r="FF1585" s="110"/>
      <c r="FG1585" s="110"/>
      <c r="FH1585" s="110"/>
      <c r="FI1585" s="110"/>
      <c r="FJ1585" s="110"/>
      <c r="FK1585" s="110"/>
      <c r="FL1585" s="110"/>
      <c r="FM1585" s="110"/>
      <c r="FN1585" s="110"/>
      <c r="FO1585" s="110"/>
      <c r="FP1585" s="110"/>
      <c r="FQ1585" s="110"/>
      <c r="FR1585" s="110"/>
      <c r="FS1585" s="110"/>
      <c r="FT1585" s="110"/>
      <c r="FU1585" s="110"/>
      <c r="FV1585" s="110"/>
      <c r="FW1585" s="110"/>
      <c r="FX1585" s="110"/>
      <c r="FY1585" s="110"/>
      <c r="FZ1585" s="110"/>
      <c r="GA1585" s="110"/>
      <c r="GB1585" s="110"/>
      <c r="GC1585" s="110"/>
      <c r="GD1585" s="110"/>
      <c r="GE1585" s="110"/>
      <c r="GF1585" s="110"/>
      <c r="GG1585" s="110"/>
      <c r="GH1585" s="110"/>
      <c r="GI1585" s="110"/>
      <c r="GJ1585" s="110"/>
      <c r="GK1585" s="110"/>
      <c r="GL1585" s="110"/>
      <c r="GM1585" s="110"/>
      <c r="GN1585" s="110"/>
      <c r="GO1585" s="110"/>
      <c r="GP1585" s="110"/>
      <c r="GQ1585" s="110"/>
      <c r="GR1585" s="110"/>
      <c r="GS1585" s="110"/>
      <c r="GT1585" s="110"/>
      <c r="GU1585" s="110"/>
      <c r="GV1585" s="110"/>
      <c r="GW1585" s="110"/>
      <c r="GX1585" s="110"/>
      <c r="GY1585" s="110"/>
      <c r="GZ1585" s="110"/>
      <c r="HA1585" s="110"/>
      <c r="HB1585" s="110"/>
      <c r="HC1585" s="110"/>
      <c r="HD1585" s="110"/>
      <c r="HE1585" s="110"/>
      <c r="HF1585" s="110"/>
      <c r="HG1585" s="110"/>
      <c r="HH1585" s="110"/>
      <c r="HI1585" s="110"/>
      <c r="HJ1585" s="110"/>
      <c r="HK1585" s="110"/>
      <c r="HL1585" s="110"/>
      <c r="HM1585" s="110"/>
      <c r="HN1585" s="110"/>
      <c r="HO1585" s="110"/>
      <c r="HP1585" s="110"/>
      <c r="HQ1585" s="110"/>
      <c r="HR1585" s="110"/>
      <c r="HS1585" s="110"/>
      <c r="HT1585" s="110"/>
      <c r="HU1585" s="110"/>
      <c r="HV1585" s="110"/>
      <c r="HW1585" s="110"/>
      <c r="HX1585" s="110"/>
      <c r="HY1585" s="110"/>
      <c r="HZ1585" s="110"/>
      <c r="IA1585" s="110"/>
      <c r="IB1585" s="110"/>
      <c r="IC1585" s="110"/>
      <c r="ID1585" s="110"/>
      <c r="IE1585" s="110"/>
      <c r="IF1585" s="110"/>
      <c r="IG1585" s="110"/>
      <c r="IH1585" s="110"/>
      <c r="II1585" s="110"/>
      <c r="IJ1585" s="110"/>
      <c r="IK1585" s="110"/>
      <c r="IL1585" s="110"/>
      <c r="IM1585" s="110"/>
      <c r="IN1585" s="110"/>
      <c r="IO1585" s="110"/>
      <c r="IP1585" s="110"/>
      <c r="IQ1585" s="110"/>
      <c r="IR1585" s="110"/>
    </row>
    <row r="1586" spans="18:252" ht="16.5" hidden="1" customHeight="1">
      <c r="R1586" s="264"/>
      <c r="S1586" s="110"/>
      <c r="T1586" s="110"/>
      <c r="U1586" s="110"/>
      <c r="V1586" s="110"/>
      <c r="W1586" s="266"/>
      <c r="X1586" s="110"/>
      <c r="Y1586" s="110"/>
      <c r="Z1586" s="110"/>
      <c r="AA1586" s="110"/>
      <c r="AB1586" s="110"/>
      <c r="AC1586" s="110"/>
      <c r="AD1586" s="110"/>
      <c r="AE1586" s="110"/>
      <c r="AF1586" s="110"/>
      <c r="AG1586" s="110"/>
      <c r="AH1586" s="110"/>
      <c r="AI1586" s="110"/>
      <c r="AJ1586" s="110"/>
      <c r="AK1586" s="110"/>
      <c r="AL1586" s="110"/>
      <c r="AM1586" s="110"/>
      <c r="AN1586" s="110"/>
      <c r="AO1586" s="110"/>
      <c r="AP1586" s="110"/>
      <c r="AQ1586" s="110"/>
      <c r="AR1586" s="110"/>
      <c r="AS1586" s="110"/>
      <c r="AT1586" s="110"/>
      <c r="AU1586" s="110"/>
      <c r="AV1586" s="110"/>
      <c r="AW1586" s="110"/>
      <c r="AX1586" s="110"/>
      <c r="AY1586" s="110"/>
      <c r="AZ1586" s="110"/>
      <c r="BA1586" s="110"/>
      <c r="BB1586" s="110"/>
      <c r="BC1586" s="110"/>
      <c r="BD1586" s="110"/>
      <c r="BE1586" s="110"/>
      <c r="BF1586" s="110"/>
      <c r="BG1586" s="110"/>
      <c r="BH1586" s="110"/>
      <c r="BI1586" s="110"/>
      <c r="BJ1586" s="110"/>
      <c r="BK1586" s="110"/>
      <c r="BL1586" s="110"/>
      <c r="BM1586" s="110"/>
      <c r="BN1586" s="110"/>
      <c r="BO1586" s="110"/>
      <c r="BP1586" s="110"/>
      <c r="BQ1586" s="110"/>
      <c r="BR1586" s="110"/>
      <c r="BS1586" s="110"/>
      <c r="BT1586" s="110"/>
      <c r="BU1586" s="110"/>
      <c r="BV1586" s="110"/>
      <c r="BW1586" s="110"/>
      <c r="BX1586" s="110"/>
      <c r="BY1586" s="110"/>
      <c r="BZ1586" s="110"/>
      <c r="CA1586" s="110"/>
      <c r="CB1586" s="110"/>
      <c r="CC1586" s="110"/>
      <c r="CD1586" s="110"/>
      <c r="CE1586" s="110"/>
      <c r="CF1586" s="110"/>
      <c r="CG1586" s="110"/>
      <c r="CH1586" s="110"/>
      <c r="CI1586" s="110"/>
      <c r="CJ1586" s="110"/>
      <c r="CK1586" s="110"/>
      <c r="CL1586" s="110"/>
      <c r="CM1586" s="110"/>
      <c r="CN1586" s="110"/>
      <c r="CO1586" s="110"/>
      <c r="CP1586" s="110"/>
      <c r="CQ1586" s="110"/>
      <c r="CR1586" s="110"/>
      <c r="CS1586" s="110"/>
      <c r="CT1586" s="110"/>
      <c r="CU1586" s="110"/>
      <c r="CV1586" s="110"/>
      <c r="CW1586" s="110"/>
      <c r="CX1586" s="110"/>
      <c r="CY1586" s="110"/>
      <c r="CZ1586" s="110"/>
      <c r="DA1586" s="110"/>
      <c r="DB1586" s="110"/>
      <c r="DC1586" s="110"/>
      <c r="DD1586" s="110"/>
      <c r="DE1586" s="110"/>
      <c r="DF1586" s="110"/>
      <c r="DG1586" s="110"/>
      <c r="DH1586" s="110"/>
      <c r="DI1586" s="110"/>
      <c r="DJ1586" s="110"/>
      <c r="DK1586" s="110"/>
      <c r="DL1586" s="110"/>
      <c r="DM1586" s="110"/>
      <c r="DN1586" s="110"/>
      <c r="DO1586" s="110"/>
      <c r="DP1586" s="110"/>
      <c r="DQ1586" s="110"/>
      <c r="DR1586" s="110"/>
      <c r="DS1586" s="110"/>
      <c r="DT1586" s="110"/>
      <c r="DU1586" s="110"/>
      <c r="DV1586" s="110"/>
      <c r="DW1586" s="110"/>
      <c r="DX1586" s="110"/>
      <c r="DY1586" s="110"/>
      <c r="DZ1586" s="110"/>
      <c r="EA1586" s="110"/>
      <c r="EB1586" s="110"/>
      <c r="EC1586" s="110"/>
      <c r="ED1586" s="110"/>
      <c r="EF1586" s="264"/>
      <c r="EG1586" s="110"/>
      <c r="EH1586" s="110"/>
      <c r="EI1586" s="110"/>
      <c r="EJ1586" s="110"/>
      <c r="EK1586" s="266"/>
      <c r="EL1586" s="110"/>
      <c r="EM1586" s="110"/>
      <c r="EN1586" s="110"/>
      <c r="EO1586" s="110"/>
      <c r="EP1586" s="110"/>
      <c r="EQ1586" s="110"/>
      <c r="ER1586" s="110"/>
      <c r="ES1586" s="110"/>
      <c r="ET1586" s="110"/>
      <c r="EU1586" s="110"/>
      <c r="EV1586" s="110"/>
      <c r="EW1586" s="110"/>
      <c r="EX1586" s="110"/>
      <c r="EY1586" s="110"/>
      <c r="EZ1586" s="110"/>
      <c r="FA1586" s="110"/>
      <c r="FB1586" s="110"/>
      <c r="FC1586" s="110"/>
      <c r="FD1586" s="110"/>
      <c r="FE1586" s="110"/>
      <c r="FF1586" s="110"/>
      <c r="FG1586" s="110"/>
      <c r="FH1586" s="110"/>
      <c r="FI1586" s="110"/>
      <c r="FJ1586" s="110"/>
      <c r="FK1586" s="110"/>
      <c r="FL1586" s="110"/>
      <c r="FM1586" s="110"/>
      <c r="FN1586" s="110"/>
      <c r="FO1586" s="110"/>
      <c r="FP1586" s="110"/>
      <c r="FQ1586" s="110"/>
      <c r="FR1586" s="110"/>
      <c r="FS1586" s="110"/>
      <c r="FT1586" s="110"/>
      <c r="FU1586" s="110"/>
      <c r="FV1586" s="110"/>
      <c r="FW1586" s="110"/>
      <c r="FX1586" s="110"/>
      <c r="FY1586" s="110"/>
      <c r="FZ1586" s="110"/>
      <c r="GA1586" s="110"/>
      <c r="GB1586" s="110"/>
      <c r="GC1586" s="110"/>
      <c r="GD1586" s="110"/>
      <c r="GE1586" s="110"/>
      <c r="GF1586" s="110"/>
      <c r="GG1586" s="110"/>
      <c r="GH1586" s="110"/>
      <c r="GI1586" s="110"/>
      <c r="GJ1586" s="110"/>
      <c r="GK1586" s="110"/>
      <c r="GL1586" s="110"/>
      <c r="GM1586" s="110"/>
      <c r="GN1586" s="110"/>
      <c r="GO1586" s="110"/>
      <c r="GP1586" s="110"/>
      <c r="GQ1586" s="110"/>
      <c r="GR1586" s="110"/>
      <c r="GS1586" s="110"/>
      <c r="GT1586" s="110"/>
      <c r="GU1586" s="110"/>
      <c r="GV1586" s="110"/>
      <c r="GW1586" s="110"/>
      <c r="GX1586" s="110"/>
      <c r="GY1586" s="110"/>
      <c r="GZ1586" s="110"/>
      <c r="HA1586" s="110"/>
      <c r="HB1586" s="110"/>
      <c r="HC1586" s="110"/>
      <c r="HD1586" s="110"/>
      <c r="HE1586" s="110"/>
      <c r="HF1586" s="110"/>
      <c r="HG1586" s="110"/>
      <c r="HH1586" s="110"/>
      <c r="HI1586" s="110"/>
      <c r="HJ1586" s="110"/>
      <c r="HK1586" s="110"/>
      <c r="HL1586" s="110"/>
      <c r="HM1586" s="110"/>
      <c r="HN1586" s="110"/>
      <c r="HO1586" s="110"/>
      <c r="HP1586" s="110"/>
      <c r="HQ1586" s="110"/>
      <c r="HR1586" s="110"/>
      <c r="HS1586" s="110"/>
      <c r="HT1586" s="110"/>
      <c r="HU1586" s="110"/>
      <c r="HV1586" s="110"/>
      <c r="HW1586" s="110"/>
      <c r="HX1586" s="110"/>
      <c r="HY1586" s="110"/>
      <c r="HZ1586" s="110"/>
      <c r="IA1586" s="110"/>
      <c r="IB1586" s="110"/>
      <c r="IC1586" s="110"/>
      <c r="ID1586" s="110"/>
      <c r="IE1586" s="110"/>
      <c r="IF1586" s="110"/>
      <c r="IG1586" s="110"/>
      <c r="IH1586" s="110"/>
      <c r="II1586" s="110"/>
      <c r="IJ1586" s="110"/>
      <c r="IK1586" s="110"/>
      <c r="IL1586" s="110"/>
      <c r="IM1586" s="110"/>
      <c r="IN1586" s="110"/>
      <c r="IO1586" s="110"/>
      <c r="IP1586" s="110"/>
      <c r="IQ1586" s="110"/>
      <c r="IR1586" s="110"/>
    </row>
    <row r="1587" spans="18:252" ht="16.5" hidden="1" customHeight="1">
      <c r="R1587" s="264"/>
      <c r="S1587" s="110"/>
      <c r="T1587" s="110"/>
      <c r="U1587" s="110"/>
      <c r="V1587" s="110"/>
      <c r="W1587" s="266"/>
      <c r="X1587" s="110"/>
      <c r="Y1587" s="110"/>
      <c r="Z1587" s="110"/>
      <c r="AA1587" s="110"/>
      <c r="AB1587" s="110"/>
      <c r="AC1587" s="110"/>
      <c r="AD1587" s="110"/>
      <c r="AE1587" s="110"/>
      <c r="AF1587" s="110"/>
      <c r="AG1587" s="110"/>
      <c r="AH1587" s="110"/>
      <c r="AI1587" s="110"/>
      <c r="AJ1587" s="110"/>
      <c r="AK1587" s="110"/>
      <c r="AL1587" s="110"/>
      <c r="AM1587" s="110"/>
      <c r="AN1587" s="110"/>
      <c r="AO1587" s="110"/>
      <c r="AP1587" s="110"/>
      <c r="AQ1587" s="110"/>
      <c r="AR1587" s="110"/>
      <c r="AS1587" s="110"/>
      <c r="AT1587" s="110"/>
      <c r="AU1587" s="110"/>
      <c r="AV1587" s="110"/>
      <c r="AW1587" s="110"/>
      <c r="AX1587" s="110"/>
      <c r="AY1587" s="110"/>
      <c r="AZ1587" s="110"/>
      <c r="BA1587" s="110"/>
      <c r="BB1587" s="110"/>
      <c r="BC1587" s="110"/>
      <c r="BD1587" s="110"/>
      <c r="BE1587" s="110"/>
      <c r="BF1587" s="110"/>
      <c r="BG1587" s="110"/>
      <c r="BH1587" s="110"/>
      <c r="BI1587" s="110"/>
      <c r="BJ1587" s="110"/>
      <c r="BK1587" s="110"/>
      <c r="BL1587" s="110"/>
      <c r="BM1587" s="110"/>
      <c r="BN1587" s="110"/>
      <c r="BO1587" s="110"/>
      <c r="BP1587" s="110"/>
      <c r="BQ1587" s="110"/>
      <c r="BR1587" s="110"/>
      <c r="BS1587" s="110"/>
      <c r="BT1587" s="110"/>
      <c r="BU1587" s="110"/>
      <c r="BV1587" s="110"/>
      <c r="BW1587" s="110"/>
      <c r="BX1587" s="110"/>
      <c r="BY1587" s="110"/>
      <c r="BZ1587" s="110"/>
      <c r="CA1587" s="110"/>
      <c r="CB1587" s="110"/>
      <c r="CC1587" s="110"/>
      <c r="CD1587" s="110"/>
      <c r="CE1587" s="110"/>
      <c r="CF1587" s="110"/>
      <c r="CG1587" s="110"/>
      <c r="CH1587" s="110"/>
      <c r="CI1587" s="110"/>
      <c r="CJ1587" s="110"/>
      <c r="CK1587" s="110"/>
      <c r="CL1587" s="110"/>
      <c r="CM1587" s="110"/>
      <c r="CN1587" s="110"/>
      <c r="CO1587" s="110"/>
      <c r="CP1587" s="110"/>
      <c r="CQ1587" s="110"/>
      <c r="CR1587" s="110"/>
      <c r="CS1587" s="110"/>
      <c r="CT1587" s="110"/>
      <c r="CU1587" s="110"/>
      <c r="CV1587" s="110"/>
      <c r="CW1587" s="110"/>
      <c r="CX1587" s="110"/>
      <c r="CY1587" s="110"/>
      <c r="CZ1587" s="110"/>
      <c r="DA1587" s="110"/>
      <c r="DB1587" s="110"/>
      <c r="DC1587" s="110"/>
      <c r="DD1587" s="110"/>
      <c r="DE1587" s="110"/>
      <c r="DF1587" s="110"/>
      <c r="DG1587" s="110"/>
      <c r="DH1587" s="110"/>
      <c r="DI1587" s="110"/>
      <c r="DJ1587" s="110"/>
      <c r="DK1587" s="110"/>
      <c r="DL1587" s="110"/>
      <c r="DM1587" s="110"/>
      <c r="DN1587" s="110"/>
      <c r="DO1587" s="110"/>
      <c r="DP1587" s="110"/>
      <c r="DQ1587" s="110"/>
      <c r="DR1587" s="110"/>
      <c r="DS1587" s="110"/>
      <c r="DT1587" s="110"/>
      <c r="DU1587" s="110"/>
      <c r="DV1587" s="110"/>
      <c r="DW1587" s="110"/>
      <c r="DX1587" s="110"/>
      <c r="DY1587" s="110"/>
      <c r="DZ1587" s="110"/>
      <c r="EA1587" s="110"/>
      <c r="EB1587" s="110"/>
      <c r="EC1587" s="110"/>
      <c r="ED1587" s="110"/>
      <c r="EF1587" s="264"/>
      <c r="EG1587" s="110"/>
      <c r="EH1587" s="110"/>
      <c r="EI1587" s="110"/>
      <c r="EJ1587" s="110"/>
      <c r="EK1587" s="266"/>
      <c r="EL1587" s="110"/>
      <c r="EM1587" s="110"/>
      <c r="EN1587" s="110"/>
      <c r="EO1587" s="110"/>
      <c r="EP1587" s="110"/>
      <c r="EQ1587" s="110"/>
      <c r="ER1587" s="110"/>
      <c r="ES1587" s="110"/>
      <c r="ET1587" s="110"/>
      <c r="EU1587" s="110"/>
      <c r="EV1587" s="110"/>
      <c r="EW1587" s="110"/>
      <c r="EX1587" s="110"/>
      <c r="EY1587" s="110"/>
      <c r="EZ1587" s="110"/>
      <c r="FA1587" s="110"/>
      <c r="FB1587" s="110"/>
      <c r="FC1587" s="110"/>
      <c r="FD1587" s="110"/>
      <c r="FE1587" s="110"/>
      <c r="FF1587" s="110"/>
      <c r="FG1587" s="110"/>
      <c r="FH1587" s="110"/>
      <c r="FI1587" s="110"/>
      <c r="FJ1587" s="110"/>
      <c r="FK1587" s="110"/>
      <c r="FL1587" s="110"/>
      <c r="FM1587" s="110"/>
      <c r="FN1587" s="110"/>
      <c r="FO1587" s="110"/>
      <c r="FP1587" s="110"/>
      <c r="FQ1587" s="110"/>
      <c r="FR1587" s="110"/>
      <c r="FS1587" s="110"/>
      <c r="FT1587" s="110"/>
      <c r="FU1587" s="110"/>
      <c r="FV1587" s="110"/>
      <c r="FW1587" s="110"/>
      <c r="FX1587" s="110"/>
      <c r="FY1587" s="110"/>
      <c r="FZ1587" s="110"/>
      <c r="GA1587" s="110"/>
      <c r="GB1587" s="110"/>
      <c r="GC1587" s="110"/>
      <c r="GD1587" s="110"/>
      <c r="GE1587" s="110"/>
      <c r="GF1587" s="110"/>
      <c r="GG1587" s="110"/>
      <c r="GH1587" s="110"/>
      <c r="GI1587" s="110"/>
      <c r="GJ1587" s="110"/>
      <c r="GK1587" s="110"/>
      <c r="GL1587" s="110"/>
      <c r="GM1587" s="110"/>
      <c r="GN1587" s="110"/>
      <c r="GO1587" s="110"/>
      <c r="GP1587" s="110"/>
      <c r="GQ1587" s="110"/>
      <c r="GR1587" s="110"/>
      <c r="GS1587" s="110"/>
      <c r="GT1587" s="110"/>
      <c r="GU1587" s="110"/>
      <c r="GV1587" s="110"/>
      <c r="GW1587" s="110"/>
      <c r="GX1587" s="110"/>
      <c r="GY1587" s="110"/>
      <c r="GZ1587" s="110"/>
      <c r="HA1587" s="110"/>
      <c r="HB1587" s="110"/>
      <c r="HC1587" s="110"/>
      <c r="HD1587" s="110"/>
      <c r="HE1587" s="110"/>
      <c r="HF1587" s="110"/>
      <c r="HG1587" s="110"/>
      <c r="HH1587" s="110"/>
      <c r="HI1587" s="110"/>
      <c r="HJ1587" s="110"/>
      <c r="HK1587" s="110"/>
      <c r="HL1587" s="110"/>
      <c r="HM1587" s="110"/>
      <c r="HN1587" s="110"/>
      <c r="HO1587" s="110"/>
      <c r="HP1587" s="110"/>
      <c r="HQ1587" s="110"/>
      <c r="HR1587" s="110"/>
      <c r="HS1587" s="110"/>
      <c r="HT1587" s="110"/>
      <c r="HU1587" s="110"/>
      <c r="HV1587" s="110"/>
      <c r="HW1587" s="110"/>
      <c r="HX1587" s="110"/>
      <c r="HY1587" s="110"/>
      <c r="HZ1587" s="110"/>
      <c r="IA1587" s="110"/>
      <c r="IB1587" s="110"/>
      <c r="IC1587" s="110"/>
      <c r="ID1587" s="110"/>
      <c r="IE1587" s="110"/>
      <c r="IF1587" s="110"/>
      <c r="IG1587" s="110"/>
      <c r="IH1587" s="110"/>
      <c r="II1587" s="110"/>
      <c r="IJ1587" s="110"/>
      <c r="IK1587" s="110"/>
      <c r="IL1587" s="110"/>
      <c r="IM1587" s="110"/>
      <c r="IN1587" s="110"/>
      <c r="IO1587" s="110"/>
      <c r="IP1587" s="110"/>
      <c r="IQ1587" s="110"/>
      <c r="IR1587" s="110"/>
    </row>
    <row r="1588" spans="18:252" ht="16.5" hidden="1" customHeight="1">
      <c r="R1588" s="264"/>
      <c r="S1588" s="110"/>
      <c r="T1588" s="110"/>
      <c r="U1588" s="110"/>
      <c r="V1588" s="110"/>
      <c r="W1588" s="266"/>
      <c r="X1588" s="110"/>
      <c r="Y1588" s="110"/>
      <c r="Z1588" s="110"/>
      <c r="AA1588" s="110"/>
      <c r="AB1588" s="110"/>
      <c r="AC1588" s="110"/>
      <c r="AD1588" s="110"/>
      <c r="AE1588" s="110"/>
      <c r="AF1588" s="110"/>
      <c r="AG1588" s="110"/>
      <c r="AH1588" s="110"/>
      <c r="AI1588" s="110"/>
      <c r="AJ1588" s="110"/>
      <c r="AK1588" s="110"/>
      <c r="AL1588" s="110"/>
      <c r="AM1588" s="110"/>
      <c r="AN1588" s="110"/>
      <c r="AO1588" s="110"/>
      <c r="AP1588" s="110"/>
      <c r="AQ1588" s="110"/>
      <c r="AR1588" s="110"/>
      <c r="AS1588" s="110"/>
      <c r="AT1588" s="110"/>
      <c r="AU1588" s="110"/>
      <c r="AV1588" s="110"/>
      <c r="AW1588" s="110"/>
      <c r="AX1588" s="110"/>
      <c r="AY1588" s="110"/>
      <c r="AZ1588" s="110"/>
      <c r="BA1588" s="110"/>
      <c r="BB1588" s="110"/>
      <c r="BC1588" s="110"/>
      <c r="BD1588" s="110"/>
      <c r="BE1588" s="110"/>
      <c r="BF1588" s="110"/>
      <c r="BG1588" s="110"/>
      <c r="BH1588" s="110"/>
      <c r="BI1588" s="110"/>
      <c r="BJ1588" s="110"/>
      <c r="BK1588" s="110"/>
      <c r="BL1588" s="110"/>
      <c r="BM1588" s="110"/>
      <c r="BN1588" s="110"/>
      <c r="BO1588" s="110"/>
      <c r="BP1588" s="110"/>
      <c r="BQ1588" s="110"/>
      <c r="BR1588" s="110"/>
      <c r="BS1588" s="110"/>
      <c r="BT1588" s="110"/>
      <c r="BU1588" s="110"/>
      <c r="BV1588" s="110"/>
      <c r="BW1588" s="110"/>
      <c r="BX1588" s="110"/>
      <c r="BY1588" s="110"/>
      <c r="BZ1588" s="110"/>
      <c r="CA1588" s="110"/>
      <c r="CB1588" s="110"/>
      <c r="CC1588" s="110"/>
      <c r="CD1588" s="110"/>
      <c r="CE1588" s="110"/>
      <c r="CF1588" s="110"/>
      <c r="CG1588" s="110"/>
      <c r="CH1588" s="110"/>
      <c r="CI1588" s="110"/>
      <c r="CJ1588" s="110"/>
      <c r="CK1588" s="110"/>
      <c r="CL1588" s="110"/>
      <c r="CM1588" s="110"/>
      <c r="CN1588" s="110"/>
      <c r="CO1588" s="110"/>
      <c r="CP1588" s="110"/>
      <c r="CQ1588" s="110"/>
      <c r="CR1588" s="110"/>
      <c r="CS1588" s="110"/>
      <c r="CT1588" s="110"/>
      <c r="CU1588" s="110"/>
      <c r="CV1588" s="110"/>
      <c r="CW1588" s="110"/>
      <c r="CX1588" s="110"/>
      <c r="CY1588" s="110"/>
      <c r="CZ1588" s="110"/>
      <c r="DA1588" s="110"/>
      <c r="DB1588" s="110"/>
      <c r="DC1588" s="110"/>
      <c r="DD1588" s="110"/>
      <c r="DE1588" s="110"/>
      <c r="DF1588" s="110"/>
      <c r="DG1588" s="110"/>
      <c r="DH1588" s="110"/>
      <c r="DI1588" s="110"/>
      <c r="DJ1588" s="110"/>
      <c r="DK1588" s="110"/>
      <c r="DL1588" s="110"/>
      <c r="DM1588" s="110"/>
      <c r="DN1588" s="110"/>
      <c r="DO1588" s="110"/>
      <c r="DP1588" s="110"/>
      <c r="DQ1588" s="110"/>
      <c r="DR1588" s="110"/>
      <c r="DS1588" s="110"/>
      <c r="DT1588" s="110"/>
      <c r="DU1588" s="110"/>
      <c r="DV1588" s="110"/>
      <c r="DW1588" s="110"/>
      <c r="DX1588" s="110"/>
      <c r="DY1588" s="110"/>
      <c r="DZ1588" s="110"/>
      <c r="EA1588" s="110"/>
      <c r="EB1588" s="110"/>
      <c r="EC1588" s="110"/>
      <c r="ED1588" s="110"/>
      <c r="EF1588" s="264"/>
      <c r="EG1588" s="110"/>
      <c r="EH1588" s="110"/>
      <c r="EI1588" s="110"/>
      <c r="EJ1588" s="110"/>
      <c r="EK1588" s="266"/>
      <c r="EL1588" s="110"/>
      <c r="EM1588" s="110"/>
      <c r="EN1588" s="110"/>
      <c r="EO1588" s="110"/>
      <c r="EP1588" s="110"/>
      <c r="EQ1588" s="110"/>
      <c r="ER1588" s="110"/>
      <c r="ES1588" s="110"/>
      <c r="ET1588" s="110"/>
      <c r="EU1588" s="110"/>
      <c r="EV1588" s="110"/>
      <c r="EW1588" s="110"/>
      <c r="EX1588" s="110"/>
      <c r="EY1588" s="110"/>
      <c r="EZ1588" s="110"/>
      <c r="FA1588" s="110"/>
      <c r="FB1588" s="110"/>
      <c r="FC1588" s="110"/>
      <c r="FD1588" s="110"/>
      <c r="FE1588" s="110"/>
      <c r="FF1588" s="110"/>
      <c r="FG1588" s="110"/>
      <c r="FH1588" s="110"/>
      <c r="FI1588" s="110"/>
      <c r="FJ1588" s="110"/>
      <c r="FK1588" s="110"/>
      <c r="FL1588" s="110"/>
      <c r="FM1588" s="110"/>
      <c r="FN1588" s="110"/>
      <c r="FO1588" s="110"/>
      <c r="FP1588" s="110"/>
      <c r="FQ1588" s="110"/>
      <c r="FR1588" s="110"/>
      <c r="FS1588" s="110"/>
      <c r="FT1588" s="110"/>
      <c r="FU1588" s="110"/>
      <c r="FV1588" s="110"/>
      <c r="FW1588" s="110"/>
      <c r="FX1588" s="110"/>
      <c r="FY1588" s="110"/>
      <c r="FZ1588" s="110"/>
      <c r="GA1588" s="110"/>
      <c r="GB1588" s="110"/>
      <c r="GC1588" s="110"/>
      <c r="GD1588" s="110"/>
      <c r="GE1588" s="110"/>
      <c r="GF1588" s="110"/>
      <c r="GG1588" s="110"/>
      <c r="GH1588" s="110"/>
      <c r="GI1588" s="110"/>
      <c r="GJ1588" s="110"/>
      <c r="GK1588" s="110"/>
      <c r="GL1588" s="110"/>
      <c r="GM1588" s="110"/>
      <c r="GN1588" s="110"/>
      <c r="GO1588" s="110"/>
      <c r="GP1588" s="110"/>
      <c r="GQ1588" s="110"/>
      <c r="GR1588" s="110"/>
      <c r="GS1588" s="110"/>
      <c r="GT1588" s="110"/>
      <c r="GU1588" s="110"/>
      <c r="GV1588" s="110"/>
      <c r="GW1588" s="110"/>
      <c r="GX1588" s="110"/>
      <c r="GY1588" s="110"/>
      <c r="GZ1588" s="110"/>
      <c r="HA1588" s="110"/>
      <c r="HB1588" s="110"/>
      <c r="HC1588" s="110"/>
      <c r="HD1588" s="110"/>
      <c r="HE1588" s="110"/>
      <c r="HF1588" s="110"/>
      <c r="HG1588" s="110"/>
      <c r="HH1588" s="110"/>
      <c r="HI1588" s="110"/>
      <c r="HJ1588" s="110"/>
      <c r="HK1588" s="110"/>
      <c r="HL1588" s="110"/>
      <c r="HM1588" s="110"/>
      <c r="HN1588" s="110"/>
      <c r="HO1588" s="110"/>
      <c r="HP1588" s="110"/>
      <c r="HQ1588" s="110"/>
      <c r="HR1588" s="110"/>
      <c r="HS1588" s="110"/>
      <c r="HT1588" s="110"/>
      <c r="HU1588" s="110"/>
      <c r="HV1588" s="110"/>
      <c r="HW1588" s="110"/>
      <c r="HX1588" s="110"/>
      <c r="HY1588" s="110"/>
      <c r="HZ1588" s="110"/>
      <c r="IA1588" s="110"/>
      <c r="IB1588" s="110"/>
      <c r="IC1588" s="110"/>
      <c r="ID1588" s="110"/>
      <c r="IE1588" s="110"/>
      <c r="IF1588" s="110"/>
      <c r="IG1588" s="110"/>
      <c r="IH1588" s="110"/>
      <c r="II1588" s="110"/>
      <c r="IJ1588" s="110"/>
      <c r="IK1588" s="110"/>
      <c r="IL1588" s="110"/>
      <c r="IM1588" s="110"/>
      <c r="IN1588" s="110"/>
      <c r="IO1588" s="110"/>
      <c r="IP1588" s="110"/>
      <c r="IQ1588" s="110"/>
      <c r="IR1588" s="110"/>
    </row>
    <row r="1589" spans="18:252" ht="16.5" hidden="1" customHeight="1">
      <c r="R1589" s="264"/>
      <c r="S1589" s="110"/>
      <c r="T1589" s="110"/>
      <c r="U1589" s="110"/>
      <c r="V1589" s="110"/>
      <c r="W1589" s="266"/>
      <c r="X1589" s="110"/>
      <c r="Y1589" s="110"/>
      <c r="Z1589" s="110"/>
      <c r="AA1589" s="110"/>
      <c r="AB1589" s="110"/>
      <c r="AC1589" s="110"/>
      <c r="AD1589" s="110"/>
      <c r="AE1589" s="110"/>
      <c r="AF1589" s="110"/>
      <c r="AG1589" s="110"/>
      <c r="AH1589" s="110"/>
      <c r="AI1589" s="110"/>
      <c r="AJ1589" s="110"/>
      <c r="AK1589" s="110"/>
      <c r="AL1589" s="110"/>
      <c r="AM1589" s="110"/>
      <c r="AN1589" s="110"/>
      <c r="AO1589" s="110"/>
      <c r="AP1589" s="110"/>
      <c r="AQ1589" s="110"/>
      <c r="AR1589" s="110"/>
      <c r="AS1589" s="110"/>
      <c r="AT1589" s="110"/>
      <c r="AU1589" s="110"/>
      <c r="AV1589" s="110"/>
      <c r="AW1589" s="110"/>
      <c r="AX1589" s="110"/>
      <c r="AY1589" s="110"/>
      <c r="AZ1589" s="110"/>
      <c r="BA1589" s="110"/>
      <c r="BB1589" s="110"/>
      <c r="BC1589" s="110"/>
      <c r="BD1589" s="110"/>
      <c r="BE1589" s="110"/>
      <c r="BF1589" s="110"/>
      <c r="BG1589" s="110"/>
      <c r="BH1589" s="110"/>
      <c r="BI1589" s="110"/>
      <c r="BJ1589" s="110"/>
      <c r="BK1589" s="110"/>
      <c r="BL1589" s="110"/>
      <c r="BM1589" s="110"/>
      <c r="BN1589" s="110"/>
      <c r="BO1589" s="110"/>
      <c r="BP1589" s="110"/>
      <c r="BQ1589" s="110"/>
      <c r="BR1589" s="110"/>
      <c r="BS1589" s="110"/>
      <c r="BT1589" s="110"/>
      <c r="BU1589" s="110"/>
      <c r="BV1589" s="110"/>
      <c r="BW1589" s="110"/>
      <c r="BX1589" s="110"/>
      <c r="BY1589" s="110"/>
      <c r="BZ1589" s="110"/>
      <c r="CA1589" s="110"/>
      <c r="CB1589" s="110"/>
      <c r="CC1589" s="110"/>
      <c r="CD1589" s="110"/>
      <c r="CE1589" s="110"/>
      <c r="CF1589" s="110"/>
      <c r="CG1589" s="110"/>
      <c r="CH1589" s="110"/>
      <c r="CI1589" s="110"/>
      <c r="CJ1589" s="110"/>
      <c r="CK1589" s="110"/>
      <c r="CL1589" s="110"/>
      <c r="CM1589" s="110"/>
      <c r="CN1589" s="110"/>
      <c r="CO1589" s="110"/>
      <c r="CP1589" s="110"/>
      <c r="CQ1589" s="110"/>
      <c r="CR1589" s="110"/>
      <c r="CS1589" s="110"/>
      <c r="CT1589" s="110"/>
      <c r="CU1589" s="110"/>
      <c r="CV1589" s="110"/>
      <c r="CW1589" s="110"/>
      <c r="CX1589" s="110"/>
      <c r="CY1589" s="110"/>
      <c r="CZ1589" s="110"/>
      <c r="DA1589" s="110"/>
      <c r="DB1589" s="110"/>
      <c r="DC1589" s="110"/>
      <c r="DD1589" s="110"/>
      <c r="DE1589" s="110"/>
      <c r="DF1589" s="110"/>
      <c r="DG1589" s="110"/>
      <c r="DH1589" s="110"/>
      <c r="DI1589" s="110"/>
      <c r="DJ1589" s="110"/>
      <c r="DK1589" s="110"/>
      <c r="DL1589" s="110"/>
      <c r="DM1589" s="110"/>
      <c r="DN1589" s="110"/>
      <c r="DO1589" s="110"/>
      <c r="DP1589" s="110"/>
      <c r="DQ1589" s="110"/>
      <c r="DR1589" s="110"/>
      <c r="DS1589" s="110"/>
      <c r="DT1589" s="110"/>
      <c r="DU1589" s="110"/>
      <c r="DV1589" s="110"/>
      <c r="DW1589" s="110"/>
      <c r="DX1589" s="110"/>
      <c r="DY1589" s="110"/>
      <c r="DZ1589" s="110"/>
      <c r="EA1589" s="110"/>
      <c r="EB1589" s="110"/>
      <c r="EC1589" s="110"/>
      <c r="ED1589" s="110"/>
      <c r="EF1589" s="264"/>
      <c r="EG1589" s="110"/>
      <c r="EH1589" s="110"/>
      <c r="EI1589" s="110"/>
      <c r="EJ1589" s="110"/>
      <c r="EK1589" s="266"/>
      <c r="EL1589" s="110"/>
      <c r="EM1589" s="110"/>
      <c r="EN1589" s="110"/>
      <c r="EO1589" s="110"/>
      <c r="EP1589" s="110"/>
      <c r="EQ1589" s="110"/>
      <c r="ER1589" s="110"/>
      <c r="ES1589" s="110"/>
      <c r="ET1589" s="110"/>
      <c r="EU1589" s="110"/>
      <c r="EV1589" s="110"/>
      <c r="EW1589" s="110"/>
      <c r="EX1589" s="110"/>
      <c r="EY1589" s="110"/>
      <c r="EZ1589" s="110"/>
      <c r="FA1589" s="110"/>
      <c r="FB1589" s="110"/>
      <c r="FC1589" s="110"/>
      <c r="FD1589" s="110"/>
      <c r="FE1589" s="110"/>
      <c r="FF1589" s="110"/>
      <c r="FG1589" s="110"/>
      <c r="FH1589" s="110"/>
      <c r="FI1589" s="110"/>
      <c r="FJ1589" s="110"/>
      <c r="FK1589" s="110"/>
      <c r="FL1589" s="110"/>
      <c r="FM1589" s="110"/>
      <c r="FN1589" s="110"/>
      <c r="FO1589" s="110"/>
      <c r="FP1589" s="110"/>
      <c r="FQ1589" s="110"/>
      <c r="FR1589" s="110"/>
      <c r="FS1589" s="110"/>
      <c r="FT1589" s="110"/>
      <c r="FU1589" s="110"/>
      <c r="FV1589" s="110"/>
      <c r="FW1589" s="110"/>
      <c r="FX1589" s="110"/>
      <c r="FY1589" s="110"/>
      <c r="FZ1589" s="110"/>
      <c r="GA1589" s="110"/>
      <c r="GB1589" s="110"/>
      <c r="GC1589" s="110"/>
      <c r="GD1589" s="110"/>
      <c r="GE1589" s="110"/>
      <c r="GF1589" s="110"/>
      <c r="GG1589" s="110"/>
      <c r="GH1589" s="110"/>
      <c r="GI1589" s="110"/>
      <c r="GJ1589" s="110"/>
      <c r="GK1589" s="110"/>
      <c r="GL1589" s="110"/>
      <c r="GM1589" s="110"/>
      <c r="GN1589" s="110"/>
      <c r="GO1589" s="110"/>
      <c r="GP1589" s="110"/>
      <c r="GQ1589" s="110"/>
      <c r="GR1589" s="110"/>
      <c r="GS1589" s="110"/>
      <c r="GT1589" s="110"/>
      <c r="GU1589" s="110"/>
      <c r="GV1589" s="110"/>
      <c r="GW1589" s="110"/>
      <c r="GX1589" s="110"/>
      <c r="GY1589" s="110"/>
      <c r="GZ1589" s="110"/>
      <c r="HA1589" s="110"/>
      <c r="HB1589" s="110"/>
      <c r="HC1589" s="110"/>
      <c r="HD1589" s="110"/>
      <c r="HE1589" s="110"/>
      <c r="HF1589" s="110"/>
      <c r="HG1589" s="110"/>
      <c r="HH1589" s="110"/>
      <c r="HI1589" s="110"/>
      <c r="HJ1589" s="110"/>
      <c r="HK1589" s="110"/>
      <c r="HL1589" s="110"/>
      <c r="HM1589" s="110"/>
      <c r="HN1589" s="110"/>
      <c r="HO1589" s="110"/>
      <c r="HP1589" s="110"/>
      <c r="HQ1589" s="110"/>
      <c r="HR1589" s="110"/>
      <c r="HS1589" s="110"/>
      <c r="HT1589" s="110"/>
      <c r="HU1589" s="110"/>
      <c r="HV1589" s="110"/>
      <c r="HW1589" s="110"/>
      <c r="HX1589" s="110"/>
      <c r="HY1589" s="110"/>
      <c r="HZ1589" s="110"/>
      <c r="IA1589" s="110"/>
      <c r="IB1589" s="110"/>
      <c r="IC1589" s="110"/>
      <c r="ID1589" s="110"/>
      <c r="IE1589" s="110"/>
      <c r="IF1589" s="110"/>
      <c r="IG1589" s="110"/>
      <c r="IH1589" s="110"/>
      <c r="II1589" s="110"/>
      <c r="IJ1589" s="110"/>
      <c r="IK1589" s="110"/>
      <c r="IL1589" s="110"/>
      <c r="IM1589" s="110"/>
      <c r="IN1589" s="110"/>
      <c r="IO1589" s="110"/>
      <c r="IP1589" s="110"/>
      <c r="IQ1589" s="110"/>
      <c r="IR1589" s="110"/>
    </row>
    <row r="1590" spans="18:252" ht="16.5" hidden="1" customHeight="1">
      <c r="R1590" s="264"/>
      <c r="S1590" s="110"/>
      <c r="T1590" s="110"/>
      <c r="U1590" s="110"/>
      <c r="V1590" s="110"/>
      <c r="W1590" s="266"/>
      <c r="X1590" s="110"/>
      <c r="Y1590" s="110"/>
      <c r="Z1590" s="110"/>
      <c r="AA1590" s="110"/>
      <c r="AB1590" s="110"/>
      <c r="AC1590" s="110"/>
      <c r="AD1590" s="110"/>
      <c r="AE1590" s="110"/>
      <c r="AF1590" s="110"/>
      <c r="AG1590" s="110"/>
      <c r="AH1590" s="110"/>
      <c r="AI1590" s="110"/>
      <c r="AJ1590" s="110"/>
      <c r="AK1590" s="110"/>
      <c r="AL1590" s="110"/>
      <c r="AM1590" s="110"/>
      <c r="AN1590" s="110"/>
      <c r="AO1590" s="110"/>
      <c r="AP1590" s="110"/>
      <c r="AQ1590" s="110"/>
      <c r="AR1590" s="110"/>
      <c r="AS1590" s="110"/>
      <c r="AT1590" s="110"/>
      <c r="AU1590" s="110"/>
      <c r="AV1590" s="110"/>
      <c r="AW1590" s="110"/>
      <c r="AX1590" s="110"/>
      <c r="AY1590" s="110"/>
      <c r="AZ1590" s="110"/>
      <c r="BA1590" s="110"/>
      <c r="BB1590" s="110"/>
      <c r="BC1590" s="110"/>
      <c r="BD1590" s="110"/>
      <c r="BE1590" s="110"/>
      <c r="BF1590" s="110"/>
      <c r="BG1590" s="110"/>
      <c r="BH1590" s="110"/>
      <c r="BI1590" s="110"/>
      <c r="BJ1590" s="110"/>
      <c r="BK1590" s="110"/>
      <c r="BL1590" s="110"/>
      <c r="BM1590" s="110"/>
      <c r="BN1590" s="110"/>
      <c r="BO1590" s="110"/>
      <c r="BP1590" s="110"/>
      <c r="BQ1590" s="110"/>
      <c r="BR1590" s="110"/>
      <c r="BS1590" s="110"/>
      <c r="BT1590" s="110"/>
      <c r="BU1590" s="110"/>
      <c r="BV1590" s="110"/>
      <c r="BW1590" s="110"/>
      <c r="BX1590" s="110"/>
      <c r="BY1590" s="110"/>
      <c r="BZ1590" s="110"/>
      <c r="CA1590" s="110"/>
      <c r="CB1590" s="110"/>
      <c r="CC1590" s="110"/>
      <c r="CD1590" s="110"/>
      <c r="CE1590" s="110"/>
      <c r="CF1590" s="110"/>
      <c r="CG1590" s="110"/>
      <c r="CH1590" s="110"/>
      <c r="CI1590" s="110"/>
      <c r="CJ1590" s="110"/>
      <c r="CK1590" s="110"/>
      <c r="CL1590" s="110"/>
      <c r="CM1590" s="110"/>
      <c r="CN1590" s="110"/>
      <c r="CO1590" s="110"/>
      <c r="CP1590" s="110"/>
      <c r="CQ1590" s="110"/>
      <c r="CR1590" s="110"/>
      <c r="CS1590" s="110"/>
      <c r="CT1590" s="110"/>
      <c r="CU1590" s="110"/>
      <c r="CV1590" s="110"/>
      <c r="CW1590" s="110"/>
      <c r="CX1590" s="110"/>
      <c r="CY1590" s="110"/>
      <c r="CZ1590" s="110"/>
      <c r="DA1590" s="110"/>
      <c r="DB1590" s="110"/>
      <c r="DC1590" s="110"/>
      <c r="DD1590" s="110"/>
      <c r="DE1590" s="110"/>
      <c r="DF1590" s="110"/>
      <c r="DG1590" s="110"/>
      <c r="DH1590" s="110"/>
      <c r="DI1590" s="110"/>
      <c r="DJ1590" s="110"/>
      <c r="DK1590" s="110"/>
      <c r="DL1590" s="110"/>
      <c r="DM1590" s="110"/>
      <c r="DN1590" s="110"/>
      <c r="DO1590" s="110"/>
      <c r="DP1590" s="110"/>
      <c r="DQ1590" s="110"/>
      <c r="DR1590" s="110"/>
      <c r="DS1590" s="110"/>
      <c r="DT1590" s="110"/>
      <c r="DU1590" s="110"/>
      <c r="DV1590" s="110"/>
      <c r="DW1590" s="110"/>
      <c r="DX1590" s="110"/>
      <c r="DY1590" s="110"/>
      <c r="DZ1590" s="110"/>
      <c r="EA1590" s="110"/>
      <c r="EB1590" s="110"/>
      <c r="EC1590" s="110"/>
      <c r="ED1590" s="110"/>
      <c r="EF1590" s="264"/>
      <c r="EG1590" s="110"/>
      <c r="EH1590" s="110"/>
      <c r="EI1590" s="110"/>
      <c r="EJ1590" s="110"/>
      <c r="EK1590" s="266"/>
      <c r="EL1590" s="110"/>
      <c r="EM1590" s="110"/>
      <c r="EN1590" s="110"/>
      <c r="EO1590" s="110"/>
      <c r="EP1590" s="110"/>
      <c r="EQ1590" s="110"/>
      <c r="ER1590" s="110"/>
      <c r="ES1590" s="110"/>
      <c r="ET1590" s="110"/>
      <c r="EU1590" s="110"/>
      <c r="EV1590" s="110"/>
      <c r="EW1590" s="110"/>
      <c r="EX1590" s="110"/>
      <c r="EY1590" s="110"/>
      <c r="EZ1590" s="110"/>
      <c r="FA1590" s="110"/>
      <c r="FB1590" s="110"/>
      <c r="FC1590" s="110"/>
      <c r="FD1590" s="110"/>
      <c r="FE1590" s="110"/>
      <c r="FF1590" s="110"/>
      <c r="FG1590" s="110"/>
      <c r="FH1590" s="110"/>
      <c r="FI1590" s="110"/>
      <c r="FJ1590" s="110"/>
      <c r="FK1590" s="110"/>
      <c r="FL1590" s="110"/>
      <c r="FM1590" s="110"/>
      <c r="FN1590" s="110"/>
      <c r="FO1590" s="110"/>
      <c r="FP1590" s="110"/>
      <c r="FQ1590" s="110"/>
      <c r="FR1590" s="110"/>
      <c r="FS1590" s="110"/>
      <c r="FT1590" s="110"/>
      <c r="FU1590" s="110"/>
      <c r="FV1590" s="110"/>
      <c r="FW1590" s="110"/>
      <c r="FX1590" s="110"/>
      <c r="FY1590" s="110"/>
      <c r="FZ1590" s="110"/>
      <c r="GA1590" s="110"/>
      <c r="GB1590" s="110"/>
      <c r="GC1590" s="110"/>
      <c r="GD1590" s="110"/>
      <c r="GE1590" s="110"/>
      <c r="GF1590" s="110"/>
      <c r="GG1590" s="110"/>
      <c r="GH1590" s="110"/>
      <c r="GI1590" s="110"/>
      <c r="GJ1590" s="110"/>
      <c r="GK1590" s="110"/>
      <c r="GL1590" s="110"/>
      <c r="GM1590" s="110"/>
      <c r="GN1590" s="110"/>
      <c r="GO1590" s="110"/>
      <c r="GP1590" s="110"/>
      <c r="GQ1590" s="110"/>
      <c r="GR1590" s="110"/>
      <c r="GS1590" s="110"/>
      <c r="GT1590" s="110"/>
      <c r="GU1590" s="110"/>
      <c r="GV1590" s="110"/>
      <c r="GW1590" s="110"/>
      <c r="GX1590" s="110"/>
      <c r="GY1590" s="110"/>
      <c r="GZ1590" s="110"/>
      <c r="HA1590" s="110"/>
      <c r="HB1590" s="110"/>
      <c r="HC1590" s="110"/>
      <c r="HD1590" s="110"/>
      <c r="HE1590" s="110"/>
      <c r="HF1590" s="110"/>
      <c r="HG1590" s="110"/>
      <c r="HH1590" s="110"/>
      <c r="HI1590" s="110"/>
      <c r="HJ1590" s="110"/>
      <c r="HK1590" s="110"/>
      <c r="HL1590" s="110"/>
      <c r="HM1590" s="110"/>
      <c r="HN1590" s="110"/>
      <c r="HO1590" s="110"/>
      <c r="HP1590" s="110"/>
      <c r="HQ1590" s="110"/>
      <c r="HR1590" s="110"/>
      <c r="HS1590" s="110"/>
      <c r="HT1590" s="110"/>
      <c r="HU1590" s="110"/>
      <c r="HV1590" s="110"/>
      <c r="HW1590" s="110"/>
      <c r="HX1590" s="110"/>
      <c r="HY1590" s="110"/>
      <c r="HZ1590" s="110"/>
      <c r="IA1590" s="110"/>
      <c r="IB1590" s="110"/>
      <c r="IC1590" s="110"/>
      <c r="ID1590" s="110"/>
      <c r="IE1590" s="110"/>
      <c r="IF1590" s="110"/>
      <c r="IG1590" s="110"/>
      <c r="IH1590" s="110"/>
      <c r="II1590" s="110"/>
      <c r="IJ1590" s="110"/>
      <c r="IK1590" s="110"/>
      <c r="IL1590" s="110"/>
      <c r="IM1590" s="110"/>
      <c r="IN1590" s="110"/>
      <c r="IO1590" s="110"/>
      <c r="IP1590" s="110"/>
      <c r="IQ1590" s="110"/>
      <c r="IR1590" s="110"/>
    </row>
    <row r="1591" spans="18:252" ht="16.5" hidden="1" customHeight="1">
      <c r="R1591" s="264"/>
      <c r="S1591" s="110"/>
      <c r="T1591" s="110"/>
      <c r="U1591" s="110"/>
      <c r="V1591" s="110"/>
      <c r="W1591" s="266"/>
      <c r="X1591" s="110"/>
      <c r="Y1591" s="110"/>
      <c r="Z1591" s="110"/>
      <c r="AA1591" s="110"/>
      <c r="AB1591" s="110"/>
      <c r="AC1591" s="110"/>
      <c r="AD1591" s="110"/>
      <c r="AE1591" s="110"/>
      <c r="AF1591" s="110"/>
      <c r="AG1591" s="110"/>
      <c r="AH1591" s="110"/>
      <c r="AI1591" s="110"/>
      <c r="AJ1591" s="110"/>
      <c r="AK1591" s="110"/>
      <c r="AL1591" s="110"/>
      <c r="AM1591" s="110"/>
      <c r="AN1591" s="110"/>
      <c r="AO1591" s="110"/>
      <c r="AP1591" s="110"/>
      <c r="AQ1591" s="110"/>
      <c r="AR1591" s="110"/>
      <c r="AS1591" s="110"/>
      <c r="AT1591" s="110"/>
      <c r="AU1591" s="110"/>
      <c r="AV1591" s="110"/>
      <c r="AW1591" s="110"/>
      <c r="AX1591" s="110"/>
      <c r="AY1591" s="110"/>
      <c r="AZ1591" s="110"/>
      <c r="BA1591" s="110"/>
      <c r="BB1591" s="110"/>
      <c r="BC1591" s="110"/>
      <c r="BD1591" s="110"/>
      <c r="BE1591" s="110"/>
      <c r="BF1591" s="110"/>
      <c r="BG1591" s="110"/>
      <c r="BH1591" s="110"/>
      <c r="BI1591" s="110"/>
      <c r="BJ1591" s="110"/>
      <c r="BK1591" s="110"/>
      <c r="BL1591" s="110"/>
      <c r="BM1591" s="110"/>
      <c r="BN1591" s="110"/>
      <c r="BO1591" s="110"/>
      <c r="BP1591" s="110"/>
      <c r="BQ1591" s="110"/>
      <c r="BR1591" s="110"/>
      <c r="BS1591" s="110"/>
      <c r="BT1591" s="110"/>
      <c r="BU1591" s="110"/>
      <c r="BV1591" s="110"/>
      <c r="BW1591" s="110"/>
      <c r="BX1591" s="110"/>
      <c r="BY1591" s="110"/>
      <c r="BZ1591" s="110"/>
      <c r="CA1591" s="110"/>
      <c r="CB1591" s="110"/>
      <c r="CC1591" s="110"/>
      <c r="CD1591" s="110"/>
      <c r="CE1591" s="110"/>
      <c r="CF1591" s="110"/>
      <c r="CG1591" s="110"/>
      <c r="CH1591" s="110"/>
      <c r="CI1591" s="110"/>
      <c r="CJ1591" s="110"/>
      <c r="CK1591" s="110"/>
      <c r="CL1591" s="110"/>
      <c r="CM1591" s="110"/>
      <c r="CN1591" s="110"/>
      <c r="CO1591" s="110"/>
      <c r="CP1591" s="110"/>
      <c r="CQ1591" s="110"/>
      <c r="CR1591" s="110"/>
      <c r="CS1591" s="110"/>
      <c r="CT1591" s="110"/>
      <c r="CU1591" s="110"/>
      <c r="CV1591" s="110"/>
      <c r="CW1591" s="110"/>
      <c r="CX1591" s="110"/>
      <c r="CY1591" s="110"/>
      <c r="CZ1591" s="110"/>
      <c r="DA1591" s="110"/>
      <c r="DB1591" s="110"/>
      <c r="DC1591" s="110"/>
      <c r="DD1591" s="110"/>
      <c r="DE1591" s="110"/>
      <c r="DF1591" s="110"/>
      <c r="DG1591" s="110"/>
      <c r="DH1591" s="110"/>
      <c r="DI1591" s="110"/>
      <c r="DJ1591" s="110"/>
      <c r="DK1591" s="110"/>
      <c r="DL1591" s="110"/>
      <c r="DM1591" s="110"/>
      <c r="DN1591" s="110"/>
      <c r="DO1591" s="110"/>
      <c r="DP1591" s="110"/>
      <c r="DQ1591" s="110"/>
      <c r="DR1591" s="110"/>
      <c r="DS1591" s="110"/>
      <c r="DT1591" s="110"/>
      <c r="DU1591" s="110"/>
      <c r="DV1591" s="110"/>
      <c r="DW1591" s="110"/>
      <c r="DX1591" s="110"/>
      <c r="DY1591" s="110"/>
      <c r="DZ1591" s="110"/>
      <c r="EA1591" s="110"/>
      <c r="EB1591" s="110"/>
      <c r="EC1591" s="110"/>
      <c r="ED1591" s="110"/>
      <c r="EF1591" s="264"/>
      <c r="EG1591" s="110"/>
      <c r="EH1591" s="110"/>
      <c r="EI1591" s="110"/>
      <c r="EJ1591" s="110"/>
      <c r="EK1591" s="266"/>
      <c r="EL1591" s="110"/>
      <c r="EM1591" s="110"/>
      <c r="EN1591" s="110"/>
      <c r="EO1591" s="110"/>
      <c r="EP1591" s="110"/>
      <c r="EQ1591" s="110"/>
      <c r="ER1591" s="110"/>
      <c r="ES1591" s="110"/>
      <c r="ET1591" s="110"/>
      <c r="EU1591" s="110"/>
      <c r="EV1591" s="110"/>
      <c r="EW1591" s="110"/>
      <c r="EX1591" s="110"/>
      <c r="EY1591" s="110"/>
      <c r="EZ1591" s="110"/>
      <c r="FA1591" s="110"/>
      <c r="FB1591" s="110"/>
      <c r="FC1591" s="110"/>
      <c r="FD1591" s="110"/>
      <c r="FE1591" s="110"/>
      <c r="FF1591" s="110"/>
      <c r="FG1591" s="110"/>
      <c r="FH1591" s="110"/>
      <c r="FI1591" s="110"/>
      <c r="FJ1591" s="110"/>
      <c r="FK1591" s="110"/>
      <c r="FL1591" s="110"/>
      <c r="FM1591" s="110"/>
      <c r="FN1591" s="110"/>
      <c r="FO1591" s="110"/>
      <c r="FP1591" s="110"/>
      <c r="FQ1591" s="110"/>
      <c r="FR1591" s="110"/>
      <c r="FS1591" s="110"/>
      <c r="FT1591" s="110"/>
      <c r="FU1591" s="110"/>
      <c r="FV1591" s="110"/>
      <c r="FW1591" s="110"/>
      <c r="FX1591" s="110"/>
      <c r="FY1591" s="110"/>
      <c r="FZ1591" s="110"/>
      <c r="GA1591" s="110"/>
      <c r="GB1591" s="110"/>
      <c r="GC1591" s="110"/>
      <c r="GD1591" s="110"/>
      <c r="GE1591" s="110"/>
      <c r="GF1591" s="110"/>
      <c r="GG1591" s="110"/>
      <c r="GH1591" s="110"/>
      <c r="GI1591" s="110"/>
      <c r="GJ1591" s="110"/>
      <c r="GK1591" s="110"/>
      <c r="GL1591" s="110"/>
      <c r="GM1591" s="110"/>
      <c r="GN1591" s="110"/>
      <c r="GO1591" s="110"/>
      <c r="GP1591" s="110"/>
      <c r="GQ1591" s="110"/>
      <c r="GR1591" s="110"/>
      <c r="GS1591" s="110"/>
      <c r="GT1591" s="110"/>
      <c r="GU1591" s="110"/>
      <c r="GV1591" s="110"/>
      <c r="GW1591" s="110"/>
      <c r="GX1591" s="110"/>
      <c r="GY1591" s="110"/>
      <c r="GZ1591" s="110"/>
      <c r="HA1591" s="110"/>
      <c r="HB1591" s="110"/>
      <c r="HC1591" s="110"/>
      <c r="HD1591" s="110"/>
      <c r="HE1591" s="110"/>
      <c r="HF1591" s="110"/>
      <c r="HG1591" s="110"/>
      <c r="HH1591" s="110"/>
      <c r="HI1591" s="110"/>
      <c r="HJ1591" s="110"/>
      <c r="HK1591" s="110"/>
      <c r="HL1591" s="110"/>
      <c r="HM1591" s="110"/>
      <c r="HN1591" s="110"/>
      <c r="HO1591" s="110"/>
      <c r="HP1591" s="110"/>
      <c r="HQ1591" s="110"/>
      <c r="HR1591" s="110"/>
      <c r="HS1591" s="110"/>
      <c r="HT1591" s="110"/>
      <c r="HU1591" s="110"/>
      <c r="HV1591" s="110"/>
      <c r="HW1591" s="110"/>
      <c r="HX1591" s="110"/>
      <c r="HY1591" s="110"/>
      <c r="HZ1591" s="110"/>
      <c r="IA1591" s="110"/>
      <c r="IB1591" s="110"/>
      <c r="IC1591" s="110"/>
      <c r="ID1591" s="110"/>
      <c r="IE1591" s="110"/>
      <c r="IF1591" s="110"/>
      <c r="IG1591" s="110"/>
      <c r="IH1591" s="110"/>
      <c r="II1591" s="110"/>
      <c r="IJ1591" s="110"/>
      <c r="IK1591" s="110"/>
      <c r="IL1591" s="110"/>
      <c r="IM1591" s="110"/>
      <c r="IN1591" s="110"/>
      <c r="IO1591" s="110"/>
      <c r="IP1591" s="110"/>
      <c r="IQ1591" s="110"/>
      <c r="IR1591" s="110"/>
    </row>
    <row r="1592" spans="18:252" ht="16.5" hidden="1" customHeight="1">
      <c r="R1592" s="264"/>
      <c r="S1592" s="110"/>
      <c r="T1592" s="110"/>
      <c r="U1592" s="110"/>
      <c r="V1592" s="110"/>
      <c r="W1592" s="266"/>
      <c r="X1592" s="110"/>
      <c r="Y1592" s="110"/>
      <c r="Z1592" s="110"/>
      <c r="AA1592" s="110"/>
      <c r="AB1592" s="110"/>
      <c r="AC1592" s="110"/>
      <c r="AD1592" s="110"/>
      <c r="AE1592" s="110"/>
      <c r="AF1592" s="110"/>
      <c r="AG1592" s="110"/>
      <c r="AH1592" s="110"/>
      <c r="AI1592" s="110"/>
      <c r="AJ1592" s="110"/>
      <c r="AK1592" s="110"/>
      <c r="AL1592" s="110"/>
      <c r="AM1592" s="110"/>
      <c r="AN1592" s="110"/>
      <c r="AO1592" s="110"/>
      <c r="AP1592" s="110"/>
      <c r="AQ1592" s="110"/>
      <c r="AR1592" s="110"/>
      <c r="AS1592" s="110"/>
      <c r="AT1592" s="110"/>
      <c r="AU1592" s="110"/>
      <c r="AV1592" s="110"/>
      <c r="AW1592" s="110"/>
      <c r="AX1592" s="110"/>
      <c r="AY1592" s="110"/>
      <c r="AZ1592" s="110"/>
      <c r="BA1592" s="110"/>
      <c r="BB1592" s="110"/>
      <c r="BC1592" s="110"/>
      <c r="BD1592" s="110"/>
      <c r="BE1592" s="110"/>
      <c r="BF1592" s="110"/>
      <c r="BG1592" s="110"/>
      <c r="BH1592" s="110"/>
      <c r="BI1592" s="110"/>
      <c r="BJ1592" s="110"/>
      <c r="BK1592" s="110"/>
      <c r="BL1592" s="110"/>
      <c r="BM1592" s="110"/>
      <c r="BN1592" s="110"/>
      <c r="BO1592" s="110"/>
      <c r="BP1592" s="110"/>
      <c r="BQ1592" s="110"/>
      <c r="BR1592" s="110"/>
      <c r="BS1592" s="110"/>
      <c r="BT1592" s="110"/>
      <c r="BU1592" s="110"/>
      <c r="BV1592" s="110"/>
      <c r="BW1592" s="110"/>
      <c r="BX1592" s="110"/>
      <c r="BY1592" s="110"/>
      <c r="BZ1592" s="110"/>
      <c r="CA1592" s="110"/>
      <c r="CB1592" s="110"/>
      <c r="CC1592" s="110"/>
      <c r="CD1592" s="110"/>
      <c r="CE1592" s="110"/>
      <c r="CF1592" s="110"/>
      <c r="CG1592" s="110"/>
      <c r="CH1592" s="110"/>
      <c r="CI1592" s="110"/>
      <c r="CJ1592" s="110"/>
      <c r="CK1592" s="110"/>
      <c r="CL1592" s="110"/>
      <c r="CM1592" s="110"/>
      <c r="CN1592" s="110"/>
      <c r="CO1592" s="110"/>
      <c r="CP1592" s="110"/>
      <c r="CQ1592" s="110"/>
      <c r="CR1592" s="110"/>
      <c r="CS1592" s="110"/>
      <c r="CT1592" s="110"/>
      <c r="CU1592" s="110"/>
      <c r="CV1592" s="110"/>
      <c r="CW1592" s="110"/>
      <c r="CX1592" s="110"/>
      <c r="CY1592" s="110"/>
      <c r="CZ1592" s="110"/>
      <c r="DA1592" s="110"/>
      <c r="DB1592" s="110"/>
      <c r="DC1592" s="110"/>
      <c r="DD1592" s="110"/>
      <c r="DE1592" s="110"/>
      <c r="DF1592" s="110"/>
      <c r="DG1592" s="110"/>
      <c r="DH1592" s="110"/>
      <c r="DI1592" s="110"/>
      <c r="DJ1592" s="110"/>
      <c r="DK1592" s="110"/>
      <c r="DL1592" s="110"/>
      <c r="DM1592" s="110"/>
      <c r="DN1592" s="110"/>
      <c r="DO1592" s="110"/>
      <c r="DP1592" s="110"/>
      <c r="DQ1592" s="110"/>
      <c r="DR1592" s="110"/>
      <c r="DS1592" s="110"/>
      <c r="DT1592" s="110"/>
      <c r="DU1592" s="110"/>
      <c r="DV1592" s="110"/>
      <c r="DW1592" s="110"/>
      <c r="DX1592" s="110"/>
      <c r="DY1592" s="110"/>
      <c r="DZ1592" s="110"/>
      <c r="EA1592" s="110"/>
      <c r="EB1592" s="110"/>
      <c r="EC1592" s="110"/>
      <c r="ED1592" s="110"/>
      <c r="EF1592" s="264"/>
      <c r="EG1592" s="110"/>
      <c r="EH1592" s="110"/>
      <c r="EI1592" s="110"/>
      <c r="EJ1592" s="110"/>
      <c r="EK1592" s="266"/>
      <c r="EL1592" s="110"/>
      <c r="EM1592" s="110"/>
      <c r="EN1592" s="110"/>
      <c r="EO1592" s="110"/>
      <c r="EP1592" s="110"/>
      <c r="EQ1592" s="110"/>
      <c r="ER1592" s="110"/>
      <c r="ES1592" s="110"/>
      <c r="ET1592" s="110"/>
      <c r="EU1592" s="110"/>
      <c r="EV1592" s="110"/>
      <c r="EW1592" s="110"/>
      <c r="EX1592" s="110"/>
      <c r="EY1592" s="110"/>
      <c r="EZ1592" s="110"/>
      <c r="FA1592" s="110"/>
      <c r="FB1592" s="110"/>
      <c r="FC1592" s="110"/>
      <c r="FD1592" s="110"/>
      <c r="FE1592" s="110"/>
      <c r="FF1592" s="110"/>
      <c r="FG1592" s="110"/>
      <c r="FH1592" s="110"/>
      <c r="FI1592" s="110"/>
      <c r="FJ1592" s="110"/>
      <c r="FK1592" s="110"/>
      <c r="FL1592" s="110"/>
      <c r="FM1592" s="110"/>
      <c r="FN1592" s="110"/>
      <c r="FO1592" s="110"/>
      <c r="FP1592" s="110"/>
      <c r="FQ1592" s="110"/>
      <c r="FR1592" s="110"/>
      <c r="FS1592" s="110"/>
      <c r="FT1592" s="110"/>
      <c r="FU1592" s="110"/>
      <c r="FV1592" s="110"/>
      <c r="FW1592" s="110"/>
      <c r="FX1592" s="110"/>
      <c r="FY1592" s="110"/>
      <c r="FZ1592" s="110"/>
      <c r="GA1592" s="110"/>
      <c r="GB1592" s="110"/>
      <c r="GC1592" s="110"/>
      <c r="GD1592" s="110"/>
      <c r="GE1592" s="110"/>
      <c r="GF1592" s="110"/>
      <c r="GG1592" s="110"/>
      <c r="GH1592" s="110"/>
      <c r="GI1592" s="110"/>
      <c r="GJ1592" s="110"/>
      <c r="GK1592" s="110"/>
      <c r="GL1592" s="110"/>
      <c r="GM1592" s="110"/>
      <c r="GN1592" s="110"/>
      <c r="GO1592" s="110"/>
      <c r="GP1592" s="110"/>
      <c r="GQ1592" s="110"/>
      <c r="GR1592" s="110"/>
      <c r="GS1592" s="110"/>
      <c r="GT1592" s="110"/>
      <c r="GU1592" s="110"/>
      <c r="GV1592" s="110"/>
      <c r="GW1592" s="110"/>
      <c r="GX1592" s="110"/>
      <c r="GY1592" s="110"/>
      <c r="GZ1592" s="110"/>
      <c r="HA1592" s="110"/>
      <c r="HB1592" s="110"/>
      <c r="HC1592" s="110"/>
      <c r="HD1592" s="110"/>
      <c r="HE1592" s="110"/>
      <c r="HF1592" s="110"/>
      <c r="HG1592" s="110"/>
      <c r="HH1592" s="110"/>
      <c r="HI1592" s="110"/>
      <c r="HJ1592" s="110"/>
      <c r="HK1592" s="110"/>
      <c r="HL1592" s="110"/>
      <c r="HM1592" s="110"/>
      <c r="HN1592" s="110"/>
      <c r="HO1592" s="110"/>
      <c r="HP1592" s="110"/>
      <c r="HQ1592" s="110"/>
      <c r="HR1592" s="110"/>
      <c r="HS1592" s="110"/>
      <c r="HT1592" s="110"/>
      <c r="HU1592" s="110"/>
      <c r="HV1592" s="110"/>
      <c r="HW1592" s="110"/>
      <c r="HX1592" s="110"/>
      <c r="HY1592" s="110"/>
      <c r="HZ1592" s="110"/>
      <c r="IA1592" s="110"/>
      <c r="IB1592" s="110"/>
      <c r="IC1592" s="110"/>
      <c r="ID1592" s="110"/>
      <c r="IE1592" s="110"/>
      <c r="IF1592" s="110"/>
      <c r="IG1592" s="110"/>
      <c r="IH1592" s="110"/>
      <c r="II1592" s="110"/>
      <c r="IJ1592" s="110"/>
      <c r="IK1592" s="110"/>
      <c r="IL1592" s="110"/>
      <c r="IM1592" s="110"/>
      <c r="IN1592" s="110"/>
      <c r="IO1592" s="110"/>
      <c r="IP1592" s="110"/>
      <c r="IQ1592" s="110"/>
      <c r="IR1592" s="110"/>
    </row>
    <row r="1593" spans="18:252" ht="16.5" hidden="1" customHeight="1">
      <c r="R1593" s="264"/>
      <c r="S1593" s="110"/>
      <c r="T1593" s="110"/>
      <c r="U1593" s="110"/>
      <c r="V1593" s="110"/>
      <c r="W1593" s="266"/>
      <c r="X1593" s="110"/>
      <c r="Y1593" s="110"/>
      <c r="Z1593" s="110"/>
      <c r="AA1593" s="110"/>
      <c r="AB1593" s="110"/>
      <c r="AC1593" s="110"/>
      <c r="AD1593" s="110"/>
      <c r="AE1593" s="110"/>
      <c r="AF1593" s="110"/>
      <c r="AG1593" s="110"/>
      <c r="AH1593" s="110"/>
      <c r="AI1593" s="110"/>
      <c r="AJ1593" s="110"/>
      <c r="AK1593" s="110"/>
      <c r="AL1593" s="110"/>
      <c r="AM1593" s="110"/>
      <c r="AN1593" s="110"/>
      <c r="AO1593" s="110"/>
      <c r="AP1593" s="110"/>
      <c r="AQ1593" s="110"/>
      <c r="AR1593" s="110"/>
      <c r="AS1593" s="110"/>
      <c r="AT1593" s="110"/>
      <c r="AU1593" s="110"/>
      <c r="AV1593" s="110"/>
      <c r="AW1593" s="110"/>
      <c r="AX1593" s="110"/>
      <c r="AY1593" s="110"/>
      <c r="AZ1593" s="110"/>
      <c r="BA1593" s="110"/>
      <c r="BB1593" s="110"/>
      <c r="BC1593" s="110"/>
      <c r="BD1593" s="110"/>
      <c r="BE1593" s="110"/>
      <c r="BF1593" s="110"/>
      <c r="BG1593" s="110"/>
      <c r="BH1593" s="110"/>
      <c r="BI1593" s="110"/>
      <c r="BJ1593" s="110"/>
      <c r="BK1593" s="110"/>
      <c r="BL1593" s="110"/>
      <c r="BM1593" s="110"/>
      <c r="BN1593" s="110"/>
      <c r="BO1593" s="110"/>
      <c r="BP1593" s="110"/>
      <c r="BQ1593" s="110"/>
      <c r="BR1593" s="110"/>
      <c r="BS1593" s="110"/>
      <c r="BT1593" s="110"/>
      <c r="BU1593" s="110"/>
      <c r="BV1593" s="110"/>
      <c r="BW1593" s="110"/>
      <c r="BX1593" s="110"/>
      <c r="BY1593" s="110"/>
      <c r="BZ1593" s="110"/>
      <c r="CA1593" s="110"/>
      <c r="CB1593" s="110"/>
      <c r="CC1593" s="110"/>
      <c r="CD1593" s="110"/>
      <c r="CE1593" s="110"/>
      <c r="CF1593" s="110"/>
      <c r="CG1593" s="110"/>
      <c r="CH1593" s="110"/>
      <c r="CI1593" s="110"/>
      <c r="CJ1593" s="110"/>
      <c r="CK1593" s="110"/>
      <c r="CL1593" s="110"/>
      <c r="CM1593" s="110"/>
      <c r="CN1593" s="110"/>
      <c r="CO1593" s="110"/>
      <c r="CP1593" s="110"/>
      <c r="CQ1593" s="110"/>
      <c r="CR1593" s="110"/>
      <c r="CS1593" s="110"/>
      <c r="CT1593" s="110"/>
      <c r="CU1593" s="110"/>
      <c r="CV1593" s="110"/>
      <c r="CW1593" s="110"/>
      <c r="CX1593" s="110"/>
      <c r="CY1593" s="110"/>
      <c r="CZ1593" s="110"/>
      <c r="DA1593" s="110"/>
      <c r="DB1593" s="110"/>
      <c r="DC1593" s="110"/>
      <c r="DD1593" s="110"/>
      <c r="DE1593" s="110"/>
      <c r="DF1593" s="110"/>
      <c r="DG1593" s="110"/>
      <c r="DH1593" s="110"/>
      <c r="DI1593" s="110"/>
      <c r="DJ1593" s="110"/>
      <c r="DK1593" s="110"/>
      <c r="DL1593" s="110"/>
      <c r="DM1593" s="110"/>
      <c r="DN1593" s="110"/>
      <c r="DO1593" s="110"/>
      <c r="DP1593" s="110"/>
      <c r="DQ1593" s="110"/>
      <c r="DR1593" s="110"/>
      <c r="DS1593" s="110"/>
      <c r="DT1593" s="110"/>
      <c r="DU1593" s="110"/>
      <c r="DV1593" s="110"/>
      <c r="DW1593" s="110"/>
      <c r="DX1593" s="110"/>
      <c r="DY1593" s="110"/>
      <c r="DZ1593" s="110"/>
      <c r="EA1593" s="110"/>
      <c r="EB1593" s="110"/>
      <c r="EC1593" s="110"/>
      <c r="ED1593" s="110"/>
      <c r="EF1593" s="264"/>
      <c r="EG1593" s="110"/>
      <c r="EH1593" s="110"/>
      <c r="EI1593" s="110"/>
      <c r="EJ1593" s="110"/>
      <c r="EK1593" s="266"/>
      <c r="EL1593" s="110"/>
      <c r="EM1593" s="110"/>
      <c r="EN1593" s="110"/>
      <c r="EO1593" s="110"/>
      <c r="EP1593" s="110"/>
      <c r="EQ1593" s="110"/>
      <c r="ER1593" s="110"/>
      <c r="ES1593" s="110"/>
      <c r="ET1593" s="110"/>
      <c r="EU1593" s="110"/>
      <c r="EV1593" s="110"/>
      <c r="EW1593" s="110"/>
      <c r="EX1593" s="110"/>
      <c r="EY1593" s="110"/>
      <c r="EZ1593" s="110"/>
      <c r="FA1593" s="110"/>
      <c r="FB1593" s="110"/>
      <c r="FC1593" s="110"/>
      <c r="FD1593" s="110"/>
      <c r="FE1593" s="110"/>
      <c r="FF1593" s="110"/>
      <c r="FG1593" s="110"/>
      <c r="FH1593" s="110"/>
      <c r="FI1593" s="110"/>
      <c r="FJ1593" s="110"/>
      <c r="FK1593" s="110"/>
      <c r="FL1593" s="110"/>
      <c r="FM1593" s="110"/>
      <c r="FN1593" s="110"/>
      <c r="FO1593" s="110"/>
      <c r="FP1593" s="110"/>
      <c r="FQ1593" s="110"/>
      <c r="FR1593" s="110"/>
      <c r="FS1593" s="110"/>
      <c r="FT1593" s="110"/>
      <c r="FU1593" s="110"/>
      <c r="FV1593" s="110"/>
      <c r="FW1593" s="110"/>
      <c r="FX1593" s="110"/>
      <c r="FY1593" s="110"/>
      <c r="FZ1593" s="110"/>
      <c r="GA1593" s="110"/>
      <c r="GB1593" s="110"/>
      <c r="GC1593" s="110"/>
      <c r="GD1593" s="110"/>
      <c r="GE1593" s="110"/>
      <c r="GF1593" s="110"/>
      <c r="GG1593" s="110"/>
      <c r="GH1593" s="110"/>
      <c r="GI1593" s="110"/>
      <c r="GJ1593" s="110"/>
      <c r="GK1593" s="110"/>
      <c r="GL1593" s="110"/>
      <c r="GM1593" s="110"/>
      <c r="GN1593" s="110"/>
      <c r="GO1593" s="110"/>
      <c r="GP1593" s="110"/>
      <c r="GQ1593" s="110"/>
      <c r="GR1593" s="110"/>
      <c r="GS1593" s="110"/>
      <c r="GT1593" s="110"/>
      <c r="GU1593" s="110"/>
      <c r="GV1593" s="110"/>
      <c r="GW1593" s="110"/>
      <c r="GX1593" s="110"/>
      <c r="GY1593" s="110"/>
      <c r="GZ1593" s="110"/>
      <c r="HA1593" s="110"/>
      <c r="HB1593" s="110"/>
      <c r="HC1593" s="110"/>
      <c r="HD1593" s="110"/>
      <c r="HE1593" s="110"/>
      <c r="HF1593" s="110"/>
      <c r="HG1593" s="110"/>
      <c r="HH1593" s="110"/>
      <c r="HI1593" s="110"/>
      <c r="HJ1593" s="110"/>
      <c r="HK1593" s="110"/>
      <c r="HL1593" s="110"/>
      <c r="HM1593" s="110"/>
      <c r="HN1593" s="110"/>
      <c r="HO1593" s="110"/>
      <c r="HP1593" s="110"/>
      <c r="HQ1593" s="110"/>
      <c r="HR1593" s="110"/>
      <c r="HS1593" s="110"/>
      <c r="HT1593" s="110"/>
      <c r="HU1593" s="110"/>
      <c r="HV1593" s="110"/>
      <c r="HW1593" s="110"/>
      <c r="HX1593" s="110"/>
      <c r="HY1593" s="110"/>
      <c r="HZ1593" s="110"/>
      <c r="IA1593" s="110"/>
      <c r="IB1593" s="110"/>
      <c r="IC1593" s="110"/>
      <c r="ID1593" s="110"/>
      <c r="IE1593" s="110"/>
      <c r="IF1593" s="110"/>
      <c r="IG1593" s="110"/>
      <c r="IH1593" s="110"/>
      <c r="II1593" s="110"/>
      <c r="IJ1593" s="110"/>
      <c r="IK1593" s="110"/>
      <c r="IL1593" s="110"/>
      <c r="IM1593" s="110"/>
      <c r="IN1593" s="110"/>
      <c r="IO1593" s="110"/>
      <c r="IP1593" s="110"/>
      <c r="IQ1593" s="110"/>
      <c r="IR1593" s="110"/>
    </row>
    <row r="1594" spans="18:252" ht="16.5" hidden="1" customHeight="1">
      <c r="R1594" s="264"/>
      <c r="S1594" s="110"/>
      <c r="T1594" s="110"/>
      <c r="U1594" s="110"/>
      <c r="V1594" s="110"/>
      <c r="W1594" s="266"/>
      <c r="X1594" s="110"/>
      <c r="Y1594" s="110"/>
      <c r="Z1594" s="110"/>
      <c r="AA1594" s="110"/>
      <c r="AB1594" s="110"/>
      <c r="AC1594" s="110"/>
      <c r="AD1594" s="110"/>
      <c r="AE1594" s="110"/>
      <c r="AF1594" s="110"/>
      <c r="AG1594" s="110"/>
      <c r="AH1594" s="110"/>
      <c r="AI1594" s="110"/>
      <c r="AJ1594" s="110"/>
      <c r="AK1594" s="110"/>
      <c r="AL1594" s="110"/>
      <c r="AM1594" s="110"/>
      <c r="AN1594" s="110"/>
      <c r="AO1594" s="110"/>
      <c r="AP1594" s="110"/>
      <c r="AQ1594" s="110"/>
      <c r="AR1594" s="110"/>
      <c r="AS1594" s="110"/>
      <c r="AT1594" s="110"/>
      <c r="AU1594" s="110"/>
      <c r="AV1594" s="110"/>
      <c r="AW1594" s="110"/>
      <c r="AX1594" s="110"/>
      <c r="AY1594" s="110"/>
      <c r="AZ1594" s="110"/>
      <c r="BA1594" s="110"/>
      <c r="BB1594" s="110"/>
      <c r="BC1594" s="110"/>
      <c r="BD1594" s="110"/>
      <c r="BE1594" s="110"/>
      <c r="BF1594" s="110"/>
      <c r="BG1594" s="110"/>
      <c r="BH1594" s="110"/>
      <c r="BI1594" s="110"/>
      <c r="BJ1594" s="110"/>
      <c r="BK1594" s="110"/>
      <c r="BL1594" s="110"/>
      <c r="BM1594" s="110"/>
      <c r="BN1594" s="110"/>
      <c r="BO1594" s="110"/>
      <c r="BP1594" s="110"/>
      <c r="BQ1594" s="110"/>
      <c r="BR1594" s="110"/>
      <c r="BS1594" s="110"/>
      <c r="BT1594" s="110"/>
      <c r="BU1594" s="110"/>
      <c r="BV1594" s="110"/>
      <c r="BW1594" s="110"/>
      <c r="BX1594" s="110"/>
      <c r="BY1594" s="110"/>
      <c r="BZ1594" s="110"/>
      <c r="CA1594" s="110"/>
      <c r="CB1594" s="110"/>
      <c r="CC1594" s="110"/>
      <c r="CD1594" s="110"/>
      <c r="CE1594" s="110"/>
      <c r="CF1594" s="110"/>
      <c r="CG1594" s="110"/>
      <c r="CH1594" s="110"/>
      <c r="CI1594" s="110"/>
      <c r="CJ1594" s="110"/>
      <c r="CK1594" s="110"/>
      <c r="CL1594" s="110"/>
      <c r="CM1594" s="110"/>
      <c r="CN1594" s="110"/>
      <c r="CO1594" s="110"/>
      <c r="CP1594" s="110"/>
      <c r="CQ1594" s="110"/>
      <c r="CR1594" s="110"/>
      <c r="CS1594" s="110"/>
      <c r="CT1594" s="110"/>
      <c r="CU1594" s="110"/>
      <c r="CV1594" s="110"/>
      <c r="CW1594" s="110"/>
      <c r="CX1594" s="110"/>
      <c r="CY1594" s="110"/>
      <c r="CZ1594" s="110"/>
      <c r="DA1594" s="110"/>
      <c r="DB1594" s="110"/>
      <c r="DC1594" s="110"/>
      <c r="DD1594" s="110"/>
      <c r="DE1594" s="110"/>
      <c r="DF1594" s="110"/>
      <c r="DG1594" s="110"/>
      <c r="DH1594" s="110"/>
      <c r="DI1594" s="110"/>
      <c r="DJ1594" s="110"/>
      <c r="DK1594" s="110"/>
      <c r="DL1594" s="110"/>
      <c r="DM1594" s="110"/>
      <c r="DN1594" s="110"/>
      <c r="DO1594" s="110"/>
      <c r="DP1594" s="110"/>
      <c r="DQ1594" s="110"/>
      <c r="DR1594" s="110"/>
      <c r="DS1594" s="110"/>
      <c r="DT1594" s="110"/>
      <c r="DU1594" s="110"/>
      <c r="DV1594" s="110"/>
      <c r="DW1594" s="110"/>
      <c r="DX1594" s="110"/>
      <c r="DY1594" s="110"/>
      <c r="DZ1594" s="110"/>
      <c r="EA1594" s="110"/>
      <c r="EB1594" s="110"/>
      <c r="EC1594" s="110"/>
      <c r="ED1594" s="110"/>
      <c r="EF1594" s="264"/>
      <c r="EG1594" s="110"/>
      <c r="EH1594" s="110"/>
      <c r="EI1594" s="110"/>
      <c r="EJ1594" s="110"/>
      <c r="EK1594" s="266"/>
      <c r="EL1594" s="110"/>
      <c r="EM1594" s="110"/>
      <c r="EN1594" s="110"/>
      <c r="EO1594" s="110"/>
      <c r="EP1594" s="110"/>
      <c r="EQ1594" s="110"/>
      <c r="ER1594" s="110"/>
      <c r="ES1594" s="110"/>
      <c r="ET1594" s="110"/>
      <c r="EU1594" s="110"/>
      <c r="EV1594" s="110"/>
      <c r="EW1594" s="110"/>
      <c r="EX1594" s="110"/>
      <c r="EY1594" s="110"/>
      <c r="EZ1594" s="110"/>
      <c r="FA1594" s="110"/>
      <c r="FB1594" s="110"/>
      <c r="FC1594" s="110"/>
      <c r="FD1594" s="110"/>
      <c r="FE1594" s="110"/>
      <c r="FF1594" s="110"/>
      <c r="FG1594" s="110"/>
      <c r="FH1594" s="110"/>
      <c r="FI1594" s="110"/>
      <c r="FJ1594" s="110"/>
      <c r="FK1594" s="110"/>
      <c r="FL1594" s="110"/>
      <c r="FM1594" s="110"/>
      <c r="FN1594" s="110"/>
      <c r="FO1594" s="110"/>
      <c r="FP1594" s="110"/>
      <c r="FQ1594" s="110"/>
      <c r="FR1594" s="110"/>
      <c r="FS1594" s="110"/>
      <c r="FT1594" s="110"/>
      <c r="FU1594" s="110"/>
      <c r="FV1594" s="110"/>
      <c r="FW1594" s="110"/>
      <c r="FX1594" s="110"/>
      <c r="FY1594" s="110"/>
      <c r="FZ1594" s="110"/>
      <c r="GA1594" s="110"/>
      <c r="GB1594" s="110"/>
      <c r="GC1594" s="110"/>
      <c r="GD1594" s="110"/>
      <c r="GE1594" s="110"/>
      <c r="GF1594" s="110"/>
      <c r="GG1594" s="110"/>
      <c r="GH1594" s="110"/>
      <c r="GI1594" s="110"/>
      <c r="GJ1594" s="110"/>
      <c r="GK1594" s="110"/>
      <c r="GL1594" s="110"/>
      <c r="GM1594" s="110"/>
      <c r="GN1594" s="110"/>
      <c r="GO1594" s="110"/>
      <c r="GP1594" s="110"/>
      <c r="GQ1594" s="110"/>
      <c r="GR1594" s="110"/>
      <c r="GS1594" s="110"/>
      <c r="GT1594" s="110"/>
      <c r="GU1594" s="110"/>
      <c r="GV1594" s="110"/>
      <c r="GW1594" s="110"/>
      <c r="GX1594" s="110"/>
      <c r="GY1594" s="110"/>
      <c r="GZ1594" s="110"/>
      <c r="HA1594" s="110"/>
      <c r="HB1594" s="110"/>
      <c r="HC1594" s="110"/>
      <c r="HD1594" s="110"/>
      <c r="HE1594" s="110"/>
      <c r="HF1594" s="110"/>
      <c r="HG1594" s="110"/>
      <c r="HH1594" s="110"/>
      <c r="HI1594" s="110"/>
      <c r="HJ1594" s="110"/>
      <c r="HK1594" s="110"/>
      <c r="HL1594" s="110"/>
      <c r="HM1594" s="110"/>
      <c r="HN1594" s="110"/>
      <c r="HO1594" s="110"/>
      <c r="HP1594" s="110"/>
      <c r="HQ1594" s="110"/>
      <c r="HR1594" s="110"/>
      <c r="HS1594" s="110"/>
      <c r="HT1594" s="110"/>
      <c r="HU1594" s="110"/>
      <c r="HV1594" s="110"/>
      <c r="HW1594" s="110"/>
      <c r="HX1594" s="110"/>
      <c r="HY1594" s="110"/>
      <c r="HZ1594" s="110"/>
      <c r="IA1594" s="110"/>
      <c r="IB1594" s="110"/>
      <c r="IC1594" s="110"/>
      <c r="ID1594" s="110"/>
      <c r="IE1594" s="110"/>
      <c r="IF1594" s="110"/>
      <c r="IG1594" s="110"/>
      <c r="IH1594" s="110"/>
      <c r="II1594" s="110"/>
      <c r="IJ1594" s="110"/>
      <c r="IK1594" s="110"/>
      <c r="IL1594" s="110"/>
      <c r="IM1594" s="110"/>
      <c r="IN1594" s="110"/>
      <c r="IO1594" s="110"/>
      <c r="IP1594" s="110"/>
      <c r="IQ1594" s="110"/>
      <c r="IR1594" s="110"/>
    </row>
    <row r="1595" spans="18:252" ht="16.5" hidden="1" customHeight="1">
      <c r="R1595" s="264"/>
      <c r="S1595" s="110"/>
      <c r="T1595" s="110"/>
      <c r="U1595" s="110"/>
      <c r="V1595" s="110"/>
      <c r="W1595" s="266"/>
      <c r="X1595" s="110"/>
      <c r="Y1595" s="110"/>
      <c r="Z1595" s="110"/>
      <c r="AA1595" s="110"/>
      <c r="AB1595" s="110"/>
      <c r="AC1595" s="110"/>
      <c r="AD1595" s="110"/>
      <c r="AE1595" s="110"/>
      <c r="AF1595" s="110"/>
      <c r="AG1595" s="110"/>
      <c r="AH1595" s="110"/>
      <c r="AI1595" s="110"/>
      <c r="AJ1595" s="110"/>
      <c r="AK1595" s="110"/>
      <c r="AL1595" s="110"/>
      <c r="AM1595" s="110"/>
      <c r="AN1595" s="110"/>
      <c r="AO1595" s="110"/>
      <c r="AP1595" s="110"/>
      <c r="AQ1595" s="110"/>
      <c r="AR1595" s="110"/>
      <c r="AS1595" s="110"/>
      <c r="AT1595" s="110"/>
      <c r="AU1595" s="110"/>
      <c r="AV1595" s="110"/>
      <c r="AW1595" s="110"/>
      <c r="AX1595" s="110"/>
      <c r="AY1595" s="110"/>
      <c r="AZ1595" s="110"/>
      <c r="BA1595" s="110"/>
      <c r="BB1595" s="110"/>
      <c r="BC1595" s="110"/>
      <c r="BD1595" s="110"/>
      <c r="BE1595" s="110"/>
      <c r="BF1595" s="110"/>
      <c r="BG1595" s="110"/>
      <c r="BH1595" s="110"/>
      <c r="BI1595" s="110"/>
      <c r="BJ1595" s="110"/>
      <c r="BK1595" s="110"/>
      <c r="BL1595" s="110"/>
      <c r="BM1595" s="110"/>
      <c r="BN1595" s="110"/>
      <c r="BO1595" s="110"/>
      <c r="BP1595" s="110"/>
      <c r="BQ1595" s="110"/>
      <c r="BR1595" s="110"/>
      <c r="BS1595" s="110"/>
      <c r="BT1595" s="110"/>
      <c r="BU1595" s="110"/>
      <c r="BV1595" s="110"/>
      <c r="BW1595" s="110"/>
      <c r="BX1595" s="110"/>
      <c r="BY1595" s="110"/>
      <c r="BZ1595" s="110"/>
      <c r="CA1595" s="110"/>
      <c r="CB1595" s="110"/>
      <c r="CC1595" s="110"/>
      <c r="CD1595" s="110"/>
      <c r="CE1595" s="110"/>
      <c r="CF1595" s="110"/>
      <c r="CG1595" s="110"/>
      <c r="CH1595" s="110"/>
      <c r="CI1595" s="110"/>
      <c r="CJ1595" s="110"/>
      <c r="CK1595" s="110"/>
      <c r="CL1595" s="110"/>
      <c r="CM1595" s="110"/>
      <c r="CN1595" s="110"/>
      <c r="CO1595" s="110"/>
      <c r="CP1595" s="110"/>
      <c r="CQ1595" s="110"/>
      <c r="CR1595" s="110"/>
      <c r="CS1595" s="110"/>
      <c r="CT1595" s="110"/>
      <c r="CU1595" s="110"/>
      <c r="CV1595" s="110"/>
      <c r="CW1595" s="110"/>
      <c r="CX1595" s="110"/>
      <c r="CY1595" s="110"/>
      <c r="CZ1595" s="110"/>
      <c r="DA1595" s="110"/>
      <c r="DB1595" s="110"/>
      <c r="DC1595" s="110"/>
      <c r="DD1595" s="110"/>
      <c r="DE1595" s="110"/>
      <c r="DF1595" s="110"/>
      <c r="DG1595" s="110"/>
      <c r="DH1595" s="110"/>
      <c r="DI1595" s="110"/>
      <c r="DJ1595" s="110"/>
      <c r="DK1595" s="110"/>
      <c r="DL1595" s="110"/>
      <c r="DM1595" s="110"/>
      <c r="DN1595" s="110"/>
      <c r="DO1595" s="110"/>
      <c r="DP1595" s="110"/>
      <c r="DQ1595" s="110"/>
      <c r="DR1595" s="110"/>
      <c r="DS1595" s="110"/>
      <c r="DT1595" s="110"/>
      <c r="DU1595" s="110"/>
      <c r="DV1595" s="110"/>
      <c r="DW1595" s="110"/>
      <c r="DX1595" s="110"/>
      <c r="DY1595" s="110"/>
      <c r="DZ1595" s="110"/>
      <c r="EA1595" s="110"/>
      <c r="EB1595" s="110"/>
      <c r="EC1595" s="110"/>
      <c r="ED1595" s="110"/>
      <c r="EF1595" s="264"/>
      <c r="EG1595" s="110"/>
      <c r="EH1595" s="110"/>
      <c r="EI1595" s="110"/>
      <c r="EJ1595" s="110"/>
      <c r="EK1595" s="266"/>
      <c r="EL1595" s="110"/>
      <c r="EM1595" s="110"/>
      <c r="EN1595" s="110"/>
      <c r="EO1595" s="110"/>
      <c r="EP1595" s="110"/>
      <c r="EQ1595" s="110"/>
      <c r="ER1595" s="110"/>
      <c r="ES1595" s="110"/>
      <c r="ET1595" s="110"/>
      <c r="EU1595" s="110"/>
      <c r="EV1595" s="110"/>
      <c r="EW1595" s="110"/>
      <c r="EX1595" s="110"/>
      <c r="EY1595" s="110"/>
      <c r="EZ1595" s="110"/>
      <c r="FA1595" s="110"/>
      <c r="FB1595" s="110"/>
      <c r="FC1595" s="110"/>
      <c r="FD1595" s="110"/>
      <c r="FE1595" s="110"/>
      <c r="FF1595" s="110"/>
      <c r="FG1595" s="110"/>
      <c r="FH1595" s="110"/>
      <c r="FI1595" s="110"/>
      <c r="FJ1595" s="110"/>
      <c r="FK1595" s="110"/>
      <c r="FL1595" s="110"/>
      <c r="FM1595" s="110"/>
      <c r="FN1595" s="110"/>
      <c r="FO1595" s="110"/>
      <c r="FP1595" s="110"/>
      <c r="FQ1595" s="110"/>
      <c r="FR1595" s="110"/>
      <c r="FS1595" s="110"/>
      <c r="FT1595" s="110"/>
      <c r="FU1595" s="110"/>
      <c r="FV1595" s="110"/>
      <c r="FW1595" s="110"/>
      <c r="FX1595" s="110"/>
      <c r="FY1595" s="110"/>
      <c r="FZ1595" s="110"/>
      <c r="GA1595" s="110"/>
      <c r="GB1595" s="110"/>
      <c r="GC1595" s="110"/>
      <c r="GD1595" s="110"/>
      <c r="GE1595" s="110"/>
      <c r="GF1595" s="110"/>
      <c r="GG1595" s="110"/>
      <c r="GH1595" s="110"/>
      <c r="GI1595" s="110"/>
      <c r="GJ1595" s="110"/>
      <c r="GK1595" s="110"/>
      <c r="GL1595" s="110"/>
      <c r="GM1595" s="110"/>
      <c r="GN1595" s="110"/>
      <c r="GO1595" s="110"/>
      <c r="GP1595" s="110"/>
      <c r="GQ1595" s="110"/>
      <c r="GR1595" s="110"/>
      <c r="GS1595" s="110"/>
      <c r="GT1595" s="110"/>
      <c r="GU1595" s="110"/>
      <c r="GV1595" s="110"/>
      <c r="GW1595" s="110"/>
      <c r="GX1595" s="110"/>
      <c r="GY1595" s="110"/>
      <c r="GZ1595" s="110"/>
      <c r="HA1595" s="110"/>
      <c r="HB1595" s="110"/>
      <c r="HC1595" s="110"/>
      <c r="HD1595" s="110"/>
      <c r="HE1595" s="110"/>
      <c r="HF1595" s="110"/>
      <c r="HG1595" s="110"/>
      <c r="HH1595" s="110"/>
      <c r="HI1595" s="110"/>
      <c r="HJ1595" s="110"/>
      <c r="HK1595" s="110"/>
      <c r="HL1595" s="110"/>
      <c r="HM1595" s="110"/>
      <c r="HN1595" s="110"/>
      <c r="HO1595" s="110"/>
      <c r="HP1595" s="110"/>
      <c r="HQ1595" s="110"/>
      <c r="HR1595" s="110"/>
      <c r="HS1595" s="110"/>
      <c r="HT1595" s="110"/>
      <c r="HU1595" s="110"/>
      <c r="HV1595" s="110"/>
      <c r="HW1595" s="110"/>
      <c r="HX1595" s="110"/>
      <c r="HY1595" s="110"/>
      <c r="HZ1595" s="110"/>
      <c r="IA1595" s="110"/>
      <c r="IB1595" s="110"/>
      <c r="IC1595" s="110"/>
      <c r="ID1595" s="110"/>
      <c r="IE1595" s="110"/>
      <c r="IF1595" s="110"/>
      <c r="IG1595" s="110"/>
      <c r="IH1595" s="110"/>
      <c r="II1595" s="110"/>
      <c r="IJ1595" s="110"/>
      <c r="IK1595" s="110"/>
      <c r="IL1595" s="110"/>
      <c r="IM1595" s="110"/>
      <c r="IN1595" s="110"/>
      <c r="IO1595" s="110"/>
      <c r="IP1595" s="110"/>
      <c r="IQ1595" s="110"/>
      <c r="IR1595" s="110"/>
    </row>
    <row r="1596" spans="18:252" ht="16.5" hidden="1" customHeight="1">
      <c r="R1596" s="264"/>
      <c r="S1596" s="110"/>
      <c r="T1596" s="110"/>
      <c r="U1596" s="110"/>
      <c r="V1596" s="110"/>
      <c r="W1596" s="266"/>
      <c r="X1596" s="110"/>
      <c r="Y1596" s="110"/>
      <c r="Z1596" s="110"/>
      <c r="AA1596" s="110"/>
      <c r="AB1596" s="110"/>
      <c r="AC1596" s="110"/>
      <c r="AD1596" s="110"/>
      <c r="AE1596" s="110"/>
      <c r="AF1596" s="110"/>
      <c r="AG1596" s="110"/>
      <c r="AH1596" s="110"/>
      <c r="AI1596" s="110"/>
      <c r="AJ1596" s="110"/>
      <c r="AK1596" s="110"/>
      <c r="AL1596" s="110"/>
      <c r="AM1596" s="110"/>
      <c r="AN1596" s="110"/>
      <c r="AO1596" s="110"/>
      <c r="AP1596" s="110"/>
      <c r="AQ1596" s="110"/>
      <c r="AR1596" s="110"/>
      <c r="AS1596" s="110"/>
      <c r="AT1596" s="110"/>
      <c r="AU1596" s="110"/>
      <c r="AV1596" s="110"/>
      <c r="AW1596" s="110"/>
      <c r="AX1596" s="110"/>
      <c r="AY1596" s="110"/>
      <c r="AZ1596" s="110"/>
      <c r="BA1596" s="110"/>
      <c r="BB1596" s="110"/>
      <c r="BC1596" s="110"/>
      <c r="BD1596" s="110"/>
      <c r="BE1596" s="110"/>
      <c r="BF1596" s="110"/>
      <c r="BG1596" s="110"/>
      <c r="BH1596" s="110"/>
      <c r="BI1596" s="110"/>
      <c r="BJ1596" s="110"/>
      <c r="BK1596" s="110"/>
      <c r="BL1596" s="110"/>
      <c r="BM1596" s="110"/>
      <c r="BN1596" s="110"/>
      <c r="BO1596" s="110"/>
      <c r="BP1596" s="110"/>
      <c r="BQ1596" s="110"/>
      <c r="BR1596" s="110"/>
      <c r="BS1596" s="110"/>
      <c r="BT1596" s="110"/>
      <c r="BU1596" s="110"/>
      <c r="BV1596" s="110"/>
      <c r="BW1596" s="110"/>
      <c r="BX1596" s="110"/>
      <c r="BY1596" s="110"/>
      <c r="BZ1596" s="110"/>
      <c r="CA1596" s="110"/>
      <c r="CB1596" s="110"/>
      <c r="CC1596" s="110"/>
      <c r="CD1596" s="110"/>
      <c r="CE1596" s="110"/>
      <c r="CF1596" s="110"/>
      <c r="CG1596" s="110"/>
      <c r="CH1596" s="110"/>
      <c r="CI1596" s="110"/>
      <c r="CJ1596" s="110"/>
      <c r="CK1596" s="110"/>
      <c r="CL1596" s="110"/>
      <c r="CM1596" s="110"/>
      <c r="CN1596" s="110"/>
      <c r="CO1596" s="110"/>
      <c r="CP1596" s="110"/>
      <c r="CQ1596" s="110"/>
      <c r="CR1596" s="110"/>
      <c r="CS1596" s="110"/>
      <c r="CT1596" s="110"/>
      <c r="CU1596" s="110"/>
      <c r="CV1596" s="110"/>
      <c r="CW1596" s="110"/>
      <c r="CX1596" s="110"/>
      <c r="CY1596" s="110"/>
      <c r="CZ1596" s="110"/>
      <c r="DA1596" s="110"/>
      <c r="DB1596" s="110"/>
      <c r="DC1596" s="110"/>
      <c r="DD1596" s="110"/>
      <c r="DE1596" s="110"/>
      <c r="DF1596" s="110"/>
      <c r="DG1596" s="110"/>
      <c r="DH1596" s="110"/>
      <c r="DI1596" s="110"/>
      <c r="DJ1596" s="110"/>
      <c r="DK1596" s="110"/>
      <c r="DL1596" s="110"/>
      <c r="DM1596" s="110"/>
      <c r="DN1596" s="110"/>
      <c r="DO1596" s="110"/>
      <c r="DP1596" s="110"/>
      <c r="DQ1596" s="110"/>
      <c r="DR1596" s="110"/>
      <c r="DS1596" s="110"/>
      <c r="DT1596" s="110"/>
      <c r="DU1596" s="110"/>
      <c r="DV1596" s="110"/>
      <c r="DW1596" s="110"/>
      <c r="DX1596" s="110"/>
      <c r="DY1596" s="110"/>
      <c r="DZ1596" s="110"/>
      <c r="EA1596" s="110"/>
      <c r="EB1596" s="110"/>
      <c r="EC1596" s="110"/>
      <c r="ED1596" s="110"/>
      <c r="EF1596" s="264"/>
      <c r="EG1596" s="110"/>
      <c r="EH1596" s="110"/>
      <c r="EI1596" s="110"/>
      <c r="EJ1596" s="110"/>
      <c r="EK1596" s="266"/>
      <c r="EL1596" s="110"/>
      <c r="EM1596" s="110"/>
      <c r="EN1596" s="110"/>
      <c r="EO1596" s="110"/>
      <c r="EP1596" s="110"/>
      <c r="EQ1596" s="110"/>
      <c r="ER1596" s="110"/>
      <c r="ES1596" s="110"/>
      <c r="ET1596" s="110"/>
      <c r="EU1596" s="110"/>
      <c r="EV1596" s="110"/>
      <c r="EW1596" s="110"/>
      <c r="EX1596" s="110"/>
      <c r="EY1596" s="110"/>
      <c r="EZ1596" s="110"/>
      <c r="FA1596" s="110"/>
      <c r="FB1596" s="110"/>
      <c r="FC1596" s="110"/>
      <c r="FD1596" s="110"/>
      <c r="FE1596" s="110"/>
      <c r="FF1596" s="110"/>
      <c r="FG1596" s="110"/>
      <c r="FH1596" s="110"/>
      <c r="FI1596" s="110"/>
      <c r="FJ1596" s="110"/>
      <c r="FK1596" s="110"/>
      <c r="FL1596" s="110"/>
      <c r="FM1596" s="110"/>
      <c r="FN1596" s="110"/>
      <c r="FO1596" s="110"/>
      <c r="FP1596" s="110"/>
      <c r="FQ1596" s="110"/>
      <c r="FR1596" s="110"/>
      <c r="FS1596" s="110"/>
      <c r="FT1596" s="110"/>
      <c r="FU1596" s="110"/>
      <c r="FV1596" s="110"/>
      <c r="FW1596" s="110"/>
      <c r="FX1596" s="110"/>
      <c r="FY1596" s="110"/>
      <c r="FZ1596" s="110"/>
      <c r="GA1596" s="110"/>
      <c r="GB1596" s="110"/>
      <c r="GC1596" s="110"/>
      <c r="GD1596" s="110"/>
      <c r="GE1596" s="110"/>
      <c r="GF1596" s="110"/>
      <c r="GG1596" s="110"/>
      <c r="GH1596" s="110"/>
      <c r="GI1596" s="110"/>
      <c r="GJ1596" s="110"/>
      <c r="GK1596" s="110"/>
      <c r="GL1596" s="110"/>
      <c r="GM1596" s="110"/>
      <c r="GN1596" s="110"/>
      <c r="GO1596" s="110"/>
      <c r="GP1596" s="110"/>
      <c r="GQ1596" s="110"/>
      <c r="GR1596" s="110"/>
      <c r="GS1596" s="110"/>
      <c r="GT1596" s="110"/>
      <c r="GU1596" s="110"/>
      <c r="GV1596" s="110"/>
      <c r="GW1596" s="110"/>
      <c r="GX1596" s="110"/>
      <c r="GY1596" s="110"/>
      <c r="GZ1596" s="110"/>
      <c r="HA1596" s="110"/>
      <c r="HB1596" s="110"/>
      <c r="HC1596" s="110"/>
      <c r="HD1596" s="110"/>
      <c r="HE1596" s="110"/>
      <c r="HF1596" s="110"/>
      <c r="HG1596" s="110"/>
      <c r="HH1596" s="110"/>
      <c r="HI1596" s="110"/>
      <c r="HJ1596" s="110"/>
      <c r="HK1596" s="110"/>
      <c r="HL1596" s="110"/>
      <c r="HM1596" s="110"/>
      <c r="HN1596" s="110"/>
      <c r="HO1596" s="110"/>
      <c r="HP1596" s="110"/>
      <c r="HQ1596" s="110"/>
      <c r="HR1596" s="110"/>
      <c r="HS1596" s="110"/>
      <c r="HT1596" s="110"/>
      <c r="HU1596" s="110"/>
      <c r="HV1596" s="110"/>
      <c r="HW1596" s="110"/>
      <c r="HX1596" s="110"/>
      <c r="HY1596" s="110"/>
      <c r="HZ1596" s="110"/>
      <c r="IA1596" s="110"/>
      <c r="IB1596" s="110"/>
      <c r="IC1596" s="110"/>
      <c r="ID1596" s="110"/>
      <c r="IE1596" s="110"/>
      <c r="IF1596" s="110"/>
      <c r="IG1596" s="110"/>
      <c r="IH1596" s="110"/>
      <c r="II1596" s="110"/>
      <c r="IJ1596" s="110"/>
      <c r="IK1596" s="110"/>
      <c r="IL1596" s="110"/>
      <c r="IM1596" s="110"/>
      <c r="IN1596" s="110"/>
      <c r="IO1596" s="110"/>
      <c r="IP1596" s="110"/>
      <c r="IQ1596" s="110"/>
      <c r="IR1596" s="110"/>
    </row>
    <row r="1597" spans="18:252" ht="16.5" hidden="1" customHeight="1">
      <c r="R1597" s="264"/>
      <c r="S1597" s="110"/>
      <c r="T1597" s="110"/>
      <c r="U1597" s="110"/>
      <c r="V1597" s="110"/>
      <c r="W1597" s="266"/>
      <c r="X1597" s="110"/>
      <c r="Y1597" s="110"/>
      <c r="Z1597" s="110"/>
      <c r="AA1597" s="110"/>
      <c r="AB1597" s="110"/>
      <c r="AC1597" s="110"/>
      <c r="AD1597" s="110"/>
      <c r="AE1597" s="110"/>
      <c r="AF1597" s="110"/>
      <c r="AG1597" s="110"/>
      <c r="AH1597" s="110"/>
      <c r="AI1597" s="110"/>
      <c r="AJ1597" s="110"/>
      <c r="AK1597" s="110"/>
      <c r="AL1597" s="110"/>
      <c r="AM1597" s="110"/>
      <c r="AN1597" s="110"/>
      <c r="AO1597" s="110"/>
      <c r="AP1597" s="110"/>
      <c r="AQ1597" s="110"/>
      <c r="AR1597" s="110"/>
      <c r="AS1597" s="110"/>
      <c r="AT1597" s="110"/>
      <c r="AU1597" s="110"/>
      <c r="AV1597" s="110"/>
      <c r="AW1597" s="110"/>
      <c r="AX1597" s="110"/>
      <c r="AY1597" s="110"/>
      <c r="AZ1597" s="110"/>
      <c r="BA1597" s="110"/>
      <c r="BB1597" s="110"/>
      <c r="BC1597" s="110"/>
      <c r="BD1597" s="110"/>
      <c r="BE1597" s="110"/>
      <c r="BF1597" s="110"/>
      <c r="BG1597" s="110"/>
      <c r="BH1597" s="110"/>
      <c r="BI1597" s="110"/>
      <c r="BJ1597" s="110"/>
      <c r="BK1597" s="110"/>
      <c r="BL1597" s="110"/>
      <c r="BM1597" s="110"/>
      <c r="BN1597" s="110"/>
      <c r="BO1597" s="110"/>
      <c r="BP1597" s="110"/>
      <c r="BQ1597" s="110"/>
      <c r="BR1597" s="110"/>
      <c r="BS1597" s="110"/>
      <c r="BT1597" s="110"/>
      <c r="BU1597" s="110"/>
      <c r="BV1597" s="110"/>
      <c r="BW1597" s="110"/>
      <c r="BX1597" s="110"/>
      <c r="BY1597" s="110"/>
      <c r="BZ1597" s="110"/>
      <c r="CA1597" s="110"/>
      <c r="CB1597" s="110"/>
      <c r="CC1597" s="110"/>
      <c r="CD1597" s="110"/>
      <c r="CE1597" s="110"/>
      <c r="CF1597" s="110"/>
      <c r="CG1597" s="110"/>
      <c r="CH1597" s="110"/>
      <c r="CI1597" s="110"/>
      <c r="CJ1597" s="110"/>
      <c r="CK1597" s="110"/>
      <c r="CL1597" s="110"/>
      <c r="CM1597" s="110"/>
      <c r="CN1597" s="110"/>
      <c r="CO1597" s="110"/>
      <c r="CP1597" s="110"/>
      <c r="CQ1597" s="110"/>
      <c r="CR1597" s="110"/>
      <c r="CS1597" s="110"/>
      <c r="CT1597" s="110"/>
      <c r="CU1597" s="110"/>
      <c r="CV1597" s="110"/>
      <c r="CW1597" s="110"/>
      <c r="CX1597" s="110"/>
      <c r="CY1597" s="110"/>
      <c r="CZ1597" s="110"/>
      <c r="DA1597" s="110"/>
      <c r="DB1597" s="110"/>
      <c r="DC1597" s="110"/>
      <c r="DD1597" s="110"/>
      <c r="DE1597" s="110"/>
      <c r="DF1597" s="110"/>
      <c r="DG1597" s="110"/>
      <c r="DH1597" s="110"/>
      <c r="DI1597" s="110"/>
      <c r="DJ1597" s="110"/>
      <c r="DK1597" s="110"/>
      <c r="DL1597" s="110"/>
      <c r="DM1597" s="110"/>
      <c r="DN1597" s="110"/>
      <c r="DO1597" s="110"/>
      <c r="DP1597" s="110"/>
      <c r="DQ1597" s="110"/>
      <c r="DR1597" s="110"/>
      <c r="DS1597" s="110"/>
      <c r="DT1597" s="110"/>
      <c r="DU1597" s="110"/>
      <c r="DV1597" s="110"/>
      <c r="DW1597" s="110"/>
      <c r="DX1597" s="110"/>
      <c r="DY1597" s="110"/>
      <c r="DZ1597" s="110"/>
      <c r="EA1597" s="110"/>
      <c r="EB1597" s="110"/>
      <c r="EC1597" s="110"/>
      <c r="ED1597" s="110"/>
      <c r="EF1597" s="264"/>
      <c r="EG1597" s="110"/>
      <c r="EH1597" s="110"/>
      <c r="EI1597" s="110"/>
      <c r="EJ1597" s="110"/>
      <c r="EK1597" s="266"/>
      <c r="EL1597" s="110"/>
      <c r="EM1597" s="110"/>
      <c r="EN1597" s="110"/>
      <c r="EO1597" s="110"/>
      <c r="EP1597" s="110"/>
      <c r="EQ1597" s="110"/>
      <c r="ER1597" s="110"/>
      <c r="ES1597" s="110"/>
      <c r="ET1597" s="110"/>
      <c r="EU1597" s="110"/>
      <c r="EV1597" s="110"/>
      <c r="EW1597" s="110"/>
      <c r="EX1597" s="110"/>
      <c r="EY1597" s="110"/>
      <c r="EZ1597" s="110"/>
      <c r="FA1597" s="110"/>
      <c r="FB1597" s="110"/>
      <c r="FC1597" s="110"/>
      <c r="FD1597" s="110"/>
      <c r="FE1597" s="110"/>
      <c r="FF1597" s="110"/>
      <c r="FG1597" s="110"/>
      <c r="FH1597" s="110"/>
      <c r="FI1597" s="110"/>
      <c r="FJ1597" s="110"/>
      <c r="FK1597" s="110"/>
      <c r="FL1597" s="110"/>
      <c r="FM1597" s="110"/>
      <c r="FN1597" s="110"/>
      <c r="FO1597" s="110"/>
      <c r="FP1597" s="110"/>
      <c r="FQ1597" s="110"/>
      <c r="FR1597" s="110"/>
      <c r="FS1597" s="110"/>
      <c r="FT1597" s="110"/>
      <c r="FU1597" s="110"/>
      <c r="FV1597" s="110"/>
      <c r="FW1597" s="110"/>
      <c r="FX1597" s="110"/>
      <c r="FY1597" s="110"/>
      <c r="FZ1597" s="110"/>
      <c r="GA1597" s="110"/>
      <c r="GB1597" s="110"/>
      <c r="GC1597" s="110"/>
      <c r="GD1597" s="110"/>
      <c r="GE1597" s="110"/>
      <c r="GF1597" s="110"/>
      <c r="GG1597" s="110"/>
      <c r="GH1597" s="110"/>
      <c r="GI1597" s="110"/>
      <c r="GJ1597" s="110"/>
      <c r="GK1597" s="110"/>
      <c r="GL1597" s="110"/>
      <c r="GM1597" s="110"/>
      <c r="GN1597" s="110"/>
      <c r="GO1597" s="110"/>
      <c r="GP1597" s="110"/>
      <c r="GQ1597" s="110"/>
      <c r="GR1597" s="110"/>
      <c r="GS1597" s="110"/>
      <c r="GT1597" s="110"/>
      <c r="GU1597" s="110"/>
      <c r="GV1597" s="110"/>
      <c r="GW1597" s="110"/>
      <c r="GX1597" s="110"/>
      <c r="GY1597" s="110"/>
      <c r="GZ1597" s="110"/>
      <c r="HA1597" s="110"/>
      <c r="HB1597" s="110"/>
      <c r="HC1597" s="110"/>
      <c r="HD1597" s="110"/>
      <c r="HE1597" s="110"/>
      <c r="HF1597" s="110"/>
      <c r="HG1597" s="110"/>
      <c r="HH1597" s="110"/>
      <c r="HI1597" s="110"/>
      <c r="HJ1597" s="110"/>
      <c r="HK1597" s="110"/>
      <c r="HL1597" s="110"/>
      <c r="HM1597" s="110"/>
      <c r="HN1597" s="110"/>
      <c r="HO1597" s="110"/>
      <c r="HP1597" s="110"/>
      <c r="HQ1597" s="110"/>
      <c r="HR1597" s="110"/>
      <c r="HS1597" s="110"/>
      <c r="HT1597" s="110"/>
      <c r="HU1597" s="110"/>
      <c r="HV1597" s="110"/>
      <c r="HW1597" s="110"/>
      <c r="HX1597" s="110"/>
      <c r="HY1597" s="110"/>
      <c r="HZ1597" s="110"/>
      <c r="IA1597" s="110"/>
      <c r="IB1597" s="110"/>
      <c r="IC1597" s="110"/>
      <c r="ID1597" s="110"/>
      <c r="IE1597" s="110"/>
      <c r="IF1597" s="110"/>
      <c r="IG1597" s="110"/>
      <c r="IH1597" s="110"/>
      <c r="II1597" s="110"/>
      <c r="IJ1597" s="110"/>
      <c r="IK1597" s="110"/>
      <c r="IL1597" s="110"/>
      <c r="IM1597" s="110"/>
      <c r="IN1597" s="110"/>
      <c r="IO1597" s="110"/>
      <c r="IP1597" s="110"/>
      <c r="IQ1597" s="110"/>
      <c r="IR1597" s="110"/>
    </row>
    <row r="1598" spans="18:252" ht="16.5" hidden="1" customHeight="1">
      <c r="R1598" s="264"/>
      <c r="S1598" s="110"/>
      <c r="T1598" s="110"/>
      <c r="U1598" s="110"/>
      <c r="V1598" s="110"/>
      <c r="W1598" s="266"/>
      <c r="X1598" s="110"/>
      <c r="Y1598" s="110"/>
      <c r="Z1598" s="110"/>
      <c r="AA1598" s="110"/>
      <c r="AB1598" s="110"/>
      <c r="AC1598" s="110"/>
      <c r="AD1598" s="110"/>
      <c r="AE1598" s="110"/>
      <c r="AF1598" s="110"/>
      <c r="AG1598" s="110"/>
      <c r="AH1598" s="110"/>
      <c r="AI1598" s="110"/>
      <c r="AJ1598" s="110"/>
      <c r="AK1598" s="110"/>
      <c r="AL1598" s="110"/>
      <c r="AM1598" s="110"/>
      <c r="AN1598" s="110"/>
      <c r="AO1598" s="110"/>
      <c r="AP1598" s="110"/>
      <c r="AQ1598" s="110"/>
      <c r="AR1598" s="110"/>
      <c r="AS1598" s="110"/>
      <c r="AT1598" s="110"/>
      <c r="AU1598" s="110"/>
      <c r="AV1598" s="110"/>
      <c r="AW1598" s="110"/>
      <c r="AX1598" s="110"/>
      <c r="AY1598" s="110"/>
      <c r="AZ1598" s="110"/>
      <c r="BA1598" s="110"/>
      <c r="BB1598" s="110"/>
      <c r="BC1598" s="110"/>
      <c r="BD1598" s="110"/>
      <c r="BE1598" s="110"/>
      <c r="BF1598" s="110"/>
      <c r="BG1598" s="110"/>
      <c r="BH1598" s="110"/>
      <c r="BI1598" s="110"/>
      <c r="BJ1598" s="110"/>
      <c r="BK1598" s="110"/>
      <c r="BL1598" s="110"/>
      <c r="BM1598" s="110"/>
      <c r="BN1598" s="110"/>
      <c r="BO1598" s="110"/>
      <c r="BP1598" s="110"/>
      <c r="BQ1598" s="110"/>
      <c r="BR1598" s="110"/>
      <c r="BS1598" s="110"/>
      <c r="BT1598" s="110"/>
      <c r="BU1598" s="110"/>
      <c r="BV1598" s="110"/>
      <c r="BW1598" s="110"/>
      <c r="BX1598" s="110"/>
      <c r="BY1598" s="110"/>
      <c r="BZ1598" s="110"/>
      <c r="CA1598" s="110"/>
      <c r="CB1598" s="110"/>
      <c r="CC1598" s="110"/>
      <c r="CD1598" s="110"/>
      <c r="CE1598" s="110"/>
      <c r="CF1598" s="110"/>
      <c r="CG1598" s="110"/>
      <c r="CH1598" s="110"/>
      <c r="CI1598" s="110"/>
      <c r="CJ1598" s="110"/>
      <c r="CK1598" s="110"/>
      <c r="CL1598" s="110"/>
      <c r="CM1598" s="110"/>
      <c r="CN1598" s="110"/>
      <c r="CO1598" s="110"/>
      <c r="CP1598" s="110"/>
      <c r="CQ1598" s="110"/>
      <c r="CR1598" s="110"/>
      <c r="CS1598" s="110"/>
      <c r="CT1598" s="110"/>
      <c r="CU1598" s="110"/>
      <c r="CV1598" s="110"/>
      <c r="CW1598" s="110"/>
      <c r="CX1598" s="110"/>
      <c r="CY1598" s="110"/>
      <c r="CZ1598" s="110"/>
      <c r="DA1598" s="110"/>
      <c r="DB1598" s="110"/>
      <c r="DC1598" s="110"/>
      <c r="DD1598" s="110"/>
      <c r="DE1598" s="110"/>
      <c r="DF1598" s="110"/>
      <c r="DG1598" s="110"/>
      <c r="DH1598" s="110"/>
      <c r="DI1598" s="110"/>
      <c r="DJ1598" s="110"/>
      <c r="DK1598" s="110"/>
      <c r="DL1598" s="110"/>
      <c r="DM1598" s="110"/>
      <c r="DN1598" s="110"/>
      <c r="DO1598" s="110"/>
      <c r="DP1598" s="110"/>
      <c r="DQ1598" s="110"/>
      <c r="DR1598" s="110"/>
      <c r="DS1598" s="110"/>
      <c r="DT1598" s="110"/>
      <c r="DU1598" s="110"/>
      <c r="DV1598" s="110"/>
      <c r="DW1598" s="110"/>
      <c r="DX1598" s="110"/>
      <c r="DY1598" s="110"/>
      <c r="DZ1598" s="110"/>
      <c r="EA1598" s="110"/>
      <c r="EB1598" s="110"/>
      <c r="EC1598" s="110"/>
      <c r="ED1598" s="110"/>
      <c r="EF1598" s="264"/>
      <c r="EG1598" s="110"/>
      <c r="EH1598" s="110"/>
      <c r="EI1598" s="110"/>
      <c r="EJ1598" s="110"/>
      <c r="EK1598" s="266"/>
      <c r="EL1598" s="110"/>
      <c r="EM1598" s="110"/>
      <c r="EN1598" s="110"/>
      <c r="EO1598" s="110"/>
      <c r="EP1598" s="110"/>
      <c r="EQ1598" s="110"/>
      <c r="ER1598" s="110"/>
      <c r="ES1598" s="110"/>
      <c r="ET1598" s="110"/>
      <c r="EU1598" s="110"/>
      <c r="EV1598" s="110"/>
      <c r="EW1598" s="110"/>
      <c r="EX1598" s="110"/>
      <c r="EY1598" s="110"/>
      <c r="EZ1598" s="110"/>
      <c r="FA1598" s="110"/>
      <c r="FB1598" s="110"/>
      <c r="FC1598" s="110"/>
      <c r="FD1598" s="110"/>
      <c r="FE1598" s="110"/>
      <c r="FF1598" s="110"/>
      <c r="FG1598" s="110"/>
      <c r="FH1598" s="110"/>
      <c r="FI1598" s="110"/>
      <c r="FJ1598" s="110"/>
      <c r="FK1598" s="110"/>
      <c r="FL1598" s="110"/>
      <c r="FM1598" s="110"/>
      <c r="FN1598" s="110"/>
      <c r="FO1598" s="110"/>
      <c r="FP1598" s="110"/>
      <c r="FQ1598" s="110"/>
      <c r="FR1598" s="110"/>
      <c r="FS1598" s="110"/>
      <c r="FT1598" s="110"/>
      <c r="FU1598" s="110"/>
      <c r="FV1598" s="110"/>
      <c r="FW1598" s="110"/>
      <c r="FX1598" s="110"/>
      <c r="FY1598" s="110"/>
      <c r="FZ1598" s="110"/>
      <c r="GA1598" s="110"/>
      <c r="GB1598" s="110"/>
      <c r="GC1598" s="110"/>
      <c r="GD1598" s="110"/>
      <c r="GE1598" s="110"/>
      <c r="GF1598" s="110"/>
      <c r="GG1598" s="110"/>
      <c r="GH1598" s="110"/>
      <c r="GI1598" s="110"/>
      <c r="GJ1598" s="110"/>
      <c r="GK1598" s="110"/>
      <c r="GL1598" s="110"/>
      <c r="GM1598" s="110"/>
      <c r="GN1598" s="110"/>
      <c r="GO1598" s="110"/>
      <c r="GP1598" s="110"/>
      <c r="GQ1598" s="110"/>
      <c r="GR1598" s="110"/>
      <c r="GS1598" s="110"/>
      <c r="GT1598" s="110"/>
      <c r="GU1598" s="110"/>
      <c r="GV1598" s="110"/>
      <c r="GW1598" s="110"/>
      <c r="GX1598" s="110"/>
      <c r="GY1598" s="110"/>
      <c r="GZ1598" s="110"/>
      <c r="HA1598" s="110"/>
      <c r="HB1598" s="110"/>
      <c r="HC1598" s="110"/>
      <c r="HD1598" s="110"/>
      <c r="HE1598" s="110"/>
      <c r="HF1598" s="110"/>
      <c r="HG1598" s="110"/>
      <c r="HH1598" s="110"/>
      <c r="HI1598" s="110"/>
      <c r="HJ1598" s="110"/>
      <c r="HK1598" s="110"/>
      <c r="HL1598" s="110"/>
      <c r="HM1598" s="110"/>
      <c r="HN1598" s="110"/>
      <c r="HO1598" s="110"/>
      <c r="HP1598" s="110"/>
      <c r="HQ1598" s="110"/>
      <c r="HR1598" s="110"/>
      <c r="HS1598" s="110"/>
      <c r="HT1598" s="110"/>
      <c r="HU1598" s="110"/>
      <c r="HV1598" s="110"/>
      <c r="HW1598" s="110"/>
      <c r="HX1598" s="110"/>
      <c r="HY1598" s="110"/>
      <c r="HZ1598" s="110"/>
      <c r="IA1598" s="110"/>
      <c r="IB1598" s="110"/>
      <c r="IC1598" s="110"/>
      <c r="ID1598" s="110"/>
      <c r="IE1598" s="110"/>
      <c r="IF1598" s="110"/>
      <c r="IG1598" s="110"/>
      <c r="IH1598" s="110"/>
      <c r="II1598" s="110"/>
      <c r="IJ1598" s="110"/>
      <c r="IK1598" s="110"/>
      <c r="IL1598" s="110"/>
      <c r="IM1598" s="110"/>
      <c r="IN1598" s="110"/>
      <c r="IO1598" s="110"/>
      <c r="IP1598" s="110"/>
      <c r="IQ1598" s="110"/>
      <c r="IR1598" s="110"/>
    </row>
    <row r="1599" spans="18:252" ht="16.5" hidden="1" customHeight="1">
      <c r="R1599" s="264"/>
      <c r="S1599" s="110"/>
      <c r="T1599" s="110"/>
      <c r="U1599" s="110"/>
      <c r="V1599" s="110"/>
      <c r="W1599" s="266"/>
      <c r="X1599" s="110"/>
      <c r="Y1599" s="110"/>
      <c r="Z1599" s="110"/>
      <c r="AA1599" s="110"/>
      <c r="AB1599" s="110"/>
      <c r="AC1599" s="110"/>
      <c r="AD1599" s="110"/>
      <c r="AE1599" s="110"/>
      <c r="AF1599" s="110"/>
      <c r="AG1599" s="110"/>
      <c r="AH1599" s="110"/>
      <c r="AI1599" s="110"/>
      <c r="AJ1599" s="110"/>
      <c r="AK1599" s="110"/>
      <c r="AL1599" s="110"/>
      <c r="AM1599" s="110"/>
      <c r="AN1599" s="110"/>
      <c r="AO1599" s="110"/>
      <c r="AP1599" s="110"/>
      <c r="AQ1599" s="110"/>
      <c r="AR1599" s="110"/>
      <c r="AS1599" s="110"/>
      <c r="AT1599" s="110"/>
      <c r="AU1599" s="110"/>
      <c r="AV1599" s="110"/>
      <c r="AW1599" s="110"/>
      <c r="AX1599" s="110"/>
      <c r="AY1599" s="110"/>
      <c r="AZ1599" s="110"/>
      <c r="BA1599" s="110"/>
      <c r="BB1599" s="110"/>
      <c r="BC1599" s="110"/>
      <c r="BD1599" s="110"/>
      <c r="BE1599" s="110"/>
      <c r="BF1599" s="110"/>
      <c r="BG1599" s="110"/>
      <c r="BH1599" s="110"/>
      <c r="BI1599" s="110"/>
      <c r="BJ1599" s="110"/>
      <c r="BK1599" s="110"/>
      <c r="BL1599" s="110"/>
      <c r="BM1599" s="110"/>
      <c r="BN1599" s="110"/>
      <c r="BO1599" s="110"/>
      <c r="BP1599" s="110"/>
      <c r="BQ1599" s="110"/>
      <c r="BR1599" s="110"/>
      <c r="BS1599" s="110"/>
      <c r="BT1599" s="110"/>
      <c r="BU1599" s="110"/>
      <c r="BV1599" s="110"/>
      <c r="BW1599" s="110"/>
      <c r="BX1599" s="110"/>
      <c r="BY1599" s="110"/>
      <c r="BZ1599" s="110"/>
      <c r="CA1599" s="110"/>
      <c r="CB1599" s="110"/>
      <c r="CC1599" s="110"/>
      <c r="CD1599" s="110"/>
      <c r="CE1599" s="110"/>
      <c r="CF1599" s="110"/>
      <c r="CG1599" s="110"/>
      <c r="CH1599" s="110"/>
      <c r="CI1599" s="110"/>
      <c r="CJ1599" s="110"/>
      <c r="CK1599" s="110"/>
      <c r="CL1599" s="110"/>
      <c r="CM1599" s="110"/>
      <c r="CN1599" s="110"/>
      <c r="CO1599" s="110"/>
      <c r="CP1599" s="110"/>
      <c r="CQ1599" s="110"/>
      <c r="CR1599" s="110"/>
      <c r="CS1599" s="110"/>
      <c r="CT1599" s="110"/>
      <c r="CU1599" s="110"/>
      <c r="CV1599" s="110"/>
      <c r="CW1599" s="110"/>
      <c r="CX1599" s="110"/>
      <c r="CY1599" s="110"/>
      <c r="CZ1599" s="110"/>
      <c r="DA1599" s="110"/>
      <c r="DB1599" s="110"/>
      <c r="DC1599" s="110"/>
      <c r="DD1599" s="110"/>
      <c r="DE1599" s="110"/>
      <c r="DF1599" s="110"/>
      <c r="DG1599" s="110"/>
      <c r="DH1599" s="110"/>
      <c r="DI1599" s="110"/>
      <c r="DJ1599" s="110"/>
      <c r="DK1599" s="110"/>
      <c r="DL1599" s="110"/>
      <c r="DM1599" s="110"/>
      <c r="DN1599" s="110"/>
      <c r="DO1599" s="110"/>
      <c r="DP1599" s="110"/>
      <c r="DQ1599" s="110"/>
      <c r="DR1599" s="110"/>
      <c r="DS1599" s="110"/>
      <c r="DT1599" s="110"/>
      <c r="DU1599" s="110"/>
      <c r="DV1599" s="110"/>
      <c r="DW1599" s="110"/>
      <c r="DX1599" s="110"/>
      <c r="DY1599" s="110"/>
      <c r="DZ1599" s="110"/>
      <c r="EA1599" s="110"/>
      <c r="EB1599" s="110"/>
      <c r="EC1599" s="110"/>
      <c r="ED1599" s="110"/>
      <c r="EF1599" s="264"/>
      <c r="EG1599" s="110"/>
      <c r="EH1599" s="110"/>
      <c r="EI1599" s="110"/>
      <c r="EJ1599" s="110"/>
      <c r="EK1599" s="266"/>
      <c r="EL1599" s="110"/>
      <c r="EM1599" s="110"/>
      <c r="EN1599" s="110"/>
      <c r="EO1599" s="110"/>
      <c r="EP1599" s="110"/>
      <c r="EQ1599" s="110"/>
      <c r="ER1599" s="110"/>
      <c r="ES1599" s="110"/>
      <c r="ET1599" s="110"/>
      <c r="EU1599" s="110"/>
      <c r="EV1599" s="110"/>
      <c r="EW1599" s="110"/>
      <c r="EX1599" s="110"/>
      <c r="EY1599" s="110"/>
      <c r="EZ1599" s="110"/>
      <c r="FA1599" s="110"/>
      <c r="FB1599" s="110"/>
      <c r="FC1599" s="110"/>
      <c r="FD1599" s="110"/>
      <c r="FE1599" s="110"/>
      <c r="FF1599" s="110"/>
      <c r="FG1599" s="110"/>
      <c r="FH1599" s="110"/>
      <c r="FI1599" s="110"/>
      <c r="FJ1599" s="110"/>
      <c r="FK1599" s="110"/>
      <c r="FL1599" s="110"/>
      <c r="FM1599" s="110"/>
      <c r="FN1599" s="110"/>
      <c r="FO1599" s="110"/>
      <c r="FP1599" s="110"/>
      <c r="FQ1599" s="110"/>
      <c r="FR1599" s="110"/>
      <c r="FS1599" s="110"/>
      <c r="FT1599" s="110"/>
      <c r="FU1599" s="110"/>
      <c r="FV1599" s="110"/>
      <c r="FW1599" s="110"/>
      <c r="FX1599" s="110"/>
      <c r="FY1599" s="110"/>
      <c r="FZ1599" s="110"/>
      <c r="GA1599" s="110"/>
      <c r="GB1599" s="110"/>
      <c r="GC1599" s="110"/>
      <c r="GD1599" s="110"/>
      <c r="GE1599" s="110"/>
      <c r="GF1599" s="110"/>
      <c r="GG1599" s="110"/>
      <c r="GH1599" s="110"/>
      <c r="GI1599" s="110"/>
      <c r="GJ1599" s="110"/>
      <c r="GK1599" s="110"/>
      <c r="GL1599" s="110"/>
      <c r="GM1599" s="110"/>
      <c r="GN1599" s="110"/>
      <c r="GO1599" s="110"/>
      <c r="GP1599" s="110"/>
      <c r="GQ1599" s="110"/>
      <c r="GR1599" s="110"/>
      <c r="GS1599" s="110"/>
      <c r="GT1599" s="110"/>
      <c r="GU1599" s="110"/>
      <c r="GV1599" s="110"/>
      <c r="GW1599" s="110"/>
      <c r="GX1599" s="110"/>
      <c r="GY1599" s="110"/>
      <c r="GZ1599" s="110"/>
      <c r="HA1599" s="110"/>
      <c r="HB1599" s="110"/>
      <c r="HC1599" s="110"/>
      <c r="HD1599" s="110"/>
      <c r="HE1599" s="110"/>
      <c r="HF1599" s="110"/>
      <c r="HG1599" s="110"/>
      <c r="HH1599" s="110"/>
      <c r="HI1599" s="110"/>
      <c r="HJ1599" s="110"/>
      <c r="HK1599" s="110"/>
      <c r="HL1599" s="110"/>
      <c r="HM1599" s="110"/>
      <c r="HN1599" s="110"/>
      <c r="HO1599" s="110"/>
      <c r="HP1599" s="110"/>
      <c r="HQ1599" s="110"/>
      <c r="HR1599" s="110"/>
      <c r="HS1599" s="110"/>
      <c r="HT1599" s="110"/>
      <c r="HU1599" s="110"/>
      <c r="HV1599" s="110"/>
      <c r="HW1599" s="110"/>
      <c r="HX1599" s="110"/>
      <c r="HY1599" s="110"/>
      <c r="HZ1599" s="110"/>
      <c r="IA1599" s="110"/>
      <c r="IB1599" s="110"/>
      <c r="IC1599" s="110"/>
      <c r="ID1599" s="110"/>
      <c r="IE1599" s="110"/>
      <c r="IF1599" s="110"/>
      <c r="IG1599" s="110"/>
      <c r="IH1599" s="110"/>
      <c r="II1599" s="110"/>
      <c r="IJ1599" s="110"/>
      <c r="IK1599" s="110"/>
      <c r="IL1599" s="110"/>
      <c r="IM1599" s="110"/>
      <c r="IN1599" s="110"/>
      <c r="IO1599" s="110"/>
      <c r="IP1599" s="110"/>
      <c r="IQ1599" s="110"/>
      <c r="IR1599" s="110"/>
    </row>
    <row r="1600" spans="18:252" ht="16.5" hidden="1" customHeight="1">
      <c r="R1600" s="264"/>
      <c r="S1600" s="110"/>
      <c r="T1600" s="110"/>
      <c r="U1600" s="110"/>
      <c r="V1600" s="110"/>
      <c r="W1600" s="266"/>
      <c r="X1600" s="110"/>
      <c r="Y1600" s="110"/>
      <c r="Z1600" s="110"/>
      <c r="AA1600" s="110"/>
      <c r="AB1600" s="110"/>
      <c r="AC1600" s="110"/>
      <c r="AD1600" s="110"/>
      <c r="AE1600" s="110"/>
      <c r="AF1600" s="110"/>
      <c r="AG1600" s="110"/>
      <c r="AH1600" s="110"/>
      <c r="AI1600" s="110"/>
      <c r="AJ1600" s="110"/>
      <c r="AK1600" s="110"/>
      <c r="AL1600" s="110"/>
      <c r="AM1600" s="110"/>
      <c r="AN1600" s="110"/>
      <c r="AO1600" s="110"/>
      <c r="AP1600" s="110"/>
      <c r="AQ1600" s="110"/>
      <c r="AR1600" s="110"/>
      <c r="AS1600" s="110"/>
      <c r="AT1600" s="110"/>
      <c r="AU1600" s="110"/>
      <c r="AV1600" s="110"/>
      <c r="AW1600" s="110"/>
      <c r="AX1600" s="110"/>
      <c r="AY1600" s="110"/>
      <c r="AZ1600" s="110"/>
      <c r="BA1600" s="110"/>
      <c r="BB1600" s="110"/>
      <c r="BC1600" s="110"/>
      <c r="BD1600" s="110"/>
      <c r="BE1600" s="110"/>
      <c r="BF1600" s="110"/>
      <c r="BG1600" s="110"/>
      <c r="BH1600" s="110"/>
      <c r="BI1600" s="110"/>
      <c r="BJ1600" s="110"/>
      <c r="BK1600" s="110"/>
      <c r="BL1600" s="110"/>
      <c r="BM1600" s="110"/>
      <c r="BN1600" s="110"/>
      <c r="BO1600" s="110"/>
      <c r="BP1600" s="110"/>
      <c r="BQ1600" s="110"/>
      <c r="BR1600" s="110"/>
      <c r="BS1600" s="110"/>
      <c r="BT1600" s="110"/>
      <c r="BU1600" s="110"/>
      <c r="BV1600" s="110"/>
      <c r="BW1600" s="110"/>
      <c r="BX1600" s="110"/>
      <c r="BY1600" s="110"/>
      <c r="BZ1600" s="110"/>
      <c r="CA1600" s="110"/>
      <c r="CB1600" s="110"/>
      <c r="CC1600" s="110"/>
      <c r="CD1600" s="110"/>
      <c r="CE1600" s="110"/>
      <c r="CF1600" s="110"/>
      <c r="CG1600" s="110"/>
      <c r="CH1600" s="110"/>
      <c r="CI1600" s="110"/>
      <c r="CJ1600" s="110"/>
      <c r="CK1600" s="110"/>
      <c r="CL1600" s="110"/>
      <c r="CM1600" s="110"/>
      <c r="CN1600" s="110"/>
      <c r="CO1600" s="110"/>
      <c r="CP1600" s="110"/>
      <c r="CQ1600" s="110"/>
      <c r="CR1600" s="110"/>
      <c r="CS1600" s="110"/>
      <c r="CT1600" s="110"/>
      <c r="CU1600" s="110"/>
      <c r="CV1600" s="110"/>
      <c r="CW1600" s="110"/>
      <c r="CX1600" s="110"/>
      <c r="CY1600" s="110"/>
      <c r="CZ1600" s="110"/>
      <c r="DA1600" s="110"/>
      <c r="DB1600" s="110"/>
      <c r="DC1600" s="110"/>
      <c r="DD1600" s="110"/>
      <c r="DE1600" s="110"/>
      <c r="DF1600" s="110"/>
      <c r="DG1600" s="110"/>
      <c r="DH1600" s="110"/>
      <c r="DI1600" s="110"/>
      <c r="DJ1600" s="110"/>
      <c r="DK1600" s="110"/>
      <c r="DL1600" s="110"/>
      <c r="DM1600" s="110"/>
      <c r="DN1600" s="110"/>
      <c r="DO1600" s="110"/>
      <c r="DP1600" s="110"/>
      <c r="DQ1600" s="110"/>
      <c r="DR1600" s="110"/>
      <c r="DS1600" s="110"/>
      <c r="DT1600" s="110"/>
      <c r="DU1600" s="110"/>
      <c r="DV1600" s="110"/>
      <c r="DW1600" s="110"/>
      <c r="DX1600" s="110"/>
      <c r="DY1600" s="110"/>
      <c r="DZ1600" s="110"/>
      <c r="EA1600" s="110"/>
      <c r="EB1600" s="110"/>
      <c r="EC1600" s="110"/>
      <c r="ED1600" s="110"/>
      <c r="EF1600" s="264"/>
      <c r="EG1600" s="110"/>
      <c r="EH1600" s="110"/>
      <c r="EI1600" s="110"/>
      <c r="EJ1600" s="110"/>
      <c r="EK1600" s="266"/>
      <c r="EL1600" s="110"/>
      <c r="EM1600" s="110"/>
      <c r="EN1600" s="110"/>
      <c r="EO1600" s="110"/>
      <c r="EP1600" s="110"/>
      <c r="EQ1600" s="110"/>
      <c r="ER1600" s="110"/>
      <c r="ES1600" s="110"/>
      <c r="ET1600" s="110"/>
      <c r="EU1600" s="110"/>
      <c r="EV1600" s="110"/>
      <c r="EW1600" s="110"/>
      <c r="EX1600" s="110"/>
      <c r="EY1600" s="110"/>
      <c r="EZ1600" s="110"/>
      <c r="FA1600" s="110"/>
      <c r="FB1600" s="110"/>
      <c r="FC1600" s="110"/>
      <c r="FD1600" s="110"/>
      <c r="FE1600" s="110"/>
      <c r="FF1600" s="110"/>
      <c r="FG1600" s="110"/>
      <c r="FH1600" s="110"/>
      <c r="FI1600" s="110"/>
      <c r="FJ1600" s="110"/>
      <c r="FK1600" s="110"/>
      <c r="FL1600" s="110"/>
      <c r="FM1600" s="110"/>
      <c r="FN1600" s="110"/>
      <c r="FO1600" s="110"/>
      <c r="FP1600" s="110"/>
      <c r="FQ1600" s="110"/>
      <c r="FR1600" s="110"/>
      <c r="FS1600" s="110"/>
      <c r="FT1600" s="110"/>
      <c r="FU1600" s="110"/>
      <c r="FV1600" s="110"/>
      <c r="FW1600" s="110"/>
      <c r="FX1600" s="110"/>
      <c r="FY1600" s="110"/>
      <c r="FZ1600" s="110"/>
      <c r="GA1600" s="110"/>
      <c r="GB1600" s="110"/>
      <c r="GC1600" s="110"/>
      <c r="GD1600" s="110"/>
      <c r="GE1600" s="110"/>
      <c r="GF1600" s="110"/>
      <c r="GG1600" s="110"/>
      <c r="GH1600" s="110"/>
      <c r="GI1600" s="110"/>
      <c r="GJ1600" s="110"/>
      <c r="GK1600" s="110"/>
      <c r="GL1600" s="110"/>
      <c r="GM1600" s="110"/>
      <c r="GN1600" s="110"/>
      <c r="GO1600" s="110"/>
      <c r="GP1600" s="110"/>
      <c r="GQ1600" s="110"/>
      <c r="GR1600" s="110"/>
      <c r="GS1600" s="110"/>
      <c r="GT1600" s="110"/>
      <c r="GU1600" s="110"/>
      <c r="GV1600" s="110"/>
      <c r="GW1600" s="110"/>
      <c r="GX1600" s="110"/>
      <c r="GY1600" s="110"/>
      <c r="GZ1600" s="110"/>
      <c r="HA1600" s="110"/>
      <c r="HB1600" s="110"/>
      <c r="HC1600" s="110"/>
      <c r="HD1600" s="110"/>
      <c r="HE1600" s="110"/>
      <c r="HF1600" s="110"/>
      <c r="HG1600" s="110"/>
      <c r="HH1600" s="110"/>
      <c r="HI1600" s="110"/>
      <c r="HJ1600" s="110"/>
      <c r="HK1600" s="110"/>
      <c r="HL1600" s="110"/>
      <c r="HM1600" s="110"/>
      <c r="HN1600" s="110"/>
      <c r="HO1600" s="110"/>
      <c r="HP1600" s="110"/>
      <c r="HQ1600" s="110"/>
      <c r="HR1600" s="110"/>
      <c r="HS1600" s="110"/>
      <c r="HT1600" s="110"/>
      <c r="HU1600" s="110"/>
      <c r="HV1600" s="110"/>
      <c r="HW1600" s="110"/>
      <c r="HX1600" s="110"/>
      <c r="HY1600" s="110"/>
      <c r="HZ1600" s="110"/>
      <c r="IA1600" s="110"/>
      <c r="IB1600" s="110"/>
      <c r="IC1600" s="110"/>
      <c r="ID1600" s="110"/>
      <c r="IE1600" s="110"/>
      <c r="IF1600" s="110"/>
      <c r="IG1600" s="110"/>
      <c r="IH1600" s="110"/>
      <c r="II1600" s="110"/>
      <c r="IJ1600" s="110"/>
      <c r="IK1600" s="110"/>
      <c r="IL1600" s="110"/>
      <c r="IM1600" s="110"/>
      <c r="IN1600" s="110"/>
      <c r="IO1600" s="110"/>
      <c r="IP1600" s="110"/>
      <c r="IQ1600" s="110"/>
      <c r="IR1600" s="110"/>
    </row>
    <row r="1601" spans="18:252" ht="16.5" hidden="1" customHeight="1">
      <c r="R1601" s="264"/>
      <c r="S1601" s="110"/>
      <c r="T1601" s="110"/>
      <c r="U1601" s="110"/>
      <c r="V1601" s="110"/>
      <c r="W1601" s="266"/>
      <c r="X1601" s="110"/>
      <c r="Y1601" s="110"/>
      <c r="Z1601" s="110"/>
      <c r="AA1601" s="110"/>
      <c r="AB1601" s="110"/>
      <c r="AC1601" s="110"/>
      <c r="AD1601" s="110"/>
      <c r="AE1601" s="110"/>
      <c r="AF1601" s="110"/>
      <c r="AG1601" s="110"/>
      <c r="AH1601" s="110"/>
      <c r="AI1601" s="110"/>
      <c r="AJ1601" s="110"/>
      <c r="AK1601" s="110"/>
      <c r="AL1601" s="110"/>
      <c r="AM1601" s="110"/>
      <c r="AN1601" s="110"/>
      <c r="AO1601" s="110"/>
      <c r="AP1601" s="110"/>
      <c r="AQ1601" s="110"/>
      <c r="AR1601" s="110"/>
      <c r="AS1601" s="110"/>
      <c r="AT1601" s="110"/>
      <c r="AU1601" s="110"/>
      <c r="AV1601" s="110"/>
      <c r="AW1601" s="110"/>
      <c r="AX1601" s="110"/>
      <c r="AY1601" s="110"/>
      <c r="AZ1601" s="110"/>
      <c r="BA1601" s="110"/>
      <c r="BB1601" s="110"/>
      <c r="BC1601" s="110"/>
      <c r="BD1601" s="110"/>
      <c r="BE1601" s="110"/>
      <c r="BF1601" s="110"/>
      <c r="BG1601" s="110"/>
      <c r="BH1601" s="110"/>
      <c r="BI1601" s="110"/>
      <c r="BJ1601" s="110"/>
      <c r="BK1601" s="110"/>
      <c r="BL1601" s="110"/>
      <c r="BM1601" s="110"/>
      <c r="BN1601" s="110"/>
      <c r="BO1601" s="110"/>
      <c r="BP1601" s="110"/>
      <c r="BQ1601" s="110"/>
      <c r="BR1601" s="110"/>
      <c r="BS1601" s="110"/>
      <c r="BT1601" s="110"/>
      <c r="BU1601" s="110"/>
      <c r="BV1601" s="110"/>
      <c r="BW1601" s="110"/>
      <c r="BX1601" s="110"/>
      <c r="BY1601" s="110"/>
      <c r="BZ1601" s="110"/>
      <c r="CA1601" s="110"/>
      <c r="CB1601" s="110"/>
      <c r="CC1601" s="110"/>
      <c r="CD1601" s="110"/>
      <c r="CE1601" s="110"/>
      <c r="CF1601" s="110"/>
      <c r="CG1601" s="110"/>
      <c r="CH1601" s="110"/>
      <c r="CI1601" s="110"/>
      <c r="CJ1601" s="110"/>
      <c r="CK1601" s="110"/>
      <c r="CL1601" s="110"/>
      <c r="CM1601" s="110"/>
      <c r="CN1601" s="110"/>
      <c r="CO1601" s="110"/>
      <c r="CP1601" s="110"/>
      <c r="CQ1601" s="110"/>
      <c r="CR1601" s="110"/>
      <c r="CS1601" s="110"/>
      <c r="CT1601" s="110"/>
      <c r="CU1601" s="110"/>
      <c r="CV1601" s="110"/>
      <c r="CW1601" s="110"/>
      <c r="CX1601" s="110"/>
      <c r="CY1601" s="110"/>
      <c r="CZ1601" s="110"/>
      <c r="DA1601" s="110"/>
      <c r="DB1601" s="110"/>
      <c r="DC1601" s="110"/>
      <c r="DD1601" s="110"/>
      <c r="DE1601" s="110"/>
      <c r="DF1601" s="110"/>
      <c r="DG1601" s="110"/>
      <c r="DH1601" s="110"/>
      <c r="DI1601" s="110"/>
      <c r="DJ1601" s="110"/>
      <c r="DK1601" s="110"/>
      <c r="DL1601" s="110"/>
      <c r="DM1601" s="110"/>
      <c r="DN1601" s="110"/>
      <c r="DO1601" s="110"/>
      <c r="DP1601" s="110"/>
      <c r="DQ1601" s="110"/>
      <c r="DR1601" s="110"/>
      <c r="DS1601" s="110"/>
      <c r="DT1601" s="110"/>
      <c r="DU1601" s="110"/>
      <c r="DV1601" s="110"/>
      <c r="DW1601" s="110"/>
      <c r="DX1601" s="110"/>
      <c r="DY1601" s="110"/>
      <c r="DZ1601" s="110"/>
      <c r="EA1601" s="110"/>
      <c r="EB1601" s="110"/>
      <c r="EC1601" s="110"/>
      <c r="ED1601" s="110"/>
      <c r="EF1601" s="264"/>
      <c r="EG1601" s="110"/>
      <c r="EH1601" s="110"/>
      <c r="EI1601" s="110"/>
      <c r="EJ1601" s="110"/>
      <c r="EK1601" s="266"/>
      <c r="EL1601" s="110"/>
      <c r="EM1601" s="110"/>
      <c r="EN1601" s="110"/>
      <c r="EO1601" s="110"/>
      <c r="EP1601" s="110"/>
      <c r="EQ1601" s="110"/>
      <c r="ER1601" s="110"/>
      <c r="ES1601" s="110"/>
      <c r="ET1601" s="110"/>
      <c r="EU1601" s="110"/>
      <c r="EV1601" s="110"/>
      <c r="EW1601" s="110"/>
      <c r="EX1601" s="110"/>
      <c r="EY1601" s="110"/>
      <c r="EZ1601" s="110"/>
      <c r="FA1601" s="110"/>
      <c r="FB1601" s="110"/>
      <c r="FC1601" s="110"/>
      <c r="FD1601" s="110"/>
      <c r="FE1601" s="110"/>
      <c r="FF1601" s="110"/>
      <c r="FG1601" s="110"/>
      <c r="FH1601" s="110"/>
      <c r="FI1601" s="110"/>
      <c r="FJ1601" s="110"/>
      <c r="FK1601" s="110"/>
      <c r="FL1601" s="110"/>
      <c r="FM1601" s="110"/>
      <c r="FN1601" s="110"/>
      <c r="FO1601" s="110"/>
      <c r="FP1601" s="110"/>
      <c r="FQ1601" s="110"/>
      <c r="FR1601" s="110"/>
      <c r="FS1601" s="110"/>
      <c r="FT1601" s="110"/>
      <c r="FU1601" s="110"/>
      <c r="FV1601" s="110"/>
      <c r="FW1601" s="110"/>
      <c r="FX1601" s="110"/>
      <c r="FY1601" s="110"/>
      <c r="FZ1601" s="110"/>
      <c r="GA1601" s="110"/>
      <c r="GB1601" s="110"/>
      <c r="GC1601" s="110"/>
      <c r="GD1601" s="110"/>
      <c r="GE1601" s="110"/>
      <c r="GF1601" s="110"/>
      <c r="GG1601" s="110"/>
      <c r="GH1601" s="110"/>
      <c r="GI1601" s="110"/>
      <c r="GJ1601" s="110"/>
      <c r="GK1601" s="110"/>
      <c r="GL1601" s="110"/>
      <c r="GM1601" s="110"/>
      <c r="GN1601" s="110"/>
      <c r="GO1601" s="110"/>
      <c r="GP1601" s="110"/>
      <c r="GQ1601" s="110"/>
      <c r="GR1601" s="110"/>
      <c r="GS1601" s="110"/>
      <c r="GT1601" s="110"/>
      <c r="GU1601" s="110"/>
      <c r="GV1601" s="110"/>
      <c r="GW1601" s="110"/>
      <c r="GX1601" s="110"/>
      <c r="GY1601" s="110"/>
      <c r="GZ1601" s="110"/>
      <c r="HA1601" s="110"/>
      <c r="HB1601" s="110"/>
      <c r="HC1601" s="110"/>
      <c r="HD1601" s="110"/>
      <c r="HE1601" s="110"/>
      <c r="HF1601" s="110"/>
      <c r="HG1601" s="110"/>
      <c r="HH1601" s="110"/>
      <c r="HI1601" s="110"/>
      <c r="HJ1601" s="110"/>
      <c r="HK1601" s="110"/>
      <c r="HL1601" s="110"/>
      <c r="HM1601" s="110"/>
      <c r="HN1601" s="110"/>
      <c r="HO1601" s="110"/>
      <c r="HP1601" s="110"/>
      <c r="HQ1601" s="110"/>
      <c r="HR1601" s="110"/>
      <c r="HS1601" s="110"/>
      <c r="HT1601" s="110"/>
      <c r="HU1601" s="110"/>
      <c r="HV1601" s="110"/>
      <c r="HW1601" s="110"/>
      <c r="HX1601" s="110"/>
      <c r="HY1601" s="110"/>
      <c r="HZ1601" s="110"/>
      <c r="IA1601" s="110"/>
      <c r="IB1601" s="110"/>
      <c r="IC1601" s="110"/>
      <c r="ID1601" s="110"/>
      <c r="IE1601" s="110"/>
      <c r="IF1601" s="110"/>
      <c r="IG1601" s="110"/>
      <c r="IH1601" s="110"/>
      <c r="II1601" s="110"/>
      <c r="IJ1601" s="110"/>
      <c r="IK1601" s="110"/>
      <c r="IL1601" s="110"/>
      <c r="IM1601" s="110"/>
      <c r="IN1601" s="110"/>
      <c r="IO1601" s="110"/>
      <c r="IP1601" s="110"/>
      <c r="IQ1601" s="110"/>
      <c r="IR1601" s="110"/>
    </row>
    <row r="1602" spans="18:252" ht="16.5" hidden="1" customHeight="1">
      <c r="R1602" s="264"/>
      <c r="S1602" s="110"/>
      <c r="T1602" s="110"/>
      <c r="U1602" s="110"/>
      <c r="V1602" s="110"/>
      <c r="W1602" s="266"/>
      <c r="X1602" s="110"/>
      <c r="Y1602" s="110"/>
      <c r="Z1602" s="110"/>
      <c r="AA1602" s="110"/>
      <c r="AB1602" s="110"/>
      <c r="AC1602" s="110"/>
      <c r="AD1602" s="110"/>
      <c r="AE1602" s="110"/>
      <c r="AF1602" s="110"/>
      <c r="AG1602" s="110"/>
      <c r="AH1602" s="110"/>
      <c r="AI1602" s="110"/>
      <c r="AJ1602" s="110"/>
      <c r="AK1602" s="110"/>
      <c r="AL1602" s="110"/>
      <c r="AM1602" s="110"/>
      <c r="AN1602" s="110"/>
      <c r="AO1602" s="110"/>
      <c r="AP1602" s="110"/>
      <c r="AQ1602" s="110"/>
      <c r="AR1602" s="110"/>
      <c r="AS1602" s="110"/>
      <c r="AT1602" s="110"/>
      <c r="AU1602" s="110"/>
      <c r="AV1602" s="110"/>
      <c r="AW1602" s="110"/>
      <c r="AX1602" s="110"/>
      <c r="AY1602" s="110"/>
      <c r="AZ1602" s="110"/>
      <c r="BA1602" s="110"/>
      <c r="BB1602" s="110"/>
      <c r="BC1602" s="110"/>
      <c r="BD1602" s="110"/>
      <c r="BE1602" s="110"/>
      <c r="BF1602" s="110"/>
      <c r="BG1602" s="110"/>
      <c r="BH1602" s="110"/>
      <c r="BI1602" s="110"/>
      <c r="BJ1602" s="110"/>
      <c r="BK1602" s="110"/>
      <c r="BL1602" s="110"/>
      <c r="BM1602" s="110"/>
      <c r="BN1602" s="110"/>
      <c r="BO1602" s="110"/>
      <c r="BP1602" s="110"/>
      <c r="BQ1602" s="110"/>
      <c r="BR1602" s="110"/>
      <c r="BS1602" s="110"/>
      <c r="BT1602" s="110"/>
      <c r="BU1602" s="110"/>
      <c r="BV1602" s="110"/>
      <c r="BW1602" s="110"/>
      <c r="BX1602" s="110"/>
      <c r="BY1602" s="110"/>
      <c r="BZ1602" s="110"/>
      <c r="CA1602" s="110"/>
      <c r="CB1602" s="110"/>
      <c r="CC1602" s="110"/>
      <c r="CD1602" s="110"/>
      <c r="CE1602" s="110"/>
      <c r="CF1602" s="110"/>
      <c r="CG1602" s="110"/>
      <c r="CH1602" s="110"/>
      <c r="CI1602" s="110"/>
      <c r="CJ1602" s="110"/>
      <c r="CK1602" s="110"/>
      <c r="CL1602" s="110"/>
      <c r="CM1602" s="110"/>
      <c r="CN1602" s="110"/>
      <c r="CO1602" s="110"/>
      <c r="CP1602" s="110"/>
      <c r="CQ1602" s="110"/>
      <c r="CR1602" s="110"/>
      <c r="CS1602" s="110"/>
      <c r="CT1602" s="110"/>
      <c r="CU1602" s="110"/>
      <c r="CV1602" s="110"/>
      <c r="CW1602" s="110"/>
      <c r="CX1602" s="110"/>
      <c r="CY1602" s="110"/>
      <c r="CZ1602" s="110"/>
      <c r="DA1602" s="110"/>
      <c r="DB1602" s="110"/>
      <c r="DC1602" s="110"/>
      <c r="DD1602" s="110"/>
      <c r="DE1602" s="110"/>
      <c r="DF1602" s="110"/>
      <c r="DG1602" s="110"/>
      <c r="DH1602" s="110"/>
      <c r="DI1602" s="110"/>
      <c r="DJ1602" s="110"/>
      <c r="DK1602" s="110"/>
      <c r="DL1602" s="110"/>
      <c r="DM1602" s="110"/>
      <c r="DN1602" s="110"/>
      <c r="DO1602" s="110"/>
      <c r="DP1602" s="110"/>
      <c r="DQ1602" s="110"/>
      <c r="DR1602" s="110"/>
      <c r="DS1602" s="110"/>
      <c r="DT1602" s="110"/>
      <c r="DU1602" s="110"/>
      <c r="DV1602" s="110"/>
      <c r="DW1602" s="110"/>
      <c r="DX1602" s="110"/>
      <c r="DY1602" s="110"/>
      <c r="DZ1602" s="110"/>
      <c r="EA1602" s="110"/>
      <c r="EB1602" s="110"/>
      <c r="EC1602" s="110"/>
      <c r="ED1602" s="110"/>
      <c r="EF1602" s="264"/>
      <c r="EG1602" s="110"/>
      <c r="EH1602" s="110"/>
      <c r="EI1602" s="110"/>
      <c r="EJ1602" s="110"/>
      <c r="EK1602" s="266"/>
      <c r="EL1602" s="110"/>
      <c r="EM1602" s="110"/>
      <c r="EN1602" s="110"/>
      <c r="EO1602" s="110"/>
      <c r="EP1602" s="110"/>
      <c r="EQ1602" s="110"/>
      <c r="ER1602" s="110"/>
      <c r="ES1602" s="110"/>
      <c r="ET1602" s="110"/>
      <c r="EU1602" s="110"/>
      <c r="EV1602" s="110"/>
      <c r="EW1602" s="110"/>
      <c r="EX1602" s="110"/>
      <c r="EY1602" s="110"/>
      <c r="EZ1602" s="110"/>
      <c r="FA1602" s="110"/>
      <c r="FB1602" s="110"/>
      <c r="FC1602" s="110"/>
      <c r="FD1602" s="110"/>
      <c r="FE1602" s="110"/>
      <c r="FF1602" s="110"/>
      <c r="FG1602" s="110"/>
      <c r="FH1602" s="110"/>
      <c r="FI1602" s="110"/>
      <c r="FJ1602" s="110"/>
      <c r="FK1602" s="110"/>
      <c r="FL1602" s="110"/>
      <c r="FM1602" s="110"/>
      <c r="FN1602" s="110"/>
      <c r="FO1602" s="110"/>
      <c r="FP1602" s="110"/>
      <c r="FQ1602" s="110"/>
      <c r="FR1602" s="110"/>
      <c r="FS1602" s="110"/>
      <c r="FT1602" s="110"/>
      <c r="FU1602" s="110"/>
      <c r="FV1602" s="110"/>
      <c r="FW1602" s="110"/>
      <c r="FX1602" s="110"/>
      <c r="FY1602" s="110"/>
      <c r="FZ1602" s="110"/>
      <c r="GA1602" s="110"/>
      <c r="GB1602" s="110"/>
      <c r="GC1602" s="110"/>
      <c r="GD1602" s="110"/>
      <c r="GE1602" s="110"/>
      <c r="GF1602" s="110"/>
      <c r="GG1602" s="110"/>
      <c r="GH1602" s="110"/>
      <c r="GI1602" s="110"/>
      <c r="GJ1602" s="110"/>
      <c r="GK1602" s="110"/>
      <c r="GL1602" s="110"/>
      <c r="GM1602" s="110"/>
      <c r="GN1602" s="110"/>
      <c r="GO1602" s="110"/>
      <c r="GP1602" s="110"/>
      <c r="GQ1602" s="110"/>
      <c r="GR1602" s="110"/>
      <c r="GS1602" s="110"/>
      <c r="GT1602" s="110"/>
      <c r="GU1602" s="110"/>
      <c r="GV1602" s="110"/>
      <c r="GW1602" s="110"/>
      <c r="GX1602" s="110"/>
      <c r="GY1602" s="110"/>
      <c r="GZ1602" s="110"/>
      <c r="HA1602" s="110"/>
      <c r="HB1602" s="110"/>
      <c r="HC1602" s="110"/>
      <c r="HD1602" s="110"/>
      <c r="HE1602" s="110"/>
      <c r="HF1602" s="110"/>
      <c r="HG1602" s="110"/>
      <c r="HH1602" s="110"/>
      <c r="HI1602" s="110"/>
      <c r="HJ1602" s="110"/>
      <c r="HK1602" s="110"/>
      <c r="HL1602" s="110"/>
      <c r="HM1602" s="110"/>
      <c r="HN1602" s="110"/>
      <c r="HO1602" s="110"/>
      <c r="HP1602" s="110"/>
      <c r="HQ1602" s="110"/>
      <c r="HR1602" s="110"/>
      <c r="HS1602" s="110"/>
      <c r="HT1602" s="110"/>
      <c r="HU1602" s="110"/>
      <c r="HV1602" s="110"/>
      <c r="HW1602" s="110"/>
      <c r="HX1602" s="110"/>
      <c r="HY1602" s="110"/>
      <c r="HZ1602" s="110"/>
      <c r="IA1602" s="110"/>
      <c r="IB1602" s="110"/>
      <c r="IC1602" s="110"/>
      <c r="ID1602" s="110"/>
      <c r="IE1602" s="110"/>
      <c r="IF1602" s="110"/>
      <c r="IG1602" s="110"/>
      <c r="IH1602" s="110"/>
      <c r="II1602" s="110"/>
      <c r="IJ1602" s="110"/>
      <c r="IK1602" s="110"/>
      <c r="IL1602" s="110"/>
      <c r="IM1602" s="110"/>
      <c r="IN1602" s="110"/>
      <c r="IO1602" s="110"/>
      <c r="IP1602" s="110"/>
      <c r="IQ1602" s="110"/>
      <c r="IR1602" s="110"/>
    </row>
    <row r="1603" spans="18:252" ht="16.5" hidden="1" customHeight="1">
      <c r="R1603" s="264"/>
      <c r="S1603" s="110"/>
      <c r="T1603" s="110"/>
      <c r="U1603" s="110"/>
      <c r="V1603" s="110"/>
      <c r="W1603" s="266"/>
      <c r="X1603" s="110"/>
      <c r="Y1603" s="110"/>
      <c r="Z1603" s="110"/>
      <c r="AA1603" s="110"/>
      <c r="AB1603" s="110"/>
      <c r="AC1603" s="110"/>
      <c r="AD1603" s="110"/>
      <c r="AE1603" s="110"/>
      <c r="AF1603" s="110"/>
      <c r="AG1603" s="110"/>
      <c r="AH1603" s="110"/>
      <c r="AI1603" s="110"/>
      <c r="AJ1603" s="110"/>
      <c r="AK1603" s="110"/>
      <c r="AL1603" s="110"/>
      <c r="AM1603" s="110"/>
      <c r="AN1603" s="110"/>
      <c r="AO1603" s="110"/>
      <c r="AP1603" s="110"/>
      <c r="AQ1603" s="110"/>
      <c r="AR1603" s="110"/>
      <c r="AS1603" s="110"/>
      <c r="AT1603" s="110"/>
      <c r="AU1603" s="110"/>
      <c r="AV1603" s="110"/>
      <c r="AW1603" s="110"/>
      <c r="AX1603" s="110"/>
      <c r="AY1603" s="110"/>
      <c r="AZ1603" s="110"/>
      <c r="BA1603" s="110"/>
      <c r="BB1603" s="110"/>
      <c r="BC1603" s="110"/>
      <c r="BD1603" s="110"/>
      <c r="BE1603" s="110"/>
      <c r="BF1603" s="110"/>
      <c r="BG1603" s="110"/>
      <c r="BH1603" s="110"/>
      <c r="BI1603" s="110"/>
      <c r="BJ1603" s="110"/>
      <c r="BK1603" s="110"/>
      <c r="BL1603" s="110"/>
      <c r="BM1603" s="110"/>
      <c r="BN1603" s="110"/>
      <c r="BO1603" s="110"/>
      <c r="BP1603" s="110"/>
      <c r="BQ1603" s="110"/>
      <c r="BR1603" s="110"/>
      <c r="BS1603" s="110"/>
      <c r="BT1603" s="110"/>
      <c r="BU1603" s="110"/>
      <c r="BV1603" s="110"/>
      <c r="BW1603" s="110"/>
      <c r="BX1603" s="110"/>
      <c r="BY1603" s="110"/>
      <c r="BZ1603" s="110"/>
      <c r="CA1603" s="110"/>
      <c r="CB1603" s="110"/>
      <c r="CC1603" s="110"/>
      <c r="CD1603" s="110"/>
      <c r="CE1603" s="110"/>
      <c r="CF1603" s="110"/>
      <c r="CG1603" s="110"/>
      <c r="CH1603" s="110"/>
      <c r="CI1603" s="110"/>
      <c r="CJ1603" s="110"/>
      <c r="CK1603" s="110"/>
      <c r="CL1603" s="110"/>
      <c r="CM1603" s="110"/>
      <c r="CN1603" s="110"/>
      <c r="CO1603" s="110"/>
      <c r="CP1603" s="110"/>
      <c r="CQ1603" s="110"/>
      <c r="CR1603" s="110"/>
      <c r="CS1603" s="110"/>
      <c r="CT1603" s="110"/>
      <c r="CU1603" s="110"/>
      <c r="CV1603" s="110"/>
      <c r="CW1603" s="110"/>
      <c r="CX1603" s="110"/>
      <c r="CY1603" s="110"/>
      <c r="CZ1603" s="110"/>
      <c r="DA1603" s="110"/>
      <c r="DB1603" s="110"/>
      <c r="DC1603" s="110"/>
      <c r="DD1603" s="110"/>
      <c r="DE1603" s="110"/>
      <c r="DF1603" s="110"/>
      <c r="DG1603" s="110"/>
      <c r="DH1603" s="110"/>
      <c r="DI1603" s="110"/>
      <c r="DJ1603" s="110"/>
      <c r="DK1603" s="110"/>
      <c r="DL1603" s="110"/>
      <c r="DM1603" s="110"/>
      <c r="DN1603" s="110"/>
      <c r="DO1603" s="110"/>
      <c r="DP1603" s="110"/>
      <c r="DQ1603" s="110"/>
      <c r="DR1603" s="110"/>
      <c r="DS1603" s="110"/>
      <c r="DT1603" s="110"/>
      <c r="DU1603" s="110"/>
      <c r="DV1603" s="110"/>
      <c r="DW1603" s="110"/>
      <c r="DX1603" s="110"/>
      <c r="DY1603" s="110"/>
      <c r="DZ1603" s="110"/>
      <c r="EA1603" s="110"/>
      <c r="EB1603" s="110"/>
      <c r="EC1603" s="110"/>
      <c r="ED1603" s="110"/>
      <c r="EF1603" s="264"/>
      <c r="EG1603" s="110"/>
      <c r="EH1603" s="110"/>
      <c r="EI1603" s="110"/>
      <c r="EJ1603" s="110"/>
      <c r="EK1603" s="266"/>
      <c r="EL1603" s="110"/>
      <c r="EM1603" s="110"/>
      <c r="EN1603" s="110"/>
      <c r="EO1603" s="110"/>
      <c r="EP1603" s="110"/>
      <c r="EQ1603" s="110"/>
      <c r="ER1603" s="110"/>
      <c r="ES1603" s="110"/>
      <c r="ET1603" s="110"/>
      <c r="EU1603" s="110"/>
      <c r="EV1603" s="110"/>
      <c r="EW1603" s="110"/>
      <c r="EX1603" s="110"/>
      <c r="EY1603" s="110"/>
      <c r="EZ1603" s="110"/>
      <c r="FA1603" s="110"/>
      <c r="FB1603" s="110"/>
      <c r="FC1603" s="110"/>
      <c r="FD1603" s="110"/>
      <c r="FE1603" s="110"/>
      <c r="FF1603" s="110"/>
      <c r="FG1603" s="110"/>
      <c r="FH1603" s="110"/>
      <c r="FI1603" s="110"/>
      <c r="FJ1603" s="110"/>
      <c r="FK1603" s="110"/>
      <c r="FL1603" s="110"/>
      <c r="FM1603" s="110"/>
      <c r="FN1603" s="110"/>
      <c r="FO1603" s="110"/>
      <c r="FP1603" s="110"/>
      <c r="FQ1603" s="110"/>
      <c r="FR1603" s="110"/>
      <c r="FS1603" s="110"/>
      <c r="FT1603" s="110"/>
      <c r="FU1603" s="110"/>
      <c r="FV1603" s="110"/>
      <c r="FW1603" s="110"/>
      <c r="FX1603" s="110"/>
      <c r="FY1603" s="110"/>
      <c r="FZ1603" s="110"/>
      <c r="GA1603" s="110"/>
      <c r="GB1603" s="110"/>
      <c r="GC1603" s="110"/>
      <c r="GD1603" s="110"/>
      <c r="GE1603" s="110"/>
      <c r="GF1603" s="110"/>
      <c r="GG1603" s="110"/>
      <c r="GH1603" s="110"/>
      <c r="GI1603" s="110"/>
      <c r="GJ1603" s="110"/>
      <c r="GK1603" s="110"/>
      <c r="GL1603" s="110"/>
      <c r="GM1603" s="110"/>
      <c r="GN1603" s="110"/>
      <c r="GO1603" s="110"/>
      <c r="GP1603" s="110"/>
      <c r="GQ1603" s="110"/>
      <c r="GR1603" s="110"/>
      <c r="GS1603" s="110"/>
      <c r="GT1603" s="110"/>
      <c r="GU1603" s="110"/>
      <c r="GV1603" s="110"/>
      <c r="GW1603" s="110"/>
      <c r="GX1603" s="110"/>
      <c r="GY1603" s="110"/>
      <c r="GZ1603" s="110"/>
      <c r="HA1603" s="110"/>
      <c r="HB1603" s="110"/>
      <c r="HC1603" s="110"/>
      <c r="HD1603" s="110"/>
      <c r="HE1603" s="110"/>
      <c r="HF1603" s="110"/>
      <c r="HG1603" s="110"/>
      <c r="HH1603" s="110"/>
      <c r="HI1603" s="110"/>
      <c r="HJ1603" s="110"/>
      <c r="HK1603" s="110"/>
      <c r="HL1603" s="110"/>
      <c r="HM1603" s="110"/>
      <c r="HN1603" s="110"/>
      <c r="HO1603" s="110"/>
      <c r="HP1603" s="110"/>
      <c r="HQ1603" s="110"/>
      <c r="HR1603" s="110"/>
      <c r="HS1603" s="110"/>
      <c r="HT1603" s="110"/>
      <c r="HU1603" s="110"/>
      <c r="HV1603" s="110"/>
      <c r="HW1603" s="110"/>
      <c r="HX1603" s="110"/>
      <c r="HY1603" s="110"/>
      <c r="HZ1603" s="110"/>
      <c r="IA1603" s="110"/>
      <c r="IB1603" s="110"/>
      <c r="IC1603" s="110"/>
      <c r="ID1603" s="110"/>
      <c r="IE1603" s="110"/>
      <c r="IF1603" s="110"/>
      <c r="IG1603" s="110"/>
      <c r="IH1603" s="110"/>
      <c r="II1603" s="110"/>
      <c r="IJ1603" s="110"/>
      <c r="IK1603" s="110"/>
      <c r="IL1603" s="110"/>
      <c r="IM1603" s="110"/>
      <c r="IN1603" s="110"/>
      <c r="IO1603" s="110"/>
      <c r="IP1603" s="110"/>
      <c r="IQ1603" s="110"/>
      <c r="IR1603" s="110"/>
    </row>
    <row r="1604" spans="18:252" ht="16.5" hidden="1" customHeight="1">
      <c r="R1604" s="264"/>
      <c r="S1604" s="110"/>
      <c r="T1604" s="110"/>
      <c r="U1604" s="110"/>
      <c r="V1604" s="110"/>
      <c r="W1604" s="266"/>
      <c r="X1604" s="110"/>
      <c r="Y1604" s="110"/>
      <c r="Z1604" s="110"/>
      <c r="AA1604" s="110"/>
      <c r="AB1604" s="110"/>
      <c r="AC1604" s="110"/>
      <c r="AD1604" s="110"/>
      <c r="AE1604" s="110"/>
      <c r="AF1604" s="110"/>
      <c r="AG1604" s="110"/>
      <c r="AH1604" s="110"/>
      <c r="AI1604" s="110"/>
      <c r="AJ1604" s="110"/>
      <c r="AK1604" s="110"/>
      <c r="AL1604" s="110"/>
      <c r="AM1604" s="110"/>
      <c r="AN1604" s="110"/>
      <c r="AO1604" s="110"/>
      <c r="AP1604" s="110"/>
      <c r="AQ1604" s="110"/>
      <c r="AR1604" s="110"/>
      <c r="AS1604" s="110"/>
      <c r="AT1604" s="110"/>
      <c r="AU1604" s="110"/>
      <c r="AV1604" s="110"/>
      <c r="AW1604" s="110"/>
      <c r="AX1604" s="110"/>
      <c r="AY1604" s="110"/>
      <c r="AZ1604" s="110"/>
      <c r="BA1604" s="110"/>
      <c r="BB1604" s="110"/>
      <c r="BC1604" s="110"/>
      <c r="BD1604" s="110"/>
      <c r="BE1604" s="110"/>
      <c r="BF1604" s="110"/>
      <c r="BG1604" s="110"/>
      <c r="BH1604" s="110"/>
      <c r="BI1604" s="110"/>
      <c r="BJ1604" s="110"/>
      <c r="BK1604" s="110"/>
      <c r="BL1604" s="110"/>
      <c r="BM1604" s="110"/>
      <c r="BN1604" s="110"/>
      <c r="BO1604" s="110"/>
      <c r="BP1604" s="110"/>
      <c r="BQ1604" s="110"/>
      <c r="BR1604" s="110"/>
      <c r="BS1604" s="110"/>
      <c r="BT1604" s="110"/>
      <c r="BU1604" s="110"/>
      <c r="BV1604" s="110"/>
      <c r="BW1604" s="110"/>
      <c r="BX1604" s="110"/>
      <c r="BY1604" s="110"/>
      <c r="BZ1604" s="110"/>
      <c r="CA1604" s="110"/>
      <c r="CB1604" s="110"/>
      <c r="CC1604" s="110"/>
      <c r="CD1604" s="110"/>
      <c r="CE1604" s="110"/>
      <c r="CF1604" s="110"/>
      <c r="CG1604" s="110"/>
      <c r="CH1604" s="110"/>
      <c r="CI1604" s="110"/>
      <c r="CJ1604" s="110"/>
      <c r="CK1604" s="110"/>
      <c r="CL1604" s="110"/>
      <c r="CM1604" s="110"/>
      <c r="CN1604" s="110"/>
      <c r="CO1604" s="110"/>
      <c r="CP1604" s="110"/>
      <c r="CQ1604" s="110"/>
      <c r="CR1604" s="110"/>
      <c r="CS1604" s="110"/>
      <c r="CT1604" s="110"/>
      <c r="CU1604" s="110"/>
      <c r="CV1604" s="110"/>
      <c r="CW1604" s="110"/>
      <c r="CX1604" s="110"/>
      <c r="CY1604" s="110"/>
      <c r="CZ1604" s="110"/>
      <c r="DA1604" s="110"/>
      <c r="DB1604" s="110"/>
      <c r="DC1604" s="110"/>
      <c r="DD1604" s="110"/>
      <c r="DE1604" s="110"/>
      <c r="DF1604" s="110"/>
      <c r="DG1604" s="110"/>
      <c r="DH1604" s="110"/>
      <c r="DI1604" s="110"/>
      <c r="DJ1604" s="110"/>
      <c r="DK1604" s="110"/>
      <c r="DL1604" s="110"/>
      <c r="DM1604" s="110"/>
      <c r="DN1604" s="110"/>
      <c r="DO1604" s="110"/>
      <c r="DP1604" s="110"/>
      <c r="DQ1604" s="110"/>
      <c r="DR1604" s="110"/>
      <c r="DS1604" s="110"/>
      <c r="DT1604" s="110"/>
      <c r="DU1604" s="110"/>
      <c r="DV1604" s="110"/>
      <c r="DW1604" s="110"/>
      <c r="DX1604" s="110"/>
      <c r="DY1604" s="110"/>
      <c r="DZ1604" s="110"/>
      <c r="EA1604" s="110"/>
      <c r="EB1604" s="110"/>
      <c r="EC1604" s="110"/>
      <c r="ED1604" s="110"/>
      <c r="EF1604" s="264"/>
      <c r="EG1604" s="110"/>
      <c r="EH1604" s="110"/>
      <c r="EI1604" s="110"/>
      <c r="EJ1604" s="110"/>
      <c r="EK1604" s="266"/>
      <c r="EL1604" s="110"/>
      <c r="EM1604" s="110"/>
      <c r="EN1604" s="110"/>
      <c r="EO1604" s="110"/>
      <c r="EP1604" s="110"/>
      <c r="EQ1604" s="110"/>
      <c r="ER1604" s="110"/>
      <c r="ES1604" s="110"/>
      <c r="ET1604" s="110"/>
      <c r="EU1604" s="110"/>
      <c r="EV1604" s="110"/>
      <c r="EW1604" s="110"/>
      <c r="EX1604" s="110"/>
      <c r="EY1604" s="110"/>
      <c r="EZ1604" s="110"/>
      <c r="FA1604" s="110"/>
      <c r="FB1604" s="110"/>
      <c r="FC1604" s="110"/>
      <c r="FD1604" s="110"/>
      <c r="FE1604" s="110"/>
      <c r="FF1604" s="110"/>
      <c r="FG1604" s="110"/>
      <c r="FH1604" s="110"/>
      <c r="FI1604" s="110"/>
      <c r="FJ1604" s="110"/>
      <c r="FK1604" s="110"/>
      <c r="FL1604" s="110"/>
      <c r="FM1604" s="110"/>
      <c r="FN1604" s="110"/>
      <c r="FO1604" s="110"/>
      <c r="FP1604" s="110"/>
      <c r="FQ1604" s="110"/>
      <c r="FR1604" s="110"/>
      <c r="FS1604" s="110"/>
      <c r="FT1604" s="110"/>
      <c r="FU1604" s="110"/>
      <c r="FV1604" s="110"/>
      <c r="FW1604" s="110"/>
      <c r="FX1604" s="110"/>
      <c r="FY1604" s="110"/>
      <c r="FZ1604" s="110"/>
      <c r="GA1604" s="110"/>
      <c r="GB1604" s="110"/>
      <c r="GC1604" s="110"/>
      <c r="GD1604" s="110"/>
      <c r="GE1604" s="110"/>
      <c r="GF1604" s="110"/>
      <c r="GG1604" s="110"/>
      <c r="GH1604" s="110"/>
      <c r="GI1604" s="110"/>
      <c r="GJ1604" s="110"/>
      <c r="GK1604" s="110"/>
      <c r="GL1604" s="110"/>
      <c r="GM1604" s="110"/>
      <c r="GN1604" s="110"/>
      <c r="GO1604" s="110"/>
      <c r="GP1604" s="110"/>
      <c r="GQ1604" s="110"/>
      <c r="GR1604" s="110"/>
      <c r="GS1604" s="110"/>
      <c r="GT1604" s="110"/>
      <c r="GU1604" s="110"/>
      <c r="GV1604" s="110"/>
      <c r="GW1604" s="110"/>
      <c r="GX1604" s="110"/>
      <c r="GY1604" s="110"/>
      <c r="GZ1604" s="110"/>
      <c r="HA1604" s="110"/>
      <c r="HB1604" s="110"/>
      <c r="HC1604" s="110"/>
      <c r="HD1604" s="110"/>
      <c r="HE1604" s="110"/>
      <c r="HF1604" s="110"/>
      <c r="HG1604" s="110"/>
      <c r="HH1604" s="110"/>
      <c r="HI1604" s="110"/>
      <c r="HJ1604" s="110"/>
      <c r="HK1604" s="110"/>
      <c r="HL1604" s="110"/>
      <c r="HM1604" s="110"/>
      <c r="HN1604" s="110"/>
      <c r="HO1604" s="110"/>
      <c r="HP1604" s="110"/>
      <c r="HQ1604" s="110"/>
      <c r="HR1604" s="110"/>
      <c r="HS1604" s="110"/>
      <c r="HT1604" s="110"/>
      <c r="HU1604" s="110"/>
      <c r="HV1604" s="110"/>
      <c r="HW1604" s="110"/>
      <c r="HX1604" s="110"/>
      <c r="HY1604" s="110"/>
      <c r="HZ1604" s="110"/>
      <c r="IA1604" s="110"/>
      <c r="IB1604" s="110"/>
      <c r="IC1604" s="110"/>
      <c r="ID1604" s="110"/>
      <c r="IE1604" s="110"/>
      <c r="IF1604" s="110"/>
      <c r="IG1604" s="110"/>
      <c r="IH1604" s="110"/>
      <c r="II1604" s="110"/>
      <c r="IJ1604" s="110"/>
      <c r="IK1604" s="110"/>
      <c r="IL1604" s="110"/>
      <c r="IM1604" s="110"/>
      <c r="IN1604" s="110"/>
      <c r="IO1604" s="110"/>
      <c r="IP1604" s="110"/>
      <c r="IQ1604" s="110"/>
      <c r="IR1604" s="110"/>
    </row>
    <row r="1605" spans="18:252" ht="16.5" hidden="1" customHeight="1">
      <c r="R1605" s="264"/>
      <c r="S1605" s="110"/>
      <c r="T1605" s="110"/>
      <c r="U1605" s="110"/>
      <c r="V1605" s="110"/>
      <c r="W1605" s="266"/>
      <c r="X1605" s="110"/>
      <c r="Y1605" s="110"/>
      <c r="Z1605" s="110"/>
      <c r="AA1605" s="110"/>
      <c r="AB1605" s="110"/>
      <c r="AC1605" s="110"/>
      <c r="AD1605" s="110"/>
      <c r="AE1605" s="110"/>
      <c r="AF1605" s="110"/>
      <c r="AG1605" s="110"/>
      <c r="AH1605" s="110"/>
      <c r="AI1605" s="110"/>
      <c r="AJ1605" s="110"/>
      <c r="AK1605" s="110"/>
      <c r="AL1605" s="110"/>
      <c r="AM1605" s="110"/>
      <c r="AN1605" s="110"/>
      <c r="AO1605" s="110"/>
      <c r="AP1605" s="110"/>
      <c r="AQ1605" s="110"/>
      <c r="AR1605" s="110"/>
      <c r="AS1605" s="110"/>
      <c r="AT1605" s="110"/>
      <c r="AU1605" s="110"/>
      <c r="AV1605" s="110"/>
      <c r="AW1605" s="110"/>
      <c r="AX1605" s="110"/>
      <c r="AY1605" s="110"/>
      <c r="AZ1605" s="110"/>
      <c r="BA1605" s="110"/>
      <c r="BB1605" s="110"/>
      <c r="BC1605" s="110"/>
      <c r="BD1605" s="110"/>
      <c r="BE1605" s="110"/>
      <c r="BF1605" s="110"/>
      <c r="BG1605" s="110"/>
      <c r="BH1605" s="110"/>
      <c r="BI1605" s="110"/>
      <c r="BJ1605" s="110"/>
      <c r="BK1605" s="110"/>
      <c r="BL1605" s="110"/>
      <c r="BM1605" s="110"/>
      <c r="BN1605" s="110"/>
      <c r="BO1605" s="110"/>
      <c r="BP1605" s="110"/>
      <c r="BQ1605" s="110"/>
      <c r="BR1605" s="110"/>
      <c r="BS1605" s="110"/>
      <c r="BT1605" s="110"/>
      <c r="BU1605" s="110"/>
      <c r="BV1605" s="110"/>
      <c r="BW1605" s="110"/>
      <c r="BX1605" s="110"/>
      <c r="BY1605" s="110"/>
      <c r="BZ1605" s="110"/>
      <c r="CA1605" s="110"/>
      <c r="CB1605" s="110"/>
      <c r="CC1605" s="110"/>
      <c r="CD1605" s="110"/>
      <c r="CE1605" s="110"/>
      <c r="CF1605" s="110"/>
      <c r="CG1605" s="110"/>
      <c r="CH1605" s="110"/>
      <c r="CI1605" s="110"/>
      <c r="CJ1605" s="110"/>
      <c r="CK1605" s="110"/>
      <c r="CL1605" s="110"/>
      <c r="CM1605" s="110"/>
      <c r="CN1605" s="110"/>
      <c r="CO1605" s="110"/>
      <c r="CP1605" s="110"/>
      <c r="CQ1605" s="110"/>
      <c r="CR1605" s="110"/>
      <c r="CS1605" s="110"/>
      <c r="CT1605" s="110"/>
      <c r="CU1605" s="110"/>
      <c r="CV1605" s="110"/>
      <c r="CW1605" s="110"/>
      <c r="CX1605" s="110"/>
      <c r="CY1605" s="110"/>
      <c r="CZ1605" s="110"/>
      <c r="DA1605" s="110"/>
      <c r="DB1605" s="110"/>
      <c r="DC1605" s="110"/>
      <c r="DD1605" s="110"/>
      <c r="DE1605" s="110"/>
      <c r="DF1605" s="110"/>
      <c r="DG1605" s="110"/>
      <c r="DH1605" s="110"/>
      <c r="DI1605" s="110"/>
      <c r="DJ1605" s="110"/>
      <c r="DK1605" s="110"/>
      <c r="DL1605" s="110"/>
      <c r="DM1605" s="110"/>
      <c r="DN1605" s="110"/>
      <c r="DO1605" s="110"/>
      <c r="DP1605" s="110"/>
      <c r="DQ1605" s="110"/>
      <c r="DR1605" s="110"/>
      <c r="DS1605" s="110"/>
      <c r="DT1605" s="110"/>
      <c r="DU1605" s="110"/>
      <c r="DV1605" s="110"/>
      <c r="DW1605" s="110"/>
      <c r="DX1605" s="110"/>
      <c r="DY1605" s="110"/>
      <c r="DZ1605" s="110"/>
      <c r="EA1605" s="110"/>
      <c r="EB1605" s="110"/>
      <c r="EC1605" s="110"/>
      <c r="ED1605" s="110"/>
      <c r="EF1605" s="264"/>
      <c r="EG1605" s="110"/>
      <c r="EH1605" s="110"/>
      <c r="EI1605" s="110"/>
      <c r="EJ1605" s="110"/>
      <c r="EK1605" s="266"/>
      <c r="EL1605" s="110"/>
      <c r="EM1605" s="110"/>
      <c r="EN1605" s="110"/>
      <c r="EO1605" s="110"/>
      <c r="EP1605" s="110"/>
      <c r="EQ1605" s="110"/>
      <c r="ER1605" s="110"/>
      <c r="ES1605" s="110"/>
      <c r="ET1605" s="110"/>
      <c r="EU1605" s="110"/>
      <c r="EV1605" s="110"/>
      <c r="EW1605" s="110"/>
      <c r="EX1605" s="110"/>
      <c r="EY1605" s="110"/>
      <c r="EZ1605" s="110"/>
      <c r="FA1605" s="110"/>
      <c r="FB1605" s="110"/>
      <c r="FC1605" s="110"/>
      <c r="FD1605" s="110"/>
      <c r="FE1605" s="110"/>
      <c r="FF1605" s="110"/>
      <c r="FG1605" s="110"/>
      <c r="FH1605" s="110"/>
      <c r="FI1605" s="110"/>
      <c r="FJ1605" s="110"/>
      <c r="FK1605" s="110"/>
      <c r="FL1605" s="110"/>
      <c r="FM1605" s="110"/>
      <c r="FN1605" s="110"/>
      <c r="FO1605" s="110"/>
      <c r="FP1605" s="110"/>
      <c r="FQ1605" s="110"/>
      <c r="FR1605" s="110"/>
      <c r="FS1605" s="110"/>
      <c r="FT1605" s="110"/>
      <c r="FU1605" s="110"/>
      <c r="FV1605" s="110"/>
      <c r="FW1605" s="110"/>
      <c r="FX1605" s="110"/>
      <c r="FY1605" s="110"/>
      <c r="FZ1605" s="110"/>
      <c r="GA1605" s="110"/>
      <c r="GB1605" s="110"/>
      <c r="GC1605" s="110"/>
      <c r="GD1605" s="110"/>
      <c r="GE1605" s="110"/>
      <c r="GF1605" s="110"/>
      <c r="GG1605" s="110"/>
      <c r="GH1605" s="110"/>
      <c r="GI1605" s="110"/>
      <c r="GJ1605" s="110"/>
      <c r="GK1605" s="110"/>
      <c r="GL1605" s="110"/>
      <c r="GM1605" s="110"/>
      <c r="GN1605" s="110"/>
      <c r="GO1605" s="110"/>
      <c r="GP1605" s="110"/>
      <c r="GQ1605" s="110"/>
      <c r="GR1605" s="110"/>
      <c r="GS1605" s="110"/>
      <c r="GT1605" s="110"/>
      <c r="GU1605" s="110"/>
      <c r="GV1605" s="110"/>
      <c r="GW1605" s="110"/>
      <c r="GX1605" s="110"/>
      <c r="GY1605" s="110"/>
      <c r="GZ1605" s="110"/>
      <c r="HA1605" s="110"/>
      <c r="HB1605" s="110"/>
      <c r="HC1605" s="110"/>
      <c r="HD1605" s="110"/>
      <c r="HE1605" s="110"/>
      <c r="HF1605" s="110"/>
      <c r="HG1605" s="110"/>
      <c r="HH1605" s="110"/>
      <c r="HI1605" s="110"/>
      <c r="HJ1605" s="110"/>
      <c r="HK1605" s="110"/>
      <c r="HL1605" s="110"/>
      <c r="HM1605" s="110"/>
      <c r="HN1605" s="110"/>
      <c r="HO1605" s="110"/>
      <c r="HP1605" s="110"/>
      <c r="HQ1605" s="110"/>
      <c r="HR1605" s="110"/>
      <c r="HS1605" s="110"/>
      <c r="HT1605" s="110"/>
      <c r="HU1605" s="110"/>
      <c r="HV1605" s="110"/>
      <c r="HW1605" s="110"/>
      <c r="HX1605" s="110"/>
      <c r="HY1605" s="110"/>
      <c r="HZ1605" s="110"/>
      <c r="IA1605" s="110"/>
      <c r="IB1605" s="110"/>
      <c r="IC1605" s="110"/>
      <c r="ID1605" s="110"/>
      <c r="IE1605" s="110"/>
      <c r="IF1605" s="110"/>
      <c r="IG1605" s="110"/>
      <c r="IH1605" s="110"/>
      <c r="II1605" s="110"/>
      <c r="IJ1605" s="110"/>
      <c r="IK1605" s="110"/>
      <c r="IL1605" s="110"/>
      <c r="IM1605" s="110"/>
      <c r="IN1605" s="110"/>
      <c r="IO1605" s="110"/>
      <c r="IP1605" s="110"/>
      <c r="IQ1605" s="110"/>
      <c r="IR1605" s="110"/>
    </row>
    <row r="1606" spans="18:252" ht="16.5" hidden="1" customHeight="1">
      <c r="R1606" s="264"/>
      <c r="S1606" s="110"/>
      <c r="T1606" s="110"/>
      <c r="U1606" s="110"/>
      <c r="V1606" s="110"/>
      <c r="W1606" s="266"/>
      <c r="X1606" s="110"/>
      <c r="Y1606" s="110"/>
      <c r="Z1606" s="110"/>
      <c r="AA1606" s="110"/>
      <c r="AB1606" s="110"/>
      <c r="AC1606" s="110"/>
      <c r="AD1606" s="110"/>
      <c r="AE1606" s="110"/>
      <c r="AF1606" s="110"/>
      <c r="AG1606" s="110"/>
      <c r="AH1606" s="110"/>
      <c r="AI1606" s="110"/>
      <c r="AJ1606" s="110"/>
      <c r="AK1606" s="110"/>
      <c r="AL1606" s="110"/>
      <c r="AM1606" s="110"/>
      <c r="AN1606" s="110"/>
      <c r="AO1606" s="110"/>
      <c r="AP1606" s="110"/>
      <c r="AQ1606" s="110"/>
      <c r="AR1606" s="110"/>
      <c r="AS1606" s="110"/>
      <c r="AT1606" s="110"/>
      <c r="AU1606" s="110"/>
      <c r="AV1606" s="110"/>
      <c r="AW1606" s="110"/>
      <c r="AX1606" s="110"/>
      <c r="AY1606" s="110"/>
      <c r="AZ1606" s="110"/>
      <c r="BA1606" s="110"/>
      <c r="BB1606" s="110"/>
      <c r="BC1606" s="110"/>
      <c r="BD1606" s="110"/>
      <c r="BE1606" s="110"/>
      <c r="BF1606" s="110"/>
      <c r="BG1606" s="110"/>
      <c r="BH1606" s="110"/>
      <c r="BI1606" s="110"/>
      <c r="BJ1606" s="110"/>
      <c r="BK1606" s="110"/>
      <c r="BL1606" s="110"/>
      <c r="BM1606" s="110"/>
      <c r="BN1606" s="110"/>
      <c r="BO1606" s="110"/>
      <c r="BP1606" s="110"/>
      <c r="BQ1606" s="110"/>
      <c r="BR1606" s="110"/>
      <c r="BS1606" s="110"/>
      <c r="BT1606" s="110"/>
      <c r="BU1606" s="110"/>
      <c r="BV1606" s="110"/>
      <c r="BW1606" s="110"/>
      <c r="BX1606" s="110"/>
      <c r="BY1606" s="110"/>
      <c r="BZ1606" s="110"/>
      <c r="CA1606" s="110"/>
      <c r="CB1606" s="110"/>
      <c r="CC1606" s="110"/>
      <c r="CD1606" s="110"/>
      <c r="CE1606" s="110"/>
      <c r="CF1606" s="110"/>
      <c r="CG1606" s="110"/>
      <c r="CH1606" s="110"/>
      <c r="CI1606" s="110"/>
      <c r="CJ1606" s="110"/>
      <c r="CK1606" s="110"/>
      <c r="CL1606" s="110"/>
      <c r="CM1606" s="110"/>
      <c r="CN1606" s="110"/>
      <c r="CO1606" s="110"/>
      <c r="CP1606" s="110"/>
      <c r="CQ1606" s="110"/>
      <c r="CR1606" s="110"/>
      <c r="CS1606" s="110"/>
      <c r="CT1606" s="110"/>
      <c r="CU1606" s="110"/>
      <c r="CV1606" s="110"/>
      <c r="CW1606" s="110"/>
      <c r="CX1606" s="110"/>
      <c r="CY1606" s="110"/>
      <c r="CZ1606" s="110"/>
      <c r="DA1606" s="110"/>
      <c r="DB1606" s="110"/>
      <c r="DC1606" s="110"/>
      <c r="DD1606" s="110"/>
      <c r="DE1606" s="110"/>
      <c r="DF1606" s="110"/>
      <c r="DG1606" s="110"/>
      <c r="DH1606" s="110"/>
      <c r="DI1606" s="110"/>
      <c r="DJ1606" s="110"/>
      <c r="DK1606" s="110"/>
      <c r="DL1606" s="110"/>
      <c r="DM1606" s="110"/>
      <c r="DN1606" s="110"/>
      <c r="DO1606" s="110"/>
      <c r="DP1606" s="110"/>
      <c r="DQ1606" s="110"/>
      <c r="DR1606" s="110"/>
      <c r="DS1606" s="110"/>
      <c r="DT1606" s="110"/>
      <c r="DU1606" s="110"/>
      <c r="DV1606" s="110"/>
      <c r="DW1606" s="110"/>
      <c r="DX1606" s="110"/>
      <c r="DY1606" s="110"/>
      <c r="DZ1606" s="110"/>
      <c r="EA1606" s="110"/>
      <c r="EB1606" s="110"/>
      <c r="EC1606" s="110"/>
      <c r="ED1606" s="110"/>
      <c r="EF1606" s="264"/>
      <c r="EG1606" s="110"/>
      <c r="EH1606" s="110"/>
      <c r="EI1606" s="110"/>
      <c r="EJ1606" s="110"/>
      <c r="EK1606" s="266"/>
      <c r="EL1606" s="110"/>
      <c r="EM1606" s="110"/>
      <c r="EN1606" s="110"/>
      <c r="EO1606" s="110"/>
      <c r="EP1606" s="110"/>
      <c r="EQ1606" s="110"/>
      <c r="ER1606" s="110"/>
      <c r="ES1606" s="110"/>
      <c r="ET1606" s="110"/>
      <c r="EU1606" s="110"/>
      <c r="EV1606" s="110"/>
      <c r="EW1606" s="110"/>
      <c r="EX1606" s="110"/>
      <c r="EY1606" s="110"/>
      <c r="EZ1606" s="110"/>
      <c r="FA1606" s="110"/>
      <c r="FB1606" s="110"/>
      <c r="FC1606" s="110"/>
      <c r="FD1606" s="110"/>
      <c r="FE1606" s="110"/>
      <c r="FF1606" s="110"/>
      <c r="FG1606" s="110"/>
      <c r="FH1606" s="110"/>
      <c r="FI1606" s="110"/>
      <c r="FJ1606" s="110"/>
      <c r="FK1606" s="110"/>
      <c r="FL1606" s="110"/>
      <c r="FM1606" s="110"/>
      <c r="FN1606" s="110"/>
      <c r="FO1606" s="110"/>
      <c r="FP1606" s="110"/>
      <c r="FQ1606" s="110"/>
      <c r="FR1606" s="110"/>
      <c r="FS1606" s="110"/>
      <c r="FT1606" s="110"/>
      <c r="FU1606" s="110"/>
      <c r="FV1606" s="110"/>
      <c r="FW1606" s="110"/>
      <c r="FX1606" s="110"/>
      <c r="FY1606" s="110"/>
      <c r="FZ1606" s="110"/>
      <c r="GA1606" s="110"/>
      <c r="GB1606" s="110"/>
      <c r="GC1606" s="110"/>
      <c r="GD1606" s="110"/>
      <c r="GE1606" s="110"/>
      <c r="GF1606" s="110"/>
      <c r="GG1606" s="110"/>
      <c r="GH1606" s="110"/>
      <c r="GI1606" s="110"/>
      <c r="GJ1606" s="110"/>
      <c r="GK1606" s="110"/>
      <c r="GL1606" s="110"/>
      <c r="GM1606" s="110"/>
      <c r="GN1606" s="110"/>
      <c r="GO1606" s="110"/>
      <c r="GP1606" s="110"/>
      <c r="GQ1606" s="110"/>
      <c r="GR1606" s="110"/>
      <c r="GS1606" s="110"/>
      <c r="GT1606" s="110"/>
      <c r="GU1606" s="110"/>
      <c r="GV1606" s="110"/>
      <c r="GW1606" s="110"/>
      <c r="GX1606" s="110"/>
      <c r="GY1606" s="110"/>
      <c r="GZ1606" s="110"/>
      <c r="HA1606" s="110"/>
      <c r="HB1606" s="110"/>
      <c r="HC1606" s="110"/>
      <c r="HD1606" s="110"/>
      <c r="HE1606" s="110"/>
      <c r="HF1606" s="110"/>
      <c r="HG1606" s="110"/>
      <c r="HH1606" s="110"/>
      <c r="HI1606" s="110"/>
      <c r="HJ1606" s="110"/>
      <c r="HK1606" s="110"/>
      <c r="HL1606" s="110"/>
      <c r="HM1606" s="110"/>
      <c r="HN1606" s="110"/>
      <c r="HO1606" s="110"/>
      <c r="HP1606" s="110"/>
      <c r="HQ1606" s="110"/>
      <c r="HR1606" s="110"/>
      <c r="HS1606" s="110"/>
      <c r="HT1606" s="110"/>
      <c r="HU1606" s="110"/>
      <c r="HV1606" s="110"/>
      <c r="HW1606" s="110"/>
      <c r="HX1606" s="110"/>
      <c r="HY1606" s="110"/>
      <c r="HZ1606" s="110"/>
      <c r="IA1606" s="110"/>
      <c r="IB1606" s="110"/>
      <c r="IC1606" s="110"/>
      <c r="ID1606" s="110"/>
      <c r="IE1606" s="110"/>
      <c r="IF1606" s="110"/>
      <c r="IG1606" s="110"/>
      <c r="IH1606" s="110"/>
      <c r="II1606" s="110"/>
      <c r="IJ1606" s="110"/>
      <c r="IK1606" s="110"/>
      <c r="IL1606" s="110"/>
      <c r="IM1606" s="110"/>
      <c r="IN1606" s="110"/>
      <c r="IO1606" s="110"/>
      <c r="IP1606" s="110"/>
      <c r="IQ1606" s="110"/>
      <c r="IR1606" s="110"/>
    </row>
    <row r="1607" spans="18:252" ht="16.5" hidden="1" customHeight="1">
      <c r="R1607" s="264"/>
      <c r="S1607" s="110"/>
      <c r="T1607" s="110"/>
      <c r="U1607" s="110"/>
      <c r="V1607" s="110"/>
      <c r="W1607" s="266"/>
      <c r="X1607" s="110"/>
      <c r="Y1607" s="110"/>
      <c r="Z1607" s="110"/>
      <c r="AA1607" s="110"/>
      <c r="AB1607" s="110"/>
      <c r="AC1607" s="110"/>
      <c r="AD1607" s="110"/>
      <c r="AE1607" s="110"/>
      <c r="AF1607" s="110"/>
      <c r="AG1607" s="110"/>
      <c r="AH1607" s="110"/>
      <c r="AI1607" s="110"/>
      <c r="AJ1607" s="110"/>
      <c r="AK1607" s="110"/>
      <c r="AL1607" s="110"/>
      <c r="AM1607" s="110"/>
      <c r="AN1607" s="110"/>
      <c r="AO1607" s="110"/>
      <c r="AP1607" s="110"/>
      <c r="AQ1607" s="110"/>
      <c r="AR1607" s="110"/>
      <c r="AS1607" s="110"/>
      <c r="AT1607" s="110"/>
      <c r="AU1607" s="110"/>
      <c r="AV1607" s="110"/>
      <c r="AW1607" s="110"/>
      <c r="AX1607" s="110"/>
      <c r="AY1607" s="110"/>
      <c r="AZ1607" s="110"/>
      <c r="BA1607" s="110"/>
      <c r="BB1607" s="110"/>
      <c r="BC1607" s="110"/>
      <c r="BD1607" s="110"/>
      <c r="BE1607" s="110"/>
      <c r="BF1607" s="110"/>
      <c r="BG1607" s="110"/>
      <c r="BH1607" s="110"/>
      <c r="BI1607" s="110"/>
      <c r="BJ1607" s="110"/>
      <c r="BK1607" s="110"/>
      <c r="BL1607" s="110"/>
      <c r="BM1607" s="110"/>
      <c r="BN1607" s="110"/>
      <c r="BO1607" s="110"/>
      <c r="BP1607" s="110"/>
      <c r="BQ1607" s="110"/>
      <c r="BR1607" s="110"/>
      <c r="BS1607" s="110"/>
      <c r="BT1607" s="110"/>
      <c r="BU1607" s="110"/>
      <c r="BV1607" s="110"/>
      <c r="BW1607" s="110"/>
      <c r="BX1607" s="110"/>
      <c r="BY1607" s="110"/>
      <c r="BZ1607" s="110"/>
      <c r="CA1607" s="110"/>
      <c r="CB1607" s="110"/>
      <c r="CC1607" s="110"/>
      <c r="CD1607" s="110"/>
      <c r="CE1607" s="110"/>
      <c r="CF1607" s="110"/>
      <c r="CG1607" s="110"/>
      <c r="CH1607" s="110"/>
      <c r="CI1607" s="110"/>
      <c r="CJ1607" s="110"/>
      <c r="CK1607" s="110"/>
      <c r="CL1607" s="110"/>
      <c r="CM1607" s="110"/>
      <c r="CN1607" s="110"/>
      <c r="CO1607" s="110"/>
      <c r="CP1607" s="110"/>
      <c r="CQ1607" s="110"/>
      <c r="CR1607" s="110"/>
      <c r="CS1607" s="110"/>
      <c r="CT1607" s="110"/>
      <c r="CU1607" s="110"/>
      <c r="CV1607" s="110"/>
      <c r="CW1607" s="110"/>
      <c r="CX1607" s="110"/>
      <c r="CY1607" s="110"/>
      <c r="CZ1607" s="110"/>
      <c r="DA1607" s="110"/>
      <c r="DB1607" s="110"/>
      <c r="DC1607" s="110"/>
      <c r="DD1607" s="110"/>
      <c r="DE1607" s="110"/>
      <c r="DF1607" s="110"/>
      <c r="DG1607" s="110"/>
      <c r="DH1607" s="110"/>
      <c r="DI1607" s="110"/>
      <c r="DJ1607" s="110"/>
      <c r="DK1607" s="110"/>
      <c r="DL1607" s="110"/>
      <c r="DM1607" s="110"/>
      <c r="DN1607" s="110"/>
      <c r="DO1607" s="110"/>
      <c r="DP1607" s="110"/>
      <c r="DQ1607" s="110"/>
      <c r="DR1607" s="110"/>
      <c r="DS1607" s="110"/>
      <c r="DT1607" s="110"/>
      <c r="DU1607" s="110"/>
      <c r="DV1607" s="110"/>
      <c r="DW1607" s="110"/>
      <c r="DX1607" s="110"/>
      <c r="DY1607" s="110"/>
      <c r="DZ1607" s="110"/>
      <c r="EA1607" s="110"/>
      <c r="EB1607" s="110"/>
      <c r="EC1607" s="110"/>
      <c r="ED1607" s="110"/>
      <c r="EF1607" s="264"/>
      <c r="EG1607" s="110"/>
      <c r="EH1607" s="110"/>
      <c r="EI1607" s="110"/>
      <c r="EJ1607" s="110"/>
      <c r="EK1607" s="266"/>
      <c r="EL1607" s="110"/>
      <c r="EM1607" s="110"/>
      <c r="EN1607" s="110"/>
      <c r="EO1607" s="110"/>
      <c r="EP1607" s="110"/>
      <c r="EQ1607" s="110"/>
      <c r="ER1607" s="110"/>
      <c r="ES1607" s="110"/>
      <c r="ET1607" s="110"/>
      <c r="EU1607" s="110"/>
      <c r="EV1607" s="110"/>
      <c r="EW1607" s="110"/>
      <c r="EX1607" s="110"/>
      <c r="EY1607" s="110"/>
      <c r="EZ1607" s="110"/>
      <c r="FA1607" s="110"/>
      <c r="FB1607" s="110"/>
      <c r="FC1607" s="110"/>
      <c r="FD1607" s="110"/>
      <c r="FE1607" s="110"/>
      <c r="FF1607" s="110"/>
      <c r="FG1607" s="110"/>
      <c r="FH1607" s="110"/>
      <c r="FI1607" s="110"/>
      <c r="FJ1607" s="110"/>
      <c r="FK1607" s="110"/>
      <c r="FL1607" s="110"/>
      <c r="FM1607" s="110"/>
      <c r="FN1607" s="110"/>
      <c r="FO1607" s="110"/>
      <c r="FP1607" s="110"/>
      <c r="FQ1607" s="110"/>
      <c r="FR1607" s="110"/>
      <c r="FS1607" s="110"/>
      <c r="FT1607" s="110"/>
      <c r="FU1607" s="110"/>
      <c r="FV1607" s="110"/>
      <c r="FW1607" s="110"/>
      <c r="FX1607" s="110"/>
      <c r="FY1607" s="110"/>
      <c r="FZ1607" s="110"/>
      <c r="GA1607" s="110"/>
      <c r="GB1607" s="110"/>
      <c r="GC1607" s="110"/>
      <c r="GD1607" s="110"/>
      <c r="GE1607" s="110"/>
      <c r="GF1607" s="110"/>
      <c r="GG1607" s="110"/>
      <c r="GH1607" s="110"/>
      <c r="GI1607" s="110"/>
      <c r="GJ1607" s="110"/>
      <c r="GK1607" s="110"/>
      <c r="GL1607" s="110"/>
      <c r="GM1607" s="110"/>
      <c r="GN1607" s="110"/>
      <c r="GO1607" s="110"/>
      <c r="GP1607" s="110"/>
      <c r="GQ1607" s="110"/>
      <c r="GR1607" s="110"/>
      <c r="GS1607" s="110"/>
      <c r="GT1607" s="110"/>
      <c r="GU1607" s="110"/>
      <c r="GV1607" s="110"/>
      <c r="GW1607" s="110"/>
      <c r="GX1607" s="110"/>
      <c r="GY1607" s="110"/>
      <c r="GZ1607" s="110"/>
      <c r="HA1607" s="110"/>
      <c r="HB1607" s="110"/>
      <c r="HC1607" s="110"/>
      <c r="HD1607" s="110"/>
      <c r="HE1607" s="110"/>
      <c r="HF1607" s="110"/>
      <c r="HG1607" s="110"/>
      <c r="HH1607" s="110"/>
      <c r="HI1607" s="110"/>
      <c r="HJ1607" s="110"/>
      <c r="HK1607" s="110"/>
      <c r="HL1607" s="110"/>
      <c r="HM1607" s="110"/>
      <c r="HN1607" s="110"/>
      <c r="HO1607" s="110"/>
      <c r="HP1607" s="110"/>
      <c r="HQ1607" s="110"/>
      <c r="HR1607" s="110"/>
      <c r="HS1607" s="110"/>
      <c r="HT1607" s="110"/>
      <c r="HU1607" s="110"/>
      <c r="HV1607" s="110"/>
      <c r="HW1607" s="110"/>
      <c r="HX1607" s="110"/>
      <c r="HY1607" s="110"/>
      <c r="HZ1607" s="110"/>
      <c r="IA1607" s="110"/>
      <c r="IB1607" s="110"/>
      <c r="IC1607" s="110"/>
      <c r="ID1607" s="110"/>
      <c r="IE1607" s="110"/>
      <c r="IF1607" s="110"/>
      <c r="IG1607" s="110"/>
      <c r="IH1607" s="110"/>
      <c r="II1607" s="110"/>
      <c r="IJ1607" s="110"/>
      <c r="IK1607" s="110"/>
      <c r="IL1607" s="110"/>
      <c r="IM1607" s="110"/>
      <c r="IN1607" s="110"/>
      <c r="IO1607" s="110"/>
      <c r="IP1607" s="110"/>
      <c r="IQ1607" s="110"/>
      <c r="IR1607" s="110"/>
    </row>
    <row r="1608" spans="18:252" ht="16.5" hidden="1" customHeight="1">
      <c r="R1608" s="264"/>
      <c r="S1608" s="110"/>
      <c r="T1608" s="110"/>
      <c r="U1608" s="110"/>
      <c r="V1608" s="110"/>
      <c r="W1608" s="266"/>
      <c r="X1608" s="110"/>
      <c r="Y1608" s="110"/>
      <c r="Z1608" s="110"/>
      <c r="AA1608" s="110"/>
      <c r="AB1608" s="110"/>
      <c r="AC1608" s="110"/>
      <c r="AD1608" s="110"/>
      <c r="AE1608" s="110"/>
      <c r="AF1608" s="110"/>
      <c r="AG1608" s="110"/>
      <c r="AH1608" s="110"/>
      <c r="AI1608" s="110"/>
      <c r="AJ1608" s="110"/>
      <c r="AK1608" s="110"/>
      <c r="AL1608" s="110"/>
      <c r="AM1608" s="110"/>
      <c r="AN1608" s="110"/>
      <c r="AO1608" s="110"/>
      <c r="AP1608" s="110"/>
      <c r="AQ1608" s="110"/>
      <c r="AR1608" s="110"/>
      <c r="AS1608" s="110"/>
      <c r="AT1608" s="110"/>
      <c r="AU1608" s="110"/>
      <c r="AV1608" s="110"/>
      <c r="AW1608" s="110"/>
      <c r="AX1608" s="110"/>
      <c r="AY1608" s="110"/>
      <c r="AZ1608" s="110"/>
      <c r="BA1608" s="110"/>
      <c r="BB1608" s="110"/>
      <c r="BC1608" s="110"/>
      <c r="BD1608" s="110"/>
      <c r="BE1608" s="110"/>
      <c r="BF1608" s="110"/>
      <c r="BG1608" s="110"/>
      <c r="BH1608" s="110"/>
      <c r="BI1608" s="110"/>
      <c r="BJ1608" s="110"/>
      <c r="BK1608" s="110"/>
      <c r="BL1608" s="110"/>
      <c r="BM1608" s="110"/>
      <c r="BN1608" s="110"/>
      <c r="BO1608" s="110"/>
      <c r="BP1608" s="110"/>
      <c r="BQ1608" s="110"/>
      <c r="BR1608" s="110"/>
      <c r="BS1608" s="110"/>
      <c r="BT1608" s="110"/>
      <c r="BU1608" s="110"/>
      <c r="BV1608" s="110"/>
      <c r="BW1608" s="110"/>
      <c r="BX1608" s="110"/>
      <c r="BY1608" s="110"/>
      <c r="BZ1608" s="110"/>
      <c r="CA1608" s="110"/>
      <c r="CB1608" s="110"/>
      <c r="CC1608" s="110"/>
      <c r="CD1608" s="110"/>
      <c r="CE1608" s="110"/>
      <c r="CF1608" s="110"/>
      <c r="CG1608" s="110"/>
      <c r="CH1608" s="110"/>
      <c r="CI1608" s="110"/>
      <c r="CJ1608" s="110"/>
      <c r="CK1608" s="110"/>
      <c r="CL1608" s="110"/>
      <c r="CM1608" s="110"/>
      <c r="CN1608" s="110"/>
      <c r="CO1608" s="110"/>
      <c r="CP1608" s="110"/>
      <c r="CQ1608" s="110"/>
      <c r="CR1608" s="110"/>
      <c r="CS1608" s="110"/>
      <c r="CT1608" s="110"/>
      <c r="CU1608" s="110"/>
      <c r="CV1608" s="110"/>
      <c r="CW1608" s="110"/>
      <c r="CX1608" s="110"/>
      <c r="CY1608" s="110"/>
      <c r="CZ1608" s="110"/>
      <c r="DA1608" s="110"/>
      <c r="DB1608" s="110"/>
      <c r="DC1608" s="110"/>
      <c r="DD1608" s="110"/>
      <c r="DE1608" s="110"/>
      <c r="DF1608" s="110"/>
      <c r="DG1608" s="110"/>
      <c r="DH1608" s="110"/>
      <c r="DI1608" s="110"/>
      <c r="DJ1608" s="110"/>
      <c r="DK1608" s="110"/>
      <c r="DL1608" s="110"/>
      <c r="DM1608" s="110"/>
      <c r="DN1608" s="110"/>
      <c r="DO1608" s="110"/>
      <c r="DP1608" s="110"/>
      <c r="DQ1608" s="110"/>
      <c r="DR1608" s="110"/>
      <c r="DS1608" s="110"/>
      <c r="DT1608" s="110"/>
      <c r="DU1608" s="110"/>
      <c r="DV1608" s="110"/>
      <c r="DW1608" s="110"/>
      <c r="DX1608" s="110"/>
      <c r="DY1608" s="110"/>
      <c r="DZ1608" s="110"/>
      <c r="EA1608" s="110"/>
      <c r="EB1608" s="110"/>
      <c r="EC1608" s="110"/>
      <c r="ED1608" s="110"/>
      <c r="EF1608" s="264"/>
      <c r="EG1608" s="110"/>
      <c r="EH1608" s="110"/>
      <c r="EI1608" s="110"/>
      <c r="EJ1608" s="110"/>
      <c r="EK1608" s="266"/>
      <c r="EL1608" s="110"/>
      <c r="EM1608" s="110"/>
      <c r="EN1608" s="110"/>
      <c r="EO1608" s="110"/>
      <c r="EP1608" s="110"/>
      <c r="EQ1608" s="110"/>
      <c r="ER1608" s="110"/>
      <c r="ES1608" s="110"/>
      <c r="ET1608" s="110"/>
      <c r="EU1608" s="110"/>
      <c r="EV1608" s="110"/>
      <c r="EW1608" s="110"/>
      <c r="EX1608" s="110"/>
      <c r="EY1608" s="110"/>
      <c r="EZ1608" s="110"/>
      <c r="FA1608" s="110"/>
      <c r="FB1608" s="110"/>
      <c r="FC1608" s="110"/>
      <c r="FD1608" s="110"/>
      <c r="FE1608" s="110"/>
      <c r="FF1608" s="110"/>
      <c r="FG1608" s="110"/>
      <c r="FH1608" s="110"/>
      <c r="FI1608" s="110"/>
      <c r="FJ1608" s="110"/>
      <c r="FK1608" s="110"/>
      <c r="FL1608" s="110"/>
      <c r="FM1608" s="110"/>
      <c r="FN1608" s="110"/>
      <c r="FO1608" s="110"/>
      <c r="FP1608" s="110"/>
      <c r="FQ1608" s="110"/>
      <c r="FR1608" s="110"/>
      <c r="FS1608" s="110"/>
      <c r="FT1608" s="110"/>
      <c r="FU1608" s="110"/>
      <c r="FV1608" s="110"/>
      <c r="FW1608" s="110"/>
      <c r="FX1608" s="110"/>
      <c r="FY1608" s="110"/>
      <c r="FZ1608" s="110"/>
      <c r="GA1608" s="110"/>
      <c r="GB1608" s="110"/>
      <c r="GC1608" s="110"/>
      <c r="GD1608" s="110"/>
      <c r="GE1608" s="110"/>
      <c r="GF1608" s="110"/>
      <c r="GG1608" s="110"/>
      <c r="GH1608" s="110"/>
      <c r="GI1608" s="110"/>
      <c r="GJ1608" s="110"/>
      <c r="GK1608" s="110"/>
      <c r="GL1608" s="110"/>
      <c r="GM1608" s="110"/>
      <c r="GN1608" s="110"/>
      <c r="GO1608" s="110"/>
      <c r="GP1608" s="110"/>
      <c r="GQ1608" s="110"/>
      <c r="GR1608" s="110"/>
      <c r="GS1608" s="110"/>
      <c r="GT1608" s="110"/>
      <c r="GU1608" s="110"/>
      <c r="GV1608" s="110"/>
      <c r="GW1608" s="110"/>
      <c r="GX1608" s="110"/>
      <c r="GY1608" s="110"/>
      <c r="GZ1608" s="110"/>
      <c r="HA1608" s="110"/>
      <c r="HB1608" s="110"/>
      <c r="HC1608" s="110"/>
      <c r="HD1608" s="110"/>
      <c r="HE1608" s="110"/>
      <c r="HF1608" s="110"/>
      <c r="HG1608" s="110"/>
      <c r="HH1608" s="110"/>
      <c r="HI1608" s="110"/>
      <c r="HJ1608" s="110"/>
      <c r="HK1608" s="110"/>
      <c r="HL1608" s="110"/>
      <c r="HM1608" s="110"/>
      <c r="HN1608" s="110"/>
      <c r="HO1608" s="110"/>
      <c r="HP1608" s="110"/>
      <c r="HQ1608" s="110"/>
      <c r="HR1608" s="110"/>
      <c r="HS1608" s="110"/>
      <c r="HT1608" s="110"/>
      <c r="HU1608" s="110"/>
      <c r="HV1608" s="110"/>
      <c r="HW1608" s="110"/>
      <c r="HX1608" s="110"/>
      <c r="HY1608" s="110"/>
      <c r="HZ1608" s="110"/>
      <c r="IA1608" s="110"/>
      <c r="IB1608" s="110"/>
      <c r="IC1608" s="110"/>
      <c r="ID1608" s="110"/>
      <c r="IE1608" s="110"/>
      <c r="IF1608" s="110"/>
      <c r="IG1608" s="110"/>
      <c r="IH1608" s="110"/>
      <c r="II1608" s="110"/>
      <c r="IJ1608" s="110"/>
      <c r="IK1608" s="110"/>
      <c r="IL1608" s="110"/>
      <c r="IM1608" s="110"/>
      <c r="IN1608" s="110"/>
      <c r="IO1608" s="110"/>
      <c r="IP1608" s="110"/>
      <c r="IQ1608" s="110"/>
      <c r="IR1608" s="110"/>
    </row>
    <row r="1609" spans="18:252" ht="16.5" hidden="1" customHeight="1">
      <c r="R1609" s="264"/>
      <c r="S1609" s="110"/>
      <c r="T1609" s="110"/>
      <c r="U1609" s="110"/>
      <c r="V1609" s="110"/>
      <c r="W1609" s="266"/>
      <c r="X1609" s="110"/>
      <c r="Y1609" s="110"/>
      <c r="Z1609" s="110"/>
      <c r="AA1609" s="110"/>
      <c r="AB1609" s="110"/>
      <c r="AC1609" s="110"/>
      <c r="AD1609" s="110"/>
      <c r="AE1609" s="110"/>
      <c r="AF1609" s="110"/>
      <c r="AG1609" s="110"/>
      <c r="AH1609" s="110"/>
      <c r="AI1609" s="110"/>
      <c r="AJ1609" s="110"/>
      <c r="AK1609" s="110"/>
      <c r="AL1609" s="110"/>
      <c r="AM1609" s="110"/>
      <c r="AN1609" s="110"/>
      <c r="AO1609" s="110"/>
      <c r="AP1609" s="110"/>
      <c r="AQ1609" s="110"/>
      <c r="AR1609" s="110"/>
      <c r="AS1609" s="110"/>
      <c r="AT1609" s="110"/>
      <c r="AU1609" s="110"/>
      <c r="AV1609" s="110"/>
      <c r="AW1609" s="110"/>
      <c r="AX1609" s="110"/>
      <c r="AY1609" s="110"/>
      <c r="AZ1609" s="110"/>
      <c r="BA1609" s="110"/>
      <c r="BB1609" s="110"/>
      <c r="BC1609" s="110"/>
      <c r="BD1609" s="110"/>
      <c r="BE1609" s="110"/>
      <c r="BF1609" s="110"/>
      <c r="BG1609" s="110"/>
      <c r="BH1609" s="110"/>
      <c r="BI1609" s="110"/>
      <c r="BJ1609" s="110"/>
      <c r="BK1609" s="110"/>
      <c r="BL1609" s="110"/>
      <c r="BM1609" s="110"/>
      <c r="BN1609" s="110"/>
      <c r="BO1609" s="110"/>
      <c r="BP1609" s="110"/>
      <c r="BQ1609" s="110"/>
      <c r="BR1609" s="110"/>
      <c r="BS1609" s="110"/>
      <c r="BT1609" s="110"/>
      <c r="BU1609" s="110"/>
      <c r="BV1609" s="110"/>
      <c r="BW1609" s="110"/>
      <c r="BX1609" s="110"/>
      <c r="BY1609" s="110"/>
      <c r="BZ1609" s="110"/>
      <c r="CA1609" s="110"/>
      <c r="CB1609" s="110"/>
      <c r="CC1609" s="110"/>
      <c r="CD1609" s="110"/>
      <c r="CE1609" s="110"/>
      <c r="CF1609" s="110"/>
      <c r="CG1609" s="110"/>
      <c r="CH1609" s="110"/>
      <c r="CI1609" s="110"/>
      <c r="CJ1609" s="110"/>
      <c r="CK1609" s="110"/>
      <c r="CL1609" s="110"/>
      <c r="CM1609" s="110"/>
      <c r="CN1609" s="110"/>
      <c r="CO1609" s="110"/>
      <c r="CP1609" s="110"/>
      <c r="CQ1609" s="110"/>
      <c r="CR1609" s="110"/>
      <c r="CS1609" s="110"/>
      <c r="CT1609" s="110"/>
      <c r="CU1609" s="110"/>
      <c r="CV1609" s="110"/>
      <c r="CW1609" s="110"/>
      <c r="CX1609" s="110"/>
      <c r="CY1609" s="110"/>
      <c r="CZ1609" s="110"/>
      <c r="DA1609" s="110"/>
      <c r="DB1609" s="110"/>
      <c r="DC1609" s="110"/>
      <c r="DD1609" s="110"/>
      <c r="DE1609" s="110"/>
      <c r="DF1609" s="110"/>
      <c r="DG1609" s="110"/>
      <c r="DH1609" s="110"/>
      <c r="DI1609" s="110"/>
      <c r="DJ1609" s="110"/>
      <c r="DK1609" s="110"/>
      <c r="DL1609" s="110"/>
      <c r="DM1609" s="110"/>
      <c r="DN1609" s="110"/>
      <c r="DO1609" s="110"/>
      <c r="DP1609" s="110"/>
      <c r="DQ1609" s="110"/>
      <c r="DR1609" s="110"/>
      <c r="DS1609" s="110"/>
      <c r="DT1609" s="110"/>
      <c r="DU1609" s="110"/>
      <c r="DV1609" s="110"/>
      <c r="DW1609" s="110"/>
      <c r="DX1609" s="110"/>
      <c r="DY1609" s="110"/>
      <c r="DZ1609" s="110"/>
      <c r="EA1609" s="110"/>
      <c r="EB1609" s="110"/>
      <c r="EC1609" s="110"/>
      <c r="ED1609" s="110"/>
      <c r="EF1609" s="264"/>
      <c r="EG1609" s="110"/>
      <c r="EH1609" s="110"/>
      <c r="EI1609" s="110"/>
      <c r="EJ1609" s="110"/>
      <c r="EK1609" s="266"/>
      <c r="EL1609" s="110"/>
      <c r="EM1609" s="110"/>
      <c r="EN1609" s="110"/>
      <c r="EO1609" s="110"/>
      <c r="EP1609" s="110"/>
      <c r="EQ1609" s="110"/>
      <c r="ER1609" s="110"/>
      <c r="ES1609" s="110"/>
      <c r="ET1609" s="110"/>
      <c r="EU1609" s="110"/>
      <c r="EV1609" s="110"/>
      <c r="EW1609" s="110"/>
      <c r="EX1609" s="110"/>
      <c r="EY1609" s="110"/>
      <c r="EZ1609" s="110"/>
      <c r="FA1609" s="110"/>
      <c r="FB1609" s="110"/>
      <c r="FC1609" s="110"/>
      <c r="FD1609" s="110"/>
      <c r="FE1609" s="110"/>
      <c r="FF1609" s="110"/>
      <c r="FG1609" s="110"/>
      <c r="FH1609" s="110"/>
      <c r="FI1609" s="110"/>
      <c r="FJ1609" s="110"/>
      <c r="FK1609" s="110"/>
      <c r="FL1609" s="110"/>
      <c r="FM1609" s="110"/>
      <c r="FN1609" s="110"/>
      <c r="FO1609" s="110"/>
      <c r="FP1609" s="110"/>
      <c r="FQ1609" s="110"/>
      <c r="FR1609" s="110"/>
      <c r="FS1609" s="110"/>
      <c r="FT1609" s="110"/>
      <c r="FU1609" s="110"/>
      <c r="FV1609" s="110"/>
      <c r="FW1609" s="110"/>
      <c r="FX1609" s="110"/>
      <c r="FY1609" s="110"/>
      <c r="FZ1609" s="110"/>
      <c r="GA1609" s="110"/>
      <c r="GB1609" s="110"/>
      <c r="GC1609" s="110"/>
      <c r="GD1609" s="110"/>
      <c r="GE1609" s="110"/>
      <c r="GF1609" s="110"/>
      <c r="GG1609" s="110"/>
      <c r="GH1609" s="110"/>
      <c r="GI1609" s="110"/>
      <c r="GJ1609" s="110"/>
      <c r="GK1609" s="110"/>
      <c r="GL1609" s="110"/>
      <c r="GM1609" s="110"/>
      <c r="GN1609" s="110"/>
      <c r="GO1609" s="110"/>
      <c r="GP1609" s="110"/>
      <c r="GQ1609" s="110"/>
      <c r="GR1609" s="110"/>
      <c r="GS1609" s="110"/>
      <c r="GT1609" s="110"/>
      <c r="GU1609" s="110"/>
      <c r="GV1609" s="110"/>
      <c r="GW1609" s="110"/>
      <c r="GX1609" s="110"/>
      <c r="GY1609" s="110"/>
      <c r="GZ1609" s="110"/>
      <c r="HA1609" s="110"/>
      <c r="HB1609" s="110"/>
      <c r="HC1609" s="110"/>
      <c r="HD1609" s="110"/>
      <c r="HE1609" s="110"/>
      <c r="HF1609" s="110"/>
      <c r="HG1609" s="110"/>
      <c r="HH1609" s="110"/>
      <c r="HI1609" s="110"/>
      <c r="HJ1609" s="110"/>
      <c r="HK1609" s="110"/>
      <c r="HL1609" s="110"/>
      <c r="HM1609" s="110"/>
      <c r="HN1609" s="110"/>
      <c r="HO1609" s="110"/>
      <c r="HP1609" s="110"/>
      <c r="HQ1609" s="110"/>
      <c r="HR1609" s="110"/>
      <c r="HS1609" s="110"/>
      <c r="HT1609" s="110"/>
      <c r="HU1609" s="110"/>
      <c r="HV1609" s="110"/>
      <c r="HW1609" s="110"/>
      <c r="HX1609" s="110"/>
      <c r="HY1609" s="110"/>
      <c r="HZ1609" s="110"/>
      <c r="IA1609" s="110"/>
      <c r="IB1609" s="110"/>
      <c r="IC1609" s="110"/>
      <c r="ID1609" s="110"/>
      <c r="IE1609" s="110"/>
      <c r="IF1609" s="110"/>
      <c r="IG1609" s="110"/>
      <c r="IH1609" s="110"/>
      <c r="II1609" s="110"/>
      <c r="IJ1609" s="110"/>
      <c r="IK1609" s="110"/>
      <c r="IL1609" s="110"/>
      <c r="IM1609" s="110"/>
      <c r="IN1609" s="110"/>
      <c r="IO1609" s="110"/>
      <c r="IP1609" s="110"/>
      <c r="IQ1609" s="110"/>
      <c r="IR1609" s="110"/>
    </row>
    <row r="1610" spans="18:252" ht="16.5" hidden="1" customHeight="1">
      <c r="R1610" s="264"/>
      <c r="S1610" s="110"/>
      <c r="T1610" s="110"/>
      <c r="U1610" s="110"/>
      <c r="V1610" s="110"/>
      <c r="W1610" s="266"/>
      <c r="X1610" s="110"/>
      <c r="Y1610" s="110"/>
      <c r="Z1610" s="110"/>
      <c r="AA1610" s="110"/>
      <c r="AB1610" s="110"/>
      <c r="AC1610" s="110"/>
      <c r="AD1610" s="110"/>
      <c r="AE1610" s="110"/>
      <c r="AF1610" s="110"/>
      <c r="AG1610" s="110"/>
      <c r="AH1610" s="110"/>
      <c r="AI1610" s="110"/>
      <c r="AJ1610" s="110"/>
      <c r="AK1610" s="110"/>
      <c r="AL1610" s="110"/>
      <c r="AM1610" s="110"/>
      <c r="AN1610" s="110"/>
      <c r="AO1610" s="110"/>
      <c r="AP1610" s="110"/>
      <c r="AQ1610" s="110"/>
      <c r="AR1610" s="110"/>
      <c r="AS1610" s="110"/>
      <c r="AT1610" s="110"/>
      <c r="AU1610" s="110"/>
      <c r="AV1610" s="110"/>
      <c r="AW1610" s="110"/>
      <c r="AX1610" s="110"/>
      <c r="AY1610" s="110"/>
      <c r="AZ1610" s="110"/>
      <c r="BA1610" s="110"/>
      <c r="BB1610" s="110"/>
      <c r="BC1610" s="110"/>
      <c r="BD1610" s="110"/>
      <c r="BE1610" s="110"/>
      <c r="BF1610" s="110"/>
      <c r="BG1610" s="110"/>
      <c r="BH1610" s="110"/>
      <c r="BI1610" s="110"/>
      <c r="BJ1610" s="110"/>
      <c r="BK1610" s="110"/>
      <c r="BL1610" s="110"/>
      <c r="BM1610" s="110"/>
      <c r="BN1610" s="110"/>
      <c r="BO1610" s="110"/>
      <c r="BP1610" s="110"/>
      <c r="BQ1610" s="110"/>
      <c r="BR1610" s="110"/>
      <c r="BS1610" s="110"/>
      <c r="BT1610" s="110"/>
      <c r="BU1610" s="110"/>
      <c r="BV1610" s="110"/>
      <c r="BW1610" s="110"/>
      <c r="BX1610" s="110"/>
      <c r="BY1610" s="110"/>
      <c r="BZ1610" s="110"/>
      <c r="CA1610" s="110"/>
      <c r="CB1610" s="110"/>
      <c r="CC1610" s="110"/>
      <c r="CD1610" s="110"/>
      <c r="CE1610" s="110"/>
      <c r="CF1610" s="110"/>
      <c r="CG1610" s="110"/>
      <c r="CH1610" s="110"/>
      <c r="CI1610" s="110"/>
      <c r="CJ1610" s="110"/>
      <c r="CK1610" s="110"/>
      <c r="CL1610" s="110"/>
      <c r="CM1610" s="110"/>
      <c r="CN1610" s="110"/>
      <c r="CO1610" s="110"/>
      <c r="CP1610" s="110"/>
      <c r="CQ1610" s="110"/>
      <c r="CR1610" s="110"/>
      <c r="CS1610" s="110"/>
      <c r="CT1610" s="110"/>
      <c r="CU1610" s="110"/>
      <c r="CV1610" s="110"/>
      <c r="CW1610" s="110"/>
      <c r="CX1610" s="110"/>
      <c r="CY1610" s="110"/>
      <c r="CZ1610" s="110"/>
      <c r="DA1610" s="110"/>
      <c r="DB1610" s="110"/>
      <c r="DC1610" s="110"/>
      <c r="DD1610" s="110"/>
      <c r="DE1610" s="110"/>
      <c r="DF1610" s="110"/>
      <c r="DG1610" s="110"/>
      <c r="DH1610" s="110"/>
      <c r="DI1610" s="110"/>
      <c r="DJ1610" s="110"/>
      <c r="DK1610" s="110"/>
      <c r="DL1610" s="110"/>
      <c r="DM1610" s="110"/>
      <c r="DN1610" s="110"/>
      <c r="DO1610" s="110"/>
      <c r="DP1610" s="110"/>
      <c r="DQ1610" s="110"/>
      <c r="DR1610" s="110"/>
      <c r="DS1610" s="110"/>
      <c r="DT1610" s="110"/>
      <c r="DU1610" s="110"/>
      <c r="DV1610" s="110"/>
      <c r="DW1610" s="110"/>
      <c r="DX1610" s="110"/>
      <c r="DY1610" s="110"/>
      <c r="DZ1610" s="110"/>
      <c r="EA1610" s="110"/>
      <c r="EB1610" s="110"/>
      <c r="EC1610" s="110"/>
      <c r="ED1610" s="110"/>
      <c r="EF1610" s="264"/>
      <c r="EG1610" s="110"/>
      <c r="EH1610" s="110"/>
      <c r="EI1610" s="110"/>
      <c r="EJ1610" s="110"/>
      <c r="EK1610" s="266"/>
      <c r="EL1610" s="110"/>
      <c r="EM1610" s="110"/>
      <c r="EN1610" s="110"/>
      <c r="EO1610" s="110"/>
      <c r="EP1610" s="110"/>
      <c r="EQ1610" s="110"/>
      <c r="ER1610" s="110"/>
      <c r="ES1610" s="110"/>
      <c r="ET1610" s="110"/>
      <c r="EU1610" s="110"/>
      <c r="EV1610" s="110"/>
      <c r="EW1610" s="110"/>
      <c r="EX1610" s="110"/>
      <c r="EY1610" s="110"/>
      <c r="EZ1610" s="110"/>
      <c r="FA1610" s="110"/>
      <c r="FB1610" s="110"/>
      <c r="FC1610" s="110"/>
      <c r="FD1610" s="110"/>
      <c r="FE1610" s="110"/>
      <c r="FF1610" s="110"/>
      <c r="FG1610" s="110"/>
      <c r="FH1610" s="110"/>
      <c r="FI1610" s="110"/>
      <c r="FJ1610" s="110"/>
      <c r="FK1610" s="110"/>
      <c r="FL1610" s="110"/>
      <c r="FM1610" s="110"/>
      <c r="FN1610" s="110"/>
      <c r="FO1610" s="110"/>
      <c r="FP1610" s="110"/>
      <c r="FQ1610" s="110"/>
      <c r="FR1610" s="110"/>
      <c r="FS1610" s="110"/>
      <c r="FT1610" s="110"/>
      <c r="FU1610" s="110"/>
      <c r="FV1610" s="110"/>
      <c r="FW1610" s="110"/>
      <c r="FX1610" s="110"/>
      <c r="FY1610" s="110"/>
      <c r="FZ1610" s="110"/>
      <c r="GA1610" s="110"/>
      <c r="GB1610" s="110"/>
      <c r="GC1610" s="110"/>
      <c r="GD1610" s="110"/>
      <c r="GE1610" s="110"/>
      <c r="GF1610" s="110"/>
      <c r="GG1610" s="110"/>
      <c r="GH1610" s="110"/>
      <c r="GI1610" s="110"/>
      <c r="GJ1610" s="110"/>
      <c r="GK1610" s="110"/>
      <c r="GL1610" s="110"/>
      <c r="GM1610" s="110"/>
      <c r="GN1610" s="110"/>
      <c r="GO1610" s="110"/>
      <c r="GP1610" s="110"/>
      <c r="GQ1610" s="110"/>
      <c r="GR1610" s="110"/>
      <c r="GS1610" s="110"/>
      <c r="GT1610" s="110"/>
      <c r="GU1610" s="110"/>
      <c r="GV1610" s="110"/>
      <c r="GW1610" s="110"/>
      <c r="GX1610" s="110"/>
      <c r="GY1610" s="110"/>
      <c r="GZ1610" s="110"/>
      <c r="HA1610" s="110"/>
      <c r="HB1610" s="110"/>
      <c r="HC1610" s="110"/>
      <c r="HD1610" s="110"/>
      <c r="HE1610" s="110"/>
      <c r="HF1610" s="110"/>
      <c r="HG1610" s="110"/>
      <c r="HH1610" s="110"/>
      <c r="HI1610" s="110"/>
      <c r="HJ1610" s="110"/>
      <c r="HK1610" s="110"/>
      <c r="HL1610" s="110"/>
      <c r="HM1610" s="110"/>
      <c r="HN1610" s="110"/>
      <c r="HO1610" s="110"/>
      <c r="HP1610" s="110"/>
      <c r="HQ1610" s="110"/>
      <c r="HR1610" s="110"/>
      <c r="HS1610" s="110"/>
      <c r="HT1610" s="110"/>
      <c r="HU1610" s="110"/>
      <c r="HV1610" s="110"/>
      <c r="HW1610" s="110"/>
      <c r="HX1610" s="110"/>
      <c r="HY1610" s="110"/>
      <c r="HZ1610" s="110"/>
      <c r="IA1610" s="110"/>
      <c r="IB1610" s="110"/>
      <c r="IC1610" s="110"/>
      <c r="ID1610" s="110"/>
      <c r="IE1610" s="110"/>
      <c r="IF1610" s="110"/>
      <c r="IG1610" s="110"/>
      <c r="IH1610" s="110"/>
      <c r="II1610" s="110"/>
      <c r="IJ1610" s="110"/>
      <c r="IK1610" s="110"/>
      <c r="IL1610" s="110"/>
      <c r="IM1610" s="110"/>
      <c r="IN1610" s="110"/>
      <c r="IO1610" s="110"/>
      <c r="IP1610" s="110"/>
      <c r="IQ1610" s="110"/>
      <c r="IR1610" s="110"/>
    </row>
    <row r="1611" spans="18:252" ht="16.5" hidden="1" customHeight="1">
      <c r="R1611" s="264"/>
      <c r="S1611" s="110"/>
      <c r="T1611" s="110"/>
      <c r="U1611" s="110"/>
      <c r="V1611" s="110"/>
      <c r="W1611" s="266"/>
      <c r="X1611" s="110"/>
      <c r="Y1611" s="110"/>
      <c r="Z1611" s="110"/>
      <c r="AA1611" s="110"/>
      <c r="AB1611" s="110"/>
      <c r="AC1611" s="110"/>
      <c r="AD1611" s="110"/>
      <c r="AE1611" s="110"/>
      <c r="AF1611" s="110"/>
      <c r="AG1611" s="110"/>
      <c r="AH1611" s="110"/>
      <c r="AI1611" s="110"/>
      <c r="AJ1611" s="110"/>
      <c r="AK1611" s="110"/>
      <c r="AL1611" s="110"/>
      <c r="AM1611" s="110"/>
      <c r="AN1611" s="110"/>
      <c r="AO1611" s="110"/>
      <c r="AP1611" s="110"/>
      <c r="AQ1611" s="110"/>
      <c r="AR1611" s="110"/>
      <c r="AS1611" s="110"/>
      <c r="AT1611" s="110"/>
      <c r="AU1611" s="110"/>
      <c r="AV1611" s="110"/>
      <c r="AW1611" s="110"/>
      <c r="AX1611" s="110"/>
      <c r="AY1611" s="110"/>
      <c r="AZ1611" s="110"/>
      <c r="BA1611" s="110"/>
      <c r="BB1611" s="110"/>
      <c r="BC1611" s="110"/>
      <c r="BD1611" s="110"/>
      <c r="BE1611" s="110"/>
      <c r="BF1611" s="110"/>
      <c r="BG1611" s="110"/>
      <c r="BH1611" s="110"/>
      <c r="BI1611" s="110"/>
      <c r="BJ1611" s="110"/>
      <c r="BK1611" s="110"/>
      <c r="BL1611" s="110"/>
      <c r="BM1611" s="110"/>
      <c r="BN1611" s="110"/>
      <c r="BO1611" s="110"/>
      <c r="BP1611" s="110"/>
      <c r="BQ1611" s="110"/>
      <c r="BR1611" s="110"/>
      <c r="BS1611" s="110"/>
      <c r="BT1611" s="110"/>
      <c r="BU1611" s="110"/>
      <c r="BV1611" s="110"/>
      <c r="BW1611" s="110"/>
      <c r="BX1611" s="110"/>
      <c r="BY1611" s="110"/>
      <c r="BZ1611" s="110"/>
      <c r="CA1611" s="110"/>
      <c r="CB1611" s="110"/>
      <c r="CC1611" s="110"/>
      <c r="CD1611" s="110"/>
      <c r="CE1611" s="110"/>
      <c r="CF1611" s="110"/>
      <c r="CG1611" s="110"/>
      <c r="CH1611" s="110"/>
      <c r="CI1611" s="110"/>
      <c r="CJ1611" s="110"/>
      <c r="CK1611" s="110"/>
      <c r="CL1611" s="110"/>
      <c r="CM1611" s="110"/>
      <c r="CN1611" s="110"/>
      <c r="CO1611" s="110"/>
      <c r="CP1611" s="110"/>
      <c r="CQ1611" s="110"/>
      <c r="CR1611" s="110"/>
      <c r="CS1611" s="110"/>
      <c r="CT1611" s="110"/>
      <c r="CU1611" s="110"/>
      <c r="CV1611" s="110"/>
      <c r="CW1611" s="110"/>
      <c r="CX1611" s="110"/>
      <c r="CY1611" s="110"/>
      <c r="CZ1611" s="110"/>
      <c r="DA1611" s="110"/>
      <c r="DB1611" s="110"/>
      <c r="DC1611" s="110"/>
      <c r="DD1611" s="110"/>
      <c r="DE1611" s="110"/>
      <c r="DF1611" s="110"/>
      <c r="DG1611" s="110"/>
      <c r="DH1611" s="110"/>
      <c r="DI1611" s="110"/>
      <c r="DJ1611" s="110"/>
      <c r="DK1611" s="110"/>
      <c r="DL1611" s="110"/>
      <c r="DM1611" s="110"/>
      <c r="DN1611" s="110"/>
      <c r="DO1611" s="110"/>
      <c r="DP1611" s="110"/>
      <c r="DQ1611" s="110"/>
      <c r="DR1611" s="110"/>
      <c r="DS1611" s="110"/>
      <c r="DT1611" s="110"/>
      <c r="DU1611" s="110"/>
      <c r="DV1611" s="110"/>
      <c r="DW1611" s="110"/>
      <c r="DX1611" s="110"/>
      <c r="DY1611" s="110"/>
      <c r="DZ1611" s="110"/>
      <c r="EA1611" s="110"/>
      <c r="EB1611" s="110"/>
      <c r="EC1611" s="110"/>
      <c r="ED1611" s="110"/>
      <c r="EF1611" s="264"/>
      <c r="EG1611" s="110"/>
      <c r="EH1611" s="110"/>
      <c r="EI1611" s="110"/>
      <c r="EJ1611" s="110"/>
      <c r="EK1611" s="266"/>
      <c r="EL1611" s="110"/>
      <c r="EM1611" s="110"/>
      <c r="EN1611" s="110"/>
      <c r="EO1611" s="110"/>
      <c r="EP1611" s="110"/>
      <c r="EQ1611" s="110"/>
      <c r="ER1611" s="110"/>
      <c r="ES1611" s="110"/>
      <c r="ET1611" s="110"/>
      <c r="EU1611" s="110"/>
      <c r="EV1611" s="110"/>
      <c r="EW1611" s="110"/>
      <c r="EX1611" s="110"/>
      <c r="EY1611" s="110"/>
      <c r="EZ1611" s="110"/>
      <c r="FA1611" s="110"/>
      <c r="FB1611" s="110"/>
      <c r="FC1611" s="110"/>
      <c r="FD1611" s="110"/>
      <c r="FE1611" s="110"/>
      <c r="FF1611" s="110"/>
      <c r="FG1611" s="110"/>
      <c r="FH1611" s="110"/>
      <c r="FI1611" s="110"/>
      <c r="FJ1611" s="110"/>
      <c r="FK1611" s="110"/>
      <c r="FL1611" s="110"/>
      <c r="FM1611" s="110"/>
      <c r="FN1611" s="110"/>
      <c r="FO1611" s="110"/>
      <c r="FP1611" s="110"/>
      <c r="FQ1611" s="110"/>
      <c r="FR1611" s="110"/>
      <c r="FS1611" s="110"/>
      <c r="FT1611" s="110"/>
      <c r="FU1611" s="110"/>
      <c r="FV1611" s="110"/>
      <c r="FW1611" s="110"/>
      <c r="FX1611" s="110"/>
      <c r="FY1611" s="110"/>
      <c r="FZ1611" s="110"/>
      <c r="GA1611" s="110"/>
      <c r="GB1611" s="110"/>
      <c r="GC1611" s="110"/>
      <c r="GD1611" s="110"/>
      <c r="GE1611" s="110"/>
      <c r="GF1611" s="110"/>
      <c r="GG1611" s="110"/>
      <c r="GH1611" s="110"/>
      <c r="GI1611" s="110"/>
      <c r="GJ1611" s="110"/>
      <c r="GK1611" s="110"/>
      <c r="GL1611" s="110"/>
      <c r="GM1611" s="110"/>
      <c r="GN1611" s="110"/>
      <c r="GO1611" s="110"/>
      <c r="GP1611" s="110"/>
      <c r="GQ1611" s="110"/>
      <c r="GR1611" s="110"/>
      <c r="GS1611" s="110"/>
      <c r="GT1611" s="110"/>
      <c r="GU1611" s="110"/>
      <c r="GV1611" s="110"/>
      <c r="GW1611" s="110"/>
      <c r="GX1611" s="110"/>
      <c r="GY1611" s="110"/>
      <c r="GZ1611" s="110"/>
      <c r="HA1611" s="110"/>
      <c r="HB1611" s="110"/>
      <c r="HC1611" s="110"/>
      <c r="HD1611" s="110"/>
      <c r="HE1611" s="110"/>
      <c r="HF1611" s="110"/>
      <c r="HG1611" s="110"/>
      <c r="HH1611" s="110"/>
      <c r="HI1611" s="110"/>
      <c r="HJ1611" s="110"/>
      <c r="HK1611" s="110"/>
      <c r="HL1611" s="110"/>
      <c r="HM1611" s="110"/>
      <c r="HN1611" s="110"/>
      <c r="HO1611" s="110"/>
      <c r="HP1611" s="110"/>
      <c r="HQ1611" s="110"/>
      <c r="HR1611" s="110"/>
      <c r="HS1611" s="110"/>
      <c r="HT1611" s="110"/>
      <c r="HU1611" s="110"/>
      <c r="HV1611" s="110"/>
      <c r="HW1611" s="110"/>
      <c r="HX1611" s="110"/>
      <c r="HY1611" s="110"/>
      <c r="HZ1611" s="110"/>
      <c r="IA1611" s="110"/>
      <c r="IB1611" s="110"/>
      <c r="IC1611" s="110"/>
      <c r="ID1611" s="110"/>
      <c r="IE1611" s="110"/>
      <c r="IF1611" s="110"/>
      <c r="IG1611" s="110"/>
      <c r="IH1611" s="110"/>
      <c r="II1611" s="110"/>
      <c r="IJ1611" s="110"/>
      <c r="IK1611" s="110"/>
      <c r="IL1611" s="110"/>
      <c r="IM1611" s="110"/>
      <c r="IN1611" s="110"/>
      <c r="IO1611" s="110"/>
      <c r="IP1611" s="110"/>
      <c r="IQ1611" s="110"/>
      <c r="IR1611" s="110"/>
    </row>
    <row r="1612" spans="18:252" ht="16.5" hidden="1" customHeight="1">
      <c r="R1612" s="264"/>
      <c r="S1612" s="110"/>
      <c r="T1612" s="110"/>
      <c r="U1612" s="110"/>
      <c r="V1612" s="110"/>
      <c r="W1612" s="266"/>
      <c r="X1612" s="110"/>
      <c r="Y1612" s="110"/>
      <c r="Z1612" s="110"/>
      <c r="AA1612" s="110"/>
      <c r="AB1612" s="110"/>
      <c r="AC1612" s="110"/>
      <c r="AD1612" s="110"/>
      <c r="AE1612" s="110"/>
      <c r="AF1612" s="110"/>
      <c r="AG1612" s="110"/>
      <c r="AH1612" s="110"/>
      <c r="AI1612" s="110"/>
      <c r="AJ1612" s="110"/>
      <c r="AK1612" s="110"/>
      <c r="AL1612" s="110"/>
      <c r="AM1612" s="110"/>
      <c r="AN1612" s="110"/>
      <c r="AO1612" s="110"/>
      <c r="AP1612" s="110"/>
      <c r="AQ1612" s="110"/>
      <c r="AR1612" s="110"/>
      <c r="AS1612" s="110"/>
      <c r="AT1612" s="110"/>
      <c r="AU1612" s="110"/>
      <c r="AV1612" s="110"/>
      <c r="AW1612" s="110"/>
      <c r="AX1612" s="110"/>
      <c r="AY1612" s="110"/>
      <c r="AZ1612" s="110"/>
      <c r="BA1612" s="110"/>
      <c r="BB1612" s="110"/>
      <c r="BC1612" s="110"/>
      <c r="BD1612" s="110"/>
      <c r="BE1612" s="110"/>
      <c r="BF1612" s="110"/>
      <c r="BG1612" s="110"/>
      <c r="BH1612" s="110"/>
      <c r="BI1612" s="110"/>
      <c r="BJ1612" s="110"/>
      <c r="BK1612" s="110"/>
      <c r="BL1612" s="110"/>
      <c r="BM1612" s="110"/>
      <c r="BN1612" s="110"/>
      <c r="BO1612" s="110"/>
      <c r="BP1612" s="110"/>
      <c r="BQ1612" s="110"/>
      <c r="BR1612" s="110"/>
      <c r="BS1612" s="110"/>
      <c r="BT1612" s="110"/>
      <c r="BU1612" s="110"/>
      <c r="BV1612" s="110"/>
      <c r="BW1612" s="110"/>
      <c r="BX1612" s="110"/>
      <c r="BY1612" s="110"/>
      <c r="BZ1612" s="110"/>
      <c r="CA1612" s="110"/>
      <c r="CB1612" s="110"/>
      <c r="CC1612" s="110"/>
      <c r="CD1612" s="110"/>
      <c r="CE1612" s="110"/>
      <c r="CF1612" s="110"/>
      <c r="CG1612" s="110"/>
      <c r="CH1612" s="110"/>
      <c r="CI1612" s="110"/>
      <c r="CJ1612" s="110"/>
      <c r="CK1612" s="110"/>
      <c r="CL1612" s="110"/>
      <c r="CM1612" s="110"/>
      <c r="CN1612" s="110"/>
      <c r="CO1612" s="110"/>
      <c r="CP1612" s="110"/>
      <c r="CQ1612" s="110"/>
      <c r="CR1612" s="110"/>
      <c r="CS1612" s="110"/>
      <c r="CT1612" s="110"/>
      <c r="CU1612" s="110"/>
      <c r="CV1612" s="110"/>
      <c r="CW1612" s="110"/>
      <c r="CX1612" s="110"/>
      <c r="CY1612" s="110"/>
      <c r="CZ1612" s="110"/>
      <c r="DA1612" s="110"/>
      <c r="DB1612" s="110"/>
      <c r="DC1612" s="110"/>
      <c r="DD1612" s="110"/>
      <c r="DE1612" s="110"/>
      <c r="DF1612" s="110"/>
      <c r="DG1612" s="110"/>
      <c r="DH1612" s="110"/>
      <c r="DI1612" s="110"/>
      <c r="DJ1612" s="110"/>
      <c r="DK1612" s="110"/>
      <c r="DL1612" s="110"/>
      <c r="DM1612" s="110"/>
      <c r="DN1612" s="110"/>
      <c r="DO1612" s="110"/>
      <c r="DP1612" s="110"/>
      <c r="DQ1612" s="110"/>
      <c r="DR1612" s="110"/>
      <c r="DS1612" s="110"/>
      <c r="DT1612" s="110"/>
      <c r="DU1612" s="110"/>
      <c r="DV1612" s="110"/>
      <c r="DW1612" s="110"/>
      <c r="DX1612" s="110"/>
      <c r="DY1612" s="110"/>
      <c r="DZ1612" s="110"/>
      <c r="EA1612" s="110"/>
      <c r="EB1612" s="110"/>
      <c r="EC1612" s="110"/>
      <c r="ED1612" s="110"/>
      <c r="EF1612" s="264"/>
      <c r="EG1612" s="110"/>
      <c r="EH1612" s="110"/>
      <c r="EI1612" s="110"/>
      <c r="EJ1612" s="110"/>
      <c r="EK1612" s="266"/>
      <c r="EL1612" s="110"/>
      <c r="EM1612" s="110"/>
      <c r="EN1612" s="110"/>
      <c r="EO1612" s="110"/>
      <c r="EP1612" s="110"/>
      <c r="EQ1612" s="110"/>
      <c r="ER1612" s="110"/>
      <c r="ES1612" s="110"/>
      <c r="ET1612" s="110"/>
      <c r="EU1612" s="110"/>
      <c r="EV1612" s="110"/>
      <c r="EW1612" s="110"/>
      <c r="EX1612" s="110"/>
      <c r="EY1612" s="110"/>
      <c r="EZ1612" s="110"/>
      <c r="FA1612" s="110"/>
      <c r="FB1612" s="110"/>
      <c r="FC1612" s="110"/>
      <c r="FD1612" s="110"/>
      <c r="FE1612" s="110"/>
      <c r="FF1612" s="110"/>
      <c r="FG1612" s="110"/>
      <c r="FH1612" s="110"/>
      <c r="FI1612" s="110"/>
      <c r="FJ1612" s="110"/>
      <c r="FK1612" s="110"/>
      <c r="FL1612" s="110"/>
      <c r="FM1612" s="110"/>
      <c r="FN1612" s="110"/>
      <c r="FO1612" s="110"/>
      <c r="FP1612" s="110"/>
      <c r="FQ1612" s="110"/>
      <c r="FR1612" s="110"/>
      <c r="FS1612" s="110"/>
      <c r="FT1612" s="110"/>
      <c r="FU1612" s="110"/>
      <c r="FV1612" s="110"/>
      <c r="FW1612" s="110"/>
      <c r="FX1612" s="110"/>
      <c r="FY1612" s="110"/>
      <c r="FZ1612" s="110"/>
      <c r="GA1612" s="110"/>
      <c r="GB1612" s="110"/>
      <c r="GC1612" s="110"/>
      <c r="GD1612" s="110"/>
      <c r="GE1612" s="110"/>
      <c r="GF1612" s="110"/>
      <c r="GG1612" s="110"/>
      <c r="GH1612" s="110"/>
      <c r="GI1612" s="110"/>
      <c r="GJ1612" s="110"/>
      <c r="GK1612" s="110"/>
      <c r="GL1612" s="110"/>
      <c r="GM1612" s="110"/>
      <c r="GN1612" s="110"/>
      <c r="GO1612" s="110"/>
      <c r="GP1612" s="110"/>
      <c r="GQ1612" s="110"/>
      <c r="GR1612" s="110"/>
      <c r="GS1612" s="110"/>
      <c r="GT1612" s="110"/>
      <c r="GU1612" s="110"/>
      <c r="GV1612" s="110"/>
      <c r="GW1612" s="110"/>
      <c r="GX1612" s="110"/>
      <c r="GY1612" s="110"/>
      <c r="GZ1612" s="110"/>
      <c r="HA1612" s="110"/>
      <c r="HB1612" s="110"/>
      <c r="HC1612" s="110"/>
      <c r="HD1612" s="110"/>
      <c r="HE1612" s="110"/>
      <c r="HF1612" s="110"/>
      <c r="HG1612" s="110"/>
      <c r="HH1612" s="110"/>
      <c r="HI1612" s="110"/>
      <c r="HJ1612" s="110"/>
      <c r="HK1612" s="110"/>
      <c r="HL1612" s="110"/>
      <c r="HM1612" s="110"/>
      <c r="HN1612" s="110"/>
      <c r="HO1612" s="110"/>
      <c r="HP1612" s="110"/>
      <c r="HQ1612" s="110"/>
      <c r="HR1612" s="110"/>
      <c r="HS1612" s="110"/>
      <c r="HT1612" s="110"/>
      <c r="HU1612" s="110"/>
      <c r="HV1612" s="110"/>
      <c r="HW1612" s="110"/>
      <c r="HX1612" s="110"/>
      <c r="HY1612" s="110"/>
      <c r="HZ1612" s="110"/>
      <c r="IA1612" s="110"/>
      <c r="IB1612" s="110"/>
      <c r="IC1612" s="110"/>
      <c r="ID1612" s="110"/>
      <c r="IE1612" s="110"/>
      <c r="IF1612" s="110"/>
      <c r="IG1612" s="110"/>
      <c r="IH1612" s="110"/>
      <c r="II1612" s="110"/>
      <c r="IJ1612" s="110"/>
      <c r="IK1612" s="110"/>
      <c r="IL1612" s="110"/>
      <c r="IM1612" s="110"/>
      <c r="IN1612" s="110"/>
      <c r="IO1612" s="110"/>
      <c r="IP1612" s="110"/>
      <c r="IQ1612" s="110"/>
      <c r="IR1612" s="110"/>
    </row>
    <row r="1613" spans="18:252" ht="16.5" hidden="1" customHeight="1">
      <c r="R1613" s="264"/>
      <c r="S1613" s="110"/>
      <c r="T1613" s="110"/>
      <c r="U1613" s="110"/>
      <c r="V1613" s="110"/>
      <c r="W1613" s="266"/>
      <c r="X1613" s="110"/>
      <c r="Y1613" s="110"/>
      <c r="Z1613" s="110"/>
      <c r="AA1613" s="110"/>
      <c r="AB1613" s="110"/>
      <c r="AC1613" s="110"/>
      <c r="AD1613" s="110"/>
      <c r="AE1613" s="110"/>
      <c r="AF1613" s="110"/>
      <c r="AG1613" s="110"/>
      <c r="AH1613" s="110"/>
      <c r="AI1613" s="110"/>
      <c r="AJ1613" s="110"/>
      <c r="AK1613" s="110"/>
      <c r="AL1613" s="110"/>
      <c r="AM1613" s="110"/>
      <c r="AN1613" s="110"/>
      <c r="AO1613" s="110"/>
      <c r="AP1613" s="110"/>
      <c r="AQ1613" s="110"/>
      <c r="AR1613" s="110"/>
      <c r="AS1613" s="110"/>
      <c r="AT1613" s="110"/>
      <c r="AU1613" s="110"/>
      <c r="AV1613" s="110"/>
      <c r="AW1613" s="110"/>
      <c r="AX1613" s="110"/>
      <c r="AY1613" s="110"/>
      <c r="AZ1613" s="110"/>
      <c r="BA1613" s="110"/>
      <c r="BB1613" s="110"/>
      <c r="BC1613" s="110"/>
      <c r="BD1613" s="110"/>
      <c r="BE1613" s="110"/>
      <c r="BF1613" s="110"/>
      <c r="BG1613" s="110"/>
      <c r="BH1613" s="110"/>
      <c r="BI1613" s="110"/>
      <c r="BJ1613" s="110"/>
      <c r="BK1613" s="110"/>
      <c r="BL1613" s="110"/>
      <c r="BM1613" s="110"/>
      <c r="BN1613" s="110"/>
      <c r="BO1613" s="110"/>
      <c r="BP1613" s="110"/>
      <c r="BQ1613" s="110"/>
      <c r="BR1613" s="110"/>
      <c r="BS1613" s="110"/>
      <c r="BT1613" s="110"/>
      <c r="BU1613" s="110"/>
      <c r="BV1613" s="110"/>
      <c r="BW1613" s="110"/>
      <c r="BX1613" s="110"/>
      <c r="BY1613" s="110"/>
      <c r="BZ1613" s="110"/>
      <c r="CA1613" s="110"/>
      <c r="CB1613" s="110"/>
      <c r="CC1613" s="110"/>
      <c r="CD1613" s="110"/>
      <c r="CE1613" s="110"/>
      <c r="CF1613" s="110"/>
      <c r="CG1613" s="110"/>
      <c r="CH1613" s="110"/>
      <c r="CI1613" s="110"/>
      <c r="CJ1613" s="110"/>
      <c r="CK1613" s="110"/>
      <c r="CL1613" s="110"/>
      <c r="CM1613" s="110"/>
      <c r="CN1613" s="110"/>
      <c r="CO1613" s="110"/>
      <c r="CP1613" s="110"/>
      <c r="CQ1613" s="110"/>
      <c r="CR1613" s="110"/>
      <c r="CS1613" s="110"/>
      <c r="CT1613" s="110"/>
      <c r="CU1613" s="110"/>
      <c r="CV1613" s="110"/>
      <c r="CW1613" s="110"/>
      <c r="CX1613" s="110"/>
      <c r="CY1613" s="110"/>
      <c r="CZ1613" s="110"/>
      <c r="DA1613" s="110"/>
      <c r="DB1613" s="110"/>
      <c r="DC1613" s="110"/>
      <c r="DD1613" s="110"/>
      <c r="DE1613" s="110"/>
      <c r="DF1613" s="110"/>
      <c r="DG1613" s="110"/>
      <c r="DH1613" s="110"/>
      <c r="DI1613" s="110"/>
      <c r="DJ1613" s="110"/>
      <c r="DK1613" s="110"/>
      <c r="DL1613" s="110"/>
      <c r="DM1613" s="110"/>
      <c r="DN1613" s="110"/>
      <c r="DO1613" s="110"/>
      <c r="DP1613" s="110"/>
      <c r="DQ1613" s="110"/>
      <c r="DR1613" s="110"/>
      <c r="DS1613" s="110"/>
      <c r="DT1613" s="110"/>
      <c r="DU1613" s="110"/>
      <c r="DV1613" s="110"/>
      <c r="DW1613" s="110"/>
      <c r="DX1613" s="110"/>
      <c r="DY1613" s="110"/>
      <c r="DZ1613" s="110"/>
      <c r="EA1613" s="110"/>
      <c r="EB1613" s="110"/>
      <c r="EC1613" s="110"/>
      <c r="ED1613" s="110"/>
      <c r="EF1613" s="264"/>
      <c r="EG1613" s="110"/>
      <c r="EH1613" s="110"/>
      <c r="EI1613" s="110"/>
      <c r="EJ1613" s="110"/>
      <c r="EK1613" s="266"/>
      <c r="EL1613" s="110"/>
      <c r="EM1613" s="110"/>
      <c r="EN1613" s="110"/>
      <c r="EO1613" s="110"/>
      <c r="EP1613" s="110"/>
      <c r="EQ1613" s="110"/>
      <c r="ER1613" s="110"/>
      <c r="ES1613" s="110"/>
      <c r="ET1613" s="110"/>
      <c r="EU1613" s="110"/>
      <c r="EV1613" s="110"/>
      <c r="EW1613" s="110"/>
      <c r="EX1613" s="110"/>
      <c r="EY1613" s="110"/>
      <c r="EZ1613" s="110"/>
      <c r="FA1613" s="110"/>
      <c r="FB1613" s="110"/>
      <c r="FC1613" s="110"/>
      <c r="FD1613" s="110"/>
      <c r="FE1613" s="110"/>
      <c r="FF1613" s="110"/>
      <c r="FG1613" s="110"/>
      <c r="FH1613" s="110"/>
      <c r="FI1613" s="110"/>
      <c r="FJ1613" s="110"/>
      <c r="FK1613" s="110"/>
      <c r="FL1613" s="110"/>
      <c r="FM1613" s="110"/>
      <c r="FN1613" s="110"/>
      <c r="FO1613" s="110"/>
      <c r="FP1613" s="110"/>
      <c r="FQ1613" s="110"/>
      <c r="FR1613" s="110"/>
      <c r="FS1613" s="110"/>
      <c r="FT1613" s="110"/>
      <c r="FU1613" s="110"/>
      <c r="FV1613" s="110"/>
      <c r="FW1613" s="110"/>
      <c r="FX1613" s="110"/>
      <c r="FY1613" s="110"/>
      <c r="FZ1613" s="110"/>
      <c r="GA1613" s="110"/>
      <c r="GB1613" s="110"/>
      <c r="GC1613" s="110"/>
      <c r="GD1613" s="110"/>
      <c r="GE1613" s="110"/>
      <c r="GF1613" s="110"/>
      <c r="GG1613" s="110"/>
      <c r="GH1613" s="110"/>
      <c r="GI1613" s="110"/>
      <c r="GJ1613" s="110"/>
      <c r="GK1613" s="110"/>
      <c r="GL1613" s="110"/>
      <c r="GM1613" s="110"/>
      <c r="GN1613" s="110"/>
      <c r="GO1613" s="110"/>
      <c r="GP1613" s="110"/>
      <c r="GQ1613" s="110"/>
      <c r="GR1613" s="110"/>
      <c r="GS1613" s="110"/>
      <c r="GT1613" s="110"/>
      <c r="GU1613" s="110"/>
      <c r="GV1613" s="110"/>
      <c r="GW1613" s="110"/>
      <c r="GX1613" s="110"/>
      <c r="GY1613" s="110"/>
      <c r="GZ1613" s="110"/>
      <c r="HA1613" s="110"/>
      <c r="HB1613" s="110"/>
      <c r="HC1613" s="110"/>
      <c r="HD1613" s="110"/>
      <c r="HE1613" s="110"/>
      <c r="HF1613" s="110"/>
      <c r="HG1613" s="110"/>
      <c r="HH1613" s="110"/>
      <c r="HI1613" s="110"/>
      <c r="HJ1613" s="110"/>
      <c r="HK1613" s="110"/>
      <c r="HL1613" s="110"/>
      <c r="HM1613" s="110"/>
      <c r="HN1613" s="110"/>
      <c r="HO1613" s="110"/>
      <c r="HP1613" s="110"/>
      <c r="HQ1613" s="110"/>
      <c r="HR1613" s="110"/>
      <c r="HS1613" s="110"/>
      <c r="HT1613" s="110"/>
      <c r="HU1613" s="110"/>
      <c r="HV1613" s="110"/>
      <c r="HW1613" s="110"/>
      <c r="HX1613" s="110"/>
      <c r="HY1613" s="110"/>
      <c r="HZ1613" s="110"/>
      <c r="IA1613" s="110"/>
      <c r="IB1613" s="110"/>
      <c r="IC1613" s="110"/>
      <c r="ID1613" s="110"/>
      <c r="IE1613" s="110"/>
      <c r="IF1613" s="110"/>
      <c r="IG1613" s="110"/>
      <c r="IH1613" s="110"/>
      <c r="II1613" s="110"/>
      <c r="IJ1613" s="110"/>
      <c r="IK1613" s="110"/>
      <c r="IL1613" s="110"/>
      <c r="IM1613" s="110"/>
      <c r="IN1613" s="110"/>
      <c r="IO1613" s="110"/>
      <c r="IP1613" s="110"/>
      <c r="IQ1613" s="110"/>
      <c r="IR1613" s="110"/>
    </row>
    <row r="1614" spans="18:252" ht="16.5" hidden="1" customHeight="1">
      <c r="R1614" s="264"/>
      <c r="S1614" s="110"/>
      <c r="T1614" s="110"/>
      <c r="U1614" s="110"/>
      <c r="V1614" s="110"/>
      <c r="W1614" s="266"/>
      <c r="X1614" s="110"/>
      <c r="Y1614" s="110"/>
      <c r="Z1614" s="110"/>
      <c r="AA1614" s="110"/>
      <c r="AB1614" s="110"/>
      <c r="AC1614" s="110"/>
      <c r="AD1614" s="110"/>
      <c r="AE1614" s="110"/>
      <c r="AF1614" s="110"/>
      <c r="AG1614" s="110"/>
      <c r="AH1614" s="110"/>
      <c r="AI1614" s="110"/>
      <c r="AJ1614" s="110"/>
      <c r="AK1614" s="110"/>
      <c r="AL1614" s="110"/>
      <c r="AM1614" s="110"/>
      <c r="AN1614" s="110"/>
      <c r="AO1614" s="110"/>
      <c r="AP1614" s="110"/>
      <c r="AQ1614" s="110"/>
      <c r="AR1614" s="110"/>
      <c r="AS1614" s="110"/>
      <c r="AT1614" s="110"/>
      <c r="AU1614" s="110"/>
      <c r="AV1614" s="110"/>
      <c r="AW1614" s="110"/>
      <c r="AX1614" s="110"/>
      <c r="AY1614" s="110"/>
      <c r="AZ1614" s="110"/>
      <c r="BA1614" s="110"/>
      <c r="BB1614" s="110"/>
      <c r="BC1614" s="110"/>
      <c r="BD1614" s="110"/>
      <c r="BE1614" s="110"/>
      <c r="BF1614" s="110"/>
      <c r="BG1614" s="110"/>
      <c r="BH1614" s="110"/>
      <c r="BI1614" s="110"/>
      <c r="BJ1614" s="110"/>
      <c r="BK1614" s="110"/>
      <c r="BL1614" s="110"/>
      <c r="BM1614" s="110"/>
      <c r="BN1614" s="110"/>
      <c r="BO1614" s="110"/>
      <c r="BP1614" s="110"/>
      <c r="BQ1614" s="110"/>
      <c r="BR1614" s="110"/>
      <c r="BS1614" s="110"/>
      <c r="BT1614" s="110"/>
      <c r="BU1614" s="110"/>
      <c r="BV1614" s="110"/>
      <c r="BW1614" s="110"/>
      <c r="BX1614" s="110"/>
      <c r="BY1614" s="110"/>
      <c r="BZ1614" s="110"/>
      <c r="CA1614" s="110"/>
      <c r="CB1614" s="110"/>
      <c r="CC1614" s="110"/>
      <c r="CD1614" s="110"/>
      <c r="CE1614" s="110"/>
      <c r="CF1614" s="110"/>
      <c r="CG1614" s="110"/>
      <c r="CH1614" s="110"/>
      <c r="CI1614" s="110"/>
      <c r="CJ1614" s="110"/>
      <c r="CK1614" s="110"/>
      <c r="CL1614" s="110"/>
      <c r="CM1614" s="110"/>
      <c r="CN1614" s="110"/>
      <c r="CO1614" s="110"/>
      <c r="CP1614" s="110"/>
      <c r="CQ1614" s="110"/>
      <c r="CR1614" s="110"/>
      <c r="CS1614" s="110"/>
      <c r="CT1614" s="110"/>
      <c r="CU1614" s="110"/>
      <c r="CV1614" s="110"/>
      <c r="CW1614" s="110"/>
      <c r="CX1614" s="110"/>
      <c r="CY1614" s="110"/>
      <c r="CZ1614" s="110"/>
      <c r="DA1614" s="110"/>
      <c r="DB1614" s="110"/>
      <c r="DC1614" s="110"/>
      <c r="DD1614" s="110"/>
      <c r="DE1614" s="110"/>
      <c r="DF1614" s="110"/>
      <c r="DG1614" s="110"/>
      <c r="DH1614" s="110"/>
      <c r="DI1614" s="110"/>
      <c r="DJ1614" s="110"/>
      <c r="DK1614" s="110"/>
      <c r="DL1614" s="110"/>
      <c r="DM1614" s="110"/>
      <c r="DN1614" s="110"/>
      <c r="DO1614" s="110"/>
      <c r="DP1614" s="110"/>
      <c r="DQ1614" s="110"/>
      <c r="DR1614" s="110"/>
      <c r="DS1614" s="110"/>
      <c r="DT1614" s="110"/>
      <c r="DU1614" s="110"/>
      <c r="DV1614" s="110"/>
      <c r="DW1614" s="110"/>
      <c r="DX1614" s="110"/>
      <c r="DY1614" s="110"/>
      <c r="DZ1614" s="110"/>
      <c r="EA1614" s="110"/>
      <c r="EB1614" s="110"/>
      <c r="EC1614" s="110"/>
      <c r="ED1614" s="110"/>
      <c r="EF1614" s="264"/>
      <c r="EG1614" s="110"/>
      <c r="EH1614" s="110"/>
      <c r="EI1614" s="110"/>
      <c r="EJ1614" s="110"/>
      <c r="EK1614" s="266"/>
      <c r="EL1614" s="110"/>
      <c r="EM1614" s="110"/>
      <c r="EN1614" s="110"/>
      <c r="EO1614" s="110"/>
      <c r="EP1614" s="110"/>
      <c r="EQ1614" s="110"/>
      <c r="ER1614" s="110"/>
      <c r="ES1614" s="110"/>
      <c r="ET1614" s="110"/>
      <c r="EU1614" s="110"/>
      <c r="EV1614" s="110"/>
      <c r="EW1614" s="110"/>
      <c r="EX1614" s="110"/>
      <c r="EY1614" s="110"/>
      <c r="EZ1614" s="110"/>
      <c r="FA1614" s="110"/>
      <c r="FB1614" s="110"/>
      <c r="FC1614" s="110"/>
      <c r="FD1614" s="110"/>
      <c r="FE1614" s="110"/>
      <c r="FF1614" s="110"/>
      <c r="FG1614" s="110"/>
      <c r="FH1614" s="110"/>
      <c r="FI1614" s="110"/>
      <c r="FJ1614" s="110"/>
      <c r="FK1614" s="110"/>
      <c r="FL1614" s="110"/>
      <c r="FM1614" s="110"/>
      <c r="FN1614" s="110"/>
      <c r="FO1614" s="110"/>
      <c r="FP1614" s="110"/>
      <c r="FQ1614" s="110"/>
      <c r="FR1614" s="110"/>
      <c r="FS1614" s="110"/>
      <c r="FT1614" s="110"/>
      <c r="FU1614" s="110"/>
      <c r="FV1614" s="110"/>
      <c r="FW1614" s="110"/>
      <c r="FX1614" s="110"/>
      <c r="FY1614" s="110"/>
      <c r="FZ1614" s="110"/>
      <c r="GA1614" s="110"/>
      <c r="GB1614" s="110"/>
      <c r="GC1614" s="110"/>
      <c r="GD1614" s="110"/>
      <c r="GE1614" s="110"/>
      <c r="GF1614" s="110"/>
      <c r="GG1614" s="110"/>
      <c r="GH1614" s="110"/>
      <c r="GI1614" s="110"/>
      <c r="GJ1614" s="110"/>
      <c r="GK1614" s="110"/>
      <c r="GL1614" s="110"/>
      <c r="GM1614" s="110"/>
      <c r="GN1614" s="110"/>
      <c r="GO1614" s="110"/>
      <c r="GP1614" s="110"/>
      <c r="GQ1614" s="110"/>
      <c r="GR1614" s="110"/>
      <c r="GS1614" s="110"/>
      <c r="GT1614" s="110"/>
      <c r="GU1614" s="110"/>
      <c r="GV1614" s="110"/>
      <c r="GW1614" s="110"/>
      <c r="GX1614" s="110"/>
      <c r="GY1614" s="110"/>
      <c r="GZ1614" s="110"/>
      <c r="HA1614" s="110"/>
      <c r="HB1614" s="110"/>
      <c r="HC1614" s="110"/>
      <c r="HD1614" s="110"/>
      <c r="HE1614" s="110"/>
      <c r="HF1614" s="110"/>
      <c r="HG1614" s="110"/>
      <c r="HH1614" s="110"/>
      <c r="HI1614" s="110"/>
      <c r="HJ1614" s="110"/>
      <c r="HK1614" s="110"/>
      <c r="HL1614" s="110"/>
      <c r="HM1614" s="110"/>
      <c r="HN1614" s="110"/>
      <c r="HO1614" s="110"/>
      <c r="HP1614" s="110"/>
      <c r="HQ1614" s="110"/>
      <c r="HR1614" s="110"/>
      <c r="HS1614" s="110"/>
      <c r="HT1614" s="110"/>
      <c r="HU1614" s="110"/>
      <c r="HV1614" s="110"/>
      <c r="HW1614" s="110"/>
      <c r="HX1614" s="110"/>
      <c r="HY1614" s="110"/>
      <c r="HZ1614" s="110"/>
      <c r="IA1614" s="110"/>
      <c r="IB1614" s="110"/>
      <c r="IC1614" s="110"/>
      <c r="ID1614" s="110"/>
      <c r="IE1614" s="110"/>
      <c r="IF1614" s="110"/>
      <c r="IG1614" s="110"/>
      <c r="IH1614" s="110"/>
      <c r="II1614" s="110"/>
      <c r="IJ1614" s="110"/>
      <c r="IK1614" s="110"/>
      <c r="IL1614" s="110"/>
      <c r="IM1614" s="110"/>
      <c r="IN1614" s="110"/>
      <c r="IO1614" s="110"/>
      <c r="IP1614" s="110"/>
      <c r="IQ1614" s="110"/>
      <c r="IR1614" s="110"/>
    </row>
    <row r="1615" spans="18:252" ht="16.5" hidden="1" customHeight="1">
      <c r="R1615" s="264"/>
      <c r="S1615" s="110"/>
      <c r="T1615" s="110"/>
      <c r="U1615" s="110"/>
      <c r="V1615" s="110"/>
      <c r="W1615" s="266"/>
      <c r="X1615" s="110"/>
      <c r="Y1615" s="110"/>
      <c r="Z1615" s="110"/>
      <c r="AA1615" s="110"/>
      <c r="AB1615" s="110"/>
      <c r="AC1615" s="110"/>
      <c r="AD1615" s="110"/>
      <c r="AE1615" s="110"/>
      <c r="AF1615" s="110"/>
      <c r="AG1615" s="110"/>
      <c r="AH1615" s="110"/>
      <c r="AI1615" s="110"/>
      <c r="AJ1615" s="110"/>
      <c r="AK1615" s="110"/>
      <c r="AL1615" s="110"/>
      <c r="AM1615" s="110"/>
      <c r="AN1615" s="110"/>
      <c r="AO1615" s="110"/>
      <c r="AP1615" s="110"/>
      <c r="AQ1615" s="110"/>
      <c r="AR1615" s="110"/>
      <c r="AS1615" s="110"/>
      <c r="AT1615" s="110"/>
      <c r="AU1615" s="110"/>
      <c r="AV1615" s="110"/>
      <c r="AW1615" s="110"/>
      <c r="AX1615" s="110"/>
      <c r="AY1615" s="110"/>
      <c r="AZ1615" s="110"/>
      <c r="BA1615" s="110"/>
      <c r="BB1615" s="110"/>
      <c r="BC1615" s="110"/>
      <c r="BD1615" s="110"/>
      <c r="BE1615" s="110"/>
      <c r="BF1615" s="110"/>
      <c r="BG1615" s="110"/>
      <c r="BH1615" s="110"/>
      <c r="BI1615" s="110"/>
      <c r="BJ1615" s="110"/>
      <c r="BK1615" s="110"/>
      <c r="BL1615" s="110"/>
      <c r="BM1615" s="110"/>
      <c r="BN1615" s="110"/>
      <c r="BO1615" s="110"/>
      <c r="BP1615" s="110"/>
      <c r="BQ1615" s="110"/>
      <c r="BR1615" s="110"/>
      <c r="BS1615" s="110"/>
      <c r="BT1615" s="110"/>
      <c r="BU1615" s="110"/>
      <c r="BV1615" s="110"/>
      <c r="BW1615" s="110"/>
      <c r="BX1615" s="110"/>
      <c r="BY1615" s="110"/>
      <c r="BZ1615" s="110"/>
      <c r="CA1615" s="110"/>
      <c r="CB1615" s="110"/>
      <c r="CC1615" s="110"/>
      <c r="CD1615" s="110"/>
      <c r="CE1615" s="110"/>
      <c r="CF1615" s="110"/>
      <c r="CG1615" s="110"/>
      <c r="CH1615" s="110"/>
      <c r="CI1615" s="110"/>
      <c r="CJ1615" s="110"/>
      <c r="CK1615" s="110"/>
      <c r="CL1615" s="110"/>
      <c r="CM1615" s="110"/>
      <c r="CN1615" s="110"/>
      <c r="CO1615" s="110"/>
      <c r="CP1615" s="110"/>
      <c r="CQ1615" s="110"/>
      <c r="CR1615" s="110"/>
      <c r="CS1615" s="110"/>
      <c r="CT1615" s="110"/>
      <c r="CU1615" s="110"/>
      <c r="CV1615" s="110"/>
      <c r="CW1615" s="110"/>
      <c r="CX1615" s="110"/>
      <c r="CY1615" s="110"/>
      <c r="CZ1615" s="110"/>
      <c r="DA1615" s="110"/>
      <c r="DB1615" s="110"/>
      <c r="DC1615" s="110"/>
      <c r="DD1615" s="110"/>
      <c r="DE1615" s="110"/>
      <c r="DF1615" s="110"/>
      <c r="DG1615" s="110"/>
      <c r="DH1615" s="110"/>
      <c r="DI1615" s="110"/>
      <c r="DJ1615" s="110"/>
      <c r="DK1615" s="110"/>
      <c r="DL1615" s="110"/>
      <c r="DM1615" s="110"/>
      <c r="DN1615" s="110"/>
      <c r="DO1615" s="110"/>
      <c r="DP1615" s="110"/>
      <c r="DQ1615" s="110"/>
      <c r="DR1615" s="110"/>
      <c r="DS1615" s="110"/>
      <c r="DT1615" s="110"/>
      <c r="DU1615" s="110"/>
      <c r="DV1615" s="110"/>
      <c r="DW1615" s="110"/>
      <c r="DX1615" s="110"/>
      <c r="DY1615" s="110"/>
      <c r="DZ1615" s="110"/>
      <c r="EA1615" s="110"/>
      <c r="EB1615" s="110"/>
      <c r="EC1615" s="110"/>
      <c r="ED1615" s="110"/>
      <c r="EF1615" s="264"/>
      <c r="EG1615" s="110"/>
      <c r="EH1615" s="110"/>
      <c r="EI1615" s="110"/>
      <c r="EJ1615" s="110"/>
      <c r="EK1615" s="266"/>
      <c r="EL1615" s="110"/>
      <c r="EM1615" s="110"/>
      <c r="EN1615" s="110"/>
      <c r="EO1615" s="110"/>
      <c r="EP1615" s="110"/>
      <c r="EQ1615" s="110"/>
      <c r="ER1615" s="110"/>
      <c r="ES1615" s="110"/>
      <c r="ET1615" s="110"/>
      <c r="EU1615" s="110"/>
      <c r="EV1615" s="110"/>
      <c r="EW1615" s="110"/>
      <c r="EX1615" s="110"/>
      <c r="EY1615" s="110"/>
      <c r="EZ1615" s="110"/>
      <c r="FA1615" s="110"/>
      <c r="FB1615" s="110"/>
      <c r="FC1615" s="110"/>
      <c r="FD1615" s="110"/>
      <c r="FE1615" s="110"/>
      <c r="FF1615" s="110"/>
      <c r="FG1615" s="110"/>
      <c r="FH1615" s="110"/>
      <c r="FI1615" s="110"/>
      <c r="FJ1615" s="110"/>
      <c r="FK1615" s="110"/>
      <c r="FL1615" s="110"/>
      <c r="FM1615" s="110"/>
      <c r="FN1615" s="110"/>
      <c r="FO1615" s="110"/>
      <c r="FP1615" s="110"/>
      <c r="FQ1615" s="110"/>
      <c r="FR1615" s="110"/>
      <c r="FS1615" s="110"/>
      <c r="FT1615" s="110"/>
      <c r="FU1615" s="110"/>
      <c r="FV1615" s="110"/>
      <c r="FW1615" s="110"/>
      <c r="FX1615" s="110"/>
      <c r="FY1615" s="110"/>
      <c r="FZ1615" s="110"/>
      <c r="GA1615" s="110"/>
      <c r="GB1615" s="110"/>
      <c r="GC1615" s="110"/>
      <c r="GD1615" s="110"/>
      <c r="GE1615" s="110"/>
      <c r="GF1615" s="110"/>
      <c r="GG1615" s="110"/>
      <c r="GH1615" s="110"/>
      <c r="GI1615" s="110"/>
      <c r="GJ1615" s="110"/>
      <c r="GK1615" s="110"/>
      <c r="GL1615" s="110"/>
      <c r="GM1615" s="110"/>
      <c r="GN1615" s="110"/>
      <c r="GO1615" s="110"/>
      <c r="GP1615" s="110"/>
      <c r="GQ1615" s="110"/>
      <c r="GR1615" s="110"/>
      <c r="GS1615" s="110"/>
      <c r="GT1615" s="110"/>
      <c r="GU1615" s="110"/>
      <c r="GV1615" s="110"/>
      <c r="GW1615" s="110"/>
      <c r="GX1615" s="110"/>
      <c r="GY1615" s="110"/>
      <c r="GZ1615" s="110"/>
      <c r="HA1615" s="110"/>
      <c r="HB1615" s="110"/>
      <c r="HC1615" s="110"/>
      <c r="HD1615" s="110"/>
      <c r="HE1615" s="110"/>
      <c r="HF1615" s="110"/>
      <c r="HG1615" s="110"/>
      <c r="HH1615" s="110"/>
      <c r="HI1615" s="110"/>
      <c r="HJ1615" s="110"/>
      <c r="HK1615" s="110"/>
      <c r="HL1615" s="110"/>
      <c r="HM1615" s="110"/>
      <c r="HN1615" s="110"/>
      <c r="HO1615" s="110"/>
      <c r="HP1615" s="110"/>
      <c r="HQ1615" s="110"/>
      <c r="HR1615" s="110"/>
      <c r="HS1615" s="110"/>
      <c r="HT1615" s="110"/>
      <c r="HU1615" s="110"/>
      <c r="HV1615" s="110"/>
      <c r="HW1615" s="110"/>
      <c r="HX1615" s="110"/>
      <c r="HY1615" s="110"/>
      <c r="HZ1615" s="110"/>
      <c r="IA1615" s="110"/>
      <c r="IB1615" s="110"/>
      <c r="IC1615" s="110"/>
      <c r="ID1615" s="110"/>
      <c r="IE1615" s="110"/>
      <c r="IF1615" s="110"/>
      <c r="IG1615" s="110"/>
      <c r="IH1615" s="110"/>
      <c r="II1615" s="110"/>
      <c r="IJ1615" s="110"/>
      <c r="IK1615" s="110"/>
      <c r="IL1615" s="110"/>
      <c r="IM1615" s="110"/>
      <c r="IN1615" s="110"/>
      <c r="IO1615" s="110"/>
      <c r="IP1615" s="110"/>
      <c r="IQ1615" s="110"/>
      <c r="IR1615" s="110"/>
    </row>
    <row r="1616" spans="18:252" ht="16.5" hidden="1" customHeight="1">
      <c r="R1616" s="264"/>
      <c r="S1616" s="110"/>
      <c r="T1616" s="110"/>
      <c r="U1616" s="110"/>
      <c r="V1616" s="110"/>
      <c r="W1616" s="266"/>
      <c r="X1616" s="110"/>
      <c r="Y1616" s="110"/>
      <c r="Z1616" s="110"/>
      <c r="AA1616" s="110"/>
      <c r="AB1616" s="110"/>
      <c r="AC1616" s="110"/>
      <c r="AD1616" s="110"/>
      <c r="AE1616" s="110"/>
      <c r="AF1616" s="110"/>
      <c r="AG1616" s="110"/>
      <c r="AH1616" s="110"/>
      <c r="AI1616" s="110"/>
      <c r="AJ1616" s="110"/>
      <c r="AK1616" s="110"/>
      <c r="AL1616" s="110"/>
      <c r="AM1616" s="110"/>
      <c r="AN1616" s="110"/>
      <c r="AO1616" s="110"/>
      <c r="AP1616" s="110"/>
      <c r="AQ1616" s="110"/>
      <c r="AR1616" s="110"/>
      <c r="AS1616" s="110"/>
      <c r="AT1616" s="110"/>
      <c r="AU1616" s="110"/>
      <c r="AV1616" s="110"/>
      <c r="AW1616" s="110"/>
      <c r="AX1616" s="110"/>
      <c r="AY1616" s="110"/>
      <c r="AZ1616" s="110"/>
      <c r="BA1616" s="110"/>
      <c r="BB1616" s="110"/>
      <c r="BC1616" s="110"/>
      <c r="BD1616" s="110"/>
      <c r="BE1616" s="110"/>
      <c r="BF1616" s="110"/>
      <c r="BG1616" s="110"/>
      <c r="BH1616" s="110"/>
      <c r="BI1616" s="110"/>
      <c r="BJ1616" s="110"/>
      <c r="BK1616" s="110"/>
      <c r="BL1616" s="110"/>
      <c r="BM1616" s="110"/>
      <c r="BN1616" s="110"/>
      <c r="BO1616" s="110"/>
      <c r="BP1616" s="110"/>
      <c r="BQ1616" s="110"/>
      <c r="BR1616" s="110"/>
      <c r="BS1616" s="110"/>
      <c r="BT1616" s="110"/>
      <c r="BU1616" s="110"/>
      <c r="BV1616" s="110"/>
      <c r="BW1616" s="110"/>
      <c r="BX1616" s="110"/>
      <c r="BY1616" s="110"/>
      <c r="BZ1616" s="110"/>
      <c r="CA1616" s="110"/>
      <c r="CB1616" s="110"/>
      <c r="CC1616" s="110"/>
      <c r="CD1616" s="110"/>
      <c r="CE1616" s="110"/>
      <c r="CF1616" s="110"/>
      <c r="CG1616" s="110"/>
      <c r="CH1616" s="110"/>
      <c r="CI1616" s="110"/>
      <c r="CJ1616" s="110"/>
      <c r="CK1616" s="110"/>
      <c r="CL1616" s="110"/>
      <c r="CM1616" s="110"/>
      <c r="CN1616" s="110"/>
      <c r="CO1616" s="110"/>
      <c r="CP1616" s="110"/>
      <c r="CQ1616" s="110"/>
      <c r="CR1616" s="110"/>
      <c r="CS1616" s="110"/>
      <c r="CT1616" s="110"/>
      <c r="CU1616" s="110"/>
      <c r="CV1616" s="110"/>
      <c r="CW1616" s="110"/>
      <c r="CX1616" s="110"/>
      <c r="CY1616" s="110"/>
      <c r="CZ1616" s="110"/>
      <c r="DA1616" s="110"/>
      <c r="DB1616" s="110"/>
      <c r="DC1616" s="110"/>
      <c r="DD1616" s="110"/>
      <c r="DE1616" s="110"/>
      <c r="DF1616" s="110"/>
      <c r="DG1616" s="110"/>
      <c r="DH1616" s="110"/>
      <c r="DI1616" s="110"/>
      <c r="DJ1616" s="110"/>
      <c r="DK1616" s="110"/>
      <c r="DL1616" s="110"/>
      <c r="DM1616" s="110"/>
      <c r="DN1616" s="110"/>
      <c r="DO1616" s="110"/>
      <c r="DP1616" s="110"/>
      <c r="DQ1616" s="110"/>
      <c r="DR1616" s="110"/>
      <c r="DS1616" s="110"/>
      <c r="DT1616" s="110"/>
      <c r="DU1616" s="110"/>
      <c r="DV1616" s="110"/>
      <c r="DW1616" s="110"/>
      <c r="DX1616" s="110"/>
      <c r="DY1616" s="110"/>
      <c r="DZ1616" s="110"/>
      <c r="EA1616" s="110"/>
      <c r="EB1616" s="110"/>
      <c r="EC1616" s="110"/>
      <c r="ED1616" s="110"/>
      <c r="EF1616" s="264"/>
      <c r="EG1616" s="110"/>
      <c r="EH1616" s="110"/>
      <c r="EI1616" s="110"/>
      <c r="EJ1616" s="110"/>
      <c r="EK1616" s="266"/>
      <c r="EL1616" s="110"/>
      <c r="EM1616" s="110"/>
      <c r="EN1616" s="110"/>
      <c r="EO1616" s="110"/>
      <c r="EP1616" s="110"/>
      <c r="EQ1616" s="110"/>
      <c r="ER1616" s="110"/>
      <c r="ES1616" s="110"/>
      <c r="ET1616" s="110"/>
      <c r="EU1616" s="110"/>
      <c r="EV1616" s="110"/>
      <c r="EW1616" s="110"/>
      <c r="EX1616" s="110"/>
      <c r="EY1616" s="110"/>
      <c r="EZ1616" s="110"/>
      <c r="FA1616" s="110"/>
      <c r="FB1616" s="110"/>
      <c r="FC1616" s="110"/>
      <c r="FD1616" s="110"/>
      <c r="FE1616" s="110"/>
      <c r="FF1616" s="110"/>
      <c r="FG1616" s="110"/>
      <c r="FH1616" s="110"/>
      <c r="FI1616" s="110"/>
      <c r="FJ1616" s="110"/>
      <c r="FK1616" s="110"/>
      <c r="FL1616" s="110"/>
      <c r="FM1616" s="110"/>
      <c r="FN1616" s="110"/>
      <c r="FO1616" s="110"/>
      <c r="FP1616" s="110"/>
      <c r="FQ1616" s="110"/>
      <c r="FR1616" s="110"/>
      <c r="FS1616" s="110"/>
      <c r="FT1616" s="110"/>
      <c r="FU1616" s="110"/>
      <c r="FV1616" s="110"/>
      <c r="FW1616" s="110"/>
      <c r="FX1616" s="110"/>
      <c r="FY1616" s="110"/>
      <c r="FZ1616" s="110"/>
      <c r="GA1616" s="110"/>
      <c r="GB1616" s="110"/>
      <c r="GC1616" s="110"/>
      <c r="GD1616" s="110"/>
      <c r="GE1616" s="110"/>
      <c r="GF1616" s="110"/>
      <c r="GG1616" s="110"/>
      <c r="GH1616" s="110"/>
      <c r="GI1616" s="110"/>
      <c r="GJ1616" s="110"/>
      <c r="GK1616" s="110"/>
      <c r="GL1616" s="110"/>
      <c r="GM1616" s="110"/>
      <c r="GN1616" s="110"/>
      <c r="GO1616" s="110"/>
      <c r="GP1616" s="110"/>
      <c r="GQ1616" s="110"/>
      <c r="GR1616" s="110"/>
      <c r="GS1616" s="110"/>
      <c r="GT1616" s="110"/>
      <c r="GU1616" s="110"/>
      <c r="GV1616" s="110"/>
      <c r="GW1616" s="110"/>
      <c r="GX1616" s="110"/>
      <c r="GY1616" s="110"/>
      <c r="GZ1616" s="110"/>
      <c r="HA1616" s="110"/>
      <c r="HB1616" s="110"/>
      <c r="HC1616" s="110"/>
      <c r="HD1616" s="110"/>
      <c r="HE1616" s="110"/>
      <c r="HF1616" s="110"/>
      <c r="HG1616" s="110"/>
      <c r="HH1616" s="110"/>
      <c r="HI1616" s="110"/>
      <c r="HJ1616" s="110"/>
      <c r="HK1616" s="110"/>
      <c r="HL1616" s="110"/>
      <c r="HM1616" s="110"/>
      <c r="HN1616" s="110"/>
      <c r="HO1616" s="110"/>
      <c r="HP1616" s="110"/>
      <c r="HQ1616" s="110"/>
      <c r="HR1616" s="110"/>
      <c r="HS1616" s="110"/>
      <c r="HT1616" s="110"/>
      <c r="HU1616" s="110"/>
      <c r="HV1616" s="110"/>
      <c r="HW1616" s="110"/>
      <c r="HX1616" s="110"/>
      <c r="HY1616" s="110"/>
      <c r="HZ1616" s="110"/>
      <c r="IA1616" s="110"/>
      <c r="IB1616" s="110"/>
      <c r="IC1616" s="110"/>
      <c r="ID1616" s="110"/>
      <c r="IE1616" s="110"/>
      <c r="IF1616" s="110"/>
      <c r="IG1616" s="110"/>
      <c r="IH1616" s="110"/>
      <c r="II1616" s="110"/>
      <c r="IJ1616" s="110"/>
      <c r="IK1616" s="110"/>
      <c r="IL1616" s="110"/>
      <c r="IM1616" s="110"/>
      <c r="IN1616" s="110"/>
      <c r="IO1616" s="110"/>
      <c r="IP1616" s="110"/>
      <c r="IQ1616" s="110"/>
      <c r="IR1616" s="110"/>
    </row>
    <row r="1617" spans="18:252" ht="16.5" hidden="1" customHeight="1">
      <c r="R1617" s="264"/>
      <c r="S1617" s="110"/>
      <c r="T1617" s="110"/>
      <c r="U1617" s="110"/>
      <c r="V1617" s="110"/>
      <c r="W1617" s="266"/>
      <c r="X1617" s="110"/>
      <c r="Y1617" s="110"/>
      <c r="Z1617" s="110"/>
      <c r="AA1617" s="110"/>
      <c r="AB1617" s="110"/>
      <c r="AC1617" s="110"/>
      <c r="AD1617" s="110"/>
      <c r="AE1617" s="110"/>
      <c r="AF1617" s="110"/>
      <c r="AG1617" s="110"/>
      <c r="AH1617" s="110"/>
      <c r="AI1617" s="110"/>
      <c r="AJ1617" s="110"/>
      <c r="AK1617" s="110"/>
      <c r="AL1617" s="110"/>
      <c r="AM1617" s="110"/>
      <c r="AN1617" s="110"/>
      <c r="AO1617" s="110"/>
      <c r="AP1617" s="110"/>
      <c r="AQ1617" s="110"/>
      <c r="AR1617" s="110"/>
      <c r="AS1617" s="110"/>
      <c r="AT1617" s="110"/>
      <c r="AU1617" s="110"/>
      <c r="AV1617" s="110"/>
      <c r="AW1617" s="110"/>
      <c r="AX1617" s="110"/>
      <c r="AY1617" s="110"/>
      <c r="AZ1617" s="110"/>
      <c r="BA1617" s="110"/>
      <c r="BB1617" s="110"/>
      <c r="BC1617" s="110"/>
      <c r="BD1617" s="110"/>
      <c r="BE1617" s="110"/>
      <c r="BF1617" s="110"/>
      <c r="BG1617" s="110"/>
      <c r="BH1617" s="110"/>
      <c r="BI1617" s="110"/>
      <c r="BJ1617" s="110"/>
      <c r="BK1617" s="110"/>
      <c r="BL1617" s="110"/>
      <c r="BM1617" s="110"/>
      <c r="BN1617" s="110"/>
      <c r="BO1617" s="110"/>
      <c r="BP1617" s="110"/>
      <c r="BQ1617" s="110"/>
      <c r="BR1617" s="110"/>
      <c r="BS1617" s="110"/>
      <c r="BT1617" s="110"/>
      <c r="BU1617" s="110"/>
      <c r="BV1617" s="110"/>
      <c r="BW1617" s="110"/>
      <c r="BX1617" s="110"/>
      <c r="BY1617" s="110"/>
      <c r="BZ1617" s="110"/>
      <c r="CA1617" s="110"/>
      <c r="CB1617" s="110"/>
      <c r="CC1617" s="110"/>
      <c r="CD1617" s="110"/>
      <c r="CE1617" s="110"/>
      <c r="CF1617" s="110"/>
      <c r="CG1617" s="110"/>
      <c r="CH1617" s="110"/>
      <c r="CI1617" s="110"/>
      <c r="CJ1617" s="110"/>
      <c r="CK1617" s="110"/>
      <c r="CL1617" s="110"/>
      <c r="CM1617" s="110"/>
      <c r="CN1617" s="110"/>
      <c r="CO1617" s="110"/>
      <c r="CP1617" s="110"/>
      <c r="CQ1617" s="110"/>
      <c r="CR1617" s="110"/>
      <c r="CS1617" s="110"/>
      <c r="CT1617" s="110"/>
      <c r="CU1617" s="110"/>
      <c r="CV1617" s="110"/>
      <c r="CW1617" s="110"/>
      <c r="CX1617" s="110"/>
      <c r="CY1617" s="110"/>
      <c r="CZ1617" s="110"/>
      <c r="DA1617" s="110"/>
      <c r="DB1617" s="110"/>
      <c r="DC1617" s="110"/>
      <c r="DD1617" s="110"/>
      <c r="DE1617" s="110"/>
      <c r="DF1617" s="110"/>
      <c r="DG1617" s="110"/>
      <c r="DH1617" s="110"/>
      <c r="DI1617" s="110"/>
      <c r="DJ1617" s="110"/>
      <c r="DK1617" s="110"/>
      <c r="DL1617" s="110"/>
      <c r="DM1617" s="110"/>
      <c r="DN1617" s="110"/>
      <c r="DO1617" s="110"/>
      <c r="DP1617" s="110"/>
      <c r="DQ1617" s="110"/>
      <c r="DR1617" s="110"/>
      <c r="DS1617" s="110"/>
      <c r="DT1617" s="110"/>
      <c r="DU1617" s="110"/>
      <c r="DV1617" s="110"/>
      <c r="DW1617" s="110"/>
      <c r="DX1617" s="110"/>
      <c r="DY1617" s="110"/>
      <c r="DZ1617" s="110"/>
      <c r="EA1617" s="110"/>
      <c r="EB1617" s="110"/>
      <c r="EC1617" s="110"/>
      <c r="ED1617" s="110"/>
      <c r="EF1617" s="264"/>
      <c r="EG1617" s="110"/>
      <c r="EH1617" s="110"/>
      <c r="EI1617" s="110"/>
      <c r="EJ1617" s="110"/>
      <c r="EK1617" s="266"/>
      <c r="EL1617" s="110"/>
      <c r="EM1617" s="110"/>
      <c r="EN1617" s="110"/>
      <c r="EO1617" s="110"/>
      <c r="EP1617" s="110"/>
      <c r="EQ1617" s="110"/>
      <c r="ER1617" s="110"/>
      <c r="ES1617" s="110"/>
      <c r="ET1617" s="110"/>
      <c r="EU1617" s="110"/>
      <c r="EV1617" s="110"/>
      <c r="EW1617" s="110"/>
      <c r="EX1617" s="110"/>
      <c r="EY1617" s="110"/>
      <c r="EZ1617" s="110"/>
      <c r="FA1617" s="110"/>
      <c r="FB1617" s="110"/>
      <c r="FC1617" s="110"/>
      <c r="FD1617" s="110"/>
      <c r="FE1617" s="110"/>
      <c r="FF1617" s="110"/>
      <c r="FG1617" s="110"/>
      <c r="FH1617" s="110"/>
      <c r="FI1617" s="110"/>
      <c r="FJ1617" s="110"/>
      <c r="FK1617" s="110"/>
      <c r="FL1617" s="110"/>
      <c r="FM1617" s="110"/>
      <c r="FN1617" s="110"/>
      <c r="FO1617" s="110"/>
      <c r="FP1617" s="110"/>
      <c r="FQ1617" s="110"/>
      <c r="FR1617" s="110"/>
      <c r="FS1617" s="110"/>
      <c r="FT1617" s="110"/>
      <c r="FU1617" s="110"/>
      <c r="FV1617" s="110"/>
      <c r="FW1617" s="110"/>
      <c r="FX1617" s="110"/>
      <c r="FY1617" s="110"/>
      <c r="FZ1617" s="110"/>
      <c r="GA1617" s="110"/>
      <c r="GB1617" s="110"/>
      <c r="GC1617" s="110"/>
      <c r="GD1617" s="110"/>
      <c r="GE1617" s="110"/>
      <c r="GF1617" s="110"/>
      <c r="GG1617" s="110"/>
      <c r="GH1617" s="110"/>
      <c r="GI1617" s="110"/>
      <c r="GJ1617" s="110"/>
      <c r="GK1617" s="110"/>
      <c r="GL1617" s="110"/>
      <c r="GM1617" s="110"/>
      <c r="GN1617" s="110"/>
      <c r="GO1617" s="110"/>
      <c r="GP1617" s="110"/>
      <c r="GQ1617" s="110"/>
      <c r="GR1617" s="110"/>
      <c r="GS1617" s="110"/>
      <c r="GT1617" s="110"/>
      <c r="GU1617" s="110"/>
      <c r="GV1617" s="110"/>
      <c r="GW1617" s="110"/>
      <c r="GX1617" s="110"/>
      <c r="GY1617" s="110"/>
      <c r="GZ1617" s="110"/>
      <c r="HA1617" s="110"/>
      <c r="HB1617" s="110"/>
      <c r="HC1617" s="110"/>
      <c r="HD1617" s="110"/>
      <c r="HE1617" s="110"/>
      <c r="HF1617" s="110"/>
      <c r="HG1617" s="110"/>
      <c r="HH1617" s="110"/>
      <c r="HI1617" s="110"/>
      <c r="HJ1617" s="110"/>
      <c r="HK1617" s="110"/>
      <c r="HL1617" s="110"/>
      <c r="HM1617" s="110"/>
      <c r="HN1617" s="110"/>
      <c r="HO1617" s="110"/>
      <c r="HP1617" s="110"/>
      <c r="HQ1617" s="110"/>
      <c r="HR1617" s="110"/>
      <c r="HS1617" s="110"/>
      <c r="HT1617" s="110"/>
      <c r="HU1617" s="110"/>
      <c r="HV1617" s="110"/>
      <c r="HW1617" s="110"/>
      <c r="HX1617" s="110"/>
      <c r="HY1617" s="110"/>
      <c r="HZ1617" s="110"/>
      <c r="IA1617" s="110"/>
      <c r="IB1617" s="110"/>
      <c r="IC1617" s="110"/>
      <c r="ID1617" s="110"/>
      <c r="IE1617" s="110"/>
      <c r="IF1617" s="110"/>
      <c r="IG1617" s="110"/>
      <c r="IH1617" s="110"/>
      <c r="II1617" s="110"/>
      <c r="IJ1617" s="110"/>
      <c r="IK1617" s="110"/>
      <c r="IL1617" s="110"/>
      <c r="IM1617" s="110"/>
      <c r="IN1617" s="110"/>
      <c r="IO1617" s="110"/>
      <c r="IP1617" s="110"/>
      <c r="IQ1617" s="110"/>
      <c r="IR1617" s="110"/>
    </row>
    <row r="1618" spans="18:252" ht="16.5" hidden="1" customHeight="1">
      <c r="R1618" s="264"/>
      <c r="S1618" s="110"/>
      <c r="T1618" s="110"/>
      <c r="U1618" s="110"/>
      <c r="V1618" s="110"/>
      <c r="W1618" s="266"/>
      <c r="X1618" s="110"/>
      <c r="Y1618" s="110"/>
      <c r="Z1618" s="110"/>
      <c r="AA1618" s="110"/>
      <c r="AB1618" s="110"/>
      <c r="AC1618" s="110"/>
      <c r="AD1618" s="110"/>
      <c r="AE1618" s="110"/>
      <c r="AF1618" s="110"/>
      <c r="AG1618" s="110"/>
      <c r="AH1618" s="110"/>
      <c r="AI1618" s="110"/>
      <c r="AJ1618" s="110"/>
      <c r="AK1618" s="110"/>
      <c r="AL1618" s="110"/>
      <c r="AM1618" s="110"/>
      <c r="AN1618" s="110"/>
      <c r="AO1618" s="110"/>
      <c r="AP1618" s="110"/>
      <c r="AQ1618" s="110"/>
      <c r="AR1618" s="110"/>
      <c r="AS1618" s="110"/>
      <c r="AT1618" s="110"/>
      <c r="AU1618" s="110"/>
      <c r="AV1618" s="110"/>
      <c r="AW1618" s="110"/>
      <c r="AX1618" s="110"/>
      <c r="AY1618" s="110"/>
      <c r="AZ1618" s="110"/>
      <c r="BA1618" s="110"/>
      <c r="BB1618" s="110"/>
      <c r="BC1618" s="110"/>
      <c r="BD1618" s="110"/>
      <c r="BE1618" s="110"/>
      <c r="BF1618" s="110"/>
      <c r="BG1618" s="110"/>
      <c r="BH1618" s="110"/>
      <c r="BI1618" s="110"/>
      <c r="BJ1618" s="110"/>
      <c r="BK1618" s="110"/>
      <c r="BL1618" s="110"/>
      <c r="BM1618" s="110"/>
      <c r="BN1618" s="110"/>
      <c r="BO1618" s="110"/>
      <c r="BP1618" s="110"/>
      <c r="BQ1618" s="110"/>
      <c r="BR1618" s="110"/>
      <c r="BS1618" s="110"/>
      <c r="BT1618" s="110"/>
      <c r="BU1618" s="110"/>
      <c r="BV1618" s="110"/>
      <c r="BW1618" s="110"/>
      <c r="BX1618" s="110"/>
      <c r="BY1618" s="110"/>
      <c r="BZ1618" s="110"/>
      <c r="CA1618" s="110"/>
      <c r="CB1618" s="110"/>
      <c r="CC1618" s="110"/>
      <c r="CD1618" s="110"/>
      <c r="CE1618" s="110"/>
      <c r="CF1618" s="110"/>
      <c r="CG1618" s="110"/>
      <c r="CH1618" s="110"/>
      <c r="CI1618" s="110"/>
      <c r="CJ1618" s="110"/>
      <c r="CK1618" s="110"/>
      <c r="CL1618" s="110"/>
      <c r="CM1618" s="110"/>
      <c r="CN1618" s="110"/>
      <c r="CO1618" s="110"/>
      <c r="CP1618" s="110"/>
      <c r="CQ1618" s="110"/>
      <c r="CR1618" s="110"/>
      <c r="CS1618" s="110"/>
      <c r="CT1618" s="110"/>
      <c r="CU1618" s="110"/>
      <c r="CV1618" s="110"/>
      <c r="CW1618" s="110"/>
      <c r="CX1618" s="110"/>
      <c r="CY1618" s="110"/>
      <c r="CZ1618" s="110"/>
      <c r="DA1618" s="110"/>
      <c r="DB1618" s="110"/>
      <c r="DC1618" s="110"/>
      <c r="DD1618" s="110"/>
      <c r="DE1618" s="110"/>
      <c r="DF1618" s="110"/>
      <c r="DG1618" s="110"/>
      <c r="DH1618" s="110"/>
      <c r="DI1618" s="110"/>
      <c r="DJ1618" s="110"/>
      <c r="DK1618" s="110"/>
      <c r="DL1618" s="110"/>
      <c r="DM1618" s="110"/>
      <c r="DN1618" s="110"/>
      <c r="DO1618" s="110"/>
      <c r="DP1618" s="110"/>
      <c r="DQ1618" s="110"/>
      <c r="DR1618" s="110"/>
      <c r="DS1618" s="110"/>
      <c r="DT1618" s="110"/>
      <c r="DU1618" s="110"/>
      <c r="DV1618" s="110"/>
      <c r="DW1618" s="110"/>
      <c r="DX1618" s="110"/>
      <c r="DY1618" s="110"/>
      <c r="DZ1618" s="110"/>
      <c r="EA1618" s="110"/>
      <c r="EB1618" s="110"/>
      <c r="EC1618" s="110"/>
      <c r="ED1618" s="110"/>
      <c r="EF1618" s="264"/>
      <c r="EG1618" s="110"/>
      <c r="EH1618" s="110"/>
      <c r="EI1618" s="110"/>
      <c r="EJ1618" s="110"/>
      <c r="EK1618" s="266"/>
      <c r="EL1618" s="110"/>
      <c r="EM1618" s="110"/>
      <c r="EN1618" s="110"/>
      <c r="EO1618" s="110"/>
      <c r="EP1618" s="110"/>
      <c r="EQ1618" s="110"/>
      <c r="ER1618" s="110"/>
      <c r="ES1618" s="110"/>
      <c r="ET1618" s="110"/>
      <c r="EU1618" s="110"/>
      <c r="EV1618" s="110"/>
      <c r="EW1618" s="110"/>
      <c r="EX1618" s="110"/>
      <c r="EY1618" s="110"/>
      <c r="EZ1618" s="110"/>
      <c r="FA1618" s="110"/>
      <c r="FB1618" s="110"/>
      <c r="FC1618" s="110"/>
      <c r="FD1618" s="110"/>
      <c r="FE1618" s="110"/>
      <c r="FF1618" s="110"/>
      <c r="FG1618" s="110"/>
      <c r="FH1618" s="110"/>
      <c r="FI1618" s="110"/>
      <c r="FJ1618" s="110"/>
      <c r="FK1618" s="110"/>
      <c r="FL1618" s="110"/>
      <c r="FM1618" s="110"/>
      <c r="FN1618" s="110"/>
      <c r="FO1618" s="110"/>
      <c r="FP1618" s="110"/>
      <c r="FQ1618" s="110"/>
      <c r="FR1618" s="110"/>
      <c r="FS1618" s="110"/>
      <c r="FT1618" s="110"/>
      <c r="FU1618" s="110"/>
      <c r="FV1618" s="110"/>
      <c r="FW1618" s="110"/>
      <c r="FX1618" s="110"/>
      <c r="FY1618" s="110"/>
      <c r="FZ1618" s="110"/>
      <c r="GA1618" s="110"/>
      <c r="GB1618" s="110"/>
      <c r="GC1618" s="110"/>
      <c r="GD1618" s="110"/>
      <c r="GE1618" s="110"/>
      <c r="GF1618" s="110"/>
      <c r="GG1618" s="110"/>
      <c r="GH1618" s="110"/>
      <c r="GI1618" s="110"/>
      <c r="GJ1618" s="110"/>
      <c r="GK1618" s="110"/>
      <c r="GL1618" s="110"/>
      <c r="GM1618" s="110"/>
      <c r="GN1618" s="110"/>
      <c r="GO1618" s="110"/>
      <c r="GP1618" s="110"/>
      <c r="GQ1618" s="110"/>
      <c r="GR1618" s="110"/>
      <c r="GS1618" s="110"/>
      <c r="GT1618" s="110"/>
      <c r="GU1618" s="110"/>
      <c r="GV1618" s="110"/>
      <c r="GW1618" s="110"/>
      <c r="GX1618" s="110"/>
      <c r="GY1618" s="110"/>
      <c r="GZ1618" s="110"/>
      <c r="HA1618" s="110"/>
      <c r="HB1618" s="110"/>
      <c r="HC1618" s="110"/>
      <c r="HD1618" s="110"/>
      <c r="HE1618" s="110"/>
      <c r="HF1618" s="110"/>
      <c r="HG1618" s="110"/>
      <c r="HH1618" s="110"/>
      <c r="HI1618" s="110"/>
      <c r="HJ1618" s="110"/>
      <c r="HK1618" s="110"/>
      <c r="HL1618" s="110"/>
      <c r="HM1618" s="110"/>
      <c r="HN1618" s="110"/>
      <c r="HO1618" s="110"/>
      <c r="HP1618" s="110"/>
      <c r="HQ1618" s="110"/>
      <c r="HR1618" s="110"/>
      <c r="HS1618" s="110"/>
      <c r="HT1618" s="110"/>
      <c r="HU1618" s="110"/>
      <c r="HV1618" s="110"/>
      <c r="HW1618" s="110"/>
      <c r="HX1618" s="110"/>
      <c r="HY1618" s="110"/>
      <c r="HZ1618" s="110"/>
      <c r="IA1618" s="110"/>
      <c r="IB1618" s="110"/>
      <c r="IC1618" s="110"/>
      <c r="ID1618" s="110"/>
      <c r="IE1618" s="110"/>
      <c r="IF1618" s="110"/>
      <c r="IG1618" s="110"/>
      <c r="IH1618" s="110"/>
      <c r="II1618" s="110"/>
      <c r="IJ1618" s="110"/>
      <c r="IK1618" s="110"/>
      <c r="IL1618" s="110"/>
      <c r="IM1618" s="110"/>
      <c r="IN1618" s="110"/>
      <c r="IO1618" s="110"/>
      <c r="IP1618" s="110"/>
      <c r="IQ1618" s="110"/>
      <c r="IR1618" s="110"/>
    </row>
    <row r="1619" spans="18:252" ht="16.5" hidden="1" customHeight="1">
      <c r="R1619" s="264"/>
      <c r="S1619" s="110"/>
      <c r="T1619" s="110"/>
      <c r="U1619" s="110"/>
      <c r="V1619" s="110"/>
      <c r="W1619" s="266"/>
      <c r="X1619" s="110"/>
      <c r="Y1619" s="110"/>
      <c r="Z1619" s="110"/>
      <c r="AA1619" s="110"/>
      <c r="AB1619" s="110"/>
      <c r="AC1619" s="110"/>
      <c r="AD1619" s="110"/>
      <c r="AE1619" s="110"/>
      <c r="AF1619" s="110"/>
      <c r="AG1619" s="110"/>
      <c r="AH1619" s="110"/>
      <c r="AI1619" s="110"/>
      <c r="AJ1619" s="110"/>
      <c r="AK1619" s="110"/>
      <c r="AL1619" s="110"/>
      <c r="AM1619" s="110"/>
      <c r="AN1619" s="110"/>
      <c r="AO1619" s="110"/>
      <c r="AP1619" s="110"/>
      <c r="AQ1619" s="110"/>
      <c r="AR1619" s="110"/>
      <c r="AS1619" s="110"/>
      <c r="AT1619" s="110"/>
      <c r="AU1619" s="110"/>
      <c r="AV1619" s="110"/>
      <c r="AW1619" s="110"/>
      <c r="AX1619" s="110"/>
      <c r="AY1619" s="110"/>
      <c r="AZ1619" s="110"/>
      <c r="BA1619" s="110"/>
      <c r="BB1619" s="110"/>
      <c r="BC1619" s="110"/>
      <c r="BD1619" s="110"/>
      <c r="BE1619" s="110"/>
      <c r="BF1619" s="110"/>
      <c r="BG1619" s="110"/>
      <c r="BH1619" s="110"/>
      <c r="BI1619" s="110"/>
      <c r="BJ1619" s="110"/>
      <c r="BK1619" s="110"/>
      <c r="BL1619" s="110"/>
      <c r="BM1619" s="110"/>
      <c r="BN1619" s="110"/>
      <c r="BO1619" s="110"/>
      <c r="BP1619" s="110"/>
      <c r="BQ1619" s="110"/>
      <c r="BR1619" s="110"/>
      <c r="BS1619" s="110"/>
      <c r="BT1619" s="110"/>
      <c r="BU1619" s="110"/>
      <c r="BV1619" s="110"/>
      <c r="BW1619" s="110"/>
      <c r="BX1619" s="110"/>
      <c r="BY1619" s="110"/>
      <c r="BZ1619" s="110"/>
      <c r="CA1619" s="110"/>
      <c r="CB1619" s="110"/>
      <c r="CC1619" s="110"/>
      <c r="CD1619" s="110"/>
      <c r="CE1619" s="110"/>
      <c r="CF1619" s="110"/>
      <c r="CG1619" s="110"/>
      <c r="CH1619" s="110"/>
      <c r="CI1619" s="110"/>
      <c r="CJ1619" s="110"/>
      <c r="CK1619" s="110"/>
      <c r="CL1619" s="110"/>
      <c r="CM1619" s="110"/>
      <c r="CN1619" s="110"/>
      <c r="CO1619" s="110"/>
      <c r="CP1619" s="110"/>
      <c r="CQ1619" s="110"/>
      <c r="CR1619" s="110"/>
      <c r="CS1619" s="110"/>
      <c r="CT1619" s="110"/>
      <c r="CU1619" s="110"/>
      <c r="CV1619" s="110"/>
      <c r="CW1619" s="110"/>
      <c r="CX1619" s="110"/>
      <c r="CY1619" s="110"/>
      <c r="CZ1619" s="110"/>
      <c r="DA1619" s="110"/>
      <c r="DB1619" s="110"/>
      <c r="DC1619" s="110"/>
      <c r="DD1619" s="110"/>
      <c r="DE1619" s="110"/>
      <c r="DF1619" s="110"/>
      <c r="DG1619" s="110"/>
      <c r="DH1619" s="110"/>
      <c r="DI1619" s="110"/>
      <c r="DJ1619" s="110"/>
      <c r="DK1619" s="110"/>
      <c r="DL1619" s="110"/>
      <c r="DM1619" s="110"/>
      <c r="DN1619" s="110"/>
      <c r="DO1619" s="110"/>
      <c r="DP1619" s="110"/>
      <c r="DQ1619" s="110"/>
      <c r="DR1619" s="110"/>
      <c r="DS1619" s="110"/>
      <c r="DT1619" s="110"/>
      <c r="DU1619" s="110"/>
      <c r="DV1619" s="110"/>
      <c r="DW1619" s="110"/>
      <c r="DX1619" s="110"/>
      <c r="DY1619" s="110"/>
      <c r="DZ1619" s="110"/>
      <c r="EA1619" s="110"/>
      <c r="EB1619" s="110"/>
      <c r="EC1619" s="110"/>
      <c r="ED1619" s="110"/>
      <c r="EF1619" s="264"/>
      <c r="EG1619" s="110"/>
      <c r="EH1619" s="110"/>
      <c r="EI1619" s="110"/>
      <c r="EJ1619" s="110"/>
      <c r="EK1619" s="266"/>
      <c r="EL1619" s="110"/>
      <c r="EM1619" s="110"/>
      <c r="EN1619" s="110"/>
      <c r="EO1619" s="110"/>
      <c r="EP1619" s="110"/>
      <c r="EQ1619" s="110"/>
      <c r="ER1619" s="110"/>
      <c r="ES1619" s="110"/>
      <c r="ET1619" s="110"/>
      <c r="EU1619" s="110"/>
      <c r="EV1619" s="110"/>
      <c r="EW1619" s="110"/>
      <c r="EX1619" s="110"/>
      <c r="EY1619" s="110"/>
      <c r="EZ1619" s="110"/>
      <c r="FA1619" s="110"/>
      <c r="FB1619" s="110"/>
      <c r="FC1619" s="110"/>
      <c r="FD1619" s="110"/>
      <c r="FE1619" s="110"/>
      <c r="FF1619" s="110"/>
      <c r="FG1619" s="110"/>
      <c r="FH1619" s="110"/>
      <c r="FI1619" s="110"/>
      <c r="FJ1619" s="110"/>
      <c r="FK1619" s="110"/>
      <c r="FL1619" s="110"/>
      <c r="FM1619" s="110"/>
      <c r="FN1619" s="110"/>
      <c r="FO1619" s="110"/>
      <c r="FP1619" s="110"/>
      <c r="FQ1619" s="110"/>
      <c r="FR1619" s="110"/>
      <c r="FS1619" s="110"/>
      <c r="FT1619" s="110"/>
      <c r="FU1619" s="110"/>
      <c r="FV1619" s="110"/>
      <c r="FW1619" s="110"/>
      <c r="FX1619" s="110"/>
      <c r="FY1619" s="110"/>
      <c r="FZ1619" s="110"/>
      <c r="GA1619" s="110"/>
      <c r="GB1619" s="110"/>
      <c r="GC1619" s="110"/>
      <c r="GD1619" s="110"/>
      <c r="GE1619" s="110"/>
      <c r="GF1619" s="110"/>
      <c r="GG1619" s="110"/>
      <c r="GH1619" s="110"/>
      <c r="GI1619" s="110"/>
      <c r="GJ1619" s="110"/>
      <c r="GK1619" s="110"/>
      <c r="GL1619" s="110"/>
      <c r="GM1619" s="110"/>
      <c r="GN1619" s="110"/>
      <c r="GO1619" s="110"/>
      <c r="GP1619" s="110"/>
      <c r="GQ1619" s="110"/>
      <c r="GR1619" s="110"/>
      <c r="GS1619" s="110"/>
      <c r="GT1619" s="110"/>
      <c r="GU1619" s="110"/>
      <c r="GV1619" s="110"/>
      <c r="GW1619" s="110"/>
      <c r="GX1619" s="110"/>
      <c r="GY1619" s="110"/>
      <c r="GZ1619" s="110"/>
      <c r="HA1619" s="110"/>
      <c r="HB1619" s="110"/>
      <c r="HC1619" s="110"/>
      <c r="HD1619" s="110"/>
      <c r="HE1619" s="110"/>
      <c r="HF1619" s="110"/>
      <c r="HG1619" s="110"/>
      <c r="HH1619" s="110"/>
      <c r="HI1619" s="110"/>
      <c r="HJ1619" s="110"/>
      <c r="HK1619" s="110"/>
      <c r="HL1619" s="110"/>
      <c r="HM1619" s="110"/>
      <c r="HN1619" s="110"/>
      <c r="HO1619" s="110"/>
      <c r="HP1619" s="110"/>
      <c r="HQ1619" s="110"/>
      <c r="HR1619" s="110"/>
      <c r="HS1619" s="110"/>
      <c r="HT1619" s="110"/>
      <c r="HU1619" s="110"/>
      <c r="HV1619" s="110"/>
      <c r="HW1619" s="110"/>
      <c r="HX1619" s="110"/>
      <c r="HY1619" s="110"/>
      <c r="HZ1619" s="110"/>
      <c r="IA1619" s="110"/>
      <c r="IB1619" s="110"/>
      <c r="IC1619" s="110"/>
      <c r="ID1619" s="110"/>
      <c r="IE1619" s="110"/>
      <c r="IF1619" s="110"/>
      <c r="IG1619" s="110"/>
      <c r="IH1619" s="110"/>
      <c r="II1619" s="110"/>
      <c r="IJ1619" s="110"/>
      <c r="IK1619" s="110"/>
      <c r="IL1619" s="110"/>
      <c r="IM1619" s="110"/>
      <c r="IN1619" s="110"/>
      <c r="IO1619" s="110"/>
      <c r="IP1619" s="110"/>
      <c r="IQ1619" s="110"/>
      <c r="IR1619" s="110"/>
    </row>
    <row r="1620" spans="18:252" ht="16.5" hidden="1" customHeight="1">
      <c r="R1620" s="264"/>
      <c r="S1620" s="110"/>
      <c r="T1620" s="110"/>
      <c r="U1620" s="110"/>
      <c r="V1620" s="110"/>
      <c r="W1620" s="266"/>
      <c r="X1620" s="110"/>
      <c r="Y1620" s="110"/>
      <c r="Z1620" s="110"/>
      <c r="AA1620" s="110"/>
      <c r="AB1620" s="110"/>
      <c r="AC1620" s="110"/>
      <c r="AD1620" s="110"/>
      <c r="AE1620" s="110"/>
      <c r="AF1620" s="110"/>
      <c r="AG1620" s="110"/>
      <c r="AH1620" s="110"/>
      <c r="AI1620" s="110"/>
      <c r="AJ1620" s="110"/>
      <c r="AK1620" s="110"/>
      <c r="AL1620" s="110"/>
      <c r="AM1620" s="110"/>
      <c r="AN1620" s="110"/>
      <c r="AO1620" s="110"/>
      <c r="AP1620" s="110"/>
      <c r="AQ1620" s="110"/>
      <c r="AR1620" s="110"/>
      <c r="AS1620" s="110"/>
      <c r="AT1620" s="110"/>
      <c r="AU1620" s="110"/>
      <c r="AV1620" s="110"/>
      <c r="AW1620" s="110"/>
      <c r="AX1620" s="110"/>
      <c r="AY1620" s="110"/>
      <c r="AZ1620" s="110"/>
      <c r="BA1620" s="110"/>
      <c r="BB1620" s="110"/>
      <c r="BC1620" s="110"/>
      <c r="BD1620" s="110"/>
      <c r="BE1620" s="110"/>
      <c r="BF1620" s="110"/>
      <c r="BG1620" s="110"/>
      <c r="BH1620" s="110"/>
      <c r="BI1620" s="110"/>
      <c r="BJ1620" s="110"/>
      <c r="BK1620" s="110"/>
      <c r="BL1620" s="110"/>
      <c r="BM1620" s="110"/>
      <c r="BN1620" s="110"/>
      <c r="BO1620" s="110"/>
      <c r="BP1620" s="110"/>
      <c r="BQ1620" s="110"/>
      <c r="BR1620" s="110"/>
      <c r="BS1620" s="110"/>
      <c r="BT1620" s="110"/>
      <c r="BU1620" s="110"/>
      <c r="BV1620" s="110"/>
      <c r="BW1620" s="110"/>
      <c r="BX1620" s="110"/>
      <c r="BY1620" s="110"/>
      <c r="BZ1620" s="110"/>
      <c r="CA1620" s="110"/>
      <c r="CB1620" s="110"/>
      <c r="CC1620" s="110"/>
      <c r="CD1620" s="110"/>
      <c r="CE1620" s="110"/>
      <c r="CF1620" s="110"/>
      <c r="CG1620" s="110"/>
      <c r="CH1620" s="110"/>
      <c r="CI1620" s="110"/>
      <c r="CJ1620" s="110"/>
      <c r="CK1620" s="110"/>
      <c r="CL1620" s="110"/>
      <c r="CM1620" s="110"/>
      <c r="CN1620" s="110"/>
      <c r="CO1620" s="110"/>
      <c r="CP1620" s="110"/>
      <c r="CQ1620" s="110"/>
      <c r="CR1620" s="110"/>
      <c r="CS1620" s="110"/>
      <c r="CT1620" s="110"/>
      <c r="CU1620" s="110"/>
      <c r="CV1620" s="110"/>
      <c r="CW1620" s="110"/>
      <c r="CX1620" s="110"/>
      <c r="CY1620" s="110"/>
      <c r="CZ1620" s="110"/>
      <c r="DA1620" s="110"/>
      <c r="DB1620" s="110"/>
      <c r="DC1620" s="110"/>
      <c r="DD1620" s="110"/>
      <c r="DE1620" s="110"/>
      <c r="DF1620" s="110"/>
      <c r="DG1620" s="110"/>
      <c r="DH1620" s="110"/>
      <c r="DI1620" s="110"/>
      <c r="DJ1620" s="110"/>
      <c r="DK1620" s="110"/>
      <c r="DL1620" s="110"/>
      <c r="DM1620" s="110"/>
      <c r="DN1620" s="110"/>
      <c r="DO1620" s="110"/>
      <c r="DP1620" s="110"/>
      <c r="DQ1620" s="110"/>
      <c r="DR1620" s="110"/>
      <c r="DS1620" s="110"/>
      <c r="DT1620" s="110"/>
      <c r="DU1620" s="110"/>
      <c r="DV1620" s="110"/>
      <c r="DW1620" s="110"/>
      <c r="DX1620" s="110"/>
      <c r="DY1620" s="110"/>
      <c r="DZ1620" s="110"/>
      <c r="EA1620" s="110"/>
      <c r="EB1620" s="110"/>
      <c r="EC1620" s="110"/>
      <c r="ED1620" s="110"/>
      <c r="EF1620" s="264"/>
      <c r="EG1620" s="110"/>
      <c r="EH1620" s="110"/>
      <c r="EI1620" s="110"/>
      <c r="EJ1620" s="110"/>
      <c r="EK1620" s="266"/>
      <c r="EL1620" s="110"/>
      <c r="EM1620" s="110"/>
      <c r="EN1620" s="110"/>
      <c r="EO1620" s="110"/>
      <c r="EP1620" s="110"/>
      <c r="EQ1620" s="110"/>
      <c r="ER1620" s="110"/>
      <c r="ES1620" s="110"/>
      <c r="ET1620" s="110"/>
      <c r="EU1620" s="110"/>
      <c r="EV1620" s="110"/>
      <c r="EW1620" s="110"/>
      <c r="EX1620" s="110"/>
      <c r="EY1620" s="110"/>
      <c r="EZ1620" s="110"/>
      <c r="FA1620" s="110"/>
      <c r="FB1620" s="110"/>
      <c r="FC1620" s="110"/>
      <c r="FD1620" s="110"/>
      <c r="FE1620" s="110"/>
      <c r="FF1620" s="110"/>
      <c r="FG1620" s="110"/>
      <c r="FH1620" s="110"/>
      <c r="FI1620" s="110"/>
      <c r="FJ1620" s="110"/>
      <c r="FK1620" s="110"/>
      <c r="FL1620" s="110"/>
      <c r="FM1620" s="110"/>
      <c r="FN1620" s="110"/>
      <c r="FO1620" s="110"/>
      <c r="FP1620" s="110"/>
      <c r="FQ1620" s="110"/>
      <c r="FR1620" s="110"/>
      <c r="FS1620" s="110"/>
      <c r="FT1620" s="110"/>
      <c r="FU1620" s="110"/>
      <c r="FV1620" s="110"/>
      <c r="FW1620" s="110"/>
      <c r="FX1620" s="110"/>
      <c r="FY1620" s="110"/>
      <c r="FZ1620" s="110"/>
      <c r="GA1620" s="110"/>
      <c r="GB1620" s="110"/>
      <c r="GC1620" s="110"/>
      <c r="GD1620" s="110"/>
      <c r="GE1620" s="110"/>
      <c r="GF1620" s="110"/>
      <c r="GG1620" s="110"/>
      <c r="GH1620" s="110"/>
      <c r="GI1620" s="110"/>
      <c r="GJ1620" s="110"/>
      <c r="GK1620" s="110"/>
      <c r="GL1620" s="110"/>
      <c r="GM1620" s="110"/>
      <c r="GN1620" s="110"/>
      <c r="GO1620" s="110"/>
      <c r="GP1620" s="110"/>
      <c r="GQ1620" s="110"/>
      <c r="GR1620" s="110"/>
      <c r="GS1620" s="110"/>
      <c r="GT1620" s="110"/>
      <c r="GU1620" s="110"/>
      <c r="GV1620" s="110"/>
      <c r="GW1620" s="110"/>
      <c r="GX1620" s="110"/>
      <c r="GY1620" s="110"/>
      <c r="GZ1620" s="110"/>
      <c r="HA1620" s="110"/>
      <c r="HB1620" s="110"/>
      <c r="HC1620" s="110"/>
      <c r="HD1620" s="110"/>
      <c r="HE1620" s="110"/>
      <c r="HF1620" s="110"/>
      <c r="HG1620" s="110"/>
      <c r="HH1620" s="110"/>
      <c r="HI1620" s="110"/>
      <c r="HJ1620" s="110"/>
      <c r="HK1620" s="110"/>
      <c r="HL1620" s="110"/>
      <c r="HM1620" s="110"/>
      <c r="HN1620" s="110"/>
      <c r="HO1620" s="110"/>
      <c r="HP1620" s="110"/>
      <c r="HQ1620" s="110"/>
      <c r="HR1620" s="110"/>
      <c r="HS1620" s="110"/>
      <c r="HT1620" s="110"/>
      <c r="HU1620" s="110"/>
      <c r="HV1620" s="110"/>
      <c r="HW1620" s="110"/>
      <c r="HX1620" s="110"/>
      <c r="HY1620" s="110"/>
      <c r="HZ1620" s="110"/>
      <c r="IA1620" s="110"/>
      <c r="IB1620" s="110"/>
      <c r="IC1620" s="110"/>
      <c r="ID1620" s="110"/>
      <c r="IE1620" s="110"/>
      <c r="IF1620" s="110"/>
      <c r="IG1620" s="110"/>
      <c r="IH1620" s="110"/>
      <c r="II1620" s="110"/>
      <c r="IJ1620" s="110"/>
      <c r="IK1620" s="110"/>
      <c r="IL1620" s="110"/>
      <c r="IM1620" s="110"/>
      <c r="IN1620" s="110"/>
      <c r="IO1620" s="110"/>
      <c r="IP1620" s="110"/>
      <c r="IQ1620" s="110"/>
      <c r="IR1620" s="110"/>
    </row>
    <row r="1621" spans="18:252" ht="16.5" hidden="1" customHeight="1">
      <c r="R1621" s="264"/>
      <c r="S1621" s="110"/>
      <c r="T1621" s="110"/>
      <c r="U1621" s="110"/>
      <c r="V1621" s="110"/>
      <c r="W1621" s="266"/>
      <c r="X1621" s="110"/>
      <c r="Y1621" s="110"/>
      <c r="Z1621" s="110"/>
      <c r="AA1621" s="110"/>
      <c r="AB1621" s="110"/>
      <c r="AC1621" s="110"/>
      <c r="AD1621" s="110"/>
      <c r="AE1621" s="110"/>
      <c r="AF1621" s="110"/>
      <c r="AG1621" s="110"/>
      <c r="AH1621" s="110"/>
      <c r="AI1621" s="110"/>
      <c r="AJ1621" s="110"/>
      <c r="AK1621" s="110"/>
      <c r="AL1621" s="110"/>
      <c r="AM1621" s="110"/>
      <c r="AN1621" s="110"/>
      <c r="AO1621" s="110"/>
      <c r="AP1621" s="110"/>
      <c r="AQ1621" s="110"/>
      <c r="AR1621" s="110"/>
      <c r="AS1621" s="110"/>
      <c r="AT1621" s="110"/>
      <c r="AU1621" s="110"/>
      <c r="AV1621" s="110"/>
      <c r="AW1621" s="110"/>
      <c r="AX1621" s="110"/>
      <c r="AY1621" s="110"/>
      <c r="AZ1621" s="110"/>
      <c r="BA1621" s="110"/>
      <c r="BB1621" s="110"/>
      <c r="BC1621" s="110"/>
      <c r="BD1621" s="110"/>
      <c r="BE1621" s="110"/>
      <c r="BF1621" s="110"/>
      <c r="BG1621" s="110"/>
      <c r="BH1621" s="110"/>
      <c r="BI1621" s="110"/>
      <c r="BJ1621" s="110"/>
      <c r="BK1621" s="110"/>
      <c r="BL1621" s="110"/>
      <c r="BM1621" s="110"/>
      <c r="BN1621" s="110"/>
      <c r="BO1621" s="110"/>
      <c r="BP1621" s="110"/>
      <c r="BQ1621" s="110"/>
      <c r="BR1621" s="110"/>
      <c r="BS1621" s="110"/>
      <c r="BT1621" s="110"/>
      <c r="BU1621" s="110"/>
      <c r="BV1621" s="110"/>
      <c r="BW1621" s="110"/>
      <c r="BX1621" s="110"/>
      <c r="BY1621" s="110"/>
      <c r="BZ1621" s="110"/>
      <c r="CA1621" s="110"/>
      <c r="CB1621" s="110"/>
      <c r="CC1621" s="110"/>
      <c r="CD1621" s="110"/>
      <c r="CE1621" s="110"/>
      <c r="CF1621" s="110"/>
      <c r="CG1621" s="110"/>
      <c r="CH1621" s="110"/>
      <c r="CI1621" s="110"/>
      <c r="CJ1621" s="110"/>
      <c r="CK1621" s="110"/>
      <c r="CL1621" s="110"/>
      <c r="CM1621" s="110"/>
      <c r="CN1621" s="110"/>
      <c r="CO1621" s="110"/>
      <c r="CP1621" s="110"/>
      <c r="CQ1621" s="110"/>
      <c r="CR1621" s="110"/>
      <c r="CS1621" s="110"/>
      <c r="CT1621" s="110"/>
      <c r="CU1621" s="110"/>
      <c r="CV1621" s="110"/>
      <c r="CW1621" s="110"/>
      <c r="CX1621" s="110"/>
      <c r="CY1621" s="110"/>
      <c r="CZ1621" s="110"/>
      <c r="DA1621" s="110"/>
      <c r="DB1621" s="110"/>
      <c r="DC1621" s="110"/>
      <c r="DD1621" s="110"/>
      <c r="DE1621" s="110"/>
      <c r="DF1621" s="110"/>
      <c r="DG1621" s="110"/>
      <c r="DH1621" s="110"/>
      <c r="DI1621" s="110"/>
      <c r="DJ1621" s="110"/>
      <c r="DK1621" s="110"/>
      <c r="DL1621" s="110"/>
      <c r="DM1621" s="110"/>
      <c r="DN1621" s="110"/>
      <c r="DO1621" s="110"/>
      <c r="DP1621" s="110"/>
      <c r="DQ1621" s="110"/>
      <c r="DR1621" s="110"/>
      <c r="DS1621" s="110"/>
      <c r="DT1621" s="110"/>
      <c r="DU1621" s="110"/>
      <c r="DV1621" s="110"/>
      <c r="DW1621" s="110"/>
      <c r="DX1621" s="110"/>
      <c r="DY1621" s="110"/>
      <c r="DZ1621" s="110"/>
      <c r="EA1621" s="110"/>
      <c r="EB1621" s="110"/>
      <c r="EC1621" s="110"/>
      <c r="ED1621" s="110"/>
      <c r="EF1621" s="264"/>
      <c r="EG1621" s="110"/>
      <c r="EH1621" s="110"/>
      <c r="EI1621" s="110"/>
      <c r="EJ1621" s="110"/>
      <c r="EK1621" s="266"/>
      <c r="EL1621" s="110"/>
      <c r="EM1621" s="110"/>
      <c r="EN1621" s="110"/>
      <c r="EO1621" s="110"/>
      <c r="EP1621" s="110"/>
      <c r="EQ1621" s="110"/>
      <c r="ER1621" s="110"/>
      <c r="ES1621" s="110"/>
      <c r="ET1621" s="110"/>
      <c r="EU1621" s="110"/>
      <c r="EV1621" s="110"/>
      <c r="EW1621" s="110"/>
      <c r="EX1621" s="110"/>
      <c r="EY1621" s="110"/>
      <c r="EZ1621" s="110"/>
      <c r="FA1621" s="110"/>
      <c r="FB1621" s="110"/>
      <c r="FC1621" s="110"/>
      <c r="FD1621" s="110"/>
      <c r="FE1621" s="110"/>
      <c r="FF1621" s="110"/>
      <c r="FG1621" s="110"/>
      <c r="FH1621" s="110"/>
      <c r="FI1621" s="110"/>
      <c r="FJ1621" s="110"/>
      <c r="FK1621" s="110"/>
      <c r="FL1621" s="110"/>
      <c r="FM1621" s="110"/>
      <c r="FN1621" s="110"/>
      <c r="FO1621" s="110"/>
      <c r="FP1621" s="110"/>
      <c r="FQ1621" s="110"/>
      <c r="FR1621" s="110"/>
      <c r="FS1621" s="110"/>
      <c r="FT1621" s="110"/>
      <c r="FU1621" s="110"/>
      <c r="FV1621" s="110"/>
      <c r="FW1621" s="110"/>
      <c r="FX1621" s="110"/>
      <c r="FY1621" s="110"/>
      <c r="FZ1621" s="110"/>
      <c r="GA1621" s="110"/>
      <c r="GB1621" s="110"/>
      <c r="GC1621" s="110"/>
      <c r="GD1621" s="110"/>
      <c r="GE1621" s="110"/>
      <c r="GF1621" s="110"/>
      <c r="GG1621" s="110"/>
      <c r="GH1621" s="110"/>
      <c r="GI1621" s="110"/>
      <c r="GJ1621" s="110"/>
      <c r="GK1621" s="110"/>
      <c r="GL1621" s="110"/>
      <c r="GM1621" s="110"/>
      <c r="GN1621" s="110"/>
      <c r="GO1621" s="110"/>
      <c r="GP1621" s="110"/>
      <c r="GQ1621" s="110"/>
      <c r="GR1621" s="110"/>
      <c r="GS1621" s="110"/>
      <c r="GT1621" s="110"/>
      <c r="GU1621" s="110"/>
      <c r="GV1621" s="110"/>
      <c r="GW1621" s="110"/>
      <c r="GX1621" s="110"/>
      <c r="GY1621" s="110"/>
      <c r="GZ1621" s="110"/>
      <c r="HA1621" s="110"/>
      <c r="HB1621" s="110"/>
      <c r="HC1621" s="110"/>
      <c r="HD1621" s="110"/>
      <c r="HE1621" s="110"/>
      <c r="HF1621" s="110"/>
      <c r="HG1621" s="110"/>
      <c r="HH1621" s="110"/>
      <c r="HI1621" s="110"/>
      <c r="HJ1621" s="110"/>
      <c r="HK1621" s="110"/>
      <c r="HL1621" s="110"/>
      <c r="HM1621" s="110"/>
      <c r="HN1621" s="110"/>
      <c r="HO1621" s="110"/>
      <c r="HP1621" s="110"/>
      <c r="HQ1621" s="110"/>
      <c r="HR1621" s="110"/>
      <c r="HS1621" s="110"/>
      <c r="HT1621" s="110"/>
      <c r="HU1621" s="110"/>
      <c r="HV1621" s="110"/>
      <c r="HW1621" s="110"/>
      <c r="HX1621" s="110"/>
      <c r="HY1621" s="110"/>
      <c r="HZ1621" s="110"/>
      <c r="IA1621" s="110"/>
      <c r="IB1621" s="110"/>
      <c r="IC1621" s="110"/>
      <c r="ID1621" s="110"/>
      <c r="IE1621" s="110"/>
      <c r="IF1621" s="110"/>
      <c r="IG1621" s="110"/>
      <c r="IH1621" s="110"/>
      <c r="II1621" s="110"/>
      <c r="IJ1621" s="110"/>
      <c r="IK1621" s="110"/>
      <c r="IL1621" s="110"/>
      <c r="IM1621" s="110"/>
      <c r="IN1621" s="110"/>
      <c r="IO1621" s="110"/>
      <c r="IP1621" s="110"/>
      <c r="IQ1621" s="110"/>
      <c r="IR1621" s="110"/>
    </row>
    <row r="1622" spans="18:252" ht="16.5" hidden="1" customHeight="1">
      <c r="R1622" s="264"/>
      <c r="S1622" s="110"/>
      <c r="T1622" s="110"/>
      <c r="U1622" s="110"/>
      <c r="V1622" s="110"/>
      <c r="W1622" s="266"/>
      <c r="X1622" s="110"/>
      <c r="Y1622" s="110"/>
      <c r="Z1622" s="110"/>
      <c r="AA1622" s="110"/>
      <c r="AB1622" s="110"/>
      <c r="AC1622" s="110"/>
      <c r="AD1622" s="110"/>
      <c r="AE1622" s="110"/>
      <c r="AF1622" s="110"/>
      <c r="AG1622" s="110"/>
      <c r="AH1622" s="110"/>
      <c r="AI1622" s="110"/>
      <c r="AJ1622" s="110"/>
      <c r="AK1622" s="110"/>
      <c r="AL1622" s="110"/>
      <c r="AM1622" s="110"/>
      <c r="AN1622" s="110"/>
      <c r="AO1622" s="110"/>
      <c r="AP1622" s="110"/>
      <c r="AQ1622" s="110"/>
      <c r="AR1622" s="110"/>
      <c r="AS1622" s="110"/>
      <c r="AT1622" s="110"/>
      <c r="AU1622" s="110"/>
      <c r="AV1622" s="110"/>
      <c r="AW1622" s="110"/>
      <c r="AX1622" s="110"/>
      <c r="AY1622" s="110"/>
      <c r="AZ1622" s="110"/>
      <c r="BA1622" s="110"/>
      <c r="BB1622" s="110"/>
      <c r="BC1622" s="110"/>
      <c r="BD1622" s="110"/>
      <c r="BE1622" s="110"/>
      <c r="BF1622" s="110"/>
      <c r="BG1622" s="110"/>
      <c r="BH1622" s="110"/>
      <c r="BI1622" s="110"/>
      <c r="BJ1622" s="110"/>
      <c r="BK1622" s="110"/>
      <c r="BL1622" s="110"/>
      <c r="BM1622" s="110"/>
      <c r="BN1622" s="110"/>
      <c r="BO1622" s="110"/>
      <c r="BP1622" s="110"/>
      <c r="BQ1622" s="110"/>
      <c r="BR1622" s="110"/>
      <c r="BS1622" s="110"/>
      <c r="BT1622" s="110"/>
      <c r="BU1622" s="110"/>
      <c r="BV1622" s="110"/>
      <c r="BW1622" s="110"/>
      <c r="BX1622" s="110"/>
      <c r="BY1622" s="110"/>
      <c r="BZ1622" s="110"/>
      <c r="CA1622" s="110"/>
      <c r="CB1622" s="110"/>
      <c r="CC1622" s="110"/>
      <c r="CD1622" s="110"/>
      <c r="CE1622" s="110"/>
      <c r="CF1622" s="110"/>
      <c r="CG1622" s="110"/>
      <c r="CH1622" s="110"/>
      <c r="CI1622" s="110"/>
      <c r="CJ1622" s="110"/>
      <c r="CK1622" s="110"/>
      <c r="CL1622" s="110"/>
      <c r="CM1622" s="110"/>
      <c r="CN1622" s="110"/>
      <c r="CO1622" s="110"/>
      <c r="CP1622" s="110"/>
      <c r="CQ1622" s="110"/>
      <c r="CR1622" s="110"/>
      <c r="CS1622" s="110"/>
      <c r="CT1622" s="110"/>
      <c r="CU1622" s="110"/>
      <c r="CV1622" s="110"/>
      <c r="CW1622" s="110"/>
      <c r="CX1622" s="110"/>
      <c r="CY1622" s="110"/>
      <c r="CZ1622" s="110"/>
      <c r="DA1622" s="110"/>
      <c r="DB1622" s="110"/>
      <c r="DC1622" s="110"/>
      <c r="DD1622" s="110"/>
      <c r="DE1622" s="110"/>
      <c r="DF1622" s="110"/>
      <c r="DG1622" s="110"/>
      <c r="DH1622" s="110"/>
      <c r="DI1622" s="110"/>
      <c r="DJ1622" s="110"/>
      <c r="DK1622" s="110"/>
      <c r="DL1622" s="110"/>
      <c r="DM1622" s="110"/>
      <c r="DN1622" s="110"/>
      <c r="DO1622" s="110"/>
      <c r="DP1622" s="110"/>
      <c r="DQ1622" s="110"/>
      <c r="DR1622" s="110"/>
      <c r="DS1622" s="110"/>
      <c r="DT1622" s="110"/>
      <c r="DU1622" s="110"/>
      <c r="DV1622" s="110"/>
      <c r="DW1622" s="110"/>
      <c r="DX1622" s="110"/>
      <c r="DY1622" s="110"/>
      <c r="DZ1622" s="110"/>
      <c r="EA1622" s="110"/>
      <c r="EB1622" s="110"/>
      <c r="EC1622" s="110"/>
      <c r="ED1622" s="110"/>
      <c r="EF1622" s="264"/>
      <c r="EG1622" s="110"/>
      <c r="EH1622" s="110"/>
      <c r="EI1622" s="110"/>
      <c r="EJ1622" s="110"/>
      <c r="EK1622" s="266"/>
      <c r="EL1622" s="110"/>
      <c r="EM1622" s="110"/>
      <c r="EN1622" s="110"/>
      <c r="EO1622" s="110"/>
      <c r="EP1622" s="110"/>
      <c r="EQ1622" s="110"/>
      <c r="ER1622" s="110"/>
      <c r="ES1622" s="110"/>
      <c r="ET1622" s="110"/>
      <c r="EU1622" s="110"/>
      <c r="EV1622" s="110"/>
      <c r="EW1622" s="110"/>
      <c r="EX1622" s="110"/>
      <c r="EY1622" s="110"/>
      <c r="EZ1622" s="110"/>
      <c r="FA1622" s="110"/>
      <c r="FB1622" s="110"/>
      <c r="FC1622" s="110"/>
      <c r="FD1622" s="110"/>
      <c r="FE1622" s="110"/>
      <c r="FF1622" s="110"/>
      <c r="FG1622" s="110"/>
      <c r="FH1622" s="110"/>
      <c r="FI1622" s="110"/>
      <c r="FJ1622" s="110"/>
      <c r="FK1622" s="110"/>
      <c r="FL1622" s="110"/>
      <c r="FM1622" s="110"/>
      <c r="FN1622" s="110"/>
      <c r="FO1622" s="110"/>
      <c r="FP1622" s="110"/>
      <c r="FQ1622" s="110"/>
      <c r="FR1622" s="110"/>
      <c r="FS1622" s="110"/>
      <c r="FT1622" s="110"/>
      <c r="FU1622" s="110"/>
      <c r="FV1622" s="110"/>
      <c r="FW1622" s="110"/>
      <c r="FX1622" s="110"/>
      <c r="FY1622" s="110"/>
      <c r="FZ1622" s="110"/>
      <c r="GA1622" s="110"/>
      <c r="GB1622" s="110"/>
      <c r="GC1622" s="110"/>
      <c r="GD1622" s="110"/>
      <c r="GE1622" s="110"/>
      <c r="GF1622" s="110"/>
      <c r="GG1622" s="110"/>
      <c r="GH1622" s="110"/>
      <c r="GI1622" s="110"/>
      <c r="GJ1622" s="110"/>
      <c r="GK1622" s="110"/>
      <c r="GL1622" s="110"/>
      <c r="GM1622" s="110"/>
      <c r="GN1622" s="110"/>
      <c r="GO1622" s="110"/>
      <c r="GP1622" s="110"/>
      <c r="GQ1622" s="110"/>
      <c r="GR1622" s="110"/>
      <c r="GS1622" s="110"/>
      <c r="GT1622" s="110"/>
      <c r="GU1622" s="110"/>
      <c r="GV1622" s="110"/>
      <c r="GW1622" s="110"/>
      <c r="GX1622" s="110"/>
      <c r="GY1622" s="110"/>
      <c r="GZ1622" s="110"/>
      <c r="HA1622" s="110"/>
      <c r="HB1622" s="110"/>
      <c r="HC1622" s="110"/>
      <c r="HD1622" s="110"/>
      <c r="HE1622" s="110"/>
      <c r="HF1622" s="110"/>
      <c r="HG1622" s="110"/>
      <c r="HH1622" s="110"/>
      <c r="HI1622" s="110"/>
      <c r="HJ1622" s="110"/>
      <c r="HK1622" s="110"/>
      <c r="HL1622" s="110"/>
      <c r="HM1622" s="110"/>
      <c r="HN1622" s="110"/>
      <c r="HO1622" s="110"/>
      <c r="HP1622" s="110"/>
      <c r="HQ1622" s="110"/>
      <c r="HR1622" s="110"/>
      <c r="HS1622" s="110"/>
      <c r="HT1622" s="110"/>
      <c r="HU1622" s="110"/>
      <c r="HV1622" s="110"/>
      <c r="HW1622" s="110"/>
      <c r="HX1622" s="110"/>
      <c r="HY1622" s="110"/>
      <c r="HZ1622" s="110"/>
      <c r="IA1622" s="110"/>
      <c r="IB1622" s="110"/>
      <c r="IC1622" s="110"/>
      <c r="ID1622" s="110"/>
      <c r="IE1622" s="110"/>
      <c r="IF1622" s="110"/>
      <c r="IG1622" s="110"/>
      <c r="IH1622" s="110"/>
      <c r="II1622" s="110"/>
      <c r="IJ1622" s="110"/>
      <c r="IK1622" s="110"/>
      <c r="IL1622" s="110"/>
      <c r="IM1622" s="110"/>
      <c r="IN1622" s="110"/>
      <c r="IO1622" s="110"/>
      <c r="IP1622" s="110"/>
      <c r="IQ1622" s="110"/>
      <c r="IR1622" s="110"/>
    </row>
    <row r="1623" spans="18:252" ht="16.5" hidden="1" customHeight="1">
      <c r="R1623" s="264"/>
      <c r="S1623" s="110"/>
      <c r="T1623" s="110"/>
      <c r="U1623" s="110"/>
      <c r="V1623" s="110"/>
      <c r="W1623" s="266"/>
      <c r="X1623" s="110"/>
      <c r="Y1623" s="110"/>
      <c r="Z1623" s="110"/>
      <c r="AA1623" s="110"/>
      <c r="AB1623" s="110"/>
      <c r="AC1623" s="110"/>
      <c r="AD1623" s="110"/>
      <c r="AE1623" s="110"/>
      <c r="AF1623" s="110"/>
      <c r="AG1623" s="110"/>
      <c r="AH1623" s="110"/>
      <c r="AI1623" s="110"/>
      <c r="AJ1623" s="110"/>
      <c r="AK1623" s="110"/>
      <c r="AL1623" s="110"/>
      <c r="AM1623" s="110"/>
      <c r="AN1623" s="110"/>
      <c r="AO1623" s="110"/>
      <c r="AP1623" s="110"/>
      <c r="AQ1623" s="110"/>
      <c r="AR1623" s="110"/>
      <c r="AS1623" s="110"/>
      <c r="AT1623" s="110"/>
      <c r="AU1623" s="110"/>
      <c r="AV1623" s="110"/>
      <c r="AW1623" s="110"/>
      <c r="AX1623" s="110"/>
      <c r="AY1623" s="110"/>
      <c r="AZ1623" s="110"/>
      <c r="BA1623" s="110"/>
      <c r="BB1623" s="110"/>
      <c r="BC1623" s="110"/>
      <c r="BD1623" s="110"/>
      <c r="BE1623" s="110"/>
      <c r="BF1623" s="110"/>
      <c r="BG1623" s="110"/>
      <c r="BH1623" s="110"/>
      <c r="BI1623" s="110"/>
      <c r="BJ1623" s="110"/>
      <c r="BK1623" s="110"/>
      <c r="BL1623" s="110"/>
      <c r="BM1623" s="110"/>
      <c r="BN1623" s="110"/>
      <c r="BO1623" s="110"/>
      <c r="BP1623" s="110"/>
      <c r="BQ1623" s="110"/>
      <c r="BR1623" s="110"/>
      <c r="BS1623" s="110"/>
      <c r="BT1623" s="110"/>
      <c r="BU1623" s="110"/>
      <c r="BV1623" s="110"/>
      <c r="BW1623" s="110"/>
      <c r="BX1623" s="110"/>
      <c r="BY1623" s="110"/>
      <c r="BZ1623" s="110"/>
      <c r="CA1623" s="110"/>
      <c r="CB1623" s="110"/>
      <c r="CC1623" s="110"/>
      <c r="CD1623" s="110"/>
      <c r="CE1623" s="110"/>
      <c r="CF1623" s="110"/>
      <c r="CG1623" s="110"/>
      <c r="CH1623" s="110"/>
      <c r="CI1623" s="110"/>
      <c r="CJ1623" s="110"/>
      <c r="CK1623" s="110"/>
      <c r="CL1623" s="110"/>
      <c r="CM1623" s="110"/>
      <c r="CN1623" s="110"/>
      <c r="CO1623" s="110"/>
      <c r="CP1623" s="110"/>
      <c r="CQ1623" s="110"/>
      <c r="CR1623" s="110"/>
      <c r="CS1623" s="110"/>
      <c r="CT1623" s="110"/>
      <c r="CU1623" s="110"/>
      <c r="CV1623" s="110"/>
      <c r="CW1623" s="110"/>
      <c r="CX1623" s="110"/>
      <c r="CY1623" s="110"/>
      <c r="CZ1623" s="110"/>
      <c r="DA1623" s="110"/>
      <c r="DB1623" s="110"/>
      <c r="DC1623" s="110"/>
      <c r="DD1623" s="110"/>
      <c r="DE1623" s="110"/>
      <c r="DF1623" s="110"/>
      <c r="DG1623" s="110"/>
      <c r="DH1623" s="110"/>
      <c r="DI1623" s="110"/>
      <c r="DJ1623" s="110"/>
      <c r="DK1623" s="110"/>
      <c r="DL1623" s="110"/>
      <c r="DM1623" s="110"/>
      <c r="DN1623" s="110"/>
      <c r="DO1623" s="110"/>
      <c r="DP1623" s="110"/>
      <c r="DQ1623" s="110"/>
      <c r="DR1623" s="110"/>
      <c r="DS1623" s="110"/>
      <c r="DT1623" s="110"/>
      <c r="DU1623" s="110"/>
      <c r="DV1623" s="110"/>
      <c r="DW1623" s="110"/>
      <c r="DX1623" s="110"/>
      <c r="DY1623" s="110"/>
      <c r="DZ1623" s="110"/>
      <c r="EA1623" s="110"/>
      <c r="EB1623" s="110"/>
      <c r="EC1623" s="110"/>
      <c r="ED1623" s="110"/>
      <c r="EF1623" s="264"/>
      <c r="EG1623" s="110"/>
      <c r="EH1623" s="110"/>
      <c r="EI1623" s="110"/>
      <c r="EJ1623" s="110"/>
      <c r="EK1623" s="266"/>
      <c r="EL1623" s="110"/>
      <c r="EM1623" s="110"/>
      <c r="EN1623" s="110"/>
      <c r="EO1623" s="110"/>
      <c r="EP1623" s="110"/>
      <c r="EQ1623" s="110"/>
      <c r="ER1623" s="110"/>
      <c r="ES1623" s="110"/>
      <c r="ET1623" s="110"/>
      <c r="EU1623" s="110"/>
      <c r="EV1623" s="110"/>
      <c r="EW1623" s="110"/>
      <c r="EX1623" s="110"/>
      <c r="EY1623" s="110"/>
      <c r="EZ1623" s="110"/>
      <c r="FA1623" s="110"/>
      <c r="FB1623" s="110"/>
      <c r="FC1623" s="110"/>
      <c r="FD1623" s="110"/>
      <c r="FE1623" s="110"/>
      <c r="FF1623" s="110"/>
      <c r="FG1623" s="110"/>
      <c r="FH1623" s="110"/>
      <c r="FI1623" s="110"/>
      <c r="FJ1623" s="110"/>
      <c r="FK1623" s="110"/>
      <c r="FL1623" s="110"/>
      <c r="FM1623" s="110"/>
      <c r="FN1623" s="110"/>
      <c r="FO1623" s="110"/>
      <c r="FP1623" s="110"/>
      <c r="FQ1623" s="110"/>
      <c r="FR1623" s="110"/>
      <c r="FS1623" s="110"/>
      <c r="FT1623" s="110"/>
      <c r="FU1623" s="110"/>
      <c r="FV1623" s="110"/>
      <c r="FW1623" s="110"/>
      <c r="FX1623" s="110"/>
      <c r="FY1623" s="110"/>
      <c r="FZ1623" s="110"/>
      <c r="GA1623" s="110"/>
      <c r="GB1623" s="110"/>
      <c r="GC1623" s="110"/>
      <c r="GD1623" s="110"/>
      <c r="GE1623" s="110"/>
      <c r="GF1623" s="110"/>
      <c r="GG1623" s="110"/>
      <c r="GH1623" s="110"/>
      <c r="GI1623" s="110"/>
      <c r="GJ1623" s="110"/>
      <c r="GK1623" s="110"/>
      <c r="GL1623" s="110"/>
      <c r="GM1623" s="110"/>
      <c r="GN1623" s="110"/>
      <c r="GO1623" s="110"/>
      <c r="GP1623" s="110"/>
      <c r="GQ1623" s="110"/>
      <c r="GR1623" s="110"/>
      <c r="GS1623" s="110"/>
      <c r="GT1623" s="110"/>
      <c r="GU1623" s="110"/>
      <c r="GV1623" s="110"/>
      <c r="GW1623" s="110"/>
      <c r="GX1623" s="110"/>
      <c r="GY1623" s="110"/>
      <c r="GZ1623" s="110"/>
      <c r="HA1623" s="110"/>
      <c r="HB1623" s="110"/>
      <c r="HC1623" s="110"/>
      <c r="HD1623" s="110"/>
      <c r="HE1623" s="110"/>
      <c r="HF1623" s="110"/>
      <c r="HG1623" s="110"/>
      <c r="HH1623" s="110"/>
      <c r="HI1623" s="110"/>
      <c r="HJ1623" s="110"/>
      <c r="HK1623" s="110"/>
      <c r="HL1623" s="110"/>
      <c r="HM1623" s="110"/>
      <c r="HN1623" s="110"/>
      <c r="HO1623" s="110"/>
      <c r="HP1623" s="110"/>
      <c r="HQ1623" s="110"/>
      <c r="HR1623" s="110"/>
      <c r="HS1623" s="110"/>
      <c r="HT1623" s="110"/>
      <c r="HU1623" s="110"/>
      <c r="HV1623" s="110"/>
      <c r="HW1623" s="110"/>
      <c r="HX1623" s="110"/>
      <c r="HY1623" s="110"/>
      <c r="HZ1623" s="110"/>
      <c r="IA1623" s="110"/>
      <c r="IB1623" s="110"/>
      <c r="IC1623" s="110"/>
      <c r="ID1623" s="110"/>
      <c r="IE1623" s="110"/>
      <c r="IF1623" s="110"/>
      <c r="IG1623" s="110"/>
      <c r="IH1623" s="110"/>
      <c r="II1623" s="110"/>
      <c r="IJ1623" s="110"/>
      <c r="IK1623" s="110"/>
      <c r="IL1623" s="110"/>
      <c r="IM1623" s="110"/>
      <c r="IN1623" s="110"/>
      <c r="IO1623" s="110"/>
      <c r="IP1623" s="110"/>
      <c r="IQ1623" s="110"/>
      <c r="IR1623" s="110"/>
    </row>
    <row r="1624" spans="18:252" ht="16.5" hidden="1" customHeight="1">
      <c r="R1624" s="264"/>
      <c r="S1624" s="110"/>
      <c r="T1624" s="110"/>
      <c r="U1624" s="110"/>
      <c r="V1624" s="110"/>
      <c r="W1624" s="266"/>
      <c r="X1624" s="110"/>
      <c r="Y1624" s="110"/>
      <c r="Z1624" s="110"/>
      <c r="AA1624" s="110"/>
      <c r="AB1624" s="110"/>
      <c r="AC1624" s="110"/>
      <c r="AD1624" s="110"/>
      <c r="AE1624" s="110"/>
      <c r="AF1624" s="110"/>
      <c r="AG1624" s="110"/>
      <c r="AH1624" s="110"/>
      <c r="AI1624" s="110"/>
      <c r="AJ1624" s="110"/>
      <c r="AK1624" s="110"/>
      <c r="AL1624" s="110"/>
      <c r="AM1624" s="110"/>
      <c r="AN1624" s="110"/>
      <c r="AO1624" s="110"/>
      <c r="AP1624" s="110"/>
      <c r="AQ1624" s="110"/>
      <c r="AR1624" s="110"/>
      <c r="AS1624" s="110"/>
      <c r="AT1624" s="110"/>
      <c r="AU1624" s="110"/>
      <c r="AV1624" s="110"/>
      <c r="AW1624" s="110"/>
      <c r="AX1624" s="110"/>
      <c r="AY1624" s="110"/>
      <c r="AZ1624" s="110"/>
      <c r="BA1624" s="110"/>
      <c r="BB1624" s="110"/>
      <c r="BC1624" s="110"/>
      <c r="BD1624" s="110"/>
      <c r="BE1624" s="110"/>
      <c r="BF1624" s="110"/>
      <c r="BG1624" s="110"/>
      <c r="BH1624" s="110"/>
      <c r="BI1624" s="110"/>
      <c r="BJ1624" s="110"/>
      <c r="BK1624" s="110"/>
      <c r="BL1624" s="110"/>
      <c r="BM1624" s="110"/>
      <c r="BN1624" s="110"/>
      <c r="BO1624" s="110"/>
      <c r="BP1624" s="110"/>
      <c r="BQ1624" s="110"/>
      <c r="BR1624" s="110"/>
      <c r="BS1624" s="110"/>
      <c r="BT1624" s="110"/>
      <c r="BU1624" s="110"/>
      <c r="BV1624" s="110"/>
      <c r="BW1624" s="110"/>
      <c r="BX1624" s="110"/>
      <c r="BY1624" s="110"/>
      <c r="BZ1624" s="110"/>
      <c r="CA1624" s="110"/>
      <c r="CB1624" s="110"/>
      <c r="CC1624" s="110"/>
      <c r="CD1624" s="110"/>
      <c r="CE1624" s="110"/>
      <c r="CF1624" s="110"/>
      <c r="CG1624" s="110"/>
      <c r="CH1624" s="110"/>
      <c r="CI1624" s="110"/>
      <c r="CJ1624" s="110"/>
      <c r="CK1624" s="110"/>
      <c r="CL1624" s="110"/>
      <c r="CM1624" s="110"/>
      <c r="CN1624" s="110"/>
      <c r="CO1624" s="110"/>
      <c r="CP1624" s="110"/>
      <c r="CQ1624" s="110"/>
      <c r="CR1624" s="110"/>
      <c r="CS1624" s="110"/>
      <c r="CT1624" s="110"/>
      <c r="CU1624" s="110"/>
      <c r="CV1624" s="110"/>
      <c r="CW1624" s="110"/>
      <c r="CX1624" s="110"/>
      <c r="CY1624" s="110"/>
      <c r="CZ1624" s="110"/>
      <c r="DA1624" s="110"/>
      <c r="DB1624" s="110"/>
      <c r="DC1624" s="110"/>
      <c r="DD1624" s="110"/>
      <c r="DE1624" s="110"/>
      <c r="DF1624" s="110"/>
      <c r="DG1624" s="110"/>
      <c r="DH1624" s="110"/>
      <c r="DI1624" s="110"/>
      <c r="DJ1624" s="110"/>
      <c r="DK1624" s="110"/>
      <c r="DL1624" s="110"/>
      <c r="DM1624" s="110"/>
      <c r="DN1624" s="110"/>
      <c r="DO1624" s="110"/>
      <c r="DP1624" s="110"/>
      <c r="DQ1624" s="110"/>
      <c r="DR1624" s="110"/>
      <c r="DS1624" s="110"/>
      <c r="DT1624" s="110"/>
      <c r="DU1624" s="110"/>
      <c r="DV1624" s="110"/>
      <c r="DW1624" s="110"/>
      <c r="DX1624" s="110"/>
      <c r="DY1624" s="110"/>
      <c r="DZ1624" s="110"/>
      <c r="EA1624" s="110"/>
      <c r="EB1624" s="110"/>
      <c r="EC1624" s="110"/>
      <c r="ED1624" s="110"/>
      <c r="EF1624" s="264"/>
      <c r="EG1624" s="110"/>
      <c r="EH1624" s="110"/>
      <c r="EI1624" s="110"/>
      <c r="EJ1624" s="110"/>
      <c r="EK1624" s="266"/>
      <c r="EL1624" s="110"/>
      <c r="EM1624" s="110"/>
      <c r="EN1624" s="110"/>
      <c r="EO1624" s="110"/>
      <c r="EP1624" s="110"/>
      <c r="EQ1624" s="110"/>
      <c r="ER1624" s="110"/>
      <c r="ES1624" s="110"/>
      <c r="ET1624" s="110"/>
      <c r="EU1624" s="110"/>
      <c r="EV1624" s="110"/>
      <c r="EW1624" s="110"/>
      <c r="EX1624" s="110"/>
      <c r="EY1624" s="110"/>
      <c r="EZ1624" s="110"/>
      <c r="FA1624" s="110"/>
      <c r="FB1624" s="110"/>
      <c r="FC1624" s="110"/>
      <c r="FD1624" s="110"/>
      <c r="FE1624" s="110"/>
      <c r="FF1624" s="110"/>
      <c r="FG1624" s="110"/>
      <c r="FH1624" s="110"/>
      <c r="FI1624" s="110"/>
      <c r="FJ1624" s="110"/>
      <c r="FK1624" s="110"/>
      <c r="FL1624" s="110"/>
      <c r="FM1624" s="110"/>
      <c r="FN1624" s="110"/>
      <c r="FO1624" s="110"/>
      <c r="FP1624" s="110"/>
      <c r="FQ1624" s="110"/>
      <c r="FR1624" s="110"/>
      <c r="FS1624" s="110"/>
      <c r="FT1624" s="110"/>
      <c r="FU1624" s="110"/>
      <c r="FV1624" s="110"/>
      <c r="FW1624" s="110"/>
      <c r="FX1624" s="110"/>
      <c r="FY1624" s="110"/>
      <c r="FZ1624" s="110"/>
      <c r="GA1624" s="110"/>
      <c r="GB1624" s="110"/>
      <c r="GC1624" s="110"/>
      <c r="GD1624" s="110"/>
      <c r="GE1624" s="110"/>
      <c r="GF1624" s="110"/>
      <c r="GG1624" s="110"/>
      <c r="GH1624" s="110"/>
      <c r="GI1624" s="110"/>
      <c r="GJ1624" s="110"/>
      <c r="GK1624" s="110"/>
      <c r="GL1624" s="110"/>
      <c r="GM1624" s="110"/>
      <c r="GN1624" s="110"/>
      <c r="GO1624" s="110"/>
      <c r="GP1624" s="110"/>
      <c r="GQ1624" s="110"/>
      <c r="GR1624" s="110"/>
      <c r="GS1624" s="110"/>
      <c r="GT1624" s="110"/>
      <c r="GU1624" s="110"/>
      <c r="GV1624" s="110"/>
      <c r="GW1624" s="110"/>
      <c r="GX1624" s="110"/>
      <c r="GY1624" s="110"/>
      <c r="GZ1624" s="110"/>
      <c r="HA1624" s="110"/>
      <c r="HB1624" s="110"/>
      <c r="HC1624" s="110"/>
      <c r="HD1624" s="110"/>
      <c r="HE1624" s="110"/>
      <c r="HF1624" s="110"/>
      <c r="HG1624" s="110"/>
      <c r="HH1624" s="110"/>
      <c r="HI1624" s="110"/>
      <c r="HJ1624" s="110"/>
      <c r="HK1624" s="110"/>
      <c r="HL1624" s="110"/>
      <c r="HM1624" s="110"/>
      <c r="HN1624" s="110"/>
      <c r="HO1624" s="110"/>
      <c r="HP1624" s="110"/>
      <c r="HQ1624" s="110"/>
      <c r="HR1624" s="110"/>
      <c r="HS1624" s="110"/>
      <c r="HT1624" s="110"/>
      <c r="HU1624" s="110"/>
      <c r="HV1624" s="110"/>
      <c r="HW1624" s="110"/>
      <c r="HX1624" s="110"/>
      <c r="HY1624" s="110"/>
      <c r="HZ1624" s="110"/>
      <c r="IA1624" s="110"/>
      <c r="IB1624" s="110"/>
      <c r="IC1624" s="110"/>
      <c r="ID1624" s="110"/>
      <c r="IE1624" s="110"/>
      <c r="IF1624" s="110"/>
      <c r="IG1624" s="110"/>
      <c r="IH1624" s="110"/>
      <c r="II1624" s="110"/>
      <c r="IJ1624" s="110"/>
      <c r="IK1624" s="110"/>
      <c r="IL1624" s="110"/>
      <c r="IM1624" s="110"/>
      <c r="IN1624" s="110"/>
      <c r="IO1624" s="110"/>
      <c r="IP1624" s="110"/>
      <c r="IQ1624" s="110"/>
      <c r="IR1624" s="110"/>
    </row>
    <row r="1625" spans="18:252" ht="16.5" hidden="1" customHeight="1">
      <c r="R1625" s="264"/>
      <c r="S1625" s="110"/>
      <c r="T1625" s="110"/>
      <c r="U1625" s="110"/>
      <c r="V1625" s="110"/>
      <c r="W1625" s="266"/>
      <c r="X1625" s="110"/>
      <c r="Y1625" s="110"/>
      <c r="Z1625" s="110"/>
      <c r="AA1625" s="110"/>
      <c r="AB1625" s="110"/>
      <c r="AC1625" s="110"/>
      <c r="AD1625" s="110"/>
      <c r="AE1625" s="110"/>
      <c r="AF1625" s="110"/>
      <c r="AG1625" s="110"/>
      <c r="AH1625" s="110"/>
      <c r="AI1625" s="110"/>
      <c r="AJ1625" s="110"/>
      <c r="AK1625" s="110"/>
      <c r="AL1625" s="110"/>
      <c r="AM1625" s="110"/>
      <c r="AN1625" s="110"/>
      <c r="AO1625" s="110"/>
      <c r="AP1625" s="110"/>
      <c r="AQ1625" s="110"/>
      <c r="AR1625" s="110"/>
      <c r="AS1625" s="110"/>
      <c r="AT1625" s="110"/>
      <c r="AU1625" s="110"/>
      <c r="AV1625" s="110"/>
      <c r="AW1625" s="110"/>
      <c r="AX1625" s="110"/>
      <c r="AY1625" s="110"/>
      <c r="AZ1625" s="110"/>
      <c r="BA1625" s="110"/>
      <c r="BB1625" s="110"/>
      <c r="BC1625" s="110"/>
      <c r="BD1625" s="110"/>
      <c r="BE1625" s="110"/>
      <c r="BF1625" s="110"/>
      <c r="BG1625" s="110"/>
      <c r="BH1625" s="110"/>
      <c r="BI1625" s="110"/>
      <c r="BJ1625" s="110"/>
      <c r="BK1625" s="110"/>
      <c r="BL1625" s="110"/>
      <c r="BM1625" s="110"/>
      <c r="BN1625" s="110"/>
      <c r="BO1625" s="110"/>
      <c r="BP1625" s="110"/>
      <c r="BQ1625" s="110"/>
      <c r="BR1625" s="110"/>
      <c r="BS1625" s="110"/>
      <c r="BT1625" s="110"/>
      <c r="BU1625" s="110"/>
      <c r="BV1625" s="110"/>
      <c r="BW1625" s="110"/>
      <c r="BX1625" s="110"/>
      <c r="BY1625" s="110"/>
      <c r="BZ1625" s="110"/>
      <c r="CA1625" s="110"/>
      <c r="CB1625" s="110"/>
      <c r="CC1625" s="110"/>
      <c r="CD1625" s="110"/>
      <c r="CE1625" s="110"/>
      <c r="CF1625" s="110"/>
      <c r="CG1625" s="110"/>
      <c r="CH1625" s="110"/>
      <c r="CI1625" s="110"/>
      <c r="CJ1625" s="110"/>
      <c r="CK1625" s="110"/>
      <c r="CL1625" s="110"/>
      <c r="CM1625" s="110"/>
      <c r="CN1625" s="110"/>
      <c r="CO1625" s="110"/>
      <c r="CP1625" s="110"/>
      <c r="CQ1625" s="110"/>
      <c r="CR1625" s="110"/>
      <c r="CS1625" s="110"/>
      <c r="CT1625" s="110"/>
      <c r="CU1625" s="110"/>
      <c r="CV1625" s="110"/>
      <c r="CW1625" s="110"/>
      <c r="CX1625" s="110"/>
      <c r="CY1625" s="110"/>
      <c r="CZ1625" s="110"/>
      <c r="DA1625" s="110"/>
      <c r="DB1625" s="110"/>
      <c r="DC1625" s="110"/>
      <c r="DD1625" s="110"/>
      <c r="DE1625" s="110"/>
      <c r="DF1625" s="110"/>
      <c r="DG1625" s="110"/>
      <c r="DH1625" s="110"/>
      <c r="DI1625" s="110"/>
      <c r="DJ1625" s="110"/>
      <c r="DK1625" s="110"/>
      <c r="DL1625" s="110"/>
      <c r="DM1625" s="110"/>
      <c r="DN1625" s="110"/>
      <c r="DO1625" s="110"/>
      <c r="DP1625" s="110"/>
      <c r="DQ1625" s="110"/>
      <c r="DR1625" s="110"/>
      <c r="DS1625" s="110"/>
      <c r="DT1625" s="110"/>
      <c r="DU1625" s="110"/>
      <c r="DV1625" s="110"/>
      <c r="DW1625" s="110"/>
      <c r="DX1625" s="110"/>
      <c r="DY1625" s="110"/>
      <c r="DZ1625" s="110"/>
      <c r="EA1625" s="110"/>
      <c r="EB1625" s="110"/>
      <c r="EC1625" s="110"/>
      <c r="ED1625" s="110"/>
      <c r="EF1625" s="264"/>
      <c r="EG1625" s="110"/>
      <c r="EH1625" s="110"/>
      <c r="EI1625" s="110"/>
      <c r="EJ1625" s="110"/>
      <c r="EK1625" s="266"/>
      <c r="EL1625" s="110"/>
      <c r="EM1625" s="110"/>
      <c r="EN1625" s="110"/>
      <c r="EO1625" s="110"/>
      <c r="EP1625" s="110"/>
      <c r="EQ1625" s="110"/>
      <c r="ER1625" s="110"/>
      <c r="ES1625" s="110"/>
      <c r="ET1625" s="110"/>
      <c r="EU1625" s="110"/>
      <c r="EV1625" s="110"/>
      <c r="EW1625" s="110"/>
      <c r="EX1625" s="110"/>
      <c r="EY1625" s="110"/>
      <c r="EZ1625" s="110"/>
      <c r="FA1625" s="110"/>
      <c r="FB1625" s="110"/>
      <c r="FC1625" s="110"/>
      <c r="FD1625" s="110"/>
      <c r="FE1625" s="110"/>
      <c r="FF1625" s="110"/>
      <c r="FG1625" s="110"/>
      <c r="FH1625" s="110"/>
      <c r="FI1625" s="110"/>
      <c r="FJ1625" s="110"/>
      <c r="FK1625" s="110"/>
      <c r="FL1625" s="110"/>
      <c r="FM1625" s="110"/>
      <c r="FN1625" s="110"/>
      <c r="FO1625" s="110"/>
      <c r="FP1625" s="110"/>
      <c r="FQ1625" s="110"/>
      <c r="FR1625" s="110"/>
      <c r="FS1625" s="110"/>
      <c r="FT1625" s="110"/>
      <c r="FU1625" s="110"/>
      <c r="FV1625" s="110"/>
      <c r="FW1625" s="110"/>
      <c r="FX1625" s="110"/>
      <c r="FY1625" s="110"/>
      <c r="FZ1625" s="110"/>
      <c r="GA1625" s="110"/>
      <c r="GB1625" s="110"/>
      <c r="GC1625" s="110"/>
      <c r="GD1625" s="110"/>
      <c r="GE1625" s="110"/>
      <c r="GF1625" s="110"/>
      <c r="GG1625" s="110"/>
      <c r="GH1625" s="110"/>
      <c r="GI1625" s="110"/>
      <c r="GJ1625" s="110"/>
      <c r="GK1625" s="110"/>
      <c r="GL1625" s="110"/>
      <c r="GM1625" s="110"/>
      <c r="GN1625" s="110"/>
      <c r="GO1625" s="110"/>
      <c r="GP1625" s="110"/>
      <c r="GQ1625" s="110"/>
      <c r="GR1625" s="110"/>
      <c r="GS1625" s="110"/>
      <c r="GT1625" s="110"/>
      <c r="GU1625" s="110"/>
      <c r="GV1625" s="110"/>
      <c r="GW1625" s="110"/>
      <c r="GX1625" s="110"/>
      <c r="GY1625" s="110"/>
      <c r="GZ1625" s="110"/>
      <c r="HA1625" s="110"/>
      <c r="HB1625" s="110"/>
      <c r="HC1625" s="110"/>
      <c r="HD1625" s="110"/>
      <c r="HE1625" s="110"/>
      <c r="HF1625" s="110"/>
      <c r="HG1625" s="110"/>
      <c r="HH1625" s="110"/>
      <c r="HI1625" s="110"/>
      <c r="HJ1625" s="110"/>
      <c r="HK1625" s="110"/>
      <c r="HL1625" s="110"/>
      <c r="HM1625" s="110"/>
      <c r="HN1625" s="110"/>
      <c r="HO1625" s="110"/>
      <c r="HP1625" s="110"/>
      <c r="HQ1625" s="110"/>
      <c r="HR1625" s="110"/>
      <c r="HS1625" s="110"/>
      <c r="HT1625" s="110"/>
      <c r="HU1625" s="110"/>
      <c r="HV1625" s="110"/>
      <c r="HW1625" s="110"/>
      <c r="HX1625" s="110"/>
      <c r="HY1625" s="110"/>
      <c r="HZ1625" s="110"/>
      <c r="IA1625" s="110"/>
      <c r="IB1625" s="110"/>
      <c r="IC1625" s="110"/>
      <c r="ID1625" s="110"/>
      <c r="IE1625" s="110"/>
      <c r="IF1625" s="110"/>
      <c r="IG1625" s="110"/>
      <c r="IH1625" s="110"/>
      <c r="II1625" s="110"/>
      <c r="IJ1625" s="110"/>
      <c r="IK1625" s="110"/>
      <c r="IL1625" s="110"/>
      <c r="IM1625" s="110"/>
      <c r="IN1625" s="110"/>
      <c r="IO1625" s="110"/>
      <c r="IP1625" s="110"/>
      <c r="IQ1625" s="110"/>
      <c r="IR1625" s="110"/>
    </row>
    <row r="1626" spans="18:252" ht="16.5" hidden="1" customHeight="1">
      <c r="R1626" s="264"/>
      <c r="S1626" s="110"/>
      <c r="T1626" s="110"/>
      <c r="U1626" s="110"/>
      <c r="V1626" s="110"/>
      <c r="W1626" s="266"/>
      <c r="X1626" s="110"/>
      <c r="Y1626" s="110"/>
      <c r="Z1626" s="110"/>
      <c r="AA1626" s="110"/>
      <c r="AB1626" s="110"/>
      <c r="AC1626" s="110"/>
      <c r="AD1626" s="110"/>
      <c r="AE1626" s="110"/>
      <c r="AF1626" s="110"/>
      <c r="AG1626" s="110"/>
      <c r="AH1626" s="110"/>
      <c r="AI1626" s="110"/>
      <c r="AJ1626" s="110"/>
      <c r="AK1626" s="110"/>
      <c r="AL1626" s="110"/>
      <c r="AM1626" s="110"/>
      <c r="AN1626" s="110"/>
      <c r="AO1626" s="110"/>
      <c r="AP1626" s="110"/>
      <c r="AQ1626" s="110"/>
      <c r="AR1626" s="110"/>
      <c r="AS1626" s="110"/>
      <c r="AT1626" s="110"/>
      <c r="AU1626" s="110"/>
      <c r="AV1626" s="110"/>
      <c r="AW1626" s="110"/>
      <c r="AX1626" s="110"/>
      <c r="AY1626" s="110"/>
      <c r="AZ1626" s="110"/>
      <c r="BA1626" s="110"/>
      <c r="BB1626" s="110"/>
      <c r="BC1626" s="110"/>
      <c r="BD1626" s="110"/>
      <c r="BE1626" s="110"/>
      <c r="BF1626" s="110"/>
      <c r="BG1626" s="110"/>
      <c r="BH1626" s="110"/>
      <c r="BI1626" s="110"/>
      <c r="BJ1626" s="110"/>
      <c r="BK1626" s="110"/>
      <c r="BL1626" s="110"/>
      <c r="BM1626" s="110"/>
      <c r="BN1626" s="110"/>
      <c r="BO1626" s="110"/>
      <c r="BP1626" s="110"/>
      <c r="BQ1626" s="110"/>
      <c r="BR1626" s="110"/>
      <c r="BS1626" s="110"/>
      <c r="BT1626" s="110"/>
      <c r="BU1626" s="110"/>
      <c r="BV1626" s="110"/>
      <c r="BW1626" s="110"/>
      <c r="BX1626" s="110"/>
      <c r="BY1626" s="110"/>
      <c r="BZ1626" s="110"/>
      <c r="CA1626" s="110"/>
      <c r="CB1626" s="110"/>
      <c r="CC1626" s="110"/>
      <c r="CD1626" s="110"/>
      <c r="CE1626" s="110"/>
      <c r="CF1626" s="110"/>
      <c r="CG1626" s="110"/>
      <c r="CH1626" s="110"/>
      <c r="CI1626" s="110"/>
      <c r="CJ1626" s="110"/>
      <c r="CK1626" s="110"/>
      <c r="CL1626" s="110"/>
      <c r="CM1626" s="110"/>
      <c r="CN1626" s="110"/>
      <c r="CO1626" s="110"/>
      <c r="CP1626" s="110"/>
      <c r="CQ1626" s="110"/>
      <c r="CR1626" s="110"/>
      <c r="CS1626" s="110"/>
      <c r="CT1626" s="110"/>
      <c r="CU1626" s="110"/>
      <c r="CV1626" s="110"/>
      <c r="CW1626" s="110"/>
      <c r="CX1626" s="110"/>
      <c r="CY1626" s="110"/>
      <c r="CZ1626" s="110"/>
      <c r="DA1626" s="110"/>
      <c r="DB1626" s="110"/>
      <c r="DC1626" s="110"/>
      <c r="DD1626" s="110"/>
      <c r="DE1626" s="110"/>
      <c r="DF1626" s="110"/>
      <c r="DG1626" s="110"/>
      <c r="DH1626" s="110"/>
      <c r="DI1626" s="110"/>
      <c r="DJ1626" s="110"/>
      <c r="DK1626" s="110"/>
      <c r="DL1626" s="110"/>
      <c r="DM1626" s="110"/>
      <c r="DN1626" s="110"/>
      <c r="DO1626" s="110"/>
      <c r="DP1626" s="110"/>
      <c r="DQ1626" s="110"/>
      <c r="DR1626" s="110"/>
      <c r="DS1626" s="110"/>
      <c r="DT1626" s="110"/>
      <c r="DU1626" s="110"/>
      <c r="DV1626" s="110"/>
      <c r="DW1626" s="110"/>
      <c r="DX1626" s="110"/>
      <c r="DY1626" s="110"/>
      <c r="DZ1626" s="110"/>
      <c r="EA1626" s="110"/>
      <c r="EB1626" s="110"/>
      <c r="EC1626" s="110"/>
      <c r="ED1626" s="110"/>
      <c r="EF1626" s="264"/>
      <c r="EG1626" s="110"/>
      <c r="EH1626" s="110"/>
      <c r="EI1626" s="110"/>
      <c r="EJ1626" s="110"/>
      <c r="EK1626" s="266"/>
      <c r="EL1626" s="110"/>
      <c r="EM1626" s="110"/>
      <c r="EN1626" s="110"/>
      <c r="EO1626" s="110"/>
      <c r="EP1626" s="110"/>
      <c r="EQ1626" s="110"/>
      <c r="ER1626" s="110"/>
      <c r="ES1626" s="110"/>
      <c r="ET1626" s="110"/>
      <c r="EU1626" s="110"/>
      <c r="EV1626" s="110"/>
      <c r="EW1626" s="110"/>
      <c r="EX1626" s="110"/>
      <c r="EY1626" s="110"/>
      <c r="EZ1626" s="110"/>
      <c r="FA1626" s="110"/>
      <c r="FB1626" s="110"/>
      <c r="FC1626" s="110"/>
      <c r="FD1626" s="110"/>
      <c r="FE1626" s="110"/>
      <c r="FF1626" s="110"/>
      <c r="FG1626" s="110"/>
      <c r="FH1626" s="110"/>
      <c r="FI1626" s="110"/>
      <c r="FJ1626" s="110"/>
      <c r="FK1626" s="110"/>
      <c r="FL1626" s="110"/>
      <c r="FM1626" s="110"/>
      <c r="FN1626" s="110"/>
      <c r="FO1626" s="110"/>
      <c r="FP1626" s="110"/>
      <c r="FQ1626" s="110"/>
      <c r="FR1626" s="110"/>
      <c r="FS1626" s="110"/>
      <c r="FT1626" s="110"/>
      <c r="FU1626" s="110"/>
      <c r="FV1626" s="110"/>
      <c r="FW1626" s="110"/>
      <c r="FX1626" s="110"/>
      <c r="FY1626" s="110"/>
      <c r="FZ1626" s="110"/>
      <c r="GA1626" s="110"/>
      <c r="GB1626" s="110"/>
      <c r="GC1626" s="110"/>
      <c r="GD1626" s="110"/>
      <c r="GE1626" s="110"/>
      <c r="GF1626" s="110"/>
      <c r="GG1626" s="110"/>
      <c r="GH1626" s="110"/>
      <c r="GI1626" s="110"/>
      <c r="GJ1626" s="110"/>
      <c r="GK1626" s="110"/>
      <c r="GL1626" s="110"/>
      <c r="GM1626" s="110"/>
      <c r="GN1626" s="110"/>
      <c r="GO1626" s="110"/>
      <c r="GP1626" s="110"/>
      <c r="GQ1626" s="110"/>
      <c r="GR1626" s="110"/>
      <c r="GS1626" s="110"/>
      <c r="GT1626" s="110"/>
      <c r="GU1626" s="110"/>
      <c r="GV1626" s="110"/>
      <c r="GW1626" s="110"/>
      <c r="GX1626" s="110"/>
      <c r="GY1626" s="110"/>
      <c r="GZ1626" s="110"/>
      <c r="HA1626" s="110"/>
      <c r="HB1626" s="110"/>
      <c r="HC1626" s="110"/>
      <c r="HD1626" s="110"/>
      <c r="HE1626" s="110"/>
      <c r="HF1626" s="110"/>
      <c r="HG1626" s="110"/>
      <c r="HH1626" s="110"/>
      <c r="HI1626" s="110"/>
      <c r="HJ1626" s="110"/>
      <c r="HK1626" s="110"/>
      <c r="HL1626" s="110"/>
      <c r="HM1626" s="110"/>
      <c r="HN1626" s="110"/>
      <c r="HO1626" s="110"/>
      <c r="HP1626" s="110"/>
      <c r="HQ1626" s="110"/>
      <c r="HR1626" s="110"/>
      <c r="HS1626" s="110"/>
      <c r="HT1626" s="110"/>
      <c r="HU1626" s="110"/>
      <c r="HV1626" s="110"/>
      <c r="HW1626" s="110"/>
      <c r="HX1626" s="110"/>
      <c r="HY1626" s="110"/>
      <c r="HZ1626" s="110"/>
      <c r="IA1626" s="110"/>
      <c r="IB1626" s="110"/>
      <c r="IC1626" s="110"/>
      <c r="ID1626" s="110"/>
      <c r="IE1626" s="110"/>
      <c r="IF1626" s="110"/>
      <c r="IG1626" s="110"/>
      <c r="IH1626" s="110"/>
      <c r="II1626" s="110"/>
      <c r="IJ1626" s="110"/>
      <c r="IK1626" s="110"/>
      <c r="IL1626" s="110"/>
      <c r="IM1626" s="110"/>
      <c r="IN1626" s="110"/>
      <c r="IO1626" s="110"/>
      <c r="IP1626" s="110"/>
      <c r="IQ1626" s="110"/>
      <c r="IR1626" s="110"/>
    </row>
    <row r="1627" spans="18:252" ht="16.5" hidden="1" customHeight="1">
      <c r="R1627" s="264"/>
      <c r="S1627" s="110"/>
      <c r="T1627" s="110"/>
      <c r="U1627" s="110"/>
      <c r="V1627" s="110"/>
      <c r="W1627" s="266"/>
      <c r="X1627" s="110"/>
      <c r="Y1627" s="110"/>
      <c r="Z1627" s="110"/>
      <c r="AA1627" s="110"/>
      <c r="AB1627" s="110"/>
      <c r="AC1627" s="110"/>
      <c r="AD1627" s="110"/>
      <c r="AE1627" s="110"/>
      <c r="AF1627" s="110"/>
      <c r="AG1627" s="110"/>
      <c r="AH1627" s="110"/>
      <c r="AI1627" s="110"/>
      <c r="AJ1627" s="110"/>
      <c r="AK1627" s="110"/>
      <c r="AL1627" s="110"/>
      <c r="AM1627" s="110"/>
      <c r="AN1627" s="110"/>
      <c r="AO1627" s="110"/>
      <c r="AP1627" s="110"/>
      <c r="AQ1627" s="110"/>
      <c r="AR1627" s="110"/>
      <c r="AS1627" s="110"/>
      <c r="AT1627" s="110"/>
      <c r="AU1627" s="110"/>
      <c r="AV1627" s="110"/>
      <c r="AW1627" s="110"/>
      <c r="AX1627" s="110"/>
      <c r="AY1627" s="110"/>
      <c r="AZ1627" s="110"/>
      <c r="BA1627" s="110"/>
      <c r="BB1627" s="110"/>
      <c r="BC1627" s="110"/>
      <c r="BD1627" s="110"/>
      <c r="BE1627" s="110"/>
      <c r="BF1627" s="110"/>
      <c r="BG1627" s="110"/>
      <c r="BH1627" s="110"/>
      <c r="BI1627" s="110"/>
      <c r="BJ1627" s="110"/>
      <c r="BK1627" s="110"/>
      <c r="BL1627" s="110"/>
      <c r="BM1627" s="110"/>
      <c r="BN1627" s="110"/>
      <c r="BO1627" s="110"/>
      <c r="BP1627" s="110"/>
      <c r="BQ1627" s="110"/>
      <c r="BR1627" s="110"/>
      <c r="BS1627" s="110"/>
      <c r="BT1627" s="110"/>
      <c r="BU1627" s="110"/>
      <c r="BV1627" s="110"/>
      <c r="BW1627" s="110"/>
      <c r="BX1627" s="110"/>
      <c r="BY1627" s="110"/>
      <c r="BZ1627" s="110"/>
      <c r="CA1627" s="110"/>
      <c r="CB1627" s="110"/>
      <c r="CC1627" s="110"/>
      <c r="CD1627" s="110"/>
      <c r="CE1627" s="110"/>
      <c r="CF1627" s="110"/>
      <c r="CG1627" s="110"/>
      <c r="CH1627" s="110"/>
      <c r="CI1627" s="110"/>
      <c r="CJ1627" s="110"/>
      <c r="CK1627" s="110"/>
      <c r="CL1627" s="110"/>
      <c r="CM1627" s="110"/>
      <c r="CN1627" s="110"/>
      <c r="CO1627" s="110"/>
      <c r="CP1627" s="110"/>
      <c r="CQ1627" s="110"/>
      <c r="CR1627" s="110"/>
      <c r="CS1627" s="110"/>
      <c r="CT1627" s="110"/>
      <c r="CU1627" s="110"/>
      <c r="CV1627" s="110"/>
      <c r="CW1627" s="110"/>
      <c r="CX1627" s="110"/>
      <c r="CY1627" s="110"/>
      <c r="CZ1627" s="110"/>
      <c r="DA1627" s="110"/>
      <c r="DB1627" s="110"/>
      <c r="DC1627" s="110"/>
      <c r="DD1627" s="110"/>
      <c r="DE1627" s="110"/>
      <c r="DF1627" s="110"/>
      <c r="DG1627" s="110"/>
      <c r="DH1627" s="110"/>
      <c r="DI1627" s="110"/>
      <c r="DJ1627" s="110"/>
      <c r="DK1627" s="110"/>
      <c r="DL1627" s="110"/>
      <c r="DM1627" s="110"/>
      <c r="DN1627" s="110"/>
      <c r="DO1627" s="110"/>
      <c r="DP1627" s="110"/>
      <c r="DQ1627" s="110"/>
      <c r="DR1627" s="110"/>
      <c r="DS1627" s="110"/>
      <c r="DT1627" s="110"/>
      <c r="DU1627" s="110"/>
      <c r="DV1627" s="110"/>
      <c r="DW1627" s="110"/>
      <c r="DX1627" s="110"/>
      <c r="DY1627" s="110"/>
      <c r="DZ1627" s="110"/>
      <c r="EA1627" s="110"/>
      <c r="EB1627" s="110"/>
      <c r="EC1627" s="110"/>
      <c r="ED1627" s="110"/>
      <c r="EF1627" s="264"/>
      <c r="EG1627" s="110"/>
      <c r="EH1627" s="110"/>
      <c r="EI1627" s="110"/>
      <c r="EJ1627" s="110"/>
      <c r="EK1627" s="266"/>
      <c r="EL1627" s="110"/>
      <c r="EM1627" s="110"/>
      <c r="EN1627" s="110"/>
      <c r="EO1627" s="110"/>
      <c r="EP1627" s="110"/>
      <c r="EQ1627" s="110"/>
      <c r="ER1627" s="110"/>
      <c r="ES1627" s="110"/>
      <c r="ET1627" s="110"/>
      <c r="EU1627" s="110"/>
      <c r="EV1627" s="110"/>
      <c r="EW1627" s="110"/>
      <c r="EX1627" s="110"/>
      <c r="EY1627" s="110"/>
      <c r="EZ1627" s="110"/>
      <c r="FA1627" s="110"/>
      <c r="FB1627" s="110"/>
      <c r="FC1627" s="110"/>
      <c r="FD1627" s="110"/>
      <c r="FE1627" s="110"/>
      <c r="FF1627" s="110"/>
      <c r="FG1627" s="110"/>
      <c r="FH1627" s="110"/>
      <c r="FI1627" s="110"/>
      <c r="FJ1627" s="110"/>
      <c r="FK1627" s="110"/>
      <c r="FL1627" s="110"/>
      <c r="FM1627" s="110"/>
      <c r="FN1627" s="110"/>
      <c r="FO1627" s="110"/>
      <c r="FP1627" s="110"/>
      <c r="FQ1627" s="110"/>
      <c r="FR1627" s="110"/>
      <c r="FS1627" s="110"/>
      <c r="FT1627" s="110"/>
      <c r="FU1627" s="110"/>
      <c r="FV1627" s="110"/>
      <c r="FW1627" s="110"/>
      <c r="FX1627" s="110"/>
      <c r="FY1627" s="110"/>
      <c r="FZ1627" s="110"/>
      <c r="GA1627" s="110"/>
      <c r="GB1627" s="110"/>
      <c r="GC1627" s="110"/>
      <c r="GD1627" s="110"/>
      <c r="GE1627" s="110"/>
      <c r="GF1627" s="110"/>
      <c r="GG1627" s="110"/>
      <c r="GH1627" s="110"/>
      <c r="GI1627" s="110"/>
      <c r="GJ1627" s="110"/>
      <c r="GK1627" s="110"/>
      <c r="GL1627" s="110"/>
      <c r="GM1627" s="110"/>
      <c r="GN1627" s="110"/>
      <c r="GO1627" s="110"/>
      <c r="GP1627" s="110"/>
      <c r="GQ1627" s="110"/>
      <c r="GR1627" s="110"/>
      <c r="GS1627" s="110"/>
      <c r="GT1627" s="110"/>
      <c r="GU1627" s="110"/>
      <c r="GV1627" s="110"/>
      <c r="GW1627" s="110"/>
      <c r="GX1627" s="110"/>
      <c r="GY1627" s="110"/>
      <c r="GZ1627" s="110"/>
      <c r="HA1627" s="110"/>
      <c r="HB1627" s="110"/>
      <c r="HC1627" s="110"/>
      <c r="HD1627" s="110"/>
      <c r="HE1627" s="110"/>
      <c r="HF1627" s="110"/>
      <c r="HG1627" s="110"/>
      <c r="HH1627" s="110"/>
      <c r="HI1627" s="110"/>
      <c r="HJ1627" s="110"/>
      <c r="HK1627" s="110"/>
      <c r="HL1627" s="110"/>
      <c r="HM1627" s="110"/>
      <c r="HN1627" s="110"/>
      <c r="HO1627" s="110"/>
      <c r="HP1627" s="110"/>
      <c r="HQ1627" s="110"/>
      <c r="HR1627" s="110"/>
      <c r="HS1627" s="110"/>
      <c r="HT1627" s="110"/>
      <c r="HU1627" s="110"/>
      <c r="HV1627" s="110"/>
      <c r="HW1627" s="110"/>
      <c r="HX1627" s="110"/>
      <c r="HY1627" s="110"/>
      <c r="HZ1627" s="110"/>
      <c r="IA1627" s="110"/>
      <c r="IB1627" s="110"/>
      <c r="IC1627" s="110"/>
      <c r="ID1627" s="110"/>
      <c r="IE1627" s="110"/>
      <c r="IF1627" s="110"/>
      <c r="IG1627" s="110"/>
      <c r="IH1627" s="110"/>
      <c r="II1627" s="110"/>
      <c r="IJ1627" s="110"/>
      <c r="IK1627" s="110"/>
      <c r="IL1627" s="110"/>
      <c r="IM1627" s="110"/>
      <c r="IN1627" s="110"/>
      <c r="IO1627" s="110"/>
      <c r="IP1627" s="110"/>
      <c r="IQ1627" s="110"/>
      <c r="IR1627" s="110"/>
    </row>
    <row r="1628" spans="18:252" ht="16.5" hidden="1" customHeight="1">
      <c r="R1628" s="264"/>
      <c r="S1628" s="110"/>
      <c r="T1628" s="110"/>
      <c r="U1628" s="110"/>
      <c r="V1628" s="110"/>
      <c r="W1628" s="266"/>
      <c r="X1628" s="110"/>
      <c r="Y1628" s="110"/>
      <c r="Z1628" s="110"/>
      <c r="AA1628" s="110"/>
      <c r="AB1628" s="110"/>
      <c r="AC1628" s="110"/>
      <c r="AD1628" s="110"/>
      <c r="AE1628" s="110"/>
      <c r="AF1628" s="110"/>
      <c r="AG1628" s="110"/>
      <c r="AH1628" s="110"/>
      <c r="AI1628" s="110"/>
      <c r="AJ1628" s="110"/>
      <c r="AK1628" s="110"/>
      <c r="AL1628" s="110"/>
      <c r="AM1628" s="110"/>
      <c r="AN1628" s="110"/>
      <c r="AO1628" s="110"/>
      <c r="AP1628" s="110"/>
      <c r="AQ1628" s="110"/>
      <c r="AR1628" s="110"/>
      <c r="AS1628" s="110"/>
      <c r="AT1628" s="110"/>
      <c r="AU1628" s="110"/>
      <c r="AV1628" s="110"/>
      <c r="AW1628" s="110"/>
      <c r="AX1628" s="110"/>
      <c r="AY1628" s="110"/>
      <c r="AZ1628" s="110"/>
      <c r="BA1628" s="110"/>
      <c r="BB1628" s="110"/>
      <c r="BC1628" s="110"/>
      <c r="BD1628" s="110"/>
      <c r="BE1628" s="110"/>
      <c r="BF1628" s="110"/>
      <c r="BG1628" s="110"/>
      <c r="BH1628" s="110"/>
      <c r="BI1628" s="110"/>
      <c r="BJ1628" s="110"/>
      <c r="BK1628" s="110"/>
      <c r="BL1628" s="110"/>
      <c r="BM1628" s="110"/>
      <c r="BN1628" s="110"/>
      <c r="BO1628" s="110"/>
      <c r="BP1628" s="110"/>
      <c r="BQ1628" s="110"/>
      <c r="BR1628" s="110"/>
      <c r="BS1628" s="110"/>
      <c r="BT1628" s="110"/>
      <c r="BU1628" s="110"/>
      <c r="BV1628" s="110"/>
      <c r="BW1628" s="110"/>
      <c r="BX1628" s="110"/>
      <c r="BY1628" s="110"/>
      <c r="BZ1628" s="110"/>
      <c r="CA1628" s="110"/>
      <c r="CB1628" s="110"/>
      <c r="CC1628" s="110"/>
      <c r="CD1628" s="110"/>
      <c r="CE1628" s="110"/>
      <c r="CF1628" s="110"/>
      <c r="CG1628" s="110"/>
      <c r="CH1628" s="110"/>
      <c r="CI1628" s="110"/>
      <c r="CJ1628" s="110"/>
      <c r="CK1628" s="110"/>
      <c r="CL1628" s="110"/>
      <c r="CM1628" s="110"/>
      <c r="CN1628" s="110"/>
      <c r="CO1628" s="110"/>
      <c r="CP1628" s="110"/>
      <c r="CQ1628" s="110"/>
      <c r="CR1628" s="110"/>
      <c r="CS1628" s="110"/>
      <c r="CT1628" s="110"/>
      <c r="CU1628" s="110"/>
      <c r="CV1628" s="110"/>
      <c r="CW1628" s="110"/>
      <c r="CX1628" s="110"/>
      <c r="CY1628" s="110"/>
      <c r="CZ1628" s="110"/>
      <c r="DA1628" s="110"/>
      <c r="DB1628" s="110"/>
      <c r="DC1628" s="110"/>
      <c r="DD1628" s="110"/>
      <c r="DE1628" s="110"/>
      <c r="DF1628" s="110"/>
      <c r="DG1628" s="110"/>
      <c r="DH1628" s="110"/>
      <c r="DI1628" s="110"/>
      <c r="DJ1628" s="110"/>
      <c r="DK1628" s="110"/>
      <c r="DL1628" s="110"/>
      <c r="DM1628" s="110"/>
      <c r="DN1628" s="110"/>
      <c r="DO1628" s="110"/>
      <c r="DP1628" s="110"/>
      <c r="DQ1628" s="110"/>
      <c r="DR1628" s="110"/>
      <c r="DS1628" s="110"/>
      <c r="DT1628" s="110"/>
      <c r="DU1628" s="110"/>
      <c r="DV1628" s="110"/>
      <c r="DW1628" s="110"/>
      <c r="DX1628" s="110"/>
      <c r="DY1628" s="110"/>
      <c r="DZ1628" s="110"/>
      <c r="EA1628" s="110"/>
      <c r="EB1628" s="110"/>
      <c r="EC1628" s="110"/>
      <c r="ED1628" s="110"/>
      <c r="EF1628" s="264"/>
      <c r="EG1628" s="110"/>
      <c r="EH1628" s="110"/>
      <c r="EI1628" s="110"/>
      <c r="EJ1628" s="110"/>
      <c r="EK1628" s="266"/>
      <c r="EL1628" s="110"/>
      <c r="EM1628" s="110"/>
      <c r="EN1628" s="110"/>
      <c r="EO1628" s="110"/>
      <c r="EP1628" s="110"/>
      <c r="EQ1628" s="110"/>
      <c r="ER1628" s="110"/>
      <c r="ES1628" s="110"/>
      <c r="ET1628" s="110"/>
      <c r="EU1628" s="110"/>
      <c r="EV1628" s="110"/>
      <c r="EW1628" s="110"/>
      <c r="EX1628" s="110"/>
      <c r="EY1628" s="110"/>
      <c r="EZ1628" s="110"/>
      <c r="FA1628" s="110"/>
      <c r="FB1628" s="110"/>
      <c r="FC1628" s="110"/>
      <c r="FD1628" s="110"/>
      <c r="FE1628" s="110"/>
      <c r="FF1628" s="110"/>
      <c r="FG1628" s="110"/>
      <c r="FH1628" s="110"/>
      <c r="FI1628" s="110"/>
      <c r="FJ1628" s="110"/>
      <c r="FK1628" s="110"/>
      <c r="FL1628" s="110"/>
      <c r="FM1628" s="110"/>
      <c r="FN1628" s="110"/>
      <c r="FO1628" s="110"/>
      <c r="FP1628" s="110"/>
      <c r="FQ1628" s="110"/>
      <c r="FR1628" s="110"/>
      <c r="FS1628" s="110"/>
      <c r="FT1628" s="110"/>
      <c r="FU1628" s="110"/>
      <c r="FV1628" s="110"/>
      <c r="FW1628" s="110"/>
      <c r="FX1628" s="110"/>
      <c r="FY1628" s="110"/>
      <c r="FZ1628" s="110"/>
      <c r="GA1628" s="110"/>
      <c r="GB1628" s="110"/>
      <c r="GC1628" s="110"/>
      <c r="GD1628" s="110"/>
      <c r="GE1628" s="110"/>
      <c r="GF1628" s="110"/>
      <c r="GG1628" s="110"/>
      <c r="GH1628" s="110"/>
      <c r="GI1628" s="110"/>
      <c r="GJ1628" s="110"/>
      <c r="GK1628" s="110"/>
      <c r="GL1628" s="110"/>
      <c r="GM1628" s="110"/>
      <c r="GN1628" s="110"/>
      <c r="GO1628" s="110"/>
      <c r="GP1628" s="110"/>
      <c r="GQ1628" s="110"/>
      <c r="GR1628" s="110"/>
      <c r="GS1628" s="110"/>
      <c r="GT1628" s="110"/>
      <c r="GU1628" s="110"/>
      <c r="GV1628" s="110"/>
      <c r="GW1628" s="110"/>
      <c r="GX1628" s="110"/>
      <c r="GY1628" s="110"/>
      <c r="GZ1628" s="110"/>
      <c r="HA1628" s="110"/>
      <c r="HB1628" s="110"/>
      <c r="HC1628" s="110"/>
      <c r="HD1628" s="110"/>
      <c r="HE1628" s="110"/>
      <c r="HF1628" s="110"/>
      <c r="HG1628" s="110"/>
      <c r="HH1628" s="110"/>
      <c r="HI1628" s="110"/>
      <c r="HJ1628" s="110"/>
      <c r="HK1628" s="110"/>
      <c r="HL1628" s="110"/>
      <c r="HM1628" s="110"/>
      <c r="HN1628" s="110"/>
      <c r="HO1628" s="110"/>
      <c r="HP1628" s="110"/>
      <c r="HQ1628" s="110"/>
      <c r="HR1628" s="110"/>
      <c r="HS1628" s="110"/>
      <c r="HT1628" s="110"/>
      <c r="HU1628" s="110"/>
      <c r="HV1628" s="110"/>
      <c r="HW1628" s="110"/>
      <c r="HX1628" s="110"/>
      <c r="HY1628" s="110"/>
      <c r="HZ1628" s="110"/>
      <c r="IA1628" s="110"/>
      <c r="IB1628" s="110"/>
      <c r="IC1628" s="110"/>
      <c r="ID1628" s="110"/>
      <c r="IE1628" s="110"/>
      <c r="IF1628" s="110"/>
      <c r="IG1628" s="110"/>
      <c r="IH1628" s="110"/>
      <c r="II1628" s="110"/>
      <c r="IJ1628" s="110"/>
      <c r="IK1628" s="110"/>
      <c r="IL1628" s="110"/>
      <c r="IM1628" s="110"/>
      <c r="IN1628" s="110"/>
      <c r="IO1628" s="110"/>
      <c r="IP1628" s="110"/>
      <c r="IQ1628" s="110"/>
      <c r="IR1628" s="110"/>
    </row>
    <row r="1629" spans="18:252" ht="16.5" hidden="1" customHeight="1">
      <c r="R1629" s="264"/>
      <c r="S1629" s="110"/>
      <c r="T1629" s="110"/>
      <c r="U1629" s="110"/>
      <c r="V1629" s="110"/>
      <c r="W1629" s="266"/>
      <c r="X1629" s="110"/>
      <c r="Y1629" s="110"/>
      <c r="Z1629" s="110"/>
      <c r="AA1629" s="110"/>
      <c r="AB1629" s="110"/>
      <c r="AC1629" s="110"/>
      <c r="AD1629" s="110"/>
      <c r="AE1629" s="110"/>
      <c r="AF1629" s="110"/>
      <c r="AG1629" s="110"/>
      <c r="AH1629" s="110"/>
      <c r="AI1629" s="110"/>
      <c r="AJ1629" s="110"/>
      <c r="AK1629" s="110"/>
      <c r="AL1629" s="110"/>
      <c r="AM1629" s="110"/>
      <c r="AN1629" s="110"/>
      <c r="AO1629" s="110"/>
      <c r="AP1629" s="110"/>
      <c r="AQ1629" s="110"/>
      <c r="AR1629" s="110"/>
      <c r="AS1629" s="110"/>
      <c r="AT1629" s="110"/>
      <c r="AU1629" s="110"/>
      <c r="AV1629" s="110"/>
      <c r="AW1629" s="110"/>
      <c r="AX1629" s="110"/>
      <c r="AY1629" s="110"/>
      <c r="AZ1629" s="110"/>
      <c r="BA1629" s="110"/>
      <c r="BB1629" s="110"/>
      <c r="BC1629" s="110"/>
      <c r="BD1629" s="110"/>
      <c r="BE1629" s="110"/>
      <c r="BF1629" s="110"/>
      <c r="BG1629" s="110"/>
      <c r="BH1629" s="110"/>
      <c r="BI1629" s="110"/>
      <c r="BJ1629" s="110"/>
      <c r="BK1629" s="110"/>
      <c r="BL1629" s="110"/>
      <c r="BM1629" s="110"/>
      <c r="BN1629" s="110"/>
      <c r="BO1629" s="110"/>
      <c r="BP1629" s="110"/>
      <c r="BQ1629" s="110"/>
      <c r="BR1629" s="110"/>
      <c r="BS1629" s="110"/>
      <c r="BT1629" s="110"/>
      <c r="BU1629" s="110"/>
      <c r="BV1629" s="110"/>
      <c r="BW1629" s="110"/>
      <c r="BX1629" s="110"/>
      <c r="BY1629" s="110"/>
      <c r="BZ1629" s="110"/>
      <c r="CA1629" s="110"/>
      <c r="CB1629" s="110"/>
      <c r="CC1629" s="110"/>
      <c r="CD1629" s="110"/>
      <c r="CE1629" s="110"/>
      <c r="CF1629" s="110"/>
      <c r="CG1629" s="110"/>
      <c r="CH1629" s="110"/>
      <c r="CI1629" s="110"/>
      <c r="CJ1629" s="110"/>
      <c r="CK1629" s="110"/>
      <c r="CL1629" s="110"/>
      <c r="CM1629" s="110"/>
      <c r="CN1629" s="110"/>
      <c r="CO1629" s="110"/>
      <c r="CP1629" s="110"/>
      <c r="CQ1629" s="110"/>
      <c r="CR1629" s="110"/>
      <c r="CS1629" s="110"/>
      <c r="CT1629" s="110"/>
      <c r="CU1629" s="110"/>
      <c r="CV1629" s="110"/>
      <c r="CW1629" s="110"/>
      <c r="CX1629" s="110"/>
      <c r="CY1629" s="110"/>
      <c r="CZ1629" s="110"/>
      <c r="DA1629" s="110"/>
      <c r="DB1629" s="110"/>
      <c r="DC1629" s="110"/>
      <c r="DD1629" s="110"/>
      <c r="DE1629" s="110"/>
      <c r="DF1629" s="110"/>
      <c r="DG1629" s="110"/>
      <c r="DH1629" s="110"/>
      <c r="DI1629" s="110"/>
      <c r="DJ1629" s="110"/>
      <c r="DK1629" s="110"/>
      <c r="DL1629" s="110"/>
      <c r="DM1629" s="110"/>
      <c r="DN1629" s="110"/>
      <c r="DO1629" s="110"/>
      <c r="DP1629" s="110"/>
      <c r="DQ1629" s="110"/>
      <c r="DR1629" s="110"/>
      <c r="DS1629" s="110"/>
      <c r="DT1629" s="110"/>
      <c r="DU1629" s="110"/>
      <c r="DV1629" s="110"/>
      <c r="DW1629" s="110"/>
      <c r="DX1629" s="110"/>
      <c r="DY1629" s="110"/>
      <c r="DZ1629" s="110"/>
      <c r="EA1629" s="110"/>
      <c r="EB1629" s="110"/>
      <c r="EC1629" s="110"/>
      <c r="ED1629" s="110"/>
      <c r="EF1629" s="264"/>
      <c r="EG1629" s="110"/>
      <c r="EH1629" s="110"/>
      <c r="EI1629" s="110"/>
      <c r="EJ1629" s="110"/>
      <c r="EK1629" s="266"/>
      <c r="EL1629" s="110"/>
      <c r="EM1629" s="110"/>
      <c r="EN1629" s="110"/>
      <c r="EO1629" s="110"/>
      <c r="EP1629" s="110"/>
      <c r="EQ1629" s="110"/>
      <c r="ER1629" s="110"/>
      <c r="ES1629" s="110"/>
      <c r="ET1629" s="110"/>
      <c r="EU1629" s="110"/>
      <c r="EV1629" s="110"/>
      <c r="EW1629" s="110"/>
      <c r="EX1629" s="110"/>
      <c r="EY1629" s="110"/>
      <c r="EZ1629" s="110"/>
      <c r="FA1629" s="110"/>
      <c r="FB1629" s="110"/>
      <c r="FC1629" s="110"/>
      <c r="FD1629" s="110"/>
      <c r="FE1629" s="110"/>
      <c r="FF1629" s="110"/>
      <c r="FG1629" s="110"/>
      <c r="FH1629" s="110"/>
      <c r="FI1629" s="110"/>
      <c r="FJ1629" s="110"/>
      <c r="FK1629" s="110"/>
      <c r="FL1629" s="110"/>
      <c r="FM1629" s="110"/>
      <c r="FN1629" s="110"/>
      <c r="FO1629" s="110"/>
      <c r="FP1629" s="110"/>
      <c r="FQ1629" s="110"/>
      <c r="FR1629" s="110"/>
      <c r="FS1629" s="110"/>
      <c r="FT1629" s="110"/>
      <c r="FU1629" s="110"/>
      <c r="FV1629" s="110"/>
      <c r="FW1629" s="110"/>
      <c r="FX1629" s="110"/>
      <c r="FY1629" s="110"/>
      <c r="FZ1629" s="110"/>
      <c r="GA1629" s="110"/>
      <c r="GB1629" s="110"/>
      <c r="GC1629" s="110"/>
      <c r="GD1629" s="110"/>
      <c r="GE1629" s="110"/>
      <c r="GF1629" s="110"/>
      <c r="GG1629" s="110"/>
      <c r="GH1629" s="110"/>
      <c r="GI1629" s="110"/>
      <c r="GJ1629" s="110"/>
      <c r="GK1629" s="110"/>
      <c r="GL1629" s="110"/>
      <c r="GM1629" s="110"/>
      <c r="GN1629" s="110"/>
      <c r="GO1629" s="110"/>
      <c r="GP1629" s="110"/>
      <c r="GQ1629" s="110"/>
      <c r="GR1629" s="110"/>
      <c r="GS1629" s="110"/>
      <c r="GT1629" s="110"/>
      <c r="GU1629" s="110"/>
      <c r="GV1629" s="110"/>
      <c r="GW1629" s="110"/>
      <c r="GX1629" s="110"/>
      <c r="GY1629" s="110"/>
      <c r="GZ1629" s="110"/>
      <c r="HA1629" s="110"/>
      <c r="HB1629" s="110"/>
      <c r="HC1629" s="110"/>
      <c r="HD1629" s="110"/>
      <c r="HE1629" s="110"/>
      <c r="HF1629" s="110"/>
      <c r="HG1629" s="110"/>
      <c r="HH1629" s="110"/>
      <c r="HI1629" s="110"/>
      <c r="HJ1629" s="110"/>
      <c r="HK1629" s="110"/>
      <c r="HL1629" s="110"/>
      <c r="HM1629" s="110"/>
      <c r="HN1629" s="110"/>
      <c r="HO1629" s="110"/>
      <c r="HP1629" s="110"/>
      <c r="HQ1629" s="110"/>
      <c r="HR1629" s="110"/>
      <c r="HS1629" s="110"/>
      <c r="HT1629" s="110"/>
      <c r="HU1629" s="110"/>
      <c r="HV1629" s="110"/>
      <c r="HW1629" s="110"/>
      <c r="HX1629" s="110"/>
      <c r="HY1629" s="110"/>
      <c r="HZ1629" s="110"/>
      <c r="IA1629" s="110"/>
      <c r="IB1629" s="110"/>
      <c r="IC1629" s="110"/>
      <c r="ID1629" s="110"/>
      <c r="IE1629" s="110"/>
      <c r="IF1629" s="110"/>
      <c r="IG1629" s="110"/>
      <c r="IH1629" s="110"/>
      <c r="II1629" s="110"/>
      <c r="IJ1629" s="110"/>
      <c r="IK1629" s="110"/>
      <c r="IL1629" s="110"/>
      <c r="IM1629" s="110"/>
      <c r="IN1629" s="110"/>
      <c r="IO1629" s="110"/>
      <c r="IP1629" s="110"/>
      <c r="IQ1629" s="110"/>
      <c r="IR1629" s="110"/>
    </row>
    <row r="1630" spans="18:252" ht="16.5" hidden="1" customHeight="1">
      <c r="R1630" s="264"/>
      <c r="S1630" s="110"/>
      <c r="T1630" s="110"/>
      <c r="U1630" s="110"/>
      <c r="V1630" s="110"/>
      <c r="W1630" s="266"/>
      <c r="X1630" s="110"/>
      <c r="Y1630" s="110"/>
      <c r="Z1630" s="110"/>
      <c r="AA1630" s="110"/>
      <c r="AB1630" s="110"/>
      <c r="AC1630" s="110"/>
      <c r="AD1630" s="110"/>
      <c r="AE1630" s="110"/>
      <c r="AF1630" s="110"/>
      <c r="AG1630" s="110"/>
      <c r="AH1630" s="110"/>
      <c r="AI1630" s="110"/>
      <c r="AJ1630" s="110"/>
      <c r="AK1630" s="110"/>
      <c r="AL1630" s="110"/>
      <c r="AM1630" s="110"/>
      <c r="AN1630" s="110"/>
      <c r="AO1630" s="110"/>
      <c r="AP1630" s="110"/>
      <c r="AQ1630" s="110"/>
      <c r="AR1630" s="110"/>
      <c r="AS1630" s="110"/>
      <c r="AT1630" s="110"/>
      <c r="AU1630" s="110"/>
      <c r="AV1630" s="110"/>
      <c r="AW1630" s="110"/>
      <c r="AX1630" s="110"/>
      <c r="AY1630" s="110"/>
      <c r="AZ1630" s="110"/>
      <c r="BA1630" s="110"/>
      <c r="BB1630" s="110"/>
      <c r="BC1630" s="110"/>
      <c r="BD1630" s="110"/>
      <c r="BE1630" s="110"/>
      <c r="BF1630" s="110"/>
      <c r="BG1630" s="110"/>
      <c r="BH1630" s="110"/>
      <c r="BI1630" s="110"/>
      <c r="BJ1630" s="110"/>
      <c r="BK1630" s="110"/>
      <c r="BL1630" s="110"/>
      <c r="BM1630" s="110"/>
      <c r="BN1630" s="110"/>
      <c r="BO1630" s="110"/>
      <c r="BP1630" s="110"/>
      <c r="BQ1630" s="110"/>
      <c r="BR1630" s="110"/>
      <c r="BS1630" s="110"/>
      <c r="BT1630" s="110"/>
      <c r="BU1630" s="110"/>
      <c r="BV1630" s="110"/>
      <c r="BW1630" s="110"/>
      <c r="BX1630" s="110"/>
      <c r="BY1630" s="110"/>
      <c r="BZ1630" s="110"/>
      <c r="CA1630" s="110"/>
      <c r="CB1630" s="110"/>
      <c r="CC1630" s="110"/>
      <c r="CD1630" s="110"/>
      <c r="CE1630" s="110"/>
      <c r="CF1630" s="110"/>
      <c r="CG1630" s="110"/>
      <c r="CH1630" s="110"/>
      <c r="CI1630" s="110"/>
      <c r="CJ1630" s="110"/>
      <c r="CK1630" s="110"/>
      <c r="CL1630" s="110"/>
      <c r="CM1630" s="110"/>
      <c r="CN1630" s="110"/>
      <c r="CO1630" s="110"/>
      <c r="CP1630" s="110"/>
      <c r="CQ1630" s="110"/>
      <c r="CR1630" s="110"/>
      <c r="CS1630" s="110"/>
      <c r="CT1630" s="110"/>
      <c r="CU1630" s="110"/>
      <c r="CV1630" s="110"/>
      <c r="CW1630" s="110"/>
      <c r="CX1630" s="110"/>
      <c r="CY1630" s="110"/>
      <c r="CZ1630" s="110"/>
      <c r="DA1630" s="110"/>
      <c r="DB1630" s="110"/>
      <c r="DC1630" s="110"/>
      <c r="DD1630" s="110"/>
      <c r="DE1630" s="110"/>
      <c r="DF1630" s="110"/>
      <c r="DG1630" s="110"/>
      <c r="DH1630" s="110"/>
      <c r="DI1630" s="110"/>
      <c r="DJ1630" s="110"/>
      <c r="DK1630" s="110"/>
      <c r="DL1630" s="110"/>
      <c r="DM1630" s="110"/>
      <c r="DN1630" s="110"/>
      <c r="DO1630" s="110"/>
      <c r="DP1630" s="110"/>
      <c r="DQ1630" s="110"/>
      <c r="DR1630" s="110"/>
      <c r="DS1630" s="110"/>
      <c r="DT1630" s="110"/>
      <c r="DU1630" s="110"/>
      <c r="DV1630" s="110"/>
      <c r="DW1630" s="110"/>
      <c r="DX1630" s="110"/>
      <c r="DY1630" s="110"/>
      <c r="DZ1630" s="110"/>
      <c r="EA1630" s="110"/>
      <c r="EB1630" s="110"/>
      <c r="EC1630" s="110"/>
      <c r="ED1630" s="110"/>
      <c r="EF1630" s="264"/>
      <c r="EG1630" s="110"/>
      <c r="EH1630" s="110"/>
      <c r="EI1630" s="110"/>
      <c r="EJ1630" s="110"/>
      <c r="EK1630" s="266"/>
      <c r="EL1630" s="110"/>
      <c r="EM1630" s="110"/>
      <c r="EN1630" s="110"/>
      <c r="EO1630" s="110"/>
      <c r="EP1630" s="110"/>
      <c r="EQ1630" s="110"/>
      <c r="ER1630" s="110"/>
      <c r="ES1630" s="110"/>
      <c r="ET1630" s="110"/>
      <c r="EU1630" s="110"/>
      <c r="EV1630" s="110"/>
      <c r="EW1630" s="110"/>
      <c r="EX1630" s="110"/>
      <c r="EY1630" s="110"/>
      <c r="EZ1630" s="110"/>
      <c r="FA1630" s="110"/>
      <c r="FB1630" s="110"/>
      <c r="FC1630" s="110"/>
      <c r="FD1630" s="110"/>
      <c r="FE1630" s="110"/>
      <c r="FF1630" s="110"/>
      <c r="FG1630" s="110"/>
      <c r="FH1630" s="110"/>
      <c r="FI1630" s="110"/>
      <c r="FJ1630" s="110"/>
      <c r="FK1630" s="110"/>
      <c r="FL1630" s="110"/>
      <c r="FM1630" s="110"/>
      <c r="FN1630" s="110"/>
      <c r="FO1630" s="110"/>
      <c r="FP1630" s="110"/>
      <c r="FQ1630" s="110"/>
      <c r="FR1630" s="110"/>
      <c r="FS1630" s="110"/>
      <c r="FT1630" s="110"/>
      <c r="FU1630" s="110"/>
      <c r="FV1630" s="110"/>
      <c r="FW1630" s="110"/>
      <c r="FX1630" s="110"/>
      <c r="FY1630" s="110"/>
      <c r="FZ1630" s="110"/>
      <c r="GA1630" s="110"/>
      <c r="GB1630" s="110"/>
      <c r="GC1630" s="110"/>
      <c r="GD1630" s="110"/>
      <c r="GE1630" s="110"/>
      <c r="GF1630" s="110"/>
      <c r="GG1630" s="110"/>
      <c r="GH1630" s="110"/>
      <c r="GI1630" s="110"/>
      <c r="GJ1630" s="110"/>
      <c r="GK1630" s="110"/>
      <c r="GL1630" s="110"/>
      <c r="GM1630" s="110"/>
      <c r="GN1630" s="110"/>
      <c r="GO1630" s="110"/>
      <c r="GP1630" s="110"/>
      <c r="GQ1630" s="110"/>
      <c r="GR1630" s="110"/>
      <c r="GS1630" s="110"/>
      <c r="GT1630" s="110"/>
      <c r="GU1630" s="110"/>
      <c r="GV1630" s="110"/>
      <c r="GW1630" s="110"/>
      <c r="GX1630" s="110"/>
      <c r="GY1630" s="110"/>
      <c r="GZ1630" s="110"/>
      <c r="HA1630" s="110"/>
      <c r="HB1630" s="110"/>
      <c r="HC1630" s="110"/>
      <c r="HD1630" s="110"/>
      <c r="HE1630" s="110"/>
      <c r="HF1630" s="110"/>
      <c r="HG1630" s="110"/>
      <c r="HH1630" s="110"/>
      <c r="HI1630" s="110"/>
      <c r="HJ1630" s="110"/>
      <c r="HK1630" s="110"/>
      <c r="HL1630" s="110"/>
      <c r="HM1630" s="110"/>
      <c r="HN1630" s="110"/>
      <c r="HO1630" s="110"/>
      <c r="HP1630" s="110"/>
      <c r="HQ1630" s="110"/>
      <c r="HR1630" s="110"/>
      <c r="HS1630" s="110"/>
      <c r="HT1630" s="110"/>
      <c r="HU1630" s="110"/>
      <c r="HV1630" s="110"/>
      <c r="HW1630" s="110"/>
      <c r="HX1630" s="110"/>
      <c r="HY1630" s="110"/>
      <c r="HZ1630" s="110"/>
      <c r="IA1630" s="110"/>
      <c r="IB1630" s="110"/>
      <c r="IC1630" s="110"/>
      <c r="ID1630" s="110"/>
      <c r="IE1630" s="110"/>
      <c r="IF1630" s="110"/>
      <c r="IG1630" s="110"/>
      <c r="IH1630" s="110"/>
      <c r="II1630" s="110"/>
      <c r="IJ1630" s="110"/>
      <c r="IK1630" s="110"/>
      <c r="IL1630" s="110"/>
      <c r="IM1630" s="110"/>
      <c r="IN1630" s="110"/>
      <c r="IO1630" s="110"/>
      <c r="IP1630" s="110"/>
      <c r="IQ1630" s="110"/>
      <c r="IR1630" s="110"/>
    </row>
    <row r="1631" spans="18:252" ht="16.5" hidden="1" customHeight="1">
      <c r="R1631" s="264"/>
      <c r="S1631" s="110"/>
      <c r="T1631" s="110"/>
      <c r="U1631" s="110"/>
      <c r="V1631" s="110"/>
      <c r="W1631" s="266"/>
      <c r="X1631" s="110"/>
      <c r="Y1631" s="110"/>
      <c r="Z1631" s="110"/>
      <c r="AA1631" s="110"/>
      <c r="AB1631" s="110"/>
      <c r="AC1631" s="110"/>
      <c r="AD1631" s="110"/>
      <c r="AE1631" s="110"/>
      <c r="AF1631" s="110"/>
      <c r="AG1631" s="110"/>
      <c r="AH1631" s="110"/>
      <c r="AI1631" s="110"/>
      <c r="AJ1631" s="110"/>
      <c r="AK1631" s="110"/>
      <c r="AL1631" s="110"/>
      <c r="AM1631" s="110"/>
      <c r="AN1631" s="110"/>
      <c r="AO1631" s="110"/>
      <c r="AP1631" s="110"/>
      <c r="AQ1631" s="110"/>
      <c r="AR1631" s="110"/>
      <c r="AS1631" s="110"/>
      <c r="AT1631" s="110"/>
      <c r="AU1631" s="110"/>
      <c r="AV1631" s="110"/>
      <c r="AW1631" s="110"/>
      <c r="AX1631" s="110"/>
      <c r="AY1631" s="110"/>
      <c r="AZ1631" s="110"/>
      <c r="BA1631" s="110"/>
      <c r="BB1631" s="110"/>
      <c r="BC1631" s="110"/>
      <c r="BD1631" s="110"/>
      <c r="BE1631" s="110"/>
      <c r="BF1631" s="110"/>
      <c r="BG1631" s="110"/>
      <c r="BH1631" s="110"/>
      <c r="BI1631" s="110"/>
      <c r="BJ1631" s="110"/>
      <c r="BK1631" s="110"/>
      <c r="BL1631" s="110"/>
      <c r="BM1631" s="110"/>
      <c r="BN1631" s="110"/>
      <c r="BO1631" s="110"/>
      <c r="BP1631" s="110"/>
      <c r="BQ1631" s="110"/>
      <c r="BR1631" s="110"/>
      <c r="BS1631" s="110"/>
      <c r="BT1631" s="110"/>
      <c r="BU1631" s="110"/>
      <c r="BV1631" s="110"/>
      <c r="BW1631" s="110"/>
      <c r="BX1631" s="110"/>
      <c r="BY1631" s="110"/>
      <c r="BZ1631" s="110"/>
      <c r="CA1631" s="110"/>
      <c r="CB1631" s="110"/>
      <c r="CC1631" s="110"/>
      <c r="CD1631" s="110"/>
      <c r="CE1631" s="110"/>
      <c r="CF1631" s="110"/>
      <c r="CG1631" s="110"/>
      <c r="CH1631" s="110"/>
      <c r="CI1631" s="110"/>
      <c r="CJ1631" s="110"/>
      <c r="CK1631" s="110"/>
      <c r="CL1631" s="110"/>
      <c r="CM1631" s="110"/>
      <c r="CN1631" s="110"/>
      <c r="CO1631" s="110"/>
      <c r="CP1631" s="110"/>
      <c r="CQ1631" s="110"/>
      <c r="CR1631" s="110"/>
      <c r="CS1631" s="110"/>
      <c r="CT1631" s="110"/>
      <c r="CU1631" s="110"/>
      <c r="CV1631" s="110"/>
      <c r="CW1631" s="110"/>
      <c r="CX1631" s="110"/>
      <c r="CY1631" s="110"/>
      <c r="CZ1631" s="110"/>
      <c r="DA1631" s="110"/>
      <c r="DB1631" s="110"/>
      <c r="DC1631" s="110"/>
      <c r="DD1631" s="110"/>
      <c r="DE1631" s="110"/>
      <c r="DF1631" s="110"/>
      <c r="DG1631" s="110"/>
      <c r="DH1631" s="110"/>
      <c r="DI1631" s="110"/>
      <c r="DJ1631" s="110"/>
      <c r="DK1631" s="110"/>
      <c r="DL1631" s="110"/>
      <c r="DM1631" s="110"/>
      <c r="DN1631" s="110"/>
      <c r="DO1631" s="110"/>
      <c r="DP1631" s="110"/>
      <c r="DQ1631" s="110"/>
      <c r="DR1631" s="110"/>
      <c r="DS1631" s="110"/>
      <c r="DT1631" s="110"/>
      <c r="DU1631" s="110"/>
      <c r="DV1631" s="110"/>
      <c r="DW1631" s="110"/>
      <c r="DX1631" s="110"/>
      <c r="DY1631" s="110"/>
      <c r="DZ1631" s="110"/>
      <c r="EA1631" s="110"/>
      <c r="EB1631" s="110"/>
      <c r="EC1631" s="110"/>
      <c r="ED1631" s="110"/>
      <c r="EF1631" s="264"/>
      <c r="EG1631" s="110"/>
      <c r="EH1631" s="110"/>
      <c r="EI1631" s="110"/>
      <c r="EJ1631" s="110"/>
      <c r="EK1631" s="266"/>
      <c r="EL1631" s="110"/>
      <c r="EM1631" s="110"/>
      <c r="EN1631" s="110"/>
      <c r="EO1631" s="110"/>
      <c r="EP1631" s="110"/>
      <c r="EQ1631" s="110"/>
      <c r="ER1631" s="110"/>
      <c r="ES1631" s="110"/>
      <c r="ET1631" s="110"/>
      <c r="EU1631" s="110"/>
      <c r="EV1631" s="110"/>
      <c r="EW1631" s="110"/>
      <c r="EX1631" s="110"/>
      <c r="EY1631" s="110"/>
      <c r="EZ1631" s="110"/>
      <c r="FA1631" s="110"/>
      <c r="FB1631" s="110"/>
      <c r="FC1631" s="110"/>
      <c r="FD1631" s="110"/>
      <c r="FE1631" s="110"/>
      <c r="FF1631" s="110"/>
      <c r="FG1631" s="110"/>
      <c r="FH1631" s="110"/>
      <c r="FI1631" s="110"/>
      <c r="FJ1631" s="110"/>
      <c r="FK1631" s="110"/>
      <c r="FL1631" s="110"/>
      <c r="FM1631" s="110"/>
      <c r="FN1631" s="110"/>
      <c r="FO1631" s="110"/>
      <c r="FP1631" s="110"/>
      <c r="FQ1631" s="110"/>
      <c r="FR1631" s="110"/>
      <c r="FS1631" s="110"/>
      <c r="FT1631" s="110"/>
      <c r="FU1631" s="110"/>
      <c r="FV1631" s="110"/>
      <c r="FW1631" s="110"/>
      <c r="FX1631" s="110"/>
      <c r="FY1631" s="110"/>
      <c r="FZ1631" s="110"/>
      <c r="GA1631" s="110"/>
      <c r="GB1631" s="110"/>
      <c r="GC1631" s="110"/>
      <c r="GD1631" s="110"/>
      <c r="GE1631" s="110"/>
      <c r="GF1631" s="110"/>
      <c r="GG1631" s="110"/>
      <c r="GH1631" s="110"/>
      <c r="GI1631" s="110"/>
      <c r="GJ1631" s="110"/>
      <c r="GK1631" s="110"/>
      <c r="GL1631" s="110"/>
      <c r="GM1631" s="110"/>
      <c r="GN1631" s="110"/>
      <c r="GO1631" s="110"/>
      <c r="GP1631" s="110"/>
      <c r="GQ1631" s="110"/>
      <c r="GR1631" s="110"/>
      <c r="GS1631" s="110"/>
      <c r="GT1631" s="110"/>
      <c r="GU1631" s="110"/>
      <c r="GV1631" s="110"/>
      <c r="GW1631" s="110"/>
      <c r="GX1631" s="110"/>
      <c r="GY1631" s="110"/>
      <c r="GZ1631" s="110"/>
      <c r="HA1631" s="110"/>
      <c r="HB1631" s="110"/>
      <c r="HC1631" s="110"/>
      <c r="HD1631" s="110"/>
      <c r="HE1631" s="110"/>
      <c r="HF1631" s="110"/>
      <c r="HG1631" s="110"/>
      <c r="HH1631" s="110"/>
      <c r="HI1631" s="110"/>
      <c r="HJ1631" s="110"/>
      <c r="HK1631" s="110"/>
      <c r="HL1631" s="110"/>
      <c r="HM1631" s="110"/>
      <c r="HN1631" s="110"/>
      <c r="HO1631" s="110"/>
      <c r="HP1631" s="110"/>
      <c r="HQ1631" s="110"/>
      <c r="HR1631" s="110"/>
      <c r="HS1631" s="110"/>
      <c r="HT1631" s="110"/>
      <c r="HU1631" s="110"/>
      <c r="HV1631" s="110"/>
      <c r="HW1631" s="110"/>
      <c r="HX1631" s="110"/>
      <c r="HY1631" s="110"/>
      <c r="HZ1631" s="110"/>
      <c r="IA1631" s="110"/>
      <c r="IB1631" s="110"/>
      <c r="IC1631" s="110"/>
      <c r="ID1631" s="110"/>
      <c r="IE1631" s="110"/>
      <c r="IF1631" s="110"/>
      <c r="IG1631" s="110"/>
      <c r="IH1631" s="110"/>
      <c r="II1631" s="110"/>
      <c r="IJ1631" s="110"/>
      <c r="IK1631" s="110"/>
      <c r="IL1631" s="110"/>
      <c r="IM1631" s="110"/>
      <c r="IN1631" s="110"/>
      <c r="IO1631" s="110"/>
      <c r="IP1631" s="110"/>
      <c r="IQ1631" s="110"/>
      <c r="IR1631" s="110"/>
    </row>
    <row r="1632" spans="18:252" ht="16.5" hidden="1" customHeight="1">
      <c r="R1632" s="264"/>
      <c r="S1632" s="110"/>
      <c r="T1632" s="110"/>
      <c r="U1632" s="110"/>
      <c r="V1632" s="110"/>
      <c r="W1632" s="266"/>
      <c r="X1632" s="110"/>
      <c r="Y1632" s="110"/>
      <c r="Z1632" s="110"/>
      <c r="AA1632" s="110"/>
      <c r="AB1632" s="110"/>
      <c r="AC1632" s="110"/>
      <c r="AD1632" s="110"/>
      <c r="AE1632" s="110"/>
      <c r="AF1632" s="110"/>
      <c r="AG1632" s="110"/>
      <c r="AH1632" s="110"/>
      <c r="AI1632" s="110"/>
      <c r="AJ1632" s="110"/>
      <c r="AK1632" s="110"/>
      <c r="AL1632" s="110"/>
      <c r="AM1632" s="110"/>
      <c r="AN1632" s="110"/>
      <c r="AO1632" s="110"/>
      <c r="AP1632" s="110"/>
      <c r="AQ1632" s="110"/>
      <c r="AR1632" s="110"/>
      <c r="AS1632" s="110"/>
      <c r="AT1632" s="110"/>
      <c r="AU1632" s="110"/>
      <c r="AV1632" s="110"/>
      <c r="AW1632" s="110"/>
      <c r="AX1632" s="110"/>
      <c r="AY1632" s="110"/>
      <c r="AZ1632" s="110"/>
      <c r="BA1632" s="110"/>
      <c r="BB1632" s="110"/>
      <c r="BC1632" s="110"/>
      <c r="BD1632" s="110"/>
      <c r="BE1632" s="110"/>
      <c r="BF1632" s="110"/>
      <c r="BG1632" s="110"/>
      <c r="BH1632" s="110"/>
      <c r="BI1632" s="110"/>
      <c r="BJ1632" s="110"/>
      <c r="BK1632" s="110"/>
      <c r="BL1632" s="110"/>
      <c r="BM1632" s="110"/>
      <c r="BN1632" s="110"/>
      <c r="BO1632" s="110"/>
      <c r="BP1632" s="110"/>
      <c r="BQ1632" s="110"/>
      <c r="BR1632" s="110"/>
      <c r="BS1632" s="110"/>
      <c r="BT1632" s="110"/>
      <c r="BU1632" s="110"/>
      <c r="BV1632" s="110"/>
      <c r="BW1632" s="110"/>
      <c r="BX1632" s="110"/>
      <c r="BY1632" s="110"/>
      <c r="BZ1632" s="110"/>
      <c r="CA1632" s="110"/>
      <c r="CB1632" s="110"/>
      <c r="CC1632" s="110"/>
      <c r="CD1632" s="110"/>
      <c r="CE1632" s="110"/>
      <c r="CF1632" s="110"/>
      <c r="CG1632" s="110"/>
      <c r="CH1632" s="110"/>
      <c r="CI1632" s="110"/>
      <c r="CJ1632" s="110"/>
      <c r="CK1632" s="110"/>
      <c r="CL1632" s="110"/>
      <c r="CM1632" s="110"/>
      <c r="CN1632" s="110"/>
      <c r="CO1632" s="110"/>
      <c r="CP1632" s="110"/>
      <c r="CQ1632" s="110"/>
      <c r="CR1632" s="110"/>
      <c r="CS1632" s="110"/>
      <c r="CT1632" s="110"/>
      <c r="CU1632" s="110"/>
      <c r="CV1632" s="110"/>
      <c r="CW1632" s="110"/>
      <c r="CX1632" s="110"/>
      <c r="CY1632" s="110"/>
      <c r="CZ1632" s="110"/>
      <c r="DA1632" s="110"/>
      <c r="DB1632" s="110"/>
      <c r="DC1632" s="110"/>
      <c r="DD1632" s="110"/>
      <c r="DE1632" s="110"/>
      <c r="DF1632" s="110"/>
      <c r="DG1632" s="110"/>
      <c r="DH1632" s="110"/>
      <c r="DI1632" s="110"/>
      <c r="DJ1632" s="110"/>
      <c r="DK1632" s="110"/>
      <c r="DL1632" s="110"/>
      <c r="DM1632" s="110"/>
      <c r="DN1632" s="110"/>
      <c r="DO1632" s="110"/>
      <c r="DP1632" s="110"/>
      <c r="DQ1632" s="110"/>
      <c r="DR1632" s="110"/>
      <c r="DS1632" s="110"/>
      <c r="DT1632" s="110"/>
      <c r="DU1632" s="110"/>
      <c r="DV1632" s="110"/>
      <c r="DW1632" s="110"/>
      <c r="DX1632" s="110"/>
      <c r="DY1632" s="110"/>
      <c r="DZ1632" s="110"/>
      <c r="EA1632" s="110"/>
      <c r="EB1632" s="110"/>
      <c r="EC1632" s="110"/>
      <c r="ED1632" s="110"/>
      <c r="EF1632" s="264"/>
      <c r="EG1632" s="110"/>
      <c r="EH1632" s="110"/>
      <c r="EI1632" s="110"/>
      <c r="EJ1632" s="110"/>
      <c r="EK1632" s="266"/>
      <c r="EL1632" s="110"/>
      <c r="EM1632" s="110"/>
      <c r="EN1632" s="110"/>
      <c r="EO1632" s="110"/>
      <c r="EP1632" s="110"/>
      <c r="EQ1632" s="110"/>
      <c r="ER1632" s="110"/>
      <c r="ES1632" s="110"/>
      <c r="ET1632" s="110"/>
      <c r="EU1632" s="110"/>
      <c r="EV1632" s="110"/>
      <c r="EW1632" s="110"/>
      <c r="EX1632" s="110"/>
      <c r="EY1632" s="110"/>
      <c r="EZ1632" s="110"/>
      <c r="FA1632" s="110"/>
      <c r="FB1632" s="110"/>
      <c r="FC1632" s="110"/>
      <c r="FD1632" s="110"/>
      <c r="FE1632" s="110"/>
      <c r="FF1632" s="110"/>
      <c r="FG1632" s="110"/>
      <c r="FH1632" s="110"/>
      <c r="FI1632" s="110"/>
      <c r="FJ1632" s="110"/>
      <c r="FK1632" s="110"/>
      <c r="FL1632" s="110"/>
      <c r="FM1632" s="110"/>
      <c r="FN1632" s="110"/>
      <c r="FO1632" s="110"/>
      <c r="FP1632" s="110"/>
      <c r="FQ1632" s="110"/>
      <c r="FR1632" s="110"/>
      <c r="FS1632" s="110"/>
      <c r="FT1632" s="110"/>
      <c r="FU1632" s="110"/>
      <c r="FV1632" s="110"/>
      <c r="FW1632" s="110"/>
      <c r="FX1632" s="110"/>
      <c r="FY1632" s="110"/>
      <c r="FZ1632" s="110"/>
      <c r="GA1632" s="110"/>
      <c r="GB1632" s="110"/>
      <c r="GC1632" s="110"/>
      <c r="GD1632" s="110"/>
      <c r="GE1632" s="110"/>
      <c r="GF1632" s="110"/>
      <c r="GG1632" s="110"/>
      <c r="GH1632" s="110"/>
      <c r="GI1632" s="110"/>
      <c r="GJ1632" s="110"/>
      <c r="GK1632" s="110"/>
      <c r="GL1632" s="110"/>
      <c r="GM1632" s="110"/>
      <c r="GN1632" s="110"/>
      <c r="GO1632" s="110"/>
      <c r="GP1632" s="110"/>
      <c r="GQ1632" s="110"/>
      <c r="GR1632" s="110"/>
      <c r="GS1632" s="110"/>
      <c r="GT1632" s="110"/>
      <c r="GU1632" s="110"/>
      <c r="GV1632" s="110"/>
      <c r="GW1632" s="110"/>
      <c r="GX1632" s="110"/>
      <c r="GY1632" s="110"/>
      <c r="GZ1632" s="110"/>
      <c r="HA1632" s="110"/>
      <c r="HB1632" s="110"/>
      <c r="HC1632" s="110"/>
      <c r="HD1632" s="110"/>
      <c r="HE1632" s="110"/>
      <c r="HF1632" s="110"/>
      <c r="HG1632" s="110"/>
      <c r="HH1632" s="110"/>
      <c r="HI1632" s="110"/>
      <c r="HJ1632" s="110"/>
      <c r="HK1632" s="110"/>
      <c r="HL1632" s="110"/>
      <c r="HM1632" s="110"/>
      <c r="HN1632" s="110"/>
      <c r="HO1632" s="110"/>
      <c r="HP1632" s="110"/>
      <c r="HQ1632" s="110"/>
      <c r="HR1632" s="110"/>
      <c r="HS1632" s="110"/>
      <c r="HT1632" s="110"/>
      <c r="HU1632" s="110"/>
      <c r="HV1632" s="110"/>
      <c r="HW1632" s="110"/>
      <c r="HX1632" s="110"/>
      <c r="HY1632" s="110"/>
      <c r="HZ1632" s="110"/>
      <c r="IA1632" s="110"/>
      <c r="IB1632" s="110"/>
      <c r="IC1632" s="110"/>
      <c r="ID1632" s="110"/>
      <c r="IE1632" s="110"/>
      <c r="IF1632" s="110"/>
      <c r="IG1632" s="110"/>
      <c r="IH1632" s="110"/>
      <c r="II1632" s="110"/>
      <c r="IJ1632" s="110"/>
      <c r="IK1632" s="110"/>
      <c r="IL1632" s="110"/>
      <c r="IM1632" s="110"/>
      <c r="IN1632" s="110"/>
      <c r="IO1632" s="110"/>
      <c r="IP1632" s="110"/>
      <c r="IQ1632" s="110"/>
      <c r="IR1632" s="110"/>
    </row>
    <row r="1633" spans="18:252" ht="16.5" hidden="1" customHeight="1">
      <c r="R1633" s="264"/>
      <c r="S1633" s="110"/>
      <c r="T1633" s="110"/>
      <c r="U1633" s="110"/>
      <c r="V1633" s="110"/>
      <c r="W1633" s="266"/>
      <c r="X1633" s="110"/>
      <c r="Y1633" s="110"/>
      <c r="Z1633" s="110"/>
      <c r="AA1633" s="110"/>
      <c r="AB1633" s="110"/>
      <c r="AC1633" s="110"/>
      <c r="AD1633" s="110"/>
      <c r="AE1633" s="110"/>
      <c r="AF1633" s="110"/>
      <c r="AG1633" s="110"/>
      <c r="AH1633" s="110"/>
      <c r="AI1633" s="110"/>
      <c r="AJ1633" s="110"/>
      <c r="AK1633" s="110"/>
      <c r="AL1633" s="110"/>
      <c r="AM1633" s="110"/>
      <c r="AN1633" s="110"/>
      <c r="AO1633" s="110"/>
      <c r="AP1633" s="110"/>
      <c r="AQ1633" s="110"/>
      <c r="AR1633" s="110"/>
      <c r="AS1633" s="110"/>
      <c r="AT1633" s="110"/>
      <c r="AU1633" s="110"/>
      <c r="AV1633" s="110"/>
      <c r="AW1633" s="110"/>
      <c r="AX1633" s="110"/>
      <c r="AY1633" s="110"/>
      <c r="AZ1633" s="110"/>
      <c r="BA1633" s="110"/>
      <c r="BB1633" s="110"/>
      <c r="BC1633" s="110"/>
      <c r="BD1633" s="110"/>
      <c r="BE1633" s="110"/>
      <c r="BF1633" s="110"/>
      <c r="BG1633" s="110"/>
      <c r="BH1633" s="110"/>
      <c r="BI1633" s="110"/>
      <c r="BJ1633" s="110"/>
      <c r="BK1633" s="110"/>
      <c r="BL1633" s="110"/>
      <c r="BM1633" s="110"/>
      <c r="BN1633" s="110"/>
      <c r="BO1633" s="110"/>
      <c r="BP1633" s="110"/>
      <c r="BQ1633" s="110"/>
      <c r="BR1633" s="110"/>
      <c r="BS1633" s="110"/>
      <c r="BT1633" s="110"/>
      <c r="BU1633" s="110"/>
      <c r="BV1633" s="110"/>
      <c r="BW1633" s="110"/>
      <c r="BX1633" s="110"/>
      <c r="BY1633" s="110"/>
      <c r="BZ1633" s="110"/>
      <c r="CA1633" s="110"/>
      <c r="CB1633" s="110"/>
      <c r="CC1633" s="110"/>
      <c r="CD1633" s="110"/>
      <c r="CE1633" s="110"/>
      <c r="CF1633" s="110"/>
      <c r="CG1633" s="110"/>
      <c r="CH1633" s="110"/>
      <c r="CI1633" s="110"/>
      <c r="CJ1633" s="110"/>
      <c r="CK1633" s="110"/>
      <c r="CL1633" s="110"/>
      <c r="CM1633" s="110"/>
      <c r="CN1633" s="110"/>
      <c r="CO1633" s="110"/>
      <c r="CP1633" s="110"/>
      <c r="CQ1633" s="110"/>
      <c r="CR1633" s="110"/>
      <c r="CS1633" s="110"/>
      <c r="CT1633" s="110"/>
      <c r="CU1633" s="110"/>
      <c r="CV1633" s="110"/>
      <c r="CW1633" s="110"/>
      <c r="CX1633" s="110"/>
      <c r="CY1633" s="110"/>
      <c r="CZ1633" s="110"/>
      <c r="DA1633" s="110"/>
      <c r="DB1633" s="110"/>
      <c r="DC1633" s="110"/>
      <c r="DD1633" s="110"/>
      <c r="DE1633" s="110"/>
      <c r="DF1633" s="110"/>
      <c r="DG1633" s="110"/>
      <c r="DH1633" s="110"/>
      <c r="DI1633" s="110"/>
      <c r="DJ1633" s="110"/>
      <c r="DK1633" s="110"/>
      <c r="DL1633" s="110"/>
      <c r="DM1633" s="110"/>
      <c r="DN1633" s="110"/>
      <c r="DO1633" s="110"/>
      <c r="DP1633" s="110"/>
      <c r="DQ1633" s="110"/>
      <c r="DR1633" s="110"/>
      <c r="DS1633" s="110"/>
      <c r="DT1633" s="110"/>
      <c r="DU1633" s="110"/>
      <c r="DV1633" s="110"/>
      <c r="DW1633" s="110"/>
      <c r="DX1633" s="110"/>
      <c r="DY1633" s="110"/>
      <c r="DZ1633" s="110"/>
      <c r="EA1633" s="110"/>
      <c r="EB1633" s="110"/>
      <c r="EC1633" s="110"/>
      <c r="ED1633" s="110"/>
      <c r="EF1633" s="264"/>
      <c r="EG1633" s="110"/>
      <c r="EH1633" s="110"/>
      <c r="EI1633" s="110"/>
      <c r="EJ1633" s="110"/>
      <c r="EK1633" s="266"/>
      <c r="EL1633" s="110"/>
      <c r="EM1633" s="110"/>
      <c r="EN1633" s="110"/>
      <c r="EO1633" s="110"/>
      <c r="EP1633" s="110"/>
      <c r="EQ1633" s="110"/>
      <c r="ER1633" s="110"/>
      <c r="ES1633" s="110"/>
      <c r="ET1633" s="110"/>
      <c r="EU1633" s="110"/>
      <c r="EV1633" s="110"/>
      <c r="EW1633" s="110"/>
      <c r="EX1633" s="110"/>
      <c r="EY1633" s="110"/>
      <c r="EZ1633" s="110"/>
      <c r="FA1633" s="110"/>
      <c r="FB1633" s="110"/>
      <c r="FC1633" s="110"/>
      <c r="FD1633" s="110"/>
      <c r="FE1633" s="110"/>
      <c r="FF1633" s="110"/>
      <c r="FG1633" s="110"/>
      <c r="FH1633" s="110"/>
      <c r="FI1633" s="110"/>
      <c r="FJ1633" s="110"/>
      <c r="FK1633" s="110"/>
      <c r="FL1633" s="110"/>
      <c r="FM1633" s="110"/>
      <c r="FN1633" s="110"/>
      <c r="FO1633" s="110"/>
      <c r="FP1633" s="110"/>
      <c r="FQ1633" s="110"/>
      <c r="FR1633" s="110"/>
      <c r="FS1633" s="110"/>
      <c r="FT1633" s="110"/>
      <c r="FU1633" s="110"/>
      <c r="FV1633" s="110"/>
      <c r="FW1633" s="110"/>
      <c r="FX1633" s="110"/>
      <c r="FY1633" s="110"/>
      <c r="FZ1633" s="110"/>
      <c r="GA1633" s="110"/>
      <c r="GB1633" s="110"/>
      <c r="GC1633" s="110"/>
      <c r="GD1633" s="110"/>
      <c r="GE1633" s="110"/>
      <c r="GF1633" s="110"/>
      <c r="GG1633" s="110"/>
      <c r="GH1633" s="110"/>
      <c r="GI1633" s="110"/>
      <c r="GJ1633" s="110"/>
      <c r="GK1633" s="110"/>
      <c r="GL1633" s="110"/>
      <c r="GM1633" s="110"/>
      <c r="GN1633" s="110"/>
      <c r="GO1633" s="110"/>
      <c r="GP1633" s="110"/>
      <c r="GQ1633" s="110"/>
      <c r="GR1633" s="110"/>
      <c r="GS1633" s="110"/>
      <c r="GT1633" s="110"/>
      <c r="GU1633" s="110"/>
      <c r="GV1633" s="110"/>
      <c r="GW1633" s="110"/>
      <c r="GX1633" s="110"/>
      <c r="GY1633" s="110"/>
      <c r="GZ1633" s="110"/>
      <c r="HA1633" s="110"/>
      <c r="HB1633" s="110"/>
      <c r="HC1633" s="110"/>
      <c r="HD1633" s="110"/>
      <c r="HE1633" s="110"/>
      <c r="HF1633" s="110"/>
      <c r="HG1633" s="110"/>
      <c r="HH1633" s="110"/>
      <c r="HI1633" s="110"/>
      <c r="HJ1633" s="110"/>
      <c r="HK1633" s="110"/>
      <c r="HL1633" s="110"/>
      <c r="HM1633" s="110"/>
      <c r="HN1633" s="110"/>
      <c r="HO1633" s="110"/>
      <c r="HP1633" s="110"/>
      <c r="HQ1633" s="110"/>
      <c r="HR1633" s="110"/>
      <c r="HS1633" s="110"/>
      <c r="HT1633" s="110"/>
      <c r="HU1633" s="110"/>
      <c r="HV1633" s="110"/>
      <c r="HW1633" s="110"/>
      <c r="HX1633" s="110"/>
      <c r="HY1633" s="110"/>
      <c r="HZ1633" s="110"/>
      <c r="IA1633" s="110"/>
      <c r="IB1633" s="110"/>
      <c r="IC1633" s="110"/>
      <c r="ID1633" s="110"/>
      <c r="IE1633" s="110"/>
      <c r="IF1633" s="110"/>
      <c r="IG1633" s="110"/>
      <c r="IH1633" s="110"/>
      <c r="II1633" s="110"/>
      <c r="IJ1633" s="110"/>
      <c r="IK1633" s="110"/>
      <c r="IL1633" s="110"/>
      <c r="IM1633" s="110"/>
      <c r="IN1633" s="110"/>
      <c r="IO1633" s="110"/>
      <c r="IP1633" s="110"/>
      <c r="IQ1633" s="110"/>
      <c r="IR1633" s="110"/>
    </row>
    <row r="1634" spans="18:252" ht="16.5" hidden="1" customHeight="1">
      <c r="R1634" s="264"/>
      <c r="S1634" s="110"/>
      <c r="T1634" s="110"/>
      <c r="U1634" s="110"/>
      <c r="V1634" s="110"/>
      <c r="W1634" s="266"/>
      <c r="X1634" s="110"/>
      <c r="Y1634" s="110"/>
      <c r="Z1634" s="110"/>
      <c r="AA1634" s="110"/>
      <c r="AB1634" s="110"/>
      <c r="AC1634" s="110"/>
      <c r="AD1634" s="110"/>
      <c r="AE1634" s="110"/>
      <c r="AF1634" s="110"/>
      <c r="AG1634" s="110"/>
      <c r="AH1634" s="110"/>
      <c r="AI1634" s="110"/>
      <c r="AJ1634" s="110"/>
      <c r="AK1634" s="110"/>
      <c r="AL1634" s="110"/>
      <c r="AM1634" s="110"/>
      <c r="AN1634" s="110"/>
      <c r="AO1634" s="110"/>
      <c r="AP1634" s="110"/>
      <c r="AQ1634" s="110"/>
      <c r="AR1634" s="110"/>
      <c r="AS1634" s="110"/>
      <c r="AT1634" s="110"/>
      <c r="AU1634" s="110"/>
      <c r="AV1634" s="110"/>
      <c r="AW1634" s="110"/>
      <c r="AX1634" s="110"/>
      <c r="AY1634" s="110"/>
      <c r="AZ1634" s="110"/>
      <c r="BA1634" s="110"/>
      <c r="BB1634" s="110"/>
      <c r="BC1634" s="110"/>
      <c r="BD1634" s="110"/>
      <c r="BE1634" s="110"/>
      <c r="BF1634" s="110"/>
      <c r="BG1634" s="110"/>
      <c r="BH1634" s="110"/>
      <c r="BI1634" s="110"/>
      <c r="BJ1634" s="110"/>
      <c r="BK1634" s="110"/>
      <c r="BL1634" s="110"/>
      <c r="BM1634" s="110"/>
      <c r="BN1634" s="110"/>
      <c r="BO1634" s="110"/>
      <c r="BP1634" s="110"/>
      <c r="BQ1634" s="110"/>
      <c r="BR1634" s="110"/>
      <c r="BS1634" s="110"/>
      <c r="BT1634" s="110"/>
      <c r="BU1634" s="110"/>
      <c r="BV1634" s="110"/>
      <c r="BW1634" s="110"/>
      <c r="BX1634" s="110"/>
      <c r="BY1634" s="110"/>
      <c r="BZ1634" s="110"/>
      <c r="CA1634" s="110"/>
      <c r="CB1634" s="110"/>
      <c r="CC1634" s="110"/>
      <c r="CD1634" s="110"/>
      <c r="CE1634" s="110"/>
      <c r="CF1634" s="110"/>
      <c r="CG1634" s="110"/>
      <c r="CH1634" s="110"/>
      <c r="CI1634" s="110"/>
      <c r="CJ1634" s="110"/>
      <c r="CK1634" s="110"/>
      <c r="CL1634" s="110"/>
      <c r="CM1634" s="110"/>
      <c r="CN1634" s="110"/>
      <c r="CO1634" s="110"/>
      <c r="CP1634" s="110"/>
      <c r="CQ1634" s="110"/>
      <c r="CR1634" s="110"/>
      <c r="CS1634" s="110"/>
      <c r="CT1634" s="110"/>
      <c r="CU1634" s="110"/>
      <c r="CV1634" s="110"/>
      <c r="CW1634" s="110"/>
      <c r="CX1634" s="110"/>
      <c r="CY1634" s="110"/>
      <c r="CZ1634" s="110"/>
      <c r="DA1634" s="110"/>
      <c r="DB1634" s="110"/>
      <c r="DC1634" s="110"/>
      <c r="DD1634" s="110"/>
      <c r="DE1634" s="110"/>
      <c r="DF1634" s="110"/>
      <c r="DG1634" s="110"/>
      <c r="DH1634" s="110"/>
      <c r="DI1634" s="110"/>
      <c r="DJ1634" s="110"/>
      <c r="DK1634" s="110"/>
      <c r="DL1634" s="110"/>
      <c r="DM1634" s="110"/>
      <c r="DN1634" s="110"/>
      <c r="DO1634" s="110"/>
      <c r="DP1634" s="110"/>
      <c r="DQ1634" s="110"/>
      <c r="DR1634" s="110"/>
      <c r="DS1634" s="110"/>
      <c r="DT1634" s="110"/>
      <c r="DU1634" s="110"/>
      <c r="DV1634" s="110"/>
      <c r="DW1634" s="110"/>
      <c r="DX1634" s="110"/>
      <c r="DY1634" s="110"/>
      <c r="DZ1634" s="110"/>
      <c r="EA1634" s="110"/>
      <c r="EB1634" s="110"/>
      <c r="EC1634" s="110"/>
      <c r="ED1634" s="110"/>
      <c r="EF1634" s="264"/>
      <c r="EG1634" s="110"/>
      <c r="EH1634" s="110"/>
      <c r="EI1634" s="110"/>
      <c r="EJ1634" s="110"/>
      <c r="EK1634" s="266"/>
      <c r="EL1634" s="110"/>
      <c r="EM1634" s="110"/>
      <c r="EN1634" s="110"/>
      <c r="EO1634" s="110"/>
      <c r="EP1634" s="110"/>
      <c r="EQ1634" s="110"/>
      <c r="ER1634" s="110"/>
      <c r="ES1634" s="110"/>
      <c r="ET1634" s="110"/>
      <c r="EU1634" s="110"/>
      <c r="EV1634" s="110"/>
      <c r="EW1634" s="110"/>
      <c r="EX1634" s="110"/>
      <c r="EY1634" s="110"/>
      <c r="EZ1634" s="110"/>
      <c r="FA1634" s="110"/>
      <c r="FB1634" s="110"/>
      <c r="FC1634" s="110"/>
      <c r="FD1634" s="110"/>
      <c r="FE1634" s="110"/>
      <c r="FF1634" s="110"/>
      <c r="FG1634" s="110"/>
      <c r="FH1634" s="110"/>
      <c r="FI1634" s="110"/>
      <c r="FJ1634" s="110"/>
      <c r="FK1634" s="110"/>
      <c r="FL1634" s="110"/>
      <c r="FM1634" s="110"/>
      <c r="FN1634" s="110"/>
      <c r="FO1634" s="110"/>
      <c r="FP1634" s="110"/>
      <c r="FQ1634" s="110"/>
      <c r="FR1634" s="110"/>
      <c r="FS1634" s="110"/>
      <c r="FT1634" s="110"/>
      <c r="FU1634" s="110"/>
      <c r="FV1634" s="110"/>
      <c r="FW1634" s="110"/>
      <c r="FX1634" s="110"/>
      <c r="FY1634" s="110"/>
      <c r="FZ1634" s="110"/>
      <c r="GA1634" s="110"/>
      <c r="GB1634" s="110"/>
      <c r="GC1634" s="110"/>
      <c r="GD1634" s="110"/>
      <c r="GE1634" s="110"/>
      <c r="GF1634" s="110"/>
      <c r="GG1634" s="110"/>
      <c r="GH1634" s="110"/>
      <c r="GI1634" s="110"/>
      <c r="GJ1634" s="110"/>
      <c r="GK1634" s="110"/>
      <c r="GL1634" s="110"/>
      <c r="GM1634" s="110"/>
      <c r="GN1634" s="110"/>
      <c r="GO1634" s="110"/>
      <c r="GP1634" s="110"/>
      <c r="GQ1634" s="110"/>
      <c r="GR1634" s="110"/>
      <c r="GS1634" s="110"/>
      <c r="GT1634" s="110"/>
      <c r="GU1634" s="110"/>
      <c r="GV1634" s="110"/>
      <c r="GW1634" s="110"/>
      <c r="GX1634" s="110"/>
      <c r="GY1634" s="110"/>
      <c r="GZ1634" s="110"/>
      <c r="HA1634" s="110"/>
      <c r="HB1634" s="110"/>
      <c r="HC1634" s="110"/>
      <c r="HD1634" s="110"/>
      <c r="HE1634" s="110"/>
      <c r="HF1634" s="110"/>
      <c r="HG1634" s="110"/>
      <c r="HH1634" s="110"/>
      <c r="HI1634" s="110"/>
      <c r="HJ1634" s="110"/>
      <c r="HK1634" s="110"/>
      <c r="HL1634" s="110"/>
      <c r="HM1634" s="110"/>
      <c r="HN1634" s="110"/>
      <c r="HO1634" s="110"/>
      <c r="HP1634" s="110"/>
      <c r="HQ1634" s="110"/>
      <c r="HR1634" s="110"/>
      <c r="HS1634" s="110"/>
      <c r="HT1634" s="110"/>
      <c r="HU1634" s="110"/>
      <c r="HV1634" s="110"/>
      <c r="HW1634" s="110"/>
      <c r="HX1634" s="110"/>
      <c r="HY1634" s="110"/>
      <c r="HZ1634" s="110"/>
      <c r="IA1634" s="110"/>
      <c r="IB1634" s="110"/>
      <c r="IC1634" s="110"/>
      <c r="ID1634" s="110"/>
      <c r="IE1634" s="110"/>
      <c r="IF1634" s="110"/>
      <c r="IG1634" s="110"/>
      <c r="IH1634" s="110"/>
      <c r="II1634" s="110"/>
      <c r="IJ1634" s="110"/>
      <c r="IK1634" s="110"/>
      <c r="IL1634" s="110"/>
      <c r="IM1634" s="110"/>
      <c r="IN1634" s="110"/>
      <c r="IO1634" s="110"/>
      <c r="IP1634" s="110"/>
      <c r="IQ1634" s="110"/>
      <c r="IR1634" s="110"/>
    </row>
    <row r="1635" spans="18:252" ht="16.5" hidden="1" customHeight="1">
      <c r="R1635" s="264"/>
      <c r="S1635" s="110"/>
      <c r="T1635" s="110"/>
      <c r="U1635" s="110"/>
      <c r="V1635" s="110"/>
      <c r="W1635" s="266"/>
      <c r="X1635" s="110"/>
      <c r="Y1635" s="110"/>
      <c r="Z1635" s="110"/>
      <c r="AA1635" s="110"/>
      <c r="AB1635" s="110"/>
      <c r="AC1635" s="110"/>
      <c r="AD1635" s="110"/>
      <c r="AE1635" s="110"/>
      <c r="AF1635" s="110"/>
      <c r="AG1635" s="110"/>
      <c r="AH1635" s="110"/>
      <c r="AI1635" s="110"/>
      <c r="AJ1635" s="110"/>
      <c r="AK1635" s="110"/>
      <c r="AL1635" s="110"/>
      <c r="AM1635" s="110"/>
      <c r="AN1635" s="110"/>
      <c r="AO1635" s="110"/>
      <c r="AP1635" s="110"/>
      <c r="AQ1635" s="110"/>
      <c r="AR1635" s="110"/>
      <c r="AS1635" s="110"/>
      <c r="AT1635" s="110"/>
      <c r="AU1635" s="110"/>
      <c r="AV1635" s="110"/>
      <c r="AW1635" s="110"/>
      <c r="AX1635" s="110"/>
      <c r="AY1635" s="110"/>
      <c r="AZ1635" s="110"/>
      <c r="BA1635" s="110"/>
      <c r="BB1635" s="110"/>
      <c r="BC1635" s="110"/>
      <c r="BD1635" s="110"/>
      <c r="BE1635" s="110"/>
      <c r="BF1635" s="110"/>
      <c r="BG1635" s="110"/>
      <c r="BH1635" s="110"/>
      <c r="BI1635" s="110"/>
      <c r="BJ1635" s="110"/>
      <c r="BK1635" s="110"/>
      <c r="BL1635" s="110"/>
      <c r="BM1635" s="110"/>
      <c r="BN1635" s="110"/>
      <c r="BO1635" s="110"/>
      <c r="BP1635" s="110"/>
      <c r="BQ1635" s="110"/>
      <c r="BR1635" s="110"/>
      <c r="BS1635" s="110"/>
      <c r="BT1635" s="110"/>
      <c r="BU1635" s="110"/>
      <c r="BV1635" s="110"/>
      <c r="BW1635" s="110"/>
      <c r="BX1635" s="110"/>
      <c r="BY1635" s="110"/>
      <c r="BZ1635" s="110"/>
      <c r="CA1635" s="110"/>
      <c r="CB1635" s="110"/>
      <c r="CC1635" s="110"/>
      <c r="CD1635" s="110"/>
      <c r="CE1635" s="110"/>
      <c r="CF1635" s="110"/>
      <c r="CG1635" s="110"/>
      <c r="CH1635" s="110"/>
      <c r="CI1635" s="110"/>
      <c r="CJ1635" s="110"/>
      <c r="CK1635" s="110"/>
      <c r="CL1635" s="110"/>
      <c r="CM1635" s="110"/>
      <c r="CN1635" s="110"/>
      <c r="CO1635" s="110"/>
      <c r="CP1635" s="110"/>
      <c r="CQ1635" s="110"/>
      <c r="CR1635" s="110"/>
      <c r="CS1635" s="110"/>
      <c r="CT1635" s="110"/>
      <c r="CU1635" s="110"/>
      <c r="CV1635" s="110"/>
      <c r="CW1635" s="110"/>
      <c r="CX1635" s="110"/>
      <c r="CY1635" s="110"/>
      <c r="CZ1635" s="110"/>
      <c r="DA1635" s="110"/>
      <c r="DB1635" s="110"/>
      <c r="DC1635" s="110"/>
      <c r="DD1635" s="110"/>
      <c r="DE1635" s="110"/>
      <c r="DF1635" s="110"/>
      <c r="DG1635" s="110"/>
      <c r="DH1635" s="110"/>
      <c r="DI1635" s="110"/>
      <c r="DJ1635" s="110"/>
      <c r="DK1635" s="110"/>
      <c r="DL1635" s="110"/>
      <c r="DM1635" s="110"/>
      <c r="DN1635" s="110"/>
      <c r="DO1635" s="110"/>
      <c r="DP1635" s="110"/>
      <c r="DQ1635" s="110"/>
      <c r="DR1635" s="110"/>
      <c r="DS1635" s="110"/>
      <c r="DT1635" s="110"/>
      <c r="DU1635" s="110"/>
      <c r="DV1635" s="110"/>
      <c r="DW1635" s="110"/>
      <c r="DX1635" s="110"/>
      <c r="DY1635" s="110"/>
      <c r="DZ1635" s="110"/>
      <c r="EA1635" s="110"/>
      <c r="EB1635" s="110"/>
      <c r="EC1635" s="110"/>
      <c r="ED1635" s="110"/>
      <c r="EF1635" s="264"/>
      <c r="EG1635" s="110"/>
      <c r="EH1635" s="110"/>
      <c r="EI1635" s="110"/>
      <c r="EJ1635" s="110"/>
      <c r="EK1635" s="266"/>
      <c r="EL1635" s="110"/>
      <c r="EM1635" s="110"/>
      <c r="EN1635" s="110"/>
      <c r="EO1635" s="110"/>
      <c r="EP1635" s="110"/>
      <c r="EQ1635" s="110"/>
      <c r="ER1635" s="110"/>
      <c r="ES1635" s="110"/>
      <c r="ET1635" s="110"/>
      <c r="EU1635" s="110"/>
      <c r="EV1635" s="110"/>
      <c r="EW1635" s="110"/>
      <c r="EX1635" s="110"/>
      <c r="EY1635" s="110"/>
      <c r="EZ1635" s="110"/>
      <c r="FA1635" s="110"/>
      <c r="FB1635" s="110"/>
      <c r="FC1635" s="110"/>
      <c r="FD1635" s="110"/>
      <c r="FE1635" s="110"/>
      <c r="FF1635" s="110"/>
      <c r="FG1635" s="110"/>
      <c r="FH1635" s="110"/>
      <c r="FI1635" s="110"/>
      <c r="FJ1635" s="110"/>
      <c r="FK1635" s="110"/>
      <c r="FL1635" s="110"/>
      <c r="FM1635" s="110"/>
      <c r="FN1635" s="110"/>
      <c r="FO1635" s="110"/>
      <c r="FP1635" s="110"/>
      <c r="FQ1635" s="110"/>
      <c r="FR1635" s="110"/>
      <c r="FS1635" s="110"/>
      <c r="FT1635" s="110"/>
      <c r="FU1635" s="110"/>
      <c r="FV1635" s="110"/>
      <c r="FW1635" s="110"/>
      <c r="FX1635" s="110"/>
      <c r="FY1635" s="110"/>
      <c r="FZ1635" s="110"/>
      <c r="GA1635" s="110"/>
      <c r="GB1635" s="110"/>
      <c r="GC1635" s="110"/>
      <c r="GD1635" s="110"/>
      <c r="GE1635" s="110"/>
      <c r="GF1635" s="110"/>
      <c r="GG1635" s="110"/>
      <c r="GH1635" s="110"/>
      <c r="GI1635" s="110"/>
      <c r="GJ1635" s="110"/>
      <c r="GK1635" s="110"/>
      <c r="GL1635" s="110"/>
      <c r="GM1635" s="110"/>
      <c r="GN1635" s="110"/>
      <c r="GO1635" s="110"/>
      <c r="GP1635" s="110"/>
      <c r="GQ1635" s="110"/>
      <c r="GR1635" s="110"/>
      <c r="GS1635" s="110"/>
      <c r="GT1635" s="110"/>
      <c r="GU1635" s="110"/>
      <c r="GV1635" s="110"/>
      <c r="GW1635" s="110"/>
      <c r="GX1635" s="110"/>
      <c r="GY1635" s="110"/>
      <c r="GZ1635" s="110"/>
      <c r="HA1635" s="110"/>
      <c r="HB1635" s="110"/>
      <c r="HC1635" s="110"/>
      <c r="HD1635" s="110"/>
      <c r="HE1635" s="110"/>
      <c r="HF1635" s="110"/>
      <c r="HG1635" s="110"/>
      <c r="HH1635" s="110"/>
      <c r="HI1635" s="110"/>
      <c r="HJ1635" s="110"/>
      <c r="HK1635" s="110"/>
      <c r="HL1635" s="110"/>
      <c r="HM1635" s="110"/>
      <c r="HN1635" s="110"/>
      <c r="HO1635" s="110"/>
      <c r="HP1635" s="110"/>
      <c r="HQ1635" s="110"/>
      <c r="HR1635" s="110"/>
      <c r="HS1635" s="110"/>
      <c r="HT1635" s="110"/>
      <c r="HU1635" s="110"/>
      <c r="HV1635" s="110"/>
      <c r="HW1635" s="110"/>
      <c r="HX1635" s="110"/>
      <c r="HY1635" s="110"/>
      <c r="HZ1635" s="110"/>
      <c r="IA1635" s="110"/>
      <c r="IB1635" s="110"/>
      <c r="IC1635" s="110"/>
      <c r="ID1635" s="110"/>
      <c r="IE1635" s="110"/>
      <c r="IF1635" s="110"/>
      <c r="IG1635" s="110"/>
      <c r="IH1635" s="110"/>
      <c r="II1635" s="110"/>
      <c r="IJ1635" s="110"/>
      <c r="IK1635" s="110"/>
      <c r="IL1635" s="110"/>
      <c r="IM1635" s="110"/>
      <c r="IN1635" s="110"/>
      <c r="IO1635" s="110"/>
      <c r="IP1635" s="110"/>
      <c r="IQ1635" s="110"/>
      <c r="IR1635" s="110"/>
    </row>
    <row r="1636" spans="18:252" ht="16.5" hidden="1" customHeight="1">
      <c r="R1636" s="264"/>
      <c r="S1636" s="110"/>
      <c r="T1636" s="110"/>
      <c r="U1636" s="110"/>
      <c r="V1636" s="110"/>
      <c r="W1636" s="266"/>
      <c r="X1636" s="110"/>
      <c r="Y1636" s="110"/>
      <c r="Z1636" s="110"/>
      <c r="AA1636" s="110"/>
      <c r="AB1636" s="110"/>
      <c r="AC1636" s="110"/>
      <c r="AD1636" s="110"/>
      <c r="AE1636" s="110"/>
      <c r="AF1636" s="110"/>
      <c r="AG1636" s="110"/>
      <c r="AH1636" s="110"/>
      <c r="AI1636" s="110"/>
      <c r="AJ1636" s="110"/>
      <c r="AK1636" s="110"/>
      <c r="AL1636" s="110"/>
      <c r="AM1636" s="110"/>
      <c r="AN1636" s="110"/>
      <c r="AO1636" s="110"/>
      <c r="AP1636" s="110"/>
      <c r="AQ1636" s="110"/>
      <c r="AR1636" s="110"/>
      <c r="AS1636" s="110"/>
      <c r="AT1636" s="110"/>
      <c r="AU1636" s="110"/>
      <c r="AV1636" s="110"/>
      <c r="AW1636" s="110"/>
      <c r="AX1636" s="110"/>
      <c r="AY1636" s="110"/>
      <c r="AZ1636" s="110"/>
      <c r="BA1636" s="110"/>
      <c r="BB1636" s="110"/>
      <c r="BC1636" s="110"/>
      <c r="BD1636" s="110"/>
      <c r="BE1636" s="110"/>
      <c r="BF1636" s="110"/>
      <c r="BG1636" s="110"/>
      <c r="BH1636" s="110"/>
      <c r="BI1636" s="110"/>
      <c r="BJ1636" s="110"/>
      <c r="BK1636" s="110"/>
      <c r="BL1636" s="110"/>
      <c r="BM1636" s="110"/>
      <c r="BN1636" s="110"/>
      <c r="BO1636" s="110"/>
      <c r="BP1636" s="110"/>
      <c r="BQ1636" s="110"/>
      <c r="BR1636" s="110"/>
      <c r="BS1636" s="110"/>
      <c r="BT1636" s="110"/>
      <c r="BU1636" s="110"/>
      <c r="BV1636" s="110"/>
      <c r="BW1636" s="110"/>
      <c r="BX1636" s="110"/>
      <c r="BY1636" s="110"/>
      <c r="BZ1636" s="110"/>
      <c r="CA1636" s="110"/>
      <c r="CB1636" s="110"/>
      <c r="CC1636" s="110"/>
      <c r="CD1636" s="110"/>
      <c r="CE1636" s="110"/>
      <c r="CF1636" s="110"/>
      <c r="CG1636" s="110"/>
      <c r="CH1636" s="110"/>
      <c r="CI1636" s="110"/>
      <c r="CJ1636" s="110"/>
      <c r="CK1636" s="110"/>
      <c r="CL1636" s="110"/>
      <c r="CM1636" s="110"/>
      <c r="CN1636" s="110"/>
      <c r="CO1636" s="110"/>
      <c r="CP1636" s="110"/>
      <c r="CQ1636" s="110"/>
      <c r="CR1636" s="110"/>
      <c r="CS1636" s="110"/>
      <c r="CT1636" s="110"/>
      <c r="CU1636" s="110"/>
      <c r="CV1636" s="110"/>
      <c r="CW1636" s="110"/>
      <c r="CX1636" s="110"/>
      <c r="CY1636" s="110"/>
      <c r="CZ1636" s="110"/>
      <c r="DA1636" s="110"/>
      <c r="DB1636" s="110"/>
      <c r="DC1636" s="110"/>
      <c r="DD1636" s="110"/>
      <c r="DE1636" s="110"/>
      <c r="DF1636" s="110"/>
      <c r="DG1636" s="110"/>
      <c r="DH1636" s="110"/>
      <c r="DI1636" s="110"/>
      <c r="DJ1636" s="110"/>
      <c r="DK1636" s="110"/>
      <c r="DL1636" s="110"/>
      <c r="DM1636" s="110"/>
      <c r="DN1636" s="110"/>
      <c r="DO1636" s="110"/>
      <c r="DP1636" s="110"/>
      <c r="DQ1636" s="110"/>
      <c r="DR1636" s="110"/>
      <c r="DS1636" s="110"/>
      <c r="DT1636" s="110"/>
      <c r="DU1636" s="110"/>
      <c r="DV1636" s="110"/>
      <c r="DW1636" s="110"/>
      <c r="DX1636" s="110"/>
      <c r="DY1636" s="110"/>
      <c r="DZ1636" s="110"/>
      <c r="EA1636" s="110"/>
      <c r="EB1636" s="110"/>
      <c r="EC1636" s="110"/>
      <c r="ED1636" s="110"/>
      <c r="EF1636" s="264"/>
      <c r="EG1636" s="110"/>
      <c r="EH1636" s="110"/>
      <c r="EI1636" s="110"/>
      <c r="EJ1636" s="110"/>
      <c r="EK1636" s="266"/>
      <c r="EL1636" s="110"/>
      <c r="EM1636" s="110"/>
      <c r="EN1636" s="110"/>
      <c r="EO1636" s="110"/>
      <c r="EP1636" s="110"/>
      <c r="EQ1636" s="110"/>
      <c r="ER1636" s="110"/>
      <c r="ES1636" s="110"/>
      <c r="ET1636" s="110"/>
      <c r="EU1636" s="110"/>
      <c r="EV1636" s="110"/>
      <c r="EW1636" s="110"/>
      <c r="EX1636" s="110"/>
      <c r="EY1636" s="110"/>
      <c r="EZ1636" s="110"/>
      <c r="FA1636" s="110"/>
      <c r="FB1636" s="110"/>
      <c r="FC1636" s="110"/>
      <c r="FD1636" s="110"/>
      <c r="FE1636" s="110"/>
      <c r="FF1636" s="110"/>
      <c r="FG1636" s="110"/>
      <c r="FH1636" s="110"/>
      <c r="FI1636" s="110"/>
      <c r="FJ1636" s="110"/>
      <c r="FK1636" s="110"/>
      <c r="FL1636" s="110"/>
      <c r="FM1636" s="110"/>
      <c r="FN1636" s="110"/>
      <c r="FO1636" s="110"/>
      <c r="FP1636" s="110"/>
      <c r="FQ1636" s="110"/>
      <c r="FR1636" s="110"/>
      <c r="FS1636" s="110"/>
      <c r="FT1636" s="110"/>
      <c r="FU1636" s="110"/>
      <c r="FV1636" s="110"/>
      <c r="FW1636" s="110"/>
      <c r="FX1636" s="110"/>
      <c r="FY1636" s="110"/>
      <c r="FZ1636" s="110"/>
      <c r="GA1636" s="110"/>
      <c r="GB1636" s="110"/>
      <c r="GC1636" s="110"/>
      <c r="GD1636" s="110"/>
      <c r="GE1636" s="110"/>
      <c r="GF1636" s="110"/>
      <c r="GG1636" s="110"/>
      <c r="GH1636" s="110"/>
      <c r="GI1636" s="110"/>
      <c r="GJ1636" s="110"/>
      <c r="GK1636" s="110"/>
      <c r="GL1636" s="110"/>
      <c r="GM1636" s="110"/>
      <c r="GN1636" s="110"/>
      <c r="GO1636" s="110"/>
      <c r="GP1636" s="110"/>
      <c r="GQ1636" s="110"/>
      <c r="GR1636" s="110"/>
      <c r="GS1636" s="110"/>
      <c r="GT1636" s="110"/>
      <c r="GU1636" s="110"/>
      <c r="GV1636" s="110"/>
      <c r="GW1636" s="110"/>
      <c r="GX1636" s="110"/>
      <c r="GY1636" s="110"/>
      <c r="GZ1636" s="110"/>
      <c r="HA1636" s="110"/>
      <c r="HB1636" s="110"/>
      <c r="HC1636" s="110"/>
      <c r="HD1636" s="110"/>
      <c r="HE1636" s="110"/>
      <c r="HF1636" s="110"/>
      <c r="HG1636" s="110"/>
      <c r="HH1636" s="110"/>
      <c r="HI1636" s="110"/>
      <c r="HJ1636" s="110"/>
      <c r="HK1636" s="110"/>
      <c r="HL1636" s="110"/>
      <c r="HM1636" s="110"/>
      <c r="HN1636" s="110"/>
      <c r="HO1636" s="110"/>
      <c r="HP1636" s="110"/>
      <c r="HQ1636" s="110"/>
      <c r="HR1636" s="110"/>
      <c r="HS1636" s="110"/>
      <c r="HT1636" s="110"/>
      <c r="HU1636" s="110"/>
      <c r="HV1636" s="110"/>
      <c r="HW1636" s="110"/>
      <c r="HX1636" s="110"/>
      <c r="HY1636" s="110"/>
      <c r="HZ1636" s="110"/>
      <c r="IA1636" s="110"/>
      <c r="IB1636" s="110"/>
      <c r="IC1636" s="110"/>
      <c r="ID1636" s="110"/>
      <c r="IE1636" s="110"/>
      <c r="IF1636" s="110"/>
      <c r="IG1636" s="110"/>
      <c r="IH1636" s="110"/>
      <c r="II1636" s="110"/>
      <c r="IJ1636" s="110"/>
      <c r="IK1636" s="110"/>
      <c r="IL1636" s="110"/>
      <c r="IM1636" s="110"/>
      <c r="IN1636" s="110"/>
      <c r="IO1636" s="110"/>
      <c r="IP1636" s="110"/>
      <c r="IQ1636" s="110"/>
      <c r="IR1636" s="110"/>
    </row>
    <row r="1637" spans="18:252" ht="16.5" hidden="1" customHeight="1">
      <c r="R1637" s="264"/>
      <c r="S1637" s="110"/>
      <c r="T1637" s="110"/>
      <c r="U1637" s="110"/>
      <c r="V1637" s="110"/>
      <c r="W1637" s="266"/>
      <c r="X1637" s="110"/>
      <c r="Y1637" s="110"/>
      <c r="Z1637" s="110"/>
      <c r="AA1637" s="110"/>
      <c r="AB1637" s="110"/>
      <c r="AC1637" s="110"/>
      <c r="AD1637" s="110"/>
      <c r="AE1637" s="110"/>
      <c r="AF1637" s="110"/>
      <c r="AG1637" s="110"/>
      <c r="AH1637" s="110"/>
      <c r="AI1637" s="110"/>
      <c r="AJ1637" s="110"/>
      <c r="AK1637" s="110"/>
      <c r="AL1637" s="110"/>
      <c r="AM1637" s="110"/>
      <c r="AN1637" s="110"/>
      <c r="AO1637" s="110"/>
      <c r="AP1637" s="110"/>
      <c r="AQ1637" s="110"/>
      <c r="AR1637" s="110"/>
      <c r="AS1637" s="110"/>
      <c r="AT1637" s="110"/>
      <c r="AU1637" s="110"/>
      <c r="AV1637" s="110"/>
      <c r="AW1637" s="110"/>
      <c r="AX1637" s="110"/>
      <c r="AY1637" s="110"/>
      <c r="AZ1637" s="110"/>
      <c r="BA1637" s="110"/>
      <c r="BB1637" s="110"/>
      <c r="BC1637" s="110"/>
      <c r="BD1637" s="110"/>
      <c r="BE1637" s="110"/>
      <c r="BF1637" s="110"/>
      <c r="BG1637" s="110"/>
      <c r="BH1637" s="110"/>
      <c r="BI1637" s="110"/>
      <c r="BJ1637" s="110"/>
      <c r="BK1637" s="110"/>
      <c r="BL1637" s="110"/>
      <c r="BM1637" s="110"/>
      <c r="BN1637" s="110"/>
      <c r="BO1637" s="110"/>
      <c r="BP1637" s="110"/>
      <c r="BQ1637" s="110"/>
      <c r="BR1637" s="110"/>
      <c r="BS1637" s="110"/>
      <c r="BT1637" s="110"/>
      <c r="BU1637" s="110"/>
      <c r="BV1637" s="110"/>
      <c r="BW1637" s="110"/>
      <c r="BX1637" s="110"/>
      <c r="BY1637" s="110"/>
      <c r="BZ1637" s="110"/>
      <c r="CA1637" s="110"/>
      <c r="CB1637" s="110"/>
      <c r="CC1637" s="110"/>
      <c r="CD1637" s="110"/>
      <c r="CE1637" s="110"/>
      <c r="CF1637" s="110"/>
      <c r="CG1637" s="110"/>
      <c r="CH1637" s="110"/>
      <c r="CI1637" s="110"/>
      <c r="CJ1637" s="110"/>
      <c r="CK1637" s="110"/>
      <c r="CL1637" s="110"/>
      <c r="CM1637" s="110"/>
      <c r="CN1637" s="110"/>
      <c r="CO1637" s="110"/>
      <c r="CP1637" s="110"/>
      <c r="CQ1637" s="110"/>
      <c r="CR1637" s="110"/>
      <c r="CS1637" s="110"/>
      <c r="CT1637" s="110"/>
      <c r="CU1637" s="110"/>
      <c r="CV1637" s="110"/>
      <c r="CW1637" s="110"/>
      <c r="CX1637" s="110"/>
      <c r="CY1637" s="110"/>
      <c r="CZ1637" s="110"/>
      <c r="DA1637" s="110"/>
      <c r="DB1637" s="110"/>
      <c r="DC1637" s="110"/>
      <c r="DD1637" s="110"/>
      <c r="DE1637" s="110"/>
      <c r="DF1637" s="110"/>
      <c r="DG1637" s="110"/>
      <c r="DH1637" s="110"/>
      <c r="DI1637" s="110"/>
      <c r="DJ1637" s="110"/>
      <c r="DK1637" s="110"/>
      <c r="DL1637" s="110"/>
      <c r="DM1637" s="110"/>
      <c r="DN1637" s="110"/>
      <c r="DO1637" s="110"/>
      <c r="DP1637" s="110"/>
      <c r="DQ1637" s="110"/>
      <c r="DR1637" s="110"/>
      <c r="DS1637" s="110"/>
      <c r="DT1637" s="110"/>
      <c r="DU1637" s="110"/>
      <c r="DV1637" s="110"/>
      <c r="DW1637" s="110"/>
      <c r="DX1637" s="110"/>
      <c r="DY1637" s="110"/>
      <c r="DZ1637" s="110"/>
      <c r="EA1637" s="110"/>
      <c r="EB1637" s="110"/>
      <c r="EC1637" s="110"/>
      <c r="ED1637" s="110"/>
      <c r="EF1637" s="264"/>
      <c r="EG1637" s="110"/>
      <c r="EH1637" s="110"/>
      <c r="EI1637" s="110"/>
      <c r="EJ1637" s="110"/>
      <c r="EK1637" s="266"/>
      <c r="EL1637" s="110"/>
      <c r="EM1637" s="110"/>
      <c r="EN1637" s="110"/>
      <c r="EO1637" s="110"/>
      <c r="EP1637" s="110"/>
      <c r="EQ1637" s="110"/>
      <c r="ER1637" s="110"/>
      <c r="ES1637" s="110"/>
      <c r="ET1637" s="110"/>
      <c r="EU1637" s="110"/>
      <c r="EV1637" s="110"/>
      <c r="EW1637" s="110"/>
      <c r="EX1637" s="110"/>
      <c r="EY1637" s="110"/>
      <c r="EZ1637" s="110"/>
      <c r="FA1637" s="110"/>
      <c r="FB1637" s="110"/>
      <c r="FC1637" s="110"/>
      <c r="FD1637" s="110"/>
      <c r="FE1637" s="110"/>
      <c r="FF1637" s="110"/>
      <c r="FG1637" s="110"/>
      <c r="FH1637" s="110"/>
      <c r="FI1637" s="110"/>
      <c r="FJ1637" s="110"/>
      <c r="FK1637" s="110"/>
      <c r="FL1637" s="110"/>
      <c r="FM1637" s="110"/>
      <c r="FN1637" s="110"/>
      <c r="FO1637" s="110"/>
      <c r="FP1637" s="110"/>
      <c r="FQ1637" s="110"/>
      <c r="FR1637" s="110"/>
      <c r="FS1637" s="110"/>
      <c r="FT1637" s="110"/>
      <c r="FU1637" s="110"/>
      <c r="FV1637" s="110"/>
      <c r="FW1637" s="110"/>
      <c r="FX1637" s="110"/>
      <c r="FY1637" s="110"/>
      <c r="FZ1637" s="110"/>
      <c r="GA1637" s="110"/>
      <c r="GB1637" s="110"/>
      <c r="GC1637" s="110"/>
      <c r="GD1637" s="110"/>
      <c r="GE1637" s="110"/>
      <c r="GF1637" s="110"/>
      <c r="GG1637" s="110"/>
      <c r="GH1637" s="110"/>
      <c r="GI1637" s="110"/>
      <c r="GJ1637" s="110"/>
      <c r="GK1637" s="110"/>
      <c r="GL1637" s="110"/>
      <c r="GM1637" s="110"/>
      <c r="GN1637" s="110"/>
      <c r="GO1637" s="110"/>
      <c r="GP1637" s="110"/>
      <c r="GQ1637" s="110"/>
      <c r="GR1637" s="110"/>
      <c r="GS1637" s="110"/>
      <c r="GT1637" s="110"/>
      <c r="GU1637" s="110"/>
      <c r="GV1637" s="110"/>
      <c r="GW1637" s="110"/>
      <c r="GX1637" s="110"/>
      <c r="GY1637" s="110"/>
      <c r="GZ1637" s="110"/>
      <c r="HA1637" s="110"/>
      <c r="HB1637" s="110"/>
      <c r="HC1637" s="110"/>
      <c r="HD1637" s="110"/>
      <c r="HE1637" s="110"/>
      <c r="HF1637" s="110"/>
      <c r="HG1637" s="110"/>
      <c r="HH1637" s="110"/>
      <c r="HI1637" s="110"/>
      <c r="HJ1637" s="110"/>
      <c r="HK1637" s="110"/>
      <c r="HL1637" s="110"/>
      <c r="HM1637" s="110"/>
      <c r="HN1637" s="110"/>
      <c r="HO1637" s="110"/>
      <c r="HP1637" s="110"/>
      <c r="HQ1637" s="110"/>
      <c r="HR1637" s="110"/>
      <c r="HS1637" s="110"/>
      <c r="HT1637" s="110"/>
      <c r="HU1637" s="110"/>
      <c r="HV1637" s="110"/>
      <c r="HW1637" s="110"/>
      <c r="HX1637" s="110"/>
      <c r="HY1637" s="110"/>
      <c r="HZ1637" s="110"/>
      <c r="IA1637" s="110"/>
      <c r="IB1637" s="110"/>
      <c r="IC1637" s="110"/>
      <c r="ID1637" s="110"/>
      <c r="IE1637" s="110"/>
      <c r="IF1637" s="110"/>
      <c r="IG1637" s="110"/>
      <c r="IH1637" s="110"/>
      <c r="II1637" s="110"/>
      <c r="IJ1637" s="110"/>
      <c r="IK1637" s="110"/>
      <c r="IL1637" s="110"/>
      <c r="IM1637" s="110"/>
      <c r="IN1637" s="110"/>
      <c r="IO1637" s="110"/>
      <c r="IP1637" s="110"/>
      <c r="IQ1637" s="110"/>
      <c r="IR1637" s="110"/>
    </row>
    <row r="1638" spans="18:252" ht="16.5" hidden="1" customHeight="1">
      <c r="R1638" s="264"/>
      <c r="S1638" s="110"/>
      <c r="T1638" s="110"/>
      <c r="U1638" s="110"/>
      <c r="V1638" s="110"/>
      <c r="W1638" s="266"/>
      <c r="X1638" s="110"/>
      <c r="Y1638" s="110"/>
      <c r="Z1638" s="110"/>
      <c r="AA1638" s="110"/>
      <c r="AB1638" s="110"/>
      <c r="AC1638" s="110"/>
      <c r="AD1638" s="110"/>
      <c r="AE1638" s="110"/>
      <c r="AF1638" s="110"/>
      <c r="AG1638" s="110"/>
      <c r="AH1638" s="110"/>
      <c r="AI1638" s="110"/>
      <c r="AJ1638" s="110"/>
      <c r="AK1638" s="110"/>
      <c r="AL1638" s="110"/>
      <c r="AM1638" s="110"/>
      <c r="AN1638" s="110"/>
      <c r="AO1638" s="110"/>
      <c r="AP1638" s="110"/>
      <c r="AQ1638" s="110"/>
      <c r="AR1638" s="110"/>
      <c r="AS1638" s="110"/>
      <c r="AT1638" s="110"/>
      <c r="AU1638" s="110"/>
      <c r="AV1638" s="110"/>
      <c r="AW1638" s="110"/>
      <c r="AX1638" s="110"/>
      <c r="AY1638" s="110"/>
      <c r="AZ1638" s="110"/>
      <c r="BA1638" s="110"/>
      <c r="BB1638" s="110"/>
      <c r="BC1638" s="110"/>
      <c r="BD1638" s="110"/>
      <c r="BE1638" s="110"/>
      <c r="BF1638" s="110"/>
      <c r="BG1638" s="110"/>
      <c r="BH1638" s="110"/>
      <c r="BI1638" s="110"/>
      <c r="BJ1638" s="110"/>
      <c r="BK1638" s="110"/>
      <c r="BL1638" s="110"/>
      <c r="BM1638" s="110"/>
      <c r="BN1638" s="110"/>
      <c r="BO1638" s="110"/>
      <c r="BP1638" s="110"/>
      <c r="BQ1638" s="110"/>
      <c r="BR1638" s="110"/>
      <c r="BS1638" s="110"/>
      <c r="BT1638" s="110"/>
      <c r="BU1638" s="110"/>
      <c r="BV1638" s="110"/>
      <c r="BW1638" s="110"/>
      <c r="BX1638" s="110"/>
      <c r="BY1638" s="110"/>
      <c r="BZ1638" s="110"/>
      <c r="CA1638" s="110"/>
      <c r="CB1638" s="110"/>
      <c r="CC1638" s="110"/>
      <c r="CD1638" s="110"/>
      <c r="CE1638" s="110"/>
      <c r="CF1638" s="110"/>
      <c r="CG1638" s="110"/>
      <c r="CH1638" s="110"/>
      <c r="CI1638" s="110"/>
      <c r="CJ1638" s="110"/>
      <c r="CK1638" s="110"/>
      <c r="CL1638" s="110"/>
      <c r="CM1638" s="110"/>
      <c r="CN1638" s="110"/>
      <c r="CO1638" s="110"/>
      <c r="CP1638" s="110"/>
      <c r="CQ1638" s="110"/>
      <c r="CR1638" s="110"/>
      <c r="CS1638" s="110"/>
      <c r="CT1638" s="110"/>
      <c r="CU1638" s="110"/>
      <c r="CV1638" s="110"/>
      <c r="CW1638" s="110"/>
      <c r="CX1638" s="110"/>
      <c r="CY1638" s="110"/>
      <c r="CZ1638" s="110"/>
      <c r="DA1638" s="110"/>
      <c r="DB1638" s="110"/>
      <c r="DC1638" s="110"/>
      <c r="DD1638" s="110"/>
      <c r="DE1638" s="110"/>
      <c r="DF1638" s="110"/>
      <c r="DG1638" s="110"/>
      <c r="DH1638" s="110"/>
      <c r="DI1638" s="110"/>
      <c r="DJ1638" s="110"/>
      <c r="DK1638" s="110"/>
      <c r="DL1638" s="110"/>
      <c r="DM1638" s="110"/>
      <c r="DN1638" s="110"/>
      <c r="DO1638" s="110"/>
      <c r="DP1638" s="110"/>
      <c r="DQ1638" s="110"/>
      <c r="DR1638" s="110"/>
      <c r="DS1638" s="110"/>
      <c r="DT1638" s="110"/>
      <c r="DU1638" s="110"/>
      <c r="DV1638" s="110"/>
      <c r="DW1638" s="110"/>
      <c r="DX1638" s="110"/>
      <c r="DY1638" s="110"/>
      <c r="DZ1638" s="110"/>
      <c r="EA1638" s="110"/>
      <c r="EB1638" s="110"/>
      <c r="EC1638" s="110"/>
      <c r="ED1638" s="110"/>
      <c r="EF1638" s="264"/>
      <c r="EG1638" s="110"/>
      <c r="EH1638" s="110"/>
      <c r="EI1638" s="110"/>
      <c r="EJ1638" s="110"/>
      <c r="EK1638" s="266"/>
      <c r="EL1638" s="110"/>
      <c r="EM1638" s="110"/>
      <c r="EN1638" s="110"/>
      <c r="EO1638" s="110"/>
      <c r="EP1638" s="110"/>
      <c r="EQ1638" s="110"/>
      <c r="ER1638" s="110"/>
      <c r="ES1638" s="110"/>
      <c r="ET1638" s="110"/>
      <c r="EU1638" s="110"/>
      <c r="EV1638" s="110"/>
      <c r="EW1638" s="110"/>
      <c r="EX1638" s="110"/>
      <c r="EY1638" s="110"/>
      <c r="EZ1638" s="110"/>
      <c r="FA1638" s="110"/>
      <c r="FB1638" s="110"/>
      <c r="FC1638" s="110"/>
      <c r="FD1638" s="110"/>
      <c r="FE1638" s="110"/>
      <c r="FF1638" s="110"/>
      <c r="FG1638" s="110"/>
      <c r="FH1638" s="110"/>
      <c r="FI1638" s="110"/>
      <c r="FJ1638" s="110"/>
      <c r="FK1638" s="110"/>
      <c r="FL1638" s="110"/>
      <c r="FM1638" s="110"/>
      <c r="FN1638" s="110"/>
      <c r="FO1638" s="110"/>
      <c r="FP1638" s="110"/>
      <c r="FQ1638" s="110"/>
      <c r="FR1638" s="110"/>
      <c r="FS1638" s="110"/>
      <c r="FT1638" s="110"/>
      <c r="FU1638" s="110"/>
      <c r="FV1638" s="110"/>
      <c r="FW1638" s="110"/>
      <c r="FX1638" s="110"/>
      <c r="FY1638" s="110"/>
      <c r="FZ1638" s="110"/>
      <c r="GA1638" s="110"/>
      <c r="GB1638" s="110"/>
      <c r="GC1638" s="110"/>
      <c r="GD1638" s="110"/>
      <c r="GE1638" s="110"/>
      <c r="GF1638" s="110"/>
      <c r="GG1638" s="110"/>
      <c r="GH1638" s="110"/>
      <c r="GI1638" s="110"/>
      <c r="GJ1638" s="110"/>
      <c r="GK1638" s="110"/>
      <c r="GL1638" s="110"/>
      <c r="GM1638" s="110"/>
      <c r="GN1638" s="110"/>
      <c r="GO1638" s="110"/>
      <c r="GP1638" s="110"/>
      <c r="GQ1638" s="110"/>
      <c r="GR1638" s="110"/>
      <c r="GS1638" s="110"/>
      <c r="GT1638" s="110"/>
      <c r="GU1638" s="110"/>
      <c r="GV1638" s="110"/>
      <c r="GW1638" s="110"/>
      <c r="GX1638" s="110"/>
      <c r="GY1638" s="110"/>
      <c r="GZ1638" s="110"/>
      <c r="HA1638" s="110"/>
      <c r="HB1638" s="110"/>
      <c r="HC1638" s="110"/>
      <c r="HD1638" s="110"/>
      <c r="HE1638" s="110"/>
      <c r="HF1638" s="110"/>
      <c r="HG1638" s="110"/>
      <c r="HH1638" s="110"/>
      <c r="HI1638" s="110"/>
      <c r="HJ1638" s="110"/>
      <c r="HK1638" s="110"/>
      <c r="HL1638" s="110"/>
      <c r="HM1638" s="110"/>
      <c r="HN1638" s="110"/>
      <c r="HO1638" s="110"/>
      <c r="HP1638" s="110"/>
      <c r="HQ1638" s="110"/>
      <c r="HR1638" s="110"/>
      <c r="HS1638" s="110"/>
      <c r="HT1638" s="110"/>
      <c r="HU1638" s="110"/>
      <c r="HV1638" s="110"/>
      <c r="HW1638" s="110"/>
      <c r="HX1638" s="110"/>
      <c r="HY1638" s="110"/>
      <c r="HZ1638" s="110"/>
      <c r="IA1638" s="110"/>
      <c r="IB1638" s="110"/>
      <c r="IC1638" s="110"/>
      <c r="ID1638" s="110"/>
      <c r="IE1638" s="110"/>
      <c r="IF1638" s="110"/>
      <c r="IG1638" s="110"/>
      <c r="IH1638" s="110"/>
      <c r="II1638" s="110"/>
      <c r="IJ1638" s="110"/>
      <c r="IK1638" s="110"/>
      <c r="IL1638" s="110"/>
      <c r="IM1638" s="110"/>
      <c r="IN1638" s="110"/>
      <c r="IO1638" s="110"/>
      <c r="IP1638" s="110"/>
      <c r="IQ1638" s="110"/>
      <c r="IR1638" s="110"/>
    </row>
    <row r="1639" spans="18:252" ht="16.5" hidden="1" customHeight="1">
      <c r="R1639" s="264"/>
      <c r="S1639" s="110"/>
      <c r="T1639" s="110"/>
      <c r="U1639" s="110"/>
      <c r="V1639" s="110"/>
      <c r="W1639" s="266"/>
      <c r="X1639" s="110"/>
      <c r="Y1639" s="110"/>
      <c r="Z1639" s="110"/>
      <c r="AA1639" s="110"/>
      <c r="AB1639" s="110"/>
      <c r="AC1639" s="110"/>
      <c r="AD1639" s="110"/>
      <c r="AE1639" s="110"/>
      <c r="AF1639" s="110"/>
      <c r="AG1639" s="110"/>
      <c r="AH1639" s="110"/>
      <c r="AI1639" s="110"/>
      <c r="AJ1639" s="110"/>
      <c r="AK1639" s="110"/>
      <c r="AL1639" s="110"/>
      <c r="AM1639" s="110"/>
      <c r="AN1639" s="110"/>
      <c r="AO1639" s="110"/>
      <c r="AP1639" s="110"/>
      <c r="AQ1639" s="110"/>
      <c r="AR1639" s="110"/>
      <c r="AS1639" s="110"/>
      <c r="AT1639" s="110"/>
      <c r="AU1639" s="110"/>
      <c r="AV1639" s="110"/>
      <c r="AW1639" s="110"/>
      <c r="AX1639" s="110"/>
      <c r="AY1639" s="110"/>
      <c r="AZ1639" s="110"/>
      <c r="BA1639" s="110"/>
      <c r="BB1639" s="110"/>
      <c r="BC1639" s="110"/>
      <c r="BD1639" s="110"/>
      <c r="BE1639" s="110"/>
      <c r="BF1639" s="110"/>
      <c r="BG1639" s="110"/>
      <c r="BH1639" s="110"/>
      <c r="BI1639" s="110"/>
      <c r="BJ1639" s="110"/>
      <c r="BK1639" s="110"/>
      <c r="BL1639" s="110"/>
      <c r="BM1639" s="110"/>
      <c r="BN1639" s="110"/>
      <c r="BO1639" s="110"/>
      <c r="BP1639" s="110"/>
      <c r="BQ1639" s="110"/>
      <c r="BR1639" s="110"/>
      <c r="BS1639" s="110"/>
      <c r="BT1639" s="110"/>
      <c r="BU1639" s="110"/>
      <c r="BV1639" s="110"/>
      <c r="BW1639" s="110"/>
      <c r="BX1639" s="110"/>
      <c r="BY1639" s="110"/>
      <c r="BZ1639" s="110"/>
      <c r="CA1639" s="110"/>
      <c r="CB1639" s="110"/>
      <c r="CC1639" s="110"/>
      <c r="CD1639" s="110"/>
      <c r="CE1639" s="110"/>
      <c r="CF1639" s="110"/>
      <c r="CG1639" s="110"/>
      <c r="CH1639" s="110"/>
      <c r="CI1639" s="110"/>
      <c r="CJ1639" s="110"/>
      <c r="CK1639" s="110"/>
      <c r="CL1639" s="110"/>
      <c r="CM1639" s="110"/>
      <c r="CN1639" s="110"/>
      <c r="CO1639" s="110"/>
      <c r="CP1639" s="110"/>
      <c r="CQ1639" s="110"/>
      <c r="CR1639" s="110"/>
      <c r="CS1639" s="110"/>
      <c r="CT1639" s="110"/>
      <c r="CU1639" s="110"/>
      <c r="CV1639" s="110"/>
      <c r="CW1639" s="110"/>
      <c r="CX1639" s="110"/>
      <c r="CY1639" s="110"/>
      <c r="CZ1639" s="110"/>
      <c r="DA1639" s="110"/>
      <c r="DB1639" s="110"/>
      <c r="DC1639" s="110"/>
      <c r="DD1639" s="110"/>
      <c r="DE1639" s="110"/>
      <c r="DF1639" s="110"/>
      <c r="DG1639" s="110"/>
      <c r="DH1639" s="110"/>
      <c r="DI1639" s="110"/>
      <c r="DJ1639" s="110"/>
      <c r="DK1639" s="110"/>
      <c r="DL1639" s="110"/>
      <c r="DM1639" s="110"/>
      <c r="DN1639" s="110"/>
      <c r="DO1639" s="110"/>
      <c r="DP1639" s="110"/>
      <c r="DQ1639" s="110"/>
      <c r="DR1639" s="110"/>
      <c r="DS1639" s="110"/>
      <c r="DT1639" s="110"/>
      <c r="DU1639" s="110"/>
      <c r="DV1639" s="110"/>
      <c r="DW1639" s="110"/>
      <c r="DX1639" s="110"/>
      <c r="DY1639" s="110"/>
      <c r="DZ1639" s="110"/>
      <c r="EA1639" s="110"/>
      <c r="EB1639" s="110"/>
      <c r="EC1639" s="110"/>
      <c r="ED1639" s="110"/>
      <c r="EF1639" s="264"/>
      <c r="EG1639" s="110"/>
      <c r="EH1639" s="110"/>
      <c r="EI1639" s="110"/>
      <c r="EJ1639" s="110"/>
      <c r="EK1639" s="266"/>
      <c r="EL1639" s="110"/>
      <c r="EM1639" s="110"/>
      <c r="EN1639" s="110"/>
      <c r="EO1639" s="110"/>
      <c r="EP1639" s="110"/>
      <c r="EQ1639" s="110"/>
      <c r="ER1639" s="110"/>
      <c r="ES1639" s="110"/>
      <c r="ET1639" s="110"/>
      <c r="EU1639" s="110"/>
      <c r="EV1639" s="110"/>
      <c r="EW1639" s="110"/>
      <c r="EX1639" s="110"/>
      <c r="EY1639" s="110"/>
      <c r="EZ1639" s="110"/>
      <c r="FA1639" s="110"/>
      <c r="FB1639" s="110"/>
      <c r="FC1639" s="110"/>
      <c r="FD1639" s="110"/>
      <c r="FE1639" s="110"/>
      <c r="FF1639" s="110"/>
      <c r="FG1639" s="110"/>
      <c r="FH1639" s="110"/>
      <c r="FI1639" s="110"/>
      <c r="FJ1639" s="110"/>
      <c r="FK1639" s="110"/>
      <c r="FL1639" s="110"/>
      <c r="FM1639" s="110"/>
      <c r="FN1639" s="110"/>
      <c r="FO1639" s="110"/>
      <c r="FP1639" s="110"/>
      <c r="FQ1639" s="110"/>
      <c r="FR1639" s="110"/>
      <c r="FS1639" s="110"/>
      <c r="FT1639" s="110"/>
      <c r="FU1639" s="110"/>
      <c r="FV1639" s="110"/>
      <c r="FW1639" s="110"/>
      <c r="FX1639" s="110"/>
      <c r="FY1639" s="110"/>
      <c r="FZ1639" s="110"/>
      <c r="GA1639" s="110"/>
      <c r="GB1639" s="110"/>
      <c r="GC1639" s="110"/>
      <c r="GD1639" s="110"/>
      <c r="GE1639" s="110"/>
      <c r="GF1639" s="110"/>
      <c r="GG1639" s="110"/>
      <c r="GH1639" s="110"/>
      <c r="GI1639" s="110"/>
      <c r="GJ1639" s="110"/>
      <c r="GK1639" s="110"/>
      <c r="GL1639" s="110"/>
      <c r="GM1639" s="110"/>
      <c r="GN1639" s="110"/>
      <c r="GO1639" s="110"/>
      <c r="GP1639" s="110"/>
      <c r="GQ1639" s="110"/>
      <c r="GR1639" s="110"/>
      <c r="GS1639" s="110"/>
      <c r="GT1639" s="110"/>
      <c r="GU1639" s="110"/>
      <c r="GV1639" s="110"/>
      <c r="GW1639" s="110"/>
      <c r="GX1639" s="110"/>
      <c r="GY1639" s="110"/>
      <c r="GZ1639" s="110"/>
      <c r="HA1639" s="110"/>
      <c r="HB1639" s="110"/>
      <c r="HC1639" s="110"/>
      <c r="HD1639" s="110"/>
      <c r="HE1639" s="110"/>
      <c r="HF1639" s="110"/>
      <c r="HG1639" s="110"/>
      <c r="HH1639" s="110"/>
      <c r="HI1639" s="110"/>
      <c r="HJ1639" s="110"/>
      <c r="HK1639" s="110"/>
      <c r="HL1639" s="110"/>
      <c r="HM1639" s="110"/>
      <c r="HN1639" s="110"/>
      <c r="HO1639" s="110"/>
      <c r="HP1639" s="110"/>
      <c r="HQ1639" s="110"/>
      <c r="HR1639" s="110"/>
      <c r="HS1639" s="110"/>
      <c r="HT1639" s="110"/>
      <c r="HU1639" s="110"/>
      <c r="HV1639" s="110"/>
      <c r="HW1639" s="110"/>
      <c r="HX1639" s="110"/>
      <c r="HY1639" s="110"/>
      <c r="HZ1639" s="110"/>
      <c r="IA1639" s="110"/>
      <c r="IB1639" s="110"/>
      <c r="IC1639" s="110"/>
      <c r="ID1639" s="110"/>
      <c r="IE1639" s="110"/>
      <c r="IF1639" s="110"/>
      <c r="IG1639" s="110"/>
      <c r="IH1639" s="110"/>
      <c r="II1639" s="110"/>
      <c r="IJ1639" s="110"/>
      <c r="IK1639" s="110"/>
      <c r="IL1639" s="110"/>
      <c r="IM1639" s="110"/>
      <c r="IN1639" s="110"/>
      <c r="IO1639" s="110"/>
      <c r="IP1639" s="110"/>
      <c r="IQ1639" s="110"/>
      <c r="IR1639" s="110"/>
    </row>
    <row r="1640" spans="18:252" ht="16.5" hidden="1" customHeight="1">
      <c r="R1640" s="264"/>
      <c r="S1640" s="110"/>
      <c r="T1640" s="110"/>
      <c r="U1640" s="110"/>
      <c r="V1640" s="110"/>
      <c r="W1640" s="266"/>
      <c r="X1640" s="110"/>
      <c r="Y1640" s="110"/>
      <c r="Z1640" s="110"/>
      <c r="AA1640" s="110"/>
      <c r="AB1640" s="110"/>
      <c r="AC1640" s="110"/>
      <c r="AD1640" s="110"/>
      <c r="AE1640" s="110"/>
      <c r="AF1640" s="110"/>
      <c r="AG1640" s="110"/>
      <c r="AH1640" s="110"/>
      <c r="AI1640" s="110"/>
      <c r="AJ1640" s="110"/>
      <c r="AK1640" s="110"/>
      <c r="AL1640" s="110"/>
      <c r="AM1640" s="110"/>
      <c r="AN1640" s="110"/>
      <c r="AO1640" s="110"/>
      <c r="AP1640" s="110"/>
      <c r="AQ1640" s="110"/>
      <c r="AR1640" s="110"/>
      <c r="AS1640" s="110"/>
      <c r="AT1640" s="110"/>
      <c r="AU1640" s="110"/>
      <c r="AV1640" s="110"/>
      <c r="AW1640" s="110"/>
      <c r="AX1640" s="110"/>
      <c r="AY1640" s="110"/>
      <c r="AZ1640" s="110"/>
      <c r="BA1640" s="110"/>
      <c r="BB1640" s="110"/>
      <c r="BC1640" s="110"/>
      <c r="BD1640" s="110"/>
      <c r="BE1640" s="110"/>
      <c r="BF1640" s="110"/>
      <c r="BG1640" s="110"/>
      <c r="BH1640" s="110"/>
      <c r="BI1640" s="110"/>
      <c r="BJ1640" s="110"/>
      <c r="BK1640" s="110"/>
      <c r="BL1640" s="110"/>
      <c r="BM1640" s="110"/>
      <c r="BN1640" s="110"/>
      <c r="BO1640" s="110"/>
      <c r="BP1640" s="110"/>
      <c r="BQ1640" s="110"/>
      <c r="BR1640" s="110"/>
      <c r="BS1640" s="110"/>
      <c r="BT1640" s="110"/>
      <c r="BU1640" s="110"/>
      <c r="BV1640" s="110"/>
      <c r="BW1640" s="110"/>
      <c r="BX1640" s="110"/>
      <c r="BY1640" s="110"/>
      <c r="BZ1640" s="110"/>
      <c r="CA1640" s="110"/>
      <c r="CB1640" s="110"/>
      <c r="CC1640" s="110"/>
      <c r="CD1640" s="110"/>
      <c r="CE1640" s="110"/>
      <c r="CF1640" s="110"/>
      <c r="CG1640" s="110"/>
      <c r="CH1640" s="110"/>
      <c r="CI1640" s="110"/>
      <c r="CJ1640" s="110"/>
      <c r="CK1640" s="110"/>
      <c r="CL1640" s="110"/>
      <c r="CM1640" s="110"/>
      <c r="CN1640" s="110"/>
      <c r="CO1640" s="110"/>
      <c r="CP1640" s="110"/>
      <c r="CQ1640" s="110"/>
      <c r="CR1640" s="110"/>
      <c r="CS1640" s="110"/>
      <c r="CT1640" s="110"/>
      <c r="CU1640" s="110"/>
      <c r="CV1640" s="110"/>
      <c r="CW1640" s="110"/>
      <c r="CX1640" s="110"/>
      <c r="CY1640" s="110"/>
      <c r="CZ1640" s="110"/>
      <c r="DA1640" s="110"/>
      <c r="DB1640" s="110"/>
      <c r="DC1640" s="110"/>
      <c r="DD1640" s="110"/>
      <c r="DE1640" s="110"/>
      <c r="DF1640" s="110"/>
      <c r="DG1640" s="110"/>
      <c r="DH1640" s="110"/>
      <c r="DI1640" s="110"/>
      <c r="DJ1640" s="110"/>
      <c r="DK1640" s="110"/>
      <c r="DL1640" s="110"/>
      <c r="DM1640" s="110"/>
      <c r="DN1640" s="110"/>
      <c r="DO1640" s="110"/>
      <c r="DP1640" s="110"/>
      <c r="DQ1640" s="110"/>
      <c r="DR1640" s="110"/>
      <c r="DS1640" s="110"/>
      <c r="DT1640" s="110"/>
      <c r="DU1640" s="110"/>
      <c r="DV1640" s="110"/>
      <c r="DW1640" s="110"/>
      <c r="DX1640" s="110"/>
      <c r="DY1640" s="110"/>
      <c r="DZ1640" s="110"/>
      <c r="EA1640" s="110"/>
      <c r="EB1640" s="110"/>
      <c r="EC1640" s="110"/>
      <c r="ED1640" s="110"/>
      <c r="EF1640" s="264"/>
      <c r="EG1640" s="110"/>
      <c r="EH1640" s="110"/>
      <c r="EI1640" s="110"/>
      <c r="EJ1640" s="110"/>
      <c r="EK1640" s="266"/>
      <c r="EL1640" s="110"/>
      <c r="EM1640" s="110"/>
      <c r="EN1640" s="110"/>
      <c r="EO1640" s="110"/>
      <c r="EP1640" s="110"/>
      <c r="EQ1640" s="110"/>
      <c r="ER1640" s="110"/>
      <c r="ES1640" s="110"/>
      <c r="ET1640" s="110"/>
      <c r="EU1640" s="110"/>
      <c r="EV1640" s="110"/>
      <c r="EW1640" s="110"/>
      <c r="EX1640" s="110"/>
      <c r="EY1640" s="110"/>
      <c r="EZ1640" s="110"/>
      <c r="FA1640" s="110"/>
      <c r="FB1640" s="110"/>
      <c r="FC1640" s="110"/>
      <c r="FD1640" s="110"/>
      <c r="FE1640" s="110"/>
      <c r="FF1640" s="110"/>
      <c r="FG1640" s="110"/>
      <c r="FH1640" s="110"/>
      <c r="FI1640" s="110"/>
      <c r="FJ1640" s="110"/>
      <c r="FK1640" s="110"/>
      <c r="FL1640" s="110"/>
      <c r="FM1640" s="110"/>
      <c r="FN1640" s="110"/>
      <c r="FO1640" s="110"/>
      <c r="FP1640" s="110"/>
      <c r="FQ1640" s="110"/>
      <c r="FR1640" s="110"/>
      <c r="FS1640" s="110"/>
      <c r="FT1640" s="110"/>
      <c r="FU1640" s="110"/>
      <c r="FV1640" s="110"/>
      <c r="FW1640" s="110"/>
      <c r="FX1640" s="110"/>
      <c r="FY1640" s="110"/>
      <c r="FZ1640" s="110"/>
      <c r="GA1640" s="110"/>
      <c r="GB1640" s="110"/>
      <c r="GC1640" s="110"/>
      <c r="GD1640" s="110"/>
      <c r="GE1640" s="110"/>
      <c r="GF1640" s="110"/>
      <c r="GG1640" s="110"/>
      <c r="GH1640" s="110"/>
      <c r="GI1640" s="110"/>
      <c r="GJ1640" s="110"/>
      <c r="GK1640" s="110"/>
      <c r="GL1640" s="110"/>
      <c r="GM1640" s="110"/>
      <c r="GN1640" s="110"/>
      <c r="GO1640" s="110"/>
      <c r="GP1640" s="110"/>
      <c r="GQ1640" s="110"/>
      <c r="GR1640" s="110"/>
      <c r="GS1640" s="110"/>
      <c r="GT1640" s="110"/>
      <c r="GU1640" s="110"/>
      <c r="GV1640" s="110"/>
      <c r="GW1640" s="110"/>
      <c r="GX1640" s="110"/>
      <c r="GY1640" s="110"/>
      <c r="GZ1640" s="110"/>
      <c r="HA1640" s="110"/>
      <c r="HB1640" s="110"/>
      <c r="HC1640" s="110"/>
      <c r="HD1640" s="110"/>
      <c r="HE1640" s="110"/>
      <c r="HF1640" s="110"/>
      <c r="HG1640" s="110"/>
      <c r="HH1640" s="110"/>
      <c r="HI1640" s="110"/>
      <c r="HJ1640" s="110"/>
      <c r="HK1640" s="110"/>
      <c r="HL1640" s="110"/>
      <c r="HM1640" s="110"/>
      <c r="HN1640" s="110"/>
      <c r="HO1640" s="110"/>
      <c r="HP1640" s="110"/>
      <c r="HQ1640" s="110"/>
      <c r="HR1640" s="110"/>
      <c r="HS1640" s="110"/>
      <c r="HT1640" s="110"/>
      <c r="HU1640" s="110"/>
      <c r="HV1640" s="110"/>
      <c r="HW1640" s="110"/>
      <c r="HX1640" s="110"/>
      <c r="HY1640" s="110"/>
      <c r="HZ1640" s="110"/>
      <c r="IA1640" s="110"/>
      <c r="IB1640" s="110"/>
      <c r="IC1640" s="110"/>
      <c r="ID1640" s="110"/>
      <c r="IE1640" s="110"/>
      <c r="IF1640" s="110"/>
      <c r="IG1640" s="110"/>
      <c r="IH1640" s="110"/>
      <c r="II1640" s="110"/>
      <c r="IJ1640" s="110"/>
      <c r="IK1640" s="110"/>
      <c r="IL1640" s="110"/>
      <c r="IM1640" s="110"/>
      <c r="IN1640" s="110"/>
      <c r="IO1640" s="110"/>
      <c r="IP1640" s="110"/>
      <c r="IQ1640" s="110"/>
      <c r="IR1640" s="110"/>
    </row>
    <row r="1641" spans="18:252" ht="16.5" hidden="1" customHeight="1">
      <c r="R1641" s="264"/>
      <c r="S1641" s="110"/>
      <c r="T1641" s="110"/>
      <c r="U1641" s="110"/>
      <c r="V1641" s="110"/>
      <c r="W1641" s="266"/>
      <c r="X1641" s="110"/>
      <c r="Y1641" s="110"/>
      <c r="Z1641" s="110"/>
      <c r="AA1641" s="110"/>
      <c r="AB1641" s="110"/>
      <c r="AC1641" s="110"/>
      <c r="AD1641" s="110"/>
      <c r="AE1641" s="110"/>
      <c r="AF1641" s="110"/>
      <c r="AG1641" s="110"/>
      <c r="AH1641" s="110"/>
      <c r="AI1641" s="110"/>
      <c r="AJ1641" s="110"/>
      <c r="AK1641" s="110"/>
      <c r="AL1641" s="110"/>
      <c r="AM1641" s="110"/>
      <c r="AN1641" s="110"/>
      <c r="AO1641" s="110"/>
      <c r="AP1641" s="110"/>
      <c r="AQ1641" s="110"/>
      <c r="AR1641" s="110"/>
      <c r="AS1641" s="110"/>
      <c r="AT1641" s="110"/>
      <c r="AU1641" s="110"/>
      <c r="AV1641" s="110"/>
      <c r="AW1641" s="110"/>
      <c r="AX1641" s="110"/>
      <c r="AY1641" s="110"/>
      <c r="AZ1641" s="110"/>
      <c r="BA1641" s="110"/>
      <c r="BB1641" s="110"/>
      <c r="BC1641" s="110"/>
      <c r="BD1641" s="110"/>
      <c r="BE1641" s="110"/>
      <c r="BF1641" s="110"/>
      <c r="BG1641" s="110"/>
      <c r="BH1641" s="110"/>
      <c r="BI1641" s="110"/>
      <c r="BJ1641" s="110"/>
      <c r="BK1641" s="110"/>
      <c r="BL1641" s="110"/>
      <c r="BM1641" s="110"/>
      <c r="BN1641" s="110"/>
      <c r="BO1641" s="110"/>
      <c r="BP1641" s="110"/>
      <c r="BQ1641" s="110"/>
      <c r="BR1641" s="110"/>
      <c r="BS1641" s="110"/>
      <c r="BT1641" s="110"/>
      <c r="BU1641" s="110"/>
      <c r="BV1641" s="110"/>
      <c r="BW1641" s="110"/>
      <c r="BX1641" s="110"/>
      <c r="BY1641" s="110"/>
      <c r="BZ1641" s="110"/>
      <c r="CA1641" s="110"/>
      <c r="CB1641" s="110"/>
      <c r="CC1641" s="110"/>
      <c r="CD1641" s="110"/>
      <c r="CE1641" s="110"/>
      <c r="CF1641" s="110"/>
      <c r="CG1641" s="110"/>
      <c r="CH1641" s="110"/>
      <c r="CI1641" s="110"/>
      <c r="CJ1641" s="110"/>
      <c r="CK1641" s="110"/>
      <c r="CL1641" s="110"/>
      <c r="CM1641" s="110"/>
      <c r="CN1641" s="110"/>
      <c r="CO1641" s="110"/>
      <c r="CP1641" s="110"/>
      <c r="CQ1641" s="110"/>
      <c r="CR1641" s="110"/>
      <c r="CS1641" s="110"/>
      <c r="CT1641" s="110"/>
      <c r="CU1641" s="110"/>
      <c r="CV1641" s="110"/>
      <c r="CW1641" s="110"/>
      <c r="CX1641" s="110"/>
      <c r="CY1641" s="110"/>
      <c r="CZ1641" s="110"/>
      <c r="DA1641" s="110"/>
      <c r="DB1641" s="110"/>
      <c r="DC1641" s="110"/>
      <c r="DD1641" s="110"/>
      <c r="DE1641" s="110"/>
      <c r="DF1641" s="110"/>
      <c r="DG1641" s="110"/>
      <c r="DH1641" s="110"/>
      <c r="DI1641" s="110"/>
      <c r="DJ1641" s="110"/>
      <c r="DK1641" s="110"/>
      <c r="DL1641" s="110"/>
      <c r="DM1641" s="110"/>
      <c r="DN1641" s="110"/>
      <c r="DO1641" s="110"/>
      <c r="DP1641" s="110"/>
      <c r="DQ1641" s="110"/>
      <c r="DR1641" s="110"/>
      <c r="DS1641" s="110"/>
      <c r="DT1641" s="110"/>
      <c r="DU1641" s="110"/>
      <c r="DV1641" s="110"/>
      <c r="DW1641" s="110"/>
      <c r="DX1641" s="110"/>
      <c r="DY1641" s="110"/>
      <c r="DZ1641" s="110"/>
      <c r="EA1641" s="110"/>
      <c r="EB1641" s="110"/>
      <c r="EC1641" s="110"/>
      <c r="ED1641" s="110"/>
      <c r="EF1641" s="264"/>
      <c r="EG1641" s="110"/>
      <c r="EH1641" s="110"/>
      <c r="EI1641" s="110"/>
      <c r="EJ1641" s="110"/>
      <c r="EK1641" s="266"/>
      <c r="EL1641" s="110"/>
      <c r="EM1641" s="110"/>
      <c r="EN1641" s="110"/>
      <c r="EO1641" s="110"/>
      <c r="EP1641" s="110"/>
      <c r="EQ1641" s="110"/>
      <c r="ER1641" s="110"/>
      <c r="ES1641" s="110"/>
      <c r="ET1641" s="110"/>
      <c r="EU1641" s="110"/>
      <c r="EV1641" s="110"/>
      <c r="EW1641" s="110"/>
      <c r="EX1641" s="110"/>
      <c r="EY1641" s="110"/>
      <c r="EZ1641" s="110"/>
      <c r="FA1641" s="110"/>
      <c r="FB1641" s="110"/>
      <c r="FC1641" s="110"/>
      <c r="FD1641" s="110"/>
      <c r="FE1641" s="110"/>
      <c r="FF1641" s="110"/>
      <c r="FG1641" s="110"/>
      <c r="FH1641" s="110"/>
      <c r="FI1641" s="110"/>
      <c r="FJ1641" s="110"/>
      <c r="FK1641" s="110"/>
      <c r="FL1641" s="110"/>
      <c r="FM1641" s="110"/>
      <c r="FN1641" s="110"/>
      <c r="FO1641" s="110"/>
      <c r="FP1641" s="110"/>
      <c r="FQ1641" s="110"/>
      <c r="FR1641" s="110"/>
      <c r="FS1641" s="110"/>
      <c r="FT1641" s="110"/>
      <c r="FU1641" s="110"/>
      <c r="FV1641" s="110"/>
      <c r="FW1641" s="110"/>
      <c r="FX1641" s="110"/>
      <c r="FY1641" s="110"/>
      <c r="FZ1641" s="110"/>
      <c r="GA1641" s="110"/>
      <c r="GB1641" s="110"/>
      <c r="GC1641" s="110"/>
      <c r="GD1641" s="110"/>
      <c r="GE1641" s="110"/>
      <c r="GF1641" s="110"/>
      <c r="GG1641" s="110"/>
      <c r="GH1641" s="110"/>
      <c r="GI1641" s="110"/>
      <c r="GJ1641" s="110"/>
      <c r="GK1641" s="110"/>
      <c r="GL1641" s="110"/>
      <c r="GM1641" s="110"/>
      <c r="GN1641" s="110"/>
      <c r="GO1641" s="110"/>
      <c r="GP1641" s="110"/>
      <c r="GQ1641" s="110"/>
      <c r="GR1641" s="110"/>
      <c r="GS1641" s="110"/>
      <c r="GT1641" s="110"/>
      <c r="GU1641" s="110"/>
      <c r="GV1641" s="110"/>
      <c r="GW1641" s="110"/>
      <c r="GX1641" s="110"/>
      <c r="GY1641" s="110"/>
      <c r="GZ1641" s="110"/>
      <c r="HA1641" s="110"/>
      <c r="HB1641" s="110"/>
      <c r="HC1641" s="110"/>
      <c r="HD1641" s="110"/>
      <c r="HE1641" s="110"/>
      <c r="HF1641" s="110"/>
      <c r="HG1641" s="110"/>
      <c r="HH1641" s="110"/>
      <c r="HI1641" s="110"/>
      <c r="HJ1641" s="110"/>
      <c r="HK1641" s="110"/>
      <c r="HL1641" s="110"/>
      <c r="HM1641" s="110"/>
      <c r="HN1641" s="110"/>
      <c r="HO1641" s="110"/>
      <c r="HP1641" s="110"/>
      <c r="HQ1641" s="110"/>
      <c r="HR1641" s="110"/>
      <c r="HS1641" s="110"/>
      <c r="HT1641" s="110"/>
      <c r="HU1641" s="110"/>
      <c r="HV1641" s="110"/>
      <c r="HW1641" s="110"/>
      <c r="HX1641" s="110"/>
      <c r="HY1641" s="110"/>
      <c r="HZ1641" s="110"/>
      <c r="IA1641" s="110"/>
      <c r="IB1641" s="110"/>
      <c r="IC1641" s="110"/>
      <c r="ID1641" s="110"/>
      <c r="IE1641" s="110"/>
      <c r="IF1641" s="110"/>
      <c r="IG1641" s="110"/>
      <c r="IH1641" s="110"/>
      <c r="II1641" s="110"/>
      <c r="IJ1641" s="110"/>
      <c r="IK1641" s="110"/>
      <c r="IL1641" s="110"/>
      <c r="IM1641" s="110"/>
      <c r="IN1641" s="110"/>
      <c r="IO1641" s="110"/>
      <c r="IP1641" s="110"/>
      <c r="IQ1641" s="110"/>
      <c r="IR1641" s="110"/>
    </row>
    <row r="1642" spans="18:252" ht="16.5" hidden="1" customHeight="1">
      <c r="R1642" s="264"/>
      <c r="S1642" s="110"/>
      <c r="T1642" s="110"/>
      <c r="U1642" s="110"/>
      <c r="V1642" s="110"/>
      <c r="W1642" s="266"/>
      <c r="X1642" s="110"/>
      <c r="Y1642" s="110"/>
      <c r="Z1642" s="110"/>
      <c r="AA1642" s="110"/>
      <c r="AB1642" s="110"/>
      <c r="AC1642" s="110"/>
      <c r="AD1642" s="110"/>
      <c r="AE1642" s="110"/>
      <c r="AF1642" s="110"/>
      <c r="AG1642" s="110"/>
      <c r="AH1642" s="110"/>
      <c r="AI1642" s="110"/>
      <c r="AJ1642" s="110"/>
      <c r="AK1642" s="110"/>
      <c r="AL1642" s="110"/>
      <c r="AM1642" s="110"/>
      <c r="AN1642" s="110"/>
      <c r="AO1642" s="110"/>
      <c r="AP1642" s="110"/>
      <c r="AQ1642" s="110"/>
      <c r="AR1642" s="110"/>
      <c r="AS1642" s="110"/>
      <c r="AT1642" s="110"/>
      <c r="AU1642" s="110"/>
      <c r="AV1642" s="110"/>
      <c r="AW1642" s="110"/>
      <c r="AX1642" s="110"/>
      <c r="AY1642" s="110"/>
      <c r="AZ1642" s="110"/>
      <c r="BA1642" s="110"/>
      <c r="BB1642" s="110"/>
      <c r="BC1642" s="110"/>
      <c r="BD1642" s="110"/>
      <c r="BE1642" s="110"/>
      <c r="BF1642" s="110"/>
      <c r="BG1642" s="110"/>
      <c r="BH1642" s="110"/>
      <c r="BI1642" s="110"/>
      <c r="BJ1642" s="110"/>
      <c r="BK1642" s="110"/>
      <c r="BL1642" s="110"/>
      <c r="BM1642" s="110"/>
      <c r="BN1642" s="110"/>
      <c r="BO1642" s="110"/>
      <c r="BP1642" s="110"/>
      <c r="BQ1642" s="110"/>
      <c r="BR1642" s="110"/>
      <c r="BS1642" s="110"/>
      <c r="BT1642" s="110"/>
      <c r="BU1642" s="110"/>
      <c r="BV1642" s="110"/>
      <c r="BW1642" s="110"/>
      <c r="BX1642" s="110"/>
      <c r="BY1642" s="110"/>
      <c r="BZ1642" s="110"/>
      <c r="CA1642" s="110"/>
      <c r="CB1642" s="110"/>
      <c r="CC1642" s="110"/>
      <c r="CD1642" s="110"/>
      <c r="CE1642" s="110"/>
      <c r="CF1642" s="110"/>
      <c r="CG1642" s="110"/>
      <c r="CH1642" s="110"/>
      <c r="CI1642" s="110"/>
      <c r="CJ1642" s="110"/>
      <c r="CK1642" s="110"/>
      <c r="CL1642" s="110"/>
      <c r="CM1642" s="110"/>
      <c r="CN1642" s="110"/>
      <c r="CO1642" s="110"/>
      <c r="CP1642" s="110"/>
      <c r="CQ1642" s="110"/>
      <c r="CR1642" s="110"/>
      <c r="CS1642" s="110"/>
      <c r="CT1642" s="110"/>
      <c r="CU1642" s="110"/>
      <c r="CV1642" s="110"/>
      <c r="CW1642" s="110"/>
      <c r="CX1642" s="110"/>
      <c r="CY1642" s="110"/>
      <c r="CZ1642" s="110"/>
      <c r="DA1642" s="110"/>
      <c r="DB1642" s="110"/>
      <c r="DC1642" s="110"/>
      <c r="DD1642" s="110"/>
      <c r="DE1642" s="110"/>
      <c r="DF1642" s="110"/>
      <c r="DG1642" s="110"/>
      <c r="DH1642" s="110"/>
      <c r="DI1642" s="110"/>
      <c r="DJ1642" s="110"/>
      <c r="DK1642" s="110"/>
      <c r="DL1642" s="110"/>
      <c r="DM1642" s="110"/>
      <c r="DN1642" s="110"/>
      <c r="DO1642" s="110"/>
      <c r="DP1642" s="110"/>
      <c r="DQ1642" s="110"/>
      <c r="DR1642" s="110"/>
      <c r="DS1642" s="110"/>
      <c r="DT1642" s="110"/>
      <c r="DU1642" s="110"/>
      <c r="DV1642" s="110"/>
      <c r="DW1642" s="110"/>
      <c r="DX1642" s="110"/>
      <c r="DY1642" s="110"/>
      <c r="DZ1642" s="110"/>
      <c r="EA1642" s="110"/>
      <c r="EB1642" s="110"/>
      <c r="EC1642" s="110"/>
      <c r="ED1642" s="110"/>
      <c r="EF1642" s="264"/>
      <c r="EG1642" s="110"/>
      <c r="EH1642" s="110"/>
      <c r="EI1642" s="110"/>
      <c r="EJ1642" s="110"/>
      <c r="EK1642" s="266"/>
      <c r="EL1642" s="110"/>
      <c r="EM1642" s="110"/>
      <c r="EN1642" s="110"/>
      <c r="EO1642" s="110"/>
      <c r="EP1642" s="110"/>
      <c r="EQ1642" s="110"/>
      <c r="ER1642" s="110"/>
      <c r="ES1642" s="110"/>
      <c r="ET1642" s="110"/>
      <c r="EU1642" s="110"/>
      <c r="EV1642" s="110"/>
      <c r="EW1642" s="110"/>
      <c r="EX1642" s="110"/>
      <c r="EY1642" s="110"/>
      <c r="EZ1642" s="110"/>
      <c r="FA1642" s="110"/>
      <c r="FB1642" s="110"/>
      <c r="FC1642" s="110"/>
      <c r="FD1642" s="110"/>
      <c r="FE1642" s="110"/>
      <c r="FF1642" s="110"/>
      <c r="FG1642" s="110"/>
      <c r="FH1642" s="110"/>
      <c r="FI1642" s="110"/>
      <c r="FJ1642" s="110"/>
      <c r="FK1642" s="110"/>
      <c r="FL1642" s="110"/>
      <c r="FM1642" s="110"/>
      <c r="FN1642" s="110"/>
      <c r="FO1642" s="110"/>
      <c r="FP1642" s="110"/>
      <c r="FQ1642" s="110"/>
      <c r="FR1642" s="110"/>
      <c r="FS1642" s="110"/>
      <c r="FT1642" s="110"/>
      <c r="FU1642" s="110"/>
      <c r="FV1642" s="110"/>
      <c r="FW1642" s="110"/>
      <c r="FX1642" s="110"/>
      <c r="FY1642" s="110"/>
      <c r="FZ1642" s="110"/>
      <c r="GA1642" s="110"/>
      <c r="GB1642" s="110"/>
      <c r="GC1642" s="110"/>
      <c r="GD1642" s="110"/>
      <c r="GE1642" s="110"/>
      <c r="GF1642" s="110"/>
      <c r="GG1642" s="110"/>
      <c r="GH1642" s="110"/>
      <c r="GI1642" s="110"/>
      <c r="GJ1642" s="110"/>
      <c r="GK1642" s="110"/>
      <c r="GL1642" s="110"/>
      <c r="GM1642" s="110"/>
      <c r="GN1642" s="110"/>
      <c r="GO1642" s="110"/>
      <c r="GP1642" s="110"/>
      <c r="GQ1642" s="110"/>
      <c r="GR1642" s="110"/>
      <c r="GS1642" s="110"/>
      <c r="GT1642" s="110"/>
      <c r="GU1642" s="110"/>
      <c r="GV1642" s="110"/>
      <c r="GW1642" s="110"/>
      <c r="GX1642" s="110"/>
      <c r="GY1642" s="110"/>
      <c r="GZ1642" s="110"/>
      <c r="HA1642" s="110"/>
      <c r="HB1642" s="110"/>
      <c r="HC1642" s="110"/>
      <c r="HD1642" s="110"/>
      <c r="HE1642" s="110"/>
      <c r="HF1642" s="110"/>
      <c r="HG1642" s="110"/>
      <c r="HH1642" s="110"/>
      <c r="HI1642" s="110"/>
      <c r="HJ1642" s="110"/>
      <c r="HK1642" s="110"/>
      <c r="HL1642" s="110"/>
      <c r="HM1642" s="110"/>
      <c r="HN1642" s="110"/>
      <c r="HO1642" s="110"/>
      <c r="HP1642" s="110"/>
      <c r="HQ1642" s="110"/>
      <c r="HR1642" s="110"/>
      <c r="HS1642" s="110"/>
      <c r="HT1642" s="110"/>
      <c r="HU1642" s="110"/>
      <c r="HV1642" s="110"/>
      <c r="HW1642" s="110"/>
      <c r="HX1642" s="110"/>
      <c r="HY1642" s="110"/>
      <c r="HZ1642" s="110"/>
      <c r="IA1642" s="110"/>
      <c r="IB1642" s="110"/>
      <c r="IC1642" s="110"/>
      <c r="ID1642" s="110"/>
      <c r="IE1642" s="110"/>
      <c r="IF1642" s="110"/>
      <c r="IG1642" s="110"/>
      <c r="IH1642" s="110"/>
      <c r="II1642" s="110"/>
      <c r="IJ1642" s="110"/>
      <c r="IK1642" s="110"/>
      <c r="IL1642" s="110"/>
      <c r="IM1642" s="110"/>
      <c r="IN1642" s="110"/>
      <c r="IO1642" s="110"/>
      <c r="IP1642" s="110"/>
      <c r="IQ1642" s="110"/>
      <c r="IR1642" s="110"/>
    </row>
    <row r="1643" spans="18:252" ht="16.5" hidden="1" customHeight="1">
      <c r="R1643" s="264"/>
      <c r="S1643" s="110"/>
      <c r="T1643" s="110"/>
      <c r="U1643" s="110"/>
      <c r="V1643" s="110"/>
      <c r="W1643" s="266"/>
      <c r="X1643" s="110"/>
      <c r="Y1643" s="110"/>
      <c r="Z1643" s="110"/>
      <c r="AA1643" s="110"/>
      <c r="AB1643" s="110"/>
      <c r="AC1643" s="110"/>
      <c r="AD1643" s="110"/>
      <c r="AE1643" s="110"/>
      <c r="AF1643" s="110"/>
      <c r="AG1643" s="110"/>
      <c r="AH1643" s="110"/>
      <c r="AI1643" s="110"/>
      <c r="AJ1643" s="110"/>
      <c r="AK1643" s="110"/>
      <c r="AL1643" s="110"/>
      <c r="AM1643" s="110"/>
      <c r="AN1643" s="110"/>
      <c r="AO1643" s="110"/>
      <c r="AP1643" s="110"/>
      <c r="AQ1643" s="110"/>
      <c r="AR1643" s="110"/>
      <c r="AS1643" s="110"/>
      <c r="AT1643" s="110"/>
      <c r="AU1643" s="110"/>
      <c r="AV1643" s="110"/>
      <c r="AW1643" s="110"/>
      <c r="AX1643" s="110"/>
      <c r="AY1643" s="110"/>
      <c r="AZ1643" s="110"/>
      <c r="BA1643" s="110"/>
      <c r="BB1643" s="110"/>
      <c r="BC1643" s="110"/>
      <c r="BD1643" s="110"/>
      <c r="BE1643" s="110"/>
      <c r="BF1643" s="110"/>
      <c r="BG1643" s="110"/>
      <c r="BH1643" s="110"/>
      <c r="BI1643" s="110"/>
      <c r="BJ1643" s="110"/>
      <c r="BK1643" s="110"/>
      <c r="BL1643" s="110"/>
      <c r="BM1643" s="110"/>
      <c r="BN1643" s="110"/>
      <c r="BO1643" s="110"/>
      <c r="BP1643" s="110"/>
      <c r="BQ1643" s="110"/>
      <c r="BR1643" s="110"/>
      <c r="BS1643" s="110"/>
      <c r="BT1643" s="110"/>
      <c r="BU1643" s="110"/>
      <c r="BV1643" s="110"/>
      <c r="BW1643" s="110"/>
      <c r="BX1643" s="110"/>
      <c r="BY1643" s="110"/>
      <c r="BZ1643" s="110"/>
      <c r="CA1643" s="110"/>
      <c r="CB1643" s="110"/>
      <c r="CC1643" s="110"/>
      <c r="CD1643" s="110"/>
      <c r="CE1643" s="110"/>
      <c r="CF1643" s="110"/>
      <c r="CG1643" s="110"/>
      <c r="CH1643" s="110"/>
      <c r="CI1643" s="110"/>
      <c r="CJ1643" s="110"/>
      <c r="CK1643" s="110"/>
      <c r="CL1643" s="110"/>
      <c r="CM1643" s="110"/>
      <c r="CN1643" s="110"/>
      <c r="CO1643" s="110"/>
      <c r="CP1643" s="110"/>
      <c r="CQ1643" s="110"/>
      <c r="CR1643" s="110"/>
      <c r="CS1643" s="110"/>
      <c r="CT1643" s="110"/>
      <c r="CU1643" s="110"/>
      <c r="CV1643" s="110"/>
      <c r="CW1643" s="110"/>
      <c r="CX1643" s="110"/>
      <c r="CY1643" s="110"/>
      <c r="CZ1643" s="110"/>
      <c r="DA1643" s="110"/>
      <c r="DB1643" s="110"/>
      <c r="DC1643" s="110"/>
      <c r="DD1643" s="110"/>
      <c r="DE1643" s="110"/>
      <c r="DF1643" s="110"/>
      <c r="DG1643" s="110"/>
      <c r="DH1643" s="110"/>
      <c r="DI1643" s="110"/>
      <c r="DJ1643" s="110"/>
      <c r="DK1643" s="110"/>
      <c r="DL1643" s="110"/>
      <c r="DM1643" s="110"/>
      <c r="DN1643" s="110"/>
      <c r="DO1643" s="110"/>
      <c r="DP1643" s="110"/>
      <c r="DQ1643" s="110"/>
      <c r="DR1643" s="110"/>
      <c r="DS1643" s="110"/>
      <c r="DT1643" s="110"/>
      <c r="DU1643" s="110"/>
      <c r="DV1643" s="110"/>
      <c r="DW1643" s="110"/>
      <c r="DX1643" s="110"/>
      <c r="DY1643" s="110"/>
      <c r="DZ1643" s="110"/>
      <c r="EA1643" s="110"/>
      <c r="EB1643" s="110"/>
      <c r="EC1643" s="110"/>
      <c r="ED1643" s="110"/>
      <c r="EF1643" s="264"/>
      <c r="EG1643" s="110"/>
      <c r="EH1643" s="110"/>
      <c r="EI1643" s="110"/>
      <c r="EJ1643" s="110"/>
      <c r="EK1643" s="266"/>
      <c r="EL1643" s="110"/>
      <c r="EM1643" s="110"/>
      <c r="EN1643" s="110"/>
      <c r="EO1643" s="110"/>
      <c r="EP1643" s="110"/>
      <c r="EQ1643" s="110"/>
      <c r="ER1643" s="110"/>
      <c r="ES1643" s="110"/>
      <c r="ET1643" s="110"/>
      <c r="EU1643" s="110"/>
      <c r="EV1643" s="110"/>
      <c r="EW1643" s="110"/>
      <c r="EX1643" s="110"/>
      <c r="EY1643" s="110"/>
      <c r="EZ1643" s="110"/>
      <c r="FA1643" s="110"/>
      <c r="FB1643" s="110"/>
      <c r="FC1643" s="110"/>
      <c r="FD1643" s="110"/>
      <c r="FE1643" s="110"/>
      <c r="FF1643" s="110"/>
      <c r="FG1643" s="110"/>
      <c r="FH1643" s="110"/>
      <c r="FI1643" s="110"/>
      <c r="FJ1643" s="110"/>
      <c r="FK1643" s="110"/>
      <c r="FL1643" s="110"/>
      <c r="FM1643" s="110"/>
      <c r="FN1643" s="110"/>
      <c r="FO1643" s="110"/>
      <c r="FP1643" s="110"/>
      <c r="FQ1643" s="110"/>
      <c r="FR1643" s="110"/>
      <c r="FS1643" s="110"/>
      <c r="FT1643" s="110"/>
      <c r="FU1643" s="110"/>
      <c r="FV1643" s="110"/>
      <c r="FW1643" s="110"/>
      <c r="FX1643" s="110"/>
      <c r="FY1643" s="110"/>
      <c r="FZ1643" s="110"/>
      <c r="GA1643" s="110"/>
      <c r="GB1643" s="110"/>
      <c r="GC1643" s="110"/>
      <c r="GD1643" s="110"/>
      <c r="GE1643" s="110"/>
      <c r="GF1643" s="110"/>
      <c r="GG1643" s="110"/>
      <c r="GH1643" s="110"/>
      <c r="GI1643" s="110"/>
      <c r="GJ1643" s="110"/>
      <c r="GK1643" s="110"/>
      <c r="GL1643" s="110"/>
      <c r="GM1643" s="110"/>
      <c r="GN1643" s="110"/>
      <c r="GO1643" s="110"/>
      <c r="GP1643" s="110"/>
      <c r="GQ1643" s="110"/>
      <c r="GR1643" s="110"/>
      <c r="GS1643" s="110"/>
      <c r="GT1643" s="110"/>
      <c r="GU1643" s="110"/>
      <c r="GV1643" s="110"/>
      <c r="GW1643" s="110"/>
      <c r="GX1643" s="110"/>
      <c r="GY1643" s="110"/>
      <c r="GZ1643" s="110"/>
      <c r="HA1643" s="110"/>
      <c r="HB1643" s="110"/>
      <c r="HC1643" s="110"/>
      <c r="HD1643" s="110"/>
      <c r="HE1643" s="110"/>
      <c r="HF1643" s="110"/>
      <c r="HG1643" s="110"/>
      <c r="HH1643" s="110"/>
      <c r="HI1643" s="110"/>
      <c r="HJ1643" s="110"/>
      <c r="HK1643" s="110"/>
      <c r="HL1643" s="110"/>
      <c r="HM1643" s="110"/>
      <c r="HN1643" s="110"/>
      <c r="HO1643" s="110"/>
      <c r="HP1643" s="110"/>
      <c r="HQ1643" s="110"/>
      <c r="HR1643" s="110"/>
      <c r="HS1643" s="110"/>
      <c r="HT1643" s="110"/>
      <c r="HU1643" s="110"/>
      <c r="HV1643" s="110"/>
      <c r="HW1643" s="110"/>
      <c r="HX1643" s="110"/>
      <c r="HY1643" s="110"/>
      <c r="HZ1643" s="110"/>
      <c r="IA1643" s="110"/>
      <c r="IB1643" s="110"/>
      <c r="IC1643" s="110"/>
      <c r="ID1643" s="110"/>
      <c r="IE1643" s="110"/>
      <c r="IF1643" s="110"/>
      <c r="IG1643" s="110"/>
      <c r="IH1643" s="110"/>
      <c r="II1643" s="110"/>
      <c r="IJ1643" s="110"/>
      <c r="IK1643" s="110"/>
      <c r="IL1643" s="110"/>
      <c r="IM1643" s="110"/>
      <c r="IN1643" s="110"/>
      <c r="IO1643" s="110"/>
      <c r="IP1643" s="110"/>
      <c r="IQ1643" s="110"/>
      <c r="IR1643" s="110"/>
    </row>
    <row r="1644" spans="18:252" ht="16.5" hidden="1" customHeight="1">
      <c r="R1644" s="264"/>
      <c r="S1644" s="110"/>
      <c r="T1644" s="110"/>
      <c r="U1644" s="110"/>
      <c r="V1644" s="110"/>
      <c r="W1644" s="266"/>
      <c r="X1644" s="110"/>
      <c r="Y1644" s="110"/>
      <c r="Z1644" s="110"/>
      <c r="AA1644" s="110"/>
      <c r="AB1644" s="110"/>
      <c r="AC1644" s="110"/>
      <c r="AD1644" s="110"/>
      <c r="AE1644" s="110"/>
      <c r="AF1644" s="110"/>
      <c r="AG1644" s="110"/>
      <c r="AH1644" s="110"/>
      <c r="AI1644" s="110"/>
      <c r="AJ1644" s="110"/>
      <c r="AK1644" s="110"/>
      <c r="AL1644" s="110"/>
      <c r="AM1644" s="110"/>
      <c r="AN1644" s="110"/>
      <c r="AO1644" s="110"/>
      <c r="AP1644" s="110"/>
      <c r="AQ1644" s="110"/>
      <c r="AR1644" s="110"/>
      <c r="AS1644" s="110"/>
      <c r="AT1644" s="110"/>
      <c r="AU1644" s="110"/>
      <c r="AV1644" s="110"/>
      <c r="AW1644" s="110"/>
      <c r="AX1644" s="110"/>
      <c r="AY1644" s="110"/>
      <c r="AZ1644" s="110"/>
      <c r="BA1644" s="110"/>
      <c r="BB1644" s="110"/>
      <c r="BC1644" s="110"/>
      <c r="BD1644" s="110"/>
      <c r="BE1644" s="110"/>
      <c r="BF1644" s="110"/>
      <c r="BG1644" s="110"/>
      <c r="BH1644" s="110"/>
      <c r="BI1644" s="110"/>
      <c r="BJ1644" s="110"/>
      <c r="BK1644" s="110"/>
      <c r="BL1644" s="110"/>
      <c r="BM1644" s="110"/>
      <c r="BN1644" s="110"/>
      <c r="BO1644" s="110"/>
      <c r="BP1644" s="110"/>
      <c r="BQ1644" s="110"/>
      <c r="BR1644" s="110"/>
      <c r="BS1644" s="110"/>
      <c r="BT1644" s="110"/>
      <c r="BU1644" s="110"/>
      <c r="BV1644" s="110"/>
      <c r="BW1644" s="110"/>
      <c r="BX1644" s="110"/>
      <c r="BY1644" s="110"/>
      <c r="BZ1644" s="110"/>
      <c r="CA1644" s="110"/>
      <c r="CB1644" s="110"/>
      <c r="CC1644" s="110"/>
      <c r="CD1644" s="110"/>
      <c r="CE1644" s="110"/>
      <c r="CF1644" s="110"/>
      <c r="CG1644" s="110"/>
      <c r="CH1644" s="110"/>
      <c r="CI1644" s="110"/>
      <c r="CJ1644" s="110"/>
      <c r="CK1644" s="110"/>
      <c r="CL1644" s="110"/>
      <c r="CM1644" s="110"/>
      <c r="CN1644" s="110"/>
      <c r="CO1644" s="110"/>
      <c r="CP1644" s="110"/>
      <c r="CQ1644" s="110"/>
      <c r="CR1644" s="110"/>
      <c r="CS1644" s="110"/>
      <c r="CT1644" s="110"/>
      <c r="CU1644" s="110"/>
      <c r="CV1644" s="110"/>
      <c r="CW1644" s="110"/>
      <c r="CX1644" s="110"/>
      <c r="CY1644" s="110"/>
      <c r="CZ1644" s="110"/>
      <c r="DA1644" s="110"/>
      <c r="DB1644" s="110"/>
      <c r="DC1644" s="110"/>
      <c r="DD1644" s="110"/>
      <c r="DE1644" s="110"/>
      <c r="DF1644" s="110"/>
      <c r="DG1644" s="110"/>
      <c r="DH1644" s="110"/>
      <c r="DI1644" s="110"/>
      <c r="DJ1644" s="110"/>
      <c r="DK1644" s="110"/>
      <c r="DL1644" s="110"/>
      <c r="DM1644" s="110"/>
      <c r="DN1644" s="110"/>
      <c r="DO1644" s="110"/>
      <c r="DP1644" s="110"/>
      <c r="DQ1644" s="110"/>
      <c r="DR1644" s="110"/>
      <c r="DS1644" s="110"/>
      <c r="DT1644" s="110"/>
      <c r="DU1644" s="110"/>
      <c r="DV1644" s="110"/>
      <c r="DW1644" s="110"/>
      <c r="DX1644" s="110"/>
      <c r="DY1644" s="110"/>
      <c r="DZ1644" s="110"/>
      <c r="EA1644" s="110"/>
      <c r="EB1644" s="110"/>
      <c r="EC1644" s="110"/>
      <c r="ED1644" s="110"/>
      <c r="EF1644" s="264"/>
      <c r="EG1644" s="110"/>
      <c r="EH1644" s="110"/>
      <c r="EI1644" s="110"/>
      <c r="EJ1644" s="110"/>
      <c r="EK1644" s="266"/>
      <c r="EL1644" s="110"/>
      <c r="EM1644" s="110"/>
      <c r="EN1644" s="110"/>
      <c r="EO1644" s="110"/>
      <c r="EP1644" s="110"/>
      <c r="EQ1644" s="110"/>
      <c r="ER1644" s="110"/>
      <c r="ES1644" s="110"/>
      <c r="ET1644" s="110"/>
      <c r="EU1644" s="110"/>
      <c r="EV1644" s="110"/>
      <c r="EW1644" s="110"/>
      <c r="EX1644" s="110"/>
      <c r="EY1644" s="110"/>
      <c r="EZ1644" s="110"/>
      <c r="FA1644" s="110"/>
      <c r="FB1644" s="110"/>
      <c r="FC1644" s="110"/>
      <c r="FD1644" s="110"/>
      <c r="FE1644" s="110"/>
      <c r="FF1644" s="110"/>
      <c r="FG1644" s="110"/>
      <c r="FH1644" s="110"/>
      <c r="FI1644" s="110"/>
      <c r="FJ1644" s="110"/>
      <c r="FK1644" s="110"/>
      <c r="FL1644" s="110"/>
      <c r="FM1644" s="110"/>
      <c r="FN1644" s="110"/>
      <c r="FO1644" s="110"/>
      <c r="FP1644" s="110"/>
      <c r="FQ1644" s="110"/>
      <c r="FR1644" s="110"/>
      <c r="FS1644" s="110"/>
      <c r="FT1644" s="110"/>
      <c r="FU1644" s="110"/>
      <c r="FV1644" s="110"/>
      <c r="FW1644" s="110"/>
      <c r="FX1644" s="110"/>
      <c r="FY1644" s="110"/>
      <c r="FZ1644" s="110"/>
      <c r="GA1644" s="110"/>
      <c r="GB1644" s="110"/>
      <c r="GC1644" s="110"/>
      <c r="GD1644" s="110"/>
      <c r="GE1644" s="110"/>
      <c r="GF1644" s="110"/>
      <c r="GG1644" s="110"/>
      <c r="GH1644" s="110"/>
      <c r="GI1644" s="110"/>
      <c r="GJ1644" s="110"/>
      <c r="GK1644" s="110"/>
      <c r="GL1644" s="110"/>
      <c r="GM1644" s="110"/>
      <c r="GN1644" s="110"/>
      <c r="GO1644" s="110"/>
      <c r="GP1644" s="110"/>
      <c r="GQ1644" s="110"/>
      <c r="GR1644" s="110"/>
      <c r="GS1644" s="110"/>
      <c r="GT1644" s="110"/>
      <c r="GU1644" s="110"/>
      <c r="GV1644" s="110"/>
      <c r="GW1644" s="110"/>
      <c r="GX1644" s="110"/>
      <c r="GY1644" s="110"/>
      <c r="GZ1644" s="110"/>
      <c r="HA1644" s="110"/>
      <c r="HB1644" s="110"/>
      <c r="HC1644" s="110"/>
      <c r="HD1644" s="110"/>
      <c r="HE1644" s="110"/>
      <c r="HF1644" s="110"/>
      <c r="HG1644" s="110"/>
      <c r="HH1644" s="110"/>
      <c r="HI1644" s="110"/>
      <c r="HJ1644" s="110"/>
      <c r="HK1644" s="110"/>
      <c r="HL1644" s="110"/>
      <c r="HM1644" s="110"/>
      <c r="HN1644" s="110"/>
      <c r="HO1644" s="110"/>
      <c r="HP1644" s="110"/>
      <c r="HQ1644" s="110"/>
      <c r="HR1644" s="110"/>
      <c r="HS1644" s="110"/>
      <c r="HT1644" s="110"/>
      <c r="HU1644" s="110"/>
      <c r="HV1644" s="110"/>
      <c r="HW1644" s="110"/>
      <c r="HX1644" s="110"/>
      <c r="HY1644" s="110"/>
      <c r="HZ1644" s="110"/>
      <c r="IA1644" s="110"/>
      <c r="IB1644" s="110"/>
      <c r="IC1644" s="110"/>
      <c r="ID1644" s="110"/>
      <c r="IE1644" s="110"/>
      <c r="IF1644" s="110"/>
      <c r="IG1644" s="110"/>
      <c r="IH1644" s="110"/>
      <c r="II1644" s="110"/>
      <c r="IJ1644" s="110"/>
      <c r="IK1644" s="110"/>
      <c r="IL1644" s="110"/>
      <c r="IM1644" s="110"/>
      <c r="IN1644" s="110"/>
      <c r="IO1644" s="110"/>
      <c r="IP1644" s="110"/>
      <c r="IQ1644" s="110"/>
      <c r="IR1644" s="110"/>
    </row>
    <row r="1645" spans="18:252" ht="16.5" hidden="1" customHeight="1">
      <c r="R1645" s="264"/>
      <c r="S1645" s="110"/>
      <c r="T1645" s="110"/>
      <c r="U1645" s="110"/>
      <c r="V1645" s="110"/>
      <c r="W1645" s="266"/>
      <c r="X1645" s="110"/>
      <c r="Y1645" s="110"/>
      <c r="Z1645" s="110"/>
      <c r="AA1645" s="110"/>
      <c r="AB1645" s="110"/>
      <c r="AC1645" s="110"/>
      <c r="AD1645" s="110"/>
      <c r="AE1645" s="110"/>
      <c r="AF1645" s="110"/>
      <c r="AG1645" s="110"/>
      <c r="AH1645" s="110"/>
      <c r="AI1645" s="110"/>
      <c r="AJ1645" s="110"/>
      <c r="AK1645" s="110"/>
      <c r="AL1645" s="110"/>
      <c r="AM1645" s="110"/>
      <c r="AN1645" s="110"/>
      <c r="AO1645" s="110"/>
      <c r="AP1645" s="110"/>
      <c r="AQ1645" s="110"/>
      <c r="AR1645" s="110"/>
      <c r="AS1645" s="110"/>
      <c r="AT1645" s="110"/>
      <c r="AU1645" s="110"/>
      <c r="AV1645" s="110"/>
      <c r="AW1645" s="110"/>
      <c r="AX1645" s="110"/>
      <c r="AY1645" s="110"/>
      <c r="AZ1645" s="110"/>
      <c r="BA1645" s="110"/>
      <c r="BB1645" s="110"/>
      <c r="BC1645" s="110"/>
      <c r="BD1645" s="110"/>
      <c r="BE1645" s="110"/>
      <c r="BF1645" s="110"/>
      <c r="BG1645" s="110"/>
      <c r="BH1645" s="110"/>
      <c r="BI1645" s="110"/>
      <c r="BJ1645" s="110"/>
      <c r="BK1645" s="110"/>
      <c r="BL1645" s="110"/>
      <c r="BM1645" s="110"/>
      <c r="BN1645" s="110"/>
      <c r="BO1645" s="110"/>
      <c r="BP1645" s="110"/>
      <c r="BQ1645" s="110"/>
      <c r="BR1645" s="110"/>
      <c r="BS1645" s="110"/>
      <c r="BT1645" s="110"/>
      <c r="BU1645" s="110"/>
      <c r="BV1645" s="110"/>
      <c r="BW1645" s="110"/>
      <c r="BX1645" s="110"/>
      <c r="BY1645" s="110"/>
      <c r="BZ1645" s="110"/>
      <c r="CA1645" s="110"/>
      <c r="CB1645" s="110"/>
      <c r="CC1645" s="110"/>
      <c r="CD1645" s="110"/>
      <c r="CE1645" s="110"/>
      <c r="CF1645" s="110"/>
      <c r="CG1645" s="110"/>
      <c r="CH1645" s="110"/>
      <c r="CI1645" s="110"/>
      <c r="CJ1645" s="110"/>
      <c r="CK1645" s="110"/>
      <c r="CL1645" s="110"/>
      <c r="CM1645" s="110"/>
      <c r="CN1645" s="110"/>
      <c r="CO1645" s="110"/>
      <c r="CP1645" s="110"/>
      <c r="CQ1645" s="110"/>
      <c r="CR1645" s="110"/>
      <c r="CS1645" s="110"/>
      <c r="CT1645" s="110"/>
      <c r="CU1645" s="110"/>
      <c r="CV1645" s="110"/>
      <c r="CW1645" s="110"/>
      <c r="CX1645" s="110"/>
      <c r="CY1645" s="110"/>
      <c r="CZ1645" s="110"/>
      <c r="DA1645" s="110"/>
      <c r="DB1645" s="110"/>
      <c r="DC1645" s="110"/>
      <c r="DD1645" s="110"/>
      <c r="DE1645" s="110"/>
      <c r="DF1645" s="110"/>
      <c r="DG1645" s="110"/>
      <c r="DH1645" s="110"/>
      <c r="DI1645" s="110"/>
      <c r="DJ1645" s="110"/>
      <c r="DK1645" s="110"/>
      <c r="DL1645" s="110"/>
      <c r="DM1645" s="110"/>
      <c r="DN1645" s="110"/>
      <c r="DO1645" s="110"/>
      <c r="DP1645" s="110"/>
      <c r="DQ1645" s="110"/>
      <c r="DR1645" s="110"/>
      <c r="DS1645" s="110"/>
      <c r="DT1645" s="110"/>
      <c r="DU1645" s="110"/>
      <c r="DV1645" s="110"/>
      <c r="DW1645" s="110"/>
      <c r="DX1645" s="110"/>
      <c r="DY1645" s="110"/>
      <c r="DZ1645" s="110"/>
      <c r="EA1645" s="110"/>
      <c r="EB1645" s="110"/>
      <c r="EC1645" s="110"/>
      <c r="ED1645" s="110"/>
      <c r="EF1645" s="264"/>
      <c r="EG1645" s="110"/>
      <c r="EH1645" s="110"/>
      <c r="EI1645" s="110"/>
      <c r="EJ1645" s="110"/>
      <c r="EK1645" s="266"/>
      <c r="EL1645" s="110"/>
      <c r="EM1645" s="110"/>
      <c r="EN1645" s="110"/>
      <c r="EO1645" s="110"/>
      <c r="EP1645" s="110"/>
      <c r="EQ1645" s="110"/>
      <c r="ER1645" s="110"/>
      <c r="ES1645" s="110"/>
      <c r="ET1645" s="110"/>
      <c r="EU1645" s="110"/>
      <c r="EV1645" s="110"/>
      <c r="EW1645" s="110"/>
      <c r="EX1645" s="110"/>
      <c r="EY1645" s="110"/>
      <c r="EZ1645" s="110"/>
      <c r="FA1645" s="110"/>
      <c r="FB1645" s="110"/>
      <c r="FC1645" s="110"/>
      <c r="FD1645" s="110"/>
      <c r="FE1645" s="110"/>
      <c r="FF1645" s="110"/>
      <c r="FG1645" s="110"/>
      <c r="FH1645" s="110"/>
      <c r="FI1645" s="110"/>
      <c r="FJ1645" s="110"/>
      <c r="FK1645" s="110"/>
      <c r="FL1645" s="110"/>
      <c r="FM1645" s="110"/>
      <c r="FN1645" s="110"/>
      <c r="FO1645" s="110"/>
      <c r="FP1645" s="110"/>
      <c r="FQ1645" s="110"/>
      <c r="FR1645" s="110"/>
      <c r="FS1645" s="110"/>
      <c r="FT1645" s="110"/>
      <c r="FU1645" s="110"/>
      <c r="FV1645" s="110"/>
      <c r="FW1645" s="110"/>
      <c r="FX1645" s="110"/>
      <c r="FY1645" s="110"/>
      <c r="FZ1645" s="110"/>
      <c r="GA1645" s="110"/>
      <c r="GB1645" s="110"/>
      <c r="GC1645" s="110"/>
      <c r="GD1645" s="110"/>
      <c r="GE1645" s="110"/>
      <c r="GF1645" s="110"/>
      <c r="GG1645" s="110"/>
      <c r="GH1645" s="110"/>
      <c r="GI1645" s="110"/>
      <c r="GJ1645" s="110"/>
      <c r="GK1645" s="110"/>
      <c r="GL1645" s="110"/>
      <c r="GM1645" s="110"/>
      <c r="GN1645" s="110"/>
      <c r="GO1645" s="110"/>
      <c r="GP1645" s="110"/>
      <c r="GQ1645" s="110"/>
      <c r="GR1645" s="110"/>
      <c r="GS1645" s="110"/>
      <c r="GT1645" s="110"/>
      <c r="GU1645" s="110"/>
      <c r="GV1645" s="110"/>
      <c r="GW1645" s="110"/>
      <c r="GX1645" s="110"/>
      <c r="GY1645" s="110"/>
      <c r="GZ1645" s="110"/>
      <c r="HA1645" s="110"/>
      <c r="HB1645" s="110"/>
      <c r="HC1645" s="110"/>
      <c r="HD1645" s="110"/>
      <c r="HE1645" s="110"/>
      <c r="HF1645" s="110"/>
      <c r="HG1645" s="110"/>
      <c r="HH1645" s="110"/>
      <c r="HI1645" s="110"/>
      <c r="HJ1645" s="110"/>
      <c r="HK1645" s="110"/>
      <c r="HL1645" s="110"/>
      <c r="HM1645" s="110"/>
      <c r="HN1645" s="110"/>
      <c r="HO1645" s="110"/>
      <c r="HP1645" s="110"/>
      <c r="HQ1645" s="110"/>
      <c r="HR1645" s="110"/>
      <c r="HS1645" s="110"/>
      <c r="HT1645" s="110"/>
      <c r="HU1645" s="110"/>
      <c r="HV1645" s="110"/>
      <c r="HW1645" s="110"/>
      <c r="HX1645" s="110"/>
      <c r="HY1645" s="110"/>
      <c r="HZ1645" s="110"/>
      <c r="IA1645" s="110"/>
      <c r="IB1645" s="110"/>
      <c r="IC1645" s="110"/>
      <c r="ID1645" s="110"/>
      <c r="IE1645" s="110"/>
      <c r="IF1645" s="110"/>
      <c r="IG1645" s="110"/>
      <c r="IH1645" s="110"/>
      <c r="II1645" s="110"/>
      <c r="IJ1645" s="110"/>
      <c r="IK1645" s="110"/>
      <c r="IL1645" s="110"/>
      <c r="IM1645" s="110"/>
      <c r="IN1645" s="110"/>
      <c r="IO1645" s="110"/>
      <c r="IP1645" s="110"/>
      <c r="IQ1645" s="110"/>
      <c r="IR1645" s="110"/>
    </row>
    <row r="1646" spans="18:252" ht="16.5" hidden="1" customHeight="1">
      <c r="R1646" s="264"/>
      <c r="S1646" s="110"/>
      <c r="T1646" s="110"/>
      <c r="U1646" s="110"/>
      <c r="V1646" s="110"/>
      <c r="W1646" s="266"/>
      <c r="X1646" s="110"/>
      <c r="Y1646" s="110"/>
      <c r="Z1646" s="110"/>
      <c r="AA1646" s="110"/>
      <c r="AB1646" s="110"/>
      <c r="AC1646" s="110"/>
      <c r="AD1646" s="110"/>
      <c r="AE1646" s="110"/>
      <c r="AF1646" s="110"/>
      <c r="AG1646" s="110"/>
      <c r="AH1646" s="110"/>
      <c r="AI1646" s="110"/>
      <c r="AJ1646" s="110"/>
      <c r="AK1646" s="110"/>
      <c r="AL1646" s="110"/>
      <c r="AM1646" s="110"/>
      <c r="AN1646" s="110"/>
      <c r="AO1646" s="110"/>
      <c r="AP1646" s="110"/>
      <c r="AQ1646" s="110"/>
      <c r="AR1646" s="110"/>
      <c r="AS1646" s="110"/>
      <c r="AT1646" s="110"/>
      <c r="AU1646" s="110"/>
      <c r="AV1646" s="110"/>
      <c r="AW1646" s="110"/>
      <c r="AX1646" s="110"/>
      <c r="AY1646" s="110"/>
      <c r="AZ1646" s="110"/>
      <c r="BA1646" s="110"/>
      <c r="BB1646" s="110"/>
      <c r="BC1646" s="110"/>
      <c r="BD1646" s="110"/>
      <c r="BE1646" s="110"/>
      <c r="BF1646" s="110"/>
      <c r="BG1646" s="110"/>
      <c r="BH1646" s="110"/>
      <c r="BI1646" s="110"/>
      <c r="BJ1646" s="110"/>
      <c r="BK1646" s="110"/>
      <c r="BL1646" s="110"/>
      <c r="BM1646" s="110"/>
      <c r="BN1646" s="110"/>
      <c r="BO1646" s="110"/>
      <c r="BP1646" s="110"/>
      <c r="BQ1646" s="110"/>
      <c r="BR1646" s="110"/>
      <c r="BS1646" s="110"/>
      <c r="BT1646" s="110"/>
      <c r="BU1646" s="110"/>
      <c r="BV1646" s="110"/>
      <c r="BW1646" s="110"/>
      <c r="BX1646" s="110"/>
      <c r="BY1646" s="110"/>
      <c r="BZ1646" s="110"/>
      <c r="CA1646" s="110"/>
      <c r="CB1646" s="110"/>
      <c r="CC1646" s="110"/>
      <c r="CD1646" s="110"/>
      <c r="CE1646" s="110"/>
      <c r="CF1646" s="110"/>
      <c r="CG1646" s="110"/>
      <c r="CH1646" s="110"/>
      <c r="CI1646" s="110"/>
      <c r="CJ1646" s="110"/>
      <c r="CK1646" s="110"/>
      <c r="CL1646" s="110"/>
      <c r="CM1646" s="110"/>
      <c r="CN1646" s="110"/>
      <c r="CO1646" s="110"/>
      <c r="CP1646" s="110"/>
      <c r="CQ1646" s="110"/>
      <c r="CR1646" s="110"/>
      <c r="CS1646" s="110"/>
      <c r="CT1646" s="110"/>
      <c r="CU1646" s="110"/>
      <c r="CV1646" s="110"/>
      <c r="CW1646" s="110"/>
      <c r="CX1646" s="110"/>
      <c r="CY1646" s="110"/>
      <c r="CZ1646" s="110"/>
      <c r="DA1646" s="110"/>
      <c r="DB1646" s="110"/>
      <c r="DC1646" s="110"/>
      <c r="DD1646" s="110"/>
      <c r="DE1646" s="110"/>
      <c r="DF1646" s="110"/>
      <c r="DG1646" s="110"/>
      <c r="DH1646" s="110"/>
      <c r="DI1646" s="110"/>
      <c r="DJ1646" s="110"/>
      <c r="DK1646" s="110"/>
      <c r="DL1646" s="110"/>
      <c r="DM1646" s="110"/>
      <c r="DN1646" s="110"/>
      <c r="DO1646" s="110"/>
      <c r="DP1646" s="110"/>
      <c r="DQ1646" s="110"/>
      <c r="DR1646" s="110"/>
      <c r="DS1646" s="110"/>
      <c r="DT1646" s="110"/>
      <c r="DU1646" s="110"/>
      <c r="DV1646" s="110"/>
      <c r="DW1646" s="110"/>
      <c r="DX1646" s="110"/>
      <c r="DY1646" s="110"/>
      <c r="DZ1646" s="110"/>
      <c r="EA1646" s="110"/>
      <c r="EB1646" s="110"/>
      <c r="EC1646" s="110"/>
      <c r="ED1646" s="110"/>
      <c r="EF1646" s="264"/>
      <c r="EG1646" s="110"/>
      <c r="EH1646" s="110"/>
      <c r="EI1646" s="110"/>
      <c r="EJ1646" s="110"/>
      <c r="EK1646" s="266"/>
      <c r="EL1646" s="110"/>
      <c r="EM1646" s="110"/>
      <c r="EN1646" s="110"/>
      <c r="EO1646" s="110"/>
      <c r="EP1646" s="110"/>
      <c r="EQ1646" s="110"/>
      <c r="ER1646" s="110"/>
      <c r="ES1646" s="110"/>
      <c r="ET1646" s="110"/>
      <c r="EU1646" s="110"/>
      <c r="EV1646" s="110"/>
      <c r="EW1646" s="110"/>
      <c r="EX1646" s="110"/>
      <c r="EY1646" s="110"/>
      <c r="EZ1646" s="110"/>
      <c r="FA1646" s="110"/>
      <c r="FB1646" s="110"/>
      <c r="FC1646" s="110"/>
      <c r="FD1646" s="110"/>
      <c r="FE1646" s="110"/>
      <c r="FF1646" s="110"/>
      <c r="FG1646" s="110"/>
      <c r="FH1646" s="110"/>
      <c r="FI1646" s="110"/>
      <c r="FJ1646" s="110"/>
      <c r="FK1646" s="110"/>
      <c r="FL1646" s="110"/>
      <c r="FM1646" s="110"/>
      <c r="FN1646" s="110"/>
      <c r="FO1646" s="110"/>
      <c r="FP1646" s="110"/>
      <c r="FQ1646" s="110"/>
      <c r="FR1646" s="110"/>
      <c r="FS1646" s="110"/>
      <c r="FT1646" s="110"/>
      <c r="FU1646" s="110"/>
      <c r="FV1646" s="110"/>
      <c r="FW1646" s="110"/>
      <c r="FX1646" s="110"/>
      <c r="FY1646" s="110"/>
      <c r="FZ1646" s="110"/>
      <c r="GA1646" s="110"/>
      <c r="GB1646" s="110"/>
      <c r="GC1646" s="110"/>
      <c r="GD1646" s="110"/>
      <c r="GE1646" s="110"/>
      <c r="GF1646" s="110"/>
      <c r="GG1646" s="110"/>
      <c r="GH1646" s="110"/>
      <c r="GI1646" s="110"/>
      <c r="GJ1646" s="110"/>
      <c r="GK1646" s="110"/>
      <c r="GL1646" s="110"/>
      <c r="GM1646" s="110"/>
      <c r="GN1646" s="110"/>
      <c r="GO1646" s="110"/>
      <c r="GP1646" s="110"/>
      <c r="GQ1646" s="110"/>
      <c r="GR1646" s="110"/>
      <c r="GS1646" s="110"/>
      <c r="GT1646" s="110"/>
      <c r="GU1646" s="110"/>
      <c r="GV1646" s="110"/>
      <c r="GW1646" s="110"/>
      <c r="GX1646" s="110"/>
      <c r="GY1646" s="110"/>
      <c r="GZ1646" s="110"/>
      <c r="HA1646" s="110"/>
      <c r="HB1646" s="110"/>
      <c r="HC1646" s="110"/>
      <c r="HD1646" s="110"/>
      <c r="HE1646" s="110"/>
      <c r="HF1646" s="110"/>
      <c r="HG1646" s="110"/>
      <c r="HH1646" s="110"/>
      <c r="HI1646" s="110"/>
      <c r="HJ1646" s="110"/>
      <c r="HK1646" s="110"/>
      <c r="HL1646" s="110"/>
      <c r="HM1646" s="110"/>
      <c r="HN1646" s="110"/>
      <c r="HO1646" s="110"/>
      <c r="HP1646" s="110"/>
      <c r="HQ1646" s="110"/>
      <c r="HR1646" s="110"/>
      <c r="HS1646" s="110"/>
      <c r="HT1646" s="110"/>
      <c r="HU1646" s="110"/>
      <c r="HV1646" s="110"/>
      <c r="HW1646" s="110"/>
      <c r="HX1646" s="110"/>
      <c r="HY1646" s="110"/>
      <c r="HZ1646" s="110"/>
      <c r="IA1646" s="110"/>
      <c r="IB1646" s="110"/>
      <c r="IC1646" s="110"/>
      <c r="ID1646" s="110"/>
      <c r="IE1646" s="110"/>
      <c r="IF1646" s="110"/>
      <c r="IG1646" s="110"/>
      <c r="IH1646" s="110"/>
      <c r="II1646" s="110"/>
      <c r="IJ1646" s="110"/>
      <c r="IK1646" s="110"/>
      <c r="IL1646" s="110"/>
      <c r="IM1646" s="110"/>
      <c r="IN1646" s="110"/>
      <c r="IO1646" s="110"/>
      <c r="IP1646" s="110"/>
      <c r="IQ1646" s="110"/>
      <c r="IR1646" s="110"/>
    </row>
    <row r="1647" spans="18:252" ht="16.5" hidden="1" customHeight="1">
      <c r="R1647" s="264"/>
      <c r="S1647" s="110"/>
      <c r="T1647" s="110"/>
      <c r="U1647" s="110"/>
      <c r="V1647" s="110"/>
      <c r="W1647" s="266"/>
      <c r="X1647" s="110"/>
      <c r="Y1647" s="110"/>
      <c r="Z1647" s="110"/>
      <c r="AA1647" s="110"/>
      <c r="AB1647" s="110"/>
      <c r="AC1647" s="110"/>
      <c r="AD1647" s="110"/>
      <c r="AE1647" s="110"/>
      <c r="AF1647" s="110"/>
      <c r="AG1647" s="110"/>
      <c r="AH1647" s="110"/>
      <c r="AI1647" s="110"/>
      <c r="AJ1647" s="110"/>
      <c r="AK1647" s="110"/>
      <c r="AL1647" s="110"/>
      <c r="AM1647" s="110"/>
      <c r="AN1647" s="110"/>
      <c r="AO1647" s="110"/>
      <c r="AP1647" s="110"/>
      <c r="AQ1647" s="110"/>
      <c r="AR1647" s="110"/>
      <c r="AS1647" s="110"/>
      <c r="AT1647" s="110"/>
      <c r="AU1647" s="110"/>
      <c r="AV1647" s="110"/>
      <c r="AW1647" s="110"/>
      <c r="AX1647" s="110"/>
      <c r="AY1647" s="110"/>
      <c r="AZ1647" s="110"/>
      <c r="BA1647" s="110"/>
      <c r="BB1647" s="110"/>
      <c r="BC1647" s="110"/>
      <c r="BD1647" s="110"/>
      <c r="BE1647" s="110"/>
      <c r="BF1647" s="110"/>
      <c r="BG1647" s="110"/>
      <c r="BH1647" s="110"/>
      <c r="BI1647" s="110"/>
      <c r="BJ1647" s="110"/>
      <c r="BK1647" s="110"/>
      <c r="BL1647" s="110"/>
      <c r="BM1647" s="110"/>
      <c r="BN1647" s="110"/>
      <c r="BO1647" s="110"/>
      <c r="BP1647" s="110"/>
      <c r="BQ1647" s="110"/>
      <c r="BR1647" s="110"/>
      <c r="BS1647" s="110"/>
      <c r="BT1647" s="110"/>
      <c r="BU1647" s="110"/>
      <c r="BV1647" s="110"/>
      <c r="BW1647" s="110"/>
      <c r="BX1647" s="110"/>
      <c r="BY1647" s="110"/>
      <c r="BZ1647" s="110"/>
      <c r="CA1647" s="110"/>
      <c r="CB1647" s="110"/>
      <c r="CC1647" s="110"/>
      <c r="CD1647" s="110"/>
      <c r="CE1647" s="110"/>
      <c r="CF1647" s="110"/>
      <c r="CG1647" s="110"/>
      <c r="CH1647" s="110"/>
      <c r="CI1647" s="110"/>
      <c r="CJ1647" s="110"/>
      <c r="CK1647" s="110"/>
      <c r="CL1647" s="110"/>
      <c r="CM1647" s="110"/>
      <c r="CN1647" s="110"/>
      <c r="CO1647" s="110"/>
      <c r="CP1647" s="110"/>
      <c r="CQ1647" s="110"/>
      <c r="CR1647" s="110"/>
      <c r="CS1647" s="110"/>
      <c r="CT1647" s="110"/>
      <c r="CU1647" s="110"/>
      <c r="CV1647" s="110"/>
      <c r="CW1647" s="110"/>
      <c r="CX1647" s="110"/>
      <c r="CY1647" s="110"/>
      <c r="CZ1647" s="110"/>
      <c r="DA1647" s="110"/>
      <c r="DB1647" s="110"/>
      <c r="DC1647" s="110"/>
      <c r="DD1647" s="110"/>
      <c r="DE1647" s="110"/>
      <c r="DF1647" s="110"/>
      <c r="DG1647" s="110"/>
      <c r="DH1647" s="110"/>
      <c r="DI1647" s="110"/>
      <c r="DJ1647" s="110"/>
      <c r="DK1647" s="110"/>
      <c r="DL1647" s="110"/>
      <c r="DM1647" s="110"/>
      <c r="DN1647" s="110"/>
      <c r="DO1647" s="110"/>
      <c r="DP1647" s="110"/>
      <c r="DQ1647" s="110"/>
      <c r="DR1647" s="110"/>
      <c r="DS1647" s="110"/>
      <c r="DT1647" s="110"/>
      <c r="DU1647" s="110"/>
      <c r="DV1647" s="110"/>
      <c r="DW1647" s="110"/>
      <c r="DX1647" s="110"/>
      <c r="DY1647" s="110"/>
      <c r="DZ1647" s="110"/>
      <c r="EA1647" s="110"/>
      <c r="EB1647" s="110"/>
      <c r="EC1647" s="110"/>
      <c r="ED1647" s="110"/>
      <c r="EF1647" s="264"/>
      <c r="EG1647" s="110"/>
      <c r="EH1647" s="110"/>
      <c r="EI1647" s="110"/>
      <c r="EJ1647" s="110"/>
      <c r="EK1647" s="266"/>
      <c r="EL1647" s="110"/>
      <c r="EM1647" s="110"/>
      <c r="EN1647" s="110"/>
      <c r="EO1647" s="110"/>
      <c r="EP1647" s="110"/>
      <c r="EQ1647" s="110"/>
      <c r="ER1647" s="110"/>
      <c r="ES1647" s="110"/>
      <c r="ET1647" s="110"/>
      <c r="EU1647" s="110"/>
      <c r="EV1647" s="110"/>
      <c r="EW1647" s="110"/>
      <c r="EX1647" s="110"/>
      <c r="EY1647" s="110"/>
      <c r="EZ1647" s="110"/>
      <c r="FA1647" s="110"/>
      <c r="FB1647" s="110"/>
      <c r="FC1647" s="110"/>
      <c r="FD1647" s="110"/>
      <c r="FE1647" s="110"/>
      <c r="FF1647" s="110"/>
      <c r="FG1647" s="110"/>
      <c r="FH1647" s="110"/>
      <c r="FI1647" s="110"/>
      <c r="FJ1647" s="110"/>
      <c r="FK1647" s="110"/>
      <c r="FL1647" s="110"/>
      <c r="FM1647" s="110"/>
      <c r="FN1647" s="110"/>
      <c r="FO1647" s="110"/>
      <c r="FP1647" s="110"/>
      <c r="FQ1647" s="110"/>
      <c r="FR1647" s="110"/>
      <c r="FS1647" s="110"/>
      <c r="FT1647" s="110"/>
      <c r="FU1647" s="110"/>
      <c r="FV1647" s="110"/>
      <c r="FW1647" s="110"/>
      <c r="FX1647" s="110"/>
      <c r="FY1647" s="110"/>
      <c r="FZ1647" s="110"/>
      <c r="GA1647" s="110"/>
      <c r="GB1647" s="110"/>
      <c r="GC1647" s="110"/>
      <c r="GD1647" s="110"/>
      <c r="GE1647" s="110"/>
      <c r="GF1647" s="110"/>
      <c r="GG1647" s="110"/>
      <c r="GH1647" s="110"/>
      <c r="GI1647" s="110"/>
      <c r="GJ1647" s="110"/>
      <c r="GK1647" s="110"/>
      <c r="GL1647" s="110"/>
      <c r="GM1647" s="110"/>
      <c r="GN1647" s="110"/>
      <c r="GO1647" s="110"/>
      <c r="GP1647" s="110"/>
      <c r="GQ1647" s="110"/>
      <c r="GR1647" s="110"/>
      <c r="GS1647" s="110"/>
      <c r="GT1647" s="110"/>
      <c r="GU1647" s="110"/>
      <c r="GV1647" s="110"/>
      <c r="GW1647" s="110"/>
      <c r="GX1647" s="110"/>
      <c r="GY1647" s="110"/>
      <c r="GZ1647" s="110"/>
      <c r="HA1647" s="110"/>
      <c r="HB1647" s="110"/>
      <c r="HC1647" s="110"/>
      <c r="HD1647" s="110"/>
      <c r="HE1647" s="110"/>
      <c r="HF1647" s="110"/>
      <c r="HG1647" s="110"/>
      <c r="HH1647" s="110"/>
      <c r="HI1647" s="110"/>
      <c r="HJ1647" s="110"/>
      <c r="HK1647" s="110"/>
      <c r="HL1647" s="110"/>
      <c r="HM1647" s="110"/>
      <c r="HN1647" s="110"/>
      <c r="HO1647" s="110"/>
      <c r="HP1647" s="110"/>
      <c r="HQ1647" s="110"/>
      <c r="HR1647" s="110"/>
      <c r="HS1647" s="110"/>
      <c r="HT1647" s="110"/>
      <c r="HU1647" s="110"/>
      <c r="HV1647" s="110"/>
      <c r="HW1647" s="110"/>
      <c r="HX1647" s="110"/>
      <c r="HY1647" s="110"/>
      <c r="HZ1647" s="110"/>
      <c r="IA1647" s="110"/>
      <c r="IB1647" s="110"/>
      <c r="IC1647" s="110"/>
      <c r="ID1647" s="110"/>
      <c r="IE1647" s="110"/>
      <c r="IF1647" s="110"/>
      <c r="IG1647" s="110"/>
      <c r="IH1647" s="110"/>
      <c r="II1647" s="110"/>
      <c r="IJ1647" s="110"/>
      <c r="IK1647" s="110"/>
      <c r="IL1647" s="110"/>
      <c r="IM1647" s="110"/>
      <c r="IN1647" s="110"/>
      <c r="IO1647" s="110"/>
      <c r="IP1647" s="110"/>
      <c r="IQ1647" s="110"/>
      <c r="IR1647" s="110"/>
    </row>
    <row r="1648" spans="18:252" ht="16.5" hidden="1" customHeight="1">
      <c r="R1648" s="264"/>
      <c r="S1648" s="110"/>
      <c r="T1648" s="110"/>
      <c r="U1648" s="110"/>
      <c r="V1648" s="110"/>
      <c r="W1648" s="266"/>
      <c r="X1648" s="110"/>
      <c r="Y1648" s="110"/>
      <c r="Z1648" s="110"/>
      <c r="AA1648" s="110"/>
      <c r="AB1648" s="110"/>
      <c r="AC1648" s="110"/>
      <c r="AD1648" s="110"/>
      <c r="AE1648" s="110"/>
      <c r="AF1648" s="110"/>
      <c r="AG1648" s="110"/>
      <c r="AH1648" s="110"/>
      <c r="AI1648" s="110"/>
      <c r="AJ1648" s="110"/>
      <c r="AK1648" s="110"/>
      <c r="AL1648" s="110"/>
      <c r="AM1648" s="110"/>
      <c r="AN1648" s="110"/>
      <c r="AO1648" s="110"/>
      <c r="AP1648" s="110"/>
      <c r="AQ1648" s="110"/>
      <c r="AR1648" s="110"/>
      <c r="AS1648" s="110"/>
      <c r="AT1648" s="110"/>
      <c r="AU1648" s="110"/>
      <c r="AV1648" s="110"/>
      <c r="AW1648" s="110"/>
      <c r="AX1648" s="110"/>
      <c r="AY1648" s="110"/>
      <c r="AZ1648" s="110"/>
      <c r="BA1648" s="110"/>
      <c r="BB1648" s="110"/>
      <c r="BC1648" s="110"/>
      <c r="BD1648" s="110"/>
      <c r="BE1648" s="110"/>
      <c r="BF1648" s="110"/>
      <c r="BG1648" s="110"/>
      <c r="BH1648" s="110"/>
      <c r="BI1648" s="110"/>
      <c r="BJ1648" s="110"/>
      <c r="BK1648" s="110"/>
      <c r="BL1648" s="110"/>
      <c r="BM1648" s="110"/>
      <c r="BN1648" s="110"/>
      <c r="BO1648" s="110"/>
      <c r="BP1648" s="110"/>
      <c r="BQ1648" s="110"/>
      <c r="BR1648" s="110"/>
      <c r="BS1648" s="110"/>
      <c r="BT1648" s="110"/>
      <c r="BU1648" s="110"/>
      <c r="BV1648" s="110"/>
      <c r="BW1648" s="110"/>
      <c r="BX1648" s="110"/>
      <c r="BY1648" s="110"/>
      <c r="BZ1648" s="110"/>
      <c r="CA1648" s="110"/>
      <c r="CB1648" s="110"/>
      <c r="CC1648" s="110"/>
      <c r="CD1648" s="110"/>
      <c r="CE1648" s="110"/>
      <c r="CF1648" s="110"/>
      <c r="CG1648" s="110"/>
      <c r="CH1648" s="110"/>
      <c r="CI1648" s="110"/>
      <c r="CJ1648" s="110"/>
      <c r="CK1648" s="110"/>
      <c r="CL1648" s="110"/>
      <c r="CM1648" s="110"/>
      <c r="CN1648" s="110"/>
      <c r="CO1648" s="110"/>
      <c r="CP1648" s="110"/>
      <c r="CQ1648" s="110"/>
      <c r="CR1648" s="110"/>
      <c r="CS1648" s="110"/>
      <c r="CT1648" s="110"/>
      <c r="CU1648" s="110"/>
      <c r="CV1648" s="110"/>
      <c r="CW1648" s="110"/>
      <c r="CX1648" s="110"/>
      <c r="CY1648" s="110"/>
      <c r="CZ1648" s="110"/>
      <c r="DA1648" s="110"/>
      <c r="DB1648" s="110"/>
      <c r="DC1648" s="110"/>
      <c r="DD1648" s="110"/>
      <c r="DE1648" s="110"/>
      <c r="DF1648" s="110"/>
      <c r="DG1648" s="110"/>
      <c r="DH1648" s="110"/>
      <c r="DI1648" s="110"/>
      <c r="DJ1648" s="110"/>
      <c r="DK1648" s="110"/>
      <c r="DL1648" s="110"/>
      <c r="DM1648" s="110"/>
      <c r="DN1648" s="110"/>
      <c r="DO1648" s="110"/>
      <c r="DP1648" s="110"/>
      <c r="DQ1648" s="110"/>
      <c r="DR1648" s="110"/>
      <c r="DS1648" s="110"/>
      <c r="DT1648" s="110"/>
      <c r="DU1648" s="110"/>
      <c r="DV1648" s="110"/>
      <c r="DW1648" s="110"/>
      <c r="DX1648" s="110"/>
      <c r="DY1648" s="110"/>
      <c r="DZ1648" s="110"/>
      <c r="EA1648" s="110"/>
      <c r="EB1648" s="110"/>
      <c r="EC1648" s="110"/>
      <c r="ED1648" s="110"/>
      <c r="EF1648" s="264"/>
      <c r="EG1648" s="110"/>
      <c r="EH1648" s="110"/>
      <c r="EI1648" s="110"/>
      <c r="EJ1648" s="110"/>
      <c r="EK1648" s="266"/>
      <c r="EL1648" s="110"/>
      <c r="EM1648" s="110"/>
      <c r="EN1648" s="110"/>
      <c r="EO1648" s="110"/>
      <c r="EP1648" s="110"/>
      <c r="EQ1648" s="110"/>
      <c r="ER1648" s="110"/>
      <c r="ES1648" s="110"/>
      <c r="ET1648" s="110"/>
      <c r="EU1648" s="110"/>
      <c r="EV1648" s="110"/>
      <c r="EW1648" s="110"/>
      <c r="EX1648" s="110"/>
      <c r="EY1648" s="110"/>
      <c r="EZ1648" s="110"/>
      <c r="FA1648" s="110"/>
      <c r="FB1648" s="110"/>
      <c r="FC1648" s="110"/>
      <c r="FD1648" s="110"/>
      <c r="FE1648" s="110"/>
      <c r="FF1648" s="110"/>
      <c r="FG1648" s="110"/>
      <c r="FH1648" s="110"/>
      <c r="FI1648" s="110"/>
      <c r="FJ1648" s="110"/>
      <c r="FK1648" s="110"/>
      <c r="FL1648" s="110"/>
      <c r="FM1648" s="110"/>
      <c r="FN1648" s="110"/>
      <c r="FO1648" s="110"/>
      <c r="FP1648" s="110"/>
      <c r="FQ1648" s="110"/>
      <c r="FR1648" s="110"/>
      <c r="FS1648" s="110"/>
      <c r="FT1648" s="110"/>
      <c r="FU1648" s="110"/>
      <c r="FV1648" s="110"/>
      <c r="FW1648" s="110"/>
      <c r="FX1648" s="110"/>
      <c r="FY1648" s="110"/>
      <c r="FZ1648" s="110"/>
      <c r="GA1648" s="110"/>
      <c r="GB1648" s="110"/>
      <c r="GC1648" s="110"/>
      <c r="GD1648" s="110"/>
      <c r="GE1648" s="110"/>
      <c r="GF1648" s="110"/>
      <c r="GG1648" s="110"/>
      <c r="GH1648" s="110"/>
      <c r="GI1648" s="110"/>
      <c r="GJ1648" s="110"/>
      <c r="GK1648" s="110"/>
      <c r="GL1648" s="110"/>
      <c r="GM1648" s="110"/>
      <c r="GN1648" s="110"/>
      <c r="GO1648" s="110"/>
      <c r="GP1648" s="110"/>
      <c r="GQ1648" s="110"/>
      <c r="GR1648" s="110"/>
      <c r="GS1648" s="110"/>
      <c r="GT1648" s="110"/>
      <c r="GU1648" s="110"/>
      <c r="GV1648" s="110"/>
      <c r="GW1648" s="110"/>
      <c r="GX1648" s="110"/>
      <c r="GY1648" s="110"/>
      <c r="GZ1648" s="110"/>
      <c r="HA1648" s="110"/>
      <c r="HB1648" s="110"/>
      <c r="HC1648" s="110"/>
      <c r="HD1648" s="110"/>
      <c r="HE1648" s="110"/>
      <c r="HF1648" s="110"/>
      <c r="HG1648" s="110"/>
      <c r="HH1648" s="110"/>
      <c r="HI1648" s="110"/>
      <c r="HJ1648" s="110"/>
      <c r="HK1648" s="110"/>
      <c r="HL1648" s="110"/>
      <c r="HM1648" s="110"/>
      <c r="HN1648" s="110"/>
      <c r="HO1648" s="110"/>
      <c r="HP1648" s="110"/>
      <c r="HQ1648" s="110"/>
      <c r="HR1648" s="110"/>
      <c r="HS1648" s="110"/>
      <c r="HT1648" s="110"/>
      <c r="HU1648" s="110"/>
      <c r="HV1648" s="110"/>
      <c r="HW1648" s="110"/>
      <c r="HX1648" s="110"/>
      <c r="HY1648" s="110"/>
      <c r="HZ1648" s="110"/>
      <c r="IA1648" s="110"/>
      <c r="IB1648" s="110"/>
      <c r="IC1648" s="110"/>
      <c r="ID1648" s="110"/>
      <c r="IE1648" s="110"/>
      <c r="IF1648" s="110"/>
      <c r="IG1648" s="110"/>
      <c r="IH1648" s="110"/>
      <c r="II1648" s="110"/>
      <c r="IJ1648" s="110"/>
      <c r="IK1648" s="110"/>
      <c r="IL1648" s="110"/>
      <c r="IM1648" s="110"/>
      <c r="IN1648" s="110"/>
      <c r="IO1648" s="110"/>
      <c r="IP1648" s="110"/>
      <c r="IQ1648" s="110"/>
      <c r="IR1648" s="110"/>
    </row>
    <row r="1649" spans="18:252" ht="16.5" hidden="1" customHeight="1">
      <c r="R1649" s="264"/>
      <c r="S1649" s="110"/>
      <c r="T1649" s="110"/>
      <c r="U1649" s="110"/>
      <c r="V1649" s="110"/>
      <c r="W1649" s="266"/>
      <c r="X1649" s="110"/>
      <c r="Y1649" s="110"/>
      <c r="Z1649" s="110"/>
      <c r="AA1649" s="110"/>
      <c r="AB1649" s="110"/>
      <c r="AC1649" s="110"/>
      <c r="AD1649" s="110"/>
      <c r="AE1649" s="110"/>
      <c r="AF1649" s="110"/>
      <c r="AG1649" s="110"/>
      <c r="AH1649" s="110"/>
      <c r="AI1649" s="110"/>
      <c r="AJ1649" s="110"/>
      <c r="AK1649" s="110"/>
      <c r="AL1649" s="110"/>
      <c r="AM1649" s="110"/>
      <c r="AN1649" s="110"/>
      <c r="AO1649" s="110"/>
      <c r="AP1649" s="110"/>
      <c r="AQ1649" s="110"/>
      <c r="AR1649" s="110"/>
      <c r="AS1649" s="110"/>
      <c r="AT1649" s="110"/>
      <c r="AU1649" s="110"/>
      <c r="AV1649" s="110"/>
      <c r="AW1649" s="110"/>
      <c r="AX1649" s="110"/>
      <c r="AY1649" s="110"/>
      <c r="AZ1649" s="110"/>
      <c r="BA1649" s="110"/>
      <c r="BB1649" s="110"/>
      <c r="BC1649" s="110"/>
      <c r="BD1649" s="110"/>
      <c r="BE1649" s="110"/>
      <c r="BF1649" s="110"/>
      <c r="BG1649" s="110"/>
      <c r="BH1649" s="110"/>
      <c r="BI1649" s="110"/>
      <c r="BJ1649" s="110"/>
      <c r="BK1649" s="110"/>
      <c r="BL1649" s="110"/>
      <c r="BM1649" s="110"/>
      <c r="BN1649" s="110"/>
      <c r="BO1649" s="110"/>
      <c r="BP1649" s="110"/>
      <c r="BQ1649" s="110"/>
      <c r="BR1649" s="110"/>
      <c r="BS1649" s="110"/>
      <c r="BT1649" s="110"/>
      <c r="BU1649" s="110"/>
      <c r="BV1649" s="110"/>
      <c r="BW1649" s="110"/>
      <c r="BX1649" s="110"/>
      <c r="BY1649" s="110"/>
      <c r="BZ1649" s="110"/>
      <c r="CA1649" s="110"/>
      <c r="CB1649" s="110"/>
      <c r="CC1649" s="110"/>
      <c r="CD1649" s="110"/>
      <c r="CE1649" s="110"/>
      <c r="CF1649" s="110"/>
      <c r="CG1649" s="110"/>
      <c r="CH1649" s="110"/>
      <c r="CI1649" s="110"/>
      <c r="CJ1649" s="110"/>
      <c r="CK1649" s="110"/>
      <c r="CL1649" s="110"/>
      <c r="CM1649" s="110"/>
      <c r="CN1649" s="110"/>
      <c r="CO1649" s="110"/>
      <c r="CP1649" s="110"/>
      <c r="CQ1649" s="110"/>
      <c r="CR1649" s="110"/>
      <c r="CS1649" s="110"/>
      <c r="CT1649" s="110"/>
      <c r="CU1649" s="110"/>
      <c r="CV1649" s="110"/>
      <c r="CW1649" s="110"/>
      <c r="CX1649" s="110"/>
      <c r="CY1649" s="110"/>
      <c r="CZ1649" s="110"/>
      <c r="DA1649" s="110"/>
      <c r="DB1649" s="110"/>
      <c r="DC1649" s="110"/>
      <c r="DD1649" s="110"/>
      <c r="DE1649" s="110"/>
      <c r="DF1649" s="110"/>
      <c r="DG1649" s="110"/>
      <c r="DH1649" s="110"/>
      <c r="DI1649" s="110"/>
      <c r="DJ1649" s="110"/>
      <c r="DK1649" s="110"/>
      <c r="DL1649" s="110"/>
      <c r="DM1649" s="110"/>
      <c r="DN1649" s="110"/>
      <c r="DO1649" s="110"/>
      <c r="DP1649" s="110"/>
      <c r="DQ1649" s="110"/>
      <c r="DR1649" s="110"/>
      <c r="DS1649" s="110"/>
      <c r="DT1649" s="110"/>
      <c r="DU1649" s="110"/>
      <c r="DV1649" s="110"/>
      <c r="DW1649" s="110"/>
      <c r="DX1649" s="110"/>
      <c r="DY1649" s="110"/>
      <c r="DZ1649" s="110"/>
      <c r="EA1649" s="110"/>
      <c r="EB1649" s="110"/>
      <c r="EC1649" s="110"/>
      <c r="ED1649" s="110"/>
      <c r="EF1649" s="264"/>
      <c r="EG1649" s="110"/>
      <c r="EH1649" s="110"/>
      <c r="EI1649" s="110"/>
      <c r="EJ1649" s="110"/>
      <c r="EK1649" s="266"/>
      <c r="EL1649" s="110"/>
      <c r="EM1649" s="110"/>
      <c r="EN1649" s="110"/>
      <c r="EO1649" s="110"/>
      <c r="EP1649" s="110"/>
      <c r="EQ1649" s="110"/>
      <c r="ER1649" s="110"/>
      <c r="ES1649" s="110"/>
      <c r="ET1649" s="110"/>
      <c r="EU1649" s="110"/>
      <c r="EV1649" s="110"/>
      <c r="EW1649" s="110"/>
      <c r="EX1649" s="110"/>
      <c r="EY1649" s="110"/>
      <c r="EZ1649" s="110"/>
      <c r="FA1649" s="110"/>
      <c r="FB1649" s="110"/>
      <c r="FC1649" s="110"/>
      <c r="FD1649" s="110"/>
      <c r="FE1649" s="110"/>
      <c r="FF1649" s="110"/>
      <c r="FG1649" s="110"/>
      <c r="FH1649" s="110"/>
      <c r="FI1649" s="110"/>
      <c r="FJ1649" s="110"/>
      <c r="FK1649" s="110"/>
      <c r="FL1649" s="110"/>
      <c r="FM1649" s="110"/>
      <c r="FN1649" s="110"/>
      <c r="FO1649" s="110"/>
      <c r="FP1649" s="110"/>
      <c r="FQ1649" s="110"/>
      <c r="FR1649" s="110"/>
      <c r="FS1649" s="110"/>
      <c r="FT1649" s="110"/>
      <c r="FU1649" s="110"/>
      <c r="FV1649" s="110"/>
      <c r="FW1649" s="110"/>
      <c r="FX1649" s="110"/>
      <c r="FY1649" s="110"/>
      <c r="FZ1649" s="110"/>
      <c r="GA1649" s="110"/>
      <c r="GB1649" s="110"/>
      <c r="GC1649" s="110"/>
      <c r="GD1649" s="110"/>
      <c r="GE1649" s="110"/>
      <c r="GF1649" s="110"/>
      <c r="GG1649" s="110"/>
      <c r="GH1649" s="110"/>
      <c r="GI1649" s="110"/>
      <c r="GJ1649" s="110"/>
      <c r="GK1649" s="110"/>
      <c r="GL1649" s="110"/>
      <c r="GM1649" s="110"/>
      <c r="GN1649" s="110"/>
      <c r="GO1649" s="110"/>
      <c r="GP1649" s="110"/>
      <c r="GQ1649" s="110"/>
      <c r="GR1649" s="110"/>
      <c r="GS1649" s="110"/>
      <c r="GT1649" s="110"/>
      <c r="GU1649" s="110"/>
      <c r="GV1649" s="110"/>
      <c r="GW1649" s="110"/>
      <c r="GX1649" s="110"/>
      <c r="GY1649" s="110"/>
      <c r="GZ1649" s="110"/>
      <c r="HA1649" s="110"/>
      <c r="HB1649" s="110"/>
      <c r="HC1649" s="110"/>
      <c r="HD1649" s="110"/>
      <c r="HE1649" s="110"/>
      <c r="HF1649" s="110"/>
      <c r="HG1649" s="110"/>
      <c r="HH1649" s="110"/>
      <c r="HI1649" s="110"/>
      <c r="HJ1649" s="110"/>
      <c r="HK1649" s="110"/>
      <c r="HL1649" s="110"/>
      <c r="HM1649" s="110"/>
      <c r="HN1649" s="110"/>
      <c r="HO1649" s="110"/>
      <c r="HP1649" s="110"/>
      <c r="HQ1649" s="110"/>
      <c r="HR1649" s="110"/>
      <c r="HS1649" s="110"/>
      <c r="HT1649" s="110"/>
      <c r="HU1649" s="110"/>
      <c r="HV1649" s="110"/>
      <c r="HW1649" s="110"/>
      <c r="HX1649" s="110"/>
      <c r="HY1649" s="110"/>
      <c r="HZ1649" s="110"/>
      <c r="IA1649" s="110"/>
      <c r="IB1649" s="110"/>
      <c r="IC1649" s="110"/>
      <c r="ID1649" s="110"/>
      <c r="IE1649" s="110"/>
      <c r="IF1649" s="110"/>
      <c r="IG1649" s="110"/>
      <c r="IH1649" s="110"/>
      <c r="II1649" s="110"/>
      <c r="IJ1649" s="110"/>
      <c r="IK1649" s="110"/>
      <c r="IL1649" s="110"/>
      <c r="IM1649" s="110"/>
      <c r="IN1649" s="110"/>
      <c r="IO1649" s="110"/>
      <c r="IP1649" s="110"/>
      <c r="IQ1649" s="110"/>
      <c r="IR1649" s="110"/>
    </row>
    <row r="1650" spans="18:252" ht="16.5" hidden="1" customHeight="1">
      <c r="R1650" s="264"/>
      <c r="S1650" s="110"/>
      <c r="T1650" s="110"/>
      <c r="U1650" s="110"/>
      <c r="V1650" s="110"/>
      <c r="W1650" s="266"/>
      <c r="X1650" s="110"/>
      <c r="Y1650" s="110"/>
      <c r="Z1650" s="110"/>
      <c r="AA1650" s="110"/>
      <c r="AB1650" s="110"/>
      <c r="AC1650" s="110"/>
      <c r="AD1650" s="110"/>
      <c r="AE1650" s="110"/>
      <c r="AF1650" s="110"/>
      <c r="AG1650" s="110"/>
      <c r="AH1650" s="110"/>
      <c r="AI1650" s="110"/>
      <c r="AJ1650" s="110"/>
      <c r="AK1650" s="110"/>
      <c r="AL1650" s="110"/>
      <c r="AM1650" s="110"/>
      <c r="AN1650" s="110"/>
      <c r="AO1650" s="110"/>
      <c r="AP1650" s="110"/>
      <c r="AQ1650" s="110"/>
      <c r="AR1650" s="110"/>
      <c r="AS1650" s="110"/>
      <c r="AT1650" s="110"/>
      <c r="AU1650" s="110"/>
      <c r="AV1650" s="110"/>
      <c r="AW1650" s="110"/>
      <c r="AX1650" s="110"/>
      <c r="AY1650" s="110"/>
      <c r="AZ1650" s="110"/>
      <c r="BA1650" s="110"/>
      <c r="BB1650" s="110"/>
      <c r="BC1650" s="110"/>
      <c r="BD1650" s="110"/>
      <c r="BE1650" s="110"/>
      <c r="BF1650" s="110"/>
      <c r="BG1650" s="110"/>
      <c r="BH1650" s="110"/>
      <c r="BI1650" s="110"/>
      <c r="BJ1650" s="110"/>
      <c r="BK1650" s="110"/>
      <c r="BL1650" s="110"/>
      <c r="BM1650" s="110"/>
      <c r="BN1650" s="110"/>
      <c r="BO1650" s="110"/>
      <c r="BP1650" s="110"/>
      <c r="BQ1650" s="110"/>
      <c r="BR1650" s="110"/>
      <c r="BS1650" s="110"/>
      <c r="BT1650" s="110"/>
      <c r="BU1650" s="110"/>
      <c r="BV1650" s="110"/>
      <c r="BW1650" s="110"/>
      <c r="BX1650" s="110"/>
      <c r="BY1650" s="110"/>
      <c r="BZ1650" s="110"/>
      <c r="CA1650" s="110"/>
      <c r="CB1650" s="110"/>
      <c r="CC1650" s="110"/>
      <c r="CD1650" s="110"/>
      <c r="CE1650" s="110"/>
      <c r="CF1650" s="110"/>
      <c r="CG1650" s="110"/>
      <c r="CH1650" s="110"/>
      <c r="CI1650" s="110"/>
      <c r="CJ1650" s="110"/>
      <c r="CK1650" s="110"/>
      <c r="CL1650" s="110"/>
      <c r="CM1650" s="110"/>
      <c r="CN1650" s="110"/>
      <c r="CO1650" s="110"/>
      <c r="CP1650" s="110"/>
      <c r="CQ1650" s="110"/>
      <c r="CR1650" s="110"/>
      <c r="CS1650" s="110"/>
      <c r="CT1650" s="110"/>
      <c r="CU1650" s="110"/>
      <c r="CV1650" s="110"/>
      <c r="CW1650" s="110"/>
      <c r="CX1650" s="110"/>
      <c r="CY1650" s="110"/>
      <c r="CZ1650" s="110"/>
      <c r="DA1650" s="110"/>
      <c r="DB1650" s="110"/>
      <c r="DC1650" s="110"/>
      <c r="DD1650" s="110"/>
      <c r="DE1650" s="110"/>
      <c r="DF1650" s="110"/>
      <c r="DG1650" s="110"/>
      <c r="DH1650" s="110"/>
      <c r="DI1650" s="110"/>
      <c r="DJ1650" s="110"/>
      <c r="DK1650" s="110"/>
      <c r="DL1650" s="110"/>
      <c r="DM1650" s="110"/>
      <c r="DN1650" s="110"/>
      <c r="DO1650" s="110"/>
      <c r="DP1650" s="110"/>
      <c r="DQ1650" s="110"/>
      <c r="DR1650" s="110"/>
      <c r="DS1650" s="110"/>
      <c r="DT1650" s="110"/>
      <c r="DU1650" s="110"/>
      <c r="DV1650" s="110"/>
      <c r="DW1650" s="110"/>
      <c r="DX1650" s="110"/>
      <c r="DY1650" s="110"/>
      <c r="DZ1650" s="110"/>
      <c r="EA1650" s="110"/>
      <c r="EB1650" s="110"/>
      <c r="EC1650" s="110"/>
      <c r="ED1650" s="110"/>
      <c r="EF1650" s="264"/>
      <c r="EG1650" s="110"/>
      <c r="EH1650" s="110"/>
      <c r="EI1650" s="110"/>
      <c r="EJ1650" s="110"/>
      <c r="EK1650" s="266"/>
      <c r="EL1650" s="110"/>
      <c r="EM1650" s="110"/>
      <c r="EN1650" s="110"/>
      <c r="EO1650" s="110"/>
      <c r="EP1650" s="110"/>
      <c r="EQ1650" s="110"/>
      <c r="ER1650" s="110"/>
      <c r="ES1650" s="110"/>
      <c r="ET1650" s="110"/>
      <c r="EU1650" s="110"/>
      <c r="EV1650" s="110"/>
      <c r="EW1650" s="110"/>
      <c r="EX1650" s="110"/>
      <c r="EY1650" s="110"/>
      <c r="EZ1650" s="110"/>
      <c r="FA1650" s="110"/>
      <c r="FB1650" s="110"/>
      <c r="FC1650" s="110"/>
      <c r="FD1650" s="110"/>
      <c r="FE1650" s="110"/>
      <c r="FF1650" s="110"/>
      <c r="FG1650" s="110"/>
      <c r="FH1650" s="110"/>
      <c r="FI1650" s="110"/>
      <c r="FJ1650" s="110"/>
      <c r="FK1650" s="110"/>
      <c r="FL1650" s="110"/>
      <c r="FM1650" s="110"/>
      <c r="FN1650" s="110"/>
      <c r="FO1650" s="110"/>
      <c r="FP1650" s="110"/>
      <c r="FQ1650" s="110"/>
      <c r="FR1650" s="110"/>
      <c r="FS1650" s="110"/>
      <c r="FT1650" s="110"/>
      <c r="FU1650" s="110"/>
      <c r="FV1650" s="110"/>
      <c r="FW1650" s="110"/>
      <c r="FX1650" s="110"/>
      <c r="FY1650" s="110"/>
      <c r="FZ1650" s="110"/>
      <c r="GA1650" s="110"/>
      <c r="GB1650" s="110"/>
      <c r="GC1650" s="110"/>
      <c r="GD1650" s="110"/>
      <c r="GE1650" s="110"/>
      <c r="GF1650" s="110"/>
      <c r="GG1650" s="110"/>
      <c r="GH1650" s="110"/>
      <c r="GI1650" s="110"/>
      <c r="GJ1650" s="110"/>
      <c r="GK1650" s="110"/>
      <c r="GL1650" s="110"/>
      <c r="GM1650" s="110"/>
      <c r="GN1650" s="110"/>
      <c r="GO1650" s="110"/>
      <c r="GP1650" s="110"/>
      <c r="GQ1650" s="110"/>
      <c r="GR1650" s="110"/>
      <c r="GS1650" s="110"/>
      <c r="GT1650" s="110"/>
      <c r="GU1650" s="110"/>
      <c r="GV1650" s="110"/>
      <c r="GW1650" s="110"/>
      <c r="GX1650" s="110"/>
      <c r="GY1650" s="110"/>
      <c r="GZ1650" s="110"/>
      <c r="HA1650" s="110"/>
      <c r="HB1650" s="110"/>
      <c r="HC1650" s="110"/>
      <c r="HD1650" s="110"/>
      <c r="HE1650" s="110"/>
      <c r="HF1650" s="110"/>
      <c r="HG1650" s="110"/>
      <c r="HH1650" s="110"/>
      <c r="HI1650" s="110"/>
      <c r="HJ1650" s="110"/>
      <c r="HK1650" s="110"/>
      <c r="HL1650" s="110"/>
      <c r="HM1650" s="110"/>
      <c r="HN1650" s="110"/>
      <c r="HO1650" s="110"/>
      <c r="HP1650" s="110"/>
      <c r="HQ1650" s="110"/>
      <c r="HR1650" s="110"/>
      <c r="HS1650" s="110"/>
      <c r="HT1650" s="110"/>
      <c r="HU1650" s="110"/>
      <c r="HV1650" s="110"/>
      <c r="HW1650" s="110"/>
      <c r="HX1650" s="110"/>
      <c r="HY1650" s="110"/>
      <c r="HZ1650" s="110"/>
      <c r="IA1650" s="110"/>
      <c r="IB1650" s="110"/>
      <c r="IC1650" s="110"/>
      <c r="ID1650" s="110"/>
      <c r="IE1650" s="110"/>
      <c r="IF1650" s="110"/>
      <c r="IG1650" s="110"/>
      <c r="IH1650" s="110"/>
      <c r="II1650" s="110"/>
      <c r="IJ1650" s="110"/>
      <c r="IK1650" s="110"/>
      <c r="IL1650" s="110"/>
      <c r="IM1650" s="110"/>
      <c r="IN1650" s="110"/>
      <c r="IO1650" s="110"/>
      <c r="IP1650" s="110"/>
      <c r="IQ1650" s="110"/>
      <c r="IR1650" s="110"/>
    </row>
    <row r="1651" spans="18:252" ht="16.5" hidden="1" customHeight="1">
      <c r="R1651" s="264"/>
      <c r="S1651" s="110"/>
      <c r="T1651" s="110"/>
      <c r="U1651" s="110"/>
      <c r="V1651" s="110"/>
      <c r="W1651" s="266"/>
      <c r="X1651" s="110"/>
      <c r="Y1651" s="110"/>
      <c r="Z1651" s="110"/>
      <c r="AA1651" s="110"/>
      <c r="AB1651" s="110"/>
      <c r="AC1651" s="110"/>
      <c r="AD1651" s="110"/>
      <c r="AE1651" s="110"/>
      <c r="AF1651" s="110"/>
      <c r="AG1651" s="110"/>
      <c r="AH1651" s="110"/>
      <c r="AI1651" s="110"/>
      <c r="AJ1651" s="110"/>
      <c r="AK1651" s="110"/>
      <c r="AL1651" s="110"/>
      <c r="AM1651" s="110"/>
      <c r="AN1651" s="110"/>
      <c r="AO1651" s="110"/>
      <c r="AP1651" s="110"/>
      <c r="AQ1651" s="110"/>
      <c r="AR1651" s="110"/>
      <c r="AS1651" s="110"/>
      <c r="AT1651" s="110"/>
      <c r="AU1651" s="110"/>
      <c r="AV1651" s="110"/>
      <c r="AW1651" s="110"/>
      <c r="AX1651" s="110"/>
      <c r="AY1651" s="110"/>
      <c r="AZ1651" s="110"/>
      <c r="BA1651" s="110"/>
      <c r="BB1651" s="110"/>
      <c r="BC1651" s="110"/>
      <c r="BD1651" s="110"/>
      <c r="BE1651" s="110"/>
      <c r="BF1651" s="110"/>
      <c r="BG1651" s="110"/>
      <c r="BH1651" s="110"/>
      <c r="BI1651" s="110"/>
      <c r="BJ1651" s="110"/>
      <c r="BK1651" s="110"/>
      <c r="BL1651" s="110"/>
      <c r="BM1651" s="110"/>
      <c r="BN1651" s="110"/>
      <c r="BO1651" s="110"/>
      <c r="BP1651" s="110"/>
      <c r="BQ1651" s="110"/>
      <c r="BR1651" s="110"/>
      <c r="BS1651" s="110"/>
      <c r="BT1651" s="110"/>
      <c r="BU1651" s="110"/>
      <c r="BV1651" s="110"/>
      <c r="BW1651" s="110"/>
      <c r="BX1651" s="110"/>
      <c r="BY1651" s="110"/>
      <c r="BZ1651" s="110"/>
      <c r="CA1651" s="110"/>
      <c r="CB1651" s="110"/>
      <c r="CC1651" s="110"/>
      <c r="CD1651" s="110"/>
      <c r="CE1651" s="110"/>
      <c r="CF1651" s="110"/>
      <c r="CG1651" s="110"/>
      <c r="CH1651" s="110"/>
      <c r="CI1651" s="110"/>
      <c r="CJ1651" s="110"/>
      <c r="CK1651" s="110"/>
      <c r="CL1651" s="110"/>
      <c r="CM1651" s="110"/>
      <c r="CN1651" s="110"/>
      <c r="CO1651" s="110"/>
      <c r="CP1651" s="110"/>
      <c r="CQ1651" s="110"/>
      <c r="CR1651" s="110"/>
      <c r="CS1651" s="110"/>
      <c r="CT1651" s="110"/>
      <c r="CU1651" s="110"/>
      <c r="CV1651" s="110"/>
      <c r="CW1651" s="110"/>
      <c r="CX1651" s="110"/>
      <c r="CY1651" s="110"/>
      <c r="CZ1651" s="110"/>
      <c r="DA1651" s="110"/>
      <c r="DB1651" s="110"/>
      <c r="DC1651" s="110"/>
      <c r="DD1651" s="110"/>
      <c r="DE1651" s="110"/>
      <c r="DF1651" s="110"/>
      <c r="DG1651" s="110"/>
      <c r="DH1651" s="110"/>
      <c r="DI1651" s="110"/>
      <c r="DJ1651" s="110"/>
      <c r="DK1651" s="110"/>
      <c r="DL1651" s="110"/>
      <c r="DM1651" s="110"/>
      <c r="DN1651" s="110"/>
      <c r="DO1651" s="110"/>
      <c r="DP1651" s="110"/>
      <c r="DQ1651" s="110"/>
      <c r="DR1651" s="110"/>
      <c r="DS1651" s="110"/>
      <c r="DT1651" s="110"/>
      <c r="DU1651" s="110"/>
      <c r="DV1651" s="110"/>
      <c r="DW1651" s="110"/>
      <c r="DX1651" s="110"/>
      <c r="DY1651" s="110"/>
      <c r="DZ1651" s="110"/>
      <c r="EA1651" s="110"/>
      <c r="EB1651" s="110"/>
      <c r="EC1651" s="110"/>
      <c r="ED1651" s="110"/>
      <c r="EF1651" s="264"/>
      <c r="EG1651" s="110"/>
      <c r="EH1651" s="110"/>
      <c r="EI1651" s="110"/>
      <c r="EJ1651" s="110"/>
      <c r="EK1651" s="266"/>
      <c r="EL1651" s="110"/>
      <c r="EM1651" s="110"/>
      <c r="EN1651" s="110"/>
      <c r="EO1651" s="110"/>
      <c r="EP1651" s="110"/>
      <c r="EQ1651" s="110"/>
      <c r="ER1651" s="110"/>
      <c r="ES1651" s="110"/>
      <c r="ET1651" s="110"/>
      <c r="EU1651" s="110"/>
      <c r="EV1651" s="110"/>
      <c r="EW1651" s="110"/>
      <c r="EX1651" s="110"/>
      <c r="EY1651" s="110"/>
      <c r="EZ1651" s="110"/>
      <c r="FA1651" s="110"/>
      <c r="FB1651" s="110"/>
      <c r="FC1651" s="110"/>
      <c r="FD1651" s="110"/>
      <c r="FE1651" s="110"/>
      <c r="FF1651" s="110"/>
      <c r="FG1651" s="110"/>
      <c r="FH1651" s="110"/>
      <c r="FI1651" s="110"/>
      <c r="FJ1651" s="110"/>
      <c r="FK1651" s="110"/>
      <c r="FL1651" s="110"/>
      <c r="FM1651" s="110"/>
      <c r="FN1651" s="110"/>
      <c r="FO1651" s="110"/>
      <c r="FP1651" s="110"/>
      <c r="FQ1651" s="110"/>
      <c r="FR1651" s="110"/>
      <c r="FS1651" s="110"/>
      <c r="FT1651" s="110"/>
      <c r="FU1651" s="110"/>
      <c r="FV1651" s="110"/>
      <c r="FW1651" s="110"/>
      <c r="FX1651" s="110"/>
      <c r="FY1651" s="110"/>
      <c r="FZ1651" s="110"/>
      <c r="GA1651" s="110"/>
      <c r="GB1651" s="110"/>
      <c r="GC1651" s="110"/>
      <c r="GD1651" s="110"/>
      <c r="GE1651" s="110"/>
      <c r="GF1651" s="110"/>
      <c r="GG1651" s="110"/>
      <c r="GH1651" s="110"/>
      <c r="GI1651" s="110"/>
      <c r="GJ1651" s="110"/>
      <c r="GK1651" s="110"/>
      <c r="GL1651" s="110"/>
      <c r="GM1651" s="110"/>
      <c r="GN1651" s="110"/>
      <c r="GO1651" s="110"/>
      <c r="GP1651" s="110"/>
      <c r="GQ1651" s="110"/>
      <c r="GR1651" s="110"/>
      <c r="GS1651" s="110"/>
      <c r="GT1651" s="110"/>
      <c r="GU1651" s="110"/>
      <c r="GV1651" s="110"/>
      <c r="GW1651" s="110"/>
      <c r="GX1651" s="110"/>
      <c r="GY1651" s="110"/>
      <c r="GZ1651" s="110"/>
      <c r="HA1651" s="110"/>
      <c r="HB1651" s="110"/>
      <c r="HC1651" s="110"/>
      <c r="HD1651" s="110"/>
      <c r="HE1651" s="110"/>
      <c r="HF1651" s="110"/>
      <c r="HG1651" s="110"/>
      <c r="HH1651" s="110"/>
      <c r="HI1651" s="110"/>
      <c r="HJ1651" s="110"/>
      <c r="HK1651" s="110"/>
      <c r="HL1651" s="110"/>
      <c r="HM1651" s="110"/>
      <c r="HN1651" s="110"/>
      <c r="HO1651" s="110"/>
      <c r="HP1651" s="110"/>
      <c r="HQ1651" s="110"/>
      <c r="HR1651" s="110"/>
      <c r="HS1651" s="110"/>
      <c r="HT1651" s="110"/>
      <c r="HU1651" s="110"/>
      <c r="HV1651" s="110"/>
      <c r="HW1651" s="110"/>
      <c r="HX1651" s="110"/>
      <c r="HY1651" s="110"/>
      <c r="HZ1651" s="110"/>
      <c r="IA1651" s="110"/>
      <c r="IB1651" s="110"/>
      <c r="IC1651" s="110"/>
      <c r="ID1651" s="110"/>
      <c r="IE1651" s="110"/>
      <c r="IF1651" s="110"/>
      <c r="IG1651" s="110"/>
      <c r="IH1651" s="110"/>
      <c r="II1651" s="110"/>
      <c r="IJ1651" s="110"/>
      <c r="IK1651" s="110"/>
      <c r="IL1651" s="110"/>
      <c r="IM1651" s="110"/>
      <c r="IN1651" s="110"/>
      <c r="IO1651" s="110"/>
      <c r="IP1651" s="110"/>
      <c r="IQ1651" s="110"/>
      <c r="IR1651" s="110"/>
    </row>
    <row r="1652" spans="18:252" ht="16.5" hidden="1" customHeight="1">
      <c r="R1652" s="264"/>
      <c r="S1652" s="110"/>
      <c r="T1652" s="110"/>
      <c r="U1652" s="110"/>
      <c r="V1652" s="110"/>
      <c r="W1652" s="266"/>
      <c r="X1652" s="110"/>
      <c r="Y1652" s="110"/>
      <c r="Z1652" s="110"/>
      <c r="AA1652" s="110"/>
      <c r="AB1652" s="110"/>
      <c r="AC1652" s="110"/>
      <c r="AD1652" s="110"/>
      <c r="AE1652" s="110"/>
      <c r="AF1652" s="110"/>
      <c r="AG1652" s="110"/>
      <c r="AH1652" s="110"/>
      <c r="AI1652" s="110"/>
      <c r="AJ1652" s="110"/>
      <c r="AK1652" s="110"/>
      <c r="AL1652" s="110"/>
      <c r="AM1652" s="110"/>
      <c r="AN1652" s="110"/>
      <c r="AO1652" s="110"/>
      <c r="AP1652" s="110"/>
      <c r="AQ1652" s="110"/>
      <c r="AR1652" s="110"/>
      <c r="AS1652" s="110"/>
      <c r="AT1652" s="110"/>
      <c r="AU1652" s="110"/>
      <c r="AV1652" s="110"/>
      <c r="AW1652" s="110"/>
      <c r="AX1652" s="110"/>
      <c r="AY1652" s="110"/>
      <c r="AZ1652" s="110"/>
      <c r="BA1652" s="110"/>
      <c r="BB1652" s="110"/>
      <c r="BC1652" s="110"/>
      <c r="BD1652" s="110"/>
      <c r="BE1652" s="110"/>
      <c r="BF1652" s="110"/>
      <c r="BG1652" s="110"/>
      <c r="BH1652" s="110"/>
      <c r="BI1652" s="110"/>
      <c r="BJ1652" s="110"/>
      <c r="BK1652" s="110"/>
      <c r="BL1652" s="110"/>
      <c r="BM1652" s="110"/>
      <c r="BN1652" s="110"/>
      <c r="BO1652" s="110"/>
      <c r="BP1652" s="110"/>
      <c r="BQ1652" s="110"/>
      <c r="BR1652" s="110"/>
      <c r="BS1652" s="110"/>
      <c r="BT1652" s="110"/>
      <c r="BU1652" s="110"/>
      <c r="BV1652" s="110"/>
      <c r="BW1652" s="110"/>
      <c r="BX1652" s="110"/>
      <c r="BY1652" s="110"/>
      <c r="BZ1652" s="110"/>
      <c r="CA1652" s="110"/>
      <c r="CB1652" s="110"/>
      <c r="CC1652" s="110"/>
      <c r="CD1652" s="110"/>
      <c r="CE1652" s="110"/>
      <c r="CF1652" s="110"/>
      <c r="CG1652" s="110"/>
      <c r="CH1652" s="110"/>
      <c r="CI1652" s="110"/>
      <c r="CJ1652" s="110"/>
      <c r="CK1652" s="110"/>
      <c r="CL1652" s="110"/>
      <c r="CM1652" s="110"/>
      <c r="CN1652" s="110"/>
      <c r="CO1652" s="110"/>
      <c r="CP1652" s="110"/>
      <c r="CQ1652" s="110"/>
      <c r="CR1652" s="110"/>
      <c r="CS1652" s="110"/>
      <c r="CT1652" s="110"/>
      <c r="CU1652" s="110"/>
      <c r="CV1652" s="110"/>
      <c r="CW1652" s="110"/>
      <c r="CX1652" s="110"/>
      <c r="CY1652" s="110"/>
      <c r="CZ1652" s="110"/>
      <c r="DA1652" s="110"/>
      <c r="DB1652" s="110"/>
      <c r="DC1652" s="110"/>
      <c r="DD1652" s="110"/>
      <c r="DE1652" s="110"/>
      <c r="DF1652" s="110"/>
      <c r="DG1652" s="110"/>
      <c r="DH1652" s="110"/>
      <c r="DI1652" s="110"/>
      <c r="DJ1652" s="110"/>
      <c r="DK1652" s="110"/>
      <c r="DL1652" s="110"/>
      <c r="DM1652" s="110"/>
      <c r="DN1652" s="110"/>
      <c r="DO1652" s="110"/>
      <c r="DP1652" s="110"/>
      <c r="DQ1652" s="110"/>
      <c r="DR1652" s="110"/>
      <c r="DS1652" s="110"/>
      <c r="DT1652" s="110"/>
      <c r="DU1652" s="110"/>
      <c r="DV1652" s="110"/>
      <c r="DW1652" s="110"/>
      <c r="DX1652" s="110"/>
      <c r="DY1652" s="110"/>
      <c r="DZ1652" s="110"/>
      <c r="EA1652" s="110"/>
      <c r="EB1652" s="110"/>
      <c r="EC1652" s="110"/>
      <c r="ED1652" s="110"/>
      <c r="EF1652" s="264"/>
      <c r="EG1652" s="110"/>
      <c r="EH1652" s="110"/>
      <c r="EI1652" s="110"/>
      <c r="EJ1652" s="110"/>
      <c r="EK1652" s="266"/>
      <c r="EL1652" s="110"/>
      <c r="EM1652" s="110"/>
      <c r="EN1652" s="110"/>
      <c r="EO1652" s="110"/>
      <c r="EP1652" s="110"/>
      <c r="EQ1652" s="110"/>
      <c r="ER1652" s="110"/>
      <c r="ES1652" s="110"/>
      <c r="ET1652" s="110"/>
      <c r="EU1652" s="110"/>
      <c r="EV1652" s="110"/>
      <c r="EW1652" s="110"/>
      <c r="EX1652" s="110"/>
      <c r="EY1652" s="110"/>
      <c r="EZ1652" s="110"/>
      <c r="FA1652" s="110"/>
      <c r="FB1652" s="110"/>
      <c r="FC1652" s="110"/>
      <c r="FD1652" s="110"/>
      <c r="FE1652" s="110"/>
      <c r="FF1652" s="110"/>
      <c r="FG1652" s="110"/>
      <c r="FH1652" s="110"/>
      <c r="FI1652" s="110"/>
      <c r="FJ1652" s="110"/>
      <c r="FK1652" s="110"/>
      <c r="FL1652" s="110"/>
      <c r="FM1652" s="110"/>
      <c r="FN1652" s="110"/>
      <c r="FO1652" s="110"/>
      <c r="FP1652" s="110"/>
      <c r="FQ1652" s="110"/>
      <c r="FR1652" s="110"/>
      <c r="FS1652" s="110"/>
      <c r="FT1652" s="110"/>
      <c r="FU1652" s="110"/>
      <c r="FV1652" s="110"/>
      <c r="FW1652" s="110"/>
      <c r="FX1652" s="110"/>
      <c r="FY1652" s="110"/>
      <c r="FZ1652" s="110"/>
      <c r="GA1652" s="110"/>
      <c r="GB1652" s="110"/>
      <c r="GC1652" s="110"/>
      <c r="GD1652" s="110"/>
      <c r="GE1652" s="110"/>
      <c r="GF1652" s="110"/>
      <c r="GG1652" s="110"/>
      <c r="GH1652" s="110"/>
      <c r="GI1652" s="110"/>
      <c r="GJ1652" s="110"/>
      <c r="GK1652" s="110"/>
      <c r="GL1652" s="110"/>
      <c r="GM1652" s="110"/>
      <c r="GN1652" s="110"/>
      <c r="GO1652" s="110"/>
      <c r="GP1652" s="110"/>
      <c r="GQ1652" s="110"/>
      <c r="GR1652" s="110"/>
      <c r="GS1652" s="110"/>
      <c r="GT1652" s="110"/>
      <c r="GU1652" s="110"/>
      <c r="GV1652" s="110"/>
      <c r="GW1652" s="110"/>
      <c r="GX1652" s="110"/>
      <c r="GY1652" s="110"/>
      <c r="GZ1652" s="110"/>
      <c r="HA1652" s="110"/>
      <c r="HB1652" s="110"/>
      <c r="HC1652" s="110"/>
      <c r="HD1652" s="110"/>
      <c r="HE1652" s="110"/>
      <c r="HF1652" s="110"/>
      <c r="HG1652" s="110"/>
      <c r="HH1652" s="110"/>
      <c r="HI1652" s="110"/>
      <c r="HJ1652" s="110"/>
      <c r="HK1652" s="110"/>
      <c r="HL1652" s="110"/>
      <c r="HM1652" s="110"/>
      <c r="HN1652" s="110"/>
      <c r="HO1652" s="110"/>
      <c r="HP1652" s="110"/>
      <c r="HQ1652" s="110"/>
      <c r="HR1652" s="110"/>
      <c r="HS1652" s="110"/>
      <c r="HT1652" s="110"/>
      <c r="HU1652" s="110"/>
      <c r="HV1652" s="110"/>
      <c r="HW1652" s="110"/>
      <c r="HX1652" s="110"/>
      <c r="HY1652" s="110"/>
      <c r="HZ1652" s="110"/>
      <c r="IA1652" s="110"/>
      <c r="IB1652" s="110"/>
      <c r="IC1652" s="110"/>
      <c r="ID1652" s="110"/>
      <c r="IE1652" s="110"/>
      <c r="IF1652" s="110"/>
      <c r="IG1652" s="110"/>
      <c r="IH1652" s="110"/>
      <c r="II1652" s="110"/>
      <c r="IJ1652" s="110"/>
      <c r="IK1652" s="110"/>
      <c r="IL1652" s="110"/>
      <c r="IM1652" s="110"/>
      <c r="IN1652" s="110"/>
      <c r="IO1652" s="110"/>
      <c r="IP1652" s="110"/>
      <c r="IQ1652" s="110"/>
      <c r="IR1652" s="110"/>
    </row>
    <row r="1653" spans="18:252" ht="16.5" hidden="1" customHeight="1">
      <c r="R1653" s="264"/>
      <c r="S1653" s="110"/>
      <c r="T1653" s="110"/>
      <c r="U1653" s="110"/>
      <c r="V1653" s="110"/>
      <c r="W1653" s="266"/>
      <c r="X1653" s="110"/>
      <c r="Y1653" s="110"/>
      <c r="Z1653" s="110"/>
      <c r="AA1653" s="110"/>
      <c r="AB1653" s="110"/>
      <c r="AC1653" s="110"/>
      <c r="AD1653" s="110"/>
      <c r="AE1653" s="110"/>
      <c r="AF1653" s="110"/>
      <c r="AG1653" s="110"/>
      <c r="AH1653" s="110"/>
      <c r="AI1653" s="110"/>
      <c r="AJ1653" s="110"/>
      <c r="AK1653" s="110"/>
      <c r="AL1653" s="110"/>
      <c r="AM1653" s="110"/>
      <c r="AN1653" s="110"/>
      <c r="AO1653" s="110"/>
      <c r="AP1653" s="110"/>
      <c r="AQ1653" s="110"/>
      <c r="AR1653" s="110"/>
      <c r="AS1653" s="110"/>
      <c r="AT1653" s="110"/>
      <c r="AU1653" s="110"/>
      <c r="AV1653" s="110"/>
      <c r="AW1653" s="110"/>
      <c r="AX1653" s="110"/>
      <c r="AY1653" s="110"/>
      <c r="AZ1653" s="110"/>
      <c r="BA1653" s="110"/>
      <c r="BB1653" s="110"/>
      <c r="BC1653" s="110"/>
      <c r="BD1653" s="110"/>
      <c r="BE1653" s="110"/>
      <c r="BF1653" s="110"/>
      <c r="BG1653" s="110"/>
      <c r="BH1653" s="110"/>
      <c r="BI1653" s="110"/>
      <c r="BJ1653" s="110"/>
      <c r="BK1653" s="110"/>
      <c r="BL1653" s="110"/>
      <c r="BM1653" s="110"/>
      <c r="BN1653" s="110"/>
      <c r="BO1653" s="110"/>
      <c r="BP1653" s="110"/>
      <c r="BQ1653" s="110"/>
      <c r="BR1653" s="110"/>
      <c r="BS1653" s="110"/>
      <c r="BT1653" s="110"/>
      <c r="BU1653" s="110"/>
      <c r="BV1653" s="110"/>
      <c r="BW1653" s="110"/>
      <c r="BX1653" s="110"/>
      <c r="BY1653" s="110"/>
      <c r="BZ1653" s="110"/>
      <c r="CA1653" s="110"/>
      <c r="CB1653" s="110"/>
      <c r="CC1653" s="110"/>
      <c r="CD1653" s="110"/>
      <c r="CE1653" s="110"/>
      <c r="CF1653" s="110"/>
      <c r="CG1653" s="110"/>
      <c r="CH1653" s="110"/>
      <c r="CI1653" s="110"/>
      <c r="CJ1653" s="110"/>
      <c r="CK1653" s="110"/>
      <c r="CL1653" s="110"/>
      <c r="CM1653" s="110"/>
      <c r="CN1653" s="110"/>
      <c r="CO1653" s="110"/>
      <c r="CP1653" s="110"/>
      <c r="CQ1653" s="110"/>
      <c r="CR1653" s="110"/>
      <c r="CS1653" s="110"/>
      <c r="CT1653" s="110"/>
      <c r="CU1653" s="110"/>
      <c r="CV1653" s="110"/>
      <c r="CW1653" s="110"/>
      <c r="CX1653" s="110"/>
      <c r="CY1653" s="110"/>
      <c r="CZ1653" s="110"/>
      <c r="DA1653" s="110"/>
      <c r="DB1653" s="110"/>
      <c r="DC1653" s="110"/>
      <c r="DD1653" s="110"/>
      <c r="DE1653" s="110"/>
      <c r="DF1653" s="110"/>
      <c r="DG1653" s="110"/>
      <c r="DH1653" s="110"/>
      <c r="DI1653" s="110"/>
      <c r="DJ1653" s="110"/>
      <c r="DK1653" s="110"/>
      <c r="DL1653" s="110"/>
      <c r="DM1653" s="110"/>
      <c r="DN1653" s="110"/>
      <c r="DO1653" s="110"/>
      <c r="DP1653" s="110"/>
      <c r="DQ1653" s="110"/>
      <c r="DR1653" s="110"/>
      <c r="DS1653" s="110"/>
      <c r="DT1653" s="110"/>
      <c r="DU1653" s="110"/>
      <c r="DV1653" s="110"/>
      <c r="DW1653" s="110"/>
      <c r="DX1653" s="110"/>
      <c r="DY1653" s="110"/>
      <c r="DZ1653" s="110"/>
      <c r="EA1653" s="110"/>
      <c r="EB1653" s="110"/>
      <c r="EC1653" s="110"/>
      <c r="ED1653" s="110"/>
      <c r="EF1653" s="264"/>
      <c r="EG1653" s="110"/>
      <c r="EH1653" s="110"/>
      <c r="EI1653" s="110"/>
      <c r="EJ1653" s="110"/>
      <c r="EK1653" s="266"/>
      <c r="EL1653" s="110"/>
      <c r="EM1653" s="110"/>
      <c r="EN1653" s="110"/>
      <c r="EO1653" s="110"/>
      <c r="EP1653" s="110"/>
      <c r="EQ1653" s="110"/>
      <c r="ER1653" s="110"/>
      <c r="ES1653" s="110"/>
      <c r="ET1653" s="110"/>
      <c r="EU1653" s="110"/>
      <c r="EV1653" s="110"/>
      <c r="EW1653" s="110"/>
      <c r="EX1653" s="110"/>
      <c r="EY1653" s="110"/>
      <c r="EZ1653" s="110"/>
      <c r="FA1653" s="110"/>
      <c r="FB1653" s="110"/>
      <c r="FC1653" s="110"/>
      <c r="FD1653" s="110"/>
      <c r="FE1653" s="110"/>
      <c r="FF1653" s="110"/>
      <c r="FG1653" s="110"/>
      <c r="FH1653" s="110"/>
      <c r="FI1653" s="110"/>
      <c r="FJ1653" s="110"/>
      <c r="FK1653" s="110"/>
      <c r="FL1653" s="110"/>
      <c r="FM1653" s="110"/>
      <c r="FN1653" s="110"/>
      <c r="FO1653" s="110"/>
      <c r="FP1653" s="110"/>
      <c r="FQ1653" s="110"/>
      <c r="FR1653" s="110"/>
      <c r="FS1653" s="110"/>
      <c r="FT1653" s="110"/>
      <c r="FU1653" s="110"/>
      <c r="FV1653" s="110"/>
      <c r="FW1653" s="110"/>
      <c r="FX1653" s="110"/>
      <c r="FY1653" s="110"/>
      <c r="FZ1653" s="110"/>
      <c r="GA1653" s="110"/>
      <c r="GB1653" s="110"/>
      <c r="GC1653" s="110"/>
      <c r="GD1653" s="110"/>
      <c r="GE1653" s="110"/>
      <c r="GF1653" s="110"/>
      <c r="GG1653" s="110"/>
      <c r="GH1653" s="110"/>
      <c r="GI1653" s="110"/>
      <c r="GJ1653" s="110"/>
      <c r="GK1653" s="110"/>
      <c r="GL1653" s="110"/>
      <c r="GM1653" s="110"/>
      <c r="GN1653" s="110"/>
      <c r="GO1653" s="110"/>
      <c r="GP1653" s="110"/>
      <c r="GQ1653" s="110"/>
      <c r="GR1653" s="110"/>
      <c r="GS1653" s="110"/>
      <c r="GT1653" s="110"/>
      <c r="GU1653" s="110"/>
      <c r="GV1653" s="110"/>
      <c r="GW1653" s="110"/>
      <c r="GX1653" s="110"/>
      <c r="GY1653" s="110"/>
      <c r="GZ1653" s="110"/>
      <c r="HA1653" s="110"/>
      <c r="HB1653" s="110"/>
      <c r="HC1653" s="110"/>
      <c r="HD1653" s="110"/>
      <c r="HE1653" s="110"/>
      <c r="HF1653" s="110"/>
      <c r="HG1653" s="110"/>
      <c r="HH1653" s="110"/>
      <c r="HI1653" s="110"/>
      <c r="HJ1653" s="110"/>
      <c r="HK1653" s="110"/>
      <c r="HL1653" s="110"/>
      <c r="HM1653" s="110"/>
      <c r="HN1653" s="110"/>
      <c r="HO1653" s="110"/>
      <c r="HP1653" s="110"/>
      <c r="HQ1653" s="110"/>
      <c r="HR1653" s="110"/>
      <c r="HS1653" s="110"/>
      <c r="HT1653" s="110"/>
      <c r="HU1653" s="110"/>
      <c r="HV1653" s="110"/>
      <c r="HW1653" s="110"/>
      <c r="HX1653" s="110"/>
      <c r="HY1653" s="110"/>
      <c r="HZ1653" s="110"/>
      <c r="IA1653" s="110"/>
      <c r="IB1653" s="110"/>
      <c r="IC1653" s="110"/>
      <c r="ID1653" s="110"/>
      <c r="IE1653" s="110"/>
      <c r="IF1653" s="110"/>
      <c r="IG1653" s="110"/>
      <c r="IH1653" s="110"/>
      <c r="II1653" s="110"/>
      <c r="IJ1653" s="110"/>
      <c r="IK1653" s="110"/>
      <c r="IL1653" s="110"/>
      <c r="IM1653" s="110"/>
      <c r="IN1653" s="110"/>
      <c r="IO1653" s="110"/>
      <c r="IP1653" s="110"/>
      <c r="IQ1653" s="110"/>
      <c r="IR1653" s="110"/>
    </row>
    <row r="1654" spans="18:252" ht="16.5" hidden="1" customHeight="1">
      <c r="R1654" s="264"/>
      <c r="S1654" s="110"/>
      <c r="T1654" s="110"/>
      <c r="U1654" s="110"/>
      <c r="V1654" s="110"/>
      <c r="W1654" s="266"/>
      <c r="X1654" s="110"/>
      <c r="Y1654" s="110"/>
      <c r="Z1654" s="110"/>
      <c r="AA1654" s="110"/>
      <c r="AB1654" s="110"/>
      <c r="AC1654" s="110"/>
      <c r="AD1654" s="110"/>
      <c r="AE1654" s="110"/>
      <c r="AF1654" s="110"/>
      <c r="AG1654" s="110"/>
      <c r="AH1654" s="110"/>
      <c r="AI1654" s="110"/>
      <c r="AJ1654" s="110"/>
      <c r="AK1654" s="110"/>
      <c r="AL1654" s="110"/>
      <c r="AM1654" s="110"/>
      <c r="AN1654" s="110"/>
      <c r="AO1654" s="110"/>
      <c r="AP1654" s="110"/>
      <c r="AQ1654" s="110"/>
      <c r="AR1654" s="110"/>
      <c r="AS1654" s="110"/>
      <c r="AT1654" s="110"/>
      <c r="AU1654" s="110"/>
      <c r="AV1654" s="110"/>
      <c r="AW1654" s="110"/>
      <c r="AX1654" s="110"/>
      <c r="AY1654" s="110"/>
      <c r="AZ1654" s="110"/>
      <c r="BA1654" s="110"/>
      <c r="BB1654" s="110"/>
      <c r="BC1654" s="110"/>
      <c r="BD1654" s="110"/>
      <c r="BE1654" s="110"/>
      <c r="BF1654" s="110"/>
      <c r="BG1654" s="110"/>
      <c r="BH1654" s="110"/>
      <c r="BI1654" s="110"/>
      <c r="BJ1654" s="110"/>
      <c r="BK1654" s="110"/>
      <c r="BL1654" s="110"/>
      <c r="BM1654" s="110"/>
      <c r="BN1654" s="110"/>
      <c r="BO1654" s="110"/>
      <c r="BP1654" s="110"/>
      <c r="BQ1654" s="110"/>
      <c r="BR1654" s="110"/>
      <c r="BS1654" s="110"/>
      <c r="BT1654" s="110"/>
      <c r="BU1654" s="110"/>
      <c r="BV1654" s="110"/>
      <c r="BW1654" s="110"/>
      <c r="BX1654" s="110"/>
      <c r="BY1654" s="110"/>
      <c r="BZ1654" s="110"/>
      <c r="CA1654" s="110"/>
      <c r="CB1654" s="110"/>
      <c r="CC1654" s="110"/>
      <c r="CD1654" s="110"/>
      <c r="CE1654" s="110"/>
      <c r="CF1654" s="110"/>
      <c r="CG1654" s="110"/>
      <c r="CH1654" s="110"/>
      <c r="CI1654" s="110"/>
      <c r="CJ1654" s="110"/>
      <c r="CK1654" s="110"/>
      <c r="CL1654" s="110"/>
      <c r="CM1654" s="110"/>
      <c r="CN1654" s="110"/>
      <c r="CO1654" s="110"/>
      <c r="CP1654" s="110"/>
      <c r="CQ1654" s="110"/>
      <c r="CR1654" s="110"/>
      <c r="CS1654" s="110"/>
      <c r="CT1654" s="110"/>
      <c r="CU1654" s="110"/>
      <c r="CV1654" s="110"/>
      <c r="CW1654" s="110"/>
      <c r="CX1654" s="110"/>
      <c r="CY1654" s="110"/>
      <c r="CZ1654" s="110"/>
      <c r="DA1654" s="110"/>
      <c r="DB1654" s="110"/>
      <c r="DC1654" s="110"/>
      <c r="DD1654" s="110"/>
      <c r="DE1654" s="110"/>
      <c r="DF1654" s="110"/>
      <c r="DG1654" s="110"/>
      <c r="DH1654" s="110"/>
      <c r="DI1654" s="110"/>
      <c r="DJ1654" s="110"/>
      <c r="DK1654" s="110"/>
      <c r="DL1654" s="110"/>
      <c r="DM1654" s="110"/>
      <c r="DN1654" s="110"/>
      <c r="DO1654" s="110"/>
      <c r="DP1654" s="110"/>
      <c r="DQ1654" s="110"/>
      <c r="DR1654" s="110"/>
      <c r="DS1654" s="110"/>
      <c r="DT1654" s="110"/>
      <c r="DU1654" s="110"/>
      <c r="DV1654" s="110"/>
      <c r="DW1654" s="110"/>
      <c r="DX1654" s="110"/>
      <c r="DY1654" s="110"/>
      <c r="DZ1654" s="110"/>
      <c r="EA1654" s="110"/>
      <c r="EB1654" s="110"/>
      <c r="EC1654" s="110"/>
      <c r="ED1654" s="110"/>
      <c r="EF1654" s="264"/>
      <c r="EG1654" s="110"/>
      <c r="EH1654" s="110"/>
      <c r="EI1654" s="110"/>
      <c r="EJ1654" s="110"/>
      <c r="EK1654" s="266"/>
      <c r="EL1654" s="110"/>
      <c r="EM1654" s="110"/>
      <c r="EN1654" s="110"/>
      <c r="EO1654" s="110"/>
      <c r="EP1654" s="110"/>
      <c r="EQ1654" s="110"/>
      <c r="ER1654" s="110"/>
      <c r="ES1654" s="110"/>
      <c r="ET1654" s="110"/>
      <c r="EU1654" s="110"/>
      <c r="EV1654" s="110"/>
      <c r="EW1654" s="110"/>
      <c r="EX1654" s="110"/>
      <c r="EY1654" s="110"/>
      <c r="EZ1654" s="110"/>
      <c r="FA1654" s="110"/>
      <c r="FB1654" s="110"/>
      <c r="FC1654" s="110"/>
      <c r="FD1654" s="110"/>
      <c r="FE1654" s="110"/>
      <c r="FF1654" s="110"/>
      <c r="FG1654" s="110"/>
      <c r="FH1654" s="110"/>
      <c r="FI1654" s="110"/>
      <c r="FJ1654" s="110"/>
      <c r="FK1654" s="110"/>
      <c r="FL1654" s="110"/>
      <c r="FM1654" s="110"/>
      <c r="FN1654" s="110"/>
      <c r="FO1654" s="110"/>
      <c r="FP1654" s="110"/>
      <c r="FQ1654" s="110"/>
      <c r="FR1654" s="110"/>
      <c r="FS1654" s="110"/>
      <c r="FT1654" s="110"/>
      <c r="FU1654" s="110"/>
      <c r="FV1654" s="110"/>
      <c r="FW1654" s="110"/>
      <c r="FX1654" s="110"/>
      <c r="FY1654" s="110"/>
      <c r="FZ1654" s="110"/>
      <c r="GA1654" s="110"/>
      <c r="GB1654" s="110"/>
      <c r="GC1654" s="110"/>
      <c r="GD1654" s="110"/>
      <c r="GE1654" s="110"/>
      <c r="GF1654" s="110"/>
      <c r="GG1654" s="110"/>
      <c r="GH1654" s="110"/>
      <c r="GI1654" s="110"/>
      <c r="GJ1654" s="110"/>
      <c r="GK1654" s="110"/>
      <c r="GL1654" s="110"/>
      <c r="GM1654" s="110"/>
      <c r="GN1654" s="110"/>
      <c r="GO1654" s="110"/>
      <c r="GP1654" s="110"/>
      <c r="GQ1654" s="110"/>
      <c r="GR1654" s="110"/>
      <c r="GS1654" s="110"/>
      <c r="GT1654" s="110"/>
      <c r="GU1654" s="110"/>
      <c r="GV1654" s="110"/>
      <c r="GW1654" s="110"/>
      <c r="GX1654" s="110"/>
      <c r="GY1654" s="110"/>
      <c r="GZ1654" s="110"/>
      <c r="HA1654" s="110"/>
      <c r="HB1654" s="110"/>
      <c r="HC1654" s="110"/>
      <c r="HD1654" s="110"/>
      <c r="HE1654" s="110"/>
      <c r="HF1654" s="110"/>
      <c r="HG1654" s="110"/>
      <c r="HH1654" s="110"/>
      <c r="HI1654" s="110"/>
      <c r="HJ1654" s="110"/>
      <c r="HK1654" s="110"/>
      <c r="HL1654" s="110"/>
      <c r="HM1654" s="110"/>
      <c r="HN1654" s="110"/>
      <c r="HO1654" s="110"/>
      <c r="HP1654" s="110"/>
      <c r="HQ1654" s="110"/>
      <c r="HR1654" s="110"/>
      <c r="HS1654" s="110"/>
      <c r="HT1654" s="110"/>
      <c r="HU1654" s="110"/>
      <c r="HV1654" s="110"/>
      <c r="HW1654" s="110"/>
      <c r="HX1654" s="110"/>
      <c r="HY1654" s="110"/>
      <c r="HZ1654" s="110"/>
      <c r="IA1654" s="110"/>
      <c r="IB1654" s="110"/>
      <c r="IC1654" s="110"/>
      <c r="ID1654" s="110"/>
      <c r="IE1654" s="110"/>
      <c r="IF1654" s="110"/>
      <c r="IG1654" s="110"/>
      <c r="IH1654" s="110"/>
      <c r="II1654" s="110"/>
      <c r="IJ1654" s="110"/>
      <c r="IK1654" s="110"/>
      <c r="IL1654" s="110"/>
      <c r="IM1654" s="110"/>
      <c r="IN1654" s="110"/>
      <c r="IO1654" s="110"/>
      <c r="IP1654" s="110"/>
      <c r="IQ1654" s="110"/>
      <c r="IR1654" s="110"/>
    </row>
    <row r="1655" spans="18:252" ht="16.5" hidden="1" customHeight="1">
      <c r="R1655" s="264"/>
      <c r="S1655" s="110"/>
      <c r="T1655" s="110"/>
      <c r="U1655" s="110"/>
      <c r="V1655" s="110"/>
      <c r="W1655" s="266"/>
      <c r="X1655" s="110"/>
      <c r="Y1655" s="110"/>
      <c r="Z1655" s="110"/>
      <c r="AA1655" s="110"/>
      <c r="AB1655" s="110"/>
      <c r="AC1655" s="110"/>
      <c r="AD1655" s="110"/>
      <c r="AE1655" s="110"/>
      <c r="AF1655" s="110"/>
      <c r="AG1655" s="110"/>
      <c r="AH1655" s="110"/>
      <c r="AI1655" s="110"/>
      <c r="AJ1655" s="110"/>
      <c r="AK1655" s="110"/>
      <c r="AL1655" s="110"/>
      <c r="AM1655" s="110"/>
      <c r="AN1655" s="110"/>
      <c r="AO1655" s="110"/>
      <c r="AP1655" s="110"/>
      <c r="AQ1655" s="110"/>
      <c r="AR1655" s="110"/>
      <c r="AS1655" s="110"/>
      <c r="AT1655" s="110"/>
      <c r="AU1655" s="110"/>
      <c r="AV1655" s="110"/>
      <c r="AW1655" s="110"/>
      <c r="AX1655" s="110"/>
      <c r="AY1655" s="110"/>
      <c r="AZ1655" s="110"/>
      <c r="BA1655" s="110"/>
      <c r="BB1655" s="110"/>
      <c r="BC1655" s="110"/>
      <c r="BD1655" s="110"/>
      <c r="BE1655" s="110"/>
      <c r="BF1655" s="110"/>
      <c r="BG1655" s="110"/>
      <c r="BH1655" s="110"/>
      <c r="BI1655" s="110"/>
      <c r="BJ1655" s="110"/>
      <c r="BK1655" s="110"/>
      <c r="BL1655" s="110"/>
      <c r="BM1655" s="110"/>
      <c r="BN1655" s="110"/>
      <c r="BO1655" s="110"/>
      <c r="BP1655" s="110"/>
      <c r="BQ1655" s="110"/>
      <c r="BR1655" s="110"/>
      <c r="BS1655" s="110"/>
      <c r="BT1655" s="110"/>
      <c r="BU1655" s="110"/>
      <c r="BV1655" s="110"/>
      <c r="BW1655" s="110"/>
      <c r="BX1655" s="110"/>
      <c r="BY1655" s="110"/>
      <c r="BZ1655" s="110"/>
      <c r="CA1655" s="110"/>
      <c r="CB1655" s="110"/>
      <c r="CC1655" s="110"/>
      <c r="CD1655" s="110"/>
      <c r="CE1655" s="110"/>
      <c r="CF1655" s="110"/>
      <c r="CG1655" s="110"/>
      <c r="CH1655" s="110"/>
      <c r="CI1655" s="110"/>
      <c r="CJ1655" s="110"/>
      <c r="CK1655" s="110"/>
      <c r="CL1655" s="110"/>
      <c r="CM1655" s="110"/>
      <c r="CN1655" s="110"/>
      <c r="CO1655" s="110"/>
      <c r="CP1655" s="110"/>
      <c r="CQ1655" s="110"/>
      <c r="CR1655" s="110"/>
      <c r="CS1655" s="110"/>
      <c r="CT1655" s="110"/>
      <c r="CU1655" s="110"/>
      <c r="CV1655" s="110"/>
      <c r="CW1655" s="110"/>
      <c r="CX1655" s="110"/>
      <c r="CY1655" s="110"/>
      <c r="CZ1655" s="110"/>
      <c r="DA1655" s="110"/>
      <c r="DB1655" s="110"/>
      <c r="DC1655" s="110"/>
      <c r="DD1655" s="110"/>
      <c r="DE1655" s="110"/>
      <c r="DF1655" s="110"/>
      <c r="DG1655" s="110"/>
      <c r="DH1655" s="110"/>
      <c r="DI1655" s="110"/>
      <c r="DJ1655" s="110"/>
      <c r="DK1655" s="110"/>
      <c r="DL1655" s="110"/>
      <c r="DM1655" s="110"/>
      <c r="DN1655" s="110"/>
      <c r="DO1655" s="110"/>
      <c r="DP1655" s="110"/>
      <c r="DQ1655" s="110"/>
      <c r="DR1655" s="110"/>
      <c r="DS1655" s="110"/>
      <c r="DT1655" s="110"/>
      <c r="DU1655" s="110"/>
      <c r="DV1655" s="110"/>
      <c r="DW1655" s="110"/>
      <c r="DX1655" s="110"/>
      <c r="DY1655" s="110"/>
      <c r="DZ1655" s="110"/>
      <c r="EA1655" s="110"/>
      <c r="EB1655" s="110"/>
      <c r="EC1655" s="110"/>
      <c r="ED1655" s="110"/>
      <c r="EF1655" s="264"/>
      <c r="EG1655" s="110"/>
      <c r="EH1655" s="110"/>
      <c r="EI1655" s="110"/>
      <c r="EJ1655" s="110"/>
      <c r="EK1655" s="266"/>
      <c r="EL1655" s="110"/>
      <c r="EM1655" s="110"/>
      <c r="EN1655" s="110"/>
      <c r="EO1655" s="110"/>
      <c r="EP1655" s="110"/>
      <c r="EQ1655" s="110"/>
      <c r="ER1655" s="110"/>
      <c r="ES1655" s="110"/>
      <c r="ET1655" s="110"/>
      <c r="EU1655" s="110"/>
      <c r="EV1655" s="110"/>
      <c r="EW1655" s="110"/>
      <c r="EX1655" s="110"/>
      <c r="EY1655" s="110"/>
      <c r="EZ1655" s="110"/>
      <c r="FA1655" s="110"/>
      <c r="FB1655" s="110"/>
      <c r="FC1655" s="110"/>
      <c r="FD1655" s="110"/>
      <c r="FE1655" s="110"/>
      <c r="FF1655" s="110"/>
      <c r="FG1655" s="110"/>
      <c r="FH1655" s="110"/>
      <c r="FI1655" s="110"/>
      <c r="FJ1655" s="110"/>
      <c r="FK1655" s="110"/>
      <c r="FL1655" s="110"/>
      <c r="FM1655" s="110"/>
      <c r="FN1655" s="110"/>
      <c r="FO1655" s="110"/>
      <c r="FP1655" s="110"/>
      <c r="FQ1655" s="110"/>
      <c r="FR1655" s="110"/>
      <c r="FS1655" s="110"/>
      <c r="FT1655" s="110"/>
      <c r="FU1655" s="110"/>
      <c r="FV1655" s="110"/>
      <c r="FW1655" s="110"/>
      <c r="FX1655" s="110"/>
      <c r="FY1655" s="110"/>
      <c r="FZ1655" s="110"/>
      <c r="GA1655" s="110"/>
      <c r="GB1655" s="110"/>
      <c r="GC1655" s="110"/>
      <c r="GD1655" s="110"/>
      <c r="GE1655" s="110"/>
      <c r="GF1655" s="110"/>
      <c r="GG1655" s="110"/>
      <c r="GH1655" s="110"/>
      <c r="GI1655" s="110"/>
      <c r="GJ1655" s="110"/>
      <c r="GK1655" s="110"/>
      <c r="GL1655" s="110"/>
      <c r="GM1655" s="110"/>
      <c r="GN1655" s="110"/>
      <c r="GO1655" s="110"/>
      <c r="GP1655" s="110"/>
      <c r="GQ1655" s="110"/>
      <c r="GR1655" s="110"/>
      <c r="GS1655" s="110"/>
      <c r="GT1655" s="110"/>
      <c r="GU1655" s="110"/>
      <c r="GV1655" s="110"/>
      <c r="GW1655" s="110"/>
      <c r="GX1655" s="110"/>
      <c r="GY1655" s="110"/>
      <c r="GZ1655" s="110"/>
      <c r="HA1655" s="110"/>
      <c r="HB1655" s="110"/>
      <c r="HC1655" s="110"/>
      <c r="HD1655" s="110"/>
      <c r="HE1655" s="110"/>
      <c r="HF1655" s="110"/>
      <c r="HG1655" s="110"/>
      <c r="HH1655" s="110"/>
      <c r="HI1655" s="110"/>
      <c r="HJ1655" s="110"/>
      <c r="HK1655" s="110"/>
      <c r="HL1655" s="110"/>
      <c r="HM1655" s="110"/>
      <c r="HN1655" s="110"/>
      <c r="HO1655" s="110"/>
      <c r="HP1655" s="110"/>
      <c r="HQ1655" s="110"/>
      <c r="HR1655" s="110"/>
      <c r="HS1655" s="110"/>
      <c r="HT1655" s="110"/>
      <c r="HU1655" s="110"/>
      <c r="HV1655" s="110"/>
      <c r="HW1655" s="110"/>
      <c r="HX1655" s="110"/>
      <c r="HY1655" s="110"/>
      <c r="HZ1655" s="110"/>
      <c r="IA1655" s="110"/>
      <c r="IB1655" s="110"/>
      <c r="IC1655" s="110"/>
      <c r="ID1655" s="110"/>
      <c r="IE1655" s="110"/>
      <c r="IF1655" s="110"/>
      <c r="IG1655" s="110"/>
      <c r="IH1655" s="110"/>
      <c r="II1655" s="110"/>
      <c r="IJ1655" s="110"/>
      <c r="IK1655" s="110"/>
      <c r="IL1655" s="110"/>
      <c r="IM1655" s="110"/>
      <c r="IN1655" s="110"/>
      <c r="IO1655" s="110"/>
      <c r="IP1655" s="110"/>
      <c r="IQ1655" s="110"/>
      <c r="IR1655" s="110"/>
    </row>
    <row r="1656" spans="18:252" ht="16.5" hidden="1" customHeight="1">
      <c r="R1656" s="264"/>
      <c r="S1656" s="110"/>
      <c r="T1656" s="110"/>
      <c r="U1656" s="110"/>
      <c r="V1656" s="110"/>
      <c r="W1656" s="266"/>
      <c r="X1656" s="110"/>
      <c r="Y1656" s="110"/>
      <c r="Z1656" s="110"/>
      <c r="AA1656" s="110"/>
      <c r="AB1656" s="110"/>
      <c r="AC1656" s="110"/>
      <c r="AD1656" s="110"/>
      <c r="AE1656" s="110"/>
      <c r="AF1656" s="110"/>
      <c r="AG1656" s="110"/>
      <c r="AH1656" s="110"/>
      <c r="AI1656" s="110"/>
      <c r="AJ1656" s="110"/>
      <c r="AK1656" s="110"/>
      <c r="AL1656" s="110"/>
      <c r="AM1656" s="110"/>
      <c r="AN1656" s="110"/>
      <c r="AO1656" s="110"/>
      <c r="AP1656" s="110"/>
      <c r="AQ1656" s="110"/>
      <c r="AR1656" s="110"/>
      <c r="AS1656" s="110"/>
      <c r="AT1656" s="110"/>
      <c r="AU1656" s="110"/>
      <c r="AV1656" s="110"/>
      <c r="AW1656" s="110"/>
      <c r="AX1656" s="110"/>
      <c r="AY1656" s="110"/>
      <c r="AZ1656" s="110"/>
      <c r="BA1656" s="110"/>
      <c r="BB1656" s="110"/>
      <c r="BC1656" s="110"/>
      <c r="BD1656" s="110"/>
      <c r="BE1656" s="110"/>
      <c r="BF1656" s="110"/>
      <c r="BG1656" s="110"/>
      <c r="BH1656" s="110"/>
      <c r="BI1656" s="110"/>
      <c r="BJ1656" s="110"/>
      <c r="BK1656" s="110"/>
      <c r="BL1656" s="110"/>
      <c r="BM1656" s="110"/>
      <c r="BN1656" s="110"/>
      <c r="BO1656" s="110"/>
      <c r="BP1656" s="110"/>
      <c r="BQ1656" s="110"/>
      <c r="BR1656" s="110"/>
      <c r="BS1656" s="110"/>
      <c r="BT1656" s="110"/>
      <c r="BU1656" s="110"/>
      <c r="BV1656" s="110"/>
      <c r="BW1656" s="110"/>
      <c r="BX1656" s="110"/>
      <c r="BY1656" s="110"/>
      <c r="BZ1656" s="110"/>
      <c r="CA1656" s="110"/>
      <c r="CB1656" s="110"/>
      <c r="CC1656" s="110"/>
      <c r="CD1656" s="110"/>
      <c r="CE1656" s="110"/>
      <c r="CF1656" s="110"/>
      <c r="CG1656" s="110"/>
      <c r="CH1656" s="110"/>
      <c r="CI1656" s="110"/>
      <c r="CJ1656" s="110"/>
      <c r="CK1656" s="110"/>
      <c r="CL1656" s="110"/>
      <c r="CM1656" s="110"/>
      <c r="CN1656" s="110"/>
      <c r="CO1656" s="110"/>
      <c r="CP1656" s="110"/>
      <c r="CQ1656" s="110"/>
      <c r="CR1656" s="110"/>
      <c r="CS1656" s="110"/>
      <c r="CT1656" s="110"/>
      <c r="CU1656" s="110"/>
      <c r="CV1656" s="110"/>
      <c r="CW1656" s="110"/>
      <c r="CX1656" s="110"/>
      <c r="CY1656" s="110"/>
      <c r="CZ1656" s="110"/>
      <c r="DA1656" s="110"/>
      <c r="DB1656" s="110"/>
      <c r="DC1656" s="110"/>
      <c r="DD1656" s="110"/>
      <c r="DE1656" s="110"/>
      <c r="DF1656" s="110"/>
      <c r="DG1656" s="110"/>
      <c r="DH1656" s="110"/>
      <c r="DI1656" s="110"/>
      <c r="DJ1656" s="110"/>
      <c r="DK1656" s="110"/>
      <c r="DL1656" s="110"/>
      <c r="DM1656" s="110"/>
      <c r="DN1656" s="110"/>
      <c r="DO1656" s="110"/>
      <c r="DP1656" s="110"/>
      <c r="DQ1656" s="110"/>
      <c r="DR1656" s="110"/>
      <c r="DS1656" s="110"/>
      <c r="DT1656" s="110"/>
      <c r="DU1656" s="110"/>
      <c r="DV1656" s="110"/>
      <c r="DW1656" s="110"/>
      <c r="DX1656" s="110"/>
      <c r="DY1656" s="110"/>
      <c r="DZ1656" s="110"/>
      <c r="EA1656" s="110"/>
      <c r="EB1656" s="110"/>
      <c r="EC1656" s="110"/>
      <c r="ED1656" s="110"/>
      <c r="EF1656" s="264"/>
      <c r="EG1656" s="110"/>
      <c r="EH1656" s="110"/>
      <c r="EI1656" s="110"/>
      <c r="EJ1656" s="110"/>
      <c r="EK1656" s="266"/>
      <c r="EL1656" s="110"/>
      <c r="EM1656" s="110"/>
      <c r="EN1656" s="110"/>
      <c r="EO1656" s="110"/>
      <c r="EP1656" s="110"/>
      <c r="EQ1656" s="110"/>
      <c r="ER1656" s="110"/>
      <c r="ES1656" s="110"/>
      <c r="ET1656" s="110"/>
      <c r="EU1656" s="110"/>
      <c r="EV1656" s="110"/>
      <c r="EW1656" s="110"/>
      <c r="EX1656" s="110"/>
      <c r="EY1656" s="110"/>
      <c r="EZ1656" s="110"/>
      <c r="FA1656" s="110"/>
      <c r="FB1656" s="110"/>
      <c r="FC1656" s="110"/>
      <c r="FD1656" s="110"/>
      <c r="FE1656" s="110"/>
      <c r="FF1656" s="110"/>
      <c r="FG1656" s="110"/>
      <c r="FH1656" s="110"/>
      <c r="FI1656" s="110"/>
      <c r="FJ1656" s="110"/>
      <c r="FK1656" s="110"/>
      <c r="FL1656" s="110"/>
      <c r="FM1656" s="110"/>
      <c r="FN1656" s="110"/>
      <c r="FO1656" s="110"/>
      <c r="FP1656" s="110"/>
      <c r="FQ1656" s="110"/>
      <c r="FR1656" s="110"/>
      <c r="FS1656" s="110"/>
      <c r="FT1656" s="110"/>
      <c r="FU1656" s="110"/>
      <c r="FV1656" s="110"/>
      <c r="FW1656" s="110"/>
      <c r="FX1656" s="110"/>
      <c r="FY1656" s="110"/>
      <c r="FZ1656" s="110"/>
      <c r="GA1656" s="110"/>
      <c r="GB1656" s="110"/>
      <c r="GC1656" s="110"/>
      <c r="GD1656" s="110"/>
      <c r="GE1656" s="110"/>
      <c r="GF1656" s="110"/>
      <c r="GG1656" s="110"/>
      <c r="GH1656" s="110"/>
      <c r="GI1656" s="110"/>
      <c r="GJ1656" s="110"/>
      <c r="GK1656" s="110"/>
      <c r="GL1656" s="110"/>
      <c r="GM1656" s="110"/>
      <c r="GN1656" s="110"/>
      <c r="GO1656" s="110"/>
      <c r="GP1656" s="110"/>
      <c r="GQ1656" s="110"/>
      <c r="GR1656" s="110"/>
      <c r="GS1656" s="110"/>
      <c r="GT1656" s="110"/>
      <c r="GU1656" s="110"/>
      <c r="GV1656" s="110"/>
      <c r="GW1656" s="110"/>
      <c r="GX1656" s="110"/>
      <c r="GY1656" s="110"/>
      <c r="GZ1656" s="110"/>
      <c r="HA1656" s="110"/>
      <c r="HB1656" s="110"/>
      <c r="HC1656" s="110"/>
      <c r="HD1656" s="110"/>
      <c r="HE1656" s="110"/>
      <c r="HF1656" s="110"/>
      <c r="HG1656" s="110"/>
      <c r="HH1656" s="110"/>
      <c r="HI1656" s="110"/>
      <c r="HJ1656" s="110"/>
      <c r="HK1656" s="110"/>
      <c r="HL1656" s="110"/>
      <c r="HM1656" s="110"/>
      <c r="HN1656" s="110"/>
      <c r="HO1656" s="110"/>
      <c r="HP1656" s="110"/>
      <c r="HQ1656" s="110"/>
      <c r="HR1656" s="110"/>
      <c r="HS1656" s="110"/>
      <c r="HT1656" s="110"/>
      <c r="HU1656" s="110"/>
      <c r="HV1656" s="110"/>
      <c r="HW1656" s="110"/>
      <c r="HX1656" s="110"/>
      <c r="HY1656" s="110"/>
      <c r="HZ1656" s="110"/>
      <c r="IA1656" s="110"/>
      <c r="IB1656" s="110"/>
      <c r="IC1656" s="110"/>
      <c r="ID1656" s="110"/>
      <c r="IE1656" s="110"/>
      <c r="IF1656" s="110"/>
      <c r="IG1656" s="110"/>
      <c r="IH1656" s="110"/>
      <c r="II1656" s="110"/>
      <c r="IJ1656" s="110"/>
      <c r="IK1656" s="110"/>
      <c r="IL1656" s="110"/>
      <c r="IM1656" s="110"/>
      <c r="IN1656" s="110"/>
      <c r="IO1656" s="110"/>
      <c r="IP1656" s="110"/>
      <c r="IQ1656" s="110"/>
      <c r="IR1656" s="110"/>
    </row>
    <row r="1657" spans="18:252" ht="16.5" hidden="1" customHeight="1">
      <c r="R1657" s="264"/>
      <c r="S1657" s="110"/>
      <c r="T1657" s="110"/>
      <c r="U1657" s="110"/>
      <c r="V1657" s="110"/>
      <c r="W1657" s="266"/>
      <c r="X1657" s="110"/>
      <c r="Y1657" s="110"/>
      <c r="Z1657" s="110"/>
      <c r="AA1657" s="110"/>
      <c r="AB1657" s="110"/>
      <c r="AC1657" s="110"/>
      <c r="AD1657" s="110"/>
      <c r="AE1657" s="110"/>
      <c r="AF1657" s="110"/>
      <c r="AG1657" s="110"/>
      <c r="AH1657" s="110"/>
      <c r="AI1657" s="110"/>
      <c r="AJ1657" s="110"/>
      <c r="AK1657" s="110"/>
      <c r="AL1657" s="110"/>
      <c r="AM1657" s="110"/>
      <c r="AN1657" s="110"/>
      <c r="AO1657" s="110"/>
      <c r="AP1657" s="110"/>
      <c r="AQ1657" s="110"/>
      <c r="AR1657" s="110"/>
      <c r="AS1657" s="110"/>
      <c r="AT1657" s="110"/>
      <c r="AU1657" s="110"/>
      <c r="AV1657" s="110"/>
      <c r="AW1657" s="110"/>
      <c r="AX1657" s="110"/>
      <c r="AY1657" s="110"/>
      <c r="AZ1657" s="110"/>
      <c r="BA1657" s="110"/>
      <c r="BB1657" s="110"/>
      <c r="BC1657" s="110"/>
      <c r="BD1657" s="110"/>
      <c r="BE1657" s="110"/>
      <c r="BF1657" s="110"/>
      <c r="BG1657" s="110"/>
      <c r="BH1657" s="110"/>
      <c r="BI1657" s="110"/>
      <c r="BJ1657" s="110"/>
      <c r="BK1657" s="110"/>
      <c r="BL1657" s="110"/>
      <c r="BM1657" s="110"/>
      <c r="BN1657" s="110"/>
      <c r="BO1657" s="110"/>
      <c r="BP1657" s="110"/>
      <c r="BQ1657" s="110"/>
      <c r="BR1657" s="110"/>
      <c r="BS1657" s="110"/>
      <c r="BT1657" s="110"/>
      <c r="BU1657" s="110"/>
      <c r="BV1657" s="110"/>
      <c r="BW1657" s="110"/>
      <c r="BX1657" s="110"/>
      <c r="BY1657" s="110"/>
      <c r="BZ1657" s="110"/>
      <c r="CA1657" s="110"/>
      <c r="CB1657" s="110"/>
      <c r="CC1657" s="110"/>
      <c r="CD1657" s="110"/>
      <c r="CE1657" s="110"/>
      <c r="CF1657" s="110"/>
      <c r="CG1657" s="110"/>
      <c r="CH1657" s="110"/>
      <c r="CI1657" s="110"/>
      <c r="CJ1657" s="110"/>
      <c r="CK1657" s="110"/>
      <c r="CL1657" s="110"/>
      <c r="CM1657" s="110"/>
      <c r="CN1657" s="110"/>
      <c r="CO1657" s="110"/>
      <c r="CP1657" s="110"/>
      <c r="CQ1657" s="110"/>
      <c r="CR1657" s="110"/>
      <c r="CS1657" s="110"/>
      <c r="CT1657" s="110"/>
      <c r="CU1657" s="110"/>
      <c r="CV1657" s="110"/>
      <c r="CW1657" s="110"/>
      <c r="CX1657" s="110"/>
      <c r="CY1657" s="110"/>
      <c r="CZ1657" s="110"/>
      <c r="DA1657" s="110"/>
      <c r="DB1657" s="110"/>
      <c r="DC1657" s="110"/>
      <c r="DD1657" s="110"/>
      <c r="DE1657" s="110"/>
      <c r="DF1657" s="110"/>
      <c r="DG1657" s="110"/>
      <c r="DH1657" s="110"/>
      <c r="DI1657" s="110"/>
      <c r="DJ1657" s="110"/>
      <c r="DK1657" s="110"/>
      <c r="DL1657" s="110"/>
      <c r="DM1657" s="110"/>
      <c r="DN1657" s="110"/>
      <c r="DO1657" s="110"/>
      <c r="DP1657" s="110"/>
      <c r="DQ1657" s="110"/>
      <c r="DR1657" s="110"/>
      <c r="DS1657" s="110"/>
      <c r="DT1657" s="110"/>
      <c r="DU1657" s="110"/>
      <c r="DV1657" s="110"/>
      <c r="DW1657" s="110"/>
      <c r="DX1657" s="110"/>
      <c r="DY1657" s="110"/>
      <c r="DZ1657" s="110"/>
      <c r="EA1657" s="110"/>
      <c r="EB1657" s="110"/>
      <c r="EC1657" s="110"/>
      <c r="ED1657" s="110"/>
      <c r="EF1657" s="264"/>
      <c r="EG1657" s="110"/>
      <c r="EH1657" s="110"/>
      <c r="EI1657" s="110"/>
      <c r="EJ1657" s="110"/>
      <c r="EK1657" s="266"/>
      <c r="EL1657" s="110"/>
      <c r="EM1657" s="110"/>
      <c r="EN1657" s="110"/>
      <c r="EO1657" s="110"/>
      <c r="EP1657" s="110"/>
      <c r="EQ1657" s="110"/>
      <c r="ER1657" s="110"/>
      <c r="ES1657" s="110"/>
      <c r="ET1657" s="110"/>
      <c r="EU1657" s="110"/>
      <c r="EV1657" s="110"/>
      <c r="EW1657" s="110"/>
      <c r="EX1657" s="110"/>
      <c r="EY1657" s="110"/>
      <c r="EZ1657" s="110"/>
      <c r="FA1657" s="110"/>
      <c r="FB1657" s="110"/>
      <c r="FC1657" s="110"/>
      <c r="FD1657" s="110"/>
      <c r="FE1657" s="110"/>
      <c r="FF1657" s="110"/>
      <c r="FG1657" s="110"/>
      <c r="FH1657" s="110"/>
      <c r="FI1657" s="110"/>
      <c r="FJ1657" s="110"/>
      <c r="FK1657" s="110"/>
      <c r="FL1657" s="110"/>
      <c r="FM1657" s="110"/>
      <c r="FN1657" s="110"/>
      <c r="FO1657" s="110"/>
      <c r="FP1657" s="110"/>
      <c r="FQ1657" s="110"/>
      <c r="FR1657" s="110"/>
      <c r="FS1657" s="110"/>
      <c r="FT1657" s="110"/>
      <c r="FU1657" s="110"/>
      <c r="FV1657" s="110"/>
      <c r="FW1657" s="110"/>
      <c r="FX1657" s="110"/>
      <c r="FY1657" s="110"/>
      <c r="FZ1657" s="110"/>
      <c r="GA1657" s="110"/>
      <c r="GB1657" s="110"/>
      <c r="GC1657" s="110"/>
      <c r="GD1657" s="110"/>
      <c r="GE1657" s="110"/>
      <c r="GF1657" s="110"/>
      <c r="GG1657" s="110"/>
      <c r="GH1657" s="110"/>
      <c r="GI1657" s="110"/>
      <c r="GJ1657" s="110"/>
      <c r="GK1657" s="110"/>
      <c r="GL1657" s="110"/>
      <c r="GM1657" s="110"/>
      <c r="GN1657" s="110"/>
      <c r="GO1657" s="110"/>
      <c r="GP1657" s="110"/>
      <c r="GQ1657" s="110"/>
      <c r="GR1657" s="110"/>
      <c r="GS1657" s="110"/>
      <c r="GT1657" s="110"/>
      <c r="GU1657" s="110"/>
      <c r="GV1657" s="110"/>
      <c r="GW1657" s="110"/>
      <c r="GX1657" s="110"/>
      <c r="GY1657" s="110"/>
      <c r="GZ1657" s="110"/>
      <c r="HA1657" s="110"/>
      <c r="HB1657" s="110"/>
      <c r="HC1657" s="110"/>
      <c r="HD1657" s="110"/>
      <c r="HE1657" s="110"/>
      <c r="HF1657" s="110"/>
      <c r="HG1657" s="110"/>
      <c r="HH1657" s="110"/>
      <c r="HI1657" s="110"/>
      <c r="HJ1657" s="110"/>
      <c r="HK1657" s="110"/>
      <c r="HL1657" s="110"/>
      <c r="HM1657" s="110"/>
      <c r="HN1657" s="110"/>
      <c r="HO1657" s="110"/>
      <c r="HP1657" s="110"/>
      <c r="HQ1657" s="110"/>
      <c r="HR1657" s="110"/>
      <c r="HS1657" s="110"/>
      <c r="HT1657" s="110"/>
      <c r="HU1657" s="110"/>
      <c r="HV1657" s="110"/>
      <c r="HW1657" s="110"/>
      <c r="HX1657" s="110"/>
      <c r="HY1657" s="110"/>
      <c r="HZ1657" s="110"/>
      <c r="IA1657" s="110"/>
      <c r="IB1657" s="110"/>
      <c r="IC1657" s="110"/>
      <c r="ID1657" s="110"/>
      <c r="IE1657" s="110"/>
      <c r="IF1657" s="110"/>
      <c r="IG1657" s="110"/>
      <c r="IH1657" s="110"/>
      <c r="II1657" s="110"/>
      <c r="IJ1657" s="110"/>
      <c r="IK1657" s="110"/>
      <c r="IL1657" s="110"/>
      <c r="IM1657" s="110"/>
      <c r="IN1657" s="110"/>
      <c r="IO1657" s="110"/>
      <c r="IP1657" s="110"/>
      <c r="IQ1657" s="110"/>
      <c r="IR1657" s="110"/>
    </row>
    <row r="1658" spans="18:252" ht="16.5" hidden="1" customHeight="1">
      <c r="R1658" s="264"/>
      <c r="S1658" s="110"/>
      <c r="T1658" s="110"/>
      <c r="U1658" s="110"/>
      <c r="V1658" s="110"/>
      <c r="W1658" s="266"/>
      <c r="X1658" s="110"/>
      <c r="Y1658" s="110"/>
      <c r="Z1658" s="110"/>
      <c r="AA1658" s="110"/>
      <c r="AB1658" s="110"/>
      <c r="AC1658" s="110"/>
      <c r="AD1658" s="110"/>
      <c r="AE1658" s="110"/>
      <c r="AF1658" s="110"/>
      <c r="AG1658" s="110"/>
      <c r="AH1658" s="110"/>
      <c r="AI1658" s="110"/>
      <c r="AJ1658" s="110"/>
      <c r="AK1658" s="110"/>
      <c r="AL1658" s="110"/>
      <c r="AM1658" s="110"/>
      <c r="AN1658" s="110"/>
      <c r="AO1658" s="110"/>
      <c r="AP1658" s="110"/>
      <c r="AQ1658" s="110"/>
      <c r="AR1658" s="110"/>
      <c r="AS1658" s="110"/>
      <c r="AT1658" s="110"/>
      <c r="AU1658" s="110"/>
      <c r="AV1658" s="110"/>
      <c r="AW1658" s="110"/>
      <c r="AX1658" s="110"/>
      <c r="AY1658" s="110"/>
      <c r="AZ1658" s="110"/>
      <c r="BA1658" s="110"/>
      <c r="BB1658" s="110"/>
      <c r="BC1658" s="110"/>
      <c r="BD1658" s="110"/>
      <c r="BE1658" s="110"/>
      <c r="BF1658" s="110"/>
      <c r="BG1658" s="110"/>
      <c r="BH1658" s="110"/>
      <c r="BI1658" s="110"/>
      <c r="BJ1658" s="110"/>
      <c r="BK1658" s="110"/>
      <c r="BL1658" s="110"/>
      <c r="BM1658" s="110"/>
      <c r="BN1658" s="110"/>
      <c r="BO1658" s="110"/>
      <c r="BP1658" s="110"/>
      <c r="BQ1658" s="110"/>
      <c r="BR1658" s="110"/>
      <c r="BS1658" s="110"/>
      <c r="BT1658" s="110"/>
      <c r="BU1658" s="110"/>
      <c r="BV1658" s="110"/>
      <c r="BW1658" s="110"/>
      <c r="BX1658" s="110"/>
      <c r="BY1658" s="110"/>
      <c r="BZ1658" s="110"/>
      <c r="CA1658" s="110"/>
      <c r="CB1658" s="110"/>
      <c r="CC1658" s="110"/>
      <c r="CD1658" s="110"/>
      <c r="CE1658" s="110"/>
      <c r="CF1658" s="110"/>
      <c r="CG1658" s="110"/>
      <c r="CH1658" s="110"/>
      <c r="CI1658" s="110"/>
      <c r="CJ1658" s="110"/>
      <c r="CK1658" s="110"/>
      <c r="CL1658" s="110"/>
      <c r="CM1658" s="110"/>
      <c r="CN1658" s="110"/>
      <c r="CO1658" s="110"/>
      <c r="CP1658" s="110"/>
      <c r="CQ1658" s="110"/>
      <c r="CR1658" s="110"/>
      <c r="CS1658" s="110"/>
      <c r="CT1658" s="110"/>
      <c r="CU1658" s="110"/>
      <c r="CV1658" s="110"/>
      <c r="CW1658" s="110"/>
      <c r="CX1658" s="110"/>
      <c r="CY1658" s="110"/>
      <c r="CZ1658" s="110"/>
      <c r="DA1658" s="110"/>
      <c r="DB1658" s="110"/>
      <c r="DC1658" s="110"/>
      <c r="DD1658" s="110"/>
      <c r="DE1658" s="110"/>
      <c r="DF1658" s="110"/>
      <c r="DG1658" s="110"/>
      <c r="DH1658" s="110"/>
      <c r="DI1658" s="110"/>
      <c r="DJ1658" s="110"/>
      <c r="DK1658" s="110"/>
      <c r="DL1658" s="110"/>
      <c r="DM1658" s="110"/>
      <c r="DN1658" s="110"/>
      <c r="DO1658" s="110"/>
      <c r="DP1658" s="110"/>
      <c r="DQ1658" s="110"/>
      <c r="DR1658" s="110"/>
      <c r="DS1658" s="110"/>
      <c r="DT1658" s="110"/>
      <c r="DU1658" s="110"/>
      <c r="DV1658" s="110"/>
      <c r="DW1658" s="110"/>
      <c r="DX1658" s="110"/>
      <c r="DY1658" s="110"/>
      <c r="DZ1658" s="110"/>
      <c r="EA1658" s="110"/>
      <c r="EB1658" s="110"/>
      <c r="EC1658" s="110"/>
      <c r="ED1658" s="110"/>
      <c r="EF1658" s="264"/>
      <c r="EG1658" s="110"/>
      <c r="EH1658" s="110"/>
      <c r="EI1658" s="110"/>
      <c r="EJ1658" s="110"/>
      <c r="EK1658" s="266"/>
      <c r="EL1658" s="110"/>
      <c r="EM1658" s="110"/>
      <c r="EN1658" s="110"/>
      <c r="EO1658" s="110"/>
      <c r="EP1658" s="110"/>
      <c r="EQ1658" s="110"/>
      <c r="ER1658" s="110"/>
      <c r="ES1658" s="110"/>
      <c r="ET1658" s="110"/>
      <c r="EU1658" s="110"/>
      <c r="EV1658" s="110"/>
      <c r="EW1658" s="110"/>
      <c r="EX1658" s="110"/>
      <c r="EY1658" s="110"/>
      <c r="EZ1658" s="110"/>
      <c r="FA1658" s="110"/>
      <c r="FB1658" s="110"/>
      <c r="FC1658" s="110"/>
      <c r="FD1658" s="110"/>
      <c r="FE1658" s="110"/>
      <c r="FF1658" s="110"/>
      <c r="FG1658" s="110"/>
      <c r="FH1658" s="110"/>
      <c r="FI1658" s="110"/>
      <c r="FJ1658" s="110"/>
      <c r="FK1658" s="110"/>
      <c r="FL1658" s="110"/>
      <c r="FM1658" s="110"/>
      <c r="FN1658" s="110"/>
      <c r="FO1658" s="110"/>
      <c r="FP1658" s="110"/>
      <c r="FQ1658" s="110"/>
      <c r="FR1658" s="110"/>
      <c r="FS1658" s="110"/>
      <c r="FT1658" s="110"/>
      <c r="FU1658" s="110"/>
      <c r="FV1658" s="110"/>
      <c r="FW1658" s="110"/>
      <c r="FX1658" s="110"/>
      <c r="FY1658" s="110"/>
      <c r="FZ1658" s="110"/>
      <c r="GA1658" s="110"/>
      <c r="GB1658" s="110"/>
      <c r="GC1658" s="110"/>
      <c r="GD1658" s="110"/>
      <c r="GE1658" s="110"/>
      <c r="GF1658" s="110"/>
      <c r="GG1658" s="110"/>
      <c r="GH1658" s="110"/>
      <c r="GI1658" s="110"/>
      <c r="GJ1658" s="110"/>
      <c r="GK1658" s="110"/>
      <c r="GL1658" s="110"/>
      <c r="GM1658" s="110"/>
      <c r="GN1658" s="110"/>
      <c r="GO1658" s="110"/>
      <c r="GP1658" s="110"/>
      <c r="GQ1658" s="110"/>
      <c r="GR1658" s="110"/>
      <c r="GS1658" s="110"/>
      <c r="GT1658" s="110"/>
      <c r="GU1658" s="110"/>
      <c r="GV1658" s="110"/>
      <c r="GW1658" s="110"/>
      <c r="GX1658" s="110"/>
      <c r="GY1658" s="110"/>
      <c r="GZ1658" s="110"/>
      <c r="HA1658" s="110"/>
      <c r="HB1658" s="110"/>
      <c r="HC1658" s="110"/>
      <c r="HD1658" s="110"/>
      <c r="HE1658" s="110"/>
      <c r="HF1658" s="110"/>
      <c r="HG1658" s="110"/>
      <c r="HH1658" s="110"/>
      <c r="HI1658" s="110"/>
      <c r="HJ1658" s="110"/>
      <c r="HK1658" s="110"/>
      <c r="HL1658" s="110"/>
      <c r="HM1658" s="110"/>
      <c r="HN1658" s="110"/>
      <c r="HO1658" s="110"/>
      <c r="HP1658" s="110"/>
      <c r="HQ1658" s="110"/>
      <c r="HR1658" s="110"/>
      <c r="HS1658" s="110"/>
      <c r="HT1658" s="110"/>
      <c r="HU1658" s="110"/>
      <c r="HV1658" s="110"/>
      <c r="HW1658" s="110"/>
      <c r="HX1658" s="110"/>
      <c r="HY1658" s="110"/>
      <c r="HZ1658" s="110"/>
      <c r="IA1658" s="110"/>
      <c r="IB1658" s="110"/>
      <c r="IC1658" s="110"/>
      <c r="ID1658" s="110"/>
      <c r="IE1658" s="110"/>
      <c r="IF1658" s="110"/>
      <c r="IG1658" s="110"/>
      <c r="IH1658" s="110"/>
      <c r="II1658" s="110"/>
      <c r="IJ1658" s="110"/>
      <c r="IK1658" s="110"/>
      <c r="IL1658" s="110"/>
      <c r="IM1658" s="110"/>
      <c r="IN1658" s="110"/>
      <c r="IO1658" s="110"/>
      <c r="IP1658" s="110"/>
      <c r="IQ1658" s="110"/>
      <c r="IR1658" s="110"/>
    </row>
    <row r="1659" spans="18:252" ht="16.5" hidden="1" customHeight="1">
      <c r="R1659" s="264"/>
      <c r="S1659" s="110"/>
      <c r="T1659" s="110"/>
      <c r="U1659" s="110"/>
      <c r="V1659" s="110"/>
      <c r="W1659" s="266"/>
      <c r="X1659" s="110"/>
      <c r="Y1659" s="110"/>
      <c r="Z1659" s="110"/>
      <c r="AA1659" s="110"/>
      <c r="AB1659" s="110"/>
      <c r="AC1659" s="110"/>
      <c r="AD1659" s="110"/>
      <c r="AE1659" s="110"/>
      <c r="AF1659" s="110"/>
      <c r="AG1659" s="110"/>
      <c r="AH1659" s="110"/>
      <c r="AI1659" s="110"/>
      <c r="AJ1659" s="110"/>
      <c r="AK1659" s="110"/>
      <c r="AL1659" s="110"/>
      <c r="AM1659" s="110"/>
      <c r="AN1659" s="110"/>
      <c r="AO1659" s="110"/>
      <c r="AP1659" s="110"/>
      <c r="AQ1659" s="110"/>
      <c r="AR1659" s="110"/>
      <c r="AS1659" s="110"/>
      <c r="AT1659" s="110"/>
      <c r="AU1659" s="110"/>
      <c r="AV1659" s="110"/>
      <c r="AW1659" s="110"/>
      <c r="AX1659" s="110"/>
      <c r="AY1659" s="110"/>
      <c r="AZ1659" s="110"/>
      <c r="BA1659" s="110"/>
      <c r="BB1659" s="110"/>
      <c r="BC1659" s="110"/>
      <c r="BD1659" s="110"/>
      <c r="BE1659" s="110"/>
      <c r="BF1659" s="110"/>
      <c r="BG1659" s="110"/>
      <c r="BH1659" s="110"/>
      <c r="BI1659" s="110"/>
      <c r="BJ1659" s="110"/>
      <c r="BK1659" s="110"/>
      <c r="BL1659" s="110"/>
      <c r="BM1659" s="110"/>
      <c r="BN1659" s="110"/>
      <c r="BO1659" s="110"/>
      <c r="BP1659" s="110"/>
      <c r="BQ1659" s="110"/>
      <c r="BR1659" s="110"/>
      <c r="BS1659" s="110"/>
      <c r="BT1659" s="110"/>
      <c r="BU1659" s="110"/>
      <c r="BV1659" s="110"/>
      <c r="BW1659" s="110"/>
      <c r="BX1659" s="110"/>
      <c r="BY1659" s="110"/>
      <c r="BZ1659" s="110"/>
      <c r="CA1659" s="110"/>
      <c r="CB1659" s="110"/>
      <c r="CC1659" s="110"/>
      <c r="CD1659" s="110"/>
      <c r="CE1659" s="110"/>
      <c r="CF1659" s="110"/>
      <c r="CG1659" s="110"/>
      <c r="CH1659" s="110"/>
      <c r="CI1659" s="110"/>
      <c r="CJ1659" s="110"/>
      <c r="CK1659" s="110"/>
      <c r="CL1659" s="110"/>
      <c r="CM1659" s="110"/>
      <c r="CN1659" s="110"/>
      <c r="CO1659" s="110"/>
      <c r="CP1659" s="110"/>
      <c r="CQ1659" s="110"/>
      <c r="CR1659" s="110"/>
      <c r="CS1659" s="110"/>
      <c r="CT1659" s="110"/>
      <c r="CU1659" s="110"/>
      <c r="CV1659" s="110"/>
      <c r="CW1659" s="110"/>
      <c r="CX1659" s="110"/>
      <c r="CY1659" s="110"/>
      <c r="CZ1659" s="110"/>
      <c r="DA1659" s="110"/>
      <c r="DB1659" s="110"/>
      <c r="DC1659" s="110"/>
      <c r="DD1659" s="110"/>
      <c r="DE1659" s="110"/>
      <c r="DF1659" s="110"/>
      <c r="DG1659" s="110"/>
      <c r="DH1659" s="110"/>
      <c r="DI1659" s="110"/>
      <c r="DJ1659" s="110"/>
      <c r="DK1659" s="110"/>
      <c r="DL1659" s="110"/>
      <c r="DM1659" s="110"/>
      <c r="DN1659" s="110"/>
      <c r="DO1659" s="110"/>
      <c r="DP1659" s="110"/>
      <c r="DQ1659" s="110"/>
      <c r="DR1659" s="110"/>
      <c r="DS1659" s="110"/>
      <c r="DT1659" s="110"/>
      <c r="DU1659" s="110"/>
      <c r="DV1659" s="110"/>
      <c r="DW1659" s="110"/>
      <c r="DX1659" s="110"/>
      <c r="DY1659" s="110"/>
      <c r="DZ1659" s="110"/>
      <c r="EA1659" s="110"/>
      <c r="EB1659" s="110"/>
      <c r="EC1659" s="110"/>
      <c r="ED1659" s="110"/>
      <c r="EF1659" s="264"/>
      <c r="EG1659" s="110"/>
      <c r="EH1659" s="110"/>
      <c r="EI1659" s="110"/>
      <c r="EJ1659" s="110"/>
      <c r="EK1659" s="266"/>
      <c r="EL1659" s="110"/>
      <c r="EM1659" s="110"/>
      <c r="EN1659" s="110"/>
      <c r="EO1659" s="110"/>
      <c r="EP1659" s="110"/>
      <c r="EQ1659" s="110"/>
      <c r="ER1659" s="110"/>
      <c r="ES1659" s="110"/>
      <c r="ET1659" s="110"/>
      <c r="EU1659" s="110"/>
      <c r="EV1659" s="110"/>
      <c r="EW1659" s="110"/>
      <c r="EX1659" s="110"/>
      <c r="EY1659" s="110"/>
      <c r="EZ1659" s="110"/>
      <c r="FA1659" s="110"/>
      <c r="FB1659" s="110"/>
      <c r="FC1659" s="110"/>
      <c r="FD1659" s="110"/>
      <c r="FE1659" s="110"/>
      <c r="FF1659" s="110"/>
      <c r="FG1659" s="110"/>
      <c r="FH1659" s="110"/>
      <c r="FI1659" s="110"/>
      <c r="FJ1659" s="110"/>
      <c r="FK1659" s="110"/>
      <c r="FL1659" s="110"/>
      <c r="FM1659" s="110"/>
      <c r="FN1659" s="110"/>
      <c r="FO1659" s="110"/>
      <c r="FP1659" s="110"/>
      <c r="FQ1659" s="110"/>
      <c r="FR1659" s="110"/>
      <c r="FS1659" s="110"/>
      <c r="FT1659" s="110"/>
      <c r="FU1659" s="110"/>
      <c r="FV1659" s="110"/>
      <c r="FW1659" s="110"/>
      <c r="FX1659" s="110"/>
      <c r="FY1659" s="110"/>
      <c r="FZ1659" s="110"/>
      <c r="GA1659" s="110"/>
      <c r="GB1659" s="110"/>
      <c r="GC1659" s="110"/>
      <c r="GD1659" s="110"/>
      <c r="GE1659" s="110"/>
      <c r="GF1659" s="110"/>
      <c r="GG1659" s="110"/>
      <c r="GH1659" s="110"/>
      <c r="GI1659" s="110"/>
      <c r="GJ1659" s="110"/>
      <c r="GK1659" s="110"/>
      <c r="GL1659" s="110"/>
      <c r="GM1659" s="110"/>
      <c r="GN1659" s="110"/>
      <c r="GO1659" s="110"/>
      <c r="GP1659" s="110"/>
      <c r="GQ1659" s="110"/>
      <c r="GR1659" s="110"/>
      <c r="GS1659" s="110"/>
      <c r="GT1659" s="110"/>
      <c r="GU1659" s="110"/>
      <c r="GV1659" s="110"/>
      <c r="GW1659" s="110"/>
      <c r="GX1659" s="110"/>
      <c r="GY1659" s="110"/>
      <c r="GZ1659" s="110"/>
      <c r="HA1659" s="110"/>
      <c r="HB1659" s="110"/>
      <c r="HC1659" s="110"/>
      <c r="HD1659" s="110"/>
      <c r="HE1659" s="110"/>
      <c r="HF1659" s="110"/>
      <c r="HG1659" s="110"/>
      <c r="HH1659" s="110"/>
      <c r="HI1659" s="110"/>
      <c r="HJ1659" s="110"/>
      <c r="HK1659" s="110"/>
      <c r="HL1659" s="110"/>
      <c r="HM1659" s="110"/>
      <c r="HN1659" s="110"/>
      <c r="HO1659" s="110"/>
      <c r="HP1659" s="110"/>
      <c r="HQ1659" s="110"/>
      <c r="HR1659" s="110"/>
      <c r="HS1659" s="110"/>
      <c r="HT1659" s="110"/>
      <c r="HU1659" s="110"/>
      <c r="HV1659" s="110"/>
      <c r="HW1659" s="110"/>
      <c r="HX1659" s="110"/>
      <c r="HY1659" s="110"/>
      <c r="HZ1659" s="110"/>
      <c r="IA1659" s="110"/>
      <c r="IB1659" s="110"/>
      <c r="IC1659" s="110"/>
      <c r="ID1659" s="110"/>
      <c r="IE1659" s="110"/>
      <c r="IF1659" s="110"/>
      <c r="IG1659" s="110"/>
      <c r="IH1659" s="110"/>
      <c r="II1659" s="110"/>
      <c r="IJ1659" s="110"/>
      <c r="IK1659" s="110"/>
      <c r="IL1659" s="110"/>
      <c r="IM1659" s="110"/>
      <c r="IN1659" s="110"/>
      <c r="IO1659" s="110"/>
      <c r="IP1659" s="110"/>
      <c r="IQ1659" s="110"/>
      <c r="IR1659" s="110"/>
    </row>
    <row r="1660" spans="18:252" ht="16.5" hidden="1" customHeight="1">
      <c r="R1660" s="264"/>
      <c r="S1660" s="110"/>
      <c r="T1660" s="110"/>
      <c r="U1660" s="110"/>
      <c r="V1660" s="110"/>
      <c r="W1660" s="266"/>
      <c r="X1660" s="110"/>
      <c r="Y1660" s="110"/>
      <c r="Z1660" s="110"/>
      <c r="AA1660" s="110"/>
      <c r="AB1660" s="110"/>
      <c r="AC1660" s="110"/>
      <c r="AD1660" s="110"/>
      <c r="AE1660" s="110"/>
      <c r="AF1660" s="110"/>
      <c r="AG1660" s="110"/>
      <c r="AH1660" s="110"/>
      <c r="AI1660" s="110"/>
      <c r="AJ1660" s="110"/>
      <c r="AK1660" s="110"/>
      <c r="AL1660" s="110"/>
      <c r="AM1660" s="110"/>
      <c r="AN1660" s="110"/>
      <c r="AO1660" s="110"/>
      <c r="AP1660" s="110"/>
      <c r="AQ1660" s="110"/>
      <c r="AR1660" s="110"/>
      <c r="AS1660" s="110"/>
      <c r="AT1660" s="110"/>
      <c r="AU1660" s="110"/>
      <c r="AV1660" s="110"/>
      <c r="AW1660" s="110"/>
      <c r="AX1660" s="110"/>
      <c r="AY1660" s="110"/>
      <c r="AZ1660" s="110"/>
      <c r="BA1660" s="110"/>
      <c r="BB1660" s="110"/>
      <c r="BC1660" s="110"/>
      <c r="BD1660" s="110"/>
      <c r="BE1660" s="110"/>
      <c r="BF1660" s="110"/>
      <c r="BG1660" s="110"/>
      <c r="BH1660" s="110"/>
      <c r="BI1660" s="110"/>
      <c r="BJ1660" s="110"/>
      <c r="BK1660" s="110"/>
      <c r="BL1660" s="110"/>
      <c r="BM1660" s="110"/>
      <c r="BN1660" s="110"/>
      <c r="BO1660" s="110"/>
      <c r="BP1660" s="110"/>
      <c r="BQ1660" s="110"/>
      <c r="BR1660" s="110"/>
      <c r="BS1660" s="110"/>
      <c r="BT1660" s="110"/>
      <c r="BU1660" s="110"/>
      <c r="BV1660" s="110"/>
      <c r="BW1660" s="110"/>
      <c r="BX1660" s="110"/>
      <c r="BY1660" s="110"/>
      <c r="BZ1660" s="110"/>
      <c r="CA1660" s="110"/>
      <c r="CB1660" s="110"/>
      <c r="CC1660" s="110"/>
      <c r="CD1660" s="110"/>
      <c r="CE1660" s="110"/>
      <c r="CF1660" s="110"/>
      <c r="CG1660" s="110"/>
      <c r="CH1660" s="110"/>
      <c r="CI1660" s="110"/>
      <c r="CJ1660" s="110"/>
      <c r="CK1660" s="110"/>
      <c r="CL1660" s="110"/>
      <c r="CM1660" s="110"/>
      <c r="CN1660" s="110"/>
      <c r="CO1660" s="110"/>
      <c r="CP1660" s="110"/>
      <c r="CQ1660" s="110"/>
      <c r="CR1660" s="110"/>
      <c r="CS1660" s="110"/>
      <c r="CT1660" s="110"/>
      <c r="CU1660" s="110"/>
      <c r="CV1660" s="110"/>
      <c r="CW1660" s="110"/>
      <c r="CX1660" s="110"/>
      <c r="CY1660" s="110"/>
      <c r="CZ1660" s="110"/>
      <c r="DA1660" s="110"/>
      <c r="DB1660" s="110"/>
      <c r="DC1660" s="110"/>
      <c r="DD1660" s="110"/>
      <c r="DE1660" s="110"/>
      <c r="DF1660" s="110"/>
      <c r="DG1660" s="110"/>
      <c r="DH1660" s="110"/>
      <c r="DI1660" s="110"/>
      <c r="DJ1660" s="110"/>
      <c r="DK1660" s="110"/>
      <c r="DL1660" s="110"/>
      <c r="DM1660" s="110"/>
      <c r="DN1660" s="110"/>
      <c r="DO1660" s="110"/>
      <c r="DP1660" s="110"/>
      <c r="DQ1660" s="110"/>
      <c r="DR1660" s="110"/>
      <c r="DS1660" s="110"/>
      <c r="DT1660" s="110"/>
      <c r="DU1660" s="110"/>
      <c r="DV1660" s="110"/>
      <c r="DW1660" s="110"/>
      <c r="DX1660" s="110"/>
      <c r="DY1660" s="110"/>
      <c r="DZ1660" s="110"/>
      <c r="EA1660" s="110"/>
      <c r="EB1660" s="110"/>
      <c r="EC1660" s="110"/>
      <c r="ED1660" s="110"/>
      <c r="EF1660" s="264"/>
      <c r="EG1660" s="110"/>
      <c r="EH1660" s="110"/>
      <c r="EI1660" s="110"/>
      <c r="EJ1660" s="110"/>
      <c r="EK1660" s="266"/>
      <c r="EL1660" s="110"/>
      <c r="EM1660" s="110"/>
      <c r="EN1660" s="110"/>
      <c r="EO1660" s="110"/>
      <c r="EP1660" s="110"/>
      <c r="EQ1660" s="110"/>
      <c r="ER1660" s="110"/>
      <c r="ES1660" s="110"/>
      <c r="ET1660" s="110"/>
      <c r="EU1660" s="110"/>
      <c r="EV1660" s="110"/>
      <c r="EW1660" s="110"/>
      <c r="EX1660" s="110"/>
      <c r="EY1660" s="110"/>
      <c r="EZ1660" s="110"/>
      <c r="FA1660" s="110"/>
      <c r="FB1660" s="110"/>
      <c r="FC1660" s="110"/>
      <c r="FD1660" s="110"/>
      <c r="FE1660" s="110"/>
      <c r="FF1660" s="110"/>
      <c r="FG1660" s="110"/>
      <c r="FH1660" s="110"/>
      <c r="FI1660" s="110"/>
      <c r="FJ1660" s="110"/>
      <c r="FK1660" s="110"/>
      <c r="FL1660" s="110"/>
      <c r="FM1660" s="110"/>
      <c r="FN1660" s="110"/>
      <c r="FO1660" s="110"/>
      <c r="FP1660" s="110"/>
      <c r="FQ1660" s="110"/>
      <c r="FR1660" s="110"/>
      <c r="FS1660" s="110"/>
      <c r="FT1660" s="110"/>
      <c r="FU1660" s="110"/>
      <c r="FV1660" s="110"/>
      <c r="FW1660" s="110"/>
      <c r="FX1660" s="110"/>
      <c r="FY1660" s="110"/>
      <c r="FZ1660" s="110"/>
      <c r="GA1660" s="110"/>
      <c r="GB1660" s="110"/>
      <c r="GC1660" s="110"/>
      <c r="GD1660" s="110"/>
      <c r="GE1660" s="110"/>
      <c r="GF1660" s="110"/>
      <c r="GG1660" s="110"/>
      <c r="GH1660" s="110"/>
      <c r="GI1660" s="110"/>
      <c r="GJ1660" s="110"/>
      <c r="GK1660" s="110"/>
      <c r="GL1660" s="110"/>
      <c r="GM1660" s="110"/>
      <c r="GN1660" s="110"/>
      <c r="GO1660" s="110"/>
      <c r="GP1660" s="110"/>
      <c r="GQ1660" s="110"/>
      <c r="GR1660" s="110"/>
      <c r="GS1660" s="110"/>
      <c r="GT1660" s="110"/>
      <c r="GU1660" s="110"/>
      <c r="GV1660" s="110"/>
      <c r="GW1660" s="110"/>
      <c r="GX1660" s="110"/>
      <c r="GY1660" s="110"/>
      <c r="GZ1660" s="110"/>
      <c r="HA1660" s="110"/>
      <c r="HB1660" s="110"/>
      <c r="HC1660" s="110"/>
      <c r="HD1660" s="110"/>
      <c r="HE1660" s="110"/>
      <c r="HF1660" s="110"/>
      <c r="HG1660" s="110"/>
      <c r="HH1660" s="110"/>
      <c r="HI1660" s="110"/>
      <c r="HJ1660" s="110"/>
      <c r="HK1660" s="110"/>
      <c r="HL1660" s="110"/>
      <c r="HM1660" s="110"/>
      <c r="HN1660" s="110"/>
      <c r="HO1660" s="110"/>
      <c r="HP1660" s="110"/>
      <c r="HQ1660" s="110"/>
      <c r="HR1660" s="110"/>
      <c r="HS1660" s="110"/>
      <c r="HT1660" s="110"/>
      <c r="HU1660" s="110"/>
      <c r="HV1660" s="110"/>
      <c r="HW1660" s="110"/>
      <c r="HX1660" s="110"/>
      <c r="HY1660" s="110"/>
      <c r="HZ1660" s="110"/>
      <c r="IA1660" s="110"/>
      <c r="IB1660" s="110"/>
      <c r="IC1660" s="110"/>
      <c r="ID1660" s="110"/>
      <c r="IE1660" s="110"/>
      <c r="IF1660" s="110"/>
      <c r="IG1660" s="110"/>
      <c r="IH1660" s="110"/>
      <c r="II1660" s="110"/>
      <c r="IJ1660" s="110"/>
      <c r="IK1660" s="110"/>
      <c r="IL1660" s="110"/>
      <c r="IM1660" s="110"/>
      <c r="IN1660" s="110"/>
      <c r="IO1660" s="110"/>
      <c r="IP1660" s="110"/>
      <c r="IQ1660" s="110"/>
      <c r="IR1660" s="110"/>
    </row>
    <row r="1661" spans="18:252" ht="16.5" hidden="1" customHeight="1">
      <c r="R1661" s="264"/>
      <c r="S1661" s="110"/>
      <c r="T1661" s="110"/>
      <c r="U1661" s="110"/>
      <c r="V1661" s="110"/>
      <c r="W1661" s="266"/>
      <c r="X1661" s="110"/>
      <c r="Y1661" s="110"/>
      <c r="Z1661" s="110"/>
      <c r="AA1661" s="110"/>
      <c r="AB1661" s="110"/>
      <c r="AC1661" s="110"/>
      <c r="AD1661" s="110"/>
      <c r="AE1661" s="110"/>
      <c r="AF1661" s="110"/>
      <c r="AG1661" s="110"/>
      <c r="AH1661" s="110"/>
      <c r="AI1661" s="110"/>
      <c r="AJ1661" s="110"/>
      <c r="AK1661" s="110"/>
      <c r="AL1661" s="110"/>
      <c r="AM1661" s="110"/>
      <c r="AN1661" s="110"/>
      <c r="AO1661" s="110"/>
      <c r="AP1661" s="110"/>
      <c r="AQ1661" s="110"/>
      <c r="AR1661" s="110"/>
      <c r="AS1661" s="110"/>
      <c r="AT1661" s="110"/>
      <c r="AU1661" s="110"/>
      <c r="AV1661" s="110"/>
      <c r="AW1661" s="110"/>
      <c r="AX1661" s="110"/>
      <c r="AY1661" s="110"/>
      <c r="AZ1661" s="110"/>
      <c r="BA1661" s="110"/>
      <c r="BB1661" s="110"/>
      <c r="BC1661" s="110"/>
      <c r="BD1661" s="110"/>
      <c r="BE1661" s="110"/>
      <c r="BF1661" s="110"/>
      <c r="BG1661" s="110"/>
      <c r="BH1661" s="110"/>
      <c r="BI1661" s="110"/>
      <c r="BJ1661" s="110"/>
      <c r="BK1661" s="110"/>
      <c r="BL1661" s="110"/>
      <c r="BM1661" s="110"/>
      <c r="BN1661" s="110"/>
      <c r="BO1661" s="110"/>
      <c r="BP1661" s="110"/>
      <c r="BQ1661" s="110"/>
      <c r="BR1661" s="110"/>
      <c r="BS1661" s="110"/>
      <c r="BT1661" s="110"/>
      <c r="BU1661" s="110"/>
      <c r="BV1661" s="110"/>
      <c r="BW1661" s="110"/>
      <c r="BX1661" s="110"/>
      <c r="BY1661" s="110"/>
      <c r="BZ1661" s="110"/>
      <c r="CA1661" s="110"/>
      <c r="CB1661" s="110"/>
      <c r="CC1661" s="110"/>
      <c r="CD1661" s="110"/>
      <c r="CE1661" s="110"/>
      <c r="CF1661" s="110"/>
      <c r="CG1661" s="110"/>
      <c r="CH1661" s="110"/>
      <c r="CI1661" s="110"/>
      <c r="CJ1661" s="110"/>
      <c r="CK1661" s="110"/>
      <c r="CL1661" s="110"/>
      <c r="CM1661" s="110"/>
      <c r="CN1661" s="110"/>
      <c r="CO1661" s="110"/>
      <c r="CP1661" s="110"/>
      <c r="CQ1661" s="110"/>
      <c r="CR1661" s="110"/>
      <c r="CS1661" s="110"/>
      <c r="CT1661" s="110"/>
      <c r="CU1661" s="110"/>
      <c r="CV1661" s="110"/>
      <c r="CW1661" s="110"/>
      <c r="CX1661" s="110"/>
      <c r="CY1661" s="110"/>
      <c r="CZ1661" s="110"/>
      <c r="DA1661" s="110"/>
      <c r="DB1661" s="110"/>
      <c r="DC1661" s="110"/>
      <c r="DD1661" s="110"/>
      <c r="DE1661" s="110"/>
      <c r="DF1661" s="110"/>
      <c r="DG1661" s="110"/>
      <c r="DH1661" s="110"/>
      <c r="DI1661" s="110"/>
      <c r="DJ1661" s="110"/>
      <c r="DK1661" s="110"/>
      <c r="DL1661" s="110"/>
      <c r="DM1661" s="110"/>
      <c r="DN1661" s="110"/>
      <c r="DO1661" s="110"/>
      <c r="DP1661" s="110"/>
      <c r="DQ1661" s="110"/>
      <c r="DR1661" s="110"/>
      <c r="DS1661" s="110"/>
      <c r="DT1661" s="110"/>
      <c r="DU1661" s="110"/>
      <c r="DV1661" s="110"/>
      <c r="DW1661" s="110"/>
      <c r="DX1661" s="110"/>
      <c r="DY1661" s="110"/>
      <c r="DZ1661" s="110"/>
      <c r="EA1661" s="110"/>
      <c r="EB1661" s="110"/>
      <c r="EC1661" s="110"/>
      <c r="ED1661" s="110"/>
      <c r="EF1661" s="264"/>
      <c r="EG1661" s="110"/>
      <c r="EH1661" s="110"/>
      <c r="EI1661" s="110"/>
      <c r="EJ1661" s="110"/>
      <c r="EK1661" s="266"/>
      <c r="EL1661" s="110"/>
      <c r="EM1661" s="110"/>
      <c r="EN1661" s="110"/>
      <c r="EO1661" s="110"/>
      <c r="EP1661" s="110"/>
      <c r="EQ1661" s="110"/>
      <c r="ER1661" s="110"/>
      <c r="ES1661" s="110"/>
      <c r="ET1661" s="110"/>
      <c r="EU1661" s="110"/>
      <c r="EV1661" s="110"/>
      <c r="EW1661" s="110"/>
      <c r="EX1661" s="110"/>
      <c r="EY1661" s="110"/>
      <c r="EZ1661" s="110"/>
      <c r="FA1661" s="110"/>
      <c r="FB1661" s="110"/>
      <c r="FC1661" s="110"/>
      <c r="FD1661" s="110"/>
      <c r="FE1661" s="110"/>
      <c r="FF1661" s="110"/>
      <c r="FG1661" s="110"/>
      <c r="FH1661" s="110"/>
      <c r="FI1661" s="110"/>
      <c r="FJ1661" s="110"/>
      <c r="FK1661" s="110"/>
      <c r="FL1661" s="110"/>
      <c r="FM1661" s="110"/>
      <c r="FN1661" s="110"/>
      <c r="FO1661" s="110"/>
      <c r="FP1661" s="110"/>
      <c r="FQ1661" s="110"/>
      <c r="FR1661" s="110"/>
      <c r="FS1661" s="110"/>
      <c r="FT1661" s="110"/>
      <c r="FU1661" s="110"/>
      <c r="FV1661" s="110"/>
      <c r="FW1661" s="110"/>
      <c r="FX1661" s="110"/>
      <c r="FY1661" s="110"/>
      <c r="FZ1661" s="110"/>
      <c r="GA1661" s="110"/>
      <c r="GB1661" s="110"/>
      <c r="GC1661" s="110"/>
      <c r="GD1661" s="110"/>
      <c r="GE1661" s="110"/>
      <c r="GF1661" s="110"/>
      <c r="GG1661" s="110"/>
      <c r="GH1661" s="110"/>
      <c r="GI1661" s="110"/>
      <c r="GJ1661" s="110"/>
      <c r="GK1661" s="110"/>
      <c r="GL1661" s="110"/>
      <c r="GM1661" s="110"/>
      <c r="GN1661" s="110"/>
      <c r="GO1661" s="110"/>
      <c r="GP1661" s="110"/>
      <c r="GQ1661" s="110"/>
      <c r="GR1661" s="110"/>
      <c r="GS1661" s="110"/>
      <c r="GT1661" s="110"/>
      <c r="GU1661" s="110"/>
      <c r="GV1661" s="110"/>
      <c r="GW1661" s="110"/>
      <c r="GX1661" s="110"/>
      <c r="GY1661" s="110"/>
      <c r="GZ1661" s="110"/>
      <c r="HA1661" s="110"/>
      <c r="HB1661" s="110"/>
      <c r="HC1661" s="110"/>
      <c r="HD1661" s="110"/>
      <c r="HE1661" s="110"/>
      <c r="HF1661" s="110"/>
      <c r="HG1661" s="110"/>
      <c r="HH1661" s="110"/>
      <c r="HI1661" s="110"/>
      <c r="HJ1661" s="110"/>
      <c r="HK1661" s="110"/>
      <c r="HL1661" s="110"/>
      <c r="HM1661" s="110"/>
      <c r="HN1661" s="110"/>
      <c r="HO1661" s="110"/>
      <c r="HP1661" s="110"/>
      <c r="HQ1661" s="110"/>
      <c r="HR1661" s="110"/>
      <c r="HS1661" s="110"/>
      <c r="HT1661" s="110"/>
      <c r="HU1661" s="110"/>
      <c r="HV1661" s="110"/>
      <c r="HW1661" s="110"/>
      <c r="HX1661" s="110"/>
      <c r="HY1661" s="110"/>
      <c r="HZ1661" s="110"/>
      <c r="IA1661" s="110"/>
      <c r="IB1661" s="110"/>
      <c r="IC1661" s="110"/>
      <c r="ID1661" s="110"/>
      <c r="IE1661" s="110"/>
      <c r="IF1661" s="110"/>
      <c r="IG1661" s="110"/>
      <c r="IH1661" s="110"/>
      <c r="II1661" s="110"/>
      <c r="IJ1661" s="110"/>
      <c r="IK1661" s="110"/>
      <c r="IL1661" s="110"/>
      <c r="IM1661" s="110"/>
      <c r="IN1661" s="110"/>
      <c r="IO1661" s="110"/>
      <c r="IP1661" s="110"/>
      <c r="IQ1661" s="110"/>
      <c r="IR1661" s="110"/>
    </row>
    <row r="1662" spans="18:252" ht="16.5" hidden="1" customHeight="1">
      <c r="R1662" s="264"/>
      <c r="S1662" s="110"/>
      <c r="T1662" s="110"/>
      <c r="U1662" s="110"/>
      <c r="V1662" s="110"/>
      <c r="W1662" s="266"/>
      <c r="X1662" s="110"/>
      <c r="Y1662" s="110"/>
      <c r="Z1662" s="110"/>
      <c r="AA1662" s="110"/>
      <c r="AB1662" s="110"/>
      <c r="AC1662" s="110"/>
      <c r="AD1662" s="110"/>
      <c r="AE1662" s="110"/>
      <c r="AF1662" s="110"/>
      <c r="AG1662" s="110"/>
      <c r="AH1662" s="110"/>
      <c r="AI1662" s="110"/>
      <c r="AJ1662" s="110"/>
      <c r="AK1662" s="110"/>
      <c r="AL1662" s="110"/>
      <c r="AM1662" s="110"/>
      <c r="AN1662" s="110"/>
      <c r="AO1662" s="110"/>
      <c r="AP1662" s="110"/>
      <c r="AQ1662" s="110"/>
      <c r="AR1662" s="110"/>
      <c r="AS1662" s="110"/>
      <c r="AT1662" s="110"/>
      <c r="AU1662" s="110"/>
      <c r="AV1662" s="110"/>
      <c r="AW1662" s="110"/>
      <c r="AX1662" s="110"/>
      <c r="AY1662" s="110"/>
      <c r="AZ1662" s="110"/>
      <c r="BA1662" s="110"/>
      <c r="BB1662" s="110"/>
      <c r="BC1662" s="110"/>
      <c r="BD1662" s="110"/>
      <c r="BE1662" s="110"/>
      <c r="BF1662" s="110"/>
      <c r="BG1662" s="110"/>
      <c r="BH1662" s="110"/>
      <c r="BI1662" s="110"/>
      <c r="BJ1662" s="110"/>
      <c r="BK1662" s="110"/>
      <c r="BL1662" s="110"/>
      <c r="BM1662" s="110"/>
      <c r="BN1662" s="110"/>
      <c r="BO1662" s="110"/>
      <c r="BP1662" s="110"/>
      <c r="BQ1662" s="110"/>
      <c r="BR1662" s="110"/>
      <c r="BS1662" s="110"/>
      <c r="BT1662" s="110"/>
      <c r="BU1662" s="110"/>
      <c r="BV1662" s="110"/>
      <c r="BW1662" s="110"/>
      <c r="BX1662" s="110"/>
      <c r="BY1662" s="110"/>
      <c r="BZ1662" s="110"/>
      <c r="CA1662" s="110"/>
      <c r="CB1662" s="110"/>
      <c r="CC1662" s="110"/>
      <c r="CD1662" s="110"/>
      <c r="CE1662" s="110"/>
      <c r="CF1662" s="110"/>
      <c r="CG1662" s="110"/>
      <c r="CH1662" s="110"/>
      <c r="CI1662" s="110"/>
      <c r="CJ1662" s="110"/>
      <c r="CK1662" s="110"/>
      <c r="CL1662" s="110"/>
      <c r="CM1662" s="110"/>
      <c r="CN1662" s="110"/>
      <c r="CO1662" s="110"/>
      <c r="CP1662" s="110"/>
      <c r="CQ1662" s="110"/>
      <c r="CR1662" s="110"/>
      <c r="CS1662" s="110"/>
      <c r="CT1662" s="110"/>
      <c r="CU1662" s="110"/>
      <c r="CV1662" s="110"/>
      <c r="CW1662" s="110"/>
      <c r="CX1662" s="110"/>
      <c r="CY1662" s="110"/>
      <c r="CZ1662" s="110"/>
      <c r="DA1662" s="110"/>
      <c r="DB1662" s="110"/>
      <c r="DC1662" s="110"/>
      <c r="DD1662" s="110"/>
      <c r="DE1662" s="110"/>
      <c r="DF1662" s="110"/>
      <c r="DG1662" s="110"/>
      <c r="DH1662" s="110"/>
      <c r="DI1662" s="110"/>
      <c r="DJ1662" s="110"/>
      <c r="DK1662" s="110"/>
      <c r="DL1662" s="110"/>
      <c r="DM1662" s="110"/>
      <c r="DN1662" s="110"/>
      <c r="DO1662" s="110"/>
      <c r="DP1662" s="110"/>
      <c r="DQ1662" s="110"/>
      <c r="DR1662" s="110"/>
      <c r="DS1662" s="110"/>
      <c r="DT1662" s="110"/>
      <c r="DU1662" s="110"/>
      <c r="DV1662" s="110"/>
      <c r="DW1662" s="110"/>
      <c r="DX1662" s="110"/>
      <c r="DY1662" s="110"/>
      <c r="DZ1662" s="110"/>
      <c r="EA1662" s="110"/>
      <c r="EB1662" s="110"/>
      <c r="EC1662" s="110"/>
      <c r="ED1662" s="110"/>
      <c r="EF1662" s="264"/>
      <c r="EG1662" s="110"/>
      <c r="EH1662" s="110"/>
      <c r="EI1662" s="110"/>
      <c r="EJ1662" s="110"/>
      <c r="EK1662" s="266"/>
      <c r="EL1662" s="110"/>
      <c r="EM1662" s="110"/>
      <c r="EN1662" s="110"/>
      <c r="EO1662" s="110"/>
      <c r="EP1662" s="110"/>
      <c r="EQ1662" s="110"/>
      <c r="ER1662" s="110"/>
      <c r="ES1662" s="110"/>
      <c r="ET1662" s="110"/>
      <c r="EU1662" s="110"/>
      <c r="EV1662" s="110"/>
      <c r="EW1662" s="110"/>
      <c r="EX1662" s="110"/>
      <c r="EY1662" s="110"/>
      <c r="EZ1662" s="110"/>
      <c r="FA1662" s="110"/>
      <c r="FB1662" s="110"/>
      <c r="FC1662" s="110"/>
      <c r="FD1662" s="110"/>
      <c r="FE1662" s="110"/>
      <c r="FF1662" s="110"/>
      <c r="FG1662" s="110"/>
      <c r="FH1662" s="110"/>
      <c r="FI1662" s="110"/>
      <c r="FJ1662" s="110"/>
      <c r="FK1662" s="110"/>
      <c r="FL1662" s="110"/>
      <c r="FM1662" s="110"/>
      <c r="FN1662" s="110"/>
      <c r="FO1662" s="110"/>
      <c r="FP1662" s="110"/>
      <c r="FQ1662" s="110"/>
      <c r="FR1662" s="110"/>
      <c r="FS1662" s="110"/>
      <c r="FT1662" s="110"/>
      <c r="FU1662" s="110"/>
      <c r="FV1662" s="110"/>
      <c r="FW1662" s="110"/>
      <c r="FX1662" s="110"/>
      <c r="FY1662" s="110"/>
      <c r="FZ1662" s="110"/>
      <c r="GA1662" s="110"/>
      <c r="GB1662" s="110"/>
      <c r="GC1662" s="110"/>
      <c r="GD1662" s="110"/>
      <c r="GE1662" s="110"/>
      <c r="GF1662" s="110"/>
      <c r="GG1662" s="110"/>
      <c r="GH1662" s="110"/>
      <c r="GI1662" s="110"/>
      <c r="GJ1662" s="110"/>
      <c r="GK1662" s="110"/>
      <c r="GL1662" s="110"/>
      <c r="GM1662" s="110"/>
      <c r="GN1662" s="110"/>
      <c r="GO1662" s="110"/>
      <c r="GP1662" s="110"/>
      <c r="GQ1662" s="110"/>
      <c r="GR1662" s="110"/>
      <c r="GS1662" s="110"/>
      <c r="GT1662" s="110"/>
      <c r="GU1662" s="110"/>
      <c r="GV1662" s="110"/>
      <c r="GW1662" s="110"/>
      <c r="GX1662" s="110"/>
      <c r="GY1662" s="110"/>
      <c r="GZ1662" s="110"/>
      <c r="HA1662" s="110"/>
      <c r="HB1662" s="110"/>
      <c r="HC1662" s="110"/>
      <c r="HD1662" s="110"/>
      <c r="HE1662" s="110"/>
      <c r="HF1662" s="110"/>
      <c r="HG1662" s="110"/>
      <c r="HH1662" s="110"/>
      <c r="HI1662" s="110"/>
      <c r="HJ1662" s="110"/>
      <c r="HK1662" s="110"/>
      <c r="HL1662" s="110"/>
      <c r="HM1662" s="110"/>
      <c r="HN1662" s="110"/>
      <c r="HO1662" s="110"/>
      <c r="HP1662" s="110"/>
      <c r="HQ1662" s="110"/>
      <c r="HR1662" s="110"/>
      <c r="HS1662" s="110"/>
      <c r="HT1662" s="110"/>
      <c r="HU1662" s="110"/>
      <c r="HV1662" s="110"/>
      <c r="HW1662" s="110"/>
      <c r="HX1662" s="110"/>
      <c r="HY1662" s="110"/>
      <c r="HZ1662" s="110"/>
      <c r="IA1662" s="110"/>
      <c r="IB1662" s="110"/>
      <c r="IC1662" s="110"/>
      <c r="ID1662" s="110"/>
      <c r="IE1662" s="110"/>
      <c r="IF1662" s="110"/>
      <c r="IG1662" s="110"/>
      <c r="IH1662" s="110"/>
      <c r="II1662" s="110"/>
      <c r="IJ1662" s="110"/>
      <c r="IK1662" s="110"/>
      <c r="IL1662" s="110"/>
      <c r="IM1662" s="110"/>
      <c r="IN1662" s="110"/>
      <c r="IO1662" s="110"/>
      <c r="IP1662" s="110"/>
      <c r="IQ1662" s="110"/>
      <c r="IR1662" s="110"/>
    </row>
    <row r="1663" spans="18:252" ht="16.5" hidden="1" customHeight="1">
      <c r="R1663" s="264"/>
      <c r="S1663" s="110"/>
      <c r="T1663" s="110"/>
      <c r="U1663" s="110"/>
      <c r="V1663" s="110"/>
      <c r="W1663" s="266"/>
      <c r="X1663" s="110"/>
      <c r="Y1663" s="110"/>
      <c r="Z1663" s="110"/>
      <c r="AA1663" s="110"/>
      <c r="AB1663" s="110"/>
      <c r="AC1663" s="110"/>
      <c r="AD1663" s="110"/>
      <c r="AE1663" s="110"/>
      <c r="AF1663" s="110"/>
      <c r="AG1663" s="110"/>
      <c r="AH1663" s="110"/>
      <c r="AI1663" s="110"/>
      <c r="AJ1663" s="110"/>
      <c r="AK1663" s="110"/>
      <c r="AL1663" s="110"/>
      <c r="AM1663" s="110"/>
      <c r="AN1663" s="110"/>
      <c r="AO1663" s="110"/>
      <c r="AP1663" s="110"/>
      <c r="AQ1663" s="110"/>
      <c r="AR1663" s="110"/>
      <c r="AS1663" s="110"/>
      <c r="AT1663" s="110"/>
      <c r="AU1663" s="110"/>
      <c r="AV1663" s="110"/>
      <c r="AW1663" s="110"/>
      <c r="AX1663" s="110"/>
      <c r="AY1663" s="110"/>
      <c r="AZ1663" s="110"/>
      <c r="BA1663" s="110"/>
      <c r="BB1663" s="110"/>
      <c r="BC1663" s="110"/>
      <c r="BD1663" s="110"/>
      <c r="BE1663" s="110"/>
      <c r="BF1663" s="110"/>
      <c r="BG1663" s="110"/>
      <c r="BH1663" s="110"/>
      <c r="BI1663" s="110"/>
      <c r="BJ1663" s="110"/>
      <c r="BK1663" s="110"/>
      <c r="BL1663" s="110"/>
      <c r="BM1663" s="110"/>
      <c r="BN1663" s="110"/>
      <c r="BO1663" s="110"/>
      <c r="BP1663" s="110"/>
      <c r="BQ1663" s="110"/>
      <c r="BR1663" s="110"/>
      <c r="BS1663" s="110"/>
      <c r="BT1663" s="110"/>
      <c r="BU1663" s="110"/>
      <c r="BV1663" s="110"/>
      <c r="BW1663" s="110"/>
      <c r="BX1663" s="110"/>
      <c r="BY1663" s="110"/>
      <c r="BZ1663" s="110"/>
      <c r="CA1663" s="110"/>
      <c r="CB1663" s="110"/>
      <c r="CC1663" s="110"/>
      <c r="CD1663" s="110"/>
      <c r="CE1663" s="110"/>
      <c r="CF1663" s="110"/>
      <c r="CG1663" s="110"/>
      <c r="CH1663" s="110"/>
      <c r="CI1663" s="110"/>
      <c r="CJ1663" s="110"/>
      <c r="CK1663" s="110"/>
      <c r="CL1663" s="110"/>
      <c r="CM1663" s="110"/>
      <c r="CN1663" s="110"/>
      <c r="CO1663" s="110"/>
      <c r="CP1663" s="110"/>
      <c r="CQ1663" s="110"/>
      <c r="CR1663" s="110"/>
      <c r="CS1663" s="110"/>
      <c r="CT1663" s="110"/>
      <c r="CU1663" s="110"/>
      <c r="CV1663" s="110"/>
      <c r="CW1663" s="110"/>
      <c r="CX1663" s="110"/>
      <c r="CY1663" s="110"/>
      <c r="CZ1663" s="110"/>
      <c r="DA1663" s="110"/>
      <c r="DB1663" s="110"/>
      <c r="DC1663" s="110"/>
      <c r="DD1663" s="110"/>
      <c r="DE1663" s="110"/>
      <c r="DF1663" s="110"/>
      <c r="DG1663" s="110"/>
      <c r="DH1663" s="110"/>
      <c r="DI1663" s="110"/>
      <c r="DJ1663" s="110"/>
      <c r="DK1663" s="110"/>
      <c r="DL1663" s="110"/>
      <c r="DM1663" s="110"/>
      <c r="DN1663" s="110"/>
      <c r="DO1663" s="110"/>
      <c r="DP1663" s="110"/>
      <c r="DQ1663" s="110"/>
      <c r="DR1663" s="110"/>
      <c r="DS1663" s="110"/>
      <c r="DT1663" s="110"/>
      <c r="DU1663" s="110"/>
      <c r="DV1663" s="110"/>
      <c r="DW1663" s="110"/>
      <c r="DX1663" s="110"/>
      <c r="DY1663" s="110"/>
      <c r="DZ1663" s="110"/>
      <c r="EA1663" s="110"/>
      <c r="EB1663" s="110"/>
      <c r="EC1663" s="110"/>
      <c r="ED1663" s="110"/>
      <c r="EF1663" s="264"/>
      <c r="EG1663" s="110"/>
      <c r="EH1663" s="110"/>
      <c r="EI1663" s="110"/>
      <c r="EJ1663" s="110"/>
      <c r="EK1663" s="266"/>
      <c r="EL1663" s="110"/>
      <c r="EM1663" s="110"/>
      <c r="EN1663" s="110"/>
      <c r="EO1663" s="110"/>
      <c r="EP1663" s="110"/>
      <c r="EQ1663" s="110"/>
      <c r="ER1663" s="110"/>
      <c r="ES1663" s="110"/>
      <c r="ET1663" s="110"/>
      <c r="EU1663" s="110"/>
      <c r="EV1663" s="110"/>
      <c r="EW1663" s="110"/>
      <c r="EX1663" s="110"/>
      <c r="EY1663" s="110"/>
      <c r="EZ1663" s="110"/>
      <c r="FA1663" s="110"/>
      <c r="FB1663" s="110"/>
      <c r="FC1663" s="110"/>
      <c r="FD1663" s="110"/>
      <c r="FE1663" s="110"/>
      <c r="FF1663" s="110"/>
      <c r="FG1663" s="110"/>
      <c r="FH1663" s="110"/>
      <c r="FI1663" s="110"/>
      <c r="FJ1663" s="110"/>
      <c r="FK1663" s="110"/>
      <c r="FL1663" s="110"/>
      <c r="FM1663" s="110"/>
      <c r="FN1663" s="110"/>
      <c r="FO1663" s="110"/>
      <c r="FP1663" s="110"/>
      <c r="FQ1663" s="110"/>
      <c r="FR1663" s="110"/>
      <c r="FS1663" s="110"/>
      <c r="FT1663" s="110"/>
      <c r="FU1663" s="110"/>
      <c r="FV1663" s="110"/>
      <c r="FW1663" s="110"/>
      <c r="FX1663" s="110"/>
      <c r="FY1663" s="110"/>
      <c r="FZ1663" s="110"/>
      <c r="GA1663" s="110"/>
      <c r="GB1663" s="110"/>
      <c r="GC1663" s="110"/>
      <c r="GD1663" s="110"/>
      <c r="GE1663" s="110"/>
      <c r="GF1663" s="110"/>
      <c r="GG1663" s="110"/>
      <c r="GH1663" s="110"/>
      <c r="GI1663" s="110"/>
      <c r="GJ1663" s="110"/>
      <c r="GK1663" s="110"/>
      <c r="GL1663" s="110"/>
      <c r="GM1663" s="110"/>
      <c r="GN1663" s="110"/>
      <c r="GO1663" s="110"/>
      <c r="GP1663" s="110"/>
      <c r="GQ1663" s="110"/>
      <c r="GR1663" s="110"/>
      <c r="GS1663" s="110"/>
      <c r="GT1663" s="110"/>
      <c r="GU1663" s="110"/>
      <c r="GV1663" s="110"/>
      <c r="GW1663" s="110"/>
      <c r="GX1663" s="110"/>
      <c r="GY1663" s="110"/>
      <c r="GZ1663" s="110"/>
      <c r="HA1663" s="110"/>
      <c r="HB1663" s="110"/>
      <c r="HC1663" s="110"/>
      <c r="HD1663" s="110"/>
      <c r="HE1663" s="110"/>
      <c r="HF1663" s="110"/>
      <c r="HG1663" s="110"/>
      <c r="HH1663" s="110"/>
      <c r="HI1663" s="110"/>
      <c r="HJ1663" s="110"/>
      <c r="HK1663" s="110"/>
      <c r="HL1663" s="110"/>
      <c r="HM1663" s="110"/>
      <c r="HN1663" s="110"/>
      <c r="HO1663" s="110"/>
      <c r="HP1663" s="110"/>
      <c r="HQ1663" s="110"/>
      <c r="HR1663" s="110"/>
      <c r="HS1663" s="110"/>
      <c r="HT1663" s="110"/>
      <c r="HU1663" s="110"/>
      <c r="HV1663" s="110"/>
      <c r="HW1663" s="110"/>
      <c r="HX1663" s="110"/>
      <c r="HY1663" s="110"/>
      <c r="HZ1663" s="110"/>
      <c r="IA1663" s="110"/>
      <c r="IB1663" s="110"/>
      <c r="IC1663" s="110"/>
      <c r="ID1663" s="110"/>
      <c r="IE1663" s="110"/>
      <c r="IF1663" s="110"/>
      <c r="IG1663" s="110"/>
      <c r="IH1663" s="110"/>
      <c r="II1663" s="110"/>
      <c r="IJ1663" s="110"/>
      <c r="IK1663" s="110"/>
      <c r="IL1663" s="110"/>
      <c r="IM1663" s="110"/>
      <c r="IN1663" s="110"/>
      <c r="IO1663" s="110"/>
      <c r="IP1663" s="110"/>
      <c r="IQ1663" s="110"/>
      <c r="IR1663" s="110"/>
    </row>
    <row r="1664" spans="18:252" ht="16.5" hidden="1" customHeight="1">
      <c r="R1664" s="264"/>
      <c r="S1664" s="110"/>
      <c r="T1664" s="110"/>
      <c r="U1664" s="110"/>
      <c r="V1664" s="110"/>
      <c r="W1664" s="266"/>
      <c r="X1664" s="110"/>
      <c r="Y1664" s="110"/>
      <c r="Z1664" s="110"/>
      <c r="AA1664" s="110"/>
      <c r="AB1664" s="110"/>
      <c r="AC1664" s="110"/>
      <c r="AD1664" s="110"/>
      <c r="AE1664" s="110"/>
      <c r="AF1664" s="110"/>
      <c r="AG1664" s="110"/>
      <c r="AH1664" s="110"/>
      <c r="AI1664" s="110"/>
      <c r="AJ1664" s="110"/>
      <c r="AK1664" s="110"/>
      <c r="AL1664" s="110"/>
      <c r="AM1664" s="110"/>
      <c r="AN1664" s="110"/>
      <c r="AO1664" s="110"/>
      <c r="AP1664" s="110"/>
      <c r="AQ1664" s="110"/>
      <c r="AR1664" s="110"/>
      <c r="AS1664" s="110"/>
      <c r="AT1664" s="110"/>
      <c r="AU1664" s="110"/>
      <c r="AV1664" s="110"/>
      <c r="AW1664" s="110"/>
      <c r="AX1664" s="110"/>
      <c r="AY1664" s="110"/>
      <c r="AZ1664" s="110"/>
      <c r="BA1664" s="110"/>
      <c r="BB1664" s="110"/>
      <c r="BC1664" s="110"/>
      <c r="BD1664" s="110"/>
      <c r="BE1664" s="110"/>
      <c r="BF1664" s="110"/>
      <c r="BG1664" s="110"/>
      <c r="BH1664" s="110"/>
      <c r="BI1664" s="110"/>
      <c r="BJ1664" s="110"/>
      <c r="BK1664" s="110"/>
      <c r="BL1664" s="110"/>
      <c r="BM1664" s="110"/>
      <c r="BN1664" s="110"/>
      <c r="BO1664" s="110"/>
      <c r="BP1664" s="110"/>
      <c r="BQ1664" s="110"/>
      <c r="BR1664" s="110"/>
      <c r="BS1664" s="110"/>
      <c r="BT1664" s="110"/>
      <c r="BU1664" s="110"/>
      <c r="BV1664" s="110"/>
      <c r="BW1664" s="110"/>
      <c r="BX1664" s="110"/>
      <c r="BY1664" s="110"/>
      <c r="BZ1664" s="110"/>
      <c r="CA1664" s="110"/>
      <c r="CB1664" s="110"/>
      <c r="CC1664" s="110"/>
      <c r="CD1664" s="110"/>
      <c r="CE1664" s="110"/>
      <c r="CF1664" s="110"/>
      <c r="CG1664" s="110"/>
      <c r="CH1664" s="110"/>
      <c r="CI1664" s="110"/>
      <c r="CJ1664" s="110"/>
      <c r="CK1664" s="110"/>
      <c r="CL1664" s="110"/>
      <c r="CM1664" s="110"/>
      <c r="CN1664" s="110"/>
      <c r="CO1664" s="110"/>
      <c r="CP1664" s="110"/>
      <c r="CQ1664" s="110"/>
      <c r="CR1664" s="110"/>
      <c r="CS1664" s="110"/>
      <c r="CT1664" s="110"/>
      <c r="CU1664" s="110"/>
      <c r="CV1664" s="110"/>
      <c r="CW1664" s="110"/>
      <c r="CX1664" s="110"/>
      <c r="CY1664" s="110"/>
      <c r="CZ1664" s="110"/>
      <c r="DA1664" s="110"/>
      <c r="DB1664" s="110"/>
      <c r="DC1664" s="110"/>
      <c r="DD1664" s="110"/>
      <c r="DE1664" s="110"/>
      <c r="DF1664" s="110"/>
      <c r="DG1664" s="110"/>
      <c r="DH1664" s="110"/>
      <c r="DI1664" s="110"/>
      <c r="DJ1664" s="110"/>
      <c r="DK1664" s="110"/>
      <c r="DL1664" s="110"/>
      <c r="DM1664" s="110"/>
      <c r="DN1664" s="110"/>
      <c r="DO1664" s="110"/>
      <c r="DP1664" s="110"/>
      <c r="DQ1664" s="110"/>
      <c r="DR1664" s="110"/>
      <c r="DS1664" s="110"/>
      <c r="DT1664" s="110"/>
      <c r="DU1664" s="110"/>
      <c r="DV1664" s="110"/>
      <c r="DW1664" s="110"/>
      <c r="DX1664" s="110"/>
      <c r="DY1664" s="110"/>
      <c r="DZ1664" s="110"/>
      <c r="EA1664" s="110"/>
      <c r="EB1664" s="110"/>
      <c r="EC1664" s="110"/>
      <c r="ED1664" s="110"/>
      <c r="EF1664" s="264"/>
      <c r="EG1664" s="110"/>
      <c r="EH1664" s="110"/>
      <c r="EI1664" s="110"/>
      <c r="EJ1664" s="110"/>
      <c r="EK1664" s="266"/>
      <c r="EL1664" s="110"/>
      <c r="EM1664" s="110"/>
      <c r="EN1664" s="110"/>
      <c r="EO1664" s="110"/>
      <c r="EP1664" s="110"/>
      <c r="EQ1664" s="110"/>
      <c r="ER1664" s="110"/>
      <c r="ES1664" s="110"/>
      <c r="ET1664" s="110"/>
      <c r="EU1664" s="110"/>
      <c r="EV1664" s="110"/>
      <c r="EW1664" s="110"/>
      <c r="EX1664" s="110"/>
      <c r="EY1664" s="110"/>
      <c r="EZ1664" s="110"/>
      <c r="FA1664" s="110"/>
      <c r="FB1664" s="110"/>
      <c r="FC1664" s="110"/>
      <c r="FD1664" s="110"/>
      <c r="FE1664" s="110"/>
      <c r="FF1664" s="110"/>
      <c r="FG1664" s="110"/>
      <c r="FH1664" s="110"/>
      <c r="FI1664" s="110"/>
      <c r="FJ1664" s="110"/>
      <c r="FK1664" s="110"/>
      <c r="FL1664" s="110"/>
      <c r="FM1664" s="110"/>
      <c r="FN1664" s="110"/>
      <c r="FO1664" s="110"/>
      <c r="FP1664" s="110"/>
      <c r="FQ1664" s="110"/>
      <c r="FR1664" s="110"/>
      <c r="FS1664" s="110"/>
      <c r="FT1664" s="110"/>
      <c r="FU1664" s="110"/>
      <c r="FV1664" s="110"/>
      <c r="FW1664" s="110"/>
      <c r="FX1664" s="110"/>
      <c r="FY1664" s="110"/>
      <c r="FZ1664" s="110"/>
      <c r="GA1664" s="110"/>
      <c r="GB1664" s="110"/>
      <c r="GC1664" s="110"/>
      <c r="GD1664" s="110"/>
      <c r="GE1664" s="110"/>
      <c r="GF1664" s="110"/>
      <c r="GG1664" s="110"/>
      <c r="GH1664" s="110"/>
      <c r="GI1664" s="110"/>
      <c r="GJ1664" s="110"/>
      <c r="GK1664" s="110"/>
      <c r="GL1664" s="110"/>
      <c r="GM1664" s="110"/>
      <c r="GN1664" s="110"/>
      <c r="GO1664" s="110"/>
      <c r="GP1664" s="110"/>
      <c r="GQ1664" s="110"/>
      <c r="GR1664" s="110"/>
      <c r="GS1664" s="110"/>
      <c r="GT1664" s="110"/>
      <c r="GU1664" s="110"/>
      <c r="GV1664" s="110"/>
      <c r="GW1664" s="110"/>
      <c r="GX1664" s="110"/>
      <c r="GY1664" s="110"/>
      <c r="GZ1664" s="110"/>
      <c r="HA1664" s="110"/>
      <c r="HB1664" s="110"/>
      <c r="HC1664" s="110"/>
      <c r="HD1664" s="110"/>
      <c r="HE1664" s="110"/>
      <c r="HF1664" s="110"/>
      <c r="HG1664" s="110"/>
      <c r="HH1664" s="110"/>
      <c r="HI1664" s="110"/>
      <c r="HJ1664" s="110"/>
      <c r="HK1664" s="110"/>
      <c r="HL1664" s="110"/>
      <c r="HM1664" s="110"/>
      <c r="HN1664" s="110"/>
      <c r="HO1664" s="110"/>
      <c r="HP1664" s="110"/>
      <c r="HQ1664" s="110"/>
      <c r="HR1664" s="110"/>
      <c r="HS1664" s="110"/>
      <c r="HT1664" s="110"/>
      <c r="HU1664" s="110"/>
      <c r="HV1664" s="110"/>
      <c r="HW1664" s="110"/>
      <c r="HX1664" s="110"/>
      <c r="HY1664" s="110"/>
      <c r="HZ1664" s="110"/>
      <c r="IA1664" s="110"/>
      <c r="IB1664" s="110"/>
      <c r="IC1664" s="110"/>
      <c r="ID1664" s="110"/>
      <c r="IE1664" s="110"/>
      <c r="IF1664" s="110"/>
      <c r="IG1664" s="110"/>
      <c r="IH1664" s="110"/>
      <c r="II1664" s="110"/>
      <c r="IJ1664" s="110"/>
      <c r="IK1664" s="110"/>
      <c r="IL1664" s="110"/>
      <c r="IM1664" s="110"/>
      <c r="IN1664" s="110"/>
      <c r="IO1664" s="110"/>
      <c r="IP1664" s="110"/>
      <c r="IQ1664" s="110"/>
      <c r="IR1664" s="110"/>
    </row>
    <row r="1665" spans="18:252" ht="16.5" hidden="1" customHeight="1">
      <c r="R1665" s="264"/>
      <c r="S1665" s="110"/>
      <c r="T1665" s="110"/>
      <c r="U1665" s="110"/>
      <c r="V1665" s="110"/>
      <c r="W1665" s="266"/>
      <c r="X1665" s="110"/>
      <c r="Y1665" s="110"/>
      <c r="Z1665" s="110"/>
      <c r="AA1665" s="110"/>
      <c r="AB1665" s="110"/>
      <c r="AC1665" s="110"/>
      <c r="AD1665" s="110"/>
      <c r="AE1665" s="110"/>
      <c r="AF1665" s="110"/>
      <c r="AG1665" s="110"/>
      <c r="AH1665" s="110"/>
      <c r="AI1665" s="110"/>
      <c r="AJ1665" s="110"/>
      <c r="AK1665" s="110"/>
      <c r="AL1665" s="110"/>
      <c r="AM1665" s="110"/>
      <c r="AN1665" s="110"/>
      <c r="AO1665" s="110"/>
      <c r="AP1665" s="110"/>
      <c r="AQ1665" s="110"/>
      <c r="AR1665" s="110"/>
      <c r="AS1665" s="110"/>
      <c r="AT1665" s="110"/>
      <c r="AU1665" s="110"/>
      <c r="AV1665" s="110"/>
      <c r="AW1665" s="110"/>
      <c r="AX1665" s="110"/>
      <c r="AY1665" s="110"/>
      <c r="AZ1665" s="110"/>
      <c r="BA1665" s="110"/>
      <c r="BB1665" s="110"/>
      <c r="BC1665" s="110"/>
      <c r="BD1665" s="110"/>
      <c r="BE1665" s="110"/>
      <c r="BF1665" s="110"/>
      <c r="BG1665" s="110"/>
      <c r="BH1665" s="110"/>
      <c r="BI1665" s="110"/>
      <c r="BJ1665" s="110"/>
      <c r="BK1665" s="110"/>
      <c r="BL1665" s="110"/>
      <c r="BM1665" s="110"/>
      <c r="BN1665" s="110"/>
      <c r="BO1665" s="110"/>
      <c r="BP1665" s="110"/>
      <c r="BQ1665" s="110"/>
      <c r="BR1665" s="110"/>
      <c r="BS1665" s="110"/>
      <c r="BT1665" s="110"/>
      <c r="BU1665" s="110"/>
      <c r="BV1665" s="110"/>
      <c r="BW1665" s="110"/>
      <c r="BX1665" s="110"/>
      <c r="BY1665" s="110"/>
      <c r="BZ1665" s="110"/>
      <c r="CA1665" s="110"/>
      <c r="CB1665" s="110"/>
      <c r="CC1665" s="110"/>
      <c r="CD1665" s="110"/>
      <c r="CE1665" s="110"/>
      <c r="CF1665" s="110"/>
      <c r="CG1665" s="110"/>
      <c r="CH1665" s="110"/>
      <c r="CI1665" s="110"/>
      <c r="CJ1665" s="110"/>
      <c r="CK1665" s="110"/>
      <c r="CL1665" s="110"/>
      <c r="CM1665" s="110"/>
      <c r="CN1665" s="110"/>
      <c r="CO1665" s="110"/>
      <c r="CP1665" s="110"/>
      <c r="CQ1665" s="110"/>
      <c r="CR1665" s="110"/>
      <c r="CS1665" s="110"/>
      <c r="CT1665" s="110"/>
      <c r="CU1665" s="110"/>
      <c r="CV1665" s="110"/>
      <c r="CW1665" s="110"/>
      <c r="CX1665" s="110"/>
      <c r="CY1665" s="110"/>
      <c r="CZ1665" s="110"/>
      <c r="DA1665" s="110"/>
      <c r="DB1665" s="110"/>
      <c r="DC1665" s="110"/>
      <c r="DD1665" s="110"/>
      <c r="DE1665" s="110"/>
      <c r="DF1665" s="110"/>
      <c r="DG1665" s="110"/>
      <c r="DH1665" s="110"/>
      <c r="DI1665" s="110"/>
      <c r="DJ1665" s="110"/>
      <c r="DK1665" s="110"/>
      <c r="DL1665" s="110"/>
      <c r="DM1665" s="110"/>
      <c r="DN1665" s="110"/>
      <c r="DO1665" s="110"/>
      <c r="DP1665" s="110"/>
      <c r="DQ1665" s="110"/>
      <c r="DR1665" s="110"/>
      <c r="DS1665" s="110"/>
      <c r="DT1665" s="110"/>
      <c r="DU1665" s="110"/>
      <c r="DV1665" s="110"/>
      <c r="DW1665" s="110"/>
      <c r="DX1665" s="110"/>
      <c r="DY1665" s="110"/>
      <c r="DZ1665" s="110"/>
      <c r="EA1665" s="110"/>
      <c r="EB1665" s="110"/>
      <c r="EC1665" s="110"/>
      <c r="ED1665" s="110"/>
      <c r="EF1665" s="264"/>
      <c r="EG1665" s="110"/>
      <c r="EH1665" s="110"/>
      <c r="EI1665" s="110"/>
      <c r="EJ1665" s="110"/>
      <c r="EK1665" s="266"/>
      <c r="EL1665" s="110"/>
      <c r="EM1665" s="110"/>
      <c r="EN1665" s="110"/>
      <c r="EO1665" s="110"/>
      <c r="EP1665" s="110"/>
      <c r="EQ1665" s="110"/>
      <c r="ER1665" s="110"/>
      <c r="ES1665" s="110"/>
      <c r="ET1665" s="110"/>
      <c r="EU1665" s="110"/>
      <c r="EV1665" s="110"/>
      <c r="EW1665" s="110"/>
      <c r="EX1665" s="110"/>
      <c r="EY1665" s="110"/>
      <c r="EZ1665" s="110"/>
      <c r="FA1665" s="110"/>
      <c r="FB1665" s="110"/>
      <c r="FC1665" s="110"/>
      <c r="FD1665" s="110"/>
      <c r="FE1665" s="110"/>
      <c r="FF1665" s="110"/>
      <c r="FG1665" s="110"/>
      <c r="FH1665" s="110"/>
      <c r="FI1665" s="110"/>
      <c r="FJ1665" s="110"/>
      <c r="FK1665" s="110"/>
      <c r="FL1665" s="110"/>
      <c r="FM1665" s="110"/>
      <c r="FN1665" s="110"/>
      <c r="FO1665" s="110"/>
      <c r="FP1665" s="110"/>
      <c r="FQ1665" s="110"/>
      <c r="FR1665" s="110"/>
      <c r="FS1665" s="110"/>
      <c r="FT1665" s="110"/>
      <c r="FU1665" s="110"/>
      <c r="FV1665" s="110"/>
      <c r="FW1665" s="110"/>
      <c r="FX1665" s="110"/>
      <c r="FY1665" s="110"/>
      <c r="FZ1665" s="110"/>
      <c r="GA1665" s="110"/>
      <c r="GB1665" s="110"/>
      <c r="GC1665" s="110"/>
      <c r="GD1665" s="110"/>
      <c r="GE1665" s="110"/>
      <c r="GF1665" s="110"/>
      <c r="GG1665" s="110"/>
      <c r="GH1665" s="110"/>
      <c r="GI1665" s="110"/>
      <c r="GJ1665" s="110"/>
      <c r="GK1665" s="110"/>
      <c r="GL1665" s="110"/>
      <c r="GM1665" s="110"/>
      <c r="GN1665" s="110"/>
      <c r="GO1665" s="110"/>
      <c r="GP1665" s="110"/>
      <c r="GQ1665" s="110"/>
      <c r="GR1665" s="110"/>
      <c r="GS1665" s="110"/>
      <c r="GT1665" s="110"/>
      <c r="GU1665" s="110"/>
      <c r="GV1665" s="110"/>
      <c r="GW1665" s="110"/>
      <c r="GX1665" s="110"/>
      <c r="GY1665" s="110"/>
      <c r="GZ1665" s="110"/>
      <c r="HA1665" s="110"/>
      <c r="HB1665" s="110"/>
      <c r="HC1665" s="110"/>
      <c r="HD1665" s="110"/>
      <c r="HE1665" s="110"/>
      <c r="HF1665" s="110"/>
      <c r="HG1665" s="110"/>
      <c r="HH1665" s="110"/>
      <c r="HI1665" s="110"/>
      <c r="HJ1665" s="110"/>
      <c r="HK1665" s="110"/>
      <c r="HL1665" s="110"/>
      <c r="HM1665" s="110"/>
      <c r="HN1665" s="110"/>
      <c r="HO1665" s="110"/>
      <c r="HP1665" s="110"/>
      <c r="HQ1665" s="110"/>
      <c r="HR1665" s="110"/>
      <c r="HS1665" s="110"/>
      <c r="HT1665" s="110"/>
      <c r="HU1665" s="110"/>
      <c r="HV1665" s="110"/>
      <c r="HW1665" s="110"/>
      <c r="HX1665" s="110"/>
      <c r="HY1665" s="110"/>
      <c r="HZ1665" s="110"/>
      <c r="IA1665" s="110"/>
      <c r="IB1665" s="110"/>
      <c r="IC1665" s="110"/>
      <c r="ID1665" s="110"/>
      <c r="IE1665" s="110"/>
      <c r="IF1665" s="110"/>
      <c r="IG1665" s="110"/>
      <c r="IH1665" s="110"/>
      <c r="II1665" s="110"/>
      <c r="IJ1665" s="110"/>
      <c r="IK1665" s="110"/>
      <c r="IL1665" s="110"/>
      <c r="IM1665" s="110"/>
      <c r="IN1665" s="110"/>
      <c r="IO1665" s="110"/>
      <c r="IP1665" s="110"/>
      <c r="IQ1665" s="110"/>
      <c r="IR1665" s="110"/>
    </row>
    <row r="1666" spans="18:252" ht="16.5" hidden="1" customHeight="1">
      <c r="R1666" s="264"/>
      <c r="S1666" s="110"/>
      <c r="T1666" s="110"/>
      <c r="U1666" s="110"/>
      <c r="V1666" s="110"/>
      <c r="W1666" s="266"/>
      <c r="X1666" s="110"/>
      <c r="Y1666" s="110"/>
      <c r="Z1666" s="110"/>
      <c r="AA1666" s="110"/>
      <c r="AB1666" s="110"/>
      <c r="AC1666" s="110"/>
      <c r="AD1666" s="110"/>
      <c r="AE1666" s="110"/>
      <c r="AF1666" s="110"/>
      <c r="AG1666" s="110"/>
      <c r="AH1666" s="110"/>
      <c r="AI1666" s="110"/>
      <c r="AJ1666" s="110"/>
      <c r="AK1666" s="110"/>
      <c r="AL1666" s="110"/>
      <c r="AM1666" s="110"/>
      <c r="AN1666" s="110"/>
      <c r="AO1666" s="110"/>
      <c r="AP1666" s="110"/>
      <c r="AQ1666" s="110"/>
      <c r="AR1666" s="110"/>
      <c r="AS1666" s="110"/>
      <c r="AT1666" s="110"/>
      <c r="AU1666" s="110"/>
      <c r="AV1666" s="110"/>
      <c r="AW1666" s="110"/>
      <c r="AX1666" s="110"/>
      <c r="AY1666" s="110"/>
      <c r="AZ1666" s="110"/>
      <c r="BA1666" s="110"/>
      <c r="BB1666" s="110"/>
      <c r="BC1666" s="110"/>
      <c r="BD1666" s="110"/>
      <c r="BE1666" s="110"/>
      <c r="BF1666" s="110"/>
      <c r="BG1666" s="110"/>
      <c r="BH1666" s="110"/>
      <c r="BI1666" s="110"/>
      <c r="BJ1666" s="110"/>
      <c r="BK1666" s="110"/>
      <c r="BL1666" s="110"/>
      <c r="BM1666" s="110"/>
      <c r="BN1666" s="110"/>
      <c r="BO1666" s="110"/>
      <c r="BP1666" s="110"/>
      <c r="BQ1666" s="110"/>
      <c r="BR1666" s="110"/>
      <c r="BS1666" s="110"/>
      <c r="BT1666" s="110"/>
      <c r="BU1666" s="110"/>
      <c r="BV1666" s="110"/>
      <c r="BW1666" s="110"/>
      <c r="BX1666" s="110"/>
      <c r="BY1666" s="110"/>
      <c r="BZ1666" s="110"/>
      <c r="CA1666" s="110"/>
      <c r="CB1666" s="110"/>
      <c r="CC1666" s="110"/>
      <c r="CD1666" s="110"/>
      <c r="CE1666" s="110"/>
      <c r="CF1666" s="110"/>
      <c r="CG1666" s="110"/>
      <c r="CH1666" s="110"/>
      <c r="CI1666" s="110"/>
      <c r="CJ1666" s="110"/>
      <c r="CK1666" s="110"/>
      <c r="CL1666" s="110"/>
      <c r="CM1666" s="110"/>
      <c r="CN1666" s="110"/>
      <c r="CO1666" s="110"/>
      <c r="CP1666" s="110"/>
      <c r="CQ1666" s="110"/>
      <c r="CR1666" s="110"/>
      <c r="CS1666" s="110"/>
      <c r="CT1666" s="110"/>
      <c r="CU1666" s="110"/>
      <c r="CV1666" s="110"/>
      <c r="CW1666" s="110"/>
      <c r="CX1666" s="110"/>
      <c r="CY1666" s="110"/>
      <c r="CZ1666" s="110"/>
      <c r="DA1666" s="110"/>
      <c r="DB1666" s="110"/>
      <c r="DC1666" s="110"/>
      <c r="DD1666" s="110"/>
      <c r="DE1666" s="110"/>
      <c r="DF1666" s="110"/>
      <c r="DG1666" s="110"/>
      <c r="DH1666" s="110"/>
      <c r="DI1666" s="110"/>
      <c r="DJ1666" s="110"/>
      <c r="DK1666" s="110"/>
      <c r="DL1666" s="110"/>
      <c r="DM1666" s="110"/>
      <c r="DN1666" s="110"/>
      <c r="DO1666" s="110"/>
      <c r="DP1666" s="110"/>
      <c r="DQ1666" s="110"/>
      <c r="DR1666" s="110"/>
      <c r="DS1666" s="110"/>
      <c r="DT1666" s="110"/>
      <c r="DU1666" s="110"/>
      <c r="DV1666" s="110"/>
      <c r="DW1666" s="110"/>
      <c r="DX1666" s="110"/>
      <c r="DY1666" s="110"/>
      <c r="DZ1666" s="110"/>
      <c r="EA1666" s="110"/>
      <c r="EB1666" s="110"/>
      <c r="EC1666" s="110"/>
      <c r="ED1666" s="110"/>
      <c r="EF1666" s="264"/>
      <c r="EG1666" s="110"/>
      <c r="EH1666" s="110"/>
      <c r="EI1666" s="110"/>
      <c r="EJ1666" s="110"/>
      <c r="EK1666" s="266"/>
      <c r="EL1666" s="110"/>
      <c r="EM1666" s="110"/>
      <c r="EN1666" s="110"/>
      <c r="EO1666" s="110"/>
      <c r="EP1666" s="110"/>
      <c r="EQ1666" s="110"/>
      <c r="ER1666" s="110"/>
      <c r="ES1666" s="110"/>
      <c r="ET1666" s="110"/>
      <c r="EU1666" s="110"/>
      <c r="EV1666" s="110"/>
      <c r="EW1666" s="110"/>
      <c r="EX1666" s="110"/>
      <c r="EY1666" s="110"/>
      <c r="EZ1666" s="110"/>
      <c r="FA1666" s="110"/>
      <c r="FB1666" s="110"/>
      <c r="FC1666" s="110"/>
      <c r="FD1666" s="110"/>
      <c r="FE1666" s="110"/>
      <c r="FF1666" s="110"/>
      <c r="FG1666" s="110"/>
      <c r="FH1666" s="110"/>
      <c r="FI1666" s="110"/>
      <c r="FJ1666" s="110"/>
      <c r="FK1666" s="110"/>
      <c r="FL1666" s="110"/>
      <c r="FM1666" s="110"/>
      <c r="FN1666" s="110"/>
      <c r="FO1666" s="110"/>
      <c r="FP1666" s="110"/>
      <c r="FQ1666" s="110"/>
      <c r="FR1666" s="110"/>
      <c r="FS1666" s="110"/>
      <c r="FT1666" s="110"/>
      <c r="FU1666" s="110"/>
      <c r="FV1666" s="110"/>
      <c r="FW1666" s="110"/>
      <c r="FX1666" s="110"/>
      <c r="FY1666" s="110"/>
      <c r="FZ1666" s="110"/>
      <c r="GA1666" s="110"/>
      <c r="GB1666" s="110"/>
      <c r="GC1666" s="110"/>
      <c r="GD1666" s="110"/>
      <c r="GE1666" s="110"/>
      <c r="GF1666" s="110"/>
      <c r="GG1666" s="110"/>
      <c r="GH1666" s="110"/>
      <c r="GI1666" s="110"/>
      <c r="GJ1666" s="110"/>
      <c r="GK1666" s="110"/>
      <c r="GL1666" s="110"/>
      <c r="GM1666" s="110"/>
      <c r="GN1666" s="110"/>
      <c r="GO1666" s="110"/>
      <c r="GP1666" s="110"/>
      <c r="GQ1666" s="110"/>
      <c r="GR1666" s="110"/>
      <c r="GS1666" s="110"/>
      <c r="GT1666" s="110"/>
      <c r="GU1666" s="110"/>
      <c r="GV1666" s="110"/>
      <c r="GW1666" s="110"/>
      <c r="GX1666" s="110"/>
      <c r="GY1666" s="110"/>
      <c r="GZ1666" s="110"/>
      <c r="HA1666" s="110"/>
      <c r="HB1666" s="110"/>
      <c r="HC1666" s="110"/>
      <c r="HD1666" s="110"/>
      <c r="HE1666" s="110"/>
      <c r="HF1666" s="110"/>
      <c r="HG1666" s="110"/>
      <c r="HH1666" s="110"/>
      <c r="HI1666" s="110"/>
      <c r="HJ1666" s="110"/>
      <c r="HK1666" s="110"/>
      <c r="HL1666" s="110"/>
      <c r="HM1666" s="110"/>
      <c r="HN1666" s="110"/>
      <c r="HO1666" s="110"/>
      <c r="HP1666" s="110"/>
      <c r="HQ1666" s="110"/>
      <c r="HR1666" s="110"/>
      <c r="HS1666" s="110"/>
      <c r="HT1666" s="110"/>
      <c r="HU1666" s="110"/>
      <c r="HV1666" s="110"/>
      <c r="HW1666" s="110"/>
      <c r="HX1666" s="110"/>
      <c r="HY1666" s="110"/>
      <c r="HZ1666" s="110"/>
      <c r="IA1666" s="110"/>
      <c r="IB1666" s="110"/>
      <c r="IC1666" s="110"/>
      <c r="ID1666" s="110"/>
      <c r="IE1666" s="110"/>
      <c r="IF1666" s="110"/>
      <c r="IG1666" s="110"/>
      <c r="IH1666" s="110"/>
      <c r="II1666" s="110"/>
      <c r="IJ1666" s="110"/>
      <c r="IK1666" s="110"/>
      <c r="IL1666" s="110"/>
      <c r="IM1666" s="110"/>
      <c r="IN1666" s="110"/>
      <c r="IO1666" s="110"/>
      <c r="IP1666" s="110"/>
      <c r="IQ1666" s="110"/>
      <c r="IR1666" s="110"/>
    </row>
    <row r="1667" spans="18:252" ht="16.5" hidden="1" customHeight="1">
      <c r="R1667" s="264"/>
      <c r="S1667" s="110"/>
      <c r="T1667" s="110"/>
      <c r="U1667" s="110"/>
      <c r="V1667" s="110"/>
      <c r="W1667" s="266"/>
      <c r="X1667" s="110"/>
      <c r="Y1667" s="110"/>
      <c r="Z1667" s="110"/>
      <c r="AA1667" s="110"/>
      <c r="AB1667" s="110"/>
      <c r="AC1667" s="110"/>
      <c r="AD1667" s="110"/>
      <c r="AE1667" s="110"/>
      <c r="AF1667" s="110"/>
      <c r="AG1667" s="110"/>
      <c r="AH1667" s="110"/>
      <c r="AI1667" s="110"/>
      <c r="AJ1667" s="110"/>
      <c r="AK1667" s="110"/>
      <c r="AL1667" s="110"/>
      <c r="AM1667" s="110"/>
      <c r="AN1667" s="110"/>
      <c r="AO1667" s="110"/>
      <c r="AP1667" s="110"/>
      <c r="AQ1667" s="110"/>
      <c r="AR1667" s="110"/>
      <c r="AS1667" s="110"/>
      <c r="AT1667" s="110"/>
      <c r="AU1667" s="110"/>
      <c r="AV1667" s="110"/>
      <c r="AW1667" s="110"/>
      <c r="AX1667" s="110"/>
      <c r="AY1667" s="110"/>
      <c r="AZ1667" s="110"/>
      <c r="BA1667" s="110"/>
      <c r="BB1667" s="110"/>
      <c r="BC1667" s="110"/>
      <c r="BD1667" s="110"/>
      <c r="BE1667" s="110"/>
      <c r="BF1667" s="110"/>
      <c r="BG1667" s="110"/>
      <c r="BH1667" s="110"/>
      <c r="BI1667" s="110"/>
      <c r="BJ1667" s="110"/>
      <c r="BK1667" s="110"/>
      <c r="BL1667" s="110"/>
      <c r="BM1667" s="110"/>
      <c r="BN1667" s="110"/>
      <c r="BO1667" s="110"/>
      <c r="BP1667" s="110"/>
      <c r="BQ1667" s="110"/>
      <c r="BR1667" s="110"/>
      <c r="BS1667" s="110"/>
      <c r="BT1667" s="110"/>
      <c r="BU1667" s="110"/>
      <c r="BV1667" s="110"/>
      <c r="BW1667" s="110"/>
      <c r="BX1667" s="110"/>
      <c r="BY1667" s="110"/>
      <c r="BZ1667" s="110"/>
      <c r="CA1667" s="110"/>
      <c r="CB1667" s="110"/>
      <c r="CC1667" s="110"/>
      <c r="CD1667" s="110"/>
      <c r="CE1667" s="110"/>
      <c r="CF1667" s="110"/>
      <c r="CG1667" s="110"/>
      <c r="CH1667" s="110"/>
      <c r="CI1667" s="110"/>
      <c r="CJ1667" s="110"/>
      <c r="CK1667" s="110"/>
      <c r="CL1667" s="110"/>
      <c r="CM1667" s="110"/>
      <c r="CN1667" s="110"/>
      <c r="CO1667" s="110"/>
      <c r="CP1667" s="110"/>
      <c r="CQ1667" s="110"/>
      <c r="CR1667" s="110"/>
      <c r="CS1667" s="110"/>
      <c r="CT1667" s="110"/>
      <c r="CU1667" s="110"/>
      <c r="CV1667" s="110"/>
      <c r="CW1667" s="110"/>
      <c r="CX1667" s="110"/>
      <c r="CY1667" s="110"/>
      <c r="CZ1667" s="110"/>
      <c r="DA1667" s="110"/>
      <c r="DB1667" s="110"/>
      <c r="DC1667" s="110"/>
      <c r="DD1667" s="110"/>
      <c r="DE1667" s="110"/>
      <c r="DF1667" s="110"/>
      <c r="DG1667" s="110"/>
      <c r="DH1667" s="110"/>
      <c r="DI1667" s="110"/>
      <c r="DJ1667" s="110"/>
      <c r="DK1667" s="110"/>
      <c r="DL1667" s="110"/>
      <c r="DM1667" s="110"/>
      <c r="DN1667" s="110"/>
      <c r="DO1667" s="110"/>
      <c r="DP1667" s="110"/>
      <c r="DQ1667" s="110"/>
      <c r="DR1667" s="110"/>
      <c r="DS1667" s="110"/>
      <c r="DT1667" s="110"/>
      <c r="DU1667" s="110"/>
      <c r="DV1667" s="110"/>
      <c r="DW1667" s="110"/>
      <c r="DX1667" s="110"/>
      <c r="DY1667" s="110"/>
      <c r="DZ1667" s="110"/>
      <c r="EA1667" s="110"/>
      <c r="EB1667" s="110"/>
      <c r="EC1667" s="110"/>
      <c r="ED1667" s="110"/>
      <c r="EF1667" s="264"/>
      <c r="EG1667" s="110"/>
      <c r="EH1667" s="110"/>
      <c r="EI1667" s="110"/>
      <c r="EJ1667" s="110"/>
      <c r="EK1667" s="266"/>
      <c r="EL1667" s="110"/>
      <c r="EM1667" s="110"/>
      <c r="EN1667" s="110"/>
      <c r="EO1667" s="110"/>
      <c r="EP1667" s="110"/>
      <c r="EQ1667" s="110"/>
      <c r="ER1667" s="110"/>
      <c r="ES1667" s="110"/>
      <c r="ET1667" s="110"/>
      <c r="EU1667" s="110"/>
      <c r="EV1667" s="110"/>
      <c r="EW1667" s="110"/>
      <c r="EX1667" s="110"/>
      <c r="EY1667" s="110"/>
      <c r="EZ1667" s="110"/>
      <c r="FA1667" s="110"/>
      <c r="FB1667" s="110"/>
      <c r="FC1667" s="110"/>
      <c r="FD1667" s="110"/>
      <c r="FE1667" s="110"/>
      <c r="FF1667" s="110"/>
      <c r="FG1667" s="110"/>
      <c r="FH1667" s="110"/>
      <c r="FI1667" s="110"/>
      <c r="FJ1667" s="110"/>
      <c r="FK1667" s="110"/>
      <c r="FL1667" s="110"/>
      <c r="FM1667" s="110"/>
      <c r="FN1667" s="110"/>
      <c r="FO1667" s="110"/>
      <c r="FP1667" s="110"/>
      <c r="FQ1667" s="110"/>
      <c r="FR1667" s="110"/>
      <c r="FS1667" s="110"/>
      <c r="FT1667" s="110"/>
      <c r="FU1667" s="110"/>
      <c r="FV1667" s="110"/>
      <c r="FW1667" s="110"/>
      <c r="FX1667" s="110"/>
      <c r="FY1667" s="110"/>
      <c r="FZ1667" s="110"/>
      <c r="GA1667" s="110"/>
      <c r="GB1667" s="110"/>
      <c r="GC1667" s="110"/>
      <c r="GD1667" s="110"/>
      <c r="GE1667" s="110"/>
      <c r="GF1667" s="110"/>
      <c r="GG1667" s="110"/>
      <c r="GH1667" s="110"/>
      <c r="GI1667" s="110"/>
      <c r="GJ1667" s="110"/>
      <c r="GK1667" s="110"/>
      <c r="GL1667" s="110"/>
      <c r="GM1667" s="110"/>
      <c r="GN1667" s="110"/>
      <c r="GO1667" s="110"/>
      <c r="GP1667" s="110"/>
      <c r="GQ1667" s="110"/>
      <c r="GR1667" s="110"/>
      <c r="GS1667" s="110"/>
      <c r="GT1667" s="110"/>
      <c r="GU1667" s="110"/>
      <c r="GV1667" s="110"/>
      <c r="GW1667" s="110"/>
      <c r="GX1667" s="110"/>
      <c r="GY1667" s="110"/>
      <c r="GZ1667" s="110"/>
      <c r="HA1667" s="110"/>
      <c r="HB1667" s="110"/>
      <c r="HC1667" s="110"/>
      <c r="HD1667" s="110"/>
      <c r="HE1667" s="110"/>
      <c r="HF1667" s="110"/>
      <c r="HG1667" s="110"/>
      <c r="HH1667" s="110"/>
      <c r="HI1667" s="110"/>
      <c r="HJ1667" s="110"/>
      <c r="HK1667" s="110"/>
      <c r="HL1667" s="110"/>
      <c r="HM1667" s="110"/>
      <c r="HN1667" s="110"/>
      <c r="HO1667" s="110"/>
      <c r="HP1667" s="110"/>
      <c r="HQ1667" s="110"/>
      <c r="HR1667" s="110"/>
      <c r="HS1667" s="110"/>
      <c r="HT1667" s="110"/>
      <c r="HU1667" s="110"/>
      <c r="HV1667" s="110"/>
      <c r="HW1667" s="110"/>
      <c r="HX1667" s="110"/>
      <c r="HY1667" s="110"/>
      <c r="HZ1667" s="110"/>
      <c r="IA1667" s="110"/>
      <c r="IB1667" s="110"/>
      <c r="IC1667" s="110"/>
      <c r="ID1667" s="110"/>
      <c r="IE1667" s="110"/>
      <c r="IF1667" s="110"/>
      <c r="IG1667" s="110"/>
      <c r="IH1667" s="110"/>
      <c r="II1667" s="110"/>
      <c r="IJ1667" s="110"/>
      <c r="IK1667" s="110"/>
      <c r="IL1667" s="110"/>
      <c r="IM1667" s="110"/>
      <c r="IN1667" s="110"/>
      <c r="IO1667" s="110"/>
      <c r="IP1667" s="110"/>
      <c r="IQ1667" s="110"/>
      <c r="IR1667" s="110"/>
    </row>
    <row r="1668" spans="18:252" ht="16.5" hidden="1" customHeight="1">
      <c r="R1668" s="264"/>
      <c r="S1668" s="110"/>
      <c r="T1668" s="110"/>
      <c r="U1668" s="110"/>
      <c r="V1668" s="110"/>
      <c r="W1668" s="266"/>
      <c r="X1668" s="110"/>
      <c r="Y1668" s="110"/>
      <c r="Z1668" s="110"/>
      <c r="AA1668" s="110"/>
      <c r="AB1668" s="110"/>
      <c r="AC1668" s="110"/>
      <c r="AD1668" s="110"/>
      <c r="AE1668" s="110"/>
      <c r="AF1668" s="110"/>
      <c r="AG1668" s="110"/>
      <c r="AH1668" s="110"/>
      <c r="AI1668" s="110"/>
      <c r="AJ1668" s="110"/>
      <c r="AK1668" s="110"/>
      <c r="AL1668" s="110"/>
      <c r="AM1668" s="110"/>
      <c r="AN1668" s="110"/>
      <c r="AO1668" s="110"/>
      <c r="AP1668" s="110"/>
      <c r="AQ1668" s="110"/>
      <c r="AR1668" s="110"/>
      <c r="AS1668" s="110"/>
      <c r="AT1668" s="110"/>
      <c r="AU1668" s="110"/>
      <c r="AV1668" s="110"/>
      <c r="AW1668" s="110"/>
      <c r="AX1668" s="110"/>
      <c r="AY1668" s="110"/>
      <c r="AZ1668" s="110"/>
      <c r="BA1668" s="110"/>
      <c r="BB1668" s="110"/>
      <c r="BC1668" s="110"/>
      <c r="BD1668" s="110"/>
      <c r="BE1668" s="110"/>
      <c r="BF1668" s="110"/>
      <c r="BG1668" s="110"/>
      <c r="BH1668" s="110"/>
      <c r="BI1668" s="110"/>
      <c r="BJ1668" s="110"/>
      <c r="BK1668" s="110"/>
      <c r="BL1668" s="110"/>
      <c r="BM1668" s="110"/>
      <c r="BN1668" s="110"/>
      <c r="BO1668" s="110"/>
      <c r="BP1668" s="110"/>
      <c r="BQ1668" s="110"/>
      <c r="BR1668" s="110"/>
      <c r="BS1668" s="110"/>
      <c r="BT1668" s="110"/>
      <c r="BU1668" s="110"/>
      <c r="BV1668" s="110"/>
      <c r="BW1668" s="110"/>
      <c r="BX1668" s="110"/>
      <c r="BY1668" s="110"/>
      <c r="BZ1668" s="110"/>
      <c r="CA1668" s="110"/>
      <c r="CB1668" s="110"/>
      <c r="CC1668" s="110"/>
      <c r="CD1668" s="110"/>
      <c r="CE1668" s="110"/>
      <c r="CF1668" s="110"/>
      <c r="CG1668" s="110"/>
      <c r="CH1668" s="110"/>
      <c r="CI1668" s="110"/>
      <c r="CJ1668" s="110"/>
      <c r="CK1668" s="110"/>
      <c r="CL1668" s="110"/>
      <c r="CM1668" s="110"/>
      <c r="CN1668" s="110"/>
      <c r="CO1668" s="110"/>
      <c r="CP1668" s="110"/>
      <c r="CQ1668" s="110"/>
      <c r="CR1668" s="110"/>
      <c r="CS1668" s="110"/>
      <c r="CT1668" s="110"/>
      <c r="CU1668" s="110"/>
      <c r="CV1668" s="110"/>
      <c r="CW1668" s="110"/>
      <c r="CX1668" s="110"/>
      <c r="CY1668" s="110"/>
      <c r="CZ1668" s="110"/>
      <c r="DA1668" s="110"/>
      <c r="DB1668" s="110"/>
      <c r="DC1668" s="110"/>
      <c r="DD1668" s="110"/>
      <c r="DE1668" s="110"/>
      <c r="DF1668" s="110"/>
      <c r="DG1668" s="110"/>
      <c r="DH1668" s="110"/>
      <c r="DI1668" s="110"/>
      <c r="DJ1668" s="110"/>
      <c r="DK1668" s="110"/>
      <c r="DL1668" s="110"/>
      <c r="DM1668" s="110"/>
      <c r="DN1668" s="110"/>
      <c r="DO1668" s="110"/>
      <c r="DP1668" s="110"/>
      <c r="DQ1668" s="110"/>
      <c r="DR1668" s="110"/>
      <c r="DS1668" s="110"/>
      <c r="DT1668" s="110"/>
      <c r="DU1668" s="110"/>
      <c r="DV1668" s="110"/>
      <c r="DW1668" s="110"/>
      <c r="DX1668" s="110"/>
      <c r="DY1668" s="110"/>
      <c r="DZ1668" s="110"/>
      <c r="EA1668" s="110"/>
      <c r="EB1668" s="110"/>
      <c r="EC1668" s="110"/>
      <c r="ED1668" s="110"/>
      <c r="EF1668" s="264"/>
      <c r="EG1668" s="110"/>
      <c r="EH1668" s="110"/>
      <c r="EI1668" s="110"/>
      <c r="EJ1668" s="110"/>
      <c r="EK1668" s="266"/>
      <c r="EL1668" s="110"/>
      <c r="EM1668" s="110"/>
      <c r="EN1668" s="110"/>
      <c r="EO1668" s="110"/>
      <c r="EP1668" s="110"/>
      <c r="EQ1668" s="110"/>
      <c r="ER1668" s="110"/>
      <c r="ES1668" s="110"/>
      <c r="ET1668" s="110"/>
      <c r="EU1668" s="110"/>
      <c r="EV1668" s="110"/>
      <c r="EW1668" s="110"/>
      <c r="EX1668" s="110"/>
      <c r="EY1668" s="110"/>
      <c r="EZ1668" s="110"/>
      <c r="FA1668" s="110"/>
      <c r="FB1668" s="110"/>
      <c r="FC1668" s="110"/>
      <c r="FD1668" s="110"/>
      <c r="FE1668" s="110"/>
      <c r="FF1668" s="110"/>
      <c r="FG1668" s="110"/>
      <c r="FH1668" s="110"/>
      <c r="FI1668" s="110"/>
      <c r="FJ1668" s="110"/>
      <c r="FK1668" s="110"/>
      <c r="FL1668" s="110"/>
      <c r="FM1668" s="110"/>
      <c r="FN1668" s="110"/>
      <c r="FO1668" s="110"/>
      <c r="FP1668" s="110"/>
      <c r="FQ1668" s="110"/>
      <c r="FR1668" s="110"/>
      <c r="FS1668" s="110"/>
      <c r="FT1668" s="110"/>
      <c r="FU1668" s="110"/>
      <c r="FV1668" s="110"/>
      <c r="FW1668" s="110"/>
      <c r="FX1668" s="110"/>
      <c r="FY1668" s="110"/>
      <c r="FZ1668" s="110"/>
      <c r="GA1668" s="110"/>
      <c r="GB1668" s="110"/>
      <c r="GC1668" s="110"/>
      <c r="GD1668" s="110"/>
      <c r="GE1668" s="110"/>
      <c r="GF1668" s="110"/>
      <c r="GG1668" s="110"/>
      <c r="GH1668" s="110"/>
      <c r="GI1668" s="110"/>
      <c r="GJ1668" s="110"/>
      <c r="GK1668" s="110"/>
      <c r="GL1668" s="110"/>
      <c r="GM1668" s="110"/>
      <c r="GN1668" s="110"/>
      <c r="GO1668" s="110"/>
      <c r="GP1668" s="110"/>
      <c r="GQ1668" s="110"/>
      <c r="GR1668" s="110"/>
      <c r="GS1668" s="110"/>
      <c r="GT1668" s="110"/>
      <c r="GU1668" s="110"/>
      <c r="GV1668" s="110"/>
      <c r="GW1668" s="110"/>
      <c r="GX1668" s="110"/>
      <c r="GY1668" s="110"/>
      <c r="GZ1668" s="110"/>
      <c r="HA1668" s="110"/>
      <c r="HB1668" s="110"/>
      <c r="HC1668" s="110"/>
      <c r="HD1668" s="110"/>
      <c r="HE1668" s="110"/>
      <c r="HF1668" s="110"/>
      <c r="HG1668" s="110"/>
      <c r="HH1668" s="110"/>
      <c r="HI1668" s="110"/>
      <c r="HJ1668" s="110"/>
      <c r="HK1668" s="110"/>
      <c r="HL1668" s="110"/>
      <c r="HM1668" s="110"/>
      <c r="HN1668" s="110"/>
      <c r="HO1668" s="110"/>
      <c r="HP1668" s="110"/>
      <c r="HQ1668" s="110"/>
      <c r="HR1668" s="110"/>
      <c r="HS1668" s="110"/>
      <c r="HT1668" s="110"/>
      <c r="HU1668" s="110"/>
      <c r="HV1668" s="110"/>
      <c r="HW1668" s="110"/>
      <c r="HX1668" s="110"/>
      <c r="HY1668" s="110"/>
      <c r="HZ1668" s="110"/>
      <c r="IA1668" s="110"/>
      <c r="IB1668" s="110"/>
      <c r="IC1668" s="110"/>
      <c r="ID1668" s="110"/>
      <c r="IE1668" s="110"/>
      <c r="IF1668" s="110"/>
      <c r="IG1668" s="110"/>
      <c r="IH1668" s="110"/>
      <c r="II1668" s="110"/>
      <c r="IJ1668" s="110"/>
      <c r="IK1668" s="110"/>
      <c r="IL1668" s="110"/>
      <c r="IM1668" s="110"/>
      <c r="IN1668" s="110"/>
      <c r="IO1668" s="110"/>
      <c r="IP1668" s="110"/>
      <c r="IQ1668" s="110"/>
      <c r="IR1668" s="110"/>
    </row>
    <row r="1669" spans="18:252" ht="16.5" hidden="1" customHeight="1">
      <c r="R1669" s="264"/>
      <c r="S1669" s="110"/>
      <c r="T1669" s="110"/>
      <c r="U1669" s="110"/>
      <c r="V1669" s="110"/>
      <c r="W1669" s="266"/>
      <c r="X1669" s="110"/>
      <c r="Y1669" s="110"/>
      <c r="Z1669" s="110"/>
      <c r="AA1669" s="110"/>
      <c r="AB1669" s="110"/>
      <c r="AC1669" s="110"/>
      <c r="AD1669" s="110"/>
      <c r="AE1669" s="110"/>
      <c r="AF1669" s="110"/>
      <c r="AG1669" s="110"/>
      <c r="AH1669" s="110"/>
      <c r="AI1669" s="110"/>
      <c r="AJ1669" s="110"/>
      <c r="AK1669" s="110"/>
      <c r="AL1669" s="110"/>
      <c r="AM1669" s="110"/>
      <c r="AN1669" s="110"/>
      <c r="AO1669" s="110"/>
      <c r="AP1669" s="110"/>
      <c r="AQ1669" s="110"/>
      <c r="AR1669" s="110"/>
      <c r="AS1669" s="110"/>
      <c r="AT1669" s="110"/>
      <c r="AU1669" s="110"/>
      <c r="AV1669" s="110"/>
      <c r="AW1669" s="110"/>
      <c r="AX1669" s="110"/>
      <c r="AY1669" s="110"/>
      <c r="AZ1669" s="110"/>
      <c r="BA1669" s="110"/>
      <c r="BB1669" s="110"/>
      <c r="BC1669" s="110"/>
      <c r="BD1669" s="110"/>
      <c r="BE1669" s="110"/>
      <c r="BF1669" s="110"/>
      <c r="BG1669" s="110"/>
      <c r="BH1669" s="110"/>
      <c r="BI1669" s="110"/>
      <c r="BJ1669" s="110"/>
      <c r="BK1669" s="110"/>
      <c r="BL1669" s="110"/>
      <c r="BM1669" s="110"/>
      <c r="BN1669" s="110"/>
      <c r="BO1669" s="110"/>
      <c r="BP1669" s="110"/>
      <c r="BQ1669" s="110"/>
      <c r="BR1669" s="110"/>
      <c r="BS1669" s="110"/>
      <c r="BT1669" s="110"/>
      <c r="BU1669" s="110"/>
      <c r="BV1669" s="110"/>
      <c r="BW1669" s="110"/>
      <c r="BX1669" s="110"/>
      <c r="BY1669" s="110"/>
      <c r="BZ1669" s="110"/>
      <c r="CA1669" s="110"/>
      <c r="CB1669" s="110"/>
      <c r="CC1669" s="110"/>
      <c r="CD1669" s="110"/>
      <c r="CE1669" s="110"/>
      <c r="CF1669" s="110"/>
      <c r="CG1669" s="110"/>
      <c r="CH1669" s="110"/>
      <c r="CI1669" s="110"/>
      <c r="CJ1669" s="110"/>
      <c r="CK1669" s="110"/>
      <c r="CL1669" s="110"/>
      <c r="CM1669" s="110"/>
      <c r="CN1669" s="110"/>
      <c r="CO1669" s="110"/>
      <c r="CP1669" s="110"/>
      <c r="CQ1669" s="110"/>
      <c r="CR1669" s="110"/>
      <c r="CS1669" s="110"/>
      <c r="CT1669" s="110"/>
      <c r="CU1669" s="110"/>
      <c r="CV1669" s="110"/>
      <c r="CW1669" s="110"/>
      <c r="CX1669" s="110"/>
      <c r="CY1669" s="110"/>
      <c r="CZ1669" s="110"/>
      <c r="DA1669" s="110"/>
      <c r="DB1669" s="110"/>
      <c r="DC1669" s="110"/>
      <c r="DD1669" s="110"/>
      <c r="DE1669" s="110"/>
      <c r="DF1669" s="110"/>
      <c r="DG1669" s="110"/>
      <c r="DH1669" s="110"/>
      <c r="DI1669" s="110"/>
      <c r="DJ1669" s="110"/>
      <c r="DK1669" s="110"/>
      <c r="DL1669" s="110"/>
      <c r="DM1669" s="110"/>
      <c r="DN1669" s="110"/>
      <c r="DO1669" s="110"/>
      <c r="DP1669" s="110"/>
      <c r="DQ1669" s="110"/>
      <c r="DR1669" s="110"/>
      <c r="DS1669" s="110"/>
      <c r="DT1669" s="110"/>
      <c r="DU1669" s="110"/>
      <c r="DV1669" s="110"/>
      <c r="DW1669" s="110"/>
      <c r="DX1669" s="110"/>
      <c r="DY1669" s="110"/>
      <c r="DZ1669" s="110"/>
      <c r="EA1669" s="110"/>
      <c r="EB1669" s="110"/>
      <c r="EC1669" s="110"/>
      <c r="ED1669" s="110"/>
      <c r="EF1669" s="264"/>
      <c r="EG1669" s="110"/>
      <c r="EH1669" s="110"/>
      <c r="EI1669" s="110"/>
      <c r="EJ1669" s="110"/>
      <c r="EK1669" s="266"/>
      <c r="EL1669" s="110"/>
      <c r="EM1669" s="110"/>
      <c r="EN1669" s="110"/>
      <c r="EO1669" s="110"/>
      <c r="EP1669" s="110"/>
      <c r="EQ1669" s="110"/>
      <c r="ER1669" s="110"/>
      <c r="ES1669" s="110"/>
      <c r="ET1669" s="110"/>
      <c r="EU1669" s="110"/>
      <c r="EV1669" s="110"/>
      <c r="EW1669" s="110"/>
      <c r="EX1669" s="110"/>
      <c r="EY1669" s="110"/>
      <c r="EZ1669" s="110"/>
      <c r="FA1669" s="110"/>
      <c r="FB1669" s="110"/>
      <c r="FC1669" s="110"/>
      <c r="FD1669" s="110"/>
      <c r="FE1669" s="110"/>
      <c r="FF1669" s="110"/>
      <c r="FG1669" s="110"/>
      <c r="FH1669" s="110"/>
      <c r="FI1669" s="110"/>
      <c r="FJ1669" s="110"/>
      <c r="FK1669" s="110"/>
      <c r="FL1669" s="110"/>
      <c r="FM1669" s="110"/>
      <c r="FN1669" s="110"/>
      <c r="FO1669" s="110"/>
      <c r="FP1669" s="110"/>
      <c r="FQ1669" s="110"/>
      <c r="FR1669" s="110"/>
      <c r="FS1669" s="110"/>
      <c r="FT1669" s="110"/>
      <c r="FU1669" s="110"/>
      <c r="FV1669" s="110"/>
      <c r="FW1669" s="110"/>
      <c r="FX1669" s="110"/>
      <c r="FY1669" s="110"/>
      <c r="FZ1669" s="110"/>
      <c r="GA1669" s="110"/>
      <c r="GB1669" s="110"/>
      <c r="GC1669" s="110"/>
      <c r="GD1669" s="110"/>
      <c r="GE1669" s="110"/>
      <c r="GF1669" s="110"/>
      <c r="GG1669" s="110"/>
      <c r="GH1669" s="110"/>
      <c r="GI1669" s="110"/>
      <c r="GJ1669" s="110"/>
      <c r="GK1669" s="110"/>
      <c r="GL1669" s="110"/>
      <c r="GM1669" s="110"/>
      <c r="GN1669" s="110"/>
      <c r="GO1669" s="110"/>
      <c r="GP1669" s="110"/>
      <c r="GQ1669" s="110"/>
      <c r="GR1669" s="110"/>
      <c r="GS1669" s="110"/>
      <c r="GT1669" s="110"/>
      <c r="GU1669" s="110"/>
      <c r="GV1669" s="110"/>
      <c r="GW1669" s="110"/>
      <c r="GX1669" s="110"/>
      <c r="GY1669" s="110"/>
      <c r="GZ1669" s="110"/>
      <c r="HA1669" s="110"/>
      <c r="HB1669" s="110"/>
      <c r="HC1669" s="110"/>
      <c r="HD1669" s="110"/>
      <c r="HE1669" s="110"/>
      <c r="HF1669" s="110"/>
      <c r="HG1669" s="110"/>
      <c r="HH1669" s="110"/>
      <c r="HI1669" s="110"/>
      <c r="HJ1669" s="110"/>
      <c r="HK1669" s="110"/>
      <c r="HL1669" s="110"/>
      <c r="HM1669" s="110"/>
      <c r="HN1669" s="110"/>
      <c r="HO1669" s="110"/>
      <c r="HP1669" s="110"/>
      <c r="HQ1669" s="110"/>
      <c r="HR1669" s="110"/>
      <c r="HS1669" s="110"/>
      <c r="HT1669" s="110"/>
      <c r="HU1669" s="110"/>
      <c r="HV1669" s="110"/>
      <c r="HW1669" s="110"/>
      <c r="HX1669" s="110"/>
      <c r="HY1669" s="110"/>
      <c r="HZ1669" s="110"/>
      <c r="IA1669" s="110"/>
      <c r="IB1669" s="110"/>
      <c r="IC1669" s="110"/>
      <c r="ID1669" s="110"/>
      <c r="IE1669" s="110"/>
      <c r="IF1669" s="110"/>
      <c r="IG1669" s="110"/>
      <c r="IH1669" s="110"/>
      <c r="II1669" s="110"/>
      <c r="IJ1669" s="110"/>
      <c r="IK1669" s="110"/>
      <c r="IL1669" s="110"/>
      <c r="IM1669" s="110"/>
      <c r="IN1669" s="110"/>
      <c r="IO1669" s="110"/>
      <c r="IP1669" s="110"/>
      <c r="IQ1669" s="110"/>
      <c r="IR1669" s="110"/>
    </row>
    <row r="1670" spans="18:252" ht="16.5" hidden="1" customHeight="1">
      <c r="R1670" s="264"/>
      <c r="S1670" s="110"/>
      <c r="T1670" s="110"/>
      <c r="U1670" s="110"/>
      <c r="V1670" s="110"/>
      <c r="W1670" s="266"/>
      <c r="X1670" s="110"/>
      <c r="Y1670" s="110"/>
      <c r="Z1670" s="110"/>
      <c r="AA1670" s="110"/>
      <c r="AB1670" s="110"/>
      <c r="AC1670" s="110"/>
      <c r="AD1670" s="110"/>
      <c r="AE1670" s="110"/>
      <c r="AF1670" s="110"/>
      <c r="AG1670" s="110"/>
      <c r="AH1670" s="110"/>
      <c r="AI1670" s="110"/>
      <c r="AJ1670" s="110"/>
      <c r="AK1670" s="110"/>
      <c r="AL1670" s="110"/>
      <c r="AM1670" s="110"/>
      <c r="AN1670" s="110"/>
      <c r="AO1670" s="110"/>
      <c r="AP1670" s="110"/>
      <c r="AQ1670" s="110"/>
      <c r="AR1670" s="110"/>
      <c r="AS1670" s="110"/>
      <c r="AT1670" s="110"/>
      <c r="AU1670" s="110"/>
      <c r="AV1670" s="110"/>
      <c r="AW1670" s="110"/>
      <c r="AX1670" s="110"/>
      <c r="AY1670" s="110"/>
      <c r="AZ1670" s="110"/>
      <c r="BA1670" s="110"/>
      <c r="BB1670" s="110"/>
      <c r="BC1670" s="110"/>
      <c r="BD1670" s="110"/>
      <c r="BE1670" s="110"/>
      <c r="BF1670" s="110"/>
      <c r="BG1670" s="110"/>
      <c r="BH1670" s="110"/>
      <c r="BI1670" s="110"/>
      <c r="BJ1670" s="110"/>
      <c r="BK1670" s="110"/>
      <c r="BL1670" s="110"/>
      <c r="BM1670" s="110"/>
      <c r="BN1670" s="110"/>
      <c r="BO1670" s="110"/>
      <c r="BP1670" s="110"/>
      <c r="BQ1670" s="110"/>
      <c r="BR1670" s="110"/>
      <c r="BS1670" s="110"/>
      <c r="BT1670" s="110"/>
      <c r="BU1670" s="110"/>
      <c r="BV1670" s="110"/>
      <c r="BW1670" s="110"/>
      <c r="BX1670" s="110"/>
      <c r="BY1670" s="110"/>
      <c r="BZ1670" s="110"/>
      <c r="CA1670" s="110"/>
      <c r="CB1670" s="110"/>
      <c r="CC1670" s="110"/>
      <c r="CD1670" s="110"/>
      <c r="CE1670" s="110"/>
      <c r="CF1670" s="110"/>
      <c r="CG1670" s="110"/>
      <c r="CH1670" s="110"/>
      <c r="CI1670" s="110"/>
      <c r="CJ1670" s="110"/>
      <c r="CK1670" s="110"/>
      <c r="CL1670" s="110"/>
      <c r="CM1670" s="110"/>
      <c r="CN1670" s="110"/>
      <c r="CO1670" s="110"/>
      <c r="CP1670" s="110"/>
      <c r="CQ1670" s="110"/>
      <c r="CR1670" s="110"/>
      <c r="CS1670" s="110"/>
      <c r="CT1670" s="110"/>
      <c r="CU1670" s="110"/>
      <c r="CV1670" s="110"/>
      <c r="CW1670" s="110"/>
      <c r="CX1670" s="110"/>
      <c r="CY1670" s="110"/>
      <c r="CZ1670" s="110"/>
      <c r="DA1670" s="110"/>
      <c r="DB1670" s="110"/>
      <c r="DC1670" s="110"/>
      <c r="DD1670" s="110"/>
      <c r="DE1670" s="110"/>
      <c r="DF1670" s="110"/>
      <c r="DG1670" s="110"/>
      <c r="DH1670" s="110"/>
      <c r="DI1670" s="110"/>
      <c r="DJ1670" s="110"/>
      <c r="DK1670" s="110"/>
      <c r="DL1670" s="110"/>
      <c r="DM1670" s="110"/>
      <c r="DN1670" s="110"/>
      <c r="DO1670" s="110"/>
      <c r="DP1670" s="110"/>
      <c r="DQ1670" s="110"/>
      <c r="DR1670" s="110"/>
      <c r="DS1670" s="110"/>
      <c r="DT1670" s="110"/>
      <c r="DU1670" s="110"/>
      <c r="DV1670" s="110"/>
      <c r="DW1670" s="110"/>
      <c r="DX1670" s="110"/>
      <c r="DY1670" s="110"/>
      <c r="DZ1670" s="110"/>
      <c r="EA1670" s="110"/>
      <c r="EB1670" s="110"/>
      <c r="EC1670" s="110"/>
      <c r="ED1670" s="110"/>
      <c r="EF1670" s="264"/>
      <c r="EG1670" s="110"/>
      <c r="EH1670" s="110"/>
      <c r="EI1670" s="110"/>
      <c r="EJ1670" s="110"/>
      <c r="EK1670" s="266"/>
      <c r="EL1670" s="110"/>
      <c r="EM1670" s="110"/>
      <c r="EN1670" s="110"/>
      <c r="EO1670" s="110"/>
      <c r="EP1670" s="110"/>
      <c r="EQ1670" s="110"/>
      <c r="ER1670" s="110"/>
      <c r="ES1670" s="110"/>
      <c r="ET1670" s="110"/>
      <c r="EU1670" s="110"/>
      <c r="EV1670" s="110"/>
      <c r="EW1670" s="110"/>
      <c r="EX1670" s="110"/>
      <c r="EY1670" s="110"/>
      <c r="EZ1670" s="110"/>
      <c r="FA1670" s="110"/>
      <c r="FB1670" s="110"/>
      <c r="FC1670" s="110"/>
      <c r="FD1670" s="110"/>
      <c r="FE1670" s="110"/>
      <c r="FF1670" s="110"/>
      <c r="FG1670" s="110"/>
      <c r="FH1670" s="110"/>
      <c r="FI1670" s="110"/>
      <c r="FJ1670" s="110"/>
      <c r="FK1670" s="110"/>
      <c r="FL1670" s="110"/>
      <c r="FM1670" s="110"/>
      <c r="FN1670" s="110"/>
      <c r="FO1670" s="110"/>
      <c r="FP1670" s="110"/>
      <c r="FQ1670" s="110"/>
      <c r="FR1670" s="110"/>
      <c r="FS1670" s="110"/>
      <c r="FT1670" s="110"/>
      <c r="FU1670" s="110"/>
      <c r="FV1670" s="110"/>
      <c r="FW1670" s="110"/>
      <c r="FX1670" s="110"/>
      <c r="FY1670" s="110"/>
      <c r="FZ1670" s="110"/>
      <c r="GA1670" s="110"/>
      <c r="GB1670" s="110"/>
      <c r="GC1670" s="110"/>
      <c r="GD1670" s="110"/>
      <c r="GE1670" s="110"/>
      <c r="GF1670" s="110"/>
      <c r="GG1670" s="110"/>
      <c r="GH1670" s="110"/>
      <c r="GI1670" s="110"/>
      <c r="GJ1670" s="110"/>
      <c r="GK1670" s="110"/>
      <c r="GL1670" s="110"/>
      <c r="GM1670" s="110"/>
      <c r="GN1670" s="110"/>
      <c r="GO1670" s="110"/>
      <c r="GP1670" s="110"/>
      <c r="GQ1670" s="110"/>
      <c r="GR1670" s="110"/>
      <c r="GS1670" s="110"/>
      <c r="GT1670" s="110"/>
      <c r="GU1670" s="110"/>
      <c r="GV1670" s="110"/>
      <c r="GW1670" s="110"/>
      <c r="GX1670" s="110"/>
      <c r="GY1670" s="110"/>
      <c r="GZ1670" s="110"/>
      <c r="HA1670" s="110"/>
      <c r="HB1670" s="110"/>
      <c r="HC1670" s="110"/>
      <c r="HD1670" s="110"/>
      <c r="HE1670" s="110"/>
      <c r="HF1670" s="110"/>
      <c r="HG1670" s="110"/>
      <c r="HH1670" s="110"/>
      <c r="HI1670" s="110"/>
      <c r="HJ1670" s="110"/>
      <c r="HK1670" s="110"/>
      <c r="HL1670" s="110"/>
      <c r="HM1670" s="110"/>
      <c r="HN1670" s="110"/>
      <c r="HO1670" s="110"/>
      <c r="HP1670" s="110"/>
      <c r="HQ1670" s="110"/>
      <c r="HR1670" s="110"/>
      <c r="HS1670" s="110"/>
      <c r="HT1670" s="110"/>
      <c r="HU1670" s="110"/>
      <c r="HV1670" s="110"/>
      <c r="HW1670" s="110"/>
      <c r="HX1670" s="110"/>
      <c r="HY1670" s="110"/>
      <c r="HZ1670" s="110"/>
      <c r="IA1670" s="110"/>
      <c r="IB1670" s="110"/>
      <c r="IC1670" s="110"/>
      <c r="ID1670" s="110"/>
      <c r="IE1670" s="110"/>
      <c r="IF1670" s="110"/>
      <c r="IG1670" s="110"/>
      <c r="IH1670" s="110"/>
      <c r="II1670" s="110"/>
      <c r="IJ1670" s="110"/>
      <c r="IK1670" s="110"/>
      <c r="IL1670" s="110"/>
      <c r="IM1670" s="110"/>
      <c r="IN1670" s="110"/>
      <c r="IO1670" s="110"/>
      <c r="IP1670" s="110"/>
      <c r="IQ1670" s="110"/>
      <c r="IR1670" s="110"/>
    </row>
    <row r="1671" spans="18:252" ht="16.5" hidden="1" customHeight="1">
      <c r="R1671" s="264"/>
      <c r="S1671" s="110"/>
      <c r="T1671" s="110"/>
      <c r="U1671" s="110"/>
      <c r="V1671" s="110"/>
      <c r="W1671" s="266"/>
      <c r="X1671" s="110"/>
      <c r="Y1671" s="110"/>
      <c r="Z1671" s="110"/>
      <c r="AA1671" s="110"/>
      <c r="AB1671" s="110"/>
      <c r="AC1671" s="110"/>
      <c r="AD1671" s="110"/>
      <c r="AE1671" s="110"/>
      <c r="AF1671" s="110"/>
      <c r="AG1671" s="110"/>
      <c r="AH1671" s="110"/>
      <c r="AI1671" s="110"/>
      <c r="AJ1671" s="110"/>
      <c r="AK1671" s="110"/>
      <c r="AL1671" s="110"/>
      <c r="AM1671" s="110"/>
      <c r="AN1671" s="110"/>
      <c r="AO1671" s="110"/>
      <c r="AP1671" s="110"/>
      <c r="AQ1671" s="110"/>
      <c r="AR1671" s="110"/>
      <c r="AS1671" s="110"/>
      <c r="AT1671" s="110"/>
      <c r="AU1671" s="110"/>
      <c r="AV1671" s="110"/>
      <c r="AW1671" s="110"/>
      <c r="AX1671" s="110"/>
      <c r="AY1671" s="110"/>
      <c r="AZ1671" s="110"/>
      <c r="BA1671" s="110"/>
      <c r="BB1671" s="110"/>
      <c r="BC1671" s="110"/>
      <c r="BD1671" s="110"/>
      <c r="BE1671" s="110"/>
      <c r="BF1671" s="110"/>
      <c r="BG1671" s="110"/>
      <c r="BH1671" s="110"/>
      <c r="BI1671" s="110"/>
      <c r="BJ1671" s="110"/>
      <c r="BK1671" s="110"/>
      <c r="BL1671" s="110"/>
      <c r="BM1671" s="110"/>
      <c r="BN1671" s="110"/>
      <c r="BO1671" s="110"/>
      <c r="BP1671" s="110"/>
      <c r="BQ1671" s="110"/>
      <c r="BR1671" s="110"/>
      <c r="BS1671" s="110"/>
      <c r="BT1671" s="110"/>
      <c r="BU1671" s="110"/>
      <c r="BV1671" s="110"/>
      <c r="BW1671" s="110"/>
      <c r="BX1671" s="110"/>
      <c r="BY1671" s="110"/>
      <c r="BZ1671" s="110"/>
      <c r="CA1671" s="110"/>
      <c r="CB1671" s="110"/>
      <c r="CC1671" s="110"/>
      <c r="CD1671" s="110"/>
      <c r="CE1671" s="110"/>
      <c r="CF1671" s="110"/>
      <c r="CG1671" s="110"/>
      <c r="CH1671" s="110"/>
      <c r="CI1671" s="110"/>
      <c r="CJ1671" s="110"/>
      <c r="CK1671" s="110"/>
      <c r="CL1671" s="110"/>
      <c r="CM1671" s="110"/>
      <c r="CN1671" s="110"/>
      <c r="CO1671" s="110"/>
      <c r="CP1671" s="110"/>
      <c r="CQ1671" s="110"/>
      <c r="CR1671" s="110"/>
      <c r="CS1671" s="110"/>
      <c r="CT1671" s="110"/>
      <c r="CU1671" s="110"/>
      <c r="CV1671" s="110"/>
      <c r="CW1671" s="110"/>
      <c r="CX1671" s="110"/>
      <c r="CY1671" s="110"/>
      <c r="CZ1671" s="110"/>
      <c r="DA1671" s="110"/>
      <c r="DB1671" s="110"/>
      <c r="DC1671" s="110"/>
      <c r="DD1671" s="110"/>
      <c r="DE1671" s="110"/>
      <c r="DF1671" s="110"/>
      <c r="DG1671" s="110"/>
      <c r="DH1671" s="110"/>
      <c r="DI1671" s="110"/>
      <c r="DJ1671" s="110"/>
      <c r="DK1671" s="110"/>
      <c r="DL1671" s="110"/>
      <c r="DM1671" s="110"/>
      <c r="DN1671" s="110"/>
      <c r="DO1671" s="110"/>
      <c r="DP1671" s="110"/>
      <c r="DQ1671" s="110"/>
      <c r="DR1671" s="110"/>
      <c r="DS1671" s="110"/>
      <c r="DT1671" s="110"/>
      <c r="DU1671" s="110"/>
      <c r="DV1671" s="110"/>
      <c r="DW1671" s="110"/>
      <c r="DX1671" s="110"/>
      <c r="DY1671" s="110"/>
      <c r="DZ1671" s="110"/>
      <c r="EA1671" s="110"/>
      <c r="EB1671" s="110"/>
      <c r="EC1671" s="110"/>
      <c r="ED1671" s="110"/>
      <c r="EF1671" s="264"/>
      <c r="EG1671" s="110"/>
      <c r="EH1671" s="110"/>
      <c r="EI1671" s="110"/>
      <c r="EJ1671" s="110"/>
      <c r="EK1671" s="266"/>
      <c r="EL1671" s="110"/>
      <c r="EM1671" s="110"/>
      <c r="EN1671" s="110"/>
      <c r="EO1671" s="110"/>
      <c r="EP1671" s="110"/>
      <c r="EQ1671" s="110"/>
      <c r="ER1671" s="110"/>
      <c r="ES1671" s="110"/>
      <c r="ET1671" s="110"/>
      <c r="EU1671" s="110"/>
      <c r="EV1671" s="110"/>
      <c r="EW1671" s="110"/>
      <c r="EX1671" s="110"/>
      <c r="EY1671" s="110"/>
      <c r="EZ1671" s="110"/>
      <c r="FA1671" s="110"/>
      <c r="FB1671" s="110"/>
      <c r="FC1671" s="110"/>
      <c r="FD1671" s="110"/>
      <c r="FE1671" s="110"/>
      <c r="FF1671" s="110"/>
      <c r="FG1671" s="110"/>
      <c r="FH1671" s="110"/>
      <c r="FI1671" s="110"/>
      <c r="FJ1671" s="110"/>
      <c r="FK1671" s="110"/>
      <c r="FL1671" s="110"/>
      <c r="FM1671" s="110"/>
      <c r="FN1671" s="110"/>
      <c r="FO1671" s="110"/>
      <c r="FP1671" s="110"/>
      <c r="FQ1671" s="110"/>
      <c r="FR1671" s="110"/>
      <c r="FS1671" s="110"/>
      <c r="FT1671" s="110"/>
      <c r="FU1671" s="110"/>
      <c r="FV1671" s="110"/>
      <c r="FW1671" s="110"/>
      <c r="FX1671" s="110"/>
      <c r="FY1671" s="110"/>
      <c r="FZ1671" s="110"/>
      <c r="GA1671" s="110"/>
      <c r="GB1671" s="110"/>
      <c r="GC1671" s="110"/>
      <c r="GD1671" s="110"/>
      <c r="GE1671" s="110"/>
      <c r="GF1671" s="110"/>
      <c r="GG1671" s="110"/>
      <c r="GH1671" s="110"/>
      <c r="GI1671" s="110"/>
      <c r="GJ1671" s="110"/>
      <c r="GK1671" s="110"/>
      <c r="GL1671" s="110"/>
      <c r="GM1671" s="110"/>
      <c r="GN1671" s="110"/>
      <c r="GO1671" s="110"/>
      <c r="GP1671" s="110"/>
      <c r="GQ1671" s="110"/>
      <c r="GR1671" s="110"/>
      <c r="GS1671" s="110"/>
      <c r="GT1671" s="110"/>
      <c r="GU1671" s="110"/>
      <c r="GV1671" s="110"/>
      <c r="GW1671" s="110"/>
      <c r="GX1671" s="110"/>
      <c r="GY1671" s="110"/>
      <c r="GZ1671" s="110"/>
      <c r="HA1671" s="110"/>
      <c r="HB1671" s="110"/>
      <c r="HC1671" s="110"/>
      <c r="HD1671" s="110"/>
      <c r="HE1671" s="110"/>
      <c r="HF1671" s="110"/>
      <c r="HG1671" s="110"/>
      <c r="HH1671" s="110"/>
      <c r="HI1671" s="110"/>
      <c r="HJ1671" s="110"/>
      <c r="HK1671" s="110"/>
      <c r="HL1671" s="110"/>
      <c r="HM1671" s="110"/>
      <c r="HN1671" s="110"/>
      <c r="HO1671" s="110"/>
      <c r="HP1671" s="110"/>
      <c r="HQ1671" s="110"/>
      <c r="HR1671" s="110"/>
      <c r="HS1671" s="110"/>
      <c r="HT1671" s="110"/>
      <c r="HU1671" s="110"/>
      <c r="HV1671" s="110"/>
      <c r="HW1671" s="110"/>
      <c r="HX1671" s="110"/>
      <c r="HY1671" s="110"/>
      <c r="HZ1671" s="110"/>
      <c r="IA1671" s="110"/>
      <c r="IB1671" s="110"/>
      <c r="IC1671" s="110"/>
      <c r="ID1671" s="110"/>
      <c r="IE1671" s="110"/>
      <c r="IF1671" s="110"/>
      <c r="IG1671" s="110"/>
      <c r="IH1671" s="110"/>
      <c r="II1671" s="110"/>
      <c r="IJ1671" s="110"/>
      <c r="IK1671" s="110"/>
      <c r="IL1671" s="110"/>
      <c r="IM1671" s="110"/>
      <c r="IN1671" s="110"/>
      <c r="IO1671" s="110"/>
      <c r="IP1671" s="110"/>
      <c r="IQ1671" s="110"/>
      <c r="IR1671" s="110"/>
    </row>
    <row r="1672" spans="18:252" ht="16.5" hidden="1" customHeight="1">
      <c r="R1672" s="264"/>
      <c r="S1672" s="110"/>
      <c r="T1672" s="110"/>
      <c r="U1672" s="110"/>
      <c r="V1672" s="110"/>
      <c r="W1672" s="266"/>
      <c r="X1672" s="110"/>
      <c r="Y1672" s="110"/>
      <c r="Z1672" s="110"/>
      <c r="AA1672" s="110"/>
      <c r="AB1672" s="110"/>
      <c r="AC1672" s="110"/>
      <c r="AD1672" s="110"/>
      <c r="AE1672" s="110"/>
      <c r="AF1672" s="110"/>
      <c r="AG1672" s="110"/>
      <c r="AH1672" s="110"/>
      <c r="AI1672" s="110"/>
      <c r="AJ1672" s="110"/>
      <c r="AK1672" s="110"/>
      <c r="AL1672" s="110"/>
      <c r="AM1672" s="110"/>
      <c r="AN1672" s="110"/>
      <c r="AO1672" s="110"/>
      <c r="AP1672" s="110"/>
      <c r="AQ1672" s="110"/>
      <c r="AR1672" s="110"/>
      <c r="AS1672" s="110"/>
      <c r="AT1672" s="110"/>
      <c r="AU1672" s="110"/>
      <c r="AV1672" s="110"/>
      <c r="AW1672" s="110"/>
      <c r="AX1672" s="110"/>
      <c r="AY1672" s="110"/>
      <c r="AZ1672" s="110"/>
      <c r="BA1672" s="110"/>
      <c r="BB1672" s="110"/>
      <c r="BC1672" s="110"/>
      <c r="BD1672" s="110"/>
      <c r="BE1672" s="110"/>
      <c r="BF1672" s="110"/>
      <c r="BG1672" s="110"/>
      <c r="BH1672" s="110"/>
      <c r="BI1672" s="110"/>
      <c r="BJ1672" s="110"/>
      <c r="BK1672" s="110"/>
      <c r="BL1672" s="110"/>
      <c r="BM1672" s="110"/>
      <c r="BN1672" s="110"/>
      <c r="BO1672" s="110"/>
      <c r="BP1672" s="110"/>
      <c r="BQ1672" s="110"/>
      <c r="BR1672" s="110"/>
      <c r="BS1672" s="110"/>
      <c r="BT1672" s="110"/>
      <c r="BU1672" s="110"/>
      <c r="BV1672" s="110"/>
      <c r="BW1672" s="110"/>
      <c r="BX1672" s="110"/>
      <c r="BY1672" s="110"/>
      <c r="BZ1672" s="110"/>
      <c r="CA1672" s="110"/>
      <c r="CB1672" s="110"/>
      <c r="CC1672" s="110"/>
      <c r="CD1672" s="110"/>
      <c r="CE1672" s="110"/>
      <c r="CF1672" s="110"/>
      <c r="CG1672" s="110"/>
      <c r="CH1672" s="110"/>
      <c r="CI1672" s="110"/>
      <c r="CJ1672" s="110"/>
      <c r="CK1672" s="110"/>
      <c r="CL1672" s="110"/>
      <c r="CM1672" s="110"/>
      <c r="CN1672" s="110"/>
      <c r="CO1672" s="110"/>
      <c r="CP1672" s="110"/>
      <c r="CQ1672" s="110"/>
      <c r="CR1672" s="110"/>
      <c r="CS1672" s="110"/>
      <c r="CT1672" s="110"/>
      <c r="CU1672" s="110"/>
      <c r="CV1672" s="110"/>
      <c r="CW1672" s="110"/>
      <c r="CX1672" s="110"/>
      <c r="CY1672" s="110"/>
      <c r="CZ1672" s="110"/>
      <c r="DA1672" s="110"/>
      <c r="DB1672" s="110"/>
      <c r="DC1672" s="110"/>
      <c r="DD1672" s="110"/>
      <c r="DE1672" s="110"/>
      <c r="DF1672" s="110"/>
      <c r="DG1672" s="110"/>
      <c r="DH1672" s="110"/>
      <c r="DI1672" s="110"/>
      <c r="DJ1672" s="110"/>
      <c r="DK1672" s="110"/>
      <c r="DL1672" s="110"/>
      <c r="DM1672" s="110"/>
      <c r="DN1672" s="110"/>
      <c r="DO1672" s="110"/>
      <c r="DP1672" s="110"/>
      <c r="DQ1672" s="110"/>
      <c r="DR1672" s="110"/>
      <c r="DS1672" s="110"/>
      <c r="DT1672" s="110"/>
      <c r="DU1672" s="110"/>
      <c r="DV1672" s="110"/>
      <c r="DW1672" s="110"/>
      <c r="DX1672" s="110"/>
      <c r="DY1672" s="110"/>
      <c r="DZ1672" s="110"/>
      <c r="EA1672" s="110"/>
      <c r="EB1672" s="110"/>
      <c r="EC1672" s="110"/>
      <c r="ED1672" s="110"/>
      <c r="EF1672" s="264"/>
      <c r="EG1672" s="110"/>
      <c r="EH1672" s="110"/>
      <c r="EI1672" s="110"/>
      <c r="EJ1672" s="110"/>
      <c r="EK1672" s="266"/>
      <c r="EL1672" s="110"/>
      <c r="EM1672" s="110"/>
      <c r="EN1672" s="110"/>
      <c r="EO1672" s="110"/>
      <c r="EP1672" s="110"/>
      <c r="EQ1672" s="110"/>
      <c r="ER1672" s="110"/>
      <c r="ES1672" s="110"/>
      <c r="ET1672" s="110"/>
      <c r="EU1672" s="110"/>
      <c r="EV1672" s="110"/>
      <c r="EW1672" s="110"/>
      <c r="EX1672" s="110"/>
      <c r="EY1672" s="110"/>
      <c r="EZ1672" s="110"/>
      <c r="FA1672" s="110"/>
      <c r="FB1672" s="110"/>
      <c r="FC1672" s="110"/>
      <c r="FD1672" s="110"/>
      <c r="FE1672" s="110"/>
      <c r="FF1672" s="110"/>
      <c r="FG1672" s="110"/>
      <c r="FH1672" s="110"/>
      <c r="FI1672" s="110"/>
      <c r="FJ1672" s="110"/>
      <c r="FK1672" s="110"/>
      <c r="FL1672" s="110"/>
      <c r="FM1672" s="110"/>
      <c r="FN1672" s="110"/>
      <c r="FO1672" s="110"/>
      <c r="FP1672" s="110"/>
      <c r="FQ1672" s="110"/>
      <c r="FR1672" s="110"/>
      <c r="FS1672" s="110"/>
      <c r="FT1672" s="110"/>
      <c r="FU1672" s="110"/>
      <c r="FV1672" s="110"/>
      <c r="FW1672" s="110"/>
      <c r="FX1672" s="110"/>
      <c r="FY1672" s="110"/>
      <c r="FZ1672" s="110"/>
      <c r="GA1672" s="110"/>
      <c r="GB1672" s="110"/>
      <c r="GC1672" s="110"/>
      <c r="GD1672" s="110"/>
      <c r="GE1672" s="110"/>
      <c r="GF1672" s="110"/>
      <c r="GG1672" s="110"/>
      <c r="GH1672" s="110"/>
      <c r="GI1672" s="110"/>
      <c r="GJ1672" s="110"/>
      <c r="GK1672" s="110"/>
      <c r="GL1672" s="110"/>
      <c r="GM1672" s="110"/>
      <c r="GN1672" s="110"/>
      <c r="GO1672" s="110"/>
      <c r="GP1672" s="110"/>
      <c r="GQ1672" s="110"/>
      <c r="GR1672" s="110"/>
      <c r="GS1672" s="110"/>
      <c r="GT1672" s="110"/>
      <c r="GU1672" s="110"/>
      <c r="GV1672" s="110"/>
      <c r="GW1672" s="110"/>
      <c r="GX1672" s="110"/>
      <c r="GY1672" s="110"/>
      <c r="GZ1672" s="110"/>
      <c r="HA1672" s="110"/>
      <c r="HB1672" s="110"/>
      <c r="HC1672" s="110"/>
      <c r="HD1672" s="110"/>
      <c r="HE1672" s="110"/>
      <c r="HF1672" s="110"/>
      <c r="HG1672" s="110"/>
      <c r="HH1672" s="110"/>
      <c r="HI1672" s="110"/>
      <c r="HJ1672" s="110"/>
      <c r="HK1672" s="110"/>
      <c r="HL1672" s="110"/>
      <c r="HM1672" s="110"/>
      <c r="HN1672" s="110"/>
      <c r="HO1672" s="110"/>
      <c r="HP1672" s="110"/>
      <c r="HQ1672" s="110"/>
      <c r="HR1672" s="110"/>
      <c r="HS1672" s="110"/>
      <c r="HT1672" s="110"/>
      <c r="HU1672" s="110"/>
      <c r="HV1672" s="110"/>
      <c r="HW1672" s="110"/>
      <c r="HX1672" s="110"/>
      <c r="HY1672" s="110"/>
      <c r="HZ1672" s="110"/>
      <c r="IA1672" s="110"/>
      <c r="IB1672" s="110"/>
      <c r="IC1672" s="110"/>
      <c r="ID1672" s="110"/>
      <c r="IE1672" s="110"/>
      <c r="IF1672" s="110"/>
      <c r="IG1672" s="110"/>
      <c r="IH1672" s="110"/>
      <c r="II1672" s="110"/>
      <c r="IJ1672" s="110"/>
      <c r="IK1672" s="110"/>
      <c r="IL1672" s="110"/>
      <c r="IM1672" s="110"/>
      <c r="IN1672" s="110"/>
      <c r="IO1672" s="110"/>
      <c r="IP1672" s="110"/>
      <c r="IQ1672" s="110"/>
      <c r="IR1672" s="110"/>
    </row>
    <row r="1673" spans="18:252" ht="16.5" hidden="1" customHeight="1">
      <c r="R1673" s="264"/>
      <c r="S1673" s="110"/>
      <c r="T1673" s="110"/>
      <c r="U1673" s="110"/>
      <c r="V1673" s="110"/>
      <c r="W1673" s="266"/>
      <c r="X1673" s="110"/>
      <c r="Y1673" s="110"/>
      <c r="Z1673" s="110"/>
      <c r="AA1673" s="110"/>
      <c r="AB1673" s="110"/>
      <c r="AC1673" s="110"/>
      <c r="AD1673" s="110"/>
      <c r="AE1673" s="110"/>
      <c r="AF1673" s="110"/>
      <c r="AG1673" s="110"/>
      <c r="AH1673" s="110"/>
      <c r="AI1673" s="110"/>
      <c r="AJ1673" s="110"/>
      <c r="AK1673" s="110"/>
      <c r="AL1673" s="110"/>
      <c r="AM1673" s="110"/>
      <c r="AN1673" s="110"/>
      <c r="AO1673" s="110"/>
      <c r="AP1673" s="110"/>
      <c r="AQ1673" s="110"/>
      <c r="AR1673" s="110"/>
      <c r="AS1673" s="110"/>
      <c r="AT1673" s="110"/>
      <c r="AU1673" s="110"/>
      <c r="AV1673" s="110"/>
      <c r="AW1673" s="110"/>
      <c r="AX1673" s="110"/>
      <c r="AY1673" s="110"/>
      <c r="AZ1673" s="110"/>
      <c r="BA1673" s="110"/>
      <c r="BB1673" s="110"/>
      <c r="BC1673" s="110"/>
      <c r="BD1673" s="110"/>
      <c r="BE1673" s="110"/>
      <c r="BF1673" s="110"/>
      <c r="BG1673" s="110"/>
      <c r="BH1673" s="110"/>
      <c r="BI1673" s="110"/>
      <c r="BJ1673" s="110"/>
      <c r="BK1673" s="110"/>
      <c r="BL1673" s="110"/>
      <c r="BM1673" s="110"/>
      <c r="BN1673" s="110"/>
      <c r="BO1673" s="110"/>
      <c r="BP1673" s="110"/>
      <c r="BQ1673" s="110"/>
      <c r="BR1673" s="110"/>
      <c r="BS1673" s="110"/>
      <c r="BT1673" s="110"/>
      <c r="BU1673" s="110"/>
      <c r="BV1673" s="110"/>
      <c r="BW1673" s="110"/>
      <c r="BX1673" s="110"/>
      <c r="BY1673" s="110"/>
      <c r="BZ1673" s="110"/>
      <c r="CA1673" s="110"/>
      <c r="CB1673" s="110"/>
      <c r="CC1673" s="110"/>
      <c r="CD1673" s="110"/>
      <c r="CE1673" s="110"/>
      <c r="CF1673" s="110"/>
      <c r="CG1673" s="110"/>
      <c r="CH1673" s="110"/>
      <c r="CI1673" s="110"/>
      <c r="CJ1673" s="110"/>
      <c r="CK1673" s="110"/>
      <c r="CL1673" s="110"/>
      <c r="CM1673" s="110"/>
      <c r="CN1673" s="110"/>
      <c r="CO1673" s="110"/>
      <c r="CP1673" s="110"/>
      <c r="CQ1673" s="110"/>
      <c r="CR1673" s="110"/>
      <c r="CS1673" s="110"/>
      <c r="CT1673" s="110"/>
      <c r="CU1673" s="110"/>
      <c r="CV1673" s="110"/>
      <c r="CW1673" s="110"/>
      <c r="CX1673" s="110"/>
      <c r="CY1673" s="110"/>
      <c r="CZ1673" s="110"/>
      <c r="DA1673" s="110"/>
      <c r="DB1673" s="110"/>
      <c r="DC1673" s="110"/>
      <c r="DD1673" s="110"/>
      <c r="DE1673" s="110"/>
      <c r="DF1673" s="110"/>
      <c r="DG1673" s="110"/>
      <c r="DH1673" s="110"/>
      <c r="DI1673" s="110"/>
      <c r="DJ1673" s="110"/>
      <c r="DK1673" s="110"/>
      <c r="DL1673" s="110"/>
      <c r="DM1673" s="110"/>
      <c r="DN1673" s="110"/>
      <c r="DO1673" s="110"/>
      <c r="DP1673" s="110"/>
      <c r="DQ1673" s="110"/>
      <c r="DR1673" s="110"/>
      <c r="DS1673" s="110"/>
      <c r="DT1673" s="110"/>
      <c r="DU1673" s="110"/>
      <c r="DV1673" s="110"/>
      <c r="DW1673" s="110"/>
      <c r="DX1673" s="110"/>
      <c r="DY1673" s="110"/>
      <c r="DZ1673" s="110"/>
      <c r="EA1673" s="110"/>
      <c r="EB1673" s="110"/>
      <c r="EC1673" s="110"/>
      <c r="ED1673" s="110"/>
      <c r="EF1673" s="264"/>
      <c r="EG1673" s="110"/>
      <c r="EH1673" s="110"/>
      <c r="EI1673" s="110"/>
      <c r="EJ1673" s="110"/>
      <c r="EK1673" s="266"/>
      <c r="EL1673" s="110"/>
      <c r="EM1673" s="110"/>
      <c r="EN1673" s="110"/>
      <c r="EO1673" s="110"/>
      <c r="EP1673" s="110"/>
      <c r="EQ1673" s="110"/>
      <c r="ER1673" s="110"/>
      <c r="ES1673" s="110"/>
      <c r="ET1673" s="110"/>
      <c r="EU1673" s="110"/>
      <c r="EV1673" s="110"/>
      <c r="EW1673" s="110"/>
      <c r="EX1673" s="110"/>
      <c r="EY1673" s="110"/>
      <c r="EZ1673" s="110"/>
      <c r="FA1673" s="110"/>
      <c r="FB1673" s="110"/>
      <c r="FC1673" s="110"/>
      <c r="FD1673" s="110"/>
      <c r="FE1673" s="110"/>
      <c r="FF1673" s="110"/>
      <c r="FG1673" s="110"/>
      <c r="FH1673" s="110"/>
      <c r="FI1673" s="110"/>
      <c r="FJ1673" s="110"/>
      <c r="FK1673" s="110"/>
      <c r="FL1673" s="110"/>
      <c r="FM1673" s="110"/>
      <c r="FN1673" s="110"/>
      <c r="FO1673" s="110"/>
      <c r="FP1673" s="110"/>
      <c r="FQ1673" s="110"/>
      <c r="FR1673" s="110"/>
      <c r="FS1673" s="110"/>
      <c r="FT1673" s="110"/>
      <c r="FU1673" s="110"/>
      <c r="FV1673" s="110"/>
      <c r="FW1673" s="110"/>
      <c r="FX1673" s="110"/>
      <c r="FY1673" s="110"/>
      <c r="FZ1673" s="110"/>
      <c r="GA1673" s="110"/>
      <c r="GB1673" s="110"/>
      <c r="GC1673" s="110"/>
      <c r="GD1673" s="110"/>
      <c r="GE1673" s="110"/>
      <c r="GF1673" s="110"/>
      <c r="GG1673" s="110"/>
      <c r="GH1673" s="110"/>
      <c r="GI1673" s="110"/>
      <c r="GJ1673" s="110"/>
      <c r="GK1673" s="110"/>
      <c r="GL1673" s="110"/>
      <c r="GM1673" s="110"/>
      <c r="GN1673" s="110"/>
      <c r="GO1673" s="110"/>
      <c r="GP1673" s="110"/>
      <c r="GQ1673" s="110"/>
      <c r="GR1673" s="110"/>
      <c r="GS1673" s="110"/>
      <c r="GT1673" s="110"/>
      <c r="GU1673" s="110"/>
      <c r="GV1673" s="110"/>
      <c r="GW1673" s="110"/>
      <c r="GX1673" s="110"/>
      <c r="GY1673" s="110"/>
      <c r="GZ1673" s="110"/>
      <c r="HA1673" s="110"/>
      <c r="HB1673" s="110"/>
      <c r="HC1673" s="110"/>
      <c r="HD1673" s="110"/>
      <c r="HE1673" s="110"/>
      <c r="HF1673" s="110"/>
      <c r="HG1673" s="110"/>
      <c r="HH1673" s="110"/>
      <c r="HI1673" s="110"/>
      <c r="HJ1673" s="110"/>
      <c r="HK1673" s="110"/>
      <c r="HL1673" s="110"/>
      <c r="HM1673" s="110"/>
      <c r="HN1673" s="110"/>
      <c r="HO1673" s="110"/>
      <c r="HP1673" s="110"/>
      <c r="HQ1673" s="110"/>
      <c r="HR1673" s="110"/>
      <c r="HS1673" s="110"/>
      <c r="HT1673" s="110"/>
      <c r="HU1673" s="110"/>
      <c r="HV1673" s="110"/>
      <c r="HW1673" s="110"/>
      <c r="HX1673" s="110"/>
      <c r="HY1673" s="110"/>
      <c r="HZ1673" s="110"/>
      <c r="IA1673" s="110"/>
      <c r="IB1673" s="110"/>
      <c r="IC1673" s="110"/>
      <c r="ID1673" s="110"/>
      <c r="IE1673" s="110"/>
      <c r="IF1673" s="110"/>
      <c r="IG1673" s="110"/>
      <c r="IH1673" s="110"/>
      <c r="II1673" s="110"/>
      <c r="IJ1673" s="110"/>
      <c r="IK1673" s="110"/>
      <c r="IL1673" s="110"/>
      <c r="IM1673" s="110"/>
      <c r="IN1673" s="110"/>
      <c r="IO1673" s="110"/>
      <c r="IP1673" s="110"/>
      <c r="IQ1673" s="110"/>
      <c r="IR1673" s="110"/>
    </row>
    <row r="1674" spans="18:252" ht="16.5" hidden="1" customHeight="1">
      <c r="R1674" s="264"/>
      <c r="S1674" s="110"/>
      <c r="T1674" s="110"/>
      <c r="U1674" s="110"/>
      <c r="V1674" s="110"/>
      <c r="W1674" s="266"/>
      <c r="X1674" s="110"/>
      <c r="Y1674" s="110"/>
      <c r="Z1674" s="110"/>
      <c r="AA1674" s="110"/>
      <c r="AB1674" s="110"/>
      <c r="AC1674" s="110"/>
      <c r="AD1674" s="110"/>
      <c r="AE1674" s="110"/>
      <c r="AF1674" s="110"/>
      <c r="AG1674" s="110"/>
      <c r="AH1674" s="110"/>
      <c r="AI1674" s="110"/>
      <c r="AJ1674" s="110"/>
      <c r="AK1674" s="110"/>
      <c r="AL1674" s="110"/>
      <c r="AM1674" s="110"/>
      <c r="AN1674" s="110"/>
      <c r="AO1674" s="110"/>
      <c r="AP1674" s="110"/>
      <c r="AQ1674" s="110"/>
      <c r="AR1674" s="110"/>
      <c r="AS1674" s="110"/>
      <c r="AT1674" s="110"/>
      <c r="AU1674" s="110"/>
      <c r="AV1674" s="110"/>
      <c r="AW1674" s="110"/>
      <c r="AX1674" s="110"/>
      <c r="AY1674" s="110"/>
      <c r="AZ1674" s="110"/>
      <c r="BA1674" s="110"/>
      <c r="BB1674" s="110"/>
      <c r="BC1674" s="110"/>
      <c r="BD1674" s="110"/>
      <c r="BE1674" s="110"/>
      <c r="BF1674" s="110"/>
      <c r="BG1674" s="110"/>
      <c r="BH1674" s="110"/>
      <c r="BI1674" s="110"/>
      <c r="BJ1674" s="110"/>
      <c r="BK1674" s="110"/>
      <c r="BL1674" s="110"/>
      <c r="BM1674" s="110"/>
      <c r="BN1674" s="110"/>
      <c r="BO1674" s="110"/>
      <c r="BP1674" s="110"/>
      <c r="BQ1674" s="110"/>
      <c r="BR1674" s="110"/>
      <c r="BS1674" s="110"/>
      <c r="BT1674" s="110"/>
      <c r="BU1674" s="110"/>
      <c r="BV1674" s="110"/>
      <c r="BW1674" s="110"/>
      <c r="BX1674" s="110"/>
      <c r="BY1674" s="110"/>
      <c r="BZ1674" s="110"/>
      <c r="CA1674" s="110"/>
      <c r="CB1674" s="110"/>
      <c r="CC1674" s="110"/>
      <c r="CD1674" s="110"/>
      <c r="CE1674" s="110"/>
      <c r="CF1674" s="110"/>
      <c r="CG1674" s="110"/>
      <c r="CH1674" s="110"/>
      <c r="CI1674" s="110"/>
      <c r="CJ1674" s="110"/>
      <c r="CK1674" s="110"/>
      <c r="CL1674" s="110"/>
      <c r="CM1674" s="110"/>
      <c r="CN1674" s="110"/>
      <c r="CO1674" s="110"/>
      <c r="CP1674" s="110"/>
      <c r="CQ1674" s="110"/>
      <c r="CR1674" s="110"/>
      <c r="CS1674" s="110"/>
      <c r="CT1674" s="110"/>
      <c r="CU1674" s="110"/>
      <c r="CV1674" s="110"/>
      <c r="CW1674" s="110"/>
      <c r="CX1674" s="110"/>
      <c r="CY1674" s="110"/>
      <c r="CZ1674" s="110"/>
      <c r="DA1674" s="110"/>
      <c r="DB1674" s="110"/>
      <c r="DC1674" s="110"/>
      <c r="DD1674" s="110"/>
      <c r="DE1674" s="110"/>
      <c r="DF1674" s="110"/>
      <c r="DG1674" s="110"/>
      <c r="DH1674" s="110"/>
      <c r="DI1674" s="110"/>
      <c r="DJ1674" s="110"/>
      <c r="DK1674" s="110"/>
      <c r="DL1674" s="110"/>
      <c r="DM1674" s="110"/>
      <c r="DN1674" s="110"/>
      <c r="DO1674" s="110"/>
      <c r="DP1674" s="110"/>
      <c r="DQ1674" s="110"/>
      <c r="DR1674" s="110"/>
      <c r="DS1674" s="110"/>
      <c r="DT1674" s="110"/>
      <c r="DU1674" s="110"/>
      <c r="DV1674" s="110"/>
      <c r="DW1674" s="110"/>
      <c r="DX1674" s="110"/>
      <c r="DY1674" s="110"/>
      <c r="DZ1674" s="110"/>
      <c r="EA1674" s="110"/>
      <c r="EB1674" s="110"/>
      <c r="EC1674" s="110"/>
      <c r="ED1674" s="110"/>
      <c r="EF1674" s="264"/>
      <c r="EG1674" s="110"/>
      <c r="EH1674" s="110"/>
      <c r="EI1674" s="110"/>
      <c r="EJ1674" s="110"/>
      <c r="EK1674" s="266"/>
      <c r="EL1674" s="110"/>
      <c r="EM1674" s="110"/>
      <c r="EN1674" s="110"/>
      <c r="EO1674" s="110"/>
      <c r="EP1674" s="110"/>
      <c r="EQ1674" s="110"/>
      <c r="ER1674" s="110"/>
      <c r="ES1674" s="110"/>
      <c r="ET1674" s="110"/>
      <c r="EU1674" s="110"/>
      <c r="EV1674" s="110"/>
      <c r="EW1674" s="110"/>
      <c r="EX1674" s="110"/>
      <c r="EY1674" s="110"/>
      <c r="EZ1674" s="110"/>
      <c r="FA1674" s="110"/>
      <c r="FB1674" s="110"/>
      <c r="FC1674" s="110"/>
      <c r="FD1674" s="110"/>
      <c r="FE1674" s="110"/>
      <c r="FF1674" s="110"/>
      <c r="FG1674" s="110"/>
      <c r="FH1674" s="110"/>
      <c r="FI1674" s="110"/>
      <c r="FJ1674" s="110"/>
      <c r="FK1674" s="110"/>
      <c r="FL1674" s="110"/>
      <c r="FM1674" s="110"/>
      <c r="FN1674" s="110"/>
      <c r="FO1674" s="110"/>
      <c r="FP1674" s="110"/>
      <c r="FQ1674" s="110"/>
      <c r="FR1674" s="110"/>
      <c r="FS1674" s="110"/>
      <c r="FT1674" s="110"/>
      <c r="FU1674" s="110"/>
      <c r="FV1674" s="110"/>
      <c r="FW1674" s="110"/>
      <c r="FX1674" s="110"/>
      <c r="FY1674" s="110"/>
      <c r="FZ1674" s="110"/>
      <c r="GA1674" s="110"/>
      <c r="GB1674" s="110"/>
      <c r="GC1674" s="110"/>
      <c r="GD1674" s="110"/>
      <c r="GE1674" s="110"/>
      <c r="GF1674" s="110"/>
      <c r="GG1674" s="110"/>
      <c r="GH1674" s="110"/>
      <c r="GI1674" s="110"/>
      <c r="GJ1674" s="110"/>
      <c r="GK1674" s="110"/>
      <c r="GL1674" s="110"/>
      <c r="GM1674" s="110"/>
      <c r="GN1674" s="110"/>
      <c r="GO1674" s="110"/>
      <c r="GP1674" s="110"/>
      <c r="GQ1674" s="110"/>
      <c r="GR1674" s="110"/>
      <c r="GS1674" s="110"/>
      <c r="GT1674" s="110"/>
      <c r="GU1674" s="110"/>
      <c r="GV1674" s="110"/>
      <c r="GW1674" s="110"/>
      <c r="GX1674" s="110"/>
      <c r="GY1674" s="110"/>
      <c r="GZ1674" s="110"/>
      <c r="HA1674" s="110"/>
      <c r="HB1674" s="110"/>
      <c r="HC1674" s="110"/>
      <c r="HD1674" s="110"/>
      <c r="HE1674" s="110"/>
      <c r="HF1674" s="110"/>
      <c r="HG1674" s="110"/>
      <c r="HH1674" s="110"/>
      <c r="HI1674" s="110"/>
      <c r="HJ1674" s="110"/>
      <c r="HK1674" s="110"/>
      <c r="HL1674" s="110"/>
      <c r="HM1674" s="110"/>
      <c r="HN1674" s="110"/>
      <c r="HO1674" s="110"/>
      <c r="HP1674" s="110"/>
      <c r="HQ1674" s="110"/>
      <c r="HR1674" s="110"/>
      <c r="HS1674" s="110"/>
      <c r="HT1674" s="110"/>
      <c r="HU1674" s="110"/>
      <c r="HV1674" s="110"/>
      <c r="HW1674" s="110"/>
      <c r="HX1674" s="110"/>
      <c r="HY1674" s="110"/>
      <c r="HZ1674" s="110"/>
      <c r="IA1674" s="110"/>
      <c r="IB1674" s="110"/>
      <c r="IC1674" s="110"/>
      <c r="ID1674" s="110"/>
      <c r="IE1674" s="110"/>
      <c r="IF1674" s="110"/>
      <c r="IG1674" s="110"/>
      <c r="IH1674" s="110"/>
      <c r="II1674" s="110"/>
      <c r="IJ1674" s="110"/>
      <c r="IK1674" s="110"/>
      <c r="IL1674" s="110"/>
      <c r="IM1674" s="110"/>
      <c r="IN1674" s="110"/>
      <c r="IO1674" s="110"/>
      <c r="IP1674" s="110"/>
      <c r="IQ1674" s="110"/>
      <c r="IR1674" s="110"/>
    </row>
    <row r="1675" spans="18:252" ht="16.5" hidden="1" customHeight="1">
      <c r="R1675" s="264"/>
      <c r="S1675" s="110"/>
      <c r="T1675" s="110"/>
      <c r="U1675" s="110"/>
      <c r="V1675" s="110"/>
      <c r="W1675" s="266"/>
      <c r="X1675" s="110"/>
      <c r="Y1675" s="110"/>
      <c r="Z1675" s="110"/>
      <c r="AA1675" s="110"/>
      <c r="AB1675" s="110"/>
      <c r="AC1675" s="110"/>
      <c r="AD1675" s="110"/>
      <c r="AE1675" s="110"/>
      <c r="AF1675" s="110"/>
      <c r="AG1675" s="110"/>
      <c r="AH1675" s="110"/>
      <c r="AI1675" s="110"/>
      <c r="AJ1675" s="110"/>
      <c r="AK1675" s="110"/>
      <c r="AL1675" s="110"/>
      <c r="AM1675" s="110"/>
      <c r="AN1675" s="110"/>
      <c r="AO1675" s="110"/>
      <c r="AP1675" s="110"/>
      <c r="AQ1675" s="110"/>
      <c r="AR1675" s="110"/>
      <c r="AS1675" s="110"/>
      <c r="AT1675" s="110"/>
      <c r="AU1675" s="110"/>
      <c r="AV1675" s="110"/>
      <c r="AW1675" s="110"/>
      <c r="AX1675" s="110"/>
      <c r="AY1675" s="110"/>
      <c r="AZ1675" s="110"/>
      <c r="BA1675" s="110"/>
      <c r="BB1675" s="110"/>
      <c r="BC1675" s="110"/>
      <c r="BD1675" s="110"/>
      <c r="BE1675" s="110"/>
      <c r="BF1675" s="110"/>
      <c r="BG1675" s="110"/>
      <c r="BH1675" s="110"/>
      <c r="BI1675" s="110"/>
      <c r="BJ1675" s="110"/>
      <c r="BK1675" s="110"/>
      <c r="BL1675" s="110"/>
      <c r="BM1675" s="110"/>
      <c r="BN1675" s="110"/>
      <c r="BO1675" s="110"/>
      <c r="BP1675" s="110"/>
      <c r="BQ1675" s="110"/>
      <c r="BR1675" s="110"/>
      <c r="BS1675" s="110"/>
      <c r="BT1675" s="110"/>
      <c r="BU1675" s="110"/>
      <c r="BV1675" s="110"/>
      <c r="BW1675" s="110"/>
      <c r="BX1675" s="110"/>
      <c r="BY1675" s="110"/>
      <c r="BZ1675" s="110"/>
      <c r="CA1675" s="110"/>
      <c r="CB1675" s="110"/>
      <c r="CC1675" s="110"/>
      <c r="CD1675" s="110"/>
      <c r="CE1675" s="110"/>
      <c r="CF1675" s="110"/>
      <c r="CG1675" s="110"/>
      <c r="CH1675" s="110"/>
      <c r="CI1675" s="110"/>
      <c r="CJ1675" s="110"/>
      <c r="CK1675" s="110"/>
      <c r="CL1675" s="110"/>
      <c r="CM1675" s="110"/>
      <c r="CN1675" s="110"/>
      <c r="CO1675" s="110"/>
      <c r="CP1675" s="110"/>
      <c r="CQ1675" s="110"/>
      <c r="CR1675" s="110"/>
      <c r="CS1675" s="110"/>
      <c r="CT1675" s="110"/>
      <c r="CU1675" s="110"/>
      <c r="CV1675" s="110"/>
      <c r="CW1675" s="110"/>
      <c r="CX1675" s="110"/>
      <c r="CY1675" s="110"/>
      <c r="CZ1675" s="110"/>
      <c r="DA1675" s="110"/>
      <c r="DB1675" s="110"/>
      <c r="DC1675" s="110"/>
      <c r="DD1675" s="110"/>
      <c r="DE1675" s="110"/>
      <c r="DF1675" s="110"/>
      <c r="DG1675" s="110"/>
      <c r="DH1675" s="110"/>
      <c r="DI1675" s="110"/>
      <c r="DJ1675" s="110"/>
      <c r="DK1675" s="110"/>
      <c r="DL1675" s="110"/>
      <c r="DM1675" s="110"/>
      <c r="DN1675" s="110"/>
      <c r="DO1675" s="110"/>
      <c r="DP1675" s="110"/>
      <c r="DQ1675" s="110"/>
      <c r="DR1675" s="110"/>
      <c r="DS1675" s="110"/>
      <c r="DT1675" s="110"/>
      <c r="DU1675" s="110"/>
      <c r="DV1675" s="110"/>
      <c r="DW1675" s="110"/>
      <c r="DX1675" s="110"/>
      <c r="DY1675" s="110"/>
      <c r="DZ1675" s="110"/>
      <c r="EA1675" s="110"/>
      <c r="EB1675" s="110"/>
      <c r="EC1675" s="110"/>
      <c r="ED1675" s="110"/>
      <c r="EF1675" s="264"/>
      <c r="EG1675" s="110"/>
      <c r="EH1675" s="110"/>
      <c r="EI1675" s="110"/>
      <c r="EJ1675" s="110"/>
      <c r="EK1675" s="266"/>
      <c r="EL1675" s="110"/>
      <c r="EM1675" s="110"/>
      <c r="EN1675" s="110"/>
      <c r="EO1675" s="110"/>
      <c r="EP1675" s="110"/>
      <c r="EQ1675" s="110"/>
      <c r="ER1675" s="110"/>
      <c r="ES1675" s="110"/>
      <c r="ET1675" s="110"/>
      <c r="EU1675" s="110"/>
      <c r="EV1675" s="110"/>
      <c r="EW1675" s="110"/>
      <c r="EX1675" s="110"/>
      <c r="EY1675" s="110"/>
      <c r="EZ1675" s="110"/>
      <c r="FA1675" s="110"/>
      <c r="FB1675" s="110"/>
      <c r="FC1675" s="110"/>
      <c r="FD1675" s="110"/>
      <c r="FE1675" s="110"/>
      <c r="FF1675" s="110"/>
      <c r="FG1675" s="110"/>
      <c r="FH1675" s="110"/>
      <c r="FI1675" s="110"/>
      <c r="FJ1675" s="110"/>
      <c r="FK1675" s="110"/>
      <c r="FL1675" s="110"/>
      <c r="FM1675" s="110"/>
      <c r="FN1675" s="110"/>
      <c r="FO1675" s="110"/>
      <c r="FP1675" s="110"/>
      <c r="FQ1675" s="110"/>
      <c r="FR1675" s="110"/>
      <c r="FS1675" s="110"/>
      <c r="FT1675" s="110"/>
      <c r="FU1675" s="110"/>
      <c r="FV1675" s="110"/>
      <c r="FW1675" s="110"/>
      <c r="FX1675" s="110"/>
      <c r="FY1675" s="110"/>
      <c r="FZ1675" s="110"/>
      <c r="GA1675" s="110"/>
      <c r="GB1675" s="110"/>
      <c r="GC1675" s="110"/>
      <c r="GD1675" s="110"/>
      <c r="GE1675" s="110"/>
      <c r="GF1675" s="110"/>
      <c r="GG1675" s="110"/>
      <c r="GH1675" s="110"/>
      <c r="GI1675" s="110"/>
      <c r="GJ1675" s="110"/>
      <c r="GK1675" s="110"/>
      <c r="GL1675" s="110"/>
      <c r="GM1675" s="110"/>
      <c r="GN1675" s="110"/>
      <c r="GO1675" s="110"/>
      <c r="GP1675" s="110"/>
      <c r="GQ1675" s="110"/>
      <c r="GR1675" s="110"/>
      <c r="GS1675" s="110"/>
      <c r="GT1675" s="110"/>
      <c r="GU1675" s="110"/>
      <c r="GV1675" s="110"/>
      <c r="GW1675" s="110"/>
      <c r="GX1675" s="110"/>
      <c r="GY1675" s="110"/>
      <c r="GZ1675" s="110"/>
      <c r="HA1675" s="110"/>
      <c r="HB1675" s="110"/>
      <c r="HC1675" s="110"/>
      <c r="HD1675" s="110"/>
      <c r="HE1675" s="110"/>
      <c r="HF1675" s="110"/>
      <c r="HG1675" s="110"/>
      <c r="HH1675" s="110"/>
      <c r="HI1675" s="110"/>
      <c r="HJ1675" s="110"/>
      <c r="HK1675" s="110"/>
      <c r="HL1675" s="110"/>
      <c r="HM1675" s="110"/>
      <c r="HN1675" s="110"/>
      <c r="HO1675" s="110"/>
      <c r="HP1675" s="110"/>
      <c r="HQ1675" s="110"/>
      <c r="HR1675" s="110"/>
      <c r="HS1675" s="110"/>
      <c r="HT1675" s="110"/>
      <c r="HU1675" s="110"/>
      <c r="HV1675" s="110"/>
      <c r="HW1675" s="110"/>
      <c r="HX1675" s="110"/>
      <c r="HY1675" s="110"/>
      <c r="HZ1675" s="110"/>
      <c r="IA1675" s="110"/>
      <c r="IB1675" s="110"/>
      <c r="IC1675" s="110"/>
      <c r="ID1675" s="110"/>
      <c r="IE1675" s="110"/>
      <c r="IF1675" s="110"/>
      <c r="IG1675" s="110"/>
      <c r="IH1675" s="110"/>
      <c r="II1675" s="110"/>
      <c r="IJ1675" s="110"/>
      <c r="IK1675" s="110"/>
      <c r="IL1675" s="110"/>
      <c r="IM1675" s="110"/>
      <c r="IN1675" s="110"/>
      <c r="IO1675" s="110"/>
      <c r="IP1675" s="110"/>
      <c r="IQ1675" s="110"/>
      <c r="IR1675" s="110"/>
    </row>
    <row r="1676" spans="18:252" ht="16.5" hidden="1" customHeight="1">
      <c r="R1676" s="264"/>
      <c r="S1676" s="110"/>
      <c r="T1676" s="110"/>
      <c r="U1676" s="110"/>
      <c r="V1676" s="110"/>
      <c r="W1676" s="266"/>
      <c r="X1676" s="110"/>
      <c r="Y1676" s="110"/>
      <c r="Z1676" s="110"/>
      <c r="AA1676" s="110"/>
      <c r="AB1676" s="110"/>
      <c r="AC1676" s="110"/>
      <c r="AD1676" s="110"/>
      <c r="AE1676" s="110"/>
      <c r="AF1676" s="110"/>
      <c r="AG1676" s="110"/>
      <c r="AH1676" s="110"/>
      <c r="AI1676" s="110"/>
      <c r="AJ1676" s="110"/>
      <c r="AK1676" s="110"/>
      <c r="AL1676" s="110"/>
      <c r="AM1676" s="110"/>
      <c r="AN1676" s="110"/>
      <c r="AO1676" s="110"/>
      <c r="AP1676" s="110"/>
      <c r="AQ1676" s="110"/>
      <c r="AR1676" s="110"/>
      <c r="AS1676" s="110"/>
      <c r="AT1676" s="110"/>
      <c r="AU1676" s="110"/>
      <c r="AV1676" s="110"/>
      <c r="AW1676" s="110"/>
      <c r="AX1676" s="110"/>
      <c r="AY1676" s="110"/>
      <c r="AZ1676" s="110"/>
      <c r="BA1676" s="110"/>
      <c r="BB1676" s="110"/>
      <c r="BC1676" s="110"/>
      <c r="BD1676" s="110"/>
      <c r="BE1676" s="110"/>
      <c r="BF1676" s="110"/>
      <c r="BG1676" s="110"/>
      <c r="BH1676" s="110"/>
      <c r="BI1676" s="110"/>
      <c r="BJ1676" s="110"/>
      <c r="BK1676" s="110"/>
      <c r="BL1676" s="110"/>
      <c r="BM1676" s="110"/>
      <c r="BN1676" s="110"/>
      <c r="BO1676" s="110"/>
      <c r="BP1676" s="110"/>
      <c r="BQ1676" s="110"/>
      <c r="BR1676" s="110"/>
      <c r="BS1676" s="110"/>
      <c r="BT1676" s="110"/>
      <c r="BU1676" s="110"/>
      <c r="BV1676" s="110"/>
      <c r="BW1676" s="110"/>
      <c r="BX1676" s="110"/>
      <c r="BY1676" s="110"/>
      <c r="BZ1676" s="110"/>
      <c r="CA1676" s="110"/>
      <c r="CB1676" s="110"/>
      <c r="CC1676" s="110"/>
      <c r="CD1676" s="110"/>
      <c r="CE1676" s="110"/>
      <c r="CF1676" s="110"/>
      <c r="CG1676" s="110"/>
      <c r="CH1676" s="110"/>
      <c r="CI1676" s="110"/>
      <c r="CJ1676" s="110"/>
      <c r="CK1676" s="110"/>
      <c r="CL1676" s="110"/>
      <c r="CM1676" s="110"/>
      <c r="CN1676" s="110"/>
      <c r="CO1676" s="110"/>
      <c r="CP1676" s="110"/>
      <c r="CQ1676" s="110"/>
      <c r="CR1676" s="110"/>
      <c r="CS1676" s="110"/>
      <c r="CT1676" s="110"/>
      <c r="CU1676" s="110"/>
      <c r="CV1676" s="110"/>
      <c r="CW1676" s="110"/>
      <c r="CX1676" s="110"/>
      <c r="CY1676" s="110"/>
      <c r="CZ1676" s="110"/>
      <c r="DA1676" s="110"/>
      <c r="DB1676" s="110"/>
      <c r="DC1676" s="110"/>
      <c r="DD1676" s="110"/>
      <c r="DE1676" s="110"/>
      <c r="DF1676" s="110"/>
      <c r="DG1676" s="110"/>
      <c r="DH1676" s="110"/>
      <c r="DI1676" s="110"/>
      <c r="DJ1676" s="110"/>
      <c r="DK1676" s="110"/>
      <c r="DL1676" s="110"/>
      <c r="DM1676" s="110"/>
      <c r="DN1676" s="110"/>
      <c r="DO1676" s="110"/>
      <c r="DP1676" s="110"/>
      <c r="DQ1676" s="110"/>
      <c r="DR1676" s="110"/>
      <c r="DS1676" s="110"/>
      <c r="DT1676" s="110"/>
      <c r="DU1676" s="110"/>
      <c r="DV1676" s="110"/>
      <c r="DW1676" s="110"/>
      <c r="DX1676" s="110"/>
      <c r="DY1676" s="110"/>
      <c r="DZ1676" s="110"/>
      <c r="EA1676" s="110"/>
      <c r="EB1676" s="110"/>
      <c r="EC1676" s="110"/>
      <c r="ED1676" s="110"/>
      <c r="EF1676" s="264"/>
      <c r="EG1676" s="110"/>
      <c r="EH1676" s="110"/>
      <c r="EI1676" s="110"/>
      <c r="EJ1676" s="110"/>
      <c r="EK1676" s="266"/>
      <c r="EL1676" s="110"/>
      <c r="EM1676" s="110"/>
      <c r="EN1676" s="110"/>
      <c r="EO1676" s="110"/>
      <c r="EP1676" s="110"/>
      <c r="EQ1676" s="110"/>
      <c r="ER1676" s="110"/>
      <c r="ES1676" s="110"/>
      <c r="ET1676" s="110"/>
      <c r="EU1676" s="110"/>
      <c r="EV1676" s="110"/>
      <c r="EW1676" s="110"/>
      <c r="EX1676" s="110"/>
      <c r="EY1676" s="110"/>
      <c r="EZ1676" s="110"/>
      <c r="FA1676" s="110"/>
      <c r="FB1676" s="110"/>
      <c r="FC1676" s="110"/>
      <c r="FD1676" s="110"/>
      <c r="FE1676" s="110"/>
      <c r="FF1676" s="110"/>
      <c r="FG1676" s="110"/>
      <c r="FH1676" s="110"/>
      <c r="FI1676" s="110"/>
      <c r="FJ1676" s="110"/>
      <c r="FK1676" s="110"/>
      <c r="FL1676" s="110"/>
      <c r="FM1676" s="110"/>
      <c r="FN1676" s="110"/>
      <c r="FO1676" s="110"/>
      <c r="FP1676" s="110"/>
      <c r="FQ1676" s="110"/>
      <c r="FR1676" s="110"/>
      <c r="FS1676" s="110"/>
      <c r="FT1676" s="110"/>
      <c r="FU1676" s="110"/>
      <c r="FV1676" s="110"/>
      <c r="FW1676" s="110"/>
      <c r="FX1676" s="110"/>
      <c r="FY1676" s="110"/>
      <c r="FZ1676" s="110"/>
      <c r="GA1676" s="110"/>
      <c r="GB1676" s="110"/>
      <c r="GC1676" s="110"/>
      <c r="GD1676" s="110"/>
      <c r="GE1676" s="110"/>
      <c r="GF1676" s="110"/>
      <c r="GG1676" s="110"/>
      <c r="GH1676" s="110"/>
      <c r="GI1676" s="110"/>
      <c r="GJ1676" s="110"/>
      <c r="GK1676" s="110"/>
      <c r="GL1676" s="110"/>
      <c r="GM1676" s="110"/>
      <c r="GN1676" s="110"/>
      <c r="GO1676" s="110"/>
      <c r="GP1676" s="110"/>
      <c r="GQ1676" s="110"/>
      <c r="GR1676" s="110"/>
      <c r="GS1676" s="110"/>
      <c r="GT1676" s="110"/>
      <c r="GU1676" s="110"/>
      <c r="GV1676" s="110"/>
      <c r="GW1676" s="110"/>
      <c r="GX1676" s="110"/>
      <c r="GY1676" s="110"/>
      <c r="GZ1676" s="110"/>
      <c r="HA1676" s="110"/>
      <c r="HB1676" s="110"/>
      <c r="HC1676" s="110"/>
      <c r="HD1676" s="110"/>
      <c r="HE1676" s="110"/>
      <c r="HF1676" s="110"/>
      <c r="HG1676" s="110"/>
      <c r="HH1676" s="110"/>
      <c r="HI1676" s="110"/>
      <c r="HJ1676" s="110"/>
      <c r="HK1676" s="110"/>
      <c r="HL1676" s="110"/>
      <c r="HM1676" s="110"/>
      <c r="HN1676" s="110"/>
      <c r="HO1676" s="110"/>
      <c r="HP1676" s="110"/>
      <c r="HQ1676" s="110"/>
      <c r="HR1676" s="110"/>
      <c r="HS1676" s="110"/>
      <c r="HT1676" s="110"/>
      <c r="HU1676" s="110"/>
      <c r="HV1676" s="110"/>
      <c r="HW1676" s="110"/>
      <c r="HX1676" s="110"/>
      <c r="HY1676" s="110"/>
      <c r="HZ1676" s="110"/>
      <c r="IA1676" s="110"/>
      <c r="IB1676" s="110"/>
      <c r="IC1676" s="110"/>
      <c r="ID1676" s="110"/>
      <c r="IE1676" s="110"/>
      <c r="IF1676" s="110"/>
      <c r="IG1676" s="110"/>
      <c r="IH1676" s="110"/>
      <c r="II1676" s="110"/>
      <c r="IJ1676" s="110"/>
      <c r="IK1676" s="110"/>
      <c r="IL1676" s="110"/>
      <c r="IM1676" s="110"/>
      <c r="IN1676" s="110"/>
      <c r="IO1676" s="110"/>
      <c r="IP1676" s="110"/>
      <c r="IQ1676" s="110"/>
      <c r="IR1676" s="110"/>
    </row>
    <row r="1677" spans="18:252" ht="16.5" hidden="1" customHeight="1">
      <c r="R1677" s="264"/>
      <c r="S1677" s="110"/>
      <c r="T1677" s="110"/>
      <c r="U1677" s="110"/>
      <c r="V1677" s="110"/>
      <c r="W1677" s="266"/>
      <c r="X1677" s="110"/>
      <c r="Y1677" s="110"/>
      <c r="Z1677" s="110"/>
      <c r="AA1677" s="110"/>
      <c r="AB1677" s="110"/>
      <c r="AC1677" s="110"/>
      <c r="AD1677" s="110"/>
      <c r="AE1677" s="110"/>
      <c r="AF1677" s="110"/>
      <c r="AG1677" s="110"/>
      <c r="AH1677" s="110"/>
      <c r="AI1677" s="110"/>
      <c r="AJ1677" s="110"/>
      <c r="AK1677" s="110"/>
      <c r="AL1677" s="110"/>
      <c r="AM1677" s="110"/>
      <c r="AN1677" s="110"/>
      <c r="AO1677" s="110"/>
      <c r="AP1677" s="110"/>
      <c r="AQ1677" s="110"/>
      <c r="AR1677" s="110"/>
      <c r="AS1677" s="110"/>
      <c r="AT1677" s="110"/>
      <c r="AU1677" s="110"/>
      <c r="AV1677" s="110"/>
      <c r="AW1677" s="110"/>
      <c r="AX1677" s="110"/>
      <c r="AY1677" s="110"/>
      <c r="AZ1677" s="110"/>
      <c r="BA1677" s="110"/>
      <c r="BB1677" s="110"/>
      <c r="BC1677" s="110"/>
      <c r="BD1677" s="110"/>
      <c r="BE1677" s="110"/>
      <c r="BF1677" s="110"/>
      <c r="BG1677" s="110"/>
      <c r="BH1677" s="110"/>
      <c r="BI1677" s="110"/>
      <c r="BJ1677" s="110"/>
      <c r="BK1677" s="110"/>
      <c r="BL1677" s="110"/>
      <c r="BM1677" s="110"/>
      <c r="BN1677" s="110"/>
      <c r="BO1677" s="110"/>
      <c r="BP1677" s="110"/>
      <c r="BQ1677" s="110"/>
      <c r="BR1677" s="110"/>
      <c r="BS1677" s="110"/>
      <c r="BT1677" s="110"/>
      <c r="BU1677" s="110"/>
      <c r="BV1677" s="110"/>
      <c r="BW1677" s="110"/>
      <c r="BX1677" s="110"/>
      <c r="BY1677" s="110"/>
      <c r="BZ1677" s="110"/>
      <c r="CA1677" s="110"/>
      <c r="CB1677" s="110"/>
      <c r="CC1677" s="110"/>
      <c r="CD1677" s="110"/>
      <c r="CE1677" s="110"/>
      <c r="CF1677" s="110"/>
      <c r="CG1677" s="110"/>
      <c r="CH1677" s="110"/>
      <c r="CI1677" s="110"/>
      <c r="CJ1677" s="110"/>
      <c r="CK1677" s="110"/>
      <c r="CL1677" s="110"/>
      <c r="CM1677" s="110"/>
      <c r="CN1677" s="110"/>
      <c r="CO1677" s="110"/>
      <c r="CP1677" s="110"/>
      <c r="CQ1677" s="110"/>
      <c r="CR1677" s="110"/>
      <c r="CS1677" s="110"/>
      <c r="CT1677" s="110"/>
      <c r="CU1677" s="110"/>
      <c r="CV1677" s="110"/>
      <c r="CW1677" s="110"/>
      <c r="CX1677" s="110"/>
      <c r="CY1677" s="110"/>
      <c r="CZ1677" s="110"/>
      <c r="DA1677" s="110"/>
      <c r="DB1677" s="110"/>
      <c r="DC1677" s="110"/>
      <c r="DD1677" s="110"/>
      <c r="DE1677" s="110"/>
      <c r="DF1677" s="110"/>
      <c r="DG1677" s="110"/>
      <c r="DH1677" s="110"/>
      <c r="DI1677" s="110"/>
      <c r="DJ1677" s="110"/>
      <c r="DK1677" s="110"/>
      <c r="DL1677" s="110"/>
      <c r="DM1677" s="110"/>
      <c r="DN1677" s="110"/>
      <c r="DO1677" s="110"/>
      <c r="DP1677" s="110"/>
      <c r="DQ1677" s="110"/>
      <c r="DR1677" s="110"/>
      <c r="DS1677" s="110"/>
      <c r="DT1677" s="110"/>
      <c r="DU1677" s="110"/>
      <c r="DV1677" s="110"/>
      <c r="DW1677" s="110"/>
      <c r="DX1677" s="110"/>
      <c r="DY1677" s="110"/>
      <c r="DZ1677" s="110"/>
      <c r="EA1677" s="110"/>
      <c r="EB1677" s="110"/>
      <c r="EC1677" s="110"/>
      <c r="ED1677" s="110"/>
      <c r="EF1677" s="264"/>
      <c r="EG1677" s="110"/>
      <c r="EH1677" s="110"/>
      <c r="EI1677" s="110"/>
      <c r="EJ1677" s="110"/>
      <c r="EK1677" s="266"/>
      <c r="EL1677" s="110"/>
      <c r="EM1677" s="110"/>
      <c r="EN1677" s="110"/>
      <c r="EO1677" s="110"/>
      <c r="EP1677" s="110"/>
      <c r="EQ1677" s="110"/>
      <c r="ER1677" s="110"/>
      <c r="ES1677" s="110"/>
      <c r="ET1677" s="110"/>
      <c r="EU1677" s="110"/>
      <c r="EV1677" s="110"/>
      <c r="EW1677" s="110"/>
      <c r="EX1677" s="110"/>
      <c r="EY1677" s="110"/>
      <c r="EZ1677" s="110"/>
      <c r="FA1677" s="110"/>
      <c r="FB1677" s="110"/>
      <c r="FC1677" s="110"/>
      <c r="FD1677" s="110"/>
      <c r="FE1677" s="110"/>
      <c r="FF1677" s="110"/>
      <c r="FG1677" s="110"/>
      <c r="FH1677" s="110"/>
      <c r="FI1677" s="110"/>
      <c r="FJ1677" s="110"/>
      <c r="FK1677" s="110"/>
      <c r="FL1677" s="110"/>
      <c r="FM1677" s="110"/>
      <c r="FN1677" s="110"/>
      <c r="FO1677" s="110"/>
      <c r="FP1677" s="110"/>
      <c r="FQ1677" s="110"/>
      <c r="FR1677" s="110"/>
      <c r="FS1677" s="110"/>
      <c r="FT1677" s="110"/>
      <c r="FU1677" s="110"/>
      <c r="FV1677" s="110"/>
      <c r="FW1677" s="110"/>
      <c r="FX1677" s="110"/>
      <c r="FY1677" s="110"/>
      <c r="FZ1677" s="110"/>
      <c r="GA1677" s="110"/>
      <c r="GB1677" s="110"/>
      <c r="GC1677" s="110"/>
      <c r="GD1677" s="110"/>
      <c r="GE1677" s="110"/>
      <c r="GF1677" s="110"/>
      <c r="GG1677" s="110"/>
      <c r="GH1677" s="110"/>
      <c r="GI1677" s="110"/>
      <c r="GJ1677" s="110"/>
      <c r="GK1677" s="110"/>
      <c r="GL1677" s="110"/>
      <c r="GM1677" s="110"/>
      <c r="GN1677" s="110"/>
      <c r="GO1677" s="110"/>
      <c r="GP1677" s="110"/>
      <c r="GQ1677" s="110"/>
      <c r="GR1677" s="110"/>
      <c r="GS1677" s="110"/>
      <c r="GT1677" s="110"/>
      <c r="GU1677" s="110"/>
      <c r="GV1677" s="110"/>
      <c r="GW1677" s="110"/>
      <c r="GX1677" s="110"/>
      <c r="GY1677" s="110"/>
      <c r="GZ1677" s="110"/>
      <c r="HA1677" s="110"/>
      <c r="HB1677" s="110"/>
      <c r="HC1677" s="110"/>
      <c r="HD1677" s="110"/>
      <c r="HE1677" s="110"/>
      <c r="HF1677" s="110"/>
      <c r="HG1677" s="110"/>
      <c r="HH1677" s="110"/>
      <c r="HI1677" s="110"/>
      <c r="HJ1677" s="110"/>
      <c r="HK1677" s="110"/>
      <c r="HL1677" s="110"/>
      <c r="HM1677" s="110"/>
      <c r="HN1677" s="110"/>
      <c r="HO1677" s="110"/>
      <c r="HP1677" s="110"/>
      <c r="HQ1677" s="110"/>
      <c r="HR1677" s="110"/>
      <c r="HS1677" s="110"/>
      <c r="HT1677" s="110"/>
      <c r="HU1677" s="110"/>
      <c r="HV1677" s="110"/>
      <c r="HW1677" s="110"/>
      <c r="HX1677" s="110"/>
      <c r="HY1677" s="110"/>
      <c r="HZ1677" s="110"/>
      <c r="IA1677" s="110"/>
      <c r="IB1677" s="110"/>
      <c r="IC1677" s="110"/>
      <c r="ID1677" s="110"/>
      <c r="IE1677" s="110"/>
      <c r="IF1677" s="110"/>
      <c r="IG1677" s="110"/>
      <c r="IH1677" s="110"/>
      <c r="II1677" s="110"/>
      <c r="IJ1677" s="110"/>
      <c r="IK1677" s="110"/>
      <c r="IL1677" s="110"/>
      <c r="IM1677" s="110"/>
      <c r="IN1677" s="110"/>
      <c r="IO1677" s="110"/>
      <c r="IP1677" s="110"/>
      <c r="IQ1677" s="110"/>
      <c r="IR1677" s="110"/>
    </row>
    <row r="1678" spans="18:252" ht="16.5" hidden="1" customHeight="1">
      <c r="R1678" s="264"/>
      <c r="S1678" s="110"/>
      <c r="T1678" s="110"/>
      <c r="U1678" s="110"/>
      <c r="V1678" s="110"/>
      <c r="W1678" s="266"/>
      <c r="X1678" s="110"/>
      <c r="Y1678" s="110"/>
      <c r="Z1678" s="110"/>
      <c r="AA1678" s="110"/>
      <c r="AB1678" s="110"/>
      <c r="AC1678" s="110"/>
      <c r="AD1678" s="110"/>
      <c r="AE1678" s="110"/>
      <c r="AF1678" s="110"/>
      <c r="AG1678" s="110"/>
      <c r="AH1678" s="110"/>
      <c r="AI1678" s="110"/>
      <c r="AJ1678" s="110"/>
      <c r="AK1678" s="110"/>
      <c r="AL1678" s="110"/>
      <c r="AM1678" s="110"/>
      <c r="AN1678" s="110"/>
      <c r="AO1678" s="110"/>
      <c r="AP1678" s="110"/>
      <c r="AQ1678" s="110"/>
      <c r="AR1678" s="110"/>
      <c r="AS1678" s="110"/>
      <c r="AT1678" s="110"/>
      <c r="AU1678" s="110"/>
      <c r="AV1678" s="110"/>
      <c r="AW1678" s="110"/>
      <c r="AX1678" s="110"/>
      <c r="AY1678" s="110"/>
      <c r="AZ1678" s="110"/>
      <c r="BA1678" s="110"/>
      <c r="BB1678" s="110"/>
      <c r="BC1678" s="110"/>
      <c r="BD1678" s="110"/>
      <c r="BE1678" s="110"/>
      <c r="BF1678" s="110"/>
      <c r="BG1678" s="110"/>
      <c r="BH1678" s="110"/>
      <c r="BI1678" s="110"/>
      <c r="BJ1678" s="110"/>
      <c r="BK1678" s="110"/>
      <c r="BL1678" s="110"/>
      <c r="BM1678" s="110"/>
      <c r="BN1678" s="110"/>
      <c r="BO1678" s="110"/>
      <c r="BP1678" s="110"/>
      <c r="BQ1678" s="110"/>
      <c r="BR1678" s="110"/>
      <c r="BS1678" s="110"/>
      <c r="BT1678" s="110"/>
      <c r="BU1678" s="110"/>
      <c r="BV1678" s="110"/>
      <c r="BW1678" s="110"/>
      <c r="BX1678" s="110"/>
      <c r="BY1678" s="110"/>
      <c r="BZ1678" s="110"/>
      <c r="CA1678" s="110"/>
      <c r="CB1678" s="110"/>
      <c r="CC1678" s="110"/>
      <c r="CD1678" s="110"/>
      <c r="CE1678" s="110"/>
      <c r="CF1678" s="110"/>
      <c r="CG1678" s="110"/>
      <c r="CH1678" s="110"/>
      <c r="CI1678" s="110"/>
      <c r="CJ1678" s="110"/>
      <c r="CK1678" s="110"/>
      <c r="CL1678" s="110"/>
      <c r="CM1678" s="110"/>
      <c r="CN1678" s="110"/>
      <c r="CO1678" s="110"/>
      <c r="CP1678" s="110"/>
      <c r="CQ1678" s="110"/>
      <c r="CR1678" s="110"/>
      <c r="CS1678" s="110"/>
      <c r="CT1678" s="110"/>
      <c r="CU1678" s="110"/>
      <c r="CV1678" s="110"/>
      <c r="CW1678" s="110"/>
      <c r="CX1678" s="110"/>
      <c r="CY1678" s="110"/>
      <c r="CZ1678" s="110"/>
      <c r="DA1678" s="110"/>
      <c r="DB1678" s="110"/>
      <c r="DC1678" s="110"/>
      <c r="DD1678" s="110"/>
      <c r="DE1678" s="110"/>
      <c r="DF1678" s="110"/>
      <c r="DG1678" s="110"/>
      <c r="DH1678" s="110"/>
      <c r="DI1678" s="110"/>
      <c r="DJ1678" s="110"/>
      <c r="DK1678" s="110"/>
      <c r="DL1678" s="110"/>
      <c r="DM1678" s="110"/>
      <c r="DN1678" s="110"/>
      <c r="DO1678" s="110"/>
      <c r="DP1678" s="110"/>
      <c r="DQ1678" s="110"/>
      <c r="DR1678" s="110"/>
      <c r="DS1678" s="110"/>
      <c r="DT1678" s="110"/>
      <c r="DU1678" s="110"/>
      <c r="DV1678" s="110"/>
      <c r="DW1678" s="110"/>
      <c r="DX1678" s="110"/>
      <c r="DY1678" s="110"/>
      <c r="DZ1678" s="110"/>
      <c r="EA1678" s="110"/>
      <c r="EB1678" s="110"/>
      <c r="EC1678" s="110"/>
      <c r="ED1678" s="110"/>
      <c r="EF1678" s="264"/>
      <c r="EG1678" s="110"/>
      <c r="EH1678" s="110"/>
      <c r="EI1678" s="110"/>
      <c r="EJ1678" s="110"/>
      <c r="EK1678" s="266"/>
      <c r="EL1678" s="110"/>
      <c r="EM1678" s="110"/>
      <c r="EN1678" s="110"/>
      <c r="EO1678" s="110"/>
      <c r="EP1678" s="110"/>
      <c r="EQ1678" s="110"/>
      <c r="ER1678" s="110"/>
      <c r="ES1678" s="110"/>
      <c r="ET1678" s="110"/>
      <c r="EU1678" s="110"/>
      <c r="EV1678" s="110"/>
      <c r="EW1678" s="110"/>
      <c r="EX1678" s="110"/>
      <c r="EY1678" s="110"/>
      <c r="EZ1678" s="110"/>
      <c r="FA1678" s="110"/>
      <c r="FB1678" s="110"/>
      <c r="FC1678" s="110"/>
      <c r="FD1678" s="110"/>
      <c r="FE1678" s="110"/>
      <c r="FF1678" s="110"/>
      <c r="FG1678" s="110"/>
      <c r="FH1678" s="110"/>
      <c r="FI1678" s="110"/>
      <c r="FJ1678" s="110"/>
      <c r="FK1678" s="110"/>
      <c r="FL1678" s="110"/>
      <c r="FM1678" s="110"/>
      <c r="FN1678" s="110"/>
      <c r="FO1678" s="110"/>
      <c r="FP1678" s="110"/>
      <c r="FQ1678" s="110"/>
      <c r="FR1678" s="110"/>
      <c r="FS1678" s="110"/>
      <c r="FT1678" s="110"/>
      <c r="FU1678" s="110"/>
      <c r="FV1678" s="110"/>
      <c r="FW1678" s="110"/>
      <c r="FX1678" s="110"/>
      <c r="FY1678" s="110"/>
      <c r="FZ1678" s="110"/>
      <c r="GA1678" s="110"/>
      <c r="GB1678" s="110"/>
      <c r="GC1678" s="110"/>
      <c r="GD1678" s="110"/>
      <c r="GE1678" s="110"/>
      <c r="GF1678" s="110"/>
      <c r="GG1678" s="110"/>
      <c r="GH1678" s="110"/>
      <c r="GI1678" s="110"/>
      <c r="GJ1678" s="110"/>
      <c r="GK1678" s="110"/>
      <c r="GL1678" s="110"/>
      <c r="GM1678" s="110"/>
      <c r="GN1678" s="110"/>
      <c r="GO1678" s="110"/>
      <c r="GP1678" s="110"/>
      <c r="GQ1678" s="110"/>
      <c r="GR1678" s="110"/>
      <c r="GS1678" s="110"/>
      <c r="GT1678" s="110"/>
      <c r="GU1678" s="110"/>
      <c r="GV1678" s="110"/>
      <c r="GW1678" s="110"/>
      <c r="GX1678" s="110"/>
      <c r="GY1678" s="110"/>
      <c r="GZ1678" s="110"/>
      <c r="HA1678" s="110"/>
      <c r="HB1678" s="110"/>
      <c r="HC1678" s="110"/>
      <c r="HD1678" s="110"/>
      <c r="HE1678" s="110"/>
      <c r="HF1678" s="110"/>
      <c r="HG1678" s="110"/>
      <c r="HH1678" s="110"/>
      <c r="HI1678" s="110"/>
      <c r="HJ1678" s="110"/>
      <c r="HK1678" s="110"/>
      <c r="HL1678" s="110"/>
      <c r="HM1678" s="110"/>
      <c r="HN1678" s="110"/>
      <c r="HO1678" s="110"/>
      <c r="HP1678" s="110"/>
      <c r="HQ1678" s="110"/>
      <c r="HR1678" s="110"/>
      <c r="HS1678" s="110"/>
      <c r="HT1678" s="110"/>
      <c r="HU1678" s="110"/>
      <c r="HV1678" s="110"/>
      <c r="HW1678" s="110"/>
      <c r="HX1678" s="110"/>
      <c r="HY1678" s="110"/>
      <c r="HZ1678" s="110"/>
      <c r="IA1678" s="110"/>
      <c r="IB1678" s="110"/>
      <c r="IC1678" s="110"/>
      <c r="ID1678" s="110"/>
      <c r="IE1678" s="110"/>
      <c r="IF1678" s="110"/>
      <c r="IG1678" s="110"/>
      <c r="IH1678" s="110"/>
      <c r="II1678" s="110"/>
      <c r="IJ1678" s="110"/>
      <c r="IK1678" s="110"/>
      <c r="IL1678" s="110"/>
      <c r="IM1678" s="110"/>
      <c r="IN1678" s="110"/>
      <c r="IO1678" s="110"/>
      <c r="IP1678" s="110"/>
      <c r="IQ1678" s="110"/>
      <c r="IR1678" s="110"/>
    </row>
    <row r="1679" spans="18:252" ht="16.5" hidden="1" customHeight="1">
      <c r="R1679" s="264"/>
      <c r="S1679" s="110"/>
      <c r="T1679" s="110"/>
      <c r="U1679" s="110"/>
      <c r="V1679" s="110"/>
      <c r="W1679" s="266"/>
      <c r="X1679" s="110"/>
      <c r="Y1679" s="110"/>
      <c r="Z1679" s="110"/>
      <c r="AA1679" s="110"/>
      <c r="AB1679" s="110"/>
      <c r="AC1679" s="110"/>
      <c r="AD1679" s="110"/>
      <c r="AE1679" s="110"/>
      <c r="AF1679" s="110"/>
      <c r="AG1679" s="110"/>
      <c r="AH1679" s="110"/>
      <c r="AI1679" s="110"/>
      <c r="AJ1679" s="110"/>
      <c r="AK1679" s="110"/>
      <c r="AL1679" s="110"/>
      <c r="AM1679" s="110"/>
      <c r="AN1679" s="110"/>
      <c r="AO1679" s="110"/>
      <c r="AP1679" s="110"/>
      <c r="AQ1679" s="110"/>
      <c r="AR1679" s="110"/>
      <c r="AS1679" s="110"/>
      <c r="AT1679" s="110"/>
      <c r="AU1679" s="110"/>
      <c r="AV1679" s="110"/>
      <c r="AW1679" s="110"/>
      <c r="AX1679" s="110"/>
      <c r="AY1679" s="110"/>
      <c r="AZ1679" s="110"/>
      <c r="BA1679" s="110"/>
      <c r="BB1679" s="110"/>
      <c r="BC1679" s="110"/>
      <c r="BD1679" s="110"/>
      <c r="BE1679" s="110"/>
      <c r="BF1679" s="110"/>
      <c r="BG1679" s="110"/>
      <c r="BH1679" s="110"/>
      <c r="BI1679" s="110"/>
      <c r="BJ1679" s="110"/>
      <c r="BK1679" s="110"/>
      <c r="BL1679" s="110"/>
      <c r="BM1679" s="110"/>
      <c r="BN1679" s="110"/>
      <c r="BO1679" s="110"/>
      <c r="BP1679" s="110"/>
      <c r="BQ1679" s="110"/>
      <c r="BR1679" s="110"/>
      <c r="BS1679" s="110"/>
      <c r="BT1679" s="110"/>
      <c r="BU1679" s="110"/>
      <c r="BV1679" s="110"/>
      <c r="BW1679" s="110"/>
      <c r="BX1679" s="110"/>
      <c r="BY1679" s="110"/>
      <c r="BZ1679" s="110"/>
      <c r="CA1679" s="110"/>
      <c r="CB1679" s="110"/>
      <c r="CC1679" s="110"/>
      <c r="CD1679" s="110"/>
      <c r="CE1679" s="110"/>
      <c r="CF1679" s="110"/>
      <c r="CG1679" s="110"/>
      <c r="CH1679" s="110"/>
      <c r="CI1679" s="110"/>
      <c r="CJ1679" s="110"/>
      <c r="CK1679" s="110"/>
      <c r="CL1679" s="110"/>
      <c r="CM1679" s="110"/>
      <c r="CN1679" s="110"/>
      <c r="CO1679" s="110"/>
      <c r="CP1679" s="110"/>
      <c r="CQ1679" s="110"/>
      <c r="CR1679" s="110"/>
      <c r="CS1679" s="110"/>
      <c r="CT1679" s="110"/>
      <c r="CU1679" s="110"/>
      <c r="CV1679" s="110"/>
      <c r="CW1679" s="110"/>
      <c r="CX1679" s="110"/>
      <c r="CY1679" s="110"/>
      <c r="CZ1679" s="110"/>
      <c r="DA1679" s="110"/>
      <c r="DB1679" s="110"/>
      <c r="DC1679" s="110"/>
      <c r="DD1679" s="110"/>
      <c r="DE1679" s="110"/>
      <c r="DF1679" s="110"/>
      <c r="DG1679" s="110"/>
      <c r="DH1679" s="110"/>
      <c r="DI1679" s="110"/>
      <c r="DJ1679" s="110"/>
      <c r="DK1679" s="110"/>
      <c r="DL1679" s="110"/>
      <c r="DM1679" s="110"/>
      <c r="DN1679" s="110"/>
      <c r="DO1679" s="110"/>
      <c r="DP1679" s="110"/>
      <c r="DQ1679" s="110"/>
      <c r="DR1679" s="110"/>
      <c r="DS1679" s="110"/>
      <c r="DT1679" s="110"/>
      <c r="DU1679" s="110"/>
      <c r="DV1679" s="110"/>
      <c r="DW1679" s="110"/>
      <c r="DX1679" s="110"/>
      <c r="DY1679" s="110"/>
      <c r="DZ1679" s="110"/>
      <c r="EA1679" s="110"/>
      <c r="EB1679" s="110"/>
      <c r="EC1679" s="110"/>
      <c r="ED1679" s="110"/>
      <c r="EF1679" s="264"/>
      <c r="EG1679" s="110"/>
      <c r="EH1679" s="110"/>
      <c r="EI1679" s="110"/>
      <c r="EJ1679" s="110"/>
      <c r="EK1679" s="266"/>
      <c r="EL1679" s="110"/>
      <c r="EM1679" s="110"/>
      <c r="EN1679" s="110"/>
      <c r="EO1679" s="110"/>
      <c r="EP1679" s="110"/>
      <c r="EQ1679" s="110"/>
      <c r="ER1679" s="110"/>
      <c r="ES1679" s="110"/>
      <c r="ET1679" s="110"/>
      <c r="EU1679" s="110"/>
      <c r="EV1679" s="110"/>
      <c r="EW1679" s="110"/>
      <c r="EX1679" s="110"/>
      <c r="EY1679" s="110"/>
      <c r="EZ1679" s="110"/>
      <c r="FA1679" s="110"/>
      <c r="FB1679" s="110"/>
      <c r="FC1679" s="110"/>
      <c r="FD1679" s="110"/>
      <c r="FE1679" s="110"/>
      <c r="FF1679" s="110"/>
      <c r="FG1679" s="110"/>
      <c r="FH1679" s="110"/>
      <c r="FI1679" s="110"/>
      <c r="FJ1679" s="110"/>
      <c r="FK1679" s="110"/>
      <c r="FL1679" s="110"/>
      <c r="FM1679" s="110"/>
      <c r="FN1679" s="110"/>
      <c r="FO1679" s="110"/>
      <c r="FP1679" s="110"/>
      <c r="FQ1679" s="110"/>
      <c r="FR1679" s="110"/>
      <c r="FS1679" s="110"/>
      <c r="FT1679" s="110"/>
      <c r="FU1679" s="110"/>
      <c r="FV1679" s="110"/>
      <c r="FW1679" s="110"/>
      <c r="FX1679" s="110"/>
      <c r="FY1679" s="110"/>
      <c r="FZ1679" s="110"/>
      <c r="GA1679" s="110"/>
      <c r="GB1679" s="110"/>
      <c r="GC1679" s="110"/>
      <c r="GD1679" s="110"/>
      <c r="GE1679" s="110"/>
      <c r="GF1679" s="110"/>
      <c r="GG1679" s="110"/>
      <c r="GH1679" s="110"/>
      <c r="GI1679" s="110"/>
      <c r="GJ1679" s="110"/>
      <c r="GK1679" s="110"/>
      <c r="GL1679" s="110"/>
      <c r="GM1679" s="110"/>
      <c r="GN1679" s="110"/>
      <c r="GO1679" s="110"/>
      <c r="GP1679" s="110"/>
      <c r="GQ1679" s="110"/>
      <c r="GR1679" s="110"/>
      <c r="GS1679" s="110"/>
      <c r="GT1679" s="110"/>
      <c r="GU1679" s="110"/>
      <c r="GV1679" s="110"/>
      <c r="GW1679" s="110"/>
      <c r="GX1679" s="110"/>
      <c r="GY1679" s="110"/>
      <c r="GZ1679" s="110"/>
      <c r="HA1679" s="110"/>
      <c r="HB1679" s="110"/>
      <c r="HC1679" s="110"/>
      <c r="HD1679" s="110"/>
      <c r="HE1679" s="110"/>
      <c r="HF1679" s="110"/>
      <c r="HG1679" s="110"/>
      <c r="HH1679" s="110"/>
      <c r="HI1679" s="110"/>
      <c r="HJ1679" s="110"/>
      <c r="HK1679" s="110"/>
      <c r="HL1679" s="110"/>
      <c r="HM1679" s="110"/>
      <c r="HN1679" s="110"/>
      <c r="HO1679" s="110"/>
      <c r="HP1679" s="110"/>
      <c r="HQ1679" s="110"/>
      <c r="HR1679" s="110"/>
      <c r="HS1679" s="110"/>
      <c r="HT1679" s="110"/>
      <c r="HU1679" s="110"/>
      <c r="HV1679" s="110"/>
      <c r="HW1679" s="110"/>
      <c r="HX1679" s="110"/>
      <c r="HY1679" s="110"/>
      <c r="HZ1679" s="110"/>
      <c r="IA1679" s="110"/>
      <c r="IB1679" s="110"/>
      <c r="IC1679" s="110"/>
      <c r="ID1679" s="110"/>
      <c r="IE1679" s="110"/>
      <c r="IF1679" s="110"/>
      <c r="IG1679" s="110"/>
      <c r="IH1679" s="110"/>
      <c r="II1679" s="110"/>
      <c r="IJ1679" s="110"/>
      <c r="IK1679" s="110"/>
      <c r="IL1679" s="110"/>
      <c r="IM1679" s="110"/>
      <c r="IN1679" s="110"/>
      <c r="IO1679" s="110"/>
      <c r="IP1679" s="110"/>
      <c r="IQ1679" s="110"/>
      <c r="IR1679" s="110"/>
    </row>
    <row r="1680" spans="18:252" ht="16.5" hidden="1" customHeight="1">
      <c r="R1680" s="264"/>
      <c r="S1680" s="110"/>
      <c r="T1680" s="110"/>
      <c r="U1680" s="110"/>
      <c r="V1680" s="110"/>
      <c r="W1680" s="266"/>
      <c r="X1680" s="110"/>
      <c r="Y1680" s="110"/>
      <c r="Z1680" s="110"/>
      <c r="AA1680" s="110"/>
      <c r="AB1680" s="110"/>
      <c r="AC1680" s="110"/>
      <c r="AD1680" s="110"/>
      <c r="AE1680" s="110"/>
      <c r="AF1680" s="110"/>
      <c r="AG1680" s="110"/>
      <c r="AH1680" s="110"/>
      <c r="AI1680" s="110"/>
      <c r="AJ1680" s="110"/>
      <c r="AK1680" s="110"/>
      <c r="AL1680" s="110"/>
      <c r="AM1680" s="110"/>
      <c r="AN1680" s="110"/>
      <c r="AO1680" s="110"/>
      <c r="AP1680" s="110"/>
      <c r="AQ1680" s="110"/>
      <c r="AR1680" s="110"/>
      <c r="AS1680" s="110"/>
      <c r="AT1680" s="110"/>
      <c r="AU1680" s="110"/>
      <c r="AV1680" s="110"/>
      <c r="AW1680" s="110"/>
      <c r="AX1680" s="110"/>
      <c r="AY1680" s="110"/>
      <c r="AZ1680" s="110"/>
      <c r="BA1680" s="110"/>
      <c r="BB1680" s="110"/>
      <c r="BC1680" s="110"/>
      <c r="BD1680" s="110"/>
      <c r="BE1680" s="110"/>
      <c r="BF1680" s="110"/>
      <c r="BG1680" s="110"/>
      <c r="BH1680" s="110"/>
      <c r="BI1680" s="110"/>
      <c r="BJ1680" s="110"/>
      <c r="BK1680" s="110"/>
      <c r="BL1680" s="110"/>
      <c r="BM1680" s="110"/>
      <c r="BN1680" s="110"/>
      <c r="BO1680" s="110"/>
      <c r="BP1680" s="110"/>
      <c r="BQ1680" s="110"/>
      <c r="BR1680" s="110"/>
      <c r="BS1680" s="110"/>
      <c r="BT1680" s="110"/>
      <c r="BU1680" s="110"/>
      <c r="BV1680" s="110"/>
      <c r="BW1680" s="110"/>
      <c r="BX1680" s="110"/>
      <c r="BY1680" s="110"/>
      <c r="BZ1680" s="110"/>
      <c r="CA1680" s="110"/>
      <c r="CB1680" s="110"/>
      <c r="CC1680" s="110"/>
      <c r="CD1680" s="110"/>
      <c r="CE1680" s="110"/>
      <c r="CF1680" s="110"/>
      <c r="CG1680" s="110"/>
      <c r="CH1680" s="110"/>
      <c r="CI1680" s="110"/>
      <c r="CJ1680" s="110"/>
      <c r="CK1680" s="110"/>
      <c r="CL1680" s="110"/>
      <c r="CM1680" s="110"/>
      <c r="CN1680" s="110"/>
      <c r="CO1680" s="110"/>
      <c r="CP1680" s="110"/>
      <c r="CQ1680" s="110"/>
      <c r="CR1680" s="110"/>
      <c r="CS1680" s="110"/>
      <c r="CT1680" s="110"/>
      <c r="CU1680" s="110"/>
      <c r="CV1680" s="110"/>
      <c r="CW1680" s="110"/>
      <c r="CX1680" s="110"/>
      <c r="CY1680" s="110"/>
      <c r="CZ1680" s="110"/>
      <c r="DA1680" s="110"/>
      <c r="DB1680" s="110"/>
      <c r="DC1680" s="110"/>
      <c r="DD1680" s="110"/>
      <c r="DE1680" s="110"/>
      <c r="DF1680" s="110"/>
      <c r="DG1680" s="110"/>
      <c r="DH1680" s="110"/>
      <c r="DI1680" s="110"/>
      <c r="DJ1680" s="110"/>
      <c r="DK1680" s="110"/>
      <c r="DL1680" s="110"/>
      <c r="DM1680" s="110"/>
      <c r="DN1680" s="110"/>
      <c r="DO1680" s="110"/>
      <c r="DP1680" s="110"/>
      <c r="DQ1680" s="110"/>
      <c r="DR1680" s="110"/>
      <c r="DS1680" s="110"/>
      <c r="DT1680" s="110"/>
      <c r="DU1680" s="110"/>
      <c r="DV1680" s="110"/>
      <c r="DW1680" s="110"/>
      <c r="DX1680" s="110"/>
      <c r="DY1680" s="110"/>
      <c r="DZ1680" s="110"/>
      <c r="EA1680" s="110"/>
      <c r="EB1680" s="110"/>
      <c r="EC1680" s="110"/>
      <c r="ED1680" s="110"/>
      <c r="EF1680" s="264"/>
      <c r="EG1680" s="110"/>
      <c r="EH1680" s="110"/>
      <c r="EI1680" s="110"/>
      <c r="EJ1680" s="110"/>
      <c r="EK1680" s="266"/>
      <c r="EL1680" s="110"/>
      <c r="EM1680" s="110"/>
      <c r="EN1680" s="110"/>
      <c r="EO1680" s="110"/>
      <c r="EP1680" s="110"/>
      <c r="EQ1680" s="110"/>
      <c r="ER1680" s="110"/>
      <c r="ES1680" s="110"/>
      <c r="ET1680" s="110"/>
      <c r="EU1680" s="110"/>
      <c r="EV1680" s="110"/>
      <c r="EW1680" s="110"/>
      <c r="EX1680" s="110"/>
      <c r="EY1680" s="110"/>
      <c r="EZ1680" s="110"/>
      <c r="FA1680" s="110"/>
      <c r="FB1680" s="110"/>
      <c r="FC1680" s="110"/>
      <c r="FD1680" s="110"/>
      <c r="FE1680" s="110"/>
      <c r="FF1680" s="110"/>
      <c r="FG1680" s="110"/>
      <c r="FH1680" s="110"/>
      <c r="FI1680" s="110"/>
      <c r="FJ1680" s="110"/>
      <c r="FK1680" s="110"/>
      <c r="FL1680" s="110"/>
      <c r="FM1680" s="110"/>
      <c r="FN1680" s="110"/>
      <c r="FO1680" s="110"/>
      <c r="FP1680" s="110"/>
      <c r="FQ1680" s="110"/>
      <c r="FR1680" s="110"/>
      <c r="FS1680" s="110"/>
      <c r="FT1680" s="110"/>
      <c r="FU1680" s="110"/>
      <c r="FV1680" s="110"/>
      <c r="FW1680" s="110"/>
      <c r="FX1680" s="110"/>
      <c r="FY1680" s="110"/>
      <c r="FZ1680" s="110"/>
      <c r="GA1680" s="110"/>
      <c r="GB1680" s="110"/>
      <c r="GC1680" s="110"/>
      <c r="GD1680" s="110"/>
      <c r="GE1680" s="110"/>
      <c r="GF1680" s="110"/>
      <c r="GG1680" s="110"/>
      <c r="GH1680" s="110"/>
      <c r="GI1680" s="110"/>
      <c r="GJ1680" s="110"/>
      <c r="GK1680" s="110"/>
      <c r="GL1680" s="110"/>
      <c r="GM1680" s="110"/>
      <c r="GN1680" s="110"/>
      <c r="GO1680" s="110"/>
      <c r="GP1680" s="110"/>
      <c r="GQ1680" s="110"/>
      <c r="GR1680" s="110"/>
      <c r="GS1680" s="110"/>
      <c r="GT1680" s="110"/>
      <c r="GU1680" s="110"/>
      <c r="GV1680" s="110"/>
      <c r="GW1680" s="110"/>
      <c r="GX1680" s="110"/>
      <c r="GY1680" s="110"/>
      <c r="GZ1680" s="110"/>
      <c r="HA1680" s="110"/>
      <c r="HB1680" s="110"/>
      <c r="HC1680" s="110"/>
      <c r="HD1680" s="110"/>
      <c r="HE1680" s="110"/>
      <c r="HF1680" s="110"/>
      <c r="HG1680" s="110"/>
      <c r="HH1680" s="110"/>
      <c r="HI1680" s="110"/>
      <c r="HJ1680" s="110"/>
      <c r="HK1680" s="110"/>
      <c r="HL1680" s="110"/>
      <c r="HM1680" s="110"/>
      <c r="HN1680" s="110"/>
      <c r="HO1680" s="110"/>
      <c r="HP1680" s="110"/>
      <c r="HQ1680" s="110"/>
      <c r="HR1680" s="110"/>
      <c r="HS1680" s="110"/>
      <c r="HT1680" s="110"/>
      <c r="HU1680" s="110"/>
      <c r="HV1680" s="110"/>
      <c r="HW1680" s="110"/>
      <c r="HX1680" s="110"/>
      <c r="HY1680" s="110"/>
      <c r="HZ1680" s="110"/>
      <c r="IA1680" s="110"/>
      <c r="IB1680" s="110"/>
      <c r="IC1680" s="110"/>
      <c r="ID1680" s="110"/>
      <c r="IE1680" s="110"/>
      <c r="IF1680" s="110"/>
      <c r="IG1680" s="110"/>
      <c r="IH1680" s="110"/>
      <c r="II1680" s="110"/>
      <c r="IJ1680" s="110"/>
      <c r="IK1680" s="110"/>
      <c r="IL1680" s="110"/>
      <c r="IM1680" s="110"/>
      <c r="IN1680" s="110"/>
      <c r="IO1680" s="110"/>
      <c r="IP1680" s="110"/>
      <c r="IQ1680" s="110"/>
      <c r="IR1680" s="110"/>
    </row>
    <row r="1681" spans="18:252" ht="16.5" hidden="1" customHeight="1">
      <c r="R1681" s="264"/>
      <c r="S1681" s="110"/>
      <c r="T1681" s="110"/>
      <c r="U1681" s="110"/>
      <c r="V1681" s="110"/>
      <c r="W1681" s="266"/>
      <c r="X1681" s="110"/>
      <c r="Y1681" s="110"/>
      <c r="Z1681" s="110"/>
      <c r="AA1681" s="110"/>
      <c r="AB1681" s="110"/>
      <c r="AC1681" s="110"/>
      <c r="AD1681" s="110"/>
      <c r="AE1681" s="110"/>
      <c r="AF1681" s="110"/>
      <c r="AG1681" s="110"/>
      <c r="AH1681" s="110"/>
      <c r="AI1681" s="110"/>
      <c r="AJ1681" s="110"/>
      <c r="AK1681" s="110"/>
      <c r="AL1681" s="110"/>
      <c r="AM1681" s="110"/>
      <c r="AN1681" s="110"/>
      <c r="AO1681" s="110"/>
      <c r="AP1681" s="110"/>
      <c r="AQ1681" s="110"/>
      <c r="AR1681" s="110"/>
      <c r="AS1681" s="110"/>
      <c r="AT1681" s="110"/>
      <c r="AU1681" s="110"/>
      <c r="AV1681" s="110"/>
      <c r="AW1681" s="110"/>
      <c r="AX1681" s="110"/>
      <c r="AY1681" s="110"/>
      <c r="AZ1681" s="110"/>
      <c r="BA1681" s="110"/>
      <c r="BB1681" s="110"/>
      <c r="BC1681" s="110"/>
      <c r="BD1681" s="110"/>
      <c r="BE1681" s="110"/>
      <c r="BF1681" s="110"/>
      <c r="BG1681" s="110"/>
      <c r="BH1681" s="110"/>
      <c r="BI1681" s="110"/>
      <c r="BJ1681" s="110"/>
      <c r="BK1681" s="110"/>
      <c r="BL1681" s="110"/>
      <c r="BM1681" s="110"/>
      <c r="BN1681" s="110"/>
      <c r="BO1681" s="110"/>
      <c r="BP1681" s="110"/>
      <c r="BQ1681" s="110"/>
      <c r="BR1681" s="110"/>
      <c r="BS1681" s="110"/>
      <c r="BT1681" s="110"/>
      <c r="BU1681" s="110"/>
      <c r="BV1681" s="110"/>
      <c r="BW1681" s="110"/>
      <c r="BX1681" s="110"/>
      <c r="BY1681" s="110"/>
      <c r="BZ1681" s="110"/>
      <c r="CA1681" s="110"/>
      <c r="CB1681" s="110"/>
      <c r="CC1681" s="110"/>
      <c r="CD1681" s="110"/>
      <c r="CE1681" s="110"/>
      <c r="CF1681" s="110"/>
      <c r="CG1681" s="110"/>
      <c r="CH1681" s="110"/>
      <c r="CI1681" s="110"/>
      <c r="CJ1681" s="110"/>
      <c r="CK1681" s="110"/>
      <c r="CL1681" s="110"/>
      <c r="CM1681" s="110"/>
      <c r="CN1681" s="110"/>
      <c r="CO1681" s="110"/>
      <c r="CP1681" s="110"/>
      <c r="CQ1681" s="110"/>
      <c r="CR1681" s="110"/>
      <c r="CS1681" s="110"/>
      <c r="CT1681" s="110"/>
      <c r="CU1681" s="110"/>
      <c r="CV1681" s="110"/>
      <c r="CW1681" s="110"/>
      <c r="CX1681" s="110"/>
      <c r="CY1681" s="110"/>
      <c r="CZ1681" s="110"/>
      <c r="DA1681" s="110"/>
      <c r="DB1681" s="110"/>
      <c r="DC1681" s="110"/>
      <c r="DD1681" s="110"/>
      <c r="DE1681" s="110"/>
      <c r="DF1681" s="110"/>
      <c r="DG1681" s="110"/>
      <c r="DH1681" s="110"/>
      <c r="DI1681" s="110"/>
      <c r="DJ1681" s="110"/>
      <c r="DK1681" s="110"/>
      <c r="DL1681" s="110"/>
      <c r="DM1681" s="110"/>
      <c r="DN1681" s="110"/>
      <c r="DO1681" s="110"/>
      <c r="DP1681" s="110"/>
      <c r="DQ1681" s="110"/>
      <c r="DR1681" s="110"/>
      <c r="DS1681" s="110"/>
      <c r="DT1681" s="110"/>
      <c r="DU1681" s="110"/>
      <c r="DV1681" s="110"/>
      <c r="DW1681" s="110"/>
      <c r="DX1681" s="110"/>
      <c r="DY1681" s="110"/>
      <c r="DZ1681" s="110"/>
      <c r="EA1681" s="110"/>
      <c r="EB1681" s="110"/>
      <c r="EC1681" s="110"/>
      <c r="ED1681" s="110"/>
      <c r="EF1681" s="264"/>
      <c r="EG1681" s="110"/>
      <c r="EH1681" s="110"/>
      <c r="EI1681" s="110"/>
      <c r="EJ1681" s="110"/>
      <c r="EK1681" s="266"/>
      <c r="EL1681" s="110"/>
      <c r="EM1681" s="110"/>
      <c r="EN1681" s="110"/>
      <c r="EO1681" s="110"/>
      <c r="EP1681" s="110"/>
      <c r="EQ1681" s="110"/>
      <c r="ER1681" s="110"/>
      <c r="ES1681" s="110"/>
      <c r="ET1681" s="110"/>
      <c r="EU1681" s="110"/>
      <c r="EV1681" s="110"/>
      <c r="EW1681" s="110"/>
      <c r="EX1681" s="110"/>
      <c r="EY1681" s="110"/>
      <c r="EZ1681" s="110"/>
      <c r="FA1681" s="110"/>
      <c r="FB1681" s="110"/>
      <c r="FC1681" s="110"/>
      <c r="FD1681" s="110"/>
      <c r="FE1681" s="110"/>
      <c r="FF1681" s="110"/>
      <c r="FG1681" s="110"/>
      <c r="FH1681" s="110"/>
      <c r="FI1681" s="110"/>
      <c r="FJ1681" s="110"/>
      <c r="FK1681" s="110"/>
      <c r="FL1681" s="110"/>
      <c r="FM1681" s="110"/>
      <c r="FN1681" s="110"/>
      <c r="FO1681" s="110"/>
      <c r="FP1681" s="110"/>
      <c r="FQ1681" s="110"/>
      <c r="FR1681" s="110"/>
      <c r="FS1681" s="110"/>
      <c r="FT1681" s="110"/>
      <c r="FU1681" s="110"/>
      <c r="FV1681" s="110"/>
      <c r="FW1681" s="110"/>
      <c r="FX1681" s="110"/>
      <c r="FY1681" s="110"/>
      <c r="FZ1681" s="110"/>
      <c r="GA1681" s="110"/>
      <c r="GB1681" s="110"/>
      <c r="GC1681" s="110"/>
      <c r="GD1681" s="110"/>
      <c r="GE1681" s="110"/>
      <c r="GF1681" s="110"/>
      <c r="GG1681" s="110"/>
      <c r="GH1681" s="110"/>
      <c r="GI1681" s="110"/>
      <c r="GJ1681" s="110"/>
      <c r="GK1681" s="110"/>
      <c r="GL1681" s="110"/>
      <c r="GM1681" s="110"/>
      <c r="GN1681" s="110"/>
      <c r="GO1681" s="110"/>
      <c r="GP1681" s="110"/>
      <c r="GQ1681" s="110"/>
      <c r="GR1681" s="110"/>
      <c r="GS1681" s="110"/>
      <c r="GT1681" s="110"/>
      <c r="GU1681" s="110"/>
      <c r="GV1681" s="110"/>
      <c r="GW1681" s="110"/>
      <c r="GX1681" s="110"/>
      <c r="GY1681" s="110"/>
      <c r="GZ1681" s="110"/>
      <c r="HA1681" s="110"/>
      <c r="HB1681" s="110"/>
      <c r="HC1681" s="110"/>
      <c r="HD1681" s="110"/>
      <c r="HE1681" s="110"/>
      <c r="HF1681" s="110"/>
      <c r="HG1681" s="110"/>
      <c r="HH1681" s="110"/>
      <c r="HI1681" s="110"/>
      <c r="HJ1681" s="110"/>
      <c r="HK1681" s="110"/>
      <c r="HL1681" s="110"/>
      <c r="HM1681" s="110"/>
      <c r="HN1681" s="110"/>
      <c r="HO1681" s="110"/>
      <c r="HP1681" s="110"/>
      <c r="HQ1681" s="110"/>
      <c r="HR1681" s="110"/>
      <c r="HS1681" s="110"/>
      <c r="HT1681" s="110"/>
      <c r="HU1681" s="110"/>
      <c r="HV1681" s="110"/>
      <c r="HW1681" s="110"/>
      <c r="HX1681" s="110"/>
      <c r="HY1681" s="110"/>
      <c r="HZ1681" s="110"/>
      <c r="IA1681" s="110"/>
      <c r="IB1681" s="110"/>
      <c r="IC1681" s="110"/>
      <c r="ID1681" s="110"/>
      <c r="IE1681" s="110"/>
      <c r="IF1681" s="110"/>
      <c r="IG1681" s="110"/>
      <c r="IH1681" s="110"/>
      <c r="II1681" s="110"/>
      <c r="IJ1681" s="110"/>
      <c r="IK1681" s="110"/>
      <c r="IL1681" s="110"/>
      <c r="IM1681" s="110"/>
      <c r="IN1681" s="110"/>
      <c r="IO1681" s="110"/>
      <c r="IP1681" s="110"/>
      <c r="IQ1681" s="110"/>
      <c r="IR1681" s="110"/>
    </row>
    <row r="1682" spans="18:252" ht="16.5" hidden="1" customHeight="1">
      <c r="R1682" s="264"/>
      <c r="S1682" s="110"/>
      <c r="T1682" s="110"/>
      <c r="U1682" s="110"/>
      <c r="V1682" s="110"/>
      <c r="W1682" s="266"/>
      <c r="X1682" s="110"/>
      <c r="Y1682" s="110"/>
      <c r="Z1682" s="110"/>
      <c r="AA1682" s="110"/>
      <c r="AB1682" s="110"/>
      <c r="AC1682" s="110"/>
      <c r="AD1682" s="110"/>
      <c r="AE1682" s="110"/>
      <c r="AF1682" s="110"/>
      <c r="AG1682" s="110"/>
      <c r="AH1682" s="110"/>
      <c r="AI1682" s="110"/>
      <c r="AJ1682" s="110"/>
      <c r="AK1682" s="110"/>
      <c r="AL1682" s="110"/>
      <c r="AM1682" s="110"/>
      <c r="AN1682" s="110"/>
      <c r="AO1682" s="110"/>
      <c r="AP1682" s="110"/>
      <c r="AQ1682" s="110"/>
      <c r="AR1682" s="110"/>
      <c r="AS1682" s="110"/>
      <c r="AT1682" s="110"/>
      <c r="AU1682" s="110"/>
      <c r="AV1682" s="110"/>
      <c r="AW1682" s="110"/>
      <c r="AX1682" s="110"/>
      <c r="AY1682" s="110"/>
      <c r="AZ1682" s="110"/>
      <c r="BA1682" s="110"/>
      <c r="BB1682" s="110"/>
      <c r="BC1682" s="110"/>
      <c r="BD1682" s="110"/>
      <c r="BE1682" s="110"/>
      <c r="BF1682" s="110"/>
      <c r="BG1682" s="110"/>
      <c r="BH1682" s="110"/>
      <c r="BI1682" s="110"/>
      <c r="BJ1682" s="110"/>
      <c r="BK1682" s="110"/>
      <c r="BL1682" s="110"/>
      <c r="BM1682" s="110"/>
      <c r="BN1682" s="110"/>
      <c r="BO1682" s="110"/>
      <c r="BP1682" s="110"/>
      <c r="BQ1682" s="110"/>
      <c r="BR1682" s="110"/>
      <c r="BS1682" s="110"/>
      <c r="BT1682" s="110"/>
      <c r="BU1682" s="110"/>
      <c r="BV1682" s="110"/>
      <c r="BW1682" s="110"/>
      <c r="BX1682" s="110"/>
      <c r="BY1682" s="110"/>
      <c r="BZ1682" s="110"/>
      <c r="CA1682" s="110"/>
      <c r="CB1682" s="110"/>
      <c r="CC1682" s="110"/>
      <c r="CD1682" s="110"/>
      <c r="CE1682" s="110"/>
      <c r="CF1682" s="110"/>
      <c r="CG1682" s="110"/>
      <c r="CH1682" s="110"/>
      <c r="CI1682" s="110"/>
      <c r="CJ1682" s="110"/>
      <c r="CK1682" s="110"/>
      <c r="CL1682" s="110"/>
      <c r="CM1682" s="110"/>
      <c r="CN1682" s="110"/>
      <c r="CO1682" s="110"/>
      <c r="CP1682" s="110"/>
      <c r="CQ1682" s="110"/>
      <c r="CR1682" s="110"/>
      <c r="CS1682" s="110"/>
      <c r="CT1682" s="110"/>
      <c r="CU1682" s="110"/>
      <c r="CV1682" s="110"/>
      <c r="CW1682" s="110"/>
      <c r="CX1682" s="110"/>
      <c r="CY1682" s="110"/>
      <c r="CZ1682" s="110"/>
      <c r="DA1682" s="110"/>
      <c r="DB1682" s="110"/>
      <c r="DC1682" s="110"/>
      <c r="DD1682" s="110"/>
      <c r="DE1682" s="110"/>
      <c r="DF1682" s="110"/>
      <c r="DG1682" s="110"/>
      <c r="DH1682" s="110"/>
      <c r="DI1682" s="110"/>
      <c r="DJ1682" s="110"/>
      <c r="DK1682" s="110"/>
      <c r="DL1682" s="110"/>
      <c r="DM1682" s="110"/>
      <c r="DN1682" s="110"/>
      <c r="DO1682" s="110"/>
      <c r="DP1682" s="110"/>
      <c r="DQ1682" s="110"/>
      <c r="DR1682" s="110"/>
      <c r="DS1682" s="110"/>
      <c r="DT1682" s="110"/>
      <c r="DU1682" s="110"/>
      <c r="DV1682" s="110"/>
      <c r="DW1682" s="110"/>
      <c r="DX1682" s="110"/>
      <c r="DY1682" s="110"/>
      <c r="DZ1682" s="110"/>
      <c r="EA1682" s="110"/>
      <c r="EB1682" s="110"/>
      <c r="EC1682" s="110"/>
      <c r="ED1682" s="110"/>
      <c r="EF1682" s="264"/>
      <c r="EG1682" s="110"/>
      <c r="EH1682" s="110"/>
      <c r="EI1682" s="110"/>
      <c r="EJ1682" s="110"/>
      <c r="EK1682" s="266"/>
      <c r="EL1682" s="110"/>
      <c r="EM1682" s="110"/>
      <c r="EN1682" s="110"/>
      <c r="EO1682" s="110"/>
      <c r="EP1682" s="110"/>
      <c r="EQ1682" s="110"/>
      <c r="ER1682" s="110"/>
      <c r="ES1682" s="110"/>
      <c r="ET1682" s="110"/>
      <c r="EU1682" s="110"/>
      <c r="EV1682" s="110"/>
      <c r="EW1682" s="110"/>
      <c r="EX1682" s="110"/>
      <c r="EY1682" s="110"/>
      <c r="EZ1682" s="110"/>
      <c r="FA1682" s="110"/>
      <c r="FB1682" s="110"/>
      <c r="FC1682" s="110"/>
      <c r="FD1682" s="110"/>
      <c r="FE1682" s="110"/>
      <c r="FF1682" s="110"/>
      <c r="FG1682" s="110"/>
      <c r="FH1682" s="110"/>
      <c r="FI1682" s="110"/>
      <c r="FJ1682" s="110"/>
      <c r="FK1682" s="110"/>
      <c r="FL1682" s="110"/>
      <c r="FM1682" s="110"/>
      <c r="FN1682" s="110"/>
      <c r="FO1682" s="110"/>
      <c r="FP1682" s="110"/>
      <c r="FQ1682" s="110"/>
      <c r="FR1682" s="110"/>
      <c r="FS1682" s="110"/>
      <c r="FT1682" s="110"/>
      <c r="FU1682" s="110"/>
      <c r="FV1682" s="110"/>
      <c r="FW1682" s="110"/>
      <c r="FX1682" s="110"/>
      <c r="FY1682" s="110"/>
      <c r="FZ1682" s="110"/>
      <c r="GA1682" s="110"/>
      <c r="GB1682" s="110"/>
      <c r="GC1682" s="110"/>
      <c r="GD1682" s="110"/>
      <c r="GE1682" s="110"/>
      <c r="GF1682" s="110"/>
      <c r="GG1682" s="110"/>
      <c r="GH1682" s="110"/>
      <c r="GI1682" s="110"/>
      <c r="GJ1682" s="110"/>
      <c r="GK1682" s="110"/>
      <c r="GL1682" s="110"/>
      <c r="GM1682" s="110"/>
      <c r="GN1682" s="110"/>
      <c r="GO1682" s="110"/>
      <c r="GP1682" s="110"/>
      <c r="GQ1682" s="110"/>
      <c r="GR1682" s="110"/>
      <c r="GS1682" s="110"/>
      <c r="GT1682" s="110"/>
      <c r="GU1682" s="110"/>
      <c r="GV1682" s="110"/>
      <c r="GW1682" s="110"/>
      <c r="GX1682" s="110"/>
      <c r="GY1682" s="110"/>
      <c r="GZ1682" s="110"/>
      <c r="HA1682" s="110"/>
      <c r="HB1682" s="110"/>
      <c r="HC1682" s="110"/>
      <c r="HD1682" s="110"/>
      <c r="HE1682" s="110"/>
      <c r="HF1682" s="110"/>
      <c r="HG1682" s="110"/>
      <c r="HH1682" s="110"/>
      <c r="HI1682" s="110"/>
      <c r="HJ1682" s="110"/>
      <c r="HK1682" s="110"/>
      <c r="HL1682" s="110"/>
      <c r="HM1682" s="110"/>
      <c r="HN1682" s="110"/>
      <c r="HO1682" s="110"/>
      <c r="HP1682" s="110"/>
      <c r="HQ1682" s="110"/>
      <c r="HR1682" s="110"/>
      <c r="HS1682" s="110"/>
      <c r="HT1682" s="110"/>
      <c r="HU1682" s="110"/>
      <c r="HV1682" s="110"/>
      <c r="HW1682" s="110"/>
      <c r="HX1682" s="110"/>
      <c r="HY1682" s="110"/>
      <c r="HZ1682" s="110"/>
      <c r="IA1682" s="110"/>
      <c r="IB1682" s="110"/>
      <c r="IC1682" s="110"/>
      <c r="ID1682" s="110"/>
      <c r="IE1682" s="110"/>
      <c r="IF1682" s="110"/>
      <c r="IG1682" s="110"/>
      <c r="IH1682" s="110"/>
      <c r="II1682" s="110"/>
      <c r="IJ1682" s="110"/>
      <c r="IK1682" s="110"/>
      <c r="IL1682" s="110"/>
      <c r="IM1682" s="110"/>
      <c r="IN1682" s="110"/>
      <c r="IO1682" s="110"/>
      <c r="IP1682" s="110"/>
      <c r="IQ1682" s="110"/>
      <c r="IR1682" s="110"/>
    </row>
    <row r="1683" spans="18:252" ht="16.5" hidden="1" customHeight="1">
      <c r="R1683" s="264"/>
      <c r="S1683" s="110"/>
      <c r="T1683" s="110"/>
      <c r="U1683" s="110"/>
      <c r="V1683" s="110"/>
      <c r="W1683" s="266"/>
      <c r="X1683" s="110"/>
      <c r="Y1683" s="110"/>
      <c r="Z1683" s="110"/>
      <c r="AA1683" s="110"/>
      <c r="AB1683" s="110"/>
      <c r="AC1683" s="110"/>
      <c r="AD1683" s="110"/>
      <c r="AE1683" s="110"/>
      <c r="AF1683" s="110"/>
      <c r="AG1683" s="110"/>
      <c r="AH1683" s="110"/>
      <c r="AI1683" s="110"/>
      <c r="AJ1683" s="110"/>
      <c r="AK1683" s="110"/>
      <c r="AL1683" s="110"/>
      <c r="AM1683" s="110"/>
      <c r="AN1683" s="110"/>
      <c r="AO1683" s="110"/>
      <c r="AP1683" s="110"/>
      <c r="AQ1683" s="110"/>
      <c r="AR1683" s="110"/>
      <c r="AS1683" s="110"/>
      <c r="AT1683" s="110"/>
      <c r="AU1683" s="110"/>
      <c r="AV1683" s="110"/>
      <c r="AW1683" s="110"/>
      <c r="AX1683" s="110"/>
      <c r="AY1683" s="110"/>
      <c r="AZ1683" s="110"/>
      <c r="BA1683" s="110"/>
      <c r="BB1683" s="110"/>
      <c r="BC1683" s="110"/>
      <c r="BD1683" s="110"/>
      <c r="BE1683" s="110"/>
      <c r="BF1683" s="110"/>
      <c r="BG1683" s="110"/>
      <c r="BH1683" s="110"/>
      <c r="BI1683" s="110"/>
      <c r="BJ1683" s="110"/>
      <c r="BK1683" s="110"/>
      <c r="BL1683" s="110"/>
      <c r="BM1683" s="110"/>
      <c r="BN1683" s="110"/>
      <c r="BO1683" s="110"/>
      <c r="BP1683" s="110"/>
      <c r="BQ1683" s="110"/>
      <c r="BR1683" s="110"/>
      <c r="BS1683" s="110"/>
      <c r="BT1683" s="110"/>
      <c r="BU1683" s="110"/>
      <c r="BV1683" s="110"/>
      <c r="BW1683" s="110"/>
      <c r="BX1683" s="110"/>
      <c r="BY1683" s="110"/>
      <c r="BZ1683" s="110"/>
      <c r="CA1683" s="110"/>
      <c r="CB1683" s="110"/>
      <c r="CC1683" s="110"/>
      <c r="CD1683" s="110"/>
      <c r="CE1683" s="110"/>
      <c r="CF1683" s="110"/>
      <c r="CG1683" s="110"/>
      <c r="CH1683" s="110"/>
      <c r="CI1683" s="110"/>
      <c r="CJ1683" s="110"/>
      <c r="CK1683" s="110"/>
      <c r="CL1683" s="110"/>
      <c r="CM1683" s="110"/>
      <c r="CN1683" s="110"/>
      <c r="CO1683" s="110"/>
      <c r="CP1683" s="110"/>
      <c r="CQ1683" s="110"/>
      <c r="CR1683" s="110"/>
      <c r="CS1683" s="110"/>
      <c r="CT1683" s="110"/>
      <c r="CU1683" s="110"/>
      <c r="CV1683" s="110"/>
      <c r="CW1683" s="110"/>
      <c r="CX1683" s="110"/>
      <c r="CY1683" s="110"/>
      <c r="CZ1683" s="110"/>
      <c r="DA1683" s="110"/>
      <c r="DB1683" s="110"/>
      <c r="DC1683" s="110"/>
      <c r="DD1683" s="110"/>
      <c r="DE1683" s="110"/>
      <c r="DF1683" s="110"/>
      <c r="DG1683" s="110"/>
      <c r="DH1683" s="110"/>
      <c r="DI1683" s="110"/>
      <c r="DJ1683" s="110"/>
      <c r="DK1683" s="110"/>
      <c r="DL1683" s="110"/>
      <c r="DM1683" s="110"/>
      <c r="DN1683" s="110"/>
      <c r="DO1683" s="110"/>
      <c r="DP1683" s="110"/>
      <c r="DQ1683" s="110"/>
      <c r="DR1683" s="110"/>
      <c r="DS1683" s="110"/>
      <c r="DT1683" s="110"/>
      <c r="DU1683" s="110"/>
      <c r="DV1683" s="110"/>
      <c r="DW1683" s="110"/>
      <c r="DX1683" s="110"/>
      <c r="DY1683" s="110"/>
      <c r="DZ1683" s="110"/>
      <c r="EA1683" s="110"/>
      <c r="EB1683" s="110"/>
      <c r="EC1683" s="110"/>
      <c r="ED1683" s="110"/>
      <c r="EF1683" s="264"/>
      <c r="EG1683" s="110"/>
      <c r="EH1683" s="110"/>
      <c r="EI1683" s="110"/>
      <c r="EJ1683" s="110"/>
      <c r="EK1683" s="266"/>
      <c r="EL1683" s="110"/>
      <c r="EM1683" s="110"/>
      <c r="EN1683" s="110"/>
      <c r="EO1683" s="110"/>
      <c r="EP1683" s="110"/>
      <c r="EQ1683" s="110"/>
      <c r="ER1683" s="110"/>
      <c r="ES1683" s="110"/>
      <c r="ET1683" s="110"/>
      <c r="EU1683" s="110"/>
      <c r="EV1683" s="110"/>
      <c r="EW1683" s="110"/>
      <c r="EX1683" s="110"/>
      <c r="EY1683" s="110"/>
      <c r="EZ1683" s="110"/>
      <c r="FA1683" s="110"/>
      <c r="FB1683" s="110"/>
      <c r="FC1683" s="110"/>
      <c r="FD1683" s="110"/>
      <c r="FE1683" s="110"/>
      <c r="FF1683" s="110"/>
      <c r="FG1683" s="110"/>
      <c r="FH1683" s="110"/>
      <c r="FI1683" s="110"/>
      <c r="FJ1683" s="110"/>
      <c r="FK1683" s="110"/>
      <c r="FL1683" s="110"/>
      <c r="FM1683" s="110"/>
      <c r="FN1683" s="110"/>
      <c r="FO1683" s="110"/>
      <c r="FP1683" s="110"/>
      <c r="FQ1683" s="110"/>
      <c r="FR1683" s="110"/>
      <c r="FS1683" s="110"/>
      <c r="FT1683" s="110"/>
      <c r="FU1683" s="110"/>
      <c r="FV1683" s="110"/>
      <c r="FW1683" s="110"/>
      <c r="FX1683" s="110"/>
      <c r="FY1683" s="110"/>
      <c r="FZ1683" s="110"/>
      <c r="GA1683" s="110"/>
      <c r="GB1683" s="110"/>
      <c r="GC1683" s="110"/>
      <c r="GD1683" s="110"/>
      <c r="GE1683" s="110"/>
      <c r="GF1683" s="110"/>
      <c r="GG1683" s="110"/>
      <c r="GH1683" s="110"/>
      <c r="GI1683" s="110"/>
      <c r="GJ1683" s="110"/>
      <c r="GK1683" s="110"/>
      <c r="GL1683" s="110"/>
      <c r="GM1683" s="110"/>
      <c r="GN1683" s="110"/>
      <c r="GO1683" s="110"/>
      <c r="GP1683" s="110"/>
      <c r="GQ1683" s="110"/>
      <c r="GR1683" s="110"/>
      <c r="GS1683" s="110"/>
      <c r="GT1683" s="110"/>
      <c r="GU1683" s="110"/>
      <c r="GV1683" s="110"/>
      <c r="GW1683" s="110"/>
      <c r="GX1683" s="110"/>
      <c r="GY1683" s="110"/>
      <c r="GZ1683" s="110"/>
      <c r="HA1683" s="110"/>
      <c r="HB1683" s="110"/>
      <c r="HC1683" s="110"/>
      <c r="HD1683" s="110"/>
      <c r="HE1683" s="110"/>
      <c r="HF1683" s="110"/>
      <c r="HG1683" s="110"/>
      <c r="HH1683" s="110"/>
      <c r="HI1683" s="110"/>
      <c r="HJ1683" s="110"/>
      <c r="HK1683" s="110"/>
      <c r="HL1683" s="110"/>
      <c r="HM1683" s="110"/>
      <c r="HN1683" s="110"/>
      <c r="HO1683" s="110"/>
      <c r="HP1683" s="110"/>
      <c r="HQ1683" s="110"/>
      <c r="HR1683" s="110"/>
      <c r="HS1683" s="110"/>
      <c r="HT1683" s="110"/>
      <c r="HU1683" s="110"/>
      <c r="HV1683" s="110"/>
      <c r="HW1683" s="110"/>
      <c r="HX1683" s="110"/>
      <c r="HY1683" s="110"/>
      <c r="HZ1683" s="110"/>
      <c r="IA1683" s="110"/>
      <c r="IB1683" s="110"/>
      <c r="IC1683" s="110"/>
      <c r="ID1683" s="110"/>
      <c r="IE1683" s="110"/>
      <c r="IF1683" s="110"/>
      <c r="IG1683" s="110"/>
      <c r="IH1683" s="110"/>
      <c r="II1683" s="110"/>
      <c r="IJ1683" s="110"/>
      <c r="IK1683" s="110"/>
      <c r="IL1683" s="110"/>
      <c r="IM1683" s="110"/>
      <c r="IN1683" s="110"/>
      <c r="IO1683" s="110"/>
      <c r="IP1683" s="110"/>
      <c r="IQ1683" s="110"/>
      <c r="IR1683" s="110"/>
    </row>
    <row r="1684" spans="18:252" ht="16.5" hidden="1" customHeight="1">
      <c r="R1684" s="264"/>
      <c r="S1684" s="110"/>
      <c r="T1684" s="110"/>
      <c r="U1684" s="110"/>
      <c r="V1684" s="110"/>
      <c r="W1684" s="266"/>
      <c r="X1684" s="110"/>
      <c r="Y1684" s="110"/>
      <c r="Z1684" s="110"/>
      <c r="AA1684" s="110"/>
      <c r="AB1684" s="110"/>
      <c r="AC1684" s="110"/>
      <c r="AD1684" s="110"/>
      <c r="AE1684" s="110"/>
      <c r="AF1684" s="110"/>
      <c r="AG1684" s="110"/>
      <c r="AH1684" s="110"/>
      <c r="AI1684" s="110"/>
      <c r="AJ1684" s="110"/>
      <c r="AK1684" s="110"/>
      <c r="AL1684" s="110"/>
      <c r="AM1684" s="110"/>
      <c r="AN1684" s="110"/>
      <c r="AO1684" s="110"/>
      <c r="AP1684" s="110"/>
      <c r="AQ1684" s="110"/>
      <c r="AR1684" s="110"/>
      <c r="AS1684" s="110"/>
      <c r="AT1684" s="110"/>
      <c r="AU1684" s="110"/>
      <c r="AV1684" s="110"/>
      <c r="AW1684" s="110"/>
      <c r="AX1684" s="110"/>
      <c r="AY1684" s="110"/>
      <c r="AZ1684" s="110"/>
      <c r="BA1684" s="110"/>
      <c r="BB1684" s="110"/>
      <c r="BC1684" s="110"/>
      <c r="BD1684" s="110"/>
      <c r="BE1684" s="110"/>
      <c r="BF1684" s="110"/>
      <c r="BG1684" s="110"/>
      <c r="BH1684" s="110"/>
      <c r="BI1684" s="110"/>
      <c r="BJ1684" s="110"/>
      <c r="BK1684" s="110"/>
      <c r="BL1684" s="110"/>
      <c r="BM1684" s="110"/>
      <c r="BN1684" s="110"/>
      <c r="BO1684" s="110"/>
      <c r="BP1684" s="110"/>
      <c r="BQ1684" s="110"/>
      <c r="BR1684" s="110"/>
      <c r="BS1684" s="110"/>
      <c r="BT1684" s="110"/>
      <c r="BU1684" s="110"/>
      <c r="BV1684" s="110"/>
      <c r="BW1684" s="110"/>
      <c r="BX1684" s="110"/>
      <c r="BY1684" s="110"/>
      <c r="BZ1684" s="110"/>
      <c r="CA1684" s="110"/>
      <c r="CB1684" s="110"/>
      <c r="CC1684" s="110"/>
      <c r="CD1684" s="110"/>
      <c r="CE1684" s="110"/>
      <c r="CF1684" s="110"/>
      <c r="CG1684" s="110"/>
      <c r="CH1684" s="110"/>
      <c r="CI1684" s="110"/>
      <c r="CJ1684" s="110"/>
      <c r="CK1684" s="110"/>
      <c r="CL1684" s="110"/>
      <c r="CM1684" s="110"/>
      <c r="CN1684" s="110"/>
      <c r="CO1684" s="110"/>
      <c r="CP1684" s="110"/>
      <c r="CQ1684" s="110"/>
      <c r="CR1684" s="110"/>
      <c r="CS1684" s="110"/>
      <c r="CT1684" s="110"/>
      <c r="CU1684" s="110"/>
      <c r="CV1684" s="110"/>
      <c r="CW1684" s="110"/>
      <c r="CX1684" s="110"/>
      <c r="CY1684" s="110"/>
      <c r="CZ1684" s="110"/>
      <c r="DA1684" s="110"/>
      <c r="DB1684" s="110"/>
      <c r="DC1684" s="110"/>
      <c r="DD1684" s="110"/>
      <c r="DE1684" s="110"/>
      <c r="DF1684" s="110"/>
      <c r="DG1684" s="110"/>
      <c r="DH1684" s="110"/>
      <c r="DI1684" s="110"/>
      <c r="DJ1684" s="110"/>
      <c r="DK1684" s="110"/>
      <c r="DL1684" s="110"/>
      <c r="DM1684" s="110"/>
      <c r="DN1684" s="110"/>
      <c r="DO1684" s="110"/>
      <c r="DP1684" s="110"/>
      <c r="DQ1684" s="110"/>
      <c r="DR1684" s="110"/>
      <c r="DS1684" s="110"/>
      <c r="DT1684" s="110"/>
      <c r="DU1684" s="110"/>
      <c r="DV1684" s="110"/>
      <c r="DW1684" s="110"/>
      <c r="DX1684" s="110"/>
      <c r="DY1684" s="110"/>
      <c r="DZ1684" s="110"/>
      <c r="EA1684" s="110"/>
      <c r="EB1684" s="110"/>
      <c r="EC1684" s="110"/>
      <c r="ED1684" s="110"/>
      <c r="EF1684" s="264"/>
      <c r="EG1684" s="110"/>
      <c r="EH1684" s="110"/>
      <c r="EI1684" s="110"/>
      <c r="EJ1684" s="110"/>
      <c r="EK1684" s="266"/>
      <c r="EL1684" s="110"/>
      <c r="EM1684" s="110"/>
      <c r="EN1684" s="110"/>
      <c r="EO1684" s="110"/>
      <c r="EP1684" s="110"/>
      <c r="EQ1684" s="110"/>
      <c r="ER1684" s="110"/>
      <c r="ES1684" s="110"/>
      <c r="ET1684" s="110"/>
      <c r="EU1684" s="110"/>
      <c r="EV1684" s="110"/>
      <c r="EW1684" s="110"/>
      <c r="EX1684" s="110"/>
      <c r="EY1684" s="110"/>
      <c r="EZ1684" s="110"/>
      <c r="FA1684" s="110"/>
      <c r="FB1684" s="110"/>
      <c r="FC1684" s="110"/>
      <c r="FD1684" s="110"/>
      <c r="FE1684" s="110"/>
      <c r="FF1684" s="110"/>
      <c r="FG1684" s="110"/>
      <c r="FH1684" s="110"/>
      <c r="FI1684" s="110"/>
      <c r="FJ1684" s="110"/>
      <c r="FK1684" s="110"/>
      <c r="FL1684" s="110"/>
      <c r="FM1684" s="110"/>
      <c r="FN1684" s="110"/>
      <c r="FO1684" s="110"/>
      <c r="FP1684" s="110"/>
      <c r="FQ1684" s="110"/>
      <c r="FR1684" s="110"/>
      <c r="FS1684" s="110"/>
      <c r="FT1684" s="110"/>
      <c r="FU1684" s="110"/>
      <c r="FV1684" s="110"/>
      <c r="FW1684" s="110"/>
      <c r="FX1684" s="110"/>
      <c r="FY1684" s="110"/>
      <c r="FZ1684" s="110"/>
      <c r="GA1684" s="110"/>
      <c r="GB1684" s="110"/>
      <c r="GC1684" s="110"/>
      <c r="GD1684" s="110"/>
      <c r="GE1684" s="110"/>
      <c r="GF1684" s="110"/>
      <c r="GG1684" s="110"/>
      <c r="GH1684" s="110"/>
      <c r="GI1684" s="110"/>
      <c r="GJ1684" s="110"/>
      <c r="GK1684" s="110"/>
      <c r="GL1684" s="110"/>
      <c r="GM1684" s="110"/>
      <c r="GN1684" s="110"/>
      <c r="GO1684" s="110"/>
      <c r="GP1684" s="110"/>
      <c r="GQ1684" s="110"/>
      <c r="GR1684" s="110"/>
      <c r="GS1684" s="110"/>
      <c r="GT1684" s="110"/>
      <c r="GU1684" s="110"/>
      <c r="GV1684" s="110"/>
      <c r="GW1684" s="110"/>
      <c r="GX1684" s="110"/>
      <c r="GY1684" s="110"/>
      <c r="GZ1684" s="110"/>
      <c r="HA1684" s="110"/>
      <c r="HB1684" s="110"/>
      <c r="HC1684" s="110"/>
      <c r="HD1684" s="110"/>
      <c r="HE1684" s="110"/>
      <c r="HF1684" s="110"/>
      <c r="HG1684" s="110"/>
      <c r="HH1684" s="110"/>
      <c r="HI1684" s="110"/>
      <c r="HJ1684" s="110"/>
      <c r="HK1684" s="110"/>
      <c r="HL1684" s="110"/>
      <c r="HM1684" s="110"/>
      <c r="HN1684" s="110"/>
      <c r="HO1684" s="110"/>
      <c r="HP1684" s="110"/>
      <c r="HQ1684" s="110"/>
      <c r="HR1684" s="110"/>
      <c r="HS1684" s="110"/>
      <c r="HT1684" s="110"/>
      <c r="HU1684" s="110"/>
      <c r="HV1684" s="110"/>
      <c r="HW1684" s="110"/>
      <c r="HX1684" s="110"/>
      <c r="HY1684" s="110"/>
      <c r="HZ1684" s="110"/>
      <c r="IA1684" s="110"/>
      <c r="IB1684" s="110"/>
      <c r="IC1684" s="110"/>
      <c r="ID1684" s="110"/>
      <c r="IE1684" s="110"/>
      <c r="IF1684" s="110"/>
      <c r="IG1684" s="110"/>
      <c r="IH1684" s="110"/>
      <c r="II1684" s="110"/>
      <c r="IJ1684" s="110"/>
      <c r="IK1684" s="110"/>
      <c r="IL1684" s="110"/>
      <c r="IM1684" s="110"/>
      <c r="IN1684" s="110"/>
      <c r="IO1684" s="110"/>
      <c r="IP1684" s="110"/>
      <c r="IQ1684" s="110"/>
      <c r="IR1684" s="110"/>
    </row>
    <row r="1685" spans="18:252" ht="16.5" hidden="1" customHeight="1">
      <c r="R1685" s="264"/>
      <c r="S1685" s="110"/>
      <c r="T1685" s="110"/>
      <c r="U1685" s="110"/>
      <c r="V1685" s="110"/>
      <c r="W1685" s="266"/>
      <c r="X1685" s="110"/>
      <c r="Y1685" s="110"/>
      <c r="Z1685" s="110"/>
      <c r="AA1685" s="110"/>
      <c r="AB1685" s="110"/>
      <c r="AC1685" s="110"/>
      <c r="AD1685" s="110"/>
      <c r="AE1685" s="110"/>
      <c r="AF1685" s="110"/>
      <c r="AG1685" s="110"/>
      <c r="AH1685" s="110"/>
      <c r="AI1685" s="110"/>
      <c r="AJ1685" s="110"/>
      <c r="AK1685" s="110"/>
      <c r="AL1685" s="110"/>
      <c r="AM1685" s="110"/>
      <c r="AN1685" s="110"/>
      <c r="AO1685" s="110"/>
      <c r="AP1685" s="110"/>
      <c r="AQ1685" s="110"/>
      <c r="AR1685" s="110"/>
      <c r="AS1685" s="110"/>
      <c r="AT1685" s="110"/>
      <c r="AU1685" s="110"/>
      <c r="AV1685" s="110"/>
      <c r="AW1685" s="110"/>
      <c r="AX1685" s="110"/>
      <c r="AY1685" s="110"/>
      <c r="AZ1685" s="110"/>
      <c r="BA1685" s="110"/>
      <c r="BB1685" s="110"/>
      <c r="BC1685" s="110"/>
      <c r="BD1685" s="110"/>
      <c r="BE1685" s="110"/>
      <c r="BF1685" s="110"/>
      <c r="BG1685" s="110"/>
      <c r="BH1685" s="110"/>
      <c r="BI1685" s="110"/>
      <c r="BJ1685" s="110"/>
      <c r="BK1685" s="110"/>
      <c r="BL1685" s="110"/>
      <c r="BM1685" s="110"/>
      <c r="BN1685" s="110"/>
      <c r="BO1685" s="110"/>
      <c r="BP1685" s="110"/>
      <c r="BQ1685" s="110"/>
      <c r="BR1685" s="110"/>
      <c r="BS1685" s="110"/>
      <c r="BT1685" s="110"/>
      <c r="BU1685" s="110"/>
      <c r="BV1685" s="110"/>
      <c r="BW1685" s="110"/>
      <c r="BX1685" s="110"/>
      <c r="BY1685" s="110"/>
      <c r="BZ1685" s="110"/>
      <c r="CA1685" s="110"/>
      <c r="CB1685" s="110"/>
      <c r="CC1685" s="110"/>
      <c r="CD1685" s="110"/>
      <c r="CE1685" s="110"/>
      <c r="CF1685" s="110"/>
      <c r="CG1685" s="110"/>
      <c r="CH1685" s="110"/>
      <c r="CI1685" s="110"/>
      <c r="CJ1685" s="110"/>
      <c r="CK1685" s="110"/>
      <c r="CL1685" s="110"/>
      <c r="CM1685" s="110"/>
      <c r="CN1685" s="110"/>
      <c r="CO1685" s="110"/>
      <c r="CP1685" s="110"/>
      <c r="CQ1685" s="110"/>
      <c r="CR1685" s="110"/>
      <c r="CS1685" s="110"/>
      <c r="CT1685" s="110"/>
      <c r="CU1685" s="110"/>
      <c r="CV1685" s="110"/>
      <c r="CW1685" s="110"/>
      <c r="CX1685" s="110"/>
      <c r="CY1685" s="110"/>
      <c r="CZ1685" s="110"/>
      <c r="DA1685" s="110"/>
      <c r="DB1685" s="110"/>
      <c r="DC1685" s="110"/>
      <c r="DD1685" s="110"/>
      <c r="DE1685" s="110"/>
      <c r="DF1685" s="110"/>
      <c r="DG1685" s="110"/>
      <c r="DH1685" s="110"/>
      <c r="DI1685" s="110"/>
      <c r="DJ1685" s="110"/>
      <c r="DK1685" s="110"/>
      <c r="DL1685" s="110"/>
      <c r="DM1685" s="110"/>
      <c r="DN1685" s="110"/>
      <c r="DO1685" s="110"/>
      <c r="DP1685" s="110"/>
      <c r="DQ1685" s="110"/>
      <c r="DR1685" s="110"/>
      <c r="DS1685" s="110"/>
      <c r="DT1685" s="110"/>
      <c r="DU1685" s="110"/>
      <c r="DV1685" s="110"/>
      <c r="DW1685" s="110"/>
      <c r="DX1685" s="110"/>
      <c r="DY1685" s="110"/>
      <c r="DZ1685" s="110"/>
      <c r="EA1685" s="110"/>
      <c r="EB1685" s="110"/>
      <c r="EC1685" s="110"/>
      <c r="ED1685" s="110"/>
      <c r="EF1685" s="264"/>
      <c r="EG1685" s="110"/>
      <c r="EH1685" s="110"/>
      <c r="EI1685" s="110"/>
      <c r="EJ1685" s="110"/>
      <c r="EK1685" s="266"/>
      <c r="EL1685" s="110"/>
      <c r="EM1685" s="110"/>
      <c r="EN1685" s="110"/>
      <c r="EO1685" s="110"/>
      <c r="EP1685" s="110"/>
      <c r="EQ1685" s="110"/>
      <c r="ER1685" s="110"/>
      <c r="ES1685" s="110"/>
      <c r="ET1685" s="110"/>
      <c r="EU1685" s="110"/>
      <c r="EV1685" s="110"/>
      <c r="EW1685" s="110"/>
      <c r="EX1685" s="110"/>
      <c r="EY1685" s="110"/>
      <c r="EZ1685" s="110"/>
      <c r="FA1685" s="110"/>
      <c r="FB1685" s="110"/>
      <c r="FC1685" s="110"/>
      <c r="FD1685" s="110"/>
      <c r="FE1685" s="110"/>
      <c r="FF1685" s="110"/>
      <c r="FG1685" s="110"/>
      <c r="FH1685" s="110"/>
      <c r="FI1685" s="110"/>
      <c r="FJ1685" s="110"/>
      <c r="FK1685" s="110"/>
      <c r="FL1685" s="110"/>
      <c r="FM1685" s="110"/>
      <c r="FN1685" s="110"/>
      <c r="FO1685" s="110"/>
      <c r="FP1685" s="110"/>
      <c r="FQ1685" s="110"/>
      <c r="FR1685" s="110"/>
      <c r="FS1685" s="110"/>
      <c r="FT1685" s="110"/>
      <c r="FU1685" s="110"/>
      <c r="FV1685" s="110"/>
      <c r="FW1685" s="110"/>
      <c r="FX1685" s="110"/>
      <c r="FY1685" s="110"/>
      <c r="FZ1685" s="110"/>
      <c r="GA1685" s="110"/>
      <c r="GB1685" s="110"/>
      <c r="GC1685" s="110"/>
      <c r="GD1685" s="110"/>
      <c r="GE1685" s="110"/>
      <c r="GF1685" s="110"/>
      <c r="GG1685" s="110"/>
      <c r="GH1685" s="110"/>
      <c r="GI1685" s="110"/>
      <c r="GJ1685" s="110"/>
      <c r="GK1685" s="110"/>
      <c r="GL1685" s="110"/>
      <c r="GM1685" s="110"/>
      <c r="GN1685" s="110"/>
      <c r="GO1685" s="110"/>
      <c r="GP1685" s="110"/>
      <c r="GQ1685" s="110"/>
      <c r="GR1685" s="110"/>
      <c r="GS1685" s="110"/>
      <c r="GT1685" s="110"/>
      <c r="GU1685" s="110"/>
      <c r="GV1685" s="110"/>
      <c r="GW1685" s="110"/>
      <c r="GX1685" s="110"/>
      <c r="GY1685" s="110"/>
      <c r="GZ1685" s="110"/>
      <c r="HA1685" s="110"/>
      <c r="HB1685" s="110"/>
      <c r="HC1685" s="110"/>
      <c r="HD1685" s="110"/>
      <c r="HE1685" s="110"/>
      <c r="HF1685" s="110"/>
      <c r="HG1685" s="110"/>
      <c r="HH1685" s="110"/>
      <c r="HI1685" s="110"/>
      <c r="HJ1685" s="110"/>
      <c r="HK1685" s="110"/>
      <c r="HL1685" s="110"/>
      <c r="HM1685" s="110"/>
      <c r="HN1685" s="110"/>
      <c r="HO1685" s="110"/>
      <c r="HP1685" s="110"/>
      <c r="HQ1685" s="110"/>
      <c r="HR1685" s="110"/>
      <c r="HS1685" s="110"/>
      <c r="HT1685" s="110"/>
      <c r="HU1685" s="110"/>
      <c r="HV1685" s="110"/>
      <c r="HW1685" s="110"/>
      <c r="HX1685" s="110"/>
      <c r="HY1685" s="110"/>
      <c r="HZ1685" s="110"/>
      <c r="IA1685" s="110"/>
      <c r="IB1685" s="110"/>
      <c r="IC1685" s="110"/>
      <c r="ID1685" s="110"/>
      <c r="IE1685" s="110"/>
      <c r="IF1685" s="110"/>
      <c r="IG1685" s="110"/>
      <c r="IH1685" s="110"/>
      <c r="II1685" s="110"/>
      <c r="IJ1685" s="110"/>
      <c r="IK1685" s="110"/>
      <c r="IL1685" s="110"/>
      <c r="IM1685" s="110"/>
      <c r="IN1685" s="110"/>
      <c r="IO1685" s="110"/>
      <c r="IP1685" s="110"/>
      <c r="IQ1685" s="110"/>
      <c r="IR1685" s="110"/>
    </row>
    <row r="1686" spans="18:252" ht="16.5" hidden="1" customHeight="1">
      <c r="R1686" s="264"/>
      <c r="S1686" s="110"/>
      <c r="T1686" s="110"/>
      <c r="U1686" s="110"/>
      <c r="V1686" s="110"/>
      <c r="W1686" s="266"/>
      <c r="X1686" s="110"/>
      <c r="Y1686" s="110"/>
      <c r="Z1686" s="110"/>
      <c r="AA1686" s="110"/>
      <c r="AB1686" s="110"/>
      <c r="AC1686" s="110"/>
      <c r="AD1686" s="110"/>
      <c r="AE1686" s="110"/>
      <c r="AF1686" s="110"/>
      <c r="AG1686" s="110"/>
      <c r="AH1686" s="110"/>
      <c r="AI1686" s="110"/>
      <c r="AJ1686" s="110"/>
      <c r="AK1686" s="110"/>
      <c r="AL1686" s="110"/>
      <c r="AM1686" s="110"/>
      <c r="AN1686" s="110"/>
      <c r="AO1686" s="110"/>
      <c r="AP1686" s="110"/>
      <c r="AQ1686" s="110"/>
      <c r="AR1686" s="110"/>
      <c r="AS1686" s="110"/>
      <c r="AT1686" s="110"/>
      <c r="AU1686" s="110"/>
      <c r="AV1686" s="110"/>
      <c r="AW1686" s="110"/>
      <c r="AX1686" s="110"/>
      <c r="AY1686" s="110"/>
      <c r="AZ1686" s="110"/>
      <c r="BA1686" s="110"/>
      <c r="BB1686" s="110"/>
      <c r="BC1686" s="110"/>
      <c r="BD1686" s="110"/>
      <c r="BE1686" s="110"/>
      <c r="BF1686" s="110"/>
      <c r="BG1686" s="110"/>
      <c r="BH1686" s="110"/>
      <c r="BI1686" s="110"/>
      <c r="BJ1686" s="110"/>
      <c r="BK1686" s="110"/>
      <c r="BL1686" s="110"/>
      <c r="BM1686" s="110"/>
      <c r="BN1686" s="110"/>
      <c r="BO1686" s="110"/>
      <c r="BP1686" s="110"/>
      <c r="BQ1686" s="110"/>
      <c r="BR1686" s="110"/>
      <c r="BS1686" s="110"/>
      <c r="BT1686" s="110"/>
      <c r="BU1686" s="110"/>
      <c r="BV1686" s="110"/>
      <c r="BW1686" s="110"/>
      <c r="BX1686" s="110"/>
      <c r="BY1686" s="110"/>
      <c r="BZ1686" s="110"/>
      <c r="CA1686" s="110"/>
      <c r="CB1686" s="110"/>
      <c r="CC1686" s="110"/>
      <c r="CD1686" s="110"/>
      <c r="CE1686" s="110"/>
      <c r="CF1686" s="110"/>
      <c r="CG1686" s="110"/>
      <c r="CH1686" s="110"/>
      <c r="CI1686" s="110"/>
      <c r="CJ1686" s="110"/>
      <c r="CK1686" s="110"/>
      <c r="CL1686" s="110"/>
      <c r="CM1686" s="110"/>
      <c r="CN1686" s="110"/>
      <c r="CO1686" s="110"/>
      <c r="CP1686" s="110"/>
      <c r="CQ1686" s="110"/>
      <c r="CR1686" s="110"/>
      <c r="CS1686" s="110"/>
      <c r="CT1686" s="110"/>
      <c r="CU1686" s="110"/>
      <c r="CV1686" s="110"/>
      <c r="CW1686" s="110"/>
      <c r="CX1686" s="110"/>
      <c r="CY1686" s="110"/>
      <c r="CZ1686" s="110"/>
      <c r="DA1686" s="110"/>
      <c r="DB1686" s="110"/>
      <c r="DC1686" s="110"/>
      <c r="DD1686" s="110"/>
      <c r="DE1686" s="110"/>
      <c r="DF1686" s="110"/>
      <c r="DG1686" s="110"/>
      <c r="DH1686" s="110"/>
      <c r="DI1686" s="110"/>
      <c r="DJ1686" s="110"/>
      <c r="DK1686" s="110"/>
      <c r="DL1686" s="110"/>
      <c r="DM1686" s="110"/>
      <c r="DN1686" s="110"/>
      <c r="DO1686" s="110"/>
      <c r="DP1686" s="110"/>
      <c r="DQ1686" s="110"/>
      <c r="DR1686" s="110"/>
      <c r="DS1686" s="110"/>
      <c r="DT1686" s="110"/>
      <c r="DU1686" s="110"/>
      <c r="DV1686" s="110"/>
      <c r="DW1686" s="110"/>
      <c r="DX1686" s="110"/>
      <c r="DY1686" s="110"/>
      <c r="DZ1686" s="110"/>
      <c r="EA1686" s="110"/>
      <c r="EB1686" s="110"/>
      <c r="EC1686" s="110"/>
      <c r="ED1686" s="110"/>
      <c r="EF1686" s="264"/>
      <c r="EG1686" s="110"/>
      <c r="EH1686" s="110"/>
      <c r="EI1686" s="110"/>
      <c r="EJ1686" s="110"/>
      <c r="EK1686" s="266"/>
      <c r="EL1686" s="110"/>
      <c r="EM1686" s="110"/>
      <c r="EN1686" s="110"/>
      <c r="EO1686" s="110"/>
      <c r="EP1686" s="110"/>
      <c r="EQ1686" s="110"/>
      <c r="ER1686" s="110"/>
      <c r="ES1686" s="110"/>
      <c r="ET1686" s="110"/>
      <c r="EU1686" s="110"/>
      <c r="EV1686" s="110"/>
      <c r="EW1686" s="110"/>
      <c r="EX1686" s="110"/>
      <c r="EY1686" s="110"/>
      <c r="EZ1686" s="110"/>
      <c r="FA1686" s="110"/>
      <c r="FB1686" s="110"/>
      <c r="FC1686" s="110"/>
      <c r="FD1686" s="110"/>
      <c r="FE1686" s="110"/>
      <c r="FF1686" s="110"/>
      <c r="FG1686" s="110"/>
      <c r="FH1686" s="110"/>
      <c r="FI1686" s="110"/>
      <c r="FJ1686" s="110"/>
      <c r="FK1686" s="110"/>
      <c r="FL1686" s="110"/>
      <c r="FM1686" s="110"/>
      <c r="FN1686" s="110"/>
      <c r="FO1686" s="110"/>
      <c r="FP1686" s="110"/>
      <c r="FQ1686" s="110"/>
      <c r="FR1686" s="110"/>
      <c r="FS1686" s="110"/>
      <c r="FT1686" s="110"/>
      <c r="FU1686" s="110"/>
      <c r="FV1686" s="110"/>
      <c r="FW1686" s="110"/>
      <c r="FX1686" s="110"/>
      <c r="FY1686" s="110"/>
      <c r="FZ1686" s="110"/>
      <c r="GA1686" s="110"/>
      <c r="GB1686" s="110"/>
      <c r="GC1686" s="110"/>
      <c r="GD1686" s="110"/>
      <c r="GE1686" s="110"/>
      <c r="GF1686" s="110"/>
      <c r="GG1686" s="110"/>
      <c r="GH1686" s="110"/>
      <c r="GI1686" s="110"/>
      <c r="GJ1686" s="110"/>
      <c r="GK1686" s="110"/>
      <c r="GL1686" s="110"/>
      <c r="GM1686" s="110"/>
      <c r="GN1686" s="110"/>
      <c r="GO1686" s="110"/>
      <c r="GP1686" s="110"/>
      <c r="GQ1686" s="110"/>
      <c r="GR1686" s="110"/>
      <c r="GS1686" s="110"/>
      <c r="GT1686" s="110"/>
      <c r="GU1686" s="110"/>
      <c r="GV1686" s="110"/>
      <c r="GW1686" s="110"/>
      <c r="GX1686" s="110"/>
      <c r="GY1686" s="110"/>
      <c r="GZ1686" s="110"/>
      <c r="HA1686" s="110"/>
      <c r="HB1686" s="110"/>
      <c r="HC1686" s="110"/>
      <c r="HD1686" s="110"/>
      <c r="HE1686" s="110"/>
      <c r="HF1686" s="110"/>
      <c r="HG1686" s="110"/>
      <c r="HH1686" s="110"/>
      <c r="HI1686" s="110"/>
      <c r="HJ1686" s="110"/>
      <c r="HK1686" s="110"/>
      <c r="HL1686" s="110"/>
      <c r="HM1686" s="110"/>
      <c r="HN1686" s="110"/>
      <c r="HO1686" s="110"/>
      <c r="HP1686" s="110"/>
      <c r="HQ1686" s="110"/>
      <c r="HR1686" s="110"/>
      <c r="HS1686" s="110"/>
      <c r="HT1686" s="110"/>
      <c r="HU1686" s="110"/>
      <c r="HV1686" s="110"/>
      <c r="HW1686" s="110"/>
      <c r="HX1686" s="110"/>
      <c r="HY1686" s="110"/>
      <c r="HZ1686" s="110"/>
      <c r="IA1686" s="110"/>
      <c r="IB1686" s="110"/>
      <c r="IC1686" s="110"/>
      <c r="ID1686" s="110"/>
      <c r="IE1686" s="110"/>
      <c r="IF1686" s="110"/>
      <c r="IG1686" s="110"/>
      <c r="IH1686" s="110"/>
      <c r="II1686" s="110"/>
      <c r="IJ1686" s="110"/>
      <c r="IK1686" s="110"/>
      <c r="IL1686" s="110"/>
      <c r="IM1686" s="110"/>
      <c r="IN1686" s="110"/>
      <c r="IO1686" s="110"/>
      <c r="IP1686" s="110"/>
      <c r="IQ1686" s="110"/>
      <c r="IR1686" s="110"/>
    </row>
    <row r="1687" spans="18:252" ht="16.5" hidden="1" customHeight="1">
      <c r="R1687" s="264"/>
      <c r="S1687" s="110"/>
      <c r="T1687" s="110"/>
      <c r="U1687" s="110"/>
      <c r="V1687" s="110"/>
      <c r="W1687" s="266"/>
      <c r="X1687" s="110"/>
      <c r="Y1687" s="110"/>
      <c r="Z1687" s="110"/>
      <c r="AA1687" s="110"/>
      <c r="AB1687" s="110"/>
      <c r="AC1687" s="110"/>
      <c r="AD1687" s="110"/>
      <c r="AE1687" s="110"/>
      <c r="AF1687" s="110"/>
      <c r="AG1687" s="110"/>
      <c r="AH1687" s="110"/>
      <c r="AI1687" s="110"/>
      <c r="AJ1687" s="110"/>
      <c r="AK1687" s="110"/>
      <c r="AL1687" s="110"/>
      <c r="AM1687" s="110"/>
      <c r="AN1687" s="110"/>
      <c r="AO1687" s="110"/>
      <c r="AP1687" s="110"/>
      <c r="AQ1687" s="110"/>
      <c r="AR1687" s="110"/>
      <c r="AS1687" s="110"/>
      <c r="AT1687" s="110"/>
      <c r="AU1687" s="110"/>
      <c r="AV1687" s="110"/>
      <c r="AW1687" s="110"/>
      <c r="AX1687" s="110"/>
      <c r="AY1687" s="110"/>
      <c r="AZ1687" s="110"/>
      <c r="BA1687" s="110"/>
      <c r="BB1687" s="110"/>
      <c r="BC1687" s="110"/>
      <c r="BD1687" s="110"/>
      <c r="BE1687" s="110"/>
      <c r="BF1687" s="110"/>
      <c r="BG1687" s="110"/>
      <c r="BH1687" s="110"/>
      <c r="BI1687" s="110"/>
      <c r="BJ1687" s="110"/>
      <c r="BK1687" s="110"/>
      <c r="BL1687" s="110"/>
      <c r="BM1687" s="110"/>
      <c r="BN1687" s="110"/>
      <c r="BO1687" s="110"/>
      <c r="BP1687" s="110"/>
      <c r="BQ1687" s="110"/>
      <c r="BR1687" s="110"/>
      <c r="BS1687" s="110"/>
      <c r="BT1687" s="110"/>
      <c r="BU1687" s="110"/>
      <c r="BV1687" s="110"/>
      <c r="BW1687" s="110"/>
      <c r="BX1687" s="110"/>
      <c r="BY1687" s="110"/>
      <c r="BZ1687" s="110"/>
      <c r="CA1687" s="110"/>
      <c r="CB1687" s="110"/>
      <c r="CC1687" s="110"/>
      <c r="CD1687" s="110"/>
      <c r="CE1687" s="110"/>
      <c r="CF1687" s="110"/>
      <c r="CG1687" s="110"/>
      <c r="CH1687" s="110"/>
      <c r="CI1687" s="110"/>
      <c r="CJ1687" s="110"/>
      <c r="CK1687" s="110"/>
      <c r="CL1687" s="110"/>
      <c r="CM1687" s="110"/>
      <c r="CN1687" s="110"/>
      <c r="CO1687" s="110"/>
      <c r="CP1687" s="110"/>
      <c r="CQ1687" s="110"/>
      <c r="CR1687" s="110"/>
      <c r="CS1687" s="110"/>
      <c r="CT1687" s="110"/>
      <c r="CU1687" s="110"/>
      <c r="CV1687" s="110"/>
      <c r="CW1687" s="110"/>
      <c r="CX1687" s="110"/>
      <c r="CY1687" s="110"/>
      <c r="CZ1687" s="110"/>
      <c r="DA1687" s="110"/>
      <c r="DB1687" s="110"/>
      <c r="DC1687" s="110"/>
      <c r="DD1687" s="110"/>
      <c r="DE1687" s="110"/>
      <c r="DF1687" s="110"/>
      <c r="DG1687" s="110"/>
      <c r="DH1687" s="110"/>
      <c r="DI1687" s="110"/>
      <c r="DJ1687" s="110"/>
      <c r="DK1687" s="110"/>
      <c r="DL1687" s="110"/>
      <c r="DM1687" s="110"/>
      <c r="DN1687" s="110"/>
      <c r="DO1687" s="110"/>
      <c r="DP1687" s="110"/>
      <c r="DQ1687" s="110"/>
      <c r="DR1687" s="110"/>
      <c r="DS1687" s="110"/>
      <c r="DT1687" s="110"/>
      <c r="DU1687" s="110"/>
      <c r="DV1687" s="110"/>
      <c r="DW1687" s="110"/>
      <c r="DX1687" s="110"/>
      <c r="DY1687" s="110"/>
      <c r="DZ1687" s="110"/>
      <c r="EA1687" s="110"/>
      <c r="EB1687" s="110"/>
      <c r="EC1687" s="110"/>
      <c r="ED1687" s="110"/>
      <c r="EF1687" s="264"/>
      <c r="EG1687" s="110"/>
      <c r="EH1687" s="110"/>
      <c r="EI1687" s="110"/>
      <c r="EJ1687" s="110"/>
      <c r="EK1687" s="266"/>
      <c r="EL1687" s="110"/>
      <c r="EM1687" s="110"/>
      <c r="EN1687" s="110"/>
      <c r="EO1687" s="110"/>
      <c r="EP1687" s="110"/>
      <c r="EQ1687" s="110"/>
      <c r="ER1687" s="110"/>
      <c r="ES1687" s="110"/>
      <c r="ET1687" s="110"/>
      <c r="EU1687" s="110"/>
      <c r="EV1687" s="110"/>
      <c r="EW1687" s="110"/>
      <c r="EX1687" s="110"/>
      <c r="EY1687" s="110"/>
      <c r="EZ1687" s="110"/>
      <c r="FA1687" s="110"/>
      <c r="FB1687" s="110"/>
      <c r="FC1687" s="110"/>
      <c r="FD1687" s="110"/>
      <c r="FE1687" s="110"/>
      <c r="FF1687" s="110"/>
      <c r="FG1687" s="110"/>
      <c r="FH1687" s="110"/>
      <c r="FI1687" s="110"/>
      <c r="FJ1687" s="110"/>
      <c r="FK1687" s="110"/>
      <c r="FL1687" s="110"/>
      <c r="FM1687" s="110"/>
      <c r="FN1687" s="110"/>
      <c r="FO1687" s="110"/>
      <c r="FP1687" s="110"/>
      <c r="FQ1687" s="110"/>
      <c r="FR1687" s="110"/>
      <c r="FS1687" s="110"/>
      <c r="FT1687" s="110"/>
      <c r="FU1687" s="110"/>
      <c r="FV1687" s="110"/>
      <c r="FW1687" s="110"/>
      <c r="FX1687" s="110"/>
      <c r="FY1687" s="110"/>
      <c r="FZ1687" s="110"/>
      <c r="GA1687" s="110"/>
      <c r="GB1687" s="110"/>
      <c r="GC1687" s="110"/>
      <c r="GD1687" s="110"/>
      <c r="GE1687" s="110"/>
      <c r="GF1687" s="110"/>
      <c r="GG1687" s="110"/>
      <c r="GH1687" s="110"/>
      <c r="GI1687" s="110"/>
      <c r="GJ1687" s="110"/>
      <c r="GK1687" s="110"/>
      <c r="GL1687" s="110"/>
      <c r="GM1687" s="110"/>
      <c r="GN1687" s="110"/>
      <c r="GO1687" s="110"/>
      <c r="GP1687" s="110"/>
      <c r="GQ1687" s="110"/>
      <c r="GR1687" s="110"/>
      <c r="GS1687" s="110"/>
      <c r="GT1687" s="110"/>
      <c r="GU1687" s="110"/>
      <c r="GV1687" s="110"/>
      <c r="GW1687" s="110"/>
      <c r="GX1687" s="110"/>
      <c r="GY1687" s="110"/>
      <c r="GZ1687" s="110"/>
      <c r="HA1687" s="110"/>
      <c r="HB1687" s="110"/>
      <c r="HC1687" s="110"/>
      <c r="HD1687" s="110"/>
      <c r="HE1687" s="110"/>
      <c r="HF1687" s="110"/>
      <c r="HG1687" s="110"/>
      <c r="HH1687" s="110"/>
      <c r="HI1687" s="110"/>
      <c r="HJ1687" s="110"/>
      <c r="HK1687" s="110"/>
      <c r="HL1687" s="110"/>
      <c r="HM1687" s="110"/>
      <c r="HN1687" s="110"/>
      <c r="HO1687" s="110"/>
      <c r="HP1687" s="110"/>
      <c r="HQ1687" s="110"/>
      <c r="HR1687" s="110"/>
      <c r="HS1687" s="110"/>
      <c r="HT1687" s="110"/>
      <c r="HU1687" s="110"/>
      <c r="HV1687" s="110"/>
      <c r="HW1687" s="110"/>
      <c r="HX1687" s="110"/>
      <c r="HY1687" s="110"/>
      <c r="HZ1687" s="110"/>
      <c r="IA1687" s="110"/>
      <c r="IB1687" s="110"/>
      <c r="IC1687" s="110"/>
      <c r="ID1687" s="110"/>
      <c r="IE1687" s="110"/>
      <c r="IF1687" s="110"/>
      <c r="IG1687" s="110"/>
      <c r="IH1687" s="110"/>
      <c r="II1687" s="110"/>
      <c r="IJ1687" s="110"/>
      <c r="IK1687" s="110"/>
      <c r="IL1687" s="110"/>
      <c r="IM1687" s="110"/>
      <c r="IN1687" s="110"/>
      <c r="IO1687" s="110"/>
      <c r="IP1687" s="110"/>
      <c r="IQ1687" s="110"/>
      <c r="IR1687" s="110"/>
    </row>
    <row r="1688" spans="18:252" ht="16.5" hidden="1" customHeight="1">
      <c r="R1688" s="264"/>
      <c r="S1688" s="110"/>
      <c r="T1688" s="110"/>
      <c r="U1688" s="110"/>
      <c r="V1688" s="110"/>
      <c r="W1688" s="266"/>
      <c r="X1688" s="110"/>
      <c r="Y1688" s="110"/>
      <c r="Z1688" s="110"/>
      <c r="AA1688" s="110"/>
      <c r="AB1688" s="110"/>
      <c r="AC1688" s="110"/>
      <c r="AD1688" s="110"/>
      <c r="AE1688" s="110"/>
      <c r="AF1688" s="110"/>
      <c r="AG1688" s="110"/>
      <c r="AH1688" s="110"/>
      <c r="AI1688" s="110"/>
      <c r="AJ1688" s="110"/>
      <c r="AK1688" s="110"/>
      <c r="AL1688" s="110"/>
      <c r="AM1688" s="110"/>
      <c r="AN1688" s="110"/>
      <c r="AO1688" s="110"/>
      <c r="AP1688" s="110"/>
      <c r="AQ1688" s="110"/>
      <c r="AR1688" s="110"/>
      <c r="AS1688" s="110"/>
      <c r="AT1688" s="110"/>
      <c r="AU1688" s="110"/>
      <c r="AV1688" s="110"/>
      <c r="AW1688" s="110"/>
      <c r="AX1688" s="110"/>
      <c r="AY1688" s="110"/>
      <c r="AZ1688" s="110"/>
      <c r="BA1688" s="110"/>
      <c r="BB1688" s="110"/>
      <c r="BC1688" s="110"/>
      <c r="BD1688" s="110"/>
      <c r="BE1688" s="110"/>
      <c r="BF1688" s="110"/>
      <c r="BG1688" s="110"/>
      <c r="BH1688" s="110"/>
      <c r="BI1688" s="110"/>
      <c r="BJ1688" s="110"/>
      <c r="BK1688" s="110"/>
      <c r="BL1688" s="110"/>
      <c r="BM1688" s="110"/>
      <c r="BN1688" s="110"/>
      <c r="BO1688" s="110"/>
      <c r="BP1688" s="110"/>
      <c r="BQ1688" s="110"/>
      <c r="BR1688" s="110"/>
      <c r="BS1688" s="110"/>
      <c r="BT1688" s="110"/>
      <c r="BU1688" s="110"/>
      <c r="BV1688" s="110"/>
      <c r="BW1688" s="110"/>
      <c r="BX1688" s="110"/>
      <c r="BY1688" s="110"/>
      <c r="BZ1688" s="110"/>
      <c r="CA1688" s="110"/>
      <c r="CB1688" s="110"/>
      <c r="CC1688" s="110"/>
      <c r="CD1688" s="110"/>
      <c r="CE1688" s="110"/>
      <c r="CF1688" s="110"/>
      <c r="CG1688" s="110"/>
      <c r="CH1688" s="110"/>
      <c r="CI1688" s="110"/>
      <c r="CJ1688" s="110"/>
      <c r="CK1688" s="110"/>
      <c r="CL1688" s="110"/>
      <c r="CM1688" s="110"/>
      <c r="CN1688" s="110"/>
      <c r="CO1688" s="110"/>
      <c r="CP1688" s="110"/>
      <c r="CQ1688" s="110"/>
      <c r="CR1688" s="110"/>
      <c r="CS1688" s="110"/>
      <c r="CT1688" s="110"/>
      <c r="CU1688" s="110"/>
      <c r="CV1688" s="110"/>
      <c r="CW1688" s="110"/>
      <c r="CX1688" s="110"/>
      <c r="CY1688" s="110"/>
      <c r="CZ1688" s="110"/>
      <c r="DA1688" s="110"/>
      <c r="DB1688" s="110"/>
      <c r="DC1688" s="110"/>
      <c r="DD1688" s="110"/>
      <c r="DE1688" s="110"/>
      <c r="DF1688" s="110"/>
      <c r="DG1688" s="110"/>
      <c r="DH1688" s="110"/>
      <c r="DI1688" s="110"/>
      <c r="DJ1688" s="110"/>
      <c r="DK1688" s="110"/>
      <c r="DL1688" s="110"/>
      <c r="DM1688" s="110"/>
      <c r="DN1688" s="110"/>
      <c r="DO1688" s="110"/>
      <c r="DP1688" s="110"/>
      <c r="DQ1688" s="110"/>
      <c r="DR1688" s="110"/>
      <c r="DS1688" s="110"/>
      <c r="DT1688" s="110"/>
      <c r="DU1688" s="110"/>
      <c r="DV1688" s="110"/>
      <c r="DW1688" s="110"/>
      <c r="DX1688" s="110"/>
      <c r="DY1688" s="110"/>
      <c r="DZ1688" s="110"/>
      <c r="EA1688" s="110"/>
      <c r="EB1688" s="110"/>
      <c r="EC1688" s="110"/>
      <c r="ED1688" s="110"/>
      <c r="EF1688" s="264"/>
      <c r="EG1688" s="110"/>
      <c r="EH1688" s="110"/>
      <c r="EI1688" s="110"/>
      <c r="EJ1688" s="110"/>
      <c r="EK1688" s="266"/>
      <c r="EL1688" s="110"/>
      <c r="EM1688" s="110"/>
      <c r="EN1688" s="110"/>
      <c r="EO1688" s="110"/>
      <c r="EP1688" s="110"/>
      <c r="EQ1688" s="110"/>
      <c r="ER1688" s="110"/>
      <c r="ES1688" s="110"/>
      <c r="ET1688" s="110"/>
      <c r="EU1688" s="110"/>
      <c r="EV1688" s="110"/>
      <c r="EW1688" s="110"/>
      <c r="EX1688" s="110"/>
      <c r="EY1688" s="110"/>
      <c r="EZ1688" s="110"/>
      <c r="FA1688" s="110"/>
      <c r="FB1688" s="110"/>
      <c r="FC1688" s="110"/>
      <c r="FD1688" s="110"/>
      <c r="FE1688" s="110"/>
      <c r="FF1688" s="110"/>
      <c r="FG1688" s="110"/>
      <c r="FH1688" s="110"/>
      <c r="FI1688" s="110"/>
      <c r="FJ1688" s="110"/>
      <c r="FK1688" s="110"/>
      <c r="FL1688" s="110"/>
      <c r="FM1688" s="110"/>
      <c r="FN1688" s="110"/>
      <c r="FO1688" s="110"/>
      <c r="FP1688" s="110"/>
      <c r="FQ1688" s="110"/>
      <c r="FR1688" s="110"/>
      <c r="FS1688" s="110"/>
      <c r="FT1688" s="110"/>
      <c r="FU1688" s="110"/>
      <c r="FV1688" s="110"/>
      <c r="FW1688" s="110"/>
      <c r="FX1688" s="110"/>
      <c r="FY1688" s="110"/>
      <c r="FZ1688" s="110"/>
      <c r="GA1688" s="110"/>
      <c r="GB1688" s="110"/>
      <c r="GC1688" s="110"/>
      <c r="GD1688" s="110"/>
      <c r="GE1688" s="110"/>
      <c r="GF1688" s="110"/>
      <c r="GG1688" s="110"/>
      <c r="GH1688" s="110"/>
      <c r="GI1688" s="110"/>
      <c r="GJ1688" s="110"/>
      <c r="GK1688" s="110"/>
      <c r="GL1688" s="110"/>
      <c r="GM1688" s="110"/>
      <c r="GN1688" s="110"/>
      <c r="GO1688" s="110"/>
      <c r="GP1688" s="110"/>
      <c r="GQ1688" s="110"/>
      <c r="GR1688" s="110"/>
      <c r="GS1688" s="110"/>
      <c r="GT1688" s="110"/>
      <c r="GU1688" s="110"/>
      <c r="GV1688" s="110"/>
      <c r="GW1688" s="110"/>
      <c r="GX1688" s="110"/>
      <c r="GY1688" s="110"/>
      <c r="GZ1688" s="110"/>
      <c r="HA1688" s="110"/>
      <c r="HB1688" s="110"/>
      <c r="HC1688" s="110"/>
      <c r="HD1688" s="110"/>
      <c r="HE1688" s="110"/>
      <c r="HF1688" s="110"/>
      <c r="HG1688" s="110"/>
      <c r="HH1688" s="110"/>
      <c r="HI1688" s="110"/>
      <c r="HJ1688" s="110"/>
      <c r="HK1688" s="110"/>
      <c r="HL1688" s="110"/>
      <c r="HM1688" s="110"/>
      <c r="HN1688" s="110"/>
      <c r="HO1688" s="110"/>
      <c r="HP1688" s="110"/>
      <c r="HQ1688" s="110"/>
      <c r="HR1688" s="110"/>
      <c r="HS1688" s="110"/>
      <c r="HT1688" s="110"/>
      <c r="HU1688" s="110"/>
      <c r="HV1688" s="110"/>
      <c r="HW1688" s="110"/>
      <c r="HX1688" s="110"/>
      <c r="HY1688" s="110"/>
      <c r="HZ1688" s="110"/>
      <c r="IA1688" s="110"/>
      <c r="IB1688" s="110"/>
      <c r="IC1688" s="110"/>
      <c r="ID1688" s="110"/>
      <c r="IE1688" s="110"/>
      <c r="IF1688" s="110"/>
      <c r="IG1688" s="110"/>
      <c r="IH1688" s="110"/>
      <c r="II1688" s="110"/>
      <c r="IJ1688" s="110"/>
      <c r="IK1688" s="110"/>
      <c r="IL1688" s="110"/>
      <c r="IM1688" s="110"/>
      <c r="IN1688" s="110"/>
      <c r="IO1688" s="110"/>
      <c r="IP1688" s="110"/>
      <c r="IQ1688" s="110"/>
      <c r="IR1688" s="110"/>
    </row>
    <row r="1689" spans="18:252" ht="16.5" hidden="1" customHeight="1">
      <c r="R1689" s="264"/>
      <c r="S1689" s="110"/>
      <c r="T1689" s="110"/>
      <c r="U1689" s="110"/>
      <c r="V1689" s="110"/>
      <c r="W1689" s="266"/>
      <c r="X1689" s="110"/>
      <c r="Y1689" s="110"/>
      <c r="Z1689" s="110"/>
      <c r="AA1689" s="110"/>
      <c r="AB1689" s="110"/>
      <c r="AC1689" s="110"/>
      <c r="AD1689" s="110"/>
      <c r="AE1689" s="110"/>
      <c r="AF1689" s="110"/>
      <c r="AG1689" s="110"/>
      <c r="AH1689" s="110"/>
      <c r="AI1689" s="110"/>
      <c r="AJ1689" s="110"/>
      <c r="AK1689" s="110"/>
      <c r="AL1689" s="110"/>
      <c r="AM1689" s="110"/>
      <c r="AN1689" s="110"/>
      <c r="AO1689" s="110"/>
      <c r="AP1689" s="110"/>
      <c r="AQ1689" s="110"/>
      <c r="AR1689" s="110"/>
      <c r="AS1689" s="110"/>
      <c r="AT1689" s="110"/>
      <c r="AU1689" s="110"/>
      <c r="AV1689" s="110"/>
      <c r="AW1689" s="110"/>
      <c r="AX1689" s="110"/>
      <c r="AY1689" s="110"/>
      <c r="AZ1689" s="110"/>
      <c r="BA1689" s="110"/>
      <c r="BB1689" s="110"/>
      <c r="BC1689" s="110"/>
      <c r="BD1689" s="110"/>
      <c r="BE1689" s="110"/>
      <c r="BF1689" s="110"/>
      <c r="BG1689" s="110"/>
      <c r="BH1689" s="110"/>
      <c r="BI1689" s="110"/>
      <c r="BJ1689" s="110"/>
      <c r="BK1689" s="110"/>
      <c r="BL1689" s="110"/>
      <c r="BM1689" s="110"/>
      <c r="BN1689" s="110"/>
      <c r="BO1689" s="110"/>
      <c r="BP1689" s="110"/>
      <c r="BQ1689" s="110"/>
      <c r="BR1689" s="110"/>
      <c r="BS1689" s="110"/>
      <c r="BT1689" s="110"/>
      <c r="BU1689" s="110"/>
      <c r="BV1689" s="110"/>
      <c r="BW1689" s="110"/>
      <c r="BX1689" s="110"/>
      <c r="BY1689" s="110"/>
      <c r="BZ1689" s="110"/>
      <c r="CA1689" s="110"/>
      <c r="CB1689" s="110"/>
      <c r="CC1689" s="110"/>
      <c r="CD1689" s="110"/>
      <c r="CE1689" s="110"/>
      <c r="CF1689" s="110"/>
      <c r="CG1689" s="110"/>
      <c r="CH1689" s="110"/>
      <c r="CI1689" s="110"/>
      <c r="CJ1689" s="110"/>
      <c r="CK1689" s="110"/>
      <c r="CL1689" s="110"/>
      <c r="CM1689" s="110"/>
      <c r="CN1689" s="110"/>
      <c r="CO1689" s="110"/>
      <c r="CP1689" s="110"/>
      <c r="CQ1689" s="110"/>
      <c r="CR1689" s="110"/>
      <c r="CS1689" s="110"/>
      <c r="CT1689" s="110"/>
      <c r="CU1689" s="110"/>
      <c r="CV1689" s="110"/>
      <c r="CW1689" s="110"/>
      <c r="CX1689" s="110"/>
      <c r="CY1689" s="110"/>
      <c r="CZ1689" s="110"/>
      <c r="DA1689" s="110"/>
      <c r="DB1689" s="110"/>
      <c r="DC1689" s="110"/>
      <c r="DD1689" s="110"/>
      <c r="DE1689" s="110"/>
      <c r="DF1689" s="110"/>
      <c r="DG1689" s="110"/>
      <c r="DH1689" s="110"/>
      <c r="DI1689" s="110"/>
      <c r="DJ1689" s="110"/>
      <c r="DK1689" s="110"/>
      <c r="DL1689" s="110"/>
      <c r="DM1689" s="110"/>
      <c r="DN1689" s="110"/>
      <c r="DO1689" s="110"/>
      <c r="DP1689" s="110"/>
      <c r="DQ1689" s="110"/>
      <c r="DR1689" s="110"/>
      <c r="DS1689" s="110"/>
      <c r="DT1689" s="110"/>
      <c r="DU1689" s="110"/>
      <c r="DV1689" s="110"/>
      <c r="DW1689" s="110"/>
      <c r="DX1689" s="110"/>
      <c r="DY1689" s="110"/>
      <c r="DZ1689" s="110"/>
      <c r="EA1689" s="110"/>
      <c r="EB1689" s="110"/>
      <c r="EC1689" s="110"/>
      <c r="ED1689" s="110"/>
      <c r="EF1689" s="264"/>
      <c r="EG1689" s="110"/>
      <c r="EH1689" s="110"/>
      <c r="EI1689" s="110"/>
      <c r="EJ1689" s="110"/>
      <c r="EK1689" s="266"/>
      <c r="EL1689" s="110"/>
      <c r="EM1689" s="110"/>
      <c r="EN1689" s="110"/>
      <c r="EO1689" s="110"/>
      <c r="EP1689" s="110"/>
      <c r="EQ1689" s="110"/>
      <c r="ER1689" s="110"/>
      <c r="ES1689" s="110"/>
      <c r="ET1689" s="110"/>
      <c r="EU1689" s="110"/>
      <c r="EV1689" s="110"/>
      <c r="EW1689" s="110"/>
      <c r="EX1689" s="110"/>
      <c r="EY1689" s="110"/>
      <c r="EZ1689" s="110"/>
      <c r="FA1689" s="110"/>
      <c r="FB1689" s="110"/>
      <c r="FC1689" s="110"/>
      <c r="FD1689" s="110"/>
      <c r="FE1689" s="110"/>
      <c r="FF1689" s="110"/>
      <c r="FG1689" s="110"/>
      <c r="FH1689" s="110"/>
      <c r="FI1689" s="110"/>
      <c r="FJ1689" s="110"/>
      <c r="FK1689" s="110"/>
      <c r="FL1689" s="110"/>
      <c r="FM1689" s="110"/>
      <c r="FN1689" s="110"/>
      <c r="FO1689" s="110"/>
      <c r="FP1689" s="110"/>
      <c r="FQ1689" s="110"/>
      <c r="FR1689" s="110"/>
      <c r="FS1689" s="110"/>
      <c r="FT1689" s="110"/>
      <c r="FU1689" s="110"/>
      <c r="FV1689" s="110"/>
      <c r="FW1689" s="110"/>
      <c r="FX1689" s="110"/>
      <c r="FY1689" s="110"/>
      <c r="FZ1689" s="110"/>
      <c r="GA1689" s="110"/>
      <c r="GB1689" s="110"/>
      <c r="GC1689" s="110"/>
      <c r="GD1689" s="110"/>
      <c r="GE1689" s="110"/>
      <c r="GF1689" s="110"/>
      <c r="GG1689" s="110"/>
      <c r="GH1689" s="110"/>
      <c r="GI1689" s="110"/>
      <c r="GJ1689" s="110"/>
      <c r="GK1689" s="110"/>
      <c r="GL1689" s="110"/>
      <c r="GM1689" s="110"/>
      <c r="GN1689" s="110"/>
      <c r="GO1689" s="110"/>
      <c r="GP1689" s="110"/>
      <c r="GQ1689" s="110"/>
      <c r="GR1689" s="110"/>
      <c r="GS1689" s="110"/>
      <c r="GT1689" s="110"/>
      <c r="GU1689" s="110"/>
      <c r="GV1689" s="110"/>
      <c r="GW1689" s="110"/>
      <c r="GX1689" s="110"/>
      <c r="GY1689" s="110"/>
      <c r="GZ1689" s="110"/>
      <c r="HA1689" s="110"/>
      <c r="HB1689" s="110"/>
      <c r="HC1689" s="110"/>
      <c r="HD1689" s="110"/>
      <c r="HE1689" s="110"/>
      <c r="HF1689" s="110"/>
      <c r="HG1689" s="110"/>
      <c r="HH1689" s="110"/>
      <c r="HI1689" s="110"/>
      <c r="HJ1689" s="110"/>
      <c r="HK1689" s="110"/>
      <c r="HL1689" s="110"/>
      <c r="HM1689" s="110"/>
      <c r="HN1689" s="110"/>
      <c r="HO1689" s="110"/>
      <c r="HP1689" s="110"/>
      <c r="HQ1689" s="110"/>
      <c r="HR1689" s="110"/>
      <c r="HS1689" s="110"/>
      <c r="HT1689" s="110"/>
      <c r="HU1689" s="110"/>
      <c r="HV1689" s="110"/>
      <c r="HW1689" s="110"/>
      <c r="HX1689" s="110"/>
      <c r="HY1689" s="110"/>
      <c r="HZ1689" s="110"/>
      <c r="IA1689" s="110"/>
      <c r="IB1689" s="110"/>
      <c r="IC1689" s="110"/>
      <c r="ID1689" s="110"/>
      <c r="IE1689" s="110"/>
      <c r="IF1689" s="110"/>
      <c r="IG1689" s="110"/>
      <c r="IH1689" s="110"/>
      <c r="II1689" s="110"/>
      <c r="IJ1689" s="110"/>
      <c r="IK1689" s="110"/>
      <c r="IL1689" s="110"/>
      <c r="IM1689" s="110"/>
      <c r="IN1689" s="110"/>
      <c r="IO1689" s="110"/>
      <c r="IP1689" s="110"/>
      <c r="IQ1689" s="110"/>
      <c r="IR1689" s="110"/>
    </row>
    <row r="1690" spans="18:252" ht="16.5" hidden="1" customHeight="1">
      <c r="R1690" s="264"/>
      <c r="S1690" s="110"/>
      <c r="T1690" s="110"/>
      <c r="U1690" s="110"/>
      <c r="V1690" s="110"/>
      <c r="W1690" s="266"/>
      <c r="X1690" s="110"/>
      <c r="Y1690" s="110"/>
      <c r="Z1690" s="110"/>
      <c r="AA1690" s="110"/>
      <c r="AB1690" s="110"/>
      <c r="AC1690" s="110"/>
      <c r="AD1690" s="110"/>
      <c r="AE1690" s="110"/>
      <c r="AF1690" s="110"/>
      <c r="AG1690" s="110"/>
      <c r="AH1690" s="110"/>
      <c r="AI1690" s="110"/>
      <c r="AJ1690" s="110"/>
      <c r="AK1690" s="110"/>
      <c r="AL1690" s="110"/>
      <c r="AM1690" s="110"/>
      <c r="AN1690" s="110"/>
      <c r="AO1690" s="110"/>
      <c r="AP1690" s="110"/>
      <c r="AQ1690" s="110"/>
      <c r="AR1690" s="110"/>
      <c r="AS1690" s="110"/>
      <c r="AT1690" s="110"/>
      <c r="AU1690" s="110"/>
      <c r="AV1690" s="110"/>
      <c r="AW1690" s="110"/>
      <c r="AX1690" s="110"/>
      <c r="AY1690" s="110"/>
      <c r="AZ1690" s="110"/>
      <c r="BA1690" s="110"/>
      <c r="BB1690" s="110"/>
      <c r="BC1690" s="110"/>
      <c r="BD1690" s="110"/>
      <c r="BE1690" s="110"/>
      <c r="BF1690" s="110"/>
      <c r="BG1690" s="110"/>
      <c r="BH1690" s="110"/>
      <c r="BI1690" s="110"/>
      <c r="BJ1690" s="110"/>
      <c r="BK1690" s="110"/>
      <c r="BL1690" s="110"/>
      <c r="BM1690" s="110"/>
      <c r="BN1690" s="110"/>
      <c r="BO1690" s="110"/>
      <c r="BP1690" s="110"/>
      <c r="BQ1690" s="110"/>
      <c r="BR1690" s="110"/>
      <c r="BS1690" s="110"/>
      <c r="BT1690" s="110"/>
      <c r="BU1690" s="110"/>
      <c r="BV1690" s="110"/>
      <c r="BW1690" s="110"/>
      <c r="BX1690" s="110"/>
      <c r="BY1690" s="110"/>
      <c r="BZ1690" s="110"/>
      <c r="CA1690" s="110"/>
      <c r="CB1690" s="110"/>
      <c r="CC1690" s="110"/>
      <c r="CD1690" s="110"/>
      <c r="CE1690" s="110"/>
      <c r="CF1690" s="110"/>
      <c r="CG1690" s="110"/>
      <c r="CH1690" s="110"/>
      <c r="CI1690" s="110"/>
      <c r="CJ1690" s="110"/>
      <c r="CK1690" s="110"/>
      <c r="CL1690" s="110"/>
      <c r="CM1690" s="110"/>
      <c r="CN1690" s="110"/>
      <c r="CO1690" s="110"/>
      <c r="CP1690" s="110"/>
      <c r="CQ1690" s="110"/>
      <c r="CR1690" s="110"/>
      <c r="CS1690" s="110"/>
      <c r="CT1690" s="110"/>
      <c r="CU1690" s="110"/>
      <c r="CV1690" s="110"/>
      <c r="CW1690" s="110"/>
      <c r="CX1690" s="110"/>
      <c r="CY1690" s="110"/>
      <c r="CZ1690" s="110"/>
      <c r="DA1690" s="110"/>
      <c r="DB1690" s="110"/>
      <c r="DC1690" s="110"/>
      <c r="DD1690" s="110"/>
      <c r="DE1690" s="110"/>
      <c r="DF1690" s="110"/>
      <c r="DG1690" s="110"/>
      <c r="DH1690" s="110"/>
      <c r="DI1690" s="110"/>
      <c r="DJ1690" s="110"/>
      <c r="DK1690" s="110"/>
      <c r="DL1690" s="110"/>
      <c r="DM1690" s="110"/>
      <c r="DN1690" s="110"/>
      <c r="DO1690" s="110"/>
      <c r="DP1690" s="110"/>
      <c r="DQ1690" s="110"/>
      <c r="DR1690" s="110"/>
      <c r="DS1690" s="110"/>
      <c r="DT1690" s="110"/>
      <c r="DU1690" s="110"/>
      <c r="DV1690" s="110"/>
      <c r="DW1690" s="110"/>
      <c r="DX1690" s="110"/>
      <c r="DY1690" s="110"/>
      <c r="DZ1690" s="110"/>
      <c r="EA1690" s="110"/>
      <c r="EB1690" s="110"/>
      <c r="EC1690" s="110"/>
      <c r="ED1690" s="110"/>
      <c r="EF1690" s="264"/>
      <c r="EG1690" s="110"/>
      <c r="EH1690" s="110"/>
      <c r="EI1690" s="110"/>
      <c r="EJ1690" s="110"/>
      <c r="EK1690" s="266"/>
      <c r="EL1690" s="110"/>
      <c r="EM1690" s="110"/>
      <c r="EN1690" s="110"/>
      <c r="EO1690" s="110"/>
      <c r="EP1690" s="110"/>
      <c r="EQ1690" s="110"/>
      <c r="ER1690" s="110"/>
      <c r="ES1690" s="110"/>
      <c r="ET1690" s="110"/>
      <c r="EU1690" s="110"/>
      <c r="EV1690" s="110"/>
      <c r="EW1690" s="110"/>
      <c r="EX1690" s="110"/>
      <c r="EY1690" s="110"/>
      <c r="EZ1690" s="110"/>
      <c r="FA1690" s="110"/>
      <c r="FB1690" s="110"/>
      <c r="FC1690" s="110"/>
      <c r="FD1690" s="110"/>
      <c r="FE1690" s="110"/>
      <c r="FF1690" s="110"/>
      <c r="FG1690" s="110"/>
      <c r="FH1690" s="110"/>
      <c r="FI1690" s="110"/>
      <c r="FJ1690" s="110"/>
      <c r="FK1690" s="110"/>
      <c r="FL1690" s="110"/>
      <c r="FM1690" s="110"/>
      <c r="FN1690" s="110"/>
      <c r="FO1690" s="110"/>
      <c r="FP1690" s="110"/>
      <c r="FQ1690" s="110"/>
      <c r="FR1690" s="110"/>
      <c r="FS1690" s="110"/>
      <c r="FT1690" s="110"/>
      <c r="FU1690" s="110"/>
      <c r="FV1690" s="110"/>
      <c r="FW1690" s="110"/>
      <c r="FX1690" s="110"/>
      <c r="FY1690" s="110"/>
      <c r="FZ1690" s="110"/>
      <c r="GA1690" s="110"/>
      <c r="GB1690" s="110"/>
      <c r="GC1690" s="110"/>
      <c r="GD1690" s="110"/>
      <c r="GE1690" s="110"/>
      <c r="GF1690" s="110"/>
      <c r="GG1690" s="110"/>
      <c r="GH1690" s="110"/>
      <c r="GI1690" s="110"/>
      <c r="GJ1690" s="110"/>
      <c r="GK1690" s="110"/>
      <c r="GL1690" s="110"/>
      <c r="GM1690" s="110"/>
      <c r="GN1690" s="110"/>
      <c r="GO1690" s="110"/>
      <c r="GP1690" s="110"/>
      <c r="GQ1690" s="110"/>
      <c r="GR1690" s="110"/>
      <c r="GS1690" s="110"/>
      <c r="GT1690" s="110"/>
      <c r="GU1690" s="110"/>
      <c r="GV1690" s="110"/>
      <c r="GW1690" s="110"/>
      <c r="GX1690" s="110"/>
      <c r="GY1690" s="110"/>
      <c r="GZ1690" s="110"/>
      <c r="HA1690" s="110"/>
      <c r="HB1690" s="110"/>
      <c r="HC1690" s="110"/>
      <c r="HD1690" s="110"/>
      <c r="HE1690" s="110"/>
      <c r="HF1690" s="110"/>
      <c r="HG1690" s="110"/>
      <c r="HH1690" s="110"/>
      <c r="HI1690" s="110"/>
      <c r="HJ1690" s="110"/>
      <c r="HK1690" s="110"/>
      <c r="HL1690" s="110"/>
      <c r="HM1690" s="110"/>
      <c r="HN1690" s="110"/>
      <c r="HO1690" s="110"/>
      <c r="HP1690" s="110"/>
      <c r="HQ1690" s="110"/>
      <c r="HR1690" s="110"/>
      <c r="HS1690" s="110"/>
      <c r="HT1690" s="110"/>
      <c r="HU1690" s="110"/>
      <c r="HV1690" s="110"/>
      <c r="HW1690" s="110"/>
      <c r="HX1690" s="110"/>
      <c r="HY1690" s="110"/>
      <c r="HZ1690" s="110"/>
      <c r="IA1690" s="110"/>
      <c r="IB1690" s="110"/>
      <c r="IC1690" s="110"/>
      <c r="ID1690" s="110"/>
      <c r="IE1690" s="110"/>
      <c r="IF1690" s="110"/>
      <c r="IG1690" s="110"/>
      <c r="IH1690" s="110"/>
      <c r="II1690" s="110"/>
      <c r="IJ1690" s="110"/>
      <c r="IK1690" s="110"/>
      <c r="IL1690" s="110"/>
      <c r="IM1690" s="110"/>
      <c r="IN1690" s="110"/>
      <c r="IO1690" s="110"/>
      <c r="IP1690" s="110"/>
      <c r="IQ1690" s="110"/>
      <c r="IR1690" s="110"/>
    </row>
    <row r="1691" spans="18:252" ht="16.5" hidden="1" customHeight="1">
      <c r="R1691" s="264"/>
      <c r="S1691" s="110"/>
      <c r="T1691" s="110"/>
      <c r="U1691" s="110"/>
      <c r="V1691" s="110"/>
      <c r="W1691" s="266"/>
      <c r="X1691" s="110"/>
      <c r="Y1691" s="110"/>
      <c r="Z1691" s="110"/>
      <c r="AA1691" s="110"/>
      <c r="AB1691" s="110"/>
      <c r="AC1691" s="110"/>
      <c r="AD1691" s="110"/>
      <c r="AE1691" s="110"/>
      <c r="AF1691" s="110"/>
      <c r="AG1691" s="110"/>
      <c r="AH1691" s="110"/>
      <c r="AI1691" s="110"/>
      <c r="AJ1691" s="110"/>
      <c r="AK1691" s="110"/>
      <c r="AL1691" s="110"/>
      <c r="AM1691" s="110"/>
      <c r="AN1691" s="110"/>
      <c r="AO1691" s="110"/>
      <c r="AP1691" s="110"/>
      <c r="AQ1691" s="110"/>
      <c r="AR1691" s="110"/>
      <c r="AS1691" s="110"/>
      <c r="AT1691" s="110"/>
      <c r="AU1691" s="110"/>
      <c r="AV1691" s="110"/>
      <c r="AW1691" s="110"/>
      <c r="AX1691" s="110"/>
      <c r="AY1691" s="110"/>
      <c r="AZ1691" s="110"/>
      <c r="BA1691" s="110"/>
      <c r="BB1691" s="110"/>
      <c r="BC1691" s="110"/>
      <c r="BD1691" s="110"/>
      <c r="BE1691" s="110"/>
      <c r="BF1691" s="110"/>
      <c r="BG1691" s="110"/>
      <c r="BH1691" s="110"/>
      <c r="BI1691" s="110"/>
      <c r="BJ1691" s="110"/>
      <c r="BK1691" s="110"/>
      <c r="BL1691" s="110"/>
      <c r="BM1691" s="110"/>
      <c r="BN1691" s="110"/>
      <c r="BO1691" s="110"/>
      <c r="BP1691" s="110"/>
      <c r="BQ1691" s="110"/>
      <c r="BR1691" s="110"/>
      <c r="BS1691" s="110"/>
      <c r="BT1691" s="110"/>
      <c r="BU1691" s="110"/>
      <c r="BV1691" s="110"/>
      <c r="BW1691" s="110"/>
      <c r="BX1691" s="110"/>
      <c r="BY1691" s="110"/>
      <c r="BZ1691" s="110"/>
      <c r="CA1691" s="110"/>
      <c r="CB1691" s="110"/>
      <c r="CC1691" s="110"/>
      <c r="CD1691" s="110"/>
      <c r="CE1691" s="110"/>
      <c r="CF1691" s="110"/>
      <c r="CG1691" s="110"/>
      <c r="CH1691" s="110"/>
      <c r="CI1691" s="110"/>
      <c r="CJ1691" s="110"/>
      <c r="CK1691" s="110"/>
      <c r="CL1691" s="110"/>
      <c r="CM1691" s="110"/>
      <c r="CN1691" s="110"/>
      <c r="CO1691" s="110"/>
      <c r="CP1691" s="110"/>
      <c r="CQ1691" s="110"/>
      <c r="CR1691" s="110"/>
      <c r="CS1691" s="110"/>
      <c r="CT1691" s="110"/>
      <c r="CU1691" s="110"/>
      <c r="CV1691" s="110"/>
      <c r="CW1691" s="110"/>
      <c r="CX1691" s="110"/>
      <c r="CY1691" s="110"/>
      <c r="CZ1691" s="110"/>
      <c r="DA1691" s="110"/>
      <c r="DB1691" s="110"/>
      <c r="DC1691" s="110"/>
      <c r="DD1691" s="110"/>
      <c r="DE1691" s="110"/>
      <c r="DF1691" s="110"/>
      <c r="DG1691" s="110"/>
      <c r="DH1691" s="110"/>
      <c r="DI1691" s="110"/>
      <c r="DJ1691" s="110"/>
      <c r="DK1691" s="110"/>
      <c r="DL1691" s="110"/>
      <c r="DM1691" s="110"/>
      <c r="DN1691" s="110"/>
      <c r="DO1691" s="110"/>
      <c r="DP1691" s="110"/>
      <c r="DQ1691" s="110"/>
      <c r="DR1691" s="110"/>
      <c r="DS1691" s="110"/>
      <c r="DT1691" s="110"/>
      <c r="DU1691" s="110"/>
      <c r="DV1691" s="110"/>
      <c r="DW1691" s="110"/>
      <c r="DX1691" s="110"/>
      <c r="DY1691" s="110"/>
      <c r="DZ1691" s="110"/>
      <c r="EA1691" s="110"/>
      <c r="EB1691" s="110"/>
      <c r="EC1691" s="110"/>
      <c r="ED1691" s="110"/>
      <c r="EF1691" s="264"/>
      <c r="EG1691" s="110"/>
      <c r="EH1691" s="110"/>
      <c r="EI1691" s="110"/>
      <c r="EJ1691" s="110"/>
      <c r="EK1691" s="266"/>
      <c r="EL1691" s="110"/>
      <c r="EM1691" s="110"/>
      <c r="EN1691" s="110"/>
      <c r="EO1691" s="110"/>
      <c r="EP1691" s="110"/>
      <c r="EQ1691" s="110"/>
      <c r="ER1691" s="110"/>
      <c r="ES1691" s="110"/>
      <c r="ET1691" s="110"/>
      <c r="EU1691" s="110"/>
      <c r="EV1691" s="110"/>
      <c r="EW1691" s="110"/>
      <c r="EX1691" s="110"/>
      <c r="EY1691" s="110"/>
      <c r="EZ1691" s="110"/>
      <c r="FA1691" s="110"/>
      <c r="FB1691" s="110"/>
      <c r="FC1691" s="110"/>
      <c r="FD1691" s="110"/>
      <c r="FE1691" s="110"/>
      <c r="FF1691" s="110"/>
      <c r="FG1691" s="110"/>
      <c r="FH1691" s="110"/>
      <c r="FI1691" s="110"/>
      <c r="FJ1691" s="110"/>
      <c r="FK1691" s="110"/>
      <c r="FL1691" s="110"/>
      <c r="FM1691" s="110"/>
      <c r="FN1691" s="110"/>
      <c r="FO1691" s="110"/>
      <c r="FP1691" s="110"/>
      <c r="FQ1691" s="110"/>
      <c r="FR1691" s="110"/>
      <c r="FS1691" s="110"/>
      <c r="FT1691" s="110"/>
      <c r="FU1691" s="110"/>
      <c r="FV1691" s="110"/>
      <c r="FW1691" s="110"/>
      <c r="FX1691" s="110"/>
      <c r="FY1691" s="110"/>
      <c r="FZ1691" s="110"/>
      <c r="GA1691" s="110"/>
      <c r="GB1691" s="110"/>
      <c r="GC1691" s="110"/>
      <c r="GD1691" s="110"/>
      <c r="GE1691" s="110"/>
      <c r="GF1691" s="110"/>
      <c r="GG1691" s="110"/>
      <c r="GH1691" s="110"/>
      <c r="GI1691" s="110"/>
      <c r="GJ1691" s="110"/>
      <c r="GK1691" s="110"/>
      <c r="GL1691" s="110"/>
      <c r="GM1691" s="110"/>
      <c r="GN1691" s="110"/>
      <c r="GO1691" s="110"/>
      <c r="GP1691" s="110"/>
      <c r="GQ1691" s="110"/>
      <c r="GR1691" s="110"/>
      <c r="GS1691" s="110"/>
      <c r="GT1691" s="110"/>
      <c r="GU1691" s="110"/>
      <c r="GV1691" s="110"/>
      <c r="GW1691" s="110"/>
      <c r="GX1691" s="110"/>
      <c r="GY1691" s="110"/>
      <c r="GZ1691" s="110"/>
      <c r="HA1691" s="110"/>
      <c r="HB1691" s="110"/>
      <c r="HC1691" s="110"/>
      <c r="HD1691" s="110"/>
      <c r="HE1691" s="110"/>
      <c r="HF1691" s="110"/>
      <c r="HG1691" s="110"/>
      <c r="HH1691" s="110"/>
      <c r="HI1691" s="110"/>
      <c r="HJ1691" s="110"/>
      <c r="HK1691" s="110"/>
      <c r="HL1691" s="110"/>
      <c r="HM1691" s="110"/>
      <c r="HN1691" s="110"/>
      <c r="HO1691" s="110"/>
      <c r="HP1691" s="110"/>
      <c r="HQ1691" s="110"/>
      <c r="HR1691" s="110"/>
      <c r="HS1691" s="110"/>
      <c r="HT1691" s="110"/>
      <c r="HU1691" s="110"/>
      <c r="HV1691" s="110"/>
      <c r="HW1691" s="110"/>
      <c r="HX1691" s="110"/>
      <c r="HY1691" s="110"/>
      <c r="HZ1691" s="110"/>
      <c r="IA1691" s="110"/>
      <c r="IB1691" s="110"/>
      <c r="IC1691" s="110"/>
      <c r="ID1691" s="110"/>
      <c r="IE1691" s="110"/>
      <c r="IF1691" s="110"/>
      <c r="IG1691" s="110"/>
      <c r="IH1691" s="110"/>
      <c r="II1691" s="110"/>
      <c r="IJ1691" s="110"/>
      <c r="IK1691" s="110"/>
      <c r="IL1691" s="110"/>
      <c r="IM1691" s="110"/>
      <c r="IN1691" s="110"/>
      <c r="IO1691" s="110"/>
      <c r="IP1691" s="110"/>
      <c r="IQ1691" s="110"/>
      <c r="IR1691" s="110"/>
    </row>
    <row r="1692" spans="18:252" ht="16.5" hidden="1" customHeight="1">
      <c r="R1692" s="264"/>
      <c r="S1692" s="110"/>
      <c r="T1692" s="110"/>
      <c r="U1692" s="110"/>
      <c r="V1692" s="110"/>
      <c r="W1692" s="266"/>
      <c r="X1692" s="110"/>
      <c r="Y1692" s="110"/>
      <c r="Z1692" s="110"/>
      <c r="AA1692" s="110"/>
      <c r="AB1692" s="110"/>
      <c r="AC1692" s="110"/>
      <c r="AD1692" s="110"/>
      <c r="AE1692" s="110"/>
      <c r="AF1692" s="110"/>
      <c r="AG1692" s="110"/>
      <c r="AH1692" s="110"/>
      <c r="AI1692" s="110"/>
      <c r="AJ1692" s="110"/>
      <c r="AK1692" s="110"/>
      <c r="AL1692" s="110"/>
      <c r="AM1692" s="110"/>
      <c r="AN1692" s="110"/>
      <c r="AO1692" s="110"/>
      <c r="AP1692" s="110"/>
      <c r="AQ1692" s="110"/>
      <c r="AR1692" s="110"/>
      <c r="AS1692" s="110"/>
      <c r="AT1692" s="110"/>
      <c r="AU1692" s="110"/>
      <c r="AV1692" s="110"/>
      <c r="AW1692" s="110"/>
      <c r="AX1692" s="110"/>
      <c r="AY1692" s="110"/>
      <c r="AZ1692" s="110"/>
      <c r="BA1692" s="110"/>
      <c r="BB1692" s="110"/>
      <c r="BC1692" s="110"/>
      <c r="BD1692" s="110"/>
      <c r="BE1692" s="110"/>
      <c r="BF1692" s="110"/>
      <c r="BG1692" s="110"/>
      <c r="BH1692" s="110"/>
      <c r="BI1692" s="110"/>
      <c r="BJ1692" s="110"/>
      <c r="BK1692" s="110"/>
      <c r="BL1692" s="110"/>
      <c r="BM1692" s="110"/>
      <c r="BN1692" s="110"/>
      <c r="BO1692" s="110"/>
      <c r="BP1692" s="110"/>
      <c r="BQ1692" s="110"/>
      <c r="BR1692" s="110"/>
      <c r="BS1692" s="110"/>
      <c r="BT1692" s="110"/>
      <c r="BU1692" s="110"/>
      <c r="BV1692" s="110"/>
      <c r="BW1692" s="110"/>
      <c r="BX1692" s="110"/>
      <c r="BY1692" s="110"/>
      <c r="BZ1692" s="110"/>
      <c r="CA1692" s="110"/>
      <c r="CB1692" s="110"/>
      <c r="CC1692" s="110"/>
      <c r="CD1692" s="110"/>
      <c r="CE1692" s="110"/>
      <c r="CF1692" s="110"/>
      <c r="CG1692" s="110"/>
      <c r="CH1692" s="110"/>
      <c r="CI1692" s="110"/>
      <c r="CJ1692" s="110"/>
      <c r="CK1692" s="110"/>
      <c r="CL1692" s="110"/>
      <c r="CM1692" s="110"/>
      <c r="CN1692" s="110"/>
      <c r="CO1692" s="110"/>
      <c r="CP1692" s="110"/>
      <c r="CQ1692" s="110"/>
      <c r="CR1692" s="110"/>
      <c r="CS1692" s="110"/>
      <c r="CT1692" s="110"/>
      <c r="CU1692" s="110"/>
      <c r="CV1692" s="110"/>
      <c r="CW1692" s="110"/>
      <c r="CX1692" s="110"/>
      <c r="CY1692" s="110"/>
      <c r="CZ1692" s="110"/>
      <c r="DA1692" s="110"/>
      <c r="DB1692" s="110"/>
      <c r="DC1692" s="110"/>
      <c r="DD1692" s="110"/>
      <c r="DE1692" s="110"/>
      <c r="DF1692" s="110"/>
      <c r="DG1692" s="110"/>
      <c r="DH1692" s="110"/>
      <c r="DI1692" s="110"/>
      <c r="DJ1692" s="110"/>
      <c r="DK1692" s="110"/>
      <c r="DL1692" s="110"/>
      <c r="DM1692" s="110"/>
      <c r="DN1692" s="110"/>
      <c r="DO1692" s="110"/>
      <c r="DP1692" s="110"/>
      <c r="DQ1692" s="110"/>
      <c r="DR1692" s="110"/>
      <c r="DS1692" s="110"/>
      <c r="DT1692" s="110"/>
      <c r="DU1692" s="110"/>
      <c r="DV1692" s="110"/>
      <c r="DW1692" s="110"/>
      <c r="DX1692" s="110"/>
      <c r="DY1692" s="110"/>
      <c r="DZ1692" s="110"/>
      <c r="EA1692" s="110"/>
      <c r="EB1692" s="110"/>
      <c r="EC1692" s="110"/>
      <c r="ED1692" s="110"/>
      <c r="EF1692" s="264"/>
      <c r="EG1692" s="110"/>
      <c r="EH1692" s="110"/>
      <c r="EI1692" s="110"/>
      <c r="EJ1692" s="110"/>
      <c r="EK1692" s="266"/>
      <c r="EL1692" s="110"/>
      <c r="EM1692" s="110"/>
      <c r="EN1692" s="110"/>
      <c r="EO1692" s="110"/>
      <c r="EP1692" s="110"/>
      <c r="EQ1692" s="110"/>
      <c r="ER1692" s="110"/>
      <c r="ES1692" s="110"/>
      <c r="ET1692" s="110"/>
      <c r="EU1692" s="110"/>
      <c r="EV1692" s="110"/>
      <c r="EW1692" s="110"/>
      <c r="EX1692" s="110"/>
      <c r="EY1692" s="110"/>
      <c r="EZ1692" s="110"/>
      <c r="FA1692" s="110"/>
      <c r="FB1692" s="110"/>
      <c r="FC1692" s="110"/>
      <c r="FD1692" s="110"/>
      <c r="FE1692" s="110"/>
      <c r="FF1692" s="110"/>
      <c r="FG1692" s="110"/>
      <c r="FH1692" s="110"/>
      <c r="FI1692" s="110"/>
      <c r="FJ1692" s="110"/>
      <c r="FK1692" s="110"/>
      <c r="FL1692" s="110"/>
      <c r="FM1692" s="110"/>
      <c r="FN1692" s="110"/>
      <c r="FO1692" s="110"/>
      <c r="FP1692" s="110"/>
      <c r="FQ1692" s="110"/>
      <c r="FR1692" s="110"/>
      <c r="FS1692" s="110"/>
      <c r="FT1692" s="110"/>
      <c r="FU1692" s="110"/>
      <c r="FV1692" s="110"/>
      <c r="FW1692" s="110"/>
      <c r="FX1692" s="110"/>
      <c r="FY1692" s="110"/>
      <c r="FZ1692" s="110"/>
      <c r="GA1692" s="110"/>
      <c r="GB1692" s="110"/>
      <c r="GC1692" s="110"/>
      <c r="GD1692" s="110"/>
      <c r="GE1692" s="110"/>
      <c r="GF1692" s="110"/>
      <c r="GG1692" s="110"/>
      <c r="GH1692" s="110"/>
      <c r="GI1692" s="110"/>
      <c r="GJ1692" s="110"/>
      <c r="GK1692" s="110"/>
      <c r="GL1692" s="110"/>
      <c r="GM1692" s="110"/>
      <c r="GN1692" s="110"/>
      <c r="GO1692" s="110"/>
      <c r="GP1692" s="110"/>
      <c r="GQ1692" s="110"/>
      <c r="GR1692" s="110"/>
      <c r="GS1692" s="110"/>
      <c r="GT1692" s="110"/>
      <c r="GU1692" s="110"/>
      <c r="GV1692" s="110"/>
      <c r="GW1692" s="110"/>
      <c r="GX1692" s="110"/>
      <c r="GY1692" s="110"/>
      <c r="GZ1692" s="110"/>
      <c r="HA1692" s="110"/>
      <c r="HB1692" s="110"/>
      <c r="HC1692" s="110"/>
      <c r="HD1692" s="110"/>
      <c r="HE1692" s="110"/>
      <c r="HF1692" s="110"/>
      <c r="HG1692" s="110"/>
      <c r="HH1692" s="110"/>
      <c r="HI1692" s="110"/>
      <c r="HJ1692" s="110"/>
      <c r="HK1692" s="110"/>
      <c r="HL1692" s="110"/>
      <c r="HM1692" s="110"/>
      <c r="HN1692" s="110"/>
      <c r="HO1692" s="110"/>
      <c r="HP1692" s="110"/>
      <c r="HQ1692" s="110"/>
      <c r="HR1692" s="110"/>
      <c r="HS1692" s="110"/>
      <c r="HT1692" s="110"/>
      <c r="HU1692" s="110"/>
      <c r="HV1692" s="110"/>
      <c r="HW1692" s="110"/>
      <c r="HX1692" s="110"/>
      <c r="HY1692" s="110"/>
      <c r="HZ1692" s="110"/>
      <c r="IA1692" s="110"/>
      <c r="IB1692" s="110"/>
      <c r="IC1692" s="110"/>
      <c r="ID1692" s="110"/>
      <c r="IE1692" s="110"/>
      <c r="IF1692" s="110"/>
      <c r="IG1692" s="110"/>
      <c r="IH1692" s="110"/>
      <c r="II1692" s="110"/>
      <c r="IJ1692" s="110"/>
      <c r="IK1692" s="110"/>
      <c r="IL1692" s="110"/>
      <c r="IM1692" s="110"/>
      <c r="IN1692" s="110"/>
      <c r="IO1692" s="110"/>
      <c r="IP1692" s="110"/>
      <c r="IQ1692" s="110"/>
      <c r="IR1692" s="110"/>
    </row>
    <row r="1693" spans="18:252" ht="16.5" hidden="1" customHeight="1">
      <c r="R1693" s="264"/>
      <c r="S1693" s="110"/>
      <c r="T1693" s="110"/>
      <c r="U1693" s="110"/>
      <c r="V1693" s="110"/>
      <c r="W1693" s="266"/>
      <c r="X1693" s="110"/>
      <c r="Y1693" s="110"/>
      <c r="Z1693" s="110"/>
      <c r="AA1693" s="110"/>
      <c r="AB1693" s="110"/>
      <c r="AC1693" s="110"/>
      <c r="AD1693" s="110"/>
      <c r="AE1693" s="110"/>
      <c r="AF1693" s="110"/>
      <c r="AG1693" s="110"/>
      <c r="AH1693" s="110"/>
      <c r="AI1693" s="110"/>
      <c r="AJ1693" s="110"/>
      <c r="AK1693" s="110"/>
      <c r="AL1693" s="110"/>
      <c r="AM1693" s="110"/>
      <c r="AN1693" s="110"/>
      <c r="AO1693" s="110"/>
      <c r="AP1693" s="110"/>
      <c r="AQ1693" s="110"/>
      <c r="AR1693" s="110"/>
      <c r="AS1693" s="110"/>
      <c r="AT1693" s="110"/>
      <c r="AU1693" s="110"/>
      <c r="AV1693" s="110"/>
      <c r="AW1693" s="110"/>
      <c r="AX1693" s="110"/>
      <c r="AY1693" s="110"/>
      <c r="AZ1693" s="110"/>
      <c r="BA1693" s="110"/>
      <c r="BB1693" s="110"/>
      <c r="BC1693" s="110"/>
      <c r="BD1693" s="110"/>
      <c r="BE1693" s="110"/>
      <c r="BF1693" s="110"/>
      <c r="BG1693" s="110"/>
      <c r="BH1693" s="110"/>
      <c r="BI1693" s="110"/>
      <c r="BJ1693" s="110"/>
      <c r="BK1693" s="110"/>
      <c r="BL1693" s="110"/>
      <c r="BM1693" s="110"/>
      <c r="BN1693" s="110"/>
      <c r="BO1693" s="110"/>
      <c r="BP1693" s="110"/>
      <c r="BQ1693" s="110"/>
      <c r="BR1693" s="110"/>
      <c r="BS1693" s="110"/>
      <c r="BT1693" s="110"/>
      <c r="BU1693" s="110"/>
      <c r="BV1693" s="110"/>
      <c r="BW1693" s="110"/>
      <c r="BX1693" s="110"/>
      <c r="BY1693" s="110"/>
      <c r="BZ1693" s="110"/>
      <c r="CA1693" s="110"/>
      <c r="CB1693" s="110"/>
      <c r="CC1693" s="110"/>
      <c r="CD1693" s="110"/>
      <c r="CE1693" s="110"/>
      <c r="CF1693" s="110"/>
      <c r="CG1693" s="110"/>
      <c r="CH1693" s="110"/>
      <c r="CI1693" s="110"/>
      <c r="CJ1693" s="110"/>
      <c r="CK1693" s="110"/>
      <c r="CL1693" s="110"/>
      <c r="CM1693" s="110"/>
      <c r="CN1693" s="110"/>
      <c r="CO1693" s="110"/>
      <c r="CP1693" s="110"/>
      <c r="CQ1693" s="110"/>
      <c r="CR1693" s="110"/>
      <c r="CS1693" s="110"/>
      <c r="CT1693" s="110"/>
      <c r="CU1693" s="110"/>
      <c r="CV1693" s="110"/>
      <c r="CW1693" s="110"/>
      <c r="CX1693" s="110"/>
      <c r="CY1693" s="110"/>
      <c r="CZ1693" s="110"/>
      <c r="DA1693" s="110"/>
      <c r="DB1693" s="110"/>
      <c r="DC1693" s="110"/>
      <c r="DD1693" s="110"/>
      <c r="DE1693" s="110"/>
      <c r="DF1693" s="110"/>
      <c r="DG1693" s="110"/>
      <c r="DH1693" s="110"/>
      <c r="DI1693" s="110"/>
      <c r="DJ1693" s="110"/>
      <c r="DK1693" s="110"/>
      <c r="DL1693" s="110"/>
      <c r="DM1693" s="110"/>
      <c r="DN1693" s="110"/>
      <c r="DO1693" s="110"/>
      <c r="DP1693" s="110"/>
      <c r="DQ1693" s="110"/>
      <c r="DR1693" s="110"/>
      <c r="DS1693" s="110"/>
      <c r="DT1693" s="110"/>
      <c r="DU1693" s="110"/>
      <c r="DV1693" s="110"/>
      <c r="DW1693" s="110"/>
      <c r="DX1693" s="110"/>
      <c r="DY1693" s="110"/>
      <c r="DZ1693" s="110"/>
      <c r="EA1693" s="110"/>
      <c r="EB1693" s="110"/>
      <c r="EC1693" s="110"/>
      <c r="ED1693" s="110"/>
      <c r="EF1693" s="264"/>
      <c r="EG1693" s="110"/>
      <c r="EH1693" s="110"/>
      <c r="EI1693" s="110"/>
      <c r="EJ1693" s="110"/>
      <c r="EK1693" s="266"/>
      <c r="EL1693" s="110"/>
      <c r="EM1693" s="110"/>
      <c r="EN1693" s="110"/>
      <c r="EO1693" s="110"/>
      <c r="EP1693" s="110"/>
      <c r="EQ1693" s="110"/>
      <c r="ER1693" s="110"/>
      <c r="ES1693" s="110"/>
      <c r="ET1693" s="110"/>
      <c r="EU1693" s="110"/>
      <c r="EV1693" s="110"/>
      <c r="EW1693" s="110"/>
      <c r="EX1693" s="110"/>
      <c r="EY1693" s="110"/>
      <c r="EZ1693" s="110"/>
      <c r="FA1693" s="110"/>
      <c r="FB1693" s="110"/>
      <c r="FC1693" s="110"/>
      <c r="FD1693" s="110"/>
      <c r="FE1693" s="110"/>
      <c r="FF1693" s="110"/>
      <c r="FG1693" s="110"/>
      <c r="FH1693" s="110"/>
      <c r="FI1693" s="110"/>
      <c r="FJ1693" s="110"/>
      <c r="FK1693" s="110"/>
      <c r="FL1693" s="110"/>
      <c r="FM1693" s="110"/>
      <c r="FN1693" s="110"/>
      <c r="FO1693" s="110"/>
      <c r="FP1693" s="110"/>
      <c r="FQ1693" s="110"/>
      <c r="FR1693" s="110"/>
      <c r="FS1693" s="110"/>
      <c r="FT1693" s="110"/>
      <c r="FU1693" s="110"/>
      <c r="FV1693" s="110"/>
      <c r="FW1693" s="110"/>
      <c r="FX1693" s="110"/>
      <c r="FY1693" s="110"/>
      <c r="FZ1693" s="110"/>
      <c r="GA1693" s="110"/>
      <c r="GB1693" s="110"/>
      <c r="GC1693" s="110"/>
      <c r="GD1693" s="110"/>
      <c r="GE1693" s="110"/>
      <c r="GF1693" s="110"/>
      <c r="GG1693" s="110"/>
      <c r="GH1693" s="110"/>
      <c r="GI1693" s="110"/>
      <c r="GJ1693" s="110"/>
      <c r="GK1693" s="110"/>
      <c r="GL1693" s="110"/>
      <c r="GM1693" s="110"/>
      <c r="GN1693" s="110"/>
      <c r="GO1693" s="110"/>
      <c r="GP1693" s="110"/>
      <c r="GQ1693" s="110"/>
      <c r="GR1693" s="110"/>
      <c r="GS1693" s="110"/>
      <c r="GT1693" s="110"/>
      <c r="GU1693" s="110"/>
      <c r="GV1693" s="110"/>
      <c r="GW1693" s="110"/>
      <c r="GX1693" s="110"/>
      <c r="GY1693" s="110"/>
      <c r="GZ1693" s="110"/>
      <c r="HA1693" s="110"/>
      <c r="HB1693" s="110"/>
      <c r="HC1693" s="110"/>
      <c r="HD1693" s="110"/>
      <c r="HE1693" s="110"/>
      <c r="HF1693" s="110"/>
      <c r="HG1693" s="110"/>
      <c r="HH1693" s="110"/>
      <c r="HI1693" s="110"/>
      <c r="HJ1693" s="110"/>
      <c r="HK1693" s="110"/>
      <c r="HL1693" s="110"/>
      <c r="HM1693" s="110"/>
      <c r="HN1693" s="110"/>
      <c r="HO1693" s="110"/>
      <c r="HP1693" s="110"/>
      <c r="HQ1693" s="110"/>
      <c r="HR1693" s="110"/>
      <c r="HS1693" s="110"/>
      <c r="HT1693" s="110"/>
      <c r="HU1693" s="110"/>
      <c r="HV1693" s="110"/>
      <c r="HW1693" s="110"/>
      <c r="HX1693" s="110"/>
      <c r="HY1693" s="110"/>
      <c r="HZ1693" s="110"/>
      <c r="IA1693" s="110"/>
      <c r="IB1693" s="110"/>
      <c r="IC1693" s="110"/>
      <c r="ID1693" s="110"/>
      <c r="IE1693" s="110"/>
      <c r="IF1693" s="110"/>
      <c r="IG1693" s="110"/>
      <c r="IH1693" s="110"/>
      <c r="II1693" s="110"/>
      <c r="IJ1693" s="110"/>
      <c r="IK1693" s="110"/>
      <c r="IL1693" s="110"/>
      <c r="IM1693" s="110"/>
      <c r="IN1693" s="110"/>
      <c r="IO1693" s="110"/>
      <c r="IP1693" s="110"/>
      <c r="IQ1693" s="110"/>
      <c r="IR1693" s="110"/>
    </row>
    <row r="1694" spans="18:252" ht="16.5" hidden="1" customHeight="1">
      <c r="R1694" s="264"/>
      <c r="S1694" s="110"/>
      <c r="T1694" s="110"/>
      <c r="U1694" s="110"/>
      <c r="V1694" s="110"/>
      <c r="W1694" s="266"/>
      <c r="X1694" s="110"/>
      <c r="Y1694" s="110"/>
      <c r="Z1694" s="110"/>
      <c r="AA1694" s="110"/>
      <c r="AB1694" s="110"/>
      <c r="AC1694" s="110"/>
      <c r="AD1694" s="110"/>
      <c r="AE1694" s="110"/>
      <c r="AF1694" s="110"/>
      <c r="AG1694" s="110"/>
      <c r="AH1694" s="110"/>
      <c r="AI1694" s="110"/>
      <c r="AJ1694" s="110"/>
      <c r="AK1694" s="110"/>
      <c r="AL1694" s="110"/>
      <c r="AM1694" s="110"/>
      <c r="AN1694" s="110"/>
      <c r="AO1694" s="110"/>
      <c r="AP1694" s="110"/>
      <c r="AQ1694" s="110"/>
      <c r="AR1694" s="110"/>
      <c r="AS1694" s="110"/>
      <c r="AT1694" s="110"/>
      <c r="AU1694" s="110"/>
      <c r="AV1694" s="110"/>
      <c r="AW1694" s="110"/>
      <c r="AX1694" s="110"/>
      <c r="AY1694" s="110"/>
      <c r="AZ1694" s="110"/>
      <c r="BA1694" s="110"/>
      <c r="BB1694" s="110"/>
      <c r="BC1694" s="110"/>
      <c r="BD1694" s="110"/>
      <c r="BE1694" s="110"/>
      <c r="BF1694" s="110"/>
      <c r="BG1694" s="110"/>
      <c r="BH1694" s="110"/>
      <c r="BI1694" s="110"/>
      <c r="BJ1694" s="110"/>
      <c r="BK1694" s="110"/>
      <c r="BL1694" s="110"/>
      <c r="BM1694" s="110"/>
      <c r="BN1694" s="110"/>
      <c r="BO1694" s="110"/>
      <c r="BP1694" s="110"/>
      <c r="BQ1694" s="110"/>
      <c r="BR1694" s="110"/>
      <c r="BS1694" s="110"/>
      <c r="BT1694" s="110"/>
      <c r="BU1694" s="110"/>
      <c r="BV1694" s="110"/>
      <c r="BW1694" s="110"/>
      <c r="BX1694" s="110"/>
      <c r="BY1694" s="110"/>
      <c r="BZ1694" s="110"/>
      <c r="CA1694" s="110"/>
      <c r="CB1694" s="110"/>
      <c r="CC1694" s="110"/>
      <c r="CD1694" s="110"/>
      <c r="CE1694" s="110"/>
      <c r="CF1694" s="110"/>
      <c r="CG1694" s="110"/>
      <c r="CH1694" s="110"/>
      <c r="CI1694" s="110"/>
      <c r="CJ1694" s="110"/>
      <c r="CK1694" s="110"/>
      <c r="CL1694" s="110"/>
      <c r="CM1694" s="110"/>
      <c r="CN1694" s="110"/>
      <c r="CO1694" s="110"/>
      <c r="CP1694" s="110"/>
      <c r="CQ1694" s="110"/>
      <c r="CR1694" s="110"/>
      <c r="CS1694" s="110"/>
      <c r="CT1694" s="110"/>
      <c r="CU1694" s="110"/>
      <c r="CV1694" s="110"/>
      <c r="CW1694" s="110"/>
      <c r="CX1694" s="110"/>
      <c r="CY1694" s="110"/>
      <c r="CZ1694" s="110"/>
      <c r="DA1694" s="110"/>
      <c r="DB1694" s="110"/>
      <c r="DC1694" s="110"/>
      <c r="DD1694" s="110"/>
      <c r="DE1694" s="110"/>
      <c r="DF1694" s="110"/>
      <c r="DG1694" s="110"/>
      <c r="DH1694" s="110"/>
      <c r="DI1694" s="110"/>
      <c r="DJ1694" s="110"/>
      <c r="DK1694" s="110"/>
      <c r="DL1694" s="110"/>
      <c r="DM1694" s="110"/>
      <c r="DN1694" s="110"/>
      <c r="DO1694" s="110"/>
      <c r="DP1694" s="110"/>
      <c r="DQ1694" s="110"/>
      <c r="DR1694" s="110"/>
      <c r="DS1694" s="110"/>
      <c r="DT1694" s="110"/>
      <c r="DU1694" s="110"/>
      <c r="DV1694" s="110"/>
      <c r="DW1694" s="110"/>
      <c r="DX1694" s="110"/>
      <c r="DY1694" s="110"/>
      <c r="DZ1694" s="110"/>
      <c r="EA1694" s="110"/>
      <c r="EB1694" s="110"/>
      <c r="EC1694" s="110"/>
      <c r="ED1694" s="110"/>
      <c r="EF1694" s="264"/>
      <c r="EG1694" s="110"/>
      <c r="EH1694" s="110"/>
      <c r="EI1694" s="110"/>
      <c r="EJ1694" s="110"/>
      <c r="EK1694" s="266"/>
      <c r="EL1694" s="110"/>
      <c r="EM1694" s="110"/>
      <c r="EN1694" s="110"/>
      <c r="EO1694" s="110"/>
      <c r="EP1694" s="110"/>
      <c r="EQ1694" s="110"/>
      <c r="ER1694" s="110"/>
      <c r="ES1694" s="110"/>
      <c r="ET1694" s="110"/>
      <c r="EU1694" s="110"/>
      <c r="EV1694" s="110"/>
      <c r="EW1694" s="110"/>
      <c r="EX1694" s="110"/>
      <c r="EY1694" s="110"/>
      <c r="EZ1694" s="110"/>
      <c r="FA1694" s="110"/>
      <c r="FB1694" s="110"/>
      <c r="FC1694" s="110"/>
      <c r="FD1694" s="110"/>
      <c r="FE1694" s="110"/>
      <c r="FF1694" s="110"/>
      <c r="FG1694" s="110"/>
      <c r="FH1694" s="110"/>
      <c r="FI1694" s="110"/>
      <c r="FJ1694" s="110"/>
      <c r="FK1694" s="110"/>
      <c r="FL1694" s="110"/>
      <c r="FM1694" s="110"/>
      <c r="FN1694" s="110"/>
      <c r="FO1694" s="110"/>
      <c r="FP1694" s="110"/>
      <c r="FQ1694" s="110"/>
      <c r="FR1694" s="110"/>
      <c r="FS1694" s="110"/>
      <c r="FT1694" s="110"/>
      <c r="FU1694" s="110"/>
      <c r="FV1694" s="110"/>
      <c r="FW1694" s="110"/>
      <c r="FX1694" s="110"/>
      <c r="FY1694" s="110"/>
      <c r="FZ1694" s="110"/>
      <c r="GA1694" s="110"/>
      <c r="GB1694" s="110"/>
      <c r="GC1694" s="110"/>
      <c r="GD1694" s="110"/>
      <c r="GE1694" s="110"/>
      <c r="GF1694" s="110"/>
      <c r="GG1694" s="110"/>
      <c r="GH1694" s="110"/>
      <c r="GI1694" s="110"/>
      <c r="GJ1694" s="110"/>
      <c r="GK1694" s="110"/>
      <c r="GL1694" s="110"/>
      <c r="GM1694" s="110"/>
      <c r="GN1694" s="110"/>
      <c r="GO1694" s="110"/>
      <c r="GP1694" s="110"/>
      <c r="GQ1694" s="110"/>
      <c r="GR1694" s="110"/>
      <c r="GS1694" s="110"/>
      <c r="GT1694" s="110"/>
      <c r="GU1694" s="110"/>
      <c r="GV1694" s="110"/>
      <c r="GW1694" s="110"/>
      <c r="GX1694" s="110"/>
      <c r="GY1694" s="110"/>
      <c r="GZ1694" s="110"/>
      <c r="HA1694" s="110"/>
      <c r="HB1694" s="110"/>
      <c r="HC1694" s="110"/>
      <c r="HD1694" s="110"/>
      <c r="HE1694" s="110"/>
      <c r="HF1694" s="110"/>
      <c r="HG1694" s="110"/>
      <c r="HH1694" s="110"/>
      <c r="HI1694" s="110"/>
      <c r="HJ1694" s="110"/>
      <c r="HK1694" s="110"/>
      <c r="HL1694" s="110"/>
      <c r="HM1694" s="110"/>
      <c r="HN1694" s="110"/>
      <c r="HO1694" s="110"/>
      <c r="HP1694" s="110"/>
      <c r="HQ1694" s="110"/>
      <c r="HR1694" s="110"/>
      <c r="HS1694" s="110"/>
      <c r="HT1694" s="110"/>
      <c r="HU1694" s="110"/>
      <c r="HV1694" s="110"/>
      <c r="HW1694" s="110"/>
      <c r="HX1694" s="110"/>
      <c r="HY1694" s="110"/>
      <c r="HZ1694" s="110"/>
      <c r="IA1694" s="110"/>
      <c r="IB1694" s="110"/>
      <c r="IC1694" s="110"/>
      <c r="ID1694" s="110"/>
      <c r="IE1694" s="110"/>
      <c r="IF1694" s="110"/>
      <c r="IG1694" s="110"/>
      <c r="IH1694" s="110"/>
      <c r="II1694" s="110"/>
      <c r="IJ1694" s="110"/>
      <c r="IK1694" s="110"/>
      <c r="IL1694" s="110"/>
      <c r="IM1694" s="110"/>
      <c r="IN1694" s="110"/>
      <c r="IO1694" s="110"/>
      <c r="IP1694" s="110"/>
      <c r="IQ1694" s="110"/>
      <c r="IR1694" s="110"/>
    </row>
    <row r="1695" spans="18:252" ht="16.5" hidden="1" customHeight="1">
      <c r="R1695" s="264"/>
      <c r="S1695" s="110"/>
      <c r="T1695" s="110"/>
      <c r="U1695" s="110"/>
      <c r="V1695" s="110"/>
      <c r="W1695" s="266"/>
      <c r="X1695" s="110"/>
      <c r="Y1695" s="110"/>
      <c r="Z1695" s="110"/>
      <c r="AA1695" s="110"/>
      <c r="AB1695" s="110"/>
      <c r="AC1695" s="110"/>
      <c r="AD1695" s="110"/>
      <c r="AE1695" s="110"/>
      <c r="AF1695" s="110"/>
      <c r="AG1695" s="110"/>
      <c r="AH1695" s="110"/>
      <c r="AI1695" s="110"/>
      <c r="AJ1695" s="110"/>
      <c r="AK1695" s="110"/>
      <c r="AL1695" s="110"/>
      <c r="AM1695" s="110"/>
      <c r="AN1695" s="110"/>
      <c r="AO1695" s="110"/>
      <c r="AP1695" s="110"/>
      <c r="AQ1695" s="110"/>
      <c r="AR1695" s="110"/>
      <c r="AS1695" s="110"/>
      <c r="AT1695" s="110"/>
      <c r="AU1695" s="110"/>
      <c r="AV1695" s="110"/>
      <c r="AW1695" s="110"/>
      <c r="AX1695" s="110"/>
      <c r="AY1695" s="110"/>
      <c r="AZ1695" s="110"/>
      <c r="BA1695" s="110"/>
      <c r="BB1695" s="110"/>
      <c r="BC1695" s="110"/>
      <c r="BD1695" s="110"/>
      <c r="BE1695" s="110"/>
      <c r="BF1695" s="110"/>
      <c r="BG1695" s="110"/>
      <c r="BH1695" s="110"/>
      <c r="BI1695" s="110"/>
      <c r="BJ1695" s="110"/>
      <c r="BK1695" s="110"/>
      <c r="BL1695" s="110"/>
      <c r="BM1695" s="110"/>
      <c r="BN1695" s="110"/>
      <c r="BO1695" s="110"/>
      <c r="BP1695" s="110"/>
      <c r="BQ1695" s="110"/>
      <c r="BR1695" s="110"/>
      <c r="BS1695" s="110"/>
      <c r="BT1695" s="110"/>
      <c r="BU1695" s="110"/>
      <c r="BV1695" s="110"/>
      <c r="BW1695" s="110"/>
      <c r="BX1695" s="110"/>
      <c r="BY1695" s="110"/>
      <c r="BZ1695" s="110"/>
      <c r="CA1695" s="110"/>
      <c r="CB1695" s="110"/>
      <c r="CC1695" s="110"/>
      <c r="CD1695" s="110"/>
      <c r="CE1695" s="110"/>
      <c r="CF1695" s="110"/>
      <c r="CG1695" s="110"/>
      <c r="CH1695" s="110"/>
      <c r="CI1695" s="110"/>
      <c r="CJ1695" s="110"/>
      <c r="CK1695" s="110"/>
      <c r="CL1695" s="110"/>
      <c r="CM1695" s="110"/>
      <c r="CN1695" s="110"/>
      <c r="CO1695" s="110"/>
      <c r="CP1695" s="110"/>
      <c r="CQ1695" s="110"/>
      <c r="CR1695" s="110"/>
      <c r="CS1695" s="110"/>
      <c r="CT1695" s="110"/>
      <c r="CU1695" s="110"/>
      <c r="CV1695" s="110"/>
      <c r="CW1695" s="110"/>
      <c r="CX1695" s="110"/>
      <c r="CY1695" s="110"/>
      <c r="CZ1695" s="110"/>
      <c r="DA1695" s="110"/>
      <c r="DB1695" s="110"/>
      <c r="DC1695" s="110"/>
      <c r="DD1695" s="110"/>
      <c r="DE1695" s="110"/>
      <c r="DF1695" s="110"/>
      <c r="DG1695" s="110"/>
      <c r="DH1695" s="110"/>
      <c r="DI1695" s="110"/>
      <c r="DJ1695" s="110"/>
      <c r="DK1695" s="110"/>
      <c r="DL1695" s="110"/>
      <c r="DM1695" s="110"/>
      <c r="DN1695" s="110"/>
      <c r="DO1695" s="110"/>
      <c r="DP1695" s="110"/>
      <c r="DQ1695" s="110"/>
      <c r="DR1695" s="110"/>
      <c r="DS1695" s="110"/>
      <c r="DT1695" s="110"/>
      <c r="DU1695" s="110"/>
      <c r="DV1695" s="110"/>
      <c r="DW1695" s="110"/>
      <c r="DX1695" s="110"/>
      <c r="DY1695" s="110"/>
      <c r="DZ1695" s="110"/>
      <c r="EA1695" s="110"/>
      <c r="EB1695" s="110"/>
      <c r="EC1695" s="110"/>
      <c r="ED1695" s="110"/>
      <c r="EF1695" s="264"/>
      <c r="EG1695" s="110"/>
      <c r="EH1695" s="110"/>
      <c r="EI1695" s="110"/>
      <c r="EJ1695" s="110"/>
      <c r="EK1695" s="266"/>
      <c r="EL1695" s="110"/>
      <c r="EM1695" s="110"/>
      <c r="EN1695" s="110"/>
      <c r="EO1695" s="110"/>
      <c r="EP1695" s="110"/>
      <c r="EQ1695" s="110"/>
      <c r="ER1695" s="110"/>
      <c r="ES1695" s="110"/>
      <c r="ET1695" s="110"/>
      <c r="EU1695" s="110"/>
      <c r="EV1695" s="110"/>
      <c r="EW1695" s="110"/>
      <c r="EX1695" s="110"/>
      <c r="EY1695" s="110"/>
      <c r="EZ1695" s="110"/>
      <c r="FA1695" s="110"/>
      <c r="FB1695" s="110"/>
      <c r="FC1695" s="110"/>
      <c r="FD1695" s="110"/>
      <c r="FE1695" s="110"/>
      <c r="FF1695" s="110"/>
      <c r="FG1695" s="110"/>
      <c r="FH1695" s="110"/>
      <c r="FI1695" s="110"/>
      <c r="FJ1695" s="110"/>
      <c r="FK1695" s="110"/>
      <c r="FL1695" s="110"/>
      <c r="FM1695" s="110"/>
      <c r="FN1695" s="110"/>
      <c r="FO1695" s="110"/>
      <c r="FP1695" s="110"/>
      <c r="FQ1695" s="110"/>
      <c r="FR1695" s="110"/>
      <c r="FS1695" s="110"/>
      <c r="FT1695" s="110"/>
      <c r="FU1695" s="110"/>
      <c r="FV1695" s="110"/>
      <c r="FW1695" s="110"/>
      <c r="FX1695" s="110"/>
      <c r="FY1695" s="110"/>
      <c r="FZ1695" s="110"/>
      <c r="GA1695" s="110"/>
      <c r="GB1695" s="110"/>
      <c r="GC1695" s="110"/>
      <c r="GD1695" s="110"/>
      <c r="GE1695" s="110"/>
      <c r="GF1695" s="110"/>
      <c r="GG1695" s="110"/>
      <c r="GH1695" s="110"/>
      <c r="GI1695" s="110"/>
      <c r="GJ1695" s="110"/>
      <c r="GK1695" s="110"/>
      <c r="GL1695" s="110"/>
      <c r="GM1695" s="110"/>
      <c r="GN1695" s="110"/>
      <c r="GO1695" s="110"/>
      <c r="GP1695" s="110"/>
      <c r="GQ1695" s="110"/>
      <c r="GR1695" s="110"/>
      <c r="GS1695" s="110"/>
      <c r="GT1695" s="110"/>
      <c r="GU1695" s="110"/>
      <c r="GV1695" s="110"/>
      <c r="GW1695" s="110"/>
      <c r="GX1695" s="110"/>
      <c r="GY1695" s="110"/>
      <c r="GZ1695" s="110"/>
      <c r="HA1695" s="110"/>
      <c r="HB1695" s="110"/>
      <c r="HC1695" s="110"/>
      <c r="HD1695" s="110"/>
      <c r="HE1695" s="110"/>
      <c r="HF1695" s="110"/>
      <c r="HG1695" s="110"/>
      <c r="HH1695" s="110"/>
      <c r="HI1695" s="110"/>
      <c r="HJ1695" s="110"/>
      <c r="HK1695" s="110"/>
      <c r="HL1695" s="110"/>
      <c r="HM1695" s="110"/>
      <c r="HN1695" s="110"/>
      <c r="HO1695" s="110"/>
      <c r="HP1695" s="110"/>
      <c r="HQ1695" s="110"/>
      <c r="HR1695" s="110"/>
      <c r="HS1695" s="110"/>
      <c r="HT1695" s="110"/>
      <c r="HU1695" s="110"/>
      <c r="HV1695" s="110"/>
      <c r="HW1695" s="110"/>
      <c r="HX1695" s="110"/>
      <c r="HY1695" s="110"/>
      <c r="HZ1695" s="110"/>
      <c r="IA1695" s="110"/>
      <c r="IB1695" s="110"/>
      <c r="IC1695" s="110"/>
      <c r="ID1695" s="110"/>
      <c r="IE1695" s="110"/>
      <c r="IF1695" s="110"/>
      <c r="IG1695" s="110"/>
      <c r="IH1695" s="110"/>
      <c r="II1695" s="110"/>
      <c r="IJ1695" s="110"/>
      <c r="IK1695" s="110"/>
      <c r="IL1695" s="110"/>
      <c r="IM1695" s="110"/>
      <c r="IN1695" s="110"/>
      <c r="IO1695" s="110"/>
      <c r="IP1695" s="110"/>
      <c r="IQ1695" s="110"/>
      <c r="IR1695" s="110"/>
    </row>
    <row r="1696" spans="18:252" ht="16.5" hidden="1" customHeight="1">
      <c r="R1696" s="264"/>
      <c r="S1696" s="110"/>
      <c r="T1696" s="110"/>
      <c r="U1696" s="110"/>
      <c r="V1696" s="110"/>
      <c r="W1696" s="266"/>
      <c r="X1696" s="110"/>
      <c r="Y1696" s="110"/>
      <c r="Z1696" s="110"/>
      <c r="AA1696" s="110"/>
      <c r="AB1696" s="110"/>
      <c r="AC1696" s="110"/>
      <c r="AD1696" s="110"/>
      <c r="AE1696" s="110"/>
      <c r="AF1696" s="110"/>
      <c r="AG1696" s="110"/>
      <c r="AH1696" s="110"/>
      <c r="AI1696" s="110"/>
      <c r="AJ1696" s="110"/>
      <c r="AK1696" s="110"/>
      <c r="AL1696" s="110"/>
      <c r="AM1696" s="110"/>
      <c r="AN1696" s="110"/>
      <c r="AO1696" s="110"/>
      <c r="AP1696" s="110"/>
      <c r="AQ1696" s="110"/>
      <c r="AR1696" s="110"/>
      <c r="AS1696" s="110"/>
      <c r="AT1696" s="110"/>
      <c r="AU1696" s="110"/>
      <c r="AV1696" s="110"/>
      <c r="AW1696" s="110"/>
      <c r="AX1696" s="110"/>
      <c r="AY1696" s="110"/>
      <c r="AZ1696" s="110"/>
      <c r="BA1696" s="110"/>
      <c r="BB1696" s="110"/>
      <c r="BC1696" s="110"/>
      <c r="BD1696" s="110"/>
      <c r="BE1696" s="110"/>
      <c r="BF1696" s="110"/>
      <c r="BG1696" s="110"/>
      <c r="BH1696" s="110"/>
      <c r="BI1696" s="110"/>
      <c r="BJ1696" s="110"/>
      <c r="BK1696" s="110"/>
      <c r="BL1696" s="110"/>
      <c r="BM1696" s="110"/>
      <c r="BN1696" s="110"/>
      <c r="BO1696" s="110"/>
      <c r="BP1696" s="110"/>
      <c r="BQ1696" s="110"/>
      <c r="BR1696" s="110"/>
      <c r="BS1696" s="110"/>
      <c r="BT1696" s="110"/>
      <c r="BU1696" s="110"/>
      <c r="BV1696" s="110"/>
      <c r="BW1696" s="110"/>
      <c r="BX1696" s="110"/>
      <c r="BY1696" s="110"/>
      <c r="BZ1696" s="110"/>
      <c r="CA1696" s="110"/>
      <c r="CB1696" s="110"/>
      <c r="CC1696" s="110"/>
      <c r="CD1696" s="110"/>
      <c r="CE1696" s="110"/>
      <c r="CF1696" s="110"/>
      <c r="CG1696" s="110"/>
      <c r="CH1696" s="110"/>
      <c r="CI1696" s="110"/>
      <c r="CJ1696" s="110"/>
      <c r="CK1696" s="110"/>
      <c r="CL1696" s="110"/>
      <c r="CM1696" s="110"/>
      <c r="CN1696" s="110"/>
      <c r="CO1696" s="110"/>
      <c r="CP1696" s="110"/>
      <c r="CQ1696" s="110"/>
      <c r="CR1696" s="110"/>
      <c r="CS1696" s="110"/>
      <c r="CT1696" s="110"/>
      <c r="CU1696" s="110"/>
      <c r="CV1696" s="110"/>
      <c r="CW1696" s="110"/>
      <c r="CX1696" s="110"/>
      <c r="CY1696" s="110"/>
      <c r="CZ1696" s="110"/>
      <c r="DA1696" s="110"/>
      <c r="DB1696" s="110"/>
      <c r="DC1696" s="110"/>
      <c r="DD1696" s="110"/>
      <c r="DE1696" s="110"/>
      <c r="DF1696" s="110"/>
      <c r="DG1696" s="110"/>
      <c r="DH1696" s="110"/>
      <c r="DI1696" s="110"/>
      <c r="DJ1696" s="110"/>
      <c r="DK1696" s="110"/>
      <c r="DL1696" s="110"/>
      <c r="DM1696" s="110"/>
      <c r="DN1696" s="110"/>
      <c r="DO1696" s="110"/>
      <c r="DP1696" s="110"/>
      <c r="DQ1696" s="110"/>
      <c r="DR1696" s="110"/>
      <c r="DS1696" s="110"/>
      <c r="DT1696" s="110"/>
      <c r="DU1696" s="110"/>
      <c r="DV1696" s="110"/>
      <c r="DW1696" s="110"/>
      <c r="DX1696" s="110"/>
      <c r="DY1696" s="110"/>
      <c r="DZ1696" s="110"/>
      <c r="EA1696" s="110"/>
      <c r="EB1696" s="110"/>
      <c r="EC1696" s="110"/>
      <c r="ED1696" s="110"/>
      <c r="EF1696" s="264"/>
      <c r="EG1696" s="110"/>
      <c r="EH1696" s="110"/>
      <c r="EI1696" s="110"/>
      <c r="EJ1696" s="110"/>
      <c r="EK1696" s="266"/>
      <c r="EL1696" s="110"/>
      <c r="EM1696" s="110"/>
      <c r="EN1696" s="110"/>
      <c r="EO1696" s="110"/>
      <c r="EP1696" s="110"/>
      <c r="EQ1696" s="110"/>
      <c r="ER1696" s="110"/>
      <c r="ES1696" s="110"/>
      <c r="ET1696" s="110"/>
      <c r="EU1696" s="110"/>
      <c r="EV1696" s="110"/>
      <c r="EW1696" s="110"/>
      <c r="EX1696" s="110"/>
      <c r="EY1696" s="110"/>
      <c r="EZ1696" s="110"/>
      <c r="FA1696" s="110"/>
      <c r="FB1696" s="110"/>
      <c r="FC1696" s="110"/>
      <c r="FD1696" s="110"/>
      <c r="FE1696" s="110"/>
      <c r="FF1696" s="110"/>
      <c r="FG1696" s="110"/>
      <c r="FH1696" s="110"/>
      <c r="FI1696" s="110"/>
      <c r="FJ1696" s="110"/>
      <c r="FK1696" s="110"/>
      <c r="FL1696" s="110"/>
      <c r="FM1696" s="110"/>
      <c r="FN1696" s="110"/>
      <c r="FO1696" s="110"/>
      <c r="FP1696" s="110"/>
      <c r="FQ1696" s="110"/>
      <c r="FR1696" s="110"/>
      <c r="FS1696" s="110"/>
      <c r="FT1696" s="110"/>
      <c r="FU1696" s="110"/>
      <c r="FV1696" s="110"/>
      <c r="FW1696" s="110"/>
      <c r="FX1696" s="110"/>
      <c r="FY1696" s="110"/>
      <c r="FZ1696" s="110"/>
      <c r="GA1696" s="110"/>
      <c r="GB1696" s="110"/>
      <c r="GC1696" s="110"/>
      <c r="GD1696" s="110"/>
      <c r="GE1696" s="110"/>
      <c r="GF1696" s="110"/>
      <c r="GG1696" s="110"/>
      <c r="GH1696" s="110"/>
      <c r="GI1696" s="110"/>
      <c r="GJ1696" s="110"/>
      <c r="GK1696" s="110"/>
      <c r="GL1696" s="110"/>
      <c r="GM1696" s="110"/>
      <c r="GN1696" s="110"/>
      <c r="GO1696" s="110"/>
      <c r="GP1696" s="110"/>
      <c r="GQ1696" s="110"/>
      <c r="GR1696" s="110"/>
      <c r="GS1696" s="110"/>
      <c r="GT1696" s="110"/>
      <c r="GU1696" s="110"/>
      <c r="GV1696" s="110"/>
      <c r="GW1696" s="110"/>
      <c r="GX1696" s="110"/>
      <c r="GY1696" s="110"/>
      <c r="GZ1696" s="110"/>
      <c r="HA1696" s="110"/>
      <c r="HB1696" s="110"/>
      <c r="HC1696" s="110"/>
      <c r="HD1696" s="110"/>
      <c r="HE1696" s="110"/>
      <c r="HF1696" s="110"/>
      <c r="HG1696" s="110"/>
      <c r="HH1696" s="110"/>
      <c r="HI1696" s="110"/>
      <c r="HJ1696" s="110"/>
      <c r="HK1696" s="110"/>
      <c r="HL1696" s="110"/>
      <c r="HM1696" s="110"/>
      <c r="HN1696" s="110"/>
      <c r="HO1696" s="110"/>
      <c r="HP1696" s="110"/>
      <c r="HQ1696" s="110"/>
      <c r="HR1696" s="110"/>
      <c r="HS1696" s="110"/>
      <c r="HT1696" s="110"/>
      <c r="HU1696" s="110"/>
      <c r="HV1696" s="110"/>
      <c r="HW1696" s="110"/>
      <c r="HX1696" s="110"/>
      <c r="HY1696" s="110"/>
      <c r="HZ1696" s="110"/>
      <c r="IA1696" s="110"/>
      <c r="IB1696" s="110"/>
      <c r="IC1696" s="110"/>
      <c r="ID1696" s="110"/>
      <c r="IE1696" s="110"/>
      <c r="IF1696" s="110"/>
      <c r="IG1696" s="110"/>
      <c r="IH1696" s="110"/>
      <c r="II1696" s="110"/>
      <c r="IJ1696" s="110"/>
      <c r="IK1696" s="110"/>
      <c r="IL1696" s="110"/>
      <c r="IM1696" s="110"/>
      <c r="IN1696" s="110"/>
      <c r="IO1696" s="110"/>
      <c r="IP1696" s="110"/>
      <c r="IQ1696" s="110"/>
      <c r="IR1696" s="110"/>
    </row>
    <row r="1697" spans="18:252" ht="16.5" hidden="1" customHeight="1">
      <c r="R1697" s="264"/>
      <c r="S1697" s="110"/>
      <c r="T1697" s="110"/>
      <c r="U1697" s="110"/>
      <c r="V1697" s="110"/>
      <c r="W1697" s="266"/>
      <c r="X1697" s="110"/>
      <c r="Y1697" s="110"/>
      <c r="Z1697" s="110"/>
      <c r="AA1697" s="110"/>
      <c r="AB1697" s="110"/>
      <c r="AC1697" s="110"/>
      <c r="AD1697" s="110"/>
      <c r="AE1697" s="110"/>
      <c r="AF1697" s="110"/>
      <c r="AG1697" s="110"/>
      <c r="AH1697" s="110"/>
      <c r="AI1697" s="110"/>
      <c r="AJ1697" s="110"/>
      <c r="AK1697" s="110"/>
      <c r="AL1697" s="110"/>
      <c r="AM1697" s="110"/>
      <c r="AN1697" s="110"/>
      <c r="AO1697" s="110"/>
      <c r="AP1697" s="110"/>
      <c r="AQ1697" s="110"/>
      <c r="AR1697" s="110"/>
      <c r="AS1697" s="110"/>
      <c r="AT1697" s="110"/>
      <c r="AU1697" s="110"/>
      <c r="AV1697" s="110"/>
      <c r="AW1697" s="110"/>
      <c r="AX1697" s="110"/>
      <c r="AY1697" s="110"/>
      <c r="AZ1697" s="110"/>
      <c r="BA1697" s="110"/>
      <c r="BB1697" s="110"/>
      <c r="BC1697" s="110"/>
      <c r="BD1697" s="110"/>
      <c r="BE1697" s="110"/>
      <c r="BF1697" s="110"/>
      <c r="BG1697" s="110"/>
      <c r="BH1697" s="110"/>
      <c r="BI1697" s="110"/>
      <c r="BJ1697" s="110"/>
      <c r="BK1697" s="110"/>
      <c r="BL1697" s="110"/>
      <c r="BM1697" s="110"/>
      <c r="BN1697" s="110"/>
      <c r="BO1697" s="110"/>
      <c r="BP1697" s="110"/>
      <c r="BQ1697" s="110"/>
      <c r="BR1697" s="110"/>
      <c r="BS1697" s="110"/>
      <c r="BT1697" s="110"/>
      <c r="BU1697" s="110"/>
      <c r="BV1697" s="110"/>
      <c r="BW1697" s="110"/>
      <c r="BX1697" s="110"/>
      <c r="BY1697" s="110"/>
      <c r="BZ1697" s="110"/>
      <c r="CA1697" s="110"/>
      <c r="CB1697" s="110"/>
      <c r="CC1697" s="110"/>
      <c r="CD1697" s="110"/>
      <c r="CE1697" s="110"/>
      <c r="CF1697" s="110"/>
      <c r="CG1697" s="110"/>
      <c r="CH1697" s="110"/>
      <c r="CI1697" s="110"/>
      <c r="CJ1697" s="110"/>
      <c r="CK1697" s="110"/>
      <c r="CL1697" s="110"/>
      <c r="CM1697" s="110"/>
      <c r="CN1697" s="110"/>
      <c r="CO1697" s="110"/>
      <c r="CP1697" s="110"/>
      <c r="CQ1697" s="110"/>
      <c r="CR1697" s="110"/>
      <c r="CS1697" s="110"/>
      <c r="CT1697" s="110"/>
      <c r="CU1697" s="110"/>
      <c r="CV1697" s="110"/>
      <c r="CW1697" s="110"/>
      <c r="CX1697" s="110"/>
      <c r="CY1697" s="110"/>
      <c r="CZ1697" s="110"/>
      <c r="DA1697" s="110"/>
      <c r="DB1697" s="110"/>
      <c r="DC1697" s="110"/>
      <c r="DD1697" s="110"/>
      <c r="DE1697" s="110"/>
      <c r="DF1697" s="110"/>
      <c r="DG1697" s="110"/>
      <c r="DH1697" s="110"/>
      <c r="DI1697" s="110"/>
      <c r="DJ1697" s="110"/>
      <c r="DK1697" s="110"/>
      <c r="DL1697" s="110"/>
      <c r="DM1697" s="110"/>
      <c r="DN1697" s="110"/>
      <c r="DO1697" s="110"/>
      <c r="DP1697" s="110"/>
      <c r="DQ1697" s="110"/>
      <c r="DR1697" s="110"/>
      <c r="DS1697" s="110"/>
      <c r="DT1697" s="110"/>
      <c r="DU1697" s="110"/>
      <c r="DV1697" s="110"/>
      <c r="DW1697" s="110"/>
      <c r="DX1697" s="110"/>
      <c r="DY1697" s="110"/>
      <c r="DZ1697" s="110"/>
      <c r="EA1697" s="110"/>
      <c r="EB1697" s="110"/>
      <c r="EC1697" s="110"/>
      <c r="ED1697" s="110"/>
      <c r="EF1697" s="264"/>
      <c r="EG1697" s="110"/>
      <c r="EH1697" s="110"/>
      <c r="EI1697" s="110"/>
      <c r="EJ1697" s="110"/>
      <c r="EK1697" s="266"/>
      <c r="EL1697" s="110"/>
      <c r="EM1697" s="110"/>
      <c r="EN1697" s="110"/>
      <c r="EO1697" s="110"/>
      <c r="EP1697" s="110"/>
      <c r="EQ1697" s="110"/>
      <c r="ER1697" s="110"/>
      <c r="ES1697" s="110"/>
      <c r="ET1697" s="110"/>
      <c r="EU1697" s="110"/>
      <c r="EV1697" s="110"/>
      <c r="EW1697" s="110"/>
      <c r="EX1697" s="110"/>
      <c r="EY1697" s="110"/>
      <c r="EZ1697" s="110"/>
      <c r="FA1697" s="110"/>
      <c r="FB1697" s="110"/>
      <c r="FC1697" s="110"/>
      <c r="FD1697" s="110"/>
      <c r="FE1697" s="110"/>
      <c r="FF1697" s="110"/>
      <c r="FG1697" s="110"/>
      <c r="FH1697" s="110"/>
      <c r="FI1697" s="110"/>
      <c r="FJ1697" s="110"/>
      <c r="FK1697" s="110"/>
      <c r="FL1697" s="110"/>
      <c r="FM1697" s="110"/>
      <c r="FN1697" s="110"/>
      <c r="FO1697" s="110"/>
      <c r="FP1697" s="110"/>
      <c r="FQ1697" s="110"/>
      <c r="FR1697" s="110"/>
      <c r="FS1697" s="110"/>
      <c r="FT1697" s="110"/>
      <c r="FU1697" s="110"/>
      <c r="FV1697" s="110"/>
      <c r="FW1697" s="110"/>
      <c r="FX1697" s="110"/>
      <c r="FY1697" s="110"/>
      <c r="FZ1697" s="110"/>
      <c r="GA1697" s="110"/>
      <c r="GB1697" s="110"/>
      <c r="GC1697" s="110"/>
      <c r="GD1697" s="110"/>
      <c r="GE1697" s="110"/>
      <c r="GF1697" s="110"/>
      <c r="GG1697" s="110"/>
      <c r="GH1697" s="110"/>
      <c r="GI1697" s="110"/>
      <c r="GJ1697" s="110"/>
      <c r="GK1697" s="110"/>
      <c r="GL1697" s="110"/>
      <c r="GM1697" s="110"/>
      <c r="GN1697" s="110"/>
      <c r="GO1697" s="110"/>
      <c r="GP1697" s="110"/>
      <c r="GQ1697" s="110"/>
      <c r="GR1697" s="110"/>
      <c r="GS1697" s="110"/>
      <c r="GT1697" s="110"/>
      <c r="GU1697" s="110"/>
      <c r="GV1697" s="110"/>
      <c r="GW1697" s="110"/>
      <c r="GX1697" s="110"/>
      <c r="GY1697" s="110"/>
      <c r="GZ1697" s="110"/>
      <c r="HA1697" s="110"/>
      <c r="HB1697" s="110"/>
      <c r="HC1697" s="110"/>
      <c r="HD1697" s="110"/>
      <c r="HE1697" s="110"/>
      <c r="HF1697" s="110"/>
      <c r="HG1697" s="110"/>
      <c r="HH1697" s="110"/>
      <c r="HI1697" s="110"/>
      <c r="HJ1697" s="110"/>
      <c r="HK1697" s="110"/>
      <c r="HL1697" s="110"/>
      <c r="HM1697" s="110"/>
      <c r="HN1697" s="110"/>
      <c r="HO1697" s="110"/>
      <c r="HP1697" s="110"/>
      <c r="HQ1697" s="110"/>
      <c r="HR1697" s="110"/>
      <c r="HS1697" s="110"/>
      <c r="HT1697" s="110"/>
      <c r="HU1697" s="110"/>
      <c r="HV1697" s="110"/>
      <c r="HW1697" s="110"/>
      <c r="HX1697" s="110"/>
      <c r="HY1697" s="110"/>
      <c r="HZ1697" s="110"/>
      <c r="IA1697" s="110"/>
      <c r="IB1697" s="110"/>
      <c r="IC1697" s="110"/>
      <c r="ID1697" s="110"/>
      <c r="IE1697" s="110"/>
      <c r="IF1697" s="110"/>
      <c r="IG1697" s="110"/>
      <c r="IH1697" s="110"/>
      <c r="II1697" s="110"/>
      <c r="IJ1697" s="110"/>
      <c r="IK1697" s="110"/>
      <c r="IL1697" s="110"/>
      <c r="IM1697" s="110"/>
      <c r="IN1697" s="110"/>
      <c r="IO1697" s="110"/>
      <c r="IP1697" s="110"/>
      <c r="IQ1697" s="110"/>
      <c r="IR1697" s="110"/>
    </row>
    <row r="1698" spans="18:252" ht="16.5" hidden="1" customHeight="1">
      <c r="R1698" s="264"/>
      <c r="S1698" s="110"/>
      <c r="T1698" s="110"/>
      <c r="U1698" s="110"/>
      <c r="V1698" s="110"/>
      <c r="W1698" s="266"/>
      <c r="X1698" s="110"/>
      <c r="Y1698" s="110"/>
      <c r="Z1698" s="110"/>
      <c r="AA1698" s="110"/>
      <c r="AB1698" s="110"/>
      <c r="AC1698" s="110"/>
      <c r="AD1698" s="110"/>
      <c r="AE1698" s="110"/>
      <c r="AF1698" s="110"/>
      <c r="AG1698" s="110"/>
      <c r="AH1698" s="110"/>
      <c r="AI1698" s="110"/>
      <c r="AJ1698" s="110"/>
      <c r="AK1698" s="110"/>
      <c r="AL1698" s="110"/>
      <c r="AM1698" s="110"/>
      <c r="AN1698" s="110"/>
      <c r="AO1698" s="110"/>
      <c r="AP1698" s="110"/>
      <c r="AQ1698" s="110"/>
      <c r="AR1698" s="110"/>
      <c r="AS1698" s="110"/>
      <c r="AT1698" s="110"/>
      <c r="AU1698" s="110"/>
      <c r="AV1698" s="110"/>
      <c r="AW1698" s="110"/>
      <c r="AX1698" s="110"/>
      <c r="AY1698" s="110"/>
      <c r="AZ1698" s="110"/>
      <c r="BA1698" s="110"/>
      <c r="BB1698" s="110"/>
      <c r="BC1698" s="110"/>
      <c r="BD1698" s="110"/>
      <c r="BE1698" s="110"/>
      <c r="BF1698" s="110"/>
      <c r="BG1698" s="110"/>
      <c r="BH1698" s="110"/>
      <c r="BI1698" s="110"/>
      <c r="BJ1698" s="110"/>
      <c r="BK1698" s="110"/>
      <c r="BL1698" s="110"/>
      <c r="BM1698" s="110"/>
      <c r="BN1698" s="110"/>
      <c r="BO1698" s="110"/>
      <c r="BP1698" s="110"/>
      <c r="BQ1698" s="110"/>
      <c r="BR1698" s="110"/>
      <c r="BS1698" s="110"/>
      <c r="BT1698" s="110"/>
      <c r="BU1698" s="110"/>
      <c r="BV1698" s="110"/>
      <c r="BW1698" s="110"/>
      <c r="BX1698" s="110"/>
      <c r="BY1698" s="110"/>
      <c r="BZ1698" s="110"/>
      <c r="CA1698" s="110"/>
      <c r="CB1698" s="110"/>
      <c r="CC1698" s="110"/>
      <c r="CD1698" s="110"/>
      <c r="CE1698" s="110"/>
      <c r="CF1698" s="110"/>
      <c r="CG1698" s="110"/>
      <c r="CH1698" s="110"/>
      <c r="CI1698" s="110"/>
      <c r="CJ1698" s="110"/>
      <c r="CK1698" s="110"/>
      <c r="CL1698" s="110"/>
      <c r="CM1698" s="110"/>
      <c r="CN1698" s="110"/>
      <c r="CO1698" s="110"/>
      <c r="CP1698" s="110"/>
      <c r="CQ1698" s="110"/>
      <c r="CR1698" s="110"/>
      <c r="CS1698" s="110"/>
      <c r="CT1698" s="110"/>
      <c r="CU1698" s="110"/>
      <c r="CV1698" s="110"/>
      <c r="CW1698" s="110"/>
      <c r="CX1698" s="110"/>
      <c r="CY1698" s="110"/>
      <c r="CZ1698" s="110"/>
      <c r="DA1698" s="110"/>
      <c r="DB1698" s="110"/>
      <c r="DC1698" s="110"/>
      <c r="DD1698" s="110"/>
      <c r="DE1698" s="110"/>
      <c r="DF1698" s="110"/>
      <c r="DG1698" s="110"/>
      <c r="DH1698" s="110"/>
      <c r="DI1698" s="110"/>
      <c r="DJ1698" s="110"/>
      <c r="DK1698" s="110"/>
      <c r="DL1698" s="110"/>
      <c r="DM1698" s="110"/>
      <c r="DN1698" s="110"/>
      <c r="DO1698" s="110"/>
      <c r="DP1698" s="110"/>
      <c r="DQ1698" s="110"/>
      <c r="DR1698" s="110"/>
      <c r="DS1698" s="110"/>
      <c r="DT1698" s="110"/>
      <c r="DU1698" s="110"/>
      <c r="DV1698" s="110"/>
      <c r="DW1698" s="110"/>
      <c r="DX1698" s="110"/>
      <c r="DY1698" s="110"/>
      <c r="DZ1698" s="110"/>
      <c r="EA1698" s="110"/>
      <c r="EB1698" s="110"/>
      <c r="EC1698" s="110"/>
      <c r="ED1698" s="110"/>
      <c r="EF1698" s="264"/>
      <c r="EG1698" s="110"/>
      <c r="EH1698" s="110"/>
      <c r="EI1698" s="110"/>
      <c r="EJ1698" s="110"/>
      <c r="EK1698" s="266"/>
      <c r="EL1698" s="110"/>
      <c r="EM1698" s="110"/>
      <c r="EN1698" s="110"/>
      <c r="EO1698" s="110"/>
      <c r="EP1698" s="110"/>
      <c r="EQ1698" s="110"/>
      <c r="ER1698" s="110"/>
      <c r="ES1698" s="110"/>
      <c r="ET1698" s="110"/>
      <c r="EU1698" s="110"/>
      <c r="EV1698" s="110"/>
      <c r="EW1698" s="110"/>
      <c r="EX1698" s="110"/>
      <c r="EY1698" s="110"/>
      <c r="EZ1698" s="110"/>
      <c r="FA1698" s="110"/>
      <c r="FB1698" s="110"/>
      <c r="FC1698" s="110"/>
      <c r="FD1698" s="110"/>
      <c r="FE1698" s="110"/>
      <c r="FF1698" s="110"/>
      <c r="FG1698" s="110"/>
      <c r="FH1698" s="110"/>
      <c r="FI1698" s="110"/>
      <c r="FJ1698" s="110"/>
      <c r="FK1698" s="110"/>
      <c r="FL1698" s="110"/>
      <c r="FM1698" s="110"/>
      <c r="FN1698" s="110"/>
      <c r="FO1698" s="110"/>
      <c r="FP1698" s="110"/>
      <c r="FQ1698" s="110"/>
      <c r="FR1698" s="110"/>
      <c r="FS1698" s="110"/>
      <c r="FT1698" s="110"/>
      <c r="FU1698" s="110"/>
      <c r="FV1698" s="110"/>
      <c r="FW1698" s="110"/>
      <c r="FX1698" s="110"/>
      <c r="FY1698" s="110"/>
      <c r="FZ1698" s="110"/>
      <c r="GA1698" s="110"/>
      <c r="GB1698" s="110"/>
      <c r="GC1698" s="110"/>
      <c r="GD1698" s="110"/>
      <c r="GE1698" s="110"/>
      <c r="GF1698" s="110"/>
      <c r="GG1698" s="110"/>
      <c r="GH1698" s="110"/>
      <c r="GI1698" s="110"/>
      <c r="GJ1698" s="110"/>
      <c r="GK1698" s="110"/>
      <c r="GL1698" s="110"/>
      <c r="GM1698" s="110"/>
      <c r="GN1698" s="110"/>
      <c r="GO1698" s="110"/>
      <c r="GP1698" s="110"/>
      <c r="GQ1698" s="110"/>
      <c r="GR1698" s="110"/>
      <c r="GS1698" s="110"/>
      <c r="GT1698" s="110"/>
      <c r="GU1698" s="110"/>
      <c r="GV1698" s="110"/>
      <c r="GW1698" s="110"/>
      <c r="GX1698" s="110"/>
      <c r="GY1698" s="110"/>
      <c r="GZ1698" s="110"/>
      <c r="HA1698" s="110"/>
      <c r="HB1698" s="110"/>
      <c r="HC1698" s="110"/>
      <c r="HD1698" s="110"/>
      <c r="HE1698" s="110"/>
      <c r="HF1698" s="110"/>
      <c r="HG1698" s="110"/>
      <c r="HH1698" s="110"/>
      <c r="HI1698" s="110"/>
      <c r="HJ1698" s="110"/>
      <c r="HK1698" s="110"/>
      <c r="HL1698" s="110"/>
      <c r="HM1698" s="110"/>
      <c r="HN1698" s="110"/>
      <c r="HO1698" s="110"/>
      <c r="HP1698" s="110"/>
      <c r="HQ1698" s="110"/>
      <c r="HR1698" s="110"/>
      <c r="HS1698" s="110"/>
      <c r="HT1698" s="110"/>
      <c r="HU1698" s="110"/>
      <c r="HV1698" s="110"/>
      <c r="HW1698" s="110"/>
      <c r="HX1698" s="110"/>
      <c r="HY1698" s="110"/>
      <c r="HZ1698" s="110"/>
      <c r="IA1698" s="110"/>
      <c r="IB1698" s="110"/>
      <c r="IC1698" s="110"/>
      <c r="ID1698" s="110"/>
      <c r="IE1698" s="110"/>
      <c r="IF1698" s="110"/>
      <c r="IG1698" s="110"/>
      <c r="IH1698" s="110"/>
      <c r="II1698" s="110"/>
      <c r="IJ1698" s="110"/>
      <c r="IK1698" s="110"/>
      <c r="IL1698" s="110"/>
      <c r="IM1698" s="110"/>
      <c r="IN1698" s="110"/>
      <c r="IO1698" s="110"/>
      <c r="IP1698" s="110"/>
      <c r="IQ1698" s="110"/>
      <c r="IR1698" s="110"/>
    </row>
    <row r="1699" spans="18:252" ht="16.5" hidden="1" customHeight="1">
      <c r="R1699" s="264"/>
      <c r="S1699" s="110"/>
      <c r="T1699" s="110"/>
      <c r="U1699" s="110"/>
      <c r="V1699" s="110"/>
      <c r="W1699" s="266"/>
      <c r="X1699" s="110"/>
      <c r="Y1699" s="110"/>
      <c r="Z1699" s="110"/>
      <c r="AA1699" s="110"/>
      <c r="AB1699" s="110"/>
      <c r="AC1699" s="110"/>
      <c r="AD1699" s="110"/>
      <c r="AE1699" s="110"/>
      <c r="AF1699" s="110"/>
      <c r="AG1699" s="110"/>
      <c r="AH1699" s="110"/>
      <c r="AI1699" s="110"/>
      <c r="AJ1699" s="110"/>
      <c r="AK1699" s="110"/>
      <c r="AL1699" s="110"/>
      <c r="AM1699" s="110"/>
      <c r="AN1699" s="110"/>
      <c r="AO1699" s="110"/>
      <c r="AP1699" s="110"/>
      <c r="AQ1699" s="110"/>
      <c r="AR1699" s="110"/>
      <c r="AS1699" s="110"/>
      <c r="AT1699" s="110"/>
      <c r="AU1699" s="110"/>
      <c r="AV1699" s="110"/>
      <c r="AW1699" s="110"/>
      <c r="AX1699" s="110"/>
      <c r="AY1699" s="110"/>
      <c r="AZ1699" s="110"/>
      <c r="BA1699" s="110"/>
      <c r="BB1699" s="110"/>
      <c r="BC1699" s="110"/>
      <c r="BD1699" s="110"/>
      <c r="BE1699" s="110"/>
      <c r="BF1699" s="110"/>
      <c r="BG1699" s="110"/>
      <c r="BH1699" s="110"/>
      <c r="BI1699" s="110"/>
      <c r="BJ1699" s="110"/>
      <c r="BK1699" s="110"/>
      <c r="BL1699" s="110"/>
      <c r="BM1699" s="110"/>
      <c r="BN1699" s="110"/>
      <c r="BO1699" s="110"/>
      <c r="BP1699" s="110"/>
      <c r="BQ1699" s="110"/>
      <c r="BR1699" s="110"/>
      <c r="BS1699" s="110"/>
      <c r="BT1699" s="110"/>
      <c r="BU1699" s="110"/>
      <c r="BV1699" s="110"/>
      <c r="BW1699" s="110"/>
      <c r="BX1699" s="110"/>
      <c r="BY1699" s="110"/>
      <c r="BZ1699" s="110"/>
      <c r="CA1699" s="110"/>
      <c r="CB1699" s="110"/>
      <c r="CC1699" s="110"/>
      <c r="CD1699" s="110"/>
      <c r="CE1699" s="110"/>
      <c r="CF1699" s="110"/>
      <c r="CG1699" s="110"/>
      <c r="CH1699" s="110"/>
      <c r="CI1699" s="110"/>
      <c r="CJ1699" s="110"/>
      <c r="CK1699" s="110"/>
      <c r="CL1699" s="110"/>
      <c r="CM1699" s="110"/>
      <c r="CN1699" s="110"/>
      <c r="CO1699" s="110"/>
      <c r="CP1699" s="110"/>
      <c r="CQ1699" s="110"/>
      <c r="CR1699" s="110"/>
      <c r="CS1699" s="110"/>
      <c r="CT1699" s="110"/>
      <c r="CU1699" s="110"/>
      <c r="CV1699" s="110"/>
      <c r="CW1699" s="110"/>
      <c r="CX1699" s="110"/>
      <c r="CY1699" s="110"/>
      <c r="CZ1699" s="110"/>
      <c r="DA1699" s="110"/>
      <c r="DB1699" s="110"/>
      <c r="DC1699" s="110"/>
      <c r="DD1699" s="110"/>
      <c r="DE1699" s="110"/>
      <c r="DF1699" s="110"/>
      <c r="DG1699" s="110"/>
      <c r="DH1699" s="110"/>
      <c r="DI1699" s="110"/>
      <c r="DJ1699" s="110"/>
      <c r="DK1699" s="110"/>
      <c r="DL1699" s="110"/>
      <c r="DM1699" s="110"/>
      <c r="DN1699" s="110"/>
      <c r="DO1699" s="110"/>
      <c r="DP1699" s="110"/>
      <c r="DQ1699" s="110"/>
      <c r="DR1699" s="110"/>
      <c r="DS1699" s="110"/>
      <c r="DT1699" s="110"/>
      <c r="DU1699" s="110"/>
      <c r="DV1699" s="110"/>
      <c r="DW1699" s="110"/>
      <c r="DX1699" s="110"/>
      <c r="DY1699" s="110"/>
      <c r="DZ1699" s="110"/>
      <c r="EA1699" s="110"/>
      <c r="EB1699" s="110"/>
      <c r="EC1699" s="110"/>
      <c r="ED1699" s="110"/>
      <c r="EF1699" s="264"/>
      <c r="EG1699" s="110"/>
      <c r="EH1699" s="110"/>
      <c r="EI1699" s="110"/>
      <c r="EJ1699" s="110"/>
      <c r="EK1699" s="266"/>
      <c r="EL1699" s="110"/>
      <c r="EM1699" s="110"/>
      <c r="EN1699" s="110"/>
      <c r="EO1699" s="110"/>
      <c r="EP1699" s="110"/>
      <c r="EQ1699" s="110"/>
      <c r="ER1699" s="110"/>
      <c r="ES1699" s="110"/>
      <c r="ET1699" s="110"/>
      <c r="EU1699" s="110"/>
      <c r="EV1699" s="110"/>
      <c r="EW1699" s="110"/>
      <c r="EX1699" s="110"/>
      <c r="EY1699" s="110"/>
      <c r="EZ1699" s="110"/>
      <c r="FA1699" s="110"/>
      <c r="FB1699" s="110"/>
      <c r="FC1699" s="110"/>
      <c r="FD1699" s="110"/>
      <c r="FE1699" s="110"/>
      <c r="FF1699" s="110"/>
      <c r="FG1699" s="110"/>
      <c r="FH1699" s="110"/>
      <c r="FI1699" s="110"/>
      <c r="FJ1699" s="110"/>
      <c r="FK1699" s="110"/>
      <c r="FL1699" s="110"/>
      <c r="FM1699" s="110"/>
      <c r="FN1699" s="110"/>
      <c r="FO1699" s="110"/>
      <c r="FP1699" s="110"/>
      <c r="FQ1699" s="110"/>
      <c r="FR1699" s="110"/>
      <c r="FS1699" s="110"/>
      <c r="FT1699" s="110"/>
      <c r="FU1699" s="110"/>
      <c r="FV1699" s="110"/>
      <c r="FW1699" s="110"/>
      <c r="FX1699" s="110"/>
      <c r="FY1699" s="110"/>
      <c r="FZ1699" s="110"/>
      <c r="GA1699" s="110"/>
      <c r="GB1699" s="110"/>
      <c r="GC1699" s="110"/>
      <c r="GD1699" s="110"/>
      <c r="GE1699" s="110"/>
      <c r="GF1699" s="110"/>
      <c r="GG1699" s="110"/>
      <c r="GH1699" s="110"/>
      <c r="GI1699" s="110"/>
      <c r="GJ1699" s="110"/>
      <c r="GK1699" s="110"/>
      <c r="GL1699" s="110"/>
      <c r="GM1699" s="110"/>
      <c r="GN1699" s="110"/>
      <c r="GO1699" s="110"/>
      <c r="GP1699" s="110"/>
      <c r="GQ1699" s="110"/>
      <c r="GR1699" s="110"/>
      <c r="GS1699" s="110"/>
      <c r="GT1699" s="110"/>
      <c r="GU1699" s="110"/>
      <c r="GV1699" s="110"/>
      <c r="GW1699" s="110"/>
      <c r="GX1699" s="110"/>
      <c r="GY1699" s="110"/>
      <c r="GZ1699" s="110"/>
      <c r="HA1699" s="110"/>
      <c r="HB1699" s="110"/>
      <c r="HC1699" s="110"/>
      <c r="HD1699" s="110"/>
      <c r="HE1699" s="110"/>
      <c r="HF1699" s="110"/>
      <c r="HG1699" s="110"/>
      <c r="HH1699" s="110"/>
      <c r="HI1699" s="110"/>
      <c r="HJ1699" s="110"/>
      <c r="HK1699" s="110"/>
      <c r="HL1699" s="110"/>
      <c r="HM1699" s="110"/>
      <c r="HN1699" s="110"/>
      <c r="HO1699" s="110"/>
      <c r="HP1699" s="110"/>
      <c r="HQ1699" s="110"/>
      <c r="HR1699" s="110"/>
      <c r="HS1699" s="110"/>
      <c r="HT1699" s="110"/>
      <c r="HU1699" s="110"/>
      <c r="HV1699" s="110"/>
      <c r="HW1699" s="110"/>
      <c r="HX1699" s="110"/>
      <c r="HY1699" s="110"/>
      <c r="HZ1699" s="110"/>
      <c r="IA1699" s="110"/>
      <c r="IB1699" s="110"/>
      <c r="IC1699" s="110"/>
      <c r="ID1699" s="110"/>
      <c r="IE1699" s="110"/>
      <c r="IF1699" s="110"/>
      <c r="IG1699" s="110"/>
      <c r="IH1699" s="110"/>
      <c r="II1699" s="110"/>
      <c r="IJ1699" s="110"/>
      <c r="IK1699" s="110"/>
      <c r="IL1699" s="110"/>
      <c r="IM1699" s="110"/>
      <c r="IN1699" s="110"/>
      <c r="IO1699" s="110"/>
      <c r="IP1699" s="110"/>
      <c r="IQ1699" s="110"/>
      <c r="IR1699" s="110"/>
    </row>
    <row r="1700" spans="18:252" ht="16.5" hidden="1" customHeight="1">
      <c r="R1700" s="264"/>
      <c r="S1700" s="110"/>
      <c r="T1700" s="110"/>
      <c r="U1700" s="110"/>
      <c r="V1700" s="110"/>
      <c r="W1700" s="266"/>
      <c r="X1700" s="110"/>
      <c r="Y1700" s="110"/>
      <c r="Z1700" s="110"/>
      <c r="AA1700" s="110"/>
      <c r="AB1700" s="110"/>
      <c r="AC1700" s="110"/>
      <c r="AD1700" s="110"/>
      <c r="AE1700" s="110"/>
      <c r="AF1700" s="110"/>
      <c r="AG1700" s="110"/>
      <c r="AH1700" s="110"/>
      <c r="AI1700" s="110"/>
      <c r="AJ1700" s="110"/>
      <c r="AK1700" s="110"/>
      <c r="AL1700" s="110"/>
      <c r="AM1700" s="110"/>
      <c r="AN1700" s="110"/>
      <c r="AO1700" s="110"/>
      <c r="AP1700" s="110"/>
      <c r="AQ1700" s="110"/>
      <c r="AR1700" s="110"/>
      <c r="AS1700" s="110"/>
      <c r="AT1700" s="110"/>
      <c r="AU1700" s="110"/>
      <c r="AV1700" s="110"/>
      <c r="AW1700" s="110"/>
      <c r="AX1700" s="110"/>
      <c r="AY1700" s="110"/>
      <c r="AZ1700" s="110"/>
      <c r="BA1700" s="110"/>
      <c r="BB1700" s="110"/>
      <c r="BC1700" s="110"/>
      <c r="BD1700" s="110"/>
      <c r="BE1700" s="110"/>
      <c r="BF1700" s="110"/>
      <c r="BG1700" s="110"/>
      <c r="BH1700" s="110"/>
      <c r="BI1700" s="110"/>
      <c r="BJ1700" s="110"/>
      <c r="BK1700" s="110"/>
      <c r="BL1700" s="110"/>
      <c r="BM1700" s="110"/>
      <c r="BN1700" s="110"/>
      <c r="BO1700" s="110"/>
      <c r="BP1700" s="110"/>
      <c r="BQ1700" s="110"/>
      <c r="BR1700" s="110"/>
      <c r="BS1700" s="110"/>
      <c r="BT1700" s="110"/>
      <c r="BU1700" s="110"/>
      <c r="BV1700" s="110"/>
      <c r="BW1700" s="110"/>
      <c r="BX1700" s="110"/>
      <c r="BY1700" s="110"/>
      <c r="BZ1700" s="110"/>
      <c r="CA1700" s="110"/>
      <c r="CB1700" s="110"/>
      <c r="CC1700" s="110"/>
      <c r="CD1700" s="110"/>
      <c r="CE1700" s="110"/>
      <c r="CF1700" s="110"/>
      <c r="CG1700" s="110"/>
      <c r="CH1700" s="110"/>
      <c r="CI1700" s="110"/>
      <c r="CJ1700" s="110"/>
      <c r="CK1700" s="110"/>
      <c r="CL1700" s="110"/>
      <c r="CM1700" s="110"/>
      <c r="CN1700" s="110"/>
      <c r="CO1700" s="110"/>
      <c r="CP1700" s="110"/>
      <c r="CQ1700" s="110"/>
      <c r="CR1700" s="110"/>
      <c r="CS1700" s="110"/>
      <c r="CT1700" s="110"/>
      <c r="CU1700" s="110"/>
      <c r="CV1700" s="110"/>
      <c r="CW1700" s="110"/>
      <c r="CX1700" s="110"/>
      <c r="CY1700" s="110"/>
      <c r="CZ1700" s="110"/>
      <c r="DA1700" s="110"/>
      <c r="DB1700" s="110"/>
      <c r="DC1700" s="110"/>
      <c r="DD1700" s="110"/>
      <c r="DE1700" s="110"/>
      <c r="DF1700" s="110"/>
      <c r="DG1700" s="110"/>
      <c r="DH1700" s="110"/>
      <c r="DI1700" s="110"/>
      <c r="DJ1700" s="110"/>
      <c r="DK1700" s="110"/>
      <c r="DL1700" s="110"/>
      <c r="DM1700" s="110"/>
      <c r="DN1700" s="110"/>
      <c r="DO1700" s="110"/>
      <c r="DP1700" s="110"/>
      <c r="DQ1700" s="110"/>
      <c r="DR1700" s="110"/>
      <c r="DS1700" s="110"/>
      <c r="DT1700" s="110"/>
      <c r="DU1700" s="110"/>
      <c r="DV1700" s="110"/>
      <c r="DW1700" s="110"/>
      <c r="DX1700" s="110"/>
      <c r="DY1700" s="110"/>
      <c r="DZ1700" s="110"/>
      <c r="EA1700" s="110"/>
      <c r="EB1700" s="110"/>
      <c r="EC1700" s="110"/>
      <c r="ED1700" s="110"/>
      <c r="EF1700" s="264"/>
      <c r="EG1700" s="110"/>
      <c r="EH1700" s="110"/>
      <c r="EI1700" s="110"/>
      <c r="EJ1700" s="110"/>
      <c r="EK1700" s="266"/>
      <c r="EL1700" s="110"/>
      <c r="EM1700" s="110"/>
      <c r="EN1700" s="110"/>
      <c r="EO1700" s="110"/>
      <c r="EP1700" s="110"/>
      <c r="EQ1700" s="110"/>
      <c r="ER1700" s="110"/>
      <c r="ES1700" s="110"/>
      <c r="ET1700" s="110"/>
      <c r="EU1700" s="110"/>
      <c r="EV1700" s="110"/>
      <c r="EW1700" s="110"/>
      <c r="EX1700" s="110"/>
      <c r="EY1700" s="110"/>
      <c r="EZ1700" s="110"/>
      <c r="FA1700" s="110"/>
      <c r="FB1700" s="110"/>
      <c r="FC1700" s="110"/>
      <c r="FD1700" s="110"/>
      <c r="FE1700" s="110"/>
      <c r="FF1700" s="110"/>
      <c r="FG1700" s="110"/>
      <c r="FH1700" s="110"/>
      <c r="FI1700" s="110"/>
      <c r="FJ1700" s="110"/>
      <c r="FK1700" s="110"/>
      <c r="FL1700" s="110"/>
      <c r="FM1700" s="110"/>
      <c r="FN1700" s="110"/>
      <c r="FO1700" s="110"/>
      <c r="FP1700" s="110"/>
      <c r="FQ1700" s="110"/>
      <c r="FR1700" s="110"/>
      <c r="FS1700" s="110"/>
      <c r="FT1700" s="110"/>
      <c r="FU1700" s="110"/>
      <c r="FV1700" s="110"/>
      <c r="FW1700" s="110"/>
      <c r="FX1700" s="110"/>
      <c r="FY1700" s="110"/>
      <c r="FZ1700" s="110"/>
      <c r="GA1700" s="110"/>
      <c r="GB1700" s="110"/>
      <c r="GC1700" s="110"/>
      <c r="GD1700" s="110"/>
      <c r="GE1700" s="110"/>
      <c r="GF1700" s="110"/>
      <c r="GG1700" s="110"/>
      <c r="GH1700" s="110"/>
      <c r="GI1700" s="110"/>
      <c r="GJ1700" s="110"/>
      <c r="GK1700" s="110"/>
      <c r="GL1700" s="110"/>
      <c r="GM1700" s="110"/>
      <c r="GN1700" s="110"/>
      <c r="GO1700" s="110"/>
      <c r="GP1700" s="110"/>
      <c r="GQ1700" s="110"/>
      <c r="GR1700" s="110"/>
      <c r="GS1700" s="110"/>
      <c r="GT1700" s="110"/>
      <c r="GU1700" s="110"/>
      <c r="GV1700" s="110"/>
      <c r="GW1700" s="110"/>
      <c r="GX1700" s="110"/>
      <c r="GY1700" s="110"/>
      <c r="GZ1700" s="110"/>
      <c r="HA1700" s="110"/>
      <c r="HB1700" s="110"/>
      <c r="HC1700" s="110"/>
      <c r="HD1700" s="110"/>
      <c r="HE1700" s="110"/>
      <c r="HF1700" s="110"/>
      <c r="HG1700" s="110"/>
      <c r="HH1700" s="110"/>
      <c r="HI1700" s="110"/>
      <c r="HJ1700" s="110"/>
      <c r="HK1700" s="110"/>
      <c r="HL1700" s="110"/>
      <c r="HM1700" s="110"/>
      <c r="HN1700" s="110"/>
      <c r="HO1700" s="110"/>
      <c r="HP1700" s="110"/>
      <c r="HQ1700" s="110"/>
      <c r="HR1700" s="110"/>
      <c r="HS1700" s="110"/>
      <c r="HT1700" s="110"/>
      <c r="HU1700" s="110"/>
      <c r="HV1700" s="110"/>
      <c r="HW1700" s="110"/>
      <c r="HX1700" s="110"/>
      <c r="HY1700" s="110"/>
      <c r="HZ1700" s="110"/>
      <c r="IA1700" s="110"/>
      <c r="IB1700" s="110"/>
      <c r="IC1700" s="110"/>
      <c r="ID1700" s="110"/>
      <c r="IE1700" s="110"/>
      <c r="IF1700" s="110"/>
      <c r="IG1700" s="110"/>
      <c r="IH1700" s="110"/>
      <c r="II1700" s="110"/>
      <c r="IJ1700" s="110"/>
      <c r="IK1700" s="110"/>
      <c r="IL1700" s="110"/>
      <c r="IM1700" s="110"/>
      <c r="IN1700" s="110"/>
      <c r="IO1700" s="110"/>
      <c r="IP1700" s="110"/>
      <c r="IQ1700" s="110"/>
      <c r="IR1700" s="110"/>
    </row>
    <row r="1701" spans="18:252" ht="16.5" hidden="1" customHeight="1">
      <c r="R1701" s="264"/>
      <c r="S1701" s="110"/>
      <c r="T1701" s="110"/>
      <c r="U1701" s="110"/>
      <c r="V1701" s="110"/>
      <c r="W1701" s="266"/>
      <c r="X1701" s="110"/>
      <c r="Y1701" s="110"/>
      <c r="Z1701" s="110"/>
      <c r="AA1701" s="110"/>
      <c r="AB1701" s="110"/>
      <c r="AC1701" s="110"/>
      <c r="AD1701" s="110"/>
      <c r="AE1701" s="110"/>
      <c r="AF1701" s="110"/>
      <c r="AG1701" s="110"/>
      <c r="AH1701" s="110"/>
      <c r="AI1701" s="110"/>
      <c r="AJ1701" s="110"/>
      <c r="AK1701" s="110"/>
      <c r="AL1701" s="110"/>
      <c r="AM1701" s="110"/>
      <c r="AN1701" s="110"/>
      <c r="AO1701" s="110"/>
      <c r="AP1701" s="110"/>
      <c r="AQ1701" s="110"/>
      <c r="AR1701" s="110"/>
      <c r="AS1701" s="110"/>
      <c r="AT1701" s="110"/>
      <c r="AU1701" s="110"/>
      <c r="AV1701" s="110"/>
      <c r="AW1701" s="110"/>
      <c r="AX1701" s="110"/>
      <c r="AY1701" s="110"/>
      <c r="AZ1701" s="110"/>
      <c r="BA1701" s="110"/>
      <c r="BB1701" s="110"/>
      <c r="BC1701" s="110"/>
      <c r="BD1701" s="110"/>
      <c r="BE1701" s="110"/>
      <c r="BF1701" s="110"/>
      <c r="BG1701" s="110"/>
      <c r="BH1701" s="110"/>
      <c r="BI1701" s="110"/>
      <c r="BJ1701" s="110"/>
      <c r="BK1701" s="110"/>
      <c r="BL1701" s="110"/>
      <c r="BM1701" s="110"/>
      <c r="BN1701" s="110"/>
      <c r="BO1701" s="110"/>
      <c r="BP1701" s="110"/>
      <c r="BQ1701" s="110"/>
      <c r="BR1701" s="110"/>
      <c r="BS1701" s="110"/>
      <c r="BT1701" s="110"/>
      <c r="BU1701" s="110"/>
      <c r="BV1701" s="110"/>
      <c r="BW1701" s="110"/>
      <c r="BX1701" s="110"/>
      <c r="BY1701" s="110"/>
      <c r="BZ1701" s="110"/>
      <c r="CA1701" s="110"/>
      <c r="CB1701" s="110"/>
      <c r="CC1701" s="110"/>
      <c r="CD1701" s="110"/>
      <c r="CE1701" s="110"/>
      <c r="CF1701" s="110"/>
      <c r="CG1701" s="110"/>
      <c r="CH1701" s="110"/>
      <c r="CI1701" s="110"/>
      <c r="CJ1701" s="110"/>
      <c r="CK1701" s="110"/>
      <c r="CL1701" s="110"/>
      <c r="CM1701" s="110"/>
      <c r="CN1701" s="110"/>
      <c r="CO1701" s="110"/>
      <c r="CP1701" s="110"/>
      <c r="CQ1701" s="110"/>
      <c r="CR1701" s="110"/>
      <c r="CS1701" s="110"/>
      <c r="CT1701" s="110"/>
      <c r="CU1701" s="110"/>
      <c r="CV1701" s="110"/>
      <c r="CW1701" s="110"/>
      <c r="CX1701" s="110"/>
      <c r="CY1701" s="110"/>
      <c r="CZ1701" s="110"/>
      <c r="DA1701" s="110"/>
      <c r="DB1701" s="110"/>
      <c r="DC1701" s="110"/>
      <c r="DD1701" s="110"/>
      <c r="DE1701" s="110"/>
      <c r="DF1701" s="110"/>
      <c r="DG1701" s="110"/>
      <c r="DH1701" s="110"/>
      <c r="DI1701" s="110"/>
      <c r="DJ1701" s="110"/>
      <c r="DK1701" s="110"/>
      <c r="DL1701" s="110"/>
      <c r="DM1701" s="110"/>
      <c r="DN1701" s="110"/>
      <c r="DO1701" s="110"/>
      <c r="DP1701" s="110"/>
      <c r="DQ1701" s="110"/>
      <c r="DR1701" s="110"/>
      <c r="DS1701" s="110"/>
      <c r="DT1701" s="110"/>
      <c r="DU1701" s="110"/>
      <c r="DV1701" s="110"/>
      <c r="DW1701" s="110"/>
      <c r="DX1701" s="110"/>
      <c r="DY1701" s="110"/>
      <c r="DZ1701" s="110"/>
      <c r="EA1701" s="110"/>
      <c r="EB1701" s="110"/>
      <c r="EC1701" s="110"/>
      <c r="ED1701" s="110"/>
      <c r="EF1701" s="264"/>
      <c r="EG1701" s="110"/>
      <c r="EH1701" s="110"/>
      <c r="EI1701" s="110"/>
      <c r="EJ1701" s="110"/>
      <c r="EK1701" s="266"/>
      <c r="EL1701" s="110"/>
      <c r="EM1701" s="110"/>
      <c r="EN1701" s="110"/>
      <c r="EO1701" s="110"/>
      <c r="EP1701" s="110"/>
      <c r="EQ1701" s="110"/>
      <c r="ER1701" s="110"/>
      <c r="ES1701" s="110"/>
      <c r="ET1701" s="110"/>
      <c r="EU1701" s="110"/>
      <c r="EV1701" s="110"/>
      <c r="EW1701" s="110"/>
      <c r="EX1701" s="110"/>
      <c r="EY1701" s="110"/>
      <c r="EZ1701" s="110"/>
      <c r="FA1701" s="110"/>
      <c r="FB1701" s="110"/>
      <c r="FC1701" s="110"/>
      <c r="FD1701" s="110"/>
      <c r="FE1701" s="110"/>
      <c r="FF1701" s="110"/>
      <c r="FG1701" s="110"/>
      <c r="FH1701" s="110"/>
      <c r="FI1701" s="110"/>
      <c r="FJ1701" s="110"/>
      <c r="FK1701" s="110"/>
      <c r="FL1701" s="110"/>
      <c r="FM1701" s="110"/>
      <c r="FN1701" s="110"/>
      <c r="FO1701" s="110"/>
      <c r="FP1701" s="110"/>
      <c r="FQ1701" s="110"/>
      <c r="FR1701" s="110"/>
      <c r="FS1701" s="110"/>
      <c r="FT1701" s="110"/>
      <c r="FU1701" s="110"/>
      <c r="FV1701" s="110"/>
      <c r="FW1701" s="110"/>
      <c r="FX1701" s="110"/>
      <c r="FY1701" s="110"/>
      <c r="FZ1701" s="110"/>
      <c r="GA1701" s="110"/>
      <c r="GB1701" s="110"/>
      <c r="GC1701" s="110"/>
      <c r="GD1701" s="110"/>
      <c r="GE1701" s="110"/>
      <c r="GF1701" s="110"/>
      <c r="GG1701" s="110"/>
      <c r="GH1701" s="110"/>
      <c r="GI1701" s="110"/>
      <c r="GJ1701" s="110"/>
      <c r="GK1701" s="110"/>
      <c r="GL1701" s="110"/>
      <c r="GM1701" s="110"/>
      <c r="GN1701" s="110"/>
      <c r="GO1701" s="110"/>
      <c r="GP1701" s="110"/>
      <c r="GQ1701" s="110"/>
      <c r="GR1701" s="110"/>
      <c r="GS1701" s="110"/>
      <c r="GT1701" s="110"/>
      <c r="GU1701" s="110"/>
      <c r="GV1701" s="110"/>
      <c r="GW1701" s="110"/>
      <c r="GX1701" s="110"/>
      <c r="GY1701" s="110"/>
      <c r="GZ1701" s="110"/>
      <c r="HA1701" s="110"/>
      <c r="HB1701" s="110"/>
      <c r="HC1701" s="110"/>
      <c r="HD1701" s="110"/>
      <c r="HE1701" s="110"/>
      <c r="HF1701" s="110"/>
      <c r="HG1701" s="110"/>
      <c r="HH1701" s="110"/>
      <c r="HI1701" s="110"/>
      <c r="HJ1701" s="110"/>
      <c r="HK1701" s="110"/>
      <c r="HL1701" s="110"/>
      <c r="HM1701" s="110"/>
      <c r="HN1701" s="110"/>
      <c r="HO1701" s="110"/>
      <c r="HP1701" s="110"/>
      <c r="HQ1701" s="110"/>
      <c r="HR1701" s="110"/>
      <c r="HS1701" s="110"/>
      <c r="HT1701" s="110"/>
      <c r="HU1701" s="110"/>
      <c r="HV1701" s="110"/>
      <c r="HW1701" s="110"/>
      <c r="HX1701" s="110"/>
      <c r="HY1701" s="110"/>
      <c r="HZ1701" s="110"/>
      <c r="IA1701" s="110"/>
      <c r="IB1701" s="110"/>
      <c r="IC1701" s="110"/>
      <c r="ID1701" s="110"/>
      <c r="IE1701" s="110"/>
      <c r="IF1701" s="110"/>
      <c r="IG1701" s="110"/>
      <c r="IH1701" s="110"/>
      <c r="II1701" s="110"/>
      <c r="IJ1701" s="110"/>
      <c r="IK1701" s="110"/>
      <c r="IL1701" s="110"/>
      <c r="IM1701" s="110"/>
      <c r="IN1701" s="110"/>
      <c r="IO1701" s="110"/>
      <c r="IP1701" s="110"/>
      <c r="IQ1701" s="110"/>
      <c r="IR1701" s="110"/>
    </row>
    <row r="1702" spans="18:252" ht="16.5" hidden="1" customHeight="1">
      <c r="R1702" s="264"/>
      <c r="S1702" s="110"/>
      <c r="T1702" s="110"/>
      <c r="U1702" s="110"/>
      <c r="V1702" s="110"/>
      <c r="W1702" s="266"/>
      <c r="X1702" s="110"/>
      <c r="Y1702" s="110"/>
      <c r="Z1702" s="110"/>
      <c r="AA1702" s="110"/>
      <c r="AB1702" s="110"/>
      <c r="AC1702" s="110"/>
      <c r="AD1702" s="110"/>
      <c r="AE1702" s="110"/>
      <c r="AF1702" s="110"/>
      <c r="AG1702" s="110"/>
      <c r="AH1702" s="110"/>
      <c r="AI1702" s="110"/>
      <c r="AJ1702" s="110"/>
      <c r="AK1702" s="110"/>
      <c r="AL1702" s="110"/>
      <c r="AM1702" s="110"/>
      <c r="AN1702" s="110"/>
      <c r="AO1702" s="110"/>
      <c r="AP1702" s="110"/>
      <c r="AQ1702" s="110"/>
      <c r="AR1702" s="110"/>
      <c r="AS1702" s="110"/>
      <c r="AT1702" s="110"/>
      <c r="AU1702" s="110"/>
      <c r="AV1702" s="110"/>
      <c r="AW1702" s="110"/>
      <c r="AX1702" s="110"/>
      <c r="AY1702" s="110"/>
      <c r="AZ1702" s="110"/>
      <c r="BA1702" s="110"/>
      <c r="BB1702" s="110"/>
      <c r="BC1702" s="110"/>
      <c r="BD1702" s="110"/>
      <c r="BE1702" s="110"/>
      <c r="BF1702" s="110"/>
      <c r="BG1702" s="110"/>
      <c r="BH1702" s="110"/>
      <c r="BI1702" s="110"/>
      <c r="BJ1702" s="110"/>
      <c r="BK1702" s="110"/>
      <c r="BL1702" s="110"/>
      <c r="BM1702" s="110"/>
      <c r="BN1702" s="110"/>
      <c r="BO1702" s="110"/>
      <c r="BP1702" s="110"/>
      <c r="BQ1702" s="110"/>
      <c r="BR1702" s="110"/>
      <c r="BS1702" s="110"/>
      <c r="BT1702" s="110"/>
      <c r="BU1702" s="110"/>
      <c r="BV1702" s="110"/>
      <c r="BW1702" s="110"/>
      <c r="BX1702" s="110"/>
      <c r="BY1702" s="110"/>
      <c r="BZ1702" s="110"/>
      <c r="CA1702" s="110"/>
      <c r="CB1702" s="110"/>
      <c r="CC1702" s="110"/>
      <c r="CD1702" s="110"/>
      <c r="CE1702" s="110"/>
      <c r="CF1702" s="110"/>
      <c r="CG1702" s="110"/>
      <c r="CH1702" s="110"/>
      <c r="CI1702" s="110"/>
      <c r="CJ1702" s="110"/>
      <c r="CK1702" s="110"/>
      <c r="CL1702" s="110"/>
      <c r="CM1702" s="110"/>
      <c r="CN1702" s="110"/>
      <c r="CO1702" s="110"/>
      <c r="CP1702" s="110"/>
      <c r="CQ1702" s="110"/>
      <c r="CR1702" s="110"/>
      <c r="CS1702" s="110"/>
      <c r="CT1702" s="110"/>
      <c r="CU1702" s="110"/>
      <c r="CV1702" s="110"/>
      <c r="CW1702" s="110"/>
      <c r="CX1702" s="110"/>
      <c r="CY1702" s="110"/>
      <c r="CZ1702" s="110"/>
      <c r="DA1702" s="110"/>
      <c r="DB1702" s="110"/>
      <c r="DC1702" s="110"/>
      <c r="DD1702" s="110"/>
      <c r="DE1702" s="110"/>
      <c r="DF1702" s="110"/>
      <c r="DG1702" s="110"/>
      <c r="DH1702" s="110"/>
      <c r="DI1702" s="110"/>
      <c r="DJ1702" s="110"/>
      <c r="DK1702" s="110"/>
      <c r="DL1702" s="110"/>
      <c r="DM1702" s="110"/>
      <c r="DN1702" s="110"/>
      <c r="DO1702" s="110"/>
      <c r="DP1702" s="110"/>
      <c r="DQ1702" s="110"/>
      <c r="DR1702" s="110"/>
      <c r="DS1702" s="110"/>
      <c r="DT1702" s="110"/>
      <c r="DU1702" s="110"/>
      <c r="DV1702" s="110"/>
      <c r="DW1702" s="110"/>
      <c r="DX1702" s="110"/>
      <c r="DY1702" s="110"/>
      <c r="DZ1702" s="110"/>
      <c r="EA1702" s="110"/>
      <c r="EB1702" s="110"/>
      <c r="EC1702" s="110"/>
      <c r="ED1702" s="110"/>
      <c r="EF1702" s="264"/>
      <c r="EG1702" s="110"/>
      <c r="EH1702" s="110"/>
      <c r="EI1702" s="110"/>
      <c r="EJ1702" s="110"/>
      <c r="EK1702" s="266"/>
      <c r="EL1702" s="110"/>
      <c r="EM1702" s="110"/>
      <c r="EN1702" s="110"/>
      <c r="EO1702" s="110"/>
      <c r="EP1702" s="110"/>
      <c r="EQ1702" s="110"/>
      <c r="ER1702" s="110"/>
      <c r="ES1702" s="110"/>
      <c r="ET1702" s="110"/>
      <c r="EU1702" s="110"/>
      <c r="EV1702" s="110"/>
      <c r="EW1702" s="110"/>
      <c r="EX1702" s="110"/>
      <c r="EY1702" s="110"/>
      <c r="EZ1702" s="110"/>
      <c r="FA1702" s="110"/>
      <c r="FB1702" s="110"/>
      <c r="FC1702" s="110"/>
      <c r="FD1702" s="110"/>
      <c r="FE1702" s="110"/>
      <c r="FF1702" s="110"/>
      <c r="FG1702" s="110"/>
      <c r="FH1702" s="110"/>
      <c r="FI1702" s="110"/>
      <c r="FJ1702" s="110"/>
      <c r="FK1702" s="110"/>
      <c r="FL1702" s="110"/>
      <c r="FM1702" s="110"/>
      <c r="FN1702" s="110"/>
      <c r="FO1702" s="110"/>
      <c r="FP1702" s="110"/>
      <c r="FQ1702" s="110"/>
      <c r="FR1702" s="110"/>
      <c r="FS1702" s="110"/>
      <c r="FT1702" s="110"/>
      <c r="FU1702" s="110"/>
      <c r="FV1702" s="110"/>
      <c r="FW1702" s="110"/>
      <c r="FX1702" s="110"/>
      <c r="FY1702" s="110"/>
      <c r="FZ1702" s="110"/>
      <c r="GA1702" s="110"/>
      <c r="GB1702" s="110"/>
      <c r="GC1702" s="110"/>
      <c r="GD1702" s="110"/>
      <c r="GE1702" s="110"/>
      <c r="GF1702" s="110"/>
      <c r="GG1702" s="110"/>
      <c r="GH1702" s="110"/>
      <c r="GI1702" s="110"/>
      <c r="GJ1702" s="110"/>
      <c r="GK1702" s="110"/>
      <c r="GL1702" s="110"/>
      <c r="GM1702" s="110"/>
      <c r="GN1702" s="110"/>
      <c r="GO1702" s="110"/>
      <c r="GP1702" s="110"/>
      <c r="GQ1702" s="110"/>
      <c r="GR1702" s="110"/>
      <c r="GS1702" s="110"/>
      <c r="GT1702" s="110"/>
      <c r="GU1702" s="110"/>
      <c r="GV1702" s="110"/>
      <c r="GW1702" s="110"/>
      <c r="GX1702" s="110"/>
      <c r="GY1702" s="110"/>
      <c r="GZ1702" s="110"/>
      <c r="HA1702" s="110"/>
      <c r="HB1702" s="110"/>
      <c r="HC1702" s="110"/>
      <c r="HD1702" s="110"/>
      <c r="HE1702" s="110"/>
      <c r="HF1702" s="110"/>
      <c r="HG1702" s="110"/>
      <c r="HH1702" s="110"/>
      <c r="HI1702" s="110"/>
      <c r="HJ1702" s="110"/>
      <c r="HK1702" s="110"/>
      <c r="HL1702" s="110"/>
      <c r="HM1702" s="110"/>
      <c r="HN1702" s="110"/>
      <c r="HO1702" s="110"/>
      <c r="HP1702" s="110"/>
      <c r="HQ1702" s="110"/>
      <c r="HR1702" s="110"/>
      <c r="HS1702" s="110"/>
      <c r="HT1702" s="110"/>
      <c r="HU1702" s="110"/>
      <c r="HV1702" s="110"/>
      <c r="HW1702" s="110"/>
      <c r="HX1702" s="110"/>
      <c r="HY1702" s="110"/>
      <c r="HZ1702" s="110"/>
      <c r="IA1702" s="110"/>
      <c r="IB1702" s="110"/>
      <c r="IC1702" s="110"/>
      <c r="ID1702" s="110"/>
      <c r="IE1702" s="110"/>
      <c r="IF1702" s="110"/>
      <c r="IG1702" s="110"/>
      <c r="IH1702" s="110"/>
      <c r="II1702" s="110"/>
      <c r="IJ1702" s="110"/>
      <c r="IK1702" s="110"/>
      <c r="IL1702" s="110"/>
      <c r="IM1702" s="110"/>
      <c r="IN1702" s="110"/>
      <c r="IO1702" s="110"/>
      <c r="IP1702" s="110"/>
      <c r="IQ1702" s="110"/>
      <c r="IR1702" s="110"/>
    </row>
    <row r="1703" spans="18:252" ht="16.5" hidden="1" customHeight="1">
      <c r="R1703" s="264"/>
      <c r="S1703" s="110"/>
      <c r="T1703" s="110"/>
      <c r="U1703" s="110"/>
      <c r="V1703" s="110"/>
      <c r="W1703" s="266"/>
      <c r="X1703" s="110"/>
      <c r="Y1703" s="110"/>
      <c r="Z1703" s="110"/>
      <c r="AA1703" s="110"/>
      <c r="AB1703" s="110"/>
      <c r="AC1703" s="110"/>
      <c r="AD1703" s="110"/>
      <c r="AE1703" s="110"/>
      <c r="AF1703" s="110"/>
      <c r="AG1703" s="110"/>
      <c r="AH1703" s="110"/>
      <c r="AI1703" s="110"/>
      <c r="AJ1703" s="110"/>
      <c r="AK1703" s="110"/>
      <c r="AL1703" s="110"/>
      <c r="AM1703" s="110"/>
      <c r="AN1703" s="110"/>
      <c r="AO1703" s="110"/>
      <c r="AP1703" s="110"/>
      <c r="AQ1703" s="110"/>
      <c r="AR1703" s="110"/>
      <c r="AS1703" s="110"/>
      <c r="AT1703" s="110"/>
      <c r="AU1703" s="110"/>
      <c r="AV1703" s="110"/>
      <c r="AW1703" s="110"/>
      <c r="AX1703" s="110"/>
      <c r="AY1703" s="110"/>
      <c r="AZ1703" s="110"/>
      <c r="BA1703" s="110"/>
      <c r="BB1703" s="110"/>
      <c r="BC1703" s="110"/>
      <c r="BD1703" s="110"/>
      <c r="BE1703" s="110"/>
      <c r="BF1703" s="110"/>
      <c r="BG1703" s="110"/>
      <c r="BH1703" s="110"/>
      <c r="BI1703" s="110"/>
      <c r="BJ1703" s="110"/>
      <c r="BK1703" s="110"/>
      <c r="BL1703" s="110"/>
      <c r="BM1703" s="110"/>
      <c r="BN1703" s="110"/>
      <c r="BO1703" s="110"/>
      <c r="BP1703" s="110"/>
      <c r="BQ1703" s="110"/>
      <c r="BR1703" s="110"/>
      <c r="BS1703" s="110"/>
      <c r="BT1703" s="110"/>
      <c r="BU1703" s="110"/>
      <c r="BV1703" s="110"/>
      <c r="BW1703" s="110"/>
      <c r="BX1703" s="110"/>
      <c r="BY1703" s="110"/>
      <c r="BZ1703" s="110"/>
      <c r="CA1703" s="110"/>
      <c r="CB1703" s="110"/>
      <c r="CC1703" s="110"/>
      <c r="CD1703" s="110"/>
      <c r="CE1703" s="110"/>
      <c r="CF1703" s="110"/>
      <c r="CG1703" s="110"/>
      <c r="CH1703" s="110"/>
      <c r="CI1703" s="110"/>
      <c r="CJ1703" s="110"/>
      <c r="CK1703" s="110"/>
      <c r="CL1703" s="110"/>
      <c r="CM1703" s="110"/>
      <c r="CN1703" s="110"/>
      <c r="CO1703" s="110"/>
      <c r="CP1703" s="110"/>
      <c r="CQ1703" s="110"/>
      <c r="CR1703" s="110"/>
      <c r="CS1703" s="110"/>
      <c r="CT1703" s="110"/>
      <c r="CU1703" s="110"/>
      <c r="CV1703" s="110"/>
      <c r="CW1703" s="110"/>
      <c r="CX1703" s="110"/>
      <c r="CY1703" s="110"/>
      <c r="CZ1703" s="110"/>
      <c r="DA1703" s="110"/>
      <c r="DB1703" s="110"/>
      <c r="DC1703" s="110"/>
      <c r="DD1703" s="110"/>
      <c r="DE1703" s="110"/>
      <c r="DF1703" s="110"/>
      <c r="DG1703" s="110"/>
      <c r="DH1703" s="110"/>
      <c r="DI1703" s="110"/>
      <c r="DJ1703" s="110"/>
      <c r="DK1703" s="110"/>
      <c r="DL1703" s="110"/>
      <c r="DM1703" s="110"/>
      <c r="DN1703" s="110"/>
      <c r="DO1703" s="110"/>
      <c r="DP1703" s="110"/>
      <c r="DQ1703" s="110"/>
      <c r="DR1703" s="110"/>
      <c r="DS1703" s="110"/>
      <c r="DT1703" s="110"/>
      <c r="DU1703" s="110"/>
      <c r="DV1703" s="110"/>
      <c r="DW1703" s="110"/>
      <c r="DX1703" s="110"/>
      <c r="DY1703" s="110"/>
      <c r="DZ1703" s="110"/>
      <c r="EA1703" s="110"/>
      <c r="EB1703" s="110"/>
      <c r="EC1703" s="110"/>
      <c r="ED1703" s="110"/>
      <c r="EF1703" s="264"/>
      <c r="EG1703" s="110"/>
      <c r="EH1703" s="110"/>
      <c r="EI1703" s="110"/>
      <c r="EJ1703" s="110"/>
      <c r="EK1703" s="266"/>
      <c r="EL1703" s="110"/>
      <c r="EM1703" s="110"/>
      <c r="EN1703" s="110"/>
      <c r="EO1703" s="110"/>
      <c r="EP1703" s="110"/>
      <c r="EQ1703" s="110"/>
      <c r="ER1703" s="110"/>
      <c r="ES1703" s="110"/>
      <c r="ET1703" s="110"/>
      <c r="EU1703" s="110"/>
      <c r="EV1703" s="110"/>
      <c r="EW1703" s="110"/>
      <c r="EX1703" s="110"/>
      <c r="EY1703" s="110"/>
      <c r="EZ1703" s="110"/>
      <c r="FA1703" s="110"/>
      <c r="FB1703" s="110"/>
      <c r="FC1703" s="110"/>
      <c r="FD1703" s="110"/>
      <c r="FE1703" s="110"/>
      <c r="FF1703" s="110"/>
      <c r="FG1703" s="110"/>
      <c r="FH1703" s="110"/>
      <c r="FI1703" s="110"/>
      <c r="FJ1703" s="110"/>
      <c r="FK1703" s="110"/>
      <c r="FL1703" s="110"/>
      <c r="FM1703" s="110"/>
      <c r="FN1703" s="110"/>
      <c r="FO1703" s="110"/>
      <c r="FP1703" s="110"/>
      <c r="FQ1703" s="110"/>
      <c r="FR1703" s="110"/>
      <c r="FS1703" s="110"/>
      <c r="FT1703" s="110"/>
      <c r="FU1703" s="110"/>
      <c r="FV1703" s="110"/>
      <c r="FW1703" s="110"/>
      <c r="FX1703" s="110"/>
      <c r="FY1703" s="110"/>
      <c r="FZ1703" s="110"/>
      <c r="GA1703" s="110"/>
      <c r="GB1703" s="110"/>
      <c r="GC1703" s="110"/>
      <c r="GD1703" s="110"/>
      <c r="GE1703" s="110"/>
      <c r="GF1703" s="110"/>
      <c r="GG1703" s="110"/>
      <c r="GH1703" s="110"/>
      <c r="GI1703" s="110"/>
      <c r="GJ1703" s="110"/>
      <c r="GK1703" s="110"/>
      <c r="GL1703" s="110"/>
      <c r="GM1703" s="110"/>
      <c r="GN1703" s="110"/>
      <c r="GO1703" s="110"/>
      <c r="GP1703" s="110"/>
      <c r="GQ1703" s="110"/>
      <c r="GR1703" s="110"/>
      <c r="GS1703" s="110"/>
      <c r="GT1703" s="110"/>
      <c r="GU1703" s="110"/>
      <c r="GV1703" s="110"/>
      <c r="GW1703" s="110"/>
      <c r="GX1703" s="110"/>
      <c r="GY1703" s="110"/>
      <c r="GZ1703" s="110"/>
      <c r="HA1703" s="110"/>
      <c r="HB1703" s="110"/>
      <c r="HC1703" s="110"/>
      <c r="HD1703" s="110"/>
      <c r="HE1703" s="110"/>
      <c r="HF1703" s="110"/>
      <c r="HG1703" s="110"/>
      <c r="HH1703" s="110"/>
      <c r="HI1703" s="110"/>
      <c r="HJ1703" s="110"/>
      <c r="HK1703" s="110"/>
      <c r="HL1703" s="110"/>
      <c r="HM1703" s="110"/>
      <c r="HN1703" s="110"/>
      <c r="HO1703" s="110"/>
      <c r="HP1703" s="110"/>
      <c r="HQ1703" s="110"/>
      <c r="HR1703" s="110"/>
      <c r="HS1703" s="110"/>
      <c r="HT1703" s="110"/>
      <c r="HU1703" s="110"/>
      <c r="HV1703" s="110"/>
      <c r="HW1703" s="110"/>
      <c r="HX1703" s="110"/>
      <c r="HY1703" s="110"/>
      <c r="HZ1703" s="110"/>
      <c r="IA1703" s="110"/>
      <c r="IB1703" s="110"/>
      <c r="IC1703" s="110"/>
      <c r="ID1703" s="110"/>
      <c r="IE1703" s="110"/>
      <c r="IF1703" s="110"/>
      <c r="IG1703" s="110"/>
      <c r="IH1703" s="110"/>
      <c r="II1703" s="110"/>
      <c r="IJ1703" s="110"/>
      <c r="IK1703" s="110"/>
      <c r="IL1703" s="110"/>
      <c r="IM1703" s="110"/>
      <c r="IN1703" s="110"/>
      <c r="IO1703" s="110"/>
      <c r="IP1703" s="110"/>
      <c r="IQ1703" s="110"/>
      <c r="IR1703" s="110"/>
    </row>
    <row r="1704" spans="18:252" ht="16.5" hidden="1" customHeight="1">
      <c r="R1704" s="264"/>
      <c r="S1704" s="110"/>
      <c r="T1704" s="110"/>
      <c r="U1704" s="110"/>
      <c r="V1704" s="110"/>
      <c r="W1704" s="266"/>
      <c r="X1704" s="110"/>
      <c r="Y1704" s="110"/>
      <c r="Z1704" s="110"/>
      <c r="AA1704" s="110"/>
      <c r="AB1704" s="110"/>
      <c r="AC1704" s="110"/>
      <c r="AD1704" s="110"/>
      <c r="AE1704" s="110"/>
      <c r="AF1704" s="110"/>
      <c r="AG1704" s="110"/>
      <c r="AH1704" s="110"/>
      <c r="AI1704" s="110"/>
      <c r="AJ1704" s="110"/>
      <c r="AK1704" s="110"/>
      <c r="AL1704" s="110"/>
      <c r="AM1704" s="110"/>
      <c r="AN1704" s="110"/>
      <c r="AO1704" s="110"/>
      <c r="AP1704" s="110"/>
      <c r="AQ1704" s="110"/>
      <c r="AR1704" s="110"/>
      <c r="AS1704" s="110"/>
      <c r="AT1704" s="110"/>
      <c r="AU1704" s="110"/>
      <c r="AV1704" s="110"/>
      <c r="AW1704" s="110"/>
      <c r="AX1704" s="110"/>
      <c r="AY1704" s="110"/>
      <c r="AZ1704" s="110"/>
      <c r="BA1704" s="110"/>
      <c r="BB1704" s="110"/>
      <c r="BC1704" s="110"/>
      <c r="BD1704" s="110"/>
      <c r="BE1704" s="110"/>
      <c r="BF1704" s="110"/>
      <c r="BG1704" s="110"/>
      <c r="BH1704" s="110"/>
      <c r="BI1704" s="110"/>
      <c r="BJ1704" s="110"/>
      <c r="BK1704" s="110"/>
      <c r="BL1704" s="110"/>
      <c r="BM1704" s="110"/>
      <c r="BN1704" s="110"/>
      <c r="BO1704" s="110"/>
      <c r="BP1704" s="110"/>
      <c r="BQ1704" s="110"/>
      <c r="BR1704" s="110"/>
      <c r="BS1704" s="110"/>
      <c r="BT1704" s="110"/>
      <c r="BU1704" s="110"/>
      <c r="BV1704" s="110"/>
      <c r="BW1704" s="110"/>
      <c r="BX1704" s="110"/>
      <c r="BY1704" s="110"/>
      <c r="BZ1704" s="110"/>
      <c r="CA1704" s="110"/>
      <c r="CB1704" s="110"/>
      <c r="CC1704" s="110"/>
      <c r="CD1704" s="110"/>
      <c r="CE1704" s="110"/>
      <c r="CF1704" s="110"/>
      <c r="CG1704" s="110"/>
      <c r="CH1704" s="110"/>
      <c r="CI1704" s="110"/>
      <c r="CJ1704" s="110"/>
      <c r="CK1704" s="110"/>
      <c r="CL1704" s="110"/>
      <c r="CM1704" s="110"/>
      <c r="CN1704" s="110"/>
      <c r="CO1704" s="110"/>
      <c r="CP1704" s="110"/>
      <c r="CQ1704" s="110"/>
      <c r="CR1704" s="110"/>
      <c r="CS1704" s="110"/>
      <c r="CT1704" s="110"/>
      <c r="CU1704" s="110"/>
      <c r="CV1704" s="110"/>
      <c r="CW1704" s="110"/>
      <c r="CX1704" s="110"/>
      <c r="CY1704" s="110"/>
      <c r="CZ1704" s="110"/>
      <c r="DA1704" s="110"/>
      <c r="DB1704" s="110"/>
      <c r="DC1704" s="110"/>
      <c r="DD1704" s="110"/>
      <c r="DE1704" s="110"/>
      <c r="DF1704" s="110"/>
      <c r="DG1704" s="110"/>
      <c r="DH1704" s="110"/>
      <c r="DI1704" s="110"/>
      <c r="DJ1704" s="110"/>
      <c r="DK1704" s="110"/>
      <c r="DL1704" s="110"/>
      <c r="DM1704" s="110"/>
      <c r="DN1704" s="110"/>
      <c r="DO1704" s="110"/>
      <c r="DP1704" s="110"/>
      <c r="DQ1704" s="110"/>
      <c r="DR1704" s="110"/>
      <c r="DS1704" s="110"/>
      <c r="DT1704" s="110"/>
      <c r="DU1704" s="110"/>
      <c r="DV1704" s="110"/>
      <c r="DW1704" s="110"/>
      <c r="DX1704" s="110"/>
      <c r="DY1704" s="110"/>
      <c r="DZ1704" s="110"/>
      <c r="EA1704" s="110"/>
      <c r="EB1704" s="110"/>
      <c r="EC1704" s="110"/>
      <c r="ED1704" s="110"/>
      <c r="EF1704" s="264"/>
      <c r="EG1704" s="110"/>
      <c r="EH1704" s="110"/>
      <c r="EI1704" s="110"/>
      <c r="EJ1704" s="110"/>
      <c r="EK1704" s="266"/>
      <c r="EL1704" s="110"/>
      <c r="EM1704" s="110"/>
      <c r="EN1704" s="110"/>
      <c r="EO1704" s="110"/>
      <c r="EP1704" s="110"/>
      <c r="EQ1704" s="110"/>
      <c r="ER1704" s="110"/>
      <c r="ES1704" s="110"/>
      <c r="ET1704" s="110"/>
      <c r="EU1704" s="110"/>
      <c r="EV1704" s="110"/>
      <c r="EW1704" s="110"/>
      <c r="EX1704" s="110"/>
      <c r="EY1704" s="110"/>
      <c r="EZ1704" s="110"/>
      <c r="FA1704" s="110"/>
      <c r="FB1704" s="110"/>
      <c r="FC1704" s="110"/>
      <c r="FD1704" s="110"/>
      <c r="FE1704" s="110"/>
      <c r="FF1704" s="110"/>
      <c r="FG1704" s="110"/>
      <c r="FH1704" s="110"/>
      <c r="FI1704" s="110"/>
      <c r="FJ1704" s="110"/>
      <c r="FK1704" s="110"/>
      <c r="FL1704" s="110"/>
      <c r="FM1704" s="110"/>
      <c r="FN1704" s="110"/>
      <c r="FO1704" s="110"/>
      <c r="FP1704" s="110"/>
      <c r="FQ1704" s="110"/>
      <c r="FR1704" s="110"/>
      <c r="FS1704" s="110"/>
      <c r="FT1704" s="110"/>
      <c r="FU1704" s="110"/>
      <c r="FV1704" s="110"/>
      <c r="FW1704" s="110"/>
      <c r="FX1704" s="110"/>
      <c r="FY1704" s="110"/>
      <c r="FZ1704" s="110"/>
      <c r="GA1704" s="110"/>
      <c r="GB1704" s="110"/>
      <c r="GC1704" s="110"/>
      <c r="GD1704" s="110"/>
      <c r="GE1704" s="110"/>
      <c r="GF1704" s="110"/>
      <c r="GG1704" s="110"/>
      <c r="GH1704" s="110"/>
      <c r="GI1704" s="110"/>
      <c r="GJ1704" s="110"/>
      <c r="GK1704" s="110"/>
      <c r="GL1704" s="110"/>
      <c r="GM1704" s="110"/>
      <c r="GN1704" s="110"/>
      <c r="GO1704" s="110"/>
      <c r="GP1704" s="110"/>
      <c r="GQ1704" s="110"/>
      <c r="GR1704" s="110"/>
      <c r="GS1704" s="110"/>
      <c r="GT1704" s="110"/>
      <c r="GU1704" s="110"/>
      <c r="GV1704" s="110"/>
      <c r="GW1704" s="110"/>
      <c r="GX1704" s="110"/>
      <c r="GY1704" s="110"/>
      <c r="GZ1704" s="110"/>
      <c r="HA1704" s="110"/>
      <c r="HB1704" s="110"/>
      <c r="HC1704" s="110"/>
      <c r="HD1704" s="110"/>
      <c r="HE1704" s="110"/>
      <c r="HF1704" s="110"/>
      <c r="HG1704" s="110"/>
      <c r="HH1704" s="110"/>
      <c r="HI1704" s="110"/>
      <c r="HJ1704" s="110"/>
      <c r="HK1704" s="110"/>
      <c r="HL1704" s="110"/>
      <c r="HM1704" s="110"/>
      <c r="HN1704" s="110"/>
      <c r="HO1704" s="110"/>
      <c r="HP1704" s="110"/>
      <c r="HQ1704" s="110"/>
      <c r="HR1704" s="110"/>
      <c r="HS1704" s="110"/>
      <c r="HT1704" s="110"/>
      <c r="HU1704" s="110"/>
      <c r="HV1704" s="110"/>
      <c r="HW1704" s="110"/>
      <c r="HX1704" s="110"/>
      <c r="HY1704" s="110"/>
      <c r="HZ1704" s="110"/>
      <c r="IA1704" s="110"/>
      <c r="IB1704" s="110"/>
      <c r="IC1704" s="110"/>
      <c r="ID1704" s="110"/>
      <c r="IE1704" s="110"/>
      <c r="IF1704" s="110"/>
      <c r="IG1704" s="110"/>
      <c r="IH1704" s="110"/>
      <c r="II1704" s="110"/>
      <c r="IJ1704" s="110"/>
      <c r="IK1704" s="110"/>
      <c r="IL1704" s="110"/>
      <c r="IM1704" s="110"/>
      <c r="IN1704" s="110"/>
      <c r="IO1704" s="110"/>
      <c r="IP1704" s="110"/>
      <c r="IQ1704" s="110"/>
      <c r="IR1704" s="110"/>
    </row>
    <row r="1705" spans="18:252" ht="16.5" hidden="1" customHeight="1">
      <c r="R1705" s="264"/>
      <c r="S1705" s="110"/>
      <c r="T1705" s="110"/>
      <c r="U1705" s="110"/>
      <c r="V1705" s="110"/>
      <c r="W1705" s="266"/>
      <c r="X1705" s="110"/>
      <c r="Y1705" s="110"/>
      <c r="Z1705" s="110"/>
      <c r="AA1705" s="110"/>
      <c r="AB1705" s="110"/>
      <c r="AC1705" s="110"/>
      <c r="AD1705" s="110"/>
      <c r="AE1705" s="110"/>
      <c r="AF1705" s="110"/>
      <c r="AG1705" s="110"/>
      <c r="AH1705" s="110"/>
      <c r="AI1705" s="110"/>
      <c r="AJ1705" s="110"/>
      <c r="AK1705" s="110"/>
      <c r="AL1705" s="110"/>
      <c r="AM1705" s="110"/>
      <c r="AN1705" s="110"/>
      <c r="AO1705" s="110"/>
      <c r="AP1705" s="110"/>
      <c r="AQ1705" s="110"/>
      <c r="AR1705" s="110"/>
      <c r="AS1705" s="110"/>
      <c r="AT1705" s="110"/>
      <c r="AU1705" s="110"/>
      <c r="AV1705" s="110"/>
      <c r="AW1705" s="110"/>
      <c r="AX1705" s="110"/>
      <c r="AY1705" s="110"/>
      <c r="AZ1705" s="110"/>
      <c r="BA1705" s="110"/>
      <c r="BB1705" s="110"/>
      <c r="BC1705" s="110"/>
      <c r="BD1705" s="110"/>
      <c r="BE1705" s="110"/>
      <c r="BF1705" s="110"/>
      <c r="BG1705" s="110"/>
      <c r="BH1705" s="110"/>
      <c r="BI1705" s="110"/>
      <c r="BJ1705" s="110"/>
      <c r="BK1705" s="110"/>
      <c r="BL1705" s="110"/>
      <c r="BM1705" s="110"/>
      <c r="BN1705" s="110"/>
      <c r="BO1705" s="110"/>
      <c r="BP1705" s="110"/>
      <c r="BQ1705" s="110"/>
      <c r="BR1705" s="110"/>
      <c r="BS1705" s="110"/>
      <c r="BT1705" s="110"/>
      <c r="BU1705" s="110"/>
      <c r="BV1705" s="110"/>
      <c r="BW1705" s="110"/>
      <c r="BX1705" s="110"/>
      <c r="BY1705" s="110"/>
      <c r="BZ1705" s="110"/>
      <c r="CA1705" s="110"/>
      <c r="CB1705" s="110"/>
      <c r="CC1705" s="110"/>
      <c r="CD1705" s="110"/>
      <c r="CE1705" s="110"/>
      <c r="CF1705" s="110"/>
      <c r="CG1705" s="110"/>
      <c r="CH1705" s="110"/>
      <c r="CI1705" s="110"/>
      <c r="CJ1705" s="110"/>
      <c r="CK1705" s="110"/>
      <c r="CL1705" s="110"/>
      <c r="CM1705" s="110"/>
      <c r="CN1705" s="110"/>
      <c r="CO1705" s="110"/>
      <c r="CP1705" s="110"/>
      <c r="CQ1705" s="110"/>
      <c r="CR1705" s="110"/>
      <c r="CS1705" s="110"/>
      <c r="CT1705" s="110"/>
      <c r="CU1705" s="110"/>
      <c r="CV1705" s="110"/>
      <c r="CW1705" s="110"/>
      <c r="CX1705" s="110"/>
      <c r="CY1705" s="110"/>
      <c r="CZ1705" s="110"/>
      <c r="DA1705" s="110"/>
      <c r="DB1705" s="110"/>
      <c r="DC1705" s="110"/>
      <c r="DD1705" s="110"/>
      <c r="DE1705" s="110"/>
      <c r="DF1705" s="110"/>
      <c r="DG1705" s="110"/>
      <c r="DH1705" s="110"/>
      <c r="DI1705" s="110"/>
      <c r="DJ1705" s="110"/>
      <c r="DK1705" s="110"/>
      <c r="DL1705" s="110"/>
      <c r="DM1705" s="110"/>
      <c r="DN1705" s="110"/>
      <c r="DO1705" s="110"/>
      <c r="DP1705" s="110"/>
      <c r="DQ1705" s="110"/>
      <c r="DR1705" s="110"/>
      <c r="DS1705" s="110"/>
      <c r="DT1705" s="110"/>
      <c r="DU1705" s="110"/>
      <c r="DV1705" s="110"/>
      <c r="DW1705" s="110"/>
      <c r="DX1705" s="110"/>
      <c r="DY1705" s="110"/>
      <c r="DZ1705" s="110"/>
      <c r="EA1705" s="110"/>
      <c r="EB1705" s="110"/>
      <c r="EC1705" s="110"/>
      <c r="ED1705" s="110"/>
      <c r="EF1705" s="264"/>
      <c r="EG1705" s="110"/>
      <c r="EH1705" s="110"/>
      <c r="EI1705" s="110"/>
      <c r="EJ1705" s="110"/>
      <c r="EK1705" s="266"/>
      <c r="EL1705" s="110"/>
      <c r="EM1705" s="110"/>
      <c r="EN1705" s="110"/>
      <c r="EO1705" s="110"/>
      <c r="EP1705" s="110"/>
      <c r="EQ1705" s="110"/>
      <c r="ER1705" s="110"/>
      <c r="ES1705" s="110"/>
      <c r="ET1705" s="110"/>
      <c r="EU1705" s="110"/>
      <c r="EV1705" s="110"/>
      <c r="EW1705" s="110"/>
      <c r="EX1705" s="110"/>
      <c r="EY1705" s="110"/>
      <c r="EZ1705" s="110"/>
      <c r="FA1705" s="110"/>
      <c r="FB1705" s="110"/>
      <c r="FC1705" s="110"/>
      <c r="FD1705" s="110"/>
      <c r="FE1705" s="110"/>
      <c r="FF1705" s="110"/>
      <c r="FG1705" s="110"/>
      <c r="FH1705" s="110"/>
      <c r="FI1705" s="110"/>
      <c r="FJ1705" s="110"/>
      <c r="FK1705" s="110"/>
      <c r="FL1705" s="110"/>
      <c r="FM1705" s="110"/>
      <c r="FN1705" s="110"/>
      <c r="FO1705" s="110"/>
      <c r="FP1705" s="110"/>
      <c r="FQ1705" s="110"/>
      <c r="FR1705" s="110"/>
      <c r="FS1705" s="110"/>
      <c r="FT1705" s="110"/>
      <c r="FU1705" s="110"/>
      <c r="FV1705" s="110"/>
      <c r="FW1705" s="110"/>
      <c r="FX1705" s="110"/>
      <c r="FY1705" s="110"/>
      <c r="FZ1705" s="110"/>
      <c r="GA1705" s="110"/>
      <c r="GB1705" s="110"/>
      <c r="GC1705" s="110"/>
      <c r="GD1705" s="110"/>
      <c r="GE1705" s="110"/>
      <c r="GF1705" s="110"/>
      <c r="GG1705" s="110"/>
      <c r="GH1705" s="110"/>
      <c r="GI1705" s="110"/>
      <c r="GJ1705" s="110"/>
      <c r="GK1705" s="110"/>
      <c r="GL1705" s="110"/>
      <c r="GM1705" s="110"/>
      <c r="GN1705" s="110"/>
      <c r="GO1705" s="110"/>
      <c r="GP1705" s="110"/>
      <c r="GQ1705" s="110"/>
      <c r="GR1705" s="110"/>
      <c r="GS1705" s="110"/>
      <c r="GT1705" s="110"/>
      <c r="GU1705" s="110"/>
      <c r="GV1705" s="110"/>
      <c r="GW1705" s="110"/>
      <c r="GX1705" s="110"/>
      <c r="GY1705" s="110"/>
      <c r="GZ1705" s="110"/>
      <c r="HA1705" s="110"/>
      <c r="HB1705" s="110"/>
      <c r="HC1705" s="110"/>
      <c r="HD1705" s="110"/>
      <c r="HE1705" s="110"/>
      <c r="HF1705" s="110"/>
      <c r="HG1705" s="110"/>
      <c r="HH1705" s="110"/>
      <c r="HI1705" s="110"/>
      <c r="HJ1705" s="110"/>
      <c r="HK1705" s="110"/>
      <c r="HL1705" s="110"/>
      <c r="HM1705" s="110"/>
      <c r="HN1705" s="110"/>
      <c r="HO1705" s="110"/>
      <c r="HP1705" s="110"/>
      <c r="HQ1705" s="110"/>
      <c r="HR1705" s="110"/>
      <c r="HS1705" s="110"/>
      <c r="HT1705" s="110"/>
      <c r="HU1705" s="110"/>
      <c r="HV1705" s="110"/>
      <c r="HW1705" s="110"/>
      <c r="HX1705" s="110"/>
      <c r="HY1705" s="110"/>
      <c r="HZ1705" s="110"/>
      <c r="IA1705" s="110"/>
      <c r="IB1705" s="110"/>
      <c r="IC1705" s="110"/>
      <c r="ID1705" s="110"/>
      <c r="IE1705" s="110"/>
      <c r="IF1705" s="110"/>
      <c r="IG1705" s="110"/>
      <c r="IH1705" s="110"/>
      <c r="II1705" s="110"/>
      <c r="IJ1705" s="110"/>
      <c r="IK1705" s="110"/>
      <c r="IL1705" s="110"/>
      <c r="IM1705" s="110"/>
      <c r="IN1705" s="110"/>
      <c r="IO1705" s="110"/>
      <c r="IP1705" s="110"/>
      <c r="IQ1705" s="110"/>
      <c r="IR1705" s="110"/>
    </row>
    <row r="1706" spans="18:252" ht="16.5" hidden="1" customHeight="1">
      <c r="R1706" s="264"/>
      <c r="S1706" s="110"/>
      <c r="T1706" s="110"/>
      <c r="U1706" s="110"/>
      <c r="V1706" s="110"/>
      <c r="W1706" s="266"/>
      <c r="X1706" s="110"/>
      <c r="Y1706" s="110"/>
      <c r="Z1706" s="110"/>
      <c r="AA1706" s="110"/>
      <c r="AB1706" s="110"/>
      <c r="AC1706" s="110"/>
      <c r="AD1706" s="110"/>
      <c r="AE1706" s="110"/>
      <c r="AF1706" s="110"/>
      <c r="AG1706" s="110"/>
      <c r="AH1706" s="110"/>
      <c r="AI1706" s="110"/>
      <c r="AJ1706" s="110"/>
      <c r="AK1706" s="110"/>
      <c r="AL1706" s="110"/>
      <c r="AM1706" s="110"/>
      <c r="AN1706" s="110"/>
      <c r="AO1706" s="110"/>
      <c r="AP1706" s="110"/>
      <c r="AQ1706" s="110"/>
      <c r="AR1706" s="110"/>
      <c r="AS1706" s="110"/>
      <c r="AT1706" s="110"/>
      <c r="AU1706" s="110"/>
      <c r="AV1706" s="110"/>
      <c r="AW1706" s="110"/>
      <c r="AX1706" s="110"/>
      <c r="AY1706" s="110"/>
      <c r="AZ1706" s="110"/>
      <c r="BA1706" s="110"/>
      <c r="BB1706" s="110"/>
      <c r="BC1706" s="110"/>
      <c r="BD1706" s="110"/>
      <c r="BE1706" s="110"/>
      <c r="BF1706" s="110"/>
      <c r="BG1706" s="110"/>
      <c r="BH1706" s="110"/>
      <c r="BI1706" s="110"/>
      <c r="BJ1706" s="110"/>
      <c r="BK1706" s="110"/>
      <c r="BL1706" s="110"/>
      <c r="BM1706" s="110"/>
      <c r="BN1706" s="110"/>
      <c r="BO1706" s="110"/>
      <c r="BP1706" s="110"/>
      <c r="BQ1706" s="110"/>
      <c r="BR1706" s="110"/>
      <c r="BS1706" s="110"/>
      <c r="BT1706" s="110"/>
      <c r="BU1706" s="110"/>
      <c r="BV1706" s="110"/>
      <c r="BW1706" s="110"/>
      <c r="BX1706" s="110"/>
      <c r="BY1706" s="110"/>
      <c r="BZ1706" s="110"/>
      <c r="CA1706" s="110"/>
      <c r="CB1706" s="110"/>
      <c r="CC1706" s="110"/>
      <c r="CD1706" s="110"/>
      <c r="CE1706" s="110"/>
      <c r="CF1706" s="110"/>
      <c r="CG1706" s="110"/>
      <c r="CH1706" s="110"/>
      <c r="CI1706" s="110"/>
      <c r="CJ1706" s="110"/>
      <c r="CK1706" s="110"/>
      <c r="CL1706" s="110"/>
      <c r="CM1706" s="110"/>
      <c r="CN1706" s="110"/>
      <c r="CO1706" s="110"/>
      <c r="CP1706" s="110"/>
      <c r="CQ1706" s="110"/>
      <c r="CR1706" s="110"/>
      <c r="CS1706" s="110"/>
      <c r="CT1706" s="110"/>
      <c r="CU1706" s="110"/>
      <c r="CV1706" s="110"/>
      <c r="CW1706" s="110"/>
      <c r="CX1706" s="110"/>
      <c r="CY1706" s="110"/>
      <c r="CZ1706" s="110"/>
      <c r="DA1706" s="110"/>
      <c r="DB1706" s="110"/>
      <c r="DC1706" s="110"/>
      <c r="DD1706" s="110"/>
      <c r="DE1706" s="110"/>
      <c r="DF1706" s="110"/>
      <c r="DG1706" s="110"/>
      <c r="DH1706" s="110"/>
      <c r="DI1706" s="110"/>
      <c r="DJ1706" s="110"/>
      <c r="DK1706" s="110"/>
      <c r="DL1706" s="110"/>
      <c r="DM1706" s="110"/>
      <c r="DN1706" s="110"/>
      <c r="DO1706" s="110"/>
      <c r="DP1706" s="110"/>
      <c r="DQ1706" s="110"/>
      <c r="DR1706" s="110"/>
      <c r="DS1706" s="110"/>
      <c r="DT1706" s="110"/>
      <c r="DU1706" s="110"/>
      <c r="DV1706" s="110"/>
      <c r="DW1706" s="110"/>
      <c r="DX1706" s="110"/>
      <c r="DY1706" s="110"/>
      <c r="DZ1706" s="110"/>
      <c r="EA1706" s="110"/>
      <c r="EB1706" s="110"/>
      <c r="EC1706" s="110"/>
      <c r="ED1706" s="110"/>
      <c r="EF1706" s="264"/>
      <c r="EG1706" s="110"/>
      <c r="EH1706" s="110"/>
      <c r="EI1706" s="110"/>
      <c r="EJ1706" s="110"/>
      <c r="EK1706" s="266"/>
      <c r="EL1706" s="110"/>
      <c r="EM1706" s="110"/>
      <c r="EN1706" s="110"/>
      <c r="EO1706" s="110"/>
      <c r="EP1706" s="110"/>
      <c r="EQ1706" s="110"/>
      <c r="ER1706" s="110"/>
      <c r="ES1706" s="110"/>
      <c r="ET1706" s="110"/>
      <c r="EU1706" s="110"/>
      <c r="EV1706" s="110"/>
      <c r="EW1706" s="110"/>
      <c r="EX1706" s="110"/>
      <c r="EY1706" s="110"/>
      <c r="EZ1706" s="110"/>
      <c r="FA1706" s="110"/>
      <c r="FB1706" s="110"/>
      <c r="FC1706" s="110"/>
      <c r="FD1706" s="110"/>
      <c r="FE1706" s="110"/>
      <c r="FF1706" s="110"/>
      <c r="FG1706" s="110"/>
      <c r="FH1706" s="110"/>
      <c r="FI1706" s="110"/>
      <c r="FJ1706" s="110"/>
      <c r="FK1706" s="110"/>
      <c r="FL1706" s="110"/>
      <c r="FM1706" s="110"/>
      <c r="FN1706" s="110"/>
      <c r="FO1706" s="110"/>
      <c r="FP1706" s="110"/>
      <c r="FQ1706" s="110"/>
      <c r="FR1706" s="110"/>
      <c r="FS1706" s="110"/>
      <c r="FT1706" s="110"/>
      <c r="FU1706" s="110"/>
      <c r="FV1706" s="110"/>
      <c r="FW1706" s="110"/>
      <c r="FX1706" s="110"/>
      <c r="FY1706" s="110"/>
      <c r="FZ1706" s="110"/>
      <c r="GA1706" s="110"/>
      <c r="GB1706" s="110"/>
      <c r="GC1706" s="110"/>
      <c r="GD1706" s="110"/>
      <c r="GE1706" s="110"/>
      <c r="GF1706" s="110"/>
      <c r="GG1706" s="110"/>
      <c r="GH1706" s="110"/>
      <c r="GI1706" s="110"/>
      <c r="GJ1706" s="110"/>
      <c r="GK1706" s="110"/>
      <c r="GL1706" s="110"/>
      <c r="GM1706" s="110"/>
      <c r="GN1706" s="110"/>
      <c r="GO1706" s="110"/>
      <c r="GP1706" s="110"/>
      <c r="GQ1706" s="110"/>
      <c r="GR1706" s="110"/>
      <c r="GS1706" s="110"/>
      <c r="GT1706" s="110"/>
      <c r="GU1706" s="110"/>
      <c r="GV1706" s="110"/>
      <c r="GW1706" s="110"/>
      <c r="GX1706" s="110"/>
      <c r="GY1706" s="110"/>
      <c r="GZ1706" s="110"/>
      <c r="HA1706" s="110"/>
      <c r="HB1706" s="110"/>
      <c r="HC1706" s="110"/>
      <c r="HD1706" s="110"/>
      <c r="HE1706" s="110"/>
      <c r="HF1706" s="110"/>
      <c r="HG1706" s="110"/>
      <c r="HH1706" s="110"/>
      <c r="HI1706" s="110"/>
      <c r="HJ1706" s="110"/>
      <c r="HK1706" s="110"/>
      <c r="HL1706" s="110"/>
      <c r="HM1706" s="110"/>
      <c r="HN1706" s="110"/>
      <c r="HO1706" s="110"/>
      <c r="HP1706" s="110"/>
      <c r="HQ1706" s="110"/>
      <c r="HR1706" s="110"/>
      <c r="HS1706" s="110"/>
      <c r="HT1706" s="110"/>
      <c r="HU1706" s="110"/>
      <c r="HV1706" s="110"/>
      <c r="HW1706" s="110"/>
      <c r="HX1706" s="110"/>
      <c r="HY1706" s="110"/>
      <c r="HZ1706" s="110"/>
      <c r="IA1706" s="110"/>
      <c r="IB1706" s="110"/>
      <c r="IC1706" s="110"/>
      <c r="ID1706" s="110"/>
      <c r="IE1706" s="110"/>
      <c r="IF1706" s="110"/>
      <c r="IG1706" s="110"/>
      <c r="IH1706" s="110"/>
      <c r="II1706" s="110"/>
      <c r="IJ1706" s="110"/>
      <c r="IK1706" s="110"/>
      <c r="IL1706" s="110"/>
      <c r="IM1706" s="110"/>
      <c r="IN1706" s="110"/>
      <c r="IO1706" s="110"/>
      <c r="IP1706" s="110"/>
      <c r="IQ1706" s="110"/>
      <c r="IR1706" s="110"/>
    </row>
    <row r="1707" spans="18:252" ht="16.5" hidden="1" customHeight="1">
      <c r="R1707" s="264"/>
      <c r="S1707" s="110"/>
      <c r="T1707" s="110"/>
      <c r="U1707" s="110"/>
      <c r="V1707" s="110"/>
      <c r="W1707" s="266"/>
      <c r="X1707" s="110"/>
      <c r="Y1707" s="110"/>
      <c r="Z1707" s="110"/>
      <c r="AA1707" s="110"/>
      <c r="AB1707" s="110"/>
      <c r="AC1707" s="110"/>
      <c r="AD1707" s="110"/>
      <c r="AE1707" s="110"/>
      <c r="AF1707" s="110"/>
      <c r="AG1707" s="110"/>
      <c r="AH1707" s="110"/>
      <c r="AI1707" s="110"/>
      <c r="AJ1707" s="110"/>
      <c r="AK1707" s="110"/>
      <c r="AL1707" s="110"/>
      <c r="AM1707" s="110"/>
      <c r="AN1707" s="110"/>
      <c r="AO1707" s="110"/>
      <c r="AP1707" s="110"/>
      <c r="AQ1707" s="110"/>
      <c r="AR1707" s="110"/>
      <c r="AS1707" s="110"/>
      <c r="AT1707" s="110"/>
      <c r="AU1707" s="110"/>
      <c r="AV1707" s="110"/>
      <c r="AW1707" s="110"/>
      <c r="AX1707" s="110"/>
      <c r="AY1707" s="110"/>
      <c r="AZ1707" s="110"/>
      <c r="BA1707" s="110"/>
      <c r="BB1707" s="110"/>
      <c r="BC1707" s="110"/>
      <c r="BD1707" s="110"/>
      <c r="BE1707" s="110"/>
      <c r="BF1707" s="110"/>
      <c r="BG1707" s="110"/>
      <c r="BH1707" s="110"/>
      <c r="BI1707" s="110"/>
      <c r="BJ1707" s="110"/>
      <c r="BK1707" s="110"/>
      <c r="BL1707" s="110"/>
      <c r="BM1707" s="110"/>
      <c r="BN1707" s="110"/>
      <c r="BO1707" s="110"/>
      <c r="BP1707" s="110"/>
      <c r="BQ1707" s="110"/>
      <c r="BR1707" s="110"/>
      <c r="BS1707" s="110"/>
      <c r="BT1707" s="110"/>
      <c r="BU1707" s="110"/>
      <c r="BV1707" s="110"/>
      <c r="BW1707" s="110"/>
      <c r="BX1707" s="110"/>
      <c r="BY1707" s="110"/>
      <c r="BZ1707" s="110"/>
      <c r="CA1707" s="110"/>
      <c r="CB1707" s="110"/>
      <c r="CC1707" s="110"/>
      <c r="CD1707" s="110"/>
      <c r="CE1707" s="110"/>
      <c r="CF1707" s="110"/>
      <c r="CG1707" s="110"/>
      <c r="CH1707" s="110"/>
      <c r="CI1707" s="110"/>
      <c r="CJ1707" s="110"/>
      <c r="CK1707" s="110"/>
      <c r="CL1707" s="110"/>
      <c r="CM1707" s="110"/>
      <c r="CN1707" s="110"/>
      <c r="CO1707" s="110"/>
      <c r="CP1707" s="110"/>
      <c r="CQ1707" s="110"/>
      <c r="CR1707" s="110"/>
      <c r="CS1707" s="110"/>
      <c r="CT1707" s="110"/>
      <c r="CU1707" s="110"/>
      <c r="CV1707" s="110"/>
      <c r="CW1707" s="110"/>
      <c r="CX1707" s="110"/>
      <c r="CY1707" s="110"/>
      <c r="CZ1707" s="110"/>
      <c r="DA1707" s="110"/>
      <c r="DB1707" s="110"/>
      <c r="DC1707" s="110"/>
      <c r="DD1707" s="110"/>
      <c r="DE1707" s="110"/>
      <c r="DF1707" s="110"/>
      <c r="DG1707" s="110"/>
      <c r="DH1707" s="110"/>
      <c r="DI1707" s="110"/>
      <c r="DJ1707" s="110"/>
      <c r="DK1707" s="110"/>
      <c r="DL1707" s="110"/>
      <c r="DM1707" s="110"/>
      <c r="DN1707" s="110"/>
      <c r="DO1707" s="110"/>
      <c r="DP1707" s="110"/>
      <c r="DQ1707" s="110"/>
      <c r="DR1707" s="110"/>
      <c r="DS1707" s="110"/>
      <c r="DT1707" s="110"/>
      <c r="DU1707" s="110"/>
      <c r="DV1707" s="110"/>
      <c r="DW1707" s="110"/>
      <c r="DX1707" s="110"/>
      <c r="DY1707" s="110"/>
      <c r="DZ1707" s="110"/>
      <c r="EA1707" s="110"/>
      <c r="EB1707" s="110"/>
      <c r="EC1707" s="110"/>
      <c r="ED1707" s="110"/>
      <c r="EF1707" s="264"/>
      <c r="EG1707" s="110"/>
      <c r="EH1707" s="110"/>
      <c r="EI1707" s="110"/>
      <c r="EJ1707" s="110"/>
      <c r="EK1707" s="266"/>
      <c r="EL1707" s="110"/>
      <c r="EM1707" s="110"/>
      <c r="EN1707" s="110"/>
      <c r="EO1707" s="110"/>
      <c r="EP1707" s="110"/>
      <c r="EQ1707" s="110"/>
      <c r="ER1707" s="110"/>
      <c r="ES1707" s="110"/>
      <c r="ET1707" s="110"/>
      <c r="EU1707" s="110"/>
      <c r="EV1707" s="110"/>
      <c r="EW1707" s="110"/>
      <c r="EX1707" s="110"/>
      <c r="EY1707" s="110"/>
      <c r="EZ1707" s="110"/>
      <c r="FA1707" s="110"/>
      <c r="FB1707" s="110"/>
      <c r="FC1707" s="110"/>
      <c r="FD1707" s="110"/>
      <c r="FE1707" s="110"/>
      <c r="FF1707" s="110"/>
      <c r="FG1707" s="110"/>
      <c r="FH1707" s="110"/>
      <c r="FI1707" s="110"/>
      <c r="FJ1707" s="110"/>
      <c r="FK1707" s="110"/>
      <c r="FL1707" s="110"/>
      <c r="FM1707" s="110"/>
      <c r="FN1707" s="110"/>
      <c r="FO1707" s="110"/>
      <c r="FP1707" s="110"/>
      <c r="FQ1707" s="110"/>
      <c r="FR1707" s="110"/>
      <c r="FS1707" s="110"/>
      <c r="FT1707" s="110"/>
      <c r="FU1707" s="110"/>
      <c r="FV1707" s="110"/>
      <c r="FW1707" s="110"/>
      <c r="FX1707" s="110"/>
      <c r="FY1707" s="110"/>
      <c r="FZ1707" s="110"/>
      <c r="GA1707" s="110"/>
      <c r="GB1707" s="110"/>
      <c r="GC1707" s="110"/>
      <c r="GD1707" s="110"/>
      <c r="GE1707" s="110"/>
      <c r="GF1707" s="110"/>
      <c r="GG1707" s="110"/>
      <c r="GH1707" s="110"/>
      <c r="GI1707" s="110"/>
      <c r="GJ1707" s="110"/>
      <c r="GK1707" s="110"/>
      <c r="GL1707" s="110"/>
      <c r="GM1707" s="110"/>
      <c r="GN1707" s="110"/>
      <c r="GO1707" s="110"/>
      <c r="GP1707" s="110"/>
      <c r="GQ1707" s="110"/>
      <c r="GR1707" s="110"/>
      <c r="GS1707" s="110"/>
      <c r="GT1707" s="110"/>
      <c r="GU1707" s="110"/>
      <c r="GV1707" s="110"/>
      <c r="GW1707" s="110"/>
      <c r="GX1707" s="110"/>
      <c r="GY1707" s="110"/>
      <c r="GZ1707" s="110"/>
      <c r="HA1707" s="110"/>
      <c r="HB1707" s="110"/>
      <c r="HC1707" s="110"/>
      <c r="HD1707" s="110"/>
      <c r="HE1707" s="110"/>
      <c r="HF1707" s="110"/>
      <c r="HG1707" s="110"/>
      <c r="HH1707" s="110"/>
      <c r="HI1707" s="110"/>
      <c r="HJ1707" s="110"/>
      <c r="HK1707" s="110"/>
      <c r="HL1707" s="110"/>
      <c r="HM1707" s="110"/>
      <c r="HN1707" s="110"/>
      <c r="HO1707" s="110"/>
      <c r="HP1707" s="110"/>
      <c r="HQ1707" s="110"/>
      <c r="HR1707" s="110"/>
      <c r="HS1707" s="110"/>
      <c r="HT1707" s="110"/>
      <c r="HU1707" s="110"/>
      <c r="HV1707" s="110"/>
      <c r="HW1707" s="110"/>
      <c r="HX1707" s="110"/>
      <c r="HY1707" s="110"/>
      <c r="HZ1707" s="110"/>
      <c r="IA1707" s="110"/>
      <c r="IB1707" s="110"/>
      <c r="IC1707" s="110"/>
      <c r="ID1707" s="110"/>
      <c r="IE1707" s="110"/>
      <c r="IF1707" s="110"/>
      <c r="IG1707" s="110"/>
      <c r="IH1707" s="110"/>
      <c r="II1707" s="110"/>
      <c r="IJ1707" s="110"/>
      <c r="IK1707" s="110"/>
      <c r="IL1707" s="110"/>
      <c r="IM1707" s="110"/>
      <c r="IN1707" s="110"/>
      <c r="IO1707" s="110"/>
      <c r="IP1707" s="110"/>
      <c r="IQ1707" s="110"/>
      <c r="IR1707" s="110"/>
    </row>
    <row r="1708" spans="18:252" ht="16.5" hidden="1" customHeight="1">
      <c r="R1708" s="264"/>
      <c r="S1708" s="110"/>
      <c r="T1708" s="110"/>
      <c r="U1708" s="110"/>
      <c r="V1708" s="110"/>
      <c r="W1708" s="266"/>
      <c r="X1708" s="110"/>
      <c r="Y1708" s="110"/>
      <c r="Z1708" s="110"/>
      <c r="AA1708" s="110"/>
      <c r="AB1708" s="110"/>
      <c r="AC1708" s="110"/>
      <c r="AD1708" s="110"/>
      <c r="AE1708" s="110"/>
      <c r="AF1708" s="110"/>
      <c r="AG1708" s="110"/>
      <c r="AH1708" s="110"/>
      <c r="AI1708" s="110"/>
      <c r="AJ1708" s="110"/>
      <c r="AK1708" s="110"/>
      <c r="AL1708" s="110"/>
      <c r="AM1708" s="110"/>
      <c r="AN1708" s="110"/>
      <c r="AO1708" s="110"/>
      <c r="AP1708" s="110"/>
      <c r="AQ1708" s="110"/>
      <c r="AR1708" s="110"/>
      <c r="AS1708" s="110"/>
      <c r="AT1708" s="110"/>
      <c r="AU1708" s="110"/>
      <c r="AV1708" s="110"/>
      <c r="AW1708" s="110"/>
      <c r="AX1708" s="110"/>
      <c r="AY1708" s="110"/>
      <c r="AZ1708" s="110"/>
      <c r="BA1708" s="110"/>
      <c r="BB1708" s="110"/>
      <c r="BC1708" s="110"/>
      <c r="BD1708" s="110"/>
      <c r="BE1708" s="110"/>
      <c r="BF1708" s="110"/>
      <c r="BG1708" s="110"/>
      <c r="BH1708" s="110"/>
      <c r="BI1708" s="110"/>
      <c r="BJ1708" s="110"/>
      <c r="BK1708" s="110"/>
      <c r="BL1708" s="110"/>
      <c r="BM1708" s="110"/>
      <c r="BN1708" s="110"/>
      <c r="BO1708" s="110"/>
      <c r="BP1708" s="110"/>
      <c r="BQ1708" s="110"/>
      <c r="BR1708" s="110"/>
      <c r="BS1708" s="110"/>
      <c r="BT1708" s="110"/>
      <c r="BU1708" s="110"/>
      <c r="BV1708" s="110"/>
      <c r="BW1708" s="110"/>
      <c r="BX1708" s="110"/>
      <c r="BY1708" s="110"/>
      <c r="BZ1708" s="110"/>
      <c r="CA1708" s="110"/>
      <c r="CB1708" s="110"/>
      <c r="CC1708" s="110"/>
      <c r="CD1708" s="110"/>
      <c r="CE1708" s="110"/>
      <c r="CF1708" s="110"/>
      <c r="CG1708" s="110"/>
      <c r="CH1708" s="110"/>
      <c r="CI1708" s="110"/>
      <c r="CJ1708" s="110"/>
      <c r="CK1708" s="110"/>
      <c r="CL1708" s="110"/>
      <c r="CM1708" s="110"/>
      <c r="CN1708" s="110"/>
      <c r="CO1708" s="110"/>
      <c r="CP1708" s="110"/>
      <c r="CQ1708" s="110"/>
      <c r="CR1708" s="110"/>
      <c r="CS1708" s="110"/>
      <c r="CT1708" s="110"/>
      <c r="CU1708" s="110"/>
      <c r="CV1708" s="110"/>
      <c r="CW1708" s="110"/>
      <c r="CX1708" s="110"/>
      <c r="CY1708" s="110"/>
      <c r="CZ1708" s="110"/>
      <c r="DA1708" s="110"/>
      <c r="DB1708" s="110"/>
      <c r="DC1708" s="110"/>
      <c r="DD1708" s="110"/>
      <c r="DE1708" s="110"/>
      <c r="DF1708" s="110"/>
      <c r="DG1708" s="110"/>
      <c r="DH1708" s="110"/>
      <c r="DI1708" s="110"/>
      <c r="DJ1708" s="110"/>
      <c r="DK1708" s="110"/>
      <c r="DL1708" s="110"/>
      <c r="DM1708" s="110"/>
      <c r="DN1708" s="110"/>
      <c r="DO1708" s="110"/>
      <c r="DP1708" s="110"/>
      <c r="DQ1708" s="110"/>
      <c r="DR1708" s="110"/>
      <c r="DS1708" s="110"/>
      <c r="DT1708" s="110"/>
      <c r="DU1708" s="110"/>
      <c r="DV1708" s="110"/>
      <c r="DW1708" s="110"/>
      <c r="DX1708" s="110"/>
      <c r="DY1708" s="110"/>
      <c r="DZ1708" s="110"/>
      <c r="EA1708" s="110"/>
      <c r="EB1708" s="110"/>
      <c r="EC1708" s="110"/>
      <c r="ED1708" s="110"/>
      <c r="EF1708" s="264"/>
      <c r="EG1708" s="110"/>
      <c r="EH1708" s="110"/>
      <c r="EI1708" s="110"/>
      <c r="EJ1708" s="110"/>
      <c r="EK1708" s="266"/>
      <c r="EL1708" s="110"/>
      <c r="EM1708" s="110"/>
      <c r="EN1708" s="110"/>
      <c r="EO1708" s="110"/>
      <c r="EP1708" s="110"/>
      <c r="EQ1708" s="110"/>
      <c r="ER1708" s="110"/>
      <c r="ES1708" s="110"/>
      <c r="ET1708" s="110"/>
      <c r="EU1708" s="110"/>
      <c r="EV1708" s="110"/>
      <c r="EW1708" s="110"/>
      <c r="EX1708" s="110"/>
      <c r="EY1708" s="110"/>
      <c r="EZ1708" s="110"/>
      <c r="FA1708" s="110"/>
      <c r="FB1708" s="110"/>
      <c r="FC1708" s="110"/>
      <c r="FD1708" s="110"/>
      <c r="FE1708" s="110"/>
      <c r="FF1708" s="110"/>
      <c r="FG1708" s="110"/>
      <c r="FH1708" s="110"/>
      <c r="FI1708" s="110"/>
      <c r="FJ1708" s="110"/>
      <c r="FK1708" s="110"/>
      <c r="FL1708" s="110"/>
      <c r="FM1708" s="110"/>
      <c r="FN1708" s="110"/>
      <c r="FO1708" s="110"/>
      <c r="FP1708" s="110"/>
      <c r="FQ1708" s="110"/>
      <c r="FR1708" s="110"/>
      <c r="FS1708" s="110"/>
      <c r="FT1708" s="110"/>
      <c r="FU1708" s="110"/>
      <c r="FV1708" s="110"/>
      <c r="FW1708" s="110"/>
      <c r="FX1708" s="110"/>
      <c r="FY1708" s="110"/>
      <c r="FZ1708" s="110"/>
      <c r="GA1708" s="110"/>
      <c r="GB1708" s="110"/>
      <c r="GC1708" s="110"/>
      <c r="GD1708" s="110"/>
      <c r="GE1708" s="110"/>
      <c r="GF1708" s="110"/>
      <c r="GG1708" s="110"/>
      <c r="GH1708" s="110"/>
      <c r="GI1708" s="110"/>
      <c r="GJ1708" s="110"/>
      <c r="GK1708" s="110"/>
      <c r="GL1708" s="110"/>
      <c r="GM1708" s="110"/>
      <c r="GN1708" s="110"/>
      <c r="GO1708" s="110"/>
      <c r="GP1708" s="110"/>
      <c r="GQ1708" s="110"/>
      <c r="GR1708" s="110"/>
      <c r="GS1708" s="110"/>
      <c r="GT1708" s="110"/>
      <c r="GU1708" s="110"/>
      <c r="GV1708" s="110"/>
      <c r="GW1708" s="110"/>
      <c r="GX1708" s="110"/>
      <c r="GY1708" s="110"/>
      <c r="GZ1708" s="110"/>
      <c r="HA1708" s="110"/>
      <c r="HB1708" s="110"/>
      <c r="HC1708" s="110"/>
      <c r="HD1708" s="110"/>
      <c r="HE1708" s="110"/>
      <c r="HF1708" s="110"/>
      <c r="HG1708" s="110"/>
      <c r="HH1708" s="110"/>
      <c r="HI1708" s="110"/>
      <c r="HJ1708" s="110"/>
      <c r="HK1708" s="110"/>
      <c r="HL1708" s="110"/>
      <c r="HM1708" s="110"/>
      <c r="HN1708" s="110"/>
      <c r="HO1708" s="110"/>
      <c r="HP1708" s="110"/>
      <c r="HQ1708" s="110"/>
      <c r="HR1708" s="110"/>
      <c r="HS1708" s="110"/>
      <c r="HT1708" s="110"/>
      <c r="HU1708" s="110"/>
      <c r="HV1708" s="110"/>
      <c r="HW1708" s="110"/>
      <c r="HX1708" s="110"/>
      <c r="HY1708" s="110"/>
      <c r="HZ1708" s="110"/>
      <c r="IA1708" s="110"/>
      <c r="IB1708" s="110"/>
      <c r="IC1708" s="110"/>
      <c r="ID1708" s="110"/>
      <c r="IE1708" s="110"/>
      <c r="IF1708" s="110"/>
      <c r="IG1708" s="110"/>
      <c r="IH1708" s="110"/>
      <c r="II1708" s="110"/>
      <c r="IJ1708" s="110"/>
      <c r="IK1708" s="110"/>
      <c r="IL1708" s="110"/>
      <c r="IM1708" s="110"/>
      <c r="IN1708" s="110"/>
      <c r="IO1708" s="110"/>
      <c r="IP1708" s="110"/>
      <c r="IQ1708" s="110"/>
      <c r="IR1708" s="110"/>
    </row>
    <row r="1709" spans="18:252" ht="16.5" hidden="1" customHeight="1">
      <c r="R1709" s="264"/>
      <c r="S1709" s="110"/>
      <c r="T1709" s="110"/>
      <c r="U1709" s="110"/>
      <c r="V1709" s="110"/>
      <c r="W1709" s="266"/>
      <c r="X1709" s="110"/>
      <c r="Y1709" s="110"/>
      <c r="Z1709" s="110"/>
      <c r="AA1709" s="110"/>
      <c r="AB1709" s="110"/>
      <c r="AC1709" s="110"/>
      <c r="AD1709" s="110"/>
      <c r="AE1709" s="110"/>
      <c r="AF1709" s="110"/>
      <c r="AG1709" s="110"/>
      <c r="AH1709" s="110"/>
      <c r="AI1709" s="110"/>
      <c r="AJ1709" s="110"/>
      <c r="AK1709" s="110"/>
      <c r="AL1709" s="110"/>
      <c r="AM1709" s="110"/>
      <c r="AN1709" s="110"/>
      <c r="AO1709" s="110"/>
      <c r="AP1709" s="110"/>
      <c r="AQ1709" s="110"/>
      <c r="AR1709" s="110"/>
      <c r="AS1709" s="110"/>
      <c r="AT1709" s="110"/>
      <c r="AU1709" s="110"/>
      <c r="AV1709" s="110"/>
      <c r="AW1709" s="110"/>
      <c r="AX1709" s="110"/>
      <c r="AY1709" s="110"/>
      <c r="AZ1709" s="110"/>
      <c r="BA1709" s="110"/>
      <c r="BB1709" s="110"/>
      <c r="BC1709" s="110"/>
      <c r="BD1709" s="110"/>
      <c r="BE1709" s="110"/>
      <c r="BF1709" s="110"/>
      <c r="BG1709" s="110"/>
      <c r="BH1709" s="110"/>
      <c r="BI1709" s="110"/>
      <c r="BJ1709" s="110"/>
      <c r="BK1709" s="110"/>
      <c r="BL1709" s="110"/>
      <c r="BM1709" s="110"/>
      <c r="BN1709" s="110"/>
      <c r="BO1709" s="110"/>
      <c r="BP1709" s="110"/>
      <c r="BQ1709" s="110"/>
      <c r="BR1709" s="110"/>
      <c r="BS1709" s="110"/>
      <c r="BT1709" s="110"/>
      <c r="BU1709" s="110"/>
      <c r="BV1709" s="110"/>
      <c r="BW1709" s="110"/>
      <c r="BX1709" s="110"/>
      <c r="BY1709" s="110"/>
      <c r="BZ1709" s="110"/>
      <c r="CA1709" s="110"/>
      <c r="CB1709" s="110"/>
      <c r="CC1709" s="110"/>
      <c r="CD1709" s="110"/>
      <c r="CE1709" s="110"/>
      <c r="CF1709" s="110"/>
      <c r="CG1709" s="110"/>
      <c r="CH1709" s="110"/>
      <c r="CI1709" s="110"/>
      <c r="CJ1709" s="110"/>
      <c r="CK1709" s="110"/>
      <c r="CL1709" s="110"/>
      <c r="CM1709" s="110"/>
      <c r="CN1709" s="110"/>
      <c r="CO1709" s="110"/>
      <c r="CP1709" s="110"/>
      <c r="CQ1709" s="110"/>
      <c r="CR1709" s="110"/>
      <c r="CS1709" s="110"/>
      <c r="CT1709" s="110"/>
      <c r="CU1709" s="110"/>
      <c r="CV1709" s="110"/>
      <c r="CW1709" s="110"/>
      <c r="CX1709" s="110"/>
      <c r="CY1709" s="110"/>
      <c r="CZ1709" s="110"/>
      <c r="DA1709" s="110"/>
      <c r="DB1709" s="110"/>
      <c r="DC1709" s="110"/>
      <c r="DD1709" s="110"/>
      <c r="DE1709" s="110"/>
      <c r="DF1709" s="110"/>
      <c r="DG1709" s="110"/>
      <c r="DH1709" s="110"/>
      <c r="DI1709" s="110"/>
      <c r="DJ1709" s="110"/>
      <c r="DK1709" s="110"/>
      <c r="DL1709" s="110"/>
      <c r="DM1709" s="110"/>
      <c r="DN1709" s="110"/>
      <c r="DO1709" s="110"/>
      <c r="DP1709" s="110"/>
      <c r="DQ1709" s="110"/>
      <c r="DR1709" s="110"/>
      <c r="DS1709" s="110"/>
      <c r="DT1709" s="110"/>
      <c r="DU1709" s="110"/>
      <c r="DV1709" s="110"/>
      <c r="DW1709" s="110"/>
      <c r="DX1709" s="110"/>
      <c r="DY1709" s="110"/>
      <c r="DZ1709" s="110"/>
      <c r="EA1709" s="110"/>
      <c r="EB1709" s="110"/>
      <c r="EC1709" s="110"/>
      <c r="ED1709" s="110"/>
      <c r="EF1709" s="264"/>
      <c r="EG1709" s="110"/>
      <c r="EH1709" s="110"/>
      <c r="EI1709" s="110"/>
      <c r="EJ1709" s="110"/>
      <c r="EK1709" s="266"/>
      <c r="EL1709" s="110"/>
      <c r="EM1709" s="110"/>
      <c r="EN1709" s="110"/>
      <c r="EO1709" s="110"/>
      <c r="EP1709" s="110"/>
      <c r="EQ1709" s="110"/>
      <c r="ER1709" s="110"/>
      <c r="ES1709" s="110"/>
      <c r="ET1709" s="110"/>
      <c r="EU1709" s="110"/>
      <c r="EV1709" s="110"/>
      <c r="EW1709" s="110"/>
      <c r="EX1709" s="110"/>
      <c r="EY1709" s="110"/>
      <c r="EZ1709" s="110"/>
      <c r="FA1709" s="110"/>
      <c r="FB1709" s="110"/>
      <c r="FC1709" s="110"/>
      <c r="FD1709" s="110"/>
      <c r="FE1709" s="110"/>
      <c r="FF1709" s="110"/>
      <c r="FG1709" s="110"/>
      <c r="FH1709" s="110"/>
      <c r="FI1709" s="110"/>
      <c r="FJ1709" s="110"/>
      <c r="FK1709" s="110"/>
      <c r="FL1709" s="110"/>
      <c r="FM1709" s="110"/>
      <c r="FN1709" s="110"/>
      <c r="FO1709" s="110"/>
      <c r="FP1709" s="110"/>
      <c r="FQ1709" s="110"/>
      <c r="FR1709" s="110"/>
      <c r="FS1709" s="110"/>
      <c r="FT1709" s="110"/>
      <c r="FU1709" s="110"/>
      <c r="FV1709" s="110"/>
      <c r="FW1709" s="110"/>
      <c r="FX1709" s="110"/>
      <c r="FY1709" s="110"/>
      <c r="FZ1709" s="110"/>
      <c r="GA1709" s="110"/>
      <c r="GB1709" s="110"/>
      <c r="GC1709" s="110"/>
      <c r="GD1709" s="110"/>
      <c r="GE1709" s="110"/>
      <c r="GF1709" s="110"/>
      <c r="GG1709" s="110"/>
      <c r="GH1709" s="110"/>
      <c r="GI1709" s="110"/>
      <c r="GJ1709" s="110"/>
      <c r="GK1709" s="110"/>
      <c r="GL1709" s="110"/>
      <c r="GM1709" s="110"/>
      <c r="GN1709" s="110"/>
      <c r="GO1709" s="110"/>
      <c r="GP1709" s="110"/>
      <c r="GQ1709" s="110"/>
      <c r="GR1709" s="110"/>
      <c r="GS1709" s="110"/>
      <c r="GT1709" s="110"/>
      <c r="GU1709" s="110"/>
      <c r="GV1709" s="110"/>
      <c r="GW1709" s="110"/>
      <c r="GX1709" s="110"/>
      <c r="GY1709" s="110"/>
      <c r="GZ1709" s="110"/>
      <c r="HA1709" s="110"/>
      <c r="HB1709" s="110"/>
      <c r="HC1709" s="110"/>
      <c r="HD1709" s="110"/>
      <c r="HE1709" s="110"/>
      <c r="HF1709" s="110"/>
      <c r="HG1709" s="110"/>
      <c r="HH1709" s="110"/>
      <c r="HI1709" s="110"/>
      <c r="HJ1709" s="110"/>
      <c r="HK1709" s="110"/>
      <c r="HL1709" s="110"/>
      <c r="HM1709" s="110"/>
      <c r="HN1709" s="110"/>
      <c r="HO1709" s="110"/>
      <c r="HP1709" s="110"/>
      <c r="HQ1709" s="110"/>
      <c r="HR1709" s="110"/>
      <c r="HS1709" s="110"/>
      <c r="HT1709" s="110"/>
      <c r="HU1709" s="110"/>
      <c r="HV1709" s="110"/>
      <c r="HW1709" s="110"/>
      <c r="HX1709" s="110"/>
      <c r="HY1709" s="110"/>
      <c r="HZ1709" s="110"/>
      <c r="IA1709" s="110"/>
      <c r="IB1709" s="110"/>
      <c r="IC1709" s="110"/>
      <c r="ID1709" s="110"/>
      <c r="IE1709" s="110"/>
      <c r="IF1709" s="110"/>
      <c r="IG1709" s="110"/>
      <c r="IH1709" s="110"/>
      <c r="II1709" s="110"/>
      <c r="IJ1709" s="110"/>
      <c r="IK1709" s="110"/>
      <c r="IL1709" s="110"/>
      <c r="IM1709" s="110"/>
      <c r="IN1709" s="110"/>
      <c r="IO1709" s="110"/>
      <c r="IP1709" s="110"/>
      <c r="IQ1709" s="110"/>
      <c r="IR1709" s="110"/>
    </row>
    <row r="1710" spans="18:252" ht="16.5" hidden="1" customHeight="1">
      <c r="R1710" s="264"/>
      <c r="S1710" s="110"/>
      <c r="T1710" s="110"/>
      <c r="U1710" s="110"/>
      <c r="V1710" s="110"/>
      <c r="W1710" s="266"/>
      <c r="X1710" s="110"/>
      <c r="Y1710" s="110"/>
      <c r="Z1710" s="110"/>
      <c r="AA1710" s="110"/>
      <c r="AB1710" s="110"/>
      <c r="AC1710" s="110"/>
      <c r="AD1710" s="110"/>
      <c r="AE1710" s="110"/>
      <c r="AF1710" s="110"/>
      <c r="AG1710" s="110"/>
      <c r="AH1710" s="110"/>
      <c r="AI1710" s="110"/>
      <c r="AJ1710" s="110"/>
      <c r="AK1710" s="110"/>
      <c r="AL1710" s="110"/>
      <c r="AM1710" s="110"/>
      <c r="AN1710" s="110"/>
      <c r="AO1710" s="110"/>
      <c r="AP1710" s="110"/>
      <c r="AQ1710" s="110"/>
      <c r="AR1710" s="110"/>
      <c r="AS1710" s="110"/>
      <c r="AT1710" s="110"/>
      <c r="AU1710" s="110"/>
      <c r="AV1710" s="110"/>
      <c r="AW1710" s="110"/>
      <c r="AX1710" s="110"/>
      <c r="AY1710" s="110"/>
      <c r="AZ1710" s="110"/>
      <c r="BA1710" s="110"/>
      <c r="BB1710" s="110"/>
      <c r="BC1710" s="110"/>
      <c r="BD1710" s="110"/>
      <c r="BE1710" s="110"/>
      <c r="BF1710" s="110"/>
      <c r="BG1710" s="110"/>
      <c r="BH1710" s="110"/>
      <c r="BI1710" s="110"/>
      <c r="BJ1710" s="110"/>
      <c r="BK1710" s="110"/>
      <c r="BL1710" s="110"/>
      <c r="BM1710" s="110"/>
      <c r="BN1710" s="110"/>
      <c r="BO1710" s="110"/>
      <c r="BP1710" s="110"/>
      <c r="BQ1710" s="110"/>
      <c r="BR1710" s="110"/>
      <c r="BS1710" s="110"/>
      <c r="BT1710" s="110"/>
      <c r="BU1710" s="110"/>
      <c r="BV1710" s="110"/>
      <c r="BW1710" s="110"/>
      <c r="BX1710" s="110"/>
      <c r="BY1710" s="110"/>
      <c r="BZ1710" s="110"/>
      <c r="CA1710" s="110"/>
      <c r="CB1710" s="110"/>
      <c r="CC1710" s="110"/>
      <c r="CD1710" s="110"/>
      <c r="CE1710" s="110"/>
      <c r="CF1710" s="110"/>
      <c r="CG1710" s="110"/>
      <c r="CH1710" s="110"/>
      <c r="CI1710" s="110"/>
      <c r="CJ1710" s="110"/>
      <c r="CK1710" s="110"/>
      <c r="CL1710" s="110"/>
      <c r="CM1710" s="110"/>
      <c r="CN1710" s="110"/>
      <c r="CO1710" s="110"/>
      <c r="CP1710" s="110"/>
      <c r="CQ1710" s="110"/>
      <c r="CR1710" s="110"/>
      <c r="CS1710" s="110"/>
      <c r="CT1710" s="110"/>
      <c r="CU1710" s="110"/>
      <c r="CV1710" s="110"/>
      <c r="CW1710" s="110"/>
      <c r="CX1710" s="110"/>
      <c r="CY1710" s="110"/>
      <c r="CZ1710" s="110"/>
      <c r="DA1710" s="110"/>
      <c r="DB1710" s="110"/>
      <c r="DC1710" s="110"/>
      <c r="DD1710" s="110"/>
      <c r="DE1710" s="110"/>
      <c r="DF1710" s="110"/>
      <c r="DG1710" s="110"/>
      <c r="DH1710" s="110"/>
      <c r="DI1710" s="110"/>
      <c r="DJ1710" s="110"/>
      <c r="DK1710" s="110"/>
      <c r="DL1710" s="110"/>
      <c r="DM1710" s="110"/>
      <c r="DN1710" s="110"/>
      <c r="DO1710" s="110"/>
      <c r="DP1710" s="110"/>
      <c r="DQ1710" s="110"/>
      <c r="DR1710" s="110"/>
      <c r="DS1710" s="110"/>
      <c r="DT1710" s="110"/>
      <c r="DU1710" s="110"/>
      <c r="DV1710" s="110"/>
      <c r="DW1710" s="110"/>
      <c r="DX1710" s="110"/>
      <c r="DY1710" s="110"/>
      <c r="DZ1710" s="110"/>
      <c r="EA1710" s="110"/>
      <c r="EB1710" s="110"/>
      <c r="EC1710" s="110"/>
      <c r="ED1710" s="110"/>
      <c r="EF1710" s="264"/>
      <c r="EG1710" s="110"/>
      <c r="EH1710" s="110"/>
      <c r="EI1710" s="110"/>
      <c r="EJ1710" s="110"/>
      <c r="EK1710" s="266"/>
      <c r="EL1710" s="110"/>
      <c r="EM1710" s="110"/>
      <c r="EN1710" s="110"/>
      <c r="EO1710" s="110"/>
      <c r="EP1710" s="110"/>
      <c r="EQ1710" s="110"/>
      <c r="ER1710" s="110"/>
      <c r="ES1710" s="110"/>
      <c r="ET1710" s="110"/>
      <c r="EU1710" s="110"/>
      <c r="EV1710" s="110"/>
      <c r="EW1710" s="110"/>
      <c r="EX1710" s="110"/>
      <c r="EY1710" s="110"/>
      <c r="EZ1710" s="110"/>
      <c r="FA1710" s="110"/>
      <c r="FB1710" s="110"/>
      <c r="FC1710" s="110"/>
      <c r="FD1710" s="110"/>
      <c r="FE1710" s="110"/>
      <c r="FF1710" s="110"/>
      <c r="FG1710" s="110"/>
      <c r="FH1710" s="110"/>
      <c r="FI1710" s="110"/>
      <c r="FJ1710" s="110"/>
      <c r="FK1710" s="110"/>
      <c r="FL1710" s="110"/>
      <c r="FM1710" s="110"/>
      <c r="FN1710" s="110"/>
      <c r="FO1710" s="110"/>
      <c r="FP1710" s="110"/>
      <c r="FQ1710" s="110"/>
      <c r="FR1710" s="110"/>
      <c r="FS1710" s="110"/>
      <c r="FT1710" s="110"/>
      <c r="FU1710" s="110"/>
      <c r="FV1710" s="110"/>
      <c r="FW1710" s="110"/>
      <c r="FX1710" s="110"/>
      <c r="FY1710" s="110"/>
      <c r="FZ1710" s="110"/>
      <c r="GA1710" s="110"/>
      <c r="GB1710" s="110"/>
      <c r="GC1710" s="110"/>
      <c r="GD1710" s="110"/>
      <c r="GE1710" s="110"/>
      <c r="GF1710" s="110"/>
      <c r="GG1710" s="110"/>
      <c r="GH1710" s="110"/>
      <c r="GI1710" s="110"/>
      <c r="GJ1710" s="110"/>
      <c r="GK1710" s="110"/>
      <c r="GL1710" s="110"/>
      <c r="GM1710" s="110"/>
      <c r="GN1710" s="110"/>
      <c r="GO1710" s="110"/>
      <c r="GP1710" s="110"/>
      <c r="GQ1710" s="110"/>
      <c r="GR1710" s="110"/>
      <c r="GS1710" s="110"/>
      <c r="GT1710" s="110"/>
      <c r="GU1710" s="110"/>
      <c r="GV1710" s="110"/>
      <c r="GW1710" s="110"/>
      <c r="GX1710" s="110"/>
      <c r="GY1710" s="110"/>
      <c r="GZ1710" s="110"/>
      <c r="HA1710" s="110"/>
      <c r="HB1710" s="110"/>
      <c r="HC1710" s="110"/>
      <c r="HD1710" s="110"/>
      <c r="HE1710" s="110"/>
      <c r="HF1710" s="110"/>
      <c r="HG1710" s="110"/>
      <c r="HH1710" s="110"/>
      <c r="HI1710" s="110"/>
      <c r="HJ1710" s="110"/>
      <c r="HK1710" s="110"/>
      <c r="HL1710" s="110"/>
      <c r="HM1710" s="110"/>
      <c r="HN1710" s="110"/>
      <c r="HO1710" s="110"/>
      <c r="HP1710" s="110"/>
      <c r="HQ1710" s="110"/>
      <c r="HR1710" s="110"/>
      <c r="HS1710" s="110"/>
      <c r="HT1710" s="110"/>
      <c r="HU1710" s="110"/>
      <c r="HV1710" s="110"/>
      <c r="HW1710" s="110"/>
      <c r="HX1710" s="110"/>
      <c r="HY1710" s="110"/>
      <c r="HZ1710" s="110"/>
      <c r="IA1710" s="110"/>
      <c r="IB1710" s="110"/>
      <c r="IC1710" s="110"/>
      <c r="ID1710" s="110"/>
      <c r="IE1710" s="110"/>
      <c r="IF1710" s="110"/>
      <c r="IG1710" s="110"/>
      <c r="IH1710" s="110"/>
      <c r="II1710" s="110"/>
      <c r="IJ1710" s="110"/>
      <c r="IK1710" s="110"/>
      <c r="IL1710" s="110"/>
      <c r="IM1710" s="110"/>
      <c r="IN1710" s="110"/>
      <c r="IO1710" s="110"/>
      <c r="IP1710" s="110"/>
      <c r="IQ1710" s="110"/>
      <c r="IR1710" s="110"/>
    </row>
    <row r="1711" spans="18:252" ht="16.5" hidden="1" customHeight="1">
      <c r="R1711" s="264"/>
      <c r="S1711" s="110"/>
      <c r="T1711" s="110"/>
      <c r="U1711" s="110"/>
      <c r="V1711" s="110"/>
      <c r="W1711" s="266"/>
      <c r="X1711" s="110"/>
      <c r="Y1711" s="110"/>
      <c r="Z1711" s="110"/>
      <c r="AA1711" s="110"/>
      <c r="AB1711" s="110"/>
      <c r="AC1711" s="110"/>
      <c r="AD1711" s="110"/>
      <c r="AE1711" s="110"/>
      <c r="AF1711" s="110"/>
      <c r="AG1711" s="110"/>
      <c r="AH1711" s="110"/>
      <c r="AI1711" s="110"/>
      <c r="AJ1711" s="110"/>
      <c r="AK1711" s="110"/>
      <c r="AL1711" s="110"/>
      <c r="AM1711" s="110"/>
      <c r="AN1711" s="110"/>
      <c r="AO1711" s="110"/>
      <c r="AP1711" s="110"/>
      <c r="AQ1711" s="110"/>
      <c r="AR1711" s="110"/>
      <c r="AS1711" s="110"/>
      <c r="AT1711" s="110"/>
      <c r="AU1711" s="110"/>
      <c r="AV1711" s="110"/>
      <c r="AW1711" s="110"/>
      <c r="AX1711" s="110"/>
      <c r="AY1711" s="110"/>
      <c r="AZ1711" s="110"/>
      <c r="BA1711" s="110"/>
      <c r="BB1711" s="110"/>
      <c r="BC1711" s="110"/>
      <c r="BD1711" s="110"/>
      <c r="BE1711" s="110"/>
      <c r="BF1711" s="110"/>
      <c r="BG1711" s="110"/>
      <c r="BH1711" s="110"/>
      <c r="BI1711" s="110"/>
      <c r="BJ1711" s="110"/>
      <c r="BK1711" s="110"/>
      <c r="BL1711" s="110"/>
      <c r="BM1711" s="110"/>
      <c r="BN1711" s="110"/>
      <c r="BO1711" s="110"/>
      <c r="BP1711" s="110"/>
      <c r="BQ1711" s="110"/>
      <c r="BR1711" s="110"/>
      <c r="BS1711" s="110"/>
      <c r="BT1711" s="110"/>
      <c r="BU1711" s="110"/>
      <c r="BV1711" s="110"/>
      <c r="BW1711" s="110"/>
      <c r="BX1711" s="110"/>
      <c r="BY1711" s="110"/>
      <c r="BZ1711" s="110"/>
      <c r="CA1711" s="110"/>
      <c r="CB1711" s="110"/>
      <c r="CC1711" s="110"/>
      <c r="CD1711" s="110"/>
      <c r="CE1711" s="110"/>
      <c r="CF1711" s="110"/>
      <c r="CG1711" s="110"/>
      <c r="CH1711" s="110"/>
      <c r="CI1711" s="110"/>
      <c r="CJ1711" s="110"/>
      <c r="CK1711" s="110"/>
      <c r="CL1711" s="110"/>
      <c r="CM1711" s="110"/>
      <c r="CN1711" s="110"/>
      <c r="CO1711" s="110"/>
      <c r="CP1711" s="110"/>
      <c r="CQ1711" s="110"/>
      <c r="CR1711" s="110"/>
      <c r="CS1711" s="110"/>
      <c r="CT1711" s="110"/>
      <c r="CU1711" s="110"/>
      <c r="CV1711" s="110"/>
      <c r="CW1711" s="110"/>
      <c r="CX1711" s="110"/>
      <c r="CY1711" s="110"/>
      <c r="CZ1711" s="110"/>
      <c r="DA1711" s="110"/>
      <c r="DB1711" s="110"/>
      <c r="DC1711" s="110"/>
      <c r="DD1711" s="110"/>
      <c r="DE1711" s="110"/>
      <c r="DF1711" s="110"/>
      <c r="DG1711" s="110"/>
      <c r="DH1711" s="110"/>
      <c r="DI1711" s="110"/>
      <c r="DJ1711" s="110"/>
      <c r="DK1711" s="110"/>
      <c r="DL1711" s="110"/>
      <c r="DM1711" s="110"/>
      <c r="DN1711" s="110"/>
      <c r="DO1711" s="110"/>
      <c r="DP1711" s="110"/>
      <c r="DQ1711" s="110"/>
      <c r="DR1711" s="110"/>
      <c r="DS1711" s="110"/>
      <c r="DT1711" s="110"/>
      <c r="DU1711" s="110"/>
      <c r="DV1711" s="110"/>
      <c r="DW1711" s="110"/>
      <c r="DX1711" s="110"/>
      <c r="DY1711" s="110"/>
      <c r="DZ1711" s="110"/>
      <c r="EA1711" s="110"/>
      <c r="EB1711" s="110"/>
      <c r="EC1711" s="110"/>
      <c r="ED1711" s="110"/>
      <c r="EF1711" s="264"/>
      <c r="EG1711" s="110"/>
      <c r="EH1711" s="110"/>
      <c r="EI1711" s="110"/>
      <c r="EJ1711" s="110"/>
      <c r="EK1711" s="266"/>
      <c r="EL1711" s="110"/>
      <c r="EM1711" s="110"/>
      <c r="EN1711" s="110"/>
      <c r="EO1711" s="110"/>
      <c r="EP1711" s="110"/>
      <c r="EQ1711" s="110"/>
      <c r="ER1711" s="110"/>
      <c r="ES1711" s="110"/>
      <c r="ET1711" s="110"/>
      <c r="EU1711" s="110"/>
      <c r="EV1711" s="110"/>
      <c r="EW1711" s="110"/>
      <c r="EX1711" s="110"/>
      <c r="EY1711" s="110"/>
      <c r="EZ1711" s="110"/>
      <c r="FA1711" s="110"/>
      <c r="FB1711" s="110"/>
      <c r="FC1711" s="110"/>
      <c r="FD1711" s="110"/>
      <c r="FE1711" s="110"/>
      <c r="FF1711" s="110"/>
      <c r="FG1711" s="110"/>
      <c r="FH1711" s="110"/>
      <c r="FI1711" s="110"/>
      <c r="FJ1711" s="110"/>
      <c r="FK1711" s="110"/>
      <c r="FL1711" s="110"/>
      <c r="FM1711" s="110"/>
      <c r="FN1711" s="110"/>
      <c r="FO1711" s="110"/>
      <c r="FP1711" s="110"/>
      <c r="FQ1711" s="110"/>
      <c r="FR1711" s="110"/>
      <c r="FS1711" s="110"/>
      <c r="FT1711" s="110"/>
      <c r="FU1711" s="110"/>
      <c r="FV1711" s="110"/>
      <c r="FW1711" s="110"/>
      <c r="FX1711" s="110"/>
      <c r="FY1711" s="110"/>
      <c r="FZ1711" s="110"/>
      <c r="GA1711" s="110"/>
      <c r="GB1711" s="110"/>
      <c r="GC1711" s="110"/>
      <c r="GD1711" s="110"/>
      <c r="GE1711" s="110"/>
      <c r="GF1711" s="110"/>
      <c r="GG1711" s="110"/>
      <c r="GH1711" s="110"/>
      <c r="GI1711" s="110"/>
      <c r="GJ1711" s="110"/>
      <c r="GK1711" s="110"/>
      <c r="GL1711" s="110"/>
      <c r="GM1711" s="110"/>
      <c r="GN1711" s="110"/>
      <c r="GO1711" s="110"/>
      <c r="GP1711" s="110"/>
      <c r="GQ1711" s="110"/>
      <c r="GR1711" s="110"/>
      <c r="GS1711" s="110"/>
      <c r="GT1711" s="110"/>
      <c r="GU1711" s="110"/>
      <c r="GV1711" s="110"/>
      <c r="GW1711" s="110"/>
      <c r="GX1711" s="110"/>
      <c r="GY1711" s="110"/>
      <c r="GZ1711" s="110"/>
      <c r="HA1711" s="110"/>
      <c r="HB1711" s="110"/>
      <c r="HC1711" s="110"/>
      <c r="HD1711" s="110"/>
      <c r="HE1711" s="110"/>
      <c r="HF1711" s="110"/>
      <c r="HG1711" s="110"/>
      <c r="HH1711" s="110"/>
      <c r="HI1711" s="110"/>
      <c r="HJ1711" s="110"/>
      <c r="HK1711" s="110"/>
      <c r="HL1711" s="110"/>
      <c r="HM1711" s="110"/>
      <c r="HN1711" s="110"/>
      <c r="HO1711" s="110"/>
      <c r="HP1711" s="110"/>
      <c r="HQ1711" s="110"/>
      <c r="HR1711" s="110"/>
      <c r="HS1711" s="110"/>
      <c r="HT1711" s="110"/>
      <c r="HU1711" s="110"/>
      <c r="HV1711" s="110"/>
      <c r="HW1711" s="110"/>
      <c r="HX1711" s="110"/>
      <c r="HY1711" s="110"/>
      <c r="HZ1711" s="110"/>
      <c r="IA1711" s="110"/>
      <c r="IB1711" s="110"/>
      <c r="IC1711" s="110"/>
      <c r="ID1711" s="110"/>
      <c r="IE1711" s="110"/>
      <c r="IF1711" s="110"/>
      <c r="IG1711" s="110"/>
      <c r="IH1711" s="110"/>
      <c r="II1711" s="110"/>
      <c r="IJ1711" s="110"/>
      <c r="IK1711" s="110"/>
      <c r="IL1711" s="110"/>
      <c r="IM1711" s="110"/>
      <c r="IN1711" s="110"/>
      <c r="IO1711" s="110"/>
      <c r="IP1711" s="110"/>
      <c r="IQ1711" s="110"/>
      <c r="IR1711" s="110"/>
    </row>
    <row r="1712" spans="18:252" ht="16.5" hidden="1" customHeight="1">
      <c r="R1712" s="264"/>
      <c r="S1712" s="110"/>
      <c r="T1712" s="110"/>
      <c r="U1712" s="110"/>
      <c r="V1712" s="110"/>
      <c r="W1712" s="266"/>
      <c r="X1712" s="110"/>
      <c r="Y1712" s="110"/>
      <c r="Z1712" s="110"/>
      <c r="AA1712" s="110"/>
      <c r="AB1712" s="110"/>
      <c r="AC1712" s="110"/>
      <c r="AD1712" s="110"/>
      <c r="AE1712" s="110"/>
      <c r="AF1712" s="110"/>
      <c r="AG1712" s="110"/>
      <c r="AH1712" s="110"/>
      <c r="AI1712" s="110"/>
      <c r="AJ1712" s="110"/>
      <c r="AK1712" s="110"/>
      <c r="AL1712" s="110"/>
      <c r="AM1712" s="110"/>
      <c r="AN1712" s="110"/>
      <c r="AO1712" s="110"/>
      <c r="AP1712" s="110"/>
      <c r="AQ1712" s="110"/>
      <c r="AR1712" s="110"/>
      <c r="AS1712" s="110"/>
      <c r="AT1712" s="110"/>
      <c r="AU1712" s="110"/>
      <c r="AV1712" s="110"/>
      <c r="AW1712" s="110"/>
      <c r="AX1712" s="110"/>
      <c r="AY1712" s="110"/>
      <c r="AZ1712" s="110"/>
      <c r="BA1712" s="110"/>
      <c r="BB1712" s="110"/>
      <c r="BC1712" s="110"/>
      <c r="BD1712" s="110"/>
      <c r="BE1712" s="110"/>
      <c r="BF1712" s="110"/>
      <c r="BG1712" s="110"/>
      <c r="BH1712" s="110"/>
      <c r="BI1712" s="110"/>
      <c r="BJ1712" s="110"/>
      <c r="BK1712" s="110"/>
      <c r="BL1712" s="110"/>
      <c r="BM1712" s="110"/>
      <c r="BN1712" s="110"/>
      <c r="BO1712" s="110"/>
      <c r="BP1712" s="110"/>
      <c r="BQ1712" s="110"/>
      <c r="BR1712" s="110"/>
      <c r="BS1712" s="110"/>
      <c r="BT1712" s="110"/>
      <c r="BU1712" s="110"/>
      <c r="BV1712" s="110"/>
      <c r="BW1712" s="110"/>
      <c r="BX1712" s="110"/>
      <c r="BY1712" s="110"/>
      <c r="BZ1712" s="110"/>
      <c r="CA1712" s="110"/>
      <c r="CB1712" s="110"/>
      <c r="CC1712" s="110"/>
      <c r="CD1712" s="110"/>
      <c r="CE1712" s="110"/>
      <c r="CF1712" s="110"/>
      <c r="CG1712" s="110"/>
      <c r="CH1712" s="110"/>
      <c r="CI1712" s="110"/>
      <c r="CJ1712" s="110"/>
      <c r="CK1712" s="110"/>
      <c r="CL1712" s="110"/>
      <c r="CM1712" s="110"/>
      <c r="CN1712" s="110"/>
      <c r="CO1712" s="110"/>
      <c r="CP1712" s="110"/>
      <c r="CQ1712" s="110"/>
      <c r="CR1712" s="110"/>
      <c r="CS1712" s="110"/>
      <c r="CT1712" s="110"/>
      <c r="CU1712" s="110"/>
      <c r="CV1712" s="110"/>
      <c r="CW1712" s="110"/>
      <c r="CX1712" s="110"/>
      <c r="CY1712" s="110"/>
      <c r="CZ1712" s="110"/>
      <c r="DA1712" s="110"/>
      <c r="DB1712" s="110"/>
      <c r="DC1712" s="110"/>
      <c r="DD1712" s="110"/>
      <c r="DE1712" s="110"/>
      <c r="DF1712" s="110"/>
      <c r="DG1712" s="110"/>
      <c r="DH1712" s="110"/>
      <c r="DI1712" s="110"/>
      <c r="DJ1712" s="110"/>
      <c r="DK1712" s="110"/>
      <c r="DL1712" s="110"/>
      <c r="DM1712" s="110"/>
      <c r="DN1712" s="110"/>
      <c r="DO1712" s="110"/>
      <c r="DP1712" s="110"/>
      <c r="DQ1712" s="110"/>
      <c r="DR1712" s="110"/>
      <c r="DS1712" s="110"/>
      <c r="DT1712" s="110"/>
      <c r="DU1712" s="110"/>
      <c r="DV1712" s="110"/>
      <c r="DW1712" s="110"/>
      <c r="DX1712" s="110"/>
      <c r="DY1712" s="110"/>
      <c r="DZ1712" s="110"/>
      <c r="EA1712" s="110"/>
      <c r="EB1712" s="110"/>
      <c r="EC1712" s="110"/>
      <c r="ED1712" s="110"/>
      <c r="EF1712" s="264"/>
      <c r="EG1712" s="110"/>
      <c r="EH1712" s="110"/>
      <c r="EI1712" s="110"/>
      <c r="EJ1712" s="110"/>
      <c r="EK1712" s="266"/>
      <c r="EL1712" s="110"/>
      <c r="EM1712" s="110"/>
      <c r="EN1712" s="110"/>
      <c r="EO1712" s="110"/>
      <c r="EP1712" s="110"/>
      <c r="EQ1712" s="110"/>
      <c r="ER1712" s="110"/>
      <c r="ES1712" s="110"/>
      <c r="ET1712" s="110"/>
      <c r="EU1712" s="110"/>
      <c r="EV1712" s="110"/>
      <c r="EW1712" s="110"/>
      <c r="EX1712" s="110"/>
      <c r="EY1712" s="110"/>
      <c r="EZ1712" s="110"/>
      <c r="FA1712" s="110"/>
      <c r="FB1712" s="110"/>
      <c r="FC1712" s="110"/>
      <c r="FD1712" s="110"/>
      <c r="FE1712" s="110"/>
      <c r="FF1712" s="110"/>
      <c r="FG1712" s="110"/>
      <c r="FH1712" s="110"/>
      <c r="FI1712" s="110"/>
      <c r="FJ1712" s="110"/>
      <c r="FK1712" s="110"/>
      <c r="FL1712" s="110"/>
      <c r="FM1712" s="110"/>
      <c r="FN1712" s="110"/>
      <c r="FO1712" s="110"/>
      <c r="FP1712" s="110"/>
      <c r="FQ1712" s="110"/>
      <c r="FR1712" s="110"/>
      <c r="FS1712" s="110"/>
      <c r="FT1712" s="110"/>
      <c r="FU1712" s="110"/>
      <c r="FV1712" s="110"/>
      <c r="FW1712" s="110"/>
      <c r="FX1712" s="110"/>
      <c r="FY1712" s="110"/>
      <c r="FZ1712" s="110"/>
      <c r="GA1712" s="110"/>
      <c r="GB1712" s="110"/>
      <c r="GC1712" s="110"/>
      <c r="GD1712" s="110"/>
      <c r="GE1712" s="110"/>
      <c r="GF1712" s="110"/>
      <c r="GG1712" s="110"/>
      <c r="GH1712" s="110"/>
      <c r="GI1712" s="110"/>
      <c r="GJ1712" s="110"/>
      <c r="GK1712" s="110"/>
      <c r="GL1712" s="110"/>
      <c r="GM1712" s="110"/>
      <c r="GN1712" s="110"/>
      <c r="GO1712" s="110"/>
      <c r="GP1712" s="110"/>
      <c r="GQ1712" s="110"/>
      <c r="GR1712" s="110"/>
      <c r="GS1712" s="110"/>
      <c r="GT1712" s="110"/>
      <c r="GU1712" s="110"/>
      <c r="GV1712" s="110"/>
      <c r="GW1712" s="110"/>
      <c r="GX1712" s="110"/>
      <c r="GY1712" s="110"/>
      <c r="GZ1712" s="110"/>
      <c r="HA1712" s="110"/>
      <c r="HB1712" s="110"/>
      <c r="HC1712" s="110"/>
      <c r="HD1712" s="110"/>
      <c r="HE1712" s="110"/>
      <c r="HF1712" s="110"/>
      <c r="HG1712" s="110"/>
      <c r="HH1712" s="110"/>
      <c r="HI1712" s="110"/>
      <c r="HJ1712" s="110"/>
      <c r="HK1712" s="110"/>
      <c r="HL1712" s="110"/>
      <c r="HM1712" s="110"/>
      <c r="HN1712" s="110"/>
      <c r="HO1712" s="110"/>
      <c r="HP1712" s="110"/>
      <c r="HQ1712" s="110"/>
      <c r="HR1712" s="110"/>
      <c r="HS1712" s="110"/>
      <c r="HT1712" s="110"/>
      <c r="HU1712" s="110"/>
      <c r="HV1712" s="110"/>
      <c r="HW1712" s="110"/>
      <c r="HX1712" s="110"/>
      <c r="HY1712" s="110"/>
      <c r="HZ1712" s="110"/>
      <c r="IA1712" s="110"/>
      <c r="IB1712" s="110"/>
      <c r="IC1712" s="110"/>
      <c r="ID1712" s="110"/>
      <c r="IE1712" s="110"/>
      <c r="IF1712" s="110"/>
      <c r="IG1712" s="110"/>
      <c r="IH1712" s="110"/>
      <c r="II1712" s="110"/>
      <c r="IJ1712" s="110"/>
      <c r="IK1712" s="110"/>
      <c r="IL1712" s="110"/>
      <c r="IM1712" s="110"/>
      <c r="IN1712" s="110"/>
      <c r="IO1712" s="110"/>
      <c r="IP1712" s="110"/>
      <c r="IQ1712" s="110"/>
      <c r="IR1712" s="110"/>
    </row>
    <row r="1713" spans="18:252" ht="16.5" hidden="1" customHeight="1">
      <c r="R1713" s="264"/>
      <c r="S1713" s="110"/>
      <c r="T1713" s="110"/>
      <c r="U1713" s="110"/>
      <c r="V1713" s="110"/>
      <c r="W1713" s="266"/>
      <c r="X1713" s="110"/>
      <c r="Y1713" s="110"/>
      <c r="Z1713" s="110"/>
      <c r="AA1713" s="110"/>
      <c r="AB1713" s="110"/>
      <c r="AC1713" s="110"/>
      <c r="AD1713" s="110"/>
      <c r="AE1713" s="110"/>
      <c r="AF1713" s="110"/>
      <c r="AG1713" s="110"/>
      <c r="AH1713" s="110"/>
      <c r="AI1713" s="110"/>
      <c r="AJ1713" s="110"/>
      <c r="AK1713" s="110"/>
      <c r="AL1713" s="110"/>
      <c r="AM1713" s="110"/>
      <c r="AN1713" s="110"/>
      <c r="AO1713" s="110"/>
      <c r="AP1713" s="110"/>
      <c r="AQ1713" s="110"/>
      <c r="AR1713" s="110"/>
      <c r="AS1713" s="110"/>
      <c r="AT1713" s="110"/>
      <c r="AU1713" s="110"/>
      <c r="AV1713" s="110"/>
      <c r="AW1713" s="110"/>
      <c r="AX1713" s="110"/>
      <c r="AY1713" s="110"/>
      <c r="AZ1713" s="110"/>
      <c r="BA1713" s="110"/>
      <c r="BB1713" s="110"/>
      <c r="BC1713" s="110"/>
      <c r="BD1713" s="110"/>
      <c r="BE1713" s="110"/>
      <c r="BF1713" s="110"/>
      <c r="BG1713" s="110"/>
      <c r="BH1713" s="110"/>
      <c r="BI1713" s="110"/>
      <c r="BJ1713" s="110"/>
      <c r="BK1713" s="110"/>
      <c r="BL1713" s="110"/>
      <c r="BM1713" s="110"/>
      <c r="BN1713" s="110"/>
      <c r="BO1713" s="110"/>
      <c r="BP1713" s="110"/>
      <c r="BQ1713" s="110"/>
      <c r="BR1713" s="110"/>
      <c r="BS1713" s="110"/>
      <c r="BT1713" s="110"/>
      <c r="BU1713" s="110"/>
      <c r="BV1713" s="110"/>
      <c r="BW1713" s="110"/>
      <c r="BX1713" s="110"/>
      <c r="BY1713" s="110"/>
      <c r="BZ1713" s="110"/>
      <c r="CA1713" s="110"/>
      <c r="CB1713" s="110"/>
      <c r="CC1713" s="110"/>
      <c r="CD1713" s="110"/>
      <c r="CE1713" s="110"/>
      <c r="CF1713" s="110"/>
      <c r="CG1713" s="110"/>
      <c r="CH1713" s="110"/>
      <c r="CI1713" s="110"/>
      <c r="CJ1713" s="110"/>
      <c r="CK1713" s="110"/>
      <c r="CL1713" s="110"/>
      <c r="CM1713" s="110"/>
      <c r="CN1713" s="110"/>
      <c r="CO1713" s="110"/>
      <c r="CP1713" s="110"/>
      <c r="CQ1713" s="110"/>
      <c r="CR1713" s="110"/>
      <c r="CS1713" s="110"/>
      <c r="CT1713" s="110"/>
      <c r="CU1713" s="110"/>
      <c r="CV1713" s="110"/>
      <c r="CW1713" s="110"/>
      <c r="CX1713" s="110"/>
      <c r="CY1713" s="110"/>
      <c r="CZ1713" s="110"/>
      <c r="DA1713" s="110"/>
      <c r="DB1713" s="110"/>
      <c r="DC1713" s="110"/>
      <c r="DD1713" s="110"/>
      <c r="DE1713" s="110"/>
      <c r="DF1713" s="110"/>
      <c r="DG1713" s="110"/>
      <c r="DH1713" s="110"/>
      <c r="DI1713" s="110"/>
      <c r="DJ1713" s="110"/>
      <c r="DK1713" s="110"/>
      <c r="DL1713" s="110"/>
      <c r="DM1713" s="110"/>
      <c r="DN1713" s="110"/>
      <c r="DO1713" s="110"/>
      <c r="DP1713" s="110"/>
      <c r="DQ1713" s="110"/>
      <c r="DR1713" s="110"/>
      <c r="DS1713" s="110"/>
      <c r="DT1713" s="110"/>
      <c r="DU1713" s="110"/>
      <c r="DV1713" s="110"/>
      <c r="DW1713" s="110"/>
      <c r="DX1713" s="110"/>
      <c r="DY1713" s="110"/>
      <c r="DZ1713" s="110"/>
      <c r="EA1713" s="110"/>
      <c r="EB1713" s="110"/>
      <c r="EC1713" s="110"/>
      <c r="ED1713" s="110"/>
      <c r="EF1713" s="264"/>
      <c r="EG1713" s="110"/>
      <c r="EH1713" s="110"/>
      <c r="EI1713" s="110"/>
      <c r="EJ1713" s="110"/>
      <c r="EK1713" s="266"/>
      <c r="EL1713" s="110"/>
      <c r="EM1713" s="110"/>
      <c r="EN1713" s="110"/>
      <c r="EO1713" s="110"/>
      <c r="EP1713" s="110"/>
      <c r="EQ1713" s="110"/>
      <c r="ER1713" s="110"/>
      <c r="ES1713" s="110"/>
      <c r="ET1713" s="110"/>
      <c r="EU1713" s="110"/>
      <c r="EV1713" s="110"/>
      <c r="EW1713" s="110"/>
      <c r="EX1713" s="110"/>
      <c r="EY1713" s="110"/>
      <c r="EZ1713" s="110"/>
      <c r="FA1713" s="110"/>
      <c r="FB1713" s="110"/>
      <c r="FC1713" s="110"/>
      <c r="FD1713" s="110"/>
      <c r="FE1713" s="110"/>
      <c r="FF1713" s="110"/>
      <c r="FG1713" s="110"/>
      <c r="FH1713" s="110"/>
      <c r="FI1713" s="110"/>
      <c r="FJ1713" s="110"/>
      <c r="FK1713" s="110"/>
      <c r="FL1713" s="110"/>
      <c r="FM1713" s="110"/>
      <c r="FN1713" s="110"/>
      <c r="FO1713" s="110"/>
      <c r="FP1713" s="110"/>
      <c r="FQ1713" s="110"/>
      <c r="FR1713" s="110"/>
      <c r="FS1713" s="110"/>
      <c r="FT1713" s="110"/>
      <c r="FU1713" s="110"/>
      <c r="FV1713" s="110"/>
      <c r="FW1713" s="110"/>
      <c r="FX1713" s="110"/>
      <c r="FY1713" s="110"/>
      <c r="FZ1713" s="110"/>
      <c r="GA1713" s="110"/>
      <c r="GB1713" s="110"/>
      <c r="GC1713" s="110"/>
      <c r="GD1713" s="110"/>
      <c r="GE1713" s="110"/>
      <c r="GF1713" s="110"/>
      <c r="GG1713" s="110"/>
      <c r="GH1713" s="110"/>
      <c r="GI1713" s="110"/>
      <c r="GJ1713" s="110"/>
      <c r="GK1713" s="110"/>
      <c r="GL1713" s="110"/>
      <c r="GM1713" s="110"/>
      <c r="GN1713" s="110"/>
      <c r="GO1713" s="110"/>
      <c r="GP1713" s="110"/>
      <c r="GQ1713" s="110"/>
      <c r="GR1713" s="110"/>
      <c r="GS1713" s="110"/>
      <c r="GT1713" s="110"/>
      <c r="GU1713" s="110"/>
      <c r="GV1713" s="110"/>
      <c r="GW1713" s="110"/>
      <c r="GX1713" s="110"/>
      <c r="GY1713" s="110"/>
      <c r="GZ1713" s="110"/>
      <c r="HA1713" s="110"/>
      <c r="HB1713" s="110"/>
      <c r="HC1713" s="110"/>
      <c r="HD1713" s="110"/>
      <c r="HE1713" s="110"/>
      <c r="HF1713" s="110"/>
      <c r="HG1713" s="110"/>
      <c r="HH1713" s="110"/>
      <c r="HI1713" s="110"/>
      <c r="HJ1713" s="110"/>
      <c r="HK1713" s="110"/>
      <c r="HL1713" s="110"/>
      <c r="HM1713" s="110"/>
      <c r="HN1713" s="110"/>
      <c r="HO1713" s="110"/>
      <c r="HP1713" s="110"/>
      <c r="HQ1713" s="110"/>
      <c r="HR1713" s="110"/>
      <c r="HS1713" s="110"/>
      <c r="HT1713" s="110"/>
      <c r="HU1713" s="110"/>
      <c r="HV1713" s="110"/>
      <c r="HW1713" s="110"/>
      <c r="HX1713" s="110"/>
      <c r="HY1713" s="110"/>
      <c r="HZ1713" s="110"/>
      <c r="IA1713" s="110"/>
      <c r="IB1713" s="110"/>
      <c r="IC1713" s="110"/>
      <c r="ID1713" s="110"/>
      <c r="IE1713" s="110"/>
      <c r="IF1713" s="110"/>
      <c r="IG1713" s="110"/>
      <c r="IH1713" s="110"/>
      <c r="II1713" s="110"/>
      <c r="IJ1713" s="110"/>
      <c r="IK1713" s="110"/>
      <c r="IL1713" s="110"/>
      <c r="IM1713" s="110"/>
      <c r="IN1713" s="110"/>
      <c r="IO1713" s="110"/>
      <c r="IP1713" s="110"/>
      <c r="IQ1713" s="110"/>
      <c r="IR1713" s="110"/>
    </row>
    <row r="1714" spans="18:252" ht="16.5" hidden="1" customHeight="1">
      <c r="R1714" s="264"/>
      <c r="S1714" s="110"/>
      <c r="T1714" s="110"/>
      <c r="U1714" s="110"/>
      <c r="V1714" s="110"/>
      <c r="W1714" s="266"/>
      <c r="X1714" s="110"/>
      <c r="Y1714" s="110"/>
      <c r="Z1714" s="110"/>
      <c r="AA1714" s="110"/>
      <c r="AB1714" s="110"/>
      <c r="AC1714" s="110"/>
      <c r="AD1714" s="110"/>
      <c r="AE1714" s="110"/>
      <c r="AF1714" s="110"/>
      <c r="AG1714" s="110"/>
      <c r="AH1714" s="110"/>
      <c r="AI1714" s="110"/>
      <c r="AJ1714" s="110"/>
      <c r="AK1714" s="110"/>
      <c r="AL1714" s="110"/>
      <c r="AM1714" s="110"/>
      <c r="AN1714" s="110"/>
      <c r="AO1714" s="110"/>
      <c r="AP1714" s="110"/>
      <c r="AQ1714" s="110"/>
      <c r="AR1714" s="110"/>
      <c r="AS1714" s="110"/>
      <c r="AT1714" s="110"/>
      <c r="AU1714" s="110"/>
      <c r="AV1714" s="110"/>
      <c r="AW1714" s="110"/>
      <c r="AX1714" s="110"/>
      <c r="AY1714" s="110"/>
      <c r="AZ1714" s="110"/>
      <c r="BA1714" s="110"/>
      <c r="BB1714" s="110"/>
      <c r="BC1714" s="110"/>
      <c r="BD1714" s="110"/>
      <c r="BE1714" s="110"/>
      <c r="BF1714" s="110"/>
      <c r="BG1714" s="110"/>
      <c r="BH1714" s="110"/>
      <c r="BI1714" s="110"/>
      <c r="BJ1714" s="110"/>
      <c r="BK1714" s="110"/>
      <c r="BL1714" s="110"/>
      <c r="BM1714" s="110"/>
      <c r="BN1714" s="110"/>
      <c r="BO1714" s="110"/>
      <c r="BP1714" s="110"/>
      <c r="BQ1714" s="110"/>
      <c r="BR1714" s="110"/>
      <c r="BS1714" s="110"/>
      <c r="BT1714" s="110"/>
      <c r="BU1714" s="110"/>
      <c r="BV1714" s="110"/>
      <c r="BW1714" s="110"/>
      <c r="BX1714" s="110"/>
      <c r="BY1714" s="110"/>
      <c r="BZ1714" s="110"/>
      <c r="CA1714" s="110"/>
      <c r="CB1714" s="110"/>
      <c r="CC1714" s="110"/>
      <c r="CD1714" s="110"/>
      <c r="CE1714" s="110"/>
      <c r="CF1714" s="110"/>
      <c r="CG1714" s="110"/>
      <c r="CH1714" s="110"/>
      <c r="CI1714" s="110"/>
      <c r="CJ1714" s="110"/>
      <c r="CK1714" s="110"/>
      <c r="CL1714" s="110"/>
      <c r="CM1714" s="110"/>
      <c r="CN1714" s="110"/>
      <c r="CO1714" s="110"/>
      <c r="CP1714" s="110"/>
      <c r="CQ1714" s="110"/>
      <c r="CR1714" s="110"/>
      <c r="CS1714" s="110"/>
      <c r="CT1714" s="110"/>
      <c r="CU1714" s="110"/>
      <c r="CV1714" s="110"/>
      <c r="CW1714" s="110"/>
      <c r="CX1714" s="110"/>
      <c r="CY1714" s="110"/>
      <c r="CZ1714" s="110"/>
      <c r="DA1714" s="110"/>
      <c r="DB1714" s="110"/>
      <c r="DC1714" s="110"/>
      <c r="DD1714" s="110"/>
      <c r="DE1714" s="110"/>
      <c r="DF1714" s="110"/>
      <c r="DG1714" s="110"/>
      <c r="DH1714" s="110"/>
      <c r="DI1714" s="110"/>
      <c r="DJ1714" s="110"/>
      <c r="DK1714" s="110"/>
      <c r="DL1714" s="110"/>
      <c r="DM1714" s="110"/>
      <c r="DN1714" s="110"/>
      <c r="DO1714" s="110"/>
      <c r="DP1714" s="110"/>
      <c r="DQ1714" s="110"/>
      <c r="DR1714" s="110"/>
      <c r="DS1714" s="110"/>
      <c r="DT1714" s="110"/>
      <c r="DU1714" s="110"/>
      <c r="DV1714" s="110"/>
      <c r="DW1714" s="110"/>
      <c r="DX1714" s="110"/>
      <c r="DY1714" s="110"/>
      <c r="DZ1714" s="110"/>
      <c r="EA1714" s="110"/>
      <c r="EB1714" s="110"/>
      <c r="EC1714" s="110"/>
      <c r="ED1714" s="110"/>
      <c r="EF1714" s="264"/>
      <c r="EG1714" s="110"/>
      <c r="EH1714" s="110"/>
      <c r="EI1714" s="110"/>
      <c r="EJ1714" s="110"/>
      <c r="EK1714" s="266"/>
      <c r="EL1714" s="110"/>
      <c r="EM1714" s="110"/>
      <c r="EN1714" s="110"/>
      <c r="EO1714" s="110"/>
      <c r="EP1714" s="110"/>
      <c r="EQ1714" s="110"/>
      <c r="ER1714" s="110"/>
      <c r="ES1714" s="110"/>
      <c r="ET1714" s="110"/>
      <c r="EU1714" s="110"/>
      <c r="EV1714" s="110"/>
      <c r="EW1714" s="110"/>
      <c r="EX1714" s="110"/>
      <c r="EY1714" s="110"/>
      <c r="EZ1714" s="110"/>
      <c r="FA1714" s="110"/>
      <c r="FB1714" s="110"/>
      <c r="FC1714" s="110"/>
      <c r="FD1714" s="110"/>
      <c r="FE1714" s="110"/>
      <c r="FF1714" s="110"/>
      <c r="FG1714" s="110"/>
      <c r="FH1714" s="110"/>
      <c r="FI1714" s="110"/>
      <c r="FJ1714" s="110"/>
      <c r="FK1714" s="110"/>
      <c r="FL1714" s="110"/>
      <c r="FM1714" s="110"/>
      <c r="FN1714" s="110"/>
      <c r="FO1714" s="110"/>
      <c r="FP1714" s="110"/>
      <c r="FQ1714" s="110"/>
      <c r="FR1714" s="110"/>
      <c r="FS1714" s="110"/>
      <c r="FT1714" s="110"/>
      <c r="FU1714" s="110"/>
      <c r="FV1714" s="110"/>
      <c r="FW1714" s="110"/>
      <c r="FX1714" s="110"/>
      <c r="FY1714" s="110"/>
      <c r="FZ1714" s="110"/>
      <c r="GA1714" s="110"/>
      <c r="GB1714" s="110"/>
      <c r="GC1714" s="110"/>
      <c r="GD1714" s="110"/>
      <c r="GE1714" s="110"/>
      <c r="GF1714" s="110"/>
      <c r="GG1714" s="110"/>
      <c r="GH1714" s="110"/>
      <c r="GI1714" s="110"/>
      <c r="GJ1714" s="110"/>
      <c r="GK1714" s="110"/>
      <c r="GL1714" s="110"/>
      <c r="GM1714" s="110"/>
      <c r="GN1714" s="110"/>
      <c r="GO1714" s="110"/>
      <c r="GP1714" s="110"/>
      <c r="GQ1714" s="110"/>
      <c r="GR1714" s="110"/>
      <c r="GS1714" s="110"/>
      <c r="GT1714" s="110"/>
      <c r="GU1714" s="110"/>
      <c r="GV1714" s="110"/>
      <c r="GW1714" s="110"/>
      <c r="GX1714" s="110"/>
      <c r="GY1714" s="110"/>
      <c r="GZ1714" s="110"/>
      <c r="HA1714" s="110"/>
      <c r="HB1714" s="110"/>
      <c r="HC1714" s="110"/>
      <c r="HD1714" s="110"/>
      <c r="HE1714" s="110"/>
      <c r="HF1714" s="110"/>
      <c r="HG1714" s="110"/>
      <c r="HH1714" s="110"/>
      <c r="HI1714" s="110"/>
      <c r="HJ1714" s="110"/>
      <c r="HK1714" s="110"/>
      <c r="HL1714" s="110"/>
      <c r="HM1714" s="110"/>
      <c r="HN1714" s="110"/>
      <c r="HO1714" s="110"/>
      <c r="HP1714" s="110"/>
      <c r="HQ1714" s="110"/>
      <c r="HR1714" s="110"/>
      <c r="HS1714" s="110"/>
      <c r="HT1714" s="110"/>
      <c r="HU1714" s="110"/>
      <c r="HV1714" s="110"/>
      <c r="HW1714" s="110"/>
      <c r="HX1714" s="110"/>
      <c r="HY1714" s="110"/>
      <c r="HZ1714" s="110"/>
      <c r="IA1714" s="110"/>
      <c r="IB1714" s="110"/>
      <c r="IC1714" s="110"/>
      <c r="ID1714" s="110"/>
      <c r="IE1714" s="110"/>
      <c r="IF1714" s="110"/>
      <c r="IG1714" s="110"/>
      <c r="IH1714" s="110"/>
      <c r="II1714" s="110"/>
      <c r="IJ1714" s="110"/>
      <c r="IK1714" s="110"/>
      <c r="IL1714" s="110"/>
      <c r="IM1714" s="110"/>
      <c r="IN1714" s="110"/>
      <c r="IO1714" s="110"/>
      <c r="IP1714" s="110"/>
      <c r="IQ1714" s="110"/>
      <c r="IR1714" s="110"/>
    </row>
    <row r="1715" spans="18:252" ht="16.5" hidden="1" customHeight="1">
      <c r="R1715" s="264"/>
      <c r="S1715" s="110"/>
      <c r="T1715" s="110"/>
      <c r="U1715" s="110"/>
      <c r="V1715" s="110"/>
      <c r="W1715" s="266"/>
      <c r="X1715" s="110"/>
      <c r="Y1715" s="110"/>
      <c r="Z1715" s="110"/>
      <c r="AA1715" s="110"/>
      <c r="AB1715" s="110"/>
      <c r="AC1715" s="110"/>
      <c r="AD1715" s="110"/>
      <c r="AE1715" s="110"/>
      <c r="AF1715" s="110"/>
      <c r="AG1715" s="110"/>
      <c r="AH1715" s="110"/>
      <c r="AI1715" s="110"/>
      <c r="AJ1715" s="110"/>
      <c r="AK1715" s="110"/>
      <c r="AL1715" s="110"/>
      <c r="AM1715" s="110"/>
      <c r="AN1715" s="110"/>
      <c r="AO1715" s="110"/>
      <c r="AP1715" s="110"/>
      <c r="AQ1715" s="110"/>
      <c r="AR1715" s="110"/>
      <c r="AS1715" s="110"/>
      <c r="AT1715" s="110"/>
      <c r="AU1715" s="110"/>
      <c r="AV1715" s="110"/>
      <c r="AW1715" s="110"/>
      <c r="AX1715" s="110"/>
      <c r="AY1715" s="110"/>
      <c r="AZ1715" s="110"/>
      <c r="BA1715" s="110"/>
      <c r="BB1715" s="110"/>
      <c r="BC1715" s="110"/>
      <c r="BD1715" s="110"/>
      <c r="BE1715" s="110"/>
      <c r="BF1715" s="110"/>
      <c r="BG1715" s="110"/>
      <c r="BH1715" s="110"/>
      <c r="BI1715" s="110"/>
      <c r="BJ1715" s="110"/>
      <c r="BK1715" s="110"/>
      <c r="BL1715" s="110"/>
      <c r="BM1715" s="110"/>
      <c r="BN1715" s="110"/>
      <c r="BO1715" s="110"/>
      <c r="BP1715" s="110"/>
      <c r="BQ1715" s="110"/>
      <c r="BR1715" s="110"/>
      <c r="BS1715" s="110"/>
      <c r="BT1715" s="110"/>
      <c r="BU1715" s="110"/>
      <c r="BV1715" s="110"/>
      <c r="BW1715" s="110"/>
      <c r="BX1715" s="110"/>
      <c r="BY1715" s="110"/>
      <c r="BZ1715" s="110"/>
      <c r="CA1715" s="110"/>
      <c r="CB1715" s="110"/>
      <c r="CC1715" s="110"/>
      <c r="CD1715" s="110"/>
      <c r="CE1715" s="110"/>
      <c r="CF1715" s="110"/>
      <c r="CG1715" s="110"/>
      <c r="CH1715" s="110"/>
      <c r="CI1715" s="110"/>
      <c r="CJ1715" s="110"/>
      <c r="CK1715" s="110"/>
      <c r="CL1715" s="110"/>
      <c r="CM1715" s="110"/>
      <c r="CN1715" s="110"/>
      <c r="CO1715" s="110"/>
      <c r="CP1715" s="110"/>
      <c r="CQ1715" s="110"/>
      <c r="CR1715" s="110"/>
      <c r="CS1715" s="110"/>
      <c r="CT1715" s="110"/>
      <c r="CU1715" s="110"/>
      <c r="CV1715" s="110"/>
      <c r="CW1715" s="110"/>
      <c r="CX1715" s="110"/>
      <c r="CY1715" s="110"/>
      <c r="CZ1715" s="110"/>
      <c r="DA1715" s="110"/>
      <c r="DB1715" s="110"/>
      <c r="DC1715" s="110"/>
      <c r="DD1715" s="110"/>
      <c r="DE1715" s="110"/>
      <c r="DF1715" s="110"/>
      <c r="DG1715" s="110"/>
      <c r="DH1715" s="110"/>
      <c r="DI1715" s="110"/>
      <c r="DJ1715" s="110"/>
      <c r="DK1715" s="110"/>
      <c r="DL1715" s="110"/>
      <c r="DM1715" s="110"/>
      <c r="DN1715" s="110"/>
      <c r="DO1715" s="110"/>
      <c r="DP1715" s="110"/>
      <c r="DQ1715" s="110"/>
      <c r="DR1715" s="110"/>
      <c r="DS1715" s="110"/>
      <c r="DT1715" s="110"/>
      <c r="DU1715" s="110"/>
      <c r="DV1715" s="110"/>
      <c r="DW1715" s="110"/>
      <c r="DX1715" s="110"/>
      <c r="DY1715" s="110"/>
      <c r="DZ1715" s="110"/>
      <c r="EA1715" s="110"/>
      <c r="EB1715" s="110"/>
      <c r="EC1715" s="110"/>
      <c r="ED1715" s="110"/>
      <c r="EF1715" s="264"/>
      <c r="EG1715" s="110"/>
      <c r="EH1715" s="110"/>
      <c r="EI1715" s="110"/>
      <c r="EJ1715" s="110"/>
      <c r="EK1715" s="266"/>
      <c r="EL1715" s="110"/>
      <c r="EM1715" s="110"/>
      <c r="EN1715" s="110"/>
      <c r="EO1715" s="110"/>
      <c r="EP1715" s="110"/>
      <c r="EQ1715" s="110"/>
      <c r="ER1715" s="110"/>
      <c r="ES1715" s="110"/>
      <c r="ET1715" s="110"/>
      <c r="EU1715" s="110"/>
      <c r="EV1715" s="110"/>
      <c r="EW1715" s="110"/>
      <c r="EX1715" s="110"/>
      <c r="EY1715" s="110"/>
      <c r="EZ1715" s="110"/>
      <c r="FA1715" s="110"/>
      <c r="FB1715" s="110"/>
      <c r="FC1715" s="110"/>
      <c r="FD1715" s="110"/>
      <c r="FE1715" s="110"/>
      <c r="FF1715" s="110"/>
      <c r="FG1715" s="110"/>
      <c r="FH1715" s="110"/>
      <c r="FI1715" s="110"/>
      <c r="FJ1715" s="110"/>
      <c r="FK1715" s="110"/>
      <c r="FL1715" s="110"/>
      <c r="FM1715" s="110"/>
      <c r="FN1715" s="110"/>
      <c r="FO1715" s="110"/>
      <c r="FP1715" s="110"/>
      <c r="FQ1715" s="110"/>
      <c r="FR1715" s="110"/>
      <c r="FS1715" s="110"/>
      <c r="FT1715" s="110"/>
      <c r="FU1715" s="110"/>
      <c r="FV1715" s="110"/>
      <c r="FW1715" s="110"/>
      <c r="FX1715" s="110"/>
      <c r="FY1715" s="110"/>
      <c r="FZ1715" s="110"/>
      <c r="GA1715" s="110"/>
      <c r="GB1715" s="110"/>
      <c r="GC1715" s="110"/>
      <c r="GD1715" s="110"/>
      <c r="GE1715" s="110"/>
      <c r="GF1715" s="110"/>
      <c r="GG1715" s="110"/>
      <c r="GH1715" s="110"/>
      <c r="GI1715" s="110"/>
      <c r="GJ1715" s="110"/>
      <c r="GK1715" s="110"/>
      <c r="GL1715" s="110"/>
      <c r="GM1715" s="110"/>
      <c r="GN1715" s="110"/>
      <c r="GO1715" s="110"/>
      <c r="GP1715" s="110"/>
      <c r="GQ1715" s="110"/>
      <c r="GR1715" s="110"/>
      <c r="GS1715" s="110"/>
      <c r="GT1715" s="110"/>
      <c r="GU1715" s="110"/>
      <c r="GV1715" s="110"/>
      <c r="GW1715" s="110"/>
      <c r="GX1715" s="110"/>
      <c r="GY1715" s="110"/>
      <c r="GZ1715" s="110"/>
      <c r="HA1715" s="110"/>
      <c r="HB1715" s="110"/>
      <c r="HC1715" s="110"/>
      <c r="HD1715" s="110"/>
      <c r="HE1715" s="110"/>
      <c r="HF1715" s="110"/>
      <c r="HG1715" s="110"/>
      <c r="HH1715" s="110"/>
      <c r="HI1715" s="110"/>
      <c r="HJ1715" s="110"/>
      <c r="HK1715" s="110"/>
      <c r="HL1715" s="110"/>
      <c r="HM1715" s="110"/>
      <c r="HN1715" s="110"/>
      <c r="HO1715" s="110"/>
      <c r="HP1715" s="110"/>
      <c r="HQ1715" s="110"/>
      <c r="HR1715" s="110"/>
      <c r="HS1715" s="110"/>
      <c r="HT1715" s="110"/>
      <c r="HU1715" s="110"/>
      <c r="HV1715" s="110"/>
      <c r="HW1715" s="110"/>
      <c r="HX1715" s="110"/>
      <c r="HY1715" s="110"/>
      <c r="HZ1715" s="110"/>
      <c r="IA1715" s="110"/>
      <c r="IB1715" s="110"/>
      <c r="IC1715" s="110"/>
      <c r="ID1715" s="110"/>
      <c r="IE1715" s="110"/>
      <c r="IF1715" s="110"/>
      <c r="IG1715" s="110"/>
      <c r="IH1715" s="110"/>
      <c r="II1715" s="110"/>
      <c r="IJ1715" s="110"/>
      <c r="IK1715" s="110"/>
      <c r="IL1715" s="110"/>
      <c r="IM1715" s="110"/>
      <c r="IN1715" s="110"/>
      <c r="IO1715" s="110"/>
      <c r="IP1715" s="110"/>
      <c r="IQ1715" s="110"/>
      <c r="IR1715" s="110"/>
    </row>
    <row r="1716" spans="18:252" ht="16.5" hidden="1" customHeight="1">
      <c r="R1716" s="264"/>
      <c r="S1716" s="110"/>
      <c r="T1716" s="110"/>
      <c r="U1716" s="110"/>
      <c r="V1716" s="110"/>
      <c r="W1716" s="266"/>
      <c r="X1716" s="110"/>
      <c r="Y1716" s="110"/>
      <c r="Z1716" s="110"/>
      <c r="AA1716" s="110"/>
      <c r="AB1716" s="110"/>
      <c r="AC1716" s="110"/>
      <c r="AD1716" s="110"/>
      <c r="AE1716" s="110"/>
      <c r="AF1716" s="110"/>
      <c r="AG1716" s="110"/>
      <c r="AH1716" s="110"/>
      <c r="AI1716" s="110"/>
      <c r="AJ1716" s="110"/>
      <c r="AK1716" s="110"/>
      <c r="AL1716" s="110"/>
      <c r="AM1716" s="110"/>
      <c r="AN1716" s="110"/>
      <c r="AO1716" s="110"/>
      <c r="AP1716" s="110"/>
      <c r="AQ1716" s="110"/>
      <c r="AR1716" s="110"/>
      <c r="AS1716" s="110"/>
      <c r="AT1716" s="110"/>
      <c r="AU1716" s="110"/>
      <c r="AV1716" s="110"/>
      <c r="AW1716" s="110"/>
      <c r="AX1716" s="110"/>
      <c r="AY1716" s="110"/>
      <c r="AZ1716" s="110"/>
      <c r="BA1716" s="110"/>
      <c r="BB1716" s="110"/>
      <c r="BC1716" s="110"/>
      <c r="BD1716" s="110"/>
      <c r="BE1716" s="110"/>
      <c r="BF1716" s="110"/>
      <c r="BG1716" s="110"/>
      <c r="BH1716" s="110"/>
      <c r="BI1716" s="110"/>
      <c r="BJ1716" s="110"/>
      <c r="BK1716" s="110"/>
      <c r="BL1716" s="110"/>
      <c r="BM1716" s="110"/>
      <c r="BN1716" s="110"/>
      <c r="BO1716" s="110"/>
      <c r="BP1716" s="110"/>
      <c r="BQ1716" s="110"/>
      <c r="BR1716" s="110"/>
      <c r="BS1716" s="110"/>
      <c r="BT1716" s="110"/>
      <c r="BU1716" s="110"/>
      <c r="BV1716" s="110"/>
      <c r="BW1716" s="110"/>
      <c r="BX1716" s="110"/>
      <c r="BY1716" s="110"/>
      <c r="BZ1716" s="110"/>
      <c r="CA1716" s="110"/>
      <c r="CB1716" s="110"/>
      <c r="CC1716" s="110"/>
      <c r="CD1716" s="110"/>
      <c r="CE1716" s="110"/>
      <c r="CF1716" s="110"/>
      <c r="CG1716" s="110"/>
      <c r="CH1716" s="110"/>
      <c r="CI1716" s="110"/>
      <c r="CJ1716" s="110"/>
      <c r="CK1716" s="110"/>
      <c r="CL1716" s="110"/>
      <c r="CM1716" s="110"/>
      <c r="CN1716" s="110"/>
      <c r="CO1716" s="110"/>
      <c r="CP1716" s="110"/>
      <c r="CQ1716" s="110"/>
      <c r="CR1716" s="110"/>
      <c r="CS1716" s="110"/>
      <c r="CT1716" s="110"/>
      <c r="CU1716" s="110"/>
      <c r="CV1716" s="110"/>
      <c r="CW1716" s="110"/>
      <c r="CX1716" s="110"/>
      <c r="CY1716" s="110"/>
      <c r="CZ1716" s="110"/>
      <c r="DA1716" s="110"/>
      <c r="DB1716" s="110"/>
      <c r="DC1716" s="110"/>
      <c r="DD1716" s="110"/>
      <c r="DE1716" s="110"/>
      <c r="DF1716" s="110"/>
      <c r="DG1716" s="110"/>
      <c r="DH1716" s="110"/>
      <c r="DI1716" s="110"/>
      <c r="DJ1716" s="110"/>
      <c r="DK1716" s="110"/>
      <c r="DL1716" s="110"/>
      <c r="DM1716" s="110"/>
      <c r="DN1716" s="110"/>
      <c r="DO1716" s="110"/>
      <c r="DP1716" s="110"/>
      <c r="DQ1716" s="110"/>
      <c r="DR1716" s="110"/>
      <c r="DS1716" s="110"/>
      <c r="DT1716" s="110"/>
      <c r="DU1716" s="110"/>
      <c r="DV1716" s="110"/>
      <c r="DW1716" s="110"/>
      <c r="DX1716" s="110"/>
      <c r="DY1716" s="110"/>
      <c r="DZ1716" s="110"/>
      <c r="EA1716" s="110"/>
      <c r="EB1716" s="110"/>
      <c r="EC1716" s="110"/>
      <c r="ED1716" s="110"/>
      <c r="EF1716" s="264"/>
      <c r="EG1716" s="110"/>
      <c r="EH1716" s="110"/>
      <c r="EI1716" s="110"/>
      <c r="EJ1716" s="110"/>
      <c r="EK1716" s="266"/>
      <c r="EL1716" s="110"/>
      <c r="EM1716" s="110"/>
      <c r="EN1716" s="110"/>
      <c r="EO1716" s="110"/>
      <c r="EP1716" s="110"/>
      <c r="EQ1716" s="110"/>
      <c r="ER1716" s="110"/>
      <c r="ES1716" s="110"/>
      <c r="ET1716" s="110"/>
      <c r="EU1716" s="110"/>
      <c r="EV1716" s="110"/>
      <c r="EW1716" s="110"/>
      <c r="EX1716" s="110"/>
      <c r="EY1716" s="110"/>
      <c r="EZ1716" s="110"/>
      <c r="FA1716" s="110"/>
      <c r="FB1716" s="110"/>
      <c r="FC1716" s="110"/>
      <c r="FD1716" s="110"/>
      <c r="FE1716" s="110"/>
      <c r="FF1716" s="110"/>
      <c r="FG1716" s="110"/>
      <c r="FH1716" s="110"/>
      <c r="FI1716" s="110"/>
      <c r="FJ1716" s="110"/>
      <c r="FK1716" s="110"/>
      <c r="FL1716" s="110"/>
      <c r="FM1716" s="110"/>
      <c r="FN1716" s="110"/>
      <c r="FO1716" s="110"/>
      <c r="FP1716" s="110"/>
      <c r="FQ1716" s="110"/>
      <c r="FR1716" s="110"/>
      <c r="FS1716" s="110"/>
      <c r="FT1716" s="110"/>
      <c r="FU1716" s="110"/>
      <c r="FV1716" s="110"/>
      <c r="FW1716" s="110"/>
      <c r="FX1716" s="110"/>
      <c r="FY1716" s="110"/>
      <c r="FZ1716" s="110"/>
      <c r="GA1716" s="110"/>
      <c r="GB1716" s="110"/>
      <c r="GC1716" s="110"/>
      <c r="GD1716" s="110"/>
      <c r="GE1716" s="110"/>
      <c r="GF1716" s="110"/>
      <c r="GG1716" s="110"/>
      <c r="GH1716" s="110"/>
      <c r="GI1716" s="110"/>
      <c r="GJ1716" s="110"/>
      <c r="GK1716" s="110"/>
      <c r="GL1716" s="110"/>
      <c r="GM1716" s="110"/>
      <c r="GN1716" s="110"/>
      <c r="GO1716" s="110"/>
      <c r="GP1716" s="110"/>
      <c r="GQ1716" s="110"/>
      <c r="GR1716" s="110"/>
      <c r="GS1716" s="110"/>
      <c r="GT1716" s="110"/>
      <c r="GU1716" s="110"/>
      <c r="GV1716" s="110"/>
      <c r="GW1716" s="110"/>
      <c r="GX1716" s="110"/>
      <c r="GY1716" s="110"/>
      <c r="GZ1716" s="110"/>
      <c r="HA1716" s="110"/>
      <c r="HB1716" s="110"/>
      <c r="HC1716" s="110"/>
      <c r="HD1716" s="110"/>
      <c r="HE1716" s="110"/>
      <c r="HF1716" s="110"/>
      <c r="HG1716" s="110"/>
      <c r="HH1716" s="110"/>
      <c r="HI1716" s="110"/>
      <c r="HJ1716" s="110"/>
      <c r="HK1716" s="110"/>
      <c r="HL1716" s="110"/>
      <c r="HM1716" s="110"/>
      <c r="HN1716" s="110"/>
      <c r="HO1716" s="110"/>
      <c r="HP1716" s="110"/>
      <c r="HQ1716" s="110"/>
      <c r="HR1716" s="110"/>
      <c r="HS1716" s="110"/>
      <c r="HT1716" s="110"/>
      <c r="HU1716" s="110"/>
      <c r="HV1716" s="110"/>
      <c r="HW1716" s="110"/>
      <c r="HX1716" s="110"/>
      <c r="HY1716" s="110"/>
      <c r="HZ1716" s="110"/>
      <c r="IA1716" s="110"/>
      <c r="IB1716" s="110"/>
      <c r="IC1716" s="110"/>
      <c r="ID1716" s="110"/>
      <c r="IE1716" s="110"/>
      <c r="IF1716" s="110"/>
      <c r="IG1716" s="110"/>
      <c r="IH1716" s="110"/>
      <c r="II1716" s="110"/>
      <c r="IJ1716" s="110"/>
      <c r="IK1716" s="110"/>
      <c r="IL1716" s="110"/>
      <c r="IM1716" s="110"/>
      <c r="IN1716" s="110"/>
      <c r="IO1716" s="110"/>
      <c r="IP1716" s="110"/>
      <c r="IQ1716" s="110"/>
      <c r="IR1716" s="110"/>
    </row>
    <row r="1717" spans="18:252" ht="16.5" hidden="1" customHeight="1">
      <c r="R1717" s="264"/>
      <c r="S1717" s="110"/>
      <c r="T1717" s="110"/>
      <c r="U1717" s="110"/>
      <c r="V1717" s="110"/>
      <c r="W1717" s="266"/>
      <c r="X1717" s="110"/>
      <c r="Y1717" s="110"/>
      <c r="Z1717" s="110"/>
      <c r="AA1717" s="110"/>
      <c r="AB1717" s="110"/>
      <c r="AC1717" s="110"/>
      <c r="AD1717" s="110"/>
      <c r="AE1717" s="110"/>
      <c r="AF1717" s="110"/>
      <c r="AG1717" s="110"/>
      <c r="AH1717" s="110"/>
      <c r="AI1717" s="110"/>
      <c r="AJ1717" s="110"/>
      <c r="AK1717" s="110"/>
      <c r="AL1717" s="110"/>
      <c r="AM1717" s="110"/>
      <c r="AN1717" s="110"/>
      <c r="AO1717" s="110"/>
      <c r="AP1717" s="110"/>
      <c r="AQ1717" s="110"/>
      <c r="AR1717" s="110"/>
      <c r="AS1717" s="110"/>
      <c r="AT1717" s="110"/>
      <c r="AU1717" s="110"/>
      <c r="AV1717" s="110"/>
      <c r="AW1717" s="110"/>
      <c r="AX1717" s="110"/>
      <c r="AY1717" s="110"/>
      <c r="AZ1717" s="110"/>
      <c r="BA1717" s="110"/>
      <c r="BB1717" s="110"/>
      <c r="BC1717" s="110"/>
      <c r="BD1717" s="110"/>
      <c r="BE1717" s="110"/>
      <c r="BF1717" s="110"/>
      <c r="BG1717" s="110"/>
      <c r="BH1717" s="110"/>
      <c r="BI1717" s="110"/>
      <c r="BJ1717" s="110"/>
      <c r="BK1717" s="110"/>
      <c r="BL1717" s="110"/>
      <c r="BM1717" s="110"/>
      <c r="BN1717" s="110"/>
      <c r="BO1717" s="110"/>
      <c r="BP1717" s="110"/>
      <c r="BQ1717" s="110"/>
      <c r="BR1717" s="110"/>
      <c r="BS1717" s="110"/>
      <c r="BT1717" s="110"/>
      <c r="BU1717" s="110"/>
      <c r="BV1717" s="110"/>
      <c r="BW1717" s="110"/>
      <c r="BX1717" s="110"/>
      <c r="BY1717" s="110"/>
      <c r="BZ1717" s="110"/>
      <c r="CA1717" s="110"/>
      <c r="CB1717" s="110"/>
      <c r="CC1717" s="110"/>
      <c r="CD1717" s="110"/>
      <c r="CE1717" s="110"/>
      <c r="CF1717" s="110"/>
      <c r="CG1717" s="110"/>
      <c r="CH1717" s="110"/>
      <c r="CI1717" s="110"/>
      <c r="CJ1717" s="110"/>
      <c r="CK1717" s="110"/>
      <c r="CL1717" s="110"/>
      <c r="CM1717" s="110"/>
      <c r="CN1717" s="110"/>
      <c r="CO1717" s="110"/>
      <c r="CP1717" s="110"/>
      <c r="CQ1717" s="110"/>
      <c r="CR1717" s="110"/>
      <c r="CS1717" s="110"/>
      <c r="CT1717" s="110"/>
      <c r="CU1717" s="110"/>
      <c r="CV1717" s="110"/>
      <c r="CW1717" s="110"/>
      <c r="CX1717" s="110"/>
      <c r="CY1717" s="110"/>
      <c r="CZ1717" s="110"/>
      <c r="DA1717" s="110"/>
      <c r="DB1717" s="110"/>
      <c r="DC1717" s="110"/>
      <c r="DD1717" s="110"/>
      <c r="DE1717" s="110"/>
      <c r="DF1717" s="110"/>
      <c r="DG1717" s="110"/>
      <c r="DH1717" s="110"/>
      <c r="DI1717" s="110"/>
      <c r="DJ1717" s="110"/>
      <c r="DK1717" s="110"/>
      <c r="DL1717" s="110"/>
      <c r="DM1717" s="110"/>
      <c r="DN1717" s="110"/>
      <c r="DO1717" s="110"/>
      <c r="DP1717" s="110"/>
      <c r="DQ1717" s="110"/>
      <c r="DR1717" s="110"/>
      <c r="DS1717" s="110"/>
      <c r="DT1717" s="110"/>
      <c r="DU1717" s="110"/>
      <c r="DV1717" s="110"/>
      <c r="DW1717" s="110"/>
      <c r="DX1717" s="110"/>
      <c r="DY1717" s="110"/>
      <c r="DZ1717" s="110"/>
      <c r="EA1717" s="110"/>
      <c r="EB1717" s="110"/>
      <c r="EC1717" s="110"/>
      <c r="ED1717" s="110"/>
      <c r="EF1717" s="264"/>
      <c r="EG1717" s="110"/>
      <c r="EH1717" s="110"/>
      <c r="EI1717" s="110"/>
      <c r="EJ1717" s="110"/>
      <c r="EK1717" s="266"/>
      <c r="EL1717" s="110"/>
      <c r="EM1717" s="110"/>
      <c r="EN1717" s="110"/>
      <c r="EO1717" s="110"/>
      <c r="EP1717" s="110"/>
      <c r="EQ1717" s="110"/>
      <c r="ER1717" s="110"/>
      <c r="ES1717" s="110"/>
      <c r="ET1717" s="110"/>
      <c r="EU1717" s="110"/>
      <c r="EV1717" s="110"/>
      <c r="EW1717" s="110"/>
      <c r="EX1717" s="110"/>
      <c r="EY1717" s="110"/>
      <c r="EZ1717" s="110"/>
      <c r="FA1717" s="110"/>
      <c r="FB1717" s="110"/>
      <c r="FC1717" s="110"/>
      <c r="FD1717" s="110"/>
      <c r="FE1717" s="110"/>
      <c r="FF1717" s="110"/>
      <c r="FG1717" s="110"/>
      <c r="FH1717" s="110"/>
      <c r="FI1717" s="110"/>
      <c r="FJ1717" s="110"/>
      <c r="FK1717" s="110"/>
      <c r="FL1717" s="110"/>
      <c r="FM1717" s="110"/>
      <c r="FN1717" s="110"/>
      <c r="FO1717" s="110"/>
      <c r="FP1717" s="110"/>
      <c r="FQ1717" s="110"/>
      <c r="FR1717" s="110"/>
      <c r="FS1717" s="110"/>
      <c r="FT1717" s="110"/>
      <c r="FU1717" s="110"/>
      <c r="FV1717" s="110"/>
      <c r="FW1717" s="110"/>
      <c r="FX1717" s="110"/>
      <c r="FY1717" s="110"/>
      <c r="FZ1717" s="110"/>
      <c r="GA1717" s="110"/>
      <c r="GB1717" s="110"/>
      <c r="GC1717" s="110"/>
      <c r="GD1717" s="110"/>
      <c r="GE1717" s="110"/>
      <c r="GF1717" s="110"/>
      <c r="GG1717" s="110"/>
      <c r="GH1717" s="110"/>
      <c r="GI1717" s="110"/>
      <c r="GJ1717" s="110"/>
      <c r="GK1717" s="110"/>
      <c r="GL1717" s="110"/>
      <c r="GM1717" s="110"/>
      <c r="GN1717" s="110"/>
      <c r="GO1717" s="110"/>
      <c r="GP1717" s="110"/>
      <c r="GQ1717" s="110"/>
      <c r="GR1717" s="110"/>
      <c r="GS1717" s="110"/>
      <c r="GT1717" s="110"/>
      <c r="GU1717" s="110"/>
      <c r="GV1717" s="110"/>
      <c r="GW1717" s="110"/>
      <c r="GX1717" s="110"/>
      <c r="GY1717" s="110"/>
      <c r="GZ1717" s="110"/>
      <c r="HA1717" s="110"/>
      <c r="HB1717" s="110"/>
      <c r="HC1717" s="110"/>
      <c r="HD1717" s="110"/>
      <c r="HE1717" s="110"/>
      <c r="HF1717" s="110"/>
      <c r="HG1717" s="110"/>
      <c r="HH1717" s="110"/>
      <c r="HI1717" s="110"/>
      <c r="HJ1717" s="110"/>
      <c r="HK1717" s="110"/>
      <c r="HL1717" s="110"/>
      <c r="HM1717" s="110"/>
      <c r="HN1717" s="110"/>
      <c r="HO1717" s="110"/>
      <c r="HP1717" s="110"/>
      <c r="HQ1717" s="110"/>
      <c r="HR1717" s="110"/>
      <c r="HS1717" s="110"/>
      <c r="HT1717" s="110"/>
      <c r="HU1717" s="110"/>
      <c r="HV1717" s="110"/>
      <c r="HW1717" s="110"/>
      <c r="HX1717" s="110"/>
      <c r="HY1717" s="110"/>
      <c r="HZ1717" s="110"/>
      <c r="IA1717" s="110"/>
      <c r="IB1717" s="110"/>
      <c r="IC1717" s="110"/>
      <c r="ID1717" s="110"/>
      <c r="IE1717" s="110"/>
      <c r="IF1717" s="110"/>
      <c r="IG1717" s="110"/>
      <c r="IH1717" s="110"/>
      <c r="II1717" s="110"/>
      <c r="IJ1717" s="110"/>
      <c r="IK1717" s="110"/>
      <c r="IL1717" s="110"/>
      <c r="IM1717" s="110"/>
      <c r="IN1717" s="110"/>
      <c r="IO1717" s="110"/>
      <c r="IP1717" s="110"/>
      <c r="IQ1717" s="110"/>
      <c r="IR1717" s="110"/>
    </row>
    <row r="1718" spans="18:252" ht="16.5" hidden="1" customHeight="1">
      <c r="R1718" s="264"/>
      <c r="S1718" s="110"/>
      <c r="T1718" s="110"/>
      <c r="U1718" s="110"/>
      <c r="V1718" s="110"/>
      <c r="W1718" s="266"/>
      <c r="X1718" s="110"/>
      <c r="Y1718" s="110"/>
      <c r="Z1718" s="110"/>
      <c r="AA1718" s="110"/>
      <c r="AB1718" s="110"/>
      <c r="AC1718" s="110"/>
      <c r="AD1718" s="110"/>
      <c r="AE1718" s="110"/>
      <c r="AF1718" s="110"/>
      <c r="AG1718" s="110"/>
      <c r="AH1718" s="110"/>
      <c r="AI1718" s="110"/>
      <c r="AJ1718" s="110"/>
      <c r="AK1718" s="110"/>
      <c r="AL1718" s="110"/>
      <c r="AM1718" s="110"/>
      <c r="AN1718" s="110"/>
      <c r="AO1718" s="110"/>
      <c r="AP1718" s="110"/>
      <c r="AQ1718" s="110"/>
      <c r="AR1718" s="110"/>
      <c r="AS1718" s="110"/>
      <c r="AT1718" s="110"/>
      <c r="AU1718" s="110"/>
      <c r="AV1718" s="110"/>
      <c r="AW1718" s="110"/>
      <c r="AX1718" s="110"/>
      <c r="AY1718" s="110"/>
      <c r="AZ1718" s="110"/>
      <c r="BA1718" s="110"/>
      <c r="BB1718" s="110"/>
      <c r="BC1718" s="110"/>
      <c r="BD1718" s="110"/>
      <c r="BE1718" s="110"/>
      <c r="BF1718" s="110"/>
      <c r="BG1718" s="110"/>
      <c r="BH1718" s="110"/>
      <c r="BI1718" s="110"/>
      <c r="BJ1718" s="110"/>
      <c r="BK1718" s="110"/>
      <c r="BL1718" s="110"/>
      <c r="BM1718" s="110"/>
      <c r="BN1718" s="110"/>
      <c r="BO1718" s="110"/>
      <c r="BP1718" s="110"/>
      <c r="BQ1718" s="110"/>
      <c r="BR1718" s="110"/>
      <c r="BS1718" s="110"/>
      <c r="BT1718" s="110"/>
      <c r="BU1718" s="110"/>
      <c r="BV1718" s="110"/>
      <c r="BW1718" s="110"/>
      <c r="BX1718" s="110"/>
      <c r="BY1718" s="110"/>
      <c r="BZ1718" s="110"/>
      <c r="CA1718" s="110"/>
      <c r="CB1718" s="110"/>
      <c r="CC1718" s="110"/>
      <c r="CD1718" s="110"/>
      <c r="CE1718" s="110"/>
      <c r="CF1718" s="110"/>
      <c r="CG1718" s="110"/>
      <c r="CH1718" s="110"/>
      <c r="CI1718" s="110"/>
      <c r="CJ1718" s="110"/>
      <c r="CK1718" s="110"/>
      <c r="CL1718" s="110"/>
      <c r="CM1718" s="110"/>
      <c r="CN1718" s="110"/>
      <c r="CO1718" s="110"/>
      <c r="CP1718" s="110"/>
      <c r="CQ1718" s="110"/>
      <c r="CR1718" s="110"/>
      <c r="CS1718" s="110"/>
      <c r="CT1718" s="110"/>
      <c r="CU1718" s="110"/>
      <c r="CV1718" s="110"/>
      <c r="CW1718" s="110"/>
      <c r="CX1718" s="110"/>
      <c r="CY1718" s="110"/>
      <c r="CZ1718" s="110"/>
      <c r="DA1718" s="110"/>
      <c r="DB1718" s="110"/>
      <c r="DC1718" s="110"/>
      <c r="DD1718" s="110"/>
      <c r="DE1718" s="110"/>
      <c r="DF1718" s="110"/>
      <c r="DG1718" s="110"/>
      <c r="DH1718" s="110"/>
      <c r="DI1718" s="110"/>
      <c r="DJ1718" s="110"/>
      <c r="DK1718" s="110"/>
      <c r="DL1718" s="110"/>
      <c r="DM1718" s="110"/>
      <c r="DN1718" s="110"/>
      <c r="DO1718" s="110"/>
      <c r="DP1718" s="110"/>
      <c r="DQ1718" s="110"/>
      <c r="DR1718" s="110"/>
      <c r="DS1718" s="110"/>
      <c r="DT1718" s="110"/>
      <c r="DU1718" s="110"/>
      <c r="DV1718" s="110"/>
      <c r="DW1718" s="110"/>
      <c r="DX1718" s="110"/>
      <c r="DY1718" s="110"/>
      <c r="DZ1718" s="110"/>
      <c r="EA1718" s="110"/>
      <c r="EB1718" s="110"/>
      <c r="EC1718" s="110"/>
      <c r="ED1718" s="110"/>
      <c r="EF1718" s="264"/>
      <c r="EG1718" s="110"/>
      <c r="EH1718" s="110"/>
      <c r="EI1718" s="110"/>
      <c r="EJ1718" s="110"/>
      <c r="EK1718" s="266"/>
      <c r="EL1718" s="110"/>
      <c r="EM1718" s="110"/>
      <c r="EN1718" s="110"/>
      <c r="EO1718" s="110"/>
      <c r="EP1718" s="110"/>
      <c r="EQ1718" s="110"/>
      <c r="ER1718" s="110"/>
      <c r="ES1718" s="110"/>
      <c r="ET1718" s="110"/>
      <c r="EU1718" s="110"/>
      <c r="EV1718" s="110"/>
      <c r="EW1718" s="110"/>
      <c r="EX1718" s="110"/>
      <c r="EY1718" s="110"/>
      <c r="EZ1718" s="110"/>
      <c r="FA1718" s="110"/>
      <c r="FB1718" s="110"/>
      <c r="FC1718" s="110"/>
      <c r="FD1718" s="110"/>
      <c r="FE1718" s="110"/>
      <c r="FF1718" s="110"/>
      <c r="FG1718" s="110"/>
      <c r="FH1718" s="110"/>
      <c r="FI1718" s="110"/>
      <c r="FJ1718" s="110"/>
      <c r="FK1718" s="110"/>
      <c r="FL1718" s="110"/>
      <c r="FM1718" s="110"/>
      <c r="FN1718" s="110"/>
      <c r="FO1718" s="110"/>
      <c r="FP1718" s="110"/>
      <c r="FQ1718" s="110"/>
      <c r="FR1718" s="110"/>
      <c r="FS1718" s="110"/>
      <c r="FT1718" s="110"/>
      <c r="FU1718" s="110"/>
      <c r="FV1718" s="110"/>
      <c r="FW1718" s="110"/>
      <c r="FX1718" s="110"/>
      <c r="FY1718" s="110"/>
      <c r="FZ1718" s="110"/>
      <c r="GA1718" s="110"/>
      <c r="GB1718" s="110"/>
      <c r="GC1718" s="110"/>
      <c r="GD1718" s="110"/>
      <c r="GE1718" s="110"/>
      <c r="GF1718" s="110"/>
      <c r="GG1718" s="110"/>
      <c r="GH1718" s="110"/>
      <c r="GI1718" s="110"/>
      <c r="GJ1718" s="110"/>
      <c r="GK1718" s="110"/>
      <c r="GL1718" s="110"/>
      <c r="GM1718" s="110"/>
      <c r="GN1718" s="110"/>
      <c r="GO1718" s="110"/>
      <c r="GP1718" s="110"/>
      <c r="GQ1718" s="110"/>
      <c r="GR1718" s="110"/>
      <c r="GS1718" s="110"/>
      <c r="GT1718" s="110"/>
      <c r="GU1718" s="110"/>
      <c r="GV1718" s="110"/>
      <c r="GW1718" s="110"/>
      <c r="GX1718" s="110"/>
      <c r="GY1718" s="110"/>
      <c r="GZ1718" s="110"/>
      <c r="HA1718" s="110"/>
      <c r="HB1718" s="110"/>
      <c r="HC1718" s="110"/>
      <c r="HD1718" s="110"/>
      <c r="HE1718" s="110"/>
      <c r="HF1718" s="110"/>
      <c r="HG1718" s="110"/>
      <c r="HH1718" s="110"/>
      <c r="HI1718" s="110"/>
      <c r="HJ1718" s="110"/>
      <c r="HK1718" s="110"/>
      <c r="HL1718" s="110"/>
      <c r="HM1718" s="110"/>
      <c r="HN1718" s="110"/>
      <c r="HO1718" s="110"/>
      <c r="HP1718" s="110"/>
      <c r="HQ1718" s="110"/>
      <c r="HR1718" s="110"/>
      <c r="HS1718" s="110"/>
      <c r="HT1718" s="110"/>
      <c r="HU1718" s="110"/>
      <c r="HV1718" s="110"/>
      <c r="HW1718" s="110"/>
      <c r="HX1718" s="110"/>
      <c r="HY1718" s="110"/>
      <c r="HZ1718" s="110"/>
      <c r="IA1718" s="110"/>
      <c r="IB1718" s="110"/>
      <c r="IC1718" s="110"/>
      <c r="ID1718" s="110"/>
      <c r="IE1718" s="110"/>
      <c r="IF1718" s="110"/>
      <c r="IG1718" s="110"/>
      <c r="IH1718" s="110"/>
      <c r="II1718" s="110"/>
      <c r="IJ1718" s="110"/>
      <c r="IK1718" s="110"/>
      <c r="IL1718" s="110"/>
      <c r="IM1718" s="110"/>
      <c r="IN1718" s="110"/>
      <c r="IO1718" s="110"/>
      <c r="IP1718" s="110"/>
      <c r="IQ1718" s="110"/>
      <c r="IR1718" s="110"/>
    </row>
    <row r="1719" spans="18:252" ht="16.5" hidden="1" customHeight="1">
      <c r="R1719" s="264"/>
      <c r="S1719" s="110"/>
      <c r="T1719" s="110"/>
      <c r="U1719" s="110"/>
      <c r="V1719" s="110"/>
      <c r="W1719" s="266"/>
      <c r="X1719" s="110"/>
      <c r="Y1719" s="110"/>
      <c r="Z1719" s="110"/>
      <c r="AA1719" s="110"/>
      <c r="AB1719" s="110"/>
      <c r="AC1719" s="110"/>
      <c r="AD1719" s="110"/>
      <c r="AE1719" s="110"/>
      <c r="AF1719" s="110"/>
      <c r="AG1719" s="110"/>
      <c r="AH1719" s="110"/>
      <c r="AI1719" s="110"/>
      <c r="AJ1719" s="110"/>
      <c r="AK1719" s="110"/>
      <c r="AL1719" s="110"/>
      <c r="AM1719" s="110"/>
      <c r="AN1719" s="110"/>
      <c r="AO1719" s="110"/>
      <c r="AP1719" s="110"/>
      <c r="AQ1719" s="110"/>
      <c r="AR1719" s="110"/>
      <c r="AS1719" s="110"/>
      <c r="AT1719" s="110"/>
      <c r="AU1719" s="110"/>
      <c r="AV1719" s="110"/>
      <c r="AW1719" s="110"/>
      <c r="AX1719" s="110"/>
      <c r="AY1719" s="110"/>
      <c r="AZ1719" s="110"/>
      <c r="BA1719" s="110"/>
      <c r="BB1719" s="110"/>
      <c r="BC1719" s="110"/>
      <c r="BD1719" s="110"/>
      <c r="BE1719" s="110"/>
      <c r="BF1719" s="110"/>
      <c r="BG1719" s="110"/>
      <c r="BH1719" s="110"/>
      <c r="BI1719" s="110"/>
      <c r="BJ1719" s="110"/>
      <c r="BK1719" s="110"/>
      <c r="BL1719" s="110"/>
      <c r="BM1719" s="110"/>
      <c r="BN1719" s="110"/>
      <c r="BO1719" s="110"/>
      <c r="BP1719" s="110"/>
      <c r="BQ1719" s="110"/>
      <c r="BR1719" s="110"/>
      <c r="BS1719" s="110"/>
      <c r="BT1719" s="110"/>
      <c r="BU1719" s="110"/>
      <c r="BV1719" s="110"/>
      <c r="BW1719" s="110"/>
      <c r="BX1719" s="110"/>
      <c r="BY1719" s="110"/>
      <c r="BZ1719" s="110"/>
      <c r="CA1719" s="110"/>
      <c r="CB1719" s="110"/>
      <c r="CC1719" s="110"/>
      <c r="CD1719" s="110"/>
      <c r="CE1719" s="110"/>
      <c r="CF1719" s="110"/>
      <c r="CG1719" s="110"/>
      <c r="CH1719" s="110"/>
      <c r="CI1719" s="110"/>
      <c r="CJ1719" s="110"/>
      <c r="CK1719" s="110"/>
      <c r="CL1719" s="110"/>
      <c r="CM1719" s="110"/>
      <c r="CN1719" s="110"/>
      <c r="CO1719" s="110"/>
      <c r="CP1719" s="110"/>
      <c r="CQ1719" s="110"/>
      <c r="CR1719" s="110"/>
      <c r="CS1719" s="110"/>
      <c r="CT1719" s="110"/>
      <c r="CU1719" s="110"/>
      <c r="CV1719" s="110"/>
      <c r="CW1719" s="110"/>
      <c r="CX1719" s="110"/>
      <c r="CY1719" s="110"/>
      <c r="CZ1719" s="110"/>
      <c r="DA1719" s="110"/>
      <c r="DB1719" s="110"/>
      <c r="DC1719" s="110"/>
      <c r="DD1719" s="110"/>
      <c r="DE1719" s="110"/>
      <c r="DF1719" s="110"/>
      <c r="DG1719" s="110"/>
      <c r="DH1719" s="110"/>
      <c r="DI1719" s="110"/>
      <c r="DJ1719" s="110"/>
      <c r="DK1719" s="110"/>
      <c r="DL1719" s="110"/>
      <c r="DM1719" s="110"/>
      <c r="DN1719" s="110"/>
      <c r="DO1719" s="110"/>
      <c r="DP1719" s="110"/>
      <c r="DQ1719" s="110"/>
      <c r="DR1719" s="110"/>
      <c r="DS1719" s="110"/>
      <c r="DT1719" s="110"/>
      <c r="DU1719" s="110"/>
      <c r="DV1719" s="110"/>
      <c r="DW1719" s="110"/>
      <c r="DX1719" s="110"/>
      <c r="DY1719" s="110"/>
      <c r="DZ1719" s="110"/>
      <c r="EA1719" s="110"/>
      <c r="EB1719" s="110"/>
      <c r="EC1719" s="110"/>
      <c r="ED1719" s="110"/>
      <c r="EF1719" s="264"/>
      <c r="EG1719" s="110"/>
      <c r="EH1719" s="110"/>
      <c r="EI1719" s="110"/>
      <c r="EJ1719" s="110"/>
      <c r="EK1719" s="266"/>
      <c r="EL1719" s="110"/>
      <c r="EM1719" s="110"/>
      <c r="EN1719" s="110"/>
      <c r="EO1719" s="110"/>
      <c r="EP1719" s="110"/>
      <c r="EQ1719" s="110"/>
      <c r="ER1719" s="110"/>
      <c r="ES1719" s="110"/>
      <c r="ET1719" s="110"/>
      <c r="EU1719" s="110"/>
      <c r="EV1719" s="110"/>
      <c r="EW1719" s="110"/>
      <c r="EX1719" s="110"/>
      <c r="EY1719" s="110"/>
      <c r="EZ1719" s="110"/>
      <c r="FA1719" s="110"/>
      <c r="FB1719" s="110"/>
      <c r="FC1719" s="110"/>
      <c r="FD1719" s="110"/>
      <c r="FE1719" s="110"/>
      <c r="FF1719" s="110"/>
      <c r="FG1719" s="110"/>
      <c r="FH1719" s="110"/>
      <c r="FI1719" s="110"/>
      <c r="FJ1719" s="110"/>
      <c r="FK1719" s="110"/>
      <c r="FL1719" s="110"/>
      <c r="FM1719" s="110"/>
      <c r="FN1719" s="110"/>
      <c r="FO1719" s="110"/>
      <c r="FP1719" s="110"/>
      <c r="FQ1719" s="110"/>
      <c r="FR1719" s="110"/>
      <c r="FS1719" s="110"/>
      <c r="FT1719" s="110"/>
      <c r="FU1719" s="110"/>
      <c r="FV1719" s="110"/>
      <c r="FW1719" s="110"/>
      <c r="FX1719" s="110"/>
      <c r="FY1719" s="110"/>
      <c r="FZ1719" s="110"/>
      <c r="GA1719" s="110"/>
      <c r="GB1719" s="110"/>
      <c r="GC1719" s="110"/>
      <c r="GD1719" s="110"/>
      <c r="GE1719" s="110"/>
      <c r="GF1719" s="110"/>
      <c r="GG1719" s="110"/>
      <c r="GH1719" s="110"/>
      <c r="GI1719" s="110"/>
      <c r="GJ1719" s="110"/>
      <c r="GK1719" s="110"/>
      <c r="GL1719" s="110"/>
      <c r="GM1719" s="110"/>
      <c r="GN1719" s="110"/>
      <c r="GO1719" s="110"/>
      <c r="GP1719" s="110"/>
      <c r="GQ1719" s="110"/>
      <c r="GR1719" s="110"/>
      <c r="GS1719" s="110"/>
      <c r="GT1719" s="110"/>
      <c r="GU1719" s="110"/>
      <c r="GV1719" s="110"/>
      <c r="GW1719" s="110"/>
      <c r="GX1719" s="110"/>
      <c r="GY1719" s="110"/>
      <c r="GZ1719" s="110"/>
      <c r="HA1719" s="110"/>
      <c r="HB1719" s="110"/>
      <c r="HC1719" s="110"/>
      <c r="HD1719" s="110"/>
      <c r="HE1719" s="110"/>
      <c r="HF1719" s="110"/>
      <c r="HG1719" s="110"/>
      <c r="HH1719" s="110"/>
      <c r="HI1719" s="110"/>
      <c r="HJ1719" s="110"/>
      <c r="HK1719" s="110"/>
      <c r="HL1719" s="110"/>
      <c r="HM1719" s="110"/>
      <c r="HN1719" s="110"/>
      <c r="HO1719" s="110"/>
      <c r="HP1719" s="110"/>
      <c r="HQ1719" s="110"/>
      <c r="HR1719" s="110"/>
      <c r="HS1719" s="110"/>
      <c r="HT1719" s="110"/>
      <c r="HU1719" s="110"/>
      <c r="HV1719" s="110"/>
      <c r="HW1719" s="110"/>
      <c r="HX1719" s="110"/>
      <c r="HY1719" s="110"/>
      <c r="HZ1719" s="110"/>
      <c r="IA1719" s="110"/>
      <c r="IB1719" s="110"/>
      <c r="IC1719" s="110"/>
      <c r="ID1719" s="110"/>
      <c r="IE1719" s="110"/>
      <c r="IF1719" s="110"/>
      <c r="IG1719" s="110"/>
      <c r="IH1719" s="110"/>
      <c r="II1719" s="110"/>
      <c r="IJ1719" s="110"/>
      <c r="IK1719" s="110"/>
      <c r="IL1719" s="110"/>
      <c r="IM1719" s="110"/>
      <c r="IN1719" s="110"/>
      <c r="IO1719" s="110"/>
      <c r="IP1719" s="110"/>
      <c r="IQ1719" s="110"/>
      <c r="IR1719" s="110"/>
    </row>
    <row r="1720" spans="18:252" ht="16.5" hidden="1" customHeight="1">
      <c r="R1720" s="264"/>
      <c r="S1720" s="110"/>
      <c r="T1720" s="110"/>
      <c r="U1720" s="110"/>
      <c r="V1720" s="110"/>
      <c r="W1720" s="266"/>
      <c r="X1720" s="110"/>
      <c r="Y1720" s="110"/>
      <c r="Z1720" s="110"/>
      <c r="AA1720" s="110"/>
      <c r="AB1720" s="110"/>
      <c r="AC1720" s="110"/>
      <c r="AD1720" s="110"/>
      <c r="AE1720" s="110"/>
      <c r="AF1720" s="110"/>
      <c r="AG1720" s="110"/>
      <c r="AH1720" s="110"/>
      <c r="AI1720" s="110"/>
      <c r="AJ1720" s="110"/>
      <c r="AK1720" s="110"/>
      <c r="AL1720" s="110"/>
      <c r="AM1720" s="110"/>
      <c r="AN1720" s="110"/>
      <c r="AO1720" s="110"/>
      <c r="AP1720" s="110"/>
      <c r="AQ1720" s="110"/>
      <c r="AR1720" s="110"/>
      <c r="AS1720" s="110"/>
      <c r="AT1720" s="110"/>
      <c r="AU1720" s="110"/>
      <c r="AV1720" s="110"/>
      <c r="AW1720" s="110"/>
      <c r="AX1720" s="110"/>
      <c r="AY1720" s="110"/>
      <c r="AZ1720" s="110"/>
      <c r="BA1720" s="110"/>
      <c r="BB1720" s="110"/>
      <c r="BC1720" s="110"/>
      <c r="BD1720" s="110"/>
      <c r="BE1720" s="110"/>
      <c r="BF1720" s="110"/>
      <c r="BG1720" s="110"/>
      <c r="BH1720" s="110"/>
      <c r="BI1720" s="110"/>
      <c r="BJ1720" s="110"/>
      <c r="BK1720" s="110"/>
      <c r="BL1720" s="110"/>
      <c r="BM1720" s="110"/>
      <c r="BN1720" s="110"/>
      <c r="BO1720" s="110"/>
      <c r="BP1720" s="110"/>
      <c r="BQ1720" s="110"/>
      <c r="BR1720" s="110"/>
      <c r="BS1720" s="110"/>
      <c r="BT1720" s="110"/>
      <c r="BU1720" s="110"/>
      <c r="BV1720" s="110"/>
      <c r="BW1720" s="110"/>
      <c r="BX1720" s="110"/>
      <c r="BY1720" s="110"/>
      <c r="BZ1720" s="110"/>
      <c r="CA1720" s="110"/>
      <c r="CB1720" s="110"/>
      <c r="CC1720" s="110"/>
      <c r="CD1720" s="110"/>
      <c r="CE1720" s="110"/>
      <c r="CF1720" s="110"/>
      <c r="CG1720" s="110"/>
      <c r="CH1720" s="110"/>
      <c r="CI1720" s="110"/>
      <c r="CJ1720" s="110"/>
      <c r="CK1720" s="110"/>
      <c r="CL1720" s="110"/>
      <c r="CM1720" s="110"/>
      <c r="CN1720" s="110"/>
      <c r="CO1720" s="110"/>
      <c r="CP1720" s="110"/>
      <c r="CQ1720" s="110"/>
      <c r="CR1720" s="110"/>
      <c r="CS1720" s="110"/>
      <c r="CT1720" s="110"/>
      <c r="CU1720" s="110"/>
      <c r="CV1720" s="110"/>
      <c r="CW1720" s="110"/>
      <c r="CX1720" s="110"/>
      <c r="CY1720" s="110"/>
      <c r="CZ1720" s="110"/>
      <c r="DA1720" s="110"/>
      <c r="DB1720" s="110"/>
      <c r="DC1720" s="110"/>
      <c r="DD1720" s="110"/>
      <c r="DE1720" s="110"/>
      <c r="DF1720" s="110"/>
      <c r="DG1720" s="110"/>
      <c r="DH1720" s="110"/>
      <c r="DI1720" s="110"/>
      <c r="DJ1720" s="110"/>
      <c r="DK1720" s="110"/>
      <c r="DL1720" s="110"/>
      <c r="DM1720" s="110"/>
      <c r="DN1720" s="110"/>
      <c r="DO1720" s="110"/>
      <c r="DP1720" s="110"/>
      <c r="DQ1720" s="110"/>
      <c r="DR1720" s="110"/>
      <c r="DS1720" s="110"/>
      <c r="DT1720" s="110"/>
      <c r="DU1720" s="110"/>
      <c r="DV1720" s="110"/>
      <c r="DW1720" s="110"/>
      <c r="DX1720" s="110"/>
      <c r="DY1720" s="110"/>
      <c r="DZ1720" s="110"/>
      <c r="EA1720" s="110"/>
      <c r="EB1720" s="110"/>
      <c r="EC1720" s="110"/>
      <c r="ED1720" s="110"/>
      <c r="EF1720" s="264"/>
      <c r="EG1720" s="110"/>
      <c r="EH1720" s="110"/>
      <c r="EI1720" s="110"/>
      <c r="EJ1720" s="110"/>
      <c r="EK1720" s="266"/>
      <c r="EL1720" s="110"/>
      <c r="EM1720" s="110"/>
      <c r="EN1720" s="110"/>
      <c r="EO1720" s="110"/>
      <c r="EP1720" s="110"/>
      <c r="EQ1720" s="110"/>
      <c r="ER1720" s="110"/>
      <c r="ES1720" s="110"/>
      <c r="ET1720" s="110"/>
      <c r="EU1720" s="110"/>
      <c r="EV1720" s="110"/>
      <c r="EW1720" s="110"/>
      <c r="EX1720" s="110"/>
      <c r="EY1720" s="110"/>
      <c r="EZ1720" s="110"/>
      <c r="FA1720" s="110"/>
      <c r="FB1720" s="110"/>
      <c r="FC1720" s="110"/>
      <c r="FD1720" s="110"/>
      <c r="FE1720" s="110"/>
      <c r="FF1720" s="110"/>
      <c r="FG1720" s="110"/>
      <c r="FH1720" s="110"/>
      <c r="FI1720" s="110"/>
      <c r="FJ1720" s="110"/>
      <c r="FK1720" s="110"/>
      <c r="FL1720" s="110"/>
      <c r="FM1720" s="110"/>
      <c r="FN1720" s="110"/>
      <c r="FO1720" s="110"/>
      <c r="FP1720" s="110"/>
      <c r="FQ1720" s="110"/>
      <c r="FR1720" s="110"/>
      <c r="FS1720" s="110"/>
      <c r="FT1720" s="110"/>
      <c r="FU1720" s="110"/>
      <c r="FV1720" s="110"/>
      <c r="FW1720" s="110"/>
      <c r="FX1720" s="110"/>
      <c r="FY1720" s="110"/>
      <c r="FZ1720" s="110"/>
      <c r="GA1720" s="110"/>
      <c r="GB1720" s="110"/>
      <c r="GC1720" s="110"/>
      <c r="GD1720" s="110"/>
      <c r="GE1720" s="110"/>
      <c r="GF1720" s="110"/>
      <c r="GG1720" s="110"/>
      <c r="GH1720" s="110"/>
      <c r="GI1720" s="110"/>
      <c r="GJ1720" s="110"/>
      <c r="GK1720" s="110"/>
      <c r="GL1720" s="110"/>
      <c r="GM1720" s="110"/>
      <c r="GN1720" s="110"/>
      <c r="GO1720" s="110"/>
      <c r="GP1720" s="110"/>
      <c r="GQ1720" s="110"/>
      <c r="GR1720" s="110"/>
      <c r="GS1720" s="110"/>
      <c r="GT1720" s="110"/>
      <c r="GU1720" s="110"/>
      <c r="GV1720" s="110"/>
      <c r="GW1720" s="110"/>
      <c r="GX1720" s="110"/>
      <c r="GY1720" s="110"/>
      <c r="GZ1720" s="110"/>
      <c r="HA1720" s="110"/>
      <c r="HB1720" s="110"/>
      <c r="HC1720" s="110"/>
      <c r="HD1720" s="110"/>
      <c r="HE1720" s="110"/>
      <c r="HF1720" s="110"/>
      <c r="HG1720" s="110"/>
      <c r="HH1720" s="110"/>
      <c r="HI1720" s="110"/>
      <c r="HJ1720" s="110"/>
      <c r="HK1720" s="110"/>
      <c r="HL1720" s="110"/>
      <c r="HM1720" s="110"/>
      <c r="HN1720" s="110"/>
      <c r="HO1720" s="110"/>
      <c r="HP1720" s="110"/>
      <c r="HQ1720" s="110"/>
      <c r="HR1720" s="110"/>
      <c r="HS1720" s="110"/>
      <c r="HT1720" s="110"/>
      <c r="HU1720" s="110"/>
      <c r="HV1720" s="110"/>
      <c r="HW1720" s="110"/>
      <c r="HX1720" s="110"/>
      <c r="HY1720" s="110"/>
      <c r="HZ1720" s="110"/>
      <c r="IA1720" s="110"/>
      <c r="IB1720" s="110"/>
      <c r="IC1720" s="110"/>
      <c r="ID1720" s="110"/>
      <c r="IE1720" s="110"/>
      <c r="IF1720" s="110"/>
      <c r="IG1720" s="110"/>
      <c r="IH1720" s="110"/>
      <c r="II1720" s="110"/>
      <c r="IJ1720" s="110"/>
      <c r="IK1720" s="110"/>
      <c r="IL1720" s="110"/>
      <c r="IM1720" s="110"/>
      <c r="IN1720" s="110"/>
      <c r="IO1720" s="110"/>
      <c r="IP1720" s="110"/>
      <c r="IQ1720" s="110"/>
      <c r="IR1720" s="110"/>
    </row>
    <row r="1721" spans="18:252" ht="16.5" hidden="1" customHeight="1">
      <c r="R1721" s="264"/>
      <c r="S1721" s="110"/>
      <c r="T1721" s="110"/>
      <c r="U1721" s="110"/>
      <c r="V1721" s="110"/>
      <c r="W1721" s="266"/>
      <c r="X1721" s="110"/>
      <c r="Y1721" s="110"/>
      <c r="Z1721" s="110"/>
      <c r="AA1721" s="110"/>
      <c r="AB1721" s="110"/>
      <c r="AC1721" s="110"/>
      <c r="AD1721" s="110"/>
      <c r="AE1721" s="110"/>
      <c r="AF1721" s="110"/>
      <c r="AG1721" s="110"/>
      <c r="AH1721" s="110"/>
      <c r="AI1721" s="110"/>
      <c r="AJ1721" s="110"/>
      <c r="AK1721" s="110"/>
      <c r="AL1721" s="110"/>
      <c r="AM1721" s="110"/>
      <c r="AN1721" s="110"/>
      <c r="AO1721" s="110"/>
      <c r="AP1721" s="110"/>
      <c r="AQ1721" s="110"/>
      <c r="AR1721" s="110"/>
      <c r="AS1721" s="110"/>
      <c r="AT1721" s="110"/>
      <c r="AU1721" s="110"/>
      <c r="AV1721" s="110"/>
      <c r="AW1721" s="110"/>
      <c r="AX1721" s="110"/>
      <c r="AY1721" s="110"/>
      <c r="AZ1721" s="110"/>
      <c r="BA1721" s="110"/>
      <c r="BB1721" s="110"/>
      <c r="BC1721" s="110"/>
      <c r="BD1721" s="110"/>
      <c r="BE1721" s="110"/>
      <c r="BF1721" s="110"/>
      <c r="BG1721" s="110"/>
      <c r="BH1721" s="110"/>
      <c r="BI1721" s="110"/>
      <c r="BJ1721" s="110"/>
      <c r="BK1721" s="110"/>
      <c r="BL1721" s="110"/>
      <c r="BM1721" s="110"/>
      <c r="BN1721" s="110"/>
      <c r="BO1721" s="110"/>
      <c r="BP1721" s="110"/>
      <c r="BQ1721" s="110"/>
      <c r="BR1721" s="110"/>
      <c r="BS1721" s="110"/>
      <c r="BT1721" s="110"/>
      <c r="BU1721" s="110"/>
      <c r="BV1721" s="110"/>
      <c r="BW1721" s="110"/>
      <c r="BX1721" s="110"/>
      <c r="BY1721" s="110"/>
      <c r="BZ1721" s="110"/>
      <c r="CA1721" s="110"/>
      <c r="CB1721" s="110"/>
      <c r="CC1721" s="110"/>
      <c r="CD1721" s="110"/>
      <c r="CE1721" s="110"/>
      <c r="CF1721" s="110"/>
      <c r="CG1721" s="110"/>
      <c r="CH1721" s="110"/>
      <c r="CI1721" s="110"/>
      <c r="CJ1721" s="110"/>
      <c r="CK1721" s="110"/>
      <c r="CL1721" s="110"/>
      <c r="CM1721" s="110"/>
      <c r="CN1721" s="110"/>
      <c r="CO1721" s="110"/>
      <c r="CP1721" s="110"/>
      <c r="CQ1721" s="110"/>
      <c r="CR1721" s="110"/>
      <c r="CS1721" s="110"/>
      <c r="CT1721" s="110"/>
      <c r="CU1721" s="110"/>
      <c r="CV1721" s="110"/>
      <c r="CW1721" s="110"/>
      <c r="CX1721" s="110"/>
      <c r="CY1721" s="110"/>
      <c r="CZ1721" s="110"/>
      <c r="DA1721" s="110"/>
      <c r="DB1721" s="110"/>
      <c r="DC1721" s="110"/>
      <c r="DD1721" s="110"/>
      <c r="DE1721" s="110"/>
      <c r="DF1721" s="110"/>
      <c r="DG1721" s="110"/>
      <c r="DH1721" s="110"/>
      <c r="DI1721" s="110"/>
      <c r="DJ1721" s="110"/>
      <c r="DK1721" s="110"/>
      <c r="DL1721" s="110"/>
      <c r="DM1721" s="110"/>
      <c r="DN1721" s="110"/>
      <c r="DO1721" s="110"/>
      <c r="DP1721" s="110"/>
      <c r="DQ1721" s="110"/>
      <c r="DR1721" s="110"/>
      <c r="DS1721" s="110"/>
      <c r="DT1721" s="110"/>
      <c r="DU1721" s="110"/>
      <c r="DV1721" s="110"/>
      <c r="DW1721" s="110"/>
      <c r="DX1721" s="110"/>
      <c r="DY1721" s="110"/>
      <c r="DZ1721" s="110"/>
      <c r="EA1721" s="110"/>
      <c r="EB1721" s="110"/>
      <c r="EC1721" s="110"/>
      <c r="ED1721" s="110"/>
      <c r="EF1721" s="264"/>
      <c r="EG1721" s="110"/>
      <c r="EH1721" s="110"/>
      <c r="EI1721" s="110"/>
      <c r="EJ1721" s="110"/>
      <c r="EK1721" s="266"/>
      <c r="EL1721" s="110"/>
      <c r="EM1721" s="110"/>
      <c r="EN1721" s="110"/>
      <c r="EO1721" s="110"/>
      <c r="EP1721" s="110"/>
      <c r="EQ1721" s="110"/>
      <c r="ER1721" s="110"/>
      <c r="ES1721" s="110"/>
      <c r="ET1721" s="110"/>
      <c r="EU1721" s="110"/>
      <c r="EV1721" s="110"/>
      <c r="EW1721" s="110"/>
      <c r="EX1721" s="110"/>
      <c r="EY1721" s="110"/>
      <c r="EZ1721" s="110"/>
      <c r="FA1721" s="110"/>
      <c r="FB1721" s="110"/>
      <c r="FC1721" s="110"/>
      <c r="FD1721" s="110"/>
      <c r="FE1721" s="110"/>
      <c r="FF1721" s="110"/>
      <c r="FG1721" s="110"/>
      <c r="FH1721" s="110"/>
      <c r="FI1721" s="110"/>
      <c r="FJ1721" s="110"/>
      <c r="FK1721" s="110"/>
      <c r="FL1721" s="110"/>
      <c r="FM1721" s="110"/>
      <c r="FN1721" s="110"/>
      <c r="FO1721" s="110"/>
      <c r="FP1721" s="110"/>
      <c r="FQ1721" s="110"/>
      <c r="FR1721" s="110"/>
      <c r="FS1721" s="110"/>
      <c r="FT1721" s="110"/>
      <c r="FU1721" s="110"/>
      <c r="FV1721" s="110"/>
      <c r="FW1721" s="110"/>
      <c r="FX1721" s="110"/>
      <c r="FY1721" s="110"/>
      <c r="FZ1721" s="110"/>
      <c r="GA1721" s="110"/>
      <c r="GB1721" s="110"/>
      <c r="GC1721" s="110"/>
      <c r="GD1721" s="110"/>
      <c r="GE1721" s="110"/>
      <c r="GF1721" s="110"/>
      <c r="GG1721" s="110"/>
      <c r="GH1721" s="110"/>
      <c r="GI1721" s="110"/>
      <c r="GJ1721" s="110"/>
      <c r="GK1721" s="110"/>
      <c r="GL1721" s="110"/>
      <c r="GM1721" s="110"/>
      <c r="GN1721" s="110"/>
      <c r="GO1721" s="110"/>
      <c r="GP1721" s="110"/>
      <c r="GQ1721" s="110"/>
      <c r="GR1721" s="110"/>
      <c r="GS1721" s="110"/>
      <c r="GT1721" s="110"/>
      <c r="GU1721" s="110"/>
      <c r="GV1721" s="110"/>
      <c r="GW1721" s="110"/>
      <c r="GX1721" s="110"/>
      <c r="GY1721" s="110"/>
      <c r="GZ1721" s="110"/>
      <c r="HA1721" s="110"/>
      <c r="HB1721" s="110"/>
      <c r="HC1721" s="110"/>
      <c r="HD1721" s="110"/>
      <c r="HE1721" s="110"/>
      <c r="HF1721" s="110"/>
      <c r="HG1721" s="110"/>
      <c r="HH1721" s="110"/>
      <c r="HI1721" s="110"/>
      <c r="HJ1721" s="110"/>
      <c r="HK1721" s="110"/>
      <c r="HL1721" s="110"/>
      <c r="HM1721" s="110"/>
      <c r="HN1721" s="110"/>
      <c r="HO1721" s="110"/>
      <c r="HP1721" s="110"/>
      <c r="HQ1721" s="110"/>
      <c r="HR1721" s="110"/>
      <c r="HS1721" s="110"/>
      <c r="HT1721" s="110"/>
      <c r="HU1721" s="110"/>
      <c r="HV1721" s="110"/>
      <c r="HW1721" s="110"/>
      <c r="HX1721" s="110"/>
      <c r="HY1721" s="110"/>
      <c r="HZ1721" s="110"/>
      <c r="IA1721" s="110"/>
      <c r="IB1721" s="110"/>
      <c r="IC1721" s="110"/>
      <c r="ID1721" s="110"/>
      <c r="IE1721" s="110"/>
      <c r="IF1721" s="110"/>
      <c r="IG1721" s="110"/>
      <c r="IH1721" s="110"/>
      <c r="II1721" s="110"/>
      <c r="IJ1721" s="110"/>
      <c r="IK1721" s="110"/>
      <c r="IL1721" s="110"/>
      <c r="IM1721" s="110"/>
      <c r="IN1721" s="110"/>
      <c r="IO1721" s="110"/>
      <c r="IP1721" s="110"/>
      <c r="IQ1721" s="110"/>
      <c r="IR1721" s="110"/>
    </row>
    <row r="1722" spans="18:252" ht="16.5" hidden="1" customHeight="1">
      <c r="R1722" s="264"/>
      <c r="S1722" s="110"/>
      <c r="T1722" s="110"/>
      <c r="U1722" s="110"/>
      <c r="V1722" s="110"/>
      <c r="W1722" s="266"/>
      <c r="X1722" s="110"/>
      <c r="Y1722" s="110"/>
      <c r="Z1722" s="110"/>
      <c r="AA1722" s="110"/>
      <c r="AB1722" s="110"/>
      <c r="AC1722" s="110"/>
      <c r="AD1722" s="110"/>
      <c r="AE1722" s="110"/>
      <c r="AF1722" s="110"/>
      <c r="AG1722" s="110"/>
      <c r="AH1722" s="110"/>
      <c r="AI1722" s="110"/>
      <c r="AJ1722" s="110"/>
      <c r="AK1722" s="110"/>
      <c r="AL1722" s="110"/>
      <c r="AM1722" s="110"/>
      <c r="AN1722" s="110"/>
      <c r="AO1722" s="110"/>
      <c r="AP1722" s="110"/>
      <c r="AQ1722" s="110"/>
      <c r="AR1722" s="110"/>
      <c r="AS1722" s="110"/>
      <c r="AT1722" s="110"/>
      <c r="AU1722" s="110"/>
      <c r="AV1722" s="110"/>
      <c r="AW1722" s="110"/>
      <c r="AX1722" s="110"/>
      <c r="AY1722" s="110"/>
      <c r="AZ1722" s="110"/>
      <c r="BA1722" s="110"/>
      <c r="BB1722" s="110"/>
      <c r="BC1722" s="110"/>
      <c r="BD1722" s="110"/>
      <c r="BE1722" s="110"/>
      <c r="BF1722" s="110"/>
      <c r="BG1722" s="110"/>
      <c r="BH1722" s="110"/>
      <c r="BI1722" s="110"/>
      <c r="BJ1722" s="110"/>
      <c r="BK1722" s="110"/>
      <c r="BL1722" s="110"/>
      <c r="BM1722" s="110"/>
      <c r="BN1722" s="110"/>
      <c r="BO1722" s="110"/>
      <c r="BP1722" s="110"/>
      <c r="BQ1722" s="110"/>
      <c r="BR1722" s="110"/>
      <c r="BS1722" s="110"/>
      <c r="BT1722" s="110"/>
      <c r="BU1722" s="110"/>
      <c r="BV1722" s="110"/>
      <c r="BW1722" s="110"/>
      <c r="BX1722" s="110"/>
      <c r="BY1722" s="110"/>
      <c r="BZ1722" s="110"/>
      <c r="CA1722" s="110"/>
      <c r="CB1722" s="110"/>
      <c r="CC1722" s="110"/>
      <c r="CD1722" s="110"/>
      <c r="CE1722" s="110"/>
      <c r="CF1722" s="110"/>
      <c r="CG1722" s="110"/>
      <c r="CH1722" s="110"/>
      <c r="CI1722" s="110"/>
      <c r="CJ1722" s="110"/>
      <c r="CK1722" s="110"/>
      <c r="CL1722" s="110"/>
      <c r="CM1722" s="110"/>
      <c r="CN1722" s="110"/>
      <c r="CO1722" s="110"/>
      <c r="CP1722" s="110"/>
      <c r="CQ1722" s="110"/>
      <c r="CR1722" s="110"/>
      <c r="CS1722" s="110"/>
      <c r="CT1722" s="110"/>
      <c r="CU1722" s="110"/>
      <c r="CV1722" s="110"/>
      <c r="CW1722" s="110"/>
      <c r="CX1722" s="110"/>
      <c r="CY1722" s="110"/>
      <c r="CZ1722" s="110"/>
      <c r="DA1722" s="110"/>
      <c r="DB1722" s="110"/>
      <c r="DC1722" s="110"/>
      <c r="DD1722" s="110"/>
      <c r="DE1722" s="110"/>
      <c r="DF1722" s="110"/>
      <c r="DG1722" s="110"/>
      <c r="DH1722" s="110"/>
      <c r="DI1722" s="110"/>
      <c r="DJ1722" s="110"/>
      <c r="DK1722" s="110"/>
      <c r="DL1722" s="110"/>
      <c r="DM1722" s="110"/>
      <c r="DN1722" s="110"/>
      <c r="DO1722" s="110"/>
      <c r="DP1722" s="110"/>
      <c r="DQ1722" s="110"/>
      <c r="DR1722" s="110"/>
      <c r="DS1722" s="110"/>
      <c r="DT1722" s="110"/>
      <c r="DU1722" s="110"/>
      <c r="DV1722" s="110"/>
      <c r="DW1722" s="110"/>
      <c r="DX1722" s="110"/>
      <c r="DY1722" s="110"/>
      <c r="DZ1722" s="110"/>
      <c r="EA1722" s="110"/>
      <c r="EB1722" s="110"/>
      <c r="EC1722" s="110"/>
      <c r="ED1722" s="110"/>
      <c r="EF1722" s="264"/>
      <c r="EG1722" s="110"/>
      <c r="EH1722" s="110"/>
      <c r="EI1722" s="110"/>
      <c r="EJ1722" s="110"/>
      <c r="EK1722" s="266"/>
      <c r="EL1722" s="110"/>
      <c r="EM1722" s="110"/>
      <c r="EN1722" s="110"/>
      <c r="EO1722" s="110"/>
      <c r="EP1722" s="110"/>
      <c r="EQ1722" s="110"/>
      <c r="ER1722" s="110"/>
      <c r="ES1722" s="110"/>
      <c r="ET1722" s="110"/>
      <c r="EU1722" s="110"/>
      <c r="EV1722" s="110"/>
      <c r="EW1722" s="110"/>
      <c r="EX1722" s="110"/>
      <c r="EY1722" s="110"/>
      <c r="EZ1722" s="110"/>
      <c r="FA1722" s="110"/>
      <c r="FB1722" s="110"/>
      <c r="FC1722" s="110"/>
      <c r="FD1722" s="110"/>
      <c r="FE1722" s="110"/>
      <c r="FF1722" s="110"/>
      <c r="FG1722" s="110"/>
      <c r="FH1722" s="110"/>
      <c r="FI1722" s="110"/>
      <c r="FJ1722" s="110"/>
      <c r="FK1722" s="110"/>
      <c r="FL1722" s="110"/>
      <c r="FM1722" s="110"/>
      <c r="FN1722" s="110"/>
      <c r="FO1722" s="110"/>
      <c r="FP1722" s="110"/>
      <c r="FQ1722" s="110"/>
      <c r="FR1722" s="110"/>
      <c r="FS1722" s="110"/>
      <c r="FT1722" s="110"/>
      <c r="FU1722" s="110"/>
      <c r="FV1722" s="110"/>
      <c r="FW1722" s="110"/>
      <c r="FX1722" s="110"/>
      <c r="FY1722" s="110"/>
      <c r="FZ1722" s="110"/>
      <c r="GA1722" s="110"/>
      <c r="GB1722" s="110"/>
      <c r="GC1722" s="110"/>
      <c r="GD1722" s="110"/>
      <c r="GE1722" s="110"/>
      <c r="GF1722" s="110"/>
      <c r="GG1722" s="110"/>
      <c r="GH1722" s="110"/>
      <c r="GI1722" s="110"/>
      <c r="GJ1722" s="110"/>
      <c r="GK1722" s="110"/>
      <c r="GL1722" s="110"/>
      <c r="GM1722" s="110"/>
      <c r="GN1722" s="110"/>
      <c r="GO1722" s="110"/>
      <c r="GP1722" s="110"/>
      <c r="GQ1722" s="110"/>
      <c r="GR1722" s="110"/>
      <c r="GS1722" s="110"/>
      <c r="GT1722" s="110"/>
      <c r="GU1722" s="110"/>
      <c r="GV1722" s="110"/>
      <c r="GW1722" s="110"/>
      <c r="GX1722" s="110"/>
      <c r="GY1722" s="110"/>
      <c r="GZ1722" s="110"/>
      <c r="HA1722" s="110"/>
      <c r="HB1722" s="110"/>
      <c r="HC1722" s="110"/>
      <c r="HD1722" s="110"/>
      <c r="HE1722" s="110"/>
      <c r="HF1722" s="110"/>
      <c r="HG1722" s="110"/>
      <c r="HH1722" s="110"/>
      <c r="HI1722" s="110"/>
      <c r="HJ1722" s="110"/>
      <c r="HK1722" s="110"/>
      <c r="HL1722" s="110"/>
      <c r="HM1722" s="110"/>
      <c r="HN1722" s="110"/>
      <c r="HO1722" s="110"/>
      <c r="HP1722" s="110"/>
      <c r="HQ1722" s="110"/>
      <c r="HR1722" s="110"/>
      <c r="HS1722" s="110"/>
      <c r="HT1722" s="110"/>
      <c r="HU1722" s="110"/>
      <c r="HV1722" s="110"/>
      <c r="HW1722" s="110"/>
      <c r="HX1722" s="110"/>
      <c r="HY1722" s="110"/>
      <c r="HZ1722" s="110"/>
      <c r="IA1722" s="110"/>
      <c r="IB1722" s="110"/>
      <c r="IC1722" s="110"/>
      <c r="ID1722" s="110"/>
      <c r="IE1722" s="110"/>
      <c r="IF1722" s="110"/>
      <c r="IG1722" s="110"/>
      <c r="IH1722" s="110"/>
      <c r="II1722" s="110"/>
      <c r="IJ1722" s="110"/>
      <c r="IK1722" s="110"/>
      <c r="IL1722" s="110"/>
      <c r="IM1722" s="110"/>
      <c r="IN1722" s="110"/>
      <c r="IO1722" s="110"/>
      <c r="IP1722" s="110"/>
      <c r="IQ1722" s="110"/>
      <c r="IR1722" s="110"/>
    </row>
    <row r="1723" spans="18:252" ht="16.5" hidden="1" customHeight="1">
      <c r="R1723" s="264"/>
      <c r="S1723" s="110"/>
      <c r="T1723" s="110"/>
      <c r="U1723" s="110"/>
      <c r="V1723" s="110"/>
      <c r="W1723" s="266"/>
      <c r="X1723" s="110"/>
      <c r="Y1723" s="110"/>
      <c r="Z1723" s="110"/>
      <c r="AA1723" s="110"/>
      <c r="AB1723" s="110"/>
      <c r="AC1723" s="110"/>
      <c r="AD1723" s="110"/>
      <c r="AE1723" s="110"/>
      <c r="AF1723" s="110"/>
      <c r="AG1723" s="110"/>
      <c r="AH1723" s="110"/>
      <c r="AI1723" s="110"/>
      <c r="AJ1723" s="110"/>
      <c r="AK1723" s="110"/>
      <c r="AL1723" s="110"/>
      <c r="AM1723" s="110"/>
      <c r="AN1723" s="110"/>
      <c r="AO1723" s="110"/>
      <c r="AP1723" s="110"/>
      <c r="AQ1723" s="110"/>
      <c r="AR1723" s="110"/>
      <c r="AS1723" s="110"/>
      <c r="AT1723" s="110"/>
      <c r="AU1723" s="110"/>
      <c r="AV1723" s="110"/>
      <c r="AW1723" s="110"/>
      <c r="AX1723" s="110"/>
      <c r="AY1723" s="110"/>
      <c r="AZ1723" s="110"/>
      <c r="BA1723" s="110"/>
      <c r="BB1723" s="110"/>
      <c r="BC1723" s="110"/>
      <c r="BD1723" s="110"/>
      <c r="BE1723" s="110"/>
      <c r="BF1723" s="110"/>
      <c r="BG1723" s="110"/>
      <c r="BH1723" s="110"/>
      <c r="BI1723" s="110"/>
      <c r="BJ1723" s="110"/>
      <c r="BK1723" s="110"/>
      <c r="BL1723" s="110"/>
      <c r="BM1723" s="110"/>
      <c r="BN1723" s="110"/>
      <c r="BO1723" s="110"/>
      <c r="BP1723" s="110"/>
      <c r="BQ1723" s="110"/>
      <c r="BR1723" s="110"/>
      <c r="BS1723" s="110"/>
      <c r="BT1723" s="110"/>
      <c r="BU1723" s="110"/>
      <c r="BV1723" s="110"/>
      <c r="BW1723" s="110"/>
      <c r="BX1723" s="110"/>
      <c r="BY1723" s="110"/>
      <c r="BZ1723" s="110"/>
      <c r="CA1723" s="110"/>
      <c r="CB1723" s="110"/>
      <c r="CC1723" s="110"/>
      <c r="CD1723" s="110"/>
      <c r="CE1723" s="110"/>
      <c r="CF1723" s="110"/>
      <c r="CG1723" s="110"/>
      <c r="CH1723" s="110"/>
      <c r="CI1723" s="110"/>
      <c r="CJ1723" s="110"/>
      <c r="CK1723" s="110"/>
      <c r="CL1723" s="110"/>
      <c r="CM1723" s="110"/>
      <c r="CN1723" s="110"/>
      <c r="CO1723" s="110"/>
      <c r="CP1723" s="110"/>
      <c r="CQ1723" s="110"/>
      <c r="CR1723" s="110"/>
      <c r="CS1723" s="110"/>
      <c r="CT1723" s="110"/>
      <c r="CU1723" s="110"/>
      <c r="CV1723" s="110"/>
      <c r="CW1723" s="110"/>
      <c r="CX1723" s="110"/>
      <c r="CY1723" s="110"/>
      <c r="CZ1723" s="110"/>
      <c r="DA1723" s="110"/>
      <c r="DB1723" s="110"/>
      <c r="DC1723" s="110"/>
      <c r="DD1723" s="110"/>
      <c r="DE1723" s="110"/>
      <c r="DF1723" s="110"/>
      <c r="DG1723" s="110"/>
      <c r="DH1723" s="110"/>
      <c r="DI1723" s="110"/>
      <c r="DJ1723" s="110"/>
      <c r="DK1723" s="110"/>
      <c r="DL1723" s="110"/>
      <c r="DM1723" s="110"/>
      <c r="DN1723" s="110"/>
      <c r="DO1723" s="110"/>
      <c r="DP1723" s="110"/>
      <c r="DQ1723" s="110"/>
      <c r="DR1723" s="110"/>
      <c r="DS1723" s="110"/>
      <c r="DT1723" s="110"/>
      <c r="DU1723" s="110"/>
      <c r="DV1723" s="110"/>
      <c r="DW1723" s="110"/>
      <c r="DX1723" s="110"/>
      <c r="DY1723" s="110"/>
      <c r="DZ1723" s="110"/>
      <c r="EA1723" s="110"/>
      <c r="EB1723" s="110"/>
      <c r="EC1723" s="110"/>
      <c r="ED1723" s="110"/>
      <c r="EF1723" s="264"/>
      <c r="EG1723" s="110"/>
      <c r="EH1723" s="110"/>
      <c r="EI1723" s="110"/>
      <c r="EJ1723" s="110"/>
      <c r="EK1723" s="266"/>
      <c r="EL1723" s="110"/>
      <c r="EM1723" s="110"/>
      <c r="EN1723" s="110"/>
      <c r="EO1723" s="110"/>
      <c r="EP1723" s="110"/>
      <c r="EQ1723" s="110"/>
      <c r="ER1723" s="110"/>
      <c r="ES1723" s="110"/>
      <c r="ET1723" s="110"/>
      <c r="EU1723" s="110"/>
      <c r="EV1723" s="110"/>
      <c r="EW1723" s="110"/>
      <c r="EX1723" s="110"/>
      <c r="EY1723" s="110"/>
      <c r="EZ1723" s="110"/>
      <c r="FA1723" s="110"/>
      <c r="FB1723" s="110"/>
      <c r="FC1723" s="110"/>
      <c r="FD1723" s="110"/>
      <c r="FE1723" s="110"/>
      <c r="FF1723" s="110"/>
      <c r="FG1723" s="110"/>
      <c r="FH1723" s="110"/>
      <c r="FI1723" s="110"/>
      <c r="FJ1723" s="110"/>
      <c r="FK1723" s="110"/>
      <c r="FL1723" s="110"/>
      <c r="FM1723" s="110"/>
      <c r="FN1723" s="110"/>
      <c r="FO1723" s="110"/>
      <c r="FP1723" s="110"/>
      <c r="FQ1723" s="110"/>
      <c r="FR1723" s="110"/>
      <c r="FS1723" s="110"/>
      <c r="FT1723" s="110"/>
      <c r="FU1723" s="110"/>
      <c r="FV1723" s="110"/>
      <c r="FW1723" s="110"/>
      <c r="FX1723" s="110"/>
      <c r="FY1723" s="110"/>
      <c r="FZ1723" s="110"/>
      <c r="GA1723" s="110"/>
      <c r="GB1723" s="110"/>
      <c r="GC1723" s="110"/>
      <c r="GD1723" s="110"/>
      <c r="GE1723" s="110"/>
      <c r="GF1723" s="110"/>
      <c r="GG1723" s="110"/>
      <c r="GH1723" s="110"/>
      <c r="GI1723" s="110"/>
      <c r="GJ1723" s="110"/>
      <c r="GK1723" s="110"/>
      <c r="GL1723" s="110"/>
      <c r="GM1723" s="110"/>
      <c r="GN1723" s="110"/>
      <c r="GO1723" s="110"/>
      <c r="GP1723" s="110"/>
      <c r="GQ1723" s="110"/>
      <c r="GR1723" s="110"/>
      <c r="GS1723" s="110"/>
      <c r="GT1723" s="110"/>
      <c r="GU1723" s="110"/>
      <c r="GV1723" s="110"/>
      <c r="GW1723" s="110"/>
      <c r="GX1723" s="110"/>
      <c r="GY1723" s="110"/>
      <c r="GZ1723" s="110"/>
      <c r="HA1723" s="110"/>
      <c r="HB1723" s="110"/>
      <c r="HC1723" s="110"/>
      <c r="HD1723" s="110"/>
      <c r="HE1723" s="110"/>
      <c r="HF1723" s="110"/>
      <c r="HG1723" s="110"/>
      <c r="HH1723" s="110"/>
      <c r="HI1723" s="110"/>
      <c r="HJ1723" s="110"/>
      <c r="HK1723" s="110"/>
      <c r="HL1723" s="110"/>
      <c r="HM1723" s="110"/>
      <c r="HN1723" s="110"/>
      <c r="HO1723" s="110"/>
      <c r="HP1723" s="110"/>
      <c r="HQ1723" s="110"/>
      <c r="HR1723" s="110"/>
      <c r="HS1723" s="110"/>
      <c r="HT1723" s="110"/>
      <c r="HU1723" s="110"/>
      <c r="HV1723" s="110"/>
      <c r="HW1723" s="110"/>
      <c r="HX1723" s="110"/>
      <c r="HY1723" s="110"/>
      <c r="HZ1723" s="110"/>
      <c r="IA1723" s="110"/>
      <c r="IB1723" s="110"/>
      <c r="IC1723" s="110"/>
      <c r="ID1723" s="110"/>
      <c r="IE1723" s="110"/>
      <c r="IF1723" s="110"/>
      <c r="IG1723" s="110"/>
      <c r="IH1723" s="110"/>
      <c r="II1723" s="110"/>
      <c r="IJ1723" s="110"/>
      <c r="IK1723" s="110"/>
      <c r="IL1723" s="110"/>
      <c r="IM1723" s="110"/>
      <c r="IN1723" s="110"/>
      <c r="IO1723" s="110"/>
      <c r="IP1723" s="110"/>
      <c r="IQ1723" s="110"/>
      <c r="IR1723" s="110"/>
    </row>
    <row r="1724" spans="18:252" ht="16.5" hidden="1" customHeight="1">
      <c r="R1724" s="264"/>
      <c r="S1724" s="110"/>
      <c r="T1724" s="110"/>
      <c r="U1724" s="110"/>
      <c r="V1724" s="110"/>
      <c r="W1724" s="266"/>
      <c r="X1724" s="110"/>
      <c r="Y1724" s="110"/>
      <c r="Z1724" s="110"/>
      <c r="AA1724" s="110"/>
      <c r="AB1724" s="110"/>
      <c r="AC1724" s="110"/>
      <c r="AD1724" s="110"/>
      <c r="AE1724" s="110"/>
      <c r="AF1724" s="110"/>
      <c r="AG1724" s="110"/>
      <c r="AH1724" s="110"/>
      <c r="AI1724" s="110"/>
      <c r="AJ1724" s="110"/>
      <c r="AK1724" s="110"/>
      <c r="AL1724" s="110"/>
      <c r="AM1724" s="110"/>
      <c r="AN1724" s="110"/>
      <c r="AO1724" s="110"/>
      <c r="AP1724" s="110"/>
      <c r="AQ1724" s="110"/>
      <c r="AR1724" s="110"/>
      <c r="AS1724" s="110"/>
      <c r="AT1724" s="110"/>
      <c r="AU1724" s="110"/>
      <c r="AV1724" s="110"/>
      <c r="AW1724" s="110"/>
      <c r="AX1724" s="110"/>
      <c r="AY1724" s="110"/>
      <c r="AZ1724" s="110"/>
      <c r="BA1724" s="110"/>
      <c r="BB1724" s="110"/>
      <c r="BC1724" s="110"/>
      <c r="BD1724" s="110"/>
      <c r="BE1724" s="110"/>
      <c r="BF1724" s="110"/>
      <c r="BG1724" s="110"/>
      <c r="BH1724" s="110"/>
      <c r="BI1724" s="110"/>
      <c r="BJ1724" s="110"/>
      <c r="BK1724" s="110"/>
      <c r="BL1724" s="110"/>
      <c r="BM1724" s="110"/>
      <c r="BN1724" s="110"/>
      <c r="BO1724" s="110"/>
      <c r="BP1724" s="110"/>
      <c r="BQ1724" s="110"/>
      <c r="BR1724" s="110"/>
      <c r="BS1724" s="110"/>
      <c r="BT1724" s="110"/>
      <c r="BU1724" s="110"/>
      <c r="BV1724" s="110"/>
      <c r="BW1724" s="110"/>
      <c r="BX1724" s="110"/>
      <c r="BY1724" s="110"/>
      <c r="BZ1724" s="110"/>
      <c r="CA1724" s="110"/>
      <c r="CB1724" s="110"/>
      <c r="CC1724" s="110"/>
      <c r="CD1724" s="110"/>
      <c r="CE1724" s="110"/>
      <c r="CF1724" s="110"/>
      <c r="CG1724" s="110"/>
      <c r="CH1724" s="110"/>
      <c r="CI1724" s="110"/>
      <c r="CJ1724" s="110"/>
      <c r="CK1724" s="110"/>
      <c r="CL1724" s="110"/>
      <c r="CM1724" s="110"/>
      <c r="CN1724" s="110"/>
      <c r="CO1724" s="110"/>
      <c r="CP1724" s="110"/>
      <c r="CQ1724" s="110"/>
      <c r="CR1724" s="110"/>
      <c r="CS1724" s="110"/>
      <c r="CT1724" s="110"/>
      <c r="CU1724" s="110"/>
      <c r="CV1724" s="110"/>
      <c r="CW1724" s="110"/>
      <c r="CX1724" s="110"/>
      <c r="CY1724" s="110"/>
      <c r="CZ1724" s="110"/>
      <c r="DA1724" s="110"/>
      <c r="DB1724" s="110"/>
      <c r="DC1724" s="110"/>
      <c r="DD1724" s="110"/>
      <c r="DE1724" s="110"/>
      <c r="DF1724" s="110"/>
      <c r="DG1724" s="110"/>
      <c r="DH1724" s="110"/>
      <c r="DI1724" s="110"/>
      <c r="DJ1724" s="110"/>
      <c r="DK1724" s="110"/>
      <c r="DL1724" s="110"/>
      <c r="DM1724" s="110"/>
      <c r="DN1724" s="110"/>
      <c r="DO1724" s="110"/>
      <c r="DP1724" s="110"/>
      <c r="DQ1724" s="110"/>
      <c r="DR1724" s="110"/>
      <c r="DS1724" s="110"/>
      <c r="DT1724" s="110"/>
      <c r="DU1724" s="110"/>
      <c r="DV1724" s="110"/>
      <c r="DW1724" s="110"/>
      <c r="DX1724" s="110"/>
      <c r="DY1724" s="110"/>
      <c r="DZ1724" s="110"/>
      <c r="EA1724" s="110"/>
      <c r="EB1724" s="110"/>
      <c r="EC1724" s="110"/>
      <c r="ED1724" s="110"/>
      <c r="EF1724" s="264"/>
      <c r="EG1724" s="110"/>
      <c r="EH1724" s="110"/>
      <c r="EI1724" s="110"/>
      <c r="EJ1724" s="110"/>
      <c r="EK1724" s="266"/>
      <c r="EL1724" s="110"/>
      <c r="EM1724" s="110"/>
      <c r="EN1724" s="110"/>
      <c r="EO1724" s="110"/>
      <c r="EP1724" s="110"/>
      <c r="EQ1724" s="110"/>
      <c r="ER1724" s="110"/>
      <c r="ES1724" s="110"/>
      <c r="ET1724" s="110"/>
      <c r="EU1724" s="110"/>
      <c r="EV1724" s="110"/>
      <c r="EW1724" s="110"/>
      <c r="EX1724" s="110"/>
      <c r="EY1724" s="110"/>
      <c r="EZ1724" s="110"/>
      <c r="FA1724" s="110"/>
      <c r="FB1724" s="110"/>
      <c r="FC1724" s="110"/>
      <c r="FD1724" s="110"/>
      <c r="FE1724" s="110"/>
      <c r="FF1724" s="110"/>
      <c r="FG1724" s="110"/>
      <c r="FH1724" s="110"/>
      <c r="FI1724" s="110"/>
      <c r="FJ1724" s="110"/>
      <c r="FK1724" s="110"/>
      <c r="FL1724" s="110"/>
      <c r="FM1724" s="110"/>
      <c r="FN1724" s="110"/>
      <c r="FO1724" s="110"/>
      <c r="FP1724" s="110"/>
      <c r="FQ1724" s="110"/>
      <c r="FR1724" s="110"/>
      <c r="FS1724" s="110"/>
      <c r="FT1724" s="110"/>
      <c r="FU1724" s="110"/>
      <c r="FV1724" s="110"/>
      <c r="FW1724" s="110"/>
      <c r="FX1724" s="110"/>
      <c r="FY1724" s="110"/>
      <c r="FZ1724" s="110"/>
      <c r="GA1724" s="110"/>
      <c r="GB1724" s="110"/>
      <c r="GC1724" s="110"/>
      <c r="GD1724" s="110"/>
      <c r="GE1724" s="110"/>
      <c r="GF1724" s="110"/>
      <c r="GG1724" s="110"/>
      <c r="GH1724" s="110"/>
      <c r="GI1724" s="110"/>
      <c r="GJ1724" s="110"/>
      <c r="GK1724" s="110"/>
      <c r="GL1724" s="110"/>
      <c r="GM1724" s="110"/>
      <c r="GN1724" s="110"/>
      <c r="GO1724" s="110"/>
      <c r="GP1724" s="110"/>
      <c r="GQ1724" s="110"/>
      <c r="GR1724" s="110"/>
      <c r="GS1724" s="110"/>
      <c r="GT1724" s="110"/>
      <c r="GU1724" s="110"/>
      <c r="GV1724" s="110"/>
      <c r="GW1724" s="110"/>
      <c r="GX1724" s="110"/>
      <c r="GY1724" s="110"/>
      <c r="GZ1724" s="110"/>
      <c r="HA1724" s="110"/>
      <c r="HB1724" s="110"/>
      <c r="HC1724" s="110"/>
      <c r="HD1724" s="110"/>
      <c r="HE1724" s="110"/>
      <c r="HF1724" s="110"/>
      <c r="HG1724" s="110"/>
      <c r="HH1724" s="110"/>
      <c r="HI1724" s="110"/>
      <c r="HJ1724" s="110"/>
      <c r="HK1724" s="110"/>
      <c r="HL1724" s="110"/>
      <c r="HM1724" s="110"/>
      <c r="HN1724" s="110"/>
      <c r="HO1724" s="110"/>
      <c r="HP1724" s="110"/>
      <c r="HQ1724" s="110"/>
      <c r="HR1724" s="110"/>
      <c r="HS1724" s="110"/>
      <c r="HT1724" s="110"/>
      <c r="HU1724" s="110"/>
      <c r="HV1724" s="110"/>
      <c r="HW1724" s="110"/>
      <c r="HX1724" s="110"/>
      <c r="HY1724" s="110"/>
      <c r="HZ1724" s="110"/>
      <c r="IA1724" s="110"/>
      <c r="IB1724" s="110"/>
      <c r="IC1724" s="110"/>
      <c r="ID1724" s="110"/>
      <c r="IE1724" s="110"/>
      <c r="IF1724" s="110"/>
      <c r="IG1724" s="110"/>
      <c r="IH1724" s="110"/>
      <c r="II1724" s="110"/>
      <c r="IJ1724" s="110"/>
      <c r="IK1724" s="110"/>
      <c r="IL1724" s="110"/>
      <c r="IM1724" s="110"/>
      <c r="IN1724" s="110"/>
      <c r="IO1724" s="110"/>
      <c r="IP1724" s="110"/>
      <c r="IQ1724" s="110"/>
      <c r="IR1724" s="110"/>
    </row>
    <row r="1725" spans="18:252" ht="16.5" hidden="1" customHeight="1">
      <c r="R1725" s="264"/>
      <c r="S1725" s="110"/>
      <c r="T1725" s="110"/>
      <c r="U1725" s="110"/>
      <c r="V1725" s="110"/>
      <c r="W1725" s="266"/>
      <c r="X1725" s="110"/>
      <c r="Y1725" s="110"/>
      <c r="Z1725" s="110"/>
      <c r="AA1725" s="110"/>
      <c r="AB1725" s="110"/>
      <c r="AC1725" s="110"/>
      <c r="AD1725" s="110"/>
      <c r="AE1725" s="110"/>
      <c r="AF1725" s="110"/>
      <c r="AG1725" s="110"/>
      <c r="AH1725" s="110"/>
      <c r="AI1725" s="110"/>
      <c r="AJ1725" s="110"/>
      <c r="AK1725" s="110"/>
      <c r="AL1725" s="110"/>
      <c r="AM1725" s="110"/>
      <c r="AN1725" s="110"/>
      <c r="AO1725" s="110"/>
      <c r="AP1725" s="110"/>
      <c r="AQ1725" s="110"/>
      <c r="AR1725" s="110"/>
      <c r="AS1725" s="110"/>
      <c r="AT1725" s="110"/>
      <c r="AU1725" s="110"/>
      <c r="AV1725" s="110"/>
      <c r="AW1725" s="110"/>
      <c r="AX1725" s="110"/>
      <c r="AY1725" s="110"/>
      <c r="AZ1725" s="110"/>
      <c r="BA1725" s="110"/>
      <c r="BB1725" s="110"/>
      <c r="BC1725" s="110"/>
      <c r="BD1725" s="110"/>
      <c r="BE1725" s="110"/>
      <c r="BF1725" s="110"/>
      <c r="BG1725" s="110"/>
      <c r="BH1725" s="110"/>
      <c r="BI1725" s="110"/>
      <c r="BJ1725" s="110"/>
      <c r="BK1725" s="110"/>
      <c r="BL1725" s="110"/>
      <c r="BM1725" s="110"/>
      <c r="BN1725" s="110"/>
      <c r="BO1725" s="110"/>
      <c r="BP1725" s="110"/>
      <c r="BQ1725" s="110"/>
      <c r="BR1725" s="110"/>
      <c r="BS1725" s="110"/>
      <c r="BT1725" s="110"/>
      <c r="BU1725" s="110"/>
      <c r="BV1725" s="110"/>
      <c r="BW1725" s="110"/>
      <c r="BX1725" s="110"/>
      <c r="BY1725" s="110"/>
      <c r="BZ1725" s="110"/>
      <c r="CA1725" s="110"/>
      <c r="CB1725" s="110"/>
      <c r="CC1725" s="110"/>
      <c r="CD1725" s="110"/>
      <c r="CE1725" s="110"/>
      <c r="CF1725" s="110"/>
      <c r="CG1725" s="110"/>
      <c r="CH1725" s="110"/>
      <c r="CI1725" s="110"/>
      <c r="CJ1725" s="110"/>
      <c r="CK1725" s="110"/>
      <c r="CL1725" s="110"/>
      <c r="CM1725" s="110"/>
      <c r="CN1725" s="110"/>
      <c r="CO1725" s="110"/>
      <c r="CP1725" s="110"/>
      <c r="CQ1725" s="110"/>
      <c r="CR1725" s="110"/>
      <c r="CS1725" s="110"/>
      <c r="CT1725" s="110"/>
      <c r="CU1725" s="110"/>
      <c r="CV1725" s="110"/>
      <c r="CW1725" s="110"/>
      <c r="CX1725" s="110"/>
      <c r="CY1725" s="110"/>
      <c r="CZ1725" s="110"/>
      <c r="DA1725" s="110"/>
      <c r="DB1725" s="110"/>
      <c r="DC1725" s="110"/>
      <c r="DD1725" s="110"/>
      <c r="DE1725" s="110"/>
      <c r="DF1725" s="110"/>
      <c r="DG1725" s="110"/>
      <c r="DH1725" s="110"/>
      <c r="DI1725" s="110"/>
      <c r="DJ1725" s="110"/>
      <c r="DK1725" s="110"/>
      <c r="DL1725" s="110"/>
      <c r="DM1725" s="110"/>
      <c r="DN1725" s="110"/>
      <c r="DO1725" s="110"/>
      <c r="DP1725" s="110"/>
      <c r="DQ1725" s="110"/>
      <c r="DR1725" s="110"/>
      <c r="DS1725" s="110"/>
      <c r="DT1725" s="110"/>
      <c r="DU1725" s="110"/>
      <c r="DV1725" s="110"/>
      <c r="DW1725" s="110"/>
      <c r="DX1725" s="110"/>
      <c r="DY1725" s="110"/>
      <c r="DZ1725" s="110"/>
      <c r="EA1725" s="110"/>
      <c r="EB1725" s="110"/>
      <c r="EC1725" s="110"/>
      <c r="ED1725" s="110"/>
      <c r="EF1725" s="264"/>
      <c r="EG1725" s="110"/>
      <c r="EH1725" s="110"/>
      <c r="EI1725" s="110"/>
      <c r="EJ1725" s="110"/>
      <c r="EK1725" s="266"/>
      <c r="EL1725" s="110"/>
      <c r="EM1725" s="110"/>
      <c r="EN1725" s="110"/>
      <c r="EO1725" s="110"/>
      <c r="EP1725" s="110"/>
      <c r="EQ1725" s="110"/>
      <c r="ER1725" s="110"/>
      <c r="ES1725" s="110"/>
      <c r="ET1725" s="110"/>
      <c r="EU1725" s="110"/>
      <c r="EV1725" s="110"/>
      <c r="EW1725" s="110"/>
      <c r="EX1725" s="110"/>
      <c r="EY1725" s="110"/>
      <c r="EZ1725" s="110"/>
      <c r="FA1725" s="110"/>
      <c r="FB1725" s="110"/>
      <c r="FC1725" s="110"/>
      <c r="FD1725" s="110"/>
      <c r="FE1725" s="110"/>
      <c r="FF1725" s="110"/>
      <c r="FG1725" s="110"/>
      <c r="FH1725" s="110"/>
      <c r="FI1725" s="110"/>
      <c r="FJ1725" s="110"/>
      <c r="FK1725" s="110"/>
      <c r="FL1725" s="110"/>
      <c r="FM1725" s="110"/>
      <c r="FN1725" s="110"/>
      <c r="FO1725" s="110"/>
      <c r="FP1725" s="110"/>
      <c r="FQ1725" s="110"/>
      <c r="FR1725" s="110"/>
      <c r="FS1725" s="110"/>
      <c r="FT1725" s="110"/>
      <c r="FU1725" s="110"/>
      <c r="FV1725" s="110"/>
      <c r="FW1725" s="110"/>
      <c r="FX1725" s="110"/>
      <c r="FY1725" s="110"/>
      <c r="FZ1725" s="110"/>
      <c r="GA1725" s="110"/>
      <c r="GB1725" s="110"/>
      <c r="GC1725" s="110"/>
      <c r="GD1725" s="110"/>
      <c r="GE1725" s="110"/>
      <c r="GF1725" s="110"/>
      <c r="GG1725" s="110"/>
      <c r="GH1725" s="110"/>
      <c r="GI1725" s="110"/>
      <c r="GJ1725" s="110"/>
      <c r="GK1725" s="110"/>
      <c r="GL1725" s="110"/>
      <c r="GM1725" s="110"/>
      <c r="GN1725" s="110"/>
      <c r="GO1725" s="110"/>
      <c r="GP1725" s="110"/>
      <c r="GQ1725" s="110"/>
      <c r="GR1725" s="110"/>
      <c r="GS1725" s="110"/>
      <c r="GT1725" s="110"/>
      <c r="GU1725" s="110"/>
      <c r="GV1725" s="110"/>
      <c r="GW1725" s="110"/>
      <c r="GX1725" s="110"/>
      <c r="GY1725" s="110"/>
      <c r="GZ1725" s="110"/>
      <c r="HA1725" s="110"/>
      <c r="HB1725" s="110"/>
      <c r="HC1725" s="110"/>
      <c r="HD1725" s="110"/>
      <c r="HE1725" s="110"/>
      <c r="HF1725" s="110"/>
      <c r="HG1725" s="110"/>
      <c r="HH1725" s="110"/>
      <c r="HI1725" s="110"/>
      <c r="HJ1725" s="110"/>
      <c r="HK1725" s="110"/>
      <c r="HL1725" s="110"/>
      <c r="HM1725" s="110"/>
      <c r="HN1725" s="110"/>
      <c r="HO1725" s="110"/>
      <c r="HP1725" s="110"/>
      <c r="HQ1725" s="110"/>
      <c r="HR1725" s="110"/>
      <c r="HS1725" s="110"/>
      <c r="HT1725" s="110"/>
      <c r="HU1725" s="110"/>
      <c r="HV1725" s="110"/>
      <c r="HW1725" s="110"/>
      <c r="HX1725" s="110"/>
      <c r="HY1725" s="110"/>
      <c r="HZ1725" s="110"/>
      <c r="IA1725" s="110"/>
      <c r="IB1725" s="110"/>
      <c r="IC1725" s="110"/>
      <c r="ID1725" s="110"/>
      <c r="IE1725" s="110"/>
      <c r="IF1725" s="110"/>
      <c r="IG1725" s="110"/>
      <c r="IH1725" s="110"/>
      <c r="II1725" s="110"/>
      <c r="IJ1725" s="110"/>
      <c r="IK1725" s="110"/>
      <c r="IL1725" s="110"/>
      <c r="IM1725" s="110"/>
      <c r="IN1725" s="110"/>
      <c r="IO1725" s="110"/>
      <c r="IP1725" s="110"/>
      <c r="IQ1725" s="110"/>
      <c r="IR1725" s="110"/>
    </row>
    <row r="1726" spans="18:252" ht="16.5" hidden="1" customHeight="1">
      <c r="R1726" s="264"/>
      <c r="S1726" s="110"/>
      <c r="T1726" s="110"/>
      <c r="U1726" s="110"/>
      <c r="V1726" s="110"/>
      <c r="W1726" s="266"/>
      <c r="X1726" s="110"/>
      <c r="Y1726" s="110"/>
      <c r="Z1726" s="110"/>
      <c r="AA1726" s="110"/>
      <c r="AB1726" s="110"/>
      <c r="AC1726" s="110"/>
      <c r="AD1726" s="110"/>
      <c r="AE1726" s="110"/>
      <c r="AF1726" s="110"/>
      <c r="AG1726" s="110"/>
      <c r="AH1726" s="110"/>
      <c r="AI1726" s="110"/>
      <c r="AJ1726" s="110"/>
      <c r="AK1726" s="110"/>
      <c r="AL1726" s="110"/>
      <c r="AM1726" s="110"/>
      <c r="AN1726" s="110"/>
      <c r="AO1726" s="110"/>
      <c r="AP1726" s="110"/>
      <c r="AQ1726" s="110"/>
      <c r="AR1726" s="110"/>
      <c r="AS1726" s="110"/>
      <c r="AT1726" s="110"/>
      <c r="AU1726" s="110"/>
      <c r="AV1726" s="110"/>
      <c r="AW1726" s="110"/>
      <c r="AX1726" s="110"/>
      <c r="AY1726" s="110"/>
      <c r="AZ1726" s="110"/>
      <c r="BA1726" s="110"/>
      <c r="BB1726" s="110"/>
      <c r="BC1726" s="110"/>
      <c r="BD1726" s="110"/>
      <c r="BE1726" s="110"/>
      <c r="BF1726" s="110"/>
      <c r="BG1726" s="110"/>
      <c r="BH1726" s="110"/>
      <c r="BI1726" s="110"/>
      <c r="BJ1726" s="110"/>
      <c r="BK1726" s="110"/>
      <c r="BL1726" s="110"/>
      <c r="BM1726" s="110"/>
      <c r="BN1726" s="110"/>
      <c r="BO1726" s="110"/>
      <c r="BP1726" s="110"/>
      <c r="BQ1726" s="110"/>
      <c r="BR1726" s="110"/>
      <c r="BS1726" s="110"/>
      <c r="BT1726" s="110"/>
      <c r="BU1726" s="110"/>
      <c r="BV1726" s="110"/>
      <c r="BW1726" s="110"/>
      <c r="BX1726" s="110"/>
      <c r="BY1726" s="110"/>
      <c r="BZ1726" s="110"/>
      <c r="CA1726" s="110"/>
      <c r="CB1726" s="110"/>
      <c r="CC1726" s="110"/>
      <c r="CD1726" s="110"/>
      <c r="CE1726" s="110"/>
      <c r="CF1726" s="110"/>
      <c r="CG1726" s="110"/>
      <c r="CH1726" s="110"/>
      <c r="CI1726" s="110"/>
      <c r="CJ1726" s="110"/>
      <c r="CK1726" s="110"/>
      <c r="CL1726" s="110"/>
      <c r="CM1726" s="110"/>
      <c r="CN1726" s="110"/>
      <c r="CO1726" s="110"/>
      <c r="CP1726" s="110"/>
      <c r="CQ1726" s="110"/>
      <c r="CR1726" s="110"/>
      <c r="CS1726" s="110"/>
      <c r="CT1726" s="110"/>
      <c r="CU1726" s="110"/>
      <c r="CV1726" s="110"/>
      <c r="CW1726" s="110"/>
      <c r="CX1726" s="110"/>
      <c r="CY1726" s="110"/>
      <c r="CZ1726" s="110"/>
      <c r="DA1726" s="110"/>
      <c r="DB1726" s="110"/>
      <c r="DC1726" s="110"/>
      <c r="DD1726" s="110"/>
      <c r="DE1726" s="110"/>
      <c r="DF1726" s="110"/>
      <c r="DG1726" s="110"/>
      <c r="DH1726" s="110"/>
      <c r="DI1726" s="110"/>
      <c r="DJ1726" s="110"/>
      <c r="DK1726" s="110"/>
      <c r="DL1726" s="110"/>
      <c r="DM1726" s="110"/>
      <c r="DN1726" s="110"/>
      <c r="DO1726" s="110"/>
      <c r="DP1726" s="110"/>
      <c r="DQ1726" s="110"/>
      <c r="DR1726" s="110"/>
      <c r="DS1726" s="110"/>
      <c r="DT1726" s="110"/>
      <c r="DU1726" s="110"/>
      <c r="DV1726" s="110"/>
      <c r="DW1726" s="110"/>
      <c r="DX1726" s="110"/>
      <c r="DY1726" s="110"/>
      <c r="DZ1726" s="110"/>
      <c r="EA1726" s="110"/>
      <c r="EB1726" s="110"/>
      <c r="EC1726" s="110"/>
      <c r="ED1726" s="110"/>
      <c r="EF1726" s="264"/>
      <c r="EG1726" s="110"/>
      <c r="EH1726" s="110"/>
      <c r="EI1726" s="110"/>
      <c r="EJ1726" s="110"/>
      <c r="EK1726" s="266"/>
      <c r="EL1726" s="110"/>
      <c r="EM1726" s="110"/>
      <c r="EN1726" s="110"/>
      <c r="EO1726" s="110"/>
      <c r="EP1726" s="110"/>
      <c r="EQ1726" s="110"/>
      <c r="ER1726" s="110"/>
      <c r="ES1726" s="110"/>
      <c r="ET1726" s="110"/>
      <c r="EU1726" s="110"/>
      <c r="EV1726" s="110"/>
      <c r="EW1726" s="110"/>
      <c r="EX1726" s="110"/>
      <c r="EY1726" s="110"/>
      <c r="EZ1726" s="110"/>
      <c r="FA1726" s="110"/>
      <c r="FB1726" s="110"/>
      <c r="FC1726" s="110"/>
      <c r="FD1726" s="110"/>
      <c r="FE1726" s="110"/>
      <c r="FF1726" s="110"/>
      <c r="FG1726" s="110"/>
      <c r="FH1726" s="110"/>
      <c r="FI1726" s="110"/>
      <c r="FJ1726" s="110"/>
      <c r="FK1726" s="110"/>
      <c r="FL1726" s="110"/>
      <c r="FM1726" s="110"/>
      <c r="FN1726" s="110"/>
      <c r="FO1726" s="110"/>
      <c r="FP1726" s="110"/>
      <c r="FQ1726" s="110"/>
      <c r="FR1726" s="110"/>
      <c r="FS1726" s="110"/>
      <c r="FT1726" s="110"/>
      <c r="FU1726" s="110"/>
      <c r="FV1726" s="110"/>
      <c r="FW1726" s="110"/>
      <c r="FX1726" s="110"/>
      <c r="FY1726" s="110"/>
      <c r="FZ1726" s="110"/>
      <c r="GA1726" s="110"/>
      <c r="GB1726" s="110"/>
      <c r="GC1726" s="110"/>
      <c r="GD1726" s="110"/>
      <c r="GE1726" s="110"/>
      <c r="GF1726" s="110"/>
      <c r="GG1726" s="110"/>
      <c r="GH1726" s="110"/>
      <c r="GI1726" s="110"/>
      <c r="GJ1726" s="110"/>
      <c r="GK1726" s="110"/>
      <c r="GL1726" s="110"/>
      <c r="GM1726" s="110"/>
      <c r="GN1726" s="110"/>
      <c r="GO1726" s="110"/>
      <c r="GP1726" s="110"/>
      <c r="GQ1726" s="110"/>
      <c r="GR1726" s="110"/>
      <c r="GS1726" s="110"/>
      <c r="GT1726" s="110"/>
      <c r="GU1726" s="110"/>
      <c r="GV1726" s="110"/>
      <c r="GW1726" s="110"/>
      <c r="GX1726" s="110"/>
      <c r="GY1726" s="110"/>
      <c r="GZ1726" s="110"/>
      <c r="HA1726" s="110"/>
      <c r="HB1726" s="110"/>
      <c r="HC1726" s="110"/>
      <c r="HD1726" s="110"/>
      <c r="HE1726" s="110"/>
      <c r="HF1726" s="110"/>
      <c r="HG1726" s="110"/>
      <c r="HH1726" s="110"/>
      <c r="HI1726" s="110"/>
      <c r="HJ1726" s="110"/>
      <c r="HK1726" s="110"/>
      <c r="HL1726" s="110"/>
      <c r="HM1726" s="110"/>
      <c r="HN1726" s="110"/>
      <c r="HO1726" s="110"/>
      <c r="HP1726" s="110"/>
      <c r="HQ1726" s="110"/>
      <c r="HR1726" s="110"/>
      <c r="HS1726" s="110"/>
      <c r="HT1726" s="110"/>
      <c r="HU1726" s="110"/>
      <c r="HV1726" s="110"/>
      <c r="HW1726" s="110"/>
      <c r="HX1726" s="110"/>
      <c r="HY1726" s="110"/>
      <c r="HZ1726" s="110"/>
      <c r="IA1726" s="110"/>
      <c r="IB1726" s="110"/>
      <c r="IC1726" s="110"/>
      <c r="ID1726" s="110"/>
      <c r="IE1726" s="110"/>
      <c r="IF1726" s="110"/>
      <c r="IG1726" s="110"/>
      <c r="IH1726" s="110"/>
      <c r="II1726" s="110"/>
      <c r="IJ1726" s="110"/>
      <c r="IK1726" s="110"/>
      <c r="IL1726" s="110"/>
      <c r="IM1726" s="110"/>
      <c r="IN1726" s="110"/>
      <c r="IO1726" s="110"/>
      <c r="IP1726" s="110"/>
      <c r="IQ1726" s="110"/>
      <c r="IR1726" s="110"/>
    </row>
    <row r="1727" spans="18:252" ht="16.5" hidden="1" customHeight="1">
      <c r="R1727" s="264"/>
      <c r="S1727" s="110"/>
      <c r="T1727" s="110"/>
      <c r="U1727" s="110"/>
      <c r="V1727" s="110"/>
      <c r="W1727" s="266"/>
      <c r="X1727" s="110"/>
      <c r="Y1727" s="110"/>
      <c r="Z1727" s="110"/>
      <c r="AA1727" s="110"/>
      <c r="AB1727" s="110"/>
      <c r="AC1727" s="110"/>
      <c r="AD1727" s="110"/>
      <c r="AE1727" s="110"/>
      <c r="AF1727" s="110"/>
      <c r="AG1727" s="110"/>
      <c r="AH1727" s="110"/>
      <c r="AI1727" s="110"/>
      <c r="AJ1727" s="110"/>
      <c r="AK1727" s="110"/>
      <c r="AL1727" s="110"/>
      <c r="AM1727" s="110"/>
      <c r="AN1727" s="110"/>
      <c r="AO1727" s="110"/>
      <c r="AP1727" s="110"/>
      <c r="AQ1727" s="110"/>
      <c r="AR1727" s="110"/>
      <c r="AS1727" s="110"/>
      <c r="AT1727" s="110"/>
      <c r="AU1727" s="110"/>
      <c r="AV1727" s="110"/>
      <c r="AW1727" s="110"/>
      <c r="AX1727" s="110"/>
      <c r="AY1727" s="110"/>
      <c r="AZ1727" s="110"/>
      <c r="BA1727" s="110"/>
      <c r="BB1727" s="110"/>
      <c r="BC1727" s="110"/>
      <c r="BD1727" s="110"/>
      <c r="BE1727" s="110"/>
      <c r="BF1727" s="110"/>
      <c r="BG1727" s="110"/>
      <c r="BH1727" s="110"/>
      <c r="BI1727" s="110"/>
      <c r="BJ1727" s="110"/>
      <c r="BK1727" s="110"/>
      <c r="BL1727" s="110"/>
      <c r="BM1727" s="110"/>
      <c r="BN1727" s="110"/>
      <c r="BO1727" s="110"/>
      <c r="BP1727" s="110"/>
      <c r="BQ1727" s="110"/>
      <c r="BR1727" s="110"/>
      <c r="BS1727" s="110"/>
      <c r="BT1727" s="110"/>
      <c r="BU1727" s="110"/>
      <c r="BV1727" s="110"/>
      <c r="BW1727" s="110"/>
      <c r="BX1727" s="110"/>
      <c r="BY1727" s="110"/>
      <c r="BZ1727" s="110"/>
      <c r="CA1727" s="110"/>
      <c r="CB1727" s="110"/>
      <c r="CC1727" s="110"/>
      <c r="CD1727" s="110"/>
      <c r="CE1727" s="110"/>
      <c r="CF1727" s="110"/>
      <c r="CG1727" s="110"/>
      <c r="CH1727" s="110"/>
      <c r="CI1727" s="110"/>
      <c r="CJ1727" s="110"/>
      <c r="CK1727" s="110"/>
      <c r="CL1727" s="110"/>
      <c r="CM1727" s="110"/>
      <c r="CN1727" s="110"/>
      <c r="CO1727" s="110"/>
      <c r="CP1727" s="110"/>
      <c r="CQ1727" s="110"/>
      <c r="CR1727" s="110"/>
      <c r="CS1727" s="110"/>
      <c r="CT1727" s="110"/>
      <c r="CU1727" s="110"/>
      <c r="CV1727" s="110"/>
      <c r="CW1727" s="110"/>
      <c r="CX1727" s="110"/>
      <c r="CY1727" s="110"/>
      <c r="CZ1727" s="110"/>
      <c r="DA1727" s="110"/>
      <c r="DB1727" s="110"/>
      <c r="DC1727" s="110"/>
      <c r="DD1727" s="110"/>
      <c r="DE1727" s="110"/>
      <c r="DF1727" s="110"/>
      <c r="DG1727" s="110"/>
      <c r="DH1727" s="110"/>
      <c r="DI1727" s="110"/>
      <c r="DJ1727" s="110"/>
      <c r="DK1727" s="110"/>
      <c r="DL1727" s="110"/>
      <c r="DM1727" s="110"/>
      <c r="DN1727" s="110"/>
      <c r="DO1727" s="110"/>
      <c r="DP1727" s="110"/>
      <c r="DQ1727" s="110"/>
      <c r="DR1727" s="110"/>
      <c r="DS1727" s="110"/>
      <c r="DT1727" s="110"/>
      <c r="DU1727" s="110"/>
      <c r="DV1727" s="110"/>
      <c r="DW1727" s="110"/>
      <c r="DX1727" s="110"/>
      <c r="DY1727" s="110"/>
      <c r="DZ1727" s="110"/>
      <c r="EA1727" s="110"/>
      <c r="EB1727" s="110"/>
      <c r="EC1727" s="110"/>
      <c r="ED1727" s="110"/>
      <c r="EF1727" s="264"/>
      <c r="EG1727" s="110"/>
      <c r="EH1727" s="110"/>
      <c r="EI1727" s="110"/>
      <c r="EJ1727" s="110"/>
      <c r="EK1727" s="266"/>
      <c r="EL1727" s="110"/>
      <c r="EM1727" s="110"/>
      <c r="EN1727" s="110"/>
      <c r="EO1727" s="110"/>
      <c r="EP1727" s="110"/>
      <c r="EQ1727" s="110"/>
      <c r="ER1727" s="110"/>
      <c r="ES1727" s="110"/>
      <c r="ET1727" s="110"/>
      <c r="EU1727" s="110"/>
      <c r="EV1727" s="110"/>
      <c r="EW1727" s="110"/>
      <c r="EX1727" s="110"/>
      <c r="EY1727" s="110"/>
      <c r="EZ1727" s="110"/>
      <c r="FA1727" s="110"/>
      <c r="FB1727" s="110"/>
      <c r="FC1727" s="110"/>
      <c r="FD1727" s="110"/>
      <c r="FE1727" s="110"/>
      <c r="FF1727" s="110"/>
      <c r="FG1727" s="110"/>
      <c r="FH1727" s="110"/>
      <c r="FI1727" s="110"/>
      <c r="FJ1727" s="110"/>
      <c r="FK1727" s="110"/>
      <c r="FL1727" s="110"/>
      <c r="FM1727" s="110"/>
      <c r="FN1727" s="110"/>
      <c r="FO1727" s="110"/>
      <c r="FP1727" s="110"/>
      <c r="FQ1727" s="110"/>
      <c r="FR1727" s="110"/>
      <c r="FS1727" s="110"/>
      <c r="FT1727" s="110"/>
      <c r="FU1727" s="110"/>
      <c r="FV1727" s="110"/>
      <c r="FW1727" s="110"/>
      <c r="FX1727" s="110"/>
      <c r="FY1727" s="110"/>
      <c r="FZ1727" s="110"/>
      <c r="GA1727" s="110"/>
      <c r="GB1727" s="110"/>
      <c r="GC1727" s="110"/>
      <c r="GD1727" s="110"/>
      <c r="GE1727" s="110"/>
      <c r="GF1727" s="110"/>
      <c r="GG1727" s="110"/>
      <c r="GH1727" s="110"/>
      <c r="GI1727" s="110"/>
      <c r="GJ1727" s="110"/>
      <c r="GK1727" s="110"/>
      <c r="GL1727" s="110"/>
      <c r="GM1727" s="110"/>
      <c r="GN1727" s="110"/>
      <c r="GO1727" s="110"/>
      <c r="GP1727" s="110"/>
      <c r="GQ1727" s="110"/>
      <c r="GR1727" s="110"/>
      <c r="GS1727" s="110"/>
      <c r="GT1727" s="110"/>
      <c r="GU1727" s="110"/>
      <c r="GV1727" s="110"/>
      <c r="GW1727" s="110"/>
      <c r="GX1727" s="110"/>
      <c r="GY1727" s="110"/>
      <c r="GZ1727" s="110"/>
      <c r="HA1727" s="110"/>
      <c r="HB1727" s="110"/>
      <c r="HC1727" s="110"/>
      <c r="HD1727" s="110"/>
      <c r="HE1727" s="110"/>
      <c r="HF1727" s="110"/>
      <c r="HG1727" s="110"/>
      <c r="HH1727" s="110"/>
      <c r="HI1727" s="110"/>
      <c r="HJ1727" s="110"/>
      <c r="HK1727" s="110"/>
      <c r="HL1727" s="110"/>
      <c r="HM1727" s="110"/>
      <c r="HN1727" s="110"/>
      <c r="HO1727" s="110"/>
      <c r="HP1727" s="110"/>
      <c r="HQ1727" s="110"/>
      <c r="HR1727" s="110"/>
      <c r="HS1727" s="110"/>
      <c r="HT1727" s="110"/>
      <c r="HU1727" s="110"/>
      <c r="HV1727" s="110"/>
      <c r="HW1727" s="110"/>
      <c r="HX1727" s="110"/>
      <c r="HY1727" s="110"/>
      <c r="HZ1727" s="110"/>
      <c r="IA1727" s="110"/>
      <c r="IB1727" s="110"/>
      <c r="IC1727" s="110"/>
      <c r="ID1727" s="110"/>
      <c r="IE1727" s="110"/>
      <c r="IF1727" s="110"/>
      <c r="IG1727" s="110"/>
      <c r="IH1727" s="110"/>
      <c r="II1727" s="110"/>
      <c r="IJ1727" s="110"/>
      <c r="IK1727" s="110"/>
      <c r="IL1727" s="110"/>
      <c r="IM1727" s="110"/>
      <c r="IN1727" s="110"/>
      <c r="IO1727" s="110"/>
      <c r="IP1727" s="110"/>
      <c r="IQ1727" s="110"/>
      <c r="IR1727" s="110"/>
    </row>
  </sheetData>
  <sheetProtection algorithmName="SHA-512" hashValue="6nYFEg8ZtORY6C+iQKFkRaqFH9OildMgHnUXOiJgQz9YlR+GOPMSTNjyloBQujpsxxPzDKAl89eNNY4gVyUpxA==" saltValue="uQWem3VPBJP65o7Kok5Gag==" spinCount="100000" sheet="1" objects="1" scenarios="1"/>
  <phoneticPr fontId="17" type="noConversion"/>
  <pageMargins left="0.75" right="0.75" top="1" bottom="1" header="0.5" footer="0.5"/>
  <pageSetup paperSize="9" orientation="portrait"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U200"/>
  <sheetViews>
    <sheetView workbookViewId="0">
      <pane xSplit="5" ySplit="2" topLeftCell="F3" activePane="bottomRight" state="frozen"/>
      <selection pane="topRight"/>
      <selection pane="bottomLeft"/>
      <selection pane="bottomRight"/>
    </sheetView>
  </sheetViews>
  <sheetFormatPr baseColWidth="10" defaultColWidth="0" defaultRowHeight="15" zeroHeight="1"/>
  <cols>
    <col min="1" max="1" width="11.3984375" style="58" hidden="1" customWidth="1"/>
    <col min="2" max="3" width="12.59765625" style="58" hidden="1" customWidth="1"/>
    <col min="4" max="4" width="15.796875" style="58" hidden="1" customWidth="1"/>
    <col min="5" max="7" width="9.3984375" style="58" hidden="1" customWidth="1"/>
    <col min="8" max="8" width="16.59765625" style="58" hidden="1" customWidth="1"/>
    <col min="9" max="9" width="11.59765625" style="58" hidden="1" customWidth="1"/>
    <col min="10" max="10" width="11.3984375" style="58" hidden="1" customWidth="1"/>
    <col min="11" max="19" width="9.3984375" style="58" hidden="1" customWidth="1"/>
    <col min="20" max="20" width="16.3984375" style="58" hidden="1" customWidth="1"/>
    <col min="21" max="21" width="0" style="58" hidden="1" customWidth="1"/>
    <col min="22" max="16384" width="9.3984375" style="58" hidden="1"/>
  </cols>
  <sheetData>
    <row r="1" spans="1:21" hidden="1">
      <c r="A1" s="56" t="str">
        <f>OP!$C$22</f>
        <v>LTT</v>
      </c>
      <c r="B1" s="57" t="str">
        <f>IF($F$2&gt;0,1,"")</f>
        <v/>
      </c>
      <c r="G1" s="58">
        <v>1</v>
      </c>
      <c r="H1" s="59" t="str">
        <f ca="1">IF(H2&lt;&gt;A2&amp;A1,"富邦人壽官網尚未公告"&amp;A2&amp;"宣告利率，目前使用"&amp;LEFT($H$2,8)&amp;"宣告利率，試算當月宣告利率以富邦人壽官網公告為準。","")</f>
        <v>富邦人壽官網尚未公告115 / 8 宣告利率，目前使用宣告利率，試算當月宣告利率以富邦人壽官網公告為準。</v>
      </c>
      <c r="I1" s="58" t="str">
        <f ca="1">IF(H1="",1,"")</f>
        <v/>
      </c>
    </row>
    <row r="2" spans="1:21" hidden="1">
      <c r="A2" s="58" t="str">
        <f ca="1">YEAR(TODAY())-1911&amp;" / "&amp;MONTH(TODAY())&amp;" "</f>
        <v xml:space="preserve">115 / 8 </v>
      </c>
      <c r="D2" s="58" t="s">
        <v>344</v>
      </c>
      <c r="E2" s="58" t="s">
        <v>345</v>
      </c>
      <c r="F2" s="60">
        <f>SUM($F$3:$F$200)</f>
        <v>0</v>
      </c>
      <c r="G2" s="59">
        <v>1</v>
      </c>
      <c r="H2" s="59"/>
      <c r="I2" s="61">
        <f ca="1">IF(OP!$C$3&lt;J2,K2,L2)</f>
        <v>1.7500000000000002E-2</v>
      </c>
      <c r="J2" s="62">
        <v>46023</v>
      </c>
      <c r="K2" s="64">
        <v>1.7500000000000002E-2</v>
      </c>
      <c r="L2" s="64">
        <v>1.7500000000000002E-2</v>
      </c>
      <c r="T2" s="62"/>
      <c r="U2" s="63"/>
    </row>
    <row r="3" spans="1:21" hidden="1">
      <c r="B3" s="58">
        <f>IF(OR(D3="",D3=0,RIGHT(D3,LEN($A$1))&lt;&gt;$A$1),,(LEFT($D3,3)*100)+MID($D3,7,IF(OR(AND(LEN($A$1)=3,LEN($D3)=12),AND(LEN($A$1)=4,LEN($D3)=13)),2,1))*1)</f>
        <v>0</v>
      </c>
      <c r="C3" s="58">
        <f t="shared" ref="C3:C66" si="0">IF($B3=0,,RANK($B3,$B$3:$B$78))</f>
        <v>0</v>
      </c>
      <c r="E3" s="64"/>
      <c r="F3" s="60">
        <f>IF(AND(RIGHT($D3,LEN($A$1))&lt;&gt;$A$1,$D3&lt;&gt;""),1,0)</f>
        <v>0</v>
      </c>
      <c r="G3" s="59">
        <v>2</v>
      </c>
      <c r="H3" s="59" t="str">
        <f t="shared" ref="H3:H25" si="1">IF(ISNA(VLOOKUP($G3,$C:$E,2,0)),"",VLOOKUP($G3,$C:$E,2,0))</f>
        <v/>
      </c>
      <c r="I3" s="61" t="str">
        <f t="shared" ref="I3:I25" si="2">IF(ISNA(VLOOKUP($G3,$C:$E,3,0)),"",VLOOKUP($G3,$C:$E,3,0))</f>
        <v/>
      </c>
      <c r="J3" s="62">
        <v>45658</v>
      </c>
      <c r="K3" s="64">
        <v>1.6199999999999999E-2</v>
      </c>
      <c r="L3" s="64">
        <v>1.7500000000000002E-2</v>
      </c>
      <c r="T3" s="62"/>
      <c r="U3" s="63"/>
    </row>
    <row r="4" spans="1:21" hidden="1">
      <c r="A4" s="57">
        <f>COUNTIF($D:$D,$A$3)</f>
        <v>0</v>
      </c>
      <c r="B4" s="58">
        <f t="shared" ref="B4:B67" si="3">IF(OR(D4="",D4=0,RIGHT(D4,LEN($A$1))&lt;&gt;$A$1),,(LEFT($D4,3)*100)+MID($D4,7,IF(OR(AND(LEN($A$1)=3,LEN($D4)=12),AND(LEN($A$1)=4,LEN($D4)=13)),2,1))*1)</f>
        <v>0</v>
      </c>
      <c r="C4" s="58">
        <f t="shared" si="0"/>
        <v>0</v>
      </c>
      <c r="F4" s="60">
        <f t="shared" ref="F4:F67" si="4">IF(AND(RIGHT($D4,LEN($A$1))&lt;&gt;$A$1,$D4&lt;&gt;""),1,0)</f>
        <v>0</v>
      </c>
      <c r="G4" s="59">
        <v>3</v>
      </c>
      <c r="H4" s="59" t="str">
        <f t="shared" si="1"/>
        <v/>
      </c>
      <c r="I4" s="61" t="str">
        <f t="shared" si="2"/>
        <v/>
      </c>
      <c r="J4" s="62">
        <v>45292</v>
      </c>
      <c r="K4" s="64">
        <v>1.4999999999999999E-2</v>
      </c>
      <c r="L4" s="64">
        <v>1.6199999999999999E-2</v>
      </c>
      <c r="T4" s="62"/>
      <c r="U4" s="63"/>
    </row>
    <row r="5" spans="1:21" hidden="1">
      <c r="A5" s="59"/>
      <c r="B5" s="58">
        <f>IF(OR(D5="",D5=0,RIGHT(D5,LEN($A$1))&lt;&gt;$A$1),,(LEFT($D5,3)*100)+MID($D5,7,IF(OR(AND(LEN($A$1)=3,LEN($D5)=12),AND(LEN($A$1)=4,LEN($D5)=13)),2,1))*1)</f>
        <v>0</v>
      </c>
      <c r="C5" s="58">
        <f t="shared" si="0"/>
        <v>0</v>
      </c>
      <c r="F5" s="60">
        <f>IF(AND(RIGHT($D5,LEN($A$1))&lt;&gt;$A$1,$D5&lt;&gt;""),1,0)</f>
        <v>0</v>
      </c>
      <c r="G5" s="59">
        <v>4</v>
      </c>
      <c r="H5" s="59" t="str">
        <f t="shared" si="1"/>
        <v/>
      </c>
      <c r="I5" s="61" t="str">
        <f t="shared" si="2"/>
        <v/>
      </c>
      <c r="T5" s="62"/>
      <c r="U5" s="63"/>
    </row>
    <row r="6" spans="1:21" hidden="1">
      <c r="B6" s="58">
        <f t="shared" si="3"/>
        <v>0</v>
      </c>
      <c r="C6" s="58">
        <f t="shared" si="0"/>
        <v>0</v>
      </c>
      <c r="F6" s="60">
        <f t="shared" si="4"/>
        <v>0</v>
      </c>
      <c r="G6" s="59">
        <v>5</v>
      </c>
      <c r="H6" s="59" t="str">
        <f t="shared" si="1"/>
        <v/>
      </c>
      <c r="I6" s="61" t="str">
        <f t="shared" si="2"/>
        <v/>
      </c>
      <c r="K6" s="64"/>
      <c r="L6" s="64"/>
      <c r="M6" s="64"/>
      <c r="N6" s="64"/>
      <c r="O6" s="64"/>
      <c r="P6" s="64"/>
      <c r="T6" s="63"/>
    </row>
    <row r="7" spans="1:21" hidden="1">
      <c r="B7" s="58">
        <f t="shared" si="3"/>
        <v>0</v>
      </c>
      <c r="C7" s="58">
        <f t="shared" si="0"/>
        <v>0</v>
      </c>
      <c r="F7" s="60">
        <f t="shared" si="4"/>
        <v>0</v>
      </c>
      <c r="G7" s="59">
        <v>6</v>
      </c>
      <c r="H7" s="59" t="str">
        <f t="shared" si="1"/>
        <v/>
      </c>
      <c r="I7" s="61" t="str">
        <f t="shared" si="2"/>
        <v/>
      </c>
      <c r="K7" s="64"/>
      <c r="L7" s="64"/>
      <c r="M7" s="64"/>
      <c r="N7" s="64"/>
      <c r="O7" s="64"/>
      <c r="P7" s="64"/>
      <c r="T7" s="63"/>
    </row>
    <row r="8" spans="1:21" hidden="1">
      <c r="B8" s="58">
        <f t="shared" si="3"/>
        <v>0</v>
      </c>
      <c r="C8" s="58">
        <f t="shared" si="0"/>
        <v>0</v>
      </c>
      <c r="F8" s="60">
        <f t="shared" si="4"/>
        <v>0</v>
      </c>
      <c r="G8" s="59">
        <v>7</v>
      </c>
      <c r="H8" s="59" t="str">
        <f t="shared" si="1"/>
        <v/>
      </c>
      <c r="I8" s="61" t="str">
        <f t="shared" si="2"/>
        <v/>
      </c>
      <c r="K8" s="64"/>
      <c r="L8" s="64"/>
      <c r="M8" s="64"/>
      <c r="N8" s="64"/>
      <c r="O8" s="64"/>
      <c r="P8" s="64"/>
      <c r="T8" s="63"/>
    </row>
    <row r="9" spans="1:21" hidden="1">
      <c r="B9" s="58">
        <f t="shared" si="3"/>
        <v>0</v>
      </c>
      <c r="C9" s="58">
        <f t="shared" si="0"/>
        <v>0</v>
      </c>
      <c r="F9" s="60">
        <f t="shared" si="4"/>
        <v>0</v>
      </c>
      <c r="G9" s="59">
        <v>8</v>
      </c>
      <c r="H9" s="59" t="str">
        <f t="shared" si="1"/>
        <v/>
      </c>
      <c r="I9" s="61" t="str">
        <f t="shared" si="2"/>
        <v/>
      </c>
      <c r="K9" s="64"/>
      <c r="L9" s="64"/>
      <c r="M9" s="64"/>
      <c r="N9" s="64"/>
      <c r="O9" s="64"/>
      <c r="P9" s="64"/>
      <c r="T9" s="63"/>
    </row>
    <row r="10" spans="1:21" hidden="1">
      <c r="B10" s="58">
        <f t="shared" si="3"/>
        <v>0</v>
      </c>
      <c r="C10" s="58">
        <f t="shared" si="0"/>
        <v>0</v>
      </c>
      <c r="F10" s="60">
        <f t="shared" si="4"/>
        <v>0</v>
      </c>
      <c r="G10" s="59">
        <v>9</v>
      </c>
      <c r="H10" s="59" t="str">
        <f t="shared" si="1"/>
        <v/>
      </c>
      <c r="I10" s="61" t="str">
        <f t="shared" si="2"/>
        <v/>
      </c>
      <c r="K10" s="64"/>
      <c r="L10" s="64"/>
      <c r="M10" s="64"/>
      <c r="N10" s="64"/>
      <c r="O10" s="64"/>
      <c r="P10" s="64"/>
      <c r="T10" s="63"/>
    </row>
    <row r="11" spans="1:21" hidden="1">
      <c r="B11" s="58">
        <f t="shared" si="3"/>
        <v>0</v>
      </c>
      <c r="C11" s="58">
        <f t="shared" si="0"/>
        <v>0</v>
      </c>
      <c r="F11" s="60">
        <f t="shared" si="4"/>
        <v>0</v>
      </c>
      <c r="G11" s="59">
        <v>10</v>
      </c>
      <c r="H11" s="59" t="str">
        <f t="shared" si="1"/>
        <v/>
      </c>
      <c r="I11" s="61" t="str">
        <f t="shared" si="2"/>
        <v/>
      </c>
      <c r="K11" s="64"/>
      <c r="L11" s="64"/>
      <c r="M11" s="64"/>
      <c r="N11" s="64"/>
      <c r="O11" s="64"/>
      <c r="P11" s="64"/>
      <c r="T11" s="63"/>
    </row>
    <row r="12" spans="1:21" hidden="1">
      <c r="B12" s="58">
        <f t="shared" si="3"/>
        <v>0</v>
      </c>
      <c r="C12" s="58">
        <f t="shared" si="0"/>
        <v>0</v>
      </c>
      <c r="F12" s="60">
        <f t="shared" si="4"/>
        <v>0</v>
      </c>
      <c r="G12" s="59">
        <v>11</v>
      </c>
      <c r="H12" s="59" t="str">
        <f t="shared" si="1"/>
        <v/>
      </c>
      <c r="I12" s="61" t="str">
        <f t="shared" si="2"/>
        <v/>
      </c>
      <c r="K12" s="64"/>
      <c r="L12" s="64"/>
      <c r="M12" s="64"/>
      <c r="N12" s="64"/>
      <c r="O12" s="64"/>
      <c r="P12" s="64"/>
      <c r="T12" s="63"/>
    </row>
    <row r="13" spans="1:21" hidden="1">
      <c r="B13" s="58">
        <f t="shared" si="3"/>
        <v>0</v>
      </c>
      <c r="C13" s="58">
        <f t="shared" si="0"/>
        <v>0</v>
      </c>
      <c r="F13" s="60">
        <f t="shared" si="4"/>
        <v>0</v>
      </c>
      <c r="G13" s="59">
        <v>12</v>
      </c>
      <c r="H13" s="59" t="str">
        <f t="shared" si="1"/>
        <v/>
      </c>
      <c r="I13" s="61" t="str">
        <f t="shared" si="2"/>
        <v/>
      </c>
      <c r="K13" s="64"/>
      <c r="L13" s="64"/>
      <c r="M13" s="64"/>
      <c r="N13" s="64"/>
      <c r="O13" s="64"/>
      <c r="P13" s="64"/>
      <c r="T13" s="63"/>
    </row>
    <row r="14" spans="1:21" hidden="1">
      <c r="B14" s="58">
        <f t="shared" si="3"/>
        <v>0</v>
      </c>
      <c r="C14" s="58">
        <f t="shared" si="0"/>
        <v>0</v>
      </c>
      <c r="F14" s="60">
        <f t="shared" si="4"/>
        <v>0</v>
      </c>
      <c r="G14" s="59">
        <v>13</v>
      </c>
      <c r="H14" s="59" t="str">
        <f t="shared" si="1"/>
        <v/>
      </c>
      <c r="I14" s="61" t="str">
        <f t="shared" si="2"/>
        <v/>
      </c>
      <c r="K14" s="64"/>
      <c r="L14" s="64"/>
      <c r="M14" s="64"/>
      <c r="N14" s="64"/>
      <c r="O14" s="64"/>
      <c r="P14" s="64"/>
      <c r="T14" s="63"/>
    </row>
    <row r="15" spans="1:21" hidden="1">
      <c r="B15" s="58">
        <f t="shared" si="3"/>
        <v>0</v>
      </c>
      <c r="C15" s="58">
        <f t="shared" si="0"/>
        <v>0</v>
      </c>
      <c r="F15" s="60">
        <f t="shared" si="4"/>
        <v>0</v>
      </c>
      <c r="G15" s="59">
        <v>14</v>
      </c>
      <c r="H15" s="59" t="str">
        <f t="shared" si="1"/>
        <v/>
      </c>
      <c r="I15" s="61" t="str">
        <f t="shared" si="2"/>
        <v/>
      </c>
      <c r="K15" s="64"/>
      <c r="L15" s="64"/>
      <c r="M15" s="64"/>
      <c r="N15" s="64"/>
      <c r="O15" s="64"/>
      <c r="P15" s="64"/>
      <c r="T15" s="63"/>
    </row>
    <row r="16" spans="1:21" hidden="1">
      <c r="B16" s="58">
        <f t="shared" si="3"/>
        <v>0</v>
      </c>
      <c r="C16" s="58">
        <f t="shared" si="0"/>
        <v>0</v>
      </c>
      <c r="F16" s="60">
        <f t="shared" si="4"/>
        <v>0</v>
      </c>
      <c r="G16" s="59">
        <v>15</v>
      </c>
      <c r="H16" s="59" t="str">
        <f t="shared" si="1"/>
        <v/>
      </c>
      <c r="I16" s="61" t="str">
        <f t="shared" si="2"/>
        <v/>
      </c>
      <c r="T16" s="63"/>
    </row>
    <row r="17" spans="2:20" hidden="1">
      <c r="B17" s="58">
        <f t="shared" si="3"/>
        <v>0</v>
      </c>
      <c r="C17" s="58">
        <f t="shared" si="0"/>
        <v>0</v>
      </c>
      <c r="F17" s="60">
        <f t="shared" si="4"/>
        <v>0</v>
      </c>
      <c r="G17" s="59">
        <v>16</v>
      </c>
      <c r="H17" s="59" t="str">
        <f t="shared" si="1"/>
        <v/>
      </c>
      <c r="I17" s="61" t="str">
        <f t="shared" si="2"/>
        <v/>
      </c>
      <c r="T17" s="63"/>
    </row>
    <row r="18" spans="2:20" hidden="1">
      <c r="B18" s="58">
        <f t="shared" si="3"/>
        <v>0</v>
      </c>
      <c r="C18" s="58">
        <f t="shared" si="0"/>
        <v>0</v>
      </c>
      <c r="F18" s="60">
        <f t="shared" si="4"/>
        <v>0</v>
      </c>
      <c r="G18" s="59">
        <v>17</v>
      </c>
      <c r="H18" s="59" t="str">
        <f t="shared" si="1"/>
        <v/>
      </c>
      <c r="I18" s="61" t="str">
        <f t="shared" si="2"/>
        <v/>
      </c>
      <c r="T18" s="63"/>
    </row>
    <row r="19" spans="2:20" hidden="1">
      <c r="B19" s="58">
        <f t="shared" si="3"/>
        <v>0</v>
      </c>
      <c r="C19" s="58">
        <f t="shared" si="0"/>
        <v>0</v>
      </c>
      <c r="F19" s="60">
        <f t="shared" si="4"/>
        <v>0</v>
      </c>
      <c r="G19" s="59">
        <v>18</v>
      </c>
      <c r="H19" s="59" t="str">
        <f t="shared" si="1"/>
        <v/>
      </c>
      <c r="I19" s="61" t="str">
        <f t="shared" si="2"/>
        <v/>
      </c>
      <c r="T19" s="63"/>
    </row>
    <row r="20" spans="2:20" hidden="1">
      <c r="B20" s="58">
        <f t="shared" si="3"/>
        <v>0</v>
      </c>
      <c r="C20" s="58">
        <f t="shared" si="0"/>
        <v>0</v>
      </c>
      <c r="F20" s="60">
        <f t="shared" si="4"/>
        <v>0</v>
      </c>
      <c r="G20" s="59">
        <v>19</v>
      </c>
      <c r="H20" s="59" t="str">
        <f t="shared" si="1"/>
        <v/>
      </c>
      <c r="I20" s="61" t="str">
        <f t="shared" si="2"/>
        <v/>
      </c>
      <c r="K20" s="64"/>
      <c r="L20" s="64"/>
      <c r="M20" s="64"/>
      <c r="N20" s="64"/>
      <c r="O20" s="64"/>
      <c r="P20" s="64"/>
      <c r="T20" s="63"/>
    </row>
    <row r="21" spans="2:20" hidden="1">
      <c r="B21" s="58">
        <f t="shared" si="3"/>
        <v>0</v>
      </c>
      <c r="C21" s="58">
        <f t="shared" si="0"/>
        <v>0</v>
      </c>
      <c r="F21" s="60">
        <f t="shared" si="4"/>
        <v>0</v>
      </c>
      <c r="G21" s="59">
        <v>20</v>
      </c>
      <c r="H21" s="59" t="str">
        <f t="shared" si="1"/>
        <v/>
      </c>
      <c r="I21" s="61" t="str">
        <f t="shared" si="2"/>
        <v/>
      </c>
      <c r="K21" s="64"/>
      <c r="L21" s="64"/>
      <c r="M21" s="64"/>
      <c r="N21" s="64"/>
      <c r="O21" s="64"/>
      <c r="P21" s="64"/>
      <c r="T21" s="63"/>
    </row>
    <row r="22" spans="2:20" hidden="1">
      <c r="B22" s="58">
        <f t="shared" si="3"/>
        <v>0</v>
      </c>
      <c r="C22" s="58">
        <f t="shared" si="0"/>
        <v>0</v>
      </c>
      <c r="F22" s="60">
        <f t="shared" si="4"/>
        <v>0</v>
      </c>
      <c r="G22" s="59">
        <v>21</v>
      </c>
      <c r="H22" s="59" t="str">
        <f t="shared" si="1"/>
        <v/>
      </c>
      <c r="I22" s="61" t="str">
        <f t="shared" si="2"/>
        <v/>
      </c>
      <c r="K22" s="64"/>
      <c r="L22" s="64"/>
      <c r="M22" s="64"/>
      <c r="N22" s="64"/>
      <c r="O22" s="64"/>
      <c r="P22" s="64"/>
      <c r="T22" s="63"/>
    </row>
    <row r="23" spans="2:20" hidden="1">
      <c r="B23" s="58">
        <f t="shared" si="3"/>
        <v>0</v>
      </c>
      <c r="C23" s="58">
        <f t="shared" si="0"/>
        <v>0</v>
      </c>
      <c r="F23" s="60">
        <f t="shared" si="4"/>
        <v>0</v>
      </c>
      <c r="G23" s="59">
        <v>22</v>
      </c>
      <c r="H23" s="59" t="str">
        <f t="shared" si="1"/>
        <v/>
      </c>
      <c r="I23" s="61" t="str">
        <f t="shared" si="2"/>
        <v/>
      </c>
      <c r="K23" s="64"/>
      <c r="L23" s="64"/>
      <c r="M23" s="64"/>
      <c r="N23" s="64"/>
      <c r="O23" s="64"/>
      <c r="P23" s="64"/>
      <c r="T23" s="63"/>
    </row>
    <row r="24" spans="2:20" hidden="1">
      <c r="B24" s="58">
        <f t="shared" si="3"/>
        <v>0</v>
      </c>
      <c r="C24" s="58">
        <f t="shared" si="0"/>
        <v>0</v>
      </c>
      <c r="F24" s="60">
        <f t="shared" si="4"/>
        <v>0</v>
      </c>
      <c r="G24" s="59">
        <v>23</v>
      </c>
      <c r="H24" s="59" t="str">
        <f t="shared" si="1"/>
        <v/>
      </c>
      <c r="I24" s="61" t="str">
        <f t="shared" si="2"/>
        <v/>
      </c>
      <c r="K24" s="64"/>
      <c r="L24" s="64"/>
      <c r="M24" s="64"/>
      <c r="N24" s="64"/>
      <c r="O24" s="64"/>
      <c r="P24" s="64"/>
      <c r="T24" s="63"/>
    </row>
    <row r="25" spans="2:20" hidden="1">
      <c r="B25" s="58">
        <f t="shared" si="3"/>
        <v>0</v>
      </c>
      <c r="C25" s="58">
        <f t="shared" si="0"/>
        <v>0</v>
      </c>
      <c r="F25" s="60">
        <f t="shared" si="4"/>
        <v>0</v>
      </c>
      <c r="G25" s="59">
        <v>24</v>
      </c>
      <c r="H25" s="59" t="str">
        <f t="shared" si="1"/>
        <v/>
      </c>
      <c r="I25" s="61" t="str">
        <f t="shared" si="2"/>
        <v/>
      </c>
      <c r="K25" s="64"/>
      <c r="L25" s="64"/>
      <c r="M25" s="64"/>
      <c r="N25" s="64"/>
      <c r="O25" s="64"/>
      <c r="P25" s="64"/>
      <c r="T25" s="63"/>
    </row>
    <row r="26" spans="2:20" hidden="1">
      <c r="B26" s="58">
        <f t="shared" si="3"/>
        <v>0</v>
      </c>
      <c r="C26" s="58">
        <f t="shared" si="0"/>
        <v>0</v>
      </c>
      <c r="F26" s="60">
        <f t="shared" si="4"/>
        <v>0</v>
      </c>
      <c r="G26" s="59"/>
      <c r="H26" s="59"/>
      <c r="I26" s="61"/>
      <c r="K26" s="64"/>
      <c r="L26" s="64"/>
      <c r="M26" s="64"/>
      <c r="N26" s="64"/>
      <c r="O26" s="64"/>
      <c r="P26" s="64"/>
      <c r="T26" s="63"/>
    </row>
    <row r="27" spans="2:20" hidden="1">
      <c r="B27" s="58">
        <f t="shared" si="3"/>
        <v>0</v>
      </c>
      <c r="C27" s="58">
        <f t="shared" si="0"/>
        <v>0</v>
      </c>
      <c r="F27" s="60">
        <f t="shared" si="4"/>
        <v>0</v>
      </c>
      <c r="H27" s="58" t="s">
        <v>346</v>
      </c>
      <c r="I27" s="64">
        <f ca="1">MAX(I2:I26)</f>
        <v>1.7500000000000002E-2</v>
      </c>
      <c r="K27" s="64"/>
      <c r="L27" s="64"/>
      <c r="M27" s="64"/>
      <c r="N27" s="64"/>
      <c r="O27" s="64"/>
      <c r="P27" s="64"/>
      <c r="T27" s="63"/>
    </row>
    <row r="28" spans="2:20" hidden="1">
      <c r="B28" s="58">
        <f t="shared" si="3"/>
        <v>0</v>
      </c>
      <c r="C28" s="58">
        <f t="shared" si="0"/>
        <v>0</v>
      </c>
      <c r="F28" s="60">
        <f t="shared" si="4"/>
        <v>0</v>
      </c>
      <c r="K28" s="64"/>
      <c r="L28" s="64"/>
      <c r="M28" s="64"/>
      <c r="N28" s="64"/>
      <c r="O28" s="64"/>
      <c r="P28" s="64"/>
      <c r="T28" s="63"/>
    </row>
    <row r="29" spans="2:20" hidden="1">
      <c r="B29" s="58">
        <f t="shared" si="3"/>
        <v>0</v>
      </c>
      <c r="C29" s="58">
        <f t="shared" si="0"/>
        <v>0</v>
      </c>
      <c r="F29" s="60">
        <f t="shared" si="4"/>
        <v>0</v>
      </c>
      <c r="K29" s="64"/>
      <c r="L29" s="64"/>
      <c r="M29" s="64"/>
      <c r="N29" s="64"/>
      <c r="O29" s="64"/>
      <c r="P29" s="64"/>
      <c r="T29" s="63"/>
    </row>
    <row r="30" spans="2:20" hidden="1">
      <c r="B30" s="58">
        <f t="shared" si="3"/>
        <v>0</v>
      </c>
      <c r="C30" s="58">
        <f t="shared" si="0"/>
        <v>0</v>
      </c>
      <c r="F30" s="60">
        <f t="shared" si="4"/>
        <v>0</v>
      </c>
      <c r="K30" s="64"/>
      <c r="L30" s="64"/>
      <c r="M30" s="64"/>
      <c r="N30" s="64"/>
      <c r="O30" s="64"/>
      <c r="P30" s="64"/>
      <c r="T30" s="63"/>
    </row>
    <row r="31" spans="2:20" hidden="1">
      <c r="B31" s="58">
        <f t="shared" si="3"/>
        <v>0</v>
      </c>
      <c r="C31" s="58">
        <f t="shared" si="0"/>
        <v>0</v>
      </c>
      <c r="F31" s="60">
        <f t="shared" si="4"/>
        <v>0</v>
      </c>
      <c r="K31" s="64"/>
      <c r="L31" s="64"/>
      <c r="M31" s="64"/>
      <c r="N31" s="64"/>
      <c r="O31" s="64"/>
      <c r="P31" s="64"/>
      <c r="T31" s="63"/>
    </row>
    <row r="32" spans="2:20" hidden="1">
      <c r="B32" s="58">
        <f t="shared" si="3"/>
        <v>0</v>
      </c>
      <c r="C32" s="58">
        <f t="shared" si="0"/>
        <v>0</v>
      </c>
      <c r="F32" s="60">
        <f t="shared" si="4"/>
        <v>0</v>
      </c>
      <c r="T32" s="63"/>
    </row>
    <row r="33" spans="2:16" hidden="1">
      <c r="B33" s="58">
        <f t="shared" si="3"/>
        <v>0</v>
      </c>
      <c r="C33" s="58">
        <f t="shared" si="0"/>
        <v>0</v>
      </c>
      <c r="F33" s="60">
        <f t="shared" si="4"/>
        <v>0</v>
      </c>
    </row>
    <row r="34" spans="2:16" hidden="1">
      <c r="B34" s="58">
        <f t="shared" si="3"/>
        <v>0</v>
      </c>
      <c r="C34" s="58">
        <f t="shared" si="0"/>
        <v>0</v>
      </c>
      <c r="F34" s="60">
        <f t="shared" si="4"/>
        <v>0</v>
      </c>
    </row>
    <row r="35" spans="2:16" hidden="1">
      <c r="B35" s="58">
        <f t="shared" si="3"/>
        <v>0</v>
      </c>
      <c r="C35" s="58">
        <f t="shared" si="0"/>
        <v>0</v>
      </c>
      <c r="F35" s="60">
        <f t="shared" si="4"/>
        <v>0</v>
      </c>
    </row>
    <row r="36" spans="2:16" hidden="1">
      <c r="B36" s="58">
        <f t="shared" si="3"/>
        <v>0</v>
      </c>
      <c r="C36" s="58">
        <f t="shared" si="0"/>
        <v>0</v>
      </c>
      <c r="F36" s="60">
        <f t="shared" si="4"/>
        <v>0</v>
      </c>
      <c r="K36" s="64"/>
      <c r="L36" s="64"/>
      <c r="M36" s="64"/>
      <c r="N36" s="64"/>
      <c r="O36" s="64"/>
      <c r="P36" s="64"/>
    </row>
    <row r="37" spans="2:16" hidden="1">
      <c r="B37" s="58">
        <f t="shared" si="3"/>
        <v>0</v>
      </c>
      <c r="C37" s="58">
        <f t="shared" si="0"/>
        <v>0</v>
      </c>
      <c r="F37" s="60">
        <f t="shared" si="4"/>
        <v>0</v>
      </c>
      <c r="K37" s="64"/>
      <c r="L37" s="64"/>
      <c r="M37" s="64"/>
      <c r="N37" s="64"/>
      <c r="O37" s="64"/>
      <c r="P37" s="64"/>
    </row>
    <row r="38" spans="2:16" hidden="1">
      <c r="B38" s="58">
        <f t="shared" si="3"/>
        <v>0</v>
      </c>
      <c r="C38" s="58">
        <f t="shared" si="0"/>
        <v>0</v>
      </c>
      <c r="F38" s="60">
        <f t="shared" si="4"/>
        <v>0</v>
      </c>
      <c r="K38" s="64"/>
      <c r="L38" s="64"/>
      <c r="M38" s="64"/>
      <c r="N38" s="64"/>
      <c r="O38" s="64"/>
      <c r="P38" s="64"/>
    </row>
    <row r="39" spans="2:16" hidden="1">
      <c r="B39" s="58">
        <f t="shared" si="3"/>
        <v>0</v>
      </c>
      <c r="C39" s="58">
        <f t="shared" si="0"/>
        <v>0</v>
      </c>
      <c r="F39" s="60">
        <f t="shared" si="4"/>
        <v>0</v>
      </c>
      <c r="K39" s="64"/>
      <c r="L39" s="64"/>
      <c r="M39" s="64"/>
      <c r="N39" s="64"/>
      <c r="O39" s="64"/>
      <c r="P39" s="64"/>
    </row>
    <row r="40" spans="2:16" hidden="1">
      <c r="B40" s="58">
        <f t="shared" si="3"/>
        <v>0</v>
      </c>
      <c r="C40" s="58">
        <f t="shared" si="0"/>
        <v>0</v>
      </c>
      <c r="F40" s="60">
        <f t="shared" si="4"/>
        <v>0</v>
      </c>
      <c r="K40" s="64"/>
      <c r="L40" s="64"/>
      <c r="M40" s="64"/>
      <c r="N40" s="64"/>
      <c r="O40" s="64"/>
      <c r="P40" s="64"/>
    </row>
    <row r="41" spans="2:16" hidden="1">
      <c r="B41" s="58">
        <f t="shared" si="3"/>
        <v>0</v>
      </c>
      <c r="C41" s="58">
        <f t="shared" si="0"/>
        <v>0</v>
      </c>
      <c r="F41" s="60">
        <f t="shared" si="4"/>
        <v>0</v>
      </c>
      <c r="K41" s="64"/>
      <c r="L41" s="64"/>
      <c r="M41" s="64"/>
      <c r="N41" s="64"/>
      <c r="O41" s="64"/>
      <c r="P41" s="64"/>
    </row>
    <row r="42" spans="2:16" hidden="1">
      <c r="B42" s="58">
        <f t="shared" si="3"/>
        <v>0</v>
      </c>
      <c r="C42" s="58">
        <f t="shared" si="0"/>
        <v>0</v>
      </c>
      <c r="F42" s="60">
        <f t="shared" si="4"/>
        <v>0</v>
      </c>
      <c r="K42" s="64"/>
      <c r="L42" s="64"/>
      <c r="M42" s="64"/>
      <c r="N42" s="64"/>
      <c r="O42" s="64"/>
      <c r="P42" s="64"/>
    </row>
    <row r="43" spans="2:16" hidden="1">
      <c r="B43" s="58">
        <f t="shared" si="3"/>
        <v>0</v>
      </c>
      <c r="C43" s="58">
        <f t="shared" si="0"/>
        <v>0</v>
      </c>
      <c r="F43" s="60">
        <f t="shared" si="4"/>
        <v>0</v>
      </c>
      <c r="K43" s="64"/>
      <c r="L43" s="64"/>
      <c r="M43" s="64"/>
      <c r="N43" s="64"/>
      <c r="O43" s="64"/>
      <c r="P43" s="64"/>
    </row>
    <row r="44" spans="2:16" hidden="1">
      <c r="B44" s="58">
        <f t="shared" si="3"/>
        <v>0</v>
      </c>
      <c r="C44" s="58">
        <f t="shared" si="0"/>
        <v>0</v>
      </c>
      <c r="F44" s="60">
        <f t="shared" si="4"/>
        <v>0</v>
      </c>
      <c r="K44" s="64"/>
      <c r="L44" s="64"/>
      <c r="M44" s="64"/>
      <c r="N44" s="64"/>
      <c r="O44" s="64"/>
      <c r="P44" s="64"/>
    </row>
    <row r="45" spans="2:16" hidden="1">
      <c r="B45" s="58">
        <f t="shared" si="3"/>
        <v>0</v>
      </c>
      <c r="C45" s="58">
        <f t="shared" si="0"/>
        <v>0</v>
      </c>
      <c r="F45" s="60">
        <f t="shared" si="4"/>
        <v>0</v>
      </c>
      <c r="K45" s="64"/>
      <c r="L45" s="64"/>
      <c r="M45" s="64"/>
      <c r="N45" s="64"/>
      <c r="O45" s="64"/>
      <c r="P45" s="64"/>
    </row>
    <row r="46" spans="2:16" hidden="1">
      <c r="B46" s="58">
        <f t="shared" si="3"/>
        <v>0</v>
      </c>
      <c r="C46" s="58">
        <f t="shared" si="0"/>
        <v>0</v>
      </c>
      <c r="F46" s="60">
        <f t="shared" si="4"/>
        <v>0</v>
      </c>
      <c r="K46" s="64"/>
      <c r="L46" s="64"/>
      <c r="M46" s="64"/>
      <c r="N46" s="64"/>
      <c r="O46" s="64"/>
      <c r="P46" s="64"/>
    </row>
    <row r="47" spans="2:16" hidden="1">
      <c r="B47" s="58">
        <f t="shared" si="3"/>
        <v>0</v>
      </c>
      <c r="C47" s="58">
        <f t="shared" si="0"/>
        <v>0</v>
      </c>
      <c r="F47" s="60">
        <f t="shared" si="4"/>
        <v>0</v>
      </c>
      <c r="K47" s="64"/>
      <c r="L47" s="64"/>
      <c r="M47" s="64"/>
      <c r="N47" s="64"/>
      <c r="O47" s="64"/>
      <c r="P47" s="64"/>
    </row>
    <row r="48" spans="2:16" hidden="1">
      <c r="B48" s="58">
        <f t="shared" si="3"/>
        <v>0</v>
      </c>
      <c r="C48" s="58">
        <f t="shared" si="0"/>
        <v>0</v>
      </c>
      <c r="F48" s="60">
        <f t="shared" si="4"/>
        <v>0</v>
      </c>
    </row>
    <row r="49" spans="2:16" hidden="1">
      <c r="B49" s="58">
        <f t="shared" si="3"/>
        <v>0</v>
      </c>
      <c r="C49" s="58">
        <f t="shared" si="0"/>
        <v>0</v>
      </c>
      <c r="F49" s="60">
        <f t="shared" si="4"/>
        <v>0</v>
      </c>
    </row>
    <row r="50" spans="2:16" hidden="1">
      <c r="B50" s="58">
        <f t="shared" si="3"/>
        <v>0</v>
      </c>
      <c r="C50" s="58">
        <f t="shared" si="0"/>
        <v>0</v>
      </c>
      <c r="F50" s="60">
        <f t="shared" si="4"/>
        <v>0</v>
      </c>
    </row>
    <row r="51" spans="2:16" hidden="1">
      <c r="B51" s="58">
        <f t="shared" si="3"/>
        <v>0</v>
      </c>
      <c r="C51" s="58">
        <f t="shared" si="0"/>
        <v>0</v>
      </c>
      <c r="F51" s="60">
        <f t="shared" si="4"/>
        <v>0</v>
      </c>
    </row>
    <row r="52" spans="2:16" hidden="1">
      <c r="B52" s="58">
        <f t="shared" si="3"/>
        <v>0</v>
      </c>
      <c r="C52" s="58">
        <f t="shared" si="0"/>
        <v>0</v>
      </c>
      <c r="F52" s="60">
        <f t="shared" si="4"/>
        <v>0</v>
      </c>
      <c r="K52" s="64"/>
      <c r="L52" s="64"/>
      <c r="M52" s="64"/>
      <c r="N52" s="64"/>
      <c r="O52" s="64"/>
      <c r="P52" s="64"/>
    </row>
    <row r="53" spans="2:16" hidden="1">
      <c r="B53" s="58">
        <f t="shared" si="3"/>
        <v>0</v>
      </c>
      <c r="C53" s="58">
        <f t="shared" si="0"/>
        <v>0</v>
      </c>
      <c r="F53" s="60">
        <f t="shared" si="4"/>
        <v>0</v>
      </c>
      <c r="K53" s="64"/>
      <c r="L53" s="64"/>
      <c r="M53" s="64"/>
      <c r="N53" s="64"/>
      <c r="O53" s="64"/>
      <c r="P53" s="64"/>
    </row>
    <row r="54" spans="2:16" hidden="1">
      <c r="B54" s="58">
        <f t="shared" si="3"/>
        <v>0</v>
      </c>
      <c r="C54" s="58">
        <f t="shared" si="0"/>
        <v>0</v>
      </c>
      <c r="F54" s="60">
        <f t="shared" si="4"/>
        <v>0</v>
      </c>
      <c r="K54" s="64"/>
      <c r="L54" s="64"/>
      <c r="M54" s="64"/>
      <c r="N54" s="64"/>
      <c r="O54" s="64"/>
      <c r="P54" s="64"/>
    </row>
    <row r="55" spans="2:16" hidden="1">
      <c r="B55" s="58">
        <f t="shared" si="3"/>
        <v>0</v>
      </c>
      <c r="C55" s="58">
        <f t="shared" si="0"/>
        <v>0</v>
      </c>
      <c r="F55" s="60">
        <f t="shared" si="4"/>
        <v>0</v>
      </c>
      <c r="K55" s="64"/>
      <c r="L55" s="64"/>
      <c r="M55" s="64"/>
      <c r="N55" s="64"/>
      <c r="O55" s="64"/>
      <c r="P55" s="64"/>
    </row>
    <row r="56" spans="2:16" hidden="1">
      <c r="B56" s="58">
        <f t="shared" si="3"/>
        <v>0</v>
      </c>
      <c r="C56" s="58">
        <f t="shared" si="0"/>
        <v>0</v>
      </c>
      <c r="F56" s="60">
        <f t="shared" si="4"/>
        <v>0</v>
      </c>
      <c r="K56" s="64"/>
      <c r="L56" s="64"/>
      <c r="M56" s="64"/>
      <c r="N56" s="64"/>
      <c r="O56" s="64"/>
      <c r="P56" s="64"/>
    </row>
    <row r="57" spans="2:16" hidden="1">
      <c r="B57" s="58">
        <f t="shared" si="3"/>
        <v>0</v>
      </c>
      <c r="C57" s="58">
        <f t="shared" si="0"/>
        <v>0</v>
      </c>
      <c r="F57" s="60">
        <f t="shared" si="4"/>
        <v>0</v>
      </c>
      <c r="K57" s="64"/>
      <c r="L57" s="64"/>
      <c r="M57" s="64"/>
      <c r="N57" s="64"/>
      <c r="O57" s="64"/>
      <c r="P57" s="64"/>
    </row>
    <row r="58" spans="2:16" hidden="1">
      <c r="B58" s="58">
        <f t="shared" si="3"/>
        <v>0</v>
      </c>
      <c r="C58" s="58">
        <f t="shared" si="0"/>
        <v>0</v>
      </c>
      <c r="F58" s="60">
        <f t="shared" si="4"/>
        <v>0</v>
      </c>
      <c r="K58" s="64"/>
      <c r="L58" s="64"/>
      <c r="M58" s="64"/>
      <c r="N58" s="64"/>
      <c r="O58" s="64"/>
      <c r="P58" s="64"/>
    </row>
    <row r="59" spans="2:16" hidden="1">
      <c r="B59" s="58">
        <f t="shared" si="3"/>
        <v>0</v>
      </c>
      <c r="C59" s="58">
        <f t="shared" si="0"/>
        <v>0</v>
      </c>
      <c r="F59" s="60">
        <f t="shared" si="4"/>
        <v>0</v>
      </c>
      <c r="K59" s="64"/>
      <c r="L59" s="64"/>
      <c r="M59" s="64"/>
      <c r="N59" s="64"/>
      <c r="O59" s="64"/>
      <c r="P59" s="64"/>
    </row>
    <row r="60" spans="2:16" hidden="1">
      <c r="B60" s="58">
        <f t="shared" si="3"/>
        <v>0</v>
      </c>
      <c r="C60" s="58">
        <f t="shared" si="0"/>
        <v>0</v>
      </c>
      <c r="F60" s="60">
        <f t="shared" si="4"/>
        <v>0</v>
      </c>
      <c r="K60" s="64"/>
      <c r="L60" s="64"/>
      <c r="M60" s="64"/>
      <c r="N60" s="64"/>
      <c r="O60" s="64"/>
      <c r="P60" s="64"/>
    </row>
    <row r="61" spans="2:16" hidden="1">
      <c r="B61" s="58">
        <f t="shared" si="3"/>
        <v>0</v>
      </c>
      <c r="C61" s="58">
        <f t="shared" si="0"/>
        <v>0</v>
      </c>
      <c r="F61" s="60">
        <f t="shared" si="4"/>
        <v>0</v>
      </c>
      <c r="K61" s="64"/>
      <c r="L61" s="64"/>
      <c r="M61" s="64"/>
      <c r="N61" s="64"/>
      <c r="O61" s="64"/>
      <c r="P61" s="64"/>
    </row>
    <row r="62" spans="2:16" hidden="1">
      <c r="B62" s="58">
        <f t="shared" si="3"/>
        <v>0</v>
      </c>
      <c r="C62" s="58">
        <f t="shared" si="0"/>
        <v>0</v>
      </c>
      <c r="F62" s="60">
        <f t="shared" si="4"/>
        <v>0</v>
      </c>
      <c r="K62" s="64"/>
      <c r="L62" s="64"/>
      <c r="M62" s="64"/>
      <c r="N62" s="64"/>
      <c r="O62" s="64"/>
      <c r="P62" s="64"/>
    </row>
    <row r="63" spans="2:16" hidden="1">
      <c r="B63" s="58">
        <f t="shared" si="3"/>
        <v>0</v>
      </c>
      <c r="C63" s="58">
        <f t="shared" si="0"/>
        <v>0</v>
      </c>
      <c r="F63" s="60">
        <f t="shared" si="4"/>
        <v>0</v>
      </c>
    </row>
    <row r="64" spans="2:16" hidden="1">
      <c r="B64" s="58">
        <f t="shared" si="3"/>
        <v>0</v>
      </c>
      <c r="C64" s="58">
        <f t="shared" si="0"/>
        <v>0</v>
      </c>
      <c r="F64" s="60">
        <f t="shared" si="4"/>
        <v>0</v>
      </c>
    </row>
    <row r="65" spans="2:16" hidden="1">
      <c r="B65" s="58">
        <f t="shared" si="3"/>
        <v>0</v>
      </c>
      <c r="C65" s="58">
        <f t="shared" si="0"/>
        <v>0</v>
      </c>
      <c r="F65" s="60">
        <f t="shared" si="4"/>
        <v>0</v>
      </c>
    </row>
    <row r="66" spans="2:16" hidden="1">
      <c r="B66" s="58">
        <f t="shared" si="3"/>
        <v>0</v>
      </c>
      <c r="C66" s="58">
        <f t="shared" si="0"/>
        <v>0</v>
      </c>
      <c r="F66" s="60">
        <f t="shared" si="4"/>
        <v>0</v>
      </c>
    </row>
    <row r="67" spans="2:16" hidden="1">
      <c r="B67" s="58">
        <f t="shared" si="3"/>
        <v>0</v>
      </c>
      <c r="C67" s="58">
        <f t="shared" ref="C67:C130" si="5">IF($B67=0,,RANK($B67,$B$3:$B$78))</f>
        <v>0</v>
      </c>
      <c r="F67" s="60">
        <f t="shared" si="4"/>
        <v>0</v>
      </c>
      <c r="K67" s="64"/>
      <c r="L67" s="64"/>
      <c r="M67" s="64"/>
      <c r="N67" s="64"/>
      <c r="O67" s="64"/>
      <c r="P67" s="64"/>
    </row>
    <row r="68" spans="2:16" hidden="1">
      <c r="B68" s="58">
        <f t="shared" ref="B68:B131" si="6">IF(OR(D68="",D68=0,RIGHT(D68,LEN($A$1))&lt;&gt;$A$1),,(LEFT($D68,3)*100)+MID($D68,7,IF(OR(AND(LEN($A$1)=3,LEN($D68)=12),AND(LEN($A$1)=4,LEN($D68)=13)),2,1))*1)</f>
        <v>0</v>
      </c>
      <c r="C68" s="58">
        <f t="shared" si="5"/>
        <v>0</v>
      </c>
      <c r="F68" s="60">
        <f t="shared" ref="F68:F131" si="7">IF(AND(RIGHT($D68,LEN($A$1))&lt;&gt;$A$1,$D68&lt;&gt;""),1,0)</f>
        <v>0</v>
      </c>
      <c r="K68" s="64"/>
      <c r="L68" s="64"/>
      <c r="M68" s="64"/>
      <c r="N68" s="64"/>
      <c r="O68" s="64"/>
      <c r="P68" s="64"/>
    </row>
    <row r="69" spans="2:16" hidden="1">
      <c r="B69" s="58">
        <f t="shared" si="6"/>
        <v>0</v>
      </c>
      <c r="C69" s="58">
        <f t="shared" si="5"/>
        <v>0</v>
      </c>
      <c r="F69" s="60">
        <f t="shared" si="7"/>
        <v>0</v>
      </c>
      <c r="K69" s="64"/>
      <c r="L69" s="64"/>
      <c r="M69" s="64"/>
      <c r="N69" s="64"/>
      <c r="O69" s="64"/>
      <c r="P69" s="64"/>
    </row>
    <row r="70" spans="2:16" hidden="1">
      <c r="B70" s="58">
        <f t="shared" si="6"/>
        <v>0</v>
      </c>
      <c r="C70" s="58">
        <f t="shared" si="5"/>
        <v>0</v>
      </c>
      <c r="F70" s="60">
        <f t="shared" si="7"/>
        <v>0</v>
      </c>
      <c r="K70" s="64"/>
      <c r="L70" s="64"/>
      <c r="M70" s="64"/>
      <c r="N70" s="64"/>
      <c r="O70" s="64"/>
      <c r="P70" s="64"/>
    </row>
    <row r="71" spans="2:16" hidden="1">
      <c r="B71" s="58">
        <f t="shared" si="6"/>
        <v>0</v>
      </c>
      <c r="C71" s="58">
        <f t="shared" si="5"/>
        <v>0</v>
      </c>
      <c r="F71" s="60">
        <f t="shared" si="7"/>
        <v>0</v>
      </c>
      <c r="K71" s="64"/>
      <c r="L71" s="64"/>
      <c r="M71" s="64"/>
      <c r="N71" s="64"/>
      <c r="O71" s="64"/>
      <c r="P71" s="64"/>
    </row>
    <row r="72" spans="2:16" hidden="1">
      <c r="B72" s="58">
        <f t="shared" si="6"/>
        <v>0</v>
      </c>
      <c r="C72" s="58">
        <f t="shared" si="5"/>
        <v>0</v>
      </c>
      <c r="F72" s="60">
        <f t="shared" si="7"/>
        <v>0</v>
      </c>
      <c r="K72" s="64"/>
      <c r="L72" s="64"/>
      <c r="M72" s="64"/>
      <c r="N72" s="64"/>
      <c r="O72" s="64"/>
      <c r="P72" s="64"/>
    </row>
    <row r="73" spans="2:16" hidden="1">
      <c r="B73" s="58">
        <f t="shared" si="6"/>
        <v>0</v>
      </c>
      <c r="C73" s="58">
        <f t="shared" si="5"/>
        <v>0</v>
      </c>
      <c r="F73" s="60">
        <f t="shared" si="7"/>
        <v>0</v>
      </c>
      <c r="K73" s="64"/>
      <c r="L73" s="64"/>
      <c r="M73" s="64"/>
      <c r="N73" s="64"/>
      <c r="O73" s="64"/>
      <c r="P73" s="64"/>
    </row>
    <row r="74" spans="2:16" hidden="1">
      <c r="B74" s="58">
        <f t="shared" si="6"/>
        <v>0</v>
      </c>
      <c r="C74" s="58">
        <f t="shared" si="5"/>
        <v>0</v>
      </c>
      <c r="F74" s="60">
        <f t="shared" si="7"/>
        <v>0</v>
      </c>
      <c r="K74" s="64"/>
      <c r="L74" s="64"/>
      <c r="M74" s="64"/>
      <c r="N74" s="64"/>
      <c r="O74" s="64"/>
      <c r="P74" s="64"/>
    </row>
    <row r="75" spans="2:16" hidden="1">
      <c r="B75" s="58">
        <f t="shared" si="6"/>
        <v>0</v>
      </c>
      <c r="C75" s="58">
        <f t="shared" si="5"/>
        <v>0</v>
      </c>
      <c r="F75" s="60">
        <f t="shared" si="7"/>
        <v>0</v>
      </c>
      <c r="K75" s="64"/>
      <c r="L75" s="64"/>
      <c r="M75" s="64"/>
      <c r="N75" s="64"/>
      <c r="O75" s="64"/>
      <c r="P75" s="64"/>
    </row>
    <row r="76" spans="2:16" hidden="1">
      <c r="B76" s="58">
        <f t="shared" si="6"/>
        <v>0</v>
      </c>
      <c r="C76" s="58">
        <f t="shared" si="5"/>
        <v>0</v>
      </c>
      <c r="F76" s="60">
        <f t="shared" si="7"/>
        <v>0</v>
      </c>
      <c r="K76" s="64"/>
      <c r="L76" s="64"/>
      <c r="M76" s="64"/>
      <c r="N76" s="64"/>
      <c r="O76" s="64"/>
      <c r="P76" s="64"/>
    </row>
    <row r="77" spans="2:16" hidden="1">
      <c r="B77" s="58">
        <f t="shared" si="6"/>
        <v>0</v>
      </c>
      <c r="C77" s="58">
        <f t="shared" si="5"/>
        <v>0</v>
      </c>
      <c r="F77" s="60">
        <f t="shared" si="7"/>
        <v>0</v>
      </c>
      <c r="O77" s="64"/>
      <c r="P77" s="64"/>
    </row>
    <row r="78" spans="2:16" hidden="1">
      <c r="B78" s="58">
        <f t="shared" si="6"/>
        <v>0</v>
      </c>
      <c r="C78" s="58">
        <f t="shared" si="5"/>
        <v>0</v>
      </c>
      <c r="F78" s="60">
        <f t="shared" si="7"/>
        <v>0</v>
      </c>
      <c r="O78" s="64"/>
      <c r="P78" s="64"/>
    </row>
    <row r="79" spans="2:16" hidden="1">
      <c r="B79" s="58">
        <f t="shared" si="6"/>
        <v>0</v>
      </c>
      <c r="C79" s="58">
        <f t="shared" si="5"/>
        <v>0</v>
      </c>
      <c r="F79" s="60">
        <f t="shared" si="7"/>
        <v>0</v>
      </c>
    </row>
    <row r="80" spans="2:16" hidden="1">
      <c r="B80" s="58">
        <f t="shared" si="6"/>
        <v>0</v>
      </c>
      <c r="C80" s="58">
        <f t="shared" si="5"/>
        <v>0</v>
      </c>
      <c r="F80" s="60">
        <f t="shared" si="7"/>
        <v>0</v>
      </c>
      <c r="O80" s="65"/>
      <c r="P80" s="65"/>
    </row>
    <row r="81" spans="2:16" hidden="1">
      <c r="B81" s="58">
        <f t="shared" si="6"/>
        <v>0</v>
      </c>
      <c r="C81" s="58">
        <f t="shared" si="5"/>
        <v>0</v>
      </c>
      <c r="F81" s="60">
        <f t="shared" si="7"/>
        <v>0</v>
      </c>
      <c r="O81" s="65"/>
      <c r="P81" s="65"/>
    </row>
    <row r="82" spans="2:16" hidden="1">
      <c r="B82" s="58">
        <f t="shared" si="6"/>
        <v>0</v>
      </c>
      <c r="C82" s="58">
        <f t="shared" si="5"/>
        <v>0</v>
      </c>
      <c r="F82" s="60">
        <f t="shared" si="7"/>
        <v>0</v>
      </c>
      <c r="O82" s="65"/>
      <c r="P82" s="65"/>
    </row>
    <row r="83" spans="2:16" hidden="1">
      <c r="B83" s="58">
        <f t="shared" si="6"/>
        <v>0</v>
      </c>
      <c r="C83" s="58">
        <f t="shared" si="5"/>
        <v>0</v>
      </c>
      <c r="F83" s="60">
        <f t="shared" si="7"/>
        <v>0</v>
      </c>
      <c r="O83" s="65"/>
      <c r="P83" s="65"/>
    </row>
    <row r="84" spans="2:16" hidden="1">
      <c r="B84" s="58">
        <f t="shared" si="6"/>
        <v>0</v>
      </c>
      <c r="C84" s="58">
        <f t="shared" si="5"/>
        <v>0</v>
      </c>
      <c r="F84" s="60">
        <f t="shared" si="7"/>
        <v>0</v>
      </c>
      <c r="O84" s="65"/>
      <c r="P84" s="65"/>
    </row>
    <row r="85" spans="2:16" hidden="1">
      <c r="B85" s="58">
        <f t="shared" si="6"/>
        <v>0</v>
      </c>
      <c r="C85" s="58">
        <f t="shared" si="5"/>
        <v>0</v>
      </c>
      <c r="F85" s="60">
        <f t="shared" si="7"/>
        <v>0</v>
      </c>
      <c r="O85" s="65"/>
      <c r="P85" s="65"/>
    </row>
    <row r="86" spans="2:16" hidden="1">
      <c r="B86" s="58">
        <f t="shared" si="6"/>
        <v>0</v>
      </c>
      <c r="C86" s="58">
        <f t="shared" si="5"/>
        <v>0</v>
      </c>
      <c r="F86" s="60">
        <f t="shared" si="7"/>
        <v>0</v>
      </c>
      <c r="O86" s="65"/>
      <c r="P86" s="65"/>
    </row>
    <row r="87" spans="2:16" hidden="1">
      <c r="B87" s="58">
        <f t="shared" si="6"/>
        <v>0</v>
      </c>
      <c r="C87" s="58">
        <f t="shared" si="5"/>
        <v>0</v>
      </c>
      <c r="F87" s="60">
        <f t="shared" si="7"/>
        <v>0</v>
      </c>
      <c r="O87" s="65"/>
      <c r="P87" s="65"/>
    </row>
    <row r="88" spans="2:16" hidden="1">
      <c r="B88" s="58">
        <f t="shared" si="6"/>
        <v>0</v>
      </c>
      <c r="C88" s="58">
        <f t="shared" si="5"/>
        <v>0</v>
      </c>
      <c r="F88" s="60">
        <f t="shared" si="7"/>
        <v>0</v>
      </c>
      <c r="O88" s="65"/>
      <c r="P88" s="65"/>
    </row>
    <row r="89" spans="2:16" hidden="1">
      <c r="B89" s="58">
        <f t="shared" si="6"/>
        <v>0</v>
      </c>
      <c r="C89" s="58">
        <f t="shared" si="5"/>
        <v>0</v>
      </c>
      <c r="F89" s="60">
        <f t="shared" si="7"/>
        <v>0</v>
      </c>
      <c r="O89" s="65"/>
      <c r="P89" s="65"/>
    </row>
    <row r="90" spans="2:16" hidden="1">
      <c r="B90" s="58">
        <f t="shared" si="6"/>
        <v>0</v>
      </c>
      <c r="C90" s="58">
        <f t="shared" si="5"/>
        <v>0</v>
      </c>
      <c r="F90" s="60">
        <f t="shared" si="7"/>
        <v>0</v>
      </c>
      <c r="O90" s="65"/>
      <c r="P90" s="65"/>
    </row>
    <row r="91" spans="2:16" hidden="1">
      <c r="B91" s="58">
        <f t="shared" si="6"/>
        <v>0</v>
      </c>
      <c r="C91" s="58">
        <f t="shared" si="5"/>
        <v>0</v>
      </c>
      <c r="F91" s="60">
        <f t="shared" si="7"/>
        <v>0</v>
      </c>
      <c r="O91" s="65"/>
      <c r="P91" s="65"/>
    </row>
    <row r="92" spans="2:16" hidden="1">
      <c r="B92" s="58">
        <f t="shared" si="6"/>
        <v>0</v>
      </c>
      <c r="C92" s="58">
        <f t="shared" si="5"/>
        <v>0</v>
      </c>
      <c r="F92" s="60">
        <f t="shared" si="7"/>
        <v>0</v>
      </c>
      <c r="O92" s="65"/>
      <c r="P92" s="65"/>
    </row>
    <row r="93" spans="2:16" hidden="1">
      <c r="B93" s="58">
        <f t="shared" si="6"/>
        <v>0</v>
      </c>
      <c r="C93" s="58">
        <f t="shared" si="5"/>
        <v>0</v>
      </c>
      <c r="F93" s="60">
        <f t="shared" si="7"/>
        <v>0</v>
      </c>
      <c r="O93" s="65"/>
      <c r="P93" s="65"/>
    </row>
    <row r="94" spans="2:16" hidden="1">
      <c r="B94" s="58">
        <f t="shared" si="6"/>
        <v>0</v>
      </c>
      <c r="C94" s="58">
        <f t="shared" si="5"/>
        <v>0</v>
      </c>
      <c r="F94" s="60">
        <f t="shared" si="7"/>
        <v>0</v>
      </c>
      <c r="O94" s="65"/>
      <c r="P94" s="65"/>
    </row>
    <row r="95" spans="2:16" hidden="1">
      <c r="B95" s="58">
        <f t="shared" si="6"/>
        <v>0</v>
      </c>
      <c r="C95" s="58">
        <f t="shared" si="5"/>
        <v>0</v>
      </c>
      <c r="F95" s="60">
        <f t="shared" si="7"/>
        <v>0</v>
      </c>
    </row>
    <row r="96" spans="2:16" hidden="1">
      <c r="B96" s="58">
        <f t="shared" si="6"/>
        <v>0</v>
      </c>
      <c r="C96" s="58">
        <f t="shared" si="5"/>
        <v>0</v>
      </c>
      <c r="F96" s="60">
        <f t="shared" si="7"/>
        <v>0</v>
      </c>
    </row>
    <row r="97" spans="2:6" hidden="1">
      <c r="B97" s="58">
        <f t="shared" si="6"/>
        <v>0</v>
      </c>
      <c r="C97" s="58">
        <f t="shared" si="5"/>
        <v>0</v>
      </c>
      <c r="F97" s="60">
        <f t="shared" si="7"/>
        <v>0</v>
      </c>
    </row>
    <row r="98" spans="2:6" hidden="1">
      <c r="B98" s="58">
        <f t="shared" si="6"/>
        <v>0</v>
      </c>
      <c r="C98" s="58">
        <f t="shared" si="5"/>
        <v>0</v>
      </c>
      <c r="F98" s="60">
        <f t="shared" si="7"/>
        <v>0</v>
      </c>
    </row>
    <row r="99" spans="2:6" hidden="1">
      <c r="B99" s="58">
        <f t="shared" si="6"/>
        <v>0</v>
      </c>
      <c r="C99" s="58">
        <f t="shared" si="5"/>
        <v>0</v>
      </c>
      <c r="F99" s="60">
        <f t="shared" si="7"/>
        <v>0</v>
      </c>
    </row>
    <row r="100" spans="2:6" hidden="1">
      <c r="B100" s="58">
        <f t="shared" si="6"/>
        <v>0</v>
      </c>
      <c r="C100" s="58">
        <f t="shared" si="5"/>
        <v>0</v>
      </c>
      <c r="F100" s="60">
        <f t="shared" si="7"/>
        <v>0</v>
      </c>
    </row>
    <row r="101" spans="2:6" hidden="1">
      <c r="B101" s="58">
        <f t="shared" si="6"/>
        <v>0</v>
      </c>
      <c r="C101" s="58">
        <f t="shared" si="5"/>
        <v>0</v>
      </c>
      <c r="F101" s="60">
        <f t="shared" si="7"/>
        <v>0</v>
      </c>
    </row>
    <row r="102" spans="2:6" hidden="1">
      <c r="B102" s="58">
        <f t="shared" si="6"/>
        <v>0</v>
      </c>
      <c r="C102" s="58">
        <f t="shared" si="5"/>
        <v>0</v>
      </c>
      <c r="F102" s="60">
        <f t="shared" si="7"/>
        <v>0</v>
      </c>
    </row>
    <row r="103" spans="2:6" hidden="1">
      <c r="B103" s="58">
        <f t="shared" si="6"/>
        <v>0</v>
      </c>
      <c r="C103" s="58">
        <f t="shared" si="5"/>
        <v>0</v>
      </c>
      <c r="F103" s="60">
        <f t="shared" si="7"/>
        <v>0</v>
      </c>
    </row>
    <row r="104" spans="2:6" hidden="1">
      <c r="B104" s="58">
        <f t="shared" si="6"/>
        <v>0</v>
      </c>
      <c r="C104" s="58">
        <f t="shared" si="5"/>
        <v>0</v>
      </c>
      <c r="F104" s="60">
        <f t="shared" si="7"/>
        <v>0</v>
      </c>
    </row>
    <row r="105" spans="2:6" hidden="1">
      <c r="B105" s="58">
        <f t="shared" si="6"/>
        <v>0</v>
      </c>
      <c r="C105" s="58">
        <f t="shared" si="5"/>
        <v>0</v>
      </c>
      <c r="F105" s="60">
        <f t="shared" si="7"/>
        <v>0</v>
      </c>
    </row>
    <row r="106" spans="2:6" hidden="1">
      <c r="B106" s="58">
        <f t="shared" si="6"/>
        <v>0</v>
      </c>
      <c r="C106" s="58">
        <f t="shared" si="5"/>
        <v>0</v>
      </c>
      <c r="F106" s="60">
        <f t="shared" si="7"/>
        <v>0</v>
      </c>
    </row>
    <row r="107" spans="2:6" hidden="1">
      <c r="B107" s="58">
        <f t="shared" si="6"/>
        <v>0</v>
      </c>
      <c r="C107" s="58">
        <f t="shared" si="5"/>
        <v>0</v>
      </c>
      <c r="F107" s="60">
        <f t="shared" si="7"/>
        <v>0</v>
      </c>
    </row>
    <row r="108" spans="2:6" hidden="1">
      <c r="B108" s="58">
        <f t="shared" si="6"/>
        <v>0</v>
      </c>
      <c r="C108" s="58">
        <f t="shared" si="5"/>
        <v>0</v>
      </c>
      <c r="F108" s="60">
        <f t="shared" si="7"/>
        <v>0</v>
      </c>
    </row>
    <row r="109" spans="2:6" hidden="1">
      <c r="B109" s="58">
        <f t="shared" si="6"/>
        <v>0</v>
      </c>
      <c r="C109" s="58">
        <f t="shared" si="5"/>
        <v>0</v>
      </c>
      <c r="F109" s="60">
        <f t="shared" si="7"/>
        <v>0</v>
      </c>
    </row>
    <row r="110" spans="2:6" hidden="1">
      <c r="B110" s="58">
        <f t="shared" si="6"/>
        <v>0</v>
      </c>
      <c r="C110" s="58">
        <f t="shared" si="5"/>
        <v>0</v>
      </c>
      <c r="F110" s="60">
        <f t="shared" si="7"/>
        <v>0</v>
      </c>
    </row>
    <row r="111" spans="2:6" hidden="1">
      <c r="B111" s="58">
        <f t="shared" si="6"/>
        <v>0</v>
      </c>
      <c r="C111" s="58">
        <f t="shared" si="5"/>
        <v>0</v>
      </c>
      <c r="F111" s="60">
        <f t="shared" si="7"/>
        <v>0</v>
      </c>
    </row>
    <row r="112" spans="2:6" hidden="1">
      <c r="B112" s="58">
        <f t="shared" si="6"/>
        <v>0</v>
      </c>
      <c r="C112" s="58">
        <f t="shared" si="5"/>
        <v>0</v>
      </c>
      <c r="F112" s="60">
        <f t="shared" si="7"/>
        <v>0</v>
      </c>
    </row>
    <row r="113" spans="2:6" hidden="1">
      <c r="B113" s="58">
        <f t="shared" si="6"/>
        <v>0</v>
      </c>
      <c r="C113" s="58">
        <f t="shared" si="5"/>
        <v>0</v>
      </c>
      <c r="F113" s="60">
        <f t="shared" si="7"/>
        <v>0</v>
      </c>
    </row>
    <row r="114" spans="2:6" hidden="1">
      <c r="B114" s="58">
        <f t="shared" si="6"/>
        <v>0</v>
      </c>
      <c r="C114" s="58">
        <f t="shared" si="5"/>
        <v>0</v>
      </c>
      <c r="F114" s="60">
        <f t="shared" si="7"/>
        <v>0</v>
      </c>
    </row>
    <row r="115" spans="2:6" hidden="1">
      <c r="B115" s="58">
        <f t="shared" si="6"/>
        <v>0</v>
      </c>
      <c r="C115" s="58">
        <f t="shared" si="5"/>
        <v>0</v>
      </c>
      <c r="F115" s="60">
        <f t="shared" si="7"/>
        <v>0</v>
      </c>
    </row>
    <row r="116" spans="2:6" hidden="1">
      <c r="B116" s="58">
        <f t="shared" si="6"/>
        <v>0</v>
      </c>
      <c r="C116" s="58">
        <f t="shared" si="5"/>
        <v>0</v>
      </c>
      <c r="F116" s="60">
        <f t="shared" si="7"/>
        <v>0</v>
      </c>
    </row>
    <row r="117" spans="2:6" hidden="1">
      <c r="B117" s="58">
        <f t="shared" si="6"/>
        <v>0</v>
      </c>
      <c r="C117" s="58">
        <f t="shared" si="5"/>
        <v>0</v>
      </c>
      <c r="F117" s="60">
        <f t="shared" si="7"/>
        <v>0</v>
      </c>
    </row>
    <row r="118" spans="2:6" hidden="1">
      <c r="B118" s="58">
        <f t="shared" si="6"/>
        <v>0</v>
      </c>
      <c r="C118" s="58">
        <f t="shared" si="5"/>
        <v>0</v>
      </c>
      <c r="F118" s="60">
        <f t="shared" si="7"/>
        <v>0</v>
      </c>
    </row>
    <row r="119" spans="2:6" hidden="1">
      <c r="B119" s="58">
        <f t="shared" si="6"/>
        <v>0</v>
      </c>
      <c r="C119" s="58">
        <f t="shared" si="5"/>
        <v>0</v>
      </c>
      <c r="F119" s="60">
        <f t="shared" si="7"/>
        <v>0</v>
      </c>
    </row>
    <row r="120" spans="2:6" hidden="1">
      <c r="B120" s="58">
        <f t="shared" si="6"/>
        <v>0</v>
      </c>
      <c r="C120" s="58">
        <f t="shared" si="5"/>
        <v>0</v>
      </c>
      <c r="F120" s="60">
        <f t="shared" si="7"/>
        <v>0</v>
      </c>
    </row>
    <row r="121" spans="2:6" hidden="1">
      <c r="B121" s="58">
        <f t="shared" si="6"/>
        <v>0</v>
      </c>
      <c r="C121" s="58">
        <f t="shared" si="5"/>
        <v>0</v>
      </c>
      <c r="F121" s="60">
        <f t="shared" si="7"/>
        <v>0</v>
      </c>
    </row>
    <row r="122" spans="2:6" hidden="1">
      <c r="B122" s="58">
        <f t="shared" si="6"/>
        <v>0</v>
      </c>
      <c r="C122" s="58">
        <f t="shared" si="5"/>
        <v>0</v>
      </c>
      <c r="F122" s="60">
        <f t="shared" si="7"/>
        <v>0</v>
      </c>
    </row>
    <row r="123" spans="2:6" hidden="1">
      <c r="B123" s="58">
        <f t="shared" si="6"/>
        <v>0</v>
      </c>
      <c r="C123" s="58">
        <f t="shared" si="5"/>
        <v>0</v>
      </c>
      <c r="F123" s="60">
        <f t="shared" si="7"/>
        <v>0</v>
      </c>
    </row>
    <row r="124" spans="2:6" hidden="1">
      <c r="B124" s="58">
        <f t="shared" si="6"/>
        <v>0</v>
      </c>
      <c r="C124" s="58">
        <f t="shared" si="5"/>
        <v>0</v>
      </c>
      <c r="F124" s="60">
        <f t="shared" si="7"/>
        <v>0</v>
      </c>
    </row>
    <row r="125" spans="2:6" hidden="1">
      <c r="B125" s="58">
        <f t="shared" si="6"/>
        <v>0</v>
      </c>
      <c r="C125" s="58">
        <f t="shared" si="5"/>
        <v>0</v>
      </c>
      <c r="F125" s="60">
        <f t="shared" si="7"/>
        <v>0</v>
      </c>
    </row>
    <row r="126" spans="2:6" hidden="1">
      <c r="B126" s="58">
        <f t="shared" si="6"/>
        <v>0</v>
      </c>
      <c r="C126" s="58">
        <f t="shared" si="5"/>
        <v>0</v>
      </c>
      <c r="F126" s="60">
        <f t="shared" si="7"/>
        <v>0</v>
      </c>
    </row>
    <row r="127" spans="2:6" hidden="1">
      <c r="B127" s="58">
        <f t="shared" si="6"/>
        <v>0</v>
      </c>
      <c r="C127" s="58">
        <f t="shared" si="5"/>
        <v>0</v>
      </c>
      <c r="F127" s="60">
        <f t="shared" si="7"/>
        <v>0</v>
      </c>
    </row>
    <row r="128" spans="2:6" hidden="1">
      <c r="B128" s="58">
        <f t="shared" si="6"/>
        <v>0</v>
      </c>
      <c r="C128" s="58">
        <f t="shared" si="5"/>
        <v>0</v>
      </c>
      <c r="F128" s="60">
        <f t="shared" si="7"/>
        <v>0</v>
      </c>
    </row>
    <row r="129" spans="2:6" hidden="1">
      <c r="B129" s="58">
        <f t="shared" si="6"/>
        <v>0</v>
      </c>
      <c r="C129" s="58">
        <f t="shared" si="5"/>
        <v>0</v>
      </c>
      <c r="F129" s="60">
        <f t="shared" si="7"/>
        <v>0</v>
      </c>
    </row>
    <row r="130" spans="2:6" hidden="1">
      <c r="B130" s="58">
        <f t="shared" si="6"/>
        <v>0</v>
      </c>
      <c r="C130" s="58">
        <f t="shared" si="5"/>
        <v>0</v>
      </c>
      <c r="F130" s="60">
        <f t="shared" si="7"/>
        <v>0</v>
      </c>
    </row>
    <row r="131" spans="2:6" hidden="1">
      <c r="B131" s="58">
        <f t="shared" si="6"/>
        <v>0</v>
      </c>
      <c r="C131" s="58">
        <f t="shared" ref="C131:C194" si="8">IF($B131=0,,RANK($B131,$B$3:$B$78))</f>
        <v>0</v>
      </c>
      <c r="F131" s="60">
        <f t="shared" si="7"/>
        <v>0</v>
      </c>
    </row>
    <row r="132" spans="2:6" hidden="1">
      <c r="B132" s="58">
        <f t="shared" ref="B132:B195" si="9">IF(OR(D132="",D132=0,RIGHT(D132,LEN($A$1))&lt;&gt;$A$1),,(LEFT($D132,3)*100)+MID($D132,7,IF(OR(AND(LEN($A$1)=3,LEN($D132)=12),AND(LEN($A$1)=4,LEN($D132)=13)),2,1))*1)</f>
        <v>0</v>
      </c>
      <c r="C132" s="58">
        <f t="shared" si="8"/>
        <v>0</v>
      </c>
      <c r="F132" s="60">
        <f t="shared" ref="F132:F195" si="10">IF(AND(RIGHT($D132,LEN($A$1))&lt;&gt;$A$1,$D132&lt;&gt;""),1,0)</f>
        <v>0</v>
      </c>
    </row>
    <row r="133" spans="2:6" hidden="1">
      <c r="B133" s="58">
        <f t="shared" si="9"/>
        <v>0</v>
      </c>
      <c r="C133" s="58">
        <f t="shared" si="8"/>
        <v>0</v>
      </c>
      <c r="F133" s="60">
        <f t="shared" si="10"/>
        <v>0</v>
      </c>
    </row>
    <row r="134" spans="2:6" hidden="1">
      <c r="B134" s="58">
        <f t="shared" si="9"/>
        <v>0</v>
      </c>
      <c r="C134" s="58">
        <f t="shared" si="8"/>
        <v>0</v>
      </c>
      <c r="F134" s="60">
        <f t="shared" si="10"/>
        <v>0</v>
      </c>
    </row>
    <row r="135" spans="2:6" hidden="1">
      <c r="B135" s="58">
        <f t="shared" si="9"/>
        <v>0</v>
      </c>
      <c r="C135" s="58">
        <f t="shared" si="8"/>
        <v>0</v>
      </c>
      <c r="F135" s="60">
        <f t="shared" si="10"/>
        <v>0</v>
      </c>
    </row>
    <row r="136" spans="2:6" hidden="1">
      <c r="B136" s="58">
        <f t="shared" si="9"/>
        <v>0</v>
      </c>
      <c r="C136" s="58">
        <f t="shared" si="8"/>
        <v>0</v>
      </c>
      <c r="F136" s="60">
        <f t="shared" si="10"/>
        <v>0</v>
      </c>
    </row>
    <row r="137" spans="2:6" hidden="1">
      <c r="B137" s="58">
        <f t="shared" si="9"/>
        <v>0</v>
      </c>
      <c r="C137" s="58">
        <f t="shared" si="8"/>
        <v>0</v>
      </c>
      <c r="F137" s="60">
        <f t="shared" si="10"/>
        <v>0</v>
      </c>
    </row>
    <row r="138" spans="2:6" hidden="1">
      <c r="B138" s="58">
        <f t="shared" si="9"/>
        <v>0</v>
      </c>
      <c r="C138" s="58">
        <f t="shared" si="8"/>
        <v>0</v>
      </c>
      <c r="F138" s="60">
        <f t="shared" si="10"/>
        <v>0</v>
      </c>
    </row>
    <row r="139" spans="2:6" hidden="1">
      <c r="B139" s="58">
        <f t="shared" si="9"/>
        <v>0</v>
      </c>
      <c r="C139" s="58">
        <f t="shared" si="8"/>
        <v>0</v>
      </c>
      <c r="F139" s="60">
        <f t="shared" si="10"/>
        <v>0</v>
      </c>
    </row>
    <row r="140" spans="2:6" hidden="1">
      <c r="B140" s="58">
        <f t="shared" si="9"/>
        <v>0</v>
      </c>
      <c r="C140" s="58">
        <f t="shared" si="8"/>
        <v>0</v>
      </c>
      <c r="F140" s="60">
        <f t="shared" si="10"/>
        <v>0</v>
      </c>
    </row>
    <row r="141" spans="2:6" hidden="1">
      <c r="B141" s="58">
        <f t="shared" si="9"/>
        <v>0</v>
      </c>
      <c r="C141" s="58">
        <f t="shared" si="8"/>
        <v>0</v>
      </c>
      <c r="F141" s="60">
        <f t="shared" si="10"/>
        <v>0</v>
      </c>
    </row>
    <row r="142" spans="2:6" hidden="1">
      <c r="B142" s="58">
        <f t="shared" si="9"/>
        <v>0</v>
      </c>
      <c r="C142" s="58">
        <f t="shared" si="8"/>
        <v>0</v>
      </c>
      <c r="F142" s="60">
        <f t="shared" si="10"/>
        <v>0</v>
      </c>
    </row>
    <row r="143" spans="2:6" hidden="1">
      <c r="B143" s="58">
        <f t="shared" si="9"/>
        <v>0</v>
      </c>
      <c r="C143" s="58">
        <f t="shared" si="8"/>
        <v>0</v>
      </c>
      <c r="F143" s="60">
        <f t="shared" si="10"/>
        <v>0</v>
      </c>
    </row>
    <row r="144" spans="2:6" hidden="1">
      <c r="B144" s="58">
        <f t="shared" si="9"/>
        <v>0</v>
      </c>
      <c r="C144" s="58">
        <f t="shared" si="8"/>
        <v>0</v>
      </c>
      <c r="F144" s="60">
        <f t="shared" si="10"/>
        <v>0</v>
      </c>
    </row>
    <row r="145" spans="2:6" hidden="1">
      <c r="B145" s="58">
        <f t="shared" si="9"/>
        <v>0</v>
      </c>
      <c r="C145" s="58">
        <f t="shared" si="8"/>
        <v>0</v>
      </c>
      <c r="F145" s="60">
        <f t="shared" si="10"/>
        <v>0</v>
      </c>
    </row>
    <row r="146" spans="2:6" hidden="1">
      <c r="B146" s="58">
        <f t="shared" si="9"/>
        <v>0</v>
      </c>
      <c r="C146" s="58">
        <f t="shared" si="8"/>
        <v>0</v>
      </c>
      <c r="F146" s="60">
        <f t="shared" si="10"/>
        <v>0</v>
      </c>
    </row>
    <row r="147" spans="2:6" hidden="1">
      <c r="B147" s="58">
        <f t="shared" si="9"/>
        <v>0</v>
      </c>
      <c r="C147" s="58">
        <f t="shared" si="8"/>
        <v>0</v>
      </c>
      <c r="F147" s="60">
        <f t="shared" si="10"/>
        <v>0</v>
      </c>
    </row>
    <row r="148" spans="2:6" hidden="1">
      <c r="B148" s="58">
        <f t="shared" si="9"/>
        <v>0</v>
      </c>
      <c r="C148" s="58">
        <f t="shared" si="8"/>
        <v>0</v>
      </c>
      <c r="F148" s="60">
        <f t="shared" si="10"/>
        <v>0</v>
      </c>
    </row>
    <row r="149" spans="2:6" hidden="1">
      <c r="B149" s="58">
        <f t="shared" si="9"/>
        <v>0</v>
      </c>
      <c r="C149" s="58">
        <f t="shared" si="8"/>
        <v>0</v>
      </c>
      <c r="F149" s="60">
        <f t="shared" si="10"/>
        <v>0</v>
      </c>
    </row>
    <row r="150" spans="2:6" hidden="1">
      <c r="B150" s="58">
        <f t="shared" si="9"/>
        <v>0</v>
      </c>
      <c r="C150" s="58">
        <f t="shared" si="8"/>
        <v>0</v>
      </c>
      <c r="F150" s="60">
        <f t="shared" si="10"/>
        <v>0</v>
      </c>
    </row>
    <row r="151" spans="2:6" hidden="1">
      <c r="B151" s="58">
        <f t="shared" si="9"/>
        <v>0</v>
      </c>
      <c r="C151" s="58">
        <f t="shared" si="8"/>
        <v>0</v>
      </c>
      <c r="F151" s="60">
        <f t="shared" si="10"/>
        <v>0</v>
      </c>
    </row>
    <row r="152" spans="2:6" hidden="1">
      <c r="B152" s="58">
        <f t="shared" si="9"/>
        <v>0</v>
      </c>
      <c r="C152" s="58">
        <f t="shared" si="8"/>
        <v>0</v>
      </c>
      <c r="F152" s="60">
        <f t="shared" si="10"/>
        <v>0</v>
      </c>
    </row>
    <row r="153" spans="2:6" hidden="1">
      <c r="B153" s="58">
        <f t="shared" si="9"/>
        <v>0</v>
      </c>
      <c r="C153" s="58">
        <f t="shared" si="8"/>
        <v>0</v>
      </c>
      <c r="F153" s="60">
        <f t="shared" si="10"/>
        <v>0</v>
      </c>
    </row>
    <row r="154" spans="2:6" hidden="1">
      <c r="B154" s="58">
        <f t="shared" si="9"/>
        <v>0</v>
      </c>
      <c r="C154" s="58">
        <f t="shared" si="8"/>
        <v>0</v>
      </c>
      <c r="F154" s="60">
        <f t="shared" si="10"/>
        <v>0</v>
      </c>
    </row>
    <row r="155" spans="2:6" hidden="1">
      <c r="B155" s="58">
        <f t="shared" si="9"/>
        <v>0</v>
      </c>
      <c r="C155" s="58">
        <f t="shared" si="8"/>
        <v>0</v>
      </c>
      <c r="F155" s="60">
        <f t="shared" si="10"/>
        <v>0</v>
      </c>
    </row>
    <row r="156" spans="2:6" hidden="1">
      <c r="B156" s="58">
        <f t="shared" si="9"/>
        <v>0</v>
      </c>
      <c r="C156" s="58">
        <f t="shared" si="8"/>
        <v>0</v>
      </c>
      <c r="F156" s="60">
        <f t="shared" si="10"/>
        <v>0</v>
      </c>
    </row>
    <row r="157" spans="2:6" hidden="1">
      <c r="B157" s="58">
        <f t="shared" si="9"/>
        <v>0</v>
      </c>
      <c r="C157" s="58">
        <f t="shared" si="8"/>
        <v>0</v>
      </c>
      <c r="F157" s="60">
        <f t="shared" si="10"/>
        <v>0</v>
      </c>
    </row>
    <row r="158" spans="2:6" hidden="1">
      <c r="B158" s="58">
        <f t="shared" si="9"/>
        <v>0</v>
      </c>
      <c r="C158" s="58">
        <f t="shared" si="8"/>
        <v>0</v>
      </c>
      <c r="F158" s="60">
        <f t="shared" si="10"/>
        <v>0</v>
      </c>
    </row>
    <row r="159" spans="2:6" hidden="1">
      <c r="B159" s="58">
        <f t="shared" si="9"/>
        <v>0</v>
      </c>
      <c r="C159" s="58">
        <f t="shared" si="8"/>
        <v>0</v>
      </c>
      <c r="F159" s="60">
        <f t="shared" si="10"/>
        <v>0</v>
      </c>
    </row>
    <row r="160" spans="2:6" hidden="1">
      <c r="B160" s="58">
        <f t="shared" si="9"/>
        <v>0</v>
      </c>
      <c r="C160" s="58">
        <f t="shared" si="8"/>
        <v>0</v>
      </c>
      <c r="F160" s="60">
        <f t="shared" si="10"/>
        <v>0</v>
      </c>
    </row>
    <row r="161" spans="2:6" hidden="1">
      <c r="B161" s="58">
        <f t="shared" si="9"/>
        <v>0</v>
      </c>
      <c r="C161" s="58">
        <f t="shared" si="8"/>
        <v>0</v>
      </c>
      <c r="F161" s="60">
        <f t="shared" si="10"/>
        <v>0</v>
      </c>
    </row>
    <row r="162" spans="2:6" hidden="1">
      <c r="B162" s="58">
        <f t="shared" si="9"/>
        <v>0</v>
      </c>
      <c r="C162" s="58">
        <f t="shared" si="8"/>
        <v>0</v>
      </c>
      <c r="F162" s="60">
        <f t="shared" si="10"/>
        <v>0</v>
      </c>
    </row>
    <row r="163" spans="2:6" hidden="1">
      <c r="B163" s="58">
        <f t="shared" si="9"/>
        <v>0</v>
      </c>
      <c r="C163" s="58">
        <f t="shared" si="8"/>
        <v>0</v>
      </c>
      <c r="F163" s="60">
        <f t="shared" si="10"/>
        <v>0</v>
      </c>
    </row>
    <row r="164" spans="2:6" hidden="1">
      <c r="B164" s="58">
        <f t="shared" si="9"/>
        <v>0</v>
      </c>
      <c r="C164" s="58">
        <f t="shared" si="8"/>
        <v>0</v>
      </c>
      <c r="F164" s="60">
        <f t="shared" si="10"/>
        <v>0</v>
      </c>
    </row>
    <row r="165" spans="2:6" hidden="1">
      <c r="B165" s="58">
        <f t="shared" si="9"/>
        <v>0</v>
      </c>
      <c r="C165" s="58">
        <f t="shared" si="8"/>
        <v>0</v>
      </c>
      <c r="F165" s="60">
        <f t="shared" si="10"/>
        <v>0</v>
      </c>
    </row>
    <row r="166" spans="2:6" hidden="1">
      <c r="B166" s="58">
        <f t="shared" si="9"/>
        <v>0</v>
      </c>
      <c r="C166" s="58">
        <f t="shared" si="8"/>
        <v>0</v>
      </c>
      <c r="F166" s="60">
        <f t="shared" si="10"/>
        <v>0</v>
      </c>
    </row>
    <row r="167" spans="2:6" hidden="1">
      <c r="B167" s="58">
        <f t="shared" si="9"/>
        <v>0</v>
      </c>
      <c r="C167" s="58">
        <f t="shared" si="8"/>
        <v>0</v>
      </c>
      <c r="F167" s="60">
        <f t="shared" si="10"/>
        <v>0</v>
      </c>
    </row>
    <row r="168" spans="2:6" hidden="1">
      <c r="B168" s="58">
        <f t="shared" si="9"/>
        <v>0</v>
      </c>
      <c r="C168" s="58">
        <f t="shared" si="8"/>
        <v>0</v>
      </c>
      <c r="F168" s="60">
        <f t="shared" si="10"/>
        <v>0</v>
      </c>
    </row>
    <row r="169" spans="2:6" hidden="1">
      <c r="B169" s="58">
        <f t="shared" si="9"/>
        <v>0</v>
      </c>
      <c r="C169" s="58">
        <f t="shared" si="8"/>
        <v>0</v>
      </c>
      <c r="F169" s="60">
        <f t="shared" si="10"/>
        <v>0</v>
      </c>
    </row>
    <row r="170" spans="2:6" hidden="1">
      <c r="B170" s="58">
        <f t="shared" si="9"/>
        <v>0</v>
      </c>
      <c r="C170" s="58">
        <f t="shared" si="8"/>
        <v>0</v>
      </c>
      <c r="F170" s="60">
        <f t="shared" si="10"/>
        <v>0</v>
      </c>
    </row>
    <row r="171" spans="2:6" hidden="1">
      <c r="B171" s="58">
        <f t="shared" si="9"/>
        <v>0</v>
      </c>
      <c r="C171" s="58">
        <f t="shared" si="8"/>
        <v>0</v>
      </c>
      <c r="F171" s="60">
        <f t="shared" si="10"/>
        <v>0</v>
      </c>
    </row>
    <row r="172" spans="2:6" hidden="1">
      <c r="B172" s="58">
        <f t="shared" si="9"/>
        <v>0</v>
      </c>
      <c r="C172" s="58">
        <f t="shared" si="8"/>
        <v>0</v>
      </c>
      <c r="F172" s="60">
        <f t="shared" si="10"/>
        <v>0</v>
      </c>
    </row>
    <row r="173" spans="2:6" hidden="1">
      <c r="B173" s="58">
        <f t="shared" si="9"/>
        <v>0</v>
      </c>
      <c r="C173" s="58">
        <f t="shared" si="8"/>
        <v>0</v>
      </c>
      <c r="F173" s="60">
        <f t="shared" si="10"/>
        <v>0</v>
      </c>
    </row>
    <row r="174" spans="2:6" hidden="1">
      <c r="B174" s="58">
        <f t="shared" si="9"/>
        <v>0</v>
      </c>
      <c r="C174" s="58">
        <f t="shared" si="8"/>
        <v>0</v>
      </c>
      <c r="F174" s="60">
        <f t="shared" si="10"/>
        <v>0</v>
      </c>
    </row>
    <row r="175" spans="2:6" hidden="1">
      <c r="B175" s="58">
        <f t="shared" si="9"/>
        <v>0</v>
      </c>
      <c r="C175" s="58">
        <f t="shared" si="8"/>
        <v>0</v>
      </c>
      <c r="F175" s="60">
        <f t="shared" si="10"/>
        <v>0</v>
      </c>
    </row>
    <row r="176" spans="2:6" hidden="1">
      <c r="B176" s="58">
        <f t="shared" si="9"/>
        <v>0</v>
      </c>
      <c r="C176" s="58">
        <f t="shared" si="8"/>
        <v>0</v>
      </c>
      <c r="F176" s="60">
        <f t="shared" si="10"/>
        <v>0</v>
      </c>
    </row>
    <row r="177" spans="2:6" hidden="1">
      <c r="B177" s="58">
        <f t="shared" si="9"/>
        <v>0</v>
      </c>
      <c r="C177" s="58">
        <f t="shared" si="8"/>
        <v>0</v>
      </c>
      <c r="F177" s="60">
        <f t="shared" si="10"/>
        <v>0</v>
      </c>
    </row>
    <row r="178" spans="2:6" hidden="1">
      <c r="B178" s="58">
        <f t="shared" si="9"/>
        <v>0</v>
      </c>
      <c r="C178" s="58">
        <f t="shared" si="8"/>
        <v>0</v>
      </c>
      <c r="F178" s="60">
        <f t="shared" si="10"/>
        <v>0</v>
      </c>
    </row>
    <row r="179" spans="2:6" hidden="1">
      <c r="B179" s="58">
        <f t="shared" si="9"/>
        <v>0</v>
      </c>
      <c r="C179" s="58">
        <f t="shared" si="8"/>
        <v>0</v>
      </c>
      <c r="F179" s="60">
        <f t="shared" si="10"/>
        <v>0</v>
      </c>
    </row>
    <row r="180" spans="2:6" hidden="1">
      <c r="B180" s="58">
        <f t="shared" si="9"/>
        <v>0</v>
      </c>
      <c r="C180" s="58">
        <f t="shared" si="8"/>
        <v>0</v>
      </c>
      <c r="F180" s="60">
        <f t="shared" si="10"/>
        <v>0</v>
      </c>
    </row>
    <row r="181" spans="2:6" hidden="1">
      <c r="B181" s="58">
        <f t="shared" si="9"/>
        <v>0</v>
      </c>
      <c r="C181" s="58">
        <f t="shared" si="8"/>
        <v>0</v>
      </c>
      <c r="F181" s="60">
        <f t="shared" si="10"/>
        <v>0</v>
      </c>
    </row>
    <row r="182" spans="2:6" hidden="1">
      <c r="B182" s="58">
        <f t="shared" si="9"/>
        <v>0</v>
      </c>
      <c r="C182" s="58">
        <f t="shared" si="8"/>
        <v>0</v>
      </c>
      <c r="F182" s="60">
        <f t="shared" si="10"/>
        <v>0</v>
      </c>
    </row>
    <row r="183" spans="2:6" hidden="1">
      <c r="B183" s="58">
        <f t="shared" si="9"/>
        <v>0</v>
      </c>
      <c r="C183" s="58">
        <f t="shared" si="8"/>
        <v>0</v>
      </c>
      <c r="F183" s="60">
        <f t="shared" si="10"/>
        <v>0</v>
      </c>
    </row>
    <row r="184" spans="2:6" hidden="1">
      <c r="B184" s="58">
        <f t="shared" si="9"/>
        <v>0</v>
      </c>
      <c r="C184" s="58">
        <f t="shared" si="8"/>
        <v>0</v>
      </c>
      <c r="F184" s="60">
        <f t="shared" si="10"/>
        <v>0</v>
      </c>
    </row>
    <row r="185" spans="2:6" hidden="1">
      <c r="B185" s="58">
        <f t="shared" si="9"/>
        <v>0</v>
      </c>
      <c r="C185" s="58">
        <f t="shared" si="8"/>
        <v>0</v>
      </c>
      <c r="F185" s="60">
        <f t="shared" si="10"/>
        <v>0</v>
      </c>
    </row>
    <row r="186" spans="2:6" hidden="1">
      <c r="B186" s="58">
        <f t="shared" si="9"/>
        <v>0</v>
      </c>
      <c r="C186" s="58">
        <f t="shared" si="8"/>
        <v>0</v>
      </c>
      <c r="F186" s="60">
        <f t="shared" si="10"/>
        <v>0</v>
      </c>
    </row>
    <row r="187" spans="2:6" hidden="1">
      <c r="B187" s="58">
        <f t="shared" si="9"/>
        <v>0</v>
      </c>
      <c r="C187" s="58">
        <f t="shared" si="8"/>
        <v>0</v>
      </c>
      <c r="F187" s="60">
        <f t="shared" si="10"/>
        <v>0</v>
      </c>
    </row>
    <row r="188" spans="2:6" hidden="1">
      <c r="B188" s="58">
        <f t="shared" si="9"/>
        <v>0</v>
      </c>
      <c r="C188" s="58">
        <f t="shared" si="8"/>
        <v>0</v>
      </c>
      <c r="F188" s="60">
        <f t="shared" si="10"/>
        <v>0</v>
      </c>
    </row>
    <row r="189" spans="2:6" hidden="1">
      <c r="B189" s="58">
        <f t="shared" si="9"/>
        <v>0</v>
      </c>
      <c r="C189" s="58">
        <f t="shared" si="8"/>
        <v>0</v>
      </c>
      <c r="F189" s="60">
        <f t="shared" si="10"/>
        <v>0</v>
      </c>
    </row>
    <row r="190" spans="2:6" hidden="1">
      <c r="B190" s="58">
        <f t="shared" si="9"/>
        <v>0</v>
      </c>
      <c r="C190" s="58">
        <f t="shared" si="8"/>
        <v>0</v>
      </c>
      <c r="F190" s="60">
        <f t="shared" si="10"/>
        <v>0</v>
      </c>
    </row>
    <row r="191" spans="2:6" hidden="1">
      <c r="B191" s="58">
        <f t="shared" si="9"/>
        <v>0</v>
      </c>
      <c r="C191" s="58">
        <f t="shared" si="8"/>
        <v>0</v>
      </c>
      <c r="F191" s="60">
        <f t="shared" si="10"/>
        <v>0</v>
      </c>
    </row>
    <row r="192" spans="2:6" hidden="1">
      <c r="B192" s="58">
        <f t="shared" si="9"/>
        <v>0</v>
      </c>
      <c r="C192" s="58">
        <f t="shared" si="8"/>
        <v>0</v>
      </c>
      <c r="F192" s="60">
        <f t="shared" si="10"/>
        <v>0</v>
      </c>
    </row>
    <row r="193" spans="2:6" hidden="1">
      <c r="B193" s="58">
        <f t="shared" si="9"/>
        <v>0</v>
      </c>
      <c r="C193" s="58">
        <f t="shared" si="8"/>
        <v>0</v>
      </c>
      <c r="F193" s="60">
        <f t="shared" si="10"/>
        <v>0</v>
      </c>
    </row>
    <row r="194" spans="2:6" hidden="1">
      <c r="B194" s="58">
        <f t="shared" si="9"/>
        <v>0</v>
      </c>
      <c r="C194" s="58">
        <f t="shared" si="8"/>
        <v>0</v>
      </c>
      <c r="F194" s="60">
        <f t="shared" si="10"/>
        <v>0</v>
      </c>
    </row>
    <row r="195" spans="2:6" hidden="1">
      <c r="B195" s="58">
        <f t="shared" si="9"/>
        <v>0</v>
      </c>
      <c r="C195" s="58">
        <f t="shared" ref="C195:C200" si="11">IF($B195=0,,RANK($B195,$B$3:$B$78))</f>
        <v>0</v>
      </c>
      <c r="F195" s="60">
        <f t="shared" si="10"/>
        <v>0</v>
      </c>
    </row>
    <row r="196" spans="2:6" hidden="1">
      <c r="B196" s="58">
        <f>IF(OR(D196="",D196=0,RIGHT(D196,LEN($A$1))&lt;&gt;$A$1),,(LEFT($D196,3)*100)+MID($D196,7,IF(OR(AND(LEN($A$1)=3,LEN($D196)=12),AND(LEN($A$1)=4,LEN($D196)=13)),2,1))*1)</f>
        <v>0</v>
      </c>
      <c r="C196" s="58">
        <f t="shared" si="11"/>
        <v>0</v>
      </c>
      <c r="F196" s="60">
        <f>IF(AND(RIGHT($D196,LEN($A$1))&lt;&gt;$A$1,$D196&lt;&gt;""),1,0)</f>
        <v>0</v>
      </c>
    </row>
    <row r="197" spans="2:6" hidden="1">
      <c r="B197" s="58">
        <f>IF(OR(D197="",D197=0,RIGHT(D197,LEN($A$1))&lt;&gt;$A$1),,(LEFT($D197,3)*100)+MID($D197,7,IF(OR(AND(LEN($A$1)=3,LEN($D197)=12),AND(LEN($A$1)=4,LEN($D197)=13)),2,1))*1)</f>
        <v>0</v>
      </c>
      <c r="C197" s="58">
        <f t="shared" si="11"/>
        <v>0</v>
      </c>
      <c r="F197" s="60">
        <f>IF(AND(RIGHT($D197,LEN($A$1))&lt;&gt;$A$1,$D197&lt;&gt;""),1,0)</f>
        <v>0</v>
      </c>
    </row>
    <row r="198" spans="2:6" hidden="1">
      <c r="B198" s="58">
        <f>IF(OR(D198="",D198=0,RIGHT(D198,LEN($A$1))&lt;&gt;$A$1),,(LEFT($D198,3)*100)+MID($D198,7,IF(OR(AND(LEN($A$1)=3,LEN($D198)=12),AND(LEN($A$1)=4,LEN($D198)=13)),2,1))*1)</f>
        <v>0</v>
      </c>
      <c r="C198" s="58">
        <f t="shared" si="11"/>
        <v>0</v>
      </c>
      <c r="F198" s="60">
        <f>IF(AND(RIGHT($D198,LEN($A$1))&lt;&gt;$A$1,$D198&lt;&gt;""),1,0)</f>
        <v>0</v>
      </c>
    </row>
    <row r="199" spans="2:6" hidden="1">
      <c r="B199" s="58">
        <f>IF(OR(D199="",D199=0,RIGHT(D199,LEN($A$1))&lt;&gt;$A$1),,(LEFT($D199,3)*100)+MID($D199,7,IF(OR(AND(LEN($A$1)=3,LEN($D199)=12),AND(LEN($A$1)=4,LEN($D199)=13)),2,1))*1)</f>
        <v>0</v>
      </c>
      <c r="C199" s="58">
        <f t="shared" si="11"/>
        <v>0</v>
      </c>
      <c r="F199" s="60">
        <f>IF(AND(RIGHT($D199,LEN($A$1))&lt;&gt;$A$1,$D199&lt;&gt;""),1,0)</f>
        <v>0</v>
      </c>
    </row>
    <row r="200" spans="2:6" hidden="1">
      <c r="B200" s="58">
        <f>IF(OR(D200="",D200=0,RIGHT(D200,LEN($A$1))&lt;&gt;$A$1),,(LEFT($D200,3)*100)+MID($D200,7,IF(OR(AND(LEN($A$1)=3,LEN($D200)=12),AND(LEN($A$1)=4,LEN($D200)=13)),2,1))*1)</f>
        <v>0</v>
      </c>
      <c r="C200" s="58">
        <f t="shared" si="11"/>
        <v>0</v>
      </c>
      <c r="F200" s="60">
        <f>IF(AND(RIGHT($D200,LEN($A$1))&lt;&gt;$A$1,$D200&lt;&gt;""),1,0)</f>
        <v>0</v>
      </c>
    </row>
  </sheetData>
  <sheetProtection algorithmName="SHA-512" hashValue="hee5Y/DioE1FfqZnsId4LtHp9MQdUoAY4Wn6oHkDjYzCCER1Xvjt7bEWhaK2599MDGQWSkr4UjiW4/S6qWEszg==" saltValue="XzeWomw1zzQ1XF7aRVVpkQ==" spinCount="100000" sheet="1" objects="1" scenarios="1"/>
  <phoneticPr fontId="17" type="noConversion"/>
  <dataValidations count="1">
    <dataValidation allowBlank="1" showInputMessage="1" showErrorMessage="1" promptTitle="宣告利率" prompt="新利率" sqref="K2:L3" xr:uid="{00000000-0002-0000-0100-000000000000}"/>
  </dataValidations>
  <pageMargins left="0.75" right="0.75" top="1" bottom="1" header="0.5" footer="0.5"/>
  <pageSetup paperSize="9" orientation="portrait" vertic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5"/>
  <dimension ref="B2:G48"/>
  <sheetViews>
    <sheetView topLeftCell="XFD1048576" workbookViewId="0"/>
  </sheetViews>
  <sheetFormatPr baseColWidth="10" defaultColWidth="0" defaultRowHeight="15" zeroHeight="1"/>
  <cols>
    <col min="1" max="1" width="9.3984375" style="157" hidden="1" customWidth="1"/>
    <col min="2" max="2" width="19.3984375" style="157" hidden="1" customWidth="1"/>
    <col min="3" max="3" width="25.19921875" style="157" hidden="1" customWidth="1"/>
    <col min="4" max="4" width="31.796875" style="157" hidden="1" customWidth="1"/>
    <col min="5" max="5" width="16.3984375" style="157" hidden="1" customWidth="1"/>
    <col min="6" max="6" width="9.3984375" style="157" hidden="1" customWidth="1"/>
    <col min="7" max="7" width="25.19921875" style="157" hidden="1" customWidth="1"/>
    <col min="8" max="16384" width="9.3984375" style="157" hidden="1"/>
  </cols>
  <sheetData>
    <row r="2" spans="2:7" hidden="1">
      <c r="B2" s="155" t="s">
        <v>800</v>
      </c>
      <c r="C2" s="156">
        <v>10000</v>
      </c>
    </row>
    <row r="3" spans="2:7" hidden="1">
      <c r="C3" s="158" t="s">
        <v>425</v>
      </c>
      <c r="D3" s="158" t="s">
        <v>426</v>
      </c>
    </row>
    <row r="4" spans="2:7" hidden="1">
      <c r="B4" s="438" t="s">
        <v>801</v>
      </c>
      <c r="C4" s="397">
        <f>MIN(1,ROUND(OP!$C$141,2))</f>
        <v>0</v>
      </c>
      <c r="D4" s="159">
        <f>1-C4</f>
        <v>1</v>
      </c>
      <c r="F4" s="157" t="s">
        <v>427</v>
      </c>
      <c r="G4" s="157">
        <v>1</v>
      </c>
    </row>
    <row r="5" spans="2:7" hidden="1">
      <c r="B5" s="438" t="s">
        <v>1135</v>
      </c>
      <c r="C5" s="160">
        <f>$C$38</f>
        <v>20000</v>
      </c>
      <c r="D5" s="161">
        <f>$D$38</f>
        <v>200000</v>
      </c>
      <c r="F5" s="157" t="s">
        <v>428</v>
      </c>
      <c r="G5" s="157">
        <v>2</v>
      </c>
    </row>
    <row r="6" spans="2:7" hidden="1">
      <c r="B6" s="438" t="s">
        <v>1136</v>
      </c>
      <c r="C6" s="398">
        <f>OP!$C$142</f>
        <v>10</v>
      </c>
      <c r="F6" s="157" t="s">
        <v>429</v>
      </c>
      <c r="G6" s="157">
        <v>4</v>
      </c>
    </row>
    <row r="7" spans="2:7" hidden="1">
      <c r="B7" s="438" t="s">
        <v>1137</v>
      </c>
      <c r="C7" s="162">
        <f>$B$30</f>
        <v>0.02</v>
      </c>
      <c r="F7" s="157" t="s">
        <v>430</v>
      </c>
      <c r="G7" s="157">
        <v>12</v>
      </c>
    </row>
    <row r="8" spans="2:7" hidden="1">
      <c r="B8" s="438" t="s">
        <v>1138</v>
      </c>
      <c r="C8" s="163" t="s">
        <v>340</v>
      </c>
      <c r="D8" s="155">
        <f>VLOOKUP($C$8,$F$4:$G$7,2,0)</f>
        <v>1</v>
      </c>
    </row>
    <row r="9" spans="2:7" hidden="1">
      <c r="C9" s="164"/>
    </row>
    <row r="10" spans="2:7" hidden="1">
      <c r="B10" s="157" t="s">
        <v>431</v>
      </c>
      <c r="C10" s="165">
        <f>IF(C6=0,,C2*(C7*(1/(1+C7)))/(1-(1/(1+C7))^C6))</f>
        <v>1091.4365476991791</v>
      </c>
      <c r="D10" s="166" t="s">
        <v>432</v>
      </c>
    </row>
    <row r="11" spans="2:7" hidden="1">
      <c r="C11" s="167">
        <f>C10/10000</f>
        <v>0.10914365476991791</v>
      </c>
      <c r="D11" s="166" t="s">
        <v>433</v>
      </c>
    </row>
    <row r="12" spans="2:7" hidden="1">
      <c r="C12" s="164"/>
    </row>
    <row r="13" spans="2:7" hidden="1">
      <c r="C13" s="164"/>
    </row>
    <row r="15" spans="2:7" hidden="1">
      <c r="B15" s="157" t="s">
        <v>434</v>
      </c>
    </row>
    <row r="16" spans="2:7" hidden="1">
      <c r="B16" s="155" t="s">
        <v>435</v>
      </c>
      <c r="C16" s="168">
        <f>ROUND(PMT($C$7/$D$8,$C$6*$D$8,-$C$2*$C$4,,1),0)</f>
        <v>0</v>
      </c>
    </row>
    <row r="17" spans="2:5" hidden="1">
      <c r="B17" s="155" t="s">
        <v>436</v>
      </c>
      <c r="C17" s="161">
        <f>C16*C6*D8</f>
        <v>0</v>
      </c>
    </row>
    <row r="18" spans="2:5" hidden="1">
      <c r="B18" s="155" t="s">
        <v>437</v>
      </c>
      <c r="C18" s="169">
        <f>PMT($C$7/$D$8,$C$6*$D$8,-$C$2,,1)/C2</f>
        <v>0.10914365476991809</v>
      </c>
      <c r="D18" s="166" t="s">
        <v>438</v>
      </c>
    </row>
    <row r="20" spans="2:5" hidden="1">
      <c r="B20" s="157" t="s">
        <v>439</v>
      </c>
    </row>
    <row r="21" spans="2:5" hidden="1">
      <c r="B21" s="155" t="s">
        <v>435</v>
      </c>
      <c r="C21" s="170">
        <v>550</v>
      </c>
      <c r="D21" s="166" t="s">
        <v>440</v>
      </c>
    </row>
    <row r="22" spans="2:5" hidden="1">
      <c r="B22" s="155" t="s">
        <v>436</v>
      </c>
      <c r="C22" s="161">
        <f>C21*(($C$26*$D$8)+$C$27)</f>
        <v>12100</v>
      </c>
    </row>
    <row r="23" spans="2:5" hidden="1">
      <c r="B23" s="155" t="s">
        <v>437</v>
      </c>
      <c r="C23" s="171" t="e">
        <f>$C$21/($C$2/$C$4)</f>
        <v>#DIV/0!</v>
      </c>
    </row>
    <row r="24" spans="2:5" hidden="1">
      <c r="B24" s="155" t="s">
        <v>441</v>
      </c>
      <c r="C24" s="172">
        <f>NPER($C$7/$D$8,$C$21,-$C$2,0,1)</f>
        <v>22.261841350458667</v>
      </c>
    </row>
    <row r="25" spans="2:5" hidden="1">
      <c r="B25" s="155" t="s">
        <v>442</v>
      </c>
      <c r="C25" s="173">
        <f>ROUND(C21*($C$24-ROUNDDOWN($C$24,0)),0)</f>
        <v>144</v>
      </c>
    </row>
    <row r="26" spans="2:5" hidden="1">
      <c r="B26" s="155" t="s">
        <v>443</v>
      </c>
      <c r="C26" s="173">
        <f>ROUNDDOWN(ROUNDDOWN($C$24,0)/$D$8,0)</f>
        <v>22</v>
      </c>
      <c r="D26" s="166" t="s">
        <v>444</v>
      </c>
    </row>
    <row r="27" spans="2:5" hidden="1">
      <c r="B27" s="155" t="str">
        <f>"給付"&amp;C8&amp;"次"</f>
        <v>給付年次</v>
      </c>
      <c r="C27" s="173">
        <f>ROUNDDOWN($C$24,0)-($C$26*$D$8)</f>
        <v>0</v>
      </c>
      <c r="D27" s="166" t="str">
        <f>"EX："&amp;$C$26&amp;" 年 "&amp;IF($C$27=0,"",C27&amp;" "&amp;$C$8)</f>
        <v xml:space="preserve">EX：22 年 </v>
      </c>
    </row>
    <row r="29" spans="2:5" hidden="1">
      <c r="B29" s="155" t="s">
        <v>646</v>
      </c>
      <c r="C29" s="158">
        <f>OP!$C$21</f>
        <v>1</v>
      </c>
      <c r="D29" s="192" t="s">
        <v>577</v>
      </c>
      <c r="E29" s="157" t="s">
        <v>564</v>
      </c>
    </row>
    <row r="30" spans="2:5" hidden="1">
      <c r="B30" s="183">
        <f>IF($C$29=1,$C$31,IF($C$29=2,$D$31,$E$31))</f>
        <v>0.02</v>
      </c>
      <c r="C30" s="158" t="s">
        <v>802</v>
      </c>
      <c r="D30" s="158" t="s">
        <v>803</v>
      </c>
      <c r="E30" s="158" t="s">
        <v>804</v>
      </c>
    </row>
    <row r="31" spans="2:5" hidden="1">
      <c r="B31" s="158"/>
      <c r="C31" s="184">
        <v>0.02</v>
      </c>
      <c r="D31" s="184">
        <v>2.5000000000000001E-2</v>
      </c>
      <c r="E31" s="184">
        <v>2.75E-2</v>
      </c>
    </row>
    <row r="32" spans="2:5" hidden="1">
      <c r="B32" s="158"/>
      <c r="C32" s="184"/>
      <c r="D32" s="184"/>
    </row>
    <row r="33" spans="2:6" hidden="1">
      <c r="B33" s="158"/>
      <c r="C33" s="158"/>
      <c r="D33" s="158"/>
    </row>
    <row r="34" spans="2:6" hidden="1">
      <c r="B34" s="158"/>
      <c r="C34" s="158"/>
      <c r="D34" s="158"/>
    </row>
    <row r="35" spans="2:6" hidden="1">
      <c r="B35" s="158"/>
      <c r="C35" s="158"/>
      <c r="D35" s="158"/>
    </row>
    <row r="37" spans="2:6" hidden="1">
      <c r="B37" s="155" t="s">
        <v>565</v>
      </c>
      <c r="C37" s="155" t="s">
        <v>566</v>
      </c>
      <c r="D37" s="155" t="s">
        <v>567</v>
      </c>
    </row>
    <row r="38" spans="2:6" hidden="1">
      <c r="B38" s="158">
        <f>$C$29</f>
        <v>1</v>
      </c>
      <c r="C38" s="190">
        <f>VLOOKUP(B38,$B$39:$D$40,2,0)</f>
        <v>20000</v>
      </c>
      <c r="D38" s="190">
        <f>VLOOKUP(B38,$B$39:$D$40,3,0)</f>
        <v>200000</v>
      </c>
    </row>
    <row r="39" spans="2:6" hidden="1">
      <c r="B39" s="158">
        <v>2</v>
      </c>
      <c r="C39" s="191">
        <v>3000</v>
      </c>
      <c r="D39" s="191">
        <v>30000</v>
      </c>
      <c r="E39" s="193" t="str">
        <f>NUMBERSTRING(IF(C39/10000&lt;1,C39/1000,C39/10000),3)&amp;RIGHT(NUMBERSTRING(C39,1),1)</f>
        <v>三千</v>
      </c>
      <c r="F39" s="193" t="str">
        <f>NUMBERSTRING(IF(D39/10000&lt;1,D39/1000,D39/10000),1)&amp;RIGHT(NUMBERSTRING(D39,2),1)</f>
        <v>三萬</v>
      </c>
    </row>
    <row r="40" spans="2:6" hidden="1">
      <c r="B40" s="158">
        <v>1</v>
      </c>
      <c r="C40" s="191">
        <v>20000</v>
      </c>
      <c r="D40" s="191">
        <v>200000</v>
      </c>
      <c r="E40" s="193" t="str">
        <f>NUMBERSTRING(IF(C40/10000&lt;1,C40/1000,C40/10000),3)&amp;RIGHT(NUMBERSTRING(C40,2),1)</f>
        <v>二萬</v>
      </c>
      <c r="F40" s="193" t="str">
        <f>NUMBERSTRING(IF(D40/10000&lt;1,D40/1000,D40/10000),1)&amp;RIGHT(NUMBERSTRING(D40,2),1)</f>
        <v>二十萬</v>
      </c>
    </row>
    <row r="41" spans="2:6" hidden="1">
      <c r="B41" s="158">
        <v>3</v>
      </c>
      <c r="C41" s="191">
        <v>3000</v>
      </c>
      <c r="D41" s="191">
        <v>30000</v>
      </c>
      <c r="E41" s="193" t="str">
        <f>NUMBERSTRING(IF(C41/10000&lt;1,C41/1000,C41/10000),3)&amp;RIGHT(NUMBERSTRING(C41,1),1)</f>
        <v>三千</v>
      </c>
      <c r="F41" s="193" t="str">
        <f>NUMBERSTRING(IF(D41/10000&lt;1,D41/1000,D41/10000),1)&amp;RIGHT(NUMBERSTRING(D41,2),1)</f>
        <v>三萬</v>
      </c>
    </row>
    <row r="42" spans="2:6" hidden="1">
      <c r="B42" s="158">
        <v>4</v>
      </c>
      <c r="C42" s="155"/>
      <c r="D42" s="155"/>
      <c r="E42" s="193" t="str">
        <f>NUMBERSTRING(IF(C42/10000&lt;1,C42/1000,C42/10000),3)&amp;RIGHT(NUMBERSTRING(C42,2),1)</f>
        <v>○零</v>
      </c>
      <c r="F42" s="193" t="str">
        <f>NUMBERSTRING(IF(D42/10000&lt;1,D42/1000,D42/10000),1)&amp;RIGHT(NUMBERSTRING(D42,2),1)</f>
        <v>○零</v>
      </c>
    </row>
    <row r="43" spans="2:6" hidden="1">
      <c r="B43" s="194" t="str">
        <f>IF(OR(AND($D$29=$B$45,$C$29&lt;&gt;1),ISERROR(VLOOKUP($D$29,$B$45:$D$48,3,0))),"商品幣別設定錯誤",VLOOKUP($D$29,$B$45:$D$48,3,0))</f>
        <v>二十萬元或每年給付之分期定期保險金低於二萬元者，</v>
      </c>
      <c r="C43" s="194">
        <f>IF(OR(AND($D$29=$B$45,$C$29&lt;&gt;1),ISERROR(VLOOKUP($D$29,$B$45:$D$48,3,0))),1,0)</f>
        <v>0</v>
      </c>
    </row>
    <row r="45" spans="2:6" hidden="1">
      <c r="B45" s="155" t="s">
        <v>568</v>
      </c>
      <c r="C45" s="155">
        <v>1</v>
      </c>
      <c r="D45" s="155" t="str">
        <f>VLOOKUP($C$45,$B$39:$F$42,5,0)&amp;"元"&amp;"或每年給付之分期定期保險金低於"&amp;VLOOKUP($C$45,$B$39:$F$42,4,0)&amp;"元"&amp;"者，"</f>
        <v>二十萬元或每年給付之分期定期保險金低於二萬元者，</v>
      </c>
    </row>
    <row r="46" spans="2:6" hidden="1">
      <c r="B46" s="155" t="s">
        <v>563</v>
      </c>
      <c r="C46" s="155">
        <v>2</v>
      </c>
      <c r="D46" s="155" t="str">
        <f>VLOOKUP($C$46,$B$39:$F$42,5,0)&amp;$B$46&amp;"或每年給付之分期定期保險金低於"&amp;VLOOKUP($C$46,$B$39:$F$42,4,0)&amp;$B$46&amp;"者，"</f>
        <v>三萬美元或每年給付之分期定期保險金低於三千美元者，</v>
      </c>
    </row>
    <row r="47" spans="2:6" hidden="1">
      <c r="B47" s="155" t="s">
        <v>569</v>
      </c>
      <c r="C47" s="155">
        <v>3</v>
      </c>
      <c r="D47" s="155" t="str">
        <f>VLOOKUP($C$47,$B$39:$F$42,5,0)&amp;$B$47&amp;"或每年給付之分期定期保險金低於"&amp;VLOOKUP($C$47,$B$39:$F$42,4,0)&amp;$B$47&amp;"者，"</f>
        <v>三萬澳幣或每年給付之分期定期保險金低於三千澳幣者，</v>
      </c>
    </row>
    <row r="48" spans="2:6" hidden="1">
      <c r="B48" s="155" t="s">
        <v>570</v>
      </c>
      <c r="C48" s="155">
        <v>4</v>
      </c>
      <c r="D48" s="155" t="str">
        <f>VLOOKUP($C$48,$B$39:$F$42,5,0)&amp;$B$48&amp;"或每年給付之分期定期保險金低於"&amp;VLOOKUP($C$48,$B$39:$F$42,4,0)&amp;$B$48&amp;"者，"</f>
        <v>○零人民幣或每年給付之分期定期保險金低於○零人民幣者，</v>
      </c>
    </row>
  </sheetData>
  <sheetProtection algorithmName="SHA-512" hashValue="5DpD49FNRMzAM91EUY2QBA57Ljyoz62uuuSo6EbCy1JRcVEiJvGBMi0WEnZrCInd9cpQRHV4PF1Iuz0P6052VQ==" saltValue="zCB9IrBdFEcNl3mZSFa1iA==" spinCount="100000" sheet="1" objects="1" scenarios="1"/>
  <phoneticPr fontId="17" type="noConversion"/>
  <dataValidations count="2">
    <dataValidation type="list" allowBlank="1" showInputMessage="1" showErrorMessage="1" sqref="C8" xr:uid="{00000000-0002-0000-0400-000000000000}">
      <formula1>$F$4:$F$7</formula1>
    </dataValidation>
    <dataValidation type="list" allowBlank="1" showInputMessage="1" showErrorMessage="1" sqref="D29" xr:uid="{00000000-0002-0000-0400-000001000000}">
      <formula1>"新臺幣,美元,澳幣,人民幣"</formula1>
    </dataValidation>
  </dataValidation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4"/>
  <dimension ref="A1:W147"/>
  <sheetViews>
    <sheetView topLeftCell="XFD1048576" workbookViewId="0"/>
  </sheetViews>
  <sheetFormatPr baseColWidth="10" defaultColWidth="0" defaultRowHeight="15" zeroHeight="1"/>
  <cols>
    <col min="1" max="3" width="9.3984375" style="130" hidden="1" customWidth="1"/>
    <col min="4" max="4" width="13.3984375" style="130" hidden="1" customWidth="1"/>
    <col min="5" max="9" width="9.3984375" style="130" hidden="1" customWidth="1"/>
    <col min="10" max="10" width="2.19921875" style="130" hidden="1" customWidth="1"/>
    <col min="11" max="11" width="18.3984375" style="130" hidden="1" customWidth="1"/>
    <col min="12" max="12" width="24.59765625" style="130" hidden="1" customWidth="1"/>
    <col min="13" max="13" width="9.3984375" style="130" hidden="1" customWidth="1"/>
    <col min="14" max="14" width="13.19921875" style="130" hidden="1" customWidth="1"/>
    <col min="15" max="16" width="9.3984375" style="130" hidden="1" customWidth="1"/>
    <col min="17" max="17" width="11.3984375" style="130" hidden="1" customWidth="1"/>
    <col min="18" max="23" width="0" style="130" hidden="1" customWidth="1"/>
    <col min="24" max="16384" width="9.3984375" style="130" hidden="1"/>
  </cols>
  <sheetData>
    <row r="1" spans="1:23" ht="16" hidden="1">
      <c r="A1" s="126"/>
      <c r="B1" s="127" t="str">
        <f>OP!$C$56</f>
        <v>LTT30</v>
      </c>
      <c r="C1" s="128" t="s">
        <v>408</v>
      </c>
      <c r="D1" s="127" t="str">
        <f>IF(OP!$E$16=1,"足歲",IF(OP!$E$16=2,"保險年齡","錯誤"))</f>
        <v>保險年齡</v>
      </c>
      <c r="E1" s="128" t="s">
        <v>408</v>
      </c>
      <c r="F1" s="126"/>
      <c r="G1" s="126"/>
      <c r="H1" s="126"/>
      <c r="I1" s="126"/>
      <c r="J1" s="129"/>
      <c r="K1" s="129"/>
      <c r="Q1" s="130">
        <v>6</v>
      </c>
      <c r="R1" s="130">
        <v>7</v>
      </c>
      <c r="S1" s="130">
        <v>8</v>
      </c>
      <c r="T1" s="130">
        <v>9</v>
      </c>
      <c r="U1" s="130">
        <v>10</v>
      </c>
      <c r="V1" s="130">
        <v>11</v>
      </c>
      <c r="W1" s="130">
        <v>12</v>
      </c>
    </row>
    <row r="2" spans="1:23" ht="16" hidden="1">
      <c r="A2" s="126"/>
      <c r="B2" s="126"/>
      <c r="C2" s="128"/>
      <c r="D2" s="126"/>
      <c r="E2" s="128"/>
      <c r="F2" s="126"/>
      <c r="G2" s="126"/>
      <c r="H2" s="126"/>
      <c r="I2" s="126"/>
      <c r="J2" s="129"/>
      <c r="K2" s="129"/>
      <c r="L2" s="754" t="s">
        <v>409</v>
      </c>
      <c r="M2" s="754"/>
      <c r="N2" s="754"/>
      <c r="O2" s="268" t="s">
        <v>410</v>
      </c>
      <c r="P2" s="268"/>
      <c r="Q2" s="268">
        <v>1120911</v>
      </c>
      <c r="R2" s="199"/>
      <c r="S2" s="199"/>
      <c r="T2" s="199"/>
      <c r="U2" s="199"/>
      <c r="V2" s="199"/>
      <c r="W2" s="199"/>
    </row>
    <row r="3" spans="1:23" ht="16" hidden="1">
      <c r="A3" s="126"/>
      <c r="B3" s="126"/>
      <c r="C3" s="131" t="s">
        <v>411</v>
      </c>
      <c r="D3" s="132">
        <v>1</v>
      </c>
      <c r="E3" s="132">
        <v>2</v>
      </c>
      <c r="F3" s="132">
        <v>3</v>
      </c>
      <c r="G3" s="132">
        <v>1</v>
      </c>
      <c r="H3" s="132">
        <v>2</v>
      </c>
      <c r="I3" s="132">
        <v>3</v>
      </c>
      <c r="J3" s="126"/>
      <c r="K3" s="133" t="s">
        <v>412</v>
      </c>
      <c r="L3" s="134" t="s">
        <v>413</v>
      </c>
      <c r="M3" s="133" t="s">
        <v>414</v>
      </c>
      <c r="N3" s="133" t="s">
        <v>415</v>
      </c>
      <c r="O3" s="269" t="s">
        <v>302</v>
      </c>
      <c r="P3" s="269" t="s">
        <v>303</v>
      </c>
      <c r="Q3" s="269" t="s">
        <v>78</v>
      </c>
      <c r="R3" s="269" t="s">
        <v>79</v>
      </c>
      <c r="S3" s="269" t="s">
        <v>416</v>
      </c>
      <c r="T3" s="269" t="s">
        <v>417</v>
      </c>
      <c r="U3" s="269" t="s">
        <v>418</v>
      </c>
      <c r="V3" s="269" t="s">
        <v>419</v>
      </c>
      <c r="W3" s="269" t="s">
        <v>562</v>
      </c>
    </row>
    <row r="4" spans="1:23" ht="17" hidden="1">
      <c r="A4" s="126"/>
      <c r="B4" s="129"/>
      <c r="C4" s="135" t="s">
        <v>420</v>
      </c>
      <c r="D4" s="136">
        <v>1</v>
      </c>
      <c r="E4" s="136">
        <v>1</v>
      </c>
      <c r="F4" s="136">
        <v>1</v>
      </c>
      <c r="G4" s="136">
        <v>2</v>
      </c>
      <c r="H4" s="136">
        <v>2</v>
      </c>
      <c r="I4" s="136">
        <v>2</v>
      </c>
      <c r="J4" s="126"/>
      <c r="K4" s="137" t="str">
        <f>IF($D$1="足歲","15足","")</f>
        <v/>
      </c>
      <c r="L4" s="138" t="str">
        <f t="shared" ref="L4:L67" si="0">IF(P4&lt;&gt;$B$1,"",P4&amp;Q4&amp;R4&amp;V4)</f>
        <v/>
      </c>
      <c r="M4" s="138" t="str">
        <f>IF(L4="","-",IF(ISERROR($R4*1),LEFT($R4,2)*1,$R4*1))</f>
        <v>-</v>
      </c>
      <c r="N4" s="139" t="str">
        <f>IF(L4="","",V4*1)</f>
        <v/>
      </c>
      <c r="O4" s="270"/>
      <c r="P4" s="652"/>
      <c r="Q4" s="652"/>
      <c r="R4" s="652"/>
      <c r="S4" s="652"/>
      <c r="T4" s="652"/>
      <c r="U4" s="652"/>
      <c r="V4" s="652"/>
      <c r="W4" s="656"/>
    </row>
    <row r="5" spans="1:23" ht="16" hidden="1">
      <c r="A5" s="126"/>
      <c r="B5" s="141" t="s">
        <v>421</v>
      </c>
      <c r="C5" s="142">
        <v>12</v>
      </c>
      <c r="D5" s="138" t="e">
        <f t="shared" ref="D5:I5" si="1">IF(SMALL($M:$M,D$3)=15,$K$4,SMALL($M:$M,D$3))</f>
        <v>#NUM!</v>
      </c>
      <c r="E5" s="138" t="e">
        <f t="shared" si="1"/>
        <v>#NUM!</v>
      </c>
      <c r="F5" s="138" t="e">
        <f t="shared" si="1"/>
        <v>#NUM!</v>
      </c>
      <c r="G5" s="138" t="e">
        <f t="shared" si="1"/>
        <v>#NUM!</v>
      </c>
      <c r="H5" s="138" t="e">
        <f t="shared" si="1"/>
        <v>#NUM!</v>
      </c>
      <c r="I5" s="138" t="e">
        <f t="shared" si="1"/>
        <v>#NUM!</v>
      </c>
      <c r="J5" s="126"/>
      <c r="K5" s="138"/>
      <c r="L5" s="136" t="str">
        <f t="shared" si="0"/>
        <v/>
      </c>
      <c r="M5" s="136" t="str">
        <f>IF(OR(L5="",COUNTIF($M$4:M4,IF(ISERROR($R5*1),LEFT($R5,2)*1,$R5*1))&gt;=1),"-",IF(ISERROR($R5*1),LEFT($R5,2)*1,$R5*1))</f>
        <v>-</v>
      </c>
      <c r="N5" s="136" t="str">
        <f>IF(OR(L5="",COUNTIF($N$4:N4,V5*1)&gt;=1),"-",V5*1)</f>
        <v>-</v>
      </c>
      <c r="O5" s="270"/>
      <c r="P5" s="652"/>
      <c r="Q5" s="652"/>
      <c r="R5" s="652"/>
      <c r="S5" s="652"/>
      <c r="T5" s="652"/>
      <c r="U5" s="652"/>
      <c r="V5" s="652"/>
      <c r="W5" s="656"/>
    </row>
    <row r="6" spans="1:23" ht="16" hidden="1">
      <c r="A6" s="126"/>
      <c r="B6" s="143" t="s">
        <v>422</v>
      </c>
      <c r="C6" s="144" t="s">
        <v>423</v>
      </c>
      <c r="D6" s="145" t="str">
        <f t="shared" ref="D6:I6" si="2">IF(OR(ISERROR($D5)),"",IF((D$5)=0,D$5&amp;IF(D$4=1,"男性",IF(D$4=2,"女性","")),D$5&amp;"歲"&amp;IF(D$4=1,"男性",IF(D$4=2,"女性",""))))</f>
        <v/>
      </c>
      <c r="E6" s="145" t="str">
        <f t="shared" si="2"/>
        <v/>
      </c>
      <c r="F6" s="145" t="str">
        <f t="shared" si="2"/>
        <v/>
      </c>
      <c r="G6" s="145" t="str">
        <f t="shared" si="2"/>
        <v/>
      </c>
      <c r="H6" s="145" t="str">
        <f t="shared" si="2"/>
        <v/>
      </c>
      <c r="I6" s="145" t="str">
        <f t="shared" si="2"/>
        <v/>
      </c>
      <c r="J6" s="126"/>
      <c r="K6" s="138"/>
      <c r="L6" s="136" t="str">
        <f t="shared" si="0"/>
        <v/>
      </c>
      <c r="M6" s="136" t="str">
        <f>IF(OR(L6="",COUNTIF($M$4:M5,IF(ISERROR($R6*1),LEFT($R6,2)*1,$R6*1))&gt;=1),"-",IF(ISERROR($R6*1),LEFT($R6,2)*1,$R6*1))</f>
        <v>-</v>
      </c>
      <c r="N6" s="136" t="str">
        <f>IF(OR(L6="",COUNTIF($N$4:N5,V6*1)&gt;=1),"-",V6*1)</f>
        <v>-</v>
      </c>
      <c r="O6" s="270"/>
      <c r="P6" s="652"/>
      <c r="Q6" s="652"/>
      <c r="R6" s="652"/>
      <c r="S6" s="652"/>
      <c r="T6" s="652"/>
      <c r="U6" s="652"/>
      <c r="V6" s="652"/>
      <c r="W6" s="656"/>
    </row>
    <row r="7" spans="1:23" ht="16" hidden="1">
      <c r="A7" s="126"/>
      <c r="B7" s="136">
        <v>1</v>
      </c>
      <c r="C7" s="145" t="str">
        <f t="shared" ref="C7:C14" si="3">IF(ISERROR(SMALL($N:$N,$B7)),"",SMALL($N:$N,$B7))</f>
        <v/>
      </c>
      <c r="D7" s="146" t="str">
        <f t="shared" ref="D7:I14" si="4">IF(ISERROR(VLOOKUP($B$1&amp;D$4&amp;D$5&amp;$C7,$L:$W,$C$5,0)),"",VLOOKUP($B$1&amp;D$4&amp;D$5&amp;$C7,$L:$W,$C$5,0))</f>
        <v/>
      </c>
      <c r="E7" s="146" t="str">
        <f t="shared" si="4"/>
        <v/>
      </c>
      <c r="F7" s="146" t="str">
        <f t="shared" si="4"/>
        <v/>
      </c>
      <c r="G7" s="146" t="str">
        <f t="shared" si="4"/>
        <v/>
      </c>
      <c r="H7" s="146" t="str">
        <f t="shared" si="4"/>
        <v/>
      </c>
      <c r="I7" s="146" t="str">
        <f t="shared" si="4"/>
        <v/>
      </c>
      <c r="J7" s="126"/>
      <c r="K7" s="126"/>
      <c r="L7" s="136" t="str">
        <f t="shared" si="0"/>
        <v/>
      </c>
      <c r="M7" s="136" t="str">
        <f>IF(OR(L7="",COUNTIF($M$4:M6,IF(ISERROR($R7*1),LEFT($R7,2)*1,$R7*1))&gt;=1),"-",IF(ISERROR($R7*1),LEFT($R7,2)*1,$R7*1))</f>
        <v>-</v>
      </c>
      <c r="N7" s="136" t="str">
        <f>IF(OR(L7="",COUNTIF($N$4:N6,V7*1)&gt;=1),"-",V7*1)</f>
        <v>-</v>
      </c>
      <c r="O7" s="270"/>
      <c r="P7" s="652"/>
      <c r="Q7" s="652"/>
      <c r="R7" s="652"/>
      <c r="S7" s="652"/>
      <c r="T7" s="652"/>
      <c r="U7" s="652"/>
      <c r="V7" s="652"/>
      <c r="W7" s="656"/>
    </row>
    <row r="8" spans="1:23" ht="16" hidden="1">
      <c r="A8" s="126"/>
      <c r="B8" s="136">
        <v>2</v>
      </c>
      <c r="C8" s="145" t="str">
        <f t="shared" si="3"/>
        <v/>
      </c>
      <c r="D8" s="146" t="str">
        <f t="shared" si="4"/>
        <v/>
      </c>
      <c r="E8" s="146" t="str">
        <f t="shared" si="4"/>
        <v/>
      </c>
      <c r="F8" s="146" t="str">
        <f t="shared" si="4"/>
        <v/>
      </c>
      <c r="G8" s="146" t="str">
        <f t="shared" si="4"/>
        <v/>
      </c>
      <c r="H8" s="146" t="str">
        <f t="shared" si="4"/>
        <v/>
      </c>
      <c r="I8" s="146" t="str">
        <f t="shared" si="4"/>
        <v/>
      </c>
      <c r="J8" s="126"/>
      <c r="K8" s="126"/>
      <c r="L8" s="136" t="str">
        <f t="shared" si="0"/>
        <v/>
      </c>
      <c r="M8" s="136" t="str">
        <f>IF(OR(L8="",COUNTIF($M$4:M7,IF(ISERROR($R8*1),LEFT($R8,2)*1,$R8*1))&gt;=1),"-",IF(ISERROR($R8*1),LEFT($R8,2)*1,$R8*1))</f>
        <v>-</v>
      </c>
      <c r="N8" s="136" t="str">
        <f>IF(OR(L8="",COUNTIF($N$4:N7,V8*1)&gt;=1),"-",V8*1)</f>
        <v>-</v>
      </c>
      <c r="O8" s="270"/>
      <c r="P8" s="652"/>
      <c r="Q8" s="652"/>
      <c r="R8" s="652"/>
      <c r="S8" s="652"/>
      <c r="T8" s="652"/>
      <c r="U8" s="652"/>
      <c r="V8" s="652"/>
      <c r="W8" s="656"/>
    </row>
    <row r="9" spans="1:23" ht="16" hidden="1">
      <c r="A9" s="126"/>
      <c r="B9" s="136">
        <v>3</v>
      </c>
      <c r="C9" s="145" t="str">
        <f t="shared" si="3"/>
        <v/>
      </c>
      <c r="D9" s="146" t="str">
        <f t="shared" si="4"/>
        <v/>
      </c>
      <c r="E9" s="146" t="str">
        <f t="shared" si="4"/>
        <v/>
      </c>
      <c r="F9" s="146" t="str">
        <f t="shared" si="4"/>
        <v/>
      </c>
      <c r="G9" s="146" t="str">
        <f t="shared" si="4"/>
        <v/>
      </c>
      <c r="H9" s="146" t="str">
        <f t="shared" si="4"/>
        <v/>
      </c>
      <c r="I9" s="146" t="str">
        <f t="shared" si="4"/>
        <v/>
      </c>
      <c r="J9" s="126"/>
      <c r="K9" s="126"/>
      <c r="L9" s="136" t="str">
        <f t="shared" si="0"/>
        <v/>
      </c>
      <c r="M9" s="136" t="str">
        <f>IF(OR(L9="",COUNTIF($M$4:M8,IF(ISERROR($R9*1),LEFT($R9,2)*1,$R9*1))&gt;=1),"-",IF(ISERROR($R9*1),LEFT($R9,2)*1,$R9*1))</f>
        <v>-</v>
      </c>
      <c r="N9" s="136" t="str">
        <f>IF(OR(L9="",COUNTIF($N$4:N8,V9*1)&gt;=1),"-",V9*1)</f>
        <v>-</v>
      </c>
      <c r="O9" s="270"/>
      <c r="P9" s="652"/>
      <c r="Q9" s="652"/>
      <c r="R9" s="652"/>
      <c r="S9" s="652"/>
      <c r="T9" s="652"/>
      <c r="U9" s="652"/>
      <c r="V9" s="652"/>
      <c r="W9" s="656"/>
    </row>
    <row r="10" spans="1:23" ht="16" hidden="1">
      <c r="A10" s="147"/>
      <c r="B10" s="136">
        <v>4</v>
      </c>
      <c r="C10" s="145" t="str">
        <f t="shared" si="3"/>
        <v/>
      </c>
      <c r="D10" s="146" t="str">
        <f t="shared" si="4"/>
        <v/>
      </c>
      <c r="E10" s="146" t="str">
        <f t="shared" si="4"/>
        <v/>
      </c>
      <c r="F10" s="146" t="str">
        <f t="shared" si="4"/>
        <v/>
      </c>
      <c r="G10" s="146" t="str">
        <f t="shared" si="4"/>
        <v/>
      </c>
      <c r="H10" s="146" t="str">
        <f t="shared" si="4"/>
        <v/>
      </c>
      <c r="I10" s="146" t="str">
        <f t="shared" si="4"/>
        <v/>
      </c>
      <c r="J10" s="126"/>
      <c r="K10" s="126"/>
      <c r="L10" s="136" t="str">
        <f t="shared" si="0"/>
        <v/>
      </c>
      <c r="M10" s="136" t="str">
        <f>IF(OR(L10="",COUNTIF($M$4:M9,IF(ISERROR($R10*1),LEFT($R10,2)*1,$R10*1))&gt;=1),"-",IF(ISERROR($R10*1),LEFT($R10,2)*1,$R10*1))</f>
        <v>-</v>
      </c>
      <c r="N10" s="136" t="str">
        <f>IF(OR(L10="",COUNTIF($N$4:N9,V10*1)&gt;=1),"-",V10*1)</f>
        <v>-</v>
      </c>
      <c r="O10" s="270"/>
      <c r="P10" s="652"/>
      <c r="Q10" s="652"/>
      <c r="R10" s="652"/>
      <c r="S10" s="652"/>
      <c r="T10" s="652"/>
      <c r="U10" s="652"/>
      <c r="V10" s="652"/>
      <c r="W10" s="656"/>
    </row>
    <row r="11" spans="1:23" ht="16" hidden="1">
      <c r="A11" s="147"/>
      <c r="B11" s="136">
        <v>5</v>
      </c>
      <c r="C11" s="145" t="str">
        <f t="shared" si="3"/>
        <v/>
      </c>
      <c r="D11" s="146" t="str">
        <f t="shared" si="4"/>
        <v/>
      </c>
      <c r="E11" s="146" t="str">
        <f t="shared" si="4"/>
        <v/>
      </c>
      <c r="F11" s="146" t="str">
        <f t="shared" si="4"/>
        <v/>
      </c>
      <c r="G11" s="146" t="str">
        <f t="shared" si="4"/>
        <v/>
      </c>
      <c r="H11" s="146" t="str">
        <f t="shared" si="4"/>
        <v/>
      </c>
      <c r="I11" s="146" t="str">
        <f t="shared" si="4"/>
        <v/>
      </c>
      <c r="J11" s="126"/>
      <c r="K11" s="126"/>
      <c r="L11" s="136" t="str">
        <f t="shared" si="0"/>
        <v/>
      </c>
      <c r="M11" s="136" t="str">
        <f>IF(OR(L11="",COUNTIF($M$4:M10,IF(ISERROR($R11*1),LEFT($R11,2)*1,$R11*1))&gt;=1),"-",IF(ISERROR($R11*1),LEFT($R11,2)*1,$R11*1))</f>
        <v>-</v>
      </c>
      <c r="N11" s="136" t="str">
        <f>IF(OR(L11="",COUNTIF($N$4:N10,V11*1)&gt;=1),"-",V11*1)</f>
        <v>-</v>
      </c>
      <c r="O11" s="270"/>
      <c r="P11" s="652"/>
      <c r="Q11" s="652"/>
      <c r="R11" s="652"/>
      <c r="S11" s="652"/>
      <c r="T11" s="652"/>
      <c r="U11" s="652"/>
      <c r="V11" s="652"/>
      <c r="W11" s="656"/>
    </row>
    <row r="12" spans="1:23" ht="16" hidden="1">
      <c r="A12" s="147"/>
      <c r="B12" s="136">
        <v>6</v>
      </c>
      <c r="C12" s="145" t="str">
        <f t="shared" si="3"/>
        <v/>
      </c>
      <c r="D12" s="146" t="str">
        <f t="shared" si="4"/>
        <v/>
      </c>
      <c r="E12" s="146" t="str">
        <f t="shared" si="4"/>
        <v/>
      </c>
      <c r="F12" s="146" t="str">
        <f t="shared" si="4"/>
        <v/>
      </c>
      <c r="G12" s="146" t="str">
        <f t="shared" si="4"/>
        <v/>
      </c>
      <c r="H12" s="146" t="str">
        <f t="shared" si="4"/>
        <v/>
      </c>
      <c r="I12" s="146" t="str">
        <f t="shared" si="4"/>
        <v/>
      </c>
      <c r="J12" s="126"/>
      <c r="K12" s="126"/>
      <c r="L12" s="136" t="str">
        <f t="shared" si="0"/>
        <v/>
      </c>
      <c r="M12" s="136" t="str">
        <f>IF(OR(L12="",COUNTIF($M$4:M11,IF(ISERROR($R12*1),LEFT($R12,2)*1,$R12*1))&gt;=1),"-",IF(ISERROR($R12*1),LEFT($R12,2)*1,$R12*1))</f>
        <v>-</v>
      </c>
      <c r="N12" s="136" t="str">
        <f>IF(OR(L12="",COUNTIF($N$4:N11,V12*1)&gt;=1),"-",V12*1)</f>
        <v>-</v>
      </c>
      <c r="O12" s="270"/>
      <c r="P12" s="652"/>
      <c r="Q12" s="652"/>
      <c r="R12" s="652"/>
      <c r="S12" s="652"/>
      <c r="T12" s="652"/>
      <c r="U12" s="652"/>
      <c r="V12" s="652"/>
      <c r="W12" s="656"/>
    </row>
    <row r="13" spans="1:23" ht="16" hidden="1">
      <c r="A13" s="147"/>
      <c r="B13" s="136">
        <v>7</v>
      </c>
      <c r="C13" s="145" t="str">
        <f t="shared" si="3"/>
        <v/>
      </c>
      <c r="D13" s="146" t="str">
        <f t="shared" si="4"/>
        <v/>
      </c>
      <c r="E13" s="146" t="str">
        <f t="shared" si="4"/>
        <v/>
      </c>
      <c r="F13" s="146" t="str">
        <f t="shared" si="4"/>
        <v/>
      </c>
      <c r="G13" s="146" t="str">
        <f t="shared" si="4"/>
        <v/>
      </c>
      <c r="H13" s="146" t="str">
        <f t="shared" si="4"/>
        <v/>
      </c>
      <c r="I13" s="146" t="str">
        <f t="shared" si="4"/>
        <v/>
      </c>
      <c r="J13" s="126"/>
      <c r="K13" s="126"/>
      <c r="L13" s="136" t="str">
        <f t="shared" si="0"/>
        <v/>
      </c>
      <c r="M13" s="136" t="str">
        <f>IF(OR(L13="",COUNTIF($M$4:M12,IF(ISERROR($R13*1),LEFT($R13,2)*1,$R13*1))&gt;=1),"-",IF(ISERROR($R13*1),LEFT($R13,2)*1,$R13*1))</f>
        <v>-</v>
      </c>
      <c r="N13" s="136" t="str">
        <f>IF(OR(L13="",COUNTIF($N$4:N12,V13*1)&gt;=1),"-",V13*1)</f>
        <v>-</v>
      </c>
      <c r="O13" s="270"/>
      <c r="P13" s="652"/>
      <c r="Q13" s="652"/>
      <c r="R13" s="652"/>
      <c r="S13" s="652"/>
      <c r="T13" s="652"/>
      <c r="U13" s="652"/>
      <c r="V13" s="652"/>
      <c r="W13" s="656"/>
    </row>
    <row r="14" spans="1:23" ht="16" hidden="1">
      <c r="A14" s="148"/>
      <c r="B14" s="136">
        <v>8</v>
      </c>
      <c r="C14" s="145" t="str">
        <f t="shared" si="3"/>
        <v/>
      </c>
      <c r="D14" s="146" t="str">
        <f t="shared" si="4"/>
        <v/>
      </c>
      <c r="E14" s="146" t="str">
        <f t="shared" si="4"/>
        <v/>
      </c>
      <c r="F14" s="146" t="str">
        <f t="shared" si="4"/>
        <v/>
      </c>
      <c r="G14" s="146" t="str">
        <f t="shared" si="4"/>
        <v/>
      </c>
      <c r="H14" s="146" t="str">
        <f t="shared" si="4"/>
        <v/>
      </c>
      <c r="I14" s="146" t="str">
        <f t="shared" si="4"/>
        <v/>
      </c>
      <c r="J14" s="126"/>
      <c r="K14" s="126"/>
      <c r="L14" s="136" t="str">
        <f t="shared" si="0"/>
        <v/>
      </c>
      <c r="M14" s="136" t="str">
        <f>IF(OR(L14="",COUNTIF($M$4:M13,IF(ISERROR($R14*1),LEFT($R14,2)*1,$R14*1))&gt;=1),"-",IF(ISERROR($R14*1),LEFT($R14,2)*1,$R14*1))</f>
        <v>-</v>
      </c>
      <c r="N14" s="136" t="str">
        <f>IF(OR(L14="",COUNTIF($N$4:N13,V14*1)&gt;=1),"-",V14*1)</f>
        <v>-</v>
      </c>
      <c r="O14" s="270"/>
      <c r="P14" s="652"/>
      <c r="Q14" s="652"/>
      <c r="R14" s="652"/>
      <c r="S14" s="652"/>
      <c r="T14" s="652"/>
      <c r="U14" s="652"/>
      <c r="V14" s="652"/>
      <c r="W14" s="656"/>
    </row>
    <row r="15" spans="1:23" hidden="1">
      <c r="A15" s="149"/>
      <c r="B15" s="126"/>
      <c r="C15" s="128" t="s">
        <v>424</v>
      </c>
      <c r="D15" s="126"/>
      <c r="E15" s="126"/>
      <c r="F15" s="126"/>
      <c r="G15" s="147"/>
      <c r="H15" s="150"/>
      <c r="I15" s="150"/>
      <c r="J15" s="150"/>
      <c r="K15" s="150"/>
      <c r="L15" s="136" t="str">
        <f t="shared" si="0"/>
        <v/>
      </c>
      <c r="M15" s="136" t="str">
        <f>IF(OR(L15="",COUNTIF($M$4:M14,IF(ISERROR($R15*1),LEFT($R15,2)*1,$R15*1))&gt;=1),"-",IF(ISERROR($R15*1),LEFT($R15,2)*1,$R15*1))</f>
        <v>-</v>
      </c>
      <c r="N15" s="136" t="str">
        <f>IF(OR(L15="",COUNTIF($N$4:N14,V15*1)&gt;=1),"-",V15*1)</f>
        <v>-</v>
      </c>
      <c r="O15" s="270"/>
      <c r="P15" s="652"/>
      <c r="Q15" s="652"/>
      <c r="R15" s="652"/>
      <c r="S15" s="652"/>
      <c r="T15" s="652"/>
      <c r="U15" s="652"/>
      <c r="V15" s="652"/>
      <c r="W15" s="656"/>
    </row>
    <row r="16" spans="1:23" hidden="1">
      <c r="A16" s="149"/>
      <c r="B16" s="126"/>
      <c r="C16" s="126"/>
      <c r="D16" s="126"/>
      <c r="E16" s="126"/>
      <c r="F16" s="126"/>
      <c r="G16" s="147"/>
      <c r="H16" s="150"/>
      <c r="I16" s="150"/>
      <c r="J16" s="150"/>
      <c r="K16" s="150"/>
      <c r="L16" s="136" t="str">
        <f t="shared" si="0"/>
        <v/>
      </c>
      <c r="M16" s="136" t="str">
        <f>IF(OR(L16="",COUNTIF($M$4:M15,IF(ISERROR($R16*1),LEFT($R16,2)*1,$R16*1))&gt;=1),"-",IF(ISERROR($R16*1),LEFT($R16,2)*1,$R16*1))</f>
        <v>-</v>
      </c>
      <c r="N16" s="136" t="str">
        <f>IF(OR(L16="",COUNTIF($N$4:N15,V16*1)&gt;=1),"-",V16*1)</f>
        <v>-</v>
      </c>
      <c r="O16" s="270"/>
      <c r="P16" s="652"/>
      <c r="Q16" s="652"/>
      <c r="R16" s="652"/>
      <c r="S16" s="652"/>
      <c r="T16" s="652"/>
      <c r="U16" s="652"/>
      <c r="V16" s="652"/>
      <c r="W16" s="656"/>
    </row>
    <row r="17" spans="1:23" hidden="1">
      <c r="A17" s="149"/>
      <c r="B17" s="126"/>
      <c r="L17" s="136" t="str">
        <f t="shared" si="0"/>
        <v/>
      </c>
      <c r="M17" s="136" t="str">
        <f>IF(OR(L17="",COUNTIF($M$4:M16,IF(ISERROR($R17*1),LEFT($R17,2)*1,$R17*1))&gt;=1),"-",IF(ISERROR($R17*1),LEFT($R17,2)*1,$R17*1))</f>
        <v>-</v>
      </c>
      <c r="N17" s="136" t="str">
        <f>IF(OR(L17="",COUNTIF($N$4:N16,V17*1)&gt;=1),"-",V17*1)</f>
        <v>-</v>
      </c>
      <c r="O17" s="270"/>
      <c r="P17" s="652"/>
      <c r="Q17" s="652"/>
      <c r="R17" s="652"/>
      <c r="S17" s="652"/>
      <c r="T17" s="652"/>
      <c r="U17" s="652"/>
      <c r="V17" s="652"/>
      <c r="W17" s="656"/>
    </row>
    <row r="18" spans="1:23" hidden="1">
      <c r="A18" s="149"/>
      <c r="B18" s="126"/>
      <c r="L18" s="136" t="str">
        <f t="shared" si="0"/>
        <v/>
      </c>
      <c r="M18" s="136" t="str">
        <f>IF(OR(L18="",COUNTIF($M$4:M17,IF(ISERROR($R18*1),LEFT($R18,2)*1,$R18*1))&gt;=1),"-",IF(ISERROR($R18*1),LEFT($R18,2)*1,$R18*1))</f>
        <v>-</v>
      </c>
      <c r="N18" s="136" t="str">
        <f>IF(OR(L18="",COUNTIF($N$4:N17,V18*1)&gt;=1),"-",V18*1)</f>
        <v>-</v>
      </c>
      <c r="O18" s="270"/>
      <c r="P18" s="652"/>
      <c r="Q18" s="652"/>
      <c r="R18" s="652"/>
      <c r="S18" s="652"/>
      <c r="T18" s="652"/>
      <c r="U18" s="652"/>
      <c r="V18" s="652"/>
      <c r="W18" s="656"/>
    </row>
    <row r="19" spans="1:23" hidden="1">
      <c r="A19" s="149"/>
      <c r="B19" s="126"/>
      <c r="L19" s="136" t="str">
        <f t="shared" si="0"/>
        <v/>
      </c>
      <c r="M19" s="136" t="str">
        <f>IF(OR(L19="",COUNTIF($M$4:M18,IF(ISERROR($R19*1),LEFT($R19,2)*1,$R19*1))&gt;=1),"-",IF(ISERROR($R19*1),LEFT($R19,2)*1,$R19*1))</f>
        <v>-</v>
      </c>
      <c r="N19" s="136" t="str">
        <f>IF(OR(L19="",COUNTIF($N$4:N18,V19*1)&gt;=1),"-",V19*1)</f>
        <v>-</v>
      </c>
      <c r="O19" s="270"/>
      <c r="P19" s="652"/>
      <c r="Q19" s="652"/>
      <c r="R19" s="652"/>
      <c r="S19" s="652"/>
      <c r="T19" s="652"/>
      <c r="U19" s="652"/>
      <c r="V19" s="652"/>
      <c r="W19" s="656"/>
    </row>
    <row r="20" spans="1:23" hidden="1">
      <c r="A20" s="149"/>
      <c r="B20" s="126"/>
      <c r="L20" s="136" t="str">
        <f t="shared" si="0"/>
        <v/>
      </c>
      <c r="M20" s="136" t="str">
        <f>IF(OR(L20="",COUNTIF($M$4:M19,IF(ISERROR($R20*1),LEFT($R20,2)*1,$R20*1))&gt;=1),"-",IF(ISERROR($R20*1),LEFT($R20,2)*1,$R20*1))</f>
        <v>-</v>
      </c>
      <c r="N20" s="136" t="str">
        <f>IF(OR(L20="",COUNTIF($N$4:N19,V20*1)&gt;=1),"-",V20*1)</f>
        <v>-</v>
      </c>
      <c r="O20" s="270"/>
      <c r="P20" s="652"/>
      <c r="Q20" s="652"/>
      <c r="R20" s="652"/>
      <c r="S20" s="652"/>
      <c r="T20" s="652"/>
      <c r="U20" s="652"/>
      <c r="V20" s="652"/>
      <c r="W20" s="656"/>
    </row>
    <row r="21" spans="1:23" hidden="1">
      <c r="A21" s="126"/>
      <c r="B21" s="126"/>
      <c r="L21" s="136" t="str">
        <f t="shared" si="0"/>
        <v/>
      </c>
      <c r="M21" s="136" t="str">
        <f>IF(OR(L21="",COUNTIF($M$4:M20,IF(ISERROR($R21*1),LEFT($R21,2)*1,$R21*1))&gt;=1),"-",IF(ISERROR($R21*1),LEFT($R21,2)*1,$R21*1))</f>
        <v>-</v>
      </c>
      <c r="N21" s="136" t="str">
        <f>IF(OR(L21="",COUNTIF($N$4:N20,V21*1)&gt;=1),"-",V21*1)</f>
        <v>-</v>
      </c>
      <c r="O21" s="270"/>
      <c r="P21" s="652"/>
      <c r="Q21" s="652"/>
      <c r="R21" s="652"/>
      <c r="S21" s="652"/>
      <c r="T21" s="652"/>
      <c r="U21" s="652"/>
      <c r="V21" s="652"/>
      <c r="W21" s="656"/>
    </row>
    <row r="22" spans="1:23" hidden="1">
      <c r="A22" s="126"/>
      <c r="B22" s="126"/>
      <c r="L22" s="136" t="str">
        <f t="shared" si="0"/>
        <v/>
      </c>
      <c r="M22" s="136" t="str">
        <f>IF(OR(L22="",COUNTIF($M$4:M21,IF(ISERROR($R22*1),LEFT($R22,2)*1,$R22*1))&gt;=1),"-",IF(ISERROR($R22*1),LEFT($R22,2)*1,$R22*1))</f>
        <v>-</v>
      </c>
      <c r="N22" s="136" t="str">
        <f>IF(OR(L22="",COUNTIF($N$4:N21,V22*1)&gt;=1),"-",V22*1)</f>
        <v>-</v>
      </c>
      <c r="O22" s="270"/>
      <c r="P22" s="652"/>
      <c r="Q22" s="652"/>
      <c r="R22" s="652"/>
      <c r="S22" s="652"/>
      <c r="T22" s="652"/>
      <c r="U22" s="652"/>
      <c r="V22" s="652"/>
      <c r="W22" s="656"/>
    </row>
    <row r="23" spans="1:23" hidden="1">
      <c r="A23" s="126"/>
      <c r="B23" s="126"/>
      <c r="L23" s="136" t="str">
        <f t="shared" si="0"/>
        <v/>
      </c>
      <c r="M23" s="136" t="str">
        <f>IF(OR(L23="",COUNTIF($M$4:M22,IF(ISERROR($R23*1),LEFT($R23,2)*1,$R23*1))&gt;=1),"-",IF(ISERROR($R23*1),LEFT($R23,2)*1,$R23*1))</f>
        <v>-</v>
      </c>
      <c r="N23" s="136" t="str">
        <f>IF(OR(L23="",COUNTIF($N$4:N22,V23*1)&gt;=1),"-",V23*1)</f>
        <v>-</v>
      </c>
      <c r="O23" s="270"/>
      <c r="P23" s="652"/>
      <c r="Q23" s="652"/>
      <c r="R23" s="652"/>
      <c r="S23" s="652"/>
      <c r="T23" s="652"/>
      <c r="U23" s="652"/>
      <c r="V23" s="652"/>
      <c r="W23" s="656"/>
    </row>
    <row r="24" spans="1:23" hidden="1">
      <c r="A24" s="126"/>
      <c r="B24" s="126"/>
      <c r="L24" s="136" t="str">
        <f t="shared" si="0"/>
        <v/>
      </c>
      <c r="M24" s="136" t="str">
        <f>IF(OR(L24="",COUNTIF($M$4:M23,IF(ISERROR($R24*1),LEFT($R24,2)*1,$R24*1))&gt;=1),"-",IF(ISERROR($R24*1),LEFT($R24,2)*1,$R24*1))</f>
        <v>-</v>
      </c>
      <c r="N24" s="136" t="str">
        <f>IF(OR(L24="",COUNTIF($N$4:N23,V24*1)&gt;=1),"-",V24*1)</f>
        <v>-</v>
      </c>
      <c r="O24" s="270"/>
      <c r="P24" s="652"/>
      <c r="Q24" s="652"/>
      <c r="R24" s="652"/>
      <c r="S24" s="652"/>
      <c r="T24" s="652"/>
      <c r="U24" s="652"/>
      <c r="V24" s="652"/>
      <c r="W24" s="656"/>
    </row>
    <row r="25" spans="1:23" hidden="1">
      <c r="A25" s="126"/>
      <c r="B25" s="126"/>
      <c r="L25" s="136" t="str">
        <f t="shared" si="0"/>
        <v/>
      </c>
      <c r="M25" s="136" t="str">
        <f>IF(OR(L25="",COUNTIF($M$4:M24,IF(ISERROR($R25*1),LEFT($R25,2)*1,$R25*1))&gt;=1),"-",IF(ISERROR($R25*1),LEFT($R25,2)*1,$R25*1))</f>
        <v>-</v>
      </c>
      <c r="N25" s="136" t="str">
        <f>IF(OR(L25="",COUNTIF($N$4:N24,V25*1)&gt;=1),"-",V25*1)</f>
        <v>-</v>
      </c>
      <c r="O25" s="270"/>
      <c r="P25" s="652"/>
      <c r="Q25" s="652"/>
      <c r="R25" s="652"/>
      <c r="S25" s="652"/>
      <c r="T25" s="652"/>
      <c r="U25" s="652"/>
      <c r="V25" s="652"/>
      <c r="W25" s="656"/>
    </row>
    <row r="26" spans="1:23" hidden="1">
      <c r="A26" s="126"/>
      <c r="B26" s="126"/>
      <c r="L26" s="136" t="str">
        <f t="shared" si="0"/>
        <v/>
      </c>
      <c r="M26" s="136" t="str">
        <f>IF(OR(L26="",COUNTIF($M$4:M25,IF(ISERROR($R26*1),LEFT($R26,2)*1,$R26*1))&gt;=1),"-",IF(ISERROR($R26*1),LEFT($R26,2)*1,$R26*1))</f>
        <v>-</v>
      </c>
      <c r="N26" s="136" t="str">
        <f>IF(OR(L26="",COUNTIF($N$4:N25,V26*1)&gt;=1),"-",V26*1)</f>
        <v>-</v>
      </c>
      <c r="O26" s="270"/>
      <c r="P26" s="652"/>
      <c r="Q26" s="652"/>
      <c r="R26" s="652"/>
      <c r="S26" s="652"/>
      <c r="T26" s="652"/>
      <c r="U26" s="652"/>
      <c r="V26" s="652"/>
      <c r="W26" s="656"/>
    </row>
    <row r="27" spans="1:23" hidden="1">
      <c r="A27" s="126"/>
      <c r="B27" s="126"/>
      <c r="L27" s="136" t="str">
        <f t="shared" si="0"/>
        <v/>
      </c>
      <c r="M27" s="136" t="str">
        <f>IF(OR(L27="",COUNTIF($M$4:M26,IF(ISERROR($R27*1),LEFT($R27,2)*1,$R27*1))&gt;=1),"-",IF(ISERROR($R27*1),LEFT($R27,2)*1,$R27*1))</f>
        <v>-</v>
      </c>
      <c r="N27" s="136" t="str">
        <f>IF(OR(L27="",COUNTIF($N$4:N26,V27*1)&gt;=1),"-",V27*1)</f>
        <v>-</v>
      </c>
      <c r="O27" s="270"/>
      <c r="P27" s="652"/>
      <c r="Q27" s="652"/>
      <c r="R27" s="652"/>
      <c r="S27" s="652"/>
      <c r="T27" s="652"/>
      <c r="U27" s="652"/>
      <c r="V27" s="652"/>
      <c r="W27" s="656"/>
    </row>
    <row r="28" spans="1:23" hidden="1">
      <c r="A28" s="126"/>
      <c r="B28" s="126"/>
      <c r="L28" s="136" t="str">
        <f t="shared" si="0"/>
        <v/>
      </c>
      <c r="M28" s="136" t="str">
        <f>IF(OR(L28="",COUNTIF($M$4:M27,IF(ISERROR($R28*1),LEFT($R28,2)*1,$R28*1))&gt;=1),"-",IF(ISERROR($R28*1),LEFT($R28,2)*1,$R28*1))</f>
        <v>-</v>
      </c>
      <c r="N28" s="136" t="str">
        <f>IF(OR(L28="",COUNTIF($N$4:N27,V28*1)&gt;=1),"-",V28*1)</f>
        <v>-</v>
      </c>
      <c r="O28" s="270"/>
      <c r="P28" s="652"/>
      <c r="Q28" s="652"/>
      <c r="R28" s="652"/>
      <c r="S28" s="652"/>
      <c r="T28" s="652"/>
      <c r="U28" s="652"/>
      <c r="V28" s="652"/>
      <c r="W28" s="656"/>
    </row>
    <row r="29" spans="1:23" hidden="1">
      <c r="A29" s="126"/>
      <c r="B29" s="126"/>
      <c r="L29" s="136" t="str">
        <f t="shared" si="0"/>
        <v/>
      </c>
      <c r="M29" s="136" t="str">
        <f>IF(OR(L29="",COUNTIF($M$4:M28,IF(ISERROR($R29*1),LEFT($R29,2)*1,$R29*1))&gt;=1),"-",IF(ISERROR($R29*1),LEFT($R29,2)*1,$R29*1))</f>
        <v>-</v>
      </c>
      <c r="N29" s="136" t="str">
        <f>IF(OR(L29="",COUNTIF($N$4:N28,V29*1)&gt;=1),"-",V29*1)</f>
        <v>-</v>
      </c>
      <c r="O29" s="270"/>
      <c r="P29" s="652"/>
      <c r="Q29" s="652"/>
      <c r="R29" s="652"/>
      <c r="S29" s="652"/>
      <c r="T29" s="652"/>
      <c r="U29" s="652"/>
      <c r="V29" s="652"/>
      <c r="W29" s="656"/>
    </row>
    <row r="30" spans="1:23" hidden="1">
      <c r="A30" s="126"/>
      <c r="B30" s="126"/>
      <c r="L30" s="136" t="str">
        <f t="shared" si="0"/>
        <v/>
      </c>
      <c r="M30" s="136" t="str">
        <f>IF(OR(L30="",COUNTIF($M$4:M29,IF(ISERROR($R30*1),LEFT($R30,2)*1,$R30*1))&gt;=1),"-",IF(ISERROR($R30*1),LEFT($R30,2)*1,$R30*1))</f>
        <v>-</v>
      </c>
      <c r="N30" s="136" t="str">
        <f>IF(OR(L30="",COUNTIF($N$4:N29,V30*1)&gt;=1),"-",V30*1)</f>
        <v>-</v>
      </c>
      <c r="O30" s="270"/>
      <c r="P30" s="652"/>
      <c r="Q30" s="652"/>
      <c r="R30" s="652"/>
      <c r="S30" s="652"/>
      <c r="T30" s="652"/>
      <c r="U30" s="652"/>
      <c r="V30" s="652"/>
      <c r="W30" s="656"/>
    </row>
    <row r="31" spans="1:23" hidden="1">
      <c r="A31" s="126"/>
      <c r="B31" s="126"/>
      <c r="L31" s="136" t="str">
        <f t="shared" si="0"/>
        <v/>
      </c>
      <c r="M31" s="136" t="str">
        <f>IF(OR(L31="",COUNTIF($M$4:M30,IF(ISERROR($R31*1),LEFT($R31,2)*1,$R31*1))&gt;=1),"-",IF(ISERROR($R31*1),LEFT($R31,2)*1,$R31*1))</f>
        <v>-</v>
      </c>
      <c r="N31" s="136" t="str">
        <f>IF(OR(L31="",COUNTIF($N$4:N30,V31*1)&gt;=1),"-",V31*1)</f>
        <v>-</v>
      </c>
      <c r="O31" s="270"/>
      <c r="P31" s="652"/>
      <c r="Q31" s="652"/>
      <c r="R31" s="652"/>
      <c r="S31" s="652"/>
      <c r="T31" s="652"/>
      <c r="U31" s="652"/>
      <c r="V31" s="652"/>
      <c r="W31" s="656"/>
    </row>
    <row r="32" spans="1:23" hidden="1">
      <c r="A32" s="126"/>
      <c r="B32" s="126"/>
      <c r="L32" s="136" t="str">
        <f t="shared" si="0"/>
        <v/>
      </c>
      <c r="M32" s="136" t="str">
        <f>IF(OR(L32="",COUNTIF($M$4:M31,IF(ISERROR($R32*1),LEFT($R32,2)*1,$R32*1))&gt;=1),"-",IF(ISERROR($R32*1),LEFT($R32,2)*1,$R32*1))</f>
        <v>-</v>
      </c>
      <c r="N32" s="136" t="str">
        <f>IF(OR(L32="",COUNTIF($N$4:N31,V32*1)&gt;=1),"-",V32*1)</f>
        <v>-</v>
      </c>
      <c r="O32" s="270"/>
      <c r="P32" s="652"/>
      <c r="Q32" s="652"/>
      <c r="R32" s="652"/>
      <c r="S32" s="652"/>
      <c r="T32" s="652"/>
      <c r="U32" s="652"/>
      <c r="V32" s="652"/>
      <c r="W32" s="656"/>
    </row>
    <row r="33" spans="1:23" hidden="1">
      <c r="A33" s="126"/>
      <c r="B33" s="126"/>
      <c r="L33" s="136" t="str">
        <f t="shared" si="0"/>
        <v/>
      </c>
      <c r="M33" s="136" t="str">
        <f>IF(OR(L33="",COUNTIF($M$4:M32,IF(ISERROR($R33*1),LEFT($R33,2)*1,$R33*1))&gt;=1),"-",IF(ISERROR($R33*1),LEFT($R33,2)*1,$R33*1))</f>
        <v>-</v>
      </c>
      <c r="N33" s="136" t="str">
        <f>IF(OR(L33="",COUNTIF($N$4:N32,V33*1)&gt;=1),"-",V33*1)</f>
        <v>-</v>
      </c>
      <c r="O33" s="270"/>
      <c r="P33" s="652"/>
      <c r="Q33" s="652"/>
      <c r="R33" s="652"/>
      <c r="S33" s="652"/>
      <c r="T33" s="652"/>
      <c r="U33" s="652"/>
      <c r="V33" s="652"/>
      <c r="W33" s="656"/>
    </row>
    <row r="34" spans="1:23" hidden="1">
      <c r="A34" s="126"/>
      <c r="B34" s="126"/>
      <c r="L34" s="136" t="str">
        <f t="shared" si="0"/>
        <v/>
      </c>
      <c r="M34" s="136" t="str">
        <f>IF(OR(L34="",COUNTIF($M$4:M33,IF(ISERROR($R34*1),LEFT($R34,2)*1,$R34*1))&gt;=1),"-",IF(ISERROR($R34*1),LEFT($R34,2)*1,$R34*1))</f>
        <v>-</v>
      </c>
      <c r="N34" s="136" t="str">
        <f>IF(OR(L34="",COUNTIF($N$4:N33,V34*1)&gt;=1),"-",V34*1)</f>
        <v>-</v>
      </c>
      <c r="O34" s="270"/>
      <c r="P34" s="652"/>
      <c r="Q34" s="652"/>
      <c r="R34" s="652"/>
      <c r="S34" s="652"/>
      <c r="T34" s="652"/>
      <c r="U34" s="652"/>
      <c r="V34" s="652"/>
      <c r="W34" s="656"/>
    </row>
    <row r="35" spans="1:23" hidden="1">
      <c r="A35" s="126"/>
      <c r="B35" s="126"/>
      <c r="L35" s="136" t="str">
        <f t="shared" si="0"/>
        <v/>
      </c>
      <c r="M35" s="136" t="str">
        <f>IF(OR(L35="",COUNTIF($M$4:M34,IF(ISERROR($R35*1),LEFT($R35,2)*1,$R35*1))&gt;=1),"-",IF(ISERROR($R35*1),LEFT($R35,2)*1,$R35*1))</f>
        <v>-</v>
      </c>
      <c r="N35" s="136" t="str">
        <f>IF(OR(L35="",COUNTIF($N$4:N34,V35*1)&gt;=1),"-",V35*1)</f>
        <v>-</v>
      </c>
      <c r="O35" s="270"/>
      <c r="P35" s="652"/>
      <c r="Q35" s="652"/>
      <c r="R35" s="652"/>
      <c r="S35" s="652"/>
      <c r="T35" s="652"/>
      <c r="U35" s="652"/>
      <c r="V35" s="652"/>
      <c r="W35" s="656"/>
    </row>
    <row r="36" spans="1:23" hidden="1">
      <c r="A36" s="126"/>
      <c r="B36" s="126"/>
      <c r="L36" s="136" t="str">
        <f t="shared" si="0"/>
        <v/>
      </c>
      <c r="M36" s="136" t="str">
        <f>IF(OR(L36="",COUNTIF($M$4:M35,IF(ISERROR($R36*1),LEFT($R36,2)*1,$R36*1))&gt;=1),"-",IF(ISERROR($R36*1),LEFT($R36,2)*1,$R36*1))</f>
        <v>-</v>
      </c>
      <c r="N36" s="136" t="str">
        <f>IF(OR(L36="",COUNTIF($N$4:N35,V36*1)&gt;=1),"-",V36*1)</f>
        <v>-</v>
      </c>
      <c r="O36" s="270"/>
      <c r="P36" s="652"/>
      <c r="Q36" s="652"/>
      <c r="R36" s="652"/>
      <c r="S36" s="652"/>
      <c r="T36" s="652"/>
      <c r="U36" s="652"/>
      <c r="V36" s="652"/>
      <c r="W36" s="656"/>
    </row>
    <row r="37" spans="1:23" hidden="1">
      <c r="A37" s="126"/>
      <c r="B37" s="126"/>
      <c r="L37" s="136" t="str">
        <f t="shared" si="0"/>
        <v/>
      </c>
      <c r="M37" s="136" t="str">
        <f>IF(OR(L37="",COUNTIF($M$4:M36,IF(ISERROR($R37*1),LEFT($R37,2)*1,$R37*1))&gt;=1),"-",IF(ISERROR($R37*1),LEFT($R37,2)*1,$R37*1))</f>
        <v>-</v>
      </c>
      <c r="N37" s="136" t="str">
        <f>IF(OR(L37="",COUNTIF($N$4:N36,V37*1)&gt;=1),"-",V37*1)</f>
        <v>-</v>
      </c>
      <c r="O37" s="270"/>
      <c r="P37" s="652"/>
      <c r="Q37" s="652"/>
      <c r="R37" s="652"/>
      <c r="S37" s="652"/>
      <c r="T37" s="652"/>
      <c r="U37" s="652"/>
      <c r="V37" s="652"/>
      <c r="W37" s="656"/>
    </row>
    <row r="38" spans="1:23" hidden="1">
      <c r="A38" s="126"/>
      <c r="B38" s="126"/>
      <c r="L38" s="136" t="str">
        <f t="shared" si="0"/>
        <v/>
      </c>
      <c r="M38" s="136" t="str">
        <f>IF(OR(L38="",COUNTIF($M$4:M37,IF(ISERROR($R38*1),LEFT($R38,2)*1,$R38*1))&gt;=1),"-",IF(ISERROR($R38*1),LEFT($R38,2)*1,$R38*1))</f>
        <v>-</v>
      </c>
      <c r="N38" s="136" t="str">
        <f>IF(OR(L38="",COUNTIF($N$4:N37,V38*1)&gt;=1),"-",V38*1)</f>
        <v>-</v>
      </c>
      <c r="O38" s="270"/>
      <c r="P38" s="652"/>
      <c r="Q38" s="652"/>
      <c r="R38" s="652"/>
      <c r="S38" s="652"/>
      <c r="T38" s="652"/>
      <c r="U38" s="652"/>
      <c r="V38" s="652"/>
      <c r="W38" s="656"/>
    </row>
    <row r="39" spans="1:23" hidden="1">
      <c r="A39" s="126"/>
      <c r="B39" s="126"/>
      <c r="L39" s="136" t="str">
        <f t="shared" si="0"/>
        <v/>
      </c>
      <c r="M39" s="136" t="str">
        <f>IF(OR(L39="",COUNTIF($M$4:M38,IF(ISERROR($R39*1),LEFT($R39,2)*1,$R39*1))&gt;=1),"-",IF(ISERROR($R39*1),LEFT($R39,2)*1,$R39*1))</f>
        <v>-</v>
      </c>
      <c r="N39" s="136" t="str">
        <f>IF(OR(L39="",COUNTIF($N$4:N38,V39*1)&gt;=1),"-",V39*1)</f>
        <v>-</v>
      </c>
      <c r="O39" s="270"/>
      <c r="P39" s="652"/>
      <c r="Q39" s="652"/>
      <c r="R39" s="652"/>
      <c r="S39" s="652"/>
      <c r="T39" s="652"/>
      <c r="U39" s="652"/>
      <c r="V39" s="652"/>
      <c r="W39" s="656"/>
    </row>
    <row r="40" spans="1:23" hidden="1">
      <c r="A40" s="126"/>
      <c r="B40" s="126"/>
      <c r="L40" s="136" t="str">
        <f t="shared" si="0"/>
        <v/>
      </c>
      <c r="M40" s="136" t="str">
        <f>IF(OR(L40="",COUNTIF($M$4:M39,IF(ISERROR($R40*1),LEFT($R40,2)*1,$R40*1))&gt;=1),"-",IF(ISERROR($R40*1),LEFT($R40,2)*1,$R40*1))</f>
        <v>-</v>
      </c>
      <c r="N40" s="136" t="str">
        <f>IF(OR(L40="",COUNTIF($N$4:N39,V40*1)&gt;=1),"-",V40*1)</f>
        <v>-</v>
      </c>
      <c r="O40" s="270"/>
      <c r="P40" s="652"/>
      <c r="Q40" s="652"/>
      <c r="R40" s="652"/>
      <c r="S40" s="652"/>
      <c r="T40" s="652"/>
      <c r="U40" s="652"/>
      <c r="V40" s="652"/>
      <c r="W40" s="656"/>
    </row>
    <row r="41" spans="1:23" hidden="1">
      <c r="A41" s="126"/>
      <c r="B41" s="126"/>
      <c r="L41" s="136" t="str">
        <f t="shared" si="0"/>
        <v/>
      </c>
      <c r="M41" s="136" t="str">
        <f>IF(OR(L41="",COUNTIF($M$4:M40,IF(ISERROR($R41*1),LEFT($R41,2)*1,$R41*1))&gt;=1),"-",IF(ISERROR($R41*1),LEFT($R41,2)*1,$R41*1))</f>
        <v>-</v>
      </c>
      <c r="N41" s="136" t="str">
        <f>IF(OR(L41="",COUNTIF($N$4:N40,V41*1)&gt;=1),"-",V41*1)</f>
        <v>-</v>
      </c>
      <c r="O41" s="270"/>
      <c r="P41" s="652"/>
      <c r="Q41" s="652"/>
      <c r="R41" s="652"/>
      <c r="S41" s="652"/>
      <c r="T41" s="652"/>
      <c r="U41" s="652"/>
      <c r="V41" s="652"/>
      <c r="W41" s="656"/>
    </row>
    <row r="42" spans="1:23" hidden="1">
      <c r="A42" s="126"/>
      <c r="B42" s="126"/>
      <c r="L42" s="136" t="str">
        <f t="shared" si="0"/>
        <v/>
      </c>
      <c r="M42" s="136" t="str">
        <f>IF(OR(L42="",COUNTIF($M$4:M41,IF(ISERROR($R42*1),LEFT($R42,2)*1,$R42*1))&gt;=1),"-",IF(ISERROR($R42*1),LEFT($R42,2)*1,$R42*1))</f>
        <v>-</v>
      </c>
      <c r="N42" s="136" t="str">
        <f>IF(OR(L42="",COUNTIF($N$4:N41,V42*1)&gt;=1),"-",V42*1)</f>
        <v>-</v>
      </c>
      <c r="O42" s="270"/>
      <c r="P42" s="652"/>
      <c r="Q42" s="652"/>
      <c r="R42" s="652"/>
      <c r="S42" s="652"/>
      <c r="T42" s="652"/>
      <c r="U42" s="652"/>
      <c r="V42" s="652"/>
      <c r="W42" s="656"/>
    </row>
    <row r="43" spans="1:23" hidden="1">
      <c r="L43" s="136" t="str">
        <f t="shared" si="0"/>
        <v/>
      </c>
      <c r="M43" s="136" t="str">
        <f>IF(OR(L43="",COUNTIF($M$4:M42,IF(ISERROR($R43*1),LEFT($R43,2)*1,$R43*1))&gt;=1),"-",IF(ISERROR($R43*1),LEFT($R43,2)*1,$R43*1))</f>
        <v>-</v>
      </c>
      <c r="N43" s="136" t="str">
        <f>IF(OR(L43="",COUNTIF($N$4:N42,V43*1)&gt;=1),"-",V43*1)</f>
        <v>-</v>
      </c>
      <c r="O43" s="270"/>
      <c r="P43" s="652"/>
      <c r="Q43" s="652"/>
      <c r="R43" s="652"/>
      <c r="S43" s="652"/>
      <c r="T43" s="652"/>
      <c r="U43" s="652"/>
      <c r="V43" s="652"/>
      <c r="W43" s="656"/>
    </row>
    <row r="44" spans="1:23" hidden="1">
      <c r="L44" s="136" t="str">
        <f t="shared" si="0"/>
        <v/>
      </c>
      <c r="M44" s="136" t="str">
        <f>IF(OR(L44="",COUNTIF($M$4:M43,IF(ISERROR($R44*1),LEFT($R44,2)*1,$R44*1))&gt;=1),"-",IF(ISERROR($R44*1),LEFT($R44,2)*1,$R44*1))</f>
        <v>-</v>
      </c>
      <c r="N44" s="136" t="str">
        <f>IF(OR(L44="",COUNTIF($N$4:N43,V44*1)&gt;=1),"-",V44*1)</f>
        <v>-</v>
      </c>
      <c r="O44" s="270"/>
      <c r="P44" s="652"/>
      <c r="Q44" s="652"/>
      <c r="R44" s="652"/>
      <c r="S44" s="652"/>
      <c r="T44" s="652"/>
      <c r="U44" s="652"/>
      <c r="V44" s="652"/>
      <c r="W44" s="656"/>
    </row>
    <row r="45" spans="1:23" hidden="1">
      <c r="L45" s="136" t="str">
        <f t="shared" si="0"/>
        <v/>
      </c>
      <c r="M45" s="136" t="str">
        <f>IF(OR(L45="",COUNTIF($M$4:M44,IF(ISERROR($R45*1),LEFT($R45,2)*1,$R45*1))&gt;=1),"-",IF(ISERROR($R45*1),LEFT($R45,2)*1,$R45*1))</f>
        <v>-</v>
      </c>
      <c r="N45" s="136" t="str">
        <f>IF(OR(L45="",COUNTIF($N$4:N44,V45*1)&gt;=1),"-",V45*1)</f>
        <v>-</v>
      </c>
      <c r="O45" s="270"/>
      <c r="P45" s="652"/>
      <c r="Q45" s="652"/>
      <c r="R45" s="652"/>
      <c r="S45" s="652"/>
      <c r="T45" s="652"/>
      <c r="U45" s="652"/>
      <c r="V45" s="652"/>
      <c r="W45" s="656"/>
    </row>
    <row r="46" spans="1:23" hidden="1">
      <c r="L46" s="136" t="str">
        <f t="shared" si="0"/>
        <v/>
      </c>
      <c r="M46" s="136" t="str">
        <f>IF(OR(L46="",COUNTIF($M$4:M45,IF(ISERROR($R46*1),LEFT($R46,2)*1,$R46*1))&gt;=1),"-",IF(ISERROR($R46*1),LEFT($R46,2)*1,$R46*1))</f>
        <v>-</v>
      </c>
      <c r="N46" s="136" t="str">
        <f>IF(OR(L46="",COUNTIF($N$4:N45,V46*1)&gt;=1),"-",V46*1)</f>
        <v>-</v>
      </c>
      <c r="O46" s="270"/>
      <c r="P46" s="652"/>
      <c r="Q46" s="652"/>
      <c r="R46" s="652"/>
      <c r="S46" s="652"/>
      <c r="T46" s="652"/>
      <c r="U46" s="652"/>
      <c r="V46" s="652"/>
      <c r="W46" s="656"/>
    </row>
    <row r="47" spans="1:23" hidden="1">
      <c r="L47" s="136" t="str">
        <f t="shared" si="0"/>
        <v/>
      </c>
      <c r="M47" s="136" t="str">
        <f>IF(OR(L47="",COUNTIF($M$4:M46,IF(ISERROR($R47*1),LEFT($R47,2)*1,$R47*1))&gt;=1),"-",IF(ISERROR($R47*1),LEFT($R47,2)*1,$R47*1))</f>
        <v>-</v>
      </c>
      <c r="N47" s="136" t="str">
        <f>IF(OR(L47="",COUNTIF($N$4:N46,V47*1)&gt;=1),"-",V47*1)</f>
        <v>-</v>
      </c>
      <c r="O47" s="270"/>
      <c r="P47" s="652"/>
      <c r="Q47" s="652"/>
      <c r="R47" s="652"/>
      <c r="S47" s="652"/>
      <c r="T47" s="652"/>
      <c r="U47" s="652"/>
      <c r="V47" s="652"/>
      <c r="W47" s="656"/>
    </row>
    <row r="48" spans="1:23" hidden="1">
      <c r="L48" s="136" t="str">
        <f t="shared" si="0"/>
        <v/>
      </c>
      <c r="M48" s="136" t="str">
        <f>IF(OR(L48="",COUNTIF($M$4:M47,IF(ISERROR($R48*1),LEFT($R48,2)*1,$R48*1))&gt;=1),"-",IF(ISERROR($R48*1),LEFT($R48,2)*1,$R48*1))</f>
        <v>-</v>
      </c>
      <c r="N48" s="136" t="str">
        <f>IF(OR(L48="",COUNTIF($N$4:N47,V48*1)&gt;=1),"-",V48*1)</f>
        <v>-</v>
      </c>
      <c r="O48" s="270"/>
      <c r="P48" s="652"/>
      <c r="Q48" s="652"/>
      <c r="R48" s="652"/>
      <c r="S48" s="652"/>
      <c r="T48" s="652"/>
      <c r="U48" s="652"/>
      <c r="V48" s="652"/>
      <c r="W48" s="656"/>
    </row>
    <row r="49" spans="12:23" hidden="1">
      <c r="L49" s="136" t="str">
        <f t="shared" si="0"/>
        <v/>
      </c>
      <c r="M49" s="136" t="str">
        <f>IF(OR(L49="",COUNTIF($M$4:M48,IF(ISERROR($R49*1),LEFT($R49,2)*1,$R49*1))&gt;=1),"-",IF(ISERROR($R49*1),LEFT($R49,2)*1,$R49*1))</f>
        <v>-</v>
      </c>
      <c r="N49" s="136" t="str">
        <f>IF(OR(L49="",COUNTIF($N$4:N48,V49*1)&gt;=1),"-",V49*1)</f>
        <v>-</v>
      </c>
      <c r="O49" s="270"/>
      <c r="P49" s="652"/>
      <c r="Q49" s="652"/>
      <c r="R49" s="652"/>
      <c r="S49" s="652"/>
      <c r="T49" s="652"/>
      <c r="U49" s="652"/>
      <c r="V49" s="652"/>
      <c r="W49" s="656"/>
    </row>
    <row r="50" spans="12:23" hidden="1">
      <c r="L50" s="136" t="str">
        <f t="shared" si="0"/>
        <v/>
      </c>
      <c r="M50" s="136" t="str">
        <f>IF(OR(L50="",COUNTIF($M$4:M49,IF(ISERROR($R50*1),LEFT($R50,2)*1,$R50*1))&gt;=1),"-",IF(ISERROR($R50*1),LEFT($R50,2)*1,$R50*1))</f>
        <v>-</v>
      </c>
      <c r="N50" s="136" t="str">
        <f>IF(OR(L50="",COUNTIF($N$4:N49,V50*1)&gt;=1),"-",V50*1)</f>
        <v>-</v>
      </c>
      <c r="O50" s="270"/>
      <c r="P50" s="652"/>
      <c r="Q50" s="652"/>
      <c r="R50" s="652"/>
      <c r="S50" s="652"/>
      <c r="T50" s="652"/>
      <c r="U50" s="652"/>
      <c r="V50" s="652"/>
      <c r="W50" s="656"/>
    </row>
    <row r="51" spans="12:23" hidden="1">
      <c r="L51" s="136" t="str">
        <f t="shared" si="0"/>
        <v/>
      </c>
      <c r="M51" s="136" t="str">
        <f>IF(OR(L51="",COUNTIF($M$4:M50,IF(ISERROR($R51*1),LEFT($R51,2)*1,$R51*1))&gt;=1),"-",IF(ISERROR($R51*1),LEFT($R51,2)*1,$R51*1))</f>
        <v>-</v>
      </c>
      <c r="N51" s="136" t="str">
        <f>IF(OR(L51="",COUNTIF($N$4:N50,V51*1)&gt;=1),"-",V51*1)</f>
        <v>-</v>
      </c>
      <c r="O51" s="270"/>
      <c r="P51" s="652"/>
      <c r="Q51" s="652"/>
      <c r="R51" s="652"/>
      <c r="S51" s="652"/>
      <c r="T51" s="652"/>
      <c r="U51" s="652"/>
      <c r="V51" s="652"/>
      <c r="W51" s="656"/>
    </row>
    <row r="52" spans="12:23" hidden="1">
      <c r="L52" s="136" t="str">
        <f t="shared" si="0"/>
        <v/>
      </c>
      <c r="M52" s="136" t="str">
        <f>IF(OR(L52="",COUNTIF($M$4:M51,IF(ISERROR($R52*1),LEFT($R52,2)*1,$R52*1))&gt;=1),"-",IF(ISERROR($R52*1),LEFT($R52,2)*1,$R52*1))</f>
        <v>-</v>
      </c>
      <c r="N52" s="136" t="str">
        <f>IF(OR(L52="",COUNTIF($N$4:N51,V52*1)&gt;=1),"-",V52*1)</f>
        <v>-</v>
      </c>
      <c r="O52" s="140"/>
      <c r="P52" s="664"/>
      <c r="Q52" s="665"/>
      <c r="R52" s="666"/>
      <c r="S52" s="666"/>
      <c r="T52" s="666"/>
      <c r="U52" s="651"/>
      <c r="V52" s="651"/>
      <c r="W52" s="651"/>
    </row>
    <row r="53" spans="12:23" hidden="1">
      <c r="L53" s="136" t="str">
        <f t="shared" si="0"/>
        <v/>
      </c>
      <c r="M53" s="136" t="str">
        <f>IF(OR(L53="",COUNTIF($M$4:M52,IF(ISERROR($R53*1),LEFT($R53,2)*1,$R53*1))&gt;=1),"-",IF(ISERROR($R53*1),LEFT($R53,2)*1,$R53*1))</f>
        <v>-</v>
      </c>
      <c r="N53" s="136" t="str">
        <f>IF(OR(L53="",COUNTIF($N$4:N52,V53*1)&gt;=1),"-",V53*1)</f>
        <v>-</v>
      </c>
      <c r="O53" s="140"/>
      <c r="P53" s="651"/>
      <c r="Q53" s="651"/>
      <c r="R53" s="651"/>
      <c r="S53" s="651"/>
      <c r="T53" s="651"/>
      <c r="U53" s="651"/>
      <c r="V53" s="651"/>
      <c r="W53" s="651"/>
    </row>
    <row r="54" spans="12:23" hidden="1">
      <c r="L54" s="136" t="str">
        <f t="shared" si="0"/>
        <v/>
      </c>
      <c r="M54" s="136" t="str">
        <f>IF(OR(L54="",COUNTIF($M$4:M53,IF(ISERROR($R54*1),LEFT($R54,2)*1,$R54*1))&gt;=1),"-",IF(ISERROR($R54*1),LEFT($R54,2)*1,$R54*1))</f>
        <v>-</v>
      </c>
      <c r="N54" s="136" t="str">
        <f>IF(OR(L54="",COUNTIF($N$4:N53,V54*1)&gt;=1),"-",V54*1)</f>
        <v>-</v>
      </c>
      <c r="O54" s="140"/>
      <c r="P54" s="651"/>
      <c r="Q54" s="651"/>
      <c r="R54" s="651"/>
      <c r="S54" s="651"/>
      <c r="T54" s="651"/>
      <c r="U54" s="651"/>
      <c r="V54" s="651"/>
      <c r="W54" s="651"/>
    </row>
    <row r="55" spans="12:23" hidden="1">
      <c r="L55" s="136" t="str">
        <f t="shared" si="0"/>
        <v/>
      </c>
      <c r="M55" s="136" t="str">
        <f>IF(OR(L55="",COUNTIF($M$4:M54,IF(ISERROR($R55*1),LEFT($R55,2)*1,$R55*1))&gt;=1),"-",IF(ISERROR($R55*1),LEFT($R55,2)*1,$R55*1))</f>
        <v>-</v>
      </c>
      <c r="N55" s="136" t="str">
        <f>IF(OR(L55="",COUNTIF($N$4:N54,V55*1)&gt;=1),"-",V55*1)</f>
        <v>-</v>
      </c>
      <c r="O55" s="140"/>
      <c r="P55" s="651"/>
      <c r="Q55" s="651"/>
      <c r="R55" s="651"/>
      <c r="S55" s="651"/>
      <c r="T55" s="651"/>
      <c r="U55" s="651"/>
      <c r="V55" s="651"/>
      <c r="W55" s="651"/>
    </row>
    <row r="56" spans="12:23" hidden="1">
      <c r="L56" s="136" t="str">
        <f t="shared" si="0"/>
        <v/>
      </c>
      <c r="M56" s="136" t="str">
        <f>IF(OR(L56="",COUNTIF($M$4:M55,IF(ISERROR($R56*1),LEFT($R56,2)*1,$R56*1))&gt;=1),"-",IF(ISERROR($R56*1),LEFT($R56,2)*1,$R56*1))</f>
        <v>-</v>
      </c>
      <c r="N56" s="136" t="str">
        <f>IF(OR(L56="",COUNTIF($N$4:N55,V56*1)&gt;=1),"-",V56*1)</f>
        <v>-</v>
      </c>
      <c r="O56" s="140"/>
      <c r="P56" s="651"/>
      <c r="Q56" s="651"/>
      <c r="R56" s="651"/>
      <c r="S56" s="651"/>
      <c r="T56" s="651"/>
      <c r="U56" s="651"/>
      <c r="V56" s="651"/>
      <c r="W56" s="651"/>
    </row>
    <row r="57" spans="12:23" hidden="1">
      <c r="L57" s="136" t="str">
        <f t="shared" si="0"/>
        <v/>
      </c>
      <c r="M57" s="136" t="str">
        <f>IF(OR(L57="",COUNTIF($M$4:M56,IF(ISERROR($R57*1),LEFT($R57,2)*1,$R57*1))&gt;=1),"-",IF(ISERROR($R57*1),LEFT($R57,2)*1,$R57*1))</f>
        <v>-</v>
      </c>
      <c r="N57" s="136" t="str">
        <f>IF(OR(L57="",COUNTIF($N$4:N56,V57*1)&gt;=1),"-",V57*1)</f>
        <v>-</v>
      </c>
      <c r="O57" s="140"/>
      <c r="P57" s="651"/>
      <c r="Q57" s="651"/>
      <c r="R57" s="651"/>
      <c r="S57" s="651"/>
      <c r="T57" s="651"/>
      <c r="U57" s="651"/>
      <c r="V57" s="651"/>
      <c r="W57" s="651"/>
    </row>
    <row r="58" spans="12:23" hidden="1">
      <c r="L58" s="136" t="str">
        <f t="shared" si="0"/>
        <v/>
      </c>
      <c r="M58" s="136" t="str">
        <f>IF(OR(L58="",COUNTIF($M$4:M57,IF(ISERROR($R58*1),LEFT($R58,2)*1,$R58*1))&gt;=1),"-",IF(ISERROR($R58*1),LEFT($R58,2)*1,$R58*1))</f>
        <v>-</v>
      </c>
      <c r="N58" s="136" t="str">
        <f>IF(OR(L58="",COUNTIF($N$4:N57,V58*1)&gt;=1),"-",V58*1)</f>
        <v>-</v>
      </c>
      <c r="O58" s="140"/>
      <c r="P58" s="651"/>
      <c r="Q58" s="651"/>
      <c r="R58" s="651"/>
      <c r="S58" s="651"/>
      <c r="T58" s="651"/>
      <c r="U58" s="651"/>
      <c r="V58" s="651"/>
      <c r="W58" s="651"/>
    </row>
    <row r="59" spans="12:23" hidden="1">
      <c r="L59" s="136" t="str">
        <f t="shared" si="0"/>
        <v/>
      </c>
      <c r="M59" s="136" t="str">
        <f>IF(OR(L59="",COUNTIF($M$4:M58,IF(ISERROR($R59*1),LEFT($R59,2)*1,$R59*1))&gt;=1),"-",IF(ISERROR($R59*1),LEFT($R59,2)*1,$R59*1))</f>
        <v>-</v>
      </c>
      <c r="N59" s="136" t="str">
        <f>IF(OR(L59="",COUNTIF($N$4:N58,V59*1)&gt;=1),"-",V59*1)</f>
        <v>-</v>
      </c>
      <c r="O59" s="140"/>
      <c r="P59" s="651"/>
      <c r="Q59" s="651"/>
      <c r="R59" s="651"/>
      <c r="S59" s="651"/>
      <c r="T59" s="651"/>
      <c r="U59" s="651"/>
      <c r="V59" s="651"/>
      <c r="W59" s="651"/>
    </row>
    <row r="60" spans="12:23" hidden="1">
      <c r="L60" s="136" t="str">
        <f t="shared" si="0"/>
        <v/>
      </c>
      <c r="M60" s="136" t="str">
        <f>IF(OR(L60="",COUNTIF($M$4:M59,IF(ISERROR($R60*1),LEFT($R60,2)*1,$R60*1))&gt;=1),"-",IF(ISERROR($R60*1),LEFT($R60,2)*1,$R60*1))</f>
        <v>-</v>
      </c>
      <c r="N60" s="136" t="str">
        <f>IF(OR(L60="",COUNTIF($N$4:N59,V60*1)&gt;=1),"-",V60*1)</f>
        <v>-</v>
      </c>
      <c r="O60" s="140"/>
      <c r="P60" s="651"/>
      <c r="Q60" s="651"/>
      <c r="R60" s="651"/>
      <c r="S60" s="651"/>
      <c r="T60" s="651"/>
      <c r="U60" s="651"/>
      <c r="V60" s="651"/>
      <c r="W60" s="651"/>
    </row>
    <row r="61" spans="12:23" hidden="1">
      <c r="L61" s="136" t="str">
        <f t="shared" si="0"/>
        <v/>
      </c>
      <c r="M61" s="136" t="str">
        <f>IF(OR(L61="",COUNTIF($M$4:M60,IF(ISERROR($R61*1),LEFT($R61,2)*1,$R61*1))&gt;=1),"-",IF(ISERROR($R61*1),LEFT($R61,2)*1,$R61*1))</f>
        <v>-</v>
      </c>
      <c r="N61" s="136" t="str">
        <f>IF(OR(L61="",COUNTIF($N$4:N60,V61*1)&gt;=1),"-",V61*1)</f>
        <v>-</v>
      </c>
      <c r="O61" s="140"/>
      <c r="P61" s="651"/>
      <c r="Q61" s="651"/>
      <c r="R61" s="651"/>
      <c r="S61" s="651"/>
      <c r="T61" s="651"/>
      <c r="U61" s="651"/>
      <c r="V61" s="651"/>
      <c r="W61" s="651"/>
    </row>
    <row r="62" spans="12:23" hidden="1">
      <c r="L62" s="136" t="str">
        <f t="shared" si="0"/>
        <v/>
      </c>
      <c r="M62" s="136" t="str">
        <f>IF(OR(L62="",COUNTIF($M$4:M61,IF(ISERROR($R62*1),LEFT($R62,2)*1,$R62*1))&gt;=1),"-",IF(ISERROR($R62*1),LEFT($R62,2)*1,$R62*1))</f>
        <v>-</v>
      </c>
      <c r="N62" s="136" t="str">
        <f>IF(OR(L62="",COUNTIF($N$4:N61,V62*1)&gt;=1),"-",V62*1)</f>
        <v>-</v>
      </c>
      <c r="O62" s="140"/>
      <c r="P62" s="651"/>
      <c r="Q62" s="651"/>
      <c r="R62" s="651"/>
      <c r="S62" s="651"/>
      <c r="T62" s="651"/>
      <c r="U62" s="651"/>
      <c r="V62" s="651"/>
      <c r="W62" s="651"/>
    </row>
    <row r="63" spans="12:23" hidden="1">
      <c r="L63" s="136" t="str">
        <f t="shared" si="0"/>
        <v/>
      </c>
      <c r="M63" s="136" t="str">
        <f>IF(OR(L63="",COUNTIF($M$4:M62,IF(ISERROR($R63*1),LEFT($R63,2)*1,$R63*1))&gt;=1),"-",IF(ISERROR($R63*1),LEFT($R63,2)*1,$R63*1))</f>
        <v>-</v>
      </c>
      <c r="N63" s="136" t="str">
        <f>IF(OR(L63="",COUNTIF($N$4:N62,V63*1)&gt;=1),"-",V63*1)</f>
        <v>-</v>
      </c>
      <c r="O63" s="140"/>
      <c r="P63" s="651"/>
      <c r="Q63" s="651"/>
      <c r="R63" s="651"/>
      <c r="S63" s="651"/>
      <c r="T63" s="651"/>
      <c r="U63" s="651"/>
      <c r="V63" s="651"/>
      <c r="W63" s="651"/>
    </row>
    <row r="64" spans="12:23" hidden="1">
      <c r="L64" s="136" t="str">
        <f t="shared" si="0"/>
        <v/>
      </c>
      <c r="M64" s="136" t="str">
        <f>IF(OR(L64="",COUNTIF($M$4:M63,IF(ISERROR($R64*1),LEFT($R64,2)*1,$R64*1))&gt;=1),"-",IF(ISERROR($R64*1),LEFT($R64,2)*1,$R64*1))</f>
        <v>-</v>
      </c>
      <c r="N64" s="136" t="str">
        <f>IF(OR(L64="",COUNTIF($N$4:N63,V64*1)&gt;=1),"-",V64*1)</f>
        <v>-</v>
      </c>
      <c r="O64" s="140"/>
      <c r="P64" s="651"/>
      <c r="Q64" s="651"/>
      <c r="R64" s="651"/>
      <c r="S64" s="651"/>
      <c r="T64" s="651"/>
      <c r="U64" s="651"/>
      <c r="V64" s="651"/>
      <c r="W64" s="651"/>
    </row>
    <row r="65" spans="12:23" hidden="1">
      <c r="L65" s="136" t="str">
        <f t="shared" si="0"/>
        <v/>
      </c>
      <c r="M65" s="136" t="str">
        <f>IF(OR(L65="",COUNTIF($M$4:M64,IF(ISERROR($R65*1),LEFT($R65,2)*1,$R65*1))&gt;=1),"-",IF(ISERROR($R65*1),LEFT($R65,2)*1,$R65*1))</f>
        <v>-</v>
      </c>
      <c r="N65" s="136" t="str">
        <f>IF(OR(L65="",COUNTIF($N$4:N64,V65*1)&gt;=1),"-",V65*1)</f>
        <v>-</v>
      </c>
      <c r="O65" s="140"/>
      <c r="P65" s="651"/>
      <c r="Q65" s="651"/>
      <c r="R65" s="651"/>
      <c r="S65" s="651"/>
      <c r="T65" s="651"/>
      <c r="U65" s="651"/>
      <c r="V65" s="651"/>
      <c r="W65" s="651"/>
    </row>
    <row r="66" spans="12:23" hidden="1">
      <c r="L66" s="136" t="str">
        <f t="shared" si="0"/>
        <v/>
      </c>
      <c r="M66" s="136" t="str">
        <f>IF(OR(L66="",COUNTIF($M$4:M65,IF(ISERROR($R66*1),LEFT($R66,2)*1,$R66*1))&gt;=1),"-",IF(ISERROR($R66*1),LEFT($R66,2)*1,$R66*1))</f>
        <v>-</v>
      </c>
      <c r="N66" s="136" t="str">
        <f>IF(OR(L66="",COUNTIF($N$4:N65,V66*1)&gt;=1),"-",V66*1)</f>
        <v>-</v>
      </c>
      <c r="O66" s="140"/>
      <c r="P66" s="651"/>
      <c r="Q66" s="651"/>
      <c r="R66" s="651"/>
      <c r="S66" s="651"/>
      <c r="T66" s="651"/>
      <c r="U66" s="651"/>
      <c r="V66" s="651"/>
      <c r="W66" s="651"/>
    </row>
    <row r="67" spans="12:23" hidden="1">
      <c r="L67" s="136" t="str">
        <f t="shared" si="0"/>
        <v/>
      </c>
      <c r="M67" s="136" t="str">
        <f>IF(OR(L67="",COUNTIF($M$4:M66,IF(ISERROR($R67*1),LEFT($R67,2)*1,$R67*1))&gt;=1),"-",IF(ISERROR($R67*1),LEFT($R67,2)*1,$R67*1))</f>
        <v>-</v>
      </c>
      <c r="N67" s="136" t="str">
        <f>IF(OR(L67="",COUNTIF($N$4:N66,V67*1)&gt;=1),"-",V67*1)</f>
        <v>-</v>
      </c>
      <c r="O67" s="140"/>
      <c r="P67" s="651"/>
      <c r="Q67" s="651"/>
      <c r="R67" s="651"/>
      <c r="S67" s="651"/>
      <c r="T67" s="651"/>
      <c r="U67" s="651"/>
      <c r="V67" s="651"/>
      <c r="W67" s="651"/>
    </row>
    <row r="68" spans="12:23" hidden="1">
      <c r="L68" s="136" t="str">
        <f t="shared" ref="L68:L131" si="5">IF(P68&lt;&gt;$B$1,"",P68&amp;Q68&amp;R68&amp;V68)</f>
        <v/>
      </c>
      <c r="M68" s="136" t="str">
        <f>IF(OR(L68="",COUNTIF($M$4:M67,IF(ISERROR($R68*1),LEFT($R68,2)*1,$R68*1))&gt;=1),"-",IF(ISERROR($R68*1),LEFT($R68,2)*1,$R68*1))</f>
        <v>-</v>
      </c>
      <c r="N68" s="136" t="str">
        <f>IF(OR(L68="",COUNTIF($N$4:N67,V68*1)&gt;=1),"-",V68*1)</f>
        <v>-</v>
      </c>
      <c r="O68" s="140"/>
      <c r="P68" s="651"/>
      <c r="Q68" s="651"/>
      <c r="R68" s="651"/>
      <c r="S68" s="651"/>
      <c r="T68" s="651"/>
      <c r="U68" s="651"/>
      <c r="V68" s="651"/>
      <c r="W68" s="651"/>
    </row>
    <row r="69" spans="12:23" hidden="1">
      <c r="L69" s="136" t="str">
        <f t="shared" si="5"/>
        <v/>
      </c>
      <c r="M69" s="136" t="str">
        <f>IF(OR(L69="",COUNTIF($M$4:M68,IF(ISERROR($R69*1),LEFT($R69,2)*1,$R69*1))&gt;=1),"-",IF(ISERROR($R69*1),LEFT($R69,2)*1,$R69*1))</f>
        <v>-</v>
      </c>
      <c r="N69" s="136" t="str">
        <f>IF(OR(L69="",COUNTIF($N$4:N68,V69*1)&gt;=1),"-",V69*1)</f>
        <v>-</v>
      </c>
      <c r="O69" s="140"/>
      <c r="P69" s="651"/>
      <c r="Q69" s="651"/>
      <c r="R69" s="651"/>
      <c r="S69" s="651"/>
      <c r="T69" s="651"/>
      <c r="U69" s="651"/>
      <c r="V69" s="651"/>
      <c r="W69" s="651"/>
    </row>
    <row r="70" spans="12:23" hidden="1">
      <c r="L70" s="136" t="str">
        <f t="shared" si="5"/>
        <v/>
      </c>
      <c r="M70" s="136" t="str">
        <f>IF(OR(L70="",COUNTIF($M$4:M69,IF(ISERROR($R70*1),LEFT($R70,2)*1,$R70*1))&gt;=1),"-",IF(ISERROR($R70*1),LEFT($R70,2)*1,$R70*1))</f>
        <v>-</v>
      </c>
      <c r="N70" s="136" t="str">
        <f>IF(OR(L70="",COUNTIF($N$4:N69,V70*1)&gt;=1),"-",V70*1)</f>
        <v>-</v>
      </c>
      <c r="O70" s="140"/>
      <c r="P70" s="651"/>
      <c r="Q70" s="651"/>
      <c r="R70" s="651"/>
      <c r="S70" s="651"/>
      <c r="T70" s="651"/>
      <c r="U70" s="651"/>
      <c r="V70" s="651"/>
      <c r="W70" s="651"/>
    </row>
    <row r="71" spans="12:23" hidden="1">
      <c r="L71" s="136" t="str">
        <f t="shared" si="5"/>
        <v/>
      </c>
      <c r="M71" s="136" t="str">
        <f>IF(OR(L71="",COUNTIF($M$4:M70,IF(ISERROR($R71*1),LEFT($R71,2)*1,$R71*1))&gt;=1),"-",IF(ISERROR($R71*1),LEFT($R71,2)*1,$R71*1))</f>
        <v>-</v>
      </c>
      <c r="N71" s="136" t="str">
        <f>IF(OR(L71="",COUNTIF($N$4:N70,V71*1)&gt;=1),"-",V71*1)</f>
        <v>-</v>
      </c>
      <c r="O71" s="140"/>
      <c r="P71" s="651"/>
      <c r="Q71" s="651"/>
      <c r="R71" s="651"/>
      <c r="S71" s="651"/>
      <c r="T71" s="651"/>
      <c r="U71" s="651"/>
      <c r="V71" s="651"/>
      <c r="W71" s="651"/>
    </row>
    <row r="72" spans="12:23" hidden="1">
      <c r="L72" s="136" t="str">
        <f t="shared" si="5"/>
        <v/>
      </c>
      <c r="M72" s="136" t="str">
        <f>IF(OR(L72="",COUNTIF($M$4:M71,IF(ISERROR($R72*1),LEFT($R72,2)*1,$R72*1))&gt;=1),"-",IF(ISERROR($R72*1),LEFT($R72,2)*1,$R72*1))</f>
        <v>-</v>
      </c>
      <c r="N72" s="136" t="str">
        <f>IF(OR(L72="",COUNTIF($N$4:N71,V72*1)&gt;=1),"-",V72*1)</f>
        <v>-</v>
      </c>
      <c r="O72" s="140"/>
      <c r="P72" s="651"/>
      <c r="Q72" s="651"/>
      <c r="R72" s="651"/>
      <c r="S72" s="651"/>
      <c r="T72" s="651"/>
      <c r="U72" s="651"/>
      <c r="V72" s="651"/>
      <c r="W72" s="651"/>
    </row>
    <row r="73" spans="12:23" hidden="1">
      <c r="L73" s="136" t="str">
        <f t="shared" si="5"/>
        <v/>
      </c>
      <c r="M73" s="136" t="str">
        <f>IF(OR(L73="",COUNTIF($M$4:M72,IF(ISERROR($R73*1),LEFT($R73,2)*1,$R73*1))&gt;=1),"-",IF(ISERROR($R73*1),LEFT($R73,2)*1,$R73*1))</f>
        <v>-</v>
      </c>
      <c r="N73" s="136" t="str">
        <f>IF(OR(L73="",COUNTIF($N$4:N72,V73*1)&gt;=1),"-",V73*1)</f>
        <v>-</v>
      </c>
      <c r="O73" s="140"/>
      <c r="P73" s="651"/>
      <c r="Q73" s="651"/>
      <c r="R73" s="651"/>
      <c r="S73" s="651"/>
      <c r="T73" s="651"/>
      <c r="U73" s="651"/>
      <c r="V73" s="651"/>
      <c r="W73" s="651"/>
    </row>
    <row r="74" spans="12:23" hidden="1">
      <c r="L74" s="136" t="str">
        <f t="shared" si="5"/>
        <v/>
      </c>
      <c r="M74" s="136" t="str">
        <f>IF(OR(L74="",COUNTIF($M$4:M73,IF(ISERROR($R74*1),LEFT($R74,2)*1,$R74*1))&gt;=1),"-",IF(ISERROR($R74*1),LEFT($R74,2)*1,$R74*1))</f>
        <v>-</v>
      </c>
      <c r="N74" s="136" t="str">
        <f>IF(OR(L74="",COUNTIF($N$4:N73,V74*1)&gt;=1),"-",V74*1)</f>
        <v>-</v>
      </c>
      <c r="O74" s="140"/>
      <c r="P74" s="651"/>
      <c r="Q74" s="651"/>
      <c r="R74" s="651"/>
      <c r="S74" s="651"/>
      <c r="T74" s="651"/>
      <c r="U74" s="651"/>
      <c r="V74" s="651"/>
      <c r="W74" s="651"/>
    </row>
    <row r="75" spans="12:23" hidden="1">
      <c r="L75" s="136" t="str">
        <f t="shared" si="5"/>
        <v/>
      </c>
      <c r="M75" s="136" t="str">
        <f>IF(OR(L75="",COUNTIF($M$4:M74,IF(ISERROR($R75*1),LEFT($R75,2)*1,$R75*1))&gt;=1),"-",IF(ISERROR($R75*1),LEFT($R75,2)*1,$R75*1))</f>
        <v>-</v>
      </c>
      <c r="N75" s="136" t="str">
        <f>IF(OR(L75="",COUNTIF($N$4:N74,V75*1)&gt;=1),"-",V75*1)</f>
        <v>-</v>
      </c>
      <c r="O75" s="140"/>
      <c r="P75" s="651"/>
      <c r="Q75" s="651"/>
      <c r="R75" s="651"/>
      <c r="S75" s="651"/>
      <c r="T75" s="651"/>
      <c r="U75" s="651"/>
      <c r="V75" s="651"/>
      <c r="W75" s="651"/>
    </row>
    <row r="76" spans="12:23" hidden="1">
      <c r="L76" s="136" t="str">
        <f t="shared" si="5"/>
        <v/>
      </c>
      <c r="M76" s="136" t="str">
        <f>IF(OR(L76="",COUNTIF($M$4:M75,IF(ISERROR($R76*1),LEFT($R76,2)*1,$R76*1))&gt;=1),"-",IF(ISERROR($R76*1),LEFT($R76,2)*1,$R76*1))</f>
        <v>-</v>
      </c>
      <c r="N76" s="136" t="str">
        <f>IF(OR(L76="",COUNTIF($N$4:N75,V76*1)&gt;=1),"-",V76*1)</f>
        <v>-</v>
      </c>
      <c r="O76" s="140"/>
      <c r="P76" s="651"/>
      <c r="Q76" s="651"/>
      <c r="R76" s="651"/>
      <c r="S76" s="651"/>
      <c r="T76" s="651"/>
      <c r="U76" s="651"/>
      <c r="V76" s="651"/>
      <c r="W76" s="651"/>
    </row>
    <row r="77" spans="12:23" hidden="1">
      <c r="L77" s="136" t="str">
        <f t="shared" si="5"/>
        <v/>
      </c>
      <c r="M77" s="136" t="str">
        <f>IF(OR(L77="",COUNTIF($M$4:M76,IF(ISERROR($R77*1),LEFT($R77,2)*1,$R77*1))&gt;=1),"-",IF(ISERROR($R77*1),LEFT($R77,2)*1,$R77*1))</f>
        <v>-</v>
      </c>
      <c r="N77" s="136" t="str">
        <f>IF(OR(L77="",COUNTIF($N$4:N76,V77*1)&gt;=1),"-",V77*1)</f>
        <v>-</v>
      </c>
      <c r="O77" s="140"/>
      <c r="P77" s="651"/>
      <c r="Q77" s="651"/>
      <c r="R77" s="651"/>
      <c r="S77" s="651"/>
      <c r="T77" s="651"/>
      <c r="U77" s="651"/>
      <c r="V77" s="651"/>
      <c r="W77" s="651"/>
    </row>
    <row r="78" spans="12:23" hidden="1">
      <c r="L78" s="136" t="str">
        <f t="shared" si="5"/>
        <v/>
      </c>
      <c r="M78" s="136" t="str">
        <f>IF(OR(L78="",COUNTIF($M$4:M77,IF(ISERROR($R78*1),LEFT($R78,2)*1,$R78*1))&gt;=1),"-",IF(ISERROR($R78*1),LEFT($R78,2)*1,$R78*1))</f>
        <v>-</v>
      </c>
      <c r="N78" s="136" t="str">
        <f>IF(OR(L78="",COUNTIF($N$4:N77,V78*1)&gt;=1),"-",V78*1)</f>
        <v>-</v>
      </c>
      <c r="O78" s="140"/>
      <c r="P78" s="651"/>
      <c r="Q78" s="651"/>
      <c r="R78" s="651"/>
      <c r="S78" s="651"/>
      <c r="T78" s="651"/>
      <c r="U78" s="651"/>
      <c r="V78" s="651"/>
      <c r="W78" s="651"/>
    </row>
    <row r="79" spans="12:23" hidden="1">
      <c r="L79" s="136" t="str">
        <f t="shared" si="5"/>
        <v/>
      </c>
      <c r="M79" s="136" t="str">
        <f>IF(OR(L79="",COUNTIF($M$4:M78,IF(ISERROR($R79*1),LEFT($R79,2)*1,$R79*1))&gt;=1),"-",IF(ISERROR($R79*1),LEFT($R79,2)*1,$R79*1))</f>
        <v>-</v>
      </c>
      <c r="N79" s="136" t="str">
        <f>IF(OR(L79="",COUNTIF($N$4:N78,V79*1)&gt;=1),"-",V79*1)</f>
        <v>-</v>
      </c>
      <c r="O79" s="140"/>
      <c r="P79" s="651"/>
      <c r="Q79" s="651"/>
      <c r="R79" s="651"/>
      <c r="S79" s="651"/>
      <c r="T79" s="651"/>
      <c r="U79" s="651"/>
      <c r="V79" s="651"/>
      <c r="W79" s="651"/>
    </row>
    <row r="80" spans="12:23" hidden="1">
      <c r="L80" s="136" t="str">
        <f t="shared" si="5"/>
        <v/>
      </c>
      <c r="M80" s="136" t="str">
        <f>IF(OR(L80="",COUNTIF($M$4:M79,IF(ISERROR($R80*1),LEFT($R80,2)*1,$R80*1))&gt;=1),"-",IF(ISERROR($R80*1),LEFT($R80,2)*1,$R80*1))</f>
        <v>-</v>
      </c>
      <c r="N80" s="136" t="str">
        <f>IF(OR(L80="",COUNTIF($N$4:N79,V80*1)&gt;=1),"-",V80*1)</f>
        <v>-</v>
      </c>
      <c r="O80" s="140"/>
      <c r="P80" s="651"/>
      <c r="Q80" s="651"/>
      <c r="R80" s="651"/>
      <c r="S80" s="651"/>
      <c r="T80" s="651"/>
      <c r="U80" s="651"/>
      <c r="V80" s="651"/>
      <c r="W80" s="651"/>
    </row>
    <row r="81" spans="12:23" hidden="1">
      <c r="L81" s="136" t="str">
        <f t="shared" si="5"/>
        <v/>
      </c>
      <c r="M81" s="136" t="str">
        <f>IF(OR(L81="",COUNTIF($M$4:M80,IF(ISERROR($R81*1),LEFT($R81,2)*1,$R81*1))&gt;=1),"-",IF(ISERROR($R81*1),LEFT($R81,2)*1,$R81*1))</f>
        <v>-</v>
      </c>
      <c r="N81" s="136" t="str">
        <f>IF(OR(L81="",COUNTIF($N$4:N80,V81*1)&gt;=1),"-",V81*1)</f>
        <v>-</v>
      </c>
      <c r="O81" s="140"/>
      <c r="P81" s="651"/>
      <c r="Q81" s="651"/>
      <c r="R81" s="651"/>
      <c r="S81" s="651"/>
      <c r="T81" s="651"/>
      <c r="U81" s="651"/>
      <c r="V81" s="651"/>
      <c r="W81" s="651"/>
    </row>
    <row r="82" spans="12:23" hidden="1">
      <c r="L82" s="136" t="str">
        <f t="shared" si="5"/>
        <v/>
      </c>
      <c r="M82" s="136" t="str">
        <f>IF(OR(L82="",COUNTIF($M$4:M81,IF(ISERROR($R82*1),LEFT($R82,2)*1,$R82*1))&gt;=1),"-",IF(ISERROR($R82*1),LEFT($R82,2)*1,$R82*1))</f>
        <v>-</v>
      </c>
      <c r="N82" s="136" t="str">
        <f>IF(OR(L82="",COUNTIF($N$4:N81,V82*1)&gt;=1),"-",V82*1)</f>
        <v>-</v>
      </c>
      <c r="O82" s="140"/>
      <c r="P82" s="651"/>
      <c r="Q82" s="651"/>
      <c r="R82" s="651"/>
      <c r="S82" s="651"/>
      <c r="T82" s="651"/>
      <c r="U82" s="651"/>
      <c r="V82" s="651"/>
      <c r="W82" s="651"/>
    </row>
    <row r="83" spans="12:23" hidden="1">
      <c r="L83" s="136" t="str">
        <f t="shared" si="5"/>
        <v/>
      </c>
      <c r="M83" s="136" t="str">
        <f>IF(OR(L83="",COUNTIF($M$4:M82,IF(ISERROR($R83*1),LEFT($R83,2)*1,$R83*1))&gt;=1),"-",IF(ISERROR($R83*1),LEFT($R83,2)*1,$R83*1))</f>
        <v>-</v>
      </c>
      <c r="N83" s="136" t="str">
        <f>IF(OR(L83="",COUNTIF($N$4:N82,V83*1)&gt;=1),"-",V83*1)</f>
        <v>-</v>
      </c>
      <c r="O83" s="140"/>
      <c r="P83" s="651"/>
      <c r="Q83" s="651"/>
      <c r="R83" s="651"/>
      <c r="S83" s="651"/>
      <c r="T83" s="651"/>
      <c r="U83" s="651"/>
      <c r="V83" s="651"/>
      <c r="W83" s="651"/>
    </row>
    <row r="84" spans="12:23" hidden="1">
      <c r="L84" s="136" t="str">
        <f t="shared" si="5"/>
        <v/>
      </c>
      <c r="M84" s="136" t="str">
        <f>IF(OR(L84="",COUNTIF($M$4:M83,IF(ISERROR($R84*1),LEFT($R84,2)*1,$R84*1))&gt;=1),"-",IF(ISERROR($R84*1),LEFT($R84,2)*1,$R84*1))</f>
        <v>-</v>
      </c>
      <c r="N84" s="136" t="str">
        <f>IF(OR(L84="",COUNTIF($N$4:N83,V84*1)&gt;=1),"-",V84*1)</f>
        <v>-</v>
      </c>
      <c r="O84" s="140"/>
      <c r="P84" s="651"/>
      <c r="Q84" s="651"/>
      <c r="R84" s="651"/>
      <c r="S84" s="651"/>
      <c r="T84" s="651"/>
      <c r="U84" s="651"/>
      <c r="V84" s="651"/>
      <c r="W84" s="651"/>
    </row>
    <row r="85" spans="12:23" hidden="1">
      <c r="L85" s="136" t="str">
        <f t="shared" si="5"/>
        <v/>
      </c>
      <c r="M85" s="136" t="str">
        <f>IF(OR(L85="",COUNTIF($M$4:M84,IF(ISERROR($R85*1),LEFT($R85,2)*1,$R85*1))&gt;=1),"-",IF(ISERROR($R85*1),LEFT($R85,2)*1,$R85*1))</f>
        <v>-</v>
      </c>
      <c r="N85" s="136" t="str">
        <f>IF(OR(L85="",COUNTIF($N$4:N84,V85*1)&gt;=1),"-",V85*1)</f>
        <v>-</v>
      </c>
      <c r="O85" s="140"/>
      <c r="P85" s="651"/>
      <c r="Q85" s="651"/>
      <c r="R85" s="651"/>
      <c r="S85" s="651"/>
      <c r="T85" s="651"/>
      <c r="U85" s="651"/>
      <c r="V85" s="651"/>
      <c r="W85" s="651"/>
    </row>
    <row r="86" spans="12:23" hidden="1">
      <c r="L86" s="136" t="str">
        <f t="shared" si="5"/>
        <v/>
      </c>
      <c r="M86" s="136" t="str">
        <f>IF(OR(L86="",COUNTIF($M$4:M85,IF(ISERROR($R86*1),LEFT($R86,2)*1,$R86*1))&gt;=1),"-",IF(ISERROR($R86*1),LEFT($R86,2)*1,$R86*1))</f>
        <v>-</v>
      </c>
      <c r="N86" s="136" t="str">
        <f>IF(OR(L86="",COUNTIF($N$4:N85,V86*1)&gt;=1),"-",V86*1)</f>
        <v>-</v>
      </c>
      <c r="O86" s="140"/>
      <c r="P86" s="651"/>
      <c r="Q86" s="651"/>
      <c r="R86" s="651"/>
      <c r="S86" s="651"/>
      <c r="T86" s="651"/>
      <c r="U86" s="651"/>
      <c r="V86" s="651"/>
      <c r="W86" s="651"/>
    </row>
    <row r="87" spans="12:23" hidden="1">
      <c r="L87" s="136" t="str">
        <f t="shared" si="5"/>
        <v/>
      </c>
      <c r="M87" s="136" t="str">
        <f>IF(OR(L87="",COUNTIF($M$4:M86,IF(ISERROR($R87*1),LEFT($R87,2)*1,$R87*1))&gt;=1),"-",IF(ISERROR($R87*1),LEFT($R87,2)*1,$R87*1))</f>
        <v>-</v>
      </c>
      <c r="N87" s="136" t="str">
        <f>IF(OR(L87="",COUNTIF($N$4:N86,V87*1)&gt;=1),"-",V87*1)</f>
        <v>-</v>
      </c>
      <c r="O87" s="140"/>
      <c r="P87" s="651"/>
      <c r="Q87" s="651"/>
      <c r="R87" s="651"/>
      <c r="S87" s="651"/>
      <c r="T87" s="651"/>
      <c r="U87" s="651"/>
      <c r="V87" s="651"/>
      <c r="W87" s="651"/>
    </row>
    <row r="88" spans="12:23" hidden="1">
      <c r="L88" s="136" t="str">
        <f t="shared" si="5"/>
        <v/>
      </c>
      <c r="M88" s="136" t="str">
        <f>IF(OR(L88="",COUNTIF($M$4:M87,IF(ISERROR($R88*1),LEFT($R88,2)*1,$R88*1))&gt;=1),"-",IF(ISERROR($R88*1),LEFT($R88,2)*1,$R88*1))</f>
        <v>-</v>
      </c>
      <c r="N88" s="136" t="str">
        <f>IF(OR(L88="",COUNTIF($N$4:N87,V88*1)&gt;=1),"-",V88*1)</f>
        <v>-</v>
      </c>
      <c r="O88" s="140"/>
      <c r="P88" s="651"/>
      <c r="Q88" s="651"/>
      <c r="R88" s="651"/>
      <c r="S88" s="651"/>
      <c r="T88" s="651"/>
      <c r="U88" s="651"/>
      <c r="V88" s="651"/>
      <c r="W88" s="651"/>
    </row>
    <row r="89" spans="12:23" hidden="1">
      <c r="L89" s="136" t="str">
        <f t="shared" si="5"/>
        <v/>
      </c>
      <c r="M89" s="136" t="str">
        <f>IF(OR(L89="",COUNTIF($M$4:M88,IF(ISERROR($R89*1),LEFT($R89,2)*1,$R89*1))&gt;=1),"-",IF(ISERROR($R89*1),LEFT($R89,2)*1,$R89*1))</f>
        <v>-</v>
      </c>
      <c r="N89" s="136" t="str">
        <f>IF(OR(L89="",COUNTIF($N$4:N88,V89*1)&gt;=1),"-",V89*1)</f>
        <v>-</v>
      </c>
      <c r="O89" s="140"/>
      <c r="P89" s="651"/>
      <c r="Q89" s="651"/>
      <c r="R89" s="651"/>
      <c r="S89" s="651"/>
      <c r="T89" s="651"/>
      <c r="U89" s="651"/>
      <c r="V89" s="651"/>
      <c r="W89" s="651"/>
    </row>
    <row r="90" spans="12:23" hidden="1">
      <c r="L90" s="136" t="str">
        <f t="shared" si="5"/>
        <v/>
      </c>
      <c r="M90" s="136" t="str">
        <f>IF(OR(L90="",COUNTIF($M$4:M89,IF(ISERROR($R90*1),LEFT($R90,2)*1,$R90*1))&gt;=1),"-",IF(ISERROR($R90*1),LEFT($R90,2)*1,$R90*1))</f>
        <v>-</v>
      </c>
      <c r="N90" s="136" t="str">
        <f>IF(OR(L90="",COUNTIF($N$4:N89,V90*1)&gt;=1),"-",V90*1)</f>
        <v>-</v>
      </c>
      <c r="O90" s="140"/>
      <c r="P90" s="651"/>
      <c r="Q90" s="651"/>
      <c r="R90" s="651"/>
      <c r="S90" s="651"/>
      <c r="T90" s="651"/>
      <c r="U90" s="651"/>
      <c r="V90" s="651"/>
      <c r="W90" s="651"/>
    </row>
    <row r="91" spans="12:23" hidden="1">
      <c r="L91" s="136" t="str">
        <f t="shared" si="5"/>
        <v/>
      </c>
      <c r="M91" s="136" t="str">
        <f>IF(OR(L91="",COUNTIF($M$4:M90,IF(ISERROR($R91*1),LEFT($R91,2)*1,$R91*1))&gt;=1),"-",IF(ISERROR($R91*1),LEFT($R91,2)*1,$R91*1))</f>
        <v>-</v>
      </c>
      <c r="N91" s="136" t="str">
        <f>IF(OR(L91="",COUNTIF($N$4:N90,V91*1)&gt;=1),"-",V91*1)</f>
        <v>-</v>
      </c>
      <c r="O91" s="140"/>
      <c r="P91" s="651"/>
      <c r="Q91" s="651"/>
      <c r="R91" s="651"/>
      <c r="S91" s="651"/>
      <c r="T91" s="651"/>
      <c r="U91" s="651"/>
      <c r="V91" s="651"/>
      <c r="W91" s="651"/>
    </row>
    <row r="92" spans="12:23" hidden="1">
      <c r="L92" s="136" t="str">
        <f t="shared" si="5"/>
        <v/>
      </c>
      <c r="M92" s="136" t="str">
        <f>IF(OR(L92="",COUNTIF($M$4:M91,IF(ISERROR($R92*1),LEFT($R92,2)*1,$R92*1))&gt;=1),"-",IF(ISERROR($R92*1),LEFT($R92,2)*1,$R92*1))</f>
        <v>-</v>
      </c>
      <c r="N92" s="136" t="str">
        <f>IF(OR(L92="",COUNTIF($N$4:N91,V92*1)&gt;=1),"-",V92*1)</f>
        <v>-</v>
      </c>
      <c r="O92" s="140"/>
      <c r="P92" s="651"/>
      <c r="Q92" s="651"/>
      <c r="R92" s="651"/>
      <c r="S92" s="651"/>
      <c r="T92" s="651"/>
      <c r="U92" s="651"/>
      <c r="V92" s="651"/>
      <c r="W92" s="651"/>
    </row>
    <row r="93" spans="12:23" hidden="1">
      <c r="L93" s="136" t="str">
        <f t="shared" si="5"/>
        <v/>
      </c>
      <c r="M93" s="136" t="str">
        <f>IF(OR(L93="",COUNTIF($M$4:M92,IF(ISERROR($R93*1),LEFT($R93,2)*1,$R93*1))&gt;=1),"-",IF(ISERROR($R93*1),LEFT($R93,2)*1,$R93*1))</f>
        <v>-</v>
      </c>
      <c r="N93" s="136" t="str">
        <f>IF(OR(L93="",COUNTIF($N$4:N92,V93*1)&gt;=1),"-",V93*1)</f>
        <v>-</v>
      </c>
      <c r="O93" s="140"/>
      <c r="P93" s="651"/>
      <c r="Q93" s="651"/>
      <c r="R93" s="651"/>
      <c r="S93" s="651"/>
      <c r="T93" s="651"/>
      <c r="U93" s="651"/>
      <c r="V93" s="651"/>
      <c r="W93" s="651"/>
    </row>
    <row r="94" spans="12:23" hidden="1">
      <c r="L94" s="136" t="str">
        <f t="shared" si="5"/>
        <v/>
      </c>
      <c r="M94" s="136" t="str">
        <f>IF(OR(L94="",COUNTIF($M$4:M93,IF(ISERROR($R94*1),LEFT($R94,2)*1,$R94*1))&gt;=1),"-",IF(ISERROR($R94*1),LEFT($R94,2)*1,$R94*1))</f>
        <v>-</v>
      </c>
      <c r="N94" s="136" t="str">
        <f>IF(OR(L94="",COUNTIF($N$4:N93,V94*1)&gt;=1),"-",V94*1)</f>
        <v>-</v>
      </c>
      <c r="O94" s="140"/>
      <c r="P94" s="651"/>
      <c r="Q94" s="651"/>
      <c r="R94" s="651"/>
      <c r="S94" s="651"/>
      <c r="T94" s="651"/>
      <c r="U94" s="651"/>
      <c r="V94" s="651"/>
      <c r="W94" s="651"/>
    </row>
    <row r="95" spans="12:23" hidden="1">
      <c r="L95" s="136" t="str">
        <f t="shared" si="5"/>
        <v/>
      </c>
      <c r="M95" s="136" t="str">
        <f>IF(OR(L95="",COUNTIF($M$4:M94,IF(ISERROR($R95*1),LEFT($R95,2)*1,$R95*1))&gt;=1),"-",IF(ISERROR($R95*1),LEFT($R95,2)*1,$R95*1))</f>
        <v>-</v>
      </c>
      <c r="N95" s="136" t="str">
        <f>IF(OR(L95="",COUNTIF($N$4:N94,V95*1)&gt;=1),"-",V95*1)</f>
        <v>-</v>
      </c>
      <c r="O95" s="140"/>
      <c r="P95" s="651"/>
      <c r="Q95" s="651"/>
      <c r="R95" s="651"/>
      <c r="S95" s="651"/>
      <c r="T95" s="651"/>
      <c r="U95" s="651"/>
      <c r="V95" s="651"/>
      <c r="W95" s="651"/>
    </row>
    <row r="96" spans="12:23" hidden="1">
      <c r="L96" s="136" t="str">
        <f t="shared" si="5"/>
        <v/>
      </c>
      <c r="M96" s="136" t="str">
        <f>IF(OR(L96="",COUNTIF($M$4:M95,IF(ISERROR($R96*1),LEFT($R96,2)*1,$R96*1))&gt;=1),"-",IF(ISERROR($R96*1),LEFT($R96,2)*1,$R96*1))</f>
        <v>-</v>
      </c>
      <c r="N96" s="136" t="str">
        <f>IF(OR(L96="",COUNTIF($N$4:N95,V96*1)&gt;=1),"-",V96*1)</f>
        <v>-</v>
      </c>
      <c r="O96" s="140"/>
      <c r="P96" s="651"/>
      <c r="Q96" s="651"/>
      <c r="R96" s="651"/>
      <c r="S96" s="651"/>
      <c r="T96" s="651"/>
      <c r="U96" s="651"/>
      <c r="V96" s="651"/>
      <c r="W96" s="651"/>
    </row>
    <row r="97" spans="12:23" hidden="1">
      <c r="L97" s="136" t="str">
        <f t="shared" si="5"/>
        <v/>
      </c>
      <c r="M97" s="136" t="str">
        <f>IF(OR(L97="",COUNTIF($M$4:M96,IF(ISERROR($R97*1),LEFT($R97,2)*1,$R97*1))&gt;=1),"-",IF(ISERROR($R97*1),LEFT($R97,2)*1,$R97*1))</f>
        <v>-</v>
      </c>
      <c r="N97" s="136" t="str">
        <f>IF(OR(L97="",COUNTIF($N$4:N96,V97*1)&gt;=1),"-",V97*1)</f>
        <v>-</v>
      </c>
      <c r="O97" s="140"/>
      <c r="P97" s="651"/>
      <c r="Q97" s="651"/>
      <c r="R97" s="651"/>
      <c r="S97" s="651"/>
      <c r="T97" s="651"/>
      <c r="U97" s="651"/>
      <c r="V97" s="651"/>
      <c r="W97" s="651"/>
    </row>
    <row r="98" spans="12:23" hidden="1">
      <c r="L98" s="136" t="str">
        <f t="shared" si="5"/>
        <v/>
      </c>
      <c r="M98" s="136" t="str">
        <f>IF(OR(L98="",COUNTIF($M$4:M97,IF(ISERROR($R98*1),LEFT($R98,2)*1,$R98*1))&gt;=1),"-",IF(ISERROR($R98*1),LEFT($R98,2)*1,$R98*1))</f>
        <v>-</v>
      </c>
      <c r="N98" s="136" t="str">
        <f>IF(OR(L98="",COUNTIF($N$4:N97,V98*1)&gt;=1),"-",V98*1)</f>
        <v>-</v>
      </c>
      <c r="O98" s="140"/>
      <c r="P98" s="651"/>
      <c r="Q98" s="651"/>
      <c r="R98" s="651"/>
      <c r="S98" s="651"/>
      <c r="T98" s="651"/>
      <c r="U98" s="651"/>
      <c r="V98" s="651"/>
      <c r="W98" s="651"/>
    </row>
    <row r="99" spans="12:23" hidden="1">
      <c r="L99" s="136" t="str">
        <f t="shared" si="5"/>
        <v/>
      </c>
      <c r="M99" s="136" t="str">
        <f>IF(OR(L99="",COUNTIF($M$4:M98,IF(ISERROR($R99*1),LEFT($R99,2)*1,$R99*1))&gt;=1),"-",IF(ISERROR($R99*1),LEFT($R99,2)*1,$R99*1))</f>
        <v>-</v>
      </c>
      <c r="N99" s="136" t="str">
        <f>IF(OR(L99="",COUNTIF($N$4:N98,V99*1)&gt;=1),"-",V99*1)</f>
        <v>-</v>
      </c>
      <c r="O99" s="140"/>
      <c r="P99" s="651"/>
      <c r="Q99" s="651"/>
      <c r="R99" s="651"/>
      <c r="S99" s="651"/>
      <c r="T99" s="651"/>
      <c r="U99" s="651"/>
      <c r="V99" s="651"/>
      <c r="W99" s="651"/>
    </row>
    <row r="100" spans="12:23" hidden="1">
      <c r="L100" s="136" t="str">
        <f t="shared" si="5"/>
        <v/>
      </c>
      <c r="M100" s="136" t="str">
        <f>IF(OR(L100="",COUNTIF($M$4:M99,IF(ISERROR($R100*1),LEFT($R100,2)*1,$R100*1))&gt;=1),"-",IF(ISERROR($R100*1),LEFT($R100,2)*1,$R100*1))</f>
        <v>-</v>
      </c>
      <c r="N100" s="136" t="str">
        <f>IF(OR(L100="",COUNTIF($N$4:N99,V100*1)&gt;=1),"-",V100*1)</f>
        <v>-</v>
      </c>
      <c r="O100" s="140"/>
      <c r="P100" s="651"/>
      <c r="Q100" s="651"/>
      <c r="R100" s="651"/>
      <c r="S100" s="651"/>
      <c r="T100" s="651"/>
      <c r="U100" s="651"/>
      <c r="V100" s="651"/>
      <c r="W100" s="651"/>
    </row>
    <row r="101" spans="12:23" hidden="1">
      <c r="L101" s="136" t="str">
        <f t="shared" si="5"/>
        <v/>
      </c>
      <c r="M101" s="136" t="str">
        <f>IF(OR(L101="",COUNTIF($M$4:M100,IF(ISERROR($R101*1),LEFT($R101,2)*1,$R101*1))&gt;=1),"-",IF(ISERROR($R101*1),LEFT($R101,2)*1,$R101*1))</f>
        <v>-</v>
      </c>
      <c r="N101" s="136" t="str">
        <f>IF(OR(L101="",COUNTIF($N$4:N100,V101*1)&gt;=1),"-",V101*1)</f>
        <v>-</v>
      </c>
      <c r="O101" s="140"/>
      <c r="P101" s="651"/>
      <c r="Q101" s="651"/>
      <c r="R101" s="651"/>
      <c r="S101" s="651"/>
      <c r="T101" s="651"/>
      <c r="U101" s="651"/>
      <c r="V101" s="651"/>
      <c r="W101" s="651"/>
    </row>
    <row r="102" spans="12:23" hidden="1">
      <c r="L102" s="136" t="str">
        <f t="shared" si="5"/>
        <v/>
      </c>
      <c r="M102" s="136" t="str">
        <f>IF(OR(L102="",COUNTIF($M$4:M101,IF(ISERROR($R102*1),LEFT($R102,2)*1,$R102*1))&gt;=1),"-",IF(ISERROR($R102*1),LEFT($R102,2)*1,$R102*1))</f>
        <v>-</v>
      </c>
      <c r="N102" s="136" t="str">
        <f>IF(OR(L102="",COUNTIF($N$4:N101,V102*1)&gt;=1),"-",V102*1)</f>
        <v>-</v>
      </c>
      <c r="O102" s="140"/>
      <c r="P102" s="651"/>
      <c r="Q102" s="651"/>
      <c r="R102" s="651"/>
      <c r="S102" s="651"/>
      <c r="T102" s="651"/>
      <c r="U102" s="651"/>
      <c r="V102" s="651"/>
      <c r="W102" s="651"/>
    </row>
    <row r="103" spans="12:23" hidden="1">
      <c r="L103" s="136" t="str">
        <f t="shared" si="5"/>
        <v/>
      </c>
      <c r="M103" s="136" t="str">
        <f>IF(OR(L103="",COUNTIF($M$4:M102,IF(ISERROR($R103*1),LEFT($R103,2)*1,$R103*1))&gt;=1),"-",IF(ISERROR($R103*1),LEFT($R103,2)*1,$R103*1))</f>
        <v>-</v>
      </c>
      <c r="N103" s="136" t="str">
        <f>IF(OR(L103="",COUNTIF($N$4:N102,V103*1)&gt;=1),"-",V103*1)</f>
        <v>-</v>
      </c>
      <c r="P103" s="651"/>
      <c r="Q103" s="651"/>
      <c r="R103" s="651"/>
      <c r="S103" s="651"/>
      <c r="T103" s="651"/>
      <c r="U103" s="651"/>
      <c r="V103" s="651"/>
      <c r="W103" s="651"/>
    </row>
    <row r="104" spans="12:23" hidden="1">
      <c r="L104" s="136" t="str">
        <f t="shared" si="5"/>
        <v/>
      </c>
      <c r="M104" s="136" t="str">
        <f>IF(OR(L104="",COUNTIF($M$4:M103,IF(ISERROR($R104*1),LEFT($R104,2)*1,$R104*1))&gt;=1),"-",IF(ISERROR($R104*1),LEFT($R104,2)*1,$R104*1))</f>
        <v>-</v>
      </c>
      <c r="N104" s="136" t="str">
        <f>IF(OR(L104="",COUNTIF($N$4:N103,V104*1)&gt;=1),"-",V104*1)</f>
        <v>-</v>
      </c>
      <c r="P104" s="651"/>
      <c r="Q104" s="651"/>
      <c r="R104" s="651"/>
      <c r="S104" s="651"/>
      <c r="T104" s="651"/>
      <c r="U104" s="651"/>
      <c r="V104" s="651"/>
      <c r="W104" s="651"/>
    </row>
    <row r="105" spans="12:23" hidden="1">
      <c r="L105" s="136" t="str">
        <f t="shared" si="5"/>
        <v/>
      </c>
      <c r="M105" s="136" t="str">
        <f>IF(OR(L105="",COUNTIF($M$4:M104,IF(ISERROR($R105*1),LEFT($R105,2)*1,$R105*1))&gt;=1),"-",IF(ISERROR($R105*1),LEFT($R105,2)*1,$R105*1))</f>
        <v>-</v>
      </c>
      <c r="N105" s="136" t="str">
        <f>IF(OR(L105="",COUNTIF($N$4:N104,V105*1)&gt;=1),"-",V105*1)</f>
        <v>-</v>
      </c>
      <c r="P105" s="651"/>
      <c r="Q105" s="651"/>
      <c r="R105" s="651"/>
      <c r="S105" s="651"/>
      <c r="T105" s="651"/>
      <c r="U105" s="651"/>
      <c r="V105" s="651"/>
      <c r="W105" s="651"/>
    </row>
    <row r="106" spans="12:23" hidden="1">
      <c r="L106" s="136" t="str">
        <f t="shared" si="5"/>
        <v/>
      </c>
      <c r="M106" s="136" t="str">
        <f>IF(OR(L106="",COUNTIF($M$4:M105,IF(ISERROR($R106*1),LEFT($R106,2)*1,$R106*1))&gt;=1),"-",IF(ISERROR($R106*1),LEFT($R106,2)*1,$R106*1))</f>
        <v>-</v>
      </c>
      <c r="N106" s="136" t="str">
        <f>IF(OR(L106="",COUNTIF($N$4:N105,V106*1)&gt;=1),"-",V106*1)</f>
        <v>-</v>
      </c>
      <c r="P106" s="651"/>
      <c r="Q106" s="651"/>
      <c r="R106" s="651"/>
      <c r="S106" s="651"/>
      <c r="T106" s="651"/>
      <c r="U106" s="651"/>
      <c r="V106" s="651"/>
      <c r="W106" s="651"/>
    </row>
    <row r="107" spans="12:23" hidden="1">
      <c r="L107" s="136" t="str">
        <f t="shared" si="5"/>
        <v/>
      </c>
      <c r="M107" s="136" t="str">
        <f>IF(OR(L107="",COUNTIF($M$4:M106,IF(ISERROR($R107*1),LEFT($R107,2)*1,$R107*1))&gt;=1),"-",IF(ISERROR($R107*1),LEFT($R107,2)*1,$R107*1))</f>
        <v>-</v>
      </c>
      <c r="N107" s="136" t="str">
        <f>IF(OR(L107="",COUNTIF($N$4:N106,V107*1)&gt;=1),"-",V107*1)</f>
        <v>-</v>
      </c>
      <c r="P107" s="651"/>
      <c r="Q107" s="651"/>
      <c r="R107" s="651"/>
      <c r="S107" s="651"/>
      <c r="T107" s="651"/>
      <c r="U107" s="651"/>
      <c r="V107" s="651"/>
      <c r="W107" s="651"/>
    </row>
    <row r="108" spans="12:23" hidden="1">
      <c r="L108" s="136" t="str">
        <f t="shared" si="5"/>
        <v/>
      </c>
      <c r="M108" s="136" t="str">
        <f>IF(OR(L108="",COUNTIF($M$4:M107,IF(ISERROR($R108*1),LEFT($R108,2)*1,$R108*1))&gt;=1),"-",IF(ISERROR($R108*1),LEFT($R108,2)*1,$R108*1))</f>
        <v>-</v>
      </c>
      <c r="N108" s="136" t="str">
        <f>IF(OR(L108="",COUNTIF($N$4:N107,V108*1)&gt;=1),"-",V108*1)</f>
        <v>-</v>
      </c>
      <c r="P108" s="651"/>
      <c r="Q108" s="651"/>
      <c r="R108" s="651"/>
      <c r="S108" s="651"/>
      <c r="T108" s="651"/>
      <c r="U108" s="651"/>
      <c r="V108" s="651"/>
      <c r="W108" s="651"/>
    </row>
    <row r="109" spans="12:23" hidden="1">
      <c r="L109" s="136" t="str">
        <f t="shared" si="5"/>
        <v/>
      </c>
      <c r="M109" s="136" t="str">
        <f>IF(OR(L109="",COUNTIF($M$4:M108,IF(ISERROR($R109*1),LEFT($R109,2)*1,$R109*1))&gt;=1),"-",IF(ISERROR($R109*1),LEFT($R109,2)*1,$R109*1))</f>
        <v>-</v>
      </c>
      <c r="N109" s="136" t="str">
        <f>IF(OR(L109="",COUNTIF($N$4:N108,V109*1)&gt;=1),"-",V109*1)</f>
        <v>-</v>
      </c>
      <c r="P109" s="651"/>
      <c r="Q109" s="651"/>
      <c r="R109" s="651"/>
      <c r="S109" s="651"/>
      <c r="T109" s="651"/>
      <c r="U109" s="651"/>
      <c r="V109" s="651"/>
      <c r="W109" s="651"/>
    </row>
    <row r="110" spans="12:23" hidden="1">
      <c r="L110" s="136" t="str">
        <f t="shared" si="5"/>
        <v/>
      </c>
      <c r="M110" s="136" t="str">
        <f>IF(OR(L110="",COUNTIF($M$4:M109,IF(ISERROR($R110*1),LEFT($R110,2)*1,$R110*1))&gt;=1),"-",IF(ISERROR($R110*1),LEFT($R110,2)*1,$R110*1))</f>
        <v>-</v>
      </c>
      <c r="N110" s="136" t="str">
        <f>IF(OR(L110="",COUNTIF($N$4:N109,V110*1)&gt;=1),"-",V110*1)</f>
        <v>-</v>
      </c>
      <c r="P110" s="651"/>
      <c r="Q110" s="651"/>
      <c r="R110" s="651"/>
      <c r="S110" s="651"/>
      <c r="T110" s="651"/>
      <c r="U110" s="651"/>
      <c r="V110" s="651"/>
      <c r="W110" s="651"/>
    </row>
    <row r="111" spans="12:23" hidden="1">
      <c r="L111" s="136" t="str">
        <f t="shared" si="5"/>
        <v/>
      </c>
      <c r="M111" s="136" t="str">
        <f>IF(OR(L111="",COUNTIF($M$4:M110,IF(ISERROR($R111*1),LEFT($R111,2)*1,$R111*1))&gt;=1),"-",IF(ISERROR($R111*1),LEFT($R111,2)*1,$R111*1))</f>
        <v>-</v>
      </c>
      <c r="N111" s="136" t="str">
        <f>IF(OR(L111="",COUNTIF($N$4:N110,V111*1)&gt;=1),"-",V111*1)</f>
        <v>-</v>
      </c>
      <c r="P111" s="651"/>
      <c r="Q111" s="651"/>
      <c r="R111" s="651"/>
      <c r="S111" s="651"/>
      <c r="T111" s="651"/>
      <c r="U111" s="651"/>
      <c r="V111" s="651"/>
      <c r="W111" s="651"/>
    </row>
    <row r="112" spans="12:23" hidden="1">
      <c r="L112" s="136" t="str">
        <f t="shared" si="5"/>
        <v/>
      </c>
      <c r="M112" s="136" t="str">
        <f>IF(OR(L112="",COUNTIF($M$4:M111,IF(ISERROR($R112*1),LEFT($R112,2)*1,$R112*1))&gt;=1),"-",IF(ISERROR($R112*1),LEFT($R112,2)*1,$R112*1))</f>
        <v>-</v>
      </c>
      <c r="N112" s="136" t="str">
        <f>IF(OR(L112="",COUNTIF($N$4:N111,V112*1)&gt;=1),"-",V112*1)</f>
        <v>-</v>
      </c>
      <c r="P112" s="651"/>
      <c r="Q112" s="651"/>
      <c r="R112" s="651"/>
      <c r="S112" s="651"/>
      <c r="T112" s="651"/>
      <c r="U112" s="651"/>
      <c r="V112" s="651"/>
      <c r="W112" s="651"/>
    </row>
    <row r="113" spans="12:23" hidden="1">
      <c r="L113" s="136" t="str">
        <f t="shared" si="5"/>
        <v/>
      </c>
      <c r="M113" s="136" t="str">
        <f>IF(OR(L113="",COUNTIF($M$4:M112,IF(ISERROR($R113*1),LEFT($R113,2)*1,$R113*1))&gt;=1),"-",IF(ISERROR($R113*1),LEFT($R113,2)*1,$R113*1))</f>
        <v>-</v>
      </c>
      <c r="N113" s="136" t="str">
        <f>IF(OR(L113="",COUNTIF($N$4:N112,V113*1)&gt;=1),"-",V113*1)</f>
        <v>-</v>
      </c>
      <c r="P113" s="651"/>
      <c r="Q113" s="651"/>
      <c r="R113" s="651"/>
      <c r="S113" s="651"/>
      <c r="T113" s="651"/>
      <c r="U113" s="651"/>
      <c r="V113" s="651"/>
      <c r="W113" s="651"/>
    </row>
    <row r="114" spans="12:23" hidden="1">
      <c r="L114" s="136" t="str">
        <f t="shared" si="5"/>
        <v/>
      </c>
      <c r="M114" s="136" t="str">
        <f>IF(OR(L114="",COUNTIF($M$4:M113,IF(ISERROR($R114*1),LEFT($R114,2)*1,$R114*1))&gt;=1),"-",IF(ISERROR($R114*1),LEFT($R114,2)*1,$R114*1))</f>
        <v>-</v>
      </c>
      <c r="N114" s="136" t="str">
        <f>IF(OR(L114="",COUNTIF($N$4:N113,V114*1)&gt;=1),"-",V114*1)</f>
        <v>-</v>
      </c>
      <c r="P114" s="651"/>
      <c r="Q114" s="651"/>
      <c r="R114" s="651"/>
      <c r="S114" s="651"/>
      <c r="T114" s="651"/>
      <c r="U114" s="651"/>
      <c r="V114" s="651"/>
      <c r="W114" s="651"/>
    </row>
    <row r="115" spans="12:23" hidden="1">
      <c r="L115" s="136" t="str">
        <f t="shared" si="5"/>
        <v/>
      </c>
      <c r="M115" s="136" t="str">
        <f>IF(OR(L115="",COUNTIF($M$4:M114,IF(ISERROR($R115*1),LEFT($R115,2)*1,$R115*1))&gt;=1),"-",IF(ISERROR($R115*1),LEFT($R115,2)*1,$R115*1))</f>
        <v>-</v>
      </c>
      <c r="N115" s="136" t="str">
        <f>IF(OR(L115="",COUNTIF($N$4:N114,V115*1)&gt;=1),"-",V115*1)</f>
        <v>-</v>
      </c>
      <c r="P115" s="651"/>
      <c r="Q115" s="651"/>
      <c r="R115" s="651"/>
      <c r="S115" s="651"/>
      <c r="T115" s="651"/>
      <c r="U115" s="651"/>
      <c r="V115" s="651"/>
      <c r="W115" s="651"/>
    </row>
    <row r="116" spans="12:23" hidden="1">
      <c r="L116" s="136" t="str">
        <f t="shared" si="5"/>
        <v/>
      </c>
      <c r="M116" s="136" t="str">
        <f>IF(OR(L116="",COUNTIF($M$4:M115,IF(ISERROR($R116*1),LEFT($R116,2)*1,$R116*1))&gt;=1),"-",IF(ISERROR($R116*1),LEFT($R116,2)*1,$R116*1))</f>
        <v>-</v>
      </c>
      <c r="N116" s="136" t="str">
        <f>IF(OR(L116="",COUNTIF($N$4:N115,V116*1)&gt;=1),"-",V116*1)</f>
        <v>-</v>
      </c>
      <c r="P116" s="651"/>
      <c r="Q116" s="651"/>
      <c r="R116" s="651"/>
      <c r="S116" s="651"/>
      <c r="T116" s="651"/>
      <c r="U116" s="651"/>
      <c r="V116" s="651"/>
      <c r="W116" s="651"/>
    </row>
    <row r="117" spans="12:23" hidden="1">
      <c r="L117" s="136" t="str">
        <f t="shared" si="5"/>
        <v/>
      </c>
      <c r="M117" s="136" t="str">
        <f>IF(OR(L117="",COUNTIF($M$4:M116,IF(ISERROR($R117*1),LEFT($R117,2)*1,$R117*1))&gt;=1),"-",IF(ISERROR($R117*1),LEFT($R117,2)*1,$R117*1))</f>
        <v>-</v>
      </c>
      <c r="N117" s="136" t="str">
        <f>IF(OR(L117="",COUNTIF($N$4:N116,V117*1)&gt;=1),"-",V117*1)</f>
        <v>-</v>
      </c>
      <c r="P117" s="651"/>
      <c r="Q117" s="651"/>
      <c r="R117" s="651"/>
      <c r="S117" s="651"/>
      <c r="T117" s="651"/>
      <c r="U117" s="651"/>
      <c r="V117" s="651"/>
      <c r="W117" s="651"/>
    </row>
    <row r="118" spans="12:23" hidden="1">
      <c r="L118" s="136" t="str">
        <f t="shared" si="5"/>
        <v/>
      </c>
      <c r="M118" s="136" t="str">
        <f>IF(OR(L118="",COUNTIF($M$4:M117,IF(ISERROR($R118*1),LEFT($R118,2)*1,$R118*1))&gt;=1),"-",IF(ISERROR($R118*1),LEFT($R118,2)*1,$R118*1))</f>
        <v>-</v>
      </c>
      <c r="N118" s="136" t="str">
        <f>IF(OR(L118="",COUNTIF($N$4:N117,V118*1)&gt;=1),"-",V118*1)</f>
        <v>-</v>
      </c>
      <c r="P118" s="651"/>
      <c r="Q118" s="651"/>
      <c r="R118" s="651"/>
      <c r="S118" s="651"/>
      <c r="T118" s="651"/>
      <c r="U118" s="651"/>
      <c r="V118" s="651"/>
      <c r="W118" s="651"/>
    </row>
    <row r="119" spans="12:23" hidden="1">
      <c r="L119" s="136" t="str">
        <f t="shared" si="5"/>
        <v/>
      </c>
      <c r="M119" s="136" t="str">
        <f>IF(OR(L119="",COUNTIF($M$4:M118,IF(ISERROR($R119*1),LEFT($R119,2)*1,$R119*1))&gt;=1),"-",IF(ISERROR($R119*1),LEFT($R119,2)*1,$R119*1))</f>
        <v>-</v>
      </c>
      <c r="N119" s="136" t="str">
        <f>IF(OR(L119="",COUNTIF($N$4:N118,V119*1)&gt;=1),"-",V119*1)</f>
        <v>-</v>
      </c>
      <c r="P119" s="651"/>
      <c r="Q119" s="651"/>
      <c r="R119" s="651"/>
      <c r="S119" s="651"/>
      <c r="T119" s="651"/>
      <c r="U119" s="651"/>
      <c r="V119" s="651"/>
      <c r="W119" s="651"/>
    </row>
    <row r="120" spans="12:23" hidden="1">
      <c r="L120" s="136" t="str">
        <f t="shared" si="5"/>
        <v/>
      </c>
      <c r="M120" s="136" t="str">
        <f>IF(OR(L120="",COUNTIF($M$4:M119,IF(ISERROR($R120*1),LEFT($R120,2)*1,$R120*1))&gt;=1),"-",IF(ISERROR($R120*1),LEFT($R120,2)*1,$R120*1))</f>
        <v>-</v>
      </c>
      <c r="N120" s="136" t="str">
        <f>IF(OR(L120="",COUNTIF($N$4:N119,V120*1)&gt;=1),"-",V120*1)</f>
        <v>-</v>
      </c>
      <c r="P120" s="651"/>
      <c r="Q120" s="651"/>
      <c r="R120" s="651"/>
      <c r="S120" s="651"/>
      <c r="T120" s="651"/>
      <c r="U120" s="651"/>
      <c r="V120" s="651"/>
      <c r="W120" s="651"/>
    </row>
    <row r="121" spans="12:23" hidden="1">
      <c r="L121" s="136" t="str">
        <f t="shared" si="5"/>
        <v/>
      </c>
      <c r="M121" s="136" t="str">
        <f>IF(OR(L121="",COUNTIF($M$4:M120,IF(ISERROR($R121*1),LEFT($R121,2)*1,$R121*1))&gt;=1),"-",IF(ISERROR($R121*1),LEFT($R121,2)*1,$R121*1))</f>
        <v>-</v>
      </c>
      <c r="N121" s="136" t="str">
        <f>IF(OR(L121="",COUNTIF($N$4:N120,V121*1)&gt;=1),"-",V121*1)</f>
        <v>-</v>
      </c>
      <c r="P121" s="651"/>
      <c r="Q121" s="651"/>
      <c r="R121" s="651"/>
      <c r="S121" s="651"/>
      <c r="T121" s="651"/>
      <c r="U121" s="651"/>
      <c r="V121" s="651"/>
      <c r="W121" s="651"/>
    </row>
    <row r="122" spans="12:23" hidden="1">
      <c r="L122" s="136" t="str">
        <f t="shared" si="5"/>
        <v/>
      </c>
      <c r="M122" s="136" t="str">
        <f>IF(OR(L122="",COUNTIF($M$4:M121,IF(ISERROR($R122*1),LEFT($R122,2)*1,$R122*1))&gt;=1),"-",IF(ISERROR($R122*1),LEFT($R122,2)*1,$R122*1))</f>
        <v>-</v>
      </c>
      <c r="N122" s="136" t="str">
        <f>IF(OR(L122="",COUNTIF($N$4:N121,V122*1)&gt;=1),"-",V122*1)</f>
        <v>-</v>
      </c>
      <c r="P122" s="651"/>
      <c r="Q122" s="651"/>
      <c r="R122" s="651"/>
      <c r="S122" s="651"/>
      <c r="T122" s="651"/>
      <c r="U122" s="651"/>
      <c r="V122" s="651"/>
      <c r="W122" s="651"/>
    </row>
    <row r="123" spans="12:23" hidden="1">
      <c r="L123" s="136" t="str">
        <f t="shared" si="5"/>
        <v/>
      </c>
      <c r="M123" s="136" t="str">
        <f>IF(OR(L123="",COUNTIF($M$4:M122,IF(ISERROR($R123*1),LEFT($R123,2)*1,$R123*1))&gt;=1),"-",IF(ISERROR($R123*1),LEFT($R123,2)*1,$R123*1))</f>
        <v>-</v>
      </c>
      <c r="N123" s="136" t="str">
        <f>IF(OR(L123="",COUNTIF($N$4:N122,V123*1)&gt;=1),"-",V123*1)</f>
        <v>-</v>
      </c>
      <c r="P123" s="651"/>
      <c r="Q123" s="651"/>
      <c r="R123" s="651"/>
      <c r="S123" s="651"/>
      <c r="T123" s="651"/>
      <c r="U123" s="651"/>
      <c r="V123" s="651"/>
      <c r="W123" s="651"/>
    </row>
    <row r="124" spans="12:23" hidden="1">
      <c r="L124" s="136" t="str">
        <f t="shared" si="5"/>
        <v/>
      </c>
      <c r="M124" s="136" t="str">
        <f>IF(OR(L124="",COUNTIF($M$4:M123,IF(ISERROR($R124*1),LEFT($R124,2)*1,$R124*1))&gt;=1),"-",IF(ISERROR($R124*1),LEFT($R124,2)*1,$R124*1))</f>
        <v>-</v>
      </c>
      <c r="N124" s="136" t="str">
        <f>IF(OR(L124="",COUNTIF($N$4:N123,V124*1)&gt;=1),"-",V124*1)</f>
        <v>-</v>
      </c>
      <c r="P124" s="651"/>
      <c r="Q124" s="651"/>
      <c r="R124" s="651"/>
      <c r="S124" s="651"/>
      <c r="T124" s="651"/>
      <c r="U124" s="651"/>
      <c r="V124" s="651"/>
      <c r="W124" s="651"/>
    </row>
    <row r="125" spans="12:23" hidden="1">
      <c r="L125" s="136" t="str">
        <f t="shared" si="5"/>
        <v/>
      </c>
      <c r="M125" s="136" t="str">
        <f>IF(OR(L125="",COUNTIF($M$4:M124,IF(ISERROR($R125*1),LEFT($R125,2)*1,$R125*1))&gt;=1),"-",IF(ISERROR($R125*1),LEFT($R125,2)*1,$R125*1))</f>
        <v>-</v>
      </c>
      <c r="N125" s="136" t="str">
        <f>IF(OR(L125="",COUNTIF($N$4:N124,V125*1)&gt;=1),"-",V125*1)</f>
        <v>-</v>
      </c>
      <c r="P125" s="651"/>
      <c r="Q125" s="651"/>
      <c r="R125" s="651"/>
      <c r="S125" s="651"/>
      <c r="T125" s="651"/>
      <c r="U125" s="651"/>
      <c r="V125" s="651"/>
      <c r="W125" s="651"/>
    </row>
    <row r="126" spans="12:23" hidden="1">
      <c r="L126" s="136" t="str">
        <f t="shared" si="5"/>
        <v/>
      </c>
      <c r="M126" s="136" t="str">
        <f>IF(OR(L126="",COUNTIF($M$4:M125,IF(ISERROR($R126*1),LEFT($R126,2)*1,$R126*1))&gt;=1),"-",IF(ISERROR($R126*1),LEFT($R126,2)*1,$R126*1))</f>
        <v>-</v>
      </c>
      <c r="N126" s="136" t="str">
        <f>IF(OR(L126="",COUNTIF($N$4:N125,V126*1)&gt;=1),"-",V126*1)</f>
        <v>-</v>
      </c>
      <c r="P126" s="651"/>
      <c r="Q126" s="651"/>
      <c r="R126" s="651"/>
      <c r="S126" s="651"/>
      <c r="T126" s="651"/>
      <c r="U126" s="651"/>
      <c r="V126" s="651"/>
      <c r="W126" s="651"/>
    </row>
    <row r="127" spans="12:23" hidden="1">
      <c r="L127" s="136" t="str">
        <f t="shared" si="5"/>
        <v/>
      </c>
      <c r="M127" s="136" t="str">
        <f>IF(OR(L127="",COUNTIF($M$4:M126,IF(ISERROR($R127*1),LEFT($R127,2)*1,$R127*1))&gt;=1),"-",IF(ISERROR($R127*1),LEFT($R127,2)*1,$R127*1))</f>
        <v>-</v>
      </c>
      <c r="N127" s="136" t="str">
        <f>IF(OR(L127="",COUNTIF($N$4:N126,V127*1)&gt;=1),"-",V127*1)</f>
        <v>-</v>
      </c>
      <c r="P127" s="651"/>
      <c r="Q127" s="651"/>
      <c r="R127" s="651"/>
      <c r="S127" s="651"/>
      <c r="T127" s="651"/>
      <c r="U127" s="651"/>
      <c r="V127" s="651"/>
      <c r="W127" s="651"/>
    </row>
    <row r="128" spans="12:23" hidden="1">
      <c r="L128" s="136" t="str">
        <f t="shared" si="5"/>
        <v/>
      </c>
      <c r="M128" s="136" t="str">
        <f>IF(OR(L128="",COUNTIF($M$4:M127,IF(ISERROR($R128*1),LEFT($R128,2)*1,$R128*1))&gt;=1),"-",IF(ISERROR($R128*1),LEFT($R128,2)*1,$R128*1))</f>
        <v>-</v>
      </c>
      <c r="N128" s="136" t="str">
        <f>IF(OR(L128="",COUNTIF($N$4:N127,V128*1)&gt;=1),"-",V128*1)</f>
        <v>-</v>
      </c>
      <c r="P128" s="651"/>
      <c r="Q128" s="651"/>
      <c r="R128" s="651"/>
      <c r="S128" s="651"/>
      <c r="T128" s="651"/>
      <c r="U128" s="651"/>
      <c r="V128" s="651"/>
      <c r="W128" s="651"/>
    </row>
    <row r="129" spans="12:23" hidden="1">
      <c r="L129" s="136" t="str">
        <f t="shared" si="5"/>
        <v/>
      </c>
      <c r="M129" s="136" t="str">
        <f>IF(OR(L129="",COUNTIF($M$4:M128,IF(ISERROR($R129*1),LEFT($R129,2)*1,$R129*1))&gt;=1),"-",IF(ISERROR($R129*1),LEFT($R129,2)*1,$R129*1))</f>
        <v>-</v>
      </c>
      <c r="N129" s="136" t="str">
        <f>IF(OR(L129="",COUNTIF($N$4:N128,V129*1)&gt;=1),"-",V129*1)</f>
        <v>-</v>
      </c>
      <c r="P129" s="651"/>
      <c r="Q129" s="651"/>
      <c r="R129" s="651"/>
      <c r="S129" s="651"/>
      <c r="T129" s="651"/>
      <c r="U129" s="651"/>
      <c r="V129" s="651"/>
      <c r="W129" s="651"/>
    </row>
    <row r="130" spans="12:23" hidden="1">
      <c r="L130" s="136" t="str">
        <f t="shared" si="5"/>
        <v/>
      </c>
      <c r="M130" s="136" t="str">
        <f>IF(OR(L130="",COUNTIF($M$4:M129,IF(ISERROR($R130*1),LEFT($R130,2)*1,$R130*1))&gt;=1),"-",IF(ISERROR($R130*1),LEFT($R130,2)*1,$R130*1))</f>
        <v>-</v>
      </c>
      <c r="N130" s="136" t="str">
        <f>IF(OR(L130="",COUNTIF($N$4:N129,V130*1)&gt;=1),"-",V130*1)</f>
        <v>-</v>
      </c>
      <c r="P130" s="651"/>
      <c r="Q130" s="651"/>
      <c r="R130" s="651"/>
      <c r="S130" s="651"/>
      <c r="T130" s="651"/>
      <c r="U130" s="651"/>
      <c r="V130" s="651"/>
      <c r="W130" s="651"/>
    </row>
    <row r="131" spans="12:23" hidden="1">
      <c r="L131" s="136" t="str">
        <f t="shared" si="5"/>
        <v/>
      </c>
      <c r="M131" s="136" t="str">
        <f>IF(OR(L131="",COUNTIF($M$4:M130,IF(ISERROR($R131*1),LEFT($R131,2)*1,$R131*1))&gt;=1),"-",IF(ISERROR($R131*1),LEFT($R131,2)*1,$R131*1))</f>
        <v>-</v>
      </c>
      <c r="N131" s="136" t="str">
        <f>IF(OR(L131="",COUNTIF($N$4:N130,V131*1)&gt;=1),"-",V131*1)</f>
        <v>-</v>
      </c>
      <c r="P131" s="651"/>
      <c r="Q131" s="651"/>
      <c r="R131" s="651"/>
      <c r="S131" s="651"/>
      <c r="T131" s="651"/>
      <c r="U131" s="651"/>
      <c r="V131" s="651"/>
      <c r="W131" s="651"/>
    </row>
    <row r="132" spans="12:23" hidden="1">
      <c r="L132" s="136" t="str">
        <f t="shared" ref="L132:L147" si="6">IF(P132&lt;&gt;$B$1,"",P132&amp;Q132&amp;R132&amp;V132)</f>
        <v/>
      </c>
      <c r="M132" s="136" t="str">
        <f>IF(OR(L132="",COUNTIF($M$4:M131,IF(ISERROR($R132*1),LEFT($R132,2)*1,$R132*1))&gt;=1),"-",IF(ISERROR($R132*1),LEFT($R132,2)*1,$R132*1))</f>
        <v>-</v>
      </c>
      <c r="N132" s="136" t="str">
        <f>IF(OR(L132="",COUNTIF($N$4:N131,V132*1)&gt;=1),"-",V132*1)</f>
        <v>-</v>
      </c>
      <c r="P132" s="651"/>
      <c r="Q132" s="651"/>
      <c r="R132" s="651"/>
      <c r="S132" s="651"/>
      <c r="T132" s="651"/>
      <c r="U132" s="651"/>
      <c r="V132" s="651"/>
      <c r="W132" s="651"/>
    </row>
    <row r="133" spans="12:23" hidden="1">
      <c r="L133" s="136" t="str">
        <f t="shared" si="6"/>
        <v/>
      </c>
      <c r="M133" s="136" t="str">
        <f>IF(OR(L133="",COUNTIF($M$4:M132,IF(ISERROR($R133*1),LEFT($R133,2)*1,$R133*1))&gt;=1),"-",IF(ISERROR($R133*1),LEFT($R133,2)*1,$R133*1))</f>
        <v>-</v>
      </c>
      <c r="N133" s="136" t="str">
        <f>IF(OR(L133="",COUNTIF($N$4:N132,V133*1)&gt;=1),"-",V133*1)</f>
        <v>-</v>
      </c>
      <c r="P133" s="651"/>
      <c r="Q133" s="651"/>
      <c r="R133" s="651"/>
      <c r="S133" s="651"/>
      <c r="T133" s="651"/>
      <c r="U133" s="651"/>
      <c r="V133" s="651"/>
      <c r="W133" s="651"/>
    </row>
    <row r="134" spans="12:23" hidden="1">
      <c r="L134" s="136" t="str">
        <f t="shared" si="6"/>
        <v/>
      </c>
      <c r="M134" s="136" t="str">
        <f>IF(OR(L134="",COUNTIF($M$4:M133,IF(ISERROR($R134*1),LEFT($R134,2)*1,$R134*1))&gt;=1),"-",IF(ISERROR($R134*1),LEFT($R134,2)*1,$R134*1))</f>
        <v>-</v>
      </c>
      <c r="N134" s="136" t="str">
        <f>IF(OR(L134="",COUNTIF($N$4:N133,V134*1)&gt;=1),"-",V134*1)</f>
        <v>-</v>
      </c>
      <c r="P134" s="651"/>
      <c r="Q134" s="651"/>
      <c r="R134" s="651"/>
      <c r="S134" s="651"/>
      <c r="T134" s="651"/>
      <c r="U134" s="651"/>
      <c r="V134" s="651"/>
      <c r="W134" s="651"/>
    </row>
    <row r="135" spans="12:23" hidden="1">
      <c r="L135" s="136" t="str">
        <f t="shared" si="6"/>
        <v/>
      </c>
      <c r="M135" s="136" t="str">
        <f>IF(OR(L135="",COUNTIF($M$4:M134,IF(ISERROR($R135*1),LEFT($R135,2)*1,$R135*1))&gt;=1),"-",IF(ISERROR($R135*1),LEFT($R135,2)*1,$R135*1))</f>
        <v>-</v>
      </c>
      <c r="N135" s="136" t="str">
        <f>IF(OR(L135="",COUNTIF($N$4:N134,V135*1)&gt;=1),"-",V135*1)</f>
        <v>-</v>
      </c>
      <c r="P135" s="651"/>
      <c r="Q135" s="651"/>
      <c r="R135" s="651"/>
      <c r="S135" s="651"/>
      <c r="T135" s="651"/>
      <c r="U135" s="651"/>
      <c r="V135" s="651"/>
      <c r="W135" s="651"/>
    </row>
    <row r="136" spans="12:23" hidden="1">
      <c r="L136" s="136" t="str">
        <f t="shared" si="6"/>
        <v/>
      </c>
      <c r="M136" s="136" t="str">
        <f>IF(OR(L136="",COUNTIF($M$4:M135,IF(ISERROR($R136*1),LEFT($R136,2)*1,$R136*1))&gt;=1),"-",IF(ISERROR($R136*1),LEFT($R136,2)*1,$R136*1))</f>
        <v>-</v>
      </c>
      <c r="N136" s="136" t="str">
        <f>IF(OR(L136="",COUNTIF($N$4:N135,V136*1)&gt;=1),"-",V136*1)</f>
        <v>-</v>
      </c>
      <c r="P136" s="651"/>
      <c r="Q136" s="651"/>
      <c r="R136" s="651"/>
      <c r="S136" s="651"/>
      <c r="T136" s="651"/>
      <c r="U136" s="651"/>
      <c r="V136" s="651"/>
      <c r="W136" s="651"/>
    </row>
    <row r="137" spans="12:23" hidden="1">
      <c r="L137" s="136" t="str">
        <f t="shared" si="6"/>
        <v/>
      </c>
      <c r="M137" s="136" t="str">
        <f>IF(OR(L137="",COUNTIF($M$4:M136,IF(ISERROR($R137*1),LEFT($R137,2)*1,$R137*1))&gt;=1),"-",IF(ISERROR($R137*1),LEFT($R137,2)*1,$R137*1))</f>
        <v>-</v>
      </c>
      <c r="N137" s="136" t="str">
        <f>IF(OR(L137="",COUNTIF($N$4:N136,V137*1)&gt;=1),"-",V137*1)</f>
        <v>-</v>
      </c>
      <c r="P137" s="651"/>
      <c r="Q137" s="651"/>
      <c r="R137" s="651"/>
      <c r="S137" s="651"/>
      <c r="T137" s="651"/>
      <c r="U137" s="651"/>
      <c r="V137" s="651"/>
      <c r="W137" s="651"/>
    </row>
    <row r="138" spans="12:23" hidden="1">
      <c r="L138" s="136" t="str">
        <f t="shared" si="6"/>
        <v/>
      </c>
      <c r="M138" s="136" t="str">
        <f>IF(OR(L138="",COUNTIF($M$4:M137,IF(ISERROR($R138*1),LEFT($R138,2)*1,$R138*1))&gt;=1),"-",IF(ISERROR($R138*1),LEFT($R138,2)*1,$R138*1))</f>
        <v>-</v>
      </c>
      <c r="N138" s="136" t="str">
        <f>IF(OR(L138="",COUNTIF($N$4:N137,V138*1)&gt;=1),"-",V138*1)</f>
        <v>-</v>
      </c>
      <c r="P138" s="651"/>
      <c r="Q138" s="651"/>
      <c r="R138" s="651"/>
      <c r="S138" s="651"/>
      <c r="T138" s="651"/>
      <c r="U138" s="651"/>
      <c r="V138" s="651"/>
      <c r="W138" s="651"/>
    </row>
    <row r="139" spans="12:23" hidden="1">
      <c r="L139" s="136" t="str">
        <f t="shared" si="6"/>
        <v/>
      </c>
      <c r="M139" s="136" t="str">
        <f>IF(OR(L139="",COUNTIF($M$4:M138,IF(ISERROR($R139*1),LEFT($R139,2)*1,$R139*1))&gt;=1),"-",IF(ISERROR($R139*1),LEFT($R139,2)*1,$R139*1))</f>
        <v>-</v>
      </c>
      <c r="N139" s="136" t="str">
        <f>IF(OR(L139="",COUNTIF($N$4:N138,V139*1)&gt;=1),"-",V139*1)</f>
        <v>-</v>
      </c>
      <c r="P139" s="651"/>
      <c r="Q139" s="651"/>
      <c r="R139" s="651"/>
      <c r="S139" s="651"/>
      <c r="T139" s="651"/>
      <c r="U139" s="651"/>
      <c r="V139" s="651"/>
      <c r="W139" s="651"/>
    </row>
    <row r="140" spans="12:23" hidden="1">
      <c r="L140" s="136" t="str">
        <f t="shared" si="6"/>
        <v/>
      </c>
      <c r="M140" s="136" t="str">
        <f>IF(OR(L140="",COUNTIF($M$4:M139,IF(ISERROR($R140*1),LEFT($R140,2)*1,$R140*1))&gt;=1),"-",IF(ISERROR($R140*1),LEFT($R140,2)*1,$R140*1))</f>
        <v>-</v>
      </c>
      <c r="N140" s="136" t="str">
        <f>IF(OR(L140="",COUNTIF($N$4:N139,V140*1)&gt;=1),"-",V140*1)</f>
        <v>-</v>
      </c>
      <c r="P140" s="651"/>
      <c r="Q140" s="651"/>
      <c r="R140" s="651"/>
      <c r="S140" s="651"/>
      <c r="T140" s="651"/>
      <c r="U140" s="651"/>
      <c r="V140" s="651"/>
      <c r="W140" s="651"/>
    </row>
    <row r="141" spans="12:23" hidden="1">
      <c r="L141" s="136" t="str">
        <f t="shared" si="6"/>
        <v/>
      </c>
      <c r="M141" s="136" t="str">
        <f>IF(OR(L141="",COUNTIF($M$4:M140,IF(ISERROR($R141*1),LEFT($R141,2)*1,$R141*1))&gt;=1),"-",IF(ISERROR($R141*1),LEFT($R141,2)*1,$R141*1))</f>
        <v>-</v>
      </c>
      <c r="N141" s="136" t="str">
        <f>IF(OR(L141="",COUNTIF($N$4:N140,V141*1)&gt;=1),"-",V141*1)</f>
        <v>-</v>
      </c>
      <c r="P141" s="651"/>
      <c r="Q141" s="651"/>
      <c r="R141" s="651"/>
      <c r="S141" s="651"/>
      <c r="T141" s="651"/>
      <c r="U141" s="651"/>
      <c r="V141" s="651"/>
      <c r="W141" s="651"/>
    </row>
    <row r="142" spans="12:23" hidden="1">
      <c r="L142" s="136" t="str">
        <f t="shared" si="6"/>
        <v/>
      </c>
      <c r="M142" s="136" t="str">
        <f>IF(OR(L142="",COUNTIF($M$4:M141,IF(ISERROR($R142*1),LEFT($R142,2)*1,$R142*1))&gt;=1),"-",IF(ISERROR($R142*1),LEFT($R142,2)*1,$R142*1))</f>
        <v>-</v>
      </c>
      <c r="N142" s="136" t="str">
        <f>IF(OR(L142="",COUNTIF($N$4:N141,V142*1)&gt;=1),"-",V142*1)</f>
        <v>-</v>
      </c>
      <c r="P142" s="651"/>
      <c r="Q142" s="651"/>
      <c r="R142" s="651"/>
      <c r="S142" s="651"/>
      <c r="T142" s="651"/>
      <c r="U142" s="651"/>
      <c r="V142" s="651"/>
      <c r="W142" s="651"/>
    </row>
    <row r="143" spans="12:23" hidden="1">
      <c r="L143" s="136" t="str">
        <f t="shared" si="6"/>
        <v/>
      </c>
      <c r="M143" s="136" t="str">
        <f>IF(OR(L143="",COUNTIF($M$4:M142,IF(ISERROR($R143*1),LEFT($R143,2)*1,$R143*1))&gt;=1),"-",IF(ISERROR($R143*1),LEFT($R143,2)*1,$R143*1))</f>
        <v>-</v>
      </c>
      <c r="N143" s="136" t="str">
        <f>IF(OR(L143="",COUNTIF($N$4:N142,V143*1)&gt;=1),"-",V143*1)</f>
        <v>-</v>
      </c>
      <c r="P143" s="651"/>
      <c r="Q143" s="651"/>
      <c r="R143" s="651"/>
      <c r="S143" s="651"/>
      <c r="T143" s="651"/>
      <c r="U143" s="651"/>
      <c r="V143" s="651"/>
      <c r="W143" s="651"/>
    </row>
    <row r="144" spans="12:23" hidden="1">
      <c r="L144" s="136" t="str">
        <f t="shared" si="6"/>
        <v/>
      </c>
      <c r="M144" s="136" t="str">
        <f>IF(OR(L144="",COUNTIF($M$4:M143,IF(ISERROR($R144*1),LEFT($R144,2)*1,$R144*1))&gt;=1),"-",IF(ISERROR($R144*1),LEFT($R144,2)*1,$R144*1))</f>
        <v>-</v>
      </c>
      <c r="N144" s="136" t="str">
        <f>IF(OR(L144="",COUNTIF($N$4:N143,V144*1)&gt;=1),"-",V144*1)</f>
        <v>-</v>
      </c>
      <c r="P144" s="651"/>
      <c r="Q144" s="651"/>
      <c r="R144" s="651"/>
      <c r="S144" s="651"/>
      <c r="T144" s="651"/>
      <c r="U144" s="651"/>
      <c r="V144" s="651"/>
      <c r="W144" s="651"/>
    </row>
    <row r="145" spans="12:23" hidden="1">
      <c r="L145" s="136" t="str">
        <f t="shared" si="6"/>
        <v/>
      </c>
      <c r="M145" s="136" t="str">
        <f>IF(OR(L145="",COUNTIF($M$4:M144,IF(ISERROR($R145*1),LEFT($R145,2)*1,$R145*1))&gt;=1),"-",IF(ISERROR($R145*1),LEFT($R145,2)*1,$R145*1))</f>
        <v>-</v>
      </c>
      <c r="N145" s="136" t="str">
        <f>IF(OR(L145="",COUNTIF($N$4:N144,V145*1)&gt;=1),"-",V145*1)</f>
        <v>-</v>
      </c>
      <c r="P145" s="651"/>
      <c r="Q145" s="651"/>
      <c r="R145" s="651"/>
      <c r="S145" s="651"/>
      <c r="T145" s="651"/>
      <c r="U145" s="651"/>
      <c r="V145" s="651"/>
      <c r="W145" s="651"/>
    </row>
    <row r="146" spans="12:23" hidden="1">
      <c r="L146" s="136" t="str">
        <f t="shared" si="6"/>
        <v/>
      </c>
      <c r="M146" s="136" t="str">
        <f>IF(OR(L146="",COUNTIF($M$4:M145,IF(ISERROR($R146*1),LEFT($R146,2)*1,$R146*1))&gt;=1),"-",IF(ISERROR($R146*1),LEFT($R146,2)*1,$R146*1))</f>
        <v>-</v>
      </c>
      <c r="N146" s="136" t="str">
        <f>IF(OR(L146="",COUNTIF($N$4:N145,V146*1)&gt;=1),"-",V146*1)</f>
        <v>-</v>
      </c>
      <c r="P146" s="651"/>
      <c r="Q146" s="651"/>
      <c r="R146" s="651"/>
      <c r="S146" s="651"/>
      <c r="T146" s="651"/>
      <c r="U146" s="651"/>
      <c r="V146" s="651"/>
      <c r="W146" s="651"/>
    </row>
    <row r="147" spans="12:23" hidden="1">
      <c r="L147" s="136" t="str">
        <f t="shared" si="6"/>
        <v/>
      </c>
      <c r="M147" s="136" t="str">
        <f>IF(OR(L147="",COUNTIF($M$4:M146,IF(ISERROR($R147*1),LEFT($R147,2)*1,$R147*1))&gt;=1),"-",IF(ISERROR($R147*1),LEFT($R147,2)*1,$R147*1))</f>
        <v>-</v>
      </c>
      <c r="N147" s="136" t="str">
        <f>IF(OR(L147="",COUNTIF($N$4:N146,V147*1)&gt;=1),"-",V147*1)</f>
        <v>-</v>
      </c>
      <c r="P147" s="651"/>
      <c r="Q147" s="651"/>
      <c r="R147" s="651"/>
      <c r="S147" s="651"/>
      <c r="T147" s="651"/>
      <c r="U147" s="651"/>
      <c r="V147" s="651"/>
      <c r="W147" s="651"/>
    </row>
  </sheetData>
  <sheetProtection algorithmName="SHA-512" hashValue="63BqCt7HRgL2pzLtFOE229qNIcgwbX3GJo+HCPtR+I1SqVOiIV3asHGjeYw9Rzg8p0G8Y7Z+wa9eZiz6UEVPSA==" saltValue="XMmh7TY4JE/Iafxfyrtf6A==" spinCount="100000" sheet="1" objects="1" scenarios="1"/>
  <mergeCells count="1">
    <mergeCell ref="L2:N2"/>
  </mergeCells>
  <phoneticPr fontId="17" type="noConversion"/>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2BFF7-6A60-4D9E-9551-D7F3D1090254}">
  <dimension ref="A1:Q139"/>
  <sheetViews>
    <sheetView topLeftCell="A70" workbookViewId="0">
      <selection activeCell="G81" sqref="G81"/>
    </sheetView>
  </sheetViews>
  <sheetFormatPr baseColWidth="10" defaultColWidth="9.3984375" defaultRowHeight="13"/>
  <cols>
    <col min="1" max="1" width="18.3984375" customWidth="1"/>
    <col min="2" max="2" width="10.3984375" customWidth="1"/>
    <col min="3" max="6" width="9.3984375" customWidth="1"/>
    <col min="7" max="7" width="13.3984375" style="392" customWidth="1"/>
    <col min="8" max="8" width="25.3984375" customWidth="1"/>
    <col min="9" max="9" width="38.3984375" customWidth="1"/>
  </cols>
  <sheetData>
    <row r="1" spans="1:15">
      <c r="A1" s="110" t="s">
        <v>846</v>
      </c>
      <c r="B1" s="110"/>
      <c r="C1" s="110"/>
      <c r="D1" s="110"/>
      <c r="E1" s="110"/>
      <c r="F1" s="110"/>
      <c r="G1" s="318"/>
      <c r="H1" s="250"/>
      <c r="I1" s="110"/>
      <c r="J1" s="250"/>
      <c r="K1" s="110"/>
      <c r="L1" s="250"/>
      <c r="M1" s="110"/>
      <c r="N1" s="110"/>
      <c r="O1" s="110"/>
    </row>
    <row r="2" spans="1:15">
      <c r="A2" s="110" t="s">
        <v>847</v>
      </c>
      <c r="B2" s="319" t="str">
        <f>IF($H$8=0,"",IF(ISERROR(OP!$D$53),"資料錯誤_首期保費",OP!$C$48))</f>
        <v/>
      </c>
      <c r="C2" s="110"/>
      <c r="D2" s="110"/>
      <c r="E2" s="110"/>
      <c r="F2" s="110"/>
      <c r="G2" s="318"/>
      <c r="H2" s="250"/>
      <c r="I2" s="110"/>
      <c r="J2" s="250"/>
      <c r="K2" s="110"/>
      <c r="L2" s="250"/>
      <c r="M2" s="110"/>
      <c r="N2" s="110"/>
      <c r="O2" s="110"/>
    </row>
    <row r="3" spans="1:15">
      <c r="A3" s="110" t="s">
        <v>848</v>
      </c>
      <c r="B3" s="319" t="str">
        <f>IF($H$8=0,"",IF(ISERROR(OP!$D$53),"資料錯誤_續期保費",IF(OP!$C$24=1,0,OP!$C$49)))</f>
        <v/>
      </c>
      <c r="C3" s="110"/>
      <c r="D3" s="110"/>
      <c r="E3" s="110"/>
      <c r="F3" s="110"/>
      <c r="G3" s="318"/>
      <c r="H3" s="250"/>
      <c r="I3" s="110"/>
      <c r="J3" s="250"/>
      <c r="K3" s="110"/>
      <c r="L3" s="250"/>
      <c r="M3" s="110"/>
      <c r="N3" s="110"/>
      <c r="O3" s="110"/>
    </row>
    <row r="4" spans="1:15">
      <c r="A4" s="110" t="s">
        <v>849</v>
      </c>
      <c r="B4" s="320" t="str">
        <f>IF($H$8=0,"",IF(ISERROR(OP!$D$53),"資料錯誤",I15&amp;J15&amp;I16&amp;J16&amp;I17&amp;J17&amp;I19&amp;J19&amp;I20&amp;J20&amp;I21&amp;J21&amp;I22&amp;J22&amp;I24&amp;J24&amp;I26&amp;J26&amp;I27&amp;J27&amp;I32&amp;J32&amp;I34&amp;J34&amp;I35&amp;J35&amp;I40&amp;J40&amp;I45&amp;J45&amp;I53&amp;J53&amp;I59&amp;J59&amp;I61&amp;J61&amp;I62&amp;J62&amp;I63&amp;J63&amp;I64&amp;J64&amp;I71&amp;J71&amp;I79&amp;J79&amp;I81&amp;J81&amp;I82&amp;J82&amp;I84&amp;J84&amp;I86&amp;J86&amp;I92&amp;J92&amp;I93&amp;J93&amp;I94&amp;J94&amp;I95&amp;J95&amp;I106&amp;J106))</f>
        <v/>
      </c>
      <c r="C4" s="110"/>
      <c r="D4" s="110"/>
      <c r="E4" s="110"/>
      <c r="F4" s="110"/>
      <c r="G4" s="318"/>
      <c r="H4" s="321"/>
      <c r="I4" s="110"/>
      <c r="J4" s="250"/>
      <c r="K4" s="110"/>
      <c r="L4" s="250"/>
      <c r="M4" s="110"/>
      <c r="N4" s="110"/>
      <c r="O4" s="110"/>
    </row>
    <row r="5" spans="1:15">
      <c r="A5" s="322" t="s">
        <v>850</v>
      </c>
      <c r="B5" s="323" t="str">
        <f>IF($H$8=0,"",IF(ISERROR(OP!$D$53),"資料錯誤_原始保費",OP!$C$35))</f>
        <v/>
      </c>
      <c r="C5" s="324" t="s">
        <v>851</v>
      </c>
      <c r="D5" s="110"/>
      <c r="E5" s="110"/>
      <c r="F5" s="110"/>
      <c r="G5" s="318"/>
      <c r="H5" s="325" t="s">
        <v>852</v>
      </c>
      <c r="I5" s="110"/>
      <c r="J5" s="250"/>
      <c r="K5" s="110"/>
      <c r="L5" s="250"/>
      <c r="M5" s="110"/>
      <c r="N5" s="110"/>
      <c r="O5" s="110"/>
    </row>
    <row r="6" spans="1:15">
      <c r="A6" s="322" t="s">
        <v>60</v>
      </c>
      <c r="B6" s="326" t="str">
        <f>IF($H$8=0,"",IF(ISERROR(OP!$D$53),"資料錯誤_保險年齡",OP!$D$5))</f>
        <v/>
      </c>
      <c r="C6" s="324" t="s">
        <v>851</v>
      </c>
      <c r="D6" s="110"/>
      <c r="E6" s="110"/>
      <c r="F6" s="110"/>
      <c r="G6" s="318"/>
      <c r="H6" s="327" t="s">
        <v>853</v>
      </c>
      <c r="I6" s="110"/>
      <c r="J6" s="250"/>
      <c r="K6" s="110"/>
      <c r="L6" s="250"/>
      <c r="M6" s="110"/>
      <c r="N6" s="110"/>
      <c r="O6" s="110"/>
    </row>
    <row r="7" spans="1:15">
      <c r="A7" s="110"/>
      <c r="B7" s="110"/>
      <c r="C7" s="110"/>
      <c r="D7" s="110"/>
      <c r="E7" s="110"/>
      <c r="F7" s="110"/>
      <c r="G7" s="318"/>
      <c r="H7" s="451" t="s">
        <v>1132</v>
      </c>
      <c r="I7" s="250" t="s">
        <v>1158</v>
      </c>
      <c r="J7" s="250"/>
      <c r="K7" s="110"/>
      <c r="L7" s="250"/>
      <c r="M7" s="110"/>
      <c r="N7" s="110"/>
      <c r="O7" s="110"/>
    </row>
    <row r="8" spans="1:15" ht="14" thickBot="1">
      <c r="A8" s="110"/>
      <c r="B8" s="110"/>
      <c r="C8" s="110"/>
      <c r="D8" s="110"/>
      <c r="E8" s="110"/>
      <c r="F8" s="110"/>
      <c r="G8" s="318"/>
      <c r="H8" s="437">
        <v>0</v>
      </c>
      <c r="I8" s="452">
        <v>3</v>
      </c>
      <c r="J8" s="250"/>
      <c r="K8" s="110"/>
      <c r="L8" s="250"/>
      <c r="M8" s="110"/>
      <c r="N8" s="110"/>
      <c r="O8" s="110"/>
    </row>
    <row r="9" spans="1:15" ht="35" thickBot="1">
      <c r="A9" s="328" t="s">
        <v>854</v>
      </c>
      <c r="B9" s="329" t="s">
        <v>855</v>
      </c>
      <c r="C9" s="329" t="s">
        <v>856</v>
      </c>
      <c r="D9" s="330" t="s">
        <v>857</v>
      </c>
      <c r="E9" s="331" t="s">
        <v>858</v>
      </c>
      <c r="F9" s="110"/>
      <c r="G9" s="332"/>
      <c r="H9" s="333" t="s">
        <v>859</v>
      </c>
      <c r="I9" s="334" t="s">
        <v>860</v>
      </c>
      <c r="J9" s="334" t="s">
        <v>861</v>
      </c>
      <c r="K9" s="110"/>
      <c r="L9" s="334" t="s">
        <v>862</v>
      </c>
      <c r="M9" s="335"/>
      <c r="N9" s="110"/>
      <c r="O9" s="110"/>
    </row>
    <row r="10" spans="1:15" ht="18" thickBot="1">
      <c r="A10" s="336" t="s">
        <v>863</v>
      </c>
      <c r="B10" s="337"/>
      <c r="C10" s="337"/>
      <c r="D10" s="338"/>
      <c r="E10" s="339"/>
      <c r="F10" s="340"/>
      <c r="G10" s="341"/>
      <c r="H10" s="342"/>
      <c r="I10" s="110"/>
      <c r="J10" s="334"/>
      <c r="K10" s="110"/>
      <c r="L10" s="343">
        <v>1</v>
      </c>
      <c r="M10" s="335" t="s">
        <v>864</v>
      </c>
      <c r="N10" s="110"/>
      <c r="O10" s="110"/>
    </row>
    <row r="11" spans="1:15" ht="222" thickBot="1">
      <c r="A11" s="344" t="s">
        <v>865</v>
      </c>
      <c r="B11" s="345" t="s">
        <v>866</v>
      </c>
      <c r="C11" s="345" t="s">
        <v>867</v>
      </c>
      <c r="D11" s="346" t="s">
        <v>868</v>
      </c>
      <c r="E11" s="347" t="s">
        <v>869</v>
      </c>
      <c r="F11" s="348"/>
      <c r="G11" s="318"/>
      <c r="H11" s="250"/>
      <c r="I11" s="110"/>
      <c r="J11" s="334" t="str">
        <f>IF(I11="","",IF(COUNTA(I12:$I$138)&gt;0,"|",""))</f>
        <v/>
      </c>
      <c r="K11" s="110"/>
      <c r="L11" s="343">
        <v>2</v>
      </c>
      <c r="M11" s="335" t="s">
        <v>870</v>
      </c>
      <c r="N11" s="110"/>
      <c r="O11" s="110"/>
    </row>
    <row r="12" spans="1:15" ht="34">
      <c r="A12" s="767" t="s">
        <v>871</v>
      </c>
      <c r="B12" s="762" t="s">
        <v>872</v>
      </c>
      <c r="C12" s="349" t="s">
        <v>873</v>
      </c>
      <c r="D12" s="775" t="s">
        <v>868</v>
      </c>
      <c r="E12" s="347"/>
      <c r="F12" s="348"/>
      <c r="G12" s="318"/>
      <c r="H12" s="250"/>
      <c r="I12" s="110"/>
      <c r="J12" s="334" t="str">
        <f>IF(I12="","",IF(COUNTA(I13:$I$138)&gt;0,"|",""))</f>
        <v/>
      </c>
      <c r="K12" s="110"/>
      <c r="L12" s="334"/>
      <c r="M12" s="335"/>
      <c r="N12" s="110"/>
      <c r="O12" s="110"/>
    </row>
    <row r="13" spans="1:15" ht="35" thickBot="1">
      <c r="A13" s="768"/>
      <c r="B13" s="764"/>
      <c r="C13" s="351" t="s">
        <v>874</v>
      </c>
      <c r="D13" s="777"/>
      <c r="E13" s="347"/>
      <c r="F13" s="348"/>
      <c r="G13" s="318"/>
      <c r="H13" s="250"/>
      <c r="I13" s="110"/>
      <c r="J13" s="334" t="str">
        <f>IF(I13="","",IF(COUNTA(I14:$I$138)&gt;0,"|",""))</f>
        <v/>
      </c>
      <c r="K13" s="110"/>
      <c r="L13" s="334"/>
      <c r="M13" s="335"/>
      <c r="N13" s="110"/>
      <c r="O13" s="110"/>
    </row>
    <row r="14" spans="1:15" ht="35" thickBot="1">
      <c r="A14" s="350" t="s">
        <v>875</v>
      </c>
      <c r="B14" s="351" t="s">
        <v>876</v>
      </c>
      <c r="C14" s="351" t="s">
        <v>877</v>
      </c>
      <c r="D14" s="352" t="s">
        <v>868</v>
      </c>
      <c r="E14" s="347" t="s">
        <v>869</v>
      </c>
      <c r="F14" s="348"/>
      <c r="G14" s="353"/>
      <c r="H14" s="354"/>
      <c r="I14" s="110"/>
      <c r="J14" s="334" t="str">
        <f>IF(I14="","",IF(COUNTA(I15:$I$138)&gt;0,"|",""))</f>
        <v/>
      </c>
      <c r="K14" s="110"/>
      <c r="L14" s="250"/>
      <c r="M14" s="110"/>
      <c r="N14" s="110"/>
      <c r="O14" s="110"/>
    </row>
    <row r="15" spans="1:15" ht="86" thickBot="1">
      <c r="A15" s="350" t="s">
        <v>878</v>
      </c>
      <c r="B15" s="351" t="s">
        <v>879</v>
      </c>
      <c r="C15" s="351" t="s">
        <v>880</v>
      </c>
      <c r="D15" s="352"/>
      <c r="E15" s="355" t="s">
        <v>881</v>
      </c>
      <c r="F15" s="348"/>
      <c r="G15" s="356"/>
      <c r="H15" s="327" t="str">
        <f>IF($H$8=1,$G15,"")</f>
        <v/>
      </c>
      <c r="I15" s="335" t="str">
        <f>IF(G15="","","")</f>
        <v/>
      </c>
      <c r="J15" s="334" t="str">
        <f>IF(I15="","",IF(COUNTA(I16:$I$138)&gt;0,"|",""))</f>
        <v/>
      </c>
      <c r="K15" s="110"/>
      <c r="L15" s="250" t="s">
        <v>882</v>
      </c>
      <c r="M15" s="110"/>
      <c r="N15" s="357" t="s">
        <v>883</v>
      </c>
      <c r="O15" s="110" t="str">
        <f>IF(G15="","無傳入建議書序號","")</f>
        <v>無傳入建議書序號</v>
      </c>
    </row>
    <row r="16" spans="1:15" ht="35" thickBot="1">
      <c r="A16" s="350" t="s">
        <v>884</v>
      </c>
      <c r="B16" s="351" t="s">
        <v>885</v>
      </c>
      <c r="C16" s="351"/>
      <c r="D16" s="352" t="s">
        <v>868</v>
      </c>
      <c r="E16" s="355"/>
      <c r="F16" s="785" t="s">
        <v>886</v>
      </c>
      <c r="G16" s="356"/>
      <c r="H16" s="325" t="str">
        <f>IF($H$8=1,$G16,"")</f>
        <v/>
      </c>
      <c r="I16" s="335"/>
      <c r="J16" s="334" t="str">
        <f>IF(I16="","",IF(COUNTA(I17:$I$138)&gt;0,"|",""))</f>
        <v/>
      </c>
      <c r="K16" s="110"/>
      <c r="L16" s="334">
        <v>1</v>
      </c>
      <c r="M16" s="358" t="s">
        <v>887</v>
      </c>
      <c r="N16" s="110"/>
      <c r="O16" s="110"/>
    </row>
    <row r="17" spans="1:17" ht="17">
      <c r="A17" s="767" t="s">
        <v>888</v>
      </c>
      <c r="B17" s="762" t="s">
        <v>889</v>
      </c>
      <c r="C17" s="349" t="s">
        <v>890</v>
      </c>
      <c r="D17" s="775" t="s">
        <v>868</v>
      </c>
      <c r="E17" s="778"/>
      <c r="F17" s="785"/>
      <c r="G17" s="356"/>
      <c r="H17" s="325" t="str">
        <f>IF($H$8=1,IF(ISERROR(VLOOKUP($G17,$L$10:$M$13,2,0)),"",VLOOKUP($G17,$L$10:$M$13,2,0)),"")</f>
        <v/>
      </c>
      <c r="I17" s="335"/>
      <c r="J17" s="334" t="str">
        <f>IF(I17="","",IF(COUNTA(I18:$I$138)&gt;0,"|",""))</f>
        <v/>
      </c>
      <c r="K17" s="110"/>
      <c r="L17" s="334">
        <v>2</v>
      </c>
      <c r="M17" s="358" t="s">
        <v>891</v>
      </c>
      <c r="N17" s="110"/>
      <c r="O17" s="110"/>
    </row>
    <row r="18" spans="1:17" ht="18" thickBot="1">
      <c r="A18" s="768"/>
      <c r="B18" s="764"/>
      <c r="C18" s="351" t="s">
        <v>892</v>
      </c>
      <c r="D18" s="777"/>
      <c r="E18" s="780"/>
      <c r="F18" s="785"/>
      <c r="G18" s="359"/>
      <c r="H18" s="359"/>
      <c r="I18" s="360"/>
      <c r="J18" s="334" t="str">
        <f>IF(I18="","",IF(COUNTA(I19:$I$138)&gt;0,"|",""))</f>
        <v/>
      </c>
      <c r="K18" s="110"/>
      <c r="L18" s="334">
        <v>3</v>
      </c>
      <c r="M18" s="358" t="s">
        <v>893</v>
      </c>
      <c r="N18" s="110"/>
      <c r="O18" s="110"/>
    </row>
    <row r="19" spans="1:17" ht="35" thickBot="1">
      <c r="A19" s="350" t="s">
        <v>894</v>
      </c>
      <c r="B19" s="351" t="s">
        <v>895</v>
      </c>
      <c r="C19" s="351" t="s">
        <v>896</v>
      </c>
      <c r="D19" s="352" t="s">
        <v>868</v>
      </c>
      <c r="E19" s="355"/>
      <c r="F19" s="785"/>
      <c r="G19" s="356"/>
      <c r="H19" s="361">
        <f>IF($H$8=1,IF(OR($G$19="",LEN($G$19)&lt;&gt;8),"",LEFT($G$19,4)-1911&amp;TEXT(MID($G$19,5,2),"00")&amp;TEXT(RIGHT($G$19,2),"00")),輸入頁!$E$14)</f>
        <v>0</v>
      </c>
      <c r="I19" s="335"/>
      <c r="J19" s="334" t="str">
        <f>IF(I19="","",IF(COUNTA(I20:$I$138)&gt;0,"|",""))</f>
        <v/>
      </c>
      <c r="K19" s="110"/>
      <c r="L19" s="334">
        <v>4</v>
      </c>
      <c r="M19" s="358" t="s">
        <v>897</v>
      </c>
      <c r="N19" s="110"/>
      <c r="O19" s="110"/>
    </row>
    <row r="20" spans="1:17" ht="35" thickBot="1">
      <c r="A20" s="350" t="s">
        <v>898</v>
      </c>
      <c r="B20" s="351" t="s">
        <v>899</v>
      </c>
      <c r="C20" s="351" t="s">
        <v>900</v>
      </c>
      <c r="D20" s="352" t="s">
        <v>868</v>
      </c>
      <c r="E20" s="355"/>
      <c r="F20" s="785"/>
      <c r="G20" s="356"/>
      <c r="H20" s="325" t="str">
        <f>IF($H$8=1,$G20,"")</f>
        <v/>
      </c>
      <c r="I20" s="335"/>
      <c r="J20" s="334" t="str">
        <f>IF(I20="","",IF(COUNTA(I21:$I$138)&gt;0,"|",""))</f>
        <v/>
      </c>
      <c r="K20" s="110"/>
      <c r="L20" s="334"/>
      <c r="M20" s="335"/>
      <c r="N20" s="110"/>
      <c r="O20" s="110"/>
    </row>
    <row r="21" spans="1:17" ht="35" thickBot="1">
      <c r="A21" s="350" t="s">
        <v>901</v>
      </c>
      <c r="B21" s="351" t="s">
        <v>902</v>
      </c>
      <c r="C21" s="351"/>
      <c r="D21" s="352" t="s">
        <v>868</v>
      </c>
      <c r="E21" s="355"/>
      <c r="F21" s="348"/>
      <c r="G21" s="356"/>
      <c r="H21" s="327" t="str">
        <f>IF($H$8=1,IF($G$21="","",$G21),輸入頁!$E$5)</f>
        <v>客戶</v>
      </c>
      <c r="I21" s="335" t="str">
        <f>IF($H$21="",$I$10&amp;"被保險人姓名未填寫","")</f>
        <v/>
      </c>
      <c r="J21" s="334" t="str">
        <f>IF(I21="","",IF(COUNTA(I22:$I$138)&gt;0,"|",""))</f>
        <v/>
      </c>
      <c r="K21" s="110"/>
      <c r="L21" s="334"/>
      <c r="M21" s="335"/>
      <c r="N21" s="110"/>
      <c r="O21" s="110"/>
    </row>
    <row r="22" spans="1:17" ht="17">
      <c r="A22" s="767" t="s">
        <v>903</v>
      </c>
      <c r="B22" s="762" t="s">
        <v>904</v>
      </c>
      <c r="C22" s="349" t="s">
        <v>890</v>
      </c>
      <c r="D22" s="775" t="s">
        <v>868</v>
      </c>
      <c r="E22" s="778"/>
      <c r="F22" s="348"/>
      <c r="G22" s="362"/>
      <c r="H22" s="327" t="str">
        <f>IF($H$8=1,IF(ISERROR(VLOOKUP($G22,$L$10:$M$13,2,0)),"",VLOOKUP($G22,$L$10:$M$13,2,0)),輸入頁!$K$5)</f>
        <v>女</v>
      </c>
      <c r="I22" s="335" t="str">
        <f>IF(OR($H$22="",OP!$D$18=1),$I$10&amp;"被保險人性別錯誤","")</f>
        <v/>
      </c>
      <c r="J22" s="334" t="str">
        <f>IF(I22="","",IF(COUNTA(I23:$I$138)&gt;0,"|",""))</f>
        <v/>
      </c>
      <c r="K22" s="110"/>
      <c r="L22" s="250"/>
      <c r="M22" s="110"/>
      <c r="N22" s="110"/>
      <c r="O22" s="110"/>
    </row>
    <row r="23" spans="1:17" ht="18" thickBot="1">
      <c r="A23" s="768"/>
      <c r="B23" s="764"/>
      <c r="C23" s="351" t="s">
        <v>892</v>
      </c>
      <c r="D23" s="777"/>
      <c r="E23" s="780"/>
      <c r="F23" s="348"/>
      <c r="G23" s="359"/>
      <c r="H23" s="359"/>
      <c r="I23" s="363"/>
      <c r="J23" s="334" t="str">
        <f>IF(I23="","",IF(COUNTA(I24:$I$138)&gt;0,"|",""))</f>
        <v/>
      </c>
      <c r="K23" s="110"/>
      <c r="L23" s="250" t="s">
        <v>905</v>
      </c>
      <c r="M23" s="110"/>
      <c r="N23" s="110"/>
      <c r="O23" s="110"/>
    </row>
    <row r="24" spans="1:17" ht="17">
      <c r="A24" s="767" t="s">
        <v>906</v>
      </c>
      <c r="B24" s="762" t="s">
        <v>907</v>
      </c>
      <c r="C24" s="762" t="s">
        <v>896</v>
      </c>
      <c r="D24" s="775" t="s">
        <v>868</v>
      </c>
      <c r="E24" s="778"/>
      <c r="F24" s="348"/>
      <c r="G24" s="364"/>
      <c r="H24" s="327">
        <f>IF($H$8=1,IF(OR($G$24="",LEN($G$24)&lt;&gt;8),"",LEFT($G$24,4)-1911&amp;TEXT(MID($G$24,5,2),"00")&amp;TEXT(RIGHT($G$24,2),"00")),輸入頁!$N$5)</f>
        <v>1010101</v>
      </c>
      <c r="I24" s="365" t="str">
        <f ca="1">IF(H24="",$I$10&amp;"被保險人生日錯誤",IF(OP!$E$6=1,"生日日期錯誤",""))&amp;IF(OR(OP!$D$15=1,OP!$D$16=1),"＊年齡不符專案投保區間，請先確認年齡後　重新試算，其他欄位檢核訊息請先忽略＊","")</f>
        <v/>
      </c>
      <c r="J24" s="334" t="str">
        <f ca="1">IF(I24="","",IF(COUNTA(I25:$I$138)&gt;0,"|",""))</f>
        <v/>
      </c>
      <c r="K24" s="110" t="s">
        <v>908</v>
      </c>
      <c r="L24" s="343" t="s">
        <v>909</v>
      </c>
      <c r="M24" s="358" t="s">
        <v>910</v>
      </c>
      <c r="N24" s="110"/>
      <c r="O24" s="110"/>
      <c r="Q24" s="366"/>
    </row>
    <row r="25" spans="1:17" ht="18" thickBot="1">
      <c r="A25" s="768"/>
      <c r="B25" s="764"/>
      <c r="C25" s="764"/>
      <c r="D25" s="777"/>
      <c r="E25" s="780"/>
      <c r="F25" s="348"/>
      <c r="G25" s="359"/>
      <c r="H25" s="359"/>
      <c r="I25" s="363"/>
      <c r="J25" s="334" t="str">
        <f>IF(I25="","",IF(COUNTA(I26:$I$138)&gt;0,"|",""))</f>
        <v/>
      </c>
      <c r="K25" s="110"/>
      <c r="L25" s="343" t="s">
        <v>911</v>
      </c>
      <c r="M25" s="358" t="s">
        <v>912</v>
      </c>
      <c r="N25" s="110"/>
      <c r="O25" s="110"/>
    </row>
    <row r="26" spans="1:17" ht="52" thickBot="1">
      <c r="A26" s="350" t="s">
        <v>913</v>
      </c>
      <c r="B26" s="351" t="s">
        <v>914</v>
      </c>
      <c r="C26" s="351" t="s">
        <v>915</v>
      </c>
      <c r="D26" s="352" t="s">
        <v>868</v>
      </c>
      <c r="E26" s="355"/>
      <c r="F26" s="367" t="s">
        <v>916</v>
      </c>
      <c r="G26" s="356"/>
      <c r="H26" s="327" t="str">
        <f>IF($H$8=1,MAX($G26,$G32),"")</f>
        <v/>
      </c>
      <c r="I26" s="335"/>
      <c r="J26" s="334" t="str">
        <f>IF(I26="","",IF(COUNTA(I27:$I$138)&gt;0,"|",""))</f>
        <v/>
      </c>
      <c r="K26" s="110"/>
      <c r="L26" s="343" t="s">
        <v>917</v>
      </c>
      <c r="M26" s="358" t="s">
        <v>918</v>
      </c>
      <c r="N26" s="110"/>
      <c r="O26" s="110"/>
    </row>
    <row r="27" spans="1:17" ht="17">
      <c r="A27" s="767" t="s">
        <v>919</v>
      </c>
      <c r="B27" s="762" t="s">
        <v>920</v>
      </c>
      <c r="C27" s="349" t="s">
        <v>921</v>
      </c>
      <c r="D27" s="775"/>
      <c r="E27" s="778"/>
      <c r="F27" s="785" t="s">
        <v>922</v>
      </c>
      <c r="G27" s="356"/>
      <c r="H27" s="325" t="str">
        <f>IF($H$8=1,IF(ISERROR(VLOOKUP($G27,$L$16:$M$21,2,0)),"",VLOOKUP($G27,$L$16:$M$21,2,0)),"")</f>
        <v/>
      </c>
      <c r="I27" s="335"/>
      <c r="J27" s="334" t="str">
        <f>IF(I27="","",IF(COUNTA(I28:$I$138)&gt;0,"|",""))</f>
        <v/>
      </c>
      <c r="K27" s="110"/>
      <c r="L27" s="343" t="s">
        <v>923</v>
      </c>
      <c r="M27" s="358" t="s">
        <v>924</v>
      </c>
      <c r="N27" s="110"/>
      <c r="O27" s="110"/>
    </row>
    <row r="28" spans="1:17" ht="17">
      <c r="A28" s="773"/>
      <c r="B28" s="763"/>
      <c r="C28" s="349" t="s">
        <v>925</v>
      </c>
      <c r="D28" s="776"/>
      <c r="E28" s="779"/>
      <c r="F28" s="785"/>
      <c r="G28" s="342"/>
      <c r="H28" s="342"/>
      <c r="I28" s="368"/>
      <c r="J28" s="334" t="str">
        <f>IF(I28="","",IF(COUNTA(I29:$I$138)&gt;0,"|",""))</f>
        <v/>
      </c>
      <c r="K28" s="110"/>
      <c r="L28" s="334" t="s">
        <v>926</v>
      </c>
      <c r="M28" s="358" t="s">
        <v>927</v>
      </c>
      <c r="N28" s="110"/>
      <c r="O28" s="110"/>
    </row>
    <row r="29" spans="1:17" ht="17">
      <c r="A29" s="773"/>
      <c r="B29" s="763"/>
      <c r="C29" s="349" t="s">
        <v>928</v>
      </c>
      <c r="D29" s="776"/>
      <c r="E29" s="779"/>
      <c r="F29" s="785"/>
      <c r="G29" s="250"/>
      <c r="H29" s="250"/>
      <c r="I29" s="110"/>
      <c r="J29" s="334" t="str">
        <f>IF(I29="","",IF(COUNTA(I30:$I$138)&gt;0,"|",""))</f>
        <v/>
      </c>
      <c r="K29" s="110"/>
      <c r="L29" s="334"/>
      <c r="M29" s="335"/>
      <c r="N29" s="110"/>
      <c r="O29" s="110"/>
    </row>
    <row r="30" spans="1:17" ht="35" thickBot="1">
      <c r="A30" s="768"/>
      <c r="B30" s="764"/>
      <c r="C30" s="351" t="s">
        <v>929</v>
      </c>
      <c r="D30" s="777"/>
      <c r="E30" s="780"/>
      <c r="F30" s="785"/>
      <c r="G30" s="250"/>
      <c r="H30" s="250"/>
      <c r="I30" s="110"/>
      <c r="J30" s="334" t="str">
        <f>IF(I30="","",IF(COUNTA(I31:$I$138)&gt;0,"|",""))</f>
        <v/>
      </c>
      <c r="K30" s="110"/>
      <c r="L30" s="250"/>
      <c r="M30" s="110"/>
      <c r="N30" s="110"/>
      <c r="O30" s="110"/>
    </row>
    <row r="31" spans="1:17" ht="29" thickBot="1">
      <c r="A31" s="350" t="s">
        <v>930</v>
      </c>
      <c r="B31" s="369" t="s">
        <v>931</v>
      </c>
      <c r="C31" s="351"/>
      <c r="D31" s="352"/>
      <c r="E31" s="347" t="s">
        <v>869</v>
      </c>
      <c r="F31" s="348"/>
      <c r="G31" s="354"/>
      <c r="H31" s="354"/>
      <c r="I31" s="360"/>
      <c r="J31" s="334" t="str">
        <f>IF(I31="","",IF(COUNTA(I32:$I$138)&gt;0,"|",""))</f>
        <v/>
      </c>
      <c r="K31" s="110"/>
      <c r="L31" s="334" t="s">
        <v>932</v>
      </c>
      <c r="M31" s="335" t="s">
        <v>933</v>
      </c>
      <c r="N31" s="335" t="s">
        <v>934</v>
      </c>
      <c r="O31" s="335" t="s">
        <v>935</v>
      </c>
    </row>
    <row r="32" spans="1:17" ht="43" thickBot="1">
      <c r="A32" s="350" t="s">
        <v>936</v>
      </c>
      <c r="B32" s="369" t="s">
        <v>937</v>
      </c>
      <c r="C32" s="351" t="s">
        <v>915</v>
      </c>
      <c r="D32" s="352" t="s">
        <v>868</v>
      </c>
      <c r="E32" s="355"/>
      <c r="F32" s="348"/>
      <c r="G32" s="356"/>
      <c r="H32" s="334" t="s">
        <v>938</v>
      </c>
      <c r="I32" s="335"/>
      <c r="J32" s="334" t="str">
        <f>IF(I32="","",IF(COUNTA(I33:$I$138)&gt;0,"|",""))</f>
        <v/>
      </c>
      <c r="K32" s="110"/>
      <c r="L32" s="343" t="s">
        <v>939</v>
      </c>
      <c r="M32" s="335" t="str">
        <f>IF(OP!$C$21=1,"匯款","外幣匯款")</f>
        <v>匯款</v>
      </c>
      <c r="N32" s="335" t="s">
        <v>940</v>
      </c>
      <c r="O32" s="358" t="s">
        <v>941</v>
      </c>
    </row>
    <row r="33" spans="1:15" ht="43" thickBot="1">
      <c r="A33" s="350" t="s">
        <v>942</v>
      </c>
      <c r="B33" s="369" t="s">
        <v>943</v>
      </c>
      <c r="C33" s="351"/>
      <c r="D33" s="352"/>
      <c r="E33" s="347" t="s">
        <v>869</v>
      </c>
      <c r="F33" s="348"/>
      <c r="G33" s="359"/>
      <c r="H33" s="359"/>
      <c r="I33" s="363"/>
      <c r="J33" s="334" t="str">
        <f>IF(I33="","",IF(COUNTA(I34:$I$138)&gt;0,"|",""))</f>
        <v/>
      </c>
      <c r="K33" s="110"/>
      <c r="L33" s="343" t="s">
        <v>944</v>
      </c>
      <c r="M33" s="335" t="str">
        <f>IF(OP!$C$21=1,"匯款","外幣匯款")</f>
        <v>匯款</v>
      </c>
      <c r="N33" s="335" t="s">
        <v>940</v>
      </c>
      <c r="O33" s="358" t="s">
        <v>945</v>
      </c>
    </row>
    <row r="34" spans="1:15" ht="18" thickBot="1">
      <c r="A34" s="350" t="s">
        <v>946</v>
      </c>
      <c r="B34" s="351" t="s">
        <v>650</v>
      </c>
      <c r="C34" s="351"/>
      <c r="D34" s="352" t="s">
        <v>868</v>
      </c>
      <c r="E34" s="355"/>
      <c r="F34" s="348"/>
      <c r="G34" s="362"/>
      <c r="H34" s="327" t="str">
        <f>IF($H$8=1,UPPER($G34),輸入頁!$E$39)</f>
        <v>LTT</v>
      </c>
      <c r="I34" s="335" t="str">
        <f>IF(ISERROR(VLOOKUP($H$34,OP!$H$43:$H$62,1,0)),$I$10&amp;"險種錯誤","")</f>
        <v/>
      </c>
      <c r="J34" s="334" t="str">
        <f>IF(I34="","",IF(COUNTA(I35:$I$138)&gt;0,"|",""))</f>
        <v/>
      </c>
      <c r="K34" s="110"/>
      <c r="L34" s="343" t="s">
        <v>947</v>
      </c>
      <c r="M34" s="335" t="s">
        <v>948</v>
      </c>
      <c r="N34" s="335" t="s">
        <v>948</v>
      </c>
      <c r="O34" s="358" t="s">
        <v>949</v>
      </c>
    </row>
    <row r="35" spans="1:15" ht="35" thickBot="1">
      <c r="A35" s="350" t="s">
        <v>950</v>
      </c>
      <c r="B35" s="351" t="s">
        <v>951</v>
      </c>
      <c r="C35" s="351"/>
      <c r="D35" s="352" t="s">
        <v>868</v>
      </c>
      <c r="E35" s="355"/>
      <c r="F35" s="348"/>
      <c r="G35" s="356"/>
      <c r="H35" s="327">
        <f>IF($H$8=1,$G35,輸入頁!$E$37)</f>
        <v>30</v>
      </c>
      <c r="I35" s="335" t="str">
        <f>IF(COUNTIF(OP!$J$43:$J$62,$H$35&amp;$H$34)&lt;&gt;1,$I$10&amp;"年期錯誤","")</f>
        <v/>
      </c>
      <c r="J35" s="334" t="str">
        <f>IF(I35="","",IF(COUNTA(I36:$I$138)&gt;0,"|",""))</f>
        <v/>
      </c>
      <c r="K35" s="110"/>
      <c r="L35" s="343" t="s">
        <v>952</v>
      </c>
      <c r="M35" s="335" t="s">
        <v>953</v>
      </c>
      <c r="N35" s="335" t="s">
        <v>953</v>
      </c>
      <c r="O35" s="358" t="s">
        <v>954</v>
      </c>
    </row>
    <row r="36" spans="1:15" ht="52" thickBot="1">
      <c r="A36" s="350" t="s">
        <v>955</v>
      </c>
      <c r="B36" s="351" t="s">
        <v>956</v>
      </c>
      <c r="C36" s="351" t="s">
        <v>957</v>
      </c>
      <c r="D36" s="352" t="s">
        <v>868</v>
      </c>
      <c r="E36" s="370" t="s">
        <v>869</v>
      </c>
      <c r="F36" s="348" t="s">
        <v>958</v>
      </c>
      <c r="G36" s="342"/>
      <c r="H36" s="342"/>
      <c r="I36" s="368"/>
      <c r="J36" s="334" t="str">
        <f>IF(I36="","",IF(COUNTA(I37:$I$138)&gt;0,"|",""))</f>
        <v/>
      </c>
      <c r="K36" s="110"/>
      <c r="L36" s="343" t="s">
        <v>959</v>
      </c>
      <c r="M36" s="335" t="str">
        <f>IF(OP!$C$21=1,"匯款","外幣匯款")</f>
        <v>匯款</v>
      </c>
      <c r="N36" s="335" t="s">
        <v>960</v>
      </c>
      <c r="O36" s="358" t="s">
        <v>961</v>
      </c>
    </row>
    <row r="37" spans="1:15" ht="35" thickBot="1">
      <c r="A37" s="350" t="s">
        <v>962</v>
      </c>
      <c r="B37" s="351" t="s">
        <v>963</v>
      </c>
      <c r="C37" s="351" t="s">
        <v>964</v>
      </c>
      <c r="D37" s="352" t="s">
        <v>868</v>
      </c>
      <c r="E37" s="370" t="s">
        <v>869</v>
      </c>
      <c r="F37" s="348" t="s">
        <v>958</v>
      </c>
      <c r="G37" s="250"/>
      <c r="H37" s="250"/>
      <c r="I37" s="110"/>
      <c r="J37" s="334" t="str">
        <f>IF(I37="","",IF(COUNTA(I38:$I$138)&gt;0,"|",""))</f>
        <v/>
      </c>
      <c r="K37" s="110"/>
      <c r="L37" s="343" t="s">
        <v>965</v>
      </c>
      <c r="M37" s="335" t="str">
        <f>IF(OP!$C$21=1,"匯款","外幣匯款")</f>
        <v>匯款</v>
      </c>
      <c r="N37" s="335" t="s">
        <v>960</v>
      </c>
      <c r="O37" s="358" t="s">
        <v>966</v>
      </c>
    </row>
    <row r="38" spans="1:15" ht="34">
      <c r="A38" s="767" t="s">
        <v>967</v>
      </c>
      <c r="B38" s="762" t="s">
        <v>968</v>
      </c>
      <c r="C38" s="349" t="s">
        <v>969</v>
      </c>
      <c r="D38" s="775" t="s">
        <v>868</v>
      </c>
      <c r="E38" s="786" t="s">
        <v>869</v>
      </c>
      <c r="F38" s="348" t="s">
        <v>958</v>
      </c>
      <c r="G38" s="250"/>
      <c r="H38" s="250"/>
      <c r="I38" s="110"/>
      <c r="J38" s="334" t="str">
        <f>IF(I38="","",IF(COUNTA(I39:$I$138)&gt;0,"|",""))</f>
        <v/>
      </c>
      <c r="K38" s="110"/>
      <c r="L38" s="343" t="s">
        <v>970</v>
      </c>
      <c r="M38" s="335" t="s">
        <v>940</v>
      </c>
      <c r="N38" s="335" t="s">
        <v>940</v>
      </c>
      <c r="O38" s="358" t="s">
        <v>971</v>
      </c>
    </row>
    <row r="39" spans="1:15" ht="52" thickBot="1">
      <c r="A39" s="768"/>
      <c r="B39" s="764"/>
      <c r="C39" s="351" t="s">
        <v>972</v>
      </c>
      <c r="D39" s="777"/>
      <c r="E39" s="787"/>
      <c r="F39" s="348"/>
      <c r="G39" s="354"/>
      <c r="H39" s="354"/>
      <c r="I39" s="360"/>
      <c r="J39" s="334" t="str">
        <f>IF(I39="","",IF(COUNTA(I40:$I$138)&gt;0,"|",""))</f>
        <v/>
      </c>
      <c r="K39" s="110"/>
      <c r="L39" s="334" t="s">
        <v>973</v>
      </c>
      <c r="M39" s="335" t="s">
        <v>953</v>
      </c>
      <c r="N39" s="335" t="s">
        <v>953</v>
      </c>
      <c r="O39" s="358" t="s">
        <v>974</v>
      </c>
    </row>
    <row r="40" spans="1:15" ht="17">
      <c r="A40" s="767" t="s">
        <v>975</v>
      </c>
      <c r="B40" s="762" t="s">
        <v>976</v>
      </c>
      <c r="C40" s="349" t="s">
        <v>977</v>
      </c>
      <c r="D40" s="775" t="s">
        <v>868</v>
      </c>
      <c r="E40" s="778"/>
      <c r="F40" s="348"/>
      <c r="G40" s="371"/>
      <c r="H40" s="327" t="str">
        <f>IF($H$8=1,IF(ISERROR(VLOOKUP($G40,$L$24:$M$29,2,0)),"",VLOOKUP($G40,$L$24:$M$29,2,0)),輸入頁!$E$17)</f>
        <v>年繳</v>
      </c>
      <c r="I40" s="335" t="str">
        <f>IF(OP!$D$32=1,$I$10&amp;"繳別錯誤","")</f>
        <v/>
      </c>
      <c r="J40" s="334" t="str">
        <f>IF(I40="","",IF(COUNTA(I41:$I$138)&gt;0,"|",""))</f>
        <v/>
      </c>
      <c r="K40" s="110"/>
      <c r="L40" s="334"/>
      <c r="M40" s="335"/>
      <c r="N40" s="335"/>
      <c r="O40" s="335"/>
    </row>
    <row r="41" spans="1:15" ht="17">
      <c r="A41" s="773"/>
      <c r="B41" s="763"/>
      <c r="C41" s="349" t="s">
        <v>978</v>
      </c>
      <c r="D41" s="776"/>
      <c r="E41" s="779"/>
      <c r="F41" s="348"/>
      <c r="G41" s="342"/>
      <c r="H41" s="342"/>
      <c r="I41" s="368"/>
      <c r="J41" s="334" t="str">
        <f>IF(I41="","",IF(COUNTA(I42:$I$138)&gt;0,"|",""))</f>
        <v/>
      </c>
      <c r="K41" s="110"/>
      <c r="L41" s="334"/>
      <c r="M41" s="335"/>
      <c r="N41" s="335"/>
      <c r="O41" s="335"/>
    </row>
    <row r="42" spans="1:15" ht="34">
      <c r="A42" s="773"/>
      <c r="B42" s="763"/>
      <c r="C42" s="349" t="s">
        <v>979</v>
      </c>
      <c r="D42" s="776"/>
      <c r="E42" s="779"/>
      <c r="F42" s="348"/>
      <c r="G42" s="250"/>
      <c r="H42" s="250"/>
      <c r="I42" s="110"/>
      <c r="J42" s="334" t="str">
        <f>IF(I42="","",IF(COUNTA(I43:$I$138)&gt;0,"|",""))</f>
        <v/>
      </c>
      <c r="K42" s="110"/>
      <c r="L42" s="250"/>
      <c r="M42" s="110"/>
      <c r="N42" s="110"/>
      <c r="O42" s="110"/>
    </row>
    <row r="43" spans="1:15" ht="17">
      <c r="A43" s="773"/>
      <c r="B43" s="763"/>
      <c r="C43" s="349" t="s">
        <v>980</v>
      </c>
      <c r="D43" s="776"/>
      <c r="E43" s="779"/>
      <c r="F43" s="348"/>
      <c r="G43" s="250"/>
      <c r="H43" s="250"/>
      <c r="I43" s="110"/>
      <c r="J43" s="334" t="str">
        <f>IF(I43="","",IF(COUNTA(I44:$I$138)&gt;0,"|",""))</f>
        <v/>
      </c>
      <c r="K43" s="110"/>
      <c r="L43" s="250" t="s">
        <v>981</v>
      </c>
      <c r="M43" s="110"/>
      <c r="N43" s="110" t="s">
        <v>935</v>
      </c>
      <c r="O43" s="110"/>
    </row>
    <row r="44" spans="1:15" ht="35" thickBot="1">
      <c r="A44" s="768"/>
      <c r="B44" s="764"/>
      <c r="C44" s="351" t="s">
        <v>982</v>
      </c>
      <c r="D44" s="777"/>
      <c r="E44" s="780"/>
      <c r="F44" s="348"/>
      <c r="G44" s="354"/>
      <c r="H44" s="354"/>
      <c r="I44" s="360"/>
      <c r="J44" s="334" t="str">
        <f>IF(I44="","",IF(COUNTA(I45:$I$138)&gt;0,"|",""))</f>
        <v/>
      </c>
      <c r="K44" s="110"/>
      <c r="L44" s="372">
        <v>1</v>
      </c>
      <c r="M44" s="335" t="str">
        <f>IF($I$8=1,OP!$W$3,IF($I$8=2,OP!$W$6,""))</f>
        <v/>
      </c>
      <c r="N44" s="358" t="s">
        <v>983</v>
      </c>
      <c r="O44" s="110"/>
    </row>
    <row r="45" spans="1:15" ht="34">
      <c r="A45" s="767" t="s">
        <v>984</v>
      </c>
      <c r="B45" s="762" t="s">
        <v>985</v>
      </c>
      <c r="C45" s="349" t="s">
        <v>941</v>
      </c>
      <c r="D45" s="775" t="s">
        <v>868</v>
      </c>
      <c r="E45" s="778"/>
      <c r="F45" s="348"/>
      <c r="G45" s="371"/>
      <c r="H45" s="327" t="str">
        <f>IF($H$8=1,IF(ISERROR(VLOOKUP($G45,$L$31:$N$41,2,0)),"",VLOOKUP($G45,$L$31:$N$41,2,0)),輸入頁!$Q$17)</f>
        <v>匯款</v>
      </c>
      <c r="I45" s="335" t="str">
        <f>IF(OP!$D$41=1,$I$10&amp;"首期繳費方式錯誤","")</f>
        <v/>
      </c>
      <c r="J45" s="334" t="str">
        <f>IF(I45="","",IF(COUNTA(I46:$I$138)&gt;0,"|",""))</f>
        <v/>
      </c>
      <c r="K45" s="110"/>
      <c r="L45" s="372"/>
      <c r="M45" s="335"/>
      <c r="N45" s="358" t="s">
        <v>986</v>
      </c>
      <c r="O45" s="110"/>
    </row>
    <row r="46" spans="1:15" ht="34">
      <c r="A46" s="773"/>
      <c r="B46" s="763"/>
      <c r="C46" s="349" t="s">
        <v>945</v>
      </c>
      <c r="D46" s="776"/>
      <c r="E46" s="779"/>
      <c r="F46" s="348"/>
      <c r="G46" s="342"/>
      <c r="H46" s="342"/>
      <c r="I46" s="368"/>
      <c r="J46" s="334" t="str">
        <f>IF(I46="","",IF(COUNTA(I47:$I$138)&gt;0,"|",""))</f>
        <v/>
      </c>
      <c r="K46" s="110"/>
      <c r="L46" s="372">
        <v>3</v>
      </c>
      <c r="M46" s="335" t="s">
        <v>987</v>
      </c>
      <c r="N46" s="358" t="s">
        <v>988</v>
      </c>
      <c r="O46" s="110"/>
    </row>
    <row r="47" spans="1:15" ht="34">
      <c r="A47" s="773"/>
      <c r="B47" s="763"/>
      <c r="C47" s="349" t="s">
        <v>949</v>
      </c>
      <c r="D47" s="776"/>
      <c r="E47" s="779"/>
      <c r="F47" s="348"/>
      <c r="G47" s="250"/>
      <c r="H47" s="250"/>
      <c r="I47" s="110"/>
      <c r="J47" s="334" t="str">
        <f>IF(I47="","",IF(COUNTA(I48:$I$138)&gt;0,"|",""))</f>
        <v/>
      </c>
      <c r="K47" s="110"/>
      <c r="L47" s="372">
        <v>4</v>
      </c>
      <c r="M47" s="335" t="s">
        <v>989</v>
      </c>
      <c r="N47" s="358" t="s">
        <v>990</v>
      </c>
      <c r="O47" s="110"/>
    </row>
    <row r="48" spans="1:15" ht="34">
      <c r="A48" s="773"/>
      <c r="B48" s="763"/>
      <c r="C48" s="349" t="s">
        <v>954</v>
      </c>
      <c r="D48" s="776"/>
      <c r="E48" s="779"/>
      <c r="F48" s="348"/>
      <c r="G48" s="250"/>
      <c r="H48" s="250"/>
      <c r="I48" s="110"/>
      <c r="J48" s="334" t="str">
        <f>IF(I48="","",IF(COUNTA(I49:$I$138)&gt;0,"|",""))</f>
        <v/>
      </c>
      <c r="K48" s="110"/>
      <c r="L48" s="334"/>
      <c r="M48" s="335"/>
      <c r="N48" s="335"/>
      <c r="O48" s="110"/>
    </row>
    <row r="49" spans="1:15" ht="34">
      <c r="A49" s="773"/>
      <c r="B49" s="763"/>
      <c r="C49" s="349" t="s">
        <v>961</v>
      </c>
      <c r="D49" s="776"/>
      <c r="E49" s="779"/>
      <c r="F49" s="348"/>
      <c r="G49" s="250"/>
      <c r="H49" s="250"/>
      <c r="I49" s="110"/>
      <c r="J49" s="334" t="str">
        <f>IF(I49="","",IF(COUNTA(I50:$I$138)&gt;0,"|",""))</f>
        <v/>
      </c>
      <c r="K49" s="110"/>
      <c r="L49" s="334"/>
      <c r="M49" s="335"/>
      <c r="N49" s="335"/>
      <c r="O49" s="110"/>
    </row>
    <row r="50" spans="1:15" ht="34">
      <c r="A50" s="773"/>
      <c r="B50" s="763"/>
      <c r="C50" s="349" t="s">
        <v>966</v>
      </c>
      <c r="D50" s="776"/>
      <c r="E50" s="779"/>
      <c r="F50" s="348"/>
      <c r="G50" s="250"/>
      <c r="H50" s="250"/>
      <c r="I50" s="110"/>
      <c r="J50" s="334" t="str">
        <f>IF(I50="","",IF(COUNTA(I51:$I$138)&gt;0,"|",""))</f>
        <v/>
      </c>
      <c r="K50" s="110"/>
      <c r="L50" s="250"/>
      <c r="M50" s="110"/>
      <c r="N50" s="110"/>
      <c r="O50" s="110"/>
    </row>
    <row r="51" spans="1:15" ht="17">
      <c r="A51" s="773"/>
      <c r="B51" s="763"/>
      <c r="C51" s="349" t="s">
        <v>971</v>
      </c>
      <c r="D51" s="776"/>
      <c r="E51" s="779"/>
      <c r="F51" s="348"/>
      <c r="G51" s="250"/>
      <c r="H51" s="250"/>
      <c r="I51" s="110"/>
      <c r="J51" s="334" t="str">
        <f>IF(I51="","",IF(COUNTA(I52:$I$138)&gt;0,"|",""))</f>
        <v/>
      </c>
      <c r="K51" s="110"/>
      <c r="L51" s="250" t="s">
        <v>991</v>
      </c>
      <c r="M51" s="110"/>
      <c r="N51" s="110" t="s">
        <v>935</v>
      </c>
      <c r="O51" s="110"/>
    </row>
    <row r="52" spans="1:15" ht="35" thickBot="1">
      <c r="A52" s="768"/>
      <c r="B52" s="764"/>
      <c r="C52" s="351" t="s">
        <v>974</v>
      </c>
      <c r="D52" s="777"/>
      <c r="E52" s="780"/>
      <c r="F52" s="348"/>
      <c r="G52" s="354"/>
      <c r="H52" s="354"/>
      <c r="I52" s="360"/>
      <c r="J52" s="334" t="str">
        <f>IF(I52="","",IF(COUNTA(I53:$I$138)&gt;0,"|",""))</f>
        <v/>
      </c>
      <c r="K52" s="110"/>
      <c r="L52" s="334">
        <v>1</v>
      </c>
      <c r="M52" s="335" t="s">
        <v>992</v>
      </c>
      <c r="N52" s="358" t="s">
        <v>993</v>
      </c>
      <c r="O52" s="110"/>
    </row>
    <row r="53" spans="1:15" ht="34">
      <c r="A53" s="767" t="s">
        <v>994</v>
      </c>
      <c r="B53" s="762" t="s">
        <v>995</v>
      </c>
      <c r="C53" s="349" t="s">
        <v>949</v>
      </c>
      <c r="D53" s="775"/>
      <c r="E53" s="778"/>
      <c r="F53" s="348"/>
      <c r="G53" s="371"/>
      <c r="H53" s="327" t="str">
        <f>IF($H$8=1,IF(ISERROR(VLOOKUP($G53,$L$31:$N$41,3,0)),"",VLOOKUP($G53,$L$31:$N$41,3,0)),輸入頁!$Q$19)</f>
        <v>金融機構轉帳</v>
      </c>
      <c r="I53" s="335" t="str">
        <f>IF(OP!$D$43=1,$I$10&amp;"續期繳費方式錯誤","")</f>
        <v/>
      </c>
      <c r="J53" s="334" t="str">
        <f>IF(I53="","",IF(COUNTA(I54:$I$138)&gt;0,"|",""))</f>
        <v/>
      </c>
      <c r="K53" s="110"/>
      <c r="L53" s="334">
        <v>2</v>
      </c>
      <c r="M53" s="335" t="s">
        <v>996</v>
      </c>
      <c r="N53" s="358" t="s">
        <v>997</v>
      </c>
      <c r="O53" s="110"/>
    </row>
    <row r="54" spans="1:15" ht="34">
      <c r="A54" s="773"/>
      <c r="B54" s="763"/>
      <c r="C54" s="349" t="s">
        <v>954</v>
      </c>
      <c r="D54" s="776"/>
      <c r="E54" s="779"/>
      <c r="F54" s="348"/>
      <c r="G54" s="342"/>
      <c r="H54" s="342"/>
      <c r="I54" s="368"/>
      <c r="J54" s="334" t="str">
        <f>IF(I54="","",IF(COUNTA(I55:$I$138)&gt;0,"|",""))</f>
        <v/>
      </c>
      <c r="K54" s="110"/>
      <c r="L54" s="334"/>
      <c r="M54" s="335"/>
      <c r="N54" s="335"/>
      <c r="O54" s="110"/>
    </row>
    <row r="55" spans="1:15" ht="34">
      <c r="A55" s="773"/>
      <c r="B55" s="763"/>
      <c r="C55" s="349" t="s">
        <v>961</v>
      </c>
      <c r="D55" s="776"/>
      <c r="E55" s="779"/>
      <c r="F55" s="348"/>
      <c r="G55" s="250"/>
      <c r="H55" s="250"/>
      <c r="I55" s="110"/>
      <c r="J55" s="334" t="str">
        <f>IF(I55="","",IF(COUNTA(I56:$I$138)&gt;0,"|",""))</f>
        <v/>
      </c>
      <c r="K55" s="110"/>
      <c r="L55" s="334"/>
      <c r="M55" s="335"/>
      <c r="N55" s="335"/>
      <c r="O55" s="110"/>
    </row>
    <row r="56" spans="1:15" ht="34">
      <c r="A56" s="773"/>
      <c r="B56" s="763"/>
      <c r="C56" s="349" t="s">
        <v>966</v>
      </c>
      <c r="D56" s="776"/>
      <c r="E56" s="779"/>
      <c r="F56" s="348"/>
      <c r="G56" s="250"/>
      <c r="H56" s="250"/>
      <c r="I56" s="110"/>
      <c r="J56" s="334" t="str">
        <f>IF(I56="","",IF(COUNTA(I57:$I$138)&gt;0,"|",""))</f>
        <v/>
      </c>
      <c r="K56" s="110"/>
      <c r="L56" s="250"/>
      <c r="M56" s="110"/>
      <c r="N56" s="110"/>
      <c r="O56" s="110"/>
    </row>
    <row r="57" spans="1:15" ht="17">
      <c r="A57" s="773"/>
      <c r="B57" s="763"/>
      <c r="C57" s="349" t="s">
        <v>971</v>
      </c>
      <c r="D57" s="776"/>
      <c r="E57" s="779"/>
      <c r="F57" s="348"/>
      <c r="G57" s="250"/>
      <c r="H57" s="250"/>
      <c r="I57" s="110"/>
      <c r="J57" s="334" t="str">
        <f>IF(I57="","",IF(COUNTA(I58:$I$138)&gt;0,"|",""))</f>
        <v/>
      </c>
      <c r="K57" s="110"/>
      <c r="L57" s="250" t="s">
        <v>998</v>
      </c>
      <c r="M57" s="110"/>
      <c r="N57" s="110"/>
      <c r="O57" s="110"/>
    </row>
    <row r="58" spans="1:15" ht="35" thickBot="1">
      <c r="A58" s="768"/>
      <c r="B58" s="764"/>
      <c r="C58" s="351" t="s">
        <v>974</v>
      </c>
      <c r="D58" s="777"/>
      <c r="E58" s="780"/>
      <c r="F58" s="348"/>
      <c r="G58" s="354"/>
      <c r="H58" s="354"/>
      <c r="I58" s="360"/>
      <c r="J58" s="334" t="str">
        <f>IF(I58="","",IF(COUNTA(I59:$I$138)&gt;0,"|",""))</f>
        <v/>
      </c>
      <c r="K58" s="110"/>
      <c r="L58" s="334"/>
      <c r="M58" s="335">
        <v>5</v>
      </c>
      <c r="N58" s="335"/>
      <c r="O58" s="110"/>
    </row>
    <row r="59" spans="1:15" ht="52" thickBot="1">
      <c r="A59" s="350" t="s">
        <v>999</v>
      </c>
      <c r="B59" s="351" t="s">
        <v>1133</v>
      </c>
      <c r="C59" s="351"/>
      <c r="D59" s="352"/>
      <c r="E59" s="355"/>
      <c r="F59" s="348" t="s">
        <v>1134</v>
      </c>
      <c r="G59" s="356"/>
      <c r="H59" s="327">
        <f>IF($H$8=1,IF($G59&lt;&gt;"","Y",""),OP!$K$27)</f>
        <v>0</v>
      </c>
      <c r="I59" s="335"/>
      <c r="J59" s="334" t="str">
        <f>IF(I59="","",IF(COUNTA(I60:$I$138)&gt;0,"|",""))</f>
        <v/>
      </c>
      <c r="K59" s="110"/>
      <c r="L59" s="334"/>
      <c r="M59" s="335">
        <v>10</v>
      </c>
      <c r="N59" s="335"/>
      <c r="O59" s="110"/>
    </row>
    <row r="60" spans="1:15" ht="35" thickBot="1">
      <c r="A60" s="350" t="s">
        <v>1000</v>
      </c>
      <c r="B60" s="351" t="s">
        <v>1001</v>
      </c>
      <c r="C60" s="351" t="s">
        <v>1002</v>
      </c>
      <c r="D60" s="373"/>
      <c r="E60" s="339" t="s">
        <v>869</v>
      </c>
      <c r="F60" s="340"/>
      <c r="G60" s="359"/>
      <c r="H60" s="359"/>
      <c r="I60" s="363"/>
      <c r="J60" s="334" t="str">
        <f>IF(I60="","",IF(COUNTA(I61:$I$138)&gt;0,"|",""))</f>
        <v/>
      </c>
      <c r="K60" s="110"/>
      <c r="L60" s="334"/>
      <c r="M60" s="335">
        <v>15</v>
      </c>
      <c r="N60" s="335"/>
      <c r="O60" s="110"/>
    </row>
    <row r="61" spans="1:15" ht="35" thickBot="1">
      <c r="A61" s="350" t="s">
        <v>1003</v>
      </c>
      <c r="B61" s="351" t="s">
        <v>1004</v>
      </c>
      <c r="C61" s="374"/>
      <c r="D61" s="373" t="s">
        <v>868</v>
      </c>
      <c r="E61" s="375"/>
      <c r="F61" s="340"/>
      <c r="G61" s="356"/>
      <c r="H61" s="327">
        <f>IF(RIGHT($I$8,2)="年金","",IF($H$8=1,$G61/10000,輸入頁!$J$39))</f>
        <v>1</v>
      </c>
      <c r="I61" s="365" t="str">
        <f ca="1">IF(OR(OP!$D$28=1,OP!$D$64=1),$I$10&amp;"保額不符投保規則，請再確認","")</f>
        <v/>
      </c>
      <c r="J61" s="334" t="str">
        <f ca="1">IF(I61="","",IF(COUNTA(I62:$I$138)&gt;0,"|",""))</f>
        <v/>
      </c>
      <c r="K61" s="110" t="s">
        <v>908</v>
      </c>
      <c r="L61" s="334"/>
      <c r="M61" s="335">
        <v>20</v>
      </c>
      <c r="N61" s="335"/>
    </row>
    <row r="62" spans="1:15" ht="52" thickBot="1">
      <c r="A62" s="350" t="s">
        <v>1005</v>
      </c>
      <c r="B62" s="351" t="s">
        <v>1006</v>
      </c>
      <c r="C62" s="374"/>
      <c r="D62" s="373" t="s">
        <v>868</v>
      </c>
      <c r="E62" s="375"/>
      <c r="F62" s="340" t="s">
        <v>1007</v>
      </c>
      <c r="G62" s="376"/>
      <c r="H62" s="334" t="str">
        <f>IF($H$8=1,$G62,"")</f>
        <v/>
      </c>
      <c r="I62" s="335"/>
      <c r="J62" s="334" t="str">
        <f>IF(I62="","",IF(COUNTA(I63:$I$138)&gt;0,"|",""))</f>
        <v/>
      </c>
      <c r="K62" s="110"/>
      <c r="L62" s="250"/>
      <c r="M62" s="110"/>
      <c r="N62" s="110"/>
      <c r="O62" s="110"/>
    </row>
    <row r="63" spans="1:15" ht="35" thickBot="1">
      <c r="A63" s="350" t="s">
        <v>1008</v>
      </c>
      <c r="B63" s="351" t="s">
        <v>1009</v>
      </c>
      <c r="C63" s="374"/>
      <c r="D63" s="373"/>
      <c r="E63" s="375"/>
      <c r="F63" s="340"/>
      <c r="G63" s="376"/>
      <c r="H63" s="334" t="str">
        <f>IF($H$8=1,$G63,"")</f>
        <v/>
      </c>
      <c r="I63" s="335"/>
      <c r="J63" s="334" t="str">
        <f>IF(I63="","",IF(COUNTA(I64:$I$138)&gt;0,"|",""))</f>
        <v/>
      </c>
      <c r="K63" s="110"/>
      <c r="L63" s="377" t="s">
        <v>991</v>
      </c>
      <c r="M63" s="110"/>
      <c r="N63" s="110"/>
      <c r="O63" s="110"/>
    </row>
    <row r="64" spans="1:15" ht="52" thickBot="1">
      <c r="A64" s="350" t="s">
        <v>1010</v>
      </c>
      <c r="B64" s="351" t="s">
        <v>1011</v>
      </c>
      <c r="C64" s="374"/>
      <c r="D64" s="373"/>
      <c r="E64" s="375"/>
      <c r="F64" s="340" t="s">
        <v>1012</v>
      </c>
      <c r="G64" s="376"/>
      <c r="H64" s="334" t="str">
        <f>IF($H$8=1,$G64,"")</f>
        <v/>
      </c>
      <c r="I64" s="335"/>
      <c r="J64" s="334" t="str">
        <f>IF(I64="","",IF(COUNTA(I65:$I$138)&gt;0,"|",""))</f>
        <v/>
      </c>
      <c r="K64" s="110"/>
      <c r="L64" s="334">
        <v>1</v>
      </c>
      <c r="M64" s="358" t="s">
        <v>1013</v>
      </c>
      <c r="N64" s="358" t="s">
        <v>1014</v>
      </c>
      <c r="O64" s="110"/>
    </row>
    <row r="65" spans="1:15" ht="35" thickBot="1">
      <c r="A65" s="350" t="s">
        <v>1015</v>
      </c>
      <c r="B65" s="351" t="s">
        <v>1016</v>
      </c>
      <c r="C65" s="351" t="s">
        <v>900</v>
      </c>
      <c r="D65" s="373"/>
      <c r="E65" s="339" t="s">
        <v>869</v>
      </c>
      <c r="F65" s="340"/>
      <c r="G65" s="342"/>
      <c r="H65" s="342"/>
      <c r="I65" s="368"/>
      <c r="J65" s="334" t="str">
        <f>IF(I65="","",IF(COUNTA(I66:$I$138)&gt;0,"|",""))</f>
        <v/>
      </c>
      <c r="K65" s="110"/>
      <c r="L65" s="334">
        <v>2</v>
      </c>
      <c r="M65" s="358" t="s">
        <v>1017</v>
      </c>
      <c r="N65" s="358" t="s">
        <v>1018</v>
      </c>
      <c r="O65" s="110"/>
    </row>
    <row r="66" spans="1:15" ht="18" thickBot="1">
      <c r="A66" s="350" t="s">
        <v>1019</v>
      </c>
      <c r="B66" s="351" t="s">
        <v>1020</v>
      </c>
      <c r="C66" s="374" t="s">
        <v>340</v>
      </c>
      <c r="D66" s="373"/>
      <c r="E66" s="339" t="s">
        <v>869</v>
      </c>
      <c r="F66" s="340"/>
      <c r="G66" s="250"/>
      <c r="H66" s="250"/>
      <c r="I66" s="110"/>
      <c r="J66" s="334" t="str">
        <f>IF(I66="","",IF(COUNTA(I67:$I$138)&gt;0,"|",""))</f>
        <v/>
      </c>
      <c r="K66" s="110"/>
      <c r="L66" s="334">
        <v>3</v>
      </c>
      <c r="M66" s="358" t="s">
        <v>1021</v>
      </c>
      <c r="N66" s="358" t="s">
        <v>1022</v>
      </c>
      <c r="O66" s="110"/>
    </row>
    <row r="67" spans="1:15" ht="35" thickBot="1">
      <c r="A67" s="350" t="s">
        <v>1023</v>
      </c>
      <c r="B67" s="351" t="s">
        <v>1024</v>
      </c>
      <c r="C67" s="374" t="s">
        <v>1025</v>
      </c>
      <c r="D67" s="373"/>
      <c r="E67" s="339" t="s">
        <v>869</v>
      </c>
      <c r="F67" s="340"/>
      <c r="G67" s="250"/>
      <c r="H67" s="250"/>
      <c r="I67" s="110"/>
      <c r="J67" s="334" t="str">
        <f>IF(I67="","",IF(COUNTA(I68:$I$138)&gt;0,"|",""))</f>
        <v/>
      </c>
      <c r="K67" s="110"/>
      <c r="L67" s="334">
        <v>4</v>
      </c>
      <c r="M67" s="358" t="s">
        <v>1026</v>
      </c>
      <c r="N67" s="358" t="s">
        <v>1027</v>
      </c>
      <c r="O67" s="110"/>
    </row>
    <row r="68" spans="1:15" ht="18" thickBot="1">
      <c r="A68" s="350" t="s">
        <v>1028</v>
      </c>
      <c r="B68" s="351" t="s">
        <v>1029</v>
      </c>
      <c r="C68" s="374" t="s">
        <v>1025</v>
      </c>
      <c r="D68" s="373"/>
      <c r="E68" s="339" t="s">
        <v>869</v>
      </c>
      <c r="F68" s="340"/>
      <c r="G68" s="250"/>
      <c r="H68" s="250"/>
      <c r="I68" s="110"/>
      <c r="J68" s="334" t="str">
        <f>IF(I68="","",IF(COUNTA(I69:$I$138)&gt;0,"|",""))</f>
        <v/>
      </c>
      <c r="K68" s="110"/>
      <c r="L68" s="334"/>
      <c r="M68" s="335"/>
      <c r="N68" s="335"/>
      <c r="O68" s="110"/>
    </row>
    <row r="69" spans="1:15" ht="34">
      <c r="A69" s="767" t="s">
        <v>1030</v>
      </c>
      <c r="B69" s="762" t="s">
        <v>1031</v>
      </c>
      <c r="C69" s="349" t="s">
        <v>983</v>
      </c>
      <c r="D69" s="757"/>
      <c r="E69" s="782" t="s">
        <v>869</v>
      </c>
      <c r="F69" s="784" t="s">
        <v>1032</v>
      </c>
      <c r="G69" s="250"/>
      <c r="H69" s="250"/>
      <c r="I69" s="110"/>
      <c r="J69" s="334" t="str">
        <f>IF(I69="","",IF(COUNTA(I70:$I$138)&gt;0,"|",""))</f>
        <v/>
      </c>
      <c r="K69" s="110"/>
      <c r="L69" s="334"/>
      <c r="M69" s="335"/>
      <c r="N69" s="335"/>
      <c r="O69" s="110"/>
    </row>
    <row r="70" spans="1:15" ht="35" thickBot="1">
      <c r="A70" s="768"/>
      <c r="B70" s="764"/>
      <c r="C70" s="351" t="s">
        <v>986</v>
      </c>
      <c r="D70" s="758"/>
      <c r="E70" s="783"/>
      <c r="F70" s="784"/>
      <c r="G70" s="250"/>
      <c r="H70" s="250"/>
      <c r="I70" s="110"/>
      <c r="J70" s="334" t="str">
        <f>IF(I70="","",IF(COUNTA(I71:$I$138)&gt;0,"|",""))</f>
        <v/>
      </c>
      <c r="K70" s="110"/>
      <c r="L70" s="250"/>
      <c r="M70" s="110"/>
      <c r="N70" s="110"/>
      <c r="O70" s="110"/>
    </row>
    <row r="71" spans="1:15" ht="34">
      <c r="A71" s="767" t="s">
        <v>1033</v>
      </c>
      <c r="B71" s="762" t="s">
        <v>1034</v>
      </c>
      <c r="C71" s="349" t="s">
        <v>983</v>
      </c>
      <c r="D71" s="757"/>
      <c r="E71" s="771"/>
      <c r="F71" s="340"/>
      <c r="G71" s="356"/>
      <c r="H71" s="327" t="str">
        <f>IF($H$8=1,IF(ISERROR(VLOOKUP($G71,$L$44:$N$49,2,0)),"",VLOOKUP($G71,$L$44:$N$49,2,0)),輸入頁!$E$19)</f>
        <v>現金給付</v>
      </c>
      <c r="I71" s="335" t="str">
        <f>IF(AND($I$8&lt;&gt;3,OR($H$71="",OP!$E$96=1)),$I$10&amp;"給付方式錯誤","")</f>
        <v/>
      </c>
      <c r="J71" s="334" t="str">
        <f>IF(I71="","",IF(COUNTA(I72:$I$138)&gt;0,"|",""))</f>
        <v/>
      </c>
      <c r="K71" s="110"/>
      <c r="L71" s="377" t="s">
        <v>1035</v>
      </c>
      <c r="M71" s="110"/>
      <c r="N71" s="110"/>
      <c r="O71" s="110"/>
    </row>
    <row r="72" spans="1:15" ht="34">
      <c r="A72" s="773"/>
      <c r="B72" s="763"/>
      <c r="C72" s="349" t="s">
        <v>986</v>
      </c>
      <c r="D72" s="765"/>
      <c r="E72" s="774"/>
      <c r="F72" s="340"/>
      <c r="G72" s="342"/>
      <c r="H72" s="342"/>
      <c r="I72" s="368"/>
      <c r="J72" s="334" t="str">
        <f>IF(I72="","",IF(COUNTA(I73:$I$138)&gt;0,"|",""))</f>
        <v/>
      </c>
      <c r="K72" s="110"/>
      <c r="L72" s="334">
        <v>10</v>
      </c>
      <c r="M72" s="335">
        <v>20</v>
      </c>
      <c r="N72" s="335"/>
      <c r="O72" s="110"/>
    </row>
    <row r="73" spans="1:15" ht="34">
      <c r="A73" s="773"/>
      <c r="B73" s="763"/>
      <c r="C73" s="349" t="s">
        <v>988</v>
      </c>
      <c r="D73" s="765"/>
      <c r="E73" s="774"/>
      <c r="F73" s="340"/>
      <c r="G73" s="250"/>
      <c r="H73" s="250"/>
      <c r="I73" s="110"/>
      <c r="J73" s="334" t="str">
        <f>IF(I73="","",IF(COUNTA(I74:$I$138)&gt;0,"|",""))</f>
        <v/>
      </c>
      <c r="K73" s="110"/>
      <c r="L73" s="334"/>
      <c r="M73" s="335"/>
      <c r="N73" s="335"/>
      <c r="O73" s="110"/>
    </row>
    <row r="74" spans="1:15" ht="35" thickBot="1">
      <c r="A74" s="768"/>
      <c r="B74" s="764"/>
      <c r="C74" s="351" t="s">
        <v>990</v>
      </c>
      <c r="D74" s="758"/>
      <c r="E74" s="772"/>
      <c r="F74" s="340"/>
      <c r="G74" s="354"/>
      <c r="H74" s="354"/>
      <c r="I74" s="360"/>
      <c r="J74" s="334" t="str">
        <f>IF(I74="","",IF(COUNTA(I75:$I$138)&gt;0,"|",""))</f>
        <v/>
      </c>
      <c r="K74" s="110"/>
      <c r="L74" s="334"/>
      <c r="M74" s="335"/>
      <c r="N74" s="335"/>
      <c r="O74" s="110"/>
    </row>
    <row r="75" spans="1:15" ht="69" thickBot="1">
      <c r="A75" s="350" t="s">
        <v>1036</v>
      </c>
      <c r="B75" s="351" t="s">
        <v>1037</v>
      </c>
      <c r="C75" s="351" t="s">
        <v>900</v>
      </c>
      <c r="D75" s="373"/>
      <c r="E75" s="339" t="s">
        <v>869</v>
      </c>
      <c r="F75" s="340" t="s">
        <v>1038</v>
      </c>
      <c r="G75" s="356"/>
      <c r="H75" s="334"/>
      <c r="I75" s="335"/>
      <c r="J75" s="334" t="str">
        <f>IF(I75="","",IF(COUNTA(I76:$I$138)&gt;0,"|",""))</f>
        <v/>
      </c>
      <c r="K75" s="110"/>
      <c r="L75" s="250"/>
      <c r="M75" s="110"/>
      <c r="N75" s="110"/>
      <c r="O75" s="110"/>
    </row>
    <row r="76" spans="1:15" ht="35" thickBot="1">
      <c r="A76" s="350" t="s">
        <v>1039</v>
      </c>
      <c r="B76" s="351" t="s">
        <v>1040</v>
      </c>
      <c r="C76" s="351" t="s">
        <v>1025</v>
      </c>
      <c r="D76" s="373"/>
      <c r="E76" s="339" t="s">
        <v>869</v>
      </c>
      <c r="F76" s="781" t="s">
        <v>1041</v>
      </c>
      <c r="G76" s="356"/>
      <c r="H76" s="334"/>
      <c r="I76" s="335"/>
      <c r="J76" s="334" t="str">
        <f>IF(I76="","",IF(COUNTA(I77:$I$138)&gt;0,"|",""))</f>
        <v/>
      </c>
      <c r="K76" s="110"/>
      <c r="L76" s="250"/>
      <c r="M76" s="110"/>
      <c r="N76" s="110"/>
      <c r="O76" s="110"/>
    </row>
    <row r="77" spans="1:15" ht="52" thickBot="1">
      <c r="A77" s="350" t="s">
        <v>1042</v>
      </c>
      <c r="B77" s="351" t="s">
        <v>1043</v>
      </c>
      <c r="C77" s="351" t="s">
        <v>1002</v>
      </c>
      <c r="D77" s="373"/>
      <c r="E77" s="339" t="s">
        <v>869</v>
      </c>
      <c r="F77" s="781"/>
      <c r="G77" s="356"/>
      <c r="H77" s="334"/>
      <c r="I77" s="335"/>
      <c r="J77" s="334" t="str">
        <f>IF(I77="","",IF(COUNTA(I78:$I$138)&gt;0,"|",""))</f>
        <v/>
      </c>
      <c r="K77" s="110"/>
      <c r="L77" s="250"/>
      <c r="M77" s="110"/>
      <c r="N77" s="110"/>
      <c r="O77" s="110"/>
    </row>
    <row r="78" spans="1:15" ht="52" thickBot="1">
      <c r="A78" s="350" t="s">
        <v>1044</v>
      </c>
      <c r="B78" s="351" t="s">
        <v>1045</v>
      </c>
      <c r="C78" s="374" t="s">
        <v>340</v>
      </c>
      <c r="D78" s="373"/>
      <c r="E78" s="378" t="s">
        <v>869</v>
      </c>
      <c r="F78" s="781"/>
      <c r="G78" s="356"/>
      <c r="H78" s="334"/>
      <c r="I78" s="335"/>
      <c r="J78" s="334" t="str">
        <f>IF(I78="","",IF(COUNTA(I79:$I$138)&gt;0,"|",""))</f>
        <v/>
      </c>
      <c r="K78" s="110"/>
      <c r="L78" s="250"/>
      <c r="M78" s="110"/>
      <c r="N78" s="110"/>
      <c r="O78" s="110"/>
    </row>
    <row r="79" spans="1:15" ht="51">
      <c r="A79" s="767" t="s">
        <v>1046</v>
      </c>
      <c r="B79" s="349" t="s">
        <v>1047</v>
      </c>
      <c r="C79" s="762" t="s">
        <v>1048</v>
      </c>
      <c r="D79" s="757"/>
      <c r="E79" s="771"/>
      <c r="F79" s="340"/>
      <c r="G79" s="379">
        <v>100</v>
      </c>
      <c r="H79" s="380">
        <f>IF($H$8=1,$G79/100,輸入頁!$G$26/100)</f>
        <v>0</v>
      </c>
      <c r="I79" s="335" t="str">
        <f>IF(K79=0,"",IF(OR(AND($G$79&lt;&gt;"",$G$79*1&lt;0),$G$79*1&gt;100,AND($G$79&lt;&gt;"",LEN($G$79)&lt;&gt;LEN(ROUND($G$79,0)))),"分期定期保險金比例錯誤",""))</f>
        <v/>
      </c>
      <c r="J79" s="334" t="str">
        <f>IF(I79="","",IF(COUNTA(I80:$I$138)&gt;0,"|",""))</f>
        <v/>
      </c>
      <c r="K79" s="381">
        <v>0</v>
      </c>
      <c r="L79" s="382" t="str">
        <f>IF(AND($G$79&lt;&gt;"",OR($H$79&lt;0,$H$79&gt;1)),"約定分期給付比例錯誤","")</f>
        <v/>
      </c>
      <c r="M79" s="110"/>
      <c r="N79" s="110"/>
      <c r="O79" s="110"/>
    </row>
    <row r="80" spans="1:15" ht="35" thickBot="1">
      <c r="A80" s="768"/>
      <c r="B80" s="351" t="s">
        <v>1049</v>
      </c>
      <c r="C80" s="764"/>
      <c r="D80" s="758"/>
      <c r="E80" s="772"/>
      <c r="F80" s="340"/>
      <c r="G80" s="359"/>
      <c r="H80" s="359"/>
      <c r="I80" s="363"/>
      <c r="J80" s="334" t="str">
        <f>IF(I80="","",IF(COUNTA(I81:$I$138)&gt;0,"|",""))</f>
        <v/>
      </c>
      <c r="K80" s="110"/>
      <c r="L80" s="250"/>
      <c r="M80" s="110"/>
      <c r="N80" s="110"/>
      <c r="O80" s="110"/>
    </row>
    <row r="81" spans="1:15" ht="52" thickBot="1">
      <c r="A81" s="350" t="s">
        <v>1050</v>
      </c>
      <c r="B81" s="351" t="s">
        <v>1051</v>
      </c>
      <c r="C81" s="374" t="s">
        <v>340</v>
      </c>
      <c r="D81" s="373"/>
      <c r="E81" s="375"/>
      <c r="F81" s="340" t="s">
        <v>1052</v>
      </c>
      <c r="G81" s="356"/>
      <c r="H81" s="327">
        <f>IF($H$8=1,$G81,輸入頁!$G$30)</f>
        <v>10</v>
      </c>
      <c r="I81" s="335" t="str">
        <f>IF(K81=0,"",IF(OR(AND($G$79&gt;0,$G$79&lt;=100,$G$81="")),"分期定期保險金給付年期未設定",IF($G$81="","",IF(OR($G$81=10,$G$81=20),"",IF($G$79*1=0,"","分期定期保險金給付年期錯誤")))))</f>
        <v/>
      </c>
      <c r="J81" s="334" t="str">
        <f>IF(I81="","",IF(COUNTA(I82:$I$138)&gt;0,"|",""))</f>
        <v/>
      </c>
      <c r="K81" s="381">
        <v>0</v>
      </c>
      <c r="L81" s="382" t="str">
        <f>IF(AND($G$81&lt;&gt;"",COUNTIF($L$72:$N$74,$H$81)&lt;&gt;1),"約定分期年期錯誤","")</f>
        <v/>
      </c>
      <c r="M81" s="110"/>
      <c r="N81" s="110"/>
      <c r="O81" s="110"/>
    </row>
    <row r="82" spans="1:15" ht="34">
      <c r="A82" s="767" t="s">
        <v>1053</v>
      </c>
      <c r="B82" s="762" t="s">
        <v>1054</v>
      </c>
      <c r="C82" s="349" t="s">
        <v>993</v>
      </c>
      <c r="D82" s="757"/>
      <c r="E82" s="771"/>
      <c r="F82" s="340"/>
      <c r="G82" s="356"/>
      <c r="H82" s="327" t="str">
        <f>IF($H$8=1,IF(ISERROR(VLOOKUP($G82,$L$52:$N$55,2,0)),"",VLOOKUP($G82,$L$52:$N$55,2,0)),"")</f>
        <v/>
      </c>
      <c r="I82" s="335"/>
      <c r="J82" s="334" t="str">
        <f>IF(I82="","",IF(COUNTA(I83:$I$138)&gt;0,"|",""))</f>
        <v/>
      </c>
      <c r="K82" s="110"/>
      <c r="L82" s="250"/>
      <c r="M82" s="110"/>
      <c r="N82" s="110"/>
      <c r="O82" s="110"/>
    </row>
    <row r="83" spans="1:15" ht="35" thickBot="1">
      <c r="A83" s="768"/>
      <c r="B83" s="764"/>
      <c r="C83" s="351" t="s">
        <v>997</v>
      </c>
      <c r="D83" s="758"/>
      <c r="E83" s="772"/>
      <c r="F83" s="340"/>
      <c r="G83" s="359"/>
      <c r="H83" s="359"/>
      <c r="I83" s="363"/>
      <c r="J83" s="334" t="str">
        <f>IF(I83="","",IF(COUNTA(I84:$I$138)&gt;0,"|",""))</f>
        <v/>
      </c>
      <c r="K83" s="110"/>
      <c r="L83" s="250"/>
      <c r="M83" s="110"/>
      <c r="N83" s="110"/>
      <c r="O83" s="110"/>
    </row>
    <row r="84" spans="1:15" ht="35" thickBot="1">
      <c r="A84" s="350" t="s">
        <v>1055</v>
      </c>
      <c r="B84" s="351" t="s">
        <v>1056</v>
      </c>
      <c r="C84" s="351" t="s">
        <v>340</v>
      </c>
      <c r="D84" s="373"/>
      <c r="E84" s="375"/>
      <c r="F84" s="340"/>
      <c r="G84" s="356"/>
      <c r="H84" s="327" t="str">
        <f>IF($H$8=1,$G84,"")</f>
        <v/>
      </c>
      <c r="I84" s="335"/>
      <c r="J84" s="334" t="str">
        <f>IF(I84="","",IF(COUNTA(I85:$I$138)&gt;0,"|",""))</f>
        <v/>
      </c>
      <c r="K84" s="110"/>
      <c r="L84" s="250"/>
      <c r="M84" s="110"/>
      <c r="N84" s="110"/>
      <c r="O84" s="110"/>
    </row>
    <row r="85" spans="1:15" ht="35" thickBot="1">
      <c r="A85" s="350" t="s">
        <v>1057</v>
      </c>
      <c r="B85" s="351" t="s">
        <v>1058</v>
      </c>
      <c r="C85" s="351" t="s">
        <v>1025</v>
      </c>
      <c r="D85" s="373"/>
      <c r="E85" s="339" t="s">
        <v>869</v>
      </c>
      <c r="F85" s="340"/>
      <c r="G85" s="359"/>
      <c r="H85" s="359"/>
      <c r="I85" s="363"/>
      <c r="J85" s="334" t="str">
        <f>IF(I85="","",IF(COUNTA(I86:$I$138)&gt;0,"|",""))</f>
        <v/>
      </c>
      <c r="K85" s="110"/>
      <c r="L85" s="250"/>
      <c r="M85" s="110"/>
      <c r="N85" s="110"/>
      <c r="O85" s="110"/>
    </row>
    <row r="86" spans="1:15" ht="17">
      <c r="A86" s="767" t="s">
        <v>1059</v>
      </c>
      <c r="B86" s="762" t="s">
        <v>1060</v>
      </c>
      <c r="C86" s="349" t="s">
        <v>1014</v>
      </c>
      <c r="D86" s="757"/>
      <c r="E86" s="771"/>
      <c r="F86" s="340"/>
      <c r="G86" s="356"/>
      <c r="H86" s="327" t="str">
        <f>IF($H$8=1,IF(ISERROR(VLOOKUP($G86,$L$64:$M$69,2,0)),"",VLOOKUP($G86,$L$64:$M$69,2,0)),"")</f>
        <v/>
      </c>
      <c r="I86" s="335"/>
      <c r="J86" s="334" t="str">
        <f>IF(I86="","",IF(COUNTA(I87:$I$138)&gt;0,"|",""))</f>
        <v/>
      </c>
      <c r="K86" s="110"/>
      <c r="L86" s="250"/>
      <c r="M86" s="110"/>
      <c r="N86" s="110"/>
      <c r="O86" s="110"/>
    </row>
    <row r="87" spans="1:15" ht="17">
      <c r="A87" s="773"/>
      <c r="B87" s="763"/>
      <c r="C87" s="349" t="s">
        <v>1018</v>
      </c>
      <c r="D87" s="765"/>
      <c r="E87" s="774"/>
      <c r="F87" s="340"/>
      <c r="G87" s="342"/>
      <c r="H87" s="342"/>
      <c r="I87" s="368"/>
      <c r="J87" s="334" t="str">
        <f>IF(I87="","",IF(COUNTA(I88:$I$138)&gt;0,"|",""))</f>
        <v/>
      </c>
      <c r="K87" s="110"/>
      <c r="L87" s="250"/>
      <c r="M87" s="110"/>
      <c r="N87" s="110"/>
      <c r="O87" s="110"/>
    </row>
    <row r="88" spans="1:15" ht="17">
      <c r="A88" s="773"/>
      <c r="B88" s="763"/>
      <c r="C88" s="349" t="s">
        <v>1022</v>
      </c>
      <c r="D88" s="765"/>
      <c r="E88" s="774"/>
      <c r="F88" s="340"/>
      <c r="G88" s="250"/>
      <c r="H88" s="250"/>
      <c r="I88" s="110"/>
      <c r="J88" s="334" t="str">
        <f>IF(I88="","",IF(COUNTA(I89:$I$138)&gt;0,"|",""))</f>
        <v/>
      </c>
      <c r="K88" s="110"/>
      <c r="L88" s="250"/>
      <c r="M88" s="110"/>
      <c r="N88" s="110"/>
      <c r="O88" s="110"/>
    </row>
    <row r="89" spans="1:15" ht="35" thickBot="1">
      <c r="A89" s="768"/>
      <c r="B89" s="764"/>
      <c r="C89" s="351" t="s">
        <v>1027</v>
      </c>
      <c r="D89" s="758"/>
      <c r="E89" s="772"/>
      <c r="F89" s="340"/>
      <c r="G89" s="250"/>
      <c r="H89" s="250"/>
      <c r="I89" s="110"/>
      <c r="J89" s="334" t="str">
        <f>IF(I89="","",IF(COUNTA(I90:$I$138)&gt;0,"|",""))</f>
        <v/>
      </c>
      <c r="K89" s="110"/>
      <c r="L89" s="250"/>
      <c r="M89" s="110"/>
      <c r="N89" s="110"/>
      <c r="O89" s="110"/>
    </row>
    <row r="90" spans="1:15" ht="35" thickBot="1">
      <c r="A90" s="350" t="s">
        <v>1061</v>
      </c>
      <c r="B90" s="351" t="s">
        <v>1062</v>
      </c>
      <c r="C90" s="374" t="s">
        <v>1063</v>
      </c>
      <c r="D90" s="373"/>
      <c r="E90" s="375"/>
      <c r="F90" s="340" t="s">
        <v>1064</v>
      </c>
      <c r="G90" s="250"/>
      <c r="H90" s="250"/>
      <c r="I90" s="110"/>
      <c r="J90" s="334" t="str">
        <f>IF(I90="","",IF(COUNTA(I91:$I$138)&gt;0,"|",""))</f>
        <v/>
      </c>
      <c r="K90" s="110"/>
      <c r="L90" s="250"/>
      <c r="M90" s="110"/>
      <c r="N90" s="110"/>
      <c r="O90" s="110"/>
    </row>
    <row r="91" spans="1:15" ht="35" thickBot="1">
      <c r="A91" s="350" t="s">
        <v>1065</v>
      </c>
      <c r="B91" s="351" t="s">
        <v>1066</v>
      </c>
      <c r="C91" s="374" t="s">
        <v>1063</v>
      </c>
      <c r="D91" s="373"/>
      <c r="E91" s="339" t="s">
        <v>869</v>
      </c>
      <c r="F91" s="340"/>
      <c r="G91" s="250"/>
      <c r="H91" s="250"/>
      <c r="I91" s="110"/>
      <c r="J91" s="334" t="str">
        <f>IF(I91="","",IF(COUNTA(I92:$I$138)&gt;0,"|",""))</f>
        <v/>
      </c>
      <c r="K91" s="110"/>
      <c r="L91" s="250"/>
      <c r="M91" s="110"/>
      <c r="N91" s="110"/>
      <c r="O91" s="110"/>
    </row>
    <row r="92" spans="1:15" ht="69" thickBot="1">
      <c r="A92" s="350" t="s">
        <v>1067</v>
      </c>
      <c r="B92" s="351" t="s">
        <v>1068</v>
      </c>
      <c r="C92" s="351" t="s">
        <v>340</v>
      </c>
      <c r="D92" s="373"/>
      <c r="E92" s="375"/>
      <c r="F92" s="340"/>
      <c r="G92" s="356"/>
      <c r="H92" s="327" t="str">
        <f>IF($H$8=1,$G92,"")</f>
        <v/>
      </c>
      <c r="I92" s="335"/>
      <c r="J92" s="334" t="str">
        <f>IF(I92="","",IF(COUNTA(I93:$I$138)&gt;0,"|",""))</f>
        <v/>
      </c>
      <c r="K92" s="110"/>
      <c r="L92" s="250"/>
      <c r="M92" s="110"/>
      <c r="N92" s="110"/>
      <c r="O92" s="110"/>
    </row>
    <row r="93" spans="1:15" ht="35" thickBot="1">
      <c r="A93" s="350" t="s">
        <v>1069</v>
      </c>
      <c r="B93" s="351" t="s">
        <v>1070</v>
      </c>
      <c r="C93" s="351" t="s">
        <v>340</v>
      </c>
      <c r="D93" s="373"/>
      <c r="E93" s="375"/>
      <c r="F93" s="340"/>
      <c r="G93" s="356"/>
      <c r="H93" s="327" t="str">
        <f>IF($H$8=1,$G93,"")</f>
        <v/>
      </c>
      <c r="I93" s="335"/>
      <c r="J93" s="334" t="str">
        <f>IF(I93="","",IF(COUNTA(I94:$I$138)&gt;0,"|",""))</f>
        <v/>
      </c>
      <c r="K93" s="110"/>
      <c r="L93" s="250"/>
      <c r="M93" s="110"/>
      <c r="N93" s="110"/>
      <c r="O93" s="110"/>
    </row>
    <row r="94" spans="1:15" ht="52" thickBot="1">
      <c r="A94" s="350" t="s">
        <v>1071</v>
      </c>
      <c r="B94" s="351" t="s">
        <v>1072</v>
      </c>
      <c r="C94" s="351" t="s">
        <v>340</v>
      </c>
      <c r="D94" s="373"/>
      <c r="E94" s="375"/>
      <c r="F94" s="340"/>
      <c r="G94" s="356"/>
      <c r="H94" s="327" t="str">
        <f>IF($H$8=1,$G94,"")</f>
        <v/>
      </c>
      <c r="I94" s="335"/>
      <c r="J94" s="334" t="str">
        <f>IF(I94="","",IF(COUNTA(I95:$I$138)&gt;0,"|",""))</f>
        <v/>
      </c>
      <c r="K94" s="110"/>
      <c r="L94" s="250"/>
      <c r="M94" s="110"/>
      <c r="N94" s="110"/>
      <c r="O94" s="110"/>
    </row>
    <row r="95" spans="1:15" ht="68">
      <c r="A95" s="767" t="s">
        <v>1073</v>
      </c>
      <c r="B95" s="762" t="s">
        <v>1074</v>
      </c>
      <c r="C95" s="349" t="s">
        <v>1002</v>
      </c>
      <c r="D95" s="757"/>
      <c r="E95" s="769"/>
      <c r="F95" s="340" t="s">
        <v>1075</v>
      </c>
      <c r="G95" s="356"/>
      <c r="H95" s="327" t="str">
        <f>IF($H$8=1,$G95,"")</f>
        <v/>
      </c>
      <c r="I95" s="335"/>
      <c r="J95" s="334" t="str">
        <f>IF(I95="","",IF(COUNTA(I96:$I$138)&gt;0,"|",""))</f>
        <v/>
      </c>
      <c r="K95" s="110"/>
      <c r="L95" s="250"/>
      <c r="M95" s="110"/>
      <c r="N95" s="110"/>
      <c r="O95" s="110"/>
    </row>
    <row r="96" spans="1:15" ht="52" thickBot="1">
      <c r="A96" s="768"/>
      <c r="B96" s="764"/>
      <c r="C96" s="351" t="s">
        <v>1076</v>
      </c>
      <c r="D96" s="758"/>
      <c r="E96" s="770"/>
      <c r="F96" s="340"/>
      <c r="G96" s="342"/>
      <c r="H96" s="342"/>
      <c r="I96" s="368"/>
      <c r="J96" s="334" t="str">
        <f>IF(I96="","",IF(COUNTA(I97:$I$138)&gt;0,"|",""))</f>
        <v/>
      </c>
      <c r="K96" s="110"/>
      <c r="L96" s="250"/>
      <c r="M96" s="110"/>
      <c r="N96" s="110"/>
      <c r="O96" s="110"/>
    </row>
    <row r="97" spans="1:15" ht="34">
      <c r="A97" s="767" t="s">
        <v>1077</v>
      </c>
      <c r="B97" s="762" t="s">
        <v>1078</v>
      </c>
      <c r="C97" s="349" t="s">
        <v>1002</v>
      </c>
      <c r="D97" s="757"/>
      <c r="E97" s="759" t="s">
        <v>869</v>
      </c>
      <c r="F97" s="340"/>
      <c r="G97" s="250"/>
      <c r="H97" s="250"/>
      <c r="I97" s="110"/>
      <c r="J97" s="334" t="str">
        <f>IF(I97="","",IF(COUNTA(I98:$I$138)&gt;0,"|",""))</f>
        <v/>
      </c>
      <c r="K97" s="110"/>
      <c r="L97" s="250"/>
      <c r="M97" s="110"/>
      <c r="N97" s="110"/>
      <c r="O97" s="110"/>
    </row>
    <row r="98" spans="1:15" ht="52" thickBot="1">
      <c r="A98" s="768"/>
      <c r="B98" s="764"/>
      <c r="C98" s="351" t="s">
        <v>1079</v>
      </c>
      <c r="D98" s="758"/>
      <c r="E98" s="760"/>
      <c r="F98" s="340"/>
      <c r="G98" s="250"/>
      <c r="H98" s="250"/>
      <c r="I98" s="110"/>
      <c r="J98" s="334" t="str">
        <f>IF(I98="","",IF(COUNTA(I99:$I$138)&gt;0,"|",""))</f>
        <v/>
      </c>
      <c r="K98" s="110"/>
      <c r="L98" s="250"/>
      <c r="M98" s="110"/>
      <c r="N98" s="110"/>
      <c r="O98" s="110"/>
    </row>
    <row r="99" spans="1:15" ht="35" thickBot="1">
      <c r="A99" s="350" t="s">
        <v>1080</v>
      </c>
      <c r="B99" s="351" t="s">
        <v>1081</v>
      </c>
      <c r="C99" s="374" t="s">
        <v>1082</v>
      </c>
      <c r="D99" s="373"/>
      <c r="E99" s="339" t="s">
        <v>869</v>
      </c>
      <c r="F99" s="340"/>
      <c r="G99" s="250"/>
      <c r="H99" s="250"/>
      <c r="I99" s="110"/>
      <c r="J99" s="334" t="str">
        <f>IF(I99="","",IF(COUNTA(I100:$I$138)&gt;0,"|",""))</f>
        <v/>
      </c>
      <c r="K99" s="110"/>
      <c r="L99" s="250"/>
      <c r="M99" s="110"/>
      <c r="N99" s="110"/>
      <c r="O99" s="110"/>
    </row>
    <row r="100" spans="1:15" ht="35" thickBot="1">
      <c r="A100" s="350" t="s">
        <v>1083</v>
      </c>
      <c r="B100" s="351" t="s">
        <v>1084</v>
      </c>
      <c r="C100" s="374" t="s">
        <v>1082</v>
      </c>
      <c r="D100" s="373"/>
      <c r="E100" s="339" t="s">
        <v>869</v>
      </c>
      <c r="F100" s="340"/>
      <c r="G100" s="250"/>
      <c r="H100" s="250"/>
      <c r="I100" s="110"/>
      <c r="J100" s="334" t="str">
        <f>IF(I100="","",IF(COUNTA(I101:$I$138)&gt;0,"|",""))</f>
        <v/>
      </c>
      <c r="K100" s="110"/>
      <c r="L100" s="250"/>
      <c r="M100" s="110"/>
      <c r="N100" s="110"/>
      <c r="O100" s="110"/>
    </row>
    <row r="101" spans="1:15" ht="35" thickBot="1">
      <c r="A101" s="350" t="s">
        <v>1085</v>
      </c>
      <c r="B101" s="351" t="s">
        <v>1086</v>
      </c>
      <c r="C101" s="374" t="s">
        <v>1082</v>
      </c>
      <c r="D101" s="373"/>
      <c r="E101" s="339" t="s">
        <v>869</v>
      </c>
      <c r="F101" s="340"/>
      <c r="G101" s="250"/>
      <c r="H101" s="250"/>
      <c r="I101" s="110"/>
      <c r="J101" s="334" t="str">
        <f>IF(I101="","",IF(COUNTA(I102:$I$138)&gt;0,"|",""))</f>
        <v/>
      </c>
      <c r="K101" s="110"/>
      <c r="L101" s="250"/>
      <c r="M101" s="110"/>
      <c r="N101" s="110"/>
      <c r="O101" s="110"/>
    </row>
    <row r="102" spans="1:15" ht="35" thickBot="1">
      <c r="A102" s="350" t="s">
        <v>1087</v>
      </c>
      <c r="B102" s="351" t="s">
        <v>1088</v>
      </c>
      <c r="C102" s="374" t="s">
        <v>1082</v>
      </c>
      <c r="D102" s="373"/>
      <c r="E102" s="339" t="s">
        <v>869</v>
      </c>
      <c r="F102" s="340"/>
      <c r="G102" s="250"/>
      <c r="H102" s="250"/>
      <c r="I102" s="110"/>
      <c r="J102" s="334" t="str">
        <f>IF(I102="","",IF(COUNTA(I103:$I$138)&gt;0,"|",""))</f>
        <v/>
      </c>
      <c r="K102" s="110"/>
      <c r="L102" s="250"/>
      <c r="M102" s="110"/>
      <c r="N102" s="110"/>
      <c r="O102" s="110"/>
    </row>
    <row r="103" spans="1:15" ht="35" thickBot="1">
      <c r="A103" s="350" t="s">
        <v>1089</v>
      </c>
      <c r="B103" s="351" t="s">
        <v>1090</v>
      </c>
      <c r="C103" s="374" t="s">
        <v>1082</v>
      </c>
      <c r="D103" s="373"/>
      <c r="E103" s="339" t="s">
        <v>869</v>
      </c>
      <c r="F103" s="340"/>
      <c r="G103" s="250"/>
      <c r="H103" s="250"/>
      <c r="I103" s="110"/>
      <c r="J103" s="334" t="str">
        <f>IF(I103="","",IF(COUNTA(I104:$I$138)&gt;0,"|",""))</f>
        <v/>
      </c>
      <c r="K103" s="110"/>
      <c r="L103" s="250"/>
      <c r="M103" s="110"/>
      <c r="N103" s="110"/>
      <c r="O103" s="110"/>
    </row>
    <row r="104" spans="1:15" ht="52" thickBot="1">
      <c r="A104" s="350" t="s">
        <v>1091</v>
      </c>
      <c r="B104" s="351" t="s">
        <v>1092</v>
      </c>
      <c r="C104" s="351" t="s">
        <v>1063</v>
      </c>
      <c r="D104" s="373"/>
      <c r="E104" s="339" t="s">
        <v>869</v>
      </c>
      <c r="F104" s="340"/>
      <c r="G104" s="250"/>
      <c r="H104" s="250"/>
      <c r="I104" s="110"/>
      <c r="J104" s="334" t="str">
        <f>IF(I104="","",IF(COUNTA(I105:$I$138)&gt;0,"|",""))</f>
        <v/>
      </c>
      <c r="K104" s="110"/>
      <c r="L104" s="250"/>
      <c r="M104" s="110"/>
      <c r="N104" s="110"/>
      <c r="O104" s="110"/>
    </row>
    <row r="105" spans="1:15" ht="35" thickBot="1">
      <c r="A105" s="383" t="s">
        <v>1093</v>
      </c>
      <c r="B105" s="374" t="s">
        <v>1094</v>
      </c>
      <c r="C105" s="374" t="s">
        <v>1025</v>
      </c>
      <c r="D105" s="373"/>
      <c r="E105" s="339" t="s">
        <v>869</v>
      </c>
      <c r="F105" s="340"/>
      <c r="G105" s="250"/>
      <c r="H105" s="250"/>
      <c r="I105" s="110"/>
      <c r="J105" s="334" t="str">
        <f>IF(I105="","",IF(COUNTA(I106:$I$138)&gt;0,"|",""))</f>
        <v/>
      </c>
      <c r="K105" s="110"/>
      <c r="L105" s="250"/>
      <c r="M105" s="110"/>
      <c r="N105" s="110"/>
      <c r="O105" s="110"/>
    </row>
    <row r="106" spans="1:15" ht="18" thickBot="1">
      <c r="A106" s="350" t="s">
        <v>1095</v>
      </c>
      <c r="B106" s="351" t="s">
        <v>1096</v>
      </c>
      <c r="C106" s="351" t="s">
        <v>900</v>
      </c>
      <c r="D106" s="373"/>
      <c r="E106" s="375"/>
      <c r="F106" s="340"/>
      <c r="G106" s="356"/>
      <c r="H106" s="327" t="str">
        <f>IF($H$8=1,$G106,"")</f>
        <v/>
      </c>
      <c r="I106" s="335"/>
      <c r="J106" s="334" t="str">
        <f>IF(I106="","",IF(COUNTA(I107:$I$138)&gt;0,"|",""))</f>
        <v/>
      </c>
      <c r="K106" s="110"/>
      <c r="L106" s="250"/>
      <c r="M106" s="110"/>
      <c r="N106" s="110"/>
      <c r="O106" s="110"/>
    </row>
    <row r="107" spans="1:15" ht="18" thickBot="1">
      <c r="A107" s="350" t="s">
        <v>1097</v>
      </c>
      <c r="B107" s="351" t="s">
        <v>1098</v>
      </c>
      <c r="C107" s="374" t="s">
        <v>1082</v>
      </c>
      <c r="D107" s="373"/>
      <c r="E107" s="339" t="s">
        <v>869</v>
      </c>
      <c r="F107" s="340"/>
      <c r="G107" s="250"/>
      <c r="H107" s="250"/>
      <c r="I107" s="110"/>
      <c r="J107" s="334" t="str">
        <f>IF(I107="","",IF(COUNTA(I108:$I$138)&gt;0,"|",""))</f>
        <v/>
      </c>
      <c r="K107" s="110"/>
      <c r="L107" s="250"/>
      <c r="M107" s="110"/>
      <c r="N107" s="110"/>
      <c r="O107" s="110"/>
    </row>
    <row r="108" spans="1:15" ht="35" thickBot="1">
      <c r="A108" s="350" t="s">
        <v>1099</v>
      </c>
      <c r="B108" s="351" t="s">
        <v>1100</v>
      </c>
      <c r="C108" s="374" t="s">
        <v>1082</v>
      </c>
      <c r="D108" s="373"/>
      <c r="E108" s="339" t="s">
        <v>869</v>
      </c>
      <c r="F108" s="340"/>
      <c r="G108" s="250"/>
      <c r="H108" s="250"/>
      <c r="I108" s="110"/>
      <c r="J108" s="334" t="str">
        <f>IF(I108="","",IF(COUNTA(I109:$I$138)&gt;0,"|",""))</f>
        <v/>
      </c>
      <c r="K108" s="110"/>
      <c r="L108" s="250"/>
      <c r="M108" s="110"/>
      <c r="N108" s="110"/>
      <c r="O108" s="110"/>
    </row>
    <row r="109" spans="1:15" ht="17">
      <c r="A109" s="767" t="s">
        <v>1101</v>
      </c>
      <c r="B109" s="762" t="s">
        <v>1102</v>
      </c>
      <c r="C109" s="349" t="s">
        <v>1103</v>
      </c>
      <c r="D109" s="757"/>
      <c r="E109" s="759" t="s">
        <v>869</v>
      </c>
      <c r="F109" s="340"/>
      <c r="G109" s="250"/>
      <c r="H109" s="250"/>
      <c r="I109" s="110"/>
      <c r="J109" s="334" t="str">
        <f>IF(I109="","",IF(COUNTA(I110:$I$138)&gt;0,"|",""))</f>
        <v/>
      </c>
      <c r="K109" s="110"/>
      <c r="L109" s="250"/>
      <c r="M109" s="110"/>
      <c r="N109" s="110"/>
      <c r="O109" s="110"/>
    </row>
    <row r="110" spans="1:15" ht="18" thickBot="1">
      <c r="A110" s="768"/>
      <c r="B110" s="764"/>
      <c r="C110" s="351" t="s">
        <v>1104</v>
      </c>
      <c r="D110" s="758"/>
      <c r="E110" s="760"/>
      <c r="F110" s="340"/>
      <c r="G110" s="250"/>
      <c r="H110" s="250"/>
      <c r="I110" s="110"/>
      <c r="J110" s="334" t="str">
        <f>IF(I110="","",IF(COUNTA(I111:$I$138)&gt;0,"|",""))</f>
        <v/>
      </c>
      <c r="K110" s="110"/>
      <c r="L110" s="250"/>
      <c r="M110" s="110"/>
      <c r="N110" s="110"/>
      <c r="O110" s="110"/>
    </row>
    <row r="111" spans="1:15" ht="35" thickBot="1">
      <c r="A111" s="350" t="s">
        <v>1105</v>
      </c>
      <c r="B111" s="351" t="s">
        <v>1106</v>
      </c>
      <c r="C111" s="374" t="s">
        <v>1063</v>
      </c>
      <c r="D111" s="373"/>
      <c r="E111" s="339" t="s">
        <v>869</v>
      </c>
      <c r="F111" s="340"/>
      <c r="G111" s="250"/>
      <c r="H111" s="250"/>
      <c r="I111" s="110"/>
      <c r="J111" s="334" t="str">
        <f>IF(I111="","",IF(COUNTA(I112:$I$138)&gt;0,"|",""))</f>
        <v/>
      </c>
      <c r="K111" s="110"/>
      <c r="L111" s="250"/>
      <c r="M111" s="110"/>
      <c r="N111" s="110"/>
      <c r="O111" s="110"/>
    </row>
    <row r="112" spans="1:15" ht="35" thickBot="1">
      <c r="A112" s="350" t="s">
        <v>1107</v>
      </c>
      <c r="B112" s="351" t="s">
        <v>1108</v>
      </c>
      <c r="C112" s="374" t="s">
        <v>1063</v>
      </c>
      <c r="D112" s="373"/>
      <c r="E112" s="339" t="s">
        <v>869</v>
      </c>
      <c r="F112" s="340"/>
      <c r="G112" s="250"/>
      <c r="H112" s="250"/>
      <c r="I112" s="110"/>
      <c r="J112" s="334" t="str">
        <f>IF(I112="","",IF(COUNTA(I113:$I$138)&gt;0,"|",""))</f>
        <v/>
      </c>
      <c r="K112" s="110"/>
      <c r="L112" s="250"/>
      <c r="M112" s="110"/>
      <c r="N112" s="110"/>
      <c r="O112" s="110"/>
    </row>
    <row r="113" spans="1:15" ht="52" thickBot="1">
      <c r="A113" s="384" t="s">
        <v>1109</v>
      </c>
      <c r="B113" s="351"/>
      <c r="C113" s="351" t="s">
        <v>1110</v>
      </c>
      <c r="D113" s="373"/>
      <c r="E113" s="339" t="s">
        <v>869</v>
      </c>
      <c r="F113" s="340"/>
      <c r="G113" s="250"/>
      <c r="H113" s="250"/>
      <c r="I113" s="110"/>
      <c r="J113" s="334" t="str">
        <f>IF(I113="","",IF(COUNTA(I114:$I$138)&gt;0,"|",""))</f>
        <v/>
      </c>
      <c r="K113" s="110"/>
      <c r="L113" s="250"/>
      <c r="M113" s="110"/>
      <c r="N113" s="110"/>
      <c r="O113" s="110"/>
    </row>
    <row r="114" spans="1:15" ht="34">
      <c r="A114" s="755" t="s">
        <v>1111</v>
      </c>
      <c r="B114" s="762" t="s">
        <v>1112</v>
      </c>
      <c r="C114" s="349" t="s">
        <v>1113</v>
      </c>
      <c r="D114" s="757"/>
      <c r="E114" s="759" t="s">
        <v>869</v>
      </c>
      <c r="F114" s="340"/>
      <c r="G114" s="250"/>
      <c r="H114" s="250"/>
      <c r="I114" s="110"/>
      <c r="J114" s="334" t="str">
        <f>IF(I114="","",IF(COUNTA(I115:$I$138)&gt;0,"|",""))</f>
        <v/>
      </c>
      <c r="K114" s="110"/>
      <c r="L114" s="250"/>
      <c r="M114" s="110"/>
      <c r="N114" s="110"/>
      <c r="O114" s="110"/>
    </row>
    <row r="115" spans="1:15" ht="34">
      <c r="A115" s="761"/>
      <c r="B115" s="763"/>
      <c r="C115" s="349" t="s">
        <v>1114</v>
      </c>
      <c r="D115" s="765"/>
      <c r="E115" s="766"/>
      <c r="F115" s="340"/>
      <c r="G115" s="250"/>
      <c r="H115" s="250"/>
      <c r="I115" s="110"/>
      <c r="J115" s="334" t="str">
        <f>IF(I115="","",IF(COUNTA(I116:$I$138)&gt;0,"|",""))</f>
        <v/>
      </c>
      <c r="K115" s="110"/>
      <c r="L115" s="250"/>
      <c r="M115" s="110"/>
      <c r="N115" s="110"/>
      <c r="O115" s="110"/>
    </row>
    <row r="116" spans="1:15" ht="17">
      <c r="A116" s="761"/>
      <c r="B116" s="763"/>
      <c r="C116" s="349" t="s">
        <v>1115</v>
      </c>
      <c r="D116" s="765"/>
      <c r="E116" s="766"/>
      <c r="F116" s="340"/>
      <c r="G116" s="250"/>
      <c r="H116" s="250"/>
      <c r="I116" s="110"/>
      <c r="J116" s="334" t="str">
        <f>IF(I116="","",IF(COUNTA(I117:$I$138)&gt;0,"|",""))</f>
        <v/>
      </c>
      <c r="K116" s="110"/>
      <c r="L116" s="250"/>
      <c r="M116" s="110"/>
      <c r="N116" s="110"/>
      <c r="O116" s="110"/>
    </row>
    <row r="117" spans="1:15" ht="17">
      <c r="A117" s="761"/>
      <c r="B117" s="763"/>
      <c r="C117" s="349" t="s">
        <v>1116</v>
      </c>
      <c r="D117" s="765"/>
      <c r="E117" s="766"/>
      <c r="F117" s="340"/>
      <c r="G117" s="250"/>
      <c r="H117" s="250"/>
      <c r="I117" s="110"/>
      <c r="J117" s="334" t="str">
        <f>IF(I117="","",IF(COUNTA(I118:$I$138)&gt;0,"|",""))</f>
        <v/>
      </c>
      <c r="K117" s="110"/>
      <c r="L117" s="250"/>
      <c r="M117" s="110"/>
      <c r="N117" s="110"/>
      <c r="O117" s="110"/>
    </row>
    <row r="118" spans="1:15" ht="34">
      <c r="A118" s="761"/>
      <c r="B118" s="763"/>
      <c r="C118" s="349" t="s">
        <v>1117</v>
      </c>
      <c r="D118" s="765"/>
      <c r="E118" s="766"/>
      <c r="F118" s="340"/>
      <c r="G118" s="250"/>
      <c r="H118" s="250"/>
      <c r="I118" s="110"/>
      <c r="J118" s="334" t="str">
        <f>IF(I118="","",IF(COUNTA(I119:$I$138)&gt;0,"|",""))</f>
        <v/>
      </c>
      <c r="K118" s="110"/>
      <c r="L118" s="250"/>
      <c r="M118" s="110"/>
      <c r="N118" s="110"/>
      <c r="O118" s="110"/>
    </row>
    <row r="119" spans="1:15" ht="34">
      <c r="A119" s="761"/>
      <c r="B119" s="763"/>
      <c r="C119" s="349" t="s">
        <v>1118</v>
      </c>
      <c r="D119" s="765"/>
      <c r="E119" s="766"/>
      <c r="F119" s="340"/>
      <c r="G119" s="250"/>
      <c r="H119" s="250"/>
      <c r="I119" s="110"/>
      <c r="J119" s="334" t="str">
        <f>IF(I119="","",IF(COUNTA(I120:$I$138)&gt;0,"|",""))</f>
        <v/>
      </c>
      <c r="K119" s="110"/>
      <c r="L119" s="250"/>
      <c r="M119" s="110"/>
      <c r="N119" s="110"/>
      <c r="O119" s="110"/>
    </row>
    <row r="120" spans="1:15" ht="18" thickBot="1">
      <c r="A120" s="756"/>
      <c r="B120" s="764"/>
      <c r="C120" s="351" t="s">
        <v>1119</v>
      </c>
      <c r="D120" s="758"/>
      <c r="E120" s="760"/>
      <c r="F120" s="340"/>
      <c r="G120" s="250"/>
      <c r="H120" s="250"/>
      <c r="I120" s="110"/>
      <c r="J120" s="334" t="str">
        <f>IF(I120="","",IF(COUNTA(I121:$I$138)&gt;0,"|",""))</f>
        <v/>
      </c>
      <c r="K120" s="110"/>
      <c r="L120" s="250"/>
      <c r="M120" s="110"/>
      <c r="N120" s="110"/>
      <c r="O120" s="110"/>
    </row>
    <row r="121" spans="1:15" ht="35" thickBot="1">
      <c r="A121" s="385" t="s">
        <v>901</v>
      </c>
      <c r="B121" s="351" t="s">
        <v>902</v>
      </c>
      <c r="C121" s="386"/>
      <c r="D121" s="373"/>
      <c r="E121" s="339" t="s">
        <v>869</v>
      </c>
      <c r="F121" s="340"/>
      <c r="G121" s="250"/>
      <c r="H121" s="250"/>
      <c r="I121" s="110"/>
      <c r="J121" s="334" t="str">
        <f>IF(I121="","",IF(COUNTA(I122:$I$138)&gt;0,"|",""))</f>
        <v/>
      </c>
      <c r="K121" s="110"/>
      <c r="L121" s="250"/>
      <c r="M121" s="110"/>
      <c r="N121" s="110"/>
      <c r="O121" s="110"/>
    </row>
    <row r="122" spans="1:15" ht="17">
      <c r="A122" s="755" t="s">
        <v>903</v>
      </c>
      <c r="B122" s="349" t="s">
        <v>1120</v>
      </c>
      <c r="C122" s="349" t="s">
        <v>890</v>
      </c>
      <c r="D122" s="757"/>
      <c r="E122" s="759" t="s">
        <v>869</v>
      </c>
      <c r="F122" s="340"/>
      <c r="G122" s="250"/>
      <c r="H122" s="250"/>
      <c r="I122" s="110"/>
      <c r="J122" s="334" t="str">
        <f>IF(I122="","",IF(COUNTA(I123:$I$138)&gt;0,"|",""))</f>
        <v/>
      </c>
      <c r="K122" s="110"/>
      <c r="L122" s="250"/>
      <c r="M122" s="110"/>
      <c r="N122" s="110"/>
      <c r="O122" s="110"/>
    </row>
    <row r="123" spans="1:15" ht="18" thickBot="1">
      <c r="A123" s="756"/>
      <c r="B123" s="351" t="s">
        <v>78</v>
      </c>
      <c r="C123" s="351" t="s">
        <v>892</v>
      </c>
      <c r="D123" s="758"/>
      <c r="E123" s="760"/>
      <c r="F123" s="340"/>
      <c r="G123" s="250"/>
      <c r="H123" s="250"/>
      <c r="I123" s="110"/>
      <c r="J123" s="334" t="str">
        <f>IF(I123="","",IF(COUNTA(I124:$I$138)&gt;0,"|",""))</f>
        <v/>
      </c>
      <c r="K123" s="110"/>
      <c r="L123" s="250"/>
      <c r="M123" s="110"/>
      <c r="N123" s="110"/>
      <c r="O123" s="110"/>
    </row>
    <row r="124" spans="1:15" ht="17">
      <c r="A124" s="755" t="s">
        <v>906</v>
      </c>
      <c r="B124" s="349" t="s">
        <v>1121</v>
      </c>
      <c r="C124" s="762" t="s">
        <v>896</v>
      </c>
      <c r="D124" s="757"/>
      <c r="E124" s="759" t="s">
        <v>869</v>
      </c>
      <c r="F124" s="340"/>
      <c r="G124" s="250"/>
      <c r="H124" s="250"/>
      <c r="I124" s="110"/>
      <c r="J124" s="334" t="str">
        <f>IF(I124="","",IF(COUNTA(I125:$I$138)&gt;0,"|",""))</f>
        <v/>
      </c>
      <c r="K124" s="110"/>
      <c r="L124" s="250"/>
      <c r="M124" s="110"/>
      <c r="N124" s="110"/>
      <c r="O124" s="110"/>
    </row>
    <row r="125" spans="1:15" ht="35" thickBot="1">
      <c r="A125" s="756"/>
      <c r="B125" s="351" t="s">
        <v>1122</v>
      </c>
      <c r="C125" s="764"/>
      <c r="D125" s="758"/>
      <c r="E125" s="760"/>
      <c r="F125" s="340"/>
      <c r="G125" s="250"/>
      <c r="H125" s="250"/>
      <c r="I125" s="110"/>
      <c r="J125" s="334" t="str">
        <f>IF(I125="","",IF(COUNTA(I126:$I$138)&gt;0,"|",""))</f>
        <v/>
      </c>
      <c r="K125" s="110"/>
      <c r="L125" s="250"/>
      <c r="M125" s="110"/>
      <c r="N125" s="110"/>
      <c r="O125" s="110"/>
    </row>
    <row r="126" spans="1:15" ht="17">
      <c r="A126" s="755" t="s">
        <v>913</v>
      </c>
      <c r="B126" s="349" t="s">
        <v>1120</v>
      </c>
      <c r="C126" s="762" t="s">
        <v>915</v>
      </c>
      <c r="D126" s="757"/>
      <c r="E126" s="759" t="s">
        <v>869</v>
      </c>
      <c r="F126" s="340"/>
      <c r="G126" s="250"/>
      <c r="H126" s="250"/>
      <c r="I126" s="110"/>
      <c r="J126" s="334" t="str">
        <f>IF(I126="","",IF(COUNTA(I127:$I$138)&gt;0,"|",""))</f>
        <v/>
      </c>
      <c r="K126" s="110"/>
      <c r="L126" s="250"/>
      <c r="M126" s="110"/>
      <c r="N126" s="110"/>
      <c r="O126" s="110"/>
    </row>
    <row r="127" spans="1:15" ht="18" thickBot="1">
      <c r="A127" s="756"/>
      <c r="B127" s="351" t="s">
        <v>446</v>
      </c>
      <c r="C127" s="764"/>
      <c r="D127" s="758"/>
      <c r="E127" s="760"/>
      <c r="F127" s="340"/>
      <c r="G127" s="250"/>
      <c r="H127" s="250"/>
      <c r="I127" s="110"/>
      <c r="J127" s="334" t="str">
        <f>IF(I127="","",IF(COUNTA(I128:$I$138)&gt;0,"|",""))</f>
        <v/>
      </c>
      <c r="K127" s="110"/>
      <c r="L127" s="250"/>
      <c r="M127" s="110"/>
      <c r="N127" s="110"/>
      <c r="O127" s="110"/>
    </row>
    <row r="128" spans="1:15" ht="35" thickBot="1">
      <c r="A128" s="385" t="s">
        <v>930</v>
      </c>
      <c r="B128" s="351" t="s">
        <v>931</v>
      </c>
      <c r="C128" s="351"/>
      <c r="D128" s="373"/>
      <c r="E128" s="339" t="s">
        <v>869</v>
      </c>
      <c r="F128" s="340"/>
      <c r="G128" s="318"/>
      <c r="H128" s="250"/>
      <c r="I128" s="110"/>
      <c r="J128" s="334" t="str">
        <f>IF(I128="","",IF(COUNTA(I129:$I$138)&gt;0,"|",""))</f>
        <v/>
      </c>
      <c r="K128" s="110"/>
      <c r="L128" s="250"/>
      <c r="M128" s="110"/>
      <c r="N128" s="110"/>
      <c r="O128" s="110"/>
    </row>
    <row r="129" spans="1:15" ht="52" thickBot="1">
      <c r="A129" s="385" t="s">
        <v>936</v>
      </c>
      <c r="B129" s="351" t="s">
        <v>937</v>
      </c>
      <c r="C129" s="351" t="s">
        <v>915</v>
      </c>
      <c r="D129" s="373" t="s">
        <v>868</v>
      </c>
      <c r="E129" s="339" t="s">
        <v>869</v>
      </c>
      <c r="F129" s="340"/>
      <c r="G129" s="318"/>
      <c r="H129" s="250"/>
      <c r="I129" s="110"/>
      <c r="J129" s="334" t="str">
        <f>IF(I129="","",IF(COUNTA(I130:$I$138)&gt;0,"|",""))</f>
        <v/>
      </c>
      <c r="K129" s="110"/>
      <c r="L129" s="250"/>
      <c r="M129" s="110"/>
      <c r="N129" s="110"/>
      <c r="O129" s="110"/>
    </row>
    <row r="130" spans="1:15" ht="52" thickBot="1">
      <c r="A130" s="385" t="s">
        <v>942</v>
      </c>
      <c r="B130" s="351" t="s">
        <v>943</v>
      </c>
      <c r="C130" s="351"/>
      <c r="D130" s="373"/>
      <c r="E130" s="339" t="s">
        <v>869</v>
      </c>
      <c r="F130" s="340"/>
      <c r="G130" s="318"/>
      <c r="H130" s="250"/>
      <c r="I130" s="110"/>
      <c r="J130" s="334" t="str">
        <f>IF(I130="","",IF(COUNTA(I131:$I$138)&gt;0,"|",""))</f>
        <v/>
      </c>
      <c r="K130" s="110"/>
      <c r="L130" s="250"/>
      <c r="M130" s="110"/>
      <c r="N130" s="110"/>
      <c r="O130" s="110"/>
    </row>
    <row r="131" spans="1:15" ht="18" thickBot="1">
      <c r="A131" s="385" t="s">
        <v>946</v>
      </c>
      <c r="B131" s="351" t="s">
        <v>650</v>
      </c>
      <c r="C131" s="351"/>
      <c r="D131" s="373"/>
      <c r="E131" s="339" t="s">
        <v>869</v>
      </c>
      <c r="F131" s="340"/>
      <c r="G131" s="318"/>
      <c r="H131" s="250"/>
      <c r="I131" s="110"/>
      <c r="J131" s="334" t="str">
        <f>IF(I131="","",IF(COUNTA(I132:$I$138)&gt;0,"|",""))</f>
        <v/>
      </c>
      <c r="K131" s="110"/>
      <c r="L131" s="250"/>
      <c r="M131" s="110"/>
      <c r="N131" s="110"/>
      <c r="O131" s="110"/>
    </row>
    <row r="132" spans="1:15" ht="35" thickBot="1">
      <c r="A132" s="385" t="s">
        <v>950</v>
      </c>
      <c r="B132" s="351" t="s">
        <v>951</v>
      </c>
      <c r="C132" s="374"/>
      <c r="D132" s="373"/>
      <c r="E132" s="339" t="s">
        <v>869</v>
      </c>
      <c r="F132" s="340"/>
      <c r="G132" s="318"/>
      <c r="H132" s="250"/>
      <c r="I132" s="110"/>
      <c r="J132" s="334" t="str">
        <f>IF(I132="","",IF(COUNTA(I133:$I$138)&gt;0,"|",""))</f>
        <v/>
      </c>
      <c r="K132" s="110"/>
      <c r="L132" s="250"/>
      <c r="M132" s="110"/>
      <c r="N132" s="110"/>
      <c r="O132" s="110"/>
    </row>
    <row r="133" spans="1:15" ht="34">
      <c r="A133" s="755" t="s">
        <v>955</v>
      </c>
      <c r="B133" s="762" t="s">
        <v>956</v>
      </c>
      <c r="C133" s="387" t="s">
        <v>1123</v>
      </c>
      <c r="D133" s="757"/>
      <c r="E133" s="759" t="s">
        <v>869</v>
      </c>
      <c r="F133" s="340"/>
      <c r="G133" s="318"/>
      <c r="H133" s="250"/>
      <c r="I133" s="110"/>
      <c r="J133" s="334" t="str">
        <f>IF(I133="","",IF(COUNTA(I134:$I$138)&gt;0,"|",""))</f>
        <v/>
      </c>
      <c r="K133" s="110"/>
      <c r="L133" s="250"/>
      <c r="M133" s="110"/>
      <c r="N133" s="110"/>
      <c r="O133" s="110"/>
    </row>
    <row r="134" spans="1:15" ht="34">
      <c r="A134" s="761"/>
      <c r="B134" s="763"/>
      <c r="C134" s="388" t="s">
        <v>1124</v>
      </c>
      <c r="D134" s="765"/>
      <c r="E134" s="766"/>
      <c r="F134" s="340"/>
      <c r="G134" s="318"/>
      <c r="H134" s="250"/>
      <c r="I134" s="110"/>
      <c r="J134" s="334" t="str">
        <f>IF(I134="","",IF(COUNTA(I135:$I$138)&gt;0,"|",""))</f>
        <v/>
      </c>
      <c r="K134" s="110"/>
      <c r="L134" s="250"/>
      <c r="M134" s="110"/>
      <c r="N134" s="110"/>
      <c r="O134" s="110"/>
    </row>
    <row r="135" spans="1:15" ht="35" thickBot="1">
      <c r="A135" s="756"/>
      <c r="B135" s="764"/>
      <c r="C135" s="389" t="s">
        <v>1125</v>
      </c>
      <c r="D135" s="758"/>
      <c r="E135" s="760"/>
      <c r="F135" s="340"/>
      <c r="G135" s="318"/>
      <c r="H135" s="250"/>
      <c r="I135" s="110"/>
      <c r="J135" s="334" t="str">
        <f>IF(I135="","",IF(COUNTA(I136:$I$138)&gt;0,"|",""))</f>
        <v/>
      </c>
      <c r="K135" s="110"/>
      <c r="L135" s="250"/>
      <c r="M135" s="110"/>
      <c r="N135" s="110"/>
      <c r="O135" s="110"/>
    </row>
    <row r="136" spans="1:15" ht="35" thickBot="1">
      <c r="A136" s="385" t="s">
        <v>1003</v>
      </c>
      <c r="B136" s="351" t="s">
        <v>1004</v>
      </c>
      <c r="C136" s="351"/>
      <c r="D136" s="373"/>
      <c r="E136" s="339" t="s">
        <v>869</v>
      </c>
      <c r="F136" s="340"/>
      <c r="G136" s="318"/>
      <c r="H136" s="250"/>
      <c r="I136" s="110"/>
      <c r="J136" s="334" t="str">
        <f>IF(I136="","",IF(COUNTA(I137:$I$138)&gt;0,"|",""))</f>
        <v/>
      </c>
      <c r="K136" s="110"/>
      <c r="L136" s="250"/>
      <c r="M136" s="110"/>
      <c r="N136" s="110"/>
      <c r="O136" s="110"/>
    </row>
    <row r="137" spans="1:15" ht="18" thickBot="1">
      <c r="A137" s="385" t="s">
        <v>1005</v>
      </c>
      <c r="B137" s="351" t="s">
        <v>592</v>
      </c>
      <c r="C137" s="374"/>
      <c r="D137" s="373"/>
      <c r="E137" s="339" t="s">
        <v>869</v>
      </c>
      <c r="F137" s="340"/>
      <c r="G137" s="318"/>
      <c r="H137" s="250"/>
      <c r="I137" s="110"/>
      <c r="J137" s="334" t="str">
        <f>IF(I137="","",IF(COUNTA(I138:$I$138)&gt;0,"|",""))</f>
        <v/>
      </c>
      <c r="K137" s="110"/>
      <c r="L137" s="250"/>
      <c r="M137" s="110"/>
      <c r="N137" s="110"/>
      <c r="O137" s="110"/>
    </row>
    <row r="138" spans="1:15" ht="35" thickBot="1">
      <c r="A138" s="385" t="s">
        <v>1126</v>
      </c>
      <c r="B138" s="351" t="s">
        <v>1127</v>
      </c>
      <c r="C138" s="386"/>
      <c r="D138" s="390"/>
      <c r="E138" s="391" t="s">
        <v>869</v>
      </c>
      <c r="F138" s="367"/>
      <c r="G138" s="318"/>
      <c r="H138" s="250"/>
      <c r="I138" s="110"/>
      <c r="J138" s="334" t="str">
        <f>IF(I138="","",IF(COUNTA(I$138:$I139)&gt;0,"|",""))</f>
        <v/>
      </c>
      <c r="K138" s="110"/>
      <c r="L138" s="250"/>
      <c r="M138" s="110"/>
      <c r="N138" s="110"/>
      <c r="O138" s="110"/>
    </row>
    <row r="139" spans="1:15">
      <c r="A139" s="110"/>
      <c r="B139" s="110"/>
      <c r="C139" s="110"/>
      <c r="D139" s="110"/>
      <c r="E139" s="110"/>
      <c r="F139" s="110"/>
      <c r="G139" s="318"/>
      <c r="H139" s="250"/>
      <c r="I139" s="110"/>
      <c r="J139" s="250"/>
      <c r="K139" s="110"/>
      <c r="L139" s="250"/>
      <c r="M139" s="110"/>
      <c r="N139" s="110"/>
      <c r="O139" s="110"/>
    </row>
  </sheetData>
  <sheetProtection algorithmName="SHA-512" hashValue="vc84BWxfkr5EYjVo2+UE6zmgo6pF0wZeSciBU816hHuwaqduwKBUeVuy1ibZw3uAWNeazswqcv2QaAICO310YA==" saltValue="MFXi1mhLelfjb1w+mczWLg==" spinCount="100000" sheet="1" objects="1" scenarios="1" selectLockedCells="1"/>
  <mergeCells count="91">
    <mergeCell ref="A12:A13"/>
    <mergeCell ref="B12:B13"/>
    <mergeCell ref="D12:D13"/>
    <mergeCell ref="F16:F20"/>
    <mergeCell ref="A17:A18"/>
    <mergeCell ref="B17:B18"/>
    <mergeCell ref="D17:D18"/>
    <mergeCell ref="E17:E18"/>
    <mergeCell ref="A22:A23"/>
    <mergeCell ref="B22:B23"/>
    <mergeCell ref="D22:D23"/>
    <mergeCell ref="E22:E23"/>
    <mergeCell ref="A24:A25"/>
    <mergeCell ref="B24:B25"/>
    <mergeCell ref="C24:C25"/>
    <mergeCell ref="D24:D25"/>
    <mergeCell ref="E24:E25"/>
    <mergeCell ref="E27:E30"/>
    <mergeCell ref="F27:F30"/>
    <mergeCell ref="A40:A44"/>
    <mergeCell ref="B40:B44"/>
    <mergeCell ref="D40:D44"/>
    <mergeCell ref="E40:E44"/>
    <mergeCell ref="A38:A39"/>
    <mergeCell ref="B38:B39"/>
    <mergeCell ref="D38:D39"/>
    <mergeCell ref="E38:E39"/>
    <mergeCell ref="A27:A30"/>
    <mergeCell ref="B27:B30"/>
    <mergeCell ref="D27:D30"/>
    <mergeCell ref="A45:A52"/>
    <mergeCell ref="B45:B52"/>
    <mergeCell ref="D45:D52"/>
    <mergeCell ref="E45:E52"/>
    <mergeCell ref="F76:F78"/>
    <mergeCell ref="A53:A58"/>
    <mergeCell ref="B53:B58"/>
    <mergeCell ref="D53:D58"/>
    <mergeCell ref="E53:E58"/>
    <mergeCell ref="A69:A70"/>
    <mergeCell ref="B69:B70"/>
    <mergeCell ref="D69:D70"/>
    <mergeCell ref="E69:E70"/>
    <mergeCell ref="F69:F70"/>
    <mergeCell ref="A71:A74"/>
    <mergeCell ref="B71:B74"/>
    <mergeCell ref="D71:D74"/>
    <mergeCell ref="E71:E74"/>
    <mergeCell ref="A79:A80"/>
    <mergeCell ref="C79:C80"/>
    <mergeCell ref="D79:D80"/>
    <mergeCell ref="E79:E80"/>
    <mergeCell ref="A82:A83"/>
    <mergeCell ref="B82:B83"/>
    <mergeCell ref="D82:D83"/>
    <mergeCell ref="E82:E83"/>
    <mergeCell ref="A86:A89"/>
    <mergeCell ref="B86:B89"/>
    <mergeCell ref="D86:D89"/>
    <mergeCell ref="E86:E89"/>
    <mergeCell ref="A95:A96"/>
    <mergeCell ref="B95:B96"/>
    <mergeCell ref="D95:D96"/>
    <mergeCell ref="E95:E96"/>
    <mergeCell ref="A97:A98"/>
    <mergeCell ref="B97:B98"/>
    <mergeCell ref="D97:D98"/>
    <mergeCell ref="E97:E98"/>
    <mergeCell ref="A109:A110"/>
    <mergeCell ref="B109:B110"/>
    <mergeCell ref="D109:D110"/>
    <mergeCell ref="E109:E110"/>
    <mergeCell ref="A114:A120"/>
    <mergeCell ref="B114:B120"/>
    <mergeCell ref="D114:D120"/>
    <mergeCell ref="E114:E120"/>
    <mergeCell ref="A122:A123"/>
    <mergeCell ref="D122:D123"/>
    <mergeCell ref="E122:E123"/>
    <mergeCell ref="A133:A135"/>
    <mergeCell ref="B133:B135"/>
    <mergeCell ref="D133:D135"/>
    <mergeCell ref="E133:E135"/>
    <mergeCell ref="A124:A125"/>
    <mergeCell ref="C124:C125"/>
    <mergeCell ref="D124:D125"/>
    <mergeCell ref="E124:E125"/>
    <mergeCell ref="A126:A127"/>
    <mergeCell ref="C126:C127"/>
    <mergeCell ref="D126:D127"/>
    <mergeCell ref="E126:E127"/>
  </mergeCells>
  <phoneticPr fontId="17" type="noConversion"/>
  <dataValidations count="2">
    <dataValidation type="list" allowBlank="1" showInputMessage="1" showErrorMessage="1" sqref="H8" xr:uid="{E3B1641B-9138-4EF8-9863-C74980137535}">
      <formula1>"1,0"</formula1>
    </dataValidation>
    <dataValidation type="list" allowBlank="1" showInputMessage="1" showErrorMessage="1" sqref="I8" xr:uid="{7323FC7B-2902-42B8-AED4-25C411CD6C4C}">
      <formula1>"1,2,3"</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2"/>
  <dimension ref="A1:AI148"/>
  <sheetViews>
    <sheetView workbookViewId="0">
      <pane xSplit="3" ySplit="3" topLeftCell="D97" activePane="bottomRight" state="frozen"/>
      <selection pane="topRight"/>
      <selection pane="bottomLeft"/>
      <selection pane="bottomRight"/>
    </sheetView>
  </sheetViews>
  <sheetFormatPr baseColWidth="10" defaultColWidth="0" defaultRowHeight="13" zeroHeight="1"/>
  <cols>
    <col min="1" max="1" width="9.3984375" hidden="1" customWidth="1"/>
    <col min="2" max="2" width="6" hidden="1" customWidth="1"/>
    <col min="3" max="3" width="6.3984375" hidden="1" customWidth="1"/>
    <col min="4" max="7" width="14.3984375" hidden="1" customWidth="1"/>
    <col min="8" max="9" width="12.796875" hidden="1" customWidth="1"/>
    <col min="10" max="10" width="13.3984375" hidden="1" customWidth="1"/>
    <col min="11" max="11" width="17.3984375" hidden="1" customWidth="1"/>
    <col min="12" max="12" width="12.796875" hidden="1" customWidth="1"/>
    <col min="13" max="13" width="10.796875" hidden="1" customWidth="1"/>
    <col min="14" max="14" width="10" hidden="1" customWidth="1"/>
    <col min="15" max="15" width="25.796875" hidden="1" customWidth="1"/>
    <col min="16" max="16" width="23.59765625" hidden="1" customWidth="1"/>
    <col min="17" max="17" width="16.59765625" hidden="1" customWidth="1"/>
    <col min="18" max="22" width="16" hidden="1" customWidth="1"/>
    <col min="23" max="24" width="12.796875" hidden="1" customWidth="1"/>
    <col min="25" max="25" width="20.59765625" hidden="1" customWidth="1"/>
    <col min="26" max="26" width="20.19921875" hidden="1" customWidth="1"/>
    <col min="27" max="27" width="12.796875" hidden="1" customWidth="1"/>
    <col min="28" max="28" width="14.19921875" hidden="1" customWidth="1"/>
    <col min="29" max="29" width="15" hidden="1" customWidth="1"/>
    <col min="30" max="31" width="15.3984375" hidden="1" customWidth="1"/>
    <col min="32" max="32" width="14.3984375" hidden="1" customWidth="1"/>
    <col min="33" max="33" width="14" hidden="1" customWidth="1"/>
    <col min="34" max="34" width="13" hidden="1" customWidth="1"/>
    <col min="35" max="35" width="14.796875" hidden="1" customWidth="1"/>
    <col min="36" max="16384" width="9.3984375" hidden="1"/>
  </cols>
  <sheetData>
    <row r="1" spans="2:35" hidden="1">
      <c r="B1">
        <v>1</v>
      </c>
      <c r="C1">
        <v>2</v>
      </c>
      <c r="D1" s="226">
        <v>3</v>
      </c>
      <c r="E1" s="226">
        <v>4</v>
      </c>
      <c r="F1" s="212">
        <v>5</v>
      </c>
      <c r="G1" s="212">
        <v>6</v>
      </c>
      <c r="H1" s="212">
        <v>7</v>
      </c>
      <c r="I1" s="212">
        <v>8</v>
      </c>
      <c r="J1" s="212">
        <v>9</v>
      </c>
      <c r="K1">
        <v>10</v>
      </c>
      <c r="L1">
        <v>11</v>
      </c>
      <c r="M1">
        <v>12</v>
      </c>
      <c r="N1">
        <v>13</v>
      </c>
      <c r="O1">
        <v>14</v>
      </c>
      <c r="P1">
        <v>15</v>
      </c>
      <c r="Q1">
        <v>16</v>
      </c>
      <c r="R1">
        <v>17</v>
      </c>
      <c r="S1">
        <v>18</v>
      </c>
      <c r="T1">
        <v>19</v>
      </c>
      <c r="U1">
        <v>20</v>
      </c>
      <c r="V1">
        <v>21</v>
      </c>
      <c r="W1">
        <v>22</v>
      </c>
      <c r="X1">
        <v>23</v>
      </c>
      <c r="Y1" s="179">
        <v>24</v>
      </c>
      <c r="Z1" s="179">
        <v>25</v>
      </c>
      <c r="AA1" s="212">
        <v>26</v>
      </c>
      <c r="AB1" s="212">
        <v>27</v>
      </c>
      <c r="AC1" s="569">
        <v>28</v>
      </c>
      <c r="AD1">
        <v>29</v>
      </c>
      <c r="AE1">
        <v>30</v>
      </c>
      <c r="AF1">
        <v>31</v>
      </c>
      <c r="AG1" s="569">
        <v>32</v>
      </c>
      <c r="AH1">
        <v>33</v>
      </c>
      <c r="AI1">
        <v>34</v>
      </c>
    </row>
    <row r="2" spans="2:35" ht="90.75" hidden="1" customHeight="1">
      <c r="D2" s="791" t="s">
        <v>620</v>
      </c>
      <c r="E2" s="792"/>
      <c r="F2" s="791" t="s">
        <v>621</v>
      </c>
      <c r="G2" s="793"/>
      <c r="H2" s="793"/>
      <c r="I2" s="793"/>
      <c r="J2" s="792"/>
      <c r="N2" s="790" t="s">
        <v>835</v>
      </c>
      <c r="O2" s="790"/>
      <c r="P2" s="790"/>
      <c r="Q2" s="790"/>
      <c r="R2" s="790"/>
      <c r="S2" s="794" t="s">
        <v>404</v>
      </c>
      <c r="T2" s="794" t="s">
        <v>836</v>
      </c>
      <c r="U2" s="795" t="s">
        <v>405</v>
      </c>
      <c r="V2" s="795" t="s">
        <v>837</v>
      </c>
      <c r="W2" s="794"/>
      <c r="X2" s="794"/>
      <c r="Y2" s="180" t="s">
        <v>799</v>
      </c>
      <c r="Z2" s="123" t="s">
        <v>798</v>
      </c>
      <c r="AA2" s="123" t="s">
        <v>590</v>
      </c>
      <c r="AB2" s="123" t="s">
        <v>590</v>
      </c>
      <c r="AC2" s="788" t="s">
        <v>1197</v>
      </c>
      <c r="AD2" s="788" t="s">
        <v>1198</v>
      </c>
      <c r="AE2" s="570" t="s">
        <v>1199</v>
      </c>
      <c r="AF2" s="570" t="s">
        <v>1200</v>
      </c>
      <c r="AG2" s="569"/>
      <c r="AH2" s="569"/>
      <c r="AI2" s="569"/>
    </row>
    <row r="3" spans="2:35" ht="117" hidden="1" customHeight="1">
      <c r="B3" s="115" t="s">
        <v>805</v>
      </c>
      <c r="C3" s="115" t="s">
        <v>806</v>
      </c>
      <c r="D3" s="228" t="str">
        <f ca="1">"年度實繳保費"&amp;IF(OP!$F$55&lt;15,"
已扣除增值回饋分享金
","")</f>
        <v>年度實繳保費</v>
      </c>
      <c r="E3" s="228" t="str">
        <f ca="1">"累計實繳保費"&amp;IF(OP!$F$55&lt;15,"
已扣除增值回饋分享金
","")</f>
        <v>累計實繳保費</v>
      </c>
      <c r="F3" s="116" t="s">
        <v>383</v>
      </c>
      <c r="G3" s="116" t="s">
        <v>838</v>
      </c>
      <c r="H3" s="116" t="s">
        <v>792</v>
      </c>
      <c r="I3" s="116" t="s">
        <v>793</v>
      </c>
      <c r="J3" s="116" t="s">
        <v>649</v>
      </c>
      <c r="K3" s="225"/>
      <c r="L3" s="227"/>
      <c r="M3" s="227"/>
      <c r="N3" s="224" t="s">
        <v>794</v>
      </c>
      <c r="O3" s="224" t="s">
        <v>622</v>
      </c>
      <c r="P3" s="224" t="s">
        <v>839</v>
      </c>
      <c r="Q3" s="224" t="str">
        <f ca="1">"年度末
身故/完全失能保障
( D )
"&amp;OP!$D$114</f>
        <v xml:space="preserve">年度末
身故/完全失能保障
( D )
</v>
      </c>
      <c r="R3" s="224" t="str">
        <f ca="1">"年度末
解約金
( E )
"&amp;OP!$D$115</f>
        <v xml:space="preserve">年度末
解約金
( E )
</v>
      </c>
      <c r="S3" s="794"/>
      <c r="T3" s="794"/>
      <c r="U3" s="795"/>
      <c r="V3" s="795"/>
      <c r="W3" s="794"/>
      <c r="X3" s="794"/>
      <c r="Y3" s="262" t="s">
        <v>795</v>
      </c>
      <c r="Z3" s="181" t="str">
        <f>IF(OR(PYY=0,PY!$C$6=0),"","分期給付(年)
給付"&amp;PY!$C$6&amp;"年")</f>
        <v/>
      </c>
      <c r="AA3" s="116" t="s">
        <v>676</v>
      </c>
      <c r="AB3" s="116" t="s">
        <v>840</v>
      </c>
      <c r="AC3" s="789"/>
      <c r="AD3" s="789"/>
      <c r="AE3" s="571" t="s">
        <v>1201</v>
      </c>
      <c r="AF3" s="571" t="s">
        <v>1202</v>
      </c>
      <c r="AG3" s="571" t="s">
        <v>1203</v>
      </c>
      <c r="AH3" s="571" t="s">
        <v>1195</v>
      </c>
      <c r="AI3" s="571" t="s">
        <v>1196</v>
      </c>
    </row>
    <row r="4" spans="2:35" hidden="1">
      <c r="B4" s="92">
        <v>1</v>
      </c>
      <c r="C4" s="92">
        <f ca="1">IF(OP!$D$53=1,"",OP!$F$55)</f>
        <v>15</v>
      </c>
      <c r="D4" s="113">
        <f ca="1">IF(OR(OP!$D$53=1,AND($B4&gt;OP!$C$24)),"",OP!$C$51)</f>
        <v>11326</v>
      </c>
      <c r="E4" s="113">
        <f ca="1">IF(OR(OP!$D$53=1,$B4=""),"",N(D4))</f>
        <v>11326</v>
      </c>
      <c r="F4" s="186" t="str">
        <f ca="1">IF(OR(OP!$D$53=1,$B4="",ISERROR(VLOOKUP(OP!$C$55,SRV,$B4+1,0))),"",ROUND(VLOOKUP(OP!$C$55,SRV,$B4+1,0)*OP!$C$28,0))</f>
        <v/>
      </c>
      <c r="G4" s="186" t="str">
        <f ca="1">IF(OR(OP!$D$53=1,$B4="",ISERROR(VLOOKUP(OP!$C$55,SRV,$B4+1,0))),"",N($F4))</f>
        <v/>
      </c>
      <c r="H4" s="186" t="e">
        <f ca="1">IF(OR(OP!$D$53=1,$B4=""),"",ROUND(VLOOKUP(OP!$C$55,DIE,$B4+1,0)*OP!$C$28,0))</f>
        <v>#N/A</v>
      </c>
      <c r="I4" s="187" t="e">
        <f ca="1">IF(OR(OP!$D$53=1,$B4=""),"",ROUND(VLOOKUP(OP!$C$55,CV,$B4+1,0)*OP!$C$28,0))</f>
        <v>#N/A</v>
      </c>
      <c r="J4" s="187" t="e">
        <f ca="1">IF(OR(OP!$D$53=1,$B4=""),"",ROUND(VLOOKUP(OP!$C$55,PA,$B4+1,0)*OP!$C$28,0))</f>
        <v>#N/A</v>
      </c>
      <c r="K4" s="186"/>
      <c r="L4" s="186"/>
      <c r="M4" s="186"/>
      <c r="N4" s="188"/>
      <c r="O4" s="188"/>
      <c r="P4" s="188"/>
      <c r="Q4" s="188"/>
      <c r="R4" s="188"/>
      <c r="S4" s="188">
        <f ca="1">IF(OR(OP!$D$53=1,$B4=""),"",N($F4)+N($O4))</f>
        <v>0</v>
      </c>
      <c r="T4" s="188">
        <f ca="1">IF(OR(OP!$D$53=1,$B4=""),0,N($S4))</f>
        <v>0</v>
      </c>
      <c r="U4" s="188">
        <f ca="1">IF(OR(OP!$D$53=1,$B4=""),"",ROUND($S4/12,0))</f>
        <v>0</v>
      </c>
      <c r="V4" s="188">
        <f ca="1">IF(OR(OP!$D$53=1,$B4=""),0,N($U4)*12)</f>
        <v>0</v>
      </c>
      <c r="W4" s="186"/>
      <c r="X4" s="186"/>
      <c r="Y4" s="189" t="e">
        <f ca="1">IF(OR(OP!$D$53=1,$B4=""),"",ROUND(($H4+$Q4)*IF(OR($C4&lt;16,$Z4=0,$Z4=""),1,PYO),0))</f>
        <v>#N/A</v>
      </c>
      <c r="Z4" s="189" t="e">
        <f ca="1">IF(OR(OP!$D$53=1,$B4=""),"",ROUND(($H4+Q4)*IF(OR($C4&lt;16,($H4+$Q4)*PY!$C$4&lt;PY!$D$5,($H4+$Q4)*PY!$C$4*PYR&lt;PY!$C$5),0,PYY)*PYR,0))</f>
        <v>#N/A</v>
      </c>
      <c r="AA4" s="113">
        <f ca="1">IF(OR(OP!$D$53=1,AND(B4&gt;OP!$C$24)),"",OP!$C$51)</f>
        <v>11326</v>
      </c>
      <c r="AB4" s="113">
        <f ca="1">IF(OR(OP!$D$53=1,$B4=""),"",N($AA4))</f>
        <v>11326</v>
      </c>
      <c r="AC4" s="113"/>
      <c r="AD4" s="113"/>
      <c r="AE4" s="113"/>
      <c r="AF4" s="113"/>
      <c r="AG4" s="113"/>
      <c r="AH4" s="187" t="e">
        <f ca="1">IF(OR(OP!$D$53=1,$B4=""),"",ROUND(VLOOKUP(OP!$C$55,HL_1,$B4+1,0)*OP!$C$28,0))</f>
        <v>#N/A</v>
      </c>
      <c r="AI4" s="187" t="e">
        <f ca="1">IF(OR(OP!$D$53=1,$B4=""),"",ROUND(VLOOKUP(OP!$C$55,HL_2,$B4+1,0)*OP!$C$28,0))</f>
        <v>#N/A</v>
      </c>
    </row>
    <row r="5" spans="2:35" hidden="1">
      <c r="B5" s="93">
        <f ca="1">IF(OR(C4&gt;=OP!$F$57,C4=""),"",IF(C4+1&gt;OP!$F$57,OP!$F$57+1-$C$4,B4+1))</f>
        <v>2</v>
      </c>
      <c r="C5" s="92">
        <f ca="1">IF(OR(OP!$D$53=1,MAX($C4:C$4)&gt;=OP!$F$57),"",C4+(B5-B4))</f>
        <v>16</v>
      </c>
      <c r="D5" s="113">
        <f ca="1">IF(OR(OP!$D$53=1,AND($B5&gt;OP!$C$24)),"",OP!$C$52-IF($C5&lt;16,$K4,0))</f>
        <v>11326</v>
      </c>
      <c r="E5" s="113">
        <f ca="1">IF(OR(OP!$D$53=1,$B5=""),"",N($E4)+N($D5))</f>
        <v>22652</v>
      </c>
      <c r="F5" s="186" t="str">
        <f ca="1">IF(OR(OP!$D$53=1,$B5="",ISERROR(VLOOKUP(OP!$C$55,SRV,$B5+1,0))),"",ROUND(VLOOKUP(OP!$C$55,SRV,$B5+1,0)*OP!$C$28,0))</f>
        <v/>
      </c>
      <c r="G5" s="186" t="str">
        <f ca="1">IF(OR(OP!$D$53=1,$B5="",ISERROR(VLOOKUP(OP!$C$55,SRV,$B5+1,0))),"",N($G4)+N($F5))</f>
        <v/>
      </c>
      <c r="H5" s="186" t="e">
        <f ca="1">IF(OR(OP!$D$53=1,$B5=""),"",ROUND(VLOOKUP(OP!$C$55,DIE,$B5+1,0)*OP!$C$28,0))</f>
        <v>#N/A</v>
      </c>
      <c r="I5" s="187" t="e">
        <f ca="1">IF(OR(OP!$D$53=1,$B5=""),"",ROUND(VLOOKUP(OP!$C$55,CV,$B5+1,0)*OP!$C$28,0))</f>
        <v>#N/A</v>
      </c>
      <c r="J5" s="187" t="e">
        <f ca="1">IF(OR(OP!$D$53=1,$B5=""),"",ROUND(VLOOKUP(OP!$C$55,PA,$B5+1,0)*OP!$C$28,0))</f>
        <v>#N/A</v>
      </c>
      <c r="K5" s="186"/>
      <c r="L5" s="186"/>
      <c r="M5" s="186"/>
      <c r="N5" s="188"/>
      <c r="O5" s="188"/>
      <c r="P5" s="188"/>
      <c r="Q5" s="188"/>
      <c r="R5" s="188"/>
      <c r="S5" s="188">
        <f ca="1">IF(OR(OP!$D$53=1,$B5=""),"",N($F5)+N($O5))</f>
        <v>0</v>
      </c>
      <c r="T5" s="188">
        <f ca="1">IF(OR(OP!$D$53=1,$B5=""),0,N($T4)+N($S5))</f>
        <v>0</v>
      </c>
      <c r="U5" s="188">
        <f ca="1">IF(OR(OP!$D$53=1,$B5=""),"",ROUND($S5/12,0))</f>
        <v>0</v>
      </c>
      <c r="V5" s="188">
        <f ca="1">IF(OR(OP!$D$53=1,$B5=""),0,N($V4)+(N($U5)*12))</f>
        <v>0</v>
      </c>
      <c r="W5" s="186"/>
      <c r="X5" s="186"/>
      <c r="Y5" s="189" t="e">
        <f ca="1">IF(OR(OP!$D$53=1,$B5=""),"",ROUND(($H5+$Q5)*IF(OR($C5&lt;16,$Z5=0,$Z5=""),1,PYO),0))</f>
        <v>#N/A</v>
      </c>
      <c r="Z5" s="189" t="e">
        <f ca="1">IF(OR(OP!$D$53=1,$B5=""),"",ROUND(($H5+Q5)*IF(OR($C5&lt;16,($H5+$Q5)*PY!$C$4&lt;PY!$D$5,($H5+$Q5)*PY!$C$4*PYR&lt;PY!$C$5),0,PYY)*PYR,0))</f>
        <v>#N/A</v>
      </c>
      <c r="AA5" s="113">
        <f ca="1">IF(OR(OP!$D$53=1,AND(B5&gt;OP!$C$24)),"",OP!$C$52)</f>
        <v>11326</v>
      </c>
      <c r="AB5" s="113">
        <f ca="1">IF(OR(OP!$D$53=1,$B5=""),"",N($AB4)+N($AA5))</f>
        <v>22652</v>
      </c>
      <c r="AC5" s="113"/>
      <c r="AD5" s="113"/>
      <c r="AE5" s="113"/>
      <c r="AF5" s="113"/>
      <c r="AG5" s="113"/>
      <c r="AH5" s="187" t="e">
        <f ca="1">IF(OR(OP!$D$53=1,$B5=""),"",ROUND(VLOOKUP(OP!$C$55,HL_1,$B5+1,0)*OP!$C$28,0))</f>
        <v>#N/A</v>
      </c>
      <c r="AI5" s="187" t="e">
        <f ca="1">IF(OR(OP!$D$53=1,$B5=""),"",ROUND(VLOOKUP(OP!$C$55,HL_2,$B5+1,0)*OP!$C$28,0))</f>
        <v>#N/A</v>
      </c>
    </row>
    <row r="6" spans="2:35" hidden="1">
      <c r="B6" s="93">
        <f ca="1">IF(OR(C5&gt;=OP!$F$57,C5=""),"",IF(C5+1&gt;OP!$F$57,OP!$F$57+1-$C$4,B5+1))</f>
        <v>3</v>
      </c>
      <c r="C6" s="92">
        <f ca="1">IF(OR(OP!$D$53=1,MAX($C$4:C5)&gt;=OP!$F$57),"",C5+(B6-B5))</f>
        <v>17</v>
      </c>
      <c r="D6" s="113">
        <f ca="1">IF(OR(OP!$D$53=1,AND($B6&gt;OP!$C$24)),"",OP!$C$52-IF($C6&lt;16,$K5,0))</f>
        <v>11326</v>
      </c>
      <c r="E6" s="113">
        <f ca="1">IF(OR(OP!$D$53=1,$B6=""),"",N($E5)+N($D6))</f>
        <v>33978</v>
      </c>
      <c r="F6" s="186" t="str">
        <f ca="1">IF(OR(OP!$D$53=1,$B6="",ISERROR(VLOOKUP(OP!$C$55,SRV,$B6+1,0))),"",ROUND(VLOOKUP(OP!$C$55,SRV,$B6+1,0)*OP!$C$28,0))</f>
        <v/>
      </c>
      <c r="G6" s="186" t="str">
        <f ca="1">IF(OR(OP!$D$53=1,$B6="",ISERROR(VLOOKUP(OP!$C$55,SRV,$B6+1,0))),"",N($G5)+N($F6))</f>
        <v/>
      </c>
      <c r="H6" s="186" t="e">
        <f ca="1">IF(OR(OP!$D$53=1,$B6=""),"",ROUND(VLOOKUP(OP!$C$55,DIE,$B6+1,0)*OP!$C$28,0))</f>
        <v>#N/A</v>
      </c>
      <c r="I6" s="187" t="e">
        <f ca="1">IF(OR(OP!$D$53=1,$B6=""),"",ROUND(VLOOKUP(OP!$C$55,CV,$B6+1,0)*OP!$C$28,0))</f>
        <v>#N/A</v>
      </c>
      <c r="J6" s="187" t="e">
        <f ca="1">IF(OR(OP!$D$53=1,$B6=""),"",ROUND(VLOOKUP(OP!$C$55,PA,$B6+1,0)*OP!$C$28,0))</f>
        <v>#N/A</v>
      </c>
      <c r="K6" s="186"/>
      <c r="L6" s="186"/>
      <c r="M6" s="186"/>
      <c r="N6" s="188"/>
      <c r="O6" s="188"/>
      <c r="P6" s="188"/>
      <c r="Q6" s="188"/>
      <c r="R6" s="188"/>
      <c r="S6" s="188">
        <f ca="1">IF(OR(OP!$D$53=1,$B6=""),"",N($F6)+N($O6))</f>
        <v>0</v>
      </c>
      <c r="T6" s="188">
        <f ca="1">IF(OR(OP!$D$53=1,$B6=""),0,N($T5)+N($S6))</f>
        <v>0</v>
      </c>
      <c r="U6" s="188">
        <f ca="1">IF(OR(OP!$D$53=1,$B6=""),"",ROUND($S6/12,0))</f>
        <v>0</v>
      </c>
      <c r="V6" s="188">
        <f ca="1">IF(OR(OP!$D$53=1,$B6=""),0,N($V5)+(N($U6)*12))</f>
        <v>0</v>
      </c>
      <c r="W6" s="186"/>
      <c r="X6" s="186"/>
      <c r="Y6" s="189" t="e">
        <f ca="1">IF(OR(OP!$D$53=1,$B6=""),"",ROUND(($H6+$Q6)*IF(OR($C6&lt;16,$Z6=0,$Z6=""),1,PYO),0))</f>
        <v>#N/A</v>
      </c>
      <c r="Z6" s="189" t="e">
        <f ca="1">IF(OR(OP!$D$53=1,$B6=""),"",ROUND(($H6+Q6)*IF(OR($C6&lt;16,($H6+$Q6)*PY!$C$4&lt;PY!$D$5,($H6+$Q6)*PY!$C$4*PYR&lt;PY!$C$5),0,PYY)*PYR,0))</f>
        <v>#N/A</v>
      </c>
      <c r="AA6" s="113">
        <f ca="1">IF(OR(OP!$D$53=1,AND(B6&gt;OP!$C$24)),"",OP!$C$52)</f>
        <v>11326</v>
      </c>
      <c r="AB6" s="113">
        <f ca="1">IF(OR(OP!$D$53=1,$B6=""),"",N($AB5)+N($AA6))</f>
        <v>33978</v>
      </c>
      <c r="AC6" s="113"/>
      <c r="AD6" s="113"/>
      <c r="AE6" s="113"/>
      <c r="AF6" s="113"/>
      <c r="AG6" s="113"/>
      <c r="AH6" s="187" t="e">
        <f ca="1">IF(OR(OP!$D$53=1,$B6=""),"",ROUND(VLOOKUP(OP!$C$55,HL_1,$B6+1,0)*OP!$C$28,0))</f>
        <v>#N/A</v>
      </c>
      <c r="AI6" s="187" t="e">
        <f ca="1">IF(OR(OP!$D$53=1,$B6=""),"",ROUND(VLOOKUP(OP!$C$55,HL_2,$B6+1,0)*OP!$C$28,0))</f>
        <v>#N/A</v>
      </c>
    </row>
    <row r="7" spans="2:35" hidden="1">
      <c r="B7" s="93">
        <f ca="1">IF(OR(C6&gt;=OP!$F$57,C6=""),"",IF(C6+1&gt;OP!$F$57,OP!$F$57+1-$C$4,B6+1))</f>
        <v>4</v>
      </c>
      <c r="C7" s="92">
        <f ca="1">IF(OR(OP!$D$53=1,MAX($C$4:C6)&gt;=OP!$F$57),"",C6+(B7-B6))</f>
        <v>18</v>
      </c>
      <c r="D7" s="113">
        <f ca="1">IF(OR(OP!$D$53=1,AND($B7&gt;OP!$C$24)),"",OP!$C$52-IF($C7&lt;16,$K6,0))</f>
        <v>11326</v>
      </c>
      <c r="E7" s="113">
        <f ca="1">IF(OR(OP!$D$53=1,$B7=""),"",N($E6)+N($D7))</f>
        <v>45304</v>
      </c>
      <c r="F7" s="186" t="str">
        <f ca="1">IF(OR(OP!$D$53=1,$B7="",ISERROR(VLOOKUP(OP!$C$55,SRV,$B7+1,0))),"",ROUND(VLOOKUP(OP!$C$55,SRV,$B7+1,0)*OP!$C$28,0))</f>
        <v/>
      </c>
      <c r="G7" s="186" t="str">
        <f ca="1">IF(OR(OP!$D$53=1,$B7="",ISERROR(VLOOKUP(OP!$C$55,SRV,$B7+1,0))),"",N($G6)+N($F7))</f>
        <v/>
      </c>
      <c r="H7" s="186" t="e">
        <f ca="1">IF(OR(OP!$D$53=1,$B7=""),"",ROUND(VLOOKUP(OP!$C$55,DIE,$B7+1,0)*OP!$C$28,0))</f>
        <v>#N/A</v>
      </c>
      <c r="I7" s="187" t="e">
        <f ca="1">IF(OR(OP!$D$53=1,$B7=""),"",ROUND(VLOOKUP(OP!$C$55,CV,$B7+1,0)*OP!$C$28,0))</f>
        <v>#N/A</v>
      </c>
      <c r="J7" s="187" t="e">
        <f ca="1">IF(OR(OP!$D$53=1,$B7=""),"",ROUND(VLOOKUP(OP!$C$55,PA,$B7+1,0)*OP!$C$28,0))</f>
        <v>#N/A</v>
      </c>
      <c r="K7" s="186"/>
      <c r="L7" s="186"/>
      <c r="M7" s="186"/>
      <c r="N7" s="188"/>
      <c r="O7" s="188"/>
      <c r="P7" s="188"/>
      <c r="Q7" s="188"/>
      <c r="R7" s="188"/>
      <c r="S7" s="188">
        <f ca="1">IF(OR(OP!$D$53=1,$B7=""),"",N($F7)+N($O7))</f>
        <v>0</v>
      </c>
      <c r="T7" s="188">
        <f ca="1">IF(OR(OP!$D$53=1,$B7=""),0,N($T6)+N($S7))</f>
        <v>0</v>
      </c>
      <c r="U7" s="188">
        <f ca="1">IF(OR(OP!$D$53=1,$B7=""),"",ROUND($S7/12,0))</f>
        <v>0</v>
      </c>
      <c r="V7" s="188">
        <f ca="1">IF(OR(OP!$D$53=1,$B7=""),0,N($V6)+(N($U7)*12))</f>
        <v>0</v>
      </c>
      <c r="W7" s="186"/>
      <c r="X7" s="186"/>
      <c r="Y7" s="189" t="e">
        <f ca="1">IF(OR(OP!$D$53=1,$B7=""),"",ROUND(($H7+$Q7)*IF(OR($C7&lt;16,$Z7=0,$Z7=""),1,PYO),0))</f>
        <v>#N/A</v>
      </c>
      <c r="Z7" s="189" t="e">
        <f ca="1">IF(OR(OP!$D$53=1,$B7=""),"",ROUND(($H7+Q7)*IF(OR($C7&lt;16,($H7+$Q7)*PY!$C$4&lt;PY!$D$5,($H7+$Q7)*PY!$C$4*PYR&lt;PY!$C$5),0,PYY)*PYR,0))</f>
        <v>#N/A</v>
      </c>
      <c r="AA7" s="113">
        <f ca="1">IF(OR(OP!$D$53=1,AND(B7&gt;OP!$C$24)),"",OP!$C$52)</f>
        <v>11326</v>
      </c>
      <c r="AB7" s="113">
        <f ca="1">IF(OR(OP!$D$53=1,$B7=""),"",N($AB6)+N($AA7))</f>
        <v>45304</v>
      </c>
      <c r="AC7" s="113"/>
      <c r="AD7" s="113"/>
      <c r="AE7" s="113"/>
      <c r="AF7" s="113"/>
      <c r="AG7" s="113"/>
      <c r="AH7" s="187" t="e">
        <f ca="1">IF(OR(OP!$D$53=1,$B7=""),"",ROUND(VLOOKUP(OP!$C$55,HL_1,$B7+1,0)*OP!$C$28,0))</f>
        <v>#N/A</v>
      </c>
      <c r="AI7" s="187" t="e">
        <f ca="1">IF(OR(OP!$D$53=1,$B7=""),"",ROUND(VLOOKUP(OP!$C$55,HL_2,$B7+1,0)*OP!$C$28,0))</f>
        <v>#N/A</v>
      </c>
    </row>
    <row r="8" spans="2:35" hidden="1">
      <c r="B8" s="93">
        <f ca="1">IF(OR(C7&gt;=OP!$F$57,C7=""),"",IF(C7+1&gt;OP!$F$57,OP!$F$57+1-$C$4,B7+1))</f>
        <v>5</v>
      </c>
      <c r="C8" s="92">
        <f ca="1">IF(OR(OP!$D$53=1,MAX($C$4:C7)&gt;=OP!$F$57),"",C7+(B8-B7))</f>
        <v>19</v>
      </c>
      <c r="D8" s="113">
        <f ca="1">IF(OR(OP!$D$53=1,AND($B8&gt;OP!$C$24)),"",OP!$C$52-IF($C8&lt;16,$K7,0))</f>
        <v>11326</v>
      </c>
      <c r="E8" s="113">
        <f ca="1">IF(OR(OP!$D$53=1,$B8=""),"",N($E7)+N($D8))</f>
        <v>56630</v>
      </c>
      <c r="F8" s="186" t="str">
        <f ca="1">IF(OR(OP!$D$53=1,$B8="",ISERROR(VLOOKUP(OP!$C$55,SRV,$B8+1,0))),"",ROUND(VLOOKUP(OP!$C$55,SRV,$B8+1,0)*OP!$C$28,0))</f>
        <v/>
      </c>
      <c r="G8" s="186" t="str">
        <f ca="1">IF(OR(OP!$D$53=1,$B8="",ISERROR(VLOOKUP(OP!$C$55,SRV,$B8+1,0))),"",N($G7)+N($F8))</f>
        <v/>
      </c>
      <c r="H8" s="186" t="e">
        <f ca="1">IF(OR(OP!$D$53=1,$B8=""),"",ROUND(VLOOKUP(OP!$C$55,DIE,$B8+1,0)*OP!$C$28,0))</f>
        <v>#N/A</v>
      </c>
      <c r="I8" s="187" t="e">
        <f ca="1">IF(OR(OP!$D$53=1,$B8=""),"",ROUND(VLOOKUP(OP!$C$55,CV,$B8+1,0)*OP!$C$28,0))</f>
        <v>#N/A</v>
      </c>
      <c r="J8" s="187" t="e">
        <f ca="1">IF(OR(OP!$D$53=1,$B8=""),"",ROUND(VLOOKUP(OP!$C$55,PA,$B8+1,0)*OP!$C$28,0))</f>
        <v>#N/A</v>
      </c>
      <c r="K8" s="186"/>
      <c r="L8" s="186"/>
      <c r="M8" s="186"/>
      <c r="N8" s="188"/>
      <c r="O8" s="188"/>
      <c r="P8" s="188"/>
      <c r="Q8" s="188"/>
      <c r="R8" s="188"/>
      <c r="S8" s="188">
        <f ca="1">IF(OR(OP!$D$53=1,$B8=""),"",N($F8)+N($O8))</f>
        <v>0</v>
      </c>
      <c r="T8" s="188">
        <f ca="1">IF(OR(OP!$D$53=1,$B8=""),0,N($T7)+N($S8))</f>
        <v>0</v>
      </c>
      <c r="U8" s="188">
        <f ca="1">IF(OR(OP!$D$53=1,$B8=""),"",ROUND($S8/12,0))</f>
        <v>0</v>
      </c>
      <c r="V8" s="188">
        <f ca="1">IF(OR(OP!$D$53=1,$B8=""),0,N($V7)+(N($U8)*12))</f>
        <v>0</v>
      </c>
      <c r="W8" s="186"/>
      <c r="X8" s="186"/>
      <c r="Y8" s="189" t="e">
        <f ca="1">IF(OR(OP!$D$53=1,$B8=""),"",ROUND(($H8+$Q8)*IF(OR($C8&lt;16,$Z8=0,$Z8=""),1,PYO),0))</f>
        <v>#N/A</v>
      </c>
      <c r="Z8" s="189" t="e">
        <f ca="1">IF(OR(OP!$D$53=1,$B8=""),"",ROUND(($H8+Q8)*IF(OR($C8&lt;16,($H8+$Q8)*PY!$C$4&lt;PY!$D$5,($H8+$Q8)*PY!$C$4*PYR&lt;PY!$C$5),0,PYY)*PYR,0))</f>
        <v>#N/A</v>
      </c>
      <c r="AA8" s="113">
        <f ca="1">IF(OR(OP!$D$53=1,AND(B8&gt;OP!$C$24)),"",OP!$C$52)</f>
        <v>11326</v>
      </c>
      <c r="AB8" s="113">
        <f ca="1">IF(OR(OP!$D$53=1,$B8=""),"",N($AB7)+N($AA8))</f>
        <v>56630</v>
      </c>
      <c r="AC8" s="113"/>
      <c r="AD8" s="113"/>
      <c r="AE8" s="113"/>
      <c r="AF8" s="113"/>
      <c r="AG8" s="113"/>
      <c r="AH8" s="187" t="e">
        <f ca="1">IF(OR(OP!$D$53=1,$B8=""),"",ROUND(VLOOKUP(OP!$C$55,HL_1,$B8+1,0)*OP!$C$28,0))</f>
        <v>#N/A</v>
      </c>
      <c r="AI8" s="187" t="e">
        <f ca="1">IF(OR(OP!$D$53=1,$B8=""),"",ROUND(VLOOKUP(OP!$C$55,HL_2,$B8+1,0)*OP!$C$28,0))</f>
        <v>#N/A</v>
      </c>
    </row>
    <row r="9" spans="2:35" hidden="1">
      <c r="B9" s="93">
        <f ca="1">IF(OR(C8&gt;=OP!$F$57,C8=""),"",IF(C8+1&gt;OP!$F$57,OP!$F$57+1-$C$4,B8+1))</f>
        <v>6</v>
      </c>
      <c r="C9" s="92">
        <f ca="1">IF(OR(OP!$D$53=1,MAX($C$4:C8)&gt;=OP!$F$57),"",C8+(B9-B8))</f>
        <v>20</v>
      </c>
      <c r="D9" s="113">
        <f ca="1">IF(OR(OP!$D$53=1,AND($B9&gt;OP!$C$24)),"",OP!$C$52-IF($C9&lt;16,$K8,0))</f>
        <v>11326</v>
      </c>
      <c r="E9" s="113">
        <f ca="1">IF(OR(OP!$D$53=1,$B9=""),"",N($E8)+N($D9))</f>
        <v>67956</v>
      </c>
      <c r="F9" s="186" t="str">
        <f ca="1">IF(OR(OP!$D$53=1,$B9="",ISERROR(VLOOKUP(OP!$C$55,SRV,$B9+1,0))),"",ROUND(VLOOKUP(OP!$C$55,SRV,$B9+1,0)*OP!$C$28,0))</f>
        <v/>
      </c>
      <c r="G9" s="186" t="str">
        <f ca="1">IF(OR(OP!$D$53=1,$B9="",ISERROR(VLOOKUP(OP!$C$55,SRV,$B9+1,0))),"",N($G8)+N($F9))</f>
        <v/>
      </c>
      <c r="H9" s="186" t="e">
        <f ca="1">IF(OR(OP!$D$53=1,$B9=""),"",ROUND(VLOOKUP(OP!$C$55,DIE,$B9+1,0)*OP!$C$28,0))</f>
        <v>#N/A</v>
      </c>
      <c r="I9" s="187" t="e">
        <f ca="1">IF(OR(OP!$D$53=1,$B9=""),"",ROUND(VLOOKUP(OP!$C$55,CV,$B9+1,0)*OP!$C$28,0))</f>
        <v>#N/A</v>
      </c>
      <c r="J9" s="187" t="e">
        <f ca="1">IF(OR(OP!$D$53=1,$B9=""),"",ROUND(VLOOKUP(OP!$C$55,PA,$B9+1,0)*OP!$C$28,0))</f>
        <v>#N/A</v>
      </c>
      <c r="K9" s="186"/>
      <c r="L9" s="186"/>
      <c r="M9" s="186"/>
      <c r="N9" s="188"/>
      <c r="O9" s="188"/>
      <c r="P9" s="188"/>
      <c r="Q9" s="188"/>
      <c r="R9" s="188"/>
      <c r="S9" s="188">
        <f ca="1">IF(OR(OP!$D$53=1,$B9=""),"",N($F9)+N($O9))</f>
        <v>0</v>
      </c>
      <c r="T9" s="188">
        <f ca="1">IF(OR(OP!$D$53=1,$B9=""),0,N($T8)+N($S9))</f>
        <v>0</v>
      </c>
      <c r="U9" s="188">
        <f ca="1">IF(OR(OP!$D$53=1,$B9=""),"",ROUND($S9/12,0))</f>
        <v>0</v>
      </c>
      <c r="V9" s="188">
        <f ca="1">IF(OR(OP!$D$53=1,$B9=""),0,N($V8)+(N($U9)*12))</f>
        <v>0</v>
      </c>
      <c r="W9" s="186"/>
      <c r="X9" s="186"/>
      <c r="Y9" s="189" t="e">
        <f ca="1">IF(OR(OP!$D$53=1,$B9=""),"",ROUND(($H9+$Q9)*IF(OR($C9&lt;16,$Z9=0,$Z9=""),1,PYO),0))</f>
        <v>#N/A</v>
      </c>
      <c r="Z9" s="189" t="e">
        <f ca="1">IF(OR(OP!$D$53=1,$B9=""),"",ROUND(($H9+Q9)*IF(OR($C9&lt;16,($H9+$Q9)*PY!$C$4&lt;PY!$D$5,($H9+$Q9)*PY!$C$4*PYR&lt;PY!$C$5),0,PYY)*PYR,0))</f>
        <v>#N/A</v>
      </c>
      <c r="AA9" s="113">
        <f ca="1">IF(OR(OP!$D$53=1,AND(B9&gt;OP!$C$24)),"",OP!$C$52)</f>
        <v>11326</v>
      </c>
      <c r="AB9" s="113">
        <f ca="1">IF(OR(OP!$D$53=1,$B9=""),"",N($AB8)+N($AA9))</f>
        <v>67956</v>
      </c>
      <c r="AC9" s="113"/>
      <c r="AD9" s="113"/>
      <c r="AE9" s="113"/>
      <c r="AF9" s="113"/>
      <c r="AG9" s="113"/>
      <c r="AH9" s="187" t="e">
        <f ca="1">IF(OR(OP!$D$53=1,$B9=""),"",ROUND(VLOOKUP(OP!$C$55,HL_1,$B9+1,0)*OP!$C$28,0))</f>
        <v>#N/A</v>
      </c>
      <c r="AI9" s="187" t="e">
        <f ca="1">IF(OR(OP!$D$53=1,$B9=""),"",ROUND(VLOOKUP(OP!$C$55,HL_2,$B9+1,0)*OP!$C$28,0))</f>
        <v>#N/A</v>
      </c>
    </row>
    <row r="10" spans="2:35" hidden="1">
      <c r="B10" s="93">
        <f ca="1">IF(OR(C9&gt;=OP!$F$57,C9=""),"",IF(C9+1&gt;OP!$F$57,OP!$F$57+1-$C$4,B9+1))</f>
        <v>7</v>
      </c>
      <c r="C10" s="92">
        <f ca="1">IF(OR(OP!$D$53=1,MAX($C$4:C9)&gt;=OP!$F$57),"",C9+(B10-B9))</f>
        <v>21</v>
      </c>
      <c r="D10" s="113">
        <f ca="1">IF(OR(OP!$D$53=1,AND($B10&gt;OP!$C$24)),"",OP!$C$52-IF($C10&lt;16,$K9,0))</f>
        <v>11326</v>
      </c>
      <c r="E10" s="113">
        <f ca="1">IF(OR(OP!$D$53=1,$B10=""),"",N($E9)+N($D10))</f>
        <v>79282</v>
      </c>
      <c r="F10" s="186" t="str">
        <f ca="1">IF(OR(OP!$D$53=1,$B10="",ISERROR(VLOOKUP(OP!$C$55,SRV,$B10+1,0))),"",ROUND(VLOOKUP(OP!$C$55,SRV,$B10+1,0)*OP!$C$28,0))</f>
        <v/>
      </c>
      <c r="G10" s="186" t="str">
        <f ca="1">IF(OR(OP!$D$53=1,$B10="",ISERROR(VLOOKUP(OP!$C$55,SRV,$B10+1,0))),"",N($G9)+N($F10))</f>
        <v/>
      </c>
      <c r="H10" s="186" t="e">
        <f ca="1">IF(OR(OP!$D$53=1,$B10=""),"",ROUND(VLOOKUP(OP!$C$55,DIE,$B10+1,0)*OP!$C$28,0))</f>
        <v>#N/A</v>
      </c>
      <c r="I10" s="187" t="e">
        <f ca="1">IF(OR(OP!$D$53=1,$B10=""),"",ROUND(VLOOKUP(OP!$C$55,CV,$B10+1,0)*OP!$C$28,0))</f>
        <v>#N/A</v>
      </c>
      <c r="J10" s="187" t="e">
        <f ca="1">IF(OR(OP!$D$53=1,$B10=""),"",ROUND(VLOOKUP(OP!$C$55,PA,$B10+1,0)*OP!$C$28,0))</f>
        <v>#N/A</v>
      </c>
      <c r="K10" s="186"/>
      <c r="L10" s="186"/>
      <c r="M10" s="186"/>
      <c r="N10" s="188"/>
      <c r="O10" s="188"/>
      <c r="P10" s="188"/>
      <c r="Q10" s="188"/>
      <c r="R10" s="188"/>
      <c r="S10" s="188">
        <f ca="1">IF(OR(OP!$D$53=1,$B10=""),"",N($F10)+N($O10))</f>
        <v>0</v>
      </c>
      <c r="T10" s="188">
        <f ca="1">IF(OR(OP!$D$53=1,$B10=""),0,N($T9)+N($S10))</f>
        <v>0</v>
      </c>
      <c r="U10" s="188">
        <f ca="1">IF(OR(OP!$D$53=1,$B10=""),"",ROUND($S10/12,0))</f>
        <v>0</v>
      </c>
      <c r="V10" s="188">
        <f ca="1">IF(OR(OP!$D$53=1,$B10=""),0,N($V9)+(N($U10)*12))</f>
        <v>0</v>
      </c>
      <c r="W10" s="186"/>
      <c r="X10" s="186"/>
      <c r="Y10" s="189" t="e">
        <f ca="1">IF(OR(OP!$D$53=1,$B10=""),"",ROUND(($H10+$Q10)*IF(OR($C10&lt;16,$Z10=0,$Z10=""),1,PYO),0))</f>
        <v>#N/A</v>
      </c>
      <c r="Z10" s="189" t="e">
        <f ca="1">IF(OR(OP!$D$53=1,$B10=""),"",ROUND(($H10+Q10)*IF(OR($C10&lt;16,($H10+$Q10)*PY!$C$4&lt;PY!$D$5,($H10+$Q10)*PY!$C$4*PYR&lt;PY!$C$5),0,PYY)*PYR,0))</f>
        <v>#N/A</v>
      </c>
      <c r="AA10" s="113">
        <f ca="1">IF(OR(OP!$D$53=1,AND(B10&gt;OP!$C$24)),"",OP!$C$52)</f>
        <v>11326</v>
      </c>
      <c r="AB10" s="113">
        <f ca="1">IF(OR(OP!$D$53=1,$B10=""),"",N($AB9)+N($AA10))</f>
        <v>79282</v>
      </c>
      <c r="AC10" s="113"/>
      <c r="AD10" s="113"/>
      <c r="AE10" s="113"/>
      <c r="AF10" s="113"/>
      <c r="AG10" s="113"/>
      <c r="AH10" s="187" t="e">
        <f ca="1">IF(OR(OP!$D$53=1,$B10=""),"",ROUND(VLOOKUP(OP!$C$55,HL_1,$B10+1,0)*OP!$C$28,0))</f>
        <v>#N/A</v>
      </c>
      <c r="AI10" s="187" t="e">
        <f ca="1">IF(OR(OP!$D$53=1,$B10=""),"",ROUND(VLOOKUP(OP!$C$55,HL_2,$B10+1,0)*OP!$C$28,0))</f>
        <v>#N/A</v>
      </c>
    </row>
    <row r="11" spans="2:35" hidden="1">
      <c r="B11" s="93">
        <f ca="1">IF(OR(C10&gt;=OP!$F$57,C10=""),"",IF(C10+1&gt;OP!$F$57,OP!$F$57+1-$C$4,B10+1))</f>
        <v>8</v>
      </c>
      <c r="C11" s="92">
        <f ca="1">IF(OR(OP!$D$53=1,MAX($C$4:C10)&gt;=OP!$F$57),"",C10+(B11-B10))</f>
        <v>22</v>
      </c>
      <c r="D11" s="113">
        <f ca="1">IF(OR(OP!$D$53=1,AND($B11&gt;OP!$C$24)),"",OP!$C$52-IF($C11&lt;16,$K10,0))</f>
        <v>11326</v>
      </c>
      <c r="E11" s="113">
        <f ca="1">IF(OR(OP!$D$53=1,$B11=""),"",N($E10)+N($D11))</f>
        <v>90608</v>
      </c>
      <c r="F11" s="186" t="str">
        <f ca="1">IF(OR(OP!$D$53=1,$B11="",ISERROR(VLOOKUP(OP!$C$55,SRV,$B11+1,0))),"",ROUND(VLOOKUP(OP!$C$55,SRV,$B11+1,0)*OP!$C$28,0))</f>
        <v/>
      </c>
      <c r="G11" s="186" t="str">
        <f ca="1">IF(OR(OP!$D$53=1,$B11="",ISERROR(VLOOKUP(OP!$C$55,SRV,$B11+1,0))),"",N($G10)+N($F11))</f>
        <v/>
      </c>
      <c r="H11" s="186" t="e">
        <f ca="1">IF(OR(OP!$D$53=1,$B11=""),"",ROUND(VLOOKUP(OP!$C$55,DIE,$B11+1,0)*OP!$C$28,0))</f>
        <v>#N/A</v>
      </c>
      <c r="I11" s="187" t="e">
        <f ca="1">IF(OR(OP!$D$53=1,$B11=""),"",ROUND(VLOOKUP(OP!$C$55,CV,$B11+1,0)*OP!$C$28,0))</f>
        <v>#N/A</v>
      </c>
      <c r="J11" s="187" t="e">
        <f ca="1">IF(OR(OP!$D$53=1,$B11=""),"",ROUND(VLOOKUP(OP!$C$55,PA,$B11+1,0)*OP!$C$28,0))</f>
        <v>#N/A</v>
      </c>
      <c r="K11" s="186"/>
      <c r="L11" s="186"/>
      <c r="M11" s="186"/>
      <c r="N11" s="188"/>
      <c r="O11" s="188"/>
      <c r="P11" s="188"/>
      <c r="Q11" s="188"/>
      <c r="R11" s="188"/>
      <c r="S11" s="188">
        <f ca="1">IF(OR(OP!$D$53=1,$B11=""),"",N($F11)+N($O11))</f>
        <v>0</v>
      </c>
      <c r="T11" s="188">
        <f ca="1">IF(OR(OP!$D$53=1,$B11=""),0,N($T10)+N($S11))</f>
        <v>0</v>
      </c>
      <c r="U11" s="188">
        <f ca="1">IF(OR(OP!$D$53=1,$B11=""),"",ROUND($S11/12,0))</f>
        <v>0</v>
      </c>
      <c r="V11" s="188">
        <f ca="1">IF(OR(OP!$D$53=1,$B11=""),0,N($V10)+(N($U11)*12))</f>
        <v>0</v>
      </c>
      <c r="W11" s="186"/>
      <c r="X11" s="186"/>
      <c r="Y11" s="189" t="e">
        <f ca="1">IF(OR(OP!$D$53=1,$B11=""),"",ROUND(($H11+$Q11)*IF(OR($C11&lt;16,$Z11=0,$Z11=""),1,PYO),0))</f>
        <v>#N/A</v>
      </c>
      <c r="Z11" s="189" t="e">
        <f ca="1">IF(OR(OP!$D$53=1,$B11=""),"",ROUND(($H11+Q11)*IF(OR($C11&lt;16,($H11+$Q11)*PY!$C$4&lt;PY!$D$5,($H11+$Q11)*PY!$C$4*PYR&lt;PY!$C$5),0,PYY)*PYR,0))</f>
        <v>#N/A</v>
      </c>
      <c r="AA11" s="113">
        <f ca="1">IF(OR(OP!$D$53=1,AND(B11&gt;OP!$C$24)),"",OP!$C$52)</f>
        <v>11326</v>
      </c>
      <c r="AB11" s="113">
        <f ca="1">IF(OR(OP!$D$53=1,$B11=""),"",N($AB10)+N($AA11))</f>
        <v>90608</v>
      </c>
      <c r="AC11" s="113"/>
      <c r="AD11" s="113"/>
      <c r="AE11" s="113"/>
      <c r="AF11" s="113"/>
      <c r="AG11" s="113"/>
      <c r="AH11" s="187" t="e">
        <f ca="1">IF(OR(OP!$D$53=1,$B11=""),"",ROUND(VLOOKUP(OP!$C$55,HL_1,$B11+1,0)*OP!$C$28,0))</f>
        <v>#N/A</v>
      </c>
      <c r="AI11" s="187" t="e">
        <f ca="1">IF(OR(OP!$D$53=1,$B11=""),"",ROUND(VLOOKUP(OP!$C$55,HL_2,$B11+1,0)*OP!$C$28,0))</f>
        <v>#N/A</v>
      </c>
    </row>
    <row r="12" spans="2:35" hidden="1">
      <c r="B12" s="93">
        <f ca="1">IF(OR(C11&gt;=OP!$F$57,C11=""),"",IF(C11+1&gt;OP!$F$57,OP!$F$57+1-$C$4,B11+1))</f>
        <v>9</v>
      </c>
      <c r="C12" s="92">
        <f ca="1">IF(OR(OP!$D$53=1,MAX($C$4:C11)&gt;=OP!$F$57),"",C11+(B12-B11))</f>
        <v>23</v>
      </c>
      <c r="D12" s="113">
        <f ca="1">IF(OR(OP!$D$53=1,AND($B12&gt;OP!$C$24)),"",OP!$C$52-IF($C12&lt;16,$K11,0))</f>
        <v>11326</v>
      </c>
      <c r="E12" s="113">
        <f ca="1">IF(OR(OP!$D$53=1,$B12=""),"",N($E11)+N($D12))</f>
        <v>101934</v>
      </c>
      <c r="F12" s="186" t="str">
        <f ca="1">IF(OR(OP!$D$53=1,$B12="",ISERROR(VLOOKUP(OP!$C$55,SRV,$B12+1,0))),"",ROUND(VLOOKUP(OP!$C$55,SRV,$B12+1,0)*OP!$C$28,0))</f>
        <v/>
      </c>
      <c r="G12" s="186" t="str">
        <f ca="1">IF(OR(OP!$D$53=1,$B12="",ISERROR(VLOOKUP(OP!$C$55,SRV,$B12+1,0))),"",N($G11)+N($F12))</f>
        <v/>
      </c>
      <c r="H12" s="186" t="e">
        <f ca="1">IF(OR(OP!$D$53=1,$B12=""),"",ROUND(VLOOKUP(OP!$C$55,DIE,$B12+1,0)*OP!$C$28,0))</f>
        <v>#N/A</v>
      </c>
      <c r="I12" s="187" t="e">
        <f ca="1">IF(OR(OP!$D$53=1,$B12=""),"",ROUND(VLOOKUP(OP!$C$55,CV,$B12+1,0)*OP!$C$28,0))</f>
        <v>#N/A</v>
      </c>
      <c r="J12" s="187" t="e">
        <f ca="1">IF(OR(OP!$D$53=1,$B12=""),"",ROUND(VLOOKUP(OP!$C$55,PA,$B12+1,0)*OP!$C$28,0))</f>
        <v>#N/A</v>
      </c>
      <c r="K12" s="186"/>
      <c r="L12" s="186"/>
      <c r="M12" s="186"/>
      <c r="N12" s="188"/>
      <c r="O12" s="188"/>
      <c r="P12" s="188"/>
      <c r="Q12" s="188"/>
      <c r="R12" s="188"/>
      <c r="S12" s="188">
        <f ca="1">IF(OR(OP!$D$53=1,$B12=""),"",N($F12)+N($O12))</f>
        <v>0</v>
      </c>
      <c r="T12" s="188">
        <f ca="1">IF(OR(OP!$D$53=1,$B12=""),0,N($T11)+N($S12))</f>
        <v>0</v>
      </c>
      <c r="U12" s="188">
        <f ca="1">IF(OR(OP!$D$53=1,$B12=""),"",ROUND($S12/12,0))</f>
        <v>0</v>
      </c>
      <c r="V12" s="188">
        <f ca="1">IF(OR(OP!$D$53=1,$B12=""),0,N($V11)+(N($U12)*12))</f>
        <v>0</v>
      </c>
      <c r="W12" s="186"/>
      <c r="X12" s="186"/>
      <c r="Y12" s="189" t="e">
        <f ca="1">IF(OR(OP!$D$53=1,$B12=""),"",ROUND(($H12+$Q12)*IF(OR($C12&lt;16,$Z12=0,$Z12=""),1,PYO),0))</f>
        <v>#N/A</v>
      </c>
      <c r="Z12" s="189" t="e">
        <f ca="1">IF(OR(OP!$D$53=1,$B12=""),"",ROUND(($H12+Q12)*IF(OR($C12&lt;16,($H12+$Q12)*PY!$C$4&lt;PY!$D$5,($H12+$Q12)*PY!$C$4*PYR&lt;PY!$C$5),0,PYY)*PYR,0))</f>
        <v>#N/A</v>
      </c>
      <c r="AA12" s="113">
        <f ca="1">IF(OR(OP!$D$53=1,AND(B12&gt;OP!$C$24)),"",OP!$C$52)</f>
        <v>11326</v>
      </c>
      <c r="AB12" s="113">
        <f ca="1">IF(OR(OP!$D$53=1,$B12=""),"",N($AB11)+N($AA12))</f>
        <v>101934</v>
      </c>
      <c r="AC12" s="113"/>
      <c r="AD12" s="113"/>
      <c r="AE12" s="113"/>
      <c r="AF12" s="113"/>
      <c r="AG12" s="113"/>
      <c r="AH12" s="187" t="e">
        <f ca="1">IF(OR(OP!$D$53=1,$B12=""),"",ROUND(VLOOKUP(OP!$C$55,HL_1,$B12+1,0)*OP!$C$28,0))</f>
        <v>#N/A</v>
      </c>
      <c r="AI12" s="187" t="e">
        <f ca="1">IF(OR(OP!$D$53=1,$B12=""),"",ROUND(VLOOKUP(OP!$C$55,HL_2,$B12+1,0)*OP!$C$28,0))</f>
        <v>#N/A</v>
      </c>
    </row>
    <row r="13" spans="2:35" hidden="1">
      <c r="B13" s="93">
        <f ca="1">IF(OR(C12&gt;=OP!$F$57,C12=""),"",IF(C12+1&gt;OP!$F$57,OP!$F$57+1-$C$4,B12+1))</f>
        <v>10</v>
      </c>
      <c r="C13" s="92">
        <f ca="1">IF(OR(OP!$D$53=1,MAX($C$4:C12)&gt;=OP!$F$57),"",C12+(B13-B12))</f>
        <v>24</v>
      </c>
      <c r="D13" s="113">
        <f ca="1">IF(OR(OP!$D$53=1,AND($B13&gt;OP!$C$24)),"",OP!$C$52-IF($C13&lt;16,$K12,0))</f>
        <v>11326</v>
      </c>
      <c r="E13" s="113">
        <f ca="1">IF(OR(OP!$D$53=1,$B13=""),"",N($E12)+N($D13))</f>
        <v>113260</v>
      </c>
      <c r="F13" s="186" t="str">
        <f ca="1">IF(OR(OP!$D$53=1,$B13="",ISERROR(VLOOKUP(OP!$C$55,SRV,$B13+1,0))),"",ROUND(VLOOKUP(OP!$C$55,SRV,$B13+1,0)*OP!$C$28,0))</f>
        <v/>
      </c>
      <c r="G13" s="186" t="str">
        <f ca="1">IF(OR(OP!$D$53=1,$B13="",ISERROR(VLOOKUP(OP!$C$55,SRV,$B13+1,0))),"",N($G12)+N($F13))</f>
        <v/>
      </c>
      <c r="H13" s="186" t="e">
        <f ca="1">IF(OR(OP!$D$53=1,$B13=""),"",ROUND(VLOOKUP(OP!$C$55,DIE,$B13+1,0)*OP!$C$28,0))</f>
        <v>#N/A</v>
      </c>
      <c r="I13" s="187" t="e">
        <f ca="1">IF(OR(OP!$D$53=1,$B13=""),"",ROUND(VLOOKUP(OP!$C$55,CV,$B13+1,0)*OP!$C$28,0))</f>
        <v>#N/A</v>
      </c>
      <c r="J13" s="187" t="e">
        <f ca="1">IF(OR(OP!$D$53=1,$B13=""),"",ROUND(VLOOKUP(OP!$C$55,PA,$B13+1,0)*OP!$C$28,0))</f>
        <v>#N/A</v>
      </c>
      <c r="K13" s="186"/>
      <c r="L13" s="186"/>
      <c r="M13" s="186"/>
      <c r="N13" s="188"/>
      <c r="O13" s="188"/>
      <c r="P13" s="188"/>
      <c r="Q13" s="188"/>
      <c r="R13" s="188"/>
      <c r="S13" s="188">
        <f ca="1">IF(OR(OP!$D$53=1,$B13=""),"",N($F13)+N($O13))</f>
        <v>0</v>
      </c>
      <c r="T13" s="188">
        <f ca="1">IF(OR(OP!$D$53=1,$B13=""),0,N($T12)+N($S13))</f>
        <v>0</v>
      </c>
      <c r="U13" s="188">
        <f ca="1">IF(OR(OP!$D$53=1,$B13=""),"",ROUND($S13/12,0))</f>
        <v>0</v>
      </c>
      <c r="V13" s="188">
        <f ca="1">IF(OR(OP!$D$53=1,$B13=""),0,N($V12)+(N($U13)*12))</f>
        <v>0</v>
      </c>
      <c r="W13" s="186"/>
      <c r="X13" s="186"/>
      <c r="Y13" s="189" t="e">
        <f ca="1">IF(OR(OP!$D$53=1,$B13=""),"",ROUND(($H13+$Q13)*IF(OR($C13&lt;16,$Z13=0,$Z13=""),1,PYO),0))</f>
        <v>#N/A</v>
      </c>
      <c r="Z13" s="189" t="e">
        <f ca="1">IF(OR(OP!$D$53=1,$B13=""),"",ROUND(($H13+Q13)*IF(OR($C13&lt;16,($H13+$Q13)*PY!$C$4&lt;PY!$D$5,($H13+$Q13)*PY!$C$4*PYR&lt;PY!$C$5),0,PYY)*PYR,0))</f>
        <v>#N/A</v>
      </c>
      <c r="AA13" s="113">
        <f ca="1">IF(OR(OP!$D$53=1,AND(B13&gt;OP!$C$24)),"",OP!$C$52)</f>
        <v>11326</v>
      </c>
      <c r="AB13" s="113">
        <f ca="1">IF(OR(OP!$D$53=1,$B13=""),"",N($AB12)+N($AA13))</f>
        <v>113260</v>
      </c>
      <c r="AC13" s="113"/>
      <c r="AD13" s="113"/>
      <c r="AE13" s="113"/>
      <c r="AF13" s="113"/>
      <c r="AG13" s="113"/>
      <c r="AH13" s="187" t="e">
        <f ca="1">IF(OR(OP!$D$53=1,$B13=""),"",ROUND(VLOOKUP(OP!$C$55,HL_1,$B13+1,0)*OP!$C$28,0))</f>
        <v>#N/A</v>
      </c>
      <c r="AI13" s="187" t="e">
        <f ca="1">IF(OR(OP!$D$53=1,$B13=""),"",ROUND(VLOOKUP(OP!$C$55,HL_2,$B13+1,0)*OP!$C$28,0))</f>
        <v>#N/A</v>
      </c>
    </row>
    <row r="14" spans="2:35" hidden="1">
      <c r="B14" s="93">
        <f ca="1">IF(OR(C13&gt;=OP!$F$57,C13=""),"",IF(C13+1&gt;OP!$F$57,OP!$F$57+1-$C$4,B13+1))</f>
        <v>11</v>
      </c>
      <c r="C14" s="92">
        <f ca="1">IF(OR(OP!$D$53=1,MAX($C$4:C13)&gt;=OP!$F$57),"",C13+(B14-B13))</f>
        <v>25</v>
      </c>
      <c r="D14" s="113">
        <f ca="1">IF(OR(OP!$D$53=1,AND($B14&gt;OP!$C$24)),"",OP!$C$52-IF($C14&lt;16,$K13,0))</f>
        <v>11326</v>
      </c>
      <c r="E14" s="113">
        <f ca="1">IF(OR(OP!$D$53=1,$B14=""),"",N($E13)+N($D14))</f>
        <v>124586</v>
      </c>
      <c r="F14" s="186" t="str">
        <f ca="1">IF(OR(OP!$D$53=1,$B14="",ISERROR(VLOOKUP(OP!$C$55,SRV,$B14+1,0))),"",ROUND(VLOOKUP(OP!$C$55,SRV,$B14+1,0)*OP!$C$28,0))</f>
        <v/>
      </c>
      <c r="G14" s="186" t="str">
        <f ca="1">IF(OR(OP!$D$53=1,$B14="",ISERROR(VLOOKUP(OP!$C$55,SRV,$B14+1,0))),"",N($G13)+N($F14))</f>
        <v/>
      </c>
      <c r="H14" s="186" t="e">
        <f ca="1">IF(OR(OP!$D$53=1,$B14=""),"",ROUND(VLOOKUP(OP!$C$55,DIE,$B14+1,0)*OP!$C$28,0))</f>
        <v>#N/A</v>
      </c>
      <c r="I14" s="187" t="e">
        <f ca="1">IF(OR(OP!$D$53=1,$B14=""),"",ROUND(VLOOKUP(OP!$C$55,CV,$B14+1,0)*OP!$C$28,0))</f>
        <v>#N/A</v>
      </c>
      <c r="J14" s="187" t="e">
        <f ca="1">IF(OR(OP!$D$53=1,$B14=""),"",ROUND(VLOOKUP(OP!$C$55,PA,$B14+1,0)*OP!$C$28,0))</f>
        <v>#N/A</v>
      </c>
      <c r="K14" s="186"/>
      <c r="L14" s="186"/>
      <c r="M14" s="186"/>
      <c r="N14" s="188"/>
      <c r="O14" s="188"/>
      <c r="P14" s="188"/>
      <c r="Q14" s="188"/>
      <c r="R14" s="188"/>
      <c r="S14" s="188">
        <f ca="1">IF(OR(OP!$D$53=1,$B14=""),"",N($F14)+N($O14))</f>
        <v>0</v>
      </c>
      <c r="T14" s="188">
        <f ca="1">IF(OR(OP!$D$53=1,$B14=""),0,N($T13)+N($S14))</f>
        <v>0</v>
      </c>
      <c r="U14" s="188">
        <f ca="1">IF(OR(OP!$D$53=1,$B14=""),"",ROUND($S14/12,0))</f>
        <v>0</v>
      </c>
      <c r="V14" s="188">
        <f ca="1">IF(OR(OP!$D$53=1,$B14=""),0,N($V13)+(N($U14)*12))</f>
        <v>0</v>
      </c>
      <c r="W14" s="186"/>
      <c r="X14" s="186"/>
      <c r="Y14" s="189" t="e">
        <f ca="1">IF(OR(OP!$D$53=1,$B14=""),"",ROUND(($H14+$Q14)*IF(OR($C14&lt;16,$Z14=0,$Z14=""),1,PYO),0))</f>
        <v>#N/A</v>
      </c>
      <c r="Z14" s="189" t="e">
        <f ca="1">IF(OR(OP!$D$53=1,$B14=""),"",ROUND(($H14+Q14)*IF(OR($C14&lt;16,($H14+$Q14)*PY!$C$4&lt;PY!$D$5,($H14+$Q14)*PY!$C$4*PYR&lt;PY!$C$5),0,PYY)*PYR,0))</f>
        <v>#N/A</v>
      </c>
      <c r="AA14" s="113">
        <f ca="1">IF(OR(OP!$D$53=1,AND(B14&gt;OP!$C$24)),"",OP!$C$52)</f>
        <v>11326</v>
      </c>
      <c r="AB14" s="113">
        <f ca="1">IF(OR(OP!$D$53=1,$B14=""),"",N($AB13)+N($AA14))</f>
        <v>124586</v>
      </c>
      <c r="AC14" s="113"/>
      <c r="AD14" s="113"/>
      <c r="AE14" s="113"/>
      <c r="AF14" s="113"/>
      <c r="AG14" s="113"/>
      <c r="AH14" s="187" t="e">
        <f ca="1">IF(OR(OP!$D$53=1,$B14=""),"",ROUND(VLOOKUP(OP!$C$55,HL_1,$B14+1,0)*OP!$C$28,0))</f>
        <v>#N/A</v>
      </c>
      <c r="AI14" s="187" t="e">
        <f ca="1">IF(OR(OP!$D$53=1,$B14=""),"",ROUND(VLOOKUP(OP!$C$55,HL_2,$B14+1,0)*OP!$C$28,0))</f>
        <v>#N/A</v>
      </c>
    </row>
    <row r="15" spans="2:35" hidden="1">
      <c r="B15" s="93">
        <f ca="1">IF(OR(C14&gt;=OP!$F$57,C14=""),"",IF(C14+1&gt;OP!$F$57,OP!$F$57+1-$C$4,B14+1))</f>
        <v>12</v>
      </c>
      <c r="C15" s="92">
        <f ca="1">IF(OR(OP!$D$53=1,MAX($C$4:C14)&gt;=OP!$F$57),"",C14+(B15-B14))</f>
        <v>26</v>
      </c>
      <c r="D15" s="113">
        <f ca="1">IF(OR(OP!$D$53=1,AND($B15&gt;OP!$C$24)),"",OP!$C$52-IF($C15&lt;16,$K14,0))</f>
        <v>11326</v>
      </c>
      <c r="E15" s="113">
        <f ca="1">IF(OR(OP!$D$53=1,$B15=""),"",N($E14)+N($D15))</f>
        <v>135912</v>
      </c>
      <c r="F15" s="186" t="str">
        <f ca="1">IF(OR(OP!$D$53=1,$B15="",ISERROR(VLOOKUP(OP!$C$55,SRV,$B15+1,0))),"",ROUND(VLOOKUP(OP!$C$55,SRV,$B15+1,0)*OP!$C$28,0))</f>
        <v/>
      </c>
      <c r="G15" s="186" t="str">
        <f ca="1">IF(OR(OP!$D$53=1,$B15="",ISERROR(VLOOKUP(OP!$C$55,SRV,$B15+1,0))),"",N($G14)+N($F15))</f>
        <v/>
      </c>
      <c r="H15" s="186" t="e">
        <f ca="1">IF(OR(OP!$D$53=1,$B15=""),"",ROUND(VLOOKUP(OP!$C$55,DIE,$B15+1,0)*OP!$C$28,0))</f>
        <v>#N/A</v>
      </c>
      <c r="I15" s="187" t="e">
        <f ca="1">IF(OR(OP!$D$53=1,$B15=""),"",ROUND(VLOOKUP(OP!$C$55,CV,$B15+1,0)*OP!$C$28,0))</f>
        <v>#N/A</v>
      </c>
      <c r="J15" s="187" t="e">
        <f ca="1">IF(OR(OP!$D$53=1,$B15=""),"",ROUND(VLOOKUP(OP!$C$55,PA,$B15+1,0)*OP!$C$28,0))</f>
        <v>#N/A</v>
      </c>
      <c r="K15" s="186"/>
      <c r="L15" s="186"/>
      <c r="M15" s="186"/>
      <c r="N15" s="188"/>
      <c r="O15" s="188"/>
      <c r="P15" s="188"/>
      <c r="Q15" s="188"/>
      <c r="R15" s="188"/>
      <c r="S15" s="188">
        <f ca="1">IF(OR(OP!$D$53=1,$B15=""),"",N($F15)+N($O15))</f>
        <v>0</v>
      </c>
      <c r="T15" s="188">
        <f ca="1">IF(OR(OP!$D$53=1,$B15=""),0,N($T14)+N($S15))</f>
        <v>0</v>
      </c>
      <c r="U15" s="188">
        <f ca="1">IF(OR(OP!$D$53=1,$B15=""),"",ROUND($S15/12,0))</f>
        <v>0</v>
      </c>
      <c r="V15" s="188">
        <f ca="1">IF(OR(OP!$D$53=1,$B15=""),0,N($V14)+(N($U15)*12))</f>
        <v>0</v>
      </c>
      <c r="W15" s="186"/>
      <c r="X15" s="186"/>
      <c r="Y15" s="189" t="e">
        <f ca="1">IF(OR(OP!$D$53=1,$B15=""),"",ROUND(($H15+$Q15)*IF(OR($C15&lt;16,$Z15=0,$Z15=""),1,PYO),0))</f>
        <v>#N/A</v>
      </c>
      <c r="Z15" s="189" t="e">
        <f ca="1">IF(OR(OP!$D$53=1,$B15=""),"",ROUND(($H15+Q15)*IF(OR($C15&lt;16,($H15+$Q15)*PY!$C$4&lt;PY!$D$5,($H15+$Q15)*PY!$C$4*PYR&lt;PY!$C$5),0,PYY)*PYR,0))</f>
        <v>#N/A</v>
      </c>
      <c r="AA15" s="113">
        <f ca="1">IF(OR(OP!$D$53=1,AND(B15&gt;OP!$C$24)),"",OP!$C$52)</f>
        <v>11326</v>
      </c>
      <c r="AB15" s="113">
        <f ca="1">IF(OR(OP!$D$53=1,$B15=""),"",N($AB14)+N($AA15))</f>
        <v>135912</v>
      </c>
      <c r="AC15" s="113"/>
      <c r="AD15" s="113"/>
      <c r="AE15" s="113"/>
      <c r="AF15" s="113"/>
      <c r="AG15" s="113"/>
      <c r="AH15" s="187" t="e">
        <f ca="1">IF(OR(OP!$D$53=1,$B15=""),"",ROUND(VLOOKUP(OP!$C$55,HL_1,$B15+1,0)*OP!$C$28,0))</f>
        <v>#N/A</v>
      </c>
      <c r="AI15" s="187" t="e">
        <f ca="1">IF(OR(OP!$D$53=1,$B15=""),"",ROUND(VLOOKUP(OP!$C$55,HL_2,$B15+1,0)*OP!$C$28,0))</f>
        <v>#N/A</v>
      </c>
    </row>
    <row r="16" spans="2:35" hidden="1">
      <c r="B16" s="93">
        <f ca="1">IF(OR(C15&gt;=OP!$F$57,C15=""),"",IF(C15+1&gt;OP!$F$57,OP!$F$57+1-$C$4,B15+1))</f>
        <v>13</v>
      </c>
      <c r="C16" s="92">
        <f ca="1">IF(OR(OP!$D$53=1,MAX($C$4:C15)&gt;=OP!$F$57),"",C15+(B16-B15))</f>
        <v>27</v>
      </c>
      <c r="D16" s="113">
        <f ca="1">IF(OR(OP!$D$53=1,AND($B16&gt;OP!$C$24)),"",OP!$C$52-IF($C16&lt;16,$K15,0))</f>
        <v>11326</v>
      </c>
      <c r="E16" s="113">
        <f ca="1">IF(OR(OP!$D$53=1,$B16=""),"",N($E15)+N($D16))</f>
        <v>147238</v>
      </c>
      <c r="F16" s="186" t="str">
        <f ca="1">IF(OR(OP!$D$53=1,$B16="",ISERROR(VLOOKUP(OP!$C$55,SRV,$B16+1,0))),"",ROUND(VLOOKUP(OP!$C$55,SRV,$B16+1,0)*OP!$C$28,0))</f>
        <v/>
      </c>
      <c r="G16" s="186" t="str">
        <f ca="1">IF(OR(OP!$D$53=1,$B16="",ISERROR(VLOOKUP(OP!$C$55,SRV,$B16+1,0))),"",N($G15)+N($F16))</f>
        <v/>
      </c>
      <c r="H16" s="186" t="e">
        <f ca="1">IF(OR(OP!$D$53=1,$B16=""),"",ROUND(VLOOKUP(OP!$C$55,DIE,$B16+1,0)*OP!$C$28,0))</f>
        <v>#N/A</v>
      </c>
      <c r="I16" s="187" t="e">
        <f ca="1">IF(OR(OP!$D$53=1,$B16=""),"",ROUND(VLOOKUP(OP!$C$55,CV,$B16+1,0)*OP!$C$28,0))</f>
        <v>#N/A</v>
      </c>
      <c r="J16" s="187" t="e">
        <f ca="1">IF(OR(OP!$D$53=1,$B16=""),"",ROUND(VLOOKUP(OP!$C$55,PA,$B16+1,0)*OP!$C$28,0))</f>
        <v>#N/A</v>
      </c>
      <c r="K16" s="186"/>
      <c r="L16" s="186"/>
      <c r="M16" s="186"/>
      <c r="N16" s="188"/>
      <c r="O16" s="188"/>
      <c r="P16" s="188"/>
      <c r="Q16" s="188"/>
      <c r="R16" s="188"/>
      <c r="S16" s="188">
        <f ca="1">IF(OR(OP!$D$53=1,$B16=""),"",N($F16)+N($O16))</f>
        <v>0</v>
      </c>
      <c r="T16" s="188">
        <f ca="1">IF(OR(OP!$D$53=1,$B16=""),0,N($T15)+N($S16))</f>
        <v>0</v>
      </c>
      <c r="U16" s="188">
        <f ca="1">IF(OR(OP!$D$53=1,$B16=""),"",ROUND($S16/12,0))</f>
        <v>0</v>
      </c>
      <c r="V16" s="188">
        <f ca="1">IF(OR(OP!$D$53=1,$B16=""),0,N($V15)+(N($U16)*12))</f>
        <v>0</v>
      </c>
      <c r="W16" s="186"/>
      <c r="X16" s="186"/>
      <c r="Y16" s="189" t="e">
        <f ca="1">IF(OR(OP!$D$53=1,$B16=""),"",ROUND(($H16+$Q16)*IF(OR($C16&lt;16,$Z16=0,$Z16=""),1,PYO),0))</f>
        <v>#N/A</v>
      </c>
      <c r="Z16" s="189" t="e">
        <f ca="1">IF(OR(OP!$D$53=1,$B16=""),"",ROUND(($H16+Q16)*IF(OR($C16&lt;16,($H16+$Q16)*PY!$C$4&lt;PY!$D$5,($H16+$Q16)*PY!$C$4*PYR&lt;PY!$C$5),0,PYY)*PYR,0))</f>
        <v>#N/A</v>
      </c>
      <c r="AA16" s="113">
        <f ca="1">IF(OR(OP!$D$53=1,AND(B16&gt;OP!$C$24)),"",OP!$C$52)</f>
        <v>11326</v>
      </c>
      <c r="AB16" s="113">
        <f ca="1">IF(OR(OP!$D$53=1,$B16=""),"",N($AB15)+N($AA16))</f>
        <v>147238</v>
      </c>
      <c r="AC16" s="113"/>
      <c r="AD16" s="113"/>
      <c r="AE16" s="113"/>
      <c r="AF16" s="113"/>
      <c r="AG16" s="113"/>
      <c r="AH16" s="187" t="e">
        <f ca="1">IF(OR(OP!$D$53=1,$B16=""),"",ROUND(VLOOKUP(OP!$C$55,HL_1,$B16+1,0)*OP!$C$28,0))</f>
        <v>#N/A</v>
      </c>
      <c r="AI16" s="187" t="e">
        <f ca="1">IF(OR(OP!$D$53=1,$B16=""),"",ROUND(VLOOKUP(OP!$C$55,HL_2,$B16+1,0)*OP!$C$28,0))</f>
        <v>#N/A</v>
      </c>
    </row>
    <row r="17" spans="2:35" hidden="1">
      <c r="B17" s="93">
        <f ca="1">IF(OR(C16&gt;=OP!$F$57,C16=""),"",IF(C16+1&gt;OP!$F$57,OP!$F$57+1-$C$4,B16+1))</f>
        <v>14</v>
      </c>
      <c r="C17" s="92">
        <f ca="1">IF(OR(OP!$D$53=1,MAX($C$4:C16)&gt;=OP!$F$57),"",C16+(B17-B16))</f>
        <v>28</v>
      </c>
      <c r="D17" s="113">
        <f ca="1">IF(OR(OP!$D$53=1,AND($B17&gt;OP!$C$24)),"",OP!$C$52-IF($C17&lt;16,$K16,0))</f>
        <v>11326</v>
      </c>
      <c r="E17" s="113">
        <f ca="1">IF(OR(OP!$D$53=1,$B17=""),"",N($E16)+N($D17))</f>
        <v>158564</v>
      </c>
      <c r="F17" s="186" t="str">
        <f ca="1">IF(OR(OP!$D$53=1,$B17="",ISERROR(VLOOKUP(OP!$C$55,SRV,$B17+1,0))),"",ROUND(VLOOKUP(OP!$C$55,SRV,$B17+1,0)*OP!$C$28,0))</f>
        <v/>
      </c>
      <c r="G17" s="186" t="str">
        <f ca="1">IF(OR(OP!$D$53=1,$B17="",ISERROR(VLOOKUP(OP!$C$55,SRV,$B17+1,0))),"",N($G16)+N($F17))</f>
        <v/>
      </c>
      <c r="H17" s="186" t="e">
        <f ca="1">IF(OR(OP!$D$53=1,$B17=""),"",ROUND(VLOOKUP(OP!$C$55,DIE,$B17+1,0)*OP!$C$28,0))</f>
        <v>#N/A</v>
      </c>
      <c r="I17" s="187" t="e">
        <f ca="1">IF(OR(OP!$D$53=1,$B17=""),"",ROUND(VLOOKUP(OP!$C$55,CV,$B17+1,0)*OP!$C$28,0))</f>
        <v>#N/A</v>
      </c>
      <c r="J17" s="187" t="e">
        <f ca="1">IF(OR(OP!$D$53=1,$B17=""),"",ROUND(VLOOKUP(OP!$C$55,PA,$B17+1,0)*OP!$C$28,0))</f>
        <v>#N/A</v>
      </c>
      <c r="K17" s="186"/>
      <c r="L17" s="186"/>
      <c r="M17" s="186"/>
      <c r="N17" s="188"/>
      <c r="O17" s="188"/>
      <c r="P17" s="188"/>
      <c r="Q17" s="188"/>
      <c r="R17" s="188"/>
      <c r="S17" s="188">
        <f ca="1">IF(OR(OP!$D$53=1,$B17=""),"",N($F17)+N($O17))</f>
        <v>0</v>
      </c>
      <c r="T17" s="188">
        <f ca="1">IF(OR(OP!$D$53=1,$B17=""),0,N($T16)+N($S17))</f>
        <v>0</v>
      </c>
      <c r="U17" s="188">
        <f ca="1">IF(OR(OP!$D$53=1,$B17=""),"",ROUND($S17/12,0))</f>
        <v>0</v>
      </c>
      <c r="V17" s="188">
        <f ca="1">IF(OR(OP!$D$53=1,$B17=""),0,N($V16)+(N($U17)*12))</f>
        <v>0</v>
      </c>
      <c r="W17" s="186"/>
      <c r="X17" s="186"/>
      <c r="Y17" s="189" t="e">
        <f ca="1">IF(OR(OP!$D$53=1,$B17=""),"",ROUND(($H17+$Q17)*IF(OR($C17&lt;16,$Z17=0,$Z17=""),1,PYO),0))</f>
        <v>#N/A</v>
      </c>
      <c r="Z17" s="189" t="e">
        <f ca="1">IF(OR(OP!$D$53=1,$B17=""),"",ROUND(($H17+Q17)*IF(OR($C17&lt;16,($H17+$Q17)*PY!$C$4&lt;PY!$D$5,($H17+$Q17)*PY!$C$4*PYR&lt;PY!$C$5),0,PYY)*PYR,0))</f>
        <v>#N/A</v>
      </c>
      <c r="AA17" s="113">
        <f ca="1">IF(OR(OP!$D$53=1,AND(B17&gt;OP!$C$24)),"",OP!$C$52)</f>
        <v>11326</v>
      </c>
      <c r="AB17" s="113">
        <f ca="1">IF(OR(OP!$D$53=1,$B17=""),"",N($AB16)+N($AA17))</f>
        <v>158564</v>
      </c>
      <c r="AC17" s="113"/>
      <c r="AD17" s="113"/>
      <c r="AE17" s="113"/>
      <c r="AF17" s="113"/>
      <c r="AG17" s="113"/>
      <c r="AH17" s="187" t="e">
        <f ca="1">IF(OR(OP!$D$53=1,$B17=""),"",ROUND(VLOOKUP(OP!$C$55,HL_1,$B17+1,0)*OP!$C$28,0))</f>
        <v>#N/A</v>
      </c>
      <c r="AI17" s="187" t="e">
        <f ca="1">IF(OR(OP!$D$53=1,$B17=""),"",ROUND(VLOOKUP(OP!$C$55,HL_2,$B17+1,0)*OP!$C$28,0))</f>
        <v>#N/A</v>
      </c>
    </row>
    <row r="18" spans="2:35" hidden="1">
      <c r="B18" s="93">
        <f ca="1">IF(OR(C17&gt;=OP!$F$57,C17=""),"",IF(C17+1&gt;OP!$F$57,OP!$F$57+1-$C$4,B17+1))</f>
        <v>15</v>
      </c>
      <c r="C18" s="92">
        <f ca="1">IF(OR(OP!$D$53=1,MAX($C$4:C17)&gt;=OP!$F$57),"",C17+(B18-B17))</f>
        <v>29</v>
      </c>
      <c r="D18" s="113">
        <f ca="1">IF(OR(OP!$D$53=1,AND($B18&gt;OP!$C$24)),"",OP!$C$52-IF($C18&lt;16,$K17,0))</f>
        <v>11326</v>
      </c>
      <c r="E18" s="113">
        <f ca="1">IF(OR(OP!$D$53=1,$B18=""),"",N($E17)+N($D18))</f>
        <v>169890</v>
      </c>
      <c r="F18" s="186" t="str">
        <f ca="1">IF(OR(OP!$D$53=1,$B18="",ISERROR(VLOOKUP(OP!$C$55,SRV,$B18+1,0))),"",ROUND(VLOOKUP(OP!$C$55,SRV,$B18+1,0)*OP!$C$28,0))</f>
        <v/>
      </c>
      <c r="G18" s="186" t="str">
        <f ca="1">IF(OR(OP!$D$53=1,$B18="",ISERROR(VLOOKUP(OP!$C$55,SRV,$B18+1,0))),"",N($G17)+N($F18))</f>
        <v/>
      </c>
      <c r="H18" s="186" t="e">
        <f ca="1">IF(OR(OP!$D$53=1,$B18=""),"",ROUND(VLOOKUP(OP!$C$55,DIE,$B18+1,0)*OP!$C$28,0))</f>
        <v>#N/A</v>
      </c>
      <c r="I18" s="187" t="e">
        <f ca="1">IF(OR(OP!$D$53=1,$B18=""),"",ROUND(VLOOKUP(OP!$C$55,CV,$B18+1,0)*OP!$C$28,0))</f>
        <v>#N/A</v>
      </c>
      <c r="J18" s="187" t="e">
        <f ca="1">IF(OR(OP!$D$53=1,$B18=""),"",ROUND(VLOOKUP(OP!$C$55,PA,$B18+1,0)*OP!$C$28,0))</f>
        <v>#N/A</v>
      </c>
      <c r="K18" s="186"/>
      <c r="L18" s="186"/>
      <c r="M18" s="186"/>
      <c r="N18" s="188"/>
      <c r="O18" s="188"/>
      <c r="P18" s="188"/>
      <c r="Q18" s="188"/>
      <c r="R18" s="188"/>
      <c r="S18" s="188">
        <f ca="1">IF(OR(OP!$D$53=1,$B18=""),"",N($F18)+N($O18))</f>
        <v>0</v>
      </c>
      <c r="T18" s="188">
        <f ca="1">IF(OR(OP!$D$53=1,$B18=""),0,N($T17)+N($S18))</f>
        <v>0</v>
      </c>
      <c r="U18" s="188">
        <f ca="1">IF(OR(OP!$D$53=1,$B18=""),"",ROUND($S18/12,0))</f>
        <v>0</v>
      </c>
      <c r="V18" s="188">
        <f ca="1">IF(OR(OP!$D$53=1,$B18=""),0,N($V17)+(N($U18)*12))</f>
        <v>0</v>
      </c>
      <c r="W18" s="186"/>
      <c r="X18" s="186"/>
      <c r="Y18" s="189" t="e">
        <f ca="1">IF(OR(OP!$D$53=1,$B18=""),"",ROUND(($H18+$Q18)*IF(OR($C18&lt;16,$Z18=0,$Z18=""),1,PYO),0))</f>
        <v>#N/A</v>
      </c>
      <c r="Z18" s="189" t="e">
        <f ca="1">IF(OR(OP!$D$53=1,$B18=""),"",ROUND(($H18+Q18)*IF(OR($C18&lt;16,($H18+$Q18)*PY!$C$4&lt;PY!$D$5,($H18+$Q18)*PY!$C$4*PYR&lt;PY!$C$5),0,PYY)*PYR,0))</f>
        <v>#N/A</v>
      </c>
      <c r="AA18" s="113">
        <f ca="1">IF(OR(OP!$D$53=1,AND(B18&gt;OP!$C$24)),"",OP!$C$52)</f>
        <v>11326</v>
      </c>
      <c r="AB18" s="113">
        <f ca="1">IF(OR(OP!$D$53=1,$B18=""),"",N($AB17)+N($AA18))</f>
        <v>169890</v>
      </c>
      <c r="AC18" s="113"/>
      <c r="AD18" s="113"/>
      <c r="AE18" s="113"/>
      <c r="AF18" s="113"/>
      <c r="AG18" s="113"/>
      <c r="AH18" s="187" t="e">
        <f ca="1">IF(OR(OP!$D$53=1,$B18=""),"",ROUND(VLOOKUP(OP!$C$55,HL_1,$B18+1,0)*OP!$C$28,0))</f>
        <v>#N/A</v>
      </c>
      <c r="AI18" s="187" t="e">
        <f ca="1">IF(OR(OP!$D$53=1,$B18=""),"",ROUND(VLOOKUP(OP!$C$55,HL_2,$B18+1,0)*OP!$C$28,0))</f>
        <v>#N/A</v>
      </c>
    </row>
    <row r="19" spans="2:35" hidden="1">
      <c r="B19" s="93">
        <f ca="1">IF(OR(C18&gt;=OP!$F$57,C18=""),"",IF(C18+1&gt;OP!$F$57,OP!$F$57+1-$C$4,B18+1))</f>
        <v>16</v>
      </c>
      <c r="C19" s="92">
        <f ca="1">IF(OR(OP!$D$53=1,MAX($C$4:C18)&gt;=OP!$F$57),"",C18+(B19-B18))</f>
        <v>30</v>
      </c>
      <c r="D19" s="113">
        <f ca="1">IF(OR(OP!$D$53=1,AND($B19&gt;OP!$C$24)),"",OP!$C$52-IF($C19&lt;16,$K18,0))</f>
        <v>11326</v>
      </c>
      <c r="E19" s="113">
        <f ca="1">IF(OR(OP!$D$53=1,$B19=""),"",N($E18)+N($D19))</f>
        <v>181216</v>
      </c>
      <c r="F19" s="186" t="str">
        <f ca="1">IF(OR(OP!$D$53=1,$B19="",ISERROR(VLOOKUP(OP!$C$55,SRV,$B19+1,0))),"",ROUND(VLOOKUP(OP!$C$55,SRV,$B19+1,0)*OP!$C$28,0))</f>
        <v/>
      </c>
      <c r="G19" s="186" t="str">
        <f ca="1">IF(OR(OP!$D$53=1,$B19="",ISERROR(VLOOKUP(OP!$C$55,SRV,$B19+1,0))),"",N($G18)+N($F19))</f>
        <v/>
      </c>
      <c r="H19" s="186" t="e">
        <f ca="1">IF(OR(OP!$D$53=1,$B19=""),"",ROUND(VLOOKUP(OP!$C$55,DIE,$B19+1,0)*OP!$C$28,0))</f>
        <v>#N/A</v>
      </c>
      <c r="I19" s="187" t="e">
        <f ca="1">IF(OR(OP!$D$53=1,$B19=""),"",ROUND(VLOOKUP(OP!$C$55,CV,$B19+1,0)*OP!$C$28,0))</f>
        <v>#N/A</v>
      </c>
      <c r="J19" s="187" t="e">
        <f ca="1">IF(OR(OP!$D$53=1,$B19=""),"",ROUND(VLOOKUP(OP!$C$55,PA,$B19+1,0)*OP!$C$28,0))</f>
        <v>#N/A</v>
      </c>
      <c r="K19" s="186"/>
      <c r="L19" s="186"/>
      <c r="M19" s="186"/>
      <c r="N19" s="188"/>
      <c r="O19" s="188"/>
      <c r="P19" s="188"/>
      <c r="Q19" s="188"/>
      <c r="R19" s="188"/>
      <c r="S19" s="188">
        <f ca="1">IF(OR(OP!$D$53=1,$B19=""),"",N($F19)+N($O19))</f>
        <v>0</v>
      </c>
      <c r="T19" s="188">
        <f ca="1">IF(OR(OP!$D$53=1,$B19=""),0,N($T18)+N($S19))</f>
        <v>0</v>
      </c>
      <c r="U19" s="188">
        <f ca="1">IF(OR(OP!$D$53=1,$B19=""),"",ROUND($S19/12,0))</f>
        <v>0</v>
      </c>
      <c r="V19" s="188">
        <f ca="1">IF(OR(OP!$D$53=1,$B19=""),0,N($V18)+(N($U19)*12))</f>
        <v>0</v>
      </c>
      <c r="W19" s="186"/>
      <c r="X19" s="186"/>
      <c r="Y19" s="189" t="e">
        <f ca="1">IF(OR(OP!$D$53=1,$B19=""),"",ROUND(($H19+$Q19)*IF(OR($C19&lt;16,$Z19=0,$Z19=""),1,PYO),0))</f>
        <v>#N/A</v>
      </c>
      <c r="Z19" s="189" t="e">
        <f ca="1">IF(OR(OP!$D$53=1,$B19=""),"",ROUND(($H19+Q19)*IF(OR($C19&lt;16,($H19+$Q19)*PY!$C$4&lt;PY!$D$5,($H19+$Q19)*PY!$C$4*PYR&lt;PY!$C$5),0,PYY)*PYR,0))</f>
        <v>#N/A</v>
      </c>
      <c r="AA19" s="113">
        <f ca="1">IF(OR(OP!$D$53=1,AND(B19&gt;OP!$C$24)),"",OP!$C$52)</f>
        <v>11326</v>
      </c>
      <c r="AB19" s="113">
        <f ca="1">IF(OR(OP!$D$53=1,$B19=""),"",N($AB18)+N($AA19))</f>
        <v>181216</v>
      </c>
      <c r="AC19" s="113"/>
      <c r="AD19" s="113"/>
      <c r="AE19" s="113"/>
      <c r="AF19" s="113"/>
      <c r="AG19" s="113"/>
      <c r="AH19" s="187" t="e">
        <f ca="1">IF(OR(OP!$D$53=1,$B19=""),"",ROUND(VLOOKUP(OP!$C$55,HL_1,$B19+1,0)*OP!$C$28,0))</f>
        <v>#N/A</v>
      </c>
      <c r="AI19" s="187" t="e">
        <f ca="1">IF(OR(OP!$D$53=1,$B19=""),"",ROUND(VLOOKUP(OP!$C$55,HL_2,$B19+1,0)*OP!$C$28,0))</f>
        <v>#N/A</v>
      </c>
    </row>
    <row r="20" spans="2:35" hidden="1">
      <c r="B20" s="93">
        <f ca="1">IF(OR(C19&gt;=OP!$F$57,C19=""),"",IF(C19+1&gt;OP!$F$57,OP!$F$57+1-$C$4,B19+1))</f>
        <v>17</v>
      </c>
      <c r="C20" s="92">
        <f ca="1">IF(OR(OP!$D$53=1,MAX($C$4:C19)&gt;=OP!$F$57),"",C19+(B20-B19))</f>
        <v>31</v>
      </c>
      <c r="D20" s="113">
        <f ca="1">IF(OR(OP!$D$53=1,AND($B20&gt;OP!$C$24)),"",OP!$C$52-IF($C20&lt;16,$K19,0))</f>
        <v>11326</v>
      </c>
      <c r="E20" s="113">
        <f ca="1">IF(OR(OP!$D$53=1,$B20=""),"",N($E19)+N($D20))</f>
        <v>192542</v>
      </c>
      <c r="F20" s="186" t="str">
        <f ca="1">IF(OR(OP!$D$53=1,$B20="",ISERROR(VLOOKUP(OP!$C$55,SRV,$B20+1,0))),"",ROUND(VLOOKUP(OP!$C$55,SRV,$B20+1,0)*OP!$C$28,0))</f>
        <v/>
      </c>
      <c r="G20" s="186" t="str">
        <f ca="1">IF(OR(OP!$D$53=1,$B20="",ISERROR(VLOOKUP(OP!$C$55,SRV,$B20+1,0))),"",N($G19)+N($F20))</f>
        <v/>
      </c>
      <c r="H20" s="186" t="e">
        <f ca="1">IF(OR(OP!$D$53=1,$B20=""),"",ROUND(VLOOKUP(OP!$C$55,DIE,$B20+1,0)*OP!$C$28,0))</f>
        <v>#N/A</v>
      </c>
      <c r="I20" s="187" t="e">
        <f ca="1">IF(OR(OP!$D$53=1,$B20=""),"",ROUND(VLOOKUP(OP!$C$55,CV,$B20+1,0)*OP!$C$28,0))</f>
        <v>#N/A</v>
      </c>
      <c r="J20" s="187" t="e">
        <f ca="1">IF(OR(OP!$D$53=1,$B20=""),"",ROUND(VLOOKUP(OP!$C$55,PA,$B20+1,0)*OP!$C$28,0))</f>
        <v>#N/A</v>
      </c>
      <c r="K20" s="186"/>
      <c r="L20" s="186"/>
      <c r="M20" s="186"/>
      <c r="N20" s="188"/>
      <c r="O20" s="188"/>
      <c r="P20" s="188"/>
      <c r="Q20" s="188"/>
      <c r="R20" s="188"/>
      <c r="S20" s="188">
        <f ca="1">IF(OR(OP!$D$53=1,$B20=""),"",N($F20)+N($O20))</f>
        <v>0</v>
      </c>
      <c r="T20" s="188">
        <f ca="1">IF(OR(OP!$D$53=1,$B20=""),0,N($T19)+N($S20))</f>
        <v>0</v>
      </c>
      <c r="U20" s="188">
        <f ca="1">IF(OR(OP!$D$53=1,$B20=""),"",ROUND($S20/12,0))</f>
        <v>0</v>
      </c>
      <c r="V20" s="188">
        <f ca="1">IF(OR(OP!$D$53=1,$B20=""),0,N($V19)+(N($U20)*12))</f>
        <v>0</v>
      </c>
      <c r="W20" s="186"/>
      <c r="X20" s="186"/>
      <c r="Y20" s="189" t="e">
        <f ca="1">IF(OR(OP!$D$53=1,$B20=""),"",ROUND(($H20+$Q20)*IF(OR($C20&lt;16,$Z20=0,$Z20=""),1,PYO),0))</f>
        <v>#N/A</v>
      </c>
      <c r="Z20" s="189" t="e">
        <f ca="1">IF(OR(OP!$D$53=1,$B20=""),"",ROUND(($H20+Q20)*IF(OR($C20&lt;16,($H20+$Q20)*PY!$C$4&lt;PY!$D$5,($H20+$Q20)*PY!$C$4*PYR&lt;PY!$C$5),0,PYY)*PYR,0))</f>
        <v>#N/A</v>
      </c>
      <c r="AA20" s="113">
        <f ca="1">IF(OR(OP!$D$53=1,AND(B20&gt;OP!$C$24)),"",OP!$C$52)</f>
        <v>11326</v>
      </c>
      <c r="AB20" s="113">
        <f ca="1">IF(OR(OP!$D$53=1,$B20=""),"",N($AB19)+N($AA20))</f>
        <v>192542</v>
      </c>
      <c r="AC20" s="113"/>
      <c r="AD20" s="113"/>
      <c r="AE20" s="113"/>
      <c r="AF20" s="113"/>
      <c r="AG20" s="113"/>
      <c r="AH20" s="187" t="e">
        <f ca="1">IF(OR(OP!$D$53=1,$B20=""),"",ROUND(VLOOKUP(OP!$C$55,HL_1,$B20+1,0)*OP!$C$28,0))</f>
        <v>#N/A</v>
      </c>
      <c r="AI20" s="187" t="e">
        <f ca="1">IF(OR(OP!$D$53=1,$B20=""),"",ROUND(VLOOKUP(OP!$C$55,HL_2,$B20+1,0)*OP!$C$28,0))</f>
        <v>#N/A</v>
      </c>
    </row>
    <row r="21" spans="2:35" hidden="1">
      <c r="B21" s="93">
        <f ca="1">IF(OR(C20&gt;=OP!$F$57,C20=""),"",IF(C20+1&gt;OP!$F$57,OP!$F$57+1-$C$4,B20+1))</f>
        <v>18</v>
      </c>
      <c r="C21" s="92">
        <f ca="1">IF(OR(OP!$D$53=1,MAX($C$4:C20)&gt;=OP!$F$57),"",C20+(B21-B20))</f>
        <v>32</v>
      </c>
      <c r="D21" s="113">
        <f ca="1">IF(OR(OP!$D$53=1,AND($B21&gt;OP!$C$24)),"",OP!$C$52-IF($C21&lt;16,$K20,0))</f>
        <v>11326</v>
      </c>
      <c r="E21" s="113">
        <f ca="1">IF(OR(OP!$D$53=1,$B21=""),"",N($E20)+N($D21))</f>
        <v>203868</v>
      </c>
      <c r="F21" s="186" t="str">
        <f ca="1">IF(OR(OP!$D$53=1,$B21="",ISERROR(VLOOKUP(OP!$C$55,SRV,$B21+1,0))),"",ROUND(VLOOKUP(OP!$C$55,SRV,$B21+1,0)*OP!$C$28,0))</f>
        <v/>
      </c>
      <c r="G21" s="186" t="str">
        <f ca="1">IF(OR(OP!$D$53=1,$B21="",ISERROR(VLOOKUP(OP!$C$55,SRV,$B21+1,0))),"",N($G20)+N($F21))</f>
        <v/>
      </c>
      <c r="H21" s="186" t="e">
        <f ca="1">IF(OR(OP!$D$53=1,$B21=""),"",ROUND(VLOOKUP(OP!$C$55,DIE,$B21+1,0)*OP!$C$28,0))</f>
        <v>#N/A</v>
      </c>
      <c r="I21" s="187" t="e">
        <f ca="1">IF(OR(OP!$D$53=1,$B21=""),"",ROUND(VLOOKUP(OP!$C$55,CV,$B21+1,0)*OP!$C$28,0))</f>
        <v>#N/A</v>
      </c>
      <c r="J21" s="187" t="e">
        <f ca="1">IF(OR(OP!$D$53=1,$B21=""),"",ROUND(VLOOKUP(OP!$C$55,PA,$B21+1,0)*OP!$C$28,0))</f>
        <v>#N/A</v>
      </c>
      <c r="K21" s="186"/>
      <c r="L21" s="186"/>
      <c r="M21" s="186"/>
      <c r="N21" s="188"/>
      <c r="O21" s="188"/>
      <c r="P21" s="188"/>
      <c r="Q21" s="188"/>
      <c r="R21" s="188"/>
      <c r="S21" s="188">
        <f ca="1">IF(OR(OP!$D$53=1,$B21=""),"",N($F21)+N($O21))</f>
        <v>0</v>
      </c>
      <c r="T21" s="188">
        <f ca="1">IF(OR(OP!$D$53=1,$B21=""),0,N($T20)+N($S21))</f>
        <v>0</v>
      </c>
      <c r="U21" s="188">
        <f ca="1">IF(OR(OP!$D$53=1,$B21=""),"",ROUND($S21/12,0))</f>
        <v>0</v>
      </c>
      <c r="V21" s="188">
        <f ca="1">IF(OR(OP!$D$53=1,$B21=""),0,N($V20)+(N($U21)*12))</f>
        <v>0</v>
      </c>
      <c r="W21" s="186"/>
      <c r="X21" s="186"/>
      <c r="Y21" s="189" t="e">
        <f ca="1">IF(OR(OP!$D$53=1,$B21=""),"",ROUND(($H21+$Q21)*IF(OR($C21&lt;16,$Z21=0,$Z21=""),1,PYO),0))</f>
        <v>#N/A</v>
      </c>
      <c r="Z21" s="189" t="e">
        <f ca="1">IF(OR(OP!$D$53=1,$B21=""),"",ROUND(($H21+Q21)*IF(OR($C21&lt;16,($H21+$Q21)*PY!$C$4&lt;PY!$D$5,($H21+$Q21)*PY!$C$4*PYR&lt;PY!$C$5),0,PYY)*PYR,0))</f>
        <v>#N/A</v>
      </c>
      <c r="AA21" s="113">
        <f ca="1">IF(OR(OP!$D$53=1,AND(B21&gt;OP!$C$24)),"",OP!$C$52)</f>
        <v>11326</v>
      </c>
      <c r="AB21" s="113">
        <f ca="1">IF(OR(OP!$D$53=1,$B21=""),"",N($AB20)+N($AA21))</f>
        <v>203868</v>
      </c>
      <c r="AC21" s="113"/>
      <c r="AD21" s="113"/>
      <c r="AE21" s="113"/>
      <c r="AF21" s="113"/>
      <c r="AG21" s="113"/>
      <c r="AH21" s="187" t="e">
        <f ca="1">IF(OR(OP!$D$53=1,$B21=""),"",ROUND(VLOOKUP(OP!$C$55,HL_1,$B21+1,0)*OP!$C$28,0))</f>
        <v>#N/A</v>
      </c>
      <c r="AI21" s="187" t="e">
        <f ca="1">IF(OR(OP!$D$53=1,$B21=""),"",ROUND(VLOOKUP(OP!$C$55,HL_2,$B21+1,0)*OP!$C$28,0))</f>
        <v>#N/A</v>
      </c>
    </row>
    <row r="22" spans="2:35" hidden="1">
      <c r="B22" s="93">
        <f ca="1">IF(OR(C21&gt;=OP!$F$57,C21=""),"",IF(C21+1&gt;OP!$F$57,OP!$F$57+1-$C$4,B21+1))</f>
        <v>19</v>
      </c>
      <c r="C22" s="92">
        <f ca="1">IF(OR(OP!$D$53=1,MAX($C$4:C21)&gt;=OP!$F$57),"",C21+(B22-B21))</f>
        <v>33</v>
      </c>
      <c r="D22" s="113">
        <f ca="1">IF(OR(OP!$D$53=1,AND($B22&gt;OP!$C$24)),"",OP!$C$52-IF($C22&lt;16,$K21,0))</f>
        <v>11326</v>
      </c>
      <c r="E22" s="113">
        <f ca="1">IF(OR(OP!$D$53=1,$B22=""),"",N($E21)+N($D22))</f>
        <v>215194</v>
      </c>
      <c r="F22" s="186" t="str">
        <f ca="1">IF(OR(OP!$D$53=1,$B22="",ISERROR(VLOOKUP(OP!$C$55,SRV,$B22+1,0))),"",ROUND(VLOOKUP(OP!$C$55,SRV,$B22+1,0)*OP!$C$28,0))</f>
        <v/>
      </c>
      <c r="G22" s="186" t="str">
        <f ca="1">IF(OR(OP!$D$53=1,$B22="",ISERROR(VLOOKUP(OP!$C$55,SRV,$B22+1,0))),"",N($G21)+N($F22))</f>
        <v/>
      </c>
      <c r="H22" s="186" t="e">
        <f ca="1">IF(OR(OP!$D$53=1,$B22=""),"",ROUND(VLOOKUP(OP!$C$55,DIE,$B22+1,0)*OP!$C$28,0))</f>
        <v>#N/A</v>
      </c>
      <c r="I22" s="187" t="e">
        <f ca="1">IF(OR(OP!$D$53=1,$B22=""),"",ROUND(VLOOKUP(OP!$C$55,CV,$B22+1,0)*OP!$C$28,0))</f>
        <v>#N/A</v>
      </c>
      <c r="J22" s="187" t="e">
        <f ca="1">IF(OR(OP!$D$53=1,$B22=""),"",ROUND(VLOOKUP(OP!$C$55,PA,$B22+1,0)*OP!$C$28,0))</f>
        <v>#N/A</v>
      </c>
      <c r="K22" s="186"/>
      <c r="L22" s="186"/>
      <c r="M22" s="186"/>
      <c r="N22" s="188"/>
      <c r="O22" s="188"/>
      <c r="P22" s="188"/>
      <c r="Q22" s="188"/>
      <c r="R22" s="188"/>
      <c r="S22" s="188">
        <f ca="1">IF(OR(OP!$D$53=1,$B22=""),"",N($F22)+N($O22))</f>
        <v>0</v>
      </c>
      <c r="T22" s="188">
        <f ca="1">IF(OR(OP!$D$53=1,$B22=""),0,N($T21)+N($S22))</f>
        <v>0</v>
      </c>
      <c r="U22" s="188">
        <f ca="1">IF(OR(OP!$D$53=1,$B22=""),"",ROUND($S22/12,0))</f>
        <v>0</v>
      </c>
      <c r="V22" s="188">
        <f ca="1">IF(OR(OP!$D$53=1,$B22=""),0,N($V21)+(N($U22)*12))</f>
        <v>0</v>
      </c>
      <c r="W22" s="186"/>
      <c r="X22" s="186"/>
      <c r="Y22" s="189" t="e">
        <f ca="1">IF(OR(OP!$D$53=1,$B22=""),"",ROUND(($H22+$Q22)*IF(OR($C22&lt;16,$Z22=0,$Z22=""),1,PYO),0))</f>
        <v>#N/A</v>
      </c>
      <c r="Z22" s="189" t="e">
        <f ca="1">IF(OR(OP!$D$53=1,$B22=""),"",ROUND(($H22+Q22)*IF(OR($C22&lt;16,($H22+$Q22)*PY!$C$4&lt;PY!$D$5,($H22+$Q22)*PY!$C$4*PYR&lt;PY!$C$5),0,PYY)*PYR,0))</f>
        <v>#N/A</v>
      </c>
      <c r="AA22" s="113">
        <f ca="1">IF(OR(OP!$D$53=1,AND(B22&gt;OP!$C$24)),"",OP!$C$52)</f>
        <v>11326</v>
      </c>
      <c r="AB22" s="113">
        <f ca="1">IF(OR(OP!$D$53=1,$B22=""),"",N($AB21)+N($AA22))</f>
        <v>215194</v>
      </c>
      <c r="AC22" s="113"/>
      <c r="AD22" s="113"/>
      <c r="AE22" s="113"/>
      <c r="AF22" s="113"/>
      <c r="AG22" s="113"/>
      <c r="AH22" s="187" t="e">
        <f ca="1">IF(OR(OP!$D$53=1,$B22=""),"",ROUND(VLOOKUP(OP!$C$55,HL_1,$B22+1,0)*OP!$C$28,0))</f>
        <v>#N/A</v>
      </c>
      <c r="AI22" s="187" t="e">
        <f ca="1">IF(OR(OP!$D$53=1,$B22=""),"",ROUND(VLOOKUP(OP!$C$55,HL_2,$B22+1,0)*OP!$C$28,0))</f>
        <v>#N/A</v>
      </c>
    </row>
    <row r="23" spans="2:35" hidden="1">
      <c r="B23" s="93">
        <f ca="1">IF(OR(C22&gt;=OP!$F$57,C22=""),"",IF(C22+1&gt;OP!$F$57,OP!$F$57+1-$C$4,B22+1))</f>
        <v>20</v>
      </c>
      <c r="C23" s="92">
        <f ca="1">IF(OR(OP!$D$53=1,MAX($C$4:C22)&gt;=OP!$F$57),"",C22+(B23-B22))</f>
        <v>34</v>
      </c>
      <c r="D23" s="113">
        <f ca="1">IF(OR(OP!$D$53=1,AND($B23&gt;OP!$C$24)),"",OP!$C$52-IF($C23&lt;16,$K22,0))</f>
        <v>11326</v>
      </c>
      <c r="E23" s="113">
        <f ca="1">IF(OR(OP!$D$53=1,$B23=""),"",N($E22)+N($D23))</f>
        <v>226520</v>
      </c>
      <c r="F23" s="186" t="str">
        <f ca="1">IF(OR(OP!$D$53=1,$B23="",ISERROR(VLOOKUP(OP!$C$55,SRV,$B23+1,0))),"",ROUND(VLOOKUP(OP!$C$55,SRV,$B23+1,0)*OP!$C$28,0))</f>
        <v/>
      </c>
      <c r="G23" s="186" t="str">
        <f ca="1">IF(OR(OP!$D$53=1,$B23="",ISERROR(VLOOKUP(OP!$C$55,SRV,$B23+1,0))),"",N($G22)+N($F23))</f>
        <v/>
      </c>
      <c r="H23" s="186" t="e">
        <f ca="1">IF(OR(OP!$D$53=1,$B23=""),"",ROUND(VLOOKUP(OP!$C$55,DIE,$B23+1,0)*OP!$C$28,0))</f>
        <v>#N/A</v>
      </c>
      <c r="I23" s="187" t="e">
        <f ca="1">IF(OR(OP!$D$53=1,$B23=""),"",ROUND(VLOOKUP(OP!$C$55,CV,$B23+1,0)*OP!$C$28,0))</f>
        <v>#N/A</v>
      </c>
      <c r="J23" s="187" t="e">
        <f ca="1">IF(OR(OP!$D$53=1,$B23=""),"",ROUND(VLOOKUP(OP!$C$55,PA,$B23+1,0)*OP!$C$28,0))</f>
        <v>#N/A</v>
      </c>
      <c r="K23" s="186"/>
      <c r="L23" s="186"/>
      <c r="M23" s="186"/>
      <c r="N23" s="188"/>
      <c r="O23" s="188"/>
      <c r="P23" s="188"/>
      <c r="Q23" s="188"/>
      <c r="R23" s="188"/>
      <c r="S23" s="188">
        <f ca="1">IF(OR(OP!$D$53=1,$B23=""),"",N($F23)+N($O23))</f>
        <v>0</v>
      </c>
      <c r="T23" s="188">
        <f ca="1">IF(OR(OP!$D$53=1,$B23=""),0,N($T22)+N($S23))</f>
        <v>0</v>
      </c>
      <c r="U23" s="188">
        <f ca="1">IF(OR(OP!$D$53=1,$B23=""),"",ROUND($S23/12,0))</f>
        <v>0</v>
      </c>
      <c r="V23" s="188">
        <f ca="1">IF(OR(OP!$D$53=1,$B23=""),0,N($V22)+(N($U23)*12))</f>
        <v>0</v>
      </c>
      <c r="W23" s="186"/>
      <c r="X23" s="186"/>
      <c r="Y23" s="189" t="e">
        <f ca="1">IF(OR(OP!$D$53=1,$B23=""),"",ROUND(($H23+$Q23)*IF(OR($C23&lt;16,$Z23=0,$Z23=""),1,PYO),0))</f>
        <v>#N/A</v>
      </c>
      <c r="Z23" s="189" t="e">
        <f ca="1">IF(OR(OP!$D$53=1,$B23=""),"",ROUND(($H23+Q23)*IF(OR($C23&lt;16,($H23+$Q23)*PY!$C$4&lt;PY!$D$5,($H23+$Q23)*PY!$C$4*PYR&lt;PY!$C$5),0,PYY)*PYR,0))</f>
        <v>#N/A</v>
      </c>
      <c r="AA23" s="113">
        <f ca="1">IF(OR(OP!$D$53=1,AND(B23&gt;OP!$C$24)),"",OP!$C$52)</f>
        <v>11326</v>
      </c>
      <c r="AB23" s="113">
        <f ca="1">IF(OR(OP!$D$53=1,$B23=""),"",N($AB22)+N($AA23))</f>
        <v>226520</v>
      </c>
      <c r="AC23" s="113"/>
      <c r="AD23" s="113"/>
      <c r="AE23" s="113"/>
      <c r="AF23" s="113"/>
      <c r="AG23" s="113"/>
      <c r="AH23" s="187" t="e">
        <f ca="1">IF(OR(OP!$D$53=1,$B23=""),"",ROUND(VLOOKUP(OP!$C$55,HL_1,$B23+1,0)*OP!$C$28,0))</f>
        <v>#N/A</v>
      </c>
      <c r="AI23" s="187" t="e">
        <f ca="1">IF(OR(OP!$D$53=1,$B23=""),"",ROUND(VLOOKUP(OP!$C$55,HL_2,$B23+1,0)*OP!$C$28,0))</f>
        <v>#N/A</v>
      </c>
    </row>
    <row r="24" spans="2:35" hidden="1">
      <c r="B24" s="93">
        <f ca="1">IF(OR(C23&gt;=OP!$F$57,C23=""),"",IF(C23+1&gt;OP!$F$57,OP!$F$57+1-$C$4,B23+1))</f>
        <v>21</v>
      </c>
      <c r="C24" s="92">
        <f ca="1">IF(OR(OP!$D$53=1,MAX($C$4:C23)&gt;=OP!$F$57),"",C23+(B24-B23))</f>
        <v>35</v>
      </c>
      <c r="D24" s="113">
        <f ca="1">IF(OR(OP!$D$53=1,AND($B24&gt;OP!$C$24)),"",OP!$C$52-IF($C24&lt;16,$K23,0))</f>
        <v>11326</v>
      </c>
      <c r="E24" s="113">
        <f ca="1">IF(OR(OP!$D$53=1,$B24=""),"",N($E23)+N($D24))</f>
        <v>237846</v>
      </c>
      <c r="F24" s="186" t="str">
        <f ca="1">IF(OR(OP!$D$53=1,$B24="",ISERROR(VLOOKUP(OP!$C$55,SRV,$B24+1,0))),"",ROUND(VLOOKUP(OP!$C$55,SRV,$B24+1,0)*OP!$C$28,0))</f>
        <v/>
      </c>
      <c r="G24" s="186" t="str">
        <f ca="1">IF(OR(OP!$D$53=1,$B24="",ISERROR(VLOOKUP(OP!$C$55,SRV,$B24+1,0))),"",N($G23)+N($F24))</f>
        <v/>
      </c>
      <c r="H24" s="186" t="e">
        <f ca="1">IF(OR(OP!$D$53=1,$B24=""),"",ROUND(VLOOKUP(OP!$C$55,DIE,$B24+1,0)*OP!$C$28,0))</f>
        <v>#N/A</v>
      </c>
      <c r="I24" s="187" t="e">
        <f ca="1">IF(OR(OP!$D$53=1,$B24=""),"",ROUND(VLOOKUP(OP!$C$55,CV,$B24+1,0)*OP!$C$28,0))</f>
        <v>#N/A</v>
      </c>
      <c r="J24" s="187" t="e">
        <f ca="1">IF(OR(OP!$D$53=1,$B24=""),"",ROUND(VLOOKUP(OP!$C$55,PA,$B24+1,0)*OP!$C$28,0))</f>
        <v>#N/A</v>
      </c>
      <c r="K24" s="186"/>
      <c r="L24" s="186"/>
      <c r="M24" s="186"/>
      <c r="N24" s="188"/>
      <c r="O24" s="188"/>
      <c r="P24" s="188"/>
      <c r="Q24" s="188"/>
      <c r="R24" s="188"/>
      <c r="S24" s="188">
        <f ca="1">IF(OR(OP!$D$53=1,$B24=""),"",N($F24)+N($O24))</f>
        <v>0</v>
      </c>
      <c r="T24" s="188">
        <f ca="1">IF(OR(OP!$D$53=1,$B24=""),0,N($T23)+N($S24))</f>
        <v>0</v>
      </c>
      <c r="U24" s="188">
        <f ca="1">IF(OR(OP!$D$53=1,$B24=""),"",ROUND($S24/12,0))</f>
        <v>0</v>
      </c>
      <c r="V24" s="188">
        <f ca="1">IF(OR(OP!$D$53=1,$B24=""),0,N($V23)+(N($U24)*12))</f>
        <v>0</v>
      </c>
      <c r="W24" s="186"/>
      <c r="X24" s="186"/>
      <c r="Y24" s="189" t="e">
        <f ca="1">IF(OR(OP!$D$53=1,$B24=""),"",ROUND(($H24+$Q24)*IF(OR($C24&lt;16,$Z24=0,$Z24=""),1,PYO),0))</f>
        <v>#N/A</v>
      </c>
      <c r="Z24" s="189" t="e">
        <f ca="1">IF(OR(OP!$D$53=1,$B24=""),"",ROUND(($H24+Q24)*IF(OR($C24&lt;16,($H24+$Q24)*PY!$C$4&lt;PY!$D$5,($H24+$Q24)*PY!$C$4*PYR&lt;PY!$C$5),0,PYY)*PYR,0))</f>
        <v>#N/A</v>
      </c>
      <c r="AA24" s="113">
        <f ca="1">IF(OR(OP!$D$53=1,AND(B24&gt;OP!$C$24)),"",OP!$C$52)</f>
        <v>11326</v>
      </c>
      <c r="AB24" s="113">
        <f ca="1">IF(OR(OP!$D$53=1,$B24=""),"",N($AB23)+N($AA24))</f>
        <v>237846</v>
      </c>
      <c r="AC24" s="113"/>
      <c r="AD24" s="113"/>
      <c r="AE24" s="113"/>
      <c r="AF24" s="113"/>
      <c r="AG24" s="113"/>
      <c r="AH24" s="187" t="e">
        <f ca="1">IF(OR(OP!$D$53=1,$B24=""),"",ROUND(VLOOKUP(OP!$C$55,HL_1,$B24+1,0)*OP!$C$28,0))</f>
        <v>#N/A</v>
      </c>
      <c r="AI24" s="187" t="e">
        <f ca="1">IF(OR(OP!$D$53=1,$B24=""),"",ROUND(VLOOKUP(OP!$C$55,HL_2,$B24+1,0)*OP!$C$28,0))</f>
        <v>#N/A</v>
      </c>
    </row>
    <row r="25" spans="2:35" hidden="1">
      <c r="B25" s="93">
        <f ca="1">IF(OR(C24&gt;=OP!$F$57,C24=""),"",IF(C24+1&gt;OP!$F$57,OP!$F$57+1-$C$4,B24+1))</f>
        <v>22</v>
      </c>
      <c r="C25" s="92">
        <f ca="1">IF(OR(OP!$D$53=1,MAX($C$4:C24)&gt;=OP!$F$57),"",C24+(B25-B24))</f>
        <v>36</v>
      </c>
      <c r="D25" s="113">
        <f ca="1">IF(OR(OP!$D$53=1,AND($B25&gt;OP!$C$24)),"",OP!$C$52-IF($C25&lt;16,$K24,0))</f>
        <v>11326</v>
      </c>
      <c r="E25" s="113">
        <f ca="1">IF(OR(OP!$D$53=1,$B25=""),"",N($E24)+N($D25))</f>
        <v>249172</v>
      </c>
      <c r="F25" s="186" t="str">
        <f ca="1">IF(OR(OP!$D$53=1,$B25="",ISERROR(VLOOKUP(OP!$C$55,SRV,$B25+1,0))),"",ROUND(VLOOKUP(OP!$C$55,SRV,$B25+1,0)*OP!$C$28,0))</f>
        <v/>
      </c>
      <c r="G25" s="186" t="str">
        <f ca="1">IF(OR(OP!$D$53=1,$B25="",ISERROR(VLOOKUP(OP!$C$55,SRV,$B25+1,0))),"",N($G24)+N($F25))</f>
        <v/>
      </c>
      <c r="H25" s="186" t="e">
        <f ca="1">IF(OR(OP!$D$53=1,$B25=""),"",ROUND(VLOOKUP(OP!$C$55,DIE,$B25+1,0)*OP!$C$28,0))</f>
        <v>#N/A</v>
      </c>
      <c r="I25" s="187" t="e">
        <f ca="1">IF(OR(OP!$D$53=1,$B25=""),"",ROUND(VLOOKUP(OP!$C$55,CV,$B25+1,0)*OP!$C$28,0))</f>
        <v>#N/A</v>
      </c>
      <c r="J25" s="187" t="e">
        <f ca="1">IF(OR(OP!$D$53=1,$B25=""),"",ROUND(VLOOKUP(OP!$C$55,PA,$B25+1,0)*OP!$C$28,0))</f>
        <v>#N/A</v>
      </c>
      <c r="K25" s="186"/>
      <c r="L25" s="186"/>
      <c r="M25" s="186"/>
      <c r="N25" s="188"/>
      <c r="O25" s="188"/>
      <c r="P25" s="188"/>
      <c r="Q25" s="188"/>
      <c r="R25" s="188"/>
      <c r="S25" s="188">
        <f ca="1">IF(OR(OP!$D$53=1,$B25=""),"",N($F25)+N($O25))</f>
        <v>0</v>
      </c>
      <c r="T25" s="188">
        <f ca="1">IF(OR(OP!$D$53=1,$B25=""),0,N($T24)+N($S25))</f>
        <v>0</v>
      </c>
      <c r="U25" s="188">
        <f ca="1">IF(OR(OP!$D$53=1,$B25=""),"",ROUND($S25/12,0))</f>
        <v>0</v>
      </c>
      <c r="V25" s="188">
        <f ca="1">IF(OR(OP!$D$53=1,$B25=""),0,N($V24)+(N($U25)*12))</f>
        <v>0</v>
      </c>
      <c r="W25" s="186"/>
      <c r="X25" s="186"/>
      <c r="Y25" s="189" t="e">
        <f ca="1">IF(OR(OP!$D$53=1,$B25=""),"",ROUND(($H25+$Q25)*IF(OR($C25&lt;16,$Z25=0,$Z25=""),1,PYO),0))</f>
        <v>#N/A</v>
      </c>
      <c r="Z25" s="189" t="e">
        <f ca="1">IF(OR(OP!$D$53=1,$B25=""),"",ROUND(($H25+Q25)*IF(OR($C25&lt;16,($H25+$Q25)*PY!$C$4&lt;PY!$D$5,($H25+$Q25)*PY!$C$4*PYR&lt;PY!$C$5),0,PYY)*PYR,0))</f>
        <v>#N/A</v>
      </c>
      <c r="AA25" s="113">
        <f ca="1">IF(OR(OP!$D$53=1,AND(B25&gt;OP!$C$24)),"",OP!$C$52)</f>
        <v>11326</v>
      </c>
      <c r="AB25" s="113">
        <f ca="1">IF(OR(OP!$D$53=1,$B25=""),"",N($AB24)+N($AA25))</f>
        <v>249172</v>
      </c>
      <c r="AC25" s="113"/>
      <c r="AD25" s="113"/>
      <c r="AE25" s="113"/>
      <c r="AF25" s="113"/>
      <c r="AG25" s="113"/>
      <c r="AH25" s="187" t="e">
        <f ca="1">IF(OR(OP!$D$53=1,$B25=""),"",ROUND(VLOOKUP(OP!$C$55,HL_1,$B25+1,0)*OP!$C$28,0))</f>
        <v>#N/A</v>
      </c>
      <c r="AI25" s="187" t="e">
        <f ca="1">IF(OR(OP!$D$53=1,$B25=""),"",ROUND(VLOOKUP(OP!$C$55,HL_2,$B25+1,0)*OP!$C$28,0))</f>
        <v>#N/A</v>
      </c>
    </row>
    <row r="26" spans="2:35" hidden="1">
      <c r="B26" s="93">
        <f ca="1">IF(OR(C25&gt;=OP!$F$57,C25=""),"",IF(C25+1&gt;OP!$F$57,OP!$F$57+1-$C$4,B25+1))</f>
        <v>23</v>
      </c>
      <c r="C26" s="92">
        <f ca="1">IF(OR(OP!$D$53=1,MAX($C$4:C25)&gt;=OP!$F$57),"",C25+(B26-B25))</f>
        <v>37</v>
      </c>
      <c r="D26" s="113">
        <f ca="1">IF(OR(OP!$D$53=1,AND($B26&gt;OP!$C$24)),"",OP!$C$52-IF($C26&lt;16,$K25,0))</f>
        <v>11326</v>
      </c>
      <c r="E26" s="113">
        <f ca="1">IF(OR(OP!$D$53=1,$B26=""),"",N($E25)+N($D26))</f>
        <v>260498</v>
      </c>
      <c r="F26" s="186" t="str">
        <f ca="1">IF(OR(OP!$D$53=1,$B26="",ISERROR(VLOOKUP(OP!$C$55,SRV,$B26+1,0))),"",ROUND(VLOOKUP(OP!$C$55,SRV,$B26+1,0)*OP!$C$28,0))</f>
        <v/>
      </c>
      <c r="G26" s="186" t="str">
        <f ca="1">IF(OR(OP!$D$53=1,$B26="",ISERROR(VLOOKUP(OP!$C$55,SRV,$B26+1,0))),"",N($G25)+N($F26))</f>
        <v/>
      </c>
      <c r="H26" s="186" t="e">
        <f ca="1">IF(OR(OP!$D$53=1,$B26=""),"",ROUND(VLOOKUP(OP!$C$55,DIE,$B26+1,0)*OP!$C$28,0))</f>
        <v>#N/A</v>
      </c>
      <c r="I26" s="187" t="e">
        <f ca="1">IF(OR(OP!$D$53=1,$B26=""),"",ROUND(VLOOKUP(OP!$C$55,CV,$B26+1,0)*OP!$C$28,0))</f>
        <v>#N/A</v>
      </c>
      <c r="J26" s="187" t="e">
        <f ca="1">IF(OR(OP!$D$53=1,$B26=""),"",ROUND(VLOOKUP(OP!$C$55,PA,$B26+1,0)*OP!$C$28,0))</f>
        <v>#N/A</v>
      </c>
      <c r="K26" s="186"/>
      <c r="L26" s="186"/>
      <c r="M26" s="186"/>
      <c r="N26" s="188"/>
      <c r="O26" s="188"/>
      <c r="P26" s="188"/>
      <c r="Q26" s="188"/>
      <c r="R26" s="188"/>
      <c r="S26" s="188">
        <f ca="1">IF(OR(OP!$D$53=1,$B26=""),"",N($F26)+N($O26))</f>
        <v>0</v>
      </c>
      <c r="T26" s="188">
        <f ca="1">IF(OR(OP!$D$53=1,$B26=""),0,N($T25)+N($S26))</f>
        <v>0</v>
      </c>
      <c r="U26" s="188">
        <f ca="1">IF(OR(OP!$D$53=1,$B26=""),"",ROUND($S26/12,0))</f>
        <v>0</v>
      </c>
      <c r="V26" s="188">
        <f ca="1">IF(OR(OP!$D$53=1,$B26=""),0,N($V25)+(N($U26)*12))</f>
        <v>0</v>
      </c>
      <c r="W26" s="186"/>
      <c r="X26" s="186"/>
      <c r="Y26" s="189" t="e">
        <f ca="1">IF(OR(OP!$D$53=1,$B26=""),"",ROUND(($H26+$Q26)*IF(OR($C26&lt;16,$Z26=0,$Z26=""),1,PYO),0))</f>
        <v>#N/A</v>
      </c>
      <c r="Z26" s="189" t="e">
        <f ca="1">IF(OR(OP!$D$53=1,$B26=""),"",ROUND(($H26+Q26)*IF(OR($C26&lt;16,($H26+$Q26)*PY!$C$4&lt;PY!$D$5,($H26+$Q26)*PY!$C$4*PYR&lt;PY!$C$5),0,PYY)*PYR,0))</f>
        <v>#N/A</v>
      </c>
      <c r="AA26" s="113">
        <f ca="1">IF(OR(OP!$D$53=1,AND(B26&gt;OP!$C$24)),"",OP!$C$52)</f>
        <v>11326</v>
      </c>
      <c r="AB26" s="113">
        <f ca="1">IF(OR(OP!$D$53=1,$B26=""),"",N($AB25)+N($AA26))</f>
        <v>260498</v>
      </c>
      <c r="AC26" s="113"/>
      <c r="AD26" s="113"/>
      <c r="AE26" s="113"/>
      <c r="AF26" s="113"/>
      <c r="AG26" s="113"/>
      <c r="AH26" s="187" t="e">
        <f ca="1">IF(OR(OP!$D$53=1,$B26=""),"",ROUND(VLOOKUP(OP!$C$55,HL_1,$B26+1,0)*OP!$C$28,0))</f>
        <v>#N/A</v>
      </c>
      <c r="AI26" s="187" t="e">
        <f ca="1">IF(OR(OP!$D$53=1,$B26=""),"",ROUND(VLOOKUP(OP!$C$55,HL_2,$B26+1,0)*OP!$C$28,0))</f>
        <v>#N/A</v>
      </c>
    </row>
    <row r="27" spans="2:35" hidden="1">
      <c r="B27" s="93">
        <f ca="1">IF(OR(C26&gt;=OP!$F$57,C26=""),"",IF(C26+1&gt;OP!$F$57,OP!$F$57+1-$C$4,B26+1))</f>
        <v>24</v>
      </c>
      <c r="C27" s="92">
        <f ca="1">IF(OR(OP!$D$53=1,MAX($C$4:C26)&gt;=OP!$F$57),"",C26+(B27-B26))</f>
        <v>38</v>
      </c>
      <c r="D27" s="113">
        <f ca="1">IF(OR(OP!$D$53=1,AND($B27&gt;OP!$C$24)),"",OP!$C$52-IF($C27&lt;16,$K26,0))</f>
        <v>11326</v>
      </c>
      <c r="E27" s="113">
        <f ca="1">IF(OR(OP!$D$53=1,$B27=""),"",N($E26)+N($D27))</f>
        <v>271824</v>
      </c>
      <c r="F27" s="186" t="str">
        <f ca="1">IF(OR(OP!$D$53=1,$B27="",ISERROR(VLOOKUP(OP!$C$55,SRV,$B27+1,0))),"",ROUND(VLOOKUP(OP!$C$55,SRV,$B27+1,0)*OP!$C$28,0))</f>
        <v/>
      </c>
      <c r="G27" s="186" t="str">
        <f ca="1">IF(OR(OP!$D$53=1,$B27="",ISERROR(VLOOKUP(OP!$C$55,SRV,$B27+1,0))),"",N($G26)+N($F27))</f>
        <v/>
      </c>
      <c r="H27" s="186" t="e">
        <f ca="1">IF(OR(OP!$D$53=1,$B27=""),"",ROUND(VLOOKUP(OP!$C$55,DIE,$B27+1,0)*OP!$C$28,0))</f>
        <v>#N/A</v>
      </c>
      <c r="I27" s="187" t="e">
        <f ca="1">IF(OR(OP!$D$53=1,$B27=""),"",ROUND(VLOOKUP(OP!$C$55,CV,$B27+1,0)*OP!$C$28,0))</f>
        <v>#N/A</v>
      </c>
      <c r="J27" s="187" t="e">
        <f ca="1">IF(OR(OP!$D$53=1,$B27=""),"",ROUND(VLOOKUP(OP!$C$55,PA,$B27+1,0)*OP!$C$28,0))</f>
        <v>#N/A</v>
      </c>
      <c r="K27" s="186"/>
      <c r="L27" s="186"/>
      <c r="M27" s="186"/>
      <c r="N27" s="188"/>
      <c r="O27" s="188"/>
      <c r="P27" s="188"/>
      <c r="Q27" s="188"/>
      <c r="R27" s="188"/>
      <c r="S27" s="188">
        <f ca="1">IF(OR(OP!$D$53=1,$B27=""),"",N($F27)+N($O27))</f>
        <v>0</v>
      </c>
      <c r="T27" s="188">
        <f ca="1">IF(OR(OP!$D$53=1,$B27=""),0,N($T26)+N($S27))</f>
        <v>0</v>
      </c>
      <c r="U27" s="188">
        <f ca="1">IF(OR(OP!$D$53=1,$B27=""),"",ROUND($S27/12,0))</f>
        <v>0</v>
      </c>
      <c r="V27" s="188">
        <f ca="1">IF(OR(OP!$D$53=1,$B27=""),0,N($V26)+(N($U27)*12))</f>
        <v>0</v>
      </c>
      <c r="W27" s="186"/>
      <c r="X27" s="186"/>
      <c r="Y27" s="189" t="e">
        <f ca="1">IF(OR(OP!$D$53=1,$B27=""),"",ROUND(($H27+$Q27)*IF(OR($C27&lt;16,$Z27=0,$Z27=""),1,PYO),0))</f>
        <v>#N/A</v>
      </c>
      <c r="Z27" s="189" t="e">
        <f ca="1">IF(OR(OP!$D$53=1,$B27=""),"",ROUND(($H27+Q27)*IF(OR($C27&lt;16,($H27+$Q27)*PY!$C$4&lt;PY!$D$5,($H27+$Q27)*PY!$C$4*PYR&lt;PY!$C$5),0,PYY)*PYR,0))</f>
        <v>#N/A</v>
      </c>
      <c r="AA27" s="113">
        <f ca="1">IF(OR(OP!$D$53=1,AND(B27&gt;OP!$C$24)),"",OP!$C$52)</f>
        <v>11326</v>
      </c>
      <c r="AB27" s="113">
        <f ca="1">IF(OR(OP!$D$53=1,$B27=""),"",N($AB26)+N($AA27))</f>
        <v>271824</v>
      </c>
      <c r="AC27" s="113"/>
      <c r="AD27" s="113"/>
      <c r="AE27" s="113"/>
      <c r="AF27" s="113"/>
      <c r="AG27" s="113"/>
      <c r="AH27" s="187" t="e">
        <f ca="1">IF(OR(OP!$D$53=1,$B27=""),"",ROUND(VLOOKUP(OP!$C$55,HL_1,$B27+1,0)*OP!$C$28,0))</f>
        <v>#N/A</v>
      </c>
      <c r="AI27" s="187" t="e">
        <f ca="1">IF(OR(OP!$D$53=1,$B27=""),"",ROUND(VLOOKUP(OP!$C$55,HL_2,$B27+1,0)*OP!$C$28,0))</f>
        <v>#N/A</v>
      </c>
    </row>
    <row r="28" spans="2:35" hidden="1">
      <c r="B28" s="93">
        <f ca="1">IF(OR(C27&gt;=OP!$F$57,C27=""),"",IF(C27+1&gt;OP!$F$57,OP!$F$57+1-$C$4,B27+1))</f>
        <v>25</v>
      </c>
      <c r="C28" s="92">
        <f ca="1">IF(OR(OP!$D$53=1,MAX($C$4:C27)&gt;=OP!$F$57),"",C27+(B28-B27))</f>
        <v>39</v>
      </c>
      <c r="D28" s="113">
        <f ca="1">IF(OR(OP!$D$53=1,AND($B28&gt;OP!$C$24)),"",OP!$C$52-IF($C28&lt;16,$K27,0))</f>
        <v>11326</v>
      </c>
      <c r="E28" s="113">
        <f ca="1">IF(OR(OP!$D$53=1,$B28=""),"",N($E27)+N($D28))</f>
        <v>283150</v>
      </c>
      <c r="F28" s="186" t="str">
        <f ca="1">IF(OR(OP!$D$53=1,$B28="",ISERROR(VLOOKUP(OP!$C$55,SRV,$B28+1,0))),"",ROUND(VLOOKUP(OP!$C$55,SRV,$B28+1,0)*OP!$C$28,0))</f>
        <v/>
      </c>
      <c r="G28" s="186" t="str">
        <f ca="1">IF(OR(OP!$D$53=1,$B28="",ISERROR(VLOOKUP(OP!$C$55,SRV,$B28+1,0))),"",N($G27)+N($F28))</f>
        <v/>
      </c>
      <c r="H28" s="186" t="e">
        <f ca="1">IF(OR(OP!$D$53=1,$B28=""),"",ROUND(VLOOKUP(OP!$C$55,DIE,$B28+1,0)*OP!$C$28,0))</f>
        <v>#N/A</v>
      </c>
      <c r="I28" s="187" t="e">
        <f ca="1">IF(OR(OP!$D$53=1,$B28=""),"",ROUND(VLOOKUP(OP!$C$55,CV,$B28+1,0)*OP!$C$28,0))</f>
        <v>#N/A</v>
      </c>
      <c r="J28" s="187" t="e">
        <f ca="1">IF(OR(OP!$D$53=1,$B28=""),"",ROUND(VLOOKUP(OP!$C$55,PA,$B28+1,0)*OP!$C$28,0))</f>
        <v>#N/A</v>
      </c>
      <c r="K28" s="186"/>
      <c r="L28" s="186"/>
      <c r="M28" s="186"/>
      <c r="N28" s="188"/>
      <c r="O28" s="188"/>
      <c r="P28" s="188"/>
      <c r="Q28" s="188"/>
      <c r="R28" s="188"/>
      <c r="S28" s="188">
        <f ca="1">IF(OR(OP!$D$53=1,$B28=""),"",N($F28)+N($O28))</f>
        <v>0</v>
      </c>
      <c r="T28" s="188">
        <f ca="1">IF(OR(OP!$D$53=1,$B28=""),0,N($T27)+N($S28))</f>
        <v>0</v>
      </c>
      <c r="U28" s="188">
        <f ca="1">IF(OR(OP!$D$53=1,$B28=""),"",ROUND($S28/12,0))</f>
        <v>0</v>
      </c>
      <c r="V28" s="188">
        <f ca="1">IF(OR(OP!$D$53=1,$B28=""),0,N($V27)+(N($U28)*12))</f>
        <v>0</v>
      </c>
      <c r="W28" s="186"/>
      <c r="X28" s="186"/>
      <c r="Y28" s="189" t="e">
        <f ca="1">IF(OR(OP!$D$53=1,$B28=""),"",ROUND(($H28+$Q28)*IF(OR($C28&lt;16,$Z28=0,$Z28=""),1,PYO),0))</f>
        <v>#N/A</v>
      </c>
      <c r="Z28" s="189" t="e">
        <f ca="1">IF(OR(OP!$D$53=1,$B28=""),"",ROUND(($H28+Q28)*IF(OR($C28&lt;16,($H28+$Q28)*PY!$C$4&lt;PY!$D$5,($H28+$Q28)*PY!$C$4*PYR&lt;PY!$C$5),0,PYY)*PYR,0))</f>
        <v>#N/A</v>
      </c>
      <c r="AA28" s="113">
        <f ca="1">IF(OR(OP!$D$53=1,AND(B28&gt;OP!$C$24)),"",OP!$C$52)</f>
        <v>11326</v>
      </c>
      <c r="AB28" s="113">
        <f ca="1">IF(OR(OP!$D$53=1,$B28=""),"",N($AB27)+N($AA28))</f>
        <v>283150</v>
      </c>
      <c r="AC28" s="113"/>
      <c r="AD28" s="113"/>
      <c r="AE28" s="113"/>
      <c r="AF28" s="113"/>
      <c r="AG28" s="113"/>
      <c r="AH28" s="187" t="e">
        <f ca="1">IF(OR(OP!$D$53=1,$B28=""),"",ROUND(VLOOKUP(OP!$C$55,HL_1,$B28+1,0)*OP!$C$28,0))</f>
        <v>#N/A</v>
      </c>
      <c r="AI28" s="187" t="e">
        <f ca="1">IF(OR(OP!$D$53=1,$B28=""),"",ROUND(VLOOKUP(OP!$C$55,HL_2,$B28+1,0)*OP!$C$28,0))</f>
        <v>#N/A</v>
      </c>
    </row>
    <row r="29" spans="2:35" hidden="1">
      <c r="B29" s="93">
        <f ca="1">IF(OR(C28&gt;=OP!$F$57,C28=""),"",IF(C28+1&gt;OP!$F$57,OP!$F$57+1-$C$4,B28+1))</f>
        <v>26</v>
      </c>
      <c r="C29" s="92">
        <f ca="1">IF(OR(OP!$D$53=1,MAX($C$4:C28)&gt;=OP!$F$57),"",C28+(B29-B28))</f>
        <v>40</v>
      </c>
      <c r="D29" s="113">
        <f ca="1">IF(OR(OP!$D$53=1,AND($B29&gt;OP!$C$24)),"",OP!$C$52-IF($C29&lt;16,$K28,0))</f>
        <v>11326</v>
      </c>
      <c r="E29" s="113">
        <f ca="1">IF(OR(OP!$D$53=1,$B29=""),"",N($E28)+N($D29))</f>
        <v>294476</v>
      </c>
      <c r="F29" s="186" t="str">
        <f ca="1">IF(OR(OP!$D$53=1,$B29="",ISERROR(VLOOKUP(OP!$C$55,SRV,$B29+1,0))),"",ROUND(VLOOKUP(OP!$C$55,SRV,$B29+1,0)*OP!$C$28,0))</f>
        <v/>
      </c>
      <c r="G29" s="186" t="str">
        <f ca="1">IF(OR(OP!$D$53=1,$B29="",ISERROR(VLOOKUP(OP!$C$55,SRV,$B29+1,0))),"",N($G28)+N($F29))</f>
        <v/>
      </c>
      <c r="H29" s="186" t="e">
        <f ca="1">IF(OR(OP!$D$53=1,$B29=""),"",ROUND(VLOOKUP(OP!$C$55,DIE,$B29+1,0)*OP!$C$28,0))</f>
        <v>#N/A</v>
      </c>
      <c r="I29" s="187" t="e">
        <f ca="1">IF(OR(OP!$D$53=1,$B29=""),"",ROUND(VLOOKUP(OP!$C$55,CV,$B29+1,0)*OP!$C$28,0))</f>
        <v>#N/A</v>
      </c>
      <c r="J29" s="187" t="e">
        <f ca="1">IF(OR(OP!$D$53=1,$B29=""),"",ROUND(VLOOKUP(OP!$C$55,PA,$B29+1,0)*OP!$C$28,0))</f>
        <v>#N/A</v>
      </c>
      <c r="K29" s="186"/>
      <c r="L29" s="186"/>
      <c r="M29" s="186"/>
      <c r="N29" s="188"/>
      <c r="O29" s="188"/>
      <c r="P29" s="188"/>
      <c r="Q29" s="188"/>
      <c r="R29" s="188"/>
      <c r="S29" s="188">
        <f ca="1">IF(OR(OP!$D$53=1,$B29=""),"",N($F29)+N($O29))</f>
        <v>0</v>
      </c>
      <c r="T29" s="188">
        <f ca="1">IF(OR(OP!$D$53=1,$B29=""),0,N($T28)+N($S29))</f>
        <v>0</v>
      </c>
      <c r="U29" s="188">
        <f ca="1">IF(OR(OP!$D$53=1,$B29=""),"",ROUND($S29/12,0))</f>
        <v>0</v>
      </c>
      <c r="V29" s="188">
        <f ca="1">IF(OR(OP!$D$53=1,$B29=""),0,N($V28)+(N($U29)*12))</f>
        <v>0</v>
      </c>
      <c r="W29" s="186"/>
      <c r="X29" s="186"/>
      <c r="Y29" s="189" t="e">
        <f ca="1">IF(OR(OP!$D$53=1,$B29=""),"",ROUND(($H29+$Q29)*IF(OR($C29&lt;16,$Z29=0,$Z29=""),1,PYO),0))</f>
        <v>#N/A</v>
      </c>
      <c r="Z29" s="189" t="e">
        <f ca="1">IF(OR(OP!$D$53=1,$B29=""),"",ROUND(($H29+Q29)*IF(OR($C29&lt;16,($H29+$Q29)*PY!$C$4&lt;PY!$D$5,($H29+$Q29)*PY!$C$4*PYR&lt;PY!$C$5),0,PYY)*PYR,0))</f>
        <v>#N/A</v>
      </c>
      <c r="AA29" s="113">
        <f ca="1">IF(OR(OP!$D$53=1,AND(B29&gt;OP!$C$24)),"",OP!$C$52)</f>
        <v>11326</v>
      </c>
      <c r="AB29" s="113">
        <f ca="1">IF(OR(OP!$D$53=1,$B29=""),"",N($AB28)+N($AA29))</f>
        <v>294476</v>
      </c>
      <c r="AC29" s="113"/>
      <c r="AD29" s="113"/>
      <c r="AE29" s="113"/>
      <c r="AF29" s="113"/>
      <c r="AG29" s="113"/>
      <c r="AH29" s="187" t="e">
        <f ca="1">IF(OR(OP!$D$53=1,$B29=""),"",ROUND(VLOOKUP(OP!$C$55,HL_1,$B29+1,0)*OP!$C$28,0))</f>
        <v>#N/A</v>
      </c>
      <c r="AI29" s="187" t="e">
        <f ca="1">IF(OR(OP!$D$53=1,$B29=""),"",ROUND(VLOOKUP(OP!$C$55,HL_2,$B29+1,0)*OP!$C$28,0))</f>
        <v>#N/A</v>
      </c>
    </row>
    <row r="30" spans="2:35" hidden="1">
      <c r="B30" s="93">
        <f ca="1">IF(OR(C29&gt;=OP!$F$57,C29=""),"",IF(C29+1&gt;OP!$F$57,OP!$F$57+1-$C$4,B29+1))</f>
        <v>27</v>
      </c>
      <c r="C30" s="92">
        <f ca="1">IF(OR(OP!$D$53=1,MAX($C$4:C29)&gt;=OP!$F$57),"",C29+(B30-B29))</f>
        <v>41</v>
      </c>
      <c r="D30" s="113">
        <f ca="1">IF(OR(OP!$D$53=1,AND($B30&gt;OP!$C$24)),"",OP!$C$52-IF($C30&lt;16,$K29,0))</f>
        <v>11326</v>
      </c>
      <c r="E30" s="113">
        <f ca="1">IF(OR(OP!$D$53=1,$B30=""),"",N($E29)+N($D30))</f>
        <v>305802</v>
      </c>
      <c r="F30" s="186" t="str">
        <f ca="1">IF(OR(OP!$D$53=1,$B30="",ISERROR(VLOOKUP(OP!$C$55,SRV,$B30+1,0))),"",ROUND(VLOOKUP(OP!$C$55,SRV,$B30+1,0)*OP!$C$28,0))</f>
        <v/>
      </c>
      <c r="G30" s="186" t="str">
        <f ca="1">IF(OR(OP!$D$53=1,$B30="",ISERROR(VLOOKUP(OP!$C$55,SRV,$B30+1,0))),"",N($G29)+N($F30))</f>
        <v/>
      </c>
      <c r="H30" s="186" t="e">
        <f ca="1">IF(OR(OP!$D$53=1,$B30=""),"",ROUND(VLOOKUP(OP!$C$55,DIE,$B30+1,0)*OP!$C$28,0))</f>
        <v>#N/A</v>
      </c>
      <c r="I30" s="187" t="e">
        <f ca="1">IF(OR(OP!$D$53=1,$B30=""),"",ROUND(VLOOKUP(OP!$C$55,CV,$B30+1,0)*OP!$C$28,0))</f>
        <v>#N/A</v>
      </c>
      <c r="J30" s="187" t="e">
        <f ca="1">IF(OR(OP!$D$53=1,$B30=""),"",ROUND(VLOOKUP(OP!$C$55,PA,$B30+1,0)*OP!$C$28,0))</f>
        <v>#N/A</v>
      </c>
      <c r="K30" s="186"/>
      <c r="L30" s="186"/>
      <c r="M30" s="186"/>
      <c r="N30" s="188"/>
      <c r="O30" s="188"/>
      <c r="P30" s="188"/>
      <c r="Q30" s="188"/>
      <c r="R30" s="188"/>
      <c r="S30" s="188">
        <f ca="1">IF(OR(OP!$D$53=1,$B30=""),"",N($F30)+N($O30))</f>
        <v>0</v>
      </c>
      <c r="T30" s="188">
        <f ca="1">IF(OR(OP!$D$53=1,$B30=""),0,N($T29)+N($S30))</f>
        <v>0</v>
      </c>
      <c r="U30" s="188">
        <f ca="1">IF(OR(OP!$D$53=1,$B30=""),"",ROUND($S30/12,0))</f>
        <v>0</v>
      </c>
      <c r="V30" s="188">
        <f ca="1">IF(OR(OP!$D$53=1,$B30=""),0,N($V29)+(N($U30)*12))</f>
        <v>0</v>
      </c>
      <c r="W30" s="186"/>
      <c r="X30" s="186"/>
      <c r="Y30" s="189" t="e">
        <f ca="1">IF(OR(OP!$D$53=1,$B30=""),"",ROUND(($H30+$Q30)*IF(OR($C30&lt;16,$Z30=0,$Z30=""),1,PYO),0))</f>
        <v>#N/A</v>
      </c>
      <c r="Z30" s="189" t="e">
        <f ca="1">IF(OR(OP!$D$53=1,$B30=""),"",ROUND(($H30+Q30)*IF(OR($C30&lt;16,($H30+$Q30)*PY!$C$4&lt;PY!$D$5,($H30+$Q30)*PY!$C$4*PYR&lt;PY!$C$5),0,PYY)*PYR,0))</f>
        <v>#N/A</v>
      </c>
      <c r="AA30" s="113">
        <f ca="1">IF(OR(OP!$D$53=1,AND(B30&gt;OP!$C$24)),"",OP!$C$52)</f>
        <v>11326</v>
      </c>
      <c r="AB30" s="113">
        <f ca="1">IF(OR(OP!$D$53=1,$B30=""),"",N($AB29)+N($AA30))</f>
        <v>305802</v>
      </c>
      <c r="AC30" s="113"/>
      <c r="AD30" s="113"/>
      <c r="AE30" s="113"/>
      <c r="AF30" s="113"/>
      <c r="AG30" s="113"/>
      <c r="AH30" s="187" t="e">
        <f ca="1">IF(OR(OP!$D$53=1,$B30=""),"",ROUND(VLOOKUP(OP!$C$55,HL_1,$B30+1,0)*OP!$C$28,0))</f>
        <v>#N/A</v>
      </c>
      <c r="AI30" s="187" t="e">
        <f ca="1">IF(OR(OP!$D$53=1,$B30=""),"",ROUND(VLOOKUP(OP!$C$55,HL_2,$B30+1,0)*OP!$C$28,0))</f>
        <v>#N/A</v>
      </c>
    </row>
    <row r="31" spans="2:35" hidden="1">
      <c r="B31" s="93">
        <f ca="1">IF(OR(C30&gt;=OP!$F$57,C30=""),"",IF(C30+1&gt;OP!$F$57,OP!$F$57+1-$C$4,B30+1))</f>
        <v>28</v>
      </c>
      <c r="C31" s="92">
        <f ca="1">IF(OR(OP!$D$53=1,MAX($C$4:C30)&gt;=OP!$F$57),"",C30+(B31-B30))</f>
        <v>42</v>
      </c>
      <c r="D31" s="113">
        <f ca="1">IF(OR(OP!$D$53=1,AND($B31&gt;OP!$C$24)),"",OP!$C$52-IF($C31&lt;16,$K30,0))</f>
        <v>11326</v>
      </c>
      <c r="E31" s="113">
        <f ca="1">IF(OR(OP!$D$53=1,$B31=""),"",N($E30)+N($D31))</f>
        <v>317128</v>
      </c>
      <c r="F31" s="186" t="str">
        <f ca="1">IF(OR(OP!$D$53=1,$B31="",ISERROR(VLOOKUP(OP!$C$55,SRV,$B31+1,0))),"",ROUND(VLOOKUP(OP!$C$55,SRV,$B31+1,0)*OP!$C$28,0))</f>
        <v/>
      </c>
      <c r="G31" s="186" t="str">
        <f ca="1">IF(OR(OP!$D$53=1,$B31="",ISERROR(VLOOKUP(OP!$C$55,SRV,$B31+1,0))),"",N($G30)+N($F31))</f>
        <v/>
      </c>
      <c r="H31" s="186" t="e">
        <f ca="1">IF(OR(OP!$D$53=1,$B31=""),"",ROUND(VLOOKUP(OP!$C$55,DIE,$B31+1,0)*OP!$C$28,0))</f>
        <v>#N/A</v>
      </c>
      <c r="I31" s="187" t="e">
        <f ca="1">IF(OR(OP!$D$53=1,$B31=""),"",ROUND(VLOOKUP(OP!$C$55,CV,$B31+1,0)*OP!$C$28,0))</f>
        <v>#N/A</v>
      </c>
      <c r="J31" s="187" t="e">
        <f ca="1">IF(OR(OP!$D$53=1,$B31=""),"",ROUND(VLOOKUP(OP!$C$55,PA,$B31+1,0)*OP!$C$28,0))</f>
        <v>#N/A</v>
      </c>
      <c r="K31" s="186"/>
      <c r="L31" s="186"/>
      <c r="M31" s="186"/>
      <c r="N31" s="188"/>
      <c r="O31" s="188"/>
      <c r="P31" s="188"/>
      <c r="Q31" s="188"/>
      <c r="R31" s="188"/>
      <c r="S31" s="188">
        <f ca="1">IF(OR(OP!$D$53=1,$B31=""),"",N($F31)+N($O31))</f>
        <v>0</v>
      </c>
      <c r="T31" s="188">
        <f ca="1">IF(OR(OP!$D$53=1,$B31=""),0,N($T30)+N($S31))</f>
        <v>0</v>
      </c>
      <c r="U31" s="188">
        <f ca="1">IF(OR(OP!$D$53=1,$B31=""),"",ROUND($S31/12,0))</f>
        <v>0</v>
      </c>
      <c r="V31" s="188">
        <f ca="1">IF(OR(OP!$D$53=1,$B31=""),0,N($V30)+(N($U31)*12))</f>
        <v>0</v>
      </c>
      <c r="W31" s="186"/>
      <c r="X31" s="186"/>
      <c r="Y31" s="189" t="e">
        <f ca="1">IF(OR(OP!$D$53=1,$B31=""),"",ROUND(($H31+$Q31)*IF(OR($C31&lt;16,$Z31=0,$Z31=""),1,PYO),0))</f>
        <v>#N/A</v>
      </c>
      <c r="Z31" s="189" t="e">
        <f ca="1">IF(OR(OP!$D$53=1,$B31=""),"",ROUND(($H31+Q31)*IF(OR($C31&lt;16,($H31+$Q31)*PY!$C$4&lt;PY!$D$5,($H31+$Q31)*PY!$C$4*PYR&lt;PY!$C$5),0,PYY)*PYR,0))</f>
        <v>#N/A</v>
      </c>
      <c r="AA31" s="113">
        <f ca="1">IF(OR(OP!$D$53=1,AND(B31&gt;OP!$C$24)),"",OP!$C$52)</f>
        <v>11326</v>
      </c>
      <c r="AB31" s="113">
        <f ca="1">IF(OR(OP!$D$53=1,$B31=""),"",N($AB30)+N($AA31))</f>
        <v>317128</v>
      </c>
      <c r="AC31" s="113"/>
      <c r="AD31" s="113"/>
      <c r="AE31" s="113"/>
      <c r="AF31" s="113"/>
      <c r="AG31" s="113"/>
      <c r="AH31" s="187" t="e">
        <f ca="1">IF(OR(OP!$D$53=1,$B31=""),"",ROUND(VLOOKUP(OP!$C$55,HL_1,$B31+1,0)*OP!$C$28,0))</f>
        <v>#N/A</v>
      </c>
      <c r="AI31" s="187" t="e">
        <f ca="1">IF(OR(OP!$D$53=1,$B31=""),"",ROUND(VLOOKUP(OP!$C$55,HL_2,$B31+1,0)*OP!$C$28,0))</f>
        <v>#N/A</v>
      </c>
    </row>
    <row r="32" spans="2:35" hidden="1">
      <c r="B32" s="93">
        <f ca="1">IF(OR(C31&gt;=OP!$F$57,C31=""),"",IF(C31+1&gt;OP!$F$57,OP!$F$57+1-$C$4,B31+1))</f>
        <v>29</v>
      </c>
      <c r="C32" s="92">
        <f ca="1">IF(OR(OP!$D$53=1,MAX($C$4:C31)&gt;=OP!$F$57),"",C31+(B32-B31))</f>
        <v>43</v>
      </c>
      <c r="D32" s="113">
        <f ca="1">IF(OR(OP!$D$53=1,AND($B32&gt;OP!$C$24)),"",OP!$C$52-IF($C32&lt;16,$K31,0))</f>
        <v>11326</v>
      </c>
      <c r="E32" s="113">
        <f ca="1">IF(OR(OP!$D$53=1,$B32=""),"",N($E31)+N($D32))</f>
        <v>328454</v>
      </c>
      <c r="F32" s="186" t="str">
        <f ca="1">IF(OR(OP!$D$53=1,$B32="",ISERROR(VLOOKUP(OP!$C$55,SRV,$B32+1,0))),"",ROUND(VLOOKUP(OP!$C$55,SRV,$B32+1,0)*OP!$C$28,0))</f>
        <v/>
      </c>
      <c r="G32" s="186" t="str">
        <f ca="1">IF(OR(OP!$D$53=1,$B32="",ISERROR(VLOOKUP(OP!$C$55,SRV,$B32+1,0))),"",N($G31)+N($F32))</f>
        <v/>
      </c>
      <c r="H32" s="186" t="e">
        <f ca="1">IF(OR(OP!$D$53=1,$B32=""),"",ROUND(VLOOKUP(OP!$C$55,DIE,$B32+1,0)*OP!$C$28,0))</f>
        <v>#N/A</v>
      </c>
      <c r="I32" s="187" t="e">
        <f ca="1">IF(OR(OP!$D$53=1,$B32=""),"",ROUND(VLOOKUP(OP!$C$55,CV,$B32+1,0)*OP!$C$28,0))</f>
        <v>#N/A</v>
      </c>
      <c r="J32" s="187" t="e">
        <f ca="1">IF(OR(OP!$D$53=1,$B32=""),"",ROUND(VLOOKUP(OP!$C$55,PA,$B32+1,0)*OP!$C$28,0))</f>
        <v>#N/A</v>
      </c>
      <c r="K32" s="186"/>
      <c r="L32" s="186"/>
      <c r="M32" s="186"/>
      <c r="N32" s="188"/>
      <c r="O32" s="188"/>
      <c r="P32" s="188"/>
      <c r="Q32" s="188"/>
      <c r="R32" s="188"/>
      <c r="S32" s="188">
        <f ca="1">IF(OR(OP!$D$53=1,$B32=""),"",N($F32)+N($O32))</f>
        <v>0</v>
      </c>
      <c r="T32" s="188">
        <f ca="1">IF(OR(OP!$D$53=1,$B32=""),0,N($T31)+N($S32))</f>
        <v>0</v>
      </c>
      <c r="U32" s="188">
        <f ca="1">IF(OR(OP!$D$53=1,$B32=""),"",ROUND($S32/12,0))</f>
        <v>0</v>
      </c>
      <c r="V32" s="188">
        <f ca="1">IF(OR(OP!$D$53=1,$B32=""),0,N($V31)+(N($U32)*12))</f>
        <v>0</v>
      </c>
      <c r="W32" s="186"/>
      <c r="X32" s="186"/>
      <c r="Y32" s="189" t="e">
        <f ca="1">IF(OR(OP!$D$53=1,$B32=""),"",ROUND(($H32+$Q32)*IF(OR($C32&lt;16,$Z32=0,$Z32=""),1,PYO),0))</f>
        <v>#N/A</v>
      </c>
      <c r="Z32" s="189" t="e">
        <f ca="1">IF(OR(OP!$D$53=1,$B32=""),"",ROUND(($H32+Q32)*IF(OR($C32&lt;16,($H32+$Q32)*PY!$C$4&lt;PY!$D$5,($H32+$Q32)*PY!$C$4*PYR&lt;PY!$C$5),0,PYY)*PYR,0))</f>
        <v>#N/A</v>
      </c>
      <c r="AA32" s="113">
        <f ca="1">IF(OR(OP!$D$53=1,AND(B32&gt;OP!$C$24)),"",OP!$C$52)</f>
        <v>11326</v>
      </c>
      <c r="AB32" s="113">
        <f ca="1">IF(OR(OP!$D$53=1,$B32=""),"",N($AB31)+N($AA32))</f>
        <v>328454</v>
      </c>
      <c r="AC32" s="113"/>
      <c r="AD32" s="113"/>
      <c r="AE32" s="113"/>
      <c r="AF32" s="113"/>
      <c r="AG32" s="113"/>
      <c r="AH32" s="187" t="e">
        <f ca="1">IF(OR(OP!$D$53=1,$B32=""),"",ROUND(VLOOKUP(OP!$C$55,HL_1,$B32+1,0)*OP!$C$28,0))</f>
        <v>#N/A</v>
      </c>
      <c r="AI32" s="187" t="e">
        <f ca="1">IF(OR(OP!$D$53=1,$B32=""),"",ROUND(VLOOKUP(OP!$C$55,HL_2,$B32+1,0)*OP!$C$28,0))</f>
        <v>#N/A</v>
      </c>
    </row>
    <row r="33" spans="2:35" hidden="1">
      <c r="B33" s="93">
        <f ca="1">IF(OR(C32&gt;=OP!$F$57,C32=""),"",IF(C32+1&gt;OP!$F$57,OP!$F$57+1-$C$4,B32+1))</f>
        <v>30</v>
      </c>
      <c r="C33" s="92">
        <f ca="1">IF(OR(OP!$D$53=1,MAX($C$4:C32)&gt;=OP!$F$57),"",C32+(B33-B32))</f>
        <v>44</v>
      </c>
      <c r="D33" s="113">
        <f ca="1">IF(OR(OP!$D$53=1,AND($B33&gt;OP!$C$24)),"",OP!$C$52-IF($C33&lt;16,$K32,0))</f>
        <v>11326</v>
      </c>
      <c r="E33" s="113">
        <f ca="1">IF(OR(OP!$D$53=1,$B33=""),"",N($E32)+N($D33))</f>
        <v>339780</v>
      </c>
      <c r="F33" s="186" t="str">
        <f ca="1">IF(OR(OP!$D$53=1,$B33="",ISERROR(VLOOKUP(OP!$C$55,SRV,$B33+1,0))),"",ROUND(VLOOKUP(OP!$C$55,SRV,$B33+1,0)*OP!$C$28,0))</f>
        <v/>
      </c>
      <c r="G33" s="186" t="str">
        <f ca="1">IF(OR(OP!$D$53=1,$B33="",ISERROR(VLOOKUP(OP!$C$55,SRV,$B33+1,0))),"",N($G32)+N($F33))</f>
        <v/>
      </c>
      <c r="H33" s="186" t="e">
        <f ca="1">IF(OR(OP!$D$53=1,$B33=""),"",ROUND(VLOOKUP(OP!$C$55,DIE,$B33+1,0)*OP!$C$28,0))</f>
        <v>#N/A</v>
      </c>
      <c r="I33" s="187" t="e">
        <f ca="1">IF(OR(OP!$D$53=1,$B33=""),"",ROUND(VLOOKUP(OP!$C$55,CV,$B33+1,0)*OP!$C$28,0))</f>
        <v>#N/A</v>
      </c>
      <c r="J33" s="187" t="e">
        <f ca="1">IF(OR(OP!$D$53=1,$B33=""),"",ROUND(VLOOKUP(OP!$C$55,PA,$B33+1,0)*OP!$C$28,0))</f>
        <v>#N/A</v>
      </c>
      <c r="K33" s="186"/>
      <c r="L33" s="186"/>
      <c r="M33" s="186"/>
      <c r="N33" s="188"/>
      <c r="O33" s="188"/>
      <c r="P33" s="188"/>
      <c r="Q33" s="188"/>
      <c r="R33" s="188"/>
      <c r="S33" s="188">
        <f ca="1">IF(OR(OP!$D$53=1,$B33=""),"",N($F33)+N($O33))</f>
        <v>0</v>
      </c>
      <c r="T33" s="188">
        <f ca="1">IF(OR(OP!$D$53=1,$B33=""),0,N($T32)+N($S33))</f>
        <v>0</v>
      </c>
      <c r="U33" s="188">
        <f ca="1">IF(OR(OP!$D$53=1,$B33=""),"",ROUND($S33/12,0))</f>
        <v>0</v>
      </c>
      <c r="V33" s="188">
        <f ca="1">IF(OR(OP!$D$53=1,$B33=""),0,N($V32)+(N($U33)*12))</f>
        <v>0</v>
      </c>
      <c r="W33" s="186"/>
      <c r="X33" s="186"/>
      <c r="Y33" s="189" t="e">
        <f ca="1">IF(OR(OP!$D$53=1,$B33=""),"",ROUND(($H33+$Q33)*IF(OR($C33&lt;16,$Z33=0,$Z33=""),1,PYO),0))</f>
        <v>#N/A</v>
      </c>
      <c r="Z33" s="189" t="e">
        <f ca="1">IF(OR(OP!$D$53=1,$B33=""),"",ROUND(($H33+Q33)*IF(OR($C33&lt;16,($H33+$Q33)*PY!$C$4&lt;PY!$D$5,($H33+$Q33)*PY!$C$4*PYR&lt;PY!$C$5),0,PYY)*PYR,0))</f>
        <v>#N/A</v>
      </c>
      <c r="AA33" s="113">
        <f ca="1">IF(OR(OP!$D$53=1,AND(B33&gt;OP!$C$24)),"",OP!$C$52)</f>
        <v>11326</v>
      </c>
      <c r="AB33" s="113">
        <f ca="1">IF(OR(OP!$D$53=1,$B33=""),"",N($AB32)+N($AA33))</f>
        <v>339780</v>
      </c>
      <c r="AC33" s="113"/>
      <c r="AD33" s="113"/>
      <c r="AE33" s="113"/>
      <c r="AF33" s="113"/>
      <c r="AG33" s="113"/>
      <c r="AH33" s="187" t="e">
        <f ca="1">IF(OR(OP!$D$53=1,$B33=""),"",ROUND(VLOOKUP(OP!$C$55,HL_1,$B33+1,0)*OP!$C$28,0))</f>
        <v>#N/A</v>
      </c>
      <c r="AI33" s="187" t="e">
        <f ca="1">IF(OR(OP!$D$53=1,$B33=""),"",ROUND(VLOOKUP(OP!$C$55,HL_2,$B33+1,0)*OP!$C$28,0))</f>
        <v>#N/A</v>
      </c>
    </row>
    <row r="34" spans="2:35" hidden="1">
      <c r="B34" s="93">
        <f ca="1">IF(OR(C33&gt;=OP!$F$57,C33=""),"",IF(C33+1&gt;OP!$F$57,OP!$F$57+1-$C$4,B33+1))</f>
        <v>31</v>
      </c>
      <c r="C34" s="92">
        <f ca="1">IF(OR(OP!$D$53=1,MAX($C$4:C33)&gt;=OP!$F$57),"",C33+(B34-B33))</f>
        <v>45</v>
      </c>
      <c r="D34" s="113" t="str">
        <f ca="1">IF(OR(OP!$D$53=1,AND($B34&gt;OP!$C$24)),"",OP!$C$52-IF($C34&lt;16,$K33,0))</f>
        <v/>
      </c>
      <c r="E34" s="113">
        <f ca="1">IF(OR(OP!$D$53=1,$B34=""),"",N($E33)+N($D34))</f>
        <v>339780</v>
      </c>
      <c r="F34" s="186" t="str">
        <f ca="1">IF(OR(OP!$D$53=1,$B34="",ISERROR(VLOOKUP(OP!$C$55,SRV,$B34+1,0))),"",ROUND(VLOOKUP(OP!$C$55,SRV,$B34+1,0)*OP!$C$28,0))</f>
        <v/>
      </c>
      <c r="G34" s="186" t="str">
        <f ca="1">IF(OR(OP!$D$53=1,$B34="",ISERROR(VLOOKUP(OP!$C$55,SRV,$B34+1,0))),"",N($G33)+N($F34))</f>
        <v/>
      </c>
      <c r="H34" s="186" t="e">
        <f ca="1">IF(OR(OP!$D$53=1,$B34=""),"",ROUND(VLOOKUP(OP!$C$55,DIE,$B34+1,0)*OP!$C$28,0))</f>
        <v>#N/A</v>
      </c>
      <c r="I34" s="187" t="e">
        <f ca="1">IF(OR(OP!$D$53=1,$B34=""),"",ROUND(VLOOKUP(OP!$C$55,CV,$B34+1,0)*OP!$C$28,0))</f>
        <v>#N/A</v>
      </c>
      <c r="J34" s="187" t="e">
        <f ca="1">IF(OR(OP!$D$53=1,$B34=""),"",ROUND(VLOOKUP(OP!$C$55,PA,$B34+1,0)*OP!$C$28,0))</f>
        <v>#N/A</v>
      </c>
      <c r="K34" s="186"/>
      <c r="L34" s="186"/>
      <c r="M34" s="186"/>
      <c r="N34" s="188"/>
      <c r="O34" s="188"/>
      <c r="P34" s="188"/>
      <c r="Q34" s="188"/>
      <c r="R34" s="188"/>
      <c r="S34" s="188">
        <f ca="1">IF(OR(OP!$D$53=1,$B34=""),"",N($F34)+N($O34))</f>
        <v>0</v>
      </c>
      <c r="T34" s="188">
        <f ca="1">IF(OR(OP!$D$53=1,$B34=""),0,N($T33)+N($S34))</f>
        <v>0</v>
      </c>
      <c r="U34" s="188">
        <f ca="1">IF(OR(OP!$D$53=1,$B34=""),"",ROUND($S34/12,0))</f>
        <v>0</v>
      </c>
      <c r="V34" s="188">
        <f ca="1">IF(OR(OP!$D$53=1,$B34=""),0,N($V33)+(N($U34)*12))</f>
        <v>0</v>
      </c>
      <c r="W34" s="186"/>
      <c r="X34" s="186"/>
      <c r="Y34" s="189" t="e">
        <f ca="1">IF(OR(OP!$D$53=1,$B34=""),"",ROUND(($H34+$Q34)*IF(OR($C34&lt;16,$Z34=0,$Z34=""),1,PYO),0))</f>
        <v>#N/A</v>
      </c>
      <c r="Z34" s="189" t="e">
        <f ca="1">IF(OR(OP!$D$53=1,$B34=""),"",ROUND(($H34+Q34)*IF(OR($C34&lt;16,($H34+$Q34)*PY!$C$4&lt;PY!$D$5,($H34+$Q34)*PY!$C$4*PYR&lt;PY!$C$5),0,PYY)*PYR,0))</f>
        <v>#N/A</v>
      </c>
      <c r="AA34" s="113" t="str">
        <f ca="1">IF(OR(OP!$D$53=1,AND(B34&gt;OP!$C$24)),"",OP!$C$52)</f>
        <v/>
      </c>
      <c r="AB34" s="113">
        <f ca="1">IF(OR(OP!$D$53=1,$B34=""),"",N($AB33)+N($AA34))</f>
        <v>339780</v>
      </c>
      <c r="AC34" s="113"/>
      <c r="AD34" s="113"/>
      <c r="AE34" s="113"/>
      <c r="AF34" s="113"/>
      <c r="AG34" s="113"/>
      <c r="AH34" s="187" t="e">
        <f ca="1">IF(OR(OP!$D$53=1,$B34=""),"",ROUND(VLOOKUP(OP!$C$55,HL_1,$B34+1,0)*OP!$C$28,0))</f>
        <v>#N/A</v>
      </c>
      <c r="AI34" s="187" t="e">
        <f ca="1">IF(OR(OP!$D$53=1,$B34=""),"",ROUND(VLOOKUP(OP!$C$55,HL_2,$B34+1,0)*OP!$C$28,0))</f>
        <v>#N/A</v>
      </c>
    </row>
    <row r="35" spans="2:35" hidden="1">
      <c r="B35" s="93">
        <f ca="1">IF(OR(C34&gt;=OP!$F$57,C34=""),"",IF(C34+1&gt;OP!$F$57,OP!$F$57+1-$C$4,B34+1))</f>
        <v>32</v>
      </c>
      <c r="C35" s="92">
        <f ca="1">IF(OR(OP!$D$53=1,MAX($C$4:C34)&gt;=OP!$F$57),"",C34+(B35-B34))</f>
        <v>46</v>
      </c>
      <c r="D35" s="113" t="str">
        <f ca="1">IF(OR(OP!$D$53=1,AND($B35&gt;OP!$C$24)),"",OP!$C$52-IF($C35&lt;16,$K34,0))</f>
        <v/>
      </c>
      <c r="E35" s="113">
        <f ca="1">IF(OR(OP!$D$53=1,$B35=""),"",N($E34)+N($D35))</f>
        <v>339780</v>
      </c>
      <c r="F35" s="186" t="str">
        <f ca="1">IF(OR(OP!$D$53=1,$B35="",ISERROR(VLOOKUP(OP!$C$55,SRV,$B35+1,0))),"",ROUND(VLOOKUP(OP!$C$55,SRV,$B35+1,0)*OP!$C$28,0))</f>
        <v/>
      </c>
      <c r="G35" s="186" t="str">
        <f ca="1">IF(OR(OP!$D$53=1,$B35="",ISERROR(VLOOKUP(OP!$C$55,SRV,$B35+1,0))),"",N($G34)+N($F35))</f>
        <v/>
      </c>
      <c r="H35" s="186" t="e">
        <f ca="1">IF(OR(OP!$D$53=1,$B35=""),"",ROUND(VLOOKUP(OP!$C$55,DIE,$B35+1,0)*OP!$C$28,0))</f>
        <v>#N/A</v>
      </c>
      <c r="I35" s="187" t="e">
        <f ca="1">IF(OR(OP!$D$53=1,$B35=""),"",ROUND(VLOOKUP(OP!$C$55,CV,$B35+1,0)*OP!$C$28,0))</f>
        <v>#N/A</v>
      </c>
      <c r="J35" s="187" t="e">
        <f ca="1">IF(OR(OP!$D$53=1,$B35=""),"",ROUND(VLOOKUP(OP!$C$55,PA,$B35+1,0)*OP!$C$28,0))</f>
        <v>#N/A</v>
      </c>
      <c r="K35" s="186"/>
      <c r="L35" s="186"/>
      <c r="M35" s="186"/>
      <c r="N35" s="188"/>
      <c r="O35" s="188"/>
      <c r="P35" s="188"/>
      <c r="Q35" s="188"/>
      <c r="R35" s="188"/>
      <c r="S35" s="188">
        <f ca="1">IF(OR(OP!$D$53=1,$B35=""),"",N($F35)+N($O35))</f>
        <v>0</v>
      </c>
      <c r="T35" s="188">
        <f ca="1">IF(OR(OP!$D$53=1,$B35=""),0,N($T34)+N($S35))</f>
        <v>0</v>
      </c>
      <c r="U35" s="188">
        <f ca="1">IF(OR(OP!$D$53=1,$B35=""),"",ROUND($S35/12,0))</f>
        <v>0</v>
      </c>
      <c r="V35" s="188">
        <f ca="1">IF(OR(OP!$D$53=1,$B35=""),0,N($V34)+(N($U35)*12))</f>
        <v>0</v>
      </c>
      <c r="W35" s="186"/>
      <c r="X35" s="186"/>
      <c r="Y35" s="189" t="e">
        <f ca="1">IF(OR(OP!$D$53=1,$B35=""),"",ROUND(($H35+$Q35)*IF(OR($C35&lt;16,$Z35=0,$Z35=""),1,PYO),0))</f>
        <v>#N/A</v>
      </c>
      <c r="Z35" s="189" t="e">
        <f ca="1">IF(OR(OP!$D$53=1,$B35=""),"",ROUND(($H35+Q35)*IF(OR($C35&lt;16,($H35+$Q35)*PY!$C$4&lt;PY!$D$5,($H35+$Q35)*PY!$C$4*PYR&lt;PY!$C$5),0,PYY)*PYR,0))</f>
        <v>#N/A</v>
      </c>
      <c r="AA35" s="113" t="str">
        <f ca="1">IF(OR(OP!$D$53=1,AND(B35&gt;OP!$C$24)),"",OP!$C$52)</f>
        <v/>
      </c>
      <c r="AB35" s="113">
        <f ca="1">IF(OR(OP!$D$53=1,$B35=""),"",N($AB34)+N($AA35))</f>
        <v>339780</v>
      </c>
      <c r="AC35" s="113"/>
      <c r="AD35" s="113"/>
      <c r="AE35" s="113"/>
      <c r="AF35" s="113"/>
      <c r="AG35" s="113"/>
      <c r="AH35" s="187" t="e">
        <f ca="1">IF(OR(OP!$D$53=1,$B35=""),"",ROUND(VLOOKUP(OP!$C$55,HL_1,$B35+1,0)*OP!$C$28,0))</f>
        <v>#N/A</v>
      </c>
      <c r="AI35" s="187" t="e">
        <f ca="1">IF(OR(OP!$D$53=1,$B35=""),"",ROUND(VLOOKUP(OP!$C$55,HL_2,$B35+1,0)*OP!$C$28,0))</f>
        <v>#N/A</v>
      </c>
    </row>
    <row r="36" spans="2:35" hidden="1">
      <c r="B36" s="93">
        <f ca="1">IF(OR(C35&gt;=OP!$F$57,C35=""),"",IF(C35+1&gt;OP!$F$57,OP!$F$57+1-$C$4,B35+1))</f>
        <v>33</v>
      </c>
      <c r="C36" s="92">
        <f ca="1">IF(OR(OP!$D$53=1,MAX($C$4:C35)&gt;=OP!$F$57),"",C35+(B36-B35))</f>
        <v>47</v>
      </c>
      <c r="D36" s="113" t="str">
        <f ca="1">IF(OR(OP!$D$53=1,AND($B36&gt;OP!$C$24)),"",OP!$C$52-IF($C36&lt;16,$K35,0))</f>
        <v/>
      </c>
      <c r="E36" s="113">
        <f ca="1">IF(OR(OP!$D$53=1,$B36=""),"",N($E35)+N($D36))</f>
        <v>339780</v>
      </c>
      <c r="F36" s="186" t="str">
        <f ca="1">IF(OR(OP!$D$53=1,$B36="",ISERROR(VLOOKUP(OP!$C$55,SRV,$B36+1,0))),"",ROUND(VLOOKUP(OP!$C$55,SRV,$B36+1,0)*OP!$C$28,0))</f>
        <v/>
      </c>
      <c r="G36" s="186" t="str">
        <f ca="1">IF(OR(OP!$D$53=1,$B36="",ISERROR(VLOOKUP(OP!$C$55,SRV,$B36+1,0))),"",N($G35)+N($F36))</f>
        <v/>
      </c>
      <c r="H36" s="186" t="e">
        <f ca="1">IF(OR(OP!$D$53=1,$B36=""),"",ROUND(VLOOKUP(OP!$C$55,DIE,$B36+1,0)*OP!$C$28,0))</f>
        <v>#N/A</v>
      </c>
      <c r="I36" s="187" t="e">
        <f ca="1">IF(OR(OP!$D$53=1,$B36=""),"",ROUND(VLOOKUP(OP!$C$55,CV,$B36+1,0)*OP!$C$28,0))</f>
        <v>#N/A</v>
      </c>
      <c r="J36" s="187" t="e">
        <f ca="1">IF(OR(OP!$D$53=1,$B36=""),"",ROUND(VLOOKUP(OP!$C$55,PA,$B36+1,0)*OP!$C$28,0))</f>
        <v>#N/A</v>
      </c>
      <c r="K36" s="186"/>
      <c r="L36" s="186"/>
      <c r="M36" s="186"/>
      <c r="N36" s="188"/>
      <c r="O36" s="188"/>
      <c r="P36" s="188"/>
      <c r="Q36" s="188"/>
      <c r="R36" s="188"/>
      <c r="S36" s="188">
        <f ca="1">IF(OR(OP!$D$53=1,$B36=""),"",N($F36)+N($O36))</f>
        <v>0</v>
      </c>
      <c r="T36" s="188">
        <f ca="1">IF(OR(OP!$D$53=1,$B36=""),0,N($T35)+N($S36))</f>
        <v>0</v>
      </c>
      <c r="U36" s="188">
        <f ca="1">IF(OR(OP!$D$53=1,$B36=""),"",ROUND($S36/12,0))</f>
        <v>0</v>
      </c>
      <c r="V36" s="188">
        <f ca="1">IF(OR(OP!$D$53=1,$B36=""),0,N($V35)+(N($U36)*12))</f>
        <v>0</v>
      </c>
      <c r="W36" s="186"/>
      <c r="X36" s="186"/>
      <c r="Y36" s="189" t="e">
        <f ca="1">IF(OR(OP!$D$53=1,$B36=""),"",ROUND(($H36+$Q36)*IF(OR($C36&lt;16,$Z36=0,$Z36=""),1,PYO),0))</f>
        <v>#N/A</v>
      </c>
      <c r="Z36" s="189" t="e">
        <f ca="1">IF(OR(OP!$D$53=1,$B36=""),"",ROUND(($H36+Q36)*IF(OR($C36&lt;16,($H36+$Q36)*PY!$C$4&lt;PY!$D$5,($H36+$Q36)*PY!$C$4*PYR&lt;PY!$C$5),0,PYY)*PYR,0))</f>
        <v>#N/A</v>
      </c>
      <c r="AA36" s="113" t="str">
        <f ca="1">IF(OR(OP!$D$53=1,AND(B36&gt;OP!$C$24)),"",OP!$C$52)</f>
        <v/>
      </c>
      <c r="AB36" s="113">
        <f ca="1">IF(OR(OP!$D$53=1,$B36=""),"",N($AB35)+N($AA36))</f>
        <v>339780</v>
      </c>
      <c r="AC36" s="113"/>
      <c r="AD36" s="113"/>
      <c r="AE36" s="113"/>
      <c r="AF36" s="113"/>
      <c r="AG36" s="113"/>
      <c r="AH36" s="187" t="e">
        <f ca="1">IF(OR(OP!$D$53=1,$B36=""),"",ROUND(VLOOKUP(OP!$C$55,HL_1,$B36+1,0)*OP!$C$28,0))</f>
        <v>#N/A</v>
      </c>
      <c r="AI36" s="187" t="e">
        <f ca="1">IF(OR(OP!$D$53=1,$B36=""),"",ROUND(VLOOKUP(OP!$C$55,HL_2,$B36+1,0)*OP!$C$28,0))</f>
        <v>#N/A</v>
      </c>
    </row>
    <row r="37" spans="2:35" hidden="1">
      <c r="B37" s="93">
        <f ca="1">IF(OR(C36&gt;=OP!$F$57,C36=""),"",IF(C36+1&gt;OP!$F$57,OP!$F$57+1-$C$4,B36+1))</f>
        <v>34</v>
      </c>
      <c r="C37" s="92">
        <f ca="1">IF(OR(OP!$D$53=1,MAX($C$4:C36)&gt;=OP!$F$57),"",C36+(B37-B36))</f>
        <v>48</v>
      </c>
      <c r="D37" s="113" t="str">
        <f ca="1">IF(OR(OP!$D$53=1,AND($B37&gt;OP!$C$24)),"",OP!$C$52-IF($C37&lt;16,$K36,0))</f>
        <v/>
      </c>
      <c r="E37" s="113">
        <f ca="1">IF(OR(OP!$D$53=1,$B37=""),"",N($E36)+N($D37))</f>
        <v>339780</v>
      </c>
      <c r="F37" s="186" t="str">
        <f ca="1">IF(OR(OP!$D$53=1,$B37="",ISERROR(VLOOKUP(OP!$C$55,SRV,$B37+1,0))),"",ROUND(VLOOKUP(OP!$C$55,SRV,$B37+1,0)*OP!$C$28,0))</f>
        <v/>
      </c>
      <c r="G37" s="186" t="str">
        <f ca="1">IF(OR(OP!$D$53=1,$B37="",ISERROR(VLOOKUP(OP!$C$55,SRV,$B37+1,0))),"",N($G36)+N($F37))</f>
        <v/>
      </c>
      <c r="H37" s="186" t="e">
        <f ca="1">IF(OR(OP!$D$53=1,$B37=""),"",ROUND(VLOOKUP(OP!$C$55,DIE,$B37+1,0)*OP!$C$28,0))</f>
        <v>#N/A</v>
      </c>
      <c r="I37" s="187" t="e">
        <f ca="1">IF(OR(OP!$D$53=1,$B37=""),"",ROUND(VLOOKUP(OP!$C$55,CV,$B37+1,0)*OP!$C$28,0))</f>
        <v>#N/A</v>
      </c>
      <c r="J37" s="187" t="e">
        <f ca="1">IF(OR(OP!$D$53=1,$B37=""),"",ROUND(VLOOKUP(OP!$C$55,PA,$B37+1,0)*OP!$C$28,0))</f>
        <v>#N/A</v>
      </c>
      <c r="K37" s="186"/>
      <c r="L37" s="186"/>
      <c r="M37" s="186"/>
      <c r="N37" s="188"/>
      <c r="O37" s="188"/>
      <c r="P37" s="188"/>
      <c r="Q37" s="188"/>
      <c r="R37" s="188"/>
      <c r="S37" s="188">
        <f ca="1">IF(OR(OP!$D$53=1,$B37=""),"",N($F37)+N($O37))</f>
        <v>0</v>
      </c>
      <c r="T37" s="188">
        <f ca="1">IF(OR(OP!$D$53=1,$B37=""),0,N($T36)+N($S37))</f>
        <v>0</v>
      </c>
      <c r="U37" s="188">
        <f ca="1">IF(OR(OP!$D$53=1,$B37=""),"",ROUND($S37/12,0))</f>
        <v>0</v>
      </c>
      <c r="V37" s="188">
        <f ca="1">IF(OR(OP!$D$53=1,$B37=""),0,N($V36)+(N($U37)*12))</f>
        <v>0</v>
      </c>
      <c r="W37" s="186"/>
      <c r="X37" s="186"/>
      <c r="Y37" s="189" t="e">
        <f ca="1">IF(OR(OP!$D$53=1,$B37=""),"",ROUND(($H37+$Q37)*IF(OR($C37&lt;16,$Z37=0,$Z37=""),1,PYO),0))</f>
        <v>#N/A</v>
      </c>
      <c r="Z37" s="189" t="e">
        <f ca="1">IF(OR(OP!$D$53=1,$B37=""),"",ROUND(($H37+Q37)*IF(OR($C37&lt;16,($H37+$Q37)*PY!$C$4&lt;PY!$D$5,($H37+$Q37)*PY!$C$4*PYR&lt;PY!$C$5),0,PYY)*PYR,0))</f>
        <v>#N/A</v>
      </c>
      <c r="AA37" s="113" t="str">
        <f ca="1">IF(OR(OP!$D$53=1,AND(B37&gt;OP!$C$24)),"",OP!$C$52)</f>
        <v/>
      </c>
      <c r="AB37" s="113">
        <f ca="1">IF(OR(OP!$D$53=1,$B37=""),"",N($AB36)+N($AA37))</f>
        <v>339780</v>
      </c>
      <c r="AC37" s="113"/>
      <c r="AD37" s="113"/>
      <c r="AE37" s="113"/>
      <c r="AF37" s="113"/>
      <c r="AG37" s="113"/>
      <c r="AH37" s="187" t="e">
        <f ca="1">IF(OR(OP!$D$53=1,$B37=""),"",ROUND(VLOOKUP(OP!$C$55,HL_1,$B37+1,0)*OP!$C$28,0))</f>
        <v>#N/A</v>
      </c>
      <c r="AI37" s="187" t="e">
        <f ca="1">IF(OR(OP!$D$53=1,$B37=""),"",ROUND(VLOOKUP(OP!$C$55,HL_2,$B37+1,0)*OP!$C$28,0))</f>
        <v>#N/A</v>
      </c>
    </row>
    <row r="38" spans="2:35" hidden="1">
      <c r="B38" s="93">
        <f ca="1">IF(OR(C37&gt;=OP!$F$57,C37=""),"",IF(C37+1&gt;OP!$F$57,OP!$F$57+1-$C$4,B37+1))</f>
        <v>35</v>
      </c>
      <c r="C38" s="92">
        <f ca="1">IF(OR(OP!$D$53=1,MAX($C$4:C37)&gt;=OP!$F$57),"",C37+(B38-B37))</f>
        <v>49</v>
      </c>
      <c r="D38" s="113" t="str">
        <f ca="1">IF(OR(OP!$D$53=1,AND($B38&gt;OP!$C$24)),"",OP!$C$52-IF($C38&lt;16,$K37,0))</f>
        <v/>
      </c>
      <c r="E38" s="113">
        <f ca="1">IF(OR(OP!$D$53=1,$B38=""),"",N($E37)+N($D38))</f>
        <v>339780</v>
      </c>
      <c r="F38" s="186" t="str">
        <f ca="1">IF(OR(OP!$D$53=1,$B38="",ISERROR(VLOOKUP(OP!$C$55,SRV,$B38+1,0))),"",ROUND(VLOOKUP(OP!$C$55,SRV,$B38+1,0)*OP!$C$28,0))</f>
        <v/>
      </c>
      <c r="G38" s="186" t="str">
        <f ca="1">IF(OR(OP!$D$53=1,$B38="",ISERROR(VLOOKUP(OP!$C$55,SRV,$B38+1,0))),"",N($G37)+N($F38))</f>
        <v/>
      </c>
      <c r="H38" s="186" t="e">
        <f ca="1">IF(OR(OP!$D$53=1,$B38=""),"",ROUND(VLOOKUP(OP!$C$55,DIE,$B38+1,0)*OP!$C$28,0))</f>
        <v>#N/A</v>
      </c>
      <c r="I38" s="187" t="e">
        <f ca="1">IF(OR(OP!$D$53=1,$B38=""),"",ROUND(VLOOKUP(OP!$C$55,CV,$B38+1,0)*OP!$C$28,0))</f>
        <v>#N/A</v>
      </c>
      <c r="J38" s="187" t="e">
        <f ca="1">IF(OR(OP!$D$53=1,$B38=""),"",ROUND(VLOOKUP(OP!$C$55,PA,$B38+1,0)*OP!$C$28,0))</f>
        <v>#N/A</v>
      </c>
      <c r="K38" s="186"/>
      <c r="L38" s="186"/>
      <c r="M38" s="186"/>
      <c r="N38" s="188"/>
      <c r="O38" s="188"/>
      <c r="P38" s="188"/>
      <c r="Q38" s="188"/>
      <c r="R38" s="188"/>
      <c r="S38" s="188">
        <f ca="1">IF(OR(OP!$D$53=1,$B38=""),"",N($F38)+N($O38))</f>
        <v>0</v>
      </c>
      <c r="T38" s="188">
        <f ca="1">IF(OR(OP!$D$53=1,$B38=""),0,N($T37)+N($S38))</f>
        <v>0</v>
      </c>
      <c r="U38" s="188">
        <f ca="1">IF(OR(OP!$D$53=1,$B38=""),"",ROUND($S38/12,0))</f>
        <v>0</v>
      </c>
      <c r="V38" s="188">
        <f ca="1">IF(OR(OP!$D$53=1,$B38=""),0,N($V37)+(N($U38)*12))</f>
        <v>0</v>
      </c>
      <c r="W38" s="186"/>
      <c r="X38" s="186"/>
      <c r="Y38" s="189" t="e">
        <f ca="1">IF(OR(OP!$D$53=1,$B38=""),"",ROUND(($H38+$Q38)*IF(OR($C38&lt;16,$Z38=0,$Z38=""),1,PYO),0))</f>
        <v>#N/A</v>
      </c>
      <c r="Z38" s="189" t="e">
        <f ca="1">IF(OR(OP!$D$53=1,$B38=""),"",ROUND(($H38+Q38)*IF(OR($C38&lt;16,($H38+$Q38)*PY!$C$4&lt;PY!$D$5,($H38+$Q38)*PY!$C$4*PYR&lt;PY!$C$5),0,PYY)*PYR,0))</f>
        <v>#N/A</v>
      </c>
      <c r="AA38" s="113" t="str">
        <f ca="1">IF(OR(OP!$D$53=1,AND(B38&gt;OP!$C$24)),"",OP!$C$52)</f>
        <v/>
      </c>
      <c r="AB38" s="113">
        <f ca="1">IF(OR(OP!$D$53=1,$B38=""),"",N($AB37)+N($AA38))</f>
        <v>339780</v>
      </c>
      <c r="AC38" s="113"/>
      <c r="AD38" s="113"/>
      <c r="AE38" s="113"/>
      <c r="AF38" s="113"/>
      <c r="AG38" s="113"/>
      <c r="AH38" s="187" t="e">
        <f ca="1">IF(OR(OP!$D$53=1,$B38=""),"",ROUND(VLOOKUP(OP!$C$55,HL_1,$B38+1,0)*OP!$C$28,0))</f>
        <v>#N/A</v>
      </c>
      <c r="AI38" s="187" t="e">
        <f ca="1">IF(OR(OP!$D$53=1,$B38=""),"",ROUND(VLOOKUP(OP!$C$55,HL_2,$B38+1,0)*OP!$C$28,0))</f>
        <v>#N/A</v>
      </c>
    </row>
    <row r="39" spans="2:35" hidden="1">
      <c r="B39" s="93">
        <f ca="1">IF(OR(C38&gt;=OP!$F$57,C38=""),"",IF(C38+1&gt;OP!$F$57,OP!$F$57+1-$C$4,B38+1))</f>
        <v>36</v>
      </c>
      <c r="C39" s="92">
        <f ca="1">IF(OR(OP!$D$53=1,MAX($C$4:C38)&gt;=OP!$F$57),"",C38+(B39-B38))</f>
        <v>50</v>
      </c>
      <c r="D39" s="113" t="str">
        <f ca="1">IF(OR(OP!$D$53=1,AND($B39&gt;OP!$C$24)),"",OP!$C$52-IF($C39&lt;16,$K38,0))</f>
        <v/>
      </c>
      <c r="E39" s="113">
        <f ca="1">IF(OR(OP!$D$53=1,$B39=""),"",N($E38)+N($D39))</f>
        <v>339780</v>
      </c>
      <c r="F39" s="186" t="str">
        <f ca="1">IF(OR(OP!$D$53=1,$B39="",ISERROR(VLOOKUP(OP!$C$55,SRV,$B39+1,0))),"",ROUND(VLOOKUP(OP!$C$55,SRV,$B39+1,0)*OP!$C$28,0))</f>
        <v/>
      </c>
      <c r="G39" s="186" t="str">
        <f ca="1">IF(OR(OP!$D$53=1,$B39="",ISERROR(VLOOKUP(OP!$C$55,SRV,$B39+1,0))),"",N($G38)+N($F39))</f>
        <v/>
      </c>
      <c r="H39" s="186" t="e">
        <f ca="1">IF(OR(OP!$D$53=1,$B39=""),"",ROUND(VLOOKUP(OP!$C$55,DIE,$B39+1,0)*OP!$C$28,0))</f>
        <v>#N/A</v>
      </c>
      <c r="I39" s="187" t="e">
        <f ca="1">IF(OR(OP!$D$53=1,$B39=""),"",ROUND(VLOOKUP(OP!$C$55,CV,$B39+1,0)*OP!$C$28,0))</f>
        <v>#N/A</v>
      </c>
      <c r="J39" s="187" t="e">
        <f ca="1">IF(OR(OP!$D$53=1,$B39=""),"",ROUND(VLOOKUP(OP!$C$55,PA,$B39+1,0)*OP!$C$28,0))</f>
        <v>#N/A</v>
      </c>
      <c r="K39" s="186"/>
      <c r="L39" s="186"/>
      <c r="M39" s="186"/>
      <c r="N39" s="188"/>
      <c r="O39" s="188"/>
      <c r="P39" s="188"/>
      <c r="Q39" s="188"/>
      <c r="R39" s="188"/>
      <c r="S39" s="188">
        <f ca="1">IF(OR(OP!$D$53=1,$B39=""),"",N($F39)+N($O39))</f>
        <v>0</v>
      </c>
      <c r="T39" s="188">
        <f ca="1">IF(OR(OP!$D$53=1,$B39=""),0,N($T38)+N($S39))</f>
        <v>0</v>
      </c>
      <c r="U39" s="188">
        <f ca="1">IF(OR(OP!$D$53=1,$B39=""),"",ROUND($S39/12,0))</f>
        <v>0</v>
      </c>
      <c r="V39" s="188">
        <f ca="1">IF(OR(OP!$D$53=1,$B39=""),0,N($V38)+(N($U39)*12))</f>
        <v>0</v>
      </c>
      <c r="W39" s="186"/>
      <c r="X39" s="186"/>
      <c r="Y39" s="189" t="e">
        <f ca="1">IF(OR(OP!$D$53=1,$B39=""),"",ROUND(($H39+$Q39)*IF(OR($C39&lt;16,$Z39=0,$Z39=""),1,PYO),0))</f>
        <v>#N/A</v>
      </c>
      <c r="Z39" s="189" t="e">
        <f ca="1">IF(OR(OP!$D$53=1,$B39=""),"",ROUND(($H39+Q39)*IF(OR($C39&lt;16,($H39+$Q39)*PY!$C$4&lt;PY!$D$5,($H39+$Q39)*PY!$C$4*PYR&lt;PY!$C$5),0,PYY)*PYR,0))</f>
        <v>#N/A</v>
      </c>
      <c r="AA39" s="113" t="str">
        <f ca="1">IF(OR(OP!$D$53=1,AND(B39&gt;OP!$C$24)),"",OP!$C$52)</f>
        <v/>
      </c>
      <c r="AB39" s="113">
        <f ca="1">IF(OR(OP!$D$53=1,$B39=""),"",N($AB38)+N($AA39))</f>
        <v>339780</v>
      </c>
      <c r="AC39" s="113"/>
      <c r="AD39" s="113"/>
      <c r="AE39" s="113"/>
      <c r="AF39" s="113"/>
      <c r="AG39" s="113"/>
      <c r="AH39" s="187" t="e">
        <f ca="1">IF(OR(OP!$D$53=1,$B39=""),"",ROUND(VLOOKUP(OP!$C$55,HL_1,$B39+1,0)*OP!$C$28,0))</f>
        <v>#N/A</v>
      </c>
      <c r="AI39" s="187" t="e">
        <f ca="1">IF(OR(OP!$D$53=1,$B39=""),"",ROUND(VLOOKUP(OP!$C$55,HL_2,$B39+1,0)*OP!$C$28,0))</f>
        <v>#N/A</v>
      </c>
    </row>
    <row r="40" spans="2:35" hidden="1">
      <c r="B40" s="93">
        <f ca="1">IF(OR(C39&gt;=OP!$F$57,C39=""),"",IF(C39+1&gt;OP!$F$57,OP!$F$57+1-$C$4,B39+1))</f>
        <v>37</v>
      </c>
      <c r="C40" s="92">
        <f ca="1">IF(OR(OP!$D$53=1,MAX($C$4:C39)&gt;=OP!$F$57),"",C39+(B40-B39))</f>
        <v>51</v>
      </c>
      <c r="D40" s="113" t="str">
        <f ca="1">IF(OR(OP!$D$53=1,AND($B40&gt;OP!$C$24)),"",OP!$C$52-IF($C40&lt;16,$K39,0))</f>
        <v/>
      </c>
      <c r="E40" s="113">
        <f ca="1">IF(OR(OP!$D$53=1,$B40=""),"",N($E39)+N($D40))</f>
        <v>339780</v>
      </c>
      <c r="F40" s="186" t="str">
        <f ca="1">IF(OR(OP!$D$53=1,$B40="",ISERROR(VLOOKUP(OP!$C$55,SRV,$B40+1,0))),"",ROUND(VLOOKUP(OP!$C$55,SRV,$B40+1,0)*OP!$C$28,0))</f>
        <v/>
      </c>
      <c r="G40" s="186" t="str">
        <f ca="1">IF(OR(OP!$D$53=1,$B40="",ISERROR(VLOOKUP(OP!$C$55,SRV,$B40+1,0))),"",N($G39)+N($F40))</f>
        <v/>
      </c>
      <c r="H40" s="186" t="e">
        <f ca="1">IF(OR(OP!$D$53=1,$B40=""),"",ROUND(VLOOKUP(OP!$C$55,DIE,$B40+1,0)*OP!$C$28,0))</f>
        <v>#N/A</v>
      </c>
      <c r="I40" s="187" t="e">
        <f ca="1">IF(OR(OP!$D$53=1,$B40=""),"",ROUND(VLOOKUP(OP!$C$55,CV,$B40+1,0)*OP!$C$28,0))</f>
        <v>#N/A</v>
      </c>
      <c r="J40" s="187" t="e">
        <f ca="1">IF(OR(OP!$D$53=1,$B40=""),"",ROUND(VLOOKUP(OP!$C$55,PA,$B40+1,0)*OP!$C$28,0))</f>
        <v>#N/A</v>
      </c>
      <c r="K40" s="186"/>
      <c r="L40" s="186"/>
      <c r="M40" s="186"/>
      <c r="N40" s="188"/>
      <c r="O40" s="188"/>
      <c r="P40" s="188"/>
      <c r="Q40" s="188"/>
      <c r="R40" s="188"/>
      <c r="S40" s="188">
        <f ca="1">IF(OR(OP!$D$53=1,$B40=""),"",N($F40)+N($O40))</f>
        <v>0</v>
      </c>
      <c r="T40" s="188">
        <f ca="1">IF(OR(OP!$D$53=1,$B40=""),0,N($T39)+N($S40))</f>
        <v>0</v>
      </c>
      <c r="U40" s="188">
        <f ca="1">IF(OR(OP!$D$53=1,$B40=""),"",ROUND($S40/12,0))</f>
        <v>0</v>
      </c>
      <c r="V40" s="188">
        <f ca="1">IF(OR(OP!$D$53=1,$B40=""),0,N($V39)+(N($U40)*12))</f>
        <v>0</v>
      </c>
      <c r="W40" s="186"/>
      <c r="X40" s="186"/>
      <c r="Y40" s="189" t="e">
        <f ca="1">IF(OR(OP!$D$53=1,$B40=""),"",ROUND(($H40+$Q40)*IF(OR($C40&lt;16,$Z40=0,$Z40=""),1,PYO),0))</f>
        <v>#N/A</v>
      </c>
      <c r="Z40" s="189" t="e">
        <f ca="1">IF(OR(OP!$D$53=1,$B40=""),"",ROUND(($H40+Q40)*IF(OR($C40&lt;16,($H40+$Q40)*PY!$C$4&lt;PY!$D$5,($H40+$Q40)*PY!$C$4*PYR&lt;PY!$C$5),0,PYY)*PYR,0))</f>
        <v>#N/A</v>
      </c>
      <c r="AA40" s="113" t="str">
        <f ca="1">IF(OR(OP!$D$53=1,AND(B40&gt;OP!$C$24)),"",OP!$C$52)</f>
        <v/>
      </c>
      <c r="AB40" s="113">
        <f ca="1">IF(OR(OP!$D$53=1,$B40=""),"",N($AB39)+N($AA40))</f>
        <v>339780</v>
      </c>
      <c r="AC40" s="113"/>
      <c r="AD40" s="113"/>
      <c r="AE40" s="113"/>
      <c r="AF40" s="113"/>
      <c r="AG40" s="113"/>
      <c r="AH40" s="187" t="e">
        <f ca="1">IF(OR(OP!$D$53=1,$B40=""),"",ROUND(VLOOKUP(OP!$C$55,HL_1,$B40+1,0)*OP!$C$28,0))</f>
        <v>#N/A</v>
      </c>
      <c r="AI40" s="187" t="e">
        <f ca="1">IF(OR(OP!$D$53=1,$B40=""),"",ROUND(VLOOKUP(OP!$C$55,HL_2,$B40+1,0)*OP!$C$28,0))</f>
        <v>#N/A</v>
      </c>
    </row>
    <row r="41" spans="2:35" hidden="1">
      <c r="B41" s="93">
        <f ca="1">IF(OR(C40&gt;=OP!$F$57,C40=""),"",IF(C40+1&gt;OP!$F$57,OP!$F$57+1-$C$4,B40+1))</f>
        <v>38</v>
      </c>
      <c r="C41" s="92">
        <f ca="1">IF(OR(OP!$D$53=1,MAX($C$4:C40)&gt;=OP!$F$57),"",C40+(B41-B40))</f>
        <v>52</v>
      </c>
      <c r="D41" s="113" t="str">
        <f ca="1">IF(OR(OP!$D$53=1,AND($B41&gt;OP!$C$24)),"",OP!$C$52-IF($C41&lt;16,$K40,0))</f>
        <v/>
      </c>
      <c r="E41" s="113">
        <f ca="1">IF(OR(OP!$D$53=1,$B41=""),"",N($E40)+N($D41))</f>
        <v>339780</v>
      </c>
      <c r="F41" s="186" t="str">
        <f ca="1">IF(OR(OP!$D$53=1,$B41="",ISERROR(VLOOKUP(OP!$C$55,SRV,$B41+1,0))),"",ROUND(VLOOKUP(OP!$C$55,SRV,$B41+1,0)*OP!$C$28,0))</f>
        <v/>
      </c>
      <c r="G41" s="186" t="str">
        <f ca="1">IF(OR(OP!$D$53=1,$B41="",ISERROR(VLOOKUP(OP!$C$55,SRV,$B41+1,0))),"",N($G40)+N($F41))</f>
        <v/>
      </c>
      <c r="H41" s="186" t="e">
        <f ca="1">IF(OR(OP!$D$53=1,$B41=""),"",ROUND(VLOOKUP(OP!$C$55,DIE,$B41+1,0)*OP!$C$28,0))</f>
        <v>#N/A</v>
      </c>
      <c r="I41" s="187" t="e">
        <f ca="1">IF(OR(OP!$D$53=1,$B41=""),"",ROUND(VLOOKUP(OP!$C$55,CV,$B41+1,0)*OP!$C$28,0))</f>
        <v>#N/A</v>
      </c>
      <c r="J41" s="187" t="e">
        <f ca="1">IF(OR(OP!$D$53=1,$B41=""),"",ROUND(VLOOKUP(OP!$C$55,PA,$B41+1,0)*OP!$C$28,0))</f>
        <v>#N/A</v>
      </c>
      <c r="K41" s="186"/>
      <c r="L41" s="186"/>
      <c r="M41" s="186"/>
      <c r="N41" s="188"/>
      <c r="O41" s="188"/>
      <c r="P41" s="188"/>
      <c r="Q41" s="188"/>
      <c r="R41" s="188"/>
      <c r="S41" s="188">
        <f ca="1">IF(OR(OP!$D$53=1,$B41=""),"",N($F41)+N($O41))</f>
        <v>0</v>
      </c>
      <c r="T41" s="188">
        <f ca="1">IF(OR(OP!$D$53=1,$B41=""),0,N($T40)+N($S41))</f>
        <v>0</v>
      </c>
      <c r="U41" s="188">
        <f ca="1">IF(OR(OP!$D$53=1,$B41=""),"",ROUND($S41/12,0))</f>
        <v>0</v>
      </c>
      <c r="V41" s="188">
        <f ca="1">IF(OR(OP!$D$53=1,$B41=""),0,N($V40)+(N($U41)*12))</f>
        <v>0</v>
      </c>
      <c r="W41" s="186"/>
      <c r="X41" s="186"/>
      <c r="Y41" s="189" t="e">
        <f ca="1">IF(OR(OP!$D$53=1,$B41=""),"",ROUND(($H41+$Q41)*IF(OR($C41&lt;16,$Z41=0,$Z41=""),1,PYO),0))</f>
        <v>#N/A</v>
      </c>
      <c r="Z41" s="189" t="e">
        <f ca="1">IF(OR(OP!$D$53=1,$B41=""),"",ROUND(($H41+Q41)*IF(OR($C41&lt;16,($H41+$Q41)*PY!$C$4&lt;PY!$D$5,($H41+$Q41)*PY!$C$4*PYR&lt;PY!$C$5),0,PYY)*PYR,0))</f>
        <v>#N/A</v>
      </c>
      <c r="AA41" s="113" t="str">
        <f ca="1">IF(OR(OP!$D$53=1,AND(B41&gt;OP!$C$24)),"",OP!$C$52)</f>
        <v/>
      </c>
      <c r="AB41" s="113">
        <f ca="1">IF(OR(OP!$D$53=1,$B41=""),"",N($AB40)+N($AA41))</f>
        <v>339780</v>
      </c>
      <c r="AC41" s="113"/>
      <c r="AD41" s="113"/>
      <c r="AE41" s="113"/>
      <c r="AF41" s="113"/>
      <c r="AG41" s="113"/>
      <c r="AH41" s="187" t="e">
        <f ca="1">IF(OR(OP!$D$53=1,$B41=""),"",ROUND(VLOOKUP(OP!$C$55,HL_1,$B41+1,0)*OP!$C$28,0))</f>
        <v>#N/A</v>
      </c>
      <c r="AI41" s="187" t="e">
        <f ca="1">IF(OR(OP!$D$53=1,$B41=""),"",ROUND(VLOOKUP(OP!$C$55,HL_2,$B41+1,0)*OP!$C$28,0))</f>
        <v>#N/A</v>
      </c>
    </row>
    <row r="42" spans="2:35" hidden="1">
      <c r="B42" s="93">
        <f ca="1">IF(OR(C41&gt;=OP!$F$57,C41=""),"",IF(C41+1&gt;OP!$F$57,OP!$F$57+1-$C$4,B41+1))</f>
        <v>39</v>
      </c>
      <c r="C42" s="92">
        <f ca="1">IF(OR(OP!$D$53=1,MAX($C$4:C41)&gt;=OP!$F$57),"",C41+(B42-B41))</f>
        <v>53</v>
      </c>
      <c r="D42" s="113" t="str">
        <f ca="1">IF(OR(OP!$D$53=1,AND($B42&gt;OP!$C$24)),"",OP!$C$52-IF($C42&lt;16,$K41,0))</f>
        <v/>
      </c>
      <c r="E42" s="113">
        <f ca="1">IF(OR(OP!$D$53=1,$B42=""),"",N($E41)+N($D42))</f>
        <v>339780</v>
      </c>
      <c r="F42" s="186" t="str">
        <f ca="1">IF(OR(OP!$D$53=1,$B42="",ISERROR(VLOOKUP(OP!$C$55,SRV,$B42+1,0))),"",ROUND(VLOOKUP(OP!$C$55,SRV,$B42+1,0)*OP!$C$28,0))</f>
        <v/>
      </c>
      <c r="G42" s="186" t="str">
        <f ca="1">IF(OR(OP!$D$53=1,$B42="",ISERROR(VLOOKUP(OP!$C$55,SRV,$B42+1,0))),"",N($G41)+N($F42))</f>
        <v/>
      </c>
      <c r="H42" s="186" t="e">
        <f ca="1">IF(OR(OP!$D$53=1,$B42=""),"",ROUND(VLOOKUP(OP!$C$55,DIE,$B42+1,0)*OP!$C$28,0))</f>
        <v>#N/A</v>
      </c>
      <c r="I42" s="187" t="e">
        <f ca="1">IF(OR(OP!$D$53=1,$B42=""),"",ROUND(VLOOKUP(OP!$C$55,CV,$B42+1,0)*OP!$C$28,0))</f>
        <v>#N/A</v>
      </c>
      <c r="J42" s="187" t="e">
        <f ca="1">IF(OR(OP!$D$53=1,$B42=""),"",ROUND(VLOOKUP(OP!$C$55,PA,$B42+1,0)*OP!$C$28,0))</f>
        <v>#N/A</v>
      </c>
      <c r="K42" s="186"/>
      <c r="L42" s="186"/>
      <c r="M42" s="186"/>
      <c r="N42" s="188"/>
      <c r="O42" s="188"/>
      <c r="P42" s="188"/>
      <c r="Q42" s="188"/>
      <c r="R42" s="188"/>
      <c r="S42" s="188">
        <f ca="1">IF(OR(OP!$D$53=1,$B42=""),"",N($F42)+N($O42))</f>
        <v>0</v>
      </c>
      <c r="T42" s="188">
        <f ca="1">IF(OR(OP!$D$53=1,$B42=""),0,N($T41)+N($S42))</f>
        <v>0</v>
      </c>
      <c r="U42" s="188">
        <f ca="1">IF(OR(OP!$D$53=1,$B42=""),"",ROUND($S42/12,0))</f>
        <v>0</v>
      </c>
      <c r="V42" s="188">
        <f ca="1">IF(OR(OP!$D$53=1,$B42=""),0,N($V41)+(N($U42)*12))</f>
        <v>0</v>
      </c>
      <c r="W42" s="186"/>
      <c r="X42" s="186"/>
      <c r="Y42" s="189" t="e">
        <f ca="1">IF(OR(OP!$D$53=1,$B42=""),"",ROUND(($H42+$Q42)*IF(OR($C42&lt;16,$Z42=0,$Z42=""),1,PYO),0))</f>
        <v>#N/A</v>
      </c>
      <c r="Z42" s="189" t="e">
        <f ca="1">IF(OR(OP!$D$53=1,$B42=""),"",ROUND(($H42+Q42)*IF(OR($C42&lt;16,($H42+$Q42)*PY!$C$4&lt;PY!$D$5,($H42+$Q42)*PY!$C$4*PYR&lt;PY!$C$5),0,PYY)*PYR,0))</f>
        <v>#N/A</v>
      </c>
      <c r="AA42" s="113" t="str">
        <f ca="1">IF(OR(OP!$D$53=1,AND(B42&gt;OP!$C$24)),"",OP!$C$52)</f>
        <v/>
      </c>
      <c r="AB42" s="113">
        <f ca="1">IF(OR(OP!$D$53=1,$B42=""),"",N($AB41)+N($AA42))</f>
        <v>339780</v>
      </c>
      <c r="AC42" s="113"/>
      <c r="AD42" s="113"/>
      <c r="AE42" s="113"/>
      <c r="AF42" s="113"/>
      <c r="AG42" s="113"/>
      <c r="AH42" s="187" t="e">
        <f ca="1">IF(OR(OP!$D$53=1,$B42=""),"",ROUND(VLOOKUP(OP!$C$55,HL_1,$B42+1,0)*OP!$C$28,0))</f>
        <v>#N/A</v>
      </c>
      <c r="AI42" s="187" t="e">
        <f ca="1">IF(OR(OP!$D$53=1,$B42=""),"",ROUND(VLOOKUP(OP!$C$55,HL_2,$B42+1,0)*OP!$C$28,0))</f>
        <v>#N/A</v>
      </c>
    </row>
    <row r="43" spans="2:35" hidden="1">
      <c r="B43" s="93">
        <f ca="1">IF(OR(C42&gt;=OP!$F$57,C42=""),"",IF(C42+1&gt;OP!$F$57,OP!$F$57+1-$C$4,B42+1))</f>
        <v>40</v>
      </c>
      <c r="C43" s="92">
        <f ca="1">IF(OR(OP!$D$53=1,MAX($C$4:C42)&gt;=OP!$F$57),"",C42+(B43-B42))</f>
        <v>54</v>
      </c>
      <c r="D43" s="113" t="str">
        <f ca="1">IF(OR(OP!$D$53=1,AND($B43&gt;OP!$C$24)),"",OP!$C$52-IF($C43&lt;16,$K42,0))</f>
        <v/>
      </c>
      <c r="E43" s="113">
        <f ca="1">IF(OR(OP!$D$53=1,$B43=""),"",N($E42)+N($D43))</f>
        <v>339780</v>
      </c>
      <c r="F43" s="186" t="str">
        <f ca="1">IF(OR(OP!$D$53=1,$B43="",ISERROR(VLOOKUP(OP!$C$55,SRV,$B43+1,0))),"",ROUND(VLOOKUP(OP!$C$55,SRV,$B43+1,0)*OP!$C$28,0))</f>
        <v/>
      </c>
      <c r="G43" s="186" t="str">
        <f ca="1">IF(OR(OP!$D$53=1,$B43="",ISERROR(VLOOKUP(OP!$C$55,SRV,$B43+1,0))),"",N($G42)+N($F43))</f>
        <v/>
      </c>
      <c r="H43" s="186" t="e">
        <f ca="1">IF(OR(OP!$D$53=1,$B43=""),"",ROUND(VLOOKUP(OP!$C$55,DIE,$B43+1,0)*OP!$C$28,0))</f>
        <v>#N/A</v>
      </c>
      <c r="I43" s="187" t="e">
        <f ca="1">IF(OR(OP!$D$53=1,$B43=""),"",ROUND(VLOOKUP(OP!$C$55,CV,$B43+1,0)*OP!$C$28,0))</f>
        <v>#N/A</v>
      </c>
      <c r="J43" s="187" t="e">
        <f ca="1">IF(OR(OP!$D$53=1,$B43=""),"",ROUND(VLOOKUP(OP!$C$55,PA,$B43+1,0)*OP!$C$28,0))</f>
        <v>#N/A</v>
      </c>
      <c r="K43" s="186"/>
      <c r="L43" s="186"/>
      <c r="M43" s="186"/>
      <c r="N43" s="188"/>
      <c r="O43" s="188"/>
      <c r="P43" s="188"/>
      <c r="Q43" s="188"/>
      <c r="R43" s="188"/>
      <c r="S43" s="188">
        <f ca="1">IF(OR(OP!$D$53=1,$B43=""),"",N($F43)+N($O43))</f>
        <v>0</v>
      </c>
      <c r="T43" s="188">
        <f ca="1">IF(OR(OP!$D$53=1,$B43=""),0,N($T42)+N($S43))</f>
        <v>0</v>
      </c>
      <c r="U43" s="188">
        <f ca="1">IF(OR(OP!$D$53=1,$B43=""),"",ROUND($S43/12,0))</f>
        <v>0</v>
      </c>
      <c r="V43" s="188">
        <f ca="1">IF(OR(OP!$D$53=1,$B43=""),0,N($V42)+(N($U43)*12))</f>
        <v>0</v>
      </c>
      <c r="W43" s="186"/>
      <c r="X43" s="186"/>
      <c r="Y43" s="189" t="e">
        <f ca="1">IF(OR(OP!$D$53=1,$B43=""),"",ROUND(($H43+$Q43)*IF(OR($C43&lt;16,$Z43=0,$Z43=""),1,PYO),0))</f>
        <v>#N/A</v>
      </c>
      <c r="Z43" s="189" t="e">
        <f ca="1">IF(OR(OP!$D$53=1,$B43=""),"",ROUND(($H43+Q43)*IF(OR($C43&lt;16,($H43+$Q43)*PY!$C$4&lt;PY!$D$5,($H43+$Q43)*PY!$C$4*PYR&lt;PY!$C$5),0,PYY)*PYR,0))</f>
        <v>#N/A</v>
      </c>
      <c r="AA43" s="113" t="str">
        <f ca="1">IF(OR(OP!$D$53=1,AND(B43&gt;OP!$C$24)),"",OP!$C$52)</f>
        <v/>
      </c>
      <c r="AB43" s="113">
        <f ca="1">IF(OR(OP!$D$53=1,$B43=""),"",N($AB42)+N($AA43))</f>
        <v>339780</v>
      </c>
      <c r="AC43" s="113"/>
      <c r="AD43" s="113"/>
      <c r="AE43" s="113"/>
      <c r="AF43" s="113"/>
      <c r="AG43" s="113"/>
      <c r="AH43" s="187" t="e">
        <f ca="1">IF(OR(OP!$D$53=1,$B43=""),"",ROUND(VLOOKUP(OP!$C$55,HL_1,$B43+1,0)*OP!$C$28,0))</f>
        <v>#N/A</v>
      </c>
      <c r="AI43" s="187" t="e">
        <f ca="1">IF(OR(OP!$D$53=1,$B43=""),"",ROUND(VLOOKUP(OP!$C$55,HL_2,$B43+1,0)*OP!$C$28,0))</f>
        <v>#N/A</v>
      </c>
    </row>
    <row r="44" spans="2:35" hidden="1">
      <c r="B44" s="93">
        <f ca="1">IF(OR(C43&gt;=OP!$F$57,C43=""),"",IF(C43+1&gt;OP!$F$57,OP!$F$57+1-$C$4,B43+1))</f>
        <v>41</v>
      </c>
      <c r="C44" s="92">
        <f ca="1">IF(OR(OP!$D$53=1,MAX($C$4:C43)&gt;=OP!$F$57),"",C43+(B44-B43))</f>
        <v>55</v>
      </c>
      <c r="D44" s="113" t="str">
        <f ca="1">IF(OR(OP!$D$53=1,AND($B44&gt;OP!$C$24)),"",OP!$C$52-IF($C44&lt;16,$K43,0))</f>
        <v/>
      </c>
      <c r="E44" s="113">
        <f ca="1">IF(OR(OP!$D$53=1,$B44=""),"",N($E43)+N($D44))</f>
        <v>339780</v>
      </c>
      <c r="F44" s="186" t="str">
        <f ca="1">IF(OR(OP!$D$53=1,$B44="",ISERROR(VLOOKUP(OP!$C$55,SRV,$B44+1,0))),"",ROUND(VLOOKUP(OP!$C$55,SRV,$B44+1,0)*OP!$C$28,0))</f>
        <v/>
      </c>
      <c r="G44" s="186" t="str">
        <f ca="1">IF(OR(OP!$D$53=1,$B44="",ISERROR(VLOOKUP(OP!$C$55,SRV,$B44+1,0))),"",N($G43)+N($F44))</f>
        <v/>
      </c>
      <c r="H44" s="186" t="e">
        <f ca="1">IF(OR(OP!$D$53=1,$B44=""),"",ROUND(VLOOKUP(OP!$C$55,DIE,$B44+1,0)*OP!$C$28,0))</f>
        <v>#N/A</v>
      </c>
      <c r="I44" s="187" t="e">
        <f ca="1">IF(OR(OP!$D$53=1,$B44=""),"",ROUND(VLOOKUP(OP!$C$55,CV,$B44+1,0)*OP!$C$28,0))</f>
        <v>#N/A</v>
      </c>
      <c r="J44" s="187" t="e">
        <f ca="1">IF(OR(OP!$D$53=1,$B44=""),"",ROUND(VLOOKUP(OP!$C$55,PA,$B44+1,0)*OP!$C$28,0))</f>
        <v>#N/A</v>
      </c>
      <c r="K44" s="186"/>
      <c r="L44" s="186"/>
      <c r="M44" s="186"/>
      <c r="N44" s="188"/>
      <c r="O44" s="188"/>
      <c r="P44" s="188"/>
      <c r="Q44" s="188"/>
      <c r="R44" s="188"/>
      <c r="S44" s="188">
        <f ca="1">IF(OR(OP!$D$53=1,$B44=""),"",N($F44)+N($O44))</f>
        <v>0</v>
      </c>
      <c r="T44" s="188">
        <f ca="1">IF(OR(OP!$D$53=1,$B44=""),0,N($T43)+N($S44))</f>
        <v>0</v>
      </c>
      <c r="U44" s="188">
        <f ca="1">IF(OR(OP!$D$53=1,$B44=""),"",ROUND($S44/12,0))</f>
        <v>0</v>
      </c>
      <c r="V44" s="188">
        <f ca="1">IF(OR(OP!$D$53=1,$B44=""),0,N($V43)+(N($U44)*12))</f>
        <v>0</v>
      </c>
      <c r="W44" s="186"/>
      <c r="X44" s="186"/>
      <c r="Y44" s="189" t="e">
        <f ca="1">IF(OR(OP!$D$53=1,$B44=""),"",ROUND(($H44+$Q44)*IF(OR($C44&lt;16,$Z44=0,$Z44=""),1,PYO),0))</f>
        <v>#N/A</v>
      </c>
      <c r="Z44" s="189" t="e">
        <f ca="1">IF(OR(OP!$D$53=1,$B44=""),"",ROUND(($H44+Q44)*IF(OR($C44&lt;16,($H44+$Q44)*PY!$C$4&lt;PY!$D$5,($H44+$Q44)*PY!$C$4*PYR&lt;PY!$C$5),0,PYY)*PYR,0))</f>
        <v>#N/A</v>
      </c>
      <c r="AA44" s="113" t="str">
        <f ca="1">IF(OR(OP!$D$53=1,AND(B44&gt;OP!$C$24)),"",OP!$C$52)</f>
        <v/>
      </c>
      <c r="AB44" s="113">
        <f ca="1">IF(OR(OP!$D$53=1,$B44=""),"",N($AB43)+N($AA44))</f>
        <v>339780</v>
      </c>
      <c r="AC44" s="113"/>
      <c r="AD44" s="113"/>
      <c r="AE44" s="113"/>
      <c r="AF44" s="113"/>
      <c r="AG44" s="113"/>
      <c r="AH44" s="187" t="e">
        <f ca="1">IF(OR(OP!$D$53=1,$B44=""),"",ROUND(VLOOKUP(OP!$C$55,HL_1,$B44+1,0)*OP!$C$28,0))</f>
        <v>#N/A</v>
      </c>
      <c r="AI44" s="187" t="e">
        <f ca="1">IF(OR(OP!$D$53=1,$B44=""),"",ROUND(VLOOKUP(OP!$C$55,HL_2,$B44+1,0)*OP!$C$28,0))</f>
        <v>#N/A</v>
      </c>
    </row>
    <row r="45" spans="2:35" hidden="1">
      <c r="B45" s="93">
        <f ca="1">IF(OR(C44&gt;=OP!$F$57,C44=""),"",IF(C44+1&gt;OP!$F$57,OP!$F$57+1-$C$4,B44+1))</f>
        <v>42</v>
      </c>
      <c r="C45" s="92">
        <f ca="1">IF(OR(OP!$D$53=1,MAX($C$4:C44)&gt;=OP!$F$57),"",C44+(B45-B44))</f>
        <v>56</v>
      </c>
      <c r="D45" s="113" t="str">
        <f ca="1">IF(OR(OP!$D$53=1,AND($B45&gt;OP!$C$24)),"",OP!$C$52-IF($C45&lt;16,$K44,0))</f>
        <v/>
      </c>
      <c r="E45" s="113">
        <f ca="1">IF(OR(OP!$D$53=1,$B45=""),"",N($E44)+N($D45))</f>
        <v>339780</v>
      </c>
      <c r="F45" s="186" t="str">
        <f ca="1">IF(OR(OP!$D$53=1,$B45="",ISERROR(VLOOKUP(OP!$C$55,SRV,$B45+1,0))),"",ROUND(VLOOKUP(OP!$C$55,SRV,$B45+1,0)*OP!$C$28,0))</f>
        <v/>
      </c>
      <c r="G45" s="186" t="str">
        <f ca="1">IF(OR(OP!$D$53=1,$B45="",ISERROR(VLOOKUP(OP!$C$55,SRV,$B45+1,0))),"",N($G44)+N($F45))</f>
        <v/>
      </c>
      <c r="H45" s="186" t="e">
        <f ca="1">IF(OR(OP!$D$53=1,$B45=""),"",ROUND(VLOOKUP(OP!$C$55,DIE,$B45+1,0)*OP!$C$28,0))</f>
        <v>#N/A</v>
      </c>
      <c r="I45" s="187" t="e">
        <f ca="1">IF(OR(OP!$D$53=1,$B45=""),"",ROUND(VLOOKUP(OP!$C$55,CV,$B45+1,0)*OP!$C$28,0))</f>
        <v>#N/A</v>
      </c>
      <c r="J45" s="187" t="e">
        <f ca="1">IF(OR(OP!$D$53=1,$B45=""),"",ROUND(VLOOKUP(OP!$C$55,PA,$B45+1,0)*OP!$C$28,0))</f>
        <v>#N/A</v>
      </c>
      <c r="K45" s="186"/>
      <c r="L45" s="186"/>
      <c r="M45" s="186"/>
      <c r="N45" s="188"/>
      <c r="O45" s="188"/>
      <c r="P45" s="188"/>
      <c r="Q45" s="188"/>
      <c r="R45" s="188"/>
      <c r="S45" s="188">
        <f ca="1">IF(OR(OP!$D$53=1,$B45=""),"",N($F45)+N($O45))</f>
        <v>0</v>
      </c>
      <c r="T45" s="188">
        <f ca="1">IF(OR(OP!$D$53=1,$B45=""),0,N($T44)+N($S45))</f>
        <v>0</v>
      </c>
      <c r="U45" s="188">
        <f ca="1">IF(OR(OP!$D$53=1,$B45=""),"",ROUND($S45/12,0))</f>
        <v>0</v>
      </c>
      <c r="V45" s="188">
        <f ca="1">IF(OR(OP!$D$53=1,$B45=""),0,N($V44)+(N($U45)*12))</f>
        <v>0</v>
      </c>
      <c r="W45" s="186"/>
      <c r="X45" s="186"/>
      <c r="Y45" s="189" t="e">
        <f ca="1">IF(OR(OP!$D$53=1,$B45=""),"",ROUND(($H45+$Q45)*IF(OR($C45&lt;16,$Z45=0,$Z45=""),1,PYO),0))</f>
        <v>#N/A</v>
      </c>
      <c r="Z45" s="189" t="e">
        <f ca="1">IF(OR(OP!$D$53=1,$B45=""),"",ROUND(($H45+Q45)*IF(OR($C45&lt;16,($H45+$Q45)*PY!$C$4&lt;PY!$D$5,($H45+$Q45)*PY!$C$4*PYR&lt;PY!$C$5),0,PYY)*PYR,0))</f>
        <v>#N/A</v>
      </c>
      <c r="AA45" s="113" t="str">
        <f ca="1">IF(OR(OP!$D$53=1,AND(B45&gt;OP!$C$24)),"",OP!$C$52)</f>
        <v/>
      </c>
      <c r="AB45" s="113">
        <f ca="1">IF(OR(OP!$D$53=1,$B45=""),"",N($AB44)+N($AA45))</f>
        <v>339780</v>
      </c>
      <c r="AC45" s="113"/>
      <c r="AD45" s="113"/>
      <c r="AE45" s="113"/>
      <c r="AF45" s="113"/>
      <c r="AG45" s="113"/>
      <c r="AH45" s="187" t="e">
        <f ca="1">IF(OR(OP!$D$53=1,$B45=""),"",ROUND(VLOOKUP(OP!$C$55,HL_1,$B45+1,0)*OP!$C$28,0))</f>
        <v>#N/A</v>
      </c>
      <c r="AI45" s="187" t="e">
        <f ca="1">IF(OR(OP!$D$53=1,$B45=""),"",ROUND(VLOOKUP(OP!$C$55,HL_2,$B45+1,0)*OP!$C$28,0))</f>
        <v>#N/A</v>
      </c>
    </row>
    <row r="46" spans="2:35" hidden="1">
      <c r="B46" s="93">
        <f ca="1">IF(OR(C45&gt;=OP!$F$57,C45=""),"",IF(C45+1&gt;OP!$F$57,OP!$F$57+1-$C$4,B45+1))</f>
        <v>43</v>
      </c>
      <c r="C46" s="92">
        <f ca="1">IF(OR(OP!$D$53=1,MAX($C$4:C45)&gt;=OP!$F$57),"",C45+(B46-B45))</f>
        <v>57</v>
      </c>
      <c r="D46" s="113" t="str">
        <f ca="1">IF(OR(OP!$D$53=1,AND($B46&gt;OP!$C$24)),"",OP!$C$52-IF($C46&lt;16,$K45,0))</f>
        <v/>
      </c>
      <c r="E46" s="113">
        <f ca="1">IF(OR(OP!$D$53=1,$B46=""),"",N($E45)+N($D46))</f>
        <v>339780</v>
      </c>
      <c r="F46" s="186" t="str">
        <f ca="1">IF(OR(OP!$D$53=1,$B46="",ISERROR(VLOOKUP(OP!$C$55,SRV,$B46+1,0))),"",ROUND(VLOOKUP(OP!$C$55,SRV,$B46+1,0)*OP!$C$28,0))</f>
        <v/>
      </c>
      <c r="G46" s="186" t="str">
        <f ca="1">IF(OR(OP!$D$53=1,$B46="",ISERROR(VLOOKUP(OP!$C$55,SRV,$B46+1,0))),"",N($G45)+N($F46))</f>
        <v/>
      </c>
      <c r="H46" s="186" t="e">
        <f ca="1">IF(OR(OP!$D$53=1,$B46=""),"",ROUND(VLOOKUP(OP!$C$55,DIE,$B46+1,0)*OP!$C$28,0))</f>
        <v>#N/A</v>
      </c>
      <c r="I46" s="187" t="e">
        <f ca="1">IF(OR(OP!$D$53=1,$B46=""),"",ROUND(VLOOKUP(OP!$C$55,CV,$B46+1,0)*OP!$C$28,0))</f>
        <v>#N/A</v>
      </c>
      <c r="J46" s="187" t="e">
        <f ca="1">IF(OR(OP!$D$53=1,$B46=""),"",ROUND(VLOOKUP(OP!$C$55,PA,$B46+1,0)*OP!$C$28,0))</f>
        <v>#N/A</v>
      </c>
      <c r="K46" s="186"/>
      <c r="L46" s="186"/>
      <c r="M46" s="186"/>
      <c r="N46" s="188"/>
      <c r="O46" s="188"/>
      <c r="P46" s="188"/>
      <c r="Q46" s="188"/>
      <c r="R46" s="188"/>
      <c r="S46" s="188">
        <f ca="1">IF(OR(OP!$D$53=1,$B46=""),"",N($F46)+N($O46))</f>
        <v>0</v>
      </c>
      <c r="T46" s="188">
        <f ca="1">IF(OR(OP!$D$53=1,$B46=""),0,N($T45)+N($S46))</f>
        <v>0</v>
      </c>
      <c r="U46" s="188">
        <f ca="1">IF(OR(OP!$D$53=1,$B46=""),"",ROUND($S46/12,0))</f>
        <v>0</v>
      </c>
      <c r="V46" s="188">
        <f ca="1">IF(OR(OP!$D$53=1,$B46=""),0,N($V45)+(N($U46)*12))</f>
        <v>0</v>
      </c>
      <c r="W46" s="186"/>
      <c r="X46" s="186"/>
      <c r="Y46" s="189" t="e">
        <f ca="1">IF(OR(OP!$D$53=1,$B46=""),"",ROUND(($H46+$Q46)*IF(OR($C46&lt;16,$Z46=0,$Z46=""),1,PYO),0))</f>
        <v>#N/A</v>
      </c>
      <c r="Z46" s="189" t="e">
        <f ca="1">IF(OR(OP!$D$53=1,$B46=""),"",ROUND(($H46+Q46)*IF(OR($C46&lt;16,($H46+$Q46)*PY!$C$4&lt;PY!$D$5,($H46+$Q46)*PY!$C$4*PYR&lt;PY!$C$5),0,PYY)*PYR,0))</f>
        <v>#N/A</v>
      </c>
      <c r="AA46" s="113" t="str">
        <f ca="1">IF(OR(OP!$D$53=1,AND(B46&gt;OP!$C$24)),"",OP!$C$52)</f>
        <v/>
      </c>
      <c r="AB46" s="113">
        <f ca="1">IF(OR(OP!$D$53=1,$B46=""),"",N($AB45)+N($AA46))</f>
        <v>339780</v>
      </c>
      <c r="AC46" s="113"/>
      <c r="AD46" s="113"/>
      <c r="AE46" s="113"/>
      <c r="AF46" s="113"/>
      <c r="AG46" s="113"/>
      <c r="AH46" s="187" t="e">
        <f ca="1">IF(OR(OP!$D$53=1,$B46=""),"",ROUND(VLOOKUP(OP!$C$55,HL_1,$B46+1,0)*OP!$C$28,0))</f>
        <v>#N/A</v>
      </c>
      <c r="AI46" s="187" t="e">
        <f ca="1">IF(OR(OP!$D$53=1,$B46=""),"",ROUND(VLOOKUP(OP!$C$55,HL_2,$B46+1,0)*OP!$C$28,0))</f>
        <v>#N/A</v>
      </c>
    </row>
    <row r="47" spans="2:35" hidden="1">
      <c r="B47" s="93">
        <f ca="1">IF(OR(C46&gt;=OP!$F$57,C46=""),"",IF(C46+1&gt;OP!$F$57,OP!$F$57+1-$C$4,B46+1))</f>
        <v>44</v>
      </c>
      <c r="C47" s="92">
        <f ca="1">IF(OR(OP!$D$53=1,MAX($C$4:C46)&gt;=OP!$F$57),"",C46+(B47-B46))</f>
        <v>58</v>
      </c>
      <c r="D47" s="113" t="str">
        <f ca="1">IF(OR(OP!$D$53=1,AND($B47&gt;OP!$C$24)),"",OP!$C$52-IF($C47&lt;16,$K46,0))</f>
        <v/>
      </c>
      <c r="E47" s="113">
        <f ca="1">IF(OR(OP!$D$53=1,$B47=""),"",N($E46)+N($D47))</f>
        <v>339780</v>
      </c>
      <c r="F47" s="186" t="str">
        <f ca="1">IF(OR(OP!$D$53=1,$B47="",ISERROR(VLOOKUP(OP!$C$55,SRV,$B47+1,0))),"",ROUND(VLOOKUP(OP!$C$55,SRV,$B47+1,0)*OP!$C$28,0))</f>
        <v/>
      </c>
      <c r="G47" s="186" t="str">
        <f ca="1">IF(OR(OP!$D$53=1,$B47="",ISERROR(VLOOKUP(OP!$C$55,SRV,$B47+1,0))),"",N($G46)+N($F47))</f>
        <v/>
      </c>
      <c r="H47" s="186" t="e">
        <f ca="1">IF(OR(OP!$D$53=1,$B47=""),"",ROUND(VLOOKUP(OP!$C$55,DIE,$B47+1,0)*OP!$C$28,0))</f>
        <v>#N/A</v>
      </c>
      <c r="I47" s="187" t="e">
        <f ca="1">IF(OR(OP!$D$53=1,$B47=""),"",ROUND(VLOOKUP(OP!$C$55,CV,$B47+1,0)*OP!$C$28,0))</f>
        <v>#N/A</v>
      </c>
      <c r="J47" s="187" t="e">
        <f ca="1">IF(OR(OP!$D$53=1,$B47=""),"",ROUND(VLOOKUP(OP!$C$55,PA,$B47+1,0)*OP!$C$28,0))</f>
        <v>#N/A</v>
      </c>
      <c r="K47" s="186"/>
      <c r="L47" s="186"/>
      <c r="M47" s="186"/>
      <c r="N47" s="188"/>
      <c r="O47" s="188"/>
      <c r="P47" s="188"/>
      <c r="Q47" s="188"/>
      <c r="R47" s="188"/>
      <c r="S47" s="188">
        <f ca="1">IF(OR(OP!$D$53=1,$B47=""),"",N($F47)+N($O47))</f>
        <v>0</v>
      </c>
      <c r="T47" s="188">
        <f ca="1">IF(OR(OP!$D$53=1,$B47=""),0,N($T46)+N($S47))</f>
        <v>0</v>
      </c>
      <c r="U47" s="188">
        <f ca="1">IF(OR(OP!$D$53=1,$B47=""),"",ROUND($S47/12,0))</f>
        <v>0</v>
      </c>
      <c r="V47" s="188">
        <f ca="1">IF(OR(OP!$D$53=1,$B47=""),0,N($V46)+(N($U47)*12))</f>
        <v>0</v>
      </c>
      <c r="W47" s="186"/>
      <c r="X47" s="186"/>
      <c r="Y47" s="189" t="e">
        <f ca="1">IF(OR(OP!$D$53=1,$B47=""),"",ROUND(($H47+$Q47)*IF(OR($C47&lt;16,$Z47=0,$Z47=""),1,PYO),0))</f>
        <v>#N/A</v>
      </c>
      <c r="Z47" s="189" t="e">
        <f ca="1">IF(OR(OP!$D$53=1,$B47=""),"",ROUND(($H47+Q47)*IF(OR($C47&lt;16,($H47+$Q47)*PY!$C$4&lt;PY!$D$5,($H47+$Q47)*PY!$C$4*PYR&lt;PY!$C$5),0,PYY)*PYR,0))</f>
        <v>#N/A</v>
      </c>
      <c r="AA47" s="113" t="str">
        <f ca="1">IF(OR(OP!$D$53=1,AND(B47&gt;OP!$C$24)),"",OP!$C$52)</f>
        <v/>
      </c>
      <c r="AB47" s="113">
        <f ca="1">IF(OR(OP!$D$53=1,$B47=""),"",N($AB46)+N($AA47))</f>
        <v>339780</v>
      </c>
      <c r="AC47" s="113"/>
      <c r="AD47" s="113"/>
      <c r="AE47" s="113"/>
      <c r="AF47" s="113"/>
      <c r="AG47" s="113"/>
      <c r="AH47" s="187" t="e">
        <f ca="1">IF(OR(OP!$D$53=1,$B47=""),"",ROUND(VLOOKUP(OP!$C$55,HL_1,$B47+1,0)*OP!$C$28,0))</f>
        <v>#N/A</v>
      </c>
      <c r="AI47" s="187" t="e">
        <f ca="1">IF(OR(OP!$D$53=1,$B47=""),"",ROUND(VLOOKUP(OP!$C$55,HL_2,$B47+1,0)*OP!$C$28,0))</f>
        <v>#N/A</v>
      </c>
    </row>
    <row r="48" spans="2:35" hidden="1">
      <c r="B48" s="93">
        <f ca="1">IF(OR(C47&gt;=OP!$F$57,C47=""),"",IF(C47+1&gt;OP!$F$57,OP!$F$57+1-$C$4,B47+1))</f>
        <v>45</v>
      </c>
      <c r="C48" s="92">
        <f ca="1">IF(OR(OP!$D$53=1,MAX($C$4:C47)&gt;=OP!$F$57),"",C47+(B48-B47))</f>
        <v>59</v>
      </c>
      <c r="D48" s="113" t="str">
        <f ca="1">IF(OR(OP!$D$53=1,AND($B48&gt;OP!$C$24)),"",OP!$C$52-IF($C48&lt;16,$K47,0))</f>
        <v/>
      </c>
      <c r="E48" s="113">
        <f ca="1">IF(OR(OP!$D$53=1,$B48=""),"",N($E47)+N($D48))</f>
        <v>339780</v>
      </c>
      <c r="F48" s="186" t="str">
        <f ca="1">IF(OR(OP!$D$53=1,$B48="",ISERROR(VLOOKUP(OP!$C$55,SRV,$B48+1,0))),"",ROUND(VLOOKUP(OP!$C$55,SRV,$B48+1,0)*OP!$C$28,0))</f>
        <v/>
      </c>
      <c r="G48" s="186" t="str">
        <f ca="1">IF(OR(OP!$D$53=1,$B48="",ISERROR(VLOOKUP(OP!$C$55,SRV,$B48+1,0))),"",N($G47)+N($F48))</f>
        <v/>
      </c>
      <c r="H48" s="186" t="e">
        <f ca="1">IF(OR(OP!$D$53=1,$B48=""),"",ROUND(VLOOKUP(OP!$C$55,DIE,$B48+1,0)*OP!$C$28,0))</f>
        <v>#N/A</v>
      </c>
      <c r="I48" s="187" t="e">
        <f ca="1">IF(OR(OP!$D$53=1,$B48=""),"",ROUND(VLOOKUP(OP!$C$55,CV,$B48+1,0)*OP!$C$28,0))</f>
        <v>#N/A</v>
      </c>
      <c r="J48" s="187" t="e">
        <f ca="1">IF(OR(OP!$D$53=1,$B48=""),"",ROUND(VLOOKUP(OP!$C$55,PA,$B48+1,0)*OP!$C$28,0))</f>
        <v>#N/A</v>
      </c>
      <c r="K48" s="186"/>
      <c r="L48" s="186"/>
      <c r="M48" s="186"/>
      <c r="N48" s="188"/>
      <c r="O48" s="188"/>
      <c r="P48" s="188"/>
      <c r="Q48" s="188"/>
      <c r="R48" s="188"/>
      <c r="S48" s="188">
        <f ca="1">IF(OR(OP!$D$53=1,$B48=""),"",N($F48)+N($O48))</f>
        <v>0</v>
      </c>
      <c r="T48" s="188">
        <f ca="1">IF(OR(OP!$D$53=1,$B48=""),0,N($T47)+N($S48))</f>
        <v>0</v>
      </c>
      <c r="U48" s="188">
        <f ca="1">IF(OR(OP!$D$53=1,$B48=""),"",ROUND($S48/12,0))</f>
        <v>0</v>
      </c>
      <c r="V48" s="188">
        <f ca="1">IF(OR(OP!$D$53=1,$B48=""),0,N($V47)+(N($U48)*12))</f>
        <v>0</v>
      </c>
      <c r="W48" s="186"/>
      <c r="X48" s="186"/>
      <c r="Y48" s="189" t="e">
        <f ca="1">IF(OR(OP!$D$53=1,$B48=""),"",ROUND(($H48+$Q48)*IF(OR($C48&lt;16,$Z48=0,$Z48=""),1,PYO),0))</f>
        <v>#N/A</v>
      </c>
      <c r="Z48" s="189" t="e">
        <f ca="1">IF(OR(OP!$D$53=1,$B48=""),"",ROUND(($H48+Q48)*IF(OR($C48&lt;16,($H48+$Q48)*PY!$C$4&lt;PY!$D$5,($H48+$Q48)*PY!$C$4*PYR&lt;PY!$C$5),0,PYY)*PYR,0))</f>
        <v>#N/A</v>
      </c>
      <c r="AA48" s="113" t="str">
        <f ca="1">IF(OR(OP!$D$53=1,AND(B48&gt;OP!$C$24)),"",OP!$C$52)</f>
        <v/>
      </c>
      <c r="AB48" s="113">
        <f ca="1">IF(OR(OP!$D$53=1,$B48=""),"",N($AB47)+N($AA48))</f>
        <v>339780</v>
      </c>
      <c r="AC48" s="113"/>
      <c r="AD48" s="113"/>
      <c r="AE48" s="113"/>
      <c r="AF48" s="113"/>
      <c r="AG48" s="113"/>
      <c r="AH48" s="187" t="e">
        <f ca="1">IF(OR(OP!$D$53=1,$B48=""),"",ROUND(VLOOKUP(OP!$C$55,HL_1,$B48+1,0)*OP!$C$28,0))</f>
        <v>#N/A</v>
      </c>
      <c r="AI48" s="187" t="e">
        <f ca="1">IF(OR(OP!$D$53=1,$B48=""),"",ROUND(VLOOKUP(OP!$C$55,HL_2,$B48+1,0)*OP!$C$28,0))</f>
        <v>#N/A</v>
      </c>
    </row>
    <row r="49" spans="2:35" hidden="1">
      <c r="B49" s="93">
        <f ca="1">IF(OR(C48&gt;=OP!$F$57,C48=""),"",IF(C48+1&gt;OP!$F$57,OP!$F$57+1-$C$4,B48+1))</f>
        <v>46</v>
      </c>
      <c r="C49" s="92">
        <f ca="1">IF(OR(OP!$D$53=1,MAX($C$4:C48)&gt;=OP!$F$57),"",C48+(B49-B48))</f>
        <v>60</v>
      </c>
      <c r="D49" s="113" t="str">
        <f ca="1">IF(OR(OP!$D$53=1,AND($B49&gt;OP!$C$24)),"",OP!$C$52-IF($C49&lt;16,$K48,0))</f>
        <v/>
      </c>
      <c r="E49" s="113">
        <f ca="1">IF(OR(OP!$D$53=1,$B49=""),"",N($E48)+N($D49))</f>
        <v>339780</v>
      </c>
      <c r="F49" s="186" t="str">
        <f ca="1">IF(OR(OP!$D$53=1,$B49="",ISERROR(VLOOKUP(OP!$C$55,SRV,$B49+1,0))),"",ROUND(VLOOKUP(OP!$C$55,SRV,$B49+1,0)*OP!$C$28,0))</f>
        <v/>
      </c>
      <c r="G49" s="186" t="str">
        <f ca="1">IF(OR(OP!$D$53=1,$B49="",ISERROR(VLOOKUP(OP!$C$55,SRV,$B49+1,0))),"",N($G48)+N($F49))</f>
        <v/>
      </c>
      <c r="H49" s="186" t="e">
        <f ca="1">IF(OR(OP!$D$53=1,$B49=""),"",ROUND(VLOOKUP(OP!$C$55,DIE,$B49+1,0)*OP!$C$28,0))</f>
        <v>#N/A</v>
      </c>
      <c r="I49" s="187" t="e">
        <f ca="1">IF(OR(OP!$D$53=1,$B49=""),"",ROUND(VLOOKUP(OP!$C$55,CV,$B49+1,0)*OP!$C$28,0))</f>
        <v>#N/A</v>
      </c>
      <c r="J49" s="187" t="e">
        <f ca="1">IF(OR(OP!$D$53=1,$B49=""),"",ROUND(VLOOKUP(OP!$C$55,PA,$B49+1,0)*OP!$C$28,0))</f>
        <v>#N/A</v>
      </c>
      <c r="K49" s="186"/>
      <c r="L49" s="186"/>
      <c r="M49" s="186"/>
      <c r="N49" s="188"/>
      <c r="O49" s="188"/>
      <c r="P49" s="188"/>
      <c r="Q49" s="188"/>
      <c r="R49" s="188"/>
      <c r="S49" s="188">
        <f ca="1">IF(OR(OP!$D$53=1,$B49=""),"",N($F49)+N($O49))</f>
        <v>0</v>
      </c>
      <c r="T49" s="188">
        <f ca="1">IF(OR(OP!$D$53=1,$B49=""),0,N($T48)+N($S49))</f>
        <v>0</v>
      </c>
      <c r="U49" s="188">
        <f ca="1">IF(OR(OP!$D$53=1,$B49=""),"",ROUND($S49/12,0))</f>
        <v>0</v>
      </c>
      <c r="V49" s="188">
        <f ca="1">IF(OR(OP!$D$53=1,$B49=""),0,N($V48)+(N($U49)*12))</f>
        <v>0</v>
      </c>
      <c r="W49" s="186"/>
      <c r="X49" s="186"/>
      <c r="Y49" s="189" t="e">
        <f ca="1">IF(OR(OP!$D$53=1,$B49=""),"",ROUND(($H49+$Q49)*IF(OR($C49&lt;16,$Z49=0,$Z49=""),1,PYO),0))</f>
        <v>#N/A</v>
      </c>
      <c r="Z49" s="189" t="e">
        <f ca="1">IF(OR(OP!$D$53=1,$B49=""),"",ROUND(($H49+Q49)*IF(OR($C49&lt;16,($H49+$Q49)*PY!$C$4&lt;PY!$D$5,($H49+$Q49)*PY!$C$4*PYR&lt;PY!$C$5),0,PYY)*PYR,0))</f>
        <v>#N/A</v>
      </c>
      <c r="AA49" s="113" t="str">
        <f ca="1">IF(OR(OP!$D$53=1,AND(B49&gt;OP!$C$24)),"",OP!$C$52)</f>
        <v/>
      </c>
      <c r="AB49" s="113">
        <f ca="1">IF(OR(OP!$D$53=1,$B49=""),"",N($AB48)+N($AA49))</f>
        <v>339780</v>
      </c>
      <c r="AC49" s="113"/>
      <c r="AD49" s="113"/>
      <c r="AE49" s="113"/>
      <c r="AF49" s="113"/>
      <c r="AG49" s="113"/>
      <c r="AH49" s="187" t="e">
        <f ca="1">IF(OR(OP!$D$53=1,$B49=""),"",ROUND(VLOOKUP(OP!$C$55,HL_1,$B49+1,0)*OP!$C$28,0))</f>
        <v>#N/A</v>
      </c>
      <c r="AI49" s="187" t="e">
        <f ca="1">IF(OR(OP!$D$53=1,$B49=""),"",ROUND(VLOOKUP(OP!$C$55,HL_2,$B49+1,0)*OP!$C$28,0))</f>
        <v>#N/A</v>
      </c>
    </row>
    <row r="50" spans="2:35" hidden="1">
      <c r="B50" s="93">
        <f ca="1">IF(OR(C49&gt;=OP!$F$57,C49=""),"",IF(C49+1&gt;OP!$F$57,OP!$F$57+1-$C$4,B49+1))</f>
        <v>47</v>
      </c>
      <c r="C50" s="92">
        <f ca="1">IF(OR(OP!$D$53=1,MAX($C$4:C49)&gt;=OP!$F$57),"",C49+(B50-B49))</f>
        <v>61</v>
      </c>
      <c r="D50" s="113" t="str">
        <f ca="1">IF(OR(OP!$D$53=1,AND($B50&gt;OP!$C$24)),"",OP!$C$52-IF($C50&lt;16,$K49,0))</f>
        <v/>
      </c>
      <c r="E50" s="113">
        <f ca="1">IF(OR(OP!$D$53=1,$B50=""),"",N($E49)+N($D50))</f>
        <v>339780</v>
      </c>
      <c r="F50" s="186" t="str">
        <f ca="1">IF(OR(OP!$D$53=1,$B50="",ISERROR(VLOOKUP(OP!$C$55,SRV,$B50+1,0))),"",ROUND(VLOOKUP(OP!$C$55,SRV,$B50+1,0)*OP!$C$28,0))</f>
        <v/>
      </c>
      <c r="G50" s="186" t="str">
        <f ca="1">IF(OR(OP!$D$53=1,$B50="",ISERROR(VLOOKUP(OP!$C$55,SRV,$B50+1,0))),"",N($G49)+N($F50))</f>
        <v/>
      </c>
      <c r="H50" s="186" t="e">
        <f ca="1">IF(OR(OP!$D$53=1,$B50=""),"",ROUND(VLOOKUP(OP!$C$55,DIE,$B50+1,0)*OP!$C$28,0))</f>
        <v>#N/A</v>
      </c>
      <c r="I50" s="187" t="e">
        <f ca="1">IF(OR(OP!$D$53=1,$B50=""),"",ROUND(VLOOKUP(OP!$C$55,CV,$B50+1,0)*OP!$C$28,0))</f>
        <v>#N/A</v>
      </c>
      <c r="J50" s="187" t="e">
        <f ca="1">IF(OR(OP!$D$53=1,$B50=""),"",ROUND(VLOOKUP(OP!$C$55,PA,$B50+1,0)*OP!$C$28,0))</f>
        <v>#N/A</v>
      </c>
      <c r="K50" s="186"/>
      <c r="L50" s="186"/>
      <c r="M50" s="186"/>
      <c r="N50" s="188"/>
      <c r="O50" s="188"/>
      <c r="P50" s="188"/>
      <c r="Q50" s="188"/>
      <c r="R50" s="188"/>
      <c r="S50" s="188">
        <f ca="1">IF(OR(OP!$D$53=1,$B50=""),"",N($F50)+N($O50))</f>
        <v>0</v>
      </c>
      <c r="T50" s="188">
        <f ca="1">IF(OR(OP!$D$53=1,$B50=""),0,N($T49)+N($S50))</f>
        <v>0</v>
      </c>
      <c r="U50" s="188">
        <f ca="1">IF(OR(OP!$D$53=1,$B50=""),"",ROUND($S50/12,0))</f>
        <v>0</v>
      </c>
      <c r="V50" s="188">
        <f ca="1">IF(OR(OP!$D$53=1,$B50=""),0,N($V49)+(N($U50)*12))</f>
        <v>0</v>
      </c>
      <c r="W50" s="186"/>
      <c r="X50" s="186"/>
      <c r="Y50" s="189" t="e">
        <f ca="1">IF(OR(OP!$D$53=1,$B50=""),"",ROUND(($H50+$Q50)*IF(OR($C50&lt;16,$Z50=0,$Z50=""),1,PYO),0))</f>
        <v>#N/A</v>
      </c>
      <c r="Z50" s="189" t="e">
        <f ca="1">IF(OR(OP!$D$53=1,$B50=""),"",ROUND(($H50+Q50)*IF(OR($C50&lt;16,($H50+$Q50)*PY!$C$4&lt;PY!$D$5,($H50+$Q50)*PY!$C$4*PYR&lt;PY!$C$5),0,PYY)*PYR,0))</f>
        <v>#N/A</v>
      </c>
      <c r="AA50" s="113" t="str">
        <f ca="1">IF(OR(OP!$D$53=1,AND(B50&gt;OP!$C$24)),"",OP!$C$52)</f>
        <v/>
      </c>
      <c r="AB50" s="113">
        <f ca="1">IF(OR(OP!$D$53=1,$B50=""),"",N($AB49)+N($AA50))</f>
        <v>339780</v>
      </c>
      <c r="AC50" s="113"/>
      <c r="AD50" s="113"/>
      <c r="AE50" s="113"/>
      <c r="AF50" s="113"/>
      <c r="AG50" s="113"/>
      <c r="AH50" s="187" t="e">
        <f ca="1">IF(OR(OP!$D$53=1,$B50=""),"",ROUND(VLOOKUP(OP!$C$55,HL_1,$B50+1,0)*OP!$C$28,0))</f>
        <v>#N/A</v>
      </c>
      <c r="AI50" s="187" t="e">
        <f ca="1">IF(OR(OP!$D$53=1,$B50=""),"",ROUND(VLOOKUP(OP!$C$55,HL_2,$B50+1,0)*OP!$C$28,0))</f>
        <v>#N/A</v>
      </c>
    </row>
    <row r="51" spans="2:35" hidden="1">
      <c r="B51" s="93">
        <f ca="1">IF(OR(C50&gt;=OP!$F$57,C50=""),"",IF(C50+1&gt;OP!$F$57,OP!$F$57+1-$C$4,B50+1))</f>
        <v>48</v>
      </c>
      <c r="C51" s="92">
        <f ca="1">IF(OR(OP!$D$53=1,MAX($C$4:C50)&gt;=OP!$F$57),"",C50+(B51-B50))</f>
        <v>62</v>
      </c>
      <c r="D51" s="113" t="str">
        <f ca="1">IF(OR(OP!$D$53=1,AND($B51&gt;OP!$C$24)),"",OP!$C$52-IF($C51&lt;16,$K50,0))</f>
        <v/>
      </c>
      <c r="E51" s="113">
        <f ca="1">IF(OR(OP!$D$53=1,$B51=""),"",N($E50)+N($D51))</f>
        <v>339780</v>
      </c>
      <c r="F51" s="186" t="str">
        <f ca="1">IF(OR(OP!$D$53=1,$B51="",ISERROR(VLOOKUP(OP!$C$55,SRV,$B51+1,0))),"",ROUND(VLOOKUP(OP!$C$55,SRV,$B51+1,0)*OP!$C$28,0))</f>
        <v/>
      </c>
      <c r="G51" s="186" t="str">
        <f ca="1">IF(OR(OP!$D$53=1,$B51="",ISERROR(VLOOKUP(OP!$C$55,SRV,$B51+1,0))),"",N($G50)+N($F51))</f>
        <v/>
      </c>
      <c r="H51" s="186" t="e">
        <f ca="1">IF(OR(OP!$D$53=1,$B51=""),"",ROUND(VLOOKUP(OP!$C$55,DIE,$B51+1,0)*OP!$C$28,0))</f>
        <v>#N/A</v>
      </c>
      <c r="I51" s="187" t="e">
        <f ca="1">IF(OR(OP!$D$53=1,$B51=""),"",ROUND(VLOOKUP(OP!$C$55,CV,$B51+1,0)*OP!$C$28,0))</f>
        <v>#N/A</v>
      </c>
      <c r="J51" s="187" t="e">
        <f ca="1">IF(OR(OP!$D$53=1,$B51=""),"",ROUND(VLOOKUP(OP!$C$55,PA,$B51+1,0)*OP!$C$28,0))</f>
        <v>#N/A</v>
      </c>
      <c r="K51" s="186"/>
      <c r="L51" s="186"/>
      <c r="M51" s="186"/>
      <c r="N51" s="188"/>
      <c r="O51" s="188"/>
      <c r="P51" s="188"/>
      <c r="Q51" s="188"/>
      <c r="R51" s="188"/>
      <c r="S51" s="188">
        <f ca="1">IF(OR(OP!$D$53=1,$B51=""),"",N($F51)+N($O51))</f>
        <v>0</v>
      </c>
      <c r="T51" s="188">
        <f ca="1">IF(OR(OP!$D$53=1,$B51=""),0,N($T50)+N($S51))</f>
        <v>0</v>
      </c>
      <c r="U51" s="188">
        <f ca="1">IF(OR(OP!$D$53=1,$B51=""),"",ROUND($S51/12,0))</f>
        <v>0</v>
      </c>
      <c r="V51" s="188">
        <f ca="1">IF(OR(OP!$D$53=1,$B51=""),0,N($V50)+(N($U51)*12))</f>
        <v>0</v>
      </c>
      <c r="W51" s="186"/>
      <c r="X51" s="186"/>
      <c r="Y51" s="189" t="e">
        <f ca="1">IF(OR(OP!$D$53=1,$B51=""),"",ROUND(($H51+$Q51)*IF(OR($C51&lt;16,$Z51=0,$Z51=""),1,PYO),0))</f>
        <v>#N/A</v>
      </c>
      <c r="Z51" s="189" t="e">
        <f ca="1">IF(OR(OP!$D$53=1,$B51=""),"",ROUND(($H51+Q51)*IF(OR($C51&lt;16,($H51+$Q51)*PY!$C$4&lt;PY!$D$5,($H51+$Q51)*PY!$C$4*PYR&lt;PY!$C$5),0,PYY)*PYR,0))</f>
        <v>#N/A</v>
      </c>
      <c r="AA51" s="113" t="str">
        <f ca="1">IF(OR(OP!$D$53=1,AND(B51&gt;OP!$C$24)),"",OP!$C$52)</f>
        <v/>
      </c>
      <c r="AB51" s="113">
        <f ca="1">IF(OR(OP!$D$53=1,$B51=""),"",N($AB50)+N($AA51))</f>
        <v>339780</v>
      </c>
      <c r="AC51" s="113"/>
      <c r="AD51" s="113"/>
      <c r="AE51" s="113"/>
      <c r="AF51" s="113"/>
      <c r="AG51" s="113"/>
      <c r="AH51" s="187" t="e">
        <f ca="1">IF(OR(OP!$D$53=1,$B51=""),"",ROUND(VLOOKUP(OP!$C$55,HL_1,$B51+1,0)*OP!$C$28,0))</f>
        <v>#N/A</v>
      </c>
      <c r="AI51" s="187" t="e">
        <f ca="1">IF(OR(OP!$D$53=1,$B51=""),"",ROUND(VLOOKUP(OP!$C$55,HL_2,$B51+1,0)*OP!$C$28,0))</f>
        <v>#N/A</v>
      </c>
    </row>
    <row r="52" spans="2:35" hidden="1">
      <c r="B52" s="93">
        <f ca="1">IF(OR(C51&gt;=OP!$F$57,C51=""),"",IF(C51+1&gt;OP!$F$57,OP!$F$57+1-$C$4,B51+1))</f>
        <v>49</v>
      </c>
      <c r="C52" s="92">
        <f ca="1">IF(OR(OP!$D$53=1,MAX($C$4:C51)&gt;=OP!$F$57),"",C51+(B52-B51))</f>
        <v>63</v>
      </c>
      <c r="D52" s="113" t="str">
        <f ca="1">IF(OR(OP!$D$53=1,AND($B52&gt;OP!$C$24)),"",OP!$C$52-IF($C52&lt;16,$K51,0))</f>
        <v/>
      </c>
      <c r="E52" s="113">
        <f ca="1">IF(OR(OP!$D$53=1,$B52=""),"",N($E51)+N($D52))</f>
        <v>339780</v>
      </c>
      <c r="F52" s="186" t="str">
        <f ca="1">IF(OR(OP!$D$53=1,$B52="",ISERROR(VLOOKUP(OP!$C$55,SRV,$B52+1,0))),"",ROUND(VLOOKUP(OP!$C$55,SRV,$B52+1,0)*OP!$C$28,0))</f>
        <v/>
      </c>
      <c r="G52" s="186" t="str">
        <f ca="1">IF(OR(OP!$D$53=1,$B52="",ISERROR(VLOOKUP(OP!$C$55,SRV,$B52+1,0))),"",N($G51)+N($F52))</f>
        <v/>
      </c>
      <c r="H52" s="186" t="e">
        <f ca="1">IF(OR(OP!$D$53=1,$B52=""),"",ROUND(VLOOKUP(OP!$C$55,DIE,$B52+1,0)*OP!$C$28,0))</f>
        <v>#N/A</v>
      </c>
      <c r="I52" s="187" t="e">
        <f ca="1">IF(OR(OP!$D$53=1,$B52=""),"",ROUND(VLOOKUP(OP!$C$55,CV,$B52+1,0)*OP!$C$28,0))</f>
        <v>#N/A</v>
      </c>
      <c r="J52" s="187" t="e">
        <f ca="1">IF(OR(OP!$D$53=1,$B52=""),"",ROUND(VLOOKUP(OP!$C$55,PA,$B52+1,0)*OP!$C$28,0))</f>
        <v>#N/A</v>
      </c>
      <c r="K52" s="186"/>
      <c r="L52" s="186"/>
      <c r="M52" s="186"/>
      <c r="N52" s="188"/>
      <c r="O52" s="188"/>
      <c r="P52" s="188"/>
      <c r="Q52" s="188"/>
      <c r="R52" s="188"/>
      <c r="S52" s="188">
        <f ca="1">IF(OR(OP!$D$53=1,$B52=""),"",N($F52)+N($O52))</f>
        <v>0</v>
      </c>
      <c r="T52" s="188">
        <f ca="1">IF(OR(OP!$D$53=1,$B52=""),0,N($T51)+N($S52))</f>
        <v>0</v>
      </c>
      <c r="U52" s="188">
        <f ca="1">IF(OR(OP!$D$53=1,$B52=""),"",ROUND($S52/12,0))</f>
        <v>0</v>
      </c>
      <c r="V52" s="188">
        <f ca="1">IF(OR(OP!$D$53=1,$B52=""),0,N($V51)+(N($U52)*12))</f>
        <v>0</v>
      </c>
      <c r="W52" s="186"/>
      <c r="X52" s="186"/>
      <c r="Y52" s="189" t="e">
        <f ca="1">IF(OR(OP!$D$53=1,$B52=""),"",ROUND(($H52+$Q52)*IF(OR($C52&lt;16,$Z52=0,$Z52=""),1,PYO),0))</f>
        <v>#N/A</v>
      </c>
      <c r="Z52" s="189" t="e">
        <f ca="1">IF(OR(OP!$D$53=1,$B52=""),"",ROUND(($H52+Q52)*IF(OR($C52&lt;16,($H52+$Q52)*PY!$C$4&lt;PY!$D$5,($H52+$Q52)*PY!$C$4*PYR&lt;PY!$C$5),0,PYY)*PYR,0))</f>
        <v>#N/A</v>
      </c>
      <c r="AA52" s="113" t="str">
        <f ca="1">IF(OR(OP!$D$53=1,AND(B52&gt;OP!$C$24)),"",OP!$C$52)</f>
        <v/>
      </c>
      <c r="AB52" s="113">
        <f ca="1">IF(OR(OP!$D$53=1,$B52=""),"",N($AB51)+N($AA52))</f>
        <v>339780</v>
      </c>
      <c r="AC52" s="113"/>
      <c r="AD52" s="113"/>
      <c r="AE52" s="113"/>
      <c r="AF52" s="113"/>
      <c r="AG52" s="113"/>
      <c r="AH52" s="187" t="e">
        <f ca="1">IF(OR(OP!$D$53=1,$B52=""),"",ROUND(VLOOKUP(OP!$C$55,HL_1,$B52+1,0)*OP!$C$28,0))</f>
        <v>#N/A</v>
      </c>
      <c r="AI52" s="187" t="e">
        <f ca="1">IF(OR(OP!$D$53=1,$B52=""),"",ROUND(VLOOKUP(OP!$C$55,HL_2,$B52+1,0)*OP!$C$28,0))</f>
        <v>#N/A</v>
      </c>
    </row>
    <row r="53" spans="2:35" hidden="1">
      <c r="B53" s="93">
        <f ca="1">IF(OR(C52&gt;=OP!$F$57,C52=""),"",IF(C52+1&gt;OP!$F$57,OP!$F$57+1-$C$4,B52+1))</f>
        <v>50</v>
      </c>
      <c r="C53" s="92">
        <f ca="1">IF(OR(OP!$D$53=1,MAX($C$4:C52)&gt;=OP!$F$57),"",C52+(B53-B52))</f>
        <v>64</v>
      </c>
      <c r="D53" s="113" t="str">
        <f ca="1">IF(OR(OP!$D$53=1,AND($B53&gt;OP!$C$24)),"",OP!$C$52-IF($C53&lt;16,$K52,0))</f>
        <v/>
      </c>
      <c r="E53" s="113">
        <f ca="1">IF(OR(OP!$D$53=1,$B53=""),"",N($E52)+N($D53))</f>
        <v>339780</v>
      </c>
      <c r="F53" s="186" t="str">
        <f ca="1">IF(OR(OP!$D$53=1,$B53="",ISERROR(VLOOKUP(OP!$C$55,SRV,$B53+1,0))),"",ROUND(VLOOKUP(OP!$C$55,SRV,$B53+1,0)*OP!$C$28,0))</f>
        <v/>
      </c>
      <c r="G53" s="186" t="str">
        <f ca="1">IF(OR(OP!$D$53=1,$B53="",ISERROR(VLOOKUP(OP!$C$55,SRV,$B53+1,0))),"",N($G52)+N($F53))</f>
        <v/>
      </c>
      <c r="H53" s="186" t="e">
        <f ca="1">IF(OR(OP!$D$53=1,$B53=""),"",ROUND(VLOOKUP(OP!$C$55,DIE,$B53+1,0)*OP!$C$28,0))</f>
        <v>#N/A</v>
      </c>
      <c r="I53" s="187" t="e">
        <f ca="1">IF(OR(OP!$D$53=1,$B53=""),"",ROUND(VLOOKUP(OP!$C$55,CV,$B53+1,0)*OP!$C$28,0))</f>
        <v>#N/A</v>
      </c>
      <c r="J53" s="187" t="e">
        <f ca="1">IF(OR(OP!$D$53=1,$B53=""),"",ROUND(VLOOKUP(OP!$C$55,PA,$B53+1,0)*OP!$C$28,0))</f>
        <v>#N/A</v>
      </c>
      <c r="K53" s="186"/>
      <c r="L53" s="186"/>
      <c r="M53" s="186"/>
      <c r="N53" s="188"/>
      <c r="O53" s="188"/>
      <c r="P53" s="188"/>
      <c r="Q53" s="188"/>
      <c r="R53" s="188"/>
      <c r="S53" s="188">
        <f ca="1">IF(OR(OP!$D$53=1,$B53=""),"",N($F53)+N($O53))</f>
        <v>0</v>
      </c>
      <c r="T53" s="188">
        <f ca="1">IF(OR(OP!$D$53=1,$B53=""),0,N($T52)+N($S53))</f>
        <v>0</v>
      </c>
      <c r="U53" s="188">
        <f ca="1">IF(OR(OP!$D$53=1,$B53=""),"",ROUND($S53/12,0))</f>
        <v>0</v>
      </c>
      <c r="V53" s="188">
        <f ca="1">IF(OR(OP!$D$53=1,$B53=""),0,N($V52)+(N($U53)*12))</f>
        <v>0</v>
      </c>
      <c r="W53" s="186"/>
      <c r="X53" s="186"/>
      <c r="Y53" s="189" t="e">
        <f ca="1">IF(OR(OP!$D$53=1,$B53=""),"",ROUND(($H53+$Q53)*IF(OR($C53&lt;16,$Z53=0,$Z53=""),1,PYO),0))</f>
        <v>#N/A</v>
      </c>
      <c r="Z53" s="189" t="e">
        <f ca="1">IF(OR(OP!$D$53=1,$B53=""),"",ROUND(($H53+Q53)*IF(OR($C53&lt;16,($H53+$Q53)*PY!$C$4&lt;PY!$D$5,($H53+$Q53)*PY!$C$4*PYR&lt;PY!$C$5),0,PYY)*PYR,0))</f>
        <v>#N/A</v>
      </c>
      <c r="AA53" s="113" t="str">
        <f ca="1">IF(OR(OP!$D$53=1,AND(B53&gt;OP!$C$24)),"",OP!$C$52)</f>
        <v/>
      </c>
      <c r="AB53" s="113">
        <f ca="1">IF(OR(OP!$D$53=1,$B53=""),"",N($AB52)+N($AA53))</f>
        <v>339780</v>
      </c>
      <c r="AC53" s="113"/>
      <c r="AD53" s="113"/>
      <c r="AE53" s="113"/>
      <c r="AF53" s="113"/>
      <c r="AG53" s="113"/>
      <c r="AH53" s="187" t="e">
        <f ca="1">IF(OR(OP!$D$53=1,$B53=""),"",ROUND(VLOOKUP(OP!$C$55,HL_1,$B53+1,0)*OP!$C$28,0))</f>
        <v>#N/A</v>
      </c>
      <c r="AI53" s="187" t="e">
        <f ca="1">IF(OR(OP!$D$53=1,$B53=""),"",ROUND(VLOOKUP(OP!$C$55,HL_2,$B53+1,0)*OP!$C$28,0))</f>
        <v>#N/A</v>
      </c>
    </row>
    <row r="54" spans="2:35" hidden="1">
      <c r="B54" s="93">
        <f ca="1">IF(OR(C53&gt;=OP!$F$57,C53=""),"",IF(C53+1&gt;OP!$F$57,OP!$F$57+1-$C$4,B53+1))</f>
        <v>51</v>
      </c>
      <c r="C54" s="92">
        <f ca="1">IF(OR(OP!$D$53=1,MAX($C$4:C53)&gt;=OP!$F$57),"",C53+(B54-B53))</f>
        <v>65</v>
      </c>
      <c r="D54" s="113" t="str">
        <f ca="1">IF(OR(OP!$D$53=1,AND($B54&gt;OP!$C$24)),"",OP!$C$52-IF($C54&lt;16,$K53,0))</f>
        <v/>
      </c>
      <c r="E54" s="113">
        <f ca="1">IF(OR(OP!$D$53=1,$B54=""),"",N($E53)+N($D54))</f>
        <v>339780</v>
      </c>
      <c r="F54" s="186" t="str">
        <f ca="1">IF(OR(OP!$D$53=1,$B54="",ISERROR(VLOOKUP(OP!$C$55,SRV,$B54+1,0))),"",ROUND(VLOOKUP(OP!$C$55,SRV,$B54+1,0)*OP!$C$28,0))</f>
        <v/>
      </c>
      <c r="G54" s="186" t="str">
        <f ca="1">IF(OR(OP!$D$53=1,$B54="",ISERROR(VLOOKUP(OP!$C$55,SRV,$B54+1,0))),"",N($G53)+N($F54))</f>
        <v/>
      </c>
      <c r="H54" s="186" t="e">
        <f ca="1">IF(OR(OP!$D$53=1,$B54=""),"",ROUND(VLOOKUP(OP!$C$55,DIE,$B54+1,0)*OP!$C$28,0))</f>
        <v>#N/A</v>
      </c>
      <c r="I54" s="187" t="e">
        <f ca="1">IF(OR(OP!$D$53=1,$B54=""),"",ROUND(VLOOKUP(OP!$C$55,CV,$B54+1,0)*OP!$C$28,0))</f>
        <v>#N/A</v>
      </c>
      <c r="J54" s="187" t="e">
        <f ca="1">IF(OR(OP!$D$53=1,$B54=""),"",ROUND(VLOOKUP(OP!$C$55,PA,$B54+1,0)*OP!$C$28,0))</f>
        <v>#N/A</v>
      </c>
      <c r="K54" s="186"/>
      <c r="L54" s="186"/>
      <c r="M54" s="186"/>
      <c r="N54" s="188"/>
      <c r="O54" s="188"/>
      <c r="P54" s="188"/>
      <c r="Q54" s="188"/>
      <c r="R54" s="188"/>
      <c r="S54" s="188">
        <f ca="1">IF(OR(OP!$D$53=1,$B54=""),"",N($F54)+N($O54))</f>
        <v>0</v>
      </c>
      <c r="T54" s="188">
        <f ca="1">IF(OR(OP!$D$53=1,$B54=""),0,N($T53)+N($S54))</f>
        <v>0</v>
      </c>
      <c r="U54" s="188">
        <f ca="1">IF(OR(OP!$D$53=1,$B54=""),"",ROUND($S54/12,0))</f>
        <v>0</v>
      </c>
      <c r="V54" s="188">
        <f ca="1">IF(OR(OP!$D$53=1,$B54=""),0,N($V53)+(N($U54)*12))</f>
        <v>0</v>
      </c>
      <c r="W54" s="186"/>
      <c r="X54" s="186"/>
      <c r="Y54" s="189" t="e">
        <f ca="1">IF(OR(OP!$D$53=1,$B54=""),"",ROUND(($H54+$Q54)*IF(OR($C54&lt;16,$Z54=0,$Z54=""),1,PYO),0))</f>
        <v>#N/A</v>
      </c>
      <c r="Z54" s="189" t="e">
        <f ca="1">IF(OR(OP!$D$53=1,$B54=""),"",ROUND(($H54+Q54)*IF(OR($C54&lt;16,($H54+$Q54)*PY!$C$4&lt;PY!$D$5,($H54+$Q54)*PY!$C$4*PYR&lt;PY!$C$5),0,PYY)*PYR,0))</f>
        <v>#N/A</v>
      </c>
      <c r="AA54" s="113" t="str">
        <f ca="1">IF(OR(OP!$D$53=1,AND(B54&gt;OP!$C$24)),"",OP!$C$52)</f>
        <v/>
      </c>
      <c r="AB54" s="113">
        <f ca="1">IF(OR(OP!$D$53=1,$B54=""),"",N($AB53)+N($AA54))</f>
        <v>339780</v>
      </c>
      <c r="AC54" s="113"/>
      <c r="AD54" s="113"/>
      <c r="AE54" s="113"/>
      <c r="AF54" s="113"/>
      <c r="AG54" s="113"/>
      <c r="AH54" s="187" t="e">
        <f ca="1">IF(OR(OP!$D$53=1,$B54=""),"",ROUND(VLOOKUP(OP!$C$55,HL_1,$B54+1,0)*OP!$C$28,0))</f>
        <v>#N/A</v>
      </c>
      <c r="AI54" s="187" t="e">
        <f ca="1">IF(OR(OP!$D$53=1,$B54=""),"",ROUND(VLOOKUP(OP!$C$55,HL_2,$B54+1,0)*OP!$C$28,0))</f>
        <v>#N/A</v>
      </c>
    </row>
    <row r="55" spans="2:35" hidden="1">
      <c r="B55" s="93">
        <f ca="1">IF(OR(C54&gt;=OP!$F$57,C54=""),"",IF(C54+1&gt;OP!$F$57,OP!$F$57+1-$C$4,B54+1))</f>
        <v>52</v>
      </c>
      <c r="C55" s="92">
        <f ca="1">IF(OR(OP!$D$53=1,MAX($C$4:C54)&gt;=OP!$F$57),"",C54+(B55-B54))</f>
        <v>66</v>
      </c>
      <c r="D55" s="113" t="str">
        <f ca="1">IF(OR(OP!$D$53=1,AND($B55&gt;OP!$C$24)),"",OP!$C$52-IF($C55&lt;16,$K54,0))</f>
        <v/>
      </c>
      <c r="E55" s="113">
        <f ca="1">IF(OR(OP!$D$53=1,$B55=""),"",N($E54)+N($D55))</f>
        <v>339780</v>
      </c>
      <c r="F55" s="186" t="str">
        <f ca="1">IF(OR(OP!$D$53=1,$B55="",ISERROR(VLOOKUP(OP!$C$55,SRV,$B55+1,0))),"",ROUND(VLOOKUP(OP!$C$55,SRV,$B55+1,0)*OP!$C$28,0))</f>
        <v/>
      </c>
      <c r="G55" s="186" t="str">
        <f ca="1">IF(OR(OP!$D$53=1,$B55="",ISERROR(VLOOKUP(OP!$C$55,SRV,$B55+1,0))),"",N($G54)+N($F55))</f>
        <v/>
      </c>
      <c r="H55" s="186" t="e">
        <f ca="1">IF(OR(OP!$D$53=1,$B55=""),"",ROUND(VLOOKUP(OP!$C$55,DIE,$B55+1,0)*OP!$C$28,0))</f>
        <v>#N/A</v>
      </c>
      <c r="I55" s="187" t="e">
        <f ca="1">IF(OR(OP!$D$53=1,$B55=""),"",ROUND(VLOOKUP(OP!$C$55,CV,$B55+1,0)*OP!$C$28,0))</f>
        <v>#N/A</v>
      </c>
      <c r="J55" s="187" t="e">
        <f ca="1">IF(OR(OP!$D$53=1,$B55=""),"",ROUND(VLOOKUP(OP!$C$55,PA,$B55+1,0)*OP!$C$28,0))</f>
        <v>#N/A</v>
      </c>
      <c r="K55" s="186"/>
      <c r="L55" s="186"/>
      <c r="M55" s="186"/>
      <c r="N55" s="188"/>
      <c r="O55" s="188"/>
      <c r="P55" s="188"/>
      <c r="Q55" s="188"/>
      <c r="R55" s="188"/>
      <c r="S55" s="188">
        <f ca="1">IF(OR(OP!$D$53=1,$B55=""),"",N($F55)+N($O55))</f>
        <v>0</v>
      </c>
      <c r="T55" s="188">
        <f ca="1">IF(OR(OP!$D$53=1,$B55=""),0,N($T54)+N($S55))</f>
        <v>0</v>
      </c>
      <c r="U55" s="188">
        <f ca="1">IF(OR(OP!$D$53=1,$B55=""),"",ROUND($S55/12,0))</f>
        <v>0</v>
      </c>
      <c r="V55" s="188">
        <f ca="1">IF(OR(OP!$D$53=1,$B55=""),0,N($V54)+(N($U55)*12))</f>
        <v>0</v>
      </c>
      <c r="W55" s="186"/>
      <c r="X55" s="186"/>
      <c r="Y55" s="189" t="e">
        <f ca="1">IF(OR(OP!$D$53=1,$B55=""),"",ROUND(($H55+$Q55)*IF(OR($C55&lt;16,$Z55=0,$Z55=""),1,PYO),0))</f>
        <v>#N/A</v>
      </c>
      <c r="Z55" s="189" t="e">
        <f ca="1">IF(OR(OP!$D$53=1,$B55=""),"",ROUND(($H55+Q55)*IF(OR($C55&lt;16,($H55+$Q55)*PY!$C$4&lt;PY!$D$5,($H55+$Q55)*PY!$C$4*PYR&lt;PY!$C$5),0,PYY)*PYR,0))</f>
        <v>#N/A</v>
      </c>
      <c r="AA55" s="113" t="str">
        <f ca="1">IF(OR(OP!$D$53=1,AND(B55&gt;OP!$C$24)),"",OP!$C$52)</f>
        <v/>
      </c>
      <c r="AB55" s="113">
        <f ca="1">IF(OR(OP!$D$53=1,$B55=""),"",N($AB54)+N($AA55))</f>
        <v>339780</v>
      </c>
      <c r="AC55" s="113"/>
      <c r="AD55" s="113"/>
      <c r="AE55" s="113"/>
      <c r="AF55" s="113"/>
      <c r="AG55" s="113"/>
      <c r="AH55" s="187" t="e">
        <f ca="1">IF(OR(OP!$D$53=1,$B55=""),"",ROUND(VLOOKUP(OP!$C$55,HL_1,$B55+1,0)*OP!$C$28,0))</f>
        <v>#N/A</v>
      </c>
      <c r="AI55" s="187" t="e">
        <f ca="1">IF(OR(OP!$D$53=1,$B55=""),"",ROUND(VLOOKUP(OP!$C$55,HL_2,$B55+1,0)*OP!$C$28,0))</f>
        <v>#N/A</v>
      </c>
    </row>
    <row r="56" spans="2:35" hidden="1">
      <c r="B56" s="93">
        <f ca="1">IF(OR(C55&gt;=OP!$F$57,C55=""),"",IF(C55+1&gt;OP!$F$57,OP!$F$57+1-$C$4,B55+1))</f>
        <v>53</v>
      </c>
      <c r="C56" s="92">
        <f ca="1">IF(OR(OP!$D$53=1,MAX($C$4:C55)&gt;=OP!$F$57),"",C55+(B56-B55))</f>
        <v>67</v>
      </c>
      <c r="D56" s="113" t="str">
        <f ca="1">IF(OR(OP!$D$53=1,AND($B56&gt;OP!$C$24)),"",OP!$C$52-IF($C56&lt;16,$K55,0))</f>
        <v/>
      </c>
      <c r="E56" s="113">
        <f ca="1">IF(OR(OP!$D$53=1,$B56=""),"",N($E55)+N($D56))</f>
        <v>339780</v>
      </c>
      <c r="F56" s="186" t="str">
        <f ca="1">IF(OR(OP!$D$53=1,$B56="",ISERROR(VLOOKUP(OP!$C$55,SRV,$B56+1,0))),"",ROUND(VLOOKUP(OP!$C$55,SRV,$B56+1,0)*OP!$C$28,0))</f>
        <v/>
      </c>
      <c r="G56" s="186" t="str">
        <f ca="1">IF(OR(OP!$D$53=1,$B56="",ISERROR(VLOOKUP(OP!$C$55,SRV,$B56+1,0))),"",N($G55)+N($F56))</f>
        <v/>
      </c>
      <c r="H56" s="186" t="e">
        <f ca="1">IF(OR(OP!$D$53=1,$B56=""),"",ROUND(VLOOKUP(OP!$C$55,DIE,$B56+1,0)*OP!$C$28,0))</f>
        <v>#N/A</v>
      </c>
      <c r="I56" s="187" t="e">
        <f ca="1">IF(OR(OP!$D$53=1,$B56=""),"",ROUND(VLOOKUP(OP!$C$55,CV,$B56+1,0)*OP!$C$28,0))</f>
        <v>#N/A</v>
      </c>
      <c r="J56" s="187" t="e">
        <f ca="1">IF(OR(OP!$D$53=1,$B56=""),"",ROUND(VLOOKUP(OP!$C$55,PA,$B56+1,0)*OP!$C$28,0))</f>
        <v>#N/A</v>
      </c>
      <c r="K56" s="186"/>
      <c r="L56" s="186"/>
      <c r="M56" s="186"/>
      <c r="N56" s="188"/>
      <c r="O56" s="188"/>
      <c r="P56" s="188"/>
      <c r="Q56" s="188"/>
      <c r="R56" s="188"/>
      <c r="S56" s="188">
        <f ca="1">IF(OR(OP!$D$53=1,$B56=""),"",N($F56)+N($O56))</f>
        <v>0</v>
      </c>
      <c r="T56" s="188">
        <f ca="1">IF(OR(OP!$D$53=1,$B56=""),0,N($T55)+N($S56))</f>
        <v>0</v>
      </c>
      <c r="U56" s="188">
        <f ca="1">IF(OR(OP!$D$53=1,$B56=""),"",ROUND($S56/12,0))</f>
        <v>0</v>
      </c>
      <c r="V56" s="188">
        <f ca="1">IF(OR(OP!$D$53=1,$B56=""),0,N($V55)+(N($U56)*12))</f>
        <v>0</v>
      </c>
      <c r="W56" s="186"/>
      <c r="X56" s="186"/>
      <c r="Y56" s="189" t="e">
        <f ca="1">IF(OR(OP!$D$53=1,$B56=""),"",ROUND(($H56+$Q56)*IF(OR($C56&lt;16,$Z56=0,$Z56=""),1,PYO),0))</f>
        <v>#N/A</v>
      </c>
      <c r="Z56" s="189" t="e">
        <f ca="1">IF(OR(OP!$D$53=1,$B56=""),"",ROUND(($H56+Q56)*IF(OR($C56&lt;16,($H56+$Q56)*PY!$C$4&lt;PY!$D$5,($H56+$Q56)*PY!$C$4*PYR&lt;PY!$C$5),0,PYY)*PYR,0))</f>
        <v>#N/A</v>
      </c>
      <c r="AA56" s="113" t="str">
        <f ca="1">IF(OR(OP!$D$53=1,AND(B56&gt;OP!$C$24)),"",OP!$C$52)</f>
        <v/>
      </c>
      <c r="AB56" s="113">
        <f ca="1">IF(OR(OP!$D$53=1,$B56=""),"",N($AB55)+N($AA56))</f>
        <v>339780</v>
      </c>
      <c r="AC56" s="113"/>
      <c r="AD56" s="113"/>
      <c r="AE56" s="113"/>
      <c r="AF56" s="113"/>
      <c r="AG56" s="113"/>
      <c r="AH56" s="187" t="e">
        <f ca="1">IF(OR(OP!$D$53=1,$B56=""),"",ROUND(VLOOKUP(OP!$C$55,HL_1,$B56+1,0)*OP!$C$28,0))</f>
        <v>#N/A</v>
      </c>
      <c r="AI56" s="187" t="e">
        <f ca="1">IF(OR(OP!$D$53=1,$B56=""),"",ROUND(VLOOKUP(OP!$C$55,HL_2,$B56+1,0)*OP!$C$28,0))</f>
        <v>#N/A</v>
      </c>
    </row>
    <row r="57" spans="2:35" hidden="1">
      <c r="B57" s="93">
        <f ca="1">IF(OR(C56&gt;=OP!$F$57,C56=""),"",IF(C56+1&gt;OP!$F$57,OP!$F$57+1-$C$4,B56+1))</f>
        <v>54</v>
      </c>
      <c r="C57" s="92">
        <f ca="1">IF(OR(OP!$D$53=1,MAX($C$4:C56)&gt;=OP!$F$57),"",C56+(B57-B56))</f>
        <v>68</v>
      </c>
      <c r="D57" s="113" t="str">
        <f ca="1">IF(OR(OP!$D$53=1,AND($B57&gt;OP!$C$24)),"",OP!$C$52-IF($C57&lt;16,$K56,0))</f>
        <v/>
      </c>
      <c r="E57" s="113">
        <f ca="1">IF(OR(OP!$D$53=1,$B57=""),"",N($E56)+N($D57))</f>
        <v>339780</v>
      </c>
      <c r="F57" s="186" t="str">
        <f ca="1">IF(OR(OP!$D$53=1,$B57="",ISERROR(VLOOKUP(OP!$C$55,SRV,$B57+1,0))),"",ROUND(VLOOKUP(OP!$C$55,SRV,$B57+1,0)*OP!$C$28,0))</f>
        <v/>
      </c>
      <c r="G57" s="186" t="str">
        <f ca="1">IF(OR(OP!$D$53=1,$B57="",ISERROR(VLOOKUP(OP!$C$55,SRV,$B57+1,0))),"",N($G56)+N($F57))</f>
        <v/>
      </c>
      <c r="H57" s="186" t="e">
        <f ca="1">IF(OR(OP!$D$53=1,$B57=""),"",ROUND(VLOOKUP(OP!$C$55,DIE,$B57+1,0)*OP!$C$28,0))</f>
        <v>#N/A</v>
      </c>
      <c r="I57" s="187" t="e">
        <f ca="1">IF(OR(OP!$D$53=1,$B57=""),"",ROUND(VLOOKUP(OP!$C$55,CV,$B57+1,0)*OP!$C$28,0))</f>
        <v>#N/A</v>
      </c>
      <c r="J57" s="187" t="e">
        <f ca="1">IF(OR(OP!$D$53=1,$B57=""),"",ROUND(VLOOKUP(OP!$C$55,PA,$B57+1,0)*OP!$C$28,0))</f>
        <v>#N/A</v>
      </c>
      <c r="K57" s="186"/>
      <c r="L57" s="186"/>
      <c r="M57" s="186"/>
      <c r="N57" s="188"/>
      <c r="O57" s="188"/>
      <c r="P57" s="188"/>
      <c r="Q57" s="188"/>
      <c r="R57" s="188"/>
      <c r="S57" s="188">
        <f ca="1">IF(OR(OP!$D$53=1,$B57=""),"",N($F57)+N($O57))</f>
        <v>0</v>
      </c>
      <c r="T57" s="188">
        <f ca="1">IF(OR(OP!$D$53=1,$B57=""),0,N($T56)+N($S57))</f>
        <v>0</v>
      </c>
      <c r="U57" s="188">
        <f ca="1">IF(OR(OP!$D$53=1,$B57=""),"",ROUND($S57/12,0))</f>
        <v>0</v>
      </c>
      <c r="V57" s="188">
        <f ca="1">IF(OR(OP!$D$53=1,$B57=""),0,N($V56)+(N($U57)*12))</f>
        <v>0</v>
      </c>
      <c r="W57" s="186"/>
      <c r="X57" s="186"/>
      <c r="Y57" s="189" t="e">
        <f ca="1">IF(OR(OP!$D$53=1,$B57=""),"",ROUND(($H57+$Q57)*IF(OR($C57&lt;16,$Z57=0,$Z57=""),1,PYO),0))</f>
        <v>#N/A</v>
      </c>
      <c r="Z57" s="189" t="e">
        <f ca="1">IF(OR(OP!$D$53=1,$B57=""),"",ROUND(($H57+Q57)*IF(OR($C57&lt;16,($H57+$Q57)*PY!$C$4&lt;PY!$D$5,($H57+$Q57)*PY!$C$4*PYR&lt;PY!$C$5),0,PYY)*PYR,0))</f>
        <v>#N/A</v>
      </c>
      <c r="AA57" s="113" t="str">
        <f ca="1">IF(OR(OP!$D$53=1,AND(B57&gt;OP!$C$24)),"",OP!$C$52)</f>
        <v/>
      </c>
      <c r="AB57" s="113">
        <f ca="1">IF(OR(OP!$D$53=1,$B57=""),"",N($AB56)+N($AA57))</f>
        <v>339780</v>
      </c>
      <c r="AC57" s="113"/>
      <c r="AD57" s="113"/>
      <c r="AE57" s="113"/>
      <c r="AF57" s="113"/>
      <c r="AG57" s="113"/>
      <c r="AH57" s="187" t="e">
        <f ca="1">IF(OR(OP!$D$53=1,$B57=""),"",ROUND(VLOOKUP(OP!$C$55,HL_1,$B57+1,0)*OP!$C$28,0))</f>
        <v>#N/A</v>
      </c>
      <c r="AI57" s="187" t="e">
        <f ca="1">IF(OR(OP!$D$53=1,$B57=""),"",ROUND(VLOOKUP(OP!$C$55,HL_2,$B57+1,0)*OP!$C$28,0))</f>
        <v>#N/A</v>
      </c>
    </row>
    <row r="58" spans="2:35" hidden="1">
      <c r="B58" s="93">
        <f ca="1">IF(OR(C57&gt;=OP!$F$57,C57=""),"",IF(C57+1&gt;OP!$F$57,OP!$F$57+1-$C$4,B57+1))</f>
        <v>55</v>
      </c>
      <c r="C58" s="92">
        <f ca="1">IF(OR(OP!$D$53=1,MAX($C$4:C57)&gt;=OP!$F$57),"",C57+(B58-B57))</f>
        <v>69</v>
      </c>
      <c r="D58" s="113" t="str">
        <f ca="1">IF(OR(OP!$D$53=1,AND($B58&gt;OP!$C$24)),"",OP!$C$52-IF($C58&lt;16,$K57,0))</f>
        <v/>
      </c>
      <c r="E58" s="113">
        <f ca="1">IF(OR(OP!$D$53=1,$B58=""),"",N($E57)+N($D58))</f>
        <v>339780</v>
      </c>
      <c r="F58" s="186" t="str">
        <f ca="1">IF(OR(OP!$D$53=1,$B58="",ISERROR(VLOOKUP(OP!$C$55,SRV,$B58+1,0))),"",ROUND(VLOOKUP(OP!$C$55,SRV,$B58+1,0)*OP!$C$28,0))</f>
        <v/>
      </c>
      <c r="G58" s="186" t="str">
        <f ca="1">IF(OR(OP!$D$53=1,$B58="",ISERROR(VLOOKUP(OP!$C$55,SRV,$B58+1,0))),"",N($G57)+N($F58))</f>
        <v/>
      </c>
      <c r="H58" s="186" t="e">
        <f ca="1">IF(OR(OP!$D$53=1,$B58=""),"",ROUND(VLOOKUP(OP!$C$55,DIE,$B58+1,0)*OP!$C$28,0))</f>
        <v>#N/A</v>
      </c>
      <c r="I58" s="187" t="e">
        <f ca="1">IF(OR(OP!$D$53=1,$B58=""),"",ROUND(VLOOKUP(OP!$C$55,CV,$B58+1,0)*OP!$C$28,0))</f>
        <v>#N/A</v>
      </c>
      <c r="J58" s="187" t="e">
        <f ca="1">IF(OR(OP!$D$53=1,$B58=""),"",ROUND(VLOOKUP(OP!$C$55,PA,$B58+1,0)*OP!$C$28,0))</f>
        <v>#N/A</v>
      </c>
      <c r="K58" s="186"/>
      <c r="L58" s="186"/>
      <c r="M58" s="186"/>
      <c r="N58" s="188"/>
      <c r="O58" s="188"/>
      <c r="P58" s="188"/>
      <c r="Q58" s="188"/>
      <c r="R58" s="188"/>
      <c r="S58" s="188">
        <f ca="1">IF(OR(OP!$D$53=1,$B58=""),"",N($F58)+N($O58))</f>
        <v>0</v>
      </c>
      <c r="T58" s="188">
        <f ca="1">IF(OR(OP!$D$53=1,$B58=""),0,N($T57)+N($S58))</f>
        <v>0</v>
      </c>
      <c r="U58" s="188">
        <f ca="1">IF(OR(OP!$D$53=1,$B58=""),"",ROUND($S58/12,0))</f>
        <v>0</v>
      </c>
      <c r="V58" s="188">
        <f ca="1">IF(OR(OP!$D$53=1,$B58=""),0,N($V57)+(N($U58)*12))</f>
        <v>0</v>
      </c>
      <c r="W58" s="186"/>
      <c r="X58" s="186"/>
      <c r="Y58" s="189" t="e">
        <f ca="1">IF(OR(OP!$D$53=1,$B58=""),"",ROUND(($H58+$Q58)*IF(OR($C58&lt;16,$Z58=0,$Z58=""),1,PYO),0))</f>
        <v>#N/A</v>
      </c>
      <c r="Z58" s="189" t="e">
        <f ca="1">IF(OR(OP!$D$53=1,$B58=""),"",ROUND(($H58+Q58)*IF(OR($C58&lt;16,($H58+$Q58)*PY!$C$4&lt;PY!$D$5,($H58+$Q58)*PY!$C$4*PYR&lt;PY!$C$5),0,PYY)*PYR,0))</f>
        <v>#N/A</v>
      </c>
      <c r="AA58" s="113" t="str">
        <f ca="1">IF(OR(OP!$D$53=1,AND(B58&gt;OP!$C$24)),"",OP!$C$52)</f>
        <v/>
      </c>
      <c r="AB58" s="113">
        <f ca="1">IF(OR(OP!$D$53=1,$B58=""),"",N($AB57)+N($AA58))</f>
        <v>339780</v>
      </c>
      <c r="AC58" s="113"/>
      <c r="AD58" s="113"/>
      <c r="AE58" s="113"/>
      <c r="AF58" s="113"/>
      <c r="AG58" s="113"/>
      <c r="AH58" s="187" t="e">
        <f ca="1">IF(OR(OP!$D$53=1,$B58=""),"",ROUND(VLOOKUP(OP!$C$55,HL_1,$B58+1,0)*OP!$C$28,0))</f>
        <v>#N/A</v>
      </c>
      <c r="AI58" s="187" t="e">
        <f ca="1">IF(OR(OP!$D$53=1,$B58=""),"",ROUND(VLOOKUP(OP!$C$55,HL_2,$B58+1,0)*OP!$C$28,0))</f>
        <v>#N/A</v>
      </c>
    </row>
    <row r="59" spans="2:35" hidden="1">
      <c r="B59" s="93">
        <f ca="1">IF(OR(C58&gt;=OP!$F$57,C58=""),"",IF(C58+1&gt;OP!$F$57,OP!$F$57+1-$C$4,B58+1))</f>
        <v>56</v>
      </c>
      <c r="C59" s="92">
        <f ca="1">IF(OR(OP!$D$53=1,MAX($C$4:C58)&gt;=OP!$F$57),"",C58+(B59-B58))</f>
        <v>70</v>
      </c>
      <c r="D59" s="113" t="str">
        <f ca="1">IF(OR(OP!$D$53=1,AND($B59&gt;OP!$C$24)),"",OP!$C$52-IF($C59&lt;16,$K58,0))</f>
        <v/>
      </c>
      <c r="E59" s="113">
        <f ca="1">IF(OR(OP!$D$53=1,$B59=""),"",N($E58)+N($D59))</f>
        <v>339780</v>
      </c>
      <c r="F59" s="186" t="str">
        <f ca="1">IF(OR(OP!$D$53=1,$B59="",ISERROR(VLOOKUP(OP!$C$55,SRV,$B59+1,0))),"",ROUND(VLOOKUP(OP!$C$55,SRV,$B59+1,0)*OP!$C$28,0))</f>
        <v/>
      </c>
      <c r="G59" s="186" t="str">
        <f ca="1">IF(OR(OP!$D$53=1,$B59="",ISERROR(VLOOKUP(OP!$C$55,SRV,$B59+1,0))),"",N($G58)+N($F59))</f>
        <v/>
      </c>
      <c r="H59" s="186" t="e">
        <f ca="1">IF(OR(OP!$D$53=1,$B59=""),"",ROUND(VLOOKUP(OP!$C$55,DIE,$B59+1,0)*OP!$C$28,0))</f>
        <v>#N/A</v>
      </c>
      <c r="I59" s="187" t="e">
        <f ca="1">IF(OR(OP!$D$53=1,$B59=""),"",ROUND(VLOOKUP(OP!$C$55,CV,$B59+1,0)*OP!$C$28,0))</f>
        <v>#N/A</v>
      </c>
      <c r="J59" s="187" t="e">
        <f ca="1">IF(OR(OP!$D$53=1,$B59=""),"",ROUND(VLOOKUP(OP!$C$55,PA,$B59+1,0)*OP!$C$28,0))</f>
        <v>#N/A</v>
      </c>
      <c r="K59" s="186"/>
      <c r="L59" s="186"/>
      <c r="M59" s="186"/>
      <c r="N59" s="188"/>
      <c r="O59" s="188"/>
      <c r="P59" s="188"/>
      <c r="Q59" s="188"/>
      <c r="R59" s="188"/>
      <c r="S59" s="188">
        <f ca="1">IF(OR(OP!$D$53=1,$B59=""),"",N($F59)+N($O59))</f>
        <v>0</v>
      </c>
      <c r="T59" s="188">
        <f ca="1">IF(OR(OP!$D$53=1,$B59=""),0,N($T58)+N($S59))</f>
        <v>0</v>
      </c>
      <c r="U59" s="188">
        <f ca="1">IF(OR(OP!$D$53=1,$B59=""),"",ROUND($S59/12,0))</f>
        <v>0</v>
      </c>
      <c r="V59" s="188">
        <f ca="1">IF(OR(OP!$D$53=1,$B59=""),0,N($V58)+(N($U59)*12))</f>
        <v>0</v>
      </c>
      <c r="W59" s="186"/>
      <c r="X59" s="186"/>
      <c r="Y59" s="189" t="e">
        <f ca="1">IF(OR(OP!$D$53=1,$B59=""),"",ROUND(($H59+$Q59)*IF(OR($C59&lt;16,$Z59=0,$Z59=""),1,PYO),0))</f>
        <v>#N/A</v>
      </c>
      <c r="Z59" s="189" t="e">
        <f ca="1">IF(OR(OP!$D$53=1,$B59=""),"",ROUND(($H59+Q59)*IF(OR($C59&lt;16,($H59+$Q59)*PY!$C$4&lt;PY!$D$5,($H59+$Q59)*PY!$C$4*PYR&lt;PY!$C$5),0,PYY)*PYR,0))</f>
        <v>#N/A</v>
      </c>
      <c r="AA59" s="113" t="str">
        <f ca="1">IF(OR(OP!$D$53=1,AND(B59&gt;OP!$C$24)),"",OP!$C$52)</f>
        <v/>
      </c>
      <c r="AB59" s="113">
        <f ca="1">IF(OR(OP!$D$53=1,$B59=""),"",N($AB58)+N($AA59))</f>
        <v>339780</v>
      </c>
      <c r="AC59" s="113"/>
      <c r="AD59" s="113"/>
      <c r="AE59" s="113"/>
      <c r="AF59" s="113"/>
      <c r="AG59" s="113"/>
      <c r="AH59" s="187" t="e">
        <f ca="1">IF(OR(OP!$D$53=1,$B59=""),"",ROUND(VLOOKUP(OP!$C$55,HL_1,$B59+1,0)*OP!$C$28,0))</f>
        <v>#N/A</v>
      </c>
      <c r="AI59" s="187" t="e">
        <f ca="1">IF(OR(OP!$D$53=1,$B59=""),"",ROUND(VLOOKUP(OP!$C$55,HL_2,$B59+1,0)*OP!$C$28,0))</f>
        <v>#N/A</v>
      </c>
    </row>
    <row r="60" spans="2:35" hidden="1">
      <c r="B60" s="93">
        <f ca="1">IF(OR(C59&gt;=OP!$F$57,C59=""),"",IF(C59+1&gt;OP!$F$57,OP!$F$57+1-$C$4,B59+1))</f>
        <v>57</v>
      </c>
      <c r="C60" s="92">
        <f ca="1">IF(OR(OP!$D$53=1,MAX($C$4:C59)&gt;=OP!$F$57),"",C59+(B60-B59))</f>
        <v>71</v>
      </c>
      <c r="D60" s="113" t="str">
        <f ca="1">IF(OR(OP!$D$53=1,AND($B60&gt;OP!$C$24)),"",OP!$C$52-IF($C60&lt;16,$K59,0))</f>
        <v/>
      </c>
      <c r="E60" s="113">
        <f ca="1">IF(OR(OP!$D$53=1,$B60=""),"",N($E59)+N($D60))</f>
        <v>339780</v>
      </c>
      <c r="F60" s="186" t="str">
        <f ca="1">IF(OR(OP!$D$53=1,$B60="",ISERROR(VLOOKUP(OP!$C$55,SRV,$B60+1,0))),"",ROUND(VLOOKUP(OP!$C$55,SRV,$B60+1,0)*OP!$C$28,0))</f>
        <v/>
      </c>
      <c r="G60" s="186" t="str">
        <f ca="1">IF(OR(OP!$D$53=1,$B60="",ISERROR(VLOOKUP(OP!$C$55,SRV,$B60+1,0))),"",N($G59)+N($F60))</f>
        <v/>
      </c>
      <c r="H60" s="186" t="e">
        <f ca="1">IF(OR(OP!$D$53=1,$B60=""),"",ROUND(VLOOKUP(OP!$C$55,DIE,$B60+1,0)*OP!$C$28,0))</f>
        <v>#N/A</v>
      </c>
      <c r="I60" s="187" t="e">
        <f ca="1">IF(OR(OP!$D$53=1,$B60=""),"",ROUND(VLOOKUP(OP!$C$55,CV,$B60+1,0)*OP!$C$28,0))</f>
        <v>#N/A</v>
      </c>
      <c r="J60" s="187" t="e">
        <f ca="1">IF(OR(OP!$D$53=1,$B60=""),"",ROUND(VLOOKUP(OP!$C$55,PA,$B60+1,0)*OP!$C$28,0))</f>
        <v>#N/A</v>
      </c>
      <c r="K60" s="186"/>
      <c r="L60" s="186"/>
      <c r="M60" s="186"/>
      <c r="N60" s="188"/>
      <c r="O60" s="188"/>
      <c r="P60" s="188"/>
      <c r="Q60" s="188"/>
      <c r="R60" s="188"/>
      <c r="S60" s="188">
        <f ca="1">IF(OR(OP!$D$53=1,$B60=""),"",N($F60)+N($O60))</f>
        <v>0</v>
      </c>
      <c r="T60" s="188">
        <f ca="1">IF(OR(OP!$D$53=1,$B60=""),0,N($T59)+N($S60))</f>
        <v>0</v>
      </c>
      <c r="U60" s="188">
        <f ca="1">IF(OR(OP!$D$53=1,$B60=""),"",ROUND($S60/12,0))</f>
        <v>0</v>
      </c>
      <c r="V60" s="188">
        <f ca="1">IF(OR(OP!$D$53=1,$B60=""),0,N($V59)+(N($U60)*12))</f>
        <v>0</v>
      </c>
      <c r="W60" s="186"/>
      <c r="X60" s="186"/>
      <c r="Y60" s="189" t="e">
        <f ca="1">IF(OR(OP!$D$53=1,$B60=""),"",ROUND(($H60+$Q60)*IF(OR($C60&lt;16,$Z60=0,$Z60=""),1,PYO),0))</f>
        <v>#N/A</v>
      </c>
      <c r="Z60" s="189" t="e">
        <f ca="1">IF(OR(OP!$D$53=1,$B60=""),"",ROUND(($H60+Q60)*IF(OR($C60&lt;16,($H60+$Q60)*PY!$C$4&lt;PY!$D$5,($H60+$Q60)*PY!$C$4*PYR&lt;PY!$C$5),0,PYY)*PYR,0))</f>
        <v>#N/A</v>
      </c>
      <c r="AA60" s="113" t="str">
        <f ca="1">IF(OR(OP!$D$53=1,AND(B60&gt;OP!$C$24)),"",OP!$C$52)</f>
        <v/>
      </c>
      <c r="AB60" s="113">
        <f ca="1">IF(OR(OP!$D$53=1,$B60=""),"",N($AB59)+N($AA60))</f>
        <v>339780</v>
      </c>
      <c r="AC60" s="113"/>
      <c r="AD60" s="113"/>
      <c r="AE60" s="113"/>
      <c r="AF60" s="113"/>
      <c r="AG60" s="113"/>
      <c r="AH60" s="187" t="e">
        <f ca="1">IF(OR(OP!$D$53=1,$B60=""),"",ROUND(VLOOKUP(OP!$C$55,HL_1,$B60+1,0)*OP!$C$28,0))</f>
        <v>#N/A</v>
      </c>
      <c r="AI60" s="187" t="e">
        <f ca="1">IF(OR(OP!$D$53=1,$B60=""),"",ROUND(VLOOKUP(OP!$C$55,HL_2,$B60+1,0)*OP!$C$28,0))</f>
        <v>#N/A</v>
      </c>
    </row>
    <row r="61" spans="2:35" hidden="1">
      <c r="B61" s="93">
        <f ca="1">IF(OR(C60&gt;=OP!$F$57,C60=""),"",IF(C60+1&gt;OP!$F$57,OP!$F$57+1-$C$4,B60+1))</f>
        <v>58</v>
      </c>
      <c r="C61" s="92">
        <f ca="1">IF(OR(OP!$D$53=1,MAX($C$4:C60)&gt;=OP!$F$57),"",C60+(B61-B60))</f>
        <v>72</v>
      </c>
      <c r="D61" s="113" t="str">
        <f ca="1">IF(OR(OP!$D$53=1,AND($B61&gt;OP!$C$24)),"",OP!$C$52-IF($C61&lt;16,$K60,0))</f>
        <v/>
      </c>
      <c r="E61" s="113">
        <f ca="1">IF(OR(OP!$D$53=1,$B61=""),"",N($E60)+N($D61))</f>
        <v>339780</v>
      </c>
      <c r="F61" s="186" t="str">
        <f ca="1">IF(OR(OP!$D$53=1,$B61="",ISERROR(VLOOKUP(OP!$C$55,SRV,$B61+1,0))),"",ROUND(VLOOKUP(OP!$C$55,SRV,$B61+1,0)*OP!$C$28,0))</f>
        <v/>
      </c>
      <c r="G61" s="186" t="str">
        <f ca="1">IF(OR(OP!$D$53=1,$B61="",ISERROR(VLOOKUP(OP!$C$55,SRV,$B61+1,0))),"",N($G60)+N($F61))</f>
        <v/>
      </c>
      <c r="H61" s="186" t="e">
        <f ca="1">IF(OR(OP!$D$53=1,$B61=""),"",ROUND(VLOOKUP(OP!$C$55,DIE,$B61+1,0)*OP!$C$28,0))</f>
        <v>#N/A</v>
      </c>
      <c r="I61" s="187" t="e">
        <f ca="1">IF(OR(OP!$D$53=1,$B61=""),"",ROUND(VLOOKUP(OP!$C$55,CV,$B61+1,0)*OP!$C$28,0))</f>
        <v>#N/A</v>
      </c>
      <c r="J61" s="187" t="e">
        <f ca="1">IF(OR(OP!$D$53=1,$B61=""),"",ROUND(VLOOKUP(OP!$C$55,PA,$B61+1,0)*OP!$C$28,0))</f>
        <v>#N/A</v>
      </c>
      <c r="K61" s="186"/>
      <c r="L61" s="186"/>
      <c r="M61" s="186"/>
      <c r="N61" s="188"/>
      <c r="O61" s="188"/>
      <c r="P61" s="188"/>
      <c r="Q61" s="188"/>
      <c r="R61" s="188"/>
      <c r="S61" s="188">
        <f ca="1">IF(OR(OP!$D$53=1,$B61=""),"",N($F61)+N($O61))</f>
        <v>0</v>
      </c>
      <c r="T61" s="188">
        <f ca="1">IF(OR(OP!$D$53=1,$B61=""),0,N($T60)+N($S61))</f>
        <v>0</v>
      </c>
      <c r="U61" s="188">
        <f ca="1">IF(OR(OP!$D$53=1,$B61=""),"",ROUND($S61/12,0))</f>
        <v>0</v>
      </c>
      <c r="V61" s="188">
        <f ca="1">IF(OR(OP!$D$53=1,$B61=""),0,N($V60)+(N($U61)*12))</f>
        <v>0</v>
      </c>
      <c r="W61" s="186"/>
      <c r="X61" s="186"/>
      <c r="Y61" s="189" t="e">
        <f ca="1">IF(OR(OP!$D$53=1,$B61=""),"",ROUND(($H61+$Q61)*IF(OR($C61&lt;16,$Z61=0,$Z61=""),1,PYO),0))</f>
        <v>#N/A</v>
      </c>
      <c r="Z61" s="189" t="e">
        <f ca="1">IF(OR(OP!$D$53=1,$B61=""),"",ROUND(($H61+Q61)*IF(OR($C61&lt;16,($H61+$Q61)*PY!$C$4&lt;PY!$D$5,($H61+$Q61)*PY!$C$4*PYR&lt;PY!$C$5),0,PYY)*PYR,0))</f>
        <v>#N/A</v>
      </c>
      <c r="AA61" s="113" t="str">
        <f ca="1">IF(OR(OP!$D$53=1,AND(B61&gt;OP!$C$24)),"",OP!$C$52)</f>
        <v/>
      </c>
      <c r="AB61" s="113">
        <f ca="1">IF(OR(OP!$D$53=1,$B61=""),"",N($AB60)+N($AA61))</f>
        <v>339780</v>
      </c>
      <c r="AC61" s="113"/>
      <c r="AD61" s="113"/>
      <c r="AE61" s="113"/>
      <c r="AF61" s="113"/>
      <c r="AG61" s="113"/>
      <c r="AH61" s="187" t="e">
        <f ca="1">IF(OR(OP!$D$53=1,$B61=""),"",ROUND(VLOOKUP(OP!$C$55,HL_1,$B61+1,0)*OP!$C$28,0))</f>
        <v>#N/A</v>
      </c>
      <c r="AI61" s="187" t="e">
        <f ca="1">IF(OR(OP!$D$53=1,$B61=""),"",ROUND(VLOOKUP(OP!$C$55,HL_2,$B61+1,0)*OP!$C$28,0))</f>
        <v>#N/A</v>
      </c>
    </row>
    <row r="62" spans="2:35" hidden="1">
      <c r="B62" s="93">
        <f ca="1">IF(OR(C61&gt;=OP!$F$57,C61=""),"",IF(C61+1&gt;OP!$F$57,OP!$F$57+1-$C$4,B61+1))</f>
        <v>59</v>
      </c>
      <c r="C62" s="92">
        <f ca="1">IF(OR(OP!$D$53=1,MAX($C$4:C61)&gt;=OP!$F$57),"",C61+(B62-B61))</f>
        <v>73</v>
      </c>
      <c r="D62" s="113" t="str">
        <f ca="1">IF(OR(OP!$D$53=1,AND($B62&gt;OP!$C$24)),"",OP!$C$52-IF($C62&lt;16,$K61,0))</f>
        <v/>
      </c>
      <c r="E62" s="113">
        <f ca="1">IF(OR(OP!$D$53=1,$B62=""),"",N($E61)+N($D62))</f>
        <v>339780</v>
      </c>
      <c r="F62" s="186" t="str">
        <f ca="1">IF(OR(OP!$D$53=1,$B62="",ISERROR(VLOOKUP(OP!$C$55,SRV,$B62+1,0))),"",ROUND(VLOOKUP(OP!$C$55,SRV,$B62+1,0)*OP!$C$28,0))</f>
        <v/>
      </c>
      <c r="G62" s="186" t="str">
        <f ca="1">IF(OR(OP!$D$53=1,$B62="",ISERROR(VLOOKUP(OP!$C$55,SRV,$B62+1,0))),"",N($G61)+N($F62))</f>
        <v/>
      </c>
      <c r="H62" s="186" t="e">
        <f ca="1">IF(OR(OP!$D$53=1,$B62=""),"",ROUND(VLOOKUP(OP!$C$55,DIE,$B62+1,0)*OP!$C$28,0))</f>
        <v>#N/A</v>
      </c>
      <c r="I62" s="187" t="e">
        <f ca="1">IF(OR(OP!$D$53=1,$B62=""),"",ROUND(VLOOKUP(OP!$C$55,CV,$B62+1,0)*OP!$C$28,0))</f>
        <v>#N/A</v>
      </c>
      <c r="J62" s="187" t="e">
        <f ca="1">IF(OR(OP!$D$53=1,$B62=""),"",ROUND(VLOOKUP(OP!$C$55,PA,$B62+1,0)*OP!$C$28,0))</f>
        <v>#N/A</v>
      </c>
      <c r="K62" s="186"/>
      <c r="L62" s="186"/>
      <c r="M62" s="186"/>
      <c r="N62" s="188"/>
      <c r="O62" s="188"/>
      <c r="P62" s="188"/>
      <c r="Q62" s="188"/>
      <c r="R62" s="188"/>
      <c r="S62" s="188">
        <f ca="1">IF(OR(OP!$D$53=1,$B62=""),"",N($F62)+N($O62))</f>
        <v>0</v>
      </c>
      <c r="T62" s="188">
        <f ca="1">IF(OR(OP!$D$53=1,$B62=""),0,N($T61)+N($S62))</f>
        <v>0</v>
      </c>
      <c r="U62" s="188">
        <f ca="1">IF(OR(OP!$D$53=1,$B62=""),"",ROUND($S62/12,0))</f>
        <v>0</v>
      </c>
      <c r="V62" s="188">
        <f ca="1">IF(OR(OP!$D$53=1,$B62=""),0,N($V61)+(N($U62)*12))</f>
        <v>0</v>
      </c>
      <c r="W62" s="186"/>
      <c r="X62" s="186"/>
      <c r="Y62" s="189" t="e">
        <f ca="1">IF(OR(OP!$D$53=1,$B62=""),"",ROUND(($H62+$Q62)*IF(OR($C62&lt;16,$Z62=0,$Z62=""),1,PYO),0))</f>
        <v>#N/A</v>
      </c>
      <c r="Z62" s="189" t="e">
        <f ca="1">IF(OR(OP!$D$53=1,$B62=""),"",ROUND(($H62+Q62)*IF(OR($C62&lt;16,($H62+$Q62)*PY!$C$4&lt;PY!$D$5,($H62+$Q62)*PY!$C$4*PYR&lt;PY!$C$5),0,PYY)*PYR,0))</f>
        <v>#N/A</v>
      </c>
      <c r="AA62" s="113" t="str">
        <f ca="1">IF(OR(OP!$D$53=1,AND(B62&gt;OP!$C$24)),"",OP!$C$52)</f>
        <v/>
      </c>
      <c r="AB62" s="113">
        <f ca="1">IF(OR(OP!$D$53=1,$B62=""),"",N($AB61)+N($AA62))</f>
        <v>339780</v>
      </c>
      <c r="AC62" s="113"/>
      <c r="AD62" s="113"/>
      <c r="AE62" s="113"/>
      <c r="AF62" s="113"/>
      <c r="AG62" s="113"/>
      <c r="AH62" s="187" t="e">
        <f ca="1">IF(OR(OP!$D$53=1,$B62=""),"",ROUND(VLOOKUP(OP!$C$55,HL_1,$B62+1,0)*OP!$C$28,0))</f>
        <v>#N/A</v>
      </c>
      <c r="AI62" s="187" t="e">
        <f ca="1">IF(OR(OP!$D$53=1,$B62=""),"",ROUND(VLOOKUP(OP!$C$55,HL_2,$B62+1,0)*OP!$C$28,0))</f>
        <v>#N/A</v>
      </c>
    </row>
    <row r="63" spans="2:35" hidden="1">
      <c r="B63" s="93">
        <f ca="1">IF(OR(C62&gt;=OP!$F$57,C62=""),"",IF(C62+1&gt;OP!$F$57,OP!$F$57+1-$C$4,B62+1))</f>
        <v>60</v>
      </c>
      <c r="C63" s="92">
        <f ca="1">IF(OR(OP!$D$53=1,MAX($C$4:C62)&gt;=OP!$F$57),"",C62+(B63-B62))</f>
        <v>74</v>
      </c>
      <c r="D63" s="113" t="str">
        <f ca="1">IF(OR(OP!$D$53=1,AND($B63&gt;OP!$C$24)),"",OP!$C$52-IF($C63&lt;16,$K62,0))</f>
        <v/>
      </c>
      <c r="E63" s="113">
        <f ca="1">IF(OR(OP!$D$53=1,$B63=""),"",N($E62)+N($D63))</f>
        <v>339780</v>
      </c>
      <c r="F63" s="186" t="str">
        <f ca="1">IF(OR(OP!$D$53=1,$B63="",ISERROR(VLOOKUP(OP!$C$55,SRV,$B63+1,0))),"",ROUND(VLOOKUP(OP!$C$55,SRV,$B63+1,0)*OP!$C$28,0))</f>
        <v/>
      </c>
      <c r="G63" s="186" t="str">
        <f ca="1">IF(OR(OP!$D$53=1,$B63="",ISERROR(VLOOKUP(OP!$C$55,SRV,$B63+1,0))),"",N($G62)+N($F63))</f>
        <v/>
      </c>
      <c r="H63" s="186" t="e">
        <f ca="1">IF(OR(OP!$D$53=1,$B63=""),"",ROUND(VLOOKUP(OP!$C$55,DIE,$B63+1,0)*OP!$C$28,0))</f>
        <v>#N/A</v>
      </c>
      <c r="I63" s="187" t="e">
        <f ca="1">IF(OR(OP!$D$53=1,$B63=""),"",ROUND(VLOOKUP(OP!$C$55,CV,$B63+1,0)*OP!$C$28,0))</f>
        <v>#N/A</v>
      </c>
      <c r="J63" s="187" t="e">
        <f ca="1">IF(OR(OP!$D$53=1,$B63=""),"",ROUND(VLOOKUP(OP!$C$55,PA,$B63+1,0)*OP!$C$28,0))</f>
        <v>#N/A</v>
      </c>
      <c r="K63" s="186"/>
      <c r="L63" s="186"/>
      <c r="M63" s="186"/>
      <c r="N63" s="188"/>
      <c r="O63" s="188"/>
      <c r="P63" s="188"/>
      <c r="Q63" s="188"/>
      <c r="R63" s="188"/>
      <c r="S63" s="188">
        <f ca="1">IF(OR(OP!$D$53=1,$B63=""),"",N($F63)+N($O63))</f>
        <v>0</v>
      </c>
      <c r="T63" s="188">
        <f ca="1">IF(OR(OP!$D$53=1,$B63=""),0,N($T62)+N($S63))</f>
        <v>0</v>
      </c>
      <c r="U63" s="188">
        <f ca="1">IF(OR(OP!$D$53=1,$B63=""),"",ROUND($S63/12,0))</f>
        <v>0</v>
      </c>
      <c r="V63" s="188">
        <f ca="1">IF(OR(OP!$D$53=1,$B63=""),0,N($V62)+(N($U63)*12))</f>
        <v>0</v>
      </c>
      <c r="W63" s="186"/>
      <c r="X63" s="186"/>
      <c r="Y63" s="189" t="e">
        <f ca="1">IF(OR(OP!$D$53=1,$B63=""),"",ROUND(($H63+$Q63)*IF(OR($C63&lt;16,$Z63=0,$Z63=""),1,PYO),0))</f>
        <v>#N/A</v>
      </c>
      <c r="Z63" s="189" t="e">
        <f ca="1">IF(OR(OP!$D$53=1,$B63=""),"",ROUND(($H63+Q63)*IF(OR($C63&lt;16,($H63+$Q63)*PY!$C$4&lt;PY!$D$5,($H63+$Q63)*PY!$C$4*PYR&lt;PY!$C$5),0,PYY)*PYR,0))</f>
        <v>#N/A</v>
      </c>
      <c r="AA63" s="113" t="str">
        <f ca="1">IF(OR(OP!$D$53=1,AND(B63&gt;OP!$C$24)),"",OP!$C$52)</f>
        <v/>
      </c>
      <c r="AB63" s="113">
        <f ca="1">IF(OR(OP!$D$53=1,$B63=""),"",N($AB62)+N($AA63))</f>
        <v>339780</v>
      </c>
      <c r="AC63" s="113"/>
      <c r="AD63" s="113"/>
      <c r="AE63" s="113"/>
      <c r="AF63" s="113"/>
      <c r="AG63" s="113"/>
      <c r="AH63" s="187" t="e">
        <f ca="1">IF(OR(OP!$D$53=1,$B63=""),"",ROUND(VLOOKUP(OP!$C$55,HL_1,$B63+1,0)*OP!$C$28,0))</f>
        <v>#N/A</v>
      </c>
      <c r="AI63" s="187" t="e">
        <f ca="1">IF(OR(OP!$D$53=1,$B63=""),"",ROUND(VLOOKUP(OP!$C$55,HL_2,$B63+1,0)*OP!$C$28,0))</f>
        <v>#N/A</v>
      </c>
    </row>
    <row r="64" spans="2:35" hidden="1">
      <c r="B64" s="93">
        <f ca="1">IF(OR(C63&gt;=OP!$F$57,C63=""),"",IF(C63+1&gt;OP!$F$57,OP!$F$57+1-$C$4,B63+1))</f>
        <v>61</v>
      </c>
      <c r="C64" s="92">
        <f ca="1">IF(OR(OP!$D$53=1,MAX($C$4:C63)&gt;=OP!$F$57),"",C63+(B64-B63))</f>
        <v>75</v>
      </c>
      <c r="D64" s="113" t="str">
        <f ca="1">IF(OR(OP!$D$53=1,AND($B64&gt;OP!$C$24)),"",OP!$C$52-IF($C64&lt;16,$K63,0))</f>
        <v/>
      </c>
      <c r="E64" s="113">
        <f ca="1">IF(OR(OP!$D$53=1,$B64=""),"",N($E63)+N($D64))</f>
        <v>339780</v>
      </c>
      <c r="F64" s="186" t="str">
        <f ca="1">IF(OR(OP!$D$53=1,$B64="",ISERROR(VLOOKUP(OP!$C$55,SRV,$B64+1,0))),"",ROUND(VLOOKUP(OP!$C$55,SRV,$B64+1,0)*OP!$C$28,0))</f>
        <v/>
      </c>
      <c r="G64" s="186" t="str">
        <f ca="1">IF(OR(OP!$D$53=1,$B64="",ISERROR(VLOOKUP(OP!$C$55,SRV,$B64+1,0))),"",N($G63)+N($F64))</f>
        <v/>
      </c>
      <c r="H64" s="186" t="e">
        <f ca="1">IF(OR(OP!$D$53=1,$B64=""),"",ROUND(VLOOKUP(OP!$C$55,DIE,$B64+1,0)*OP!$C$28,0))</f>
        <v>#N/A</v>
      </c>
      <c r="I64" s="187" t="e">
        <f ca="1">IF(OR(OP!$D$53=1,$B64=""),"",ROUND(VLOOKUP(OP!$C$55,CV,$B64+1,0)*OP!$C$28,0))</f>
        <v>#N/A</v>
      </c>
      <c r="J64" s="187" t="e">
        <f ca="1">IF(OR(OP!$D$53=1,$B64=""),"",ROUND(VLOOKUP(OP!$C$55,PA,$B64+1,0)*OP!$C$28,0))</f>
        <v>#N/A</v>
      </c>
      <c r="K64" s="186"/>
      <c r="L64" s="186"/>
      <c r="M64" s="186"/>
      <c r="N64" s="188"/>
      <c r="O64" s="188"/>
      <c r="P64" s="188"/>
      <c r="Q64" s="188"/>
      <c r="R64" s="188"/>
      <c r="S64" s="188">
        <f ca="1">IF(OR(OP!$D$53=1,$B64=""),"",N($F64)+N($O64))</f>
        <v>0</v>
      </c>
      <c r="T64" s="188">
        <f ca="1">IF(OR(OP!$D$53=1,$B64=""),0,N($T63)+N($S64))</f>
        <v>0</v>
      </c>
      <c r="U64" s="188">
        <f ca="1">IF(OR(OP!$D$53=1,$B64=""),"",ROUND($S64/12,0))</f>
        <v>0</v>
      </c>
      <c r="V64" s="188">
        <f ca="1">IF(OR(OP!$D$53=1,$B64=""),0,N($V63)+(N($U64)*12))</f>
        <v>0</v>
      </c>
      <c r="W64" s="186"/>
      <c r="X64" s="186"/>
      <c r="Y64" s="189" t="e">
        <f ca="1">IF(OR(OP!$D$53=1,$B64=""),"",ROUND(($H64+$Q64)*IF(OR($C64&lt;16,$Z64=0,$Z64=""),1,PYO),0))</f>
        <v>#N/A</v>
      </c>
      <c r="Z64" s="189" t="e">
        <f ca="1">IF(OR(OP!$D$53=1,$B64=""),"",ROUND(($H64+Q64)*IF(OR($C64&lt;16,($H64+$Q64)*PY!$C$4&lt;PY!$D$5,($H64+$Q64)*PY!$C$4*PYR&lt;PY!$C$5),0,PYY)*PYR,0))</f>
        <v>#N/A</v>
      </c>
      <c r="AA64" s="113" t="str">
        <f ca="1">IF(OR(OP!$D$53=1,AND(B64&gt;OP!$C$24)),"",OP!$C$52)</f>
        <v/>
      </c>
      <c r="AB64" s="113">
        <f ca="1">IF(OR(OP!$D$53=1,$B64=""),"",N($AB63)+N($AA64))</f>
        <v>339780</v>
      </c>
      <c r="AC64" s="113"/>
      <c r="AD64" s="113"/>
      <c r="AE64" s="113"/>
      <c r="AF64" s="113"/>
      <c r="AG64" s="113"/>
      <c r="AH64" s="187" t="e">
        <f ca="1">IF(OR(OP!$D$53=1,$B64=""),"",ROUND(VLOOKUP(OP!$C$55,HL_1,$B64+1,0)*OP!$C$28,0))</f>
        <v>#N/A</v>
      </c>
      <c r="AI64" s="187" t="e">
        <f ca="1">IF(OR(OP!$D$53=1,$B64=""),"",ROUND(VLOOKUP(OP!$C$55,HL_2,$B64+1,0)*OP!$C$28,0))</f>
        <v>#N/A</v>
      </c>
    </row>
    <row r="65" spans="2:35" hidden="1">
      <c r="B65" s="93">
        <f ca="1">IF(OR(C64&gt;=OP!$F$57,C64=""),"",IF(C64+1&gt;OP!$F$57,OP!$F$57+1-$C$4,B64+1))</f>
        <v>62</v>
      </c>
      <c r="C65" s="92">
        <f ca="1">IF(OR(OP!$D$53=1,MAX($C$4:C64)&gt;=OP!$F$57),"",C64+(B65-B64))</f>
        <v>76</v>
      </c>
      <c r="D65" s="113" t="str">
        <f ca="1">IF(OR(OP!$D$53=1,AND($B65&gt;OP!$C$24)),"",OP!$C$52-IF($C65&lt;16,$K64,0))</f>
        <v/>
      </c>
      <c r="E65" s="113">
        <f ca="1">IF(OR(OP!$D$53=1,$B65=""),"",N($E64)+N($D65))</f>
        <v>339780</v>
      </c>
      <c r="F65" s="186" t="str">
        <f ca="1">IF(OR(OP!$D$53=1,$B65="",ISERROR(VLOOKUP(OP!$C$55,SRV,$B65+1,0))),"",ROUND(VLOOKUP(OP!$C$55,SRV,$B65+1,0)*OP!$C$28,0))</f>
        <v/>
      </c>
      <c r="G65" s="186" t="str">
        <f ca="1">IF(OR(OP!$D$53=1,$B65="",ISERROR(VLOOKUP(OP!$C$55,SRV,$B65+1,0))),"",N($G64)+N($F65))</f>
        <v/>
      </c>
      <c r="H65" s="186" t="e">
        <f ca="1">IF(OR(OP!$D$53=1,$B65=""),"",ROUND(VLOOKUP(OP!$C$55,DIE,$B65+1,0)*OP!$C$28,0))</f>
        <v>#N/A</v>
      </c>
      <c r="I65" s="187" t="e">
        <f ca="1">IF(OR(OP!$D$53=1,$B65=""),"",ROUND(VLOOKUP(OP!$C$55,CV,$B65+1,0)*OP!$C$28,0))</f>
        <v>#N/A</v>
      </c>
      <c r="J65" s="187" t="e">
        <f ca="1">IF(OR(OP!$D$53=1,$B65=""),"",ROUND(VLOOKUP(OP!$C$55,PA,$B65+1,0)*OP!$C$28,0))</f>
        <v>#N/A</v>
      </c>
      <c r="K65" s="186"/>
      <c r="L65" s="186"/>
      <c r="M65" s="186"/>
      <c r="N65" s="188"/>
      <c r="O65" s="188"/>
      <c r="P65" s="188"/>
      <c r="Q65" s="188"/>
      <c r="R65" s="188"/>
      <c r="S65" s="188">
        <f ca="1">IF(OR(OP!$D$53=1,$B65=""),"",N($F65)+N($O65))</f>
        <v>0</v>
      </c>
      <c r="T65" s="188">
        <f ca="1">IF(OR(OP!$D$53=1,$B65=""),0,N($T64)+N($S65))</f>
        <v>0</v>
      </c>
      <c r="U65" s="188">
        <f ca="1">IF(OR(OP!$D$53=1,$B65=""),"",ROUND($S65/12,0))</f>
        <v>0</v>
      </c>
      <c r="V65" s="188">
        <f ca="1">IF(OR(OP!$D$53=1,$B65=""),0,N($V64)+(N($U65)*12))</f>
        <v>0</v>
      </c>
      <c r="W65" s="186"/>
      <c r="X65" s="186"/>
      <c r="Y65" s="189" t="e">
        <f ca="1">IF(OR(OP!$D$53=1,$B65=""),"",ROUND(($H65+$Q65)*IF(OR($C65&lt;16,$Z65=0,$Z65=""),1,PYO),0))</f>
        <v>#N/A</v>
      </c>
      <c r="Z65" s="189" t="e">
        <f ca="1">IF(OR(OP!$D$53=1,$B65=""),"",ROUND(($H65+Q65)*IF(OR($C65&lt;16,($H65+$Q65)*PY!$C$4&lt;PY!$D$5,($H65+$Q65)*PY!$C$4*PYR&lt;PY!$C$5),0,PYY)*PYR,0))</f>
        <v>#N/A</v>
      </c>
      <c r="AA65" s="113" t="str">
        <f ca="1">IF(OR(OP!$D$53=1,AND(B65&gt;OP!$C$24)),"",OP!$C$52)</f>
        <v/>
      </c>
      <c r="AB65" s="113">
        <f ca="1">IF(OR(OP!$D$53=1,$B65=""),"",N($AB64)+N($AA65))</f>
        <v>339780</v>
      </c>
      <c r="AC65" s="113"/>
      <c r="AD65" s="113"/>
      <c r="AE65" s="113"/>
      <c r="AF65" s="113"/>
      <c r="AG65" s="113"/>
      <c r="AH65" s="187" t="e">
        <f ca="1">IF(OR(OP!$D$53=1,$B65=""),"",ROUND(VLOOKUP(OP!$C$55,HL_1,$B65+1,0)*OP!$C$28,0))</f>
        <v>#N/A</v>
      </c>
      <c r="AI65" s="187" t="e">
        <f ca="1">IF(OR(OP!$D$53=1,$B65=""),"",ROUND(VLOOKUP(OP!$C$55,HL_2,$B65+1,0)*OP!$C$28,0))</f>
        <v>#N/A</v>
      </c>
    </row>
    <row r="66" spans="2:35" hidden="1">
      <c r="B66" s="93">
        <f ca="1">IF(OR(C65&gt;=OP!$F$57,C65=""),"",IF(C65+1&gt;OP!$F$57,OP!$F$57+1-$C$4,B65+1))</f>
        <v>63</v>
      </c>
      <c r="C66" s="92">
        <f ca="1">IF(OR(OP!$D$53=1,MAX($C$4:C65)&gt;=OP!$F$57),"",C65+(B66-B65))</f>
        <v>77</v>
      </c>
      <c r="D66" s="113" t="str">
        <f ca="1">IF(OR(OP!$D$53=1,AND($B66&gt;OP!$C$24)),"",OP!$C$52-IF($C66&lt;16,$K65,0))</f>
        <v/>
      </c>
      <c r="E66" s="113">
        <f ca="1">IF(OR(OP!$D$53=1,$B66=""),"",N($E65)+N($D66))</f>
        <v>339780</v>
      </c>
      <c r="F66" s="186" t="str">
        <f ca="1">IF(OR(OP!$D$53=1,$B66="",ISERROR(VLOOKUP(OP!$C$55,SRV,$B66+1,0))),"",ROUND(VLOOKUP(OP!$C$55,SRV,$B66+1,0)*OP!$C$28,0))</f>
        <v/>
      </c>
      <c r="G66" s="186" t="str">
        <f ca="1">IF(OR(OP!$D$53=1,$B66="",ISERROR(VLOOKUP(OP!$C$55,SRV,$B66+1,0))),"",N($G65)+N($F66))</f>
        <v/>
      </c>
      <c r="H66" s="186" t="e">
        <f ca="1">IF(OR(OP!$D$53=1,$B66=""),"",ROUND(VLOOKUP(OP!$C$55,DIE,$B66+1,0)*OP!$C$28,0))</f>
        <v>#N/A</v>
      </c>
      <c r="I66" s="187" t="e">
        <f ca="1">IF(OR(OP!$D$53=1,$B66=""),"",ROUND(VLOOKUP(OP!$C$55,CV,$B66+1,0)*OP!$C$28,0))</f>
        <v>#N/A</v>
      </c>
      <c r="J66" s="187" t="e">
        <f ca="1">IF(OR(OP!$D$53=1,$B66=""),"",ROUND(VLOOKUP(OP!$C$55,PA,$B66+1,0)*OP!$C$28,0))</f>
        <v>#N/A</v>
      </c>
      <c r="K66" s="186"/>
      <c r="L66" s="186"/>
      <c r="M66" s="186"/>
      <c r="N66" s="188"/>
      <c r="O66" s="188"/>
      <c r="P66" s="188"/>
      <c r="Q66" s="188"/>
      <c r="R66" s="188"/>
      <c r="S66" s="188">
        <f ca="1">IF(OR(OP!$D$53=1,$B66=""),"",N($F66)+N($O66))</f>
        <v>0</v>
      </c>
      <c r="T66" s="188">
        <f ca="1">IF(OR(OP!$D$53=1,$B66=""),0,N($T65)+N($S66))</f>
        <v>0</v>
      </c>
      <c r="U66" s="188">
        <f ca="1">IF(OR(OP!$D$53=1,$B66=""),"",ROUND($S66/12,0))</f>
        <v>0</v>
      </c>
      <c r="V66" s="188">
        <f ca="1">IF(OR(OP!$D$53=1,$B66=""),0,N($V65)+(N($U66)*12))</f>
        <v>0</v>
      </c>
      <c r="W66" s="186"/>
      <c r="X66" s="186"/>
      <c r="Y66" s="189" t="e">
        <f ca="1">IF(OR(OP!$D$53=1,$B66=""),"",ROUND(($H66+$Q66)*IF(OR($C66&lt;16,$Z66=0,$Z66=""),1,PYO),0))</f>
        <v>#N/A</v>
      </c>
      <c r="Z66" s="189" t="e">
        <f ca="1">IF(OR(OP!$D$53=1,$B66=""),"",ROUND(($H66+Q66)*IF(OR($C66&lt;16,($H66+$Q66)*PY!$C$4&lt;PY!$D$5,($H66+$Q66)*PY!$C$4*PYR&lt;PY!$C$5),0,PYY)*PYR,0))</f>
        <v>#N/A</v>
      </c>
      <c r="AA66" s="113" t="str">
        <f ca="1">IF(OR(OP!$D$53=1,AND(B66&gt;OP!$C$24)),"",OP!$C$52)</f>
        <v/>
      </c>
      <c r="AB66" s="113">
        <f ca="1">IF(OR(OP!$D$53=1,$B66=""),"",N($AB65)+N($AA66))</f>
        <v>339780</v>
      </c>
      <c r="AC66" s="113"/>
      <c r="AD66" s="113"/>
      <c r="AE66" s="113"/>
      <c r="AF66" s="113"/>
      <c r="AG66" s="113"/>
      <c r="AH66" s="187" t="e">
        <f ca="1">IF(OR(OP!$D$53=1,$B66=""),"",ROUND(VLOOKUP(OP!$C$55,HL_1,$B66+1,0)*OP!$C$28,0))</f>
        <v>#N/A</v>
      </c>
      <c r="AI66" s="187" t="e">
        <f ca="1">IF(OR(OP!$D$53=1,$B66=""),"",ROUND(VLOOKUP(OP!$C$55,HL_2,$B66+1,0)*OP!$C$28,0))</f>
        <v>#N/A</v>
      </c>
    </row>
    <row r="67" spans="2:35" hidden="1">
      <c r="B67" s="93">
        <f ca="1">IF(OR(C66&gt;=OP!$F$57,C66=""),"",IF(C66+1&gt;OP!$F$57,OP!$F$57+1-$C$4,B66+1))</f>
        <v>64</v>
      </c>
      <c r="C67" s="92">
        <f ca="1">IF(OR(OP!$D$53=1,MAX($C$4:C66)&gt;=OP!$F$57),"",C66+(B67-B66))</f>
        <v>78</v>
      </c>
      <c r="D67" s="113" t="str">
        <f ca="1">IF(OR(OP!$D$53=1,AND($B67&gt;OP!$C$24)),"",OP!$C$52-IF($C67&lt;16,$K66,0))</f>
        <v/>
      </c>
      <c r="E67" s="113">
        <f ca="1">IF(OR(OP!$D$53=1,$B67=""),"",N($E66)+N($D67))</f>
        <v>339780</v>
      </c>
      <c r="F67" s="186" t="str">
        <f ca="1">IF(OR(OP!$D$53=1,$B67="",ISERROR(VLOOKUP(OP!$C$55,SRV,$B67+1,0))),"",ROUND(VLOOKUP(OP!$C$55,SRV,$B67+1,0)*OP!$C$28,0))</f>
        <v/>
      </c>
      <c r="G67" s="186" t="str">
        <f ca="1">IF(OR(OP!$D$53=1,$B67="",ISERROR(VLOOKUP(OP!$C$55,SRV,$B67+1,0))),"",N($G66)+N($F67))</f>
        <v/>
      </c>
      <c r="H67" s="186" t="e">
        <f ca="1">IF(OR(OP!$D$53=1,$B67=""),"",ROUND(VLOOKUP(OP!$C$55,DIE,$B67+1,0)*OP!$C$28,0))</f>
        <v>#N/A</v>
      </c>
      <c r="I67" s="187" t="e">
        <f ca="1">IF(OR(OP!$D$53=1,$B67=""),"",ROUND(VLOOKUP(OP!$C$55,CV,$B67+1,0)*OP!$C$28,0))</f>
        <v>#N/A</v>
      </c>
      <c r="J67" s="187" t="e">
        <f ca="1">IF(OR(OP!$D$53=1,$B67=""),"",ROUND(VLOOKUP(OP!$C$55,PA,$B67+1,0)*OP!$C$28,0))</f>
        <v>#N/A</v>
      </c>
      <c r="K67" s="186"/>
      <c r="L67" s="186"/>
      <c r="M67" s="186"/>
      <c r="N67" s="188"/>
      <c r="O67" s="188"/>
      <c r="P67" s="188"/>
      <c r="Q67" s="188"/>
      <c r="R67" s="188"/>
      <c r="S67" s="188">
        <f ca="1">IF(OR(OP!$D$53=1,$B67=""),"",N($F67)+N($O67))</f>
        <v>0</v>
      </c>
      <c r="T67" s="188">
        <f ca="1">IF(OR(OP!$D$53=1,$B67=""),0,N($T66)+N($S67))</f>
        <v>0</v>
      </c>
      <c r="U67" s="188">
        <f ca="1">IF(OR(OP!$D$53=1,$B67=""),"",ROUND($S67/12,0))</f>
        <v>0</v>
      </c>
      <c r="V67" s="188">
        <f ca="1">IF(OR(OP!$D$53=1,$B67=""),0,N($V66)+(N($U67)*12))</f>
        <v>0</v>
      </c>
      <c r="W67" s="186"/>
      <c r="X67" s="186"/>
      <c r="Y67" s="189" t="e">
        <f ca="1">IF(OR(OP!$D$53=1,$B67=""),"",ROUND(($H67+$Q67)*IF(OR($C67&lt;16,$Z67=0,$Z67=""),1,PYO),0))</f>
        <v>#N/A</v>
      </c>
      <c r="Z67" s="189" t="e">
        <f ca="1">IF(OR(OP!$D$53=1,$B67=""),"",ROUND(($H67+Q67)*IF(OR($C67&lt;16,($H67+$Q67)*PY!$C$4&lt;PY!$D$5,($H67+$Q67)*PY!$C$4*PYR&lt;PY!$C$5),0,PYY)*PYR,0))</f>
        <v>#N/A</v>
      </c>
      <c r="AA67" s="113" t="str">
        <f ca="1">IF(OR(OP!$D$53=1,AND(B67&gt;OP!$C$24)),"",OP!$C$52)</f>
        <v/>
      </c>
      <c r="AB67" s="113">
        <f ca="1">IF(OR(OP!$D$53=1,$B67=""),"",N($AB66)+N($AA67))</f>
        <v>339780</v>
      </c>
      <c r="AC67" s="113"/>
      <c r="AD67" s="113"/>
      <c r="AE67" s="113"/>
      <c r="AF67" s="113"/>
      <c r="AG67" s="113"/>
      <c r="AH67" s="187" t="e">
        <f ca="1">IF(OR(OP!$D$53=1,$B67=""),"",ROUND(VLOOKUP(OP!$C$55,HL_1,$B67+1,0)*OP!$C$28,0))</f>
        <v>#N/A</v>
      </c>
      <c r="AI67" s="187" t="e">
        <f ca="1">IF(OR(OP!$D$53=1,$B67=""),"",ROUND(VLOOKUP(OP!$C$55,HL_2,$B67+1,0)*OP!$C$28,0))</f>
        <v>#N/A</v>
      </c>
    </row>
    <row r="68" spans="2:35" hidden="1">
      <c r="B68" s="93">
        <f ca="1">IF(OR(C67&gt;=OP!$F$57,C67=""),"",IF(C67+1&gt;OP!$F$57,OP!$F$57+1-$C$4,B67+1))</f>
        <v>65</v>
      </c>
      <c r="C68" s="92">
        <f ca="1">IF(OR(OP!$D$53=1,MAX($C$4:C67)&gt;=OP!$F$57),"",C67+(B68-B67))</f>
        <v>79</v>
      </c>
      <c r="D68" s="113" t="str">
        <f ca="1">IF(OR(OP!$D$53=1,AND($B68&gt;OP!$C$24)),"",OP!$C$52-IF($C68&lt;16,$K67,0))</f>
        <v/>
      </c>
      <c r="E68" s="113">
        <f ca="1">IF(OR(OP!$D$53=1,$B68=""),"",N($E67)+N($D68))</f>
        <v>339780</v>
      </c>
      <c r="F68" s="186" t="str">
        <f ca="1">IF(OR(OP!$D$53=1,$B68="",ISERROR(VLOOKUP(OP!$C$55,SRV,$B68+1,0))),"",ROUND(VLOOKUP(OP!$C$55,SRV,$B68+1,0)*OP!$C$28,0))</f>
        <v/>
      </c>
      <c r="G68" s="186" t="str">
        <f ca="1">IF(OR(OP!$D$53=1,$B68="",ISERROR(VLOOKUP(OP!$C$55,SRV,$B68+1,0))),"",N($G67)+N($F68))</f>
        <v/>
      </c>
      <c r="H68" s="186" t="e">
        <f ca="1">IF(OR(OP!$D$53=1,$B68=""),"",ROUND(VLOOKUP(OP!$C$55,DIE,$B68+1,0)*OP!$C$28,0))</f>
        <v>#N/A</v>
      </c>
      <c r="I68" s="187" t="e">
        <f ca="1">IF(OR(OP!$D$53=1,$B68=""),"",ROUND(VLOOKUP(OP!$C$55,CV,$B68+1,0)*OP!$C$28,0))</f>
        <v>#N/A</v>
      </c>
      <c r="J68" s="187" t="e">
        <f ca="1">IF(OR(OP!$D$53=1,$B68=""),"",ROUND(VLOOKUP(OP!$C$55,PA,$B68+1,0)*OP!$C$28,0))</f>
        <v>#N/A</v>
      </c>
      <c r="K68" s="186"/>
      <c r="L68" s="186"/>
      <c r="M68" s="186"/>
      <c r="N68" s="188"/>
      <c r="O68" s="188"/>
      <c r="P68" s="188"/>
      <c r="Q68" s="188"/>
      <c r="R68" s="188"/>
      <c r="S68" s="188">
        <f ca="1">IF(OR(OP!$D$53=1,$B68=""),"",N($F68)+N($O68))</f>
        <v>0</v>
      </c>
      <c r="T68" s="188">
        <f ca="1">IF(OR(OP!$D$53=1,$B68=""),0,N($T67)+N($S68))</f>
        <v>0</v>
      </c>
      <c r="U68" s="188">
        <f ca="1">IF(OR(OP!$D$53=1,$B68=""),"",ROUND($S68/12,0))</f>
        <v>0</v>
      </c>
      <c r="V68" s="188">
        <f ca="1">IF(OR(OP!$D$53=1,$B68=""),0,N($V67)+(N($U68)*12))</f>
        <v>0</v>
      </c>
      <c r="W68" s="186"/>
      <c r="X68" s="186"/>
      <c r="Y68" s="189" t="e">
        <f ca="1">IF(OR(OP!$D$53=1,$B68=""),"",ROUND(($H68+$Q68)*IF(OR($C68&lt;16,$Z68=0,$Z68=""),1,PYO),0))</f>
        <v>#N/A</v>
      </c>
      <c r="Z68" s="189" t="e">
        <f ca="1">IF(OR(OP!$D$53=1,$B68=""),"",ROUND(($H68+Q68)*IF(OR($C68&lt;16,($H68+$Q68)*PY!$C$4&lt;PY!$D$5,($H68+$Q68)*PY!$C$4*PYR&lt;PY!$C$5),0,PYY)*PYR,0))</f>
        <v>#N/A</v>
      </c>
      <c r="AA68" s="113" t="str">
        <f ca="1">IF(OR(OP!$D$53=1,AND(B68&gt;OP!$C$24)),"",OP!$C$52)</f>
        <v/>
      </c>
      <c r="AB68" s="113">
        <f ca="1">IF(OR(OP!$D$53=1,$B68=""),"",N($AB67)+N($AA68))</f>
        <v>339780</v>
      </c>
      <c r="AC68" s="113"/>
      <c r="AD68" s="113"/>
      <c r="AE68" s="113"/>
      <c r="AF68" s="113"/>
      <c r="AG68" s="113"/>
      <c r="AH68" s="187" t="e">
        <f ca="1">IF(OR(OP!$D$53=1,$B68=""),"",ROUND(VLOOKUP(OP!$C$55,HL_1,$B68+1,0)*OP!$C$28,0))</f>
        <v>#N/A</v>
      </c>
      <c r="AI68" s="187" t="e">
        <f ca="1">IF(OR(OP!$D$53=1,$B68=""),"",ROUND(VLOOKUP(OP!$C$55,HL_2,$B68+1,0)*OP!$C$28,0))</f>
        <v>#N/A</v>
      </c>
    </row>
    <row r="69" spans="2:35" hidden="1">
      <c r="B69" s="93">
        <f ca="1">IF(OR(C68&gt;=OP!$F$57,C68=""),"",IF(C68+1&gt;OP!$F$57,OP!$F$57+1-$C$4,B68+1))</f>
        <v>66</v>
      </c>
      <c r="C69" s="92">
        <f ca="1">IF(OR(OP!$D$53=1,MAX($C$4:C68)&gt;=OP!$F$57),"",C68+(B69-B68))</f>
        <v>80</v>
      </c>
      <c r="D69" s="113" t="str">
        <f ca="1">IF(OR(OP!$D$53=1,AND($B69&gt;OP!$C$24)),"",OP!$C$52-IF($C69&lt;16,$K68,0))</f>
        <v/>
      </c>
      <c r="E69" s="113">
        <f ca="1">IF(OR(OP!$D$53=1,$B69=""),"",N($E68)+N($D69))</f>
        <v>339780</v>
      </c>
      <c r="F69" s="186" t="str">
        <f ca="1">IF(OR(OP!$D$53=1,$B69="",ISERROR(VLOOKUP(OP!$C$55,SRV,$B69+1,0))),"",ROUND(VLOOKUP(OP!$C$55,SRV,$B69+1,0)*OP!$C$28,0))</f>
        <v/>
      </c>
      <c r="G69" s="186" t="str">
        <f ca="1">IF(OR(OP!$D$53=1,$B69="",ISERROR(VLOOKUP(OP!$C$55,SRV,$B69+1,0))),"",N($G68)+N($F69))</f>
        <v/>
      </c>
      <c r="H69" s="186" t="e">
        <f ca="1">IF(OR(OP!$D$53=1,$B69=""),"",ROUND(VLOOKUP(OP!$C$55,DIE,$B69+1,0)*OP!$C$28,0))</f>
        <v>#N/A</v>
      </c>
      <c r="I69" s="187" t="e">
        <f ca="1">IF(OR(OP!$D$53=1,$B69=""),"",ROUND(VLOOKUP(OP!$C$55,CV,$B69+1,0)*OP!$C$28,0))</f>
        <v>#N/A</v>
      </c>
      <c r="J69" s="187" t="e">
        <f ca="1">IF(OR(OP!$D$53=1,$B69=""),"",ROUND(VLOOKUP(OP!$C$55,PA,$B69+1,0)*OP!$C$28,0))</f>
        <v>#N/A</v>
      </c>
      <c r="K69" s="186"/>
      <c r="L69" s="186"/>
      <c r="M69" s="186"/>
      <c r="N69" s="188"/>
      <c r="O69" s="188"/>
      <c r="P69" s="188"/>
      <c r="Q69" s="188"/>
      <c r="R69" s="188"/>
      <c r="S69" s="188">
        <f ca="1">IF(OR(OP!$D$53=1,$B69=""),"",N($F69)+N($O69))</f>
        <v>0</v>
      </c>
      <c r="T69" s="188">
        <f ca="1">IF(OR(OP!$D$53=1,$B69=""),0,N($T68)+N($S69))</f>
        <v>0</v>
      </c>
      <c r="U69" s="188">
        <f ca="1">IF(OR(OP!$D$53=1,$B69=""),"",ROUND($S69/12,0))</f>
        <v>0</v>
      </c>
      <c r="V69" s="188">
        <f ca="1">IF(OR(OP!$D$53=1,$B69=""),0,N($V68)+(N($U69)*12))</f>
        <v>0</v>
      </c>
      <c r="W69" s="186"/>
      <c r="X69" s="186"/>
      <c r="Y69" s="189" t="e">
        <f ca="1">IF(OR(OP!$D$53=1,$B69=""),"",ROUND(($H69+$Q69)*IF(OR($C69&lt;16,$Z69=0,$Z69=""),1,PYO),0))</f>
        <v>#N/A</v>
      </c>
      <c r="Z69" s="189" t="e">
        <f ca="1">IF(OR(OP!$D$53=1,$B69=""),"",ROUND(($H69+Q69)*IF(OR($C69&lt;16,($H69+$Q69)*PY!$C$4&lt;PY!$D$5,($H69+$Q69)*PY!$C$4*PYR&lt;PY!$C$5),0,PYY)*PYR,0))</f>
        <v>#N/A</v>
      </c>
      <c r="AA69" s="113" t="str">
        <f ca="1">IF(OR(OP!$D$53=1,AND(B69&gt;OP!$C$24)),"",OP!$C$52)</f>
        <v/>
      </c>
      <c r="AB69" s="113">
        <f ca="1">IF(OR(OP!$D$53=1,$B69=""),"",N($AB68)+N($AA69))</f>
        <v>339780</v>
      </c>
      <c r="AC69" s="113"/>
      <c r="AD69" s="113"/>
      <c r="AE69" s="113"/>
      <c r="AF69" s="113"/>
      <c r="AG69" s="113"/>
      <c r="AH69" s="187" t="e">
        <f ca="1">IF(OR(OP!$D$53=1,$B69=""),"",ROUND(VLOOKUP(OP!$C$55,HL_1,$B69+1,0)*OP!$C$28,0))</f>
        <v>#N/A</v>
      </c>
      <c r="AI69" s="187" t="e">
        <f ca="1">IF(OR(OP!$D$53=1,$B69=""),"",ROUND(VLOOKUP(OP!$C$55,HL_2,$B69+1,0)*OP!$C$28,0))</f>
        <v>#N/A</v>
      </c>
    </row>
    <row r="70" spans="2:35" hidden="1">
      <c r="B70" s="93">
        <f ca="1">IF(OR(C69&gt;=OP!$F$57,C69=""),"",IF(C69+1&gt;OP!$F$57,OP!$F$57+1-$C$4,B69+1))</f>
        <v>67</v>
      </c>
      <c r="C70" s="92">
        <f ca="1">IF(OR(OP!$D$53=1,MAX($C$4:C69)&gt;=OP!$F$57),"",C69+(B70-B69))</f>
        <v>81</v>
      </c>
      <c r="D70" s="113" t="str">
        <f ca="1">IF(OR(OP!$D$53=1,AND($B70&gt;OP!$C$24)),"",OP!$C$52-IF($C70&lt;16,$K69,0))</f>
        <v/>
      </c>
      <c r="E70" s="113">
        <f ca="1">IF(OR(OP!$D$53=1,$B70=""),"",N($E69)+N($D70))</f>
        <v>339780</v>
      </c>
      <c r="F70" s="186" t="str">
        <f ca="1">IF(OR(OP!$D$53=1,$B70="",ISERROR(VLOOKUP(OP!$C$55,SRV,$B70+1,0))),"",ROUND(VLOOKUP(OP!$C$55,SRV,$B70+1,0)*OP!$C$28,0))</f>
        <v/>
      </c>
      <c r="G70" s="186" t="str">
        <f ca="1">IF(OR(OP!$D$53=1,$B70="",ISERROR(VLOOKUP(OP!$C$55,SRV,$B70+1,0))),"",N($G69)+N($F70))</f>
        <v/>
      </c>
      <c r="H70" s="186" t="e">
        <f ca="1">IF(OR(OP!$D$53=1,$B70=""),"",ROUND(VLOOKUP(OP!$C$55,DIE,$B70+1,0)*OP!$C$28,0))</f>
        <v>#N/A</v>
      </c>
      <c r="I70" s="187" t="e">
        <f ca="1">IF(OR(OP!$D$53=1,$B70=""),"",ROUND(VLOOKUP(OP!$C$55,CV,$B70+1,0)*OP!$C$28,0))</f>
        <v>#N/A</v>
      </c>
      <c r="J70" s="187" t="e">
        <f ca="1">IF(OR(OP!$D$53=1,$B70=""),"",ROUND(VLOOKUP(OP!$C$55,PA,$B70+1,0)*OP!$C$28,0))</f>
        <v>#N/A</v>
      </c>
      <c r="K70" s="186"/>
      <c r="L70" s="186"/>
      <c r="M70" s="186"/>
      <c r="N70" s="188"/>
      <c r="O70" s="188"/>
      <c r="P70" s="188"/>
      <c r="Q70" s="188"/>
      <c r="R70" s="188"/>
      <c r="S70" s="188">
        <f ca="1">IF(OR(OP!$D$53=1,$B70=""),"",N($F70)+N($O70))</f>
        <v>0</v>
      </c>
      <c r="T70" s="188">
        <f ca="1">IF(OR(OP!$D$53=1,$B70=""),0,N($T69)+N($S70))</f>
        <v>0</v>
      </c>
      <c r="U70" s="188">
        <f ca="1">IF(OR(OP!$D$53=1,$B70=""),"",ROUND($S70/12,0))</f>
        <v>0</v>
      </c>
      <c r="V70" s="188">
        <f ca="1">IF(OR(OP!$D$53=1,$B70=""),0,N($V69)+(N($U70)*12))</f>
        <v>0</v>
      </c>
      <c r="W70" s="186"/>
      <c r="X70" s="186"/>
      <c r="Y70" s="189" t="e">
        <f ca="1">IF(OR(OP!$D$53=1,$B70=""),"",ROUND(($H70+$Q70)*IF(OR($C70&lt;16,$Z70=0,$Z70=""),1,PYO),0))</f>
        <v>#N/A</v>
      </c>
      <c r="Z70" s="189" t="e">
        <f ca="1">IF(OR(OP!$D$53=1,$B70=""),"",ROUND(($H70+Q70)*IF(OR($C70&lt;16,($H70+$Q70)*PY!$C$4&lt;PY!$D$5,($H70+$Q70)*PY!$C$4*PYR&lt;PY!$C$5),0,PYY)*PYR,0))</f>
        <v>#N/A</v>
      </c>
      <c r="AA70" s="113" t="str">
        <f ca="1">IF(OR(OP!$D$53=1,AND(B70&gt;OP!$C$24)),"",OP!$C$52)</f>
        <v/>
      </c>
      <c r="AB70" s="113">
        <f ca="1">IF(OR(OP!$D$53=1,$B70=""),"",N($AB69)+N($AA70))</f>
        <v>339780</v>
      </c>
      <c r="AC70" s="113"/>
      <c r="AD70" s="113"/>
      <c r="AE70" s="113"/>
      <c r="AF70" s="113"/>
      <c r="AG70" s="113"/>
      <c r="AH70" s="187" t="e">
        <f ca="1">IF(OR(OP!$D$53=1,$B70=""),"",ROUND(VLOOKUP(OP!$C$55,HL_1,$B70+1,0)*OP!$C$28,0))</f>
        <v>#N/A</v>
      </c>
      <c r="AI70" s="187" t="e">
        <f ca="1">IF(OR(OP!$D$53=1,$B70=""),"",ROUND(VLOOKUP(OP!$C$55,HL_2,$B70+1,0)*OP!$C$28,0))</f>
        <v>#N/A</v>
      </c>
    </row>
    <row r="71" spans="2:35" hidden="1">
      <c r="B71" s="93">
        <f ca="1">IF(OR(C70&gt;=OP!$F$57,C70=""),"",IF(C70+1&gt;OP!$F$57,OP!$F$57+1-$C$4,B70+1))</f>
        <v>68</v>
      </c>
      <c r="C71" s="92">
        <f ca="1">IF(OR(OP!$D$53=1,MAX($C$4:C70)&gt;=OP!$F$57),"",C70+(B71-B70))</f>
        <v>82</v>
      </c>
      <c r="D71" s="113" t="str">
        <f ca="1">IF(OR(OP!$D$53=1,AND($B71&gt;OP!$C$24)),"",OP!$C$52-IF($C71&lt;16,$K70,0))</f>
        <v/>
      </c>
      <c r="E71" s="113">
        <f ca="1">IF(OR(OP!$D$53=1,$B71=""),"",N($E70)+N($D71))</f>
        <v>339780</v>
      </c>
      <c r="F71" s="186" t="str">
        <f ca="1">IF(OR(OP!$D$53=1,$B71="",ISERROR(VLOOKUP(OP!$C$55,SRV,$B71+1,0))),"",ROUND(VLOOKUP(OP!$C$55,SRV,$B71+1,0)*OP!$C$28,0))</f>
        <v/>
      </c>
      <c r="G71" s="186" t="str">
        <f ca="1">IF(OR(OP!$D$53=1,$B71="",ISERROR(VLOOKUP(OP!$C$55,SRV,$B71+1,0))),"",N($G70)+N($F71))</f>
        <v/>
      </c>
      <c r="H71" s="186" t="e">
        <f ca="1">IF(OR(OP!$D$53=1,$B71=""),"",ROUND(VLOOKUP(OP!$C$55,DIE,$B71+1,0)*OP!$C$28,0))</f>
        <v>#N/A</v>
      </c>
      <c r="I71" s="187" t="e">
        <f ca="1">IF(OR(OP!$D$53=1,$B71=""),"",ROUND(VLOOKUP(OP!$C$55,CV,$B71+1,0)*OP!$C$28,0))</f>
        <v>#N/A</v>
      </c>
      <c r="J71" s="187" t="e">
        <f ca="1">IF(OR(OP!$D$53=1,$B71=""),"",ROUND(VLOOKUP(OP!$C$55,PA,$B71+1,0)*OP!$C$28,0))</f>
        <v>#N/A</v>
      </c>
      <c r="K71" s="186"/>
      <c r="L71" s="186"/>
      <c r="M71" s="186"/>
      <c r="N71" s="188"/>
      <c r="O71" s="188"/>
      <c r="P71" s="188"/>
      <c r="Q71" s="188"/>
      <c r="R71" s="188"/>
      <c r="S71" s="188">
        <f ca="1">IF(OR(OP!$D$53=1,$B71=""),"",N($F71)+N($O71))</f>
        <v>0</v>
      </c>
      <c r="T71" s="188">
        <f ca="1">IF(OR(OP!$D$53=1,$B71=""),0,N($T70)+N($S71))</f>
        <v>0</v>
      </c>
      <c r="U71" s="188">
        <f ca="1">IF(OR(OP!$D$53=1,$B71=""),"",ROUND($S71/12,0))</f>
        <v>0</v>
      </c>
      <c r="V71" s="188">
        <f ca="1">IF(OR(OP!$D$53=1,$B71=""),0,N($V70)+(N($U71)*12))</f>
        <v>0</v>
      </c>
      <c r="W71" s="186"/>
      <c r="X71" s="186"/>
      <c r="Y71" s="189" t="e">
        <f ca="1">IF(OR(OP!$D$53=1,$B71=""),"",ROUND(($H71+$Q71)*IF(OR($C71&lt;16,$Z71=0,$Z71=""),1,PYO),0))</f>
        <v>#N/A</v>
      </c>
      <c r="Z71" s="189" t="e">
        <f ca="1">IF(OR(OP!$D$53=1,$B71=""),"",ROUND(($H71+Q71)*IF(OR($C71&lt;16,($H71+$Q71)*PY!$C$4&lt;PY!$D$5,($H71+$Q71)*PY!$C$4*PYR&lt;PY!$C$5),0,PYY)*PYR,0))</f>
        <v>#N/A</v>
      </c>
      <c r="AA71" s="113" t="str">
        <f ca="1">IF(OR(OP!$D$53=1,AND(B71&gt;OP!$C$24)),"",OP!$C$52)</f>
        <v/>
      </c>
      <c r="AB71" s="113">
        <f ca="1">IF(OR(OP!$D$53=1,$B71=""),"",N($AB70)+N($AA71))</f>
        <v>339780</v>
      </c>
      <c r="AC71" s="113"/>
      <c r="AD71" s="113"/>
      <c r="AE71" s="113"/>
      <c r="AF71" s="113"/>
      <c r="AG71" s="113"/>
      <c r="AH71" s="187" t="e">
        <f ca="1">IF(OR(OP!$D$53=1,$B71=""),"",ROUND(VLOOKUP(OP!$C$55,HL_1,$B71+1,0)*OP!$C$28,0))</f>
        <v>#N/A</v>
      </c>
      <c r="AI71" s="187" t="e">
        <f ca="1">IF(OR(OP!$D$53=1,$B71=""),"",ROUND(VLOOKUP(OP!$C$55,HL_2,$B71+1,0)*OP!$C$28,0))</f>
        <v>#N/A</v>
      </c>
    </row>
    <row r="72" spans="2:35" hidden="1">
      <c r="B72" s="93">
        <f ca="1">IF(OR(C71&gt;=OP!$F$57,C71=""),"",IF(C71+1&gt;OP!$F$57,OP!$F$57+1-$C$4,B71+1))</f>
        <v>69</v>
      </c>
      <c r="C72" s="92">
        <f ca="1">IF(OR(OP!$D$53=1,MAX($C$4:C71)&gt;=OP!$F$57),"",C71+(B72-B71))</f>
        <v>83</v>
      </c>
      <c r="D72" s="113" t="str">
        <f ca="1">IF(OR(OP!$D$53=1,AND($B72&gt;OP!$C$24)),"",OP!$C$52-IF($C72&lt;16,$K71,0))</f>
        <v/>
      </c>
      <c r="E72" s="113">
        <f ca="1">IF(OR(OP!$D$53=1,$B72=""),"",N($E71)+N($D72))</f>
        <v>339780</v>
      </c>
      <c r="F72" s="186" t="str">
        <f ca="1">IF(OR(OP!$D$53=1,$B72="",ISERROR(VLOOKUP(OP!$C$55,SRV,$B72+1,0))),"",ROUND(VLOOKUP(OP!$C$55,SRV,$B72+1,0)*OP!$C$28,0))</f>
        <v/>
      </c>
      <c r="G72" s="186" t="str">
        <f ca="1">IF(OR(OP!$D$53=1,$B72="",ISERROR(VLOOKUP(OP!$C$55,SRV,$B72+1,0))),"",N($G71)+N($F72))</f>
        <v/>
      </c>
      <c r="H72" s="186" t="e">
        <f ca="1">IF(OR(OP!$D$53=1,$B72=""),"",ROUND(VLOOKUP(OP!$C$55,DIE,$B72+1,0)*OP!$C$28,0))</f>
        <v>#N/A</v>
      </c>
      <c r="I72" s="187" t="e">
        <f ca="1">IF(OR(OP!$D$53=1,$B72=""),"",ROUND(VLOOKUP(OP!$C$55,CV,$B72+1,0)*OP!$C$28,0))</f>
        <v>#N/A</v>
      </c>
      <c r="J72" s="187" t="e">
        <f ca="1">IF(OR(OP!$D$53=1,$B72=""),"",ROUND(VLOOKUP(OP!$C$55,PA,$B72+1,0)*OP!$C$28,0))</f>
        <v>#N/A</v>
      </c>
      <c r="K72" s="186"/>
      <c r="L72" s="186"/>
      <c r="M72" s="186"/>
      <c r="N72" s="188"/>
      <c r="O72" s="188"/>
      <c r="P72" s="188"/>
      <c r="Q72" s="188"/>
      <c r="R72" s="188"/>
      <c r="S72" s="188">
        <f ca="1">IF(OR(OP!$D$53=1,$B72=""),"",N($F72)+N($O72))</f>
        <v>0</v>
      </c>
      <c r="T72" s="188">
        <f ca="1">IF(OR(OP!$D$53=1,$B72=""),0,N($T71)+N($S72))</f>
        <v>0</v>
      </c>
      <c r="U72" s="188">
        <f ca="1">IF(OR(OP!$D$53=1,$B72=""),"",ROUND($S72/12,0))</f>
        <v>0</v>
      </c>
      <c r="V72" s="188">
        <f ca="1">IF(OR(OP!$D$53=1,$B72=""),0,N($V71)+(N($U72)*12))</f>
        <v>0</v>
      </c>
      <c r="W72" s="186"/>
      <c r="X72" s="186"/>
      <c r="Y72" s="189" t="e">
        <f ca="1">IF(OR(OP!$D$53=1,$B72=""),"",ROUND(($H72+$Q72)*IF(OR($C72&lt;16,$Z72=0,$Z72=""),1,PYO),0))</f>
        <v>#N/A</v>
      </c>
      <c r="Z72" s="189" t="e">
        <f ca="1">IF(OR(OP!$D$53=1,$B72=""),"",ROUND(($H72+Q72)*IF(OR($C72&lt;16,($H72+$Q72)*PY!$C$4&lt;PY!$D$5,($H72+$Q72)*PY!$C$4*PYR&lt;PY!$C$5),0,PYY)*PYR,0))</f>
        <v>#N/A</v>
      </c>
      <c r="AA72" s="113" t="str">
        <f ca="1">IF(OR(OP!$D$53=1,AND(B72&gt;OP!$C$24)),"",OP!$C$52)</f>
        <v/>
      </c>
      <c r="AB72" s="113">
        <f ca="1">IF(OR(OP!$D$53=1,$B72=""),"",N($AB71)+N($AA72))</f>
        <v>339780</v>
      </c>
      <c r="AC72" s="113"/>
      <c r="AD72" s="113"/>
      <c r="AE72" s="113"/>
      <c r="AF72" s="113"/>
      <c r="AG72" s="113"/>
      <c r="AH72" s="187" t="e">
        <f ca="1">IF(OR(OP!$D$53=1,$B72=""),"",ROUND(VLOOKUP(OP!$C$55,HL_1,$B72+1,0)*OP!$C$28,0))</f>
        <v>#N/A</v>
      </c>
      <c r="AI72" s="187" t="e">
        <f ca="1">IF(OR(OP!$D$53=1,$B72=""),"",ROUND(VLOOKUP(OP!$C$55,HL_2,$B72+1,0)*OP!$C$28,0))</f>
        <v>#N/A</v>
      </c>
    </row>
    <row r="73" spans="2:35" hidden="1">
      <c r="B73" s="93">
        <f ca="1">IF(OR(C72&gt;=OP!$F$57,C72=""),"",IF(C72+1&gt;OP!$F$57,OP!$F$57+1-$C$4,B72+1))</f>
        <v>70</v>
      </c>
      <c r="C73" s="92">
        <f ca="1">IF(OR(OP!$D$53=1,MAX($C$4:C72)&gt;=OP!$F$57),"",C72+(B73-B72))</f>
        <v>84</v>
      </c>
      <c r="D73" s="113" t="str">
        <f ca="1">IF(OR(OP!$D$53=1,AND($B73&gt;OP!$C$24)),"",OP!$C$52-IF($C73&lt;16,$K72,0))</f>
        <v/>
      </c>
      <c r="E73" s="113">
        <f ca="1">IF(OR(OP!$D$53=1,$B73=""),"",N($E72)+N($D73))</f>
        <v>339780</v>
      </c>
      <c r="F73" s="186" t="str">
        <f ca="1">IF(OR(OP!$D$53=1,$B73="",ISERROR(VLOOKUP(OP!$C$55,SRV,$B73+1,0))),"",ROUND(VLOOKUP(OP!$C$55,SRV,$B73+1,0)*OP!$C$28,0))</f>
        <v/>
      </c>
      <c r="G73" s="186" t="str">
        <f ca="1">IF(OR(OP!$D$53=1,$B73="",ISERROR(VLOOKUP(OP!$C$55,SRV,$B73+1,0))),"",N($G72)+N($F73))</f>
        <v/>
      </c>
      <c r="H73" s="186" t="e">
        <f ca="1">IF(OR(OP!$D$53=1,$B73=""),"",ROUND(VLOOKUP(OP!$C$55,DIE,$B73+1,0)*OP!$C$28,0))</f>
        <v>#N/A</v>
      </c>
      <c r="I73" s="187" t="e">
        <f ca="1">IF(OR(OP!$D$53=1,$B73=""),"",ROUND(VLOOKUP(OP!$C$55,CV,$B73+1,0)*OP!$C$28,0))</f>
        <v>#N/A</v>
      </c>
      <c r="J73" s="187" t="e">
        <f ca="1">IF(OR(OP!$D$53=1,$B73=""),"",ROUND(VLOOKUP(OP!$C$55,PA,$B73+1,0)*OP!$C$28,0))</f>
        <v>#N/A</v>
      </c>
      <c r="K73" s="186"/>
      <c r="L73" s="186"/>
      <c r="M73" s="186"/>
      <c r="N73" s="188"/>
      <c r="O73" s="188"/>
      <c r="P73" s="188"/>
      <c r="Q73" s="188"/>
      <c r="R73" s="188"/>
      <c r="S73" s="188">
        <f ca="1">IF(OR(OP!$D$53=1,$B73=""),"",N($F73)+N($O73))</f>
        <v>0</v>
      </c>
      <c r="T73" s="188">
        <f ca="1">IF(OR(OP!$D$53=1,$B73=""),0,N($T72)+N($S73))</f>
        <v>0</v>
      </c>
      <c r="U73" s="188">
        <f ca="1">IF(OR(OP!$D$53=1,$B73=""),"",ROUND($S73/12,0))</f>
        <v>0</v>
      </c>
      <c r="V73" s="188">
        <f ca="1">IF(OR(OP!$D$53=1,$B73=""),0,N($V72)+(N($U73)*12))</f>
        <v>0</v>
      </c>
      <c r="W73" s="186"/>
      <c r="X73" s="186"/>
      <c r="Y73" s="189" t="e">
        <f ca="1">IF(OR(OP!$D$53=1,$B73=""),"",ROUND(($H73+$Q73)*IF(OR($C73&lt;16,$Z73=0,$Z73=""),1,PYO),0))</f>
        <v>#N/A</v>
      </c>
      <c r="Z73" s="189" t="e">
        <f ca="1">IF(OR(OP!$D$53=1,$B73=""),"",ROUND(($H73+Q73)*IF(OR($C73&lt;16,($H73+$Q73)*PY!$C$4&lt;PY!$D$5,($H73+$Q73)*PY!$C$4*PYR&lt;PY!$C$5),0,PYY)*PYR,0))</f>
        <v>#N/A</v>
      </c>
      <c r="AA73" s="113" t="str">
        <f ca="1">IF(OR(OP!$D$53=1,AND(B73&gt;OP!$C$24)),"",OP!$C$52)</f>
        <v/>
      </c>
      <c r="AB73" s="113">
        <f ca="1">IF(OR(OP!$D$53=1,$B73=""),"",N($AB72)+N($AA73))</f>
        <v>339780</v>
      </c>
      <c r="AC73" s="113"/>
      <c r="AD73" s="113"/>
      <c r="AE73" s="113"/>
      <c r="AF73" s="113"/>
      <c r="AG73" s="113"/>
      <c r="AH73" s="187" t="e">
        <f ca="1">IF(OR(OP!$D$53=1,$B73=""),"",ROUND(VLOOKUP(OP!$C$55,HL_1,$B73+1,0)*OP!$C$28,0))</f>
        <v>#N/A</v>
      </c>
      <c r="AI73" s="187" t="e">
        <f ca="1">IF(OR(OP!$D$53=1,$B73=""),"",ROUND(VLOOKUP(OP!$C$55,HL_2,$B73+1,0)*OP!$C$28,0))</f>
        <v>#N/A</v>
      </c>
    </row>
    <row r="74" spans="2:35" hidden="1">
      <c r="B74" s="93">
        <f ca="1">IF(OR(C73&gt;=OP!$F$57,C73=""),"",IF(C73+1&gt;OP!$F$57,OP!$F$57+1-$C$4,B73+1))</f>
        <v>71</v>
      </c>
      <c r="C74" s="92">
        <f ca="1">IF(OR(OP!$D$53=1,MAX($C$4:C73)&gt;=OP!$F$57),"",C73+(B74-B73))</f>
        <v>85</v>
      </c>
      <c r="D74" s="113" t="str">
        <f ca="1">IF(OR(OP!$D$53=1,AND($B74&gt;OP!$C$24)),"",OP!$C$52-IF($C74&lt;16,$K73,0))</f>
        <v/>
      </c>
      <c r="E74" s="113">
        <f ca="1">IF(OR(OP!$D$53=1,$B74=""),"",N($E73)+N($D74))</f>
        <v>339780</v>
      </c>
      <c r="F74" s="186" t="str">
        <f ca="1">IF(OR(OP!$D$53=1,$B74="",ISERROR(VLOOKUP(OP!$C$55,SRV,$B74+1,0))),"",ROUND(VLOOKUP(OP!$C$55,SRV,$B74+1,0)*OP!$C$28,0))</f>
        <v/>
      </c>
      <c r="G74" s="186" t="str">
        <f ca="1">IF(OR(OP!$D$53=1,$B74="",ISERROR(VLOOKUP(OP!$C$55,SRV,$B74+1,0))),"",N($G73)+N($F74))</f>
        <v/>
      </c>
      <c r="H74" s="186" t="e">
        <f ca="1">IF(OR(OP!$D$53=1,$B74=""),"",ROUND(VLOOKUP(OP!$C$55,DIE,$B74+1,0)*OP!$C$28,0))</f>
        <v>#N/A</v>
      </c>
      <c r="I74" s="187" t="e">
        <f ca="1">IF(OR(OP!$D$53=1,$B74=""),"",ROUND(VLOOKUP(OP!$C$55,CV,$B74+1,0)*OP!$C$28,0))</f>
        <v>#N/A</v>
      </c>
      <c r="J74" s="187" t="e">
        <f ca="1">IF(OR(OP!$D$53=1,$B74=""),"",ROUND(VLOOKUP(OP!$C$55,PA,$B74+1,0)*OP!$C$28,0))</f>
        <v>#N/A</v>
      </c>
      <c r="K74" s="186"/>
      <c r="L74" s="186"/>
      <c r="M74" s="186"/>
      <c r="N74" s="188"/>
      <c r="O74" s="188"/>
      <c r="P74" s="188"/>
      <c r="Q74" s="188"/>
      <c r="R74" s="188"/>
      <c r="S74" s="188">
        <f ca="1">IF(OR(OP!$D$53=1,$B74=""),"",N($F74)+N($O74))</f>
        <v>0</v>
      </c>
      <c r="T74" s="188">
        <f ca="1">IF(OR(OP!$D$53=1,$B74=""),0,N($T73)+N($S74))</f>
        <v>0</v>
      </c>
      <c r="U74" s="188">
        <f ca="1">IF(OR(OP!$D$53=1,$B74=""),"",ROUND($S74/12,0))</f>
        <v>0</v>
      </c>
      <c r="V74" s="188">
        <f ca="1">IF(OR(OP!$D$53=1,$B74=""),0,N($V73)+(N($U74)*12))</f>
        <v>0</v>
      </c>
      <c r="W74" s="186"/>
      <c r="X74" s="186"/>
      <c r="Y74" s="189" t="e">
        <f ca="1">IF(OR(OP!$D$53=1,$B74=""),"",ROUND(($H74+$Q74)*IF(OR($C74&lt;16,$Z74=0,$Z74=""),1,PYO),0))</f>
        <v>#N/A</v>
      </c>
      <c r="Z74" s="189" t="e">
        <f ca="1">IF(OR(OP!$D$53=1,$B74=""),"",ROUND(($H74+Q74)*IF(OR($C74&lt;16,($H74+$Q74)*PY!$C$4&lt;PY!$D$5,($H74+$Q74)*PY!$C$4*PYR&lt;PY!$C$5),0,PYY)*PYR,0))</f>
        <v>#N/A</v>
      </c>
      <c r="AA74" s="113" t="str">
        <f ca="1">IF(OR(OP!$D$53=1,AND(B74&gt;OP!$C$24)),"",OP!$C$52)</f>
        <v/>
      </c>
      <c r="AB74" s="113">
        <f ca="1">IF(OR(OP!$D$53=1,$B74=""),"",N($AB73)+N($AA74))</f>
        <v>339780</v>
      </c>
      <c r="AC74" s="113"/>
      <c r="AD74" s="113"/>
      <c r="AE74" s="113"/>
      <c r="AF74" s="113"/>
      <c r="AG74" s="113"/>
      <c r="AH74" s="187" t="e">
        <f ca="1">IF(OR(OP!$D$53=1,$B74=""),"",ROUND(VLOOKUP(OP!$C$55,HL_1,$B74+1,0)*OP!$C$28,0))</f>
        <v>#N/A</v>
      </c>
      <c r="AI74" s="187" t="e">
        <f ca="1">IF(OR(OP!$D$53=1,$B74=""),"",ROUND(VLOOKUP(OP!$C$55,HL_2,$B74+1,0)*OP!$C$28,0))</f>
        <v>#N/A</v>
      </c>
    </row>
    <row r="75" spans="2:35" hidden="1">
      <c r="B75" s="93" t="str">
        <f ca="1">IF(OR(C74&gt;=OP!$F$57,C74=""),"",IF(C74+1&gt;OP!$F$57,OP!$F$57+1-$C$4,B74+1))</f>
        <v/>
      </c>
      <c r="C75" s="92" t="str">
        <f ca="1">IF(OR(OP!$D$53=1,MAX($C$4:C74)&gt;=OP!$F$57),"",C74+(B75-B74))</f>
        <v/>
      </c>
      <c r="D75" s="113" t="str">
        <f ca="1">IF(OR(OP!$D$53=1,AND($B75&gt;OP!$C$24)),"",OP!$C$52-IF($C75&lt;16,$K74,0))</f>
        <v/>
      </c>
      <c r="E75" s="113" t="str">
        <f ca="1">IF(OR(OP!$D$53=1,$B75=""),"",N($E74)+N($D75))</f>
        <v/>
      </c>
      <c r="F75" s="186" t="str">
        <f ca="1">IF(OR(OP!$D$53=1,$B75="",ISERROR(VLOOKUP(OP!$C$55,SRV,$B75+1,0))),"",ROUND(VLOOKUP(OP!$C$55,SRV,$B75+1,0)*OP!$C$28,0))</f>
        <v/>
      </c>
      <c r="G75" s="186" t="str">
        <f ca="1">IF(OR(OP!$D$53=1,$B75="",ISERROR(VLOOKUP(OP!$C$55,SRV,$B75+1,0))),"",N($G74)+N($F75))</f>
        <v/>
      </c>
      <c r="H75" s="186" t="str">
        <f ca="1">IF(OR(OP!$D$53=1,$B75=""),"",ROUND(VLOOKUP(OP!$C$55,DIE,$B75+1,0)*OP!$C$28,0))</f>
        <v/>
      </c>
      <c r="I75" s="187" t="str">
        <f ca="1">IF(OR(OP!$D$53=1,$B75=""),"",ROUND(VLOOKUP(OP!$C$55,CV,$B75+1,0)*OP!$C$28,0))</f>
        <v/>
      </c>
      <c r="J75" s="187" t="str">
        <f ca="1">IF(OR(OP!$D$53=1,$B75=""),"",ROUND(VLOOKUP(OP!$C$55,PA,$B75+1,0)*OP!$C$28,0))</f>
        <v/>
      </c>
      <c r="K75" s="186"/>
      <c r="L75" s="186"/>
      <c r="M75" s="186"/>
      <c r="N75" s="188"/>
      <c r="O75" s="188"/>
      <c r="P75" s="188"/>
      <c r="Q75" s="188"/>
      <c r="R75" s="188"/>
      <c r="S75" s="188" t="str">
        <f ca="1">IF(OR(OP!$D$53=1,$B75=""),"",N($F75)+N($O75))</f>
        <v/>
      </c>
      <c r="T75" s="188">
        <f ca="1">IF(OR(OP!$D$53=1,$B75=""),0,N($T74)+N($S75))</f>
        <v>0</v>
      </c>
      <c r="U75" s="188" t="str">
        <f ca="1">IF(OR(OP!$D$53=1,$B75=""),"",ROUND($S75/12,0))</f>
        <v/>
      </c>
      <c r="V75" s="188">
        <f ca="1">IF(OR(OP!$D$53=1,$B75=""),0,N($V74)+(N($U75)*12))</f>
        <v>0</v>
      </c>
      <c r="W75" s="186"/>
      <c r="X75" s="186"/>
      <c r="Y75" s="189" t="str">
        <f ca="1">IF(OR(OP!$D$53=1,$B75=""),"",ROUND(($H75+$Q75)*IF(OR($C75&lt;16,$Z75=0,$Z75=""),1,PYO),0))</f>
        <v/>
      </c>
      <c r="Z75" s="189" t="str">
        <f ca="1">IF(OR(OP!$D$53=1,$B75=""),"",ROUND(($H75+Q75)*IF(OR($C75&lt;16,($H75+$Q75)*PY!$C$4&lt;PY!$D$5,($H75+$Q75)*PY!$C$4*PYR&lt;PY!$C$5),0,PYY)*PYR,0))</f>
        <v/>
      </c>
      <c r="AA75" s="113" t="str">
        <f ca="1">IF(OR(OP!$D$53=1,AND(B75&gt;OP!$C$24)),"",OP!$C$52)</f>
        <v/>
      </c>
      <c r="AB75" s="113" t="str">
        <f ca="1">IF(OR(OP!$D$53=1,$B75=""),"",N($AB74)+N($AA75))</f>
        <v/>
      </c>
      <c r="AC75" s="113"/>
      <c r="AD75" s="113"/>
      <c r="AE75" s="113"/>
      <c r="AF75" s="113"/>
      <c r="AG75" s="113"/>
      <c r="AH75" s="187" t="str">
        <f ca="1">IF(OR(OP!$D$53=1,$B75=""),"",ROUND(VLOOKUP(OP!$C$55,HL_1,$B75+1,0)*OP!$C$28,0))</f>
        <v/>
      </c>
      <c r="AI75" s="187" t="str">
        <f ca="1">IF(OR(OP!$D$53=1,$B75=""),"",ROUND(VLOOKUP(OP!$C$55,HL_2,$B75+1,0)*OP!$C$28,0))</f>
        <v/>
      </c>
    </row>
    <row r="76" spans="2:35" hidden="1">
      <c r="B76" s="93" t="str">
        <f ca="1">IF(OR(C75&gt;=OP!$F$57,C75=""),"",IF(C75+1&gt;OP!$F$57,OP!$F$57+1-$C$4,B75+1))</f>
        <v/>
      </c>
      <c r="C76" s="92" t="str">
        <f ca="1">IF(OR(OP!$D$53=1,MAX($C$4:C75)&gt;=OP!$F$57),"",C75+(B76-B75))</f>
        <v/>
      </c>
      <c r="D76" s="113" t="str">
        <f ca="1">IF(OR(OP!$D$53=1,AND($B76&gt;OP!$C$24)),"",OP!$C$52-IF($C76&lt;16,$K75,0))</f>
        <v/>
      </c>
      <c r="E76" s="113" t="str">
        <f ca="1">IF(OR(OP!$D$53=1,$B76=""),"",N($E75)+N($D76))</f>
        <v/>
      </c>
      <c r="F76" s="186" t="str">
        <f ca="1">IF(OR(OP!$D$53=1,$B76="",ISERROR(VLOOKUP(OP!$C$55,SRV,$B76+1,0))),"",ROUND(VLOOKUP(OP!$C$55,SRV,$B76+1,0)*OP!$C$28,0))</f>
        <v/>
      </c>
      <c r="G76" s="186" t="str">
        <f ca="1">IF(OR(OP!$D$53=1,$B76="",ISERROR(VLOOKUP(OP!$C$55,SRV,$B76+1,0))),"",N($G75)+N($F76))</f>
        <v/>
      </c>
      <c r="H76" s="186" t="str">
        <f ca="1">IF(OR(OP!$D$53=1,$B76=""),"",ROUND(VLOOKUP(OP!$C$55,DIE,$B76+1,0)*OP!$C$28,0))</f>
        <v/>
      </c>
      <c r="I76" s="187" t="str">
        <f ca="1">IF(OR(OP!$D$53=1,$B76=""),"",ROUND(VLOOKUP(OP!$C$55,CV,$B76+1,0)*OP!$C$28,0))</f>
        <v/>
      </c>
      <c r="J76" s="187" t="str">
        <f ca="1">IF(OR(OP!$D$53=1,$B76=""),"",ROUND(VLOOKUP(OP!$C$55,PA,$B76+1,0)*OP!$C$28,0))</f>
        <v/>
      </c>
      <c r="K76" s="186"/>
      <c r="L76" s="186"/>
      <c r="M76" s="186"/>
      <c r="N76" s="188"/>
      <c r="O76" s="188"/>
      <c r="P76" s="188"/>
      <c r="Q76" s="188"/>
      <c r="R76" s="188"/>
      <c r="S76" s="188" t="str">
        <f ca="1">IF(OR(OP!$D$53=1,$B76=""),"",N($F76)+N($O76))</f>
        <v/>
      </c>
      <c r="T76" s="188">
        <f ca="1">IF(OR(OP!$D$53=1,$B76=""),0,N($T75)+N($S76))</f>
        <v>0</v>
      </c>
      <c r="U76" s="188" t="str">
        <f ca="1">IF(OR(OP!$D$53=1,$B76=""),"",ROUND($S76/12,0))</f>
        <v/>
      </c>
      <c r="V76" s="188">
        <f ca="1">IF(OR(OP!$D$53=1,$B76=""),0,N($V75)+(N($U76)*12))</f>
        <v>0</v>
      </c>
      <c r="W76" s="186"/>
      <c r="X76" s="186"/>
      <c r="Y76" s="189" t="str">
        <f ca="1">IF(OR(OP!$D$53=1,$B76=""),"",ROUND(($H76+$Q76)*IF(OR($C76&lt;16,$Z76=0,$Z76=""),1,PYO),0))</f>
        <v/>
      </c>
      <c r="Z76" s="189" t="str">
        <f ca="1">IF(OR(OP!$D$53=1,$B76=""),"",ROUND(($H76+Q76)*IF(OR($C76&lt;16,($H76+$Q76)*PY!$C$4&lt;PY!$D$5,($H76+$Q76)*PY!$C$4*PYR&lt;PY!$C$5),0,PYY)*PYR,0))</f>
        <v/>
      </c>
      <c r="AA76" s="113" t="str">
        <f ca="1">IF(OR(OP!$D$53=1,AND(B76&gt;OP!$C$24)),"",OP!$C$52)</f>
        <v/>
      </c>
      <c r="AB76" s="113" t="str">
        <f ca="1">IF(OR(OP!$D$53=1,$B76=""),"",N($AB75)+N($AA76))</f>
        <v/>
      </c>
      <c r="AC76" s="113"/>
      <c r="AD76" s="113"/>
      <c r="AE76" s="113"/>
      <c r="AF76" s="113"/>
      <c r="AG76" s="113"/>
      <c r="AH76" s="187" t="str">
        <f ca="1">IF(OR(OP!$D$53=1,$B76=""),"",ROUND(VLOOKUP(OP!$C$55,HL_1,$B76+1,0)*OP!$C$28,0))</f>
        <v/>
      </c>
      <c r="AI76" s="187" t="str">
        <f ca="1">IF(OR(OP!$D$53=1,$B76=""),"",ROUND(VLOOKUP(OP!$C$55,HL_2,$B76+1,0)*OP!$C$28,0))</f>
        <v/>
      </c>
    </row>
    <row r="77" spans="2:35" hidden="1">
      <c r="B77" s="93" t="str">
        <f ca="1">IF(OR(C76&gt;=OP!$F$57,C76=""),"",IF(C76+1&gt;OP!$F$57,OP!$F$57+1-$C$4,B76+1))</f>
        <v/>
      </c>
      <c r="C77" s="92" t="str">
        <f ca="1">IF(OR(OP!$D$53=1,MAX($C$4:C76)&gt;=OP!$F$57),"",C76+(B77-B76))</f>
        <v/>
      </c>
      <c r="D77" s="113" t="str">
        <f ca="1">IF(OR(OP!$D$53=1,AND($B77&gt;OP!$C$24)),"",OP!$C$52-IF($C77&lt;16,$K76,0))</f>
        <v/>
      </c>
      <c r="E77" s="113" t="str">
        <f ca="1">IF(OR(OP!$D$53=1,$B77=""),"",N($E76)+N($D77))</f>
        <v/>
      </c>
      <c r="F77" s="186" t="str">
        <f ca="1">IF(OR(OP!$D$53=1,$B77="",ISERROR(VLOOKUP(OP!$C$55,SRV,$B77+1,0))),"",ROUND(VLOOKUP(OP!$C$55,SRV,$B77+1,0)*OP!$C$28,0))</f>
        <v/>
      </c>
      <c r="G77" s="186" t="str">
        <f ca="1">IF(OR(OP!$D$53=1,$B77="",ISERROR(VLOOKUP(OP!$C$55,SRV,$B77+1,0))),"",N($G76)+N($F77))</f>
        <v/>
      </c>
      <c r="H77" s="186" t="str">
        <f ca="1">IF(OR(OP!$D$53=1,$B77=""),"",ROUND(VLOOKUP(OP!$C$55,DIE,$B77+1,0)*OP!$C$28,0))</f>
        <v/>
      </c>
      <c r="I77" s="187" t="str">
        <f ca="1">IF(OR(OP!$D$53=1,$B77=""),"",ROUND(VLOOKUP(OP!$C$55,CV,$B77+1,0)*OP!$C$28,0))</f>
        <v/>
      </c>
      <c r="J77" s="187" t="str">
        <f ca="1">IF(OR(OP!$D$53=1,$B77=""),"",ROUND(VLOOKUP(OP!$C$55,PA,$B77+1,0)*OP!$C$28,0))</f>
        <v/>
      </c>
      <c r="K77" s="186"/>
      <c r="L77" s="186"/>
      <c r="M77" s="186"/>
      <c r="N77" s="188"/>
      <c r="O77" s="188"/>
      <c r="P77" s="188"/>
      <c r="Q77" s="188"/>
      <c r="R77" s="188"/>
      <c r="S77" s="188" t="str">
        <f ca="1">IF(OR(OP!$D$53=1,$B77=""),"",N($F77)+N($O77))</f>
        <v/>
      </c>
      <c r="T77" s="188">
        <f ca="1">IF(OR(OP!$D$53=1,$B77=""),0,N($T76)+N($S77))</f>
        <v>0</v>
      </c>
      <c r="U77" s="188" t="str">
        <f ca="1">IF(OR(OP!$D$53=1,$B77=""),"",ROUND($S77/12,0))</f>
        <v/>
      </c>
      <c r="V77" s="188">
        <f ca="1">IF(OR(OP!$D$53=1,$B77=""),0,N($V76)+(N($U77)*12))</f>
        <v>0</v>
      </c>
      <c r="W77" s="186"/>
      <c r="X77" s="186"/>
      <c r="Y77" s="189" t="str">
        <f ca="1">IF(OR(OP!$D$53=1,$B77=""),"",ROUND(($H77+$Q77)*IF(OR($C77&lt;16,$Z77=0,$Z77=""),1,PYO),0))</f>
        <v/>
      </c>
      <c r="Z77" s="189" t="str">
        <f ca="1">IF(OR(OP!$D$53=1,$B77=""),"",ROUND(($H77+Q77)*IF(OR($C77&lt;16,($H77+$Q77)*PY!$C$4&lt;PY!$D$5,($H77+$Q77)*PY!$C$4*PYR&lt;PY!$C$5),0,PYY)*PYR,0))</f>
        <v/>
      </c>
      <c r="AA77" s="113" t="str">
        <f ca="1">IF(OR(OP!$D$53=1,AND(B77&gt;OP!$C$24)),"",OP!$C$52)</f>
        <v/>
      </c>
      <c r="AB77" s="113" t="str">
        <f ca="1">IF(OR(OP!$D$53=1,$B77=""),"",N($AB76)+N($AA77))</f>
        <v/>
      </c>
      <c r="AC77" s="113"/>
      <c r="AD77" s="113"/>
      <c r="AE77" s="113"/>
      <c r="AF77" s="113"/>
      <c r="AG77" s="113"/>
      <c r="AH77" s="187" t="str">
        <f ca="1">IF(OR(OP!$D$53=1,$B77=""),"",ROUND(VLOOKUP(OP!$C$55,HL_1,$B77+1,0)*OP!$C$28,0))</f>
        <v/>
      </c>
      <c r="AI77" s="187" t="str">
        <f ca="1">IF(OR(OP!$D$53=1,$B77=""),"",ROUND(VLOOKUP(OP!$C$55,HL_2,$B77+1,0)*OP!$C$28,0))</f>
        <v/>
      </c>
    </row>
    <row r="78" spans="2:35" hidden="1">
      <c r="B78" s="93" t="str">
        <f ca="1">IF(OR(C77&gt;=OP!$F$57,C77=""),"",IF(C77+1&gt;OP!$F$57,OP!$F$57+1-$C$4,B77+1))</f>
        <v/>
      </c>
      <c r="C78" s="92" t="str">
        <f ca="1">IF(OR(OP!$D$53=1,MAX($C$4:C77)&gt;=OP!$F$57),"",C77+(B78-B77))</f>
        <v/>
      </c>
      <c r="D78" s="113" t="str">
        <f ca="1">IF(OR(OP!$D$53=1,AND($B78&gt;OP!$C$24)),"",OP!$C$52-IF($C78&lt;16,$K77,0))</f>
        <v/>
      </c>
      <c r="E78" s="113" t="str">
        <f ca="1">IF(OR(OP!$D$53=1,$B78=""),"",N($E77)+N($D78))</f>
        <v/>
      </c>
      <c r="F78" s="186" t="str">
        <f ca="1">IF(OR(OP!$D$53=1,$B78="",ISERROR(VLOOKUP(OP!$C$55,SRV,$B78+1,0))),"",ROUND(VLOOKUP(OP!$C$55,SRV,$B78+1,0)*OP!$C$28,0))</f>
        <v/>
      </c>
      <c r="G78" s="186" t="str">
        <f ca="1">IF(OR(OP!$D$53=1,$B78="",ISERROR(VLOOKUP(OP!$C$55,SRV,$B78+1,0))),"",N($G77)+N($F78))</f>
        <v/>
      </c>
      <c r="H78" s="186" t="str">
        <f ca="1">IF(OR(OP!$D$53=1,$B78=""),"",ROUND(VLOOKUP(OP!$C$55,DIE,$B78+1,0)*OP!$C$28,0))</f>
        <v/>
      </c>
      <c r="I78" s="187" t="str">
        <f ca="1">IF(OR(OP!$D$53=1,$B78=""),"",ROUND(VLOOKUP(OP!$C$55,CV,$B78+1,0)*OP!$C$28,0))</f>
        <v/>
      </c>
      <c r="J78" s="187" t="str">
        <f ca="1">IF(OR(OP!$D$53=1,$B78=""),"",ROUND(VLOOKUP(OP!$C$55,PA,$B78+1,0)*OP!$C$28,0))</f>
        <v/>
      </c>
      <c r="K78" s="186"/>
      <c r="L78" s="186"/>
      <c r="M78" s="186"/>
      <c r="N78" s="188"/>
      <c r="O78" s="188"/>
      <c r="P78" s="188"/>
      <c r="Q78" s="188"/>
      <c r="R78" s="188"/>
      <c r="S78" s="188" t="str">
        <f ca="1">IF(OR(OP!$D$53=1,$B78=""),"",N($F78)+N($O78))</f>
        <v/>
      </c>
      <c r="T78" s="188">
        <f ca="1">IF(OR(OP!$D$53=1,$B78=""),0,N($T77)+N($S78))</f>
        <v>0</v>
      </c>
      <c r="U78" s="188" t="str">
        <f ca="1">IF(OR(OP!$D$53=1,$B78=""),"",ROUND($S78/12,0))</f>
        <v/>
      </c>
      <c r="V78" s="188">
        <f ca="1">IF(OR(OP!$D$53=1,$B78=""),0,N($V77)+(N($U78)*12))</f>
        <v>0</v>
      </c>
      <c r="W78" s="186"/>
      <c r="X78" s="186"/>
      <c r="Y78" s="189" t="str">
        <f ca="1">IF(OR(OP!$D$53=1,$B78=""),"",ROUND(($H78+$Q78)*IF(OR($C78&lt;16,$Z78=0,$Z78=""),1,PYO),0))</f>
        <v/>
      </c>
      <c r="Z78" s="189" t="str">
        <f ca="1">IF(OR(OP!$D$53=1,$B78=""),"",ROUND(($H78+Q78)*IF(OR($C78&lt;16,($H78+$Q78)*PY!$C$4&lt;PY!$D$5,($H78+$Q78)*PY!$C$4*PYR&lt;PY!$C$5),0,PYY)*PYR,0))</f>
        <v/>
      </c>
      <c r="AA78" s="113" t="str">
        <f ca="1">IF(OR(OP!$D$53=1,AND(B78&gt;OP!$C$24)),"",OP!$C$52)</f>
        <v/>
      </c>
      <c r="AB78" s="113" t="str">
        <f ca="1">IF(OR(OP!$D$53=1,$B78=""),"",N($AB77)+N($AA78))</f>
        <v/>
      </c>
      <c r="AC78" s="113"/>
      <c r="AD78" s="113"/>
      <c r="AE78" s="113"/>
      <c r="AF78" s="113"/>
      <c r="AG78" s="113"/>
      <c r="AH78" s="187" t="str">
        <f ca="1">IF(OR(OP!$D$53=1,$B78=""),"",ROUND(VLOOKUP(OP!$C$55,HL_1,$B78+1,0)*OP!$C$28,0))</f>
        <v/>
      </c>
      <c r="AI78" s="187" t="str">
        <f ca="1">IF(OR(OP!$D$53=1,$B78=""),"",ROUND(VLOOKUP(OP!$C$55,HL_2,$B78+1,0)*OP!$C$28,0))</f>
        <v/>
      </c>
    </row>
    <row r="79" spans="2:35" hidden="1">
      <c r="B79" s="93" t="str">
        <f ca="1">IF(OR(C78&gt;=OP!$F$57,C78=""),"",IF(C78+1&gt;OP!$F$57,OP!$F$57+1-$C$4,B78+1))</f>
        <v/>
      </c>
      <c r="C79" s="92" t="str">
        <f ca="1">IF(OR(OP!$D$53=1,MAX($C$4:C78)&gt;=OP!$F$57),"",C78+(B79-B78))</f>
        <v/>
      </c>
      <c r="D79" s="113" t="str">
        <f ca="1">IF(OR(OP!$D$53=1,AND($B79&gt;OP!$C$24)),"",OP!$C$52-IF($C79&lt;16,$K78,0))</f>
        <v/>
      </c>
      <c r="E79" s="113" t="str">
        <f ca="1">IF(OR(OP!$D$53=1,$B79=""),"",N($E78)+N($D79))</f>
        <v/>
      </c>
      <c r="F79" s="186" t="str">
        <f ca="1">IF(OR(OP!$D$53=1,$B79="",ISERROR(VLOOKUP(OP!$C$55,SRV,$B79+1,0))),"",ROUND(VLOOKUP(OP!$C$55,SRV,$B79+1,0)*OP!$C$28,0))</f>
        <v/>
      </c>
      <c r="G79" s="186" t="str">
        <f ca="1">IF(OR(OP!$D$53=1,$B79="",ISERROR(VLOOKUP(OP!$C$55,SRV,$B79+1,0))),"",N($G78)+N($F79))</f>
        <v/>
      </c>
      <c r="H79" s="186" t="str">
        <f ca="1">IF(OR(OP!$D$53=1,$B79=""),"",ROUND(VLOOKUP(OP!$C$55,DIE,$B79+1,0)*OP!$C$28,0))</f>
        <v/>
      </c>
      <c r="I79" s="187" t="str">
        <f ca="1">IF(OR(OP!$D$53=1,$B79=""),"",ROUND(VLOOKUP(OP!$C$55,CV,$B79+1,0)*OP!$C$28,0))</f>
        <v/>
      </c>
      <c r="J79" s="187" t="str">
        <f ca="1">IF(OR(OP!$D$53=1,$B79=""),"",ROUND(VLOOKUP(OP!$C$55,PA,$B79+1,0)*OP!$C$28,0))</f>
        <v/>
      </c>
      <c r="K79" s="186"/>
      <c r="L79" s="186"/>
      <c r="M79" s="186"/>
      <c r="N79" s="188"/>
      <c r="O79" s="188"/>
      <c r="P79" s="188"/>
      <c r="Q79" s="188"/>
      <c r="R79" s="188"/>
      <c r="S79" s="188" t="str">
        <f ca="1">IF(OR(OP!$D$53=1,$B79=""),"",N($F79)+N($O79))</f>
        <v/>
      </c>
      <c r="T79" s="188">
        <f ca="1">IF(OR(OP!$D$53=1,$B79=""),0,N($T78)+N($S79))</f>
        <v>0</v>
      </c>
      <c r="U79" s="188" t="str">
        <f ca="1">IF(OR(OP!$D$53=1,$B79=""),"",ROUND($S79/12,0))</f>
        <v/>
      </c>
      <c r="V79" s="188">
        <f ca="1">IF(OR(OP!$D$53=1,$B79=""),0,N($V78)+(N($U79)*12))</f>
        <v>0</v>
      </c>
      <c r="W79" s="186"/>
      <c r="X79" s="186"/>
      <c r="Y79" s="189" t="str">
        <f ca="1">IF(OR(OP!$D$53=1,$B79=""),"",ROUND(($H79+$Q79)*IF(OR($C79&lt;16,$Z79=0,$Z79=""),1,PYO),0))</f>
        <v/>
      </c>
      <c r="Z79" s="189" t="str">
        <f ca="1">IF(OR(OP!$D$53=1,$B79=""),"",ROUND(($H79+Q79)*IF(OR($C79&lt;16,($H79+$Q79)*PY!$C$4&lt;PY!$D$5,($H79+$Q79)*PY!$C$4*PYR&lt;PY!$C$5),0,PYY)*PYR,0))</f>
        <v/>
      </c>
      <c r="AA79" s="113" t="str">
        <f ca="1">IF(OR(OP!$D$53=1,AND(B79&gt;OP!$C$24)),"",OP!$C$52)</f>
        <v/>
      </c>
      <c r="AB79" s="113" t="str">
        <f ca="1">IF(OR(OP!$D$53=1,$B79=""),"",N($AB78)+N($AA79))</f>
        <v/>
      </c>
      <c r="AC79" s="113"/>
      <c r="AD79" s="113"/>
      <c r="AE79" s="113"/>
      <c r="AF79" s="113"/>
      <c r="AG79" s="113"/>
      <c r="AH79" s="187" t="str">
        <f ca="1">IF(OR(OP!$D$53=1,$B79=""),"",ROUND(VLOOKUP(OP!$C$55,HL_1,$B79+1,0)*OP!$C$28,0))</f>
        <v/>
      </c>
      <c r="AI79" s="187" t="str">
        <f ca="1">IF(OR(OP!$D$53=1,$B79=""),"",ROUND(VLOOKUP(OP!$C$55,HL_2,$B79+1,0)*OP!$C$28,0))</f>
        <v/>
      </c>
    </row>
    <row r="80" spans="2:35" hidden="1">
      <c r="B80" s="93" t="str">
        <f ca="1">IF(OR(C79&gt;=OP!$F$57,C79=""),"",IF(C79+1&gt;OP!$F$57,OP!$F$57+1-$C$4,B79+1))</f>
        <v/>
      </c>
      <c r="C80" s="92" t="str">
        <f ca="1">IF(OR(OP!$D$53=1,MAX($C$4:C79)&gt;=OP!$F$57),"",C79+(B80-B79))</f>
        <v/>
      </c>
      <c r="D80" s="113" t="str">
        <f ca="1">IF(OR(OP!$D$53=1,AND($B80&gt;OP!$C$24)),"",OP!$C$52-IF($C80&lt;16,$K79,0))</f>
        <v/>
      </c>
      <c r="E80" s="113" t="str">
        <f ca="1">IF(OR(OP!$D$53=1,$B80=""),"",N($E79)+N($D80))</f>
        <v/>
      </c>
      <c r="F80" s="186" t="str">
        <f ca="1">IF(OR(OP!$D$53=1,$B80="",ISERROR(VLOOKUP(OP!$C$55,SRV,$B80+1,0))),"",ROUND(VLOOKUP(OP!$C$55,SRV,$B80+1,0)*OP!$C$28,0))</f>
        <v/>
      </c>
      <c r="G80" s="186" t="str">
        <f ca="1">IF(OR(OP!$D$53=1,$B80="",ISERROR(VLOOKUP(OP!$C$55,SRV,$B80+1,0))),"",N($G79)+N($F80))</f>
        <v/>
      </c>
      <c r="H80" s="186" t="str">
        <f ca="1">IF(OR(OP!$D$53=1,$B80=""),"",ROUND(VLOOKUP(OP!$C$55,DIE,$B80+1,0)*OP!$C$28,0))</f>
        <v/>
      </c>
      <c r="I80" s="187" t="str">
        <f ca="1">IF(OR(OP!$D$53=1,$B80=""),"",ROUND(VLOOKUP(OP!$C$55,CV,$B80+1,0)*OP!$C$28,0))</f>
        <v/>
      </c>
      <c r="J80" s="187" t="str">
        <f ca="1">IF(OR(OP!$D$53=1,$B80=""),"",ROUND(VLOOKUP(OP!$C$55,PA,$B80+1,0)*OP!$C$28,0))</f>
        <v/>
      </c>
      <c r="K80" s="186"/>
      <c r="L80" s="186"/>
      <c r="M80" s="186"/>
      <c r="N80" s="188"/>
      <c r="O80" s="188"/>
      <c r="P80" s="188"/>
      <c r="Q80" s="188"/>
      <c r="R80" s="188"/>
      <c r="S80" s="188" t="str">
        <f ca="1">IF(OR(OP!$D$53=1,$B80=""),"",N($F80)+N($O80))</f>
        <v/>
      </c>
      <c r="T80" s="188">
        <f ca="1">IF(OR(OP!$D$53=1,$B80=""),0,N($T79)+N($S80))</f>
        <v>0</v>
      </c>
      <c r="U80" s="188" t="str">
        <f ca="1">IF(OR(OP!$D$53=1,$B80=""),"",ROUND($S80/12,0))</f>
        <v/>
      </c>
      <c r="V80" s="188">
        <f ca="1">IF(OR(OP!$D$53=1,$B80=""),0,N($V79)+(N($U80)*12))</f>
        <v>0</v>
      </c>
      <c r="W80" s="186"/>
      <c r="X80" s="186"/>
      <c r="Y80" s="189" t="str">
        <f ca="1">IF(OR(OP!$D$53=1,$B80=""),"",ROUND(($H80+$Q80)*IF(OR($C80&lt;16,$Z80=0,$Z80=""),1,PYO),0))</f>
        <v/>
      </c>
      <c r="Z80" s="189" t="str">
        <f ca="1">IF(OR(OP!$D$53=1,$B80=""),"",ROUND(($H80+Q80)*IF(OR($C80&lt;16,($H80+$Q80)*PY!$C$4&lt;PY!$D$5,($H80+$Q80)*PY!$C$4*PYR&lt;PY!$C$5),0,PYY)*PYR,0))</f>
        <v/>
      </c>
      <c r="AA80" s="113" t="str">
        <f ca="1">IF(OR(OP!$D$53=1,AND(B80&gt;OP!$C$24)),"",OP!$C$52)</f>
        <v/>
      </c>
      <c r="AB80" s="113" t="str">
        <f ca="1">IF(OR(OP!$D$53=1,$B80=""),"",N($AB79)+N($AA80))</f>
        <v/>
      </c>
      <c r="AC80" s="113"/>
      <c r="AD80" s="113"/>
      <c r="AE80" s="113"/>
      <c r="AF80" s="113"/>
      <c r="AG80" s="113"/>
      <c r="AH80" s="187" t="str">
        <f ca="1">IF(OR(OP!$D$53=1,$B80=""),"",ROUND(VLOOKUP(OP!$C$55,HL_1,$B80+1,0)*OP!$C$28,0))</f>
        <v/>
      </c>
      <c r="AI80" s="187" t="str">
        <f ca="1">IF(OR(OP!$D$53=1,$B80=""),"",ROUND(VLOOKUP(OP!$C$55,HL_2,$B80+1,0)*OP!$C$28,0))</f>
        <v/>
      </c>
    </row>
    <row r="81" spans="2:35" hidden="1">
      <c r="B81" s="93" t="str">
        <f ca="1">IF(OR(C80&gt;=OP!$F$57,C80=""),"",IF(C80+1&gt;OP!$F$57,OP!$F$57+1-$C$4,B80+1))</f>
        <v/>
      </c>
      <c r="C81" s="92" t="str">
        <f ca="1">IF(OR(OP!$D$53=1,MAX($C$4:C80)&gt;=OP!$F$57),"",C80+(B81-B80))</f>
        <v/>
      </c>
      <c r="D81" s="113" t="str">
        <f ca="1">IF(OR(OP!$D$53=1,AND($B81&gt;OP!$C$24)),"",OP!$C$52-IF($C81&lt;16,$K80,0))</f>
        <v/>
      </c>
      <c r="E81" s="113" t="str">
        <f ca="1">IF(OR(OP!$D$53=1,$B81=""),"",N($E80)+N($D81))</f>
        <v/>
      </c>
      <c r="F81" s="186" t="str">
        <f ca="1">IF(OR(OP!$D$53=1,$B81="",ISERROR(VLOOKUP(OP!$C$55,SRV,$B81+1,0))),"",ROUND(VLOOKUP(OP!$C$55,SRV,$B81+1,0)*OP!$C$28,0))</f>
        <v/>
      </c>
      <c r="G81" s="186" t="str">
        <f ca="1">IF(OR(OP!$D$53=1,$B81="",ISERROR(VLOOKUP(OP!$C$55,SRV,$B81+1,0))),"",N($G80)+N($F81))</f>
        <v/>
      </c>
      <c r="H81" s="186" t="str">
        <f ca="1">IF(OR(OP!$D$53=1,$B81=""),"",ROUND(VLOOKUP(OP!$C$55,DIE,$B81+1,0)*OP!$C$28,0))</f>
        <v/>
      </c>
      <c r="I81" s="187" t="str">
        <f ca="1">IF(OR(OP!$D$53=1,$B81=""),"",ROUND(VLOOKUP(OP!$C$55,CV,$B81+1,0)*OP!$C$28,0))</f>
        <v/>
      </c>
      <c r="J81" s="187" t="str">
        <f ca="1">IF(OR(OP!$D$53=1,$B81=""),"",ROUND(VLOOKUP(OP!$C$55,PA,$B81+1,0)*OP!$C$28,0))</f>
        <v/>
      </c>
      <c r="K81" s="186"/>
      <c r="L81" s="186"/>
      <c r="M81" s="186"/>
      <c r="N81" s="188"/>
      <c r="O81" s="188"/>
      <c r="P81" s="188"/>
      <c r="Q81" s="188"/>
      <c r="R81" s="188"/>
      <c r="S81" s="188" t="str">
        <f ca="1">IF(OR(OP!$D$53=1,$B81=""),"",N($F81)+N($O81))</f>
        <v/>
      </c>
      <c r="T81" s="188">
        <f ca="1">IF(OR(OP!$D$53=1,$B81=""),0,N($T80)+N($S81))</f>
        <v>0</v>
      </c>
      <c r="U81" s="188" t="str">
        <f ca="1">IF(OR(OP!$D$53=1,$B81=""),"",ROUND($S81/12,0))</f>
        <v/>
      </c>
      <c r="V81" s="188">
        <f ca="1">IF(OR(OP!$D$53=1,$B81=""),0,N($V80)+(N($U81)*12))</f>
        <v>0</v>
      </c>
      <c r="W81" s="186"/>
      <c r="X81" s="186"/>
      <c r="Y81" s="189" t="str">
        <f ca="1">IF(OR(OP!$D$53=1,$B81=""),"",ROUND(($H81+$Q81)*IF(OR($C81&lt;16,$Z81=0,$Z81=""),1,PYO),0))</f>
        <v/>
      </c>
      <c r="Z81" s="189" t="str">
        <f ca="1">IF(OR(OP!$D$53=1,$B81=""),"",ROUND(($H81+Q81)*IF(OR($C81&lt;16,($H81+$Q81)*PY!$C$4&lt;PY!$D$5,($H81+$Q81)*PY!$C$4*PYR&lt;PY!$C$5),0,PYY)*PYR,0))</f>
        <v/>
      </c>
      <c r="AA81" s="113" t="str">
        <f ca="1">IF(OR(OP!$D$53=1,AND(B81&gt;OP!$C$24)),"",OP!$C$52)</f>
        <v/>
      </c>
      <c r="AB81" s="113" t="str">
        <f ca="1">IF(OR(OP!$D$53=1,$B81=""),"",N($AB80)+N($AA81))</f>
        <v/>
      </c>
      <c r="AC81" s="113"/>
      <c r="AD81" s="113"/>
      <c r="AE81" s="113"/>
      <c r="AF81" s="113"/>
      <c r="AG81" s="113"/>
      <c r="AH81" s="187" t="str">
        <f ca="1">IF(OR(OP!$D$53=1,$B81=""),"",ROUND(VLOOKUP(OP!$C$55,HL_1,$B81+1,0)*OP!$C$28,0))</f>
        <v/>
      </c>
      <c r="AI81" s="187" t="str">
        <f ca="1">IF(OR(OP!$D$53=1,$B81=""),"",ROUND(VLOOKUP(OP!$C$55,HL_2,$B81+1,0)*OP!$C$28,0))</f>
        <v/>
      </c>
    </row>
    <row r="82" spans="2:35" hidden="1">
      <c r="B82" s="93" t="str">
        <f ca="1">IF(OR(C81&gt;=OP!$F$57,C81=""),"",IF(C81+1&gt;OP!$F$57,OP!$F$57+1-$C$4,B81+1))</f>
        <v/>
      </c>
      <c r="C82" s="92" t="str">
        <f ca="1">IF(OR(OP!$D$53=1,MAX($C$4:C81)&gt;=OP!$F$57),"",C81+(B82-B81))</f>
        <v/>
      </c>
      <c r="D82" s="113" t="str">
        <f ca="1">IF(OR(OP!$D$53=1,AND($B82&gt;OP!$C$24)),"",OP!$C$52-IF($C82&lt;16,$K81,0))</f>
        <v/>
      </c>
      <c r="E82" s="113" t="str">
        <f ca="1">IF(OR(OP!$D$53=1,$B82=""),"",N($E81)+N($D82))</f>
        <v/>
      </c>
      <c r="F82" s="186" t="str">
        <f ca="1">IF(OR(OP!$D$53=1,$B82="",ISERROR(VLOOKUP(OP!$C$55,SRV,$B82+1,0))),"",ROUND(VLOOKUP(OP!$C$55,SRV,$B82+1,0)*OP!$C$28,0))</f>
        <v/>
      </c>
      <c r="G82" s="186" t="str">
        <f ca="1">IF(OR(OP!$D$53=1,$B82="",ISERROR(VLOOKUP(OP!$C$55,SRV,$B82+1,0))),"",N($G81)+N($F82))</f>
        <v/>
      </c>
      <c r="H82" s="186" t="str">
        <f ca="1">IF(OR(OP!$D$53=1,$B82=""),"",ROUND(VLOOKUP(OP!$C$55,DIE,$B82+1,0)*OP!$C$28,0))</f>
        <v/>
      </c>
      <c r="I82" s="187" t="str">
        <f ca="1">IF(OR(OP!$D$53=1,$B82=""),"",ROUND(VLOOKUP(OP!$C$55,CV,$B82+1,0)*OP!$C$28,0))</f>
        <v/>
      </c>
      <c r="J82" s="187" t="str">
        <f ca="1">IF(OR(OP!$D$53=1,$B82=""),"",ROUND(VLOOKUP(OP!$C$55,PA,$B82+1,0)*OP!$C$28,0))</f>
        <v/>
      </c>
      <c r="K82" s="186"/>
      <c r="L82" s="186"/>
      <c r="M82" s="186"/>
      <c r="N82" s="188"/>
      <c r="O82" s="188"/>
      <c r="P82" s="188"/>
      <c r="Q82" s="188"/>
      <c r="R82" s="188"/>
      <c r="S82" s="188" t="str">
        <f ca="1">IF(OR(OP!$D$53=1,$B82=""),"",N($F82)+N($O82))</f>
        <v/>
      </c>
      <c r="T82" s="188">
        <f ca="1">IF(OR(OP!$D$53=1,$B82=""),0,N($T81)+N($S82))</f>
        <v>0</v>
      </c>
      <c r="U82" s="188" t="str">
        <f ca="1">IF(OR(OP!$D$53=1,$B82=""),"",ROUND($S82/12,0))</f>
        <v/>
      </c>
      <c r="V82" s="188">
        <f ca="1">IF(OR(OP!$D$53=1,$B82=""),0,N($V81)+(N($U82)*12))</f>
        <v>0</v>
      </c>
      <c r="W82" s="186"/>
      <c r="X82" s="186"/>
      <c r="Y82" s="189" t="str">
        <f ca="1">IF(OR(OP!$D$53=1,$B82=""),"",ROUND(($H82+$Q82)*IF(OR($C82&lt;16,$Z82=0,$Z82=""),1,PYO),0))</f>
        <v/>
      </c>
      <c r="Z82" s="189" t="str">
        <f ca="1">IF(OR(OP!$D$53=1,$B82=""),"",ROUND(($H82+Q82)*IF(OR($C82&lt;16,($H82+$Q82)*PY!$C$4&lt;PY!$D$5,($H82+$Q82)*PY!$C$4*PYR&lt;PY!$C$5),0,PYY)*PYR,0))</f>
        <v/>
      </c>
      <c r="AA82" s="113" t="str">
        <f ca="1">IF(OR(OP!$D$53=1,AND(B82&gt;OP!$C$24)),"",OP!$C$52)</f>
        <v/>
      </c>
      <c r="AB82" s="113" t="str">
        <f ca="1">IF(OR(OP!$D$53=1,$B82=""),"",N($AB81)+N($AA82))</f>
        <v/>
      </c>
      <c r="AC82" s="113"/>
      <c r="AD82" s="113"/>
      <c r="AE82" s="113"/>
      <c r="AF82" s="113"/>
      <c r="AG82" s="113"/>
      <c r="AH82" s="187" t="str">
        <f ca="1">IF(OR(OP!$D$53=1,$B82=""),"",ROUND(VLOOKUP(OP!$C$55,HL_1,$B82+1,0)*OP!$C$28,0))</f>
        <v/>
      </c>
      <c r="AI82" s="187" t="str">
        <f ca="1">IF(OR(OP!$D$53=1,$B82=""),"",ROUND(VLOOKUP(OP!$C$55,HL_2,$B82+1,0)*OP!$C$28,0))</f>
        <v/>
      </c>
    </row>
    <row r="83" spans="2:35" hidden="1">
      <c r="B83" s="93" t="str">
        <f ca="1">IF(OR(C82&gt;=OP!$F$57,C82=""),"",IF(C82+1&gt;OP!$F$57,OP!$F$57+1-$C$4,B82+1))</f>
        <v/>
      </c>
      <c r="C83" s="92" t="str">
        <f ca="1">IF(OR(OP!$D$53=1,MAX($C$4:C82)&gt;=OP!$F$57),"",C82+(B83-B82))</f>
        <v/>
      </c>
      <c r="D83" s="113" t="str">
        <f ca="1">IF(OR(OP!$D$53=1,AND($B83&gt;OP!$C$24)),"",OP!$C$52-IF($C83&lt;16,$K82,0))</f>
        <v/>
      </c>
      <c r="E83" s="113" t="str">
        <f ca="1">IF(OR(OP!$D$53=1,$B83=""),"",N($E82)+N($D83))</f>
        <v/>
      </c>
      <c r="F83" s="186" t="str">
        <f ca="1">IF(OR(OP!$D$53=1,$B83="",ISERROR(VLOOKUP(OP!$C$55,SRV,$B83+1,0))),"",ROUND(VLOOKUP(OP!$C$55,SRV,$B83+1,0)*OP!$C$28,0))</f>
        <v/>
      </c>
      <c r="G83" s="186" t="str">
        <f ca="1">IF(OR(OP!$D$53=1,$B83="",ISERROR(VLOOKUP(OP!$C$55,SRV,$B83+1,0))),"",N($G82)+N($F83))</f>
        <v/>
      </c>
      <c r="H83" s="186" t="str">
        <f ca="1">IF(OR(OP!$D$53=1,$B83=""),"",ROUND(VLOOKUP(OP!$C$55,DIE,$B83+1,0)*OP!$C$28,0))</f>
        <v/>
      </c>
      <c r="I83" s="187" t="str">
        <f ca="1">IF(OR(OP!$D$53=1,$B83=""),"",ROUND(VLOOKUP(OP!$C$55,CV,$B83+1,0)*OP!$C$28,0))</f>
        <v/>
      </c>
      <c r="J83" s="187" t="str">
        <f ca="1">IF(OR(OP!$D$53=1,$B83=""),"",ROUND(VLOOKUP(OP!$C$55,PA,$B83+1,0)*OP!$C$28,0))</f>
        <v/>
      </c>
      <c r="K83" s="186"/>
      <c r="L83" s="186"/>
      <c r="M83" s="186"/>
      <c r="N83" s="188"/>
      <c r="O83" s="188"/>
      <c r="P83" s="188"/>
      <c r="Q83" s="188"/>
      <c r="R83" s="188"/>
      <c r="S83" s="188" t="str">
        <f ca="1">IF(OR(OP!$D$53=1,$B83=""),"",N($F83)+N($O83))</f>
        <v/>
      </c>
      <c r="T83" s="188">
        <f ca="1">IF(OR(OP!$D$53=1,$B83=""),0,N($T82)+N($S83))</f>
        <v>0</v>
      </c>
      <c r="U83" s="188" t="str">
        <f ca="1">IF(OR(OP!$D$53=1,$B83=""),"",ROUND($S83/12,0))</f>
        <v/>
      </c>
      <c r="V83" s="188">
        <f ca="1">IF(OR(OP!$D$53=1,$B83=""),0,N($V82)+(N($U83)*12))</f>
        <v>0</v>
      </c>
      <c r="W83" s="186"/>
      <c r="X83" s="186"/>
      <c r="Y83" s="189" t="str">
        <f ca="1">IF(OR(OP!$D$53=1,$B83=""),"",ROUND(($H83+$Q83)*IF(OR($C83&lt;16,$Z83=0,$Z83=""),1,PYO),0))</f>
        <v/>
      </c>
      <c r="Z83" s="189" t="str">
        <f ca="1">IF(OR(OP!$D$53=1,$B83=""),"",ROUND(($H83+Q83)*IF(OR($C83&lt;16,($H83+$Q83)*PY!$C$4&lt;PY!$D$5,($H83+$Q83)*PY!$C$4*PYR&lt;PY!$C$5),0,PYY)*PYR,0))</f>
        <v/>
      </c>
      <c r="AA83" s="113" t="str">
        <f ca="1">IF(OR(OP!$D$53=1,AND(B83&gt;OP!$C$24)),"",OP!$C$52)</f>
        <v/>
      </c>
      <c r="AB83" s="113" t="str">
        <f ca="1">IF(OR(OP!$D$53=1,$B83=""),"",N($AB82)+N($AA83))</f>
        <v/>
      </c>
      <c r="AC83" s="113"/>
      <c r="AD83" s="113"/>
      <c r="AE83" s="113"/>
      <c r="AF83" s="113"/>
      <c r="AG83" s="113"/>
      <c r="AH83" s="187" t="str">
        <f ca="1">IF(OR(OP!$D$53=1,$B83=""),"",ROUND(VLOOKUP(OP!$C$55,HL_1,$B83+1,0)*OP!$C$28,0))</f>
        <v/>
      </c>
      <c r="AI83" s="187" t="str">
        <f ca="1">IF(OR(OP!$D$53=1,$B83=""),"",ROUND(VLOOKUP(OP!$C$55,HL_2,$B83+1,0)*OP!$C$28,0))</f>
        <v/>
      </c>
    </row>
    <row r="84" spans="2:35" hidden="1">
      <c r="B84" s="93" t="str">
        <f ca="1">IF(OR(C83&gt;=OP!$F$57,C83=""),"",IF(C83+1&gt;OP!$F$57,OP!$F$57+1-$C$4,B83+1))</f>
        <v/>
      </c>
      <c r="C84" s="92" t="str">
        <f ca="1">IF(OR(OP!$D$53=1,MAX($C$4:C83)&gt;=OP!$F$57),"",C83+(B84-B83))</f>
        <v/>
      </c>
      <c r="D84" s="113" t="str">
        <f ca="1">IF(OR(OP!$D$53=1,AND($B84&gt;OP!$C$24)),"",OP!$C$52-IF($C84&lt;16,$K83,0))</f>
        <v/>
      </c>
      <c r="E84" s="113" t="str">
        <f ca="1">IF(OR(OP!$D$53=1,$B84=""),"",N($E83)+N($D84))</f>
        <v/>
      </c>
      <c r="F84" s="186" t="str">
        <f ca="1">IF(OR(OP!$D$53=1,$B84="",ISERROR(VLOOKUP(OP!$C$55,SRV,$B84+1,0))),"",ROUND(VLOOKUP(OP!$C$55,SRV,$B84+1,0)*OP!$C$28,0))</f>
        <v/>
      </c>
      <c r="G84" s="186" t="str">
        <f ca="1">IF(OR(OP!$D$53=1,$B84="",ISERROR(VLOOKUP(OP!$C$55,SRV,$B84+1,0))),"",N($G83)+N($F84))</f>
        <v/>
      </c>
      <c r="H84" s="186" t="str">
        <f ca="1">IF(OR(OP!$D$53=1,$B84=""),"",ROUND(VLOOKUP(OP!$C$55,DIE,$B84+1,0)*OP!$C$28,0))</f>
        <v/>
      </c>
      <c r="I84" s="187" t="str">
        <f ca="1">IF(OR(OP!$D$53=1,$B84=""),"",ROUND(VLOOKUP(OP!$C$55,CV,$B84+1,0)*OP!$C$28,0))</f>
        <v/>
      </c>
      <c r="J84" s="187" t="str">
        <f ca="1">IF(OR(OP!$D$53=1,$B84=""),"",ROUND(VLOOKUP(OP!$C$55,PA,$B84+1,0)*OP!$C$28,0))</f>
        <v/>
      </c>
      <c r="K84" s="186"/>
      <c r="L84" s="186"/>
      <c r="M84" s="186"/>
      <c r="N84" s="188"/>
      <c r="O84" s="188"/>
      <c r="P84" s="188"/>
      <c r="Q84" s="188"/>
      <c r="R84" s="188"/>
      <c r="S84" s="188" t="str">
        <f ca="1">IF(OR(OP!$D$53=1,$B84=""),"",N($F84)+N($O84))</f>
        <v/>
      </c>
      <c r="T84" s="188">
        <f ca="1">IF(OR(OP!$D$53=1,$B84=""),0,N($T83)+N($S84))</f>
        <v>0</v>
      </c>
      <c r="U84" s="188" t="str">
        <f ca="1">IF(OR(OP!$D$53=1,$B84=""),"",ROUND($S84/12,0))</f>
        <v/>
      </c>
      <c r="V84" s="188">
        <f ca="1">IF(OR(OP!$D$53=1,$B84=""),0,N($V83)+(N($U84)*12))</f>
        <v>0</v>
      </c>
      <c r="W84" s="186"/>
      <c r="X84" s="186"/>
      <c r="Y84" s="189" t="str">
        <f ca="1">IF(OR(OP!$D$53=1,$B84=""),"",ROUND(($H84+$Q84)*IF(OR($C84&lt;16,$Z84=0,$Z84=""),1,PYO),0))</f>
        <v/>
      </c>
      <c r="Z84" s="189" t="str">
        <f ca="1">IF(OR(OP!$D$53=1,$B84=""),"",ROUND(($H84+Q84)*IF(OR($C84&lt;16,($H84+$Q84)*PY!$C$4&lt;PY!$D$5,($H84+$Q84)*PY!$C$4*PYR&lt;PY!$C$5),0,PYY)*PYR,0))</f>
        <v/>
      </c>
      <c r="AA84" s="113" t="str">
        <f ca="1">IF(OR(OP!$D$53=1,AND(B84&gt;OP!$C$24)),"",OP!$C$52)</f>
        <v/>
      </c>
      <c r="AB84" s="113" t="str">
        <f ca="1">IF(OR(OP!$D$53=1,$B84=""),"",N($AB83)+N($AA84))</f>
        <v/>
      </c>
      <c r="AC84" s="113"/>
      <c r="AD84" s="113"/>
      <c r="AE84" s="113"/>
      <c r="AF84" s="113"/>
      <c r="AG84" s="113"/>
      <c r="AH84" s="187" t="str">
        <f ca="1">IF(OR(OP!$D$53=1,$B84=""),"",ROUND(VLOOKUP(OP!$C$55,HL_1,$B84+1,0)*OP!$C$28,0))</f>
        <v/>
      </c>
      <c r="AI84" s="187" t="str">
        <f ca="1">IF(OR(OP!$D$53=1,$B84=""),"",ROUND(VLOOKUP(OP!$C$55,HL_2,$B84+1,0)*OP!$C$28,0))</f>
        <v/>
      </c>
    </row>
    <row r="85" spans="2:35" hidden="1">
      <c r="B85" s="93" t="str">
        <f ca="1">IF(OR(C84&gt;=OP!$F$57,C84=""),"",IF(C84+1&gt;OP!$F$57,OP!$F$57+1-$C$4,B84+1))</f>
        <v/>
      </c>
      <c r="C85" s="92" t="str">
        <f ca="1">IF(OR(OP!$D$53=1,MAX($C$4:C84)&gt;=OP!$F$57),"",C84+(B85-B84))</f>
        <v/>
      </c>
      <c r="D85" s="113" t="str">
        <f ca="1">IF(OR(OP!$D$53=1,AND($B85&gt;OP!$C$24)),"",OP!$C$52-IF($C85&lt;16,$K84,0))</f>
        <v/>
      </c>
      <c r="E85" s="113" t="str">
        <f ca="1">IF(OR(OP!$D$53=1,$B85=""),"",N($E84)+N($D85))</f>
        <v/>
      </c>
      <c r="F85" s="186" t="str">
        <f ca="1">IF(OR(OP!$D$53=1,$B85="",ISERROR(VLOOKUP(OP!$C$55,SRV,$B85+1,0))),"",ROUND(VLOOKUP(OP!$C$55,SRV,$B85+1,0)*OP!$C$28,0))</f>
        <v/>
      </c>
      <c r="G85" s="186" t="str">
        <f ca="1">IF(OR(OP!$D$53=1,$B85="",ISERROR(VLOOKUP(OP!$C$55,SRV,$B85+1,0))),"",N($G84)+N($F85))</f>
        <v/>
      </c>
      <c r="H85" s="186" t="str">
        <f ca="1">IF(OR(OP!$D$53=1,$B85=""),"",ROUND(VLOOKUP(OP!$C$55,DIE,$B85+1,0)*OP!$C$28,0))</f>
        <v/>
      </c>
      <c r="I85" s="187" t="str">
        <f ca="1">IF(OR(OP!$D$53=1,$B85=""),"",ROUND(VLOOKUP(OP!$C$55,CV,$B85+1,0)*OP!$C$28,0))</f>
        <v/>
      </c>
      <c r="J85" s="187" t="str">
        <f ca="1">IF(OR(OP!$D$53=1,$B85=""),"",ROUND(VLOOKUP(OP!$C$55,PA,$B85+1,0)*OP!$C$28,0))</f>
        <v/>
      </c>
      <c r="K85" s="186"/>
      <c r="L85" s="186"/>
      <c r="M85" s="186"/>
      <c r="N85" s="188"/>
      <c r="O85" s="188"/>
      <c r="P85" s="188"/>
      <c r="Q85" s="188"/>
      <c r="R85" s="188"/>
      <c r="S85" s="188" t="str">
        <f ca="1">IF(OR(OP!$D$53=1,$B85=""),"",N($F85)+N($O85))</f>
        <v/>
      </c>
      <c r="T85" s="188">
        <f ca="1">IF(OR(OP!$D$53=1,$B85=""),0,N($T84)+N($S85))</f>
        <v>0</v>
      </c>
      <c r="U85" s="188" t="str">
        <f ca="1">IF(OR(OP!$D$53=1,$B85=""),"",ROUND($S85/12,0))</f>
        <v/>
      </c>
      <c r="V85" s="188">
        <f ca="1">IF(OR(OP!$D$53=1,$B85=""),0,N($V84)+(N($U85)*12))</f>
        <v>0</v>
      </c>
      <c r="W85" s="186"/>
      <c r="X85" s="186"/>
      <c r="Y85" s="189" t="str">
        <f ca="1">IF(OR(OP!$D$53=1,$B85=""),"",ROUND(($H85+$Q85)*IF(OR($C85&lt;16,$Z85=0,$Z85=""),1,PYO),0))</f>
        <v/>
      </c>
      <c r="Z85" s="189" t="str">
        <f ca="1">IF(OR(OP!$D$53=1,$B85=""),"",ROUND(($H85+Q85)*IF(OR($C85&lt;16,($H85+$Q85)*PY!$C$4&lt;PY!$D$5,($H85+$Q85)*PY!$C$4*PYR&lt;PY!$C$5),0,PYY)*PYR,0))</f>
        <v/>
      </c>
      <c r="AA85" s="113" t="str">
        <f ca="1">IF(OR(OP!$D$53=1,AND(B85&gt;OP!$C$24)),"",OP!$C$52)</f>
        <v/>
      </c>
      <c r="AB85" s="113" t="str">
        <f ca="1">IF(OR(OP!$D$53=1,$B85=""),"",N($AB84)+N($AA85))</f>
        <v/>
      </c>
      <c r="AC85" s="113"/>
      <c r="AD85" s="113"/>
      <c r="AE85" s="113"/>
      <c r="AF85" s="113"/>
      <c r="AG85" s="113"/>
      <c r="AH85" s="187" t="str">
        <f ca="1">IF(OR(OP!$D$53=1,$B85=""),"",ROUND(VLOOKUP(OP!$C$55,HL_1,$B85+1,0)*OP!$C$28,0))</f>
        <v/>
      </c>
      <c r="AI85" s="187" t="str">
        <f ca="1">IF(OR(OP!$D$53=1,$B85=""),"",ROUND(VLOOKUP(OP!$C$55,HL_2,$B85+1,0)*OP!$C$28,0))</f>
        <v/>
      </c>
    </row>
    <row r="86" spans="2:35" hidden="1">
      <c r="B86" s="93" t="str">
        <f ca="1">IF(OR(C85&gt;=OP!$F$57,C85=""),"",IF(C85+1&gt;OP!$F$57,OP!$F$57+1-$C$4,B85+1))</f>
        <v/>
      </c>
      <c r="C86" s="92" t="str">
        <f ca="1">IF(OR(OP!$D$53=1,MAX($C$4:C85)&gt;=OP!$F$57),"",C85+(B86-B85))</f>
        <v/>
      </c>
      <c r="D86" s="113" t="str">
        <f ca="1">IF(OR(OP!$D$53=1,AND($B86&gt;OP!$C$24)),"",OP!$C$52-IF($C86&lt;16,$K85,0))</f>
        <v/>
      </c>
      <c r="E86" s="113" t="str">
        <f ca="1">IF(OR(OP!$D$53=1,$B86=""),"",N($E85)+N($D86))</f>
        <v/>
      </c>
      <c r="F86" s="186" t="str">
        <f ca="1">IF(OR(OP!$D$53=1,$B86="",ISERROR(VLOOKUP(OP!$C$55,SRV,$B86+1,0))),"",ROUND(VLOOKUP(OP!$C$55,SRV,$B86+1,0)*OP!$C$28,0))</f>
        <v/>
      </c>
      <c r="G86" s="186" t="str">
        <f ca="1">IF(OR(OP!$D$53=1,$B86="",ISERROR(VLOOKUP(OP!$C$55,SRV,$B86+1,0))),"",N($G85)+N($F86))</f>
        <v/>
      </c>
      <c r="H86" s="186" t="str">
        <f ca="1">IF(OR(OP!$D$53=1,$B86=""),"",ROUND(VLOOKUP(OP!$C$55,DIE,$B86+1,0)*OP!$C$28,0))</f>
        <v/>
      </c>
      <c r="I86" s="187" t="str">
        <f ca="1">IF(OR(OP!$D$53=1,$B86=""),"",ROUND(VLOOKUP(OP!$C$55,CV,$B86+1,0)*OP!$C$28,0))</f>
        <v/>
      </c>
      <c r="J86" s="187" t="str">
        <f ca="1">IF(OR(OP!$D$53=1,$B86=""),"",ROUND(VLOOKUP(OP!$C$55,PA,$B86+1,0)*OP!$C$28,0))</f>
        <v/>
      </c>
      <c r="K86" s="186"/>
      <c r="L86" s="186"/>
      <c r="M86" s="186"/>
      <c r="N86" s="188"/>
      <c r="O86" s="188"/>
      <c r="P86" s="188"/>
      <c r="Q86" s="188"/>
      <c r="R86" s="188"/>
      <c r="S86" s="188" t="str">
        <f ca="1">IF(OR(OP!$D$53=1,$B86=""),"",N($F86)+N($O86))</f>
        <v/>
      </c>
      <c r="T86" s="188">
        <f ca="1">IF(OR(OP!$D$53=1,$B86=""),0,N($T85)+N($S86))</f>
        <v>0</v>
      </c>
      <c r="U86" s="188" t="str">
        <f ca="1">IF(OR(OP!$D$53=1,$B86=""),"",ROUND($S86/12,0))</f>
        <v/>
      </c>
      <c r="V86" s="188">
        <f ca="1">IF(OR(OP!$D$53=1,$B86=""),0,N($V85)+(N($U86)*12))</f>
        <v>0</v>
      </c>
      <c r="W86" s="186"/>
      <c r="X86" s="186"/>
      <c r="Y86" s="189" t="str">
        <f ca="1">IF(OR(OP!$D$53=1,$B86=""),"",ROUND(($H86+$Q86)*IF(OR($C86&lt;16,$Z86=0,$Z86=""),1,PYO),0))</f>
        <v/>
      </c>
      <c r="Z86" s="189" t="str">
        <f ca="1">IF(OR(OP!$D$53=1,$B86=""),"",ROUND(($H86+Q86)*IF(OR($C86&lt;16,($H86+$Q86)*PY!$C$4&lt;PY!$D$5,($H86+$Q86)*PY!$C$4*PYR&lt;PY!$C$5),0,PYY)*PYR,0))</f>
        <v/>
      </c>
      <c r="AA86" s="113" t="str">
        <f ca="1">IF(OR(OP!$D$53=1,AND(B86&gt;OP!$C$24)),"",OP!$C$52)</f>
        <v/>
      </c>
      <c r="AB86" s="113" t="str">
        <f ca="1">IF(OR(OP!$D$53=1,$B86=""),"",N($AB85)+N($AA86))</f>
        <v/>
      </c>
      <c r="AC86" s="113"/>
      <c r="AD86" s="113"/>
      <c r="AE86" s="113"/>
      <c r="AF86" s="113"/>
      <c r="AG86" s="113"/>
      <c r="AH86" s="187" t="str">
        <f ca="1">IF(OR(OP!$D$53=1,$B86=""),"",ROUND(VLOOKUP(OP!$C$55,HL_1,$B86+1,0)*OP!$C$28,0))</f>
        <v/>
      </c>
      <c r="AI86" s="187" t="str">
        <f ca="1">IF(OR(OP!$D$53=1,$B86=""),"",ROUND(VLOOKUP(OP!$C$55,HL_2,$B86+1,0)*OP!$C$28,0))</f>
        <v/>
      </c>
    </row>
    <row r="87" spans="2:35" hidden="1">
      <c r="B87" s="93" t="str">
        <f ca="1">IF(OR(C86&gt;=OP!$F$57,C86=""),"",IF(C86+1&gt;OP!$F$57,OP!$F$57+1-$C$4,B86+1))</f>
        <v/>
      </c>
      <c r="C87" s="92" t="str">
        <f ca="1">IF(OR(OP!$D$53=1,MAX($C$4:C86)&gt;=OP!$F$57),"",C86+(B87-B86))</f>
        <v/>
      </c>
      <c r="D87" s="113" t="str">
        <f ca="1">IF(OR(OP!$D$53=1,AND($B87&gt;OP!$C$24)),"",OP!$C$52-IF($C87&lt;16,$K86,0))</f>
        <v/>
      </c>
      <c r="E87" s="113" t="str">
        <f ca="1">IF(OR(OP!$D$53=1,$B87=""),"",N($E86)+N($D87))</f>
        <v/>
      </c>
      <c r="F87" s="186" t="str">
        <f ca="1">IF(OR(OP!$D$53=1,$B87="",ISERROR(VLOOKUP(OP!$C$55,SRV,$B87+1,0))),"",ROUND(VLOOKUP(OP!$C$55,SRV,$B87+1,0)*OP!$C$28,0))</f>
        <v/>
      </c>
      <c r="G87" s="186" t="str">
        <f ca="1">IF(OR(OP!$D$53=1,$B87="",ISERROR(VLOOKUP(OP!$C$55,SRV,$B87+1,0))),"",N($G86)+N($F87))</f>
        <v/>
      </c>
      <c r="H87" s="186" t="str">
        <f ca="1">IF(OR(OP!$D$53=1,$B87=""),"",ROUND(VLOOKUP(OP!$C$55,DIE,$B87+1,0)*OP!$C$28,0))</f>
        <v/>
      </c>
      <c r="I87" s="187" t="str">
        <f ca="1">IF(OR(OP!$D$53=1,$B87=""),"",ROUND(VLOOKUP(OP!$C$55,CV,$B87+1,0)*OP!$C$28,0))</f>
        <v/>
      </c>
      <c r="J87" s="187" t="str">
        <f ca="1">IF(OR(OP!$D$53=1,$B87=""),"",ROUND(VLOOKUP(OP!$C$55,PA,$B87+1,0)*OP!$C$28,0))</f>
        <v/>
      </c>
      <c r="K87" s="186"/>
      <c r="L87" s="186"/>
      <c r="M87" s="186"/>
      <c r="N87" s="188"/>
      <c r="O87" s="188"/>
      <c r="P87" s="188"/>
      <c r="Q87" s="188"/>
      <c r="R87" s="188"/>
      <c r="S87" s="188" t="str">
        <f ca="1">IF(OR(OP!$D$53=1,$B87=""),"",N($F87)+N($O87))</f>
        <v/>
      </c>
      <c r="T87" s="188">
        <f ca="1">IF(OR(OP!$D$53=1,$B87=""),0,N($T86)+N($S87))</f>
        <v>0</v>
      </c>
      <c r="U87" s="188" t="str">
        <f ca="1">IF(OR(OP!$D$53=1,$B87=""),"",ROUND($S87/12,0))</f>
        <v/>
      </c>
      <c r="V87" s="188">
        <f ca="1">IF(OR(OP!$D$53=1,$B87=""),0,N($V86)+(N($U87)*12))</f>
        <v>0</v>
      </c>
      <c r="W87" s="186"/>
      <c r="X87" s="186"/>
      <c r="Y87" s="189" t="str">
        <f ca="1">IF(OR(OP!$D$53=1,$B87=""),"",ROUND(($H87+$Q87)*IF(OR($C87&lt;16,$Z87=0,$Z87=""),1,PYO),0))</f>
        <v/>
      </c>
      <c r="Z87" s="189" t="str">
        <f ca="1">IF(OR(OP!$D$53=1,$B87=""),"",ROUND(($H87+Q87)*IF(OR($C87&lt;16,($H87+$Q87)*PY!$C$4&lt;PY!$D$5,($H87+$Q87)*PY!$C$4*PYR&lt;PY!$C$5),0,PYY)*PYR,0))</f>
        <v/>
      </c>
      <c r="AA87" s="113" t="str">
        <f ca="1">IF(OR(OP!$D$53=1,AND(B87&gt;OP!$C$24)),"",OP!$C$52)</f>
        <v/>
      </c>
      <c r="AB87" s="113" t="str">
        <f ca="1">IF(OR(OP!$D$53=1,$B87=""),"",N($AB86)+N($AA87))</f>
        <v/>
      </c>
      <c r="AC87" s="113"/>
      <c r="AD87" s="113"/>
      <c r="AE87" s="113"/>
      <c r="AF87" s="113"/>
      <c r="AG87" s="113"/>
      <c r="AH87" s="187" t="str">
        <f ca="1">IF(OR(OP!$D$53=1,$B87=""),"",ROUND(VLOOKUP(OP!$C$55,HL_1,$B87+1,0)*OP!$C$28,0))</f>
        <v/>
      </c>
      <c r="AI87" s="187" t="str">
        <f ca="1">IF(OR(OP!$D$53=1,$B87=""),"",ROUND(VLOOKUP(OP!$C$55,HL_2,$B87+1,0)*OP!$C$28,0))</f>
        <v/>
      </c>
    </row>
    <row r="88" spans="2:35" hidden="1">
      <c r="B88" s="93" t="str">
        <f ca="1">IF(OR(C87&gt;=OP!$F$57,C87=""),"",IF(C87+1&gt;OP!$F$57,OP!$F$57+1-$C$4,B87+1))</f>
        <v/>
      </c>
      <c r="C88" s="92" t="str">
        <f ca="1">IF(OR(OP!$D$53=1,MAX($C$4:C87)&gt;=OP!$F$57),"",C87+(B88-B87))</f>
        <v/>
      </c>
      <c r="D88" s="113" t="str">
        <f ca="1">IF(OR(OP!$D$53=1,AND($B88&gt;OP!$C$24)),"",OP!$C$52-IF($C88&lt;16,$K87,0))</f>
        <v/>
      </c>
      <c r="E88" s="113" t="str">
        <f ca="1">IF(OR(OP!$D$53=1,$B88=""),"",N($E87)+N($D88))</f>
        <v/>
      </c>
      <c r="F88" s="186" t="str">
        <f ca="1">IF(OR(OP!$D$53=1,$B88="",ISERROR(VLOOKUP(OP!$C$55,SRV,$B88+1,0))),"",ROUND(VLOOKUP(OP!$C$55,SRV,$B88+1,0)*OP!$C$28,0))</f>
        <v/>
      </c>
      <c r="G88" s="186" t="str">
        <f ca="1">IF(OR(OP!$D$53=1,$B88="",ISERROR(VLOOKUP(OP!$C$55,SRV,$B88+1,0))),"",N($G87)+N($F88))</f>
        <v/>
      </c>
      <c r="H88" s="186" t="str">
        <f ca="1">IF(OR(OP!$D$53=1,$B88=""),"",ROUND(VLOOKUP(OP!$C$55,DIE,$B88+1,0)*OP!$C$28,0))</f>
        <v/>
      </c>
      <c r="I88" s="187" t="str">
        <f ca="1">IF(OR(OP!$D$53=1,$B88=""),"",ROUND(VLOOKUP(OP!$C$55,CV,$B88+1,0)*OP!$C$28,0))</f>
        <v/>
      </c>
      <c r="J88" s="187" t="str">
        <f ca="1">IF(OR(OP!$D$53=1,$B88=""),"",ROUND(VLOOKUP(OP!$C$55,PA,$B88+1,0)*OP!$C$28,0))</f>
        <v/>
      </c>
      <c r="K88" s="186"/>
      <c r="L88" s="186"/>
      <c r="M88" s="186"/>
      <c r="N88" s="188"/>
      <c r="O88" s="188"/>
      <c r="P88" s="188"/>
      <c r="Q88" s="188"/>
      <c r="R88" s="188"/>
      <c r="S88" s="188" t="str">
        <f ca="1">IF(OR(OP!$D$53=1,$B88=""),"",N($F88)+N($O88))</f>
        <v/>
      </c>
      <c r="T88" s="188">
        <f ca="1">IF(OR(OP!$D$53=1,$B88=""),0,N($T87)+N($S88))</f>
        <v>0</v>
      </c>
      <c r="U88" s="188" t="str">
        <f ca="1">IF(OR(OP!$D$53=1,$B88=""),"",ROUND($S88/12,0))</f>
        <v/>
      </c>
      <c r="V88" s="188">
        <f ca="1">IF(OR(OP!$D$53=1,$B88=""),0,N($V87)+(N($U88)*12))</f>
        <v>0</v>
      </c>
      <c r="W88" s="186"/>
      <c r="X88" s="186"/>
      <c r="Y88" s="189" t="str">
        <f ca="1">IF(OR(OP!$D$53=1,$B88=""),"",ROUND(($H88+$Q88)*IF(OR($C88&lt;16,$Z88=0,$Z88=""),1,PYO),0))</f>
        <v/>
      </c>
      <c r="Z88" s="189" t="str">
        <f ca="1">IF(OR(OP!$D$53=1,$B88=""),"",ROUND(($H88+Q88)*IF(OR($C88&lt;16,($H88+$Q88)*PY!$C$4&lt;PY!$D$5,($H88+$Q88)*PY!$C$4*PYR&lt;PY!$C$5),0,PYY)*PYR,0))</f>
        <v/>
      </c>
      <c r="AA88" s="113" t="str">
        <f ca="1">IF(OR(OP!$D$53=1,AND(B88&gt;OP!$C$24)),"",OP!$C$52)</f>
        <v/>
      </c>
      <c r="AB88" s="113" t="str">
        <f ca="1">IF(OR(OP!$D$53=1,$B88=""),"",N($AB87)+N($AA88))</f>
        <v/>
      </c>
      <c r="AC88" s="113"/>
      <c r="AD88" s="113"/>
      <c r="AE88" s="113"/>
      <c r="AF88" s="113"/>
      <c r="AG88" s="113"/>
      <c r="AH88" s="187" t="str">
        <f ca="1">IF(OR(OP!$D$53=1,$B88=""),"",ROUND(VLOOKUP(OP!$C$55,HL_1,$B88+1,0)*OP!$C$28,0))</f>
        <v/>
      </c>
      <c r="AI88" s="187" t="str">
        <f ca="1">IF(OR(OP!$D$53=1,$B88=""),"",ROUND(VLOOKUP(OP!$C$55,HL_2,$B88+1,0)*OP!$C$28,0))</f>
        <v/>
      </c>
    </row>
    <row r="89" spans="2:35" hidden="1">
      <c r="B89" s="93" t="str">
        <f ca="1">IF(OR(C88&gt;=OP!$F$57,C88=""),"",IF(C88+1&gt;OP!$F$57,OP!$F$57+1-$C$4,B88+1))</f>
        <v/>
      </c>
      <c r="C89" s="92" t="str">
        <f ca="1">IF(OR(OP!$D$53=1,MAX($C$4:C88)&gt;=OP!$F$57),"",C88+(B89-B88))</f>
        <v/>
      </c>
      <c r="D89" s="113" t="str">
        <f ca="1">IF(OR(OP!$D$53=1,AND($B89&gt;OP!$C$24)),"",OP!$C$52-IF($C89&lt;16,$K88,0))</f>
        <v/>
      </c>
      <c r="E89" s="113" t="str">
        <f ca="1">IF(OR(OP!$D$53=1,$B89=""),"",N($E88)+N($D89))</f>
        <v/>
      </c>
      <c r="F89" s="186" t="str">
        <f ca="1">IF(OR(OP!$D$53=1,$B89="",ISERROR(VLOOKUP(OP!$C$55,SRV,$B89+1,0))),"",ROUND(VLOOKUP(OP!$C$55,SRV,$B89+1,0)*OP!$C$28,0))</f>
        <v/>
      </c>
      <c r="G89" s="186" t="str">
        <f ca="1">IF(OR(OP!$D$53=1,$B89="",ISERROR(VLOOKUP(OP!$C$55,SRV,$B89+1,0))),"",N($G88)+N($F89))</f>
        <v/>
      </c>
      <c r="H89" s="186" t="str">
        <f ca="1">IF(OR(OP!$D$53=1,$B89=""),"",ROUND(VLOOKUP(OP!$C$55,DIE,$B89+1,0)*OP!$C$28,0))</f>
        <v/>
      </c>
      <c r="I89" s="187" t="str">
        <f ca="1">IF(OR(OP!$D$53=1,$B89=""),"",ROUND(VLOOKUP(OP!$C$55,CV,$B89+1,0)*OP!$C$28,0))</f>
        <v/>
      </c>
      <c r="J89" s="187" t="str">
        <f ca="1">IF(OR(OP!$D$53=1,$B89=""),"",ROUND(VLOOKUP(OP!$C$55,PA,$B89+1,0)*OP!$C$28,0))</f>
        <v/>
      </c>
      <c r="K89" s="186"/>
      <c r="L89" s="186"/>
      <c r="M89" s="186"/>
      <c r="N89" s="188"/>
      <c r="O89" s="188"/>
      <c r="P89" s="188"/>
      <c r="Q89" s="188"/>
      <c r="R89" s="188"/>
      <c r="S89" s="188" t="str">
        <f ca="1">IF(OR(OP!$D$53=1,$B89=""),"",N($F89)+N($O89))</f>
        <v/>
      </c>
      <c r="T89" s="188">
        <f ca="1">IF(OR(OP!$D$53=1,$B89=""),0,N($T88)+N($S89))</f>
        <v>0</v>
      </c>
      <c r="U89" s="188" t="str">
        <f ca="1">IF(OR(OP!$D$53=1,$B89=""),"",ROUND($S89/12,0))</f>
        <v/>
      </c>
      <c r="V89" s="188">
        <f ca="1">IF(OR(OP!$D$53=1,$B89=""),0,N($V88)+(N($U89)*12))</f>
        <v>0</v>
      </c>
      <c r="W89" s="186"/>
      <c r="X89" s="186"/>
      <c r="Y89" s="189" t="str">
        <f ca="1">IF(OR(OP!$D$53=1,$B89=""),"",ROUND(($H89+$Q89)*IF(OR($C89&lt;16,$Z89=0,$Z89=""),1,PYO),0))</f>
        <v/>
      </c>
      <c r="Z89" s="189" t="str">
        <f ca="1">IF(OR(OP!$D$53=1,$B89=""),"",ROUND(($H89+Q89)*IF(OR($C89&lt;16,($H89+$Q89)*PY!$C$4&lt;PY!$D$5,($H89+$Q89)*PY!$C$4*PYR&lt;PY!$C$5),0,PYY)*PYR,0))</f>
        <v/>
      </c>
      <c r="AA89" s="113" t="str">
        <f ca="1">IF(OR(OP!$D$53=1,AND(B89&gt;OP!$C$24)),"",OP!$C$52)</f>
        <v/>
      </c>
      <c r="AB89" s="113" t="str">
        <f ca="1">IF(OR(OP!$D$53=1,$B89=""),"",N($AB88)+N($AA89))</f>
        <v/>
      </c>
      <c r="AC89" s="113"/>
      <c r="AD89" s="113"/>
      <c r="AE89" s="113"/>
      <c r="AF89" s="113"/>
      <c r="AG89" s="113"/>
      <c r="AH89" s="187" t="str">
        <f ca="1">IF(OR(OP!$D$53=1,$B89=""),"",ROUND(VLOOKUP(OP!$C$55,HL_1,$B89+1,0)*OP!$C$28,0))</f>
        <v/>
      </c>
      <c r="AI89" s="187" t="str">
        <f ca="1">IF(OR(OP!$D$53=1,$B89=""),"",ROUND(VLOOKUP(OP!$C$55,HL_2,$B89+1,0)*OP!$C$28,0))</f>
        <v/>
      </c>
    </row>
    <row r="90" spans="2:35" hidden="1">
      <c r="B90" s="93" t="str">
        <f ca="1">IF(OR(C89&gt;=OP!$F$57,C89=""),"",IF(C89+1&gt;OP!$F$57,OP!$F$57+1-$C$4,B89+1))</f>
        <v/>
      </c>
      <c r="C90" s="92" t="str">
        <f ca="1">IF(OR(OP!$D$53=1,MAX($C$4:C89)&gt;=OP!$F$57),"",C89+(B90-B89))</f>
        <v/>
      </c>
      <c r="D90" s="113" t="str">
        <f ca="1">IF(OR(OP!$D$53=1,AND($B90&gt;OP!$C$24)),"",OP!$C$52-IF($C90&lt;16,$K89,0))</f>
        <v/>
      </c>
      <c r="E90" s="113" t="str">
        <f ca="1">IF(OR(OP!$D$53=1,$B90=""),"",N($E89)+N($D90))</f>
        <v/>
      </c>
      <c r="F90" s="186" t="str">
        <f ca="1">IF(OR(OP!$D$53=1,$B90="",ISERROR(VLOOKUP(OP!$C$55,SRV,$B90+1,0))),"",ROUND(VLOOKUP(OP!$C$55,SRV,$B90+1,0)*OP!$C$28,0))</f>
        <v/>
      </c>
      <c r="G90" s="186" t="str">
        <f ca="1">IF(OR(OP!$D$53=1,$B90="",ISERROR(VLOOKUP(OP!$C$55,SRV,$B90+1,0))),"",N($G89)+N($F90))</f>
        <v/>
      </c>
      <c r="H90" s="186" t="str">
        <f ca="1">IF(OR(OP!$D$53=1,$B90=""),"",ROUND(VLOOKUP(OP!$C$55,DIE,$B90+1,0)*OP!$C$28,0))</f>
        <v/>
      </c>
      <c r="I90" s="187" t="str">
        <f ca="1">IF(OR(OP!$D$53=1,$B90=""),"",ROUND(VLOOKUP(OP!$C$55,CV,$B90+1,0)*OP!$C$28,0))</f>
        <v/>
      </c>
      <c r="J90" s="187" t="str">
        <f ca="1">IF(OR(OP!$D$53=1,$B90=""),"",ROUND(VLOOKUP(OP!$C$55,PA,$B90+1,0)*OP!$C$28,0))</f>
        <v/>
      </c>
      <c r="K90" s="186"/>
      <c r="L90" s="186"/>
      <c r="M90" s="186"/>
      <c r="N90" s="188"/>
      <c r="O90" s="188"/>
      <c r="P90" s="188"/>
      <c r="Q90" s="188"/>
      <c r="R90" s="188"/>
      <c r="S90" s="188" t="str">
        <f ca="1">IF(OR(OP!$D$53=1,$B90=""),"",N($F90)+N($O90))</f>
        <v/>
      </c>
      <c r="T90" s="188">
        <f ca="1">IF(OR(OP!$D$53=1,$B90=""),0,N($T89)+N($S90))</f>
        <v>0</v>
      </c>
      <c r="U90" s="188" t="str">
        <f ca="1">IF(OR(OP!$D$53=1,$B90=""),"",ROUND($S90/12,0))</f>
        <v/>
      </c>
      <c r="V90" s="188">
        <f ca="1">IF(OR(OP!$D$53=1,$B90=""),0,N($V89)+(N($U90)*12))</f>
        <v>0</v>
      </c>
      <c r="W90" s="186"/>
      <c r="X90" s="186"/>
      <c r="Y90" s="189" t="str">
        <f ca="1">IF(OR(OP!$D$53=1,$B90=""),"",ROUND(($H90+$Q90)*IF(OR($C90&lt;16,$Z90=0,$Z90=""),1,PYO),0))</f>
        <v/>
      </c>
      <c r="Z90" s="189" t="str">
        <f ca="1">IF(OR(OP!$D$53=1,$B90=""),"",ROUND(($H90+Q90)*IF(OR($C90&lt;16,($H90+$Q90)*PY!$C$4&lt;PY!$D$5,($H90+$Q90)*PY!$C$4*PYR&lt;PY!$C$5),0,PYY)*PYR,0))</f>
        <v/>
      </c>
      <c r="AA90" s="113" t="str">
        <f ca="1">IF(OR(OP!$D$53=1,AND(B90&gt;OP!$C$24)),"",OP!$C$52)</f>
        <v/>
      </c>
      <c r="AB90" s="113" t="str">
        <f ca="1">IF(OR(OP!$D$53=1,$B90=""),"",N($AB89)+N($AA90))</f>
        <v/>
      </c>
      <c r="AC90" s="113"/>
      <c r="AD90" s="113"/>
      <c r="AE90" s="113"/>
      <c r="AF90" s="113"/>
      <c r="AG90" s="113"/>
      <c r="AH90" s="187" t="str">
        <f ca="1">IF(OR(OP!$D$53=1,$B90=""),"",ROUND(VLOOKUP(OP!$C$55,HL_1,$B90+1,0)*OP!$C$28,0))</f>
        <v/>
      </c>
      <c r="AI90" s="187" t="str">
        <f ca="1">IF(OR(OP!$D$53=1,$B90=""),"",ROUND(VLOOKUP(OP!$C$55,HL_2,$B90+1,0)*OP!$C$28,0))</f>
        <v/>
      </c>
    </row>
    <row r="91" spans="2:35" hidden="1">
      <c r="B91" s="93" t="str">
        <f ca="1">IF(OR(C90&gt;=OP!$F$57,C90=""),"",IF(C90+1&gt;OP!$F$57,OP!$F$57+1-$C$4,B90+1))</f>
        <v/>
      </c>
      <c r="C91" s="92" t="str">
        <f ca="1">IF(OR(OP!$D$53=1,MAX($C$4:C90)&gt;=OP!$F$57),"",C90+(B91-B90))</f>
        <v/>
      </c>
      <c r="D91" s="113" t="str">
        <f ca="1">IF(OR(OP!$D$53=1,AND($B91&gt;OP!$C$24)),"",OP!$C$52-IF($C91&lt;16,$K90,0))</f>
        <v/>
      </c>
      <c r="E91" s="113" t="str">
        <f ca="1">IF(OR(OP!$D$53=1,$B91=""),"",N($E90)+N($D91))</f>
        <v/>
      </c>
      <c r="F91" s="186" t="str">
        <f ca="1">IF(OR(OP!$D$53=1,$B91="",ISERROR(VLOOKUP(OP!$C$55,SRV,$B91+1,0))),"",ROUND(VLOOKUP(OP!$C$55,SRV,$B91+1,0)*OP!$C$28,0))</f>
        <v/>
      </c>
      <c r="G91" s="186" t="str">
        <f ca="1">IF(OR(OP!$D$53=1,$B91="",ISERROR(VLOOKUP(OP!$C$55,SRV,$B91+1,0))),"",N($G90)+N($F91))</f>
        <v/>
      </c>
      <c r="H91" s="186" t="str">
        <f ca="1">IF(OR(OP!$D$53=1,$B91=""),"",ROUND(VLOOKUP(OP!$C$55,DIE,$B91+1,0)*OP!$C$28,0))</f>
        <v/>
      </c>
      <c r="I91" s="187" t="str">
        <f ca="1">IF(OR(OP!$D$53=1,$B91=""),"",ROUND(VLOOKUP(OP!$C$55,CV,$B91+1,0)*OP!$C$28,0))</f>
        <v/>
      </c>
      <c r="J91" s="187" t="str">
        <f ca="1">IF(OR(OP!$D$53=1,$B91=""),"",ROUND(VLOOKUP(OP!$C$55,PA,$B91+1,0)*OP!$C$28,0))</f>
        <v/>
      </c>
      <c r="K91" s="186"/>
      <c r="L91" s="186"/>
      <c r="M91" s="186"/>
      <c r="N91" s="188"/>
      <c r="O91" s="188"/>
      <c r="P91" s="188"/>
      <c r="Q91" s="188"/>
      <c r="R91" s="188"/>
      <c r="S91" s="188" t="str">
        <f ca="1">IF(OR(OP!$D$53=1,$B91=""),"",N($F91)+N($O91))</f>
        <v/>
      </c>
      <c r="T91" s="188">
        <f ca="1">IF(OR(OP!$D$53=1,$B91=""),0,N($T90)+N($S91))</f>
        <v>0</v>
      </c>
      <c r="U91" s="188" t="str">
        <f ca="1">IF(OR(OP!$D$53=1,$B91=""),"",ROUND($S91/12,0))</f>
        <v/>
      </c>
      <c r="V91" s="188">
        <f ca="1">IF(OR(OP!$D$53=1,$B91=""),0,N($V90)+(N($U91)*12))</f>
        <v>0</v>
      </c>
      <c r="W91" s="186"/>
      <c r="X91" s="186"/>
      <c r="Y91" s="189" t="str">
        <f ca="1">IF(OR(OP!$D$53=1,$B91=""),"",ROUND(($H91+$Q91)*IF(OR($C91&lt;16,$Z91=0,$Z91=""),1,PYO),0))</f>
        <v/>
      </c>
      <c r="Z91" s="189" t="str">
        <f ca="1">IF(OR(OP!$D$53=1,$B91=""),"",ROUND(($H91+Q91)*IF(OR($C91&lt;16,($H91+$Q91)*PY!$C$4&lt;PY!$D$5,($H91+$Q91)*PY!$C$4*PYR&lt;PY!$C$5),0,PYY)*PYR,0))</f>
        <v/>
      </c>
      <c r="AA91" s="113" t="str">
        <f ca="1">IF(OR(OP!$D$53=1,AND(B91&gt;OP!$C$24)),"",OP!$C$52)</f>
        <v/>
      </c>
      <c r="AB91" s="113" t="str">
        <f ca="1">IF(OR(OP!$D$53=1,$B91=""),"",N($AB90)+N($AA91))</f>
        <v/>
      </c>
      <c r="AC91" s="113"/>
      <c r="AD91" s="113"/>
      <c r="AE91" s="113"/>
      <c r="AF91" s="113"/>
      <c r="AG91" s="113"/>
      <c r="AH91" s="187" t="str">
        <f ca="1">IF(OR(OP!$D$53=1,$B91=""),"",ROUND(VLOOKUP(OP!$C$55,HL_1,$B91+1,0)*OP!$C$28,0))</f>
        <v/>
      </c>
      <c r="AI91" s="187" t="str">
        <f ca="1">IF(OR(OP!$D$53=1,$B91=""),"",ROUND(VLOOKUP(OP!$C$55,HL_2,$B91+1,0)*OP!$C$28,0))</f>
        <v/>
      </c>
    </row>
    <row r="92" spans="2:35" hidden="1">
      <c r="B92" s="93" t="str">
        <f ca="1">IF(OR(C91&gt;=OP!$F$57,C91=""),"",IF(C91+1&gt;OP!$F$57,OP!$F$57+1-$C$4,B91+1))</f>
        <v/>
      </c>
      <c r="C92" s="92" t="str">
        <f ca="1">IF(OR(OP!$D$53=1,MAX($C$4:C91)&gt;=OP!$F$57),"",C91+(B92-B91))</f>
        <v/>
      </c>
      <c r="D92" s="113" t="str">
        <f ca="1">IF(OR(OP!$D$53=1,AND($B92&gt;OP!$C$24)),"",OP!$C$52-IF($C92&lt;16,$K91,0))</f>
        <v/>
      </c>
      <c r="E92" s="113" t="str">
        <f ca="1">IF(OR(OP!$D$53=1,$B92=""),"",N($E91)+N($D92))</f>
        <v/>
      </c>
      <c r="F92" s="186" t="str">
        <f ca="1">IF(OR(OP!$D$53=1,$B92="",ISERROR(VLOOKUP(OP!$C$55,SRV,$B92+1,0))),"",ROUND(VLOOKUP(OP!$C$55,SRV,$B92+1,0)*OP!$C$28,0))</f>
        <v/>
      </c>
      <c r="G92" s="186" t="str">
        <f ca="1">IF(OR(OP!$D$53=1,$B92="",ISERROR(VLOOKUP(OP!$C$55,SRV,$B92+1,0))),"",N($G91)+N($F92))</f>
        <v/>
      </c>
      <c r="H92" s="186" t="str">
        <f ca="1">IF(OR(OP!$D$53=1,$B92=""),"",ROUND(VLOOKUP(OP!$C$55,DIE,$B92+1,0)*OP!$C$28,0))</f>
        <v/>
      </c>
      <c r="I92" s="187" t="str">
        <f ca="1">IF(OR(OP!$D$53=1,$B92=""),"",ROUND(VLOOKUP(OP!$C$55,CV,$B92+1,0)*OP!$C$28,0))</f>
        <v/>
      </c>
      <c r="J92" s="187" t="str">
        <f ca="1">IF(OR(OP!$D$53=1,$B92=""),"",ROUND(VLOOKUP(OP!$C$55,PA,$B92+1,0)*OP!$C$28,0))</f>
        <v/>
      </c>
      <c r="K92" s="186"/>
      <c r="L92" s="186"/>
      <c r="M92" s="186"/>
      <c r="N92" s="188"/>
      <c r="O92" s="188"/>
      <c r="P92" s="188"/>
      <c r="Q92" s="188"/>
      <c r="R92" s="188"/>
      <c r="S92" s="188" t="str">
        <f ca="1">IF(OR(OP!$D$53=1,$B92=""),"",N($F92)+N($O92))</f>
        <v/>
      </c>
      <c r="T92" s="188">
        <f ca="1">IF(OR(OP!$D$53=1,$B92=""),0,N($T91)+N($S92))</f>
        <v>0</v>
      </c>
      <c r="U92" s="188" t="str">
        <f ca="1">IF(OR(OP!$D$53=1,$B92=""),"",ROUND($S92/12,0))</f>
        <v/>
      </c>
      <c r="V92" s="188">
        <f ca="1">IF(OR(OP!$D$53=1,$B92=""),0,N($V91)+(N($U92)*12))</f>
        <v>0</v>
      </c>
      <c r="W92" s="186"/>
      <c r="X92" s="186"/>
      <c r="Y92" s="189" t="str">
        <f ca="1">IF(OR(OP!$D$53=1,$B92=""),"",ROUND(($H92+$Q92)*IF(OR($C92&lt;16,$Z92=0,$Z92=""),1,PYO),0))</f>
        <v/>
      </c>
      <c r="Z92" s="189" t="str">
        <f ca="1">IF(OR(OP!$D$53=1,$B92=""),"",ROUND(($H92+Q92)*IF(OR($C92&lt;16,($H92+$Q92)*PY!$C$4&lt;PY!$D$5,($H92+$Q92)*PY!$C$4*PYR&lt;PY!$C$5),0,PYY)*PYR,0))</f>
        <v/>
      </c>
      <c r="AA92" s="113" t="str">
        <f ca="1">IF(OR(OP!$D$53=1,AND(B92&gt;OP!$C$24)),"",OP!$C$52)</f>
        <v/>
      </c>
      <c r="AB92" s="113" t="str">
        <f ca="1">IF(OR(OP!$D$53=1,$B92=""),"",N($AB91)+N($AA92))</f>
        <v/>
      </c>
      <c r="AC92" s="113"/>
      <c r="AD92" s="113"/>
      <c r="AE92" s="113"/>
      <c r="AF92" s="113"/>
      <c r="AG92" s="113"/>
      <c r="AH92" s="187" t="str">
        <f ca="1">IF(OR(OP!$D$53=1,$B92=""),"",ROUND(VLOOKUP(OP!$C$55,HL_1,$B92+1,0)*OP!$C$28,0))</f>
        <v/>
      </c>
      <c r="AI92" s="187" t="str">
        <f ca="1">IF(OR(OP!$D$53=1,$B92=""),"",ROUND(VLOOKUP(OP!$C$55,HL_2,$B92+1,0)*OP!$C$28,0))</f>
        <v/>
      </c>
    </row>
    <row r="93" spans="2:35" hidden="1">
      <c r="B93" s="93" t="str">
        <f ca="1">IF(OR(C92&gt;=OP!$F$57,C92=""),"",IF(C92+1&gt;OP!$F$57,OP!$F$57+1-$C$4,B92+1))</f>
        <v/>
      </c>
      <c r="C93" s="92" t="str">
        <f ca="1">IF(OR(OP!$D$53=1,MAX($C$4:C92)&gt;=OP!$F$57),"",C92+(B93-B92))</f>
        <v/>
      </c>
      <c r="D93" s="113" t="str">
        <f ca="1">IF(OR(OP!$D$53=1,AND($B93&gt;OP!$C$24)),"",OP!$C$52-IF($C93&lt;16,$K92,0))</f>
        <v/>
      </c>
      <c r="E93" s="113" t="str">
        <f ca="1">IF(OR(OP!$D$53=1,$B93=""),"",N($E92)+N($D93))</f>
        <v/>
      </c>
      <c r="F93" s="186" t="str">
        <f ca="1">IF(OR(OP!$D$53=1,$B93="",ISERROR(VLOOKUP(OP!$C$55,SRV,$B93+1,0))),"",ROUND(VLOOKUP(OP!$C$55,SRV,$B93+1,0)*OP!$C$28,0))</f>
        <v/>
      </c>
      <c r="G93" s="186" t="str">
        <f ca="1">IF(OR(OP!$D$53=1,$B93="",ISERROR(VLOOKUP(OP!$C$55,SRV,$B93+1,0))),"",N($G92)+N($F93))</f>
        <v/>
      </c>
      <c r="H93" s="186" t="str">
        <f ca="1">IF(OR(OP!$D$53=1,$B93=""),"",ROUND(VLOOKUP(OP!$C$55,DIE,$B93+1,0)*OP!$C$28,0))</f>
        <v/>
      </c>
      <c r="I93" s="187" t="str">
        <f ca="1">IF(OR(OP!$D$53=1,$B93=""),"",ROUND(VLOOKUP(OP!$C$55,CV,$B93+1,0)*OP!$C$28,0))</f>
        <v/>
      </c>
      <c r="J93" s="187" t="str">
        <f ca="1">IF(OR(OP!$D$53=1,$B93=""),"",ROUND(VLOOKUP(OP!$C$55,PA,$B93+1,0)*OP!$C$28,0))</f>
        <v/>
      </c>
      <c r="K93" s="186"/>
      <c r="L93" s="186"/>
      <c r="M93" s="186"/>
      <c r="N93" s="188"/>
      <c r="O93" s="188"/>
      <c r="P93" s="188"/>
      <c r="Q93" s="188"/>
      <c r="R93" s="188"/>
      <c r="S93" s="188" t="str">
        <f ca="1">IF(OR(OP!$D$53=1,$B93=""),"",N($F93)+N($O93))</f>
        <v/>
      </c>
      <c r="T93" s="188">
        <f ca="1">IF(OR(OP!$D$53=1,$B93=""),0,N($T92)+N($S93))</f>
        <v>0</v>
      </c>
      <c r="U93" s="188" t="str">
        <f ca="1">IF(OR(OP!$D$53=1,$B93=""),"",ROUND($S93/12,0))</f>
        <v/>
      </c>
      <c r="V93" s="188">
        <f ca="1">IF(OR(OP!$D$53=1,$B93=""),0,N($V92)+(N($U93)*12))</f>
        <v>0</v>
      </c>
      <c r="W93" s="186"/>
      <c r="X93" s="186"/>
      <c r="Y93" s="189" t="str">
        <f ca="1">IF(OR(OP!$D$53=1,$B93=""),"",ROUND(($H93+$Q93)*IF(OR($C93&lt;16,$Z93=0,$Z93=""),1,PYO),0))</f>
        <v/>
      </c>
      <c r="Z93" s="189" t="str">
        <f ca="1">IF(OR(OP!$D$53=1,$B93=""),"",ROUND(($H93+Q93)*IF(OR($C93&lt;16,($H93+$Q93)*PY!$C$4&lt;PY!$D$5,($H93+$Q93)*PY!$C$4*PYR&lt;PY!$C$5),0,PYY)*PYR,0))</f>
        <v/>
      </c>
      <c r="AA93" s="113" t="str">
        <f ca="1">IF(OR(OP!$D$53=1,AND(B93&gt;OP!$C$24)),"",OP!$C$52)</f>
        <v/>
      </c>
      <c r="AB93" s="113" t="str">
        <f ca="1">IF(OR(OP!$D$53=1,$B93=""),"",N($AB92)+N($AA93))</f>
        <v/>
      </c>
      <c r="AC93" s="113"/>
      <c r="AD93" s="113"/>
      <c r="AE93" s="113"/>
      <c r="AF93" s="113"/>
      <c r="AG93" s="113"/>
      <c r="AH93" s="187" t="str">
        <f ca="1">IF(OR(OP!$D$53=1,$B93=""),"",ROUND(VLOOKUP(OP!$C$55,HL_1,$B93+1,0)*OP!$C$28,0))</f>
        <v/>
      </c>
      <c r="AI93" s="187" t="str">
        <f ca="1">IF(OR(OP!$D$53=1,$B93=""),"",ROUND(VLOOKUP(OP!$C$55,HL_2,$B93+1,0)*OP!$C$28,0))</f>
        <v/>
      </c>
    </row>
    <row r="94" spans="2:35" hidden="1">
      <c r="B94" s="93" t="str">
        <f ca="1">IF(OR(C93&gt;=OP!$F$57,C93=""),"",IF(C93+1&gt;OP!$F$57,OP!$F$57+1-$C$4,B93+1))</f>
        <v/>
      </c>
      <c r="C94" s="92" t="str">
        <f ca="1">IF(OR(OP!$D$53=1,MAX($C$4:C93)&gt;=OP!$F$57),"",C93+(B94-B93))</f>
        <v/>
      </c>
      <c r="D94" s="113" t="str">
        <f ca="1">IF(OR(OP!$D$53=1,AND($B94&gt;OP!$C$24)),"",OP!$C$52-IF($C94&lt;16,$K93,0))</f>
        <v/>
      </c>
      <c r="E94" s="113" t="str">
        <f ca="1">IF(OR(OP!$D$53=1,$B94=""),"",N($E93)+N($D94))</f>
        <v/>
      </c>
      <c r="F94" s="186" t="str">
        <f ca="1">IF(OR(OP!$D$53=1,$B94="",ISERROR(VLOOKUP(OP!$C$55,SRV,$B94+1,0))),"",ROUND(VLOOKUP(OP!$C$55,SRV,$B94+1,0)*OP!$C$28,0))</f>
        <v/>
      </c>
      <c r="G94" s="186" t="str">
        <f ca="1">IF(OR(OP!$D$53=1,$B94="",ISERROR(VLOOKUP(OP!$C$55,SRV,$B94+1,0))),"",N($G93)+N($F94))</f>
        <v/>
      </c>
      <c r="H94" s="186" t="str">
        <f ca="1">IF(OR(OP!$D$53=1,$B94=""),"",ROUND(VLOOKUP(OP!$C$55,DIE,$B94+1,0)*OP!$C$28,0))</f>
        <v/>
      </c>
      <c r="I94" s="187" t="str">
        <f ca="1">IF(OR(OP!$D$53=1,$B94=""),"",ROUND(VLOOKUP(OP!$C$55,CV,$B94+1,0)*OP!$C$28,0))</f>
        <v/>
      </c>
      <c r="J94" s="187" t="str">
        <f ca="1">IF(OR(OP!$D$53=1,$B94=""),"",ROUND(VLOOKUP(OP!$C$55,PA,$B94+1,0)*OP!$C$28,0))</f>
        <v/>
      </c>
      <c r="K94" s="186"/>
      <c r="L94" s="186"/>
      <c r="M94" s="186"/>
      <c r="N94" s="188"/>
      <c r="O94" s="188"/>
      <c r="P94" s="188"/>
      <c r="Q94" s="188"/>
      <c r="R94" s="188"/>
      <c r="S94" s="188" t="str">
        <f ca="1">IF(OR(OP!$D$53=1,$B94=""),"",N($F94)+N($O94))</f>
        <v/>
      </c>
      <c r="T94" s="188">
        <f ca="1">IF(OR(OP!$D$53=1,$B94=""),0,N($T93)+N($S94))</f>
        <v>0</v>
      </c>
      <c r="U94" s="188" t="str">
        <f ca="1">IF(OR(OP!$D$53=1,$B94=""),"",ROUND($S94/12,0))</f>
        <v/>
      </c>
      <c r="V94" s="188">
        <f ca="1">IF(OR(OP!$D$53=1,$B94=""),0,N($V93)+(N($U94)*12))</f>
        <v>0</v>
      </c>
      <c r="W94" s="186"/>
      <c r="X94" s="186"/>
      <c r="Y94" s="189" t="str">
        <f ca="1">IF(OR(OP!$D$53=1,$B94=""),"",ROUND(($H94+$Q94)*IF(OR($C94&lt;16,$Z94=0,$Z94=""),1,PYO),0))</f>
        <v/>
      </c>
      <c r="Z94" s="189" t="str">
        <f ca="1">IF(OR(OP!$D$53=1,$B94=""),"",ROUND(($H94+Q94)*IF(OR($C94&lt;16,($H94+$Q94)*PY!$C$4&lt;PY!$D$5,($H94+$Q94)*PY!$C$4*PYR&lt;PY!$C$5),0,PYY)*PYR,0))</f>
        <v/>
      </c>
      <c r="AA94" s="113" t="str">
        <f ca="1">IF(OR(OP!$D$53=1,AND(B94&gt;OP!$C$24)),"",OP!$C$52)</f>
        <v/>
      </c>
      <c r="AB94" s="113" t="str">
        <f ca="1">IF(OR(OP!$D$53=1,$B94=""),"",N($AB93)+N($AA94))</f>
        <v/>
      </c>
      <c r="AC94" s="113"/>
      <c r="AD94" s="113"/>
      <c r="AE94" s="113"/>
      <c r="AF94" s="113"/>
      <c r="AG94" s="113"/>
      <c r="AH94" s="187" t="str">
        <f ca="1">IF(OR(OP!$D$53=1,$B94=""),"",ROUND(VLOOKUP(OP!$C$55,HL_1,$B94+1,0)*OP!$C$28,0))</f>
        <v/>
      </c>
      <c r="AI94" s="187" t="str">
        <f ca="1">IF(OR(OP!$D$53=1,$B94=""),"",ROUND(VLOOKUP(OP!$C$55,HL_2,$B94+1,0)*OP!$C$28,0))</f>
        <v/>
      </c>
    </row>
    <row r="95" spans="2:35" hidden="1">
      <c r="B95" s="93" t="str">
        <f ca="1">IF(OR(C94&gt;=OP!$F$57,C94=""),"",IF(C94+1&gt;OP!$F$57,OP!$F$57+1-$C$4,B94+1))</f>
        <v/>
      </c>
      <c r="C95" s="92" t="str">
        <f ca="1">IF(OR(OP!$D$53=1,MAX($C$4:C94)&gt;=OP!$F$57),"",C94+(B95-B94))</f>
        <v/>
      </c>
      <c r="D95" s="113" t="str">
        <f ca="1">IF(OR(OP!$D$53=1,AND($B95&gt;OP!$C$24)),"",OP!$C$52-IF($C95&lt;16,$K94,0))</f>
        <v/>
      </c>
      <c r="E95" s="113" t="str">
        <f ca="1">IF(OR(OP!$D$53=1,$B95=""),"",N($E94)+N($D95))</f>
        <v/>
      </c>
      <c r="F95" s="186" t="str">
        <f ca="1">IF(OR(OP!$D$53=1,$B95="",ISERROR(VLOOKUP(OP!$C$55,SRV,$B95+1,0))),"",ROUND(VLOOKUP(OP!$C$55,SRV,$B95+1,0)*OP!$C$28,0))</f>
        <v/>
      </c>
      <c r="G95" s="186" t="str">
        <f ca="1">IF(OR(OP!$D$53=1,$B95="",ISERROR(VLOOKUP(OP!$C$55,SRV,$B95+1,0))),"",N($G94)+N($F95))</f>
        <v/>
      </c>
      <c r="H95" s="186" t="str">
        <f ca="1">IF(OR(OP!$D$53=1,$B95=""),"",ROUND(VLOOKUP(OP!$C$55,DIE,$B95+1,0)*OP!$C$28,0))</f>
        <v/>
      </c>
      <c r="I95" s="187" t="str">
        <f ca="1">IF(OR(OP!$D$53=1,$B95=""),"",ROUND(VLOOKUP(OP!$C$55,CV,$B95+1,0)*OP!$C$28,0))</f>
        <v/>
      </c>
      <c r="J95" s="187" t="str">
        <f ca="1">IF(OR(OP!$D$53=1,$B95=""),"",ROUND(VLOOKUP(OP!$C$55,PA,$B95+1,0)*OP!$C$28,0))</f>
        <v/>
      </c>
      <c r="K95" s="186"/>
      <c r="L95" s="186"/>
      <c r="M95" s="186"/>
      <c r="N95" s="188"/>
      <c r="O95" s="188"/>
      <c r="P95" s="188"/>
      <c r="Q95" s="188"/>
      <c r="R95" s="188"/>
      <c r="S95" s="188" t="str">
        <f ca="1">IF(OR(OP!$D$53=1,$B95=""),"",N($F95)+N($O95))</f>
        <v/>
      </c>
      <c r="T95" s="188">
        <f ca="1">IF(OR(OP!$D$53=1,$B95=""),0,N($T94)+N($S95))</f>
        <v>0</v>
      </c>
      <c r="U95" s="188" t="str">
        <f ca="1">IF(OR(OP!$D$53=1,$B95=""),"",ROUND($S95/12,0))</f>
        <v/>
      </c>
      <c r="V95" s="188">
        <f ca="1">IF(OR(OP!$D$53=1,$B95=""),0,N($V94)+(N($U95)*12))</f>
        <v>0</v>
      </c>
      <c r="W95" s="186"/>
      <c r="X95" s="186"/>
      <c r="Y95" s="189" t="str">
        <f ca="1">IF(OR(OP!$D$53=1,$B95=""),"",ROUND(($H95+$Q95)*IF(OR($C95&lt;16,$Z95=0,$Z95=""),1,PYO),0))</f>
        <v/>
      </c>
      <c r="Z95" s="189" t="str">
        <f ca="1">IF(OR(OP!$D$53=1,$B95=""),"",ROUND(($H95+Q95)*IF(OR($C95&lt;16,($H95+$Q95)*PY!$C$4&lt;PY!$D$5,($H95+$Q95)*PY!$C$4*PYR&lt;PY!$C$5),0,PYY)*PYR,0))</f>
        <v/>
      </c>
      <c r="AA95" s="113" t="str">
        <f ca="1">IF(OR(OP!$D$53=1,AND(B95&gt;OP!$C$24)),"",OP!$C$52)</f>
        <v/>
      </c>
      <c r="AB95" s="113" t="str">
        <f ca="1">IF(OR(OP!$D$53=1,$B95=""),"",N($AB94)+N($AA95))</f>
        <v/>
      </c>
      <c r="AC95" s="113"/>
      <c r="AD95" s="113"/>
      <c r="AE95" s="113"/>
      <c r="AF95" s="113"/>
      <c r="AG95" s="113"/>
      <c r="AH95" s="187" t="str">
        <f ca="1">IF(OR(OP!$D$53=1,$B95=""),"",ROUND(VLOOKUP(OP!$C$55,HL_1,$B95+1,0)*OP!$C$28,0))</f>
        <v/>
      </c>
      <c r="AI95" s="187" t="str">
        <f ca="1">IF(OR(OP!$D$53=1,$B95=""),"",ROUND(VLOOKUP(OP!$C$55,HL_2,$B95+1,0)*OP!$C$28,0))</f>
        <v/>
      </c>
    </row>
    <row r="96" spans="2:35" hidden="1">
      <c r="B96" s="93" t="str">
        <f ca="1">IF(OR(C95&gt;=OP!$F$57,C95=""),"",IF(C95+1&gt;OP!$F$57,OP!$F$57+1-$C$4,B95+1))</f>
        <v/>
      </c>
      <c r="C96" s="92" t="str">
        <f ca="1">IF(OR(OP!$D$53=1,MAX($C$4:C95)&gt;=OP!$F$57),"",C95+(B96-B95))</f>
        <v/>
      </c>
      <c r="D96" s="113" t="str">
        <f ca="1">IF(OR(OP!$D$53=1,AND($B96&gt;OP!$C$24)),"",OP!$C$52-IF($C96&lt;16,$K95,0))</f>
        <v/>
      </c>
      <c r="E96" s="113" t="str">
        <f ca="1">IF(OR(OP!$D$53=1,$B96=""),"",N($E95)+N($D96))</f>
        <v/>
      </c>
      <c r="F96" s="186" t="str">
        <f ca="1">IF(OR(OP!$D$53=1,$B96="",ISERROR(VLOOKUP(OP!$C$55,SRV,$B96+1,0))),"",ROUND(VLOOKUP(OP!$C$55,SRV,$B96+1,0)*OP!$C$28,0))</f>
        <v/>
      </c>
      <c r="G96" s="186" t="str">
        <f ca="1">IF(OR(OP!$D$53=1,$B96="",ISERROR(VLOOKUP(OP!$C$55,SRV,$B96+1,0))),"",N($G95)+N($F96))</f>
        <v/>
      </c>
      <c r="H96" s="186" t="str">
        <f ca="1">IF(OR(OP!$D$53=1,$B96=""),"",ROUND(VLOOKUP(OP!$C$55,DIE,$B96+1,0)*OP!$C$28,0))</f>
        <v/>
      </c>
      <c r="I96" s="187" t="str">
        <f ca="1">IF(OR(OP!$D$53=1,$B96=""),"",ROUND(VLOOKUP(OP!$C$55,CV,$B96+1,0)*OP!$C$28,0))</f>
        <v/>
      </c>
      <c r="J96" s="187" t="str">
        <f ca="1">IF(OR(OP!$D$53=1,$B96=""),"",ROUND(VLOOKUP(OP!$C$55,PA,$B96+1,0)*OP!$C$28,0))</f>
        <v/>
      </c>
      <c r="K96" s="186"/>
      <c r="L96" s="186"/>
      <c r="M96" s="186"/>
      <c r="N96" s="188"/>
      <c r="O96" s="188"/>
      <c r="P96" s="188"/>
      <c r="Q96" s="188"/>
      <c r="R96" s="188"/>
      <c r="S96" s="188" t="str">
        <f ca="1">IF(OR(OP!$D$53=1,$B96=""),"",N($F96)+N($O96))</f>
        <v/>
      </c>
      <c r="T96" s="188">
        <f ca="1">IF(OR(OP!$D$53=1,$B96=""),0,N($T95)+N($S96))</f>
        <v>0</v>
      </c>
      <c r="U96" s="188" t="str">
        <f ca="1">IF(OR(OP!$D$53=1,$B96=""),"",ROUND($S96/12,0))</f>
        <v/>
      </c>
      <c r="V96" s="188">
        <f ca="1">IF(OR(OP!$D$53=1,$B96=""),0,N($V95)+(N($U96)*12))</f>
        <v>0</v>
      </c>
      <c r="W96" s="186"/>
      <c r="X96" s="186"/>
      <c r="Y96" s="189" t="str">
        <f ca="1">IF(OR(OP!$D$53=1,$B96=""),"",ROUND(($H96+$Q96)*IF(OR($C96&lt;16,$Z96=0,$Z96=""),1,PYO),0))</f>
        <v/>
      </c>
      <c r="Z96" s="189" t="str">
        <f ca="1">IF(OR(OP!$D$53=1,$B96=""),"",ROUND(($H96+Q96)*IF(OR($C96&lt;16,($H96+$Q96)*PY!$C$4&lt;PY!$D$5,($H96+$Q96)*PY!$C$4*PYR&lt;PY!$C$5),0,PYY)*PYR,0))</f>
        <v/>
      </c>
      <c r="AA96" s="113" t="str">
        <f ca="1">IF(OR(OP!$D$53=1,AND(B96&gt;OP!$C$24)),"",OP!$C$52)</f>
        <v/>
      </c>
      <c r="AB96" s="113" t="str">
        <f ca="1">IF(OR(OP!$D$53=1,$B96=""),"",N($AB95)+N($AA96))</f>
        <v/>
      </c>
      <c r="AC96" s="113"/>
      <c r="AD96" s="113"/>
      <c r="AE96" s="113"/>
      <c r="AF96" s="113"/>
      <c r="AG96" s="113"/>
      <c r="AH96" s="187" t="str">
        <f ca="1">IF(OR(OP!$D$53=1,$B96=""),"",ROUND(VLOOKUP(OP!$C$55,HL_1,$B96+1,0)*OP!$C$28,0))</f>
        <v/>
      </c>
      <c r="AI96" s="187" t="str">
        <f ca="1">IF(OR(OP!$D$53=1,$B96=""),"",ROUND(VLOOKUP(OP!$C$55,HL_2,$B96+1,0)*OP!$C$28,0))</f>
        <v/>
      </c>
    </row>
    <row r="97" spans="2:35" hidden="1">
      <c r="B97" s="93" t="str">
        <f ca="1">IF(OR(C96&gt;=OP!$F$57,C96=""),"",IF(C96+1&gt;OP!$F$57,OP!$F$57+1-$C$4,B96+1))</f>
        <v/>
      </c>
      <c r="C97" s="92" t="str">
        <f ca="1">IF(OR(OP!$D$53=1,MAX($C$4:C96)&gt;=OP!$F$57),"",C96+(B97-B96))</f>
        <v/>
      </c>
      <c r="D97" s="113" t="str">
        <f ca="1">IF(OR(OP!$D$53=1,AND($B97&gt;OP!$C$24)),"",OP!$C$52-IF($C97&lt;16,$K96,0))</f>
        <v/>
      </c>
      <c r="E97" s="113" t="str">
        <f ca="1">IF(OR(OP!$D$53=1,$B97=""),"",N($E96)+N($D97))</f>
        <v/>
      </c>
      <c r="F97" s="186" t="str">
        <f ca="1">IF(OR(OP!$D$53=1,$B97="",ISERROR(VLOOKUP(OP!$C$55,SRV,$B97+1,0))),"",ROUND(VLOOKUP(OP!$C$55,SRV,$B97+1,0)*OP!$C$28,0))</f>
        <v/>
      </c>
      <c r="G97" s="186" t="str">
        <f ca="1">IF(OR(OP!$D$53=1,$B97="",ISERROR(VLOOKUP(OP!$C$55,SRV,$B97+1,0))),"",N($G96)+N($F97))</f>
        <v/>
      </c>
      <c r="H97" s="186" t="str">
        <f ca="1">IF(OR(OP!$D$53=1,$B97=""),"",ROUND(VLOOKUP(OP!$C$55,DIE,$B97+1,0)*OP!$C$28,0))</f>
        <v/>
      </c>
      <c r="I97" s="187" t="str">
        <f ca="1">IF(OR(OP!$D$53=1,$B97=""),"",ROUND(VLOOKUP(OP!$C$55,CV,$B97+1,0)*OP!$C$28,0))</f>
        <v/>
      </c>
      <c r="J97" s="187" t="str">
        <f ca="1">IF(OR(OP!$D$53=1,$B97=""),"",ROUND(VLOOKUP(OP!$C$55,PA,$B97+1,0)*OP!$C$28,0))</f>
        <v/>
      </c>
      <c r="K97" s="186"/>
      <c r="L97" s="186"/>
      <c r="M97" s="186"/>
      <c r="N97" s="188"/>
      <c r="O97" s="188"/>
      <c r="P97" s="188"/>
      <c r="Q97" s="188"/>
      <c r="R97" s="188"/>
      <c r="S97" s="188" t="str">
        <f ca="1">IF(OR(OP!$D$53=1,$B97=""),"",N($F97)+N($O97))</f>
        <v/>
      </c>
      <c r="T97" s="188">
        <f ca="1">IF(OR(OP!$D$53=1,$B97=""),0,N($T96)+N($S97))</f>
        <v>0</v>
      </c>
      <c r="U97" s="188" t="str">
        <f ca="1">IF(OR(OP!$D$53=1,$B97=""),"",ROUND($S97/12,0))</f>
        <v/>
      </c>
      <c r="V97" s="188">
        <f ca="1">IF(OR(OP!$D$53=1,$B97=""),0,N($V96)+(N($U97)*12))</f>
        <v>0</v>
      </c>
      <c r="W97" s="186"/>
      <c r="X97" s="186"/>
      <c r="Y97" s="189" t="str">
        <f ca="1">IF(OR(OP!$D$53=1,$B97=""),"",ROUND(($H97+$Q97)*IF(OR($C97&lt;16,$Z97=0,$Z97=""),1,PYO),0))</f>
        <v/>
      </c>
      <c r="Z97" s="189" t="str">
        <f ca="1">IF(OR(OP!$D$53=1,$B97=""),"",ROUND(($H97+Q97)*IF(OR($C97&lt;16,($H97+$Q97)*PY!$C$4&lt;PY!$D$5,($H97+$Q97)*PY!$C$4*PYR&lt;PY!$C$5),0,PYY)*PYR,0))</f>
        <v/>
      </c>
      <c r="AA97" s="113" t="str">
        <f ca="1">IF(OR(OP!$D$53=1,AND(B97&gt;OP!$C$24)),"",OP!$C$52)</f>
        <v/>
      </c>
      <c r="AB97" s="113" t="str">
        <f ca="1">IF(OR(OP!$D$53=1,$B97=""),"",N($AB96)+N($AA97))</f>
        <v/>
      </c>
      <c r="AC97" s="113"/>
      <c r="AD97" s="113"/>
      <c r="AE97" s="113"/>
      <c r="AF97" s="113"/>
      <c r="AG97" s="113"/>
      <c r="AH97" s="187" t="str">
        <f ca="1">IF(OR(OP!$D$53=1,$B97=""),"",ROUND(VLOOKUP(OP!$C$55,HL_1,$B97+1,0)*OP!$C$28,0))</f>
        <v/>
      </c>
      <c r="AI97" s="187" t="str">
        <f ca="1">IF(OR(OP!$D$53=1,$B97=""),"",ROUND(VLOOKUP(OP!$C$55,HL_2,$B97+1,0)*OP!$C$28,0))</f>
        <v/>
      </c>
    </row>
    <row r="98" spans="2:35" hidden="1">
      <c r="B98" s="93" t="str">
        <f ca="1">IF(OR(C97&gt;=OP!$F$57,C97=""),"",IF(C97+1&gt;OP!$F$57,OP!$F$57+1-$C$4,B97+1))</f>
        <v/>
      </c>
      <c r="C98" s="92" t="str">
        <f ca="1">IF(OR(OP!$D$53=1,MAX($C$4:C97)&gt;=OP!$F$57),"",C97+(B98-B97))</f>
        <v/>
      </c>
      <c r="D98" s="113" t="str">
        <f ca="1">IF(OR(OP!$D$53=1,AND($B98&gt;OP!$C$24)),"",OP!$C$52-IF($C98&lt;16,$K97,0))</f>
        <v/>
      </c>
      <c r="E98" s="113" t="str">
        <f ca="1">IF(OR(OP!$D$53=1,$B98=""),"",N($E97)+N($D98))</f>
        <v/>
      </c>
      <c r="F98" s="186" t="str">
        <f ca="1">IF(OR(OP!$D$53=1,$B98="",ISERROR(VLOOKUP(OP!$C$55,SRV,$B98+1,0))),"",ROUND(VLOOKUP(OP!$C$55,SRV,$B98+1,0)*OP!$C$28,0))</f>
        <v/>
      </c>
      <c r="G98" s="186" t="str">
        <f ca="1">IF(OR(OP!$D$53=1,$B98="",ISERROR(VLOOKUP(OP!$C$55,SRV,$B98+1,0))),"",N($G97)+N($F98))</f>
        <v/>
      </c>
      <c r="H98" s="186" t="str">
        <f ca="1">IF(OR(OP!$D$53=1,$B98=""),"",ROUND(VLOOKUP(OP!$C$55,DIE,$B98+1,0)*OP!$C$28,0))</f>
        <v/>
      </c>
      <c r="I98" s="187" t="str">
        <f ca="1">IF(OR(OP!$D$53=1,$B98=""),"",ROUND(VLOOKUP(OP!$C$55,CV,$B98+1,0)*OP!$C$28,0))</f>
        <v/>
      </c>
      <c r="J98" s="187" t="str">
        <f ca="1">IF(OR(OP!$D$53=1,$B98=""),"",ROUND(VLOOKUP(OP!$C$55,PA,$B98+1,0)*OP!$C$28,0))</f>
        <v/>
      </c>
      <c r="K98" s="186"/>
      <c r="L98" s="186"/>
      <c r="M98" s="186"/>
      <c r="N98" s="188"/>
      <c r="O98" s="188"/>
      <c r="P98" s="188"/>
      <c r="Q98" s="188"/>
      <c r="R98" s="188"/>
      <c r="S98" s="188" t="str">
        <f ca="1">IF(OR(OP!$D$53=1,$B98=""),"",N($F98)+N($O98))</f>
        <v/>
      </c>
      <c r="T98" s="188">
        <f ca="1">IF(OR(OP!$D$53=1,$B98=""),0,N($T97)+N($S98))</f>
        <v>0</v>
      </c>
      <c r="U98" s="188" t="str">
        <f ca="1">IF(OR(OP!$D$53=1,$B98=""),"",ROUND($S98/12,0))</f>
        <v/>
      </c>
      <c r="V98" s="188">
        <f ca="1">IF(OR(OP!$D$53=1,$B98=""),0,N($V97)+(N($U98)*12))</f>
        <v>0</v>
      </c>
      <c r="W98" s="186"/>
      <c r="X98" s="186"/>
      <c r="Y98" s="189" t="str">
        <f ca="1">IF(OR(OP!$D$53=1,$B98=""),"",ROUND(($H98+$Q98)*IF(OR($C98&lt;16,$Z98=0,$Z98=""),1,PYO),0))</f>
        <v/>
      </c>
      <c r="Z98" s="189" t="str">
        <f ca="1">IF(OR(OP!$D$53=1,$B98=""),"",ROUND(($H98+Q98)*IF(OR($C98&lt;16,($H98+$Q98)*PY!$C$4&lt;PY!$D$5,($H98+$Q98)*PY!$C$4*PYR&lt;PY!$C$5),0,PYY)*PYR,0))</f>
        <v/>
      </c>
      <c r="AA98" s="113" t="str">
        <f ca="1">IF(OR(OP!$D$53=1,AND(B98&gt;OP!$C$24)),"",OP!$C$52)</f>
        <v/>
      </c>
      <c r="AB98" s="113" t="str">
        <f ca="1">IF(OR(OP!$D$53=1,$B98=""),"",N($AB97)+N($AA98))</f>
        <v/>
      </c>
      <c r="AC98" s="113"/>
      <c r="AD98" s="113"/>
      <c r="AE98" s="113"/>
      <c r="AF98" s="113"/>
      <c r="AG98" s="113"/>
      <c r="AH98" s="187" t="str">
        <f ca="1">IF(OR(OP!$D$53=1,$B98=""),"",ROUND(VLOOKUP(OP!$C$55,HL_1,$B98+1,0)*OP!$C$28,0))</f>
        <v/>
      </c>
      <c r="AI98" s="187" t="str">
        <f ca="1">IF(OR(OP!$D$53=1,$B98=""),"",ROUND(VLOOKUP(OP!$C$55,HL_2,$B98+1,0)*OP!$C$28,0))</f>
        <v/>
      </c>
    </row>
    <row r="99" spans="2:35" hidden="1">
      <c r="B99" s="93" t="str">
        <f ca="1">IF(OR(C98&gt;=OP!$F$57,C98=""),"",IF(C98+1&gt;OP!$F$57,OP!$F$57+1-$C$4,B98+1))</f>
        <v/>
      </c>
      <c r="C99" s="92" t="str">
        <f ca="1">IF(OR(OP!$D$53=1,MAX($C$4:C98)&gt;=OP!$F$57),"",C98+(B99-B98))</f>
        <v/>
      </c>
      <c r="D99" s="113" t="str">
        <f ca="1">IF(OR(OP!$D$53=1,AND($B99&gt;OP!$C$24)),"",OP!$C$52-IF($C99&lt;16,$K98,0))</f>
        <v/>
      </c>
      <c r="E99" s="113" t="str">
        <f ca="1">IF(OR(OP!$D$53=1,$B99=""),"",N($E98)+N($D99))</f>
        <v/>
      </c>
      <c r="F99" s="186" t="str">
        <f ca="1">IF(OR(OP!$D$53=1,$B99="",ISERROR(VLOOKUP(OP!$C$55,SRV,$B99+1,0))),"",ROUND(VLOOKUP(OP!$C$55,SRV,$B99+1,0)*OP!$C$28,0))</f>
        <v/>
      </c>
      <c r="G99" s="186" t="str">
        <f ca="1">IF(OR(OP!$D$53=1,$B99="",ISERROR(VLOOKUP(OP!$C$55,SRV,$B99+1,0))),"",N($G98)+N($F99))</f>
        <v/>
      </c>
      <c r="H99" s="186" t="str">
        <f ca="1">IF(OR(OP!$D$53=1,$B99=""),"",ROUND(VLOOKUP(OP!$C$55,DIE,$B99+1,0)*OP!$C$28,0))</f>
        <v/>
      </c>
      <c r="I99" s="187" t="str">
        <f ca="1">IF(OR(OP!$D$53=1,$B99=""),"",ROUND(VLOOKUP(OP!$C$55,CV,$B99+1,0)*OP!$C$28,0))</f>
        <v/>
      </c>
      <c r="J99" s="187" t="str">
        <f ca="1">IF(OR(OP!$D$53=1,$B99=""),"",ROUND(VLOOKUP(OP!$C$55,PA,$B99+1,0)*OP!$C$28,0))</f>
        <v/>
      </c>
      <c r="K99" s="186"/>
      <c r="L99" s="186"/>
      <c r="M99" s="186"/>
      <c r="N99" s="188"/>
      <c r="O99" s="188"/>
      <c r="P99" s="188"/>
      <c r="Q99" s="188"/>
      <c r="R99" s="188"/>
      <c r="S99" s="188" t="str">
        <f ca="1">IF(OR(OP!$D$53=1,$B99=""),"",N($F99)+N($O99))</f>
        <v/>
      </c>
      <c r="T99" s="188">
        <f ca="1">IF(OR(OP!$D$53=1,$B99=""),0,N($T98)+N($S99))</f>
        <v>0</v>
      </c>
      <c r="U99" s="188" t="str">
        <f ca="1">IF(OR(OP!$D$53=1,$B99=""),"",ROUND($S99/12,0))</f>
        <v/>
      </c>
      <c r="V99" s="188">
        <f ca="1">IF(OR(OP!$D$53=1,$B99=""),0,N($V98)+(N($U99)*12))</f>
        <v>0</v>
      </c>
      <c r="W99" s="186"/>
      <c r="X99" s="186"/>
      <c r="Y99" s="189" t="str">
        <f ca="1">IF(OR(OP!$D$53=1,$B99=""),"",ROUND(($H99+$Q99)*IF(OR($C99&lt;16,$Z99=0,$Z99=""),1,PYO),0))</f>
        <v/>
      </c>
      <c r="Z99" s="189" t="str">
        <f ca="1">IF(OR(OP!$D$53=1,$B99=""),"",ROUND(($H99+Q99)*IF(OR($C99&lt;16,($H99+$Q99)*PY!$C$4&lt;PY!$D$5,($H99+$Q99)*PY!$C$4*PYR&lt;PY!$C$5),0,PYY)*PYR,0))</f>
        <v/>
      </c>
      <c r="AA99" s="113" t="str">
        <f ca="1">IF(OR(OP!$D$53=1,AND(B99&gt;OP!$C$24)),"",OP!$C$52)</f>
        <v/>
      </c>
      <c r="AB99" s="113" t="str">
        <f ca="1">IF(OR(OP!$D$53=1,$B99=""),"",N($AB98)+N($AA99))</f>
        <v/>
      </c>
      <c r="AC99" s="113"/>
      <c r="AD99" s="113"/>
      <c r="AE99" s="113"/>
      <c r="AF99" s="113"/>
      <c r="AG99" s="113"/>
      <c r="AH99" s="187" t="str">
        <f ca="1">IF(OR(OP!$D$53=1,$B99=""),"",ROUND(VLOOKUP(OP!$C$55,HL_1,$B99+1,0)*OP!$C$28,0))</f>
        <v/>
      </c>
      <c r="AI99" s="187" t="str">
        <f ca="1">IF(OR(OP!$D$53=1,$B99=""),"",ROUND(VLOOKUP(OP!$C$55,HL_2,$B99+1,0)*OP!$C$28,0))</f>
        <v/>
      </c>
    </row>
    <row r="100" spans="2:35" hidden="1">
      <c r="B100" s="93" t="str">
        <f ca="1">IF(OR(C99&gt;=OP!$F$57,C99=""),"",IF(C99+1&gt;OP!$F$57,OP!$F$57+1-$C$4,B99+1))</f>
        <v/>
      </c>
      <c r="C100" s="92" t="str">
        <f ca="1">IF(OR(OP!$D$53=1,MAX($C$4:C99)&gt;=OP!$F$57),"",C99+(B100-B99))</f>
        <v/>
      </c>
      <c r="D100" s="113" t="str">
        <f ca="1">IF(OR(OP!$D$53=1,AND($B100&gt;OP!$C$24)),"",OP!$C$52-IF($C100&lt;16,$K99,0))</f>
        <v/>
      </c>
      <c r="E100" s="113" t="str">
        <f ca="1">IF(OR(OP!$D$53=1,$B100=""),"",N($E99)+N($D100))</f>
        <v/>
      </c>
      <c r="F100" s="186" t="str">
        <f ca="1">IF(OR(OP!$D$53=1,$B100="",ISERROR(VLOOKUP(OP!$C$55,SRV,$B100+1,0))),"",ROUND(VLOOKUP(OP!$C$55,SRV,$B100+1,0)*OP!$C$28,0))</f>
        <v/>
      </c>
      <c r="G100" s="186" t="str">
        <f ca="1">IF(OR(OP!$D$53=1,$B100="",ISERROR(VLOOKUP(OP!$C$55,SRV,$B100+1,0))),"",N($G99)+N($F100))</f>
        <v/>
      </c>
      <c r="H100" s="186" t="str">
        <f ca="1">IF(OR(OP!$D$53=1,$B100=""),"",ROUND(VLOOKUP(OP!$C$55,DIE,$B100+1,0)*OP!$C$28,0))</f>
        <v/>
      </c>
      <c r="I100" s="187" t="str">
        <f ca="1">IF(OR(OP!$D$53=1,$B100=""),"",ROUND(VLOOKUP(OP!$C$55,CV,$B100+1,0)*OP!$C$28,0))</f>
        <v/>
      </c>
      <c r="J100" s="187" t="str">
        <f ca="1">IF(OR(OP!$D$53=1,$B100=""),"",ROUND(VLOOKUP(OP!$C$55,PA,$B100+1,0)*OP!$C$28,0))</f>
        <v/>
      </c>
      <c r="K100" s="186"/>
      <c r="L100" s="186"/>
      <c r="M100" s="186"/>
      <c r="N100" s="188"/>
      <c r="O100" s="188"/>
      <c r="P100" s="188"/>
      <c r="Q100" s="188"/>
      <c r="R100" s="188"/>
      <c r="S100" s="188" t="str">
        <f ca="1">IF(OR(OP!$D$53=1,$B100=""),"",N($F100)+N($O100))</f>
        <v/>
      </c>
      <c r="T100" s="188">
        <f ca="1">IF(OR(OP!$D$53=1,$B100=""),0,N($T99)+N($S100))</f>
        <v>0</v>
      </c>
      <c r="U100" s="188" t="str">
        <f ca="1">IF(OR(OP!$D$53=1,$B100=""),"",ROUND($S100/12,0))</f>
        <v/>
      </c>
      <c r="V100" s="188">
        <f ca="1">IF(OR(OP!$D$53=1,$B100=""),0,N($V99)+(N($U100)*12))</f>
        <v>0</v>
      </c>
      <c r="W100" s="186"/>
      <c r="X100" s="186"/>
      <c r="Y100" s="189" t="str">
        <f ca="1">IF(OR(OP!$D$53=1,$B100=""),"",ROUND(($H100+$Q100)*IF(OR($C100&lt;16,$Z100=0,$Z100=""),1,PYO),0))</f>
        <v/>
      </c>
      <c r="Z100" s="189" t="str">
        <f ca="1">IF(OR(OP!$D$53=1,$B100=""),"",ROUND(($H100+Q100)*IF(OR($C100&lt;16,($H100+$Q100)*PY!$C$4&lt;PY!$D$5,($H100+$Q100)*PY!$C$4*PYR&lt;PY!$C$5),0,PYY)*PYR,0))</f>
        <v/>
      </c>
      <c r="AA100" s="113" t="str">
        <f ca="1">IF(OR(OP!$D$53=1,AND(B100&gt;OP!$C$24)),"",OP!$C$52)</f>
        <v/>
      </c>
      <c r="AB100" s="113" t="str">
        <f ca="1">IF(OR(OP!$D$53=1,$B100=""),"",N($AB99)+N($AA100))</f>
        <v/>
      </c>
      <c r="AC100" s="113"/>
      <c r="AD100" s="113"/>
      <c r="AE100" s="113"/>
      <c r="AF100" s="113"/>
      <c r="AG100" s="113"/>
      <c r="AH100" s="187" t="str">
        <f ca="1">IF(OR(OP!$D$53=1,$B100=""),"",ROUND(VLOOKUP(OP!$C$55,HL_1,$B100+1,0)*OP!$C$28,0))</f>
        <v/>
      </c>
      <c r="AI100" s="187" t="str">
        <f ca="1">IF(OR(OP!$D$53=1,$B100=""),"",ROUND(VLOOKUP(OP!$C$55,HL_2,$B100+1,0)*OP!$C$28,0))</f>
        <v/>
      </c>
    </row>
    <row r="101" spans="2:35" hidden="1">
      <c r="B101" s="93" t="str">
        <f ca="1">IF(OR(C100&gt;=OP!$F$57,C100=""),"",IF(C100+1&gt;OP!$F$57,OP!$F$57+1-$C$4,B100+1))</f>
        <v/>
      </c>
      <c r="C101" s="92" t="str">
        <f ca="1">IF(OR(OP!$D$53=1,MAX($C$4:C100)&gt;=OP!$F$57),"",C100+(B101-B100))</f>
        <v/>
      </c>
      <c r="D101" s="113" t="str">
        <f ca="1">IF(OR(OP!$D$53=1,AND($B101&gt;OP!$C$24)),"",OP!$C$52-IF($C101&lt;16,$K100,0))</f>
        <v/>
      </c>
      <c r="E101" s="113" t="str">
        <f ca="1">IF(OR(OP!$D$53=1,$B101=""),"",N($E100)+N($D101))</f>
        <v/>
      </c>
      <c r="F101" s="186" t="str">
        <f ca="1">IF(OR(OP!$D$53=1,$B101="",ISERROR(VLOOKUP(OP!$C$55,SRV,$B101+1,0))),"",ROUND(VLOOKUP(OP!$C$55,SRV,$B101+1,0)*OP!$C$28,0))</f>
        <v/>
      </c>
      <c r="G101" s="186" t="str">
        <f ca="1">IF(OR(OP!$D$53=1,$B101="",ISERROR(VLOOKUP(OP!$C$55,SRV,$B101+1,0))),"",N($G100)+N($F101))</f>
        <v/>
      </c>
      <c r="H101" s="186" t="str">
        <f ca="1">IF(OR(OP!$D$53=1,$B101=""),"",ROUND(VLOOKUP(OP!$C$55,DIE,$B101+1,0)*OP!$C$28,0))</f>
        <v/>
      </c>
      <c r="I101" s="187" t="str">
        <f ca="1">IF(OR(OP!$D$53=1,$B101=""),"",ROUND(VLOOKUP(OP!$C$55,CV,$B101+1,0)*OP!$C$28,0))</f>
        <v/>
      </c>
      <c r="J101" s="187" t="str">
        <f ca="1">IF(OR(OP!$D$53=1,$B101=""),"",ROUND(VLOOKUP(OP!$C$55,PA,$B101+1,0)*OP!$C$28,0))</f>
        <v/>
      </c>
      <c r="K101" s="186"/>
      <c r="L101" s="186"/>
      <c r="M101" s="186"/>
      <c r="N101" s="188"/>
      <c r="O101" s="188"/>
      <c r="P101" s="188"/>
      <c r="Q101" s="188"/>
      <c r="R101" s="188"/>
      <c r="S101" s="188" t="str">
        <f ca="1">IF(OR(OP!$D$53=1,$B101=""),"",N($F101)+N($O101))</f>
        <v/>
      </c>
      <c r="T101" s="188">
        <f ca="1">IF(OR(OP!$D$53=1,$B101=""),0,N($T100)+N($S101))</f>
        <v>0</v>
      </c>
      <c r="U101" s="188" t="str">
        <f ca="1">IF(OR(OP!$D$53=1,$B101=""),"",ROUND($S101/12,0))</f>
        <v/>
      </c>
      <c r="V101" s="188">
        <f ca="1">IF(OR(OP!$D$53=1,$B101=""),0,N($V100)+(N($U101)*12))</f>
        <v>0</v>
      </c>
      <c r="W101" s="186"/>
      <c r="X101" s="186"/>
      <c r="Y101" s="189" t="str">
        <f ca="1">IF(OR(OP!$D$53=1,$B101=""),"",ROUND(($H101+$Q101)*IF(OR($C101&lt;16,$Z101=0,$Z101=""),1,PYO),0))</f>
        <v/>
      </c>
      <c r="Z101" s="189" t="str">
        <f ca="1">IF(OR(OP!$D$53=1,$B101=""),"",ROUND(($H101+Q101)*IF(OR($C101&lt;16,($H101+$Q101)*PY!$C$4&lt;PY!$D$5,($H101+$Q101)*PY!$C$4*PYR&lt;PY!$C$5),0,PYY)*PYR,0))</f>
        <v/>
      </c>
      <c r="AA101" s="113" t="str">
        <f ca="1">IF(OR(OP!$D$53=1,AND(B101&gt;OP!$C$24)),"",OP!$C$52)</f>
        <v/>
      </c>
      <c r="AB101" s="113" t="str">
        <f ca="1">IF(OR(OP!$D$53=1,$B101=""),"",N($AB100)+N($AA101))</f>
        <v/>
      </c>
      <c r="AC101" s="113"/>
      <c r="AD101" s="113"/>
      <c r="AE101" s="113"/>
      <c r="AF101" s="113"/>
      <c r="AG101" s="113"/>
      <c r="AH101" s="187" t="str">
        <f ca="1">IF(OR(OP!$D$53=1,$B101=""),"",ROUND(VLOOKUP(OP!$C$55,HL_1,$B101+1,0)*OP!$C$28,0))</f>
        <v/>
      </c>
      <c r="AI101" s="187" t="str">
        <f ca="1">IF(OR(OP!$D$53=1,$B101=""),"",ROUND(VLOOKUP(OP!$C$55,HL_2,$B101+1,0)*OP!$C$28,0))</f>
        <v/>
      </c>
    </row>
    <row r="102" spans="2:35" hidden="1">
      <c r="B102" s="93" t="str">
        <f ca="1">IF(OR(C101&gt;=OP!$F$57,C101=""),"",IF(C101+1&gt;OP!$F$57,OP!$F$57+1-$C$4,B101+1))</f>
        <v/>
      </c>
      <c r="C102" s="92" t="str">
        <f ca="1">IF(OR(OP!$D$53=1,MAX($C$4:C101)&gt;=OP!$F$57),"",C101+(B102-B101))</f>
        <v/>
      </c>
      <c r="D102" s="113" t="str">
        <f ca="1">IF(OR(OP!$D$53=1,AND($B102&gt;OP!$C$24)),"",OP!$C$52-IF($C102&lt;16,$K101,0))</f>
        <v/>
      </c>
      <c r="E102" s="113" t="str">
        <f ca="1">IF(OR(OP!$D$53=1,$B102=""),"",N($E101)+N($D102))</f>
        <v/>
      </c>
      <c r="F102" s="186" t="str">
        <f ca="1">IF(OR(OP!$D$53=1,$B102="",ISERROR(VLOOKUP(OP!$C$55,SRV,$B102+1,0))),"",ROUND(VLOOKUP(OP!$C$55,SRV,$B102+1,0)*OP!$C$28,0))</f>
        <v/>
      </c>
      <c r="G102" s="186" t="str">
        <f ca="1">IF(OR(OP!$D$53=1,$B102="",ISERROR(VLOOKUP(OP!$C$55,SRV,$B102+1,0))),"",N($G101)+N($F102))</f>
        <v/>
      </c>
      <c r="H102" s="186" t="str">
        <f ca="1">IF(OR(OP!$D$53=1,$B102=""),"",ROUND(VLOOKUP(OP!$C$55,DIE,$B102+1,0)*OP!$C$28,0))</f>
        <v/>
      </c>
      <c r="I102" s="187" t="str">
        <f ca="1">IF(OR(OP!$D$53=1,$B102=""),"",ROUND(VLOOKUP(OP!$C$55,CV,$B102+1,0)*OP!$C$28,0))</f>
        <v/>
      </c>
      <c r="J102" s="187" t="str">
        <f ca="1">IF(OR(OP!$D$53=1,$B102=""),"",ROUND(VLOOKUP(OP!$C$55,PA,$B102+1,0)*OP!$C$28,0))</f>
        <v/>
      </c>
      <c r="K102" s="186"/>
      <c r="L102" s="186"/>
      <c r="M102" s="186"/>
      <c r="N102" s="188"/>
      <c r="O102" s="188"/>
      <c r="P102" s="188"/>
      <c r="Q102" s="188"/>
      <c r="R102" s="188"/>
      <c r="S102" s="188" t="str">
        <f ca="1">IF(OR(OP!$D$53=1,$B102=""),"",N($F102)+N($O102))</f>
        <v/>
      </c>
      <c r="T102" s="188">
        <f ca="1">IF(OR(OP!$D$53=1,$B102=""),0,N($T101)+N($S102))</f>
        <v>0</v>
      </c>
      <c r="U102" s="188" t="str">
        <f ca="1">IF(OR(OP!$D$53=1,$B102=""),"",ROUND($S102/12,0))</f>
        <v/>
      </c>
      <c r="V102" s="188">
        <f ca="1">IF(OR(OP!$D$53=1,$B102=""),0,N($V101)+(N($U102)*12))</f>
        <v>0</v>
      </c>
      <c r="W102" s="186"/>
      <c r="X102" s="186"/>
      <c r="Y102" s="189" t="str">
        <f ca="1">IF(OR(OP!$D$53=1,$B102=""),"",ROUND(($H102+$Q102)*IF(OR($C102&lt;16,$Z102=0,$Z102=""),1,PYO),0))</f>
        <v/>
      </c>
      <c r="Z102" s="189" t="str">
        <f ca="1">IF(OR(OP!$D$53=1,$B102=""),"",ROUND(($H102+Q102)*IF(OR($C102&lt;16,($H102+$Q102)*PY!$C$4&lt;PY!$D$5,($H102+$Q102)*PY!$C$4*PYR&lt;PY!$C$5),0,PYY)*PYR,0))</f>
        <v/>
      </c>
      <c r="AA102" s="113" t="str">
        <f ca="1">IF(OR(OP!$D$53=1,AND(B102&gt;OP!$C$24)),"",OP!$C$52)</f>
        <v/>
      </c>
      <c r="AB102" s="113" t="str">
        <f ca="1">IF(OR(OP!$D$53=1,$B102=""),"",N($AB101)+N($AA102))</f>
        <v/>
      </c>
      <c r="AC102" s="113"/>
      <c r="AD102" s="113"/>
      <c r="AE102" s="113"/>
      <c r="AF102" s="113"/>
      <c r="AG102" s="113"/>
      <c r="AH102" s="187" t="str">
        <f ca="1">IF(OR(OP!$D$53=1,$B102=""),"",ROUND(VLOOKUP(OP!$C$55,HL_1,$B102+1,0)*OP!$C$28,0))</f>
        <v/>
      </c>
      <c r="AI102" s="187" t="str">
        <f ca="1">IF(OR(OP!$D$53=1,$B102=""),"",ROUND(VLOOKUP(OP!$C$55,HL_2,$B102+1,0)*OP!$C$28,0))</f>
        <v/>
      </c>
    </row>
    <row r="103" spans="2:35" hidden="1">
      <c r="B103" s="93" t="str">
        <f ca="1">IF(OR(C102&gt;=OP!$F$57,C102=""),"",IF(C102+1&gt;OP!$F$57,OP!$F$57+1-$C$4,B102+1))</f>
        <v/>
      </c>
      <c r="C103" s="92" t="str">
        <f ca="1">IF(OR(OP!$D$53=1,MAX($C$4:C102)&gt;=OP!$F$57),"",C102+(B103-B102))</f>
        <v/>
      </c>
      <c r="D103" s="113" t="str">
        <f ca="1">IF(OR(OP!$D$53=1,AND($B103&gt;OP!$C$24)),"",OP!$C$52-IF($C103&lt;16,$K102,0))</f>
        <v/>
      </c>
      <c r="E103" s="113" t="str">
        <f ca="1">IF(OR(OP!$D$53=1,$B103=""),"",N($E102)+N($D103))</f>
        <v/>
      </c>
      <c r="F103" s="186" t="str">
        <f ca="1">IF(OR(OP!$D$53=1,$B103="",ISERROR(VLOOKUP(OP!$C$55,SRV,$B103+1,0))),"",ROUND(VLOOKUP(OP!$C$55,SRV,$B103+1,0)*OP!$C$28,0))</f>
        <v/>
      </c>
      <c r="G103" s="186" t="str">
        <f ca="1">IF(OR(OP!$D$53=1,$B103="",ISERROR(VLOOKUP(OP!$C$55,SRV,$B103+1,0))),"",N($G102)+N($F103))</f>
        <v/>
      </c>
      <c r="H103" s="186" t="str">
        <f ca="1">IF(OR(OP!$D$53=1,$B103=""),"",ROUND(VLOOKUP(OP!$C$55,DIE,$B103+1,0)*OP!$C$28,0))</f>
        <v/>
      </c>
      <c r="I103" s="187" t="str">
        <f ca="1">IF(OR(OP!$D$53=1,$B103=""),"",ROUND(VLOOKUP(OP!$C$55,CV,$B103+1,0)*OP!$C$28,0))</f>
        <v/>
      </c>
      <c r="J103" s="187" t="str">
        <f ca="1">IF(OR(OP!$D$53=1,$B103=""),"",ROUND(VLOOKUP(OP!$C$55,PA,$B103+1,0)*OP!$C$28,0))</f>
        <v/>
      </c>
      <c r="K103" s="186"/>
      <c r="L103" s="186"/>
      <c r="M103" s="186"/>
      <c r="N103" s="188"/>
      <c r="O103" s="188"/>
      <c r="P103" s="188"/>
      <c r="Q103" s="188"/>
      <c r="R103" s="188"/>
      <c r="S103" s="188" t="str">
        <f ca="1">IF(OR(OP!$D$53=1,$B103=""),"",N($F103)+N($O103))</f>
        <v/>
      </c>
      <c r="T103" s="188">
        <f ca="1">IF(OR(OP!$D$53=1,$B103=""),0,N($T102)+N($S103))</f>
        <v>0</v>
      </c>
      <c r="U103" s="188" t="str">
        <f ca="1">IF(OR(OP!$D$53=1,$B103=""),"",ROUND($S103/12,0))</f>
        <v/>
      </c>
      <c r="V103" s="188">
        <f ca="1">IF(OR(OP!$D$53=1,$B103=""),0,N($V102)+(N($U103)*12))</f>
        <v>0</v>
      </c>
      <c r="W103" s="186"/>
      <c r="X103" s="186"/>
      <c r="Y103" s="189" t="str">
        <f ca="1">IF(OR(OP!$D$53=1,$B103=""),"",ROUND(($H103+$Q103)*IF(OR($C103&lt;16,$Z103=0,$Z103=""),1,PYO),0))</f>
        <v/>
      </c>
      <c r="Z103" s="189" t="str">
        <f ca="1">IF(OR(OP!$D$53=1,$B103=""),"",ROUND(($H103+Q103)*IF(OR($C103&lt;16,($H103+$Q103)*PY!$C$4&lt;PY!$D$5,($H103+$Q103)*PY!$C$4*PYR&lt;PY!$C$5),0,PYY)*PYR,0))</f>
        <v/>
      </c>
      <c r="AA103" s="113" t="str">
        <f ca="1">IF(OR(OP!$D$53=1,AND(B103&gt;OP!$C$24)),"",OP!$C$52)</f>
        <v/>
      </c>
      <c r="AB103" s="113" t="str">
        <f ca="1">IF(OR(OP!$D$53=1,$B103=""),"",N($AB102)+N($AA103))</f>
        <v/>
      </c>
      <c r="AC103" s="113"/>
      <c r="AD103" s="113"/>
      <c r="AE103" s="113"/>
      <c r="AF103" s="113"/>
      <c r="AG103" s="113"/>
      <c r="AH103" s="187" t="str">
        <f ca="1">IF(OR(OP!$D$53=1,$B103=""),"",ROUND(VLOOKUP(OP!$C$55,HL_1,$B103+1,0)*OP!$C$28,0))</f>
        <v/>
      </c>
      <c r="AI103" s="187" t="str">
        <f ca="1">IF(OR(OP!$D$53=1,$B103=""),"",ROUND(VLOOKUP(OP!$C$55,HL_2,$B103+1,0)*OP!$C$28,0))</f>
        <v/>
      </c>
    </row>
    <row r="104" spans="2:35" hidden="1">
      <c r="B104" s="93" t="str">
        <f ca="1">IF(OR(C103&gt;=OP!$F$57,C103=""),"",IF(C103+1&gt;OP!$F$57,OP!$F$57+1-$C$4,B103+1))</f>
        <v/>
      </c>
      <c r="C104" s="92" t="str">
        <f ca="1">IF(OR(OP!$D$53=1,MAX($C$4:C103)&gt;=OP!$F$57),"",C103+(B104-B103))</f>
        <v/>
      </c>
      <c r="D104" s="113" t="str">
        <f ca="1">IF(OR(OP!$D$53=1,AND($B104&gt;OP!$C$24)),"",OP!$C$52-IF($C104&lt;16,$K103,0))</f>
        <v/>
      </c>
      <c r="E104" s="113" t="str">
        <f ca="1">IF(OR(OP!$D$53=1,$B104=""),"",N($E103)+N($D104))</f>
        <v/>
      </c>
      <c r="F104" s="186" t="str">
        <f ca="1">IF(OR(OP!$D$53=1,$B104="",ISERROR(VLOOKUP(OP!$C$55,SRV,$B104+1,0))),"",ROUND(VLOOKUP(OP!$C$55,SRV,$B104+1,0)*OP!$C$28,0))</f>
        <v/>
      </c>
      <c r="G104" s="186" t="str">
        <f ca="1">IF(OR(OP!$D$53=1,$B104="",ISERROR(VLOOKUP(OP!$C$55,SRV,$B104+1,0))),"",N($G103)+N($F104))</f>
        <v/>
      </c>
      <c r="H104" s="186" t="str">
        <f ca="1">IF(OR(OP!$D$53=1,$B104=""),"",ROUND(VLOOKUP(OP!$C$55,DIE,$B104+1,0)*OP!$C$28,0))</f>
        <v/>
      </c>
      <c r="I104" s="187" t="str">
        <f ca="1">IF(OR(OP!$D$53=1,$B104=""),"",ROUND(VLOOKUP(OP!$C$55,CV,$B104+1,0)*OP!$C$28,0))</f>
        <v/>
      </c>
      <c r="J104" s="187" t="str">
        <f ca="1">IF(OR(OP!$D$53=1,$B104=""),"",ROUND(VLOOKUP(OP!$C$55,PA,$B104+1,0)*OP!$C$28,0))</f>
        <v/>
      </c>
      <c r="K104" s="186"/>
      <c r="L104" s="186"/>
      <c r="M104" s="186"/>
      <c r="N104" s="188"/>
      <c r="O104" s="188"/>
      <c r="P104" s="188"/>
      <c r="Q104" s="188"/>
      <c r="R104" s="188"/>
      <c r="S104" s="188" t="str">
        <f ca="1">IF(OR(OP!$D$53=1,$B104=""),"",N($F104)+N($O104))</f>
        <v/>
      </c>
      <c r="T104" s="188">
        <f ca="1">IF(OR(OP!$D$53=1,$B104=""),0,N($T103)+N($S104))</f>
        <v>0</v>
      </c>
      <c r="U104" s="188" t="str">
        <f ca="1">IF(OR(OP!$D$53=1,$B104=""),"",ROUND($S104/12,0))</f>
        <v/>
      </c>
      <c r="V104" s="188">
        <f ca="1">IF(OR(OP!$D$53=1,$B104=""),0,N($V103)+(N($U104)*12))</f>
        <v>0</v>
      </c>
      <c r="W104" s="186"/>
      <c r="X104" s="186"/>
      <c r="Y104" s="189" t="str">
        <f ca="1">IF(OR(OP!$D$53=1,$B104=""),"",ROUND(($H104+$Q104)*IF(OR($C104&lt;16,$Z104=0,$Z104=""),1,PYO),0))</f>
        <v/>
      </c>
      <c r="Z104" s="189" t="str">
        <f ca="1">IF(OR(OP!$D$53=1,$B104=""),"",ROUND(($H104+Q104)*IF(OR($C104&lt;16,($H104+$Q104)*PY!$C$4&lt;PY!$D$5,($H104+$Q104)*PY!$C$4*PYR&lt;PY!$C$5),0,PYY)*PYR,0))</f>
        <v/>
      </c>
      <c r="AA104" s="113" t="str">
        <f ca="1">IF(OR(OP!$D$53=1,AND(B104&gt;OP!$C$24)),"",OP!$C$52)</f>
        <v/>
      </c>
      <c r="AB104" s="113" t="str">
        <f ca="1">IF(OR(OP!$D$53=1,$B104=""),"",N($AB103)+N($AA104))</f>
        <v/>
      </c>
      <c r="AC104" s="113"/>
      <c r="AD104" s="113"/>
      <c r="AE104" s="113"/>
      <c r="AF104" s="113"/>
      <c r="AG104" s="113"/>
      <c r="AH104" s="187" t="str">
        <f ca="1">IF(OR(OP!$D$53=1,$B104=""),"",ROUND(VLOOKUP(OP!$C$55,HL_1,$B104+1,0)*OP!$C$28,0))</f>
        <v/>
      </c>
      <c r="AI104" s="187" t="str">
        <f ca="1">IF(OR(OP!$D$53=1,$B104=""),"",ROUND(VLOOKUP(OP!$C$55,HL_2,$B104+1,0)*OP!$C$28,0))</f>
        <v/>
      </c>
    </row>
    <row r="105" spans="2:35" hidden="1">
      <c r="B105" s="93" t="str">
        <f ca="1">IF(OR(C104&gt;=OP!$F$57,C104=""),"",IF(C104+1&gt;OP!$F$57,OP!$F$57+1-$C$4,B104+1))</f>
        <v/>
      </c>
      <c r="C105" s="92" t="str">
        <f ca="1">IF(OR(OP!$D$53=1,MAX($C$4:C104)&gt;=OP!$F$57),"",C104+(B105-B104))</f>
        <v/>
      </c>
      <c r="D105" s="113" t="str">
        <f ca="1">IF(OR(OP!$D$53=1,AND($B105&gt;OP!$C$24)),"",OP!$C$52-IF($C105&lt;16,$K104,0))</f>
        <v/>
      </c>
      <c r="E105" s="113" t="str">
        <f ca="1">IF(OR(OP!$D$53=1,$B105=""),"",N($E104)+N($D105))</f>
        <v/>
      </c>
      <c r="F105" s="186" t="str">
        <f ca="1">IF(OR(OP!$D$53=1,$B105="",ISERROR(VLOOKUP(OP!$C$55,SRV,$B105+1,0))),"",ROUND(VLOOKUP(OP!$C$55,SRV,$B105+1,0)*OP!$C$28,0))</f>
        <v/>
      </c>
      <c r="G105" s="186" t="str">
        <f ca="1">IF(OR(OP!$D$53=1,$B105="",ISERROR(VLOOKUP(OP!$C$55,SRV,$B105+1,0))),"",N($G104)+N($F105))</f>
        <v/>
      </c>
      <c r="H105" s="186" t="str">
        <f ca="1">IF(OR(OP!$D$53=1,$B105=""),"",ROUND(VLOOKUP(OP!$C$55,DIE,$B105+1,0)*OP!$C$28,0))</f>
        <v/>
      </c>
      <c r="I105" s="187" t="str">
        <f ca="1">IF(OR(OP!$D$53=1,$B105=""),"",ROUND(VLOOKUP(OP!$C$55,CV,$B105+1,0)*OP!$C$28,0))</f>
        <v/>
      </c>
      <c r="J105" s="187" t="str">
        <f ca="1">IF(OR(OP!$D$53=1,$B105=""),"",ROUND(VLOOKUP(OP!$C$55,PA,$B105+1,0)*OP!$C$28,0))</f>
        <v/>
      </c>
      <c r="K105" s="186"/>
      <c r="L105" s="186"/>
      <c r="M105" s="186"/>
      <c r="N105" s="188"/>
      <c r="O105" s="188"/>
      <c r="P105" s="188"/>
      <c r="Q105" s="188"/>
      <c r="R105" s="188"/>
      <c r="S105" s="188" t="str">
        <f ca="1">IF(OR(OP!$D$53=1,$B105=""),"",N($F105)+N($O105))</f>
        <v/>
      </c>
      <c r="T105" s="188">
        <f ca="1">IF(OR(OP!$D$53=1,$B105=""),0,N($T104)+N($S105))</f>
        <v>0</v>
      </c>
      <c r="U105" s="188" t="str">
        <f ca="1">IF(OR(OP!$D$53=1,$B105=""),"",ROUND($S105/12,0))</f>
        <v/>
      </c>
      <c r="V105" s="188">
        <f ca="1">IF(OR(OP!$D$53=1,$B105=""),0,N($V104)+(N($U105)*12))</f>
        <v>0</v>
      </c>
      <c r="W105" s="186"/>
      <c r="X105" s="186"/>
      <c r="Y105" s="189" t="str">
        <f ca="1">IF(OR(OP!$D$53=1,$B105=""),"",ROUND(($H105+$Q105)*IF(OR($C105&lt;16,$Z105=0,$Z105=""),1,PYO),0))</f>
        <v/>
      </c>
      <c r="Z105" s="189" t="str">
        <f ca="1">IF(OR(OP!$D$53=1,$B105=""),"",ROUND(($H105+Q105)*IF(OR($C105&lt;16,($H105+$Q105)*PY!$C$4&lt;PY!$D$5,($H105+$Q105)*PY!$C$4*PYR&lt;PY!$C$5),0,PYY)*PYR,0))</f>
        <v/>
      </c>
      <c r="AA105" s="113" t="str">
        <f ca="1">IF(OR(OP!$D$53=1,AND(B105&gt;OP!$C$24)),"",OP!$C$52)</f>
        <v/>
      </c>
      <c r="AB105" s="113" t="str">
        <f ca="1">IF(OR(OP!$D$53=1,$B105=""),"",N($AB104)+N($AA105))</f>
        <v/>
      </c>
      <c r="AC105" s="113"/>
      <c r="AD105" s="113"/>
      <c r="AE105" s="113"/>
      <c r="AF105" s="113"/>
      <c r="AG105" s="113"/>
      <c r="AH105" s="187" t="str">
        <f ca="1">IF(OR(OP!$D$53=1,$B105=""),"",ROUND(VLOOKUP(OP!$C$55,HL_1,$B105+1,0)*OP!$C$28,0))</f>
        <v/>
      </c>
      <c r="AI105" s="187" t="str">
        <f ca="1">IF(OR(OP!$D$53=1,$B105=""),"",ROUND(VLOOKUP(OP!$C$55,HL_2,$B105+1,0)*OP!$C$28,0))</f>
        <v/>
      </c>
    </row>
    <row r="106" spans="2:35" hidden="1">
      <c r="B106" s="93" t="str">
        <f ca="1">IF(OR(C105&gt;=OP!$F$57,C105=""),"",IF(C105+1&gt;OP!$F$57,OP!$F$57+1-$C$4,B105+1))</f>
        <v/>
      </c>
      <c r="C106" s="92" t="str">
        <f ca="1">IF(OR(OP!$D$53=1,MAX($C$4:C105)&gt;=OP!$F$57),"",C105+(B106-B105))</f>
        <v/>
      </c>
      <c r="D106" s="113" t="str">
        <f ca="1">IF(OR(OP!$D$53=1,AND($B106&gt;OP!$C$24)),"",OP!$C$52-IF($C106&lt;16,$K105,0))</f>
        <v/>
      </c>
      <c r="E106" s="113" t="str">
        <f ca="1">IF(OR(OP!$D$53=1,$B106=""),"",N($E105)+N($D106))</f>
        <v/>
      </c>
      <c r="F106" s="186" t="str">
        <f ca="1">IF(OR(OP!$D$53=1,$B106="",ISERROR(VLOOKUP(OP!$C$55,SRV,$B106+1,0))),"",ROUND(VLOOKUP(OP!$C$55,SRV,$B106+1,0)*OP!$C$28,0))</f>
        <v/>
      </c>
      <c r="G106" s="186" t="str">
        <f ca="1">IF(OR(OP!$D$53=1,$B106="",ISERROR(VLOOKUP(OP!$C$55,SRV,$B106+1,0))),"",N($G105)+N($F106))</f>
        <v/>
      </c>
      <c r="H106" s="186" t="str">
        <f ca="1">IF(OR(OP!$D$53=1,$B106=""),"",ROUND(VLOOKUP(OP!$C$55,DIE,$B106+1,0)*OP!$C$28,0))</f>
        <v/>
      </c>
      <c r="I106" s="187" t="str">
        <f ca="1">IF(OR(OP!$D$53=1,$B106=""),"",ROUND(VLOOKUP(OP!$C$55,CV,$B106+1,0)*OP!$C$28,0))</f>
        <v/>
      </c>
      <c r="J106" s="187" t="str">
        <f ca="1">IF(OR(OP!$D$53=1,$B106=""),"",ROUND(VLOOKUP(OP!$C$55,PA,$B106+1,0)*OP!$C$28,0))</f>
        <v/>
      </c>
      <c r="K106" s="186"/>
      <c r="L106" s="186"/>
      <c r="M106" s="186"/>
      <c r="N106" s="188"/>
      <c r="O106" s="188"/>
      <c r="P106" s="188"/>
      <c r="Q106" s="188"/>
      <c r="R106" s="188"/>
      <c r="S106" s="188" t="str">
        <f ca="1">IF(OR(OP!$D$53=1,$B106=""),"",N($F106)+N($O106))</f>
        <v/>
      </c>
      <c r="T106" s="188">
        <f ca="1">IF(OR(OP!$D$53=1,$B106=""),0,N($T105)+N($S106))</f>
        <v>0</v>
      </c>
      <c r="U106" s="188" t="str">
        <f ca="1">IF(OR(OP!$D$53=1,$B106=""),"",ROUND($S106/12,0))</f>
        <v/>
      </c>
      <c r="V106" s="188">
        <f ca="1">IF(OR(OP!$D$53=1,$B106=""),0,N($V105)+(N($U106)*12))</f>
        <v>0</v>
      </c>
      <c r="W106" s="186"/>
      <c r="X106" s="186"/>
      <c r="Y106" s="189" t="str">
        <f ca="1">IF(OR(OP!$D$53=1,$B106=""),"",ROUND(($H106+$Q106)*IF(OR($C106&lt;16,$Z106=0,$Z106=""),1,PYO),0))</f>
        <v/>
      </c>
      <c r="Z106" s="189" t="str">
        <f ca="1">IF(OR(OP!$D$53=1,$B106=""),"",ROUND(($H106+Q106)*IF(OR($C106&lt;16,($H106+$Q106)*PY!$C$4&lt;PY!$D$5,($H106+$Q106)*PY!$C$4*PYR&lt;PY!$C$5),0,PYY)*PYR,0))</f>
        <v/>
      </c>
      <c r="AA106" s="113" t="str">
        <f ca="1">IF(OR(OP!$D$53=1,AND(B106&gt;OP!$C$24)),"",OP!$C$52)</f>
        <v/>
      </c>
      <c r="AB106" s="113" t="str">
        <f ca="1">IF(OR(OP!$D$53=1,$B106=""),"",N($AB105)+N($AA106))</f>
        <v/>
      </c>
      <c r="AC106" s="113"/>
      <c r="AD106" s="113"/>
      <c r="AE106" s="113"/>
      <c r="AF106" s="113"/>
      <c r="AG106" s="113"/>
      <c r="AH106" s="187" t="str">
        <f ca="1">IF(OR(OP!$D$53=1,$B106=""),"",ROUND(VLOOKUP(OP!$C$55,HL_1,$B106+1,0)*OP!$C$28,0))</f>
        <v/>
      </c>
      <c r="AI106" s="187" t="str">
        <f ca="1">IF(OR(OP!$D$53=1,$B106=""),"",ROUND(VLOOKUP(OP!$C$55,HL_2,$B106+1,0)*OP!$C$28,0))</f>
        <v/>
      </c>
    </row>
    <row r="107" spans="2:35" hidden="1">
      <c r="B107" s="93" t="str">
        <f ca="1">IF(OR(C106&gt;=OP!$F$57,C106=""),"",IF(C106+1&gt;OP!$F$57,OP!$F$57+1-$C$4,B106+1))</f>
        <v/>
      </c>
      <c r="C107" s="92" t="str">
        <f ca="1">IF(OR(OP!$D$53=1,MAX($C$4:C106)&gt;=OP!$F$57),"",C106+(B107-B106))</f>
        <v/>
      </c>
      <c r="D107" s="113" t="str">
        <f ca="1">IF(OR(OP!$D$53=1,AND($B107&gt;OP!$C$24)),"",OP!$C$52-IF($C107&lt;16,$K106,0))</f>
        <v/>
      </c>
      <c r="E107" s="113" t="str">
        <f ca="1">IF(OR(OP!$D$53=1,$B107=""),"",N($E106)+N($D107))</f>
        <v/>
      </c>
      <c r="F107" s="186" t="str">
        <f ca="1">IF(OR(OP!$D$53=1,$B107="",ISERROR(VLOOKUP(OP!$C$55,SRV,$B107+1,0))),"",ROUND(VLOOKUP(OP!$C$55,SRV,$B107+1,0)*OP!$C$28,0))</f>
        <v/>
      </c>
      <c r="G107" s="186" t="str">
        <f ca="1">IF(OR(OP!$D$53=1,$B107="",ISERROR(VLOOKUP(OP!$C$55,SRV,$B107+1,0))),"",N($G106)+N($F107))</f>
        <v/>
      </c>
      <c r="H107" s="186" t="str">
        <f ca="1">IF(OR(OP!$D$53=1,$B107=""),"",ROUND(VLOOKUP(OP!$C$55,DIE,$B107+1,0)*OP!$C$28,0))</f>
        <v/>
      </c>
      <c r="I107" s="187" t="str">
        <f ca="1">IF(OR(OP!$D$53=1,$B107=""),"",ROUND(VLOOKUP(OP!$C$55,CV,$B107+1,0)*OP!$C$28,0))</f>
        <v/>
      </c>
      <c r="J107" s="187" t="str">
        <f ca="1">IF(OR(OP!$D$53=1,$B107=""),"",ROUND(VLOOKUP(OP!$C$55,PA,$B107+1,0)*OP!$C$28,0))</f>
        <v/>
      </c>
      <c r="K107" s="186"/>
      <c r="L107" s="186"/>
      <c r="M107" s="186"/>
      <c r="N107" s="188"/>
      <c r="O107" s="188"/>
      <c r="P107" s="188"/>
      <c r="Q107" s="188"/>
      <c r="R107" s="188"/>
      <c r="S107" s="188" t="str">
        <f ca="1">IF(OR(OP!$D$53=1,$B107=""),"",N($F107)+N($O107))</f>
        <v/>
      </c>
      <c r="T107" s="188">
        <f ca="1">IF(OR(OP!$D$53=1,$B107=""),0,N($T106)+N($S107))</f>
        <v>0</v>
      </c>
      <c r="U107" s="188" t="str">
        <f ca="1">IF(OR(OP!$D$53=1,$B107=""),"",ROUND($S107/12,0))</f>
        <v/>
      </c>
      <c r="V107" s="188">
        <f ca="1">IF(OR(OP!$D$53=1,$B107=""),0,N($V106)+(N($U107)*12))</f>
        <v>0</v>
      </c>
      <c r="W107" s="186"/>
      <c r="X107" s="186"/>
      <c r="Y107" s="189" t="str">
        <f ca="1">IF(OR(OP!$D$53=1,$B107=""),"",ROUND(($H107+$Q107)*IF(OR($C107&lt;16,$Z107=0,$Z107=""),1,PYO),0))</f>
        <v/>
      </c>
      <c r="Z107" s="189" t="str">
        <f ca="1">IF(OR(OP!$D$53=1,$B107=""),"",ROUND(($H107+Q107)*IF(OR($C107&lt;16,($H107+$Q107)*PY!$C$4&lt;PY!$D$5,($H107+$Q107)*PY!$C$4*PYR&lt;PY!$C$5),0,PYY)*PYR,0))</f>
        <v/>
      </c>
      <c r="AA107" s="113" t="str">
        <f ca="1">IF(OR(OP!$D$53=1,AND(B107&gt;OP!$C$24)),"",OP!$C$52)</f>
        <v/>
      </c>
      <c r="AB107" s="113" t="str">
        <f ca="1">IF(OR(OP!$D$53=1,$B107=""),"",N($AB106)+N($AA107))</f>
        <v/>
      </c>
      <c r="AC107" s="113"/>
      <c r="AD107" s="113"/>
      <c r="AE107" s="113"/>
      <c r="AF107" s="113"/>
      <c r="AG107" s="113"/>
      <c r="AH107" s="187" t="str">
        <f ca="1">IF(OR(OP!$D$53=1,$B107=""),"",ROUND(VLOOKUP(OP!$C$55,HL_1,$B107+1,0)*OP!$C$28,0))</f>
        <v/>
      </c>
      <c r="AI107" s="187" t="str">
        <f ca="1">IF(OR(OP!$D$53=1,$B107=""),"",ROUND(VLOOKUP(OP!$C$55,HL_2,$B107+1,0)*OP!$C$28,0))</f>
        <v/>
      </c>
    </row>
    <row r="108" spans="2:35" hidden="1">
      <c r="B108" s="93" t="str">
        <f ca="1">IF(OR(C107&gt;=OP!$F$57,C107=""),"",IF(C107+1&gt;OP!$F$57,OP!$F$57+1-$C$4,B107+1))</f>
        <v/>
      </c>
      <c r="C108" s="92" t="str">
        <f ca="1">IF(OR(OP!$D$53=1,MAX($C$4:C107)&gt;=OP!$F$57),"",C107+(B108-B107))</f>
        <v/>
      </c>
      <c r="D108" s="113" t="str">
        <f ca="1">IF(OR(OP!$D$53=1,AND($B108&gt;OP!$C$24)),"",OP!$C$52-IF($C108&lt;16,$K107,0))</f>
        <v/>
      </c>
      <c r="E108" s="113" t="str">
        <f ca="1">IF(OR(OP!$D$53=1,$B108=""),"",N($E107)+N($D108))</f>
        <v/>
      </c>
      <c r="F108" s="186" t="str">
        <f ca="1">IF(OR(OP!$D$53=1,$B108="",ISERROR(VLOOKUP(OP!$C$55,SRV,$B108+1,0))),"",ROUND(VLOOKUP(OP!$C$55,SRV,$B108+1,0)*OP!$C$28,0))</f>
        <v/>
      </c>
      <c r="G108" s="186" t="str">
        <f ca="1">IF(OR(OP!$D$53=1,$B108="",ISERROR(VLOOKUP(OP!$C$55,SRV,$B108+1,0))),"",N($G107)+N($F108))</f>
        <v/>
      </c>
      <c r="H108" s="186" t="str">
        <f ca="1">IF(OR(OP!$D$53=1,$B108=""),"",ROUND(VLOOKUP(OP!$C$55,DIE,$B108+1,0)*OP!$C$28,0))</f>
        <v/>
      </c>
      <c r="I108" s="187" t="str">
        <f ca="1">IF(OR(OP!$D$53=1,$B108=""),"",ROUND(VLOOKUP(OP!$C$55,CV,$B108+1,0)*OP!$C$28,0))</f>
        <v/>
      </c>
      <c r="J108" s="187" t="str">
        <f ca="1">IF(OR(OP!$D$53=1,$B108=""),"",ROUND(VLOOKUP(OP!$C$55,PA,$B108+1,0)*OP!$C$28,0))</f>
        <v/>
      </c>
      <c r="K108" s="186"/>
      <c r="L108" s="186"/>
      <c r="M108" s="186"/>
      <c r="N108" s="188"/>
      <c r="O108" s="188"/>
      <c r="P108" s="188"/>
      <c r="Q108" s="188"/>
      <c r="R108" s="188"/>
      <c r="S108" s="188" t="str">
        <f ca="1">IF(OR(OP!$D$53=1,$B108=""),"",N($F108)+N($O108))</f>
        <v/>
      </c>
      <c r="T108" s="188">
        <f ca="1">IF(OR(OP!$D$53=1,$B108=""),0,N($T107)+N($S108))</f>
        <v>0</v>
      </c>
      <c r="U108" s="188" t="str">
        <f ca="1">IF(OR(OP!$D$53=1,$B108=""),"",ROUND($S108/12,0))</f>
        <v/>
      </c>
      <c r="V108" s="188">
        <f ca="1">IF(OR(OP!$D$53=1,$B108=""),0,N($V107)+(N($U108)*12))</f>
        <v>0</v>
      </c>
      <c r="W108" s="186"/>
      <c r="X108" s="186"/>
      <c r="Y108" s="189" t="str">
        <f ca="1">IF(OR(OP!$D$53=1,$B108=""),"",ROUND(($H108+$Q108)*IF(OR($C108&lt;16,$Z108=0,$Z108=""),1,PYO),0))</f>
        <v/>
      </c>
      <c r="Z108" s="189" t="str">
        <f ca="1">IF(OR(OP!$D$53=1,$B108=""),"",ROUND(($H108+Q108)*IF(OR($C108&lt;16,($H108+$Q108)*PY!$C$4&lt;PY!$D$5,($H108+$Q108)*PY!$C$4*PYR&lt;PY!$C$5),0,PYY)*PYR,0))</f>
        <v/>
      </c>
      <c r="AA108" s="113" t="str">
        <f ca="1">IF(OR(OP!$D$53=1,AND(B108&gt;OP!$C$24)),"",OP!$C$52)</f>
        <v/>
      </c>
      <c r="AB108" s="113" t="str">
        <f ca="1">IF(OR(OP!$D$53=1,$B108=""),"",N($AB107)+N($AA108))</f>
        <v/>
      </c>
      <c r="AC108" s="113"/>
      <c r="AD108" s="113"/>
      <c r="AE108" s="113"/>
      <c r="AF108" s="113"/>
      <c r="AG108" s="113"/>
      <c r="AH108" s="187" t="str">
        <f ca="1">IF(OR(OP!$D$53=1,$B108=""),"",ROUND(VLOOKUP(OP!$C$55,HL_1,$B108+1,0)*OP!$C$28,0))</f>
        <v/>
      </c>
      <c r="AI108" s="187" t="str">
        <f ca="1">IF(OR(OP!$D$53=1,$B108=""),"",ROUND(VLOOKUP(OP!$C$55,HL_2,$B108+1,0)*OP!$C$28,0))</f>
        <v/>
      </c>
    </row>
    <row r="109" spans="2:35" hidden="1">
      <c r="B109" s="93" t="str">
        <f ca="1">IF(OR(C108&gt;=OP!$F$57,C108=""),"",IF(C108+1&gt;OP!$F$57,OP!$F$57+1-$C$4,B108+1))</f>
        <v/>
      </c>
      <c r="C109" s="92" t="str">
        <f ca="1">IF(OR(OP!$D$53=1,MAX($C$4:C108)&gt;=OP!$F$57),"",C108+(B109-B108))</f>
        <v/>
      </c>
      <c r="D109" s="113" t="str">
        <f ca="1">IF(OR(OP!$D$53=1,AND($B109&gt;OP!$C$24)),"",OP!$C$52-IF($C109&lt;16,$K108,0))</f>
        <v/>
      </c>
      <c r="E109" s="113" t="str">
        <f ca="1">IF(OR(OP!$D$53=1,$B109=""),"",N($E108)+N($D109))</f>
        <v/>
      </c>
      <c r="F109" s="186" t="str">
        <f ca="1">IF(OR(OP!$D$53=1,$B109="",ISERROR(VLOOKUP(OP!$C$55,SRV,$B109+1,0))),"",ROUND(VLOOKUP(OP!$C$55,SRV,$B109+1,0)*OP!$C$28,0))</f>
        <v/>
      </c>
      <c r="G109" s="186" t="str">
        <f ca="1">IF(OR(OP!$D$53=1,$B109="",ISERROR(VLOOKUP(OP!$C$55,SRV,$B109+1,0))),"",N($G108)+N($F109))</f>
        <v/>
      </c>
      <c r="H109" s="186" t="str">
        <f ca="1">IF(OR(OP!$D$53=1,$B109=""),"",ROUND(VLOOKUP(OP!$C$55,DIE,$B109+1,0)*OP!$C$28,0))</f>
        <v/>
      </c>
      <c r="I109" s="187" t="str">
        <f ca="1">IF(OR(OP!$D$53=1,$B109=""),"",ROUND(VLOOKUP(OP!$C$55,CV,$B109+1,0)*OP!$C$28,0))</f>
        <v/>
      </c>
      <c r="J109" s="187" t="str">
        <f ca="1">IF(OR(OP!$D$53=1,$B109=""),"",ROUND(VLOOKUP(OP!$C$55,PA,$B109+1,0)*OP!$C$28,0))</f>
        <v/>
      </c>
      <c r="K109" s="186"/>
      <c r="L109" s="186"/>
      <c r="M109" s="186"/>
      <c r="N109" s="188"/>
      <c r="O109" s="188"/>
      <c r="P109" s="188"/>
      <c r="Q109" s="188"/>
      <c r="R109" s="188"/>
      <c r="S109" s="188" t="str">
        <f ca="1">IF(OR(OP!$D$53=1,$B109=""),"",N($F109)+N($O109))</f>
        <v/>
      </c>
      <c r="T109" s="188">
        <f ca="1">IF(OR(OP!$D$53=1,$B109=""),0,N($T108)+N($S109))</f>
        <v>0</v>
      </c>
      <c r="U109" s="188" t="str">
        <f ca="1">IF(OR(OP!$D$53=1,$B109=""),"",ROUND($S109/12,0))</f>
        <v/>
      </c>
      <c r="V109" s="188">
        <f ca="1">IF(OR(OP!$D$53=1,$B109=""),0,N($V108)+(N($U109)*12))</f>
        <v>0</v>
      </c>
      <c r="W109" s="186"/>
      <c r="X109" s="186"/>
      <c r="Y109" s="189" t="str">
        <f ca="1">IF(OR(OP!$D$53=1,$B109=""),"",ROUND(($H109+$Q109)*IF(OR($C109&lt;16,$Z109=0,$Z109=""),1,PYO),0))</f>
        <v/>
      </c>
      <c r="Z109" s="189" t="str">
        <f ca="1">IF(OR(OP!$D$53=1,$B109=""),"",ROUND(($H109+Q109)*IF(OR($C109&lt;16,($H109+$Q109)*PY!$C$4&lt;PY!$D$5,($H109+$Q109)*PY!$C$4*PYR&lt;PY!$C$5),0,PYY)*PYR,0))</f>
        <v/>
      </c>
      <c r="AA109" s="113" t="str">
        <f ca="1">IF(OR(OP!$D$53=1,AND(B109&gt;OP!$C$24)),"",OP!$C$52)</f>
        <v/>
      </c>
      <c r="AB109" s="113" t="str">
        <f ca="1">IF(OR(OP!$D$53=1,$B109=""),"",N($AB108)+N($AA109))</f>
        <v/>
      </c>
      <c r="AC109" s="113"/>
      <c r="AD109" s="113"/>
      <c r="AE109" s="113"/>
      <c r="AF109" s="113"/>
      <c r="AG109" s="113"/>
      <c r="AH109" s="187" t="str">
        <f ca="1">IF(OR(OP!$D$53=1,$B109=""),"",ROUND(VLOOKUP(OP!$C$55,HL_1,$B109+1,0)*OP!$C$28,0))</f>
        <v/>
      </c>
      <c r="AI109" s="187" t="str">
        <f ca="1">IF(OR(OP!$D$53=1,$B109=""),"",ROUND(VLOOKUP(OP!$C$55,HL_2,$B109+1,0)*OP!$C$28,0))</f>
        <v/>
      </c>
    </row>
    <row r="110" spans="2:35" hidden="1">
      <c r="B110" s="93" t="str">
        <f ca="1">IF(OR(C109&gt;=OP!$F$57,C109=""),"",IF(C109+1&gt;OP!$F$57,OP!$F$57+1-$C$4,B109+1))</f>
        <v/>
      </c>
      <c r="C110" s="92" t="str">
        <f ca="1">IF(OR(OP!$D$53=1,MAX($C$4:C109)&gt;=OP!$F$57),"",C109+(B110-B109))</f>
        <v/>
      </c>
      <c r="D110" s="113" t="str">
        <f ca="1">IF(OR(OP!$D$53=1,AND($B110&gt;OP!$C$24)),"",OP!$C$52-IF($C110&lt;16,$K109,0))</f>
        <v/>
      </c>
      <c r="E110" s="113" t="str">
        <f ca="1">IF(OR(OP!$D$53=1,$B110=""),"",N($E109)+N($D110))</f>
        <v/>
      </c>
      <c r="F110" s="186" t="str">
        <f ca="1">IF(OR(OP!$D$53=1,$B110="",ISERROR(VLOOKUP(OP!$C$55,SRV,$B110+1,0))),"",ROUND(VLOOKUP(OP!$C$55,SRV,$B110+1,0)*OP!$C$28,0))</f>
        <v/>
      </c>
      <c r="G110" s="186" t="str">
        <f ca="1">IF(OR(OP!$D$53=1,$B110="",ISERROR(VLOOKUP(OP!$C$55,SRV,$B110+1,0))),"",N($G109)+N($F110))</f>
        <v/>
      </c>
      <c r="H110" s="186" t="str">
        <f ca="1">IF(OR(OP!$D$53=1,$B110=""),"",ROUND(VLOOKUP(OP!$C$55,DIE,$B110+1,0)*OP!$C$28,0))</f>
        <v/>
      </c>
      <c r="I110" s="187" t="str">
        <f ca="1">IF(OR(OP!$D$53=1,$B110=""),"",ROUND(VLOOKUP(OP!$C$55,CV,$B110+1,0)*OP!$C$28,0))</f>
        <v/>
      </c>
      <c r="J110" s="187" t="str">
        <f ca="1">IF(OR(OP!$D$53=1,$B110=""),"",ROUND(VLOOKUP(OP!$C$55,PA,$B110+1,0)*OP!$C$28,0))</f>
        <v/>
      </c>
      <c r="K110" s="186"/>
      <c r="L110" s="186"/>
      <c r="M110" s="186"/>
      <c r="N110" s="188"/>
      <c r="O110" s="188"/>
      <c r="P110" s="188"/>
      <c r="Q110" s="188"/>
      <c r="R110" s="188"/>
      <c r="S110" s="188" t="str">
        <f ca="1">IF(OR(OP!$D$53=1,$B110=""),"",N($F110)+N($O110))</f>
        <v/>
      </c>
      <c r="T110" s="188">
        <f ca="1">IF(OR(OP!$D$53=1,$B110=""),0,N($T109)+N($S110))</f>
        <v>0</v>
      </c>
      <c r="U110" s="188" t="str">
        <f ca="1">IF(OR(OP!$D$53=1,$B110=""),"",ROUND($S110/12,0))</f>
        <v/>
      </c>
      <c r="V110" s="188">
        <f ca="1">IF(OR(OP!$D$53=1,$B110=""),0,N($V109)+(N($U110)*12))</f>
        <v>0</v>
      </c>
      <c r="W110" s="186"/>
      <c r="X110" s="186"/>
      <c r="Y110" s="189" t="str">
        <f ca="1">IF(OR(OP!$D$53=1,$B110=""),"",ROUND(($H110+$Q110)*IF(OR($C110&lt;16,$Z110=0,$Z110=""),1,PYO),0))</f>
        <v/>
      </c>
      <c r="Z110" s="189" t="str">
        <f ca="1">IF(OR(OP!$D$53=1,$B110=""),"",ROUND(($H110+Q110)*IF(OR($C110&lt;16,($H110+$Q110)*PY!$C$4&lt;PY!$D$5,($H110+$Q110)*PY!$C$4*PYR&lt;PY!$C$5),0,PYY)*PYR,0))</f>
        <v/>
      </c>
      <c r="AA110" s="113" t="str">
        <f ca="1">IF(OR(OP!$D$53=1,AND(B110&gt;OP!$C$24)),"",OP!$C$52)</f>
        <v/>
      </c>
      <c r="AB110" s="113" t="str">
        <f ca="1">IF(OR(OP!$D$53=1,$B110=""),"",N($AB109)+N($AA110))</f>
        <v/>
      </c>
      <c r="AC110" s="113"/>
      <c r="AD110" s="113"/>
      <c r="AE110" s="113"/>
      <c r="AF110" s="113"/>
      <c r="AG110" s="113"/>
      <c r="AH110" s="187" t="str">
        <f ca="1">IF(OR(OP!$D$53=1,$B110=""),"",ROUND(VLOOKUP(OP!$C$55,HL_1,$B110+1,0)*OP!$C$28,0))</f>
        <v/>
      </c>
      <c r="AI110" s="187" t="str">
        <f ca="1">IF(OR(OP!$D$53=1,$B110=""),"",ROUND(VLOOKUP(OP!$C$55,HL_2,$B110+1,0)*OP!$C$28,0))</f>
        <v/>
      </c>
    </row>
    <row r="111" spans="2:35" hidden="1">
      <c r="B111" s="93" t="str">
        <f ca="1">IF(OR(C110&gt;=OP!$F$57,C110=""),"",IF(C110+1&gt;OP!$F$57,OP!$F$57+1-$C$4,B110+1))</f>
        <v/>
      </c>
      <c r="C111" s="92" t="str">
        <f ca="1">IF(OR(OP!$D$53=1,MAX($C$4:C110)&gt;=OP!$F$57),"",C110+(B111-B110))</f>
        <v/>
      </c>
      <c r="D111" s="113" t="str">
        <f ca="1">IF(OR(OP!$D$53=1,AND($B111&gt;OP!$C$24)),"",OP!$C$52-IF($C111&lt;16,$K110,0))</f>
        <v/>
      </c>
      <c r="E111" s="113" t="str">
        <f ca="1">IF(OR(OP!$D$53=1,$B111=""),"",N($E110)+N($D111))</f>
        <v/>
      </c>
      <c r="F111" s="186" t="str">
        <f ca="1">IF(OR(OP!$D$53=1,$B111="",ISERROR(VLOOKUP(OP!$C$55,SRV,$B111+1,0))),"",ROUND(VLOOKUP(OP!$C$55,SRV,$B111+1,0)*OP!$C$28,0))</f>
        <v/>
      </c>
      <c r="G111" s="186" t="str">
        <f ca="1">IF(OR(OP!$D$53=1,$B111="",ISERROR(VLOOKUP(OP!$C$55,SRV,$B111+1,0))),"",N($G110)+N($F111))</f>
        <v/>
      </c>
      <c r="H111" s="186" t="str">
        <f ca="1">IF(OR(OP!$D$53=1,$B111=""),"",ROUND(VLOOKUP(OP!$C$55,DIE,$B111+1,0)*OP!$C$28,0))</f>
        <v/>
      </c>
      <c r="I111" s="187" t="str">
        <f ca="1">IF(OR(OP!$D$53=1,$B111=""),"",ROUND(VLOOKUP(OP!$C$55,CV,$B111+1,0)*OP!$C$28,0))</f>
        <v/>
      </c>
      <c r="J111" s="187" t="str">
        <f ca="1">IF(OR(OP!$D$53=1,$B111=""),"",ROUND(VLOOKUP(OP!$C$55,PA,$B111+1,0)*OP!$C$28,0))</f>
        <v/>
      </c>
      <c r="K111" s="186"/>
      <c r="L111" s="186"/>
      <c r="M111" s="186"/>
      <c r="N111" s="188"/>
      <c r="O111" s="188"/>
      <c r="P111" s="188"/>
      <c r="Q111" s="188"/>
      <c r="R111" s="188"/>
      <c r="S111" s="188" t="str">
        <f ca="1">IF(OR(OP!$D$53=1,$B111=""),"",N($F111)+N($O111))</f>
        <v/>
      </c>
      <c r="T111" s="188">
        <f ca="1">IF(OR(OP!$D$53=1,$B111=""),0,N($T110)+N($S111))</f>
        <v>0</v>
      </c>
      <c r="U111" s="188" t="str">
        <f ca="1">IF(OR(OP!$D$53=1,$B111=""),"",ROUND($S111/12,0))</f>
        <v/>
      </c>
      <c r="V111" s="188">
        <f ca="1">IF(OR(OP!$D$53=1,$B111=""),0,N($V110)+(N($U111)*12))</f>
        <v>0</v>
      </c>
      <c r="W111" s="186"/>
      <c r="X111" s="186"/>
      <c r="Y111" s="189" t="str">
        <f ca="1">IF(OR(OP!$D$53=1,$B111=""),"",ROUND(($H111+$Q111)*IF(OR($C111&lt;16,$Z111=0,$Z111=""),1,PYO),0))</f>
        <v/>
      </c>
      <c r="Z111" s="189" t="str">
        <f ca="1">IF(OR(OP!$D$53=1,$B111=""),"",ROUND(($H111+Q111)*IF(OR($C111&lt;16,($H111+$Q111)*PY!$C$4&lt;PY!$D$5,($H111+$Q111)*PY!$C$4*PYR&lt;PY!$C$5),0,PYY)*PYR,0))</f>
        <v/>
      </c>
      <c r="AA111" s="113" t="str">
        <f ca="1">IF(OR(OP!$D$53=1,AND(B111&gt;OP!$C$24)),"",OP!$C$52)</f>
        <v/>
      </c>
      <c r="AB111" s="113" t="str">
        <f ca="1">IF(OR(OP!$D$53=1,$B111=""),"",N($AB110)+N($AA111))</f>
        <v/>
      </c>
      <c r="AC111" s="113"/>
      <c r="AD111" s="113"/>
      <c r="AE111" s="113"/>
      <c r="AF111" s="113"/>
      <c r="AG111" s="113"/>
      <c r="AH111" s="187" t="str">
        <f ca="1">IF(OR(OP!$D$53=1,$B111=""),"",ROUND(VLOOKUP(OP!$C$55,HL_1,$B111+1,0)*OP!$C$28,0))</f>
        <v/>
      </c>
      <c r="AI111" s="187" t="str">
        <f ca="1">IF(OR(OP!$D$53=1,$B111=""),"",ROUND(VLOOKUP(OP!$C$55,HL_2,$B111+1,0)*OP!$C$28,0))</f>
        <v/>
      </c>
    </row>
    <row r="112" spans="2:35" hidden="1">
      <c r="B112" s="93" t="str">
        <f ca="1">IF(OR(C111&gt;=OP!$F$57,C111=""),"",IF(C111+1&gt;OP!$F$57,OP!$F$57+1-$C$4,B111+1))</f>
        <v/>
      </c>
      <c r="C112" s="92" t="str">
        <f ca="1">IF(OR(OP!$D$53=1,MAX($C$4:C111)&gt;=OP!$F$57),"",C111+(B112-B111))</f>
        <v/>
      </c>
      <c r="D112" s="113" t="str">
        <f ca="1">IF(OR(OP!$D$53=1,AND($B112&gt;OP!$C$24)),"",OP!$C$52-IF($C112&lt;16,$K111,0))</f>
        <v/>
      </c>
      <c r="E112" s="113" t="str">
        <f ca="1">IF(OR(OP!$D$53=1,$B112=""),"",N($E111)+N($D112))</f>
        <v/>
      </c>
      <c r="F112" s="186" t="str">
        <f ca="1">IF(OR(OP!$D$53=1,$B112="",ISERROR(VLOOKUP(OP!$C$55,SRV,$B112+1,0))),"",ROUND(VLOOKUP(OP!$C$55,SRV,$B112+1,0)*OP!$C$28,0))</f>
        <v/>
      </c>
      <c r="G112" s="186" t="str">
        <f ca="1">IF(OR(OP!$D$53=1,$B112="",ISERROR(VLOOKUP(OP!$C$55,SRV,$B112+1,0))),"",N($G111)+N($F112))</f>
        <v/>
      </c>
      <c r="H112" s="186" t="str">
        <f ca="1">IF(OR(OP!$D$53=1,$B112=""),"",ROUND(VLOOKUP(OP!$C$55,DIE,$B112+1,0)*OP!$C$28,0))</f>
        <v/>
      </c>
      <c r="I112" s="187" t="str">
        <f ca="1">IF(OR(OP!$D$53=1,$B112=""),"",ROUND(VLOOKUP(OP!$C$55,CV,$B112+1,0)*OP!$C$28,0))</f>
        <v/>
      </c>
      <c r="J112" s="187" t="str">
        <f ca="1">IF(OR(OP!$D$53=1,$B112=""),"",ROUND(VLOOKUP(OP!$C$55,PA,$B112+1,0)*OP!$C$28,0))</f>
        <v/>
      </c>
      <c r="K112" s="186"/>
      <c r="L112" s="186"/>
      <c r="M112" s="186"/>
      <c r="N112" s="188"/>
      <c r="O112" s="188"/>
      <c r="P112" s="188"/>
      <c r="Q112" s="188"/>
      <c r="R112" s="188"/>
      <c r="S112" s="188" t="str">
        <f ca="1">IF(OR(OP!$D$53=1,$B112=""),"",N($F112)+N($O112))</f>
        <v/>
      </c>
      <c r="T112" s="188">
        <f ca="1">IF(OR(OP!$D$53=1,$B112=""),0,N($T111)+N($S112))</f>
        <v>0</v>
      </c>
      <c r="U112" s="188" t="str">
        <f ca="1">IF(OR(OP!$D$53=1,$B112=""),"",ROUND($S112/12,0))</f>
        <v/>
      </c>
      <c r="V112" s="188">
        <f ca="1">IF(OR(OP!$D$53=1,$B112=""),0,N($V111)+(N($U112)*12))</f>
        <v>0</v>
      </c>
      <c r="W112" s="186"/>
      <c r="X112" s="186"/>
      <c r="Y112" s="659" t="str">
        <f ca="1">IF(OR(OP!$D$53=1,$B112=""),"",ROUND(($H112+$Q112)*IF(OR($C112&lt;16,$Z112=0,$Z112=""),1,PYO),0))</f>
        <v/>
      </c>
      <c r="Z112" s="659" t="str">
        <f ca="1">IF(OR(OP!$D$53=1,$B112=""),"",ROUND(($H112+Q112)*IF(OR($C112&lt;16,($H112+$Q112)*PY!$C$4&lt;PY!$D$5,($H112+$Q112)*PY!$C$4*PYR&lt;PY!$C$5),0,PYY)*PYR,0))</f>
        <v/>
      </c>
      <c r="AA112" s="660" t="str">
        <f ca="1">IF(OR(OP!$D$53=1,AND(B112&gt;OP!$C$24)),"",OP!$C$52)</f>
        <v/>
      </c>
      <c r="AB112" s="660" t="str">
        <f ca="1">IF(OR(OP!$D$53=1,$B112=""),"",N($AB111)+N($AA112))</f>
        <v/>
      </c>
      <c r="AC112" s="660"/>
      <c r="AD112" s="660"/>
      <c r="AE112" s="660"/>
      <c r="AF112" s="660"/>
      <c r="AG112" s="660"/>
      <c r="AH112" s="661" t="str">
        <f ca="1">IF(OR(OP!$D$53=1,$B112=""),"",ROUND(VLOOKUP(OP!$C$55,HL_1,$B112+1,0)*OP!$C$28,0))</f>
        <v/>
      </c>
      <c r="AI112" s="661" t="str">
        <f ca="1">IF(OR(OP!$D$53=1,$B112=""),"",ROUND(VLOOKUP(OP!$C$55,HL_2,$B112+1,0)*OP!$C$28,0))</f>
        <v/>
      </c>
    </row>
    <row r="113" spans="1:35" hidden="1">
      <c r="B113" s="93" t="str">
        <f ca="1">IF(OR(C112&gt;=OP!$F$57,C112=""),"",IF(C112+1&gt;OP!$F$57,OP!$F$57+1-$C$4,B112+1))</f>
        <v/>
      </c>
      <c r="C113" s="92" t="str">
        <f ca="1">IF(OR(OP!$D$53=1,MAX($C$4:C112)&gt;=OP!$F$57),"",C112+(B113-B112))</f>
        <v/>
      </c>
      <c r="D113" s="113" t="str">
        <f ca="1">IF(OR(OP!$D$53=1,AND($B113&gt;OP!$C$24)),"",OP!$C$52-IF($C113&lt;16,$K112,0))</f>
        <v/>
      </c>
      <c r="E113" s="113" t="str">
        <f ca="1">IF(OR(OP!$D$53=1,$B113=""),"",N($E112)+N($D113))</f>
        <v/>
      </c>
      <c r="F113" s="186" t="str">
        <f ca="1">IF(OR(OP!$D$53=1,$B113="",ISERROR(VLOOKUP(OP!$C$55,SRV,$B113+1,0))),"",ROUND(VLOOKUP(OP!$C$55,SRV,$B113+1,0)*OP!$C$28,0))</f>
        <v/>
      </c>
      <c r="G113" s="186" t="str">
        <f ca="1">IF(OR(OP!$D$53=1,$B113="",ISERROR(VLOOKUP(OP!$C$55,SRV,$B113+1,0))),"",N($G112)+N($F113))</f>
        <v/>
      </c>
      <c r="H113" s="186" t="str">
        <f ca="1">IF(OR(OP!$D$53=1,$B113=""),"",ROUND(VLOOKUP(OP!$C$55,DIE,$B113+1,0)*OP!$C$28,0))</f>
        <v/>
      </c>
      <c r="I113" s="187" t="str">
        <f ca="1">IF(OR(OP!$D$53=1,$B113=""),"",ROUND(VLOOKUP(OP!$C$55,CV,$B113+1,0)*OP!$C$28,0))</f>
        <v/>
      </c>
      <c r="J113" s="187" t="str">
        <f ca="1">IF(OR(OP!$D$53=1,$B113=""),"",ROUND(VLOOKUP(OP!$C$55,PA,$B113+1,0)*OP!$C$28,0))</f>
        <v/>
      </c>
      <c r="K113" s="186"/>
      <c r="L113" s="186"/>
      <c r="M113" s="186"/>
      <c r="N113" s="188"/>
      <c r="O113" s="188"/>
      <c r="P113" s="188"/>
      <c r="Q113" s="188"/>
      <c r="R113" s="188"/>
      <c r="S113" s="188" t="str">
        <f ca="1">IF(OR(OP!$D$53=1,$B113=""),"",N($F113)+N($O113))</f>
        <v/>
      </c>
      <c r="T113" s="188">
        <f ca="1">IF(OR(OP!$D$53=1,$B113=""),0,N($T112)+N($S113))</f>
        <v>0</v>
      </c>
      <c r="U113" s="188" t="str">
        <f ca="1">IF(OR(OP!$D$53=1,$B113=""),"",ROUND($S113/12,0))</f>
        <v/>
      </c>
      <c r="V113" s="188">
        <f ca="1">IF(OR(OP!$D$53=1,$B113=""),0,N($V112)+(N($U113)*12))</f>
        <v>0</v>
      </c>
      <c r="W113" s="186"/>
      <c r="X113" s="186"/>
      <c r="Y113" s="659" t="str">
        <f ca="1">IF(OR(OP!$D$53=1,$B113=""),"",ROUND(($H113+$Q113)*IF(OR($C113&lt;16,$Z113=0,$Z113=""),1,PYO),0))</f>
        <v/>
      </c>
      <c r="Z113" s="659" t="str">
        <f ca="1">IF(OR(OP!$D$53=1,$B113=""),"",ROUND(($H113+Q113)*IF(OR($C113&lt;16,($H113+$Q113)*PY!$C$4&lt;PY!$D$5,($H113+$Q113)*PY!$C$4*PYR&lt;PY!$C$5),0,PYY)*PYR,0))</f>
        <v/>
      </c>
      <c r="AA113" s="660" t="str">
        <f ca="1">IF(OR(OP!$D$53=1,AND(B113&gt;OP!$C$24)),"",OP!$C$52)</f>
        <v/>
      </c>
      <c r="AB113" s="660" t="str">
        <f ca="1">IF(OR(OP!$D$53=1,$B113=""),"",N($AB112)+N($AA113))</f>
        <v/>
      </c>
      <c r="AC113" s="660"/>
      <c r="AD113" s="660"/>
      <c r="AE113" s="660"/>
      <c r="AF113" s="660"/>
      <c r="AG113" s="660"/>
      <c r="AH113" s="661" t="str">
        <f ca="1">IF(OR(OP!$D$53=1,$B113=""),"",ROUND(VLOOKUP(OP!$C$55,HL_1,$B113+1,0)*OP!$C$28,0))</f>
        <v/>
      </c>
      <c r="AI113" s="661" t="str">
        <f ca="1">IF(OR(OP!$D$53=1,$B113=""),"",ROUND(VLOOKUP(OP!$C$55,HL_2,$B113+1,0)*OP!$C$28,0))</f>
        <v/>
      </c>
    </row>
    <row r="114" spans="1:35" hidden="1">
      <c r="B114" s="93" t="str">
        <f ca="1">IF(OR(C113&gt;=OP!$F$57,C113=""),"",IF(C113+1&gt;OP!$F$57,OP!$F$57+1-$C$4,B113+1))</f>
        <v/>
      </c>
      <c r="C114" s="92" t="str">
        <f ca="1">IF(OR(OP!$D$53=1,MAX($C$4:C113)&gt;=OP!$F$57),"",C113+(B114-B113))</f>
        <v/>
      </c>
      <c r="D114" s="113" t="str">
        <f ca="1">IF(OR(OP!$D$53=1,AND($B114&gt;OP!$C$24)),"",OP!$C$52-IF($C114&lt;16,$K113,0))</f>
        <v/>
      </c>
      <c r="E114" s="113" t="str">
        <f ca="1">IF(OR(OP!$D$53=1,$B114=""),"",N($E113)+N($D114))</f>
        <v/>
      </c>
      <c r="F114" s="186" t="str">
        <f ca="1">IF(OR(OP!$D$53=1,$B114="",ISERROR(VLOOKUP(OP!$C$55,SRV,$B114+1,0))),"",ROUND(VLOOKUP(OP!$C$55,SRV,$B114+1,0)*OP!$C$28,0))</f>
        <v/>
      </c>
      <c r="G114" s="186" t="str">
        <f ca="1">IF(OR(OP!$D$53=1,$B114="",ISERROR(VLOOKUP(OP!$C$55,SRV,$B114+1,0))),"",N($G113)+N($F114))</f>
        <v/>
      </c>
      <c r="H114" s="186" t="str">
        <f ca="1">IF(OR(OP!$D$53=1,$B114=""),"",ROUND(VLOOKUP(OP!$C$55,DIE,$B114+1,0)*OP!$C$28,0))</f>
        <v/>
      </c>
      <c r="I114" s="187" t="str">
        <f ca="1">IF(OR(OP!$D$53=1,$B114=""),"",ROUND(VLOOKUP(OP!$C$55,CV,$B114+1,0)*OP!$C$28,0))</f>
        <v/>
      </c>
      <c r="J114" s="187" t="str">
        <f ca="1">IF(OR(OP!$D$53=1,$B114=""),"",ROUND(VLOOKUP(OP!$C$55,PA,$B114+1,0)*OP!$C$28,0))</f>
        <v/>
      </c>
      <c r="K114" s="186" t="str">
        <f ca="1">IF(OR(OP!$D$53=1,B114=""),"",VLOOKUP($B114,more1,7,0))</f>
        <v/>
      </c>
      <c r="L114" s="186"/>
      <c r="M114" s="186"/>
      <c r="N114" s="188"/>
      <c r="O114" s="188"/>
      <c r="P114" s="188"/>
      <c r="Q114" s="188"/>
      <c r="R114" s="188"/>
      <c r="S114" s="188" t="str">
        <f ca="1">IF(OR(OP!$D$53=1,$B114=""),"",N($F114)+N($O114))</f>
        <v/>
      </c>
      <c r="T114" s="188">
        <f ca="1">IF(OR(OP!$D$53=1,$B114=""),0,N($T113)+N($S114))</f>
        <v>0</v>
      </c>
      <c r="U114" s="188" t="str">
        <f ca="1">IF(OR(OP!$D$53=1,$B114=""),"",ROUND($S114/12,0))</f>
        <v/>
      </c>
      <c r="V114" s="188">
        <f ca="1">IF(OR(OP!$D$53=1,$B114=""),0,N($V113)+(N($U114)*12))</f>
        <v>0</v>
      </c>
      <c r="W114" s="186"/>
      <c r="X114" s="186"/>
      <c r="Y114" s="659" t="str">
        <f ca="1">IF(OR(OP!$D$53=1,$B114=""),"",ROUND(($H114+$Q114)*IF(OR($C114&lt;16,$Z114=0,$Z114=""),1,PYO),0))</f>
        <v/>
      </c>
      <c r="Z114" s="659" t="str">
        <f ca="1">IF(OR(OP!$D$53=1,$B114=""),"",ROUND(($H114+Q114)*IF(OR($C114&lt;16,($H114+$Q114)*PY!$C$4&lt;PY!$D$5,($H114+$Q114)*PY!$C$4*PYR&lt;PY!$C$5),0,PYY)*PYR,0))</f>
        <v/>
      </c>
      <c r="AA114" s="660" t="str">
        <f ca="1">IF(OR(OP!$D$53=1,AND(B114&gt;OP!$C$24)),"",OP!$C$52)</f>
        <v/>
      </c>
      <c r="AB114" s="660" t="str">
        <f ca="1">IF(OR(OP!$D$53=1,$B114=""),"",N($AB113)+N($AA114))</f>
        <v/>
      </c>
      <c r="AC114" s="660"/>
      <c r="AD114" s="660"/>
      <c r="AE114" s="660"/>
      <c r="AF114" s="660"/>
      <c r="AG114" s="660"/>
      <c r="AH114" s="661" t="str">
        <f ca="1">IF(OR(OP!$D$53=1,$B114=""),"",ROUND(VLOOKUP(OP!$C$55,HL_1,$B114+1,0)*OP!$C$28,0))</f>
        <v/>
      </c>
      <c r="AI114" s="661" t="str">
        <f ca="1">IF(OR(OP!$D$53=1,$B114=""),"",ROUND(VLOOKUP(OP!$C$55,HL_2,$B114+1,0)*OP!$C$28,0))</f>
        <v/>
      </c>
    </row>
    <row r="115" spans="1:35" hidden="1">
      <c r="B115" s="200" t="s">
        <v>586</v>
      </c>
      <c r="C115" s="118"/>
      <c r="E115" s="119"/>
      <c r="F115" s="119"/>
      <c r="G115" s="186" t="str">
        <f ca="1">IF(OR(OP!$D$53=1,$B115="",ISERROR(VLOOKUP(OP!$C$55,SRV,$B115+1,0))),"",N($G114)+N($F115))</f>
        <v/>
      </c>
      <c r="H115" s="186" t="e">
        <f ca="1">IF(OR(OP!$D$53=1),"",ROUND(VLOOKUP(OP!$C$55,EXP,OP!$D$57+1,0)*OP!$C$28,0))</f>
        <v>#N/A</v>
      </c>
      <c r="I115" s="120"/>
      <c r="P115" t="s">
        <v>315</v>
      </c>
      <c r="Q115" s="202"/>
      <c r="Y115" s="657"/>
      <c r="Z115" s="657"/>
      <c r="AC115" s="119"/>
      <c r="AH115" s="658"/>
      <c r="AI115" s="658"/>
    </row>
    <row r="116" spans="1:35" hidden="1">
      <c r="B116" s="200"/>
      <c r="C116" s="118"/>
      <c r="E116" s="119"/>
      <c r="F116" s="119"/>
      <c r="G116" s="119"/>
      <c r="H116" s="119"/>
      <c r="I116" s="120"/>
      <c r="Q116" s="201"/>
    </row>
    <row r="117" spans="1:35" hidden="1">
      <c r="A117" s="240"/>
      <c r="B117" s="241"/>
      <c r="C117" s="241"/>
      <c r="D117" s="242"/>
      <c r="E117" s="243"/>
      <c r="F117" s="209"/>
      <c r="G117" s="182"/>
      <c r="H117" s="209"/>
      <c r="I117" s="209"/>
      <c r="J117" s="209"/>
      <c r="K117" s="209"/>
      <c r="L117" s="209"/>
      <c r="Q117" s="201"/>
    </row>
    <row r="118" spans="1:35" hidden="1">
      <c r="A118" s="240"/>
      <c r="B118" s="241"/>
      <c r="C118" s="241"/>
      <c r="D118" s="207"/>
      <c r="E118" s="210"/>
      <c r="F118" s="210"/>
      <c r="G118" s="211"/>
      <c r="H118" s="211"/>
      <c r="I118" s="211"/>
      <c r="J118" s="211"/>
      <c r="K118" s="207"/>
      <c r="L118" s="207"/>
      <c r="Q118" s="201"/>
    </row>
    <row r="119" spans="1:35" hidden="1">
      <c r="A119" s="110"/>
      <c r="B119" s="209"/>
      <c r="C119" s="209"/>
      <c r="D119" s="207"/>
      <c r="E119" s="210"/>
      <c r="F119" s="210"/>
      <c r="G119" s="211"/>
      <c r="H119" s="211"/>
      <c r="I119" s="211"/>
      <c r="J119" s="211"/>
      <c r="K119" s="207"/>
      <c r="L119" s="207"/>
      <c r="Q119" s="201"/>
    </row>
    <row r="120" spans="1:35" ht="14.25" hidden="1" customHeight="1">
      <c r="A120" s="239"/>
      <c r="B120" s="241"/>
      <c r="C120" s="241"/>
      <c r="D120" s="242"/>
      <c r="E120" s="244"/>
      <c r="F120" s="244"/>
      <c r="G120" s="245"/>
      <c r="H120" s="245"/>
      <c r="I120" s="245"/>
      <c r="J120" s="245"/>
      <c r="K120" s="244"/>
      <c r="L120" s="244"/>
      <c r="M120" s="244"/>
      <c r="N120" s="244"/>
    </row>
    <row r="121" spans="1:35" hidden="1">
      <c r="A121" s="239"/>
      <c r="B121" s="241"/>
      <c r="C121" s="241"/>
      <c r="D121" s="207"/>
      <c r="E121" s="241"/>
      <c r="F121" s="241"/>
      <c r="G121" s="211"/>
      <c r="H121" s="211"/>
      <c r="I121" s="246"/>
      <c r="J121" s="246"/>
      <c r="K121" s="247"/>
      <c r="L121" s="248"/>
      <c r="M121" s="247"/>
      <c r="N121" s="247"/>
    </row>
    <row r="122" spans="1:35" hidden="1">
      <c r="A122" s="110"/>
      <c r="B122" s="209"/>
      <c r="C122" s="209"/>
      <c r="D122" s="207"/>
      <c r="E122" s="210"/>
      <c r="F122" s="210"/>
      <c r="G122" s="211"/>
      <c r="L122" s="211"/>
      <c r="M122" s="211"/>
      <c r="N122" s="211"/>
      <c r="O122" s="207"/>
      <c r="P122" s="207"/>
    </row>
    <row r="123" spans="1:35" hidden="1">
      <c r="A123" s="240"/>
      <c r="B123" s="241"/>
      <c r="C123" s="241"/>
      <c r="D123" s="242"/>
      <c r="E123" s="198"/>
      <c r="F123" s="110"/>
      <c r="G123" s="110"/>
      <c r="L123" s="249"/>
      <c r="M123" s="250"/>
      <c r="N123" s="250"/>
      <c r="O123" s="249"/>
      <c r="P123" s="250"/>
      <c r="Q123" s="250"/>
    </row>
    <row r="124" spans="1:35" hidden="1">
      <c r="A124" s="240"/>
      <c r="B124" s="241"/>
      <c r="C124" s="241"/>
      <c r="D124" s="207"/>
      <c r="E124" s="208"/>
      <c r="F124" s="208"/>
      <c r="G124" s="208"/>
      <c r="L124" s="208"/>
      <c r="M124" s="208"/>
      <c r="N124" s="208"/>
      <c r="O124" s="208"/>
      <c r="P124" s="208"/>
      <c r="Q124" s="208"/>
    </row>
    <row r="125" spans="1:35" hidden="1">
      <c r="B125" s="117"/>
      <c r="C125" s="118"/>
      <c r="D125" s="119"/>
      <c r="E125" s="119"/>
      <c r="F125" s="119"/>
      <c r="G125" s="119"/>
      <c r="H125" s="119"/>
      <c r="I125" s="120"/>
      <c r="J125" s="119"/>
      <c r="K125" s="119"/>
      <c r="L125" s="119"/>
      <c r="M125" s="119"/>
      <c r="O125" s="119"/>
      <c r="P125" s="119"/>
    </row>
    <row r="126" spans="1:35" hidden="1">
      <c r="A126" s="251"/>
      <c r="B126" s="241"/>
      <c r="C126" s="241"/>
      <c r="D126" s="241"/>
      <c r="E126" s="252"/>
      <c r="F126" s="252"/>
      <c r="G126" s="252"/>
      <c r="H126" s="241"/>
      <c r="I126" s="241"/>
      <c r="J126" s="241"/>
      <c r="K126" s="241"/>
      <c r="L126" s="253"/>
      <c r="M126" s="254"/>
      <c r="N126" s="254"/>
      <c r="O126" s="253"/>
      <c r="P126" s="254"/>
      <c r="Q126" s="254"/>
    </row>
    <row r="127" spans="1:35" hidden="1">
      <c r="A127" s="251"/>
      <c r="B127" s="241"/>
      <c r="C127" s="241"/>
      <c r="D127" s="241"/>
      <c r="E127" s="246"/>
      <c r="F127" s="246"/>
      <c r="G127" s="246"/>
      <c r="H127" s="241"/>
      <c r="I127" s="241"/>
      <c r="J127" s="247"/>
      <c r="K127" s="247"/>
      <c r="L127" s="241"/>
      <c r="M127" s="241"/>
      <c r="N127" s="247"/>
      <c r="O127" s="241"/>
      <c r="P127" s="241"/>
      <c r="Q127" s="247"/>
    </row>
    <row r="128" spans="1:35" hidden="1">
      <c r="B128" s="117"/>
      <c r="C128" s="118"/>
      <c r="D128" s="119"/>
      <c r="E128" s="119"/>
      <c r="F128" s="119"/>
      <c r="G128" s="119"/>
      <c r="H128" s="119"/>
      <c r="I128" s="120"/>
    </row>
    <row r="129" spans="2:20" ht="14.25" hidden="1" customHeight="1">
      <c r="B129" s="117"/>
      <c r="C129" s="118"/>
      <c r="D129" s="119"/>
      <c r="E129" s="119"/>
      <c r="F129" s="119"/>
      <c r="G129" s="119"/>
      <c r="H129" s="119"/>
      <c r="I129" s="120"/>
    </row>
    <row r="130" spans="2:20" ht="14.25" hidden="1" customHeight="1">
      <c r="B130" s="117"/>
      <c r="C130" s="118">
        <v>2</v>
      </c>
      <c r="D130" s="121">
        <v>7</v>
      </c>
      <c r="E130" s="122">
        <v>8</v>
      </c>
      <c r="F130" s="121">
        <v>18</v>
      </c>
      <c r="G130" s="122">
        <v>13</v>
      </c>
      <c r="H130" s="121">
        <v>16</v>
      </c>
      <c r="I130" s="122">
        <v>17</v>
      </c>
      <c r="J130" s="121">
        <v>0</v>
      </c>
      <c r="K130" s="122">
        <v>0</v>
      </c>
      <c r="L130" s="121">
        <v>0</v>
      </c>
      <c r="M130" s="122">
        <v>0</v>
      </c>
      <c r="N130" s="121">
        <v>0</v>
      </c>
      <c r="O130" s="122">
        <v>0</v>
      </c>
      <c r="P130" s="121">
        <v>0</v>
      </c>
      <c r="Q130" s="122">
        <v>0</v>
      </c>
      <c r="R130" s="121">
        <v>0</v>
      </c>
      <c r="S130" s="122">
        <v>0</v>
      </c>
      <c r="T130" s="121">
        <v>0</v>
      </c>
    </row>
    <row r="131" spans="2:20" ht="71.25" hidden="1" customHeight="1">
      <c r="B131" s="89" t="s">
        <v>68</v>
      </c>
      <c r="C131" s="123" t="e">
        <f t="shared" ref="C131:C148" ca="1" si="0">VLOOKUP($B131,TOV,C$130,0)</f>
        <v>#N/A</v>
      </c>
      <c r="D131" s="123" t="str">
        <f t="shared" ref="D131:M140" ca="1" si="1">IF(ISERROR(VLOOKUP($B131,TOV,D$130,0)),"",VLOOKUP($B131,TOV,D$130,0))</f>
        <v/>
      </c>
      <c r="E131" s="123" t="str">
        <f t="shared" ca="1" si="1"/>
        <v/>
      </c>
      <c r="F131" s="123" t="str">
        <f t="shared" ca="1" si="1"/>
        <v/>
      </c>
      <c r="G131" s="123" t="str">
        <f t="shared" ca="1" si="1"/>
        <v/>
      </c>
      <c r="H131" s="123" t="str">
        <f t="shared" ca="1" si="1"/>
        <v/>
      </c>
      <c r="I131" s="123" t="str">
        <f t="shared" ca="1" si="1"/>
        <v/>
      </c>
      <c r="J131" s="123" t="str">
        <f t="shared" ca="1" si="1"/>
        <v/>
      </c>
      <c r="K131" s="123" t="str">
        <f t="shared" ca="1" si="1"/>
        <v/>
      </c>
      <c r="L131" s="123" t="str">
        <f t="shared" ca="1" si="1"/>
        <v/>
      </c>
      <c r="M131" s="123" t="str">
        <f t="shared" ca="1" si="1"/>
        <v/>
      </c>
      <c r="N131" s="123" t="str">
        <f t="shared" ref="N131:T140" ca="1" si="2">IF(ISERROR(VLOOKUP($B131,TOV,N$130,0)),"",VLOOKUP($B131,TOV,N$130,0))</f>
        <v/>
      </c>
      <c r="O131" s="123" t="str">
        <f t="shared" ca="1" si="2"/>
        <v/>
      </c>
      <c r="P131" s="123" t="str">
        <f t="shared" ca="1" si="2"/>
        <v/>
      </c>
      <c r="Q131" s="123" t="str">
        <f t="shared" ca="1" si="2"/>
        <v/>
      </c>
      <c r="R131" s="123" t="str">
        <f t="shared" ca="1" si="2"/>
        <v/>
      </c>
      <c r="S131" s="123" t="str">
        <f t="shared" ca="1" si="2"/>
        <v/>
      </c>
      <c r="T131" s="123" t="str">
        <f t="shared" ca="1" si="2"/>
        <v/>
      </c>
    </row>
    <row r="132" spans="2:20" ht="14" hidden="1">
      <c r="B132" s="124">
        <v>1</v>
      </c>
      <c r="C132" s="89">
        <f t="shared" ca="1" si="0"/>
        <v>15</v>
      </c>
      <c r="D132" s="125" t="str">
        <f t="shared" ca="1" si="1"/>
        <v/>
      </c>
      <c r="E132" s="125" t="str">
        <f t="shared" ca="1" si="1"/>
        <v/>
      </c>
      <c r="F132" s="125">
        <f t="shared" ca="1" si="1"/>
        <v>0</v>
      </c>
      <c r="G132" s="125">
        <f t="shared" si="1"/>
        <v>0</v>
      </c>
      <c r="H132" s="125">
        <f t="shared" si="1"/>
        <v>0</v>
      </c>
      <c r="I132" s="125">
        <f t="shared" si="1"/>
        <v>0</v>
      </c>
      <c r="J132" s="125" t="str">
        <f t="shared" si="1"/>
        <v/>
      </c>
      <c r="K132" s="125" t="str">
        <f t="shared" si="1"/>
        <v/>
      </c>
      <c r="L132" s="125" t="str">
        <f t="shared" si="1"/>
        <v/>
      </c>
      <c r="M132" s="125" t="str">
        <f t="shared" si="1"/>
        <v/>
      </c>
      <c r="N132" s="125" t="str">
        <f t="shared" si="2"/>
        <v/>
      </c>
      <c r="O132" s="125" t="str">
        <f t="shared" si="2"/>
        <v/>
      </c>
      <c r="P132" s="125" t="str">
        <f t="shared" si="2"/>
        <v/>
      </c>
      <c r="Q132" s="125" t="str">
        <f t="shared" si="2"/>
        <v/>
      </c>
      <c r="R132" s="125" t="str">
        <f t="shared" si="2"/>
        <v/>
      </c>
      <c r="S132" s="125" t="str">
        <f t="shared" si="2"/>
        <v/>
      </c>
      <c r="T132" s="125" t="str">
        <f t="shared" si="2"/>
        <v/>
      </c>
    </row>
    <row r="133" spans="2:20" ht="14" hidden="1">
      <c r="B133" s="124">
        <v>2</v>
      </c>
      <c r="C133" s="89">
        <f t="shared" ca="1" si="0"/>
        <v>16</v>
      </c>
      <c r="D133" s="125" t="str">
        <f t="shared" ca="1" si="1"/>
        <v/>
      </c>
      <c r="E133" s="125" t="str">
        <f t="shared" ca="1" si="1"/>
        <v/>
      </c>
      <c r="F133" s="125">
        <f t="shared" ca="1" si="1"/>
        <v>0</v>
      </c>
      <c r="G133" s="125">
        <f t="shared" ca="1" si="1"/>
        <v>0</v>
      </c>
      <c r="H133" s="125">
        <f t="shared" ca="1" si="1"/>
        <v>0</v>
      </c>
      <c r="I133" s="125">
        <f t="shared" ca="1" si="1"/>
        <v>0</v>
      </c>
      <c r="J133" s="125" t="str">
        <f t="shared" ca="1" si="1"/>
        <v/>
      </c>
      <c r="K133" s="125" t="str">
        <f t="shared" ca="1" si="1"/>
        <v/>
      </c>
      <c r="L133" s="125" t="str">
        <f t="shared" ca="1" si="1"/>
        <v/>
      </c>
      <c r="M133" s="125" t="str">
        <f t="shared" ca="1" si="1"/>
        <v/>
      </c>
      <c r="N133" s="125" t="str">
        <f t="shared" ca="1" si="2"/>
        <v/>
      </c>
      <c r="O133" s="125" t="str">
        <f t="shared" ca="1" si="2"/>
        <v/>
      </c>
      <c r="P133" s="125" t="str">
        <f t="shared" ca="1" si="2"/>
        <v/>
      </c>
      <c r="Q133" s="125" t="str">
        <f t="shared" ca="1" si="2"/>
        <v/>
      </c>
      <c r="R133" s="125" t="str">
        <f t="shared" ca="1" si="2"/>
        <v/>
      </c>
      <c r="S133" s="125" t="str">
        <f t="shared" ca="1" si="2"/>
        <v/>
      </c>
      <c r="T133" s="125" t="str">
        <f t="shared" ca="1" si="2"/>
        <v/>
      </c>
    </row>
    <row r="134" spans="2:20" ht="14" hidden="1">
      <c r="B134" s="124">
        <v>3</v>
      </c>
      <c r="C134" s="89">
        <f t="shared" ca="1" si="0"/>
        <v>17</v>
      </c>
      <c r="D134" s="125" t="str">
        <f t="shared" ca="1" si="1"/>
        <v/>
      </c>
      <c r="E134" s="125" t="str">
        <f t="shared" ca="1" si="1"/>
        <v/>
      </c>
      <c r="F134" s="125">
        <f t="shared" ca="1" si="1"/>
        <v>0</v>
      </c>
      <c r="G134" s="125">
        <f t="shared" ca="1" si="1"/>
        <v>0</v>
      </c>
      <c r="H134" s="125">
        <f t="shared" ca="1" si="1"/>
        <v>0</v>
      </c>
      <c r="I134" s="125">
        <f t="shared" ca="1" si="1"/>
        <v>0</v>
      </c>
      <c r="J134" s="125" t="str">
        <f t="shared" ca="1" si="1"/>
        <v/>
      </c>
      <c r="K134" s="125" t="str">
        <f t="shared" ca="1" si="1"/>
        <v/>
      </c>
      <c r="L134" s="125" t="str">
        <f t="shared" ca="1" si="1"/>
        <v/>
      </c>
      <c r="M134" s="125" t="str">
        <f t="shared" ca="1" si="1"/>
        <v/>
      </c>
      <c r="N134" s="125" t="str">
        <f t="shared" ca="1" si="2"/>
        <v/>
      </c>
      <c r="O134" s="125" t="str">
        <f t="shared" ca="1" si="2"/>
        <v/>
      </c>
      <c r="P134" s="125" t="str">
        <f t="shared" ca="1" si="2"/>
        <v/>
      </c>
      <c r="Q134" s="125" t="str">
        <f t="shared" ca="1" si="2"/>
        <v/>
      </c>
      <c r="R134" s="125" t="str">
        <f t="shared" ca="1" si="2"/>
        <v/>
      </c>
      <c r="S134" s="125" t="str">
        <f t="shared" ca="1" si="2"/>
        <v/>
      </c>
      <c r="T134" s="125" t="str">
        <f t="shared" ca="1" si="2"/>
        <v/>
      </c>
    </row>
    <row r="135" spans="2:20" ht="14" hidden="1">
      <c r="B135" s="124">
        <v>4</v>
      </c>
      <c r="C135" s="89">
        <f t="shared" ca="1" si="0"/>
        <v>18</v>
      </c>
      <c r="D135" s="125" t="str">
        <f t="shared" ca="1" si="1"/>
        <v/>
      </c>
      <c r="E135" s="125" t="str">
        <f t="shared" ca="1" si="1"/>
        <v/>
      </c>
      <c r="F135" s="125">
        <f t="shared" ca="1" si="1"/>
        <v>0</v>
      </c>
      <c r="G135" s="125">
        <f t="shared" ca="1" si="1"/>
        <v>0</v>
      </c>
      <c r="H135" s="125">
        <f t="shared" ca="1" si="1"/>
        <v>0</v>
      </c>
      <c r="I135" s="125">
        <f t="shared" ca="1" si="1"/>
        <v>0</v>
      </c>
      <c r="J135" s="125" t="str">
        <f t="shared" ca="1" si="1"/>
        <v/>
      </c>
      <c r="K135" s="125" t="str">
        <f t="shared" ca="1" si="1"/>
        <v/>
      </c>
      <c r="L135" s="125" t="str">
        <f t="shared" ca="1" si="1"/>
        <v/>
      </c>
      <c r="M135" s="125" t="str">
        <f t="shared" ca="1" si="1"/>
        <v/>
      </c>
      <c r="N135" s="125" t="str">
        <f t="shared" ca="1" si="2"/>
        <v/>
      </c>
      <c r="O135" s="125" t="str">
        <f t="shared" ca="1" si="2"/>
        <v/>
      </c>
      <c r="P135" s="125" t="str">
        <f t="shared" ca="1" si="2"/>
        <v/>
      </c>
      <c r="Q135" s="125" t="str">
        <f t="shared" ca="1" si="2"/>
        <v/>
      </c>
      <c r="R135" s="125" t="str">
        <f t="shared" ca="1" si="2"/>
        <v/>
      </c>
      <c r="S135" s="125" t="str">
        <f t="shared" ca="1" si="2"/>
        <v/>
      </c>
      <c r="T135" s="125" t="str">
        <f t="shared" ca="1" si="2"/>
        <v/>
      </c>
    </row>
    <row r="136" spans="2:20" ht="14" hidden="1">
      <c r="B136" s="124">
        <v>5</v>
      </c>
      <c r="C136" s="89">
        <f t="shared" ca="1" si="0"/>
        <v>19</v>
      </c>
      <c r="D136" s="125" t="str">
        <f t="shared" ca="1" si="1"/>
        <v/>
      </c>
      <c r="E136" s="125" t="str">
        <f t="shared" ca="1" si="1"/>
        <v/>
      </c>
      <c r="F136" s="125">
        <f t="shared" ca="1" si="1"/>
        <v>0</v>
      </c>
      <c r="G136" s="125">
        <f t="shared" ca="1" si="1"/>
        <v>0</v>
      </c>
      <c r="H136" s="125">
        <f t="shared" ca="1" si="1"/>
        <v>0</v>
      </c>
      <c r="I136" s="125">
        <f t="shared" ca="1" si="1"/>
        <v>0</v>
      </c>
      <c r="J136" s="125" t="str">
        <f t="shared" ca="1" si="1"/>
        <v/>
      </c>
      <c r="K136" s="125" t="str">
        <f t="shared" ca="1" si="1"/>
        <v/>
      </c>
      <c r="L136" s="125" t="str">
        <f t="shared" ca="1" si="1"/>
        <v/>
      </c>
      <c r="M136" s="125" t="str">
        <f t="shared" ca="1" si="1"/>
        <v/>
      </c>
      <c r="N136" s="125" t="str">
        <f t="shared" ca="1" si="2"/>
        <v/>
      </c>
      <c r="O136" s="125" t="str">
        <f t="shared" ca="1" si="2"/>
        <v/>
      </c>
      <c r="P136" s="125" t="str">
        <f t="shared" ca="1" si="2"/>
        <v/>
      </c>
      <c r="Q136" s="125" t="str">
        <f t="shared" ca="1" si="2"/>
        <v/>
      </c>
      <c r="R136" s="125" t="str">
        <f t="shared" ca="1" si="2"/>
        <v/>
      </c>
      <c r="S136" s="125" t="str">
        <f t="shared" ca="1" si="2"/>
        <v/>
      </c>
      <c r="T136" s="125" t="str">
        <f t="shared" ca="1" si="2"/>
        <v/>
      </c>
    </row>
    <row r="137" spans="2:20" ht="14" hidden="1">
      <c r="B137" s="124">
        <v>6</v>
      </c>
      <c r="C137" s="89">
        <f t="shared" ca="1" si="0"/>
        <v>20</v>
      </c>
      <c r="D137" s="125" t="str">
        <f t="shared" ca="1" si="1"/>
        <v/>
      </c>
      <c r="E137" s="125" t="str">
        <f t="shared" ca="1" si="1"/>
        <v/>
      </c>
      <c r="F137" s="125">
        <f t="shared" ca="1" si="1"/>
        <v>0</v>
      </c>
      <c r="G137" s="125">
        <f t="shared" ca="1" si="1"/>
        <v>0</v>
      </c>
      <c r="H137" s="125">
        <f t="shared" ca="1" si="1"/>
        <v>0</v>
      </c>
      <c r="I137" s="125">
        <f t="shared" ca="1" si="1"/>
        <v>0</v>
      </c>
      <c r="J137" s="125" t="str">
        <f t="shared" ca="1" si="1"/>
        <v/>
      </c>
      <c r="K137" s="125" t="str">
        <f t="shared" ca="1" si="1"/>
        <v/>
      </c>
      <c r="L137" s="125" t="str">
        <f t="shared" ca="1" si="1"/>
        <v/>
      </c>
      <c r="M137" s="125" t="str">
        <f t="shared" ca="1" si="1"/>
        <v/>
      </c>
      <c r="N137" s="125" t="str">
        <f t="shared" ca="1" si="2"/>
        <v/>
      </c>
      <c r="O137" s="125" t="str">
        <f t="shared" ca="1" si="2"/>
        <v/>
      </c>
      <c r="P137" s="125" t="str">
        <f t="shared" ca="1" si="2"/>
        <v/>
      </c>
      <c r="Q137" s="125" t="str">
        <f t="shared" ca="1" si="2"/>
        <v/>
      </c>
      <c r="R137" s="125" t="str">
        <f t="shared" ca="1" si="2"/>
        <v/>
      </c>
      <c r="S137" s="125" t="str">
        <f t="shared" ca="1" si="2"/>
        <v/>
      </c>
      <c r="T137" s="125" t="str">
        <f t="shared" ca="1" si="2"/>
        <v/>
      </c>
    </row>
    <row r="138" spans="2:20" ht="14" hidden="1">
      <c r="B138" s="124">
        <v>7</v>
      </c>
      <c r="C138" s="89">
        <f t="shared" ca="1" si="0"/>
        <v>21</v>
      </c>
      <c r="D138" s="125" t="str">
        <f t="shared" ca="1" si="1"/>
        <v/>
      </c>
      <c r="E138" s="125" t="str">
        <f t="shared" ca="1" si="1"/>
        <v/>
      </c>
      <c r="F138" s="125">
        <f t="shared" ca="1" si="1"/>
        <v>0</v>
      </c>
      <c r="G138" s="125">
        <f t="shared" ca="1" si="1"/>
        <v>0</v>
      </c>
      <c r="H138" s="125">
        <f t="shared" ca="1" si="1"/>
        <v>0</v>
      </c>
      <c r="I138" s="125">
        <f t="shared" ca="1" si="1"/>
        <v>0</v>
      </c>
      <c r="J138" s="125" t="str">
        <f t="shared" ca="1" si="1"/>
        <v/>
      </c>
      <c r="K138" s="125" t="str">
        <f t="shared" ca="1" si="1"/>
        <v/>
      </c>
      <c r="L138" s="125" t="str">
        <f t="shared" ca="1" si="1"/>
        <v/>
      </c>
      <c r="M138" s="125" t="str">
        <f t="shared" ca="1" si="1"/>
        <v/>
      </c>
      <c r="N138" s="125" t="str">
        <f t="shared" ca="1" si="2"/>
        <v/>
      </c>
      <c r="O138" s="125" t="str">
        <f t="shared" ca="1" si="2"/>
        <v/>
      </c>
      <c r="P138" s="125" t="str">
        <f t="shared" ca="1" si="2"/>
        <v/>
      </c>
      <c r="Q138" s="125" t="str">
        <f t="shared" ca="1" si="2"/>
        <v/>
      </c>
      <c r="R138" s="125" t="str">
        <f t="shared" ca="1" si="2"/>
        <v/>
      </c>
      <c r="S138" s="125" t="str">
        <f t="shared" ca="1" si="2"/>
        <v/>
      </c>
      <c r="T138" s="125" t="str">
        <f t="shared" ca="1" si="2"/>
        <v/>
      </c>
    </row>
    <row r="139" spans="2:20" ht="14" hidden="1">
      <c r="B139" s="124">
        <v>8</v>
      </c>
      <c r="C139" s="89">
        <f t="shared" ca="1" si="0"/>
        <v>22</v>
      </c>
      <c r="D139" s="125" t="str">
        <f t="shared" ca="1" si="1"/>
        <v/>
      </c>
      <c r="E139" s="125" t="str">
        <f t="shared" ca="1" si="1"/>
        <v/>
      </c>
      <c r="F139" s="125">
        <f t="shared" ca="1" si="1"/>
        <v>0</v>
      </c>
      <c r="G139" s="125">
        <f t="shared" ca="1" si="1"/>
        <v>0</v>
      </c>
      <c r="H139" s="125">
        <f t="shared" ca="1" si="1"/>
        <v>0</v>
      </c>
      <c r="I139" s="125">
        <f t="shared" ca="1" si="1"/>
        <v>0</v>
      </c>
      <c r="J139" s="125" t="str">
        <f t="shared" ca="1" si="1"/>
        <v/>
      </c>
      <c r="K139" s="125" t="str">
        <f t="shared" ca="1" si="1"/>
        <v/>
      </c>
      <c r="L139" s="125" t="str">
        <f t="shared" ca="1" si="1"/>
        <v/>
      </c>
      <c r="M139" s="125" t="str">
        <f t="shared" ca="1" si="1"/>
        <v/>
      </c>
      <c r="N139" s="125" t="str">
        <f t="shared" ca="1" si="2"/>
        <v/>
      </c>
      <c r="O139" s="125" t="str">
        <f t="shared" ca="1" si="2"/>
        <v/>
      </c>
      <c r="P139" s="125" t="str">
        <f t="shared" ca="1" si="2"/>
        <v/>
      </c>
      <c r="Q139" s="125" t="str">
        <f t="shared" ca="1" si="2"/>
        <v/>
      </c>
      <c r="R139" s="125" t="str">
        <f t="shared" ca="1" si="2"/>
        <v/>
      </c>
      <c r="S139" s="125" t="str">
        <f t="shared" ca="1" si="2"/>
        <v/>
      </c>
      <c r="T139" s="125" t="str">
        <f t="shared" ca="1" si="2"/>
        <v/>
      </c>
    </row>
    <row r="140" spans="2:20" ht="14" hidden="1">
      <c r="B140" s="124">
        <v>9</v>
      </c>
      <c r="C140" s="89">
        <f t="shared" ca="1" si="0"/>
        <v>23</v>
      </c>
      <c r="D140" s="125" t="str">
        <f t="shared" ca="1" si="1"/>
        <v/>
      </c>
      <c r="E140" s="125" t="str">
        <f t="shared" ca="1" si="1"/>
        <v/>
      </c>
      <c r="F140" s="125">
        <f t="shared" ca="1" si="1"/>
        <v>0</v>
      </c>
      <c r="G140" s="125">
        <f t="shared" ca="1" si="1"/>
        <v>0</v>
      </c>
      <c r="H140" s="125">
        <f t="shared" ca="1" si="1"/>
        <v>0</v>
      </c>
      <c r="I140" s="125">
        <f t="shared" ca="1" si="1"/>
        <v>0</v>
      </c>
      <c r="J140" s="125" t="str">
        <f t="shared" ca="1" si="1"/>
        <v/>
      </c>
      <c r="K140" s="125" t="str">
        <f t="shared" ca="1" si="1"/>
        <v/>
      </c>
      <c r="L140" s="125" t="str">
        <f t="shared" ca="1" si="1"/>
        <v/>
      </c>
      <c r="M140" s="125" t="str">
        <f t="shared" ca="1" si="1"/>
        <v/>
      </c>
      <c r="N140" s="125" t="str">
        <f t="shared" ca="1" si="2"/>
        <v/>
      </c>
      <c r="O140" s="125" t="str">
        <f t="shared" ca="1" si="2"/>
        <v/>
      </c>
      <c r="P140" s="125" t="str">
        <f t="shared" ca="1" si="2"/>
        <v/>
      </c>
      <c r="Q140" s="125" t="str">
        <f t="shared" ca="1" si="2"/>
        <v/>
      </c>
      <c r="R140" s="125" t="str">
        <f t="shared" ca="1" si="2"/>
        <v/>
      </c>
      <c r="S140" s="125" t="str">
        <f t="shared" ca="1" si="2"/>
        <v/>
      </c>
      <c r="T140" s="125" t="str">
        <f t="shared" ca="1" si="2"/>
        <v/>
      </c>
    </row>
    <row r="141" spans="2:20" ht="14" hidden="1">
      <c r="B141" s="124">
        <v>10</v>
      </c>
      <c r="C141" s="89">
        <f t="shared" ca="1" si="0"/>
        <v>24</v>
      </c>
      <c r="D141" s="125" t="str">
        <f t="shared" ref="D141:M148" ca="1" si="3">IF(ISERROR(VLOOKUP($B141,TOV,D$130,0)),"",VLOOKUP($B141,TOV,D$130,0))</f>
        <v/>
      </c>
      <c r="E141" s="125" t="str">
        <f t="shared" ca="1" si="3"/>
        <v/>
      </c>
      <c r="F141" s="125">
        <f t="shared" ca="1" si="3"/>
        <v>0</v>
      </c>
      <c r="G141" s="125">
        <f t="shared" ca="1" si="3"/>
        <v>0</v>
      </c>
      <c r="H141" s="125">
        <f t="shared" ca="1" si="3"/>
        <v>0</v>
      </c>
      <c r="I141" s="125">
        <f t="shared" ca="1" si="3"/>
        <v>0</v>
      </c>
      <c r="J141" s="125" t="str">
        <f t="shared" ca="1" si="3"/>
        <v/>
      </c>
      <c r="K141" s="125" t="str">
        <f t="shared" ca="1" si="3"/>
        <v/>
      </c>
      <c r="L141" s="125" t="str">
        <f t="shared" ca="1" si="3"/>
        <v/>
      </c>
      <c r="M141" s="125" t="str">
        <f t="shared" ca="1" si="3"/>
        <v/>
      </c>
      <c r="N141" s="125" t="str">
        <f t="shared" ref="N141:T148" ca="1" si="4">IF(ISERROR(VLOOKUP($B141,TOV,N$130,0)),"",VLOOKUP($B141,TOV,N$130,0))</f>
        <v/>
      </c>
      <c r="O141" s="125" t="str">
        <f t="shared" ca="1" si="4"/>
        <v/>
      </c>
      <c r="P141" s="125" t="str">
        <f t="shared" ca="1" si="4"/>
        <v/>
      </c>
      <c r="Q141" s="125" t="str">
        <f t="shared" ca="1" si="4"/>
        <v/>
      </c>
      <c r="R141" s="125" t="str">
        <f t="shared" ca="1" si="4"/>
        <v/>
      </c>
      <c r="S141" s="125" t="str">
        <f t="shared" ca="1" si="4"/>
        <v/>
      </c>
      <c r="T141" s="125" t="str">
        <f t="shared" ca="1" si="4"/>
        <v/>
      </c>
    </row>
    <row r="142" spans="2:20" ht="14" hidden="1">
      <c r="B142" s="124">
        <v>20</v>
      </c>
      <c r="C142" s="89">
        <f t="shared" ca="1" si="0"/>
        <v>34</v>
      </c>
      <c r="D142" s="125" t="str">
        <f t="shared" ca="1" si="3"/>
        <v/>
      </c>
      <c r="E142" s="125" t="str">
        <f t="shared" ca="1" si="3"/>
        <v/>
      </c>
      <c r="F142" s="125">
        <f t="shared" ca="1" si="3"/>
        <v>0</v>
      </c>
      <c r="G142" s="125">
        <f t="shared" ca="1" si="3"/>
        <v>0</v>
      </c>
      <c r="H142" s="125">
        <f t="shared" ca="1" si="3"/>
        <v>0</v>
      </c>
      <c r="I142" s="125">
        <f t="shared" ca="1" si="3"/>
        <v>0</v>
      </c>
      <c r="J142" s="125" t="str">
        <f t="shared" ca="1" si="3"/>
        <v/>
      </c>
      <c r="K142" s="125" t="str">
        <f t="shared" ca="1" si="3"/>
        <v/>
      </c>
      <c r="L142" s="125" t="str">
        <f t="shared" ca="1" si="3"/>
        <v/>
      </c>
      <c r="M142" s="125" t="str">
        <f t="shared" ca="1" si="3"/>
        <v/>
      </c>
      <c r="N142" s="125" t="str">
        <f t="shared" ca="1" si="4"/>
        <v/>
      </c>
      <c r="O142" s="125" t="str">
        <f t="shared" ca="1" si="4"/>
        <v/>
      </c>
      <c r="P142" s="125" t="str">
        <f t="shared" ca="1" si="4"/>
        <v/>
      </c>
      <c r="Q142" s="125" t="str">
        <f t="shared" ca="1" si="4"/>
        <v/>
      </c>
      <c r="R142" s="125" t="str">
        <f t="shared" ca="1" si="4"/>
        <v/>
      </c>
      <c r="S142" s="125" t="str">
        <f t="shared" ca="1" si="4"/>
        <v/>
      </c>
      <c r="T142" s="125" t="str">
        <f t="shared" ca="1" si="4"/>
        <v/>
      </c>
    </row>
    <row r="143" spans="2:20" ht="14" hidden="1">
      <c r="B143" s="124">
        <v>30</v>
      </c>
      <c r="C143" s="89">
        <f t="shared" ca="1" si="0"/>
        <v>44</v>
      </c>
      <c r="D143" s="125" t="str">
        <f t="shared" ca="1" si="3"/>
        <v/>
      </c>
      <c r="E143" s="125" t="str">
        <f t="shared" ca="1" si="3"/>
        <v/>
      </c>
      <c r="F143" s="125">
        <f t="shared" ca="1" si="3"/>
        <v>0</v>
      </c>
      <c r="G143" s="125">
        <f t="shared" ca="1" si="3"/>
        <v>0</v>
      </c>
      <c r="H143" s="125">
        <f t="shared" ca="1" si="3"/>
        <v>0</v>
      </c>
      <c r="I143" s="125">
        <f t="shared" ca="1" si="3"/>
        <v>0</v>
      </c>
      <c r="J143" s="125" t="str">
        <f t="shared" ca="1" si="3"/>
        <v/>
      </c>
      <c r="K143" s="125" t="str">
        <f t="shared" ca="1" si="3"/>
        <v/>
      </c>
      <c r="L143" s="125" t="str">
        <f t="shared" ca="1" si="3"/>
        <v/>
      </c>
      <c r="M143" s="125" t="str">
        <f t="shared" ca="1" si="3"/>
        <v/>
      </c>
      <c r="N143" s="125" t="str">
        <f t="shared" ca="1" si="4"/>
        <v/>
      </c>
      <c r="O143" s="125" t="str">
        <f t="shared" ca="1" si="4"/>
        <v/>
      </c>
      <c r="P143" s="125" t="str">
        <f t="shared" ca="1" si="4"/>
        <v/>
      </c>
      <c r="Q143" s="125" t="str">
        <f t="shared" ca="1" si="4"/>
        <v/>
      </c>
      <c r="R143" s="125" t="str">
        <f t="shared" ca="1" si="4"/>
        <v/>
      </c>
      <c r="S143" s="125" t="str">
        <f t="shared" ca="1" si="4"/>
        <v/>
      </c>
      <c r="T143" s="125" t="str">
        <f t="shared" ca="1" si="4"/>
        <v/>
      </c>
    </row>
    <row r="144" spans="2:20" ht="14" hidden="1">
      <c r="B144" s="124">
        <v>40</v>
      </c>
      <c r="C144" s="89">
        <f t="shared" ca="1" si="0"/>
        <v>54</v>
      </c>
      <c r="D144" s="125" t="str">
        <f t="shared" ca="1" si="3"/>
        <v/>
      </c>
      <c r="E144" s="125" t="str">
        <f t="shared" ca="1" si="3"/>
        <v/>
      </c>
      <c r="F144" s="125">
        <f t="shared" ca="1" si="3"/>
        <v>0</v>
      </c>
      <c r="G144" s="125">
        <f t="shared" ca="1" si="3"/>
        <v>0</v>
      </c>
      <c r="H144" s="125">
        <f t="shared" ca="1" si="3"/>
        <v>0</v>
      </c>
      <c r="I144" s="125">
        <f t="shared" ca="1" si="3"/>
        <v>0</v>
      </c>
      <c r="J144" s="125" t="str">
        <f t="shared" ca="1" si="3"/>
        <v/>
      </c>
      <c r="K144" s="125" t="str">
        <f t="shared" ca="1" si="3"/>
        <v/>
      </c>
      <c r="L144" s="125" t="str">
        <f t="shared" ca="1" si="3"/>
        <v/>
      </c>
      <c r="M144" s="125" t="str">
        <f t="shared" ca="1" si="3"/>
        <v/>
      </c>
      <c r="N144" s="125" t="str">
        <f t="shared" ca="1" si="4"/>
        <v/>
      </c>
      <c r="O144" s="125" t="str">
        <f t="shared" ca="1" si="4"/>
        <v/>
      </c>
      <c r="P144" s="125" t="str">
        <f t="shared" ca="1" si="4"/>
        <v/>
      </c>
      <c r="Q144" s="125" t="str">
        <f t="shared" ca="1" si="4"/>
        <v/>
      </c>
      <c r="R144" s="125" t="str">
        <f t="shared" ca="1" si="4"/>
        <v/>
      </c>
      <c r="S144" s="125" t="str">
        <f t="shared" ca="1" si="4"/>
        <v/>
      </c>
      <c r="T144" s="125" t="str">
        <f t="shared" ca="1" si="4"/>
        <v/>
      </c>
    </row>
    <row r="145" spans="2:20" ht="14" hidden="1">
      <c r="B145" s="124">
        <v>50</v>
      </c>
      <c r="C145" s="89">
        <f t="shared" ca="1" si="0"/>
        <v>64</v>
      </c>
      <c r="D145" s="125" t="str">
        <f t="shared" ca="1" si="3"/>
        <v/>
      </c>
      <c r="E145" s="125" t="str">
        <f t="shared" ca="1" si="3"/>
        <v/>
      </c>
      <c r="F145" s="125">
        <f t="shared" ca="1" si="3"/>
        <v>0</v>
      </c>
      <c r="G145" s="125">
        <f t="shared" ca="1" si="3"/>
        <v>0</v>
      </c>
      <c r="H145" s="125">
        <f t="shared" ca="1" si="3"/>
        <v>0</v>
      </c>
      <c r="I145" s="125">
        <f t="shared" ca="1" si="3"/>
        <v>0</v>
      </c>
      <c r="J145" s="125" t="str">
        <f t="shared" ca="1" si="3"/>
        <v/>
      </c>
      <c r="K145" s="125" t="str">
        <f t="shared" ca="1" si="3"/>
        <v/>
      </c>
      <c r="L145" s="125" t="str">
        <f t="shared" ca="1" si="3"/>
        <v/>
      </c>
      <c r="M145" s="125" t="str">
        <f t="shared" ca="1" si="3"/>
        <v/>
      </c>
      <c r="N145" s="125" t="str">
        <f t="shared" ca="1" si="4"/>
        <v/>
      </c>
      <c r="O145" s="125" t="str">
        <f t="shared" ca="1" si="4"/>
        <v/>
      </c>
      <c r="P145" s="125" t="str">
        <f t="shared" ca="1" si="4"/>
        <v/>
      </c>
      <c r="Q145" s="125" t="str">
        <f t="shared" ca="1" si="4"/>
        <v/>
      </c>
      <c r="R145" s="125" t="str">
        <f t="shared" ca="1" si="4"/>
        <v/>
      </c>
      <c r="S145" s="125" t="str">
        <f t="shared" ca="1" si="4"/>
        <v/>
      </c>
      <c r="T145" s="125" t="str">
        <f t="shared" ca="1" si="4"/>
        <v/>
      </c>
    </row>
    <row r="146" spans="2:20" ht="14" hidden="1">
      <c r="B146" s="124">
        <v>60</v>
      </c>
      <c r="C146" s="89">
        <f t="shared" ca="1" si="0"/>
        <v>74</v>
      </c>
      <c r="D146" s="125" t="str">
        <f t="shared" ca="1" si="3"/>
        <v/>
      </c>
      <c r="E146" s="125" t="str">
        <f t="shared" ca="1" si="3"/>
        <v/>
      </c>
      <c r="F146" s="125">
        <f t="shared" ca="1" si="3"/>
        <v>0</v>
      </c>
      <c r="G146" s="125">
        <f t="shared" ca="1" si="3"/>
        <v>0</v>
      </c>
      <c r="H146" s="125">
        <f t="shared" ca="1" si="3"/>
        <v>0</v>
      </c>
      <c r="I146" s="125">
        <f t="shared" ca="1" si="3"/>
        <v>0</v>
      </c>
      <c r="J146" s="125" t="str">
        <f t="shared" ca="1" si="3"/>
        <v/>
      </c>
      <c r="K146" s="125" t="str">
        <f t="shared" ca="1" si="3"/>
        <v/>
      </c>
      <c r="L146" s="125" t="str">
        <f t="shared" ca="1" si="3"/>
        <v/>
      </c>
      <c r="M146" s="125" t="str">
        <f t="shared" ca="1" si="3"/>
        <v/>
      </c>
      <c r="N146" s="125" t="str">
        <f t="shared" ca="1" si="4"/>
        <v/>
      </c>
      <c r="O146" s="125" t="str">
        <f t="shared" ca="1" si="4"/>
        <v/>
      </c>
      <c r="P146" s="125" t="str">
        <f t="shared" ca="1" si="4"/>
        <v/>
      </c>
      <c r="Q146" s="125" t="str">
        <f t="shared" ca="1" si="4"/>
        <v/>
      </c>
      <c r="R146" s="125" t="str">
        <f t="shared" ca="1" si="4"/>
        <v/>
      </c>
      <c r="S146" s="125" t="str">
        <f t="shared" ca="1" si="4"/>
        <v/>
      </c>
      <c r="T146" s="125" t="str">
        <f t="shared" ca="1" si="4"/>
        <v/>
      </c>
    </row>
    <row r="147" spans="2:20" ht="14" hidden="1">
      <c r="B147" s="124">
        <v>70</v>
      </c>
      <c r="C147" s="89">
        <f t="shared" ca="1" si="0"/>
        <v>84</v>
      </c>
      <c r="D147" s="125" t="str">
        <f t="shared" ca="1" si="3"/>
        <v/>
      </c>
      <c r="E147" s="125" t="str">
        <f t="shared" ca="1" si="3"/>
        <v/>
      </c>
      <c r="F147" s="125">
        <f t="shared" ca="1" si="3"/>
        <v>0</v>
      </c>
      <c r="G147" s="125">
        <f t="shared" ca="1" si="3"/>
        <v>0</v>
      </c>
      <c r="H147" s="125">
        <f t="shared" ca="1" si="3"/>
        <v>0</v>
      </c>
      <c r="I147" s="125">
        <f t="shared" ca="1" si="3"/>
        <v>0</v>
      </c>
      <c r="J147" s="125" t="str">
        <f t="shared" ca="1" si="3"/>
        <v/>
      </c>
      <c r="K147" s="125" t="str">
        <f t="shared" ca="1" si="3"/>
        <v/>
      </c>
      <c r="L147" s="125" t="str">
        <f t="shared" ca="1" si="3"/>
        <v/>
      </c>
      <c r="M147" s="125" t="str">
        <f t="shared" ca="1" si="3"/>
        <v/>
      </c>
      <c r="N147" s="125" t="str">
        <f t="shared" ca="1" si="4"/>
        <v/>
      </c>
      <c r="O147" s="125" t="str">
        <f t="shared" ca="1" si="4"/>
        <v/>
      </c>
      <c r="P147" s="125" t="str">
        <f t="shared" ca="1" si="4"/>
        <v/>
      </c>
      <c r="Q147" s="125" t="str">
        <f t="shared" ca="1" si="4"/>
        <v/>
      </c>
      <c r="R147" s="125" t="str">
        <f t="shared" ca="1" si="4"/>
        <v/>
      </c>
      <c r="S147" s="125" t="str">
        <f t="shared" ca="1" si="4"/>
        <v/>
      </c>
      <c r="T147" s="125" t="str">
        <f t="shared" ca="1" si="4"/>
        <v/>
      </c>
    </row>
    <row r="148" spans="2:20" ht="14" hidden="1">
      <c r="B148" s="124">
        <v>76</v>
      </c>
      <c r="C148" s="89" t="e">
        <f t="shared" ca="1" si="0"/>
        <v>#N/A</v>
      </c>
      <c r="D148" s="125" t="str">
        <f t="shared" ca="1" si="3"/>
        <v/>
      </c>
      <c r="E148" s="125" t="str">
        <f t="shared" ca="1" si="3"/>
        <v/>
      </c>
      <c r="F148" s="125" t="str">
        <f t="shared" ca="1" si="3"/>
        <v/>
      </c>
      <c r="G148" s="125" t="str">
        <f t="shared" ca="1" si="3"/>
        <v/>
      </c>
      <c r="H148" s="125" t="str">
        <f t="shared" ca="1" si="3"/>
        <v/>
      </c>
      <c r="I148" s="125" t="str">
        <f t="shared" ca="1" si="3"/>
        <v/>
      </c>
      <c r="J148" s="125" t="str">
        <f t="shared" ca="1" si="3"/>
        <v/>
      </c>
      <c r="K148" s="125" t="str">
        <f t="shared" ca="1" si="3"/>
        <v/>
      </c>
      <c r="L148" s="125" t="str">
        <f t="shared" ca="1" si="3"/>
        <v/>
      </c>
      <c r="M148" s="125" t="str">
        <f t="shared" ca="1" si="3"/>
        <v/>
      </c>
      <c r="N148" s="125" t="str">
        <f t="shared" ca="1" si="4"/>
        <v/>
      </c>
      <c r="O148" s="125" t="str">
        <f t="shared" ca="1" si="4"/>
        <v/>
      </c>
      <c r="P148" s="125" t="str">
        <f t="shared" ca="1" si="4"/>
        <v/>
      </c>
      <c r="Q148" s="125" t="str">
        <f t="shared" ca="1" si="4"/>
        <v/>
      </c>
      <c r="R148" s="125" t="str">
        <f t="shared" ca="1" si="4"/>
        <v/>
      </c>
      <c r="S148" s="125" t="str">
        <f t="shared" ca="1" si="4"/>
        <v/>
      </c>
      <c r="T148" s="125" t="str">
        <f t="shared" ca="1" si="4"/>
        <v/>
      </c>
    </row>
  </sheetData>
  <sheetProtection algorithmName="SHA-512" hashValue="HmiR0JnPqD5EEDuPZJ7TYPvCDopbYBoS9jAqTeioxSpixm9c0/O64k2U5xrpe+RfHxjOtx1hgVlN65ooIoyOAA==" saltValue="1hI/tvgnIcmsWIhQEsMQ8A==" spinCount="100000" sheet="1" objects="1" scenarios="1"/>
  <mergeCells count="11">
    <mergeCell ref="AD2:AD3"/>
    <mergeCell ref="AC2:AC3"/>
    <mergeCell ref="N2:R2"/>
    <mergeCell ref="D2:E2"/>
    <mergeCell ref="F2:J2"/>
    <mergeCell ref="X2:X3"/>
    <mergeCell ref="S2:S3"/>
    <mergeCell ref="T2:T3"/>
    <mergeCell ref="U2:U3"/>
    <mergeCell ref="V2:V3"/>
    <mergeCell ref="W2:W3"/>
  </mergeCells>
  <phoneticPr fontId="17" type="noConversion"/>
  <conditionalFormatting sqref="B5:B114">
    <cfRule type="expression" dxfId="30" priority="3" stopIfTrue="1">
      <formula>$A$52=1</formula>
    </cfRule>
  </conditionalFormatting>
  <conditionalFormatting sqref="B125 B128:B130">
    <cfRule type="expression" dxfId="29" priority="6" stopIfTrue="1">
      <formula>$A$52=1</formula>
    </cfRule>
  </conditionalFormatting>
  <dataValidations count="2">
    <dataValidation allowBlank="1" showInputMessage="1" showErrorMessage="1" prompt="=&quot;ㄧ次給付_x000a_(預估值)&quot;&amp;IF(計算!$G$6=計算!$P$5,&quot;_x000a_(A + D)X&quot;&amp;TEXT(PYO,&quot;0%&quot;),&quot;_x000a_1~&quot;&amp;計算!$P$4&amp;&quot;年 (A + D)X&quot;&amp;TEXT(PYO,&quot;0%&quot;)&amp;&quot;_x000a_&quot;&amp;計算!$P$4+1&amp;&quot;年後( A + D)&quot;&amp;TEXT(PYO,&quot;0%&quot;)&amp;&quot;+ C&quot;)" sqref="Y3" xr:uid="{00000000-0002-0000-0800-000000000000}"/>
    <dataValidation allowBlank="1" showInputMessage="1" showErrorMessage="1" prompt="=&quot;分期給付(年)_x000a_給付&quot;&amp;PY!$C$6&amp;&quot;年_x000a_(預估值)&quot;&amp;IF(計算!$G$6=計算!$P$5,&quot;_x000a_(A + D) X &quot;&amp;TEXT(PYY,&quot;0%&quot;),&quot;_x000a_1~&quot;&amp;計算!$P$4&amp;&quot;年 (A + D) X &quot;&amp;TEXT(PYY,&quot;0%&quot;)&amp;&quot;_x000a_&quot;&amp;計算!$P$4+1&amp;&quot;年後( A + D) X &quot;&amp;TEXT(PYY,&quot;0%&quot;)&amp;&quot;+ C&quot;)" sqref="Z3" xr:uid="{00000000-0002-0000-0800-000001000000}"/>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F56A-F541-48BB-A229-420ABE2D0609}">
  <sheetPr>
    <pageSetUpPr fitToPage="1"/>
  </sheetPr>
  <dimension ref="A1:BK570"/>
  <sheetViews>
    <sheetView topLeftCell="XFD1048576" zoomScaleNormal="100" workbookViewId="0"/>
  </sheetViews>
  <sheetFormatPr baseColWidth="10" defaultColWidth="0" defaultRowHeight="15" zeroHeight="1"/>
  <cols>
    <col min="1" max="1" width="2.3984375" style="27" hidden="1" customWidth="1"/>
    <col min="2" max="2" width="35.59765625" style="26" hidden="1" customWidth="1"/>
    <col min="3" max="3" width="23.796875" style="26" hidden="1" customWidth="1"/>
    <col min="4" max="4" width="30.59765625" style="27" hidden="1" customWidth="1"/>
    <col min="5" max="5" width="18.59765625" style="27" hidden="1" customWidth="1"/>
    <col min="6" max="6" width="13.59765625" style="27" hidden="1" customWidth="1"/>
    <col min="7" max="7" width="14" style="27" hidden="1" customWidth="1"/>
    <col min="8" max="8" width="20.796875" style="27" hidden="1" customWidth="1"/>
    <col min="9" max="9" width="19" style="27" hidden="1" customWidth="1"/>
    <col min="10" max="10" width="21.19921875" style="27" hidden="1" customWidth="1"/>
    <col min="11" max="11" width="16.796875" style="27" hidden="1" customWidth="1"/>
    <col min="12" max="12" width="17.19921875" style="27" hidden="1" customWidth="1"/>
    <col min="13" max="13" width="16.796875" style="27" hidden="1" customWidth="1"/>
    <col min="14" max="14" width="16.59765625" style="27" hidden="1" customWidth="1"/>
    <col min="15" max="15" width="15.19921875" style="27" hidden="1" customWidth="1"/>
    <col min="16" max="18" width="12" style="27" hidden="1" customWidth="1"/>
    <col min="19" max="19" width="21.796875" style="27" hidden="1" customWidth="1"/>
    <col min="20" max="20" width="21" style="27" hidden="1" customWidth="1"/>
    <col min="21" max="21" width="33.3984375" style="27" hidden="1" customWidth="1"/>
    <col min="22" max="22" width="33" style="27" hidden="1" customWidth="1"/>
    <col min="23" max="23" width="31.3984375" style="27" hidden="1" customWidth="1"/>
    <col min="24" max="26" width="12" style="27" hidden="1" customWidth="1"/>
    <col min="27" max="27" width="16.796875" style="27" hidden="1" customWidth="1"/>
    <col min="28" max="28" width="22.3984375" style="27" hidden="1" customWidth="1"/>
    <col min="29" max="29" width="31.3984375" style="27" hidden="1" customWidth="1"/>
    <col min="30" max="30" width="20" style="27" hidden="1" customWidth="1"/>
    <col min="31" max="31" width="20.3984375" style="27" hidden="1" customWidth="1"/>
    <col min="32" max="32" width="17.19921875" style="27" hidden="1" customWidth="1"/>
    <col min="33" max="33" width="12.19921875" style="27" hidden="1" customWidth="1"/>
    <col min="34" max="35" width="17.3984375" style="27" hidden="1" customWidth="1"/>
    <col min="36" max="58" width="12" style="27" hidden="1" customWidth="1"/>
    <col min="59" max="63" width="0" style="27" hidden="1" customWidth="1"/>
    <col min="64" max="16384" width="12" style="27" hidden="1"/>
  </cols>
  <sheetData>
    <row r="1" spans="2:63" ht="16.5" hidden="1" customHeight="1">
      <c r="B1" s="26" t="s">
        <v>1205</v>
      </c>
      <c r="S1" s="27" t="s">
        <v>1147</v>
      </c>
      <c r="Y1" s="1"/>
      <c r="Z1" s="1"/>
      <c r="AA1" s="37" t="s">
        <v>1206</v>
      </c>
      <c r="AB1" s="310" t="s">
        <v>1207</v>
      </c>
      <c r="AC1" s="576" t="str">
        <f>輸入頁!$E$8</f>
        <v>客戶</v>
      </c>
      <c r="BA1" s="316" t="s">
        <v>844</v>
      </c>
      <c r="BH1" s="27" t="s">
        <v>845</v>
      </c>
    </row>
    <row r="2" spans="2:63" ht="16.5" hidden="1" customHeight="1">
      <c r="B2" s="670">
        <v>1</v>
      </c>
      <c r="C2" s="310" t="s">
        <v>305</v>
      </c>
      <c r="D2" s="310" t="s">
        <v>306</v>
      </c>
      <c r="E2" s="310" t="s">
        <v>307</v>
      </c>
      <c r="H2" s="310" t="s">
        <v>308</v>
      </c>
      <c r="I2" s="310">
        <v>1</v>
      </c>
      <c r="J2" s="312">
        <v>1</v>
      </c>
      <c r="K2" s="312">
        <v>1</v>
      </c>
      <c r="N2" s="1"/>
      <c r="O2"/>
      <c r="R2" s="1"/>
      <c r="S2" s="446" t="s">
        <v>1152</v>
      </c>
      <c r="T2" s="447" t="s">
        <v>1153</v>
      </c>
      <c r="U2" s="445" t="s">
        <v>1154</v>
      </c>
      <c r="V2" s="445" t="s">
        <v>1155</v>
      </c>
      <c r="W2" s="445" t="s">
        <v>1156</v>
      </c>
      <c r="X2" s="1"/>
      <c r="Z2" s="203"/>
      <c r="AA2" s="203"/>
      <c r="AB2" s="310" t="s">
        <v>304</v>
      </c>
      <c r="AC2" s="310" t="s">
        <v>305</v>
      </c>
      <c r="AD2" s="310" t="s">
        <v>306</v>
      </c>
      <c r="AE2" s="310" t="s">
        <v>307</v>
      </c>
      <c r="AL2" s="577" t="str">
        <f>$C$69</f>
        <v>銀保</v>
      </c>
      <c r="BA2" s="312" t="s">
        <v>38</v>
      </c>
      <c r="BB2" s="312" t="s">
        <v>50</v>
      </c>
      <c r="BC2" s="312" t="s">
        <v>51</v>
      </c>
      <c r="BD2" s="310" t="s">
        <v>661</v>
      </c>
      <c r="BE2" s="312" t="s">
        <v>662</v>
      </c>
      <c r="BF2" s="312" t="s">
        <v>663</v>
      </c>
      <c r="BG2" s="1"/>
      <c r="BH2" s="578" t="s">
        <v>594</v>
      </c>
      <c r="BI2" s="578">
        <f>$C$21</f>
        <v>1</v>
      </c>
      <c r="BJ2" s="203"/>
      <c r="BK2" s="203"/>
    </row>
    <row r="3" spans="2:63" ht="16.5" hidden="1" customHeight="1">
      <c r="B3" s="310">
        <f>IF(C4=0,0,VALUE(MID(C4,IF(LEN(C4)=7,4,3),2)))</f>
        <v>1</v>
      </c>
      <c r="C3" s="579">
        <f ca="1">IF(input_s!H8=1,TODAY(),IF(TODAY()&lt;DATE(2026,7,20),DATE(2026,7,20),TODAY()))</f>
        <v>46259</v>
      </c>
      <c r="D3" s="580">
        <f>IF(C4=0,0,DATE(LEFT(C4,IF(LEN(C4)=7,3,2))+1911,MID(C4,IF(LEN(C4)=7,4,3),2),RIGHT(C4,2)))</f>
        <v>40909</v>
      </c>
      <c r="E3" s="405">
        <f>IF(E4=1,0,IF(OR(B3=1,B3=3,B3=5,B3=7,B3=8,B3=10,B3=12),31,IF(OR(B3=4,B3=6,B3=9,B3=11),30,IF(OR(AND(B3=2,YEAR(D3)=2000),AND(B3=2,YEAR(D3)/4=INT(YEAR(D3)/4),YEAR(D3)/400&lt;&gt;INT(YEAR(D3)/400))),29,28))))</f>
        <v>31</v>
      </c>
      <c r="F3" s="443">
        <f ca="1">YEAR(TODAY())-1911</f>
        <v>115</v>
      </c>
      <c r="H3" s="310" t="s">
        <v>309</v>
      </c>
      <c r="I3" s="310">
        <v>1</v>
      </c>
      <c r="J3" s="312">
        <v>1</v>
      </c>
      <c r="K3" s="312">
        <v>1</v>
      </c>
      <c r="N3" s="1"/>
      <c r="O3" s="7"/>
      <c r="Q3" s="1"/>
      <c r="S3" s="312" t="s">
        <v>1148</v>
      </c>
      <c r="T3" s="310" t="s">
        <v>308</v>
      </c>
      <c r="U3" s="448" t="str">
        <f>IF($C$21=1,"匯款","外幣匯款")</f>
        <v>匯款</v>
      </c>
      <c r="V3" s="312" t="s">
        <v>70</v>
      </c>
      <c r="W3" s="312" t="s">
        <v>1151</v>
      </c>
      <c r="Y3" s="1"/>
      <c r="Z3" s="203"/>
      <c r="AA3" s="203"/>
      <c r="AB3" s="310">
        <f>IF(AC4=0,0,VALUE(MID(AC4,IF(LEN(AC4)=7,4,3),2)))</f>
        <v>11</v>
      </c>
      <c r="AC3" s="581"/>
      <c r="AD3" s="582">
        <f>IF(AC4=0,0,DATE(LEFT(AC4,IF(LEN(AC4)=7,3,2))+1911,MID(AC4,IF(LEN(AC4)=7,4,3),2),RIGHT(AC4,2)))</f>
        <v>40118</v>
      </c>
      <c r="AE3" s="583">
        <f>IF(AE4=1,0,IF(OR(AB3=1,AB3=3,AB3=5,AB3=7,AB3=8,AB3=10,AB3=12),31,IF(OR(AB3=4,AB3=6,AB3=9,AB3=11),30,IF(OR(AND(AB3=2,YEAR(AD3)=2000),AND(AB3=2,YEAR(AD3)/4=INT(YEAR(AD3)/4),YEAR(AD3)/400&lt;&gt;INT(YEAR(AD3)/400))),29,28))))</f>
        <v>30</v>
      </c>
      <c r="AL3" s="434" t="s">
        <v>347</v>
      </c>
      <c r="AM3" s="434" t="s">
        <v>348</v>
      </c>
      <c r="AN3" s="434" t="s">
        <v>349</v>
      </c>
      <c r="AO3" s="434" t="s">
        <v>350</v>
      </c>
      <c r="AP3" s="434" t="s">
        <v>351</v>
      </c>
      <c r="AQ3" s="434"/>
      <c r="AR3" s="434"/>
      <c r="BA3" s="312" t="str">
        <f>PDSN1_1</f>
        <v>LTT</v>
      </c>
      <c r="BB3" s="310">
        <f>C16</f>
        <v>15</v>
      </c>
      <c r="BC3" s="310">
        <f>C15</f>
        <v>45</v>
      </c>
      <c r="BD3" s="310">
        <f ca="1">D57</f>
        <v>71</v>
      </c>
      <c r="BE3" s="584">
        <f ca="1">VLOOKUP($D$5,$H$75:$O$161,$BF$3,0)</f>
        <v>100</v>
      </c>
      <c r="BF3" s="584">
        <f>IF($C$18=1,6,7)</f>
        <v>7</v>
      </c>
      <c r="BG3" s="1"/>
      <c r="BH3" s="578" t="s">
        <v>60</v>
      </c>
      <c r="BI3" s="578">
        <f ca="1">$D$5</f>
        <v>15</v>
      </c>
      <c r="BJ3" s="203"/>
      <c r="BK3" s="203"/>
    </row>
    <row r="4" spans="2:63" ht="16.5" hidden="1" customHeight="1">
      <c r="B4" s="310" t="s">
        <v>306</v>
      </c>
      <c r="C4" s="585">
        <f>C10</f>
        <v>1010101</v>
      </c>
      <c r="D4" s="581">
        <f ca="1">DATE(YEAR(C3)-$C$15,MONTH(C3)-6,DAY(C3))</f>
        <v>29642</v>
      </c>
      <c r="E4" s="394" t="str">
        <f>IF(C4="",1,IF(OR(B3&lt;1,B3&gt;12),1,""))</f>
        <v/>
      </c>
      <c r="F4" s="443">
        <f ca="1">YEAR(D4)-1911</f>
        <v>70</v>
      </c>
      <c r="H4" s="310" t="s">
        <v>0</v>
      </c>
      <c r="I4" s="310">
        <v>1</v>
      </c>
      <c r="J4" s="312">
        <v>1</v>
      </c>
      <c r="K4" s="312">
        <v>1</v>
      </c>
      <c r="N4" s="1"/>
      <c r="O4" s="43"/>
      <c r="Q4" s="1"/>
      <c r="R4" s="1"/>
      <c r="S4" s="312" t="s">
        <v>1149</v>
      </c>
      <c r="T4" s="310" t="s">
        <v>309</v>
      </c>
      <c r="U4" s="448" t="s">
        <v>70</v>
      </c>
      <c r="V4" s="312" t="s">
        <v>72</v>
      </c>
      <c r="W4" s="312" t="s">
        <v>321</v>
      </c>
      <c r="Y4" s="1"/>
      <c r="Z4" s="203"/>
      <c r="AA4" s="315"/>
      <c r="AB4" s="310" t="s">
        <v>306</v>
      </c>
      <c r="AC4" s="586">
        <f>AC10</f>
        <v>981101</v>
      </c>
      <c r="AD4" s="581"/>
      <c r="AE4" s="583" t="str">
        <f>IF(AC4="",1,IF(OR(AB3&lt;1,AB3&gt;12),1,""))</f>
        <v/>
      </c>
      <c r="AK4" s="66" t="str">
        <f>IF(OR($AL4="",COUNTIF($AL$3:$AR$3,$AL$2)=0),"",MAX($AK$3:AK3)+1)</f>
        <v/>
      </c>
      <c r="AL4" s="66" t="s">
        <v>352</v>
      </c>
      <c r="BA4" s="312" t="s">
        <v>664</v>
      </c>
      <c r="BB4" s="584">
        <f ca="1">VLOOKUP($D$5,$H$72:$N$161,5,0)</f>
        <v>1000</v>
      </c>
      <c r="BC4" s="312" t="s">
        <v>665</v>
      </c>
      <c r="BD4" s="310">
        <f>C58</f>
        <v>1</v>
      </c>
      <c r="BE4" s="312"/>
      <c r="BF4" s="312"/>
      <c r="BG4" s="1"/>
      <c r="BH4" s="578" t="s">
        <v>595</v>
      </c>
      <c r="BI4" s="587">
        <f ca="1">$C$31</f>
        <v>11440</v>
      </c>
      <c r="BJ4" s="203"/>
      <c r="BK4" s="203"/>
    </row>
    <row r="5" spans="2:63" ht="16.5" hidden="1" customHeight="1">
      <c r="B5" s="310" t="s">
        <v>1</v>
      </c>
      <c r="C5" s="310" t="s">
        <v>2</v>
      </c>
      <c r="D5" s="588">
        <f ca="1">IF(SUM(E6,D10:D13)&gt;=1,"生日格式錯誤",IF(D3&gt;C3,"被保險人未出生",IF(MONTH(C3)&lt;B3,IF(OR(MONTH(C3)+12-B3&gt;6,AND(MONTH(C3)+12-B3=6,DAY(C3)&gt;DAY(D3))),YEAR(C3)-1-YEAR(D3)+1,IF(OR(MONTH(C3)+12-B3&lt;6,AND(MONTH(C3)+12-B3=6,DAY(C3)&lt;=DAY(D3))),YEAR(C3)-1-YEAR(D3))),IF(OR(MONTH(C3)-B3&gt;6,AND(MONTH(C3)-B3=6,DAY(C3)&gt;DAY(D3))),YEAR(C3)-YEAR(D3)+1,IF(OR(MONTH(C3)-B3&lt;=6,AND(MONTH(C3)-B3=6,DAY(C3)&lt;=DAY(D3))),YEAR(C3)-YEAR(D3),)))))</f>
        <v>15</v>
      </c>
      <c r="E5" s="394" t="str">
        <f>IF(C4="",1,IF(OR(VALUE(RIGHT(C4,2))&lt;1,VALUE(RIGHT(C4,2))&gt;E3),1,""))</f>
        <v/>
      </c>
      <c r="F5" s="443">
        <f ca="1">MONTH(D4)</f>
        <v>2</v>
      </c>
      <c r="H5" s="310" t="s">
        <v>3</v>
      </c>
      <c r="I5" s="310">
        <v>0.52</v>
      </c>
      <c r="J5" s="312">
        <v>0.5</v>
      </c>
      <c r="K5" s="312">
        <v>2</v>
      </c>
      <c r="N5" s="1"/>
      <c r="O5" s="43"/>
      <c r="Q5" s="1"/>
      <c r="R5" s="152"/>
      <c r="S5" s="1"/>
      <c r="T5" s="310" t="s">
        <v>0</v>
      </c>
      <c r="U5" s="448" t="s">
        <v>69</v>
      </c>
      <c r="V5" s="312" t="s">
        <v>69</v>
      </c>
      <c r="W5" s="449" t="s">
        <v>320</v>
      </c>
      <c r="X5" s="1"/>
      <c r="Y5" s="1"/>
      <c r="Z5" s="203"/>
      <c r="AA5" s="203"/>
      <c r="AB5" s="310" t="s">
        <v>1</v>
      </c>
      <c r="AC5" s="310" t="s">
        <v>2</v>
      </c>
      <c r="AD5" s="588">
        <f ca="1">IF(SUM(AE6,AD10:AD13)&gt;=1,"生日格式錯誤",IF(AD3&gt;C3,"被保險人未出生",IF(MONTH(C3)&lt;AB3,IF(OR(MONTH(C3)+12-AB3&gt;6,AND(MONTH(C3)+12-AB3=6,DAY(C3)&gt;DAY(AD3))),YEAR(C3)-1-YEAR(AD3)+1,IF(OR(MONTH(C3)+12-AB3&lt;6,AND(MONTH(C3)+12-AB3=6,DAY(C3)&lt;=DAY(AD3))),YEAR(C3)-1-YEAR(AD3))),IF(OR(MONTH(C3)-AB3&gt;6,AND(MONTH(C3)-AB3=6,DAY(C3)&gt;DAY(AD3))),YEAR(C3)-YEAR(AD3)+1,IF(OR(MONTH(C3)-AB3&lt;=6,AND(MONTH(C3)-AB3=6,DAY(C3)&lt;=DAY(AD3))),YEAR(C3)-YEAR(AD3),)))))</f>
        <v>17</v>
      </c>
      <c r="AE5" s="583" t="str">
        <f>IF(AC4="",1,IF(OR(VALUE(RIGHT(AC4,2))&lt;1,VALUE(RIGHT(AC4,2))&gt;AE3),1,""))</f>
        <v/>
      </c>
      <c r="AK5" s="66" t="str">
        <f>IF(OR($AL5="",COUNTIF($AL$3:$AR$3,$AL$2)=0),"",MAX($AK$3:AK4)+1)</f>
        <v/>
      </c>
      <c r="AL5" s="66" t="s">
        <v>353</v>
      </c>
      <c r="BA5" s="589" t="str">
        <f>IF($BA$8=1,IF($D$5&gt;70,"本保件可能需要體檢。",IF($BB$5&gt;$BB$4,"免體檢額度:新臺幣："&amp;TEXT($BB$4,"#,##0萬")&amp;"，本保件體檢保額:【投保金額*匯率*通算保額係數】=新臺幣："&amp;TEXT($BB$5,IF(OP!$E$28=0,"#,##0","#,##0.0"))&amp;"萬，本保件投保保額超過免體檢額度，可能需要體檢。","")),"")</f>
        <v/>
      </c>
      <c r="BB5" s="584">
        <f ca="1">$C$28*$BE$3*BD4</f>
        <v>100</v>
      </c>
      <c r="BC5" s="310"/>
      <c r="BD5" s="310"/>
      <c r="BE5" s="312"/>
      <c r="BF5" s="312"/>
      <c r="BG5" s="1"/>
      <c r="BH5" s="578" t="s">
        <v>596</v>
      </c>
      <c r="BI5" s="578">
        <f>IF($BI$2=2,$C$58,1)</f>
        <v>1</v>
      </c>
      <c r="BJ5" s="203"/>
      <c r="BK5" s="203"/>
    </row>
    <row r="6" spans="2:63" ht="16.5" hidden="1" customHeight="1">
      <c r="B6" s="310"/>
      <c r="C6" s="310" t="s">
        <v>4</v>
      </c>
      <c r="D6" s="588">
        <f ca="1">IF(SUM(E6,D10:D13)&gt;=1,"生日格式錯誤",IF(D3&gt;C3,"被保險人未出生", YEAR($C$3)-YEAR($D$3)-1+IF(OR(MONTH($D$3)&lt;MONTH($C$3),AND(MONTH($D$3)=MONTH($C$3),DAY($D$3)&lt;=DAY($C$3))),1,0)))</f>
        <v>14</v>
      </c>
      <c r="E6" s="583" t="str">
        <f>IF(OR(E4=1,E5=1),1,"")</f>
        <v/>
      </c>
      <c r="F6" s="443">
        <f ca="1">DAY(D4)</f>
        <v>25</v>
      </c>
      <c r="H6" s="310" t="s">
        <v>5</v>
      </c>
      <c r="I6" s="310">
        <v>0.26200000000000001</v>
      </c>
      <c r="J6" s="312">
        <v>0.25</v>
      </c>
      <c r="K6" s="312">
        <v>4</v>
      </c>
      <c r="N6" s="1"/>
      <c r="O6" s="7"/>
      <c r="Q6" s="1"/>
      <c r="R6" s="1"/>
      <c r="S6" s="153"/>
      <c r="T6" s="310" t="s">
        <v>3</v>
      </c>
      <c r="U6" s="448" t="s">
        <v>71</v>
      </c>
      <c r="V6" s="312" t="s">
        <v>71</v>
      </c>
      <c r="W6" s="312" t="s">
        <v>1150</v>
      </c>
      <c r="X6" s="153"/>
      <c r="Y6" s="1"/>
      <c r="Z6" s="203"/>
      <c r="AA6" s="203"/>
      <c r="AB6" s="310"/>
      <c r="AC6" s="310" t="s">
        <v>4</v>
      </c>
      <c r="AD6" s="588">
        <f ca="1">IF(SUM(AE6,AD10:AD13)&gt;=1,"生日格式錯誤",IF(AD3&gt;C3,"被保險人未出生",ROUNDDOWN(YEARFRAC(AD3,C3,1),0)))</f>
        <v>16</v>
      </c>
      <c r="AE6" s="583" t="str">
        <f>IF(OR(AE4=1,AE5=1),1,"")</f>
        <v/>
      </c>
      <c r="AK6" s="66" t="str">
        <f>IF(OR($AL6="",COUNTIF($AL$3:$AR$3,$AL$2)=0),"",MAX($AK$3:AK5)+1)</f>
        <v/>
      </c>
      <c r="AL6" s="66" t="s">
        <v>354</v>
      </c>
      <c r="BG6" s="1"/>
      <c r="BH6" s="578" t="s">
        <v>74</v>
      </c>
      <c r="BI6" s="578">
        <f>IF($C$32="躉繳",1,2)</f>
        <v>2</v>
      </c>
      <c r="BJ6" s="578" t="str">
        <f>$C$32</f>
        <v>年繳</v>
      </c>
      <c r="BK6" s="203"/>
    </row>
    <row r="7" spans="2:63" ht="16.5" hidden="1" customHeight="1">
      <c r="B7" s="310" t="s">
        <v>312</v>
      </c>
      <c r="C7" s="310">
        <f ca="1">(F4&amp;TEXT(F5,"00")&amp;TEXT(F6,"00"))*1</f>
        <v>700225</v>
      </c>
      <c r="D7" s="310" t="s">
        <v>313</v>
      </c>
      <c r="E7" s="443">
        <f ca="1">(YEAR(TODAY())-1911&amp;TEXT(MONTH(TODAY()),"00")&amp;TEXT(DAY(TODAY()),"00"))*1</f>
        <v>1150825</v>
      </c>
      <c r="H7" s="310" t="s">
        <v>6</v>
      </c>
      <c r="I7" s="310">
        <v>8.7999999999999995E-2</v>
      </c>
      <c r="J7" s="312">
        <v>8.3333329999999997E-2</v>
      </c>
      <c r="K7" s="312">
        <v>12</v>
      </c>
      <c r="N7" s="1"/>
      <c r="O7" s="7"/>
      <c r="Q7" s="1"/>
      <c r="R7" s="1"/>
      <c r="S7" s="153"/>
      <c r="T7" s="310" t="s">
        <v>5</v>
      </c>
      <c r="W7" s="153"/>
      <c r="X7" s="153"/>
      <c r="Y7" s="1"/>
      <c r="Z7" s="203"/>
      <c r="AA7" s="203"/>
      <c r="AB7" s="26"/>
      <c r="AC7" s="26"/>
      <c r="AD7" s="26"/>
      <c r="AK7" s="66" t="str">
        <f>IF(OR($AL7="",COUNTIF($AL$3:$AR$3,$AL$2)=0),"",MAX($AK$3:AK6)+1)</f>
        <v/>
      </c>
      <c r="AL7" s="66" t="s">
        <v>355</v>
      </c>
      <c r="BA7" s="27" t="s">
        <v>666</v>
      </c>
      <c r="BG7" s="1"/>
      <c r="BH7" s="203" t="s">
        <v>597</v>
      </c>
      <c r="BI7" s="203" t="str">
        <f ca="1">IF($BI$8="","否","是")</f>
        <v>否</v>
      </c>
      <c r="BJ7" s="203"/>
      <c r="BK7" s="203"/>
    </row>
    <row r="8" spans="2:63" ht="16.5" hidden="1" customHeight="1">
      <c r="K8" s="27" t="s">
        <v>330</v>
      </c>
      <c r="L8" s="27" t="s">
        <v>331</v>
      </c>
      <c r="M8" s="27">
        <f>COUNTA(L11:L12)</f>
        <v>2</v>
      </c>
      <c r="N8" s="1"/>
      <c r="O8" s="7"/>
      <c r="Q8" s="1"/>
      <c r="R8" s="1"/>
      <c r="S8" s="153"/>
      <c r="T8" s="310" t="s">
        <v>6</v>
      </c>
      <c r="X8" s="153"/>
      <c r="Y8" s="1"/>
      <c r="Z8" s="203"/>
      <c r="AA8" s="203"/>
      <c r="AB8" s="26"/>
      <c r="AC8" s="26"/>
      <c r="AK8" s="66" t="str">
        <f>IF(OR($AL8="",COUNTIF($AL$3:$AR$3,$AL$2)=0),"",MAX($AK$3:AK7)+1)</f>
        <v/>
      </c>
      <c r="AL8" s="66" t="s">
        <v>356</v>
      </c>
      <c r="BA8" s="590"/>
      <c r="BG8" s="591"/>
      <c r="BH8" s="203" t="s">
        <v>598</v>
      </c>
      <c r="BI8" s="578" t="str">
        <f ca="1">IF(ISERROR(VLOOKUP(1,$BH$11:$BI$13,2,0)),"",VLOOKUP(1,$BH$11:$BI$13,2,0))</f>
        <v/>
      </c>
      <c r="BJ8" s="203"/>
      <c r="BK8" s="203"/>
    </row>
    <row r="9" spans="2:63" ht="16.5" hidden="1" customHeight="1">
      <c r="B9" s="26" t="s">
        <v>7</v>
      </c>
      <c r="C9" s="310">
        <v>1</v>
      </c>
      <c r="D9" s="26" t="s">
        <v>8</v>
      </c>
      <c r="H9" s="312" t="s">
        <v>332</v>
      </c>
      <c r="I9" s="312" t="s">
        <v>333</v>
      </c>
      <c r="J9" s="312" t="s">
        <v>334</v>
      </c>
      <c r="K9" s="312" t="str">
        <f>K10&amp;M10&amp;K11&amp;M11&amp;K12&amp;M12&amp;K13&amp;M13&amp;D47</f>
        <v>繳費方式 1.0%折扣。</v>
      </c>
      <c r="L9" s="312" t="str">
        <f>"保費折扣"</f>
        <v>保費折扣</v>
      </c>
      <c r="M9" s="312" t="str">
        <f>L10&amp;M10&amp;L11&amp;M11&amp;L12&amp;M12&amp;L13&amp;"折扣"</f>
        <v>繳費方式。折扣</v>
      </c>
      <c r="O9" s="43"/>
      <c r="P9" s="1"/>
      <c r="Q9" s="1"/>
      <c r="R9" s="1"/>
      <c r="S9" s="153"/>
      <c r="T9" s="153"/>
      <c r="U9" s="153"/>
      <c r="W9" s="153"/>
      <c r="X9" s="153"/>
      <c r="Y9" s="591"/>
      <c r="Z9" s="203"/>
      <c r="AA9" s="203"/>
      <c r="AB9" s="26"/>
      <c r="AC9" s="26"/>
      <c r="AD9" s="26" t="s">
        <v>8</v>
      </c>
      <c r="AK9" s="66" t="str">
        <f>IF(OR($AL9="",COUNTIF($AL$3:$AR$3,$AL$2)=0),"",MAX($AK$3:AK8)+1)</f>
        <v/>
      </c>
      <c r="AL9" s="66" t="s">
        <v>357</v>
      </c>
      <c r="BG9" s="592"/>
      <c r="BH9" s="203" t="s">
        <v>599</v>
      </c>
      <c r="BI9" s="203"/>
      <c r="BJ9" s="203"/>
      <c r="BK9" s="203"/>
    </row>
    <row r="10" spans="2:63" ht="16.5" hidden="1" customHeight="1">
      <c r="B10" s="26" t="s">
        <v>9</v>
      </c>
      <c r="C10" s="394">
        <f>input_s!H24</f>
        <v>1010101</v>
      </c>
      <c r="D10" s="593" t="str">
        <f ca="1">IF(AND($C$9=1,OR(C10="",C10=0,LEN(C10)&lt;6,LEN(C10)&gt;IF(YEAR(TODAY())&gt;2010,7,6))),1,"")</f>
        <v/>
      </c>
      <c r="H10" s="406" t="s">
        <v>335</v>
      </c>
      <c r="I10" s="407">
        <f>$C$42</f>
        <v>0.01</v>
      </c>
      <c r="J10" s="407">
        <f>$C$44</f>
        <v>0.01</v>
      </c>
      <c r="K10" s="312" t="str">
        <f>IF(AND(I10&gt;0,J10&gt;0),""&amp;H10&amp;TEXT(I10," 0.0%")&amp;"折扣",IF(AND(I10&gt;0,J10=0),"首期"&amp;H10&amp;TEXT(I10," 0.0%")&amp;"折扣",IF(AND(I10=0,J10&gt;0),"續期"&amp;H10&amp;TEXT(J10," 0.0%")&amp;"折扣","")))</f>
        <v>繳費方式 1.0%折扣</v>
      </c>
      <c r="L10" s="312" t="str">
        <f>IF(SUM(I10:J10)&gt;0,H10,"")</f>
        <v>繳費方式</v>
      </c>
      <c r="M10" s="312" t="str">
        <f>IF(L10="","",IF(SUM(N11:N13)&gt;=2,"、",IF(SUM(N11:N13)=1,"及","。")))</f>
        <v>。</v>
      </c>
      <c r="N10" s="27">
        <f>IF(L10&lt;&gt;"",1,0)</f>
        <v>1</v>
      </c>
      <c r="O10" s="7"/>
      <c r="P10" s="1"/>
      <c r="Q10" s="1"/>
      <c r="R10" s="1"/>
      <c r="S10" s="1"/>
      <c r="T10" s="1"/>
      <c r="U10" s="1"/>
      <c r="V10" s="1"/>
      <c r="W10" s="1"/>
      <c r="X10" s="1"/>
      <c r="Y10" s="592"/>
      <c r="Z10" s="203"/>
      <c r="AA10" s="203"/>
      <c r="AB10" s="26" t="s">
        <v>9</v>
      </c>
      <c r="AC10" s="576">
        <f>輸入頁!$N$8</f>
        <v>981101</v>
      </c>
      <c r="AD10" s="593" t="str">
        <f ca="1">IF(AND($C$9=1,OR(AC10="",AC10=0,LEN(AC10)&lt;6,LEN(AC10)&gt;IF(YEAR(TODAY())&gt;2010,7,6))),1,"")</f>
        <v/>
      </c>
      <c r="AK10" s="66" t="str">
        <f>IF(OR($AL10="",COUNTIF($AL$3:$AR$3,$AL$2)=0),"",MAX($AK$3:AK9)+1)</f>
        <v/>
      </c>
      <c r="AL10" s="66" t="s">
        <v>358</v>
      </c>
      <c r="BG10" s="592"/>
      <c r="BH10" s="203"/>
      <c r="BI10" s="203"/>
      <c r="BJ10" s="203"/>
      <c r="BK10" s="203"/>
    </row>
    <row r="11" spans="2:63" ht="16.5" hidden="1" customHeight="1">
      <c r="B11" s="26" t="s">
        <v>10</v>
      </c>
      <c r="C11" s="310"/>
      <c r="D11" s="593"/>
      <c r="H11" s="312" t="s">
        <v>336</v>
      </c>
      <c r="I11" s="407">
        <f>$C$37</f>
        <v>0</v>
      </c>
      <c r="J11" s="407">
        <f>$C$37</f>
        <v>0</v>
      </c>
      <c r="K11" s="312" t="str">
        <f>IF(AND(I11&gt;0,J11&gt;0),""&amp;H11&amp;TEXT(I11," 0.0%")&amp;"折扣",IF(AND(I11&gt;0,J11=0),"首期"&amp;H11&amp;TEXT(I11," 0.0%")&amp;"折扣",IF(AND(I11=0,J11&gt;0),"續期"&amp;H11&amp;TEXT(J11," 0.0%")&amp;"折扣","")))</f>
        <v/>
      </c>
      <c r="L11" s="312" t="str">
        <f>IF(SUM(I11:J11)&gt;0,H11,"")</f>
        <v/>
      </c>
      <c r="M11" s="312" t="str">
        <f>IF(L11="","",IF(SUM(N12:N14)&gt;=2,"、",IF(SUM(N12:N14)=1,"及","。")))</f>
        <v/>
      </c>
      <c r="N11" s="27">
        <f>IF(L11&lt;&gt;"",1,0)</f>
        <v>0</v>
      </c>
      <c r="O11" s="7"/>
      <c r="P11" s="1"/>
      <c r="Q11" s="1"/>
      <c r="R11" s="1"/>
      <c r="S11" s="1"/>
      <c r="T11" s="1"/>
      <c r="U11" s="1"/>
      <c r="V11" s="1"/>
      <c r="W11" s="1"/>
      <c r="X11" s="1"/>
      <c r="Y11" s="592"/>
      <c r="Z11" s="203"/>
      <c r="AA11" s="203"/>
      <c r="AB11" s="26" t="s">
        <v>10</v>
      </c>
      <c r="AC11" s="310"/>
      <c r="AD11" s="593"/>
      <c r="AK11" s="66" t="str">
        <f>IF(OR($AL11="",COUNTIF($AL$3:$AR$3,$AL$2)=0),"",MAX($AK$3:AK10)+1)</f>
        <v/>
      </c>
      <c r="AL11" s="66" t="s">
        <v>359</v>
      </c>
      <c r="BG11" s="592"/>
      <c r="BH11" s="594" t="str">
        <f ca="1">IF(AND($BI$2=1,$BI$3&gt;=70,$BI$6&lt;&gt;1,$BI$4&gt;=100000),1,"")</f>
        <v/>
      </c>
      <c r="BI11" s="203" t="s">
        <v>600</v>
      </c>
      <c r="BJ11" s="203"/>
      <c r="BK11" s="203"/>
    </row>
    <row r="12" spans="2:63" ht="16.5" hidden="1" customHeight="1">
      <c r="C12" s="310"/>
      <c r="D12" s="593"/>
      <c r="H12" s="312" t="s">
        <v>1145</v>
      </c>
      <c r="I12" s="407">
        <f>$C$38</f>
        <v>0</v>
      </c>
      <c r="J12" s="407">
        <f>$C$39</f>
        <v>0</v>
      </c>
      <c r="K12" s="312" t="str">
        <f>IF(AND(I12&gt;0,J12&gt;0),""&amp;H12&amp;TEXT(I12," 0.0%")&amp;"折扣",IF(AND(I12&gt;0,J12=0),"首期"&amp;H12&amp;TEXT(I12," 0.0%")&amp;"折扣",IF(AND(I12=0,J12&gt;0),"續期"&amp;H12&amp;TEXT(J12," 0.0%")&amp;"折扣","")))</f>
        <v/>
      </c>
      <c r="L12" s="312" t="str">
        <f>IF(SUM(I12:J12)&gt;0,H12,"")</f>
        <v/>
      </c>
      <c r="M12" s="312" t="str">
        <f>IF(L12="","",IF(SUM(N13:N15)&gt;=2,"、",IF(SUM(N13:N15)=1,"及","。")))</f>
        <v/>
      </c>
      <c r="N12" s="27">
        <f>IF(L12&lt;&gt;"",1,0)</f>
        <v>0</v>
      </c>
      <c r="O12"/>
      <c r="P12" s="1"/>
      <c r="Q12" s="1"/>
      <c r="R12" s="1"/>
      <c r="S12" s="1"/>
      <c r="T12" s="152"/>
      <c r="U12" s="1"/>
      <c r="V12" s="1"/>
      <c r="W12" s="1"/>
      <c r="X12" s="1"/>
      <c r="Y12" s="592"/>
      <c r="Z12" s="203"/>
      <c r="AA12" s="203"/>
      <c r="AB12" s="26"/>
      <c r="AC12" s="310"/>
      <c r="AD12" s="593"/>
      <c r="AK12" s="66" t="str">
        <f>IF(OR($AL12="",COUNTIF($AL$3:$AR$3,$AL$2)=0),"",MAX($AK$3:AK11)+1)</f>
        <v/>
      </c>
      <c r="AL12" s="66" t="s">
        <v>360</v>
      </c>
      <c r="BG12" s="592"/>
      <c r="BH12" s="594" t="str">
        <f ca="1">IF(AND($BI$2=1,$BI$3&gt;=70,$BI$6=1,$BI$4&gt;=1000000),1,"")</f>
        <v/>
      </c>
      <c r="BI12" s="203" t="s">
        <v>601</v>
      </c>
      <c r="BJ12" s="203"/>
      <c r="BK12" s="203"/>
    </row>
    <row r="13" spans="2:63" ht="16.5" hidden="1" customHeight="1">
      <c r="C13" s="221"/>
      <c r="D13" s="30"/>
      <c r="H13" s="312" t="s">
        <v>338</v>
      </c>
      <c r="I13" s="407">
        <f>$C$40</f>
        <v>0</v>
      </c>
      <c r="J13" s="407">
        <f>$C$40</f>
        <v>0</v>
      </c>
      <c r="K13" s="312" t="str">
        <f>IF(AND(I13&gt;0,J13&gt;0),""&amp;H13&amp;TEXT(I13," 0.0%")&amp;"折扣",IF(AND(I13&gt;0,J13=0),"首期"&amp;H13&amp;TEXT(I13," 0.0%")&amp;"折扣",IF(AND(I13=0,J13&gt;0),"續期"&amp;H13&amp;TEXT(J13," 0.0%")&amp;"折扣",IF(J27=1,"繳費方式不符合員工折扣保費規定",""))))</f>
        <v/>
      </c>
      <c r="L13" s="312" t="str">
        <f>IF(SUM(I13:J13)&gt;0,H13,"")</f>
        <v/>
      </c>
      <c r="M13" s="312" t="str">
        <f>IF(L13="","",IF(SUM(N14:N16)&gt;=2,"、",IF(SUM(N14:N16)=1,"及","。")))</f>
        <v/>
      </c>
      <c r="N13" s="27">
        <f>IF(L13&lt;&gt;"",1,0)</f>
        <v>0</v>
      </c>
      <c r="O13"/>
      <c r="P13" s="1"/>
      <c r="Q13" s="1"/>
      <c r="R13" s="1"/>
      <c r="S13" s="1"/>
      <c r="T13" s="152"/>
      <c r="U13" s="1"/>
      <c r="V13" s="1"/>
      <c r="W13" s="1"/>
      <c r="X13" s="1"/>
      <c r="Y13" s="592"/>
      <c r="Z13" s="203"/>
      <c r="AA13" s="203"/>
      <c r="AB13" s="26"/>
      <c r="AC13" s="310"/>
      <c r="AD13" s="593"/>
      <c r="AK13" s="66" t="str">
        <f>IF(OR($AL13="",COUNTIF($AL$3:$AR$3,$AL$2)=0),"",MAX($AK$3:AK12)+1)</f>
        <v/>
      </c>
      <c r="AL13" s="66" t="s">
        <v>361</v>
      </c>
      <c r="BG13" s="592"/>
      <c r="BH13" s="594" t="str">
        <f ca="1">IF(AND($BI$13&lt;&gt;""),1,"")</f>
        <v/>
      </c>
      <c r="BI13" s="203" t="str">
        <f ca="1">IF(AND($BJ$13="",$BK$13=""),"","外幣非投資型商品"&amp;$BJ$13&amp;$BK$13)</f>
        <v/>
      </c>
      <c r="BJ13" s="594" t="str">
        <f ca="1">IF(ISERROR(VLOOKUP(1,$BH$14:$BJ$16,2,0)),"",VLOOKUP(1,$BH$14:$BJ$16,2,0)&amp;VLOOKUP(1,$BH$14:$BJ$16,3,0))</f>
        <v/>
      </c>
      <c r="BK13" s="594" t="str">
        <f>IF(ISERROR(VLOOKUP(2,$BB$24:$BZ$26,2,0)),"",VLOOKUP(2,$BH$14:$BJ$16,2,0)&amp;VLOOKUP(2,$BH$14:$BJ$16,3,0))</f>
        <v/>
      </c>
    </row>
    <row r="14" spans="2:63" ht="16.5" hidden="1" customHeight="1">
      <c r="B14" s="595" t="s">
        <v>11</v>
      </c>
      <c r="C14" s="595"/>
      <c r="D14" s="596" t="str">
        <f ca="1">IF(SUM(E6,D10:D13)&gt;=1,"*日期空白或格式錯誤*","")</f>
        <v/>
      </c>
      <c r="H14" s="310"/>
      <c r="I14" s="441"/>
      <c r="J14" s="311"/>
      <c r="K14" s="312"/>
      <c r="L14" s="312"/>
      <c r="M14" s="312"/>
      <c r="O14"/>
      <c r="R14" s="154"/>
      <c r="S14" s="154"/>
      <c r="T14" s="154"/>
      <c r="U14" s="154"/>
      <c r="V14" s="96"/>
      <c r="W14" s="154"/>
      <c r="X14" s="154"/>
      <c r="Y14" s="592"/>
      <c r="Z14" s="203"/>
      <c r="AA14" s="203"/>
      <c r="AB14" s="597" t="s">
        <v>11</v>
      </c>
      <c r="AC14" s="595"/>
      <c r="AD14" s="596" t="str">
        <f ca="1">IF(SUM(AE6,AD10:AD13)&gt;=1,"*日期空白或格式錯誤*","")</f>
        <v/>
      </c>
      <c r="AK14" s="66" t="str">
        <f>IF(OR($AL14="",COUNTIF($AL$3:$AR$3,$AL$2)=0),"",MAX($AK$3:AK13)+1)</f>
        <v/>
      </c>
      <c r="AL14" s="66" t="s">
        <v>362</v>
      </c>
      <c r="BG14" s="592"/>
      <c r="BH14" s="218" t="str">
        <f ca="1">IF(AND($BI$2=2,$BI$3&gt;=70),1,"")</f>
        <v/>
      </c>
      <c r="BI14" s="203" t="s">
        <v>602</v>
      </c>
      <c r="BJ14" s="203" t="str">
        <f ca="1">IF(BH14="","",IF(MAX($BH$14:$BH$16)=1,"。","，"))</f>
        <v/>
      </c>
      <c r="BK14" s="203"/>
    </row>
    <row r="15" spans="2:63" ht="16.5" hidden="1" customHeight="1">
      <c r="B15" s="598" t="s">
        <v>12</v>
      </c>
      <c r="C15" s="310">
        <f>IF(OR($C$22="",$C$24=""),"",$M$42)</f>
        <v>45</v>
      </c>
      <c r="D15" s="593" t="str">
        <f ca="1">IF(D5&gt;C15,1,"")</f>
        <v/>
      </c>
      <c r="E15" s="312" t="str">
        <f>IF(E16=1,"足歲","歲")</f>
        <v>歲</v>
      </c>
      <c r="H15" s="310"/>
      <c r="I15" s="441"/>
      <c r="J15" s="311"/>
      <c r="K15" s="312" t="s">
        <v>337</v>
      </c>
      <c r="L15" s="312"/>
      <c r="M15" s="312"/>
      <c r="O15"/>
      <c r="R15" s="151"/>
      <c r="S15" s="151"/>
      <c r="T15" s="151"/>
      <c r="U15" s="151"/>
      <c r="V15" s="73"/>
      <c r="W15" s="151"/>
      <c r="X15" s="151"/>
      <c r="Y15" s="592"/>
      <c r="Z15" s="203"/>
      <c r="AA15" s="203"/>
      <c r="AB15" s="599" t="s">
        <v>12</v>
      </c>
      <c r="AC15" s="310"/>
      <c r="AD15" s="593" t="str">
        <f ca="1">IF(AD5&gt;C15,1,"")</f>
        <v/>
      </c>
      <c r="AK15" s="66" t="str">
        <f>IF(OR($AL15="",COUNTIF($AL$3:$AR$3,$AL$2)=0),"",MAX($AK$3:AK14)+1)</f>
        <v/>
      </c>
      <c r="AL15" s="66" t="s">
        <v>406</v>
      </c>
      <c r="BG15" s="1"/>
      <c r="BH15" s="218" t="str">
        <f ca="1">IF(AND($BI$2=2,$BI$6&lt;&gt;1,$BI$4*$BI$5&gt;=300000),MAX($BH$14:$BH$14)+1,"")</f>
        <v/>
      </c>
      <c r="BI15" s="203" t="s">
        <v>603</v>
      </c>
      <c r="BJ15" s="203" t="str">
        <f ca="1">IF(BH15="","",IF(MAX($BH$14:$BH$15)&gt;=1,"。",""))</f>
        <v/>
      </c>
      <c r="BK15" s="203"/>
    </row>
    <row r="16" spans="2:63" ht="16.5" hidden="1" customHeight="1">
      <c r="B16" s="600" t="str">
        <f>"最低承保"&amp;IF(E16=1,"(足歲)","(保險年齡)")</f>
        <v>最低承保(保險年齡)</v>
      </c>
      <c r="C16" s="310">
        <f>IF(OR($C$22="",$C$24=""),"",$L$42)</f>
        <v>15</v>
      </c>
      <c r="D16" s="593" t="str">
        <f ca="1">IF(IF(E16=1,D6,IF(E16=2,D5,0))&lt;C16,1,"")</f>
        <v/>
      </c>
      <c r="E16" s="576">
        <v>2</v>
      </c>
      <c r="H16" s="310"/>
      <c r="I16" s="312"/>
      <c r="J16" s="312"/>
      <c r="K16" s="312"/>
      <c r="L16" s="312"/>
      <c r="M16" s="312"/>
      <c r="N16" s="1" t="str">
        <f>IF(O16="","",MAX($N$2:N15)+1)</f>
        <v/>
      </c>
      <c r="O16"/>
      <c r="R16" s="151"/>
      <c r="S16" s="151"/>
      <c r="T16" s="151"/>
      <c r="U16" s="151"/>
      <c r="V16" s="73"/>
      <c r="W16" s="151"/>
      <c r="X16" s="151"/>
      <c r="Y16" s="1"/>
      <c r="Z16" s="203"/>
      <c r="AA16" s="203"/>
      <c r="AB16" s="601" t="str">
        <f>"最低承保"&amp;IF(E16=1,"(足歲)","(保險年齡)")</f>
        <v>最低承保(保險年齡)</v>
      </c>
      <c r="AC16" s="310"/>
      <c r="AD16" s="593" t="str">
        <f ca="1">IF(IF(E16=1,AD6,IF(E16=2,AD5,0))&lt;C16,1,"")</f>
        <v/>
      </c>
      <c r="AE16" s="26"/>
      <c r="AK16" s="66" t="str">
        <f>IF(OR($AL16="",COUNTIF($AL$3:$AR$3,$AL$2)=0),"",MAX($AK$3:AK15)+1)</f>
        <v/>
      </c>
      <c r="AL16" s="66" t="s">
        <v>407</v>
      </c>
      <c r="BH16" s="218" t="str">
        <f ca="1">IF(AND($BI$2=2,$BI$6=1,$BI$4*$BI$5&gt;=1000000),MAX($BH$14:$BH$15)+1,"")</f>
        <v/>
      </c>
      <c r="BI16" s="203" t="s">
        <v>604</v>
      </c>
      <c r="BJ16" s="203" t="str">
        <f ca="1">IF(BH16="","",IF(MAX($BH$14:$BH$16)&gt;=1,"。",""))</f>
        <v/>
      </c>
      <c r="BK16" s="203"/>
    </row>
    <row r="17" spans="2:38" ht="16.5" hidden="1" customHeight="1">
      <c r="B17" s="595" t="s">
        <v>13</v>
      </c>
      <c r="C17" s="595"/>
      <c r="D17" s="596" t="str">
        <f ca="1">IF(SUM(D15:D16)&gt;=1,"*年齡不符專案投保區間*","")</f>
        <v/>
      </c>
      <c r="H17" s="26"/>
      <c r="I17" s="38"/>
      <c r="J17" s="439"/>
      <c r="K17" s="439"/>
      <c r="L17" s="440"/>
      <c r="M17" s="440"/>
      <c r="N17" s="1" t="str">
        <f>IF(O17="","",MAX($N$2:N16)+1)</f>
        <v/>
      </c>
      <c r="O17"/>
      <c r="R17" s="151"/>
      <c r="S17" s="151"/>
      <c r="T17" s="151"/>
      <c r="U17" s="151"/>
      <c r="V17" s="73"/>
      <c r="W17" s="151"/>
      <c r="X17" s="151"/>
      <c r="Y17" s="151"/>
      <c r="Z17" s="151"/>
      <c r="AA17" s="151"/>
      <c r="AB17" s="597" t="s">
        <v>13</v>
      </c>
      <c r="AC17" s="595"/>
      <c r="AD17" s="596" t="str">
        <f ca="1">IF(SUM(AD15:AD16)&gt;=1,"*年齡不符專案投保區間*","")</f>
        <v/>
      </c>
      <c r="AK17" s="66" t="str">
        <f>IF(OR($AL17="",COUNTIF($AL$3:$AR$3,$AL$2)=0),"",MAX($AK$3:AK16)+1)</f>
        <v/>
      </c>
      <c r="AL17" s="66" t="s">
        <v>363</v>
      </c>
    </row>
    <row r="18" spans="2:38" ht="16.5" hidden="1" customHeight="1">
      <c r="B18" s="26" t="s">
        <v>14</v>
      </c>
      <c r="C18" s="444">
        <f>IF($E$18="男",1,IF($E$18="女",2,0))</f>
        <v>2</v>
      </c>
      <c r="D18" s="450" t="str">
        <f>IF(COUNTIF(En_Sex,$E$18)&lt;&gt;1,1,"")</f>
        <v/>
      </c>
      <c r="E18" s="394" t="str">
        <f>input_s!$H$22</f>
        <v>女</v>
      </c>
      <c r="H18" s="26"/>
      <c r="I18" s="38"/>
      <c r="J18" s="439"/>
      <c r="K18" s="439"/>
      <c r="L18" s="440"/>
      <c r="M18" s="440"/>
      <c r="N18" s="1" t="str">
        <f>IF(O18="","",MAX($N$2:N17)+1)</f>
        <v/>
      </c>
      <c r="O18" s="602"/>
      <c r="R18" s="151"/>
      <c r="S18" s="151"/>
      <c r="T18" s="151"/>
      <c r="U18" s="151"/>
      <c r="V18" s="73"/>
      <c r="W18" s="151"/>
      <c r="X18" s="151"/>
      <c r="Y18" s="151"/>
      <c r="Z18" s="151"/>
      <c r="AA18" s="151"/>
      <c r="AB18" s="26" t="s">
        <v>14</v>
      </c>
      <c r="AC18" s="603">
        <f>IF($AE$18="男",1,IF($AE$18="女",2,0))</f>
        <v>1</v>
      </c>
      <c r="AD18" s="593" t="str">
        <f>IF(COUNTIF(En_Sex,$AE$18)&lt;&gt;1,1,"")</f>
        <v/>
      </c>
      <c r="AE18" s="604" t="str">
        <f>輸入頁!$K$8</f>
        <v>男</v>
      </c>
      <c r="AK18" s="66" t="str">
        <f>IF(OR($AL18="",COUNTIF($AL$3:$AR$3,$AL$2)=0),"",MAX($AK$3:AK17)+1)</f>
        <v/>
      </c>
      <c r="AL18" s="66" t="s">
        <v>828</v>
      </c>
    </row>
    <row r="19" spans="2:38" ht="16.5" hidden="1" customHeight="1">
      <c r="B19" s="31" t="s">
        <v>15</v>
      </c>
      <c r="C19" s="31"/>
      <c r="D19" s="32" t="str">
        <f>IF(D18=1,"*性別輸入錯誤*","")</f>
        <v/>
      </c>
      <c r="H19" s="312" t="s">
        <v>335</v>
      </c>
      <c r="I19" s="310" t="s">
        <v>26</v>
      </c>
      <c r="M19" s="440"/>
      <c r="R19" s="151"/>
      <c r="S19" s="151"/>
      <c r="T19" s="151"/>
      <c r="U19" s="151"/>
      <c r="V19" s="73"/>
      <c r="W19" s="151"/>
      <c r="X19" s="151"/>
      <c r="Y19" s="151"/>
      <c r="Z19" s="151"/>
      <c r="AA19" s="151"/>
      <c r="AB19" s="31" t="s">
        <v>15</v>
      </c>
      <c r="AC19" s="595"/>
      <c r="AD19" s="596" t="str">
        <f>IF(AD18=1,"*性別輸入錯誤*","")</f>
        <v/>
      </c>
      <c r="AK19" s="66" t="str">
        <f>IF(OR($AL19="",COUNTIF($AL$3:$AR$3,$AL$2)=0),"",MAX($AK$3:AK18)+1)</f>
        <v/>
      </c>
      <c r="AL19" s="66" t="s">
        <v>824</v>
      </c>
    </row>
    <row r="20" spans="2:38" ht="16.5" hidden="1" customHeight="1">
      <c r="B20" s="31" t="s">
        <v>16</v>
      </c>
      <c r="C20" s="31"/>
      <c r="D20" s="593" t="str">
        <f ca="1">IF(SUM(E6,D10:D13,D15,D16,D18)&gt;=1,1,"")</f>
        <v/>
      </c>
      <c r="H20" s="312" t="str">
        <f>IF($C$21=1,"匯款","外幣匯款")</f>
        <v>匯款</v>
      </c>
      <c r="I20" s="311">
        <f>IF($C$21=1,IF($C$24=1,0%,1%),IF($C$24=1,0%,IF($C$43=$H$21,1%,0%)))</f>
        <v>0.01</v>
      </c>
      <c r="J20" s="27" t="s">
        <v>28</v>
      </c>
      <c r="M20" s="440"/>
      <c r="R20" s="151"/>
      <c r="S20" s="151"/>
      <c r="T20" s="151"/>
      <c r="U20" s="151"/>
      <c r="V20" s="73"/>
      <c r="W20" s="151"/>
      <c r="X20" s="151"/>
      <c r="Y20" s="151"/>
      <c r="Z20" s="151"/>
      <c r="AA20" s="151"/>
      <c r="AB20" s="31" t="s">
        <v>16</v>
      </c>
      <c r="AC20" s="595"/>
      <c r="AD20" s="593" t="str">
        <f ca="1">IF(SUM(AE6,AD10,AD15,AD16,AD18)&gt;=1,1,"")</f>
        <v/>
      </c>
      <c r="AK20" s="66" t="str">
        <f>IF(OR($AL20="",COUNTIF($AL$3:$AR$3,$AL$2)=0),"",MAX($AK$3:AK19)+1)</f>
        <v/>
      </c>
      <c r="AL20" s="66" t="s">
        <v>825</v>
      </c>
    </row>
    <row r="21" spans="2:38" ht="16.5" hidden="1" customHeight="1">
      <c r="B21" s="26" t="s">
        <v>17</v>
      </c>
      <c r="C21" s="576">
        <v>1</v>
      </c>
      <c r="D21" s="593" t="str">
        <f>IF(OR(C21="",C21&lt;=0,C21&gt;=3),1,"")</f>
        <v/>
      </c>
      <c r="E21" s="576" t="s">
        <v>577</v>
      </c>
      <c r="H21" s="312" t="s">
        <v>70</v>
      </c>
      <c r="I21" s="311">
        <f>IF($C$24=1,0%,1%)</f>
        <v>0.01</v>
      </c>
      <c r="J21" s="37" t="s">
        <v>29</v>
      </c>
      <c r="M21" s="440"/>
      <c r="R21" s="151"/>
      <c r="S21" s="151"/>
      <c r="T21" s="151"/>
      <c r="U21" s="151"/>
      <c r="V21" s="73"/>
      <c r="W21" s="151"/>
      <c r="X21" s="151"/>
      <c r="Y21" s="151"/>
      <c r="Z21" s="151"/>
      <c r="AA21" s="151"/>
      <c r="AB21" s="26" t="s">
        <v>310</v>
      </c>
      <c r="AC21" s="603">
        <f ca="1">$F$57-AD5+1</f>
        <v>69</v>
      </c>
      <c r="AD21" s="310"/>
      <c r="AE21" s="151"/>
      <c r="AF21" s="151"/>
      <c r="AK21" s="66" t="str">
        <f>IF(OR($AL21="",COUNTIF($AL$3:$AR$3,$AL$2)=0),"",MAX($AK$3:AK20)+1)</f>
        <v/>
      </c>
      <c r="AL21" s="66" t="s">
        <v>826</v>
      </c>
    </row>
    <row r="22" spans="2:38" ht="16.5" hidden="1" customHeight="1">
      <c r="B22" s="26" t="s">
        <v>18</v>
      </c>
      <c r="C22" s="394" t="str">
        <f>input_s!$H$34</f>
        <v>LTT</v>
      </c>
      <c r="D22" s="593" t="str">
        <f>IF(OR($C$22="",$C$22=0,ISERROR(VLOOKUP($C$22,$H$43:$H$62,1,0))),1,"")</f>
        <v/>
      </c>
      <c r="H22" s="312" t="s">
        <v>69</v>
      </c>
      <c r="I22" s="311">
        <f>IF($C$21=1,IF($C$24=1,0%,1%),0%)</f>
        <v>0.01</v>
      </c>
      <c r="M22" s="440"/>
      <c r="R22" s="151"/>
      <c r="S22" s="151"/>
      <c r="T22" s="151"/>
      <c r="U22" s="151"/>
      <c r="V22" s="73"/>
      <c r="W22" s="151"/>
      <c r="X22" s="151"/>
      <c r="Y22" s="151"/>
      <c r="Z22" s="151"/>
      <c r="AA22" s="151"/>
      <c r="AB22" s="151"/>
      <c r="AC22" s="151"/>
      <c r="AD22" s="151"/>
      <c r="AE22" s="151"/>
      <c r="AF22" s="151"/>
      <c r="AK22" s="66" t="str">
        <f>IF(OR($AL22="",COUNTIF($AL$3:$AR$3,$AL$2)=0),"",MAX($AK$3:AK21)+1)</f>
        <v/>
      </c>
      <c r="AL22" s="66"/>
    </row>
    <row r="23" spans="2:38" ht="16.5" hidden="1" customHeight="1">
      <c r="B23" s="26" t="s">
        <v>19</v>
      </c>
      <c r="C23" s="671" t="s">
        <v>1361</v>
      </c>
      <c r="D23" s="593"/>
      <c r="E23" s="443" t="str">
        <f>OP!$C$23&amp;"建議書"</f>
        <v>富邦人壽順馨久久長期照顧定期健康保險建議書</v>
      </c>
      <c r="H23" s="312" t="s">
        <v>71</v>
      </c>
      <c r="I23" s="311">
        <v>0</v>
      </c>
      <c r="J23" s="27" t="s">
        <v>32</v>
      </c>
      <c r="M23" s="440"/>
      <c r="R23" s="151"/>
      <c r="S23" s="151"/>
      <c r="T23" s="151"/>
      <c r="U23" s="151"/>
      <c r="V23" s="73"/>
      <c r="W23" s="151"/>
      <c r="X23" s="151"/>
      <c r="Y23" s="151"/>
      <c r="Z23" s="151"/>
      <c r="AA23" s="151"/>
      <c r="AB23" s="151"/>
      <c r="AC23" s="151"/>
      <c r="AD23" s="151"/>
      <c r="AE23" s="151"/>
      <c r="AF23" s="151"/>
      <c r="AK23" s="66" t="str">
        <f>IF(OR($AL23="",COUNTIF($AL$3:$AR$3,$AL$2)=0),"",MAX($AK$3:AK22)+1)</f>
        <v/>
      </c>
      <c r="AL23" s="66" t="s">
        <v>364</v>
      </c>
    </row>
    <row r="24" spans="2:38" ht="16.5" hidden="1" customHeight="1">
      <c r="B24" s="26" t="s">
        <v>20</v>
      </c>
      <c r="C24" s="394">
        <f>IF(ISERROR(VLOOKUP(input_s!$H$35&amp;$C22,$J$43:$J$62,1,0)),"",input_s!$H$35)</f>
        <v>30</v>
      </c>
      <c r="D24" s="593" t="str">
        <f>IF(OR($C$24="",$C$24=0,COUNTIF($J$43:$J$62,$C$24&amp;$C$22)&lt;&gt;1),1,"")</f>
        <v/>
      </c>
      <c r="E24" s="443" t="str">
        <f>IF(OP!$C$24=1,"躉繳",IF(OP!$C$24&gt;40,OP!$C$24&amp;" 歲滿期",OP!$C$24&amp;" 年期"))</f>
        <v>30 年期</v>
      </c>
      <c r="H24" s="312" t="s">
        <v>72</v>
      </c>
      <c r="I24" s="311">
        <f>IF($C$21=1,IF($C$24=1,0%,1%),0%)</f>
        <v>0.01</v>
      </c>
      <c r="R24" s="151"/>
      <c r="S24" s="151"/>
      <c r="T24" s="151"/>
      <c r="U24" s="151"/>
      <c r="V24" s="73"/>
      <c r="W24" s="151"/>
      <c r="X24" s="151"/>
      <c r="Y24" s="151"/>
      <c r="Z24" s="151"/>
      <c r="AA24" s="151"/>
      <c r="AB24" s="151"/>
      <c r="AC24" s="151"/>
      <c r="AD24" s="151"/>
      <c r="AE24" s="151"/>
      <c r="AF24" s="151"/>
      <c r="AK24" s="66" t="str">
        <f>IF(OR($AL24="",COUNTIF($AL$3:$AR$3,$AL$2)=0),"",MAX($AK$3:AK23)+1)</f>
        <v/>
      </c>
      <c r="AL24" s="66" t="s">
        <v>365</v>
      </c>
    </row>
    <row r="25" spans="2:38" ht="16.5" hidden="1" customHeight="1">
      <c r="B25" s="31" t="s">
        <v>21</v>
      </c>
      <c r="C25" s="33"/>
      <c r="D25" s="596" t="str">
        <f>IF(SUM(D24)&gt;=1,"*年期選擇錯誤*","")</f>
        <v/>
      </c>
      <c r="H25" s="312" t="s">
        <v>324</v>
      </c>
      <c r="I25" s="311">
        <v>0</v>
      </c>
      <c r="J25" s="37" t="s">
        <v>36</v>
      </c>
      <c r="R25" s="151"/>
      <c r="S25" s="151"/>
      <c r="T25" s="151"/>
      <c r="U25" s="151"/>
      <c r="V25" s="73"/>
      <c r="W25" s="151"/>
      <c r="X25" s="151"/>
      <c r="Y25" s="151"/>
      <c r="Z25" s="151"/>
      <c r="AA25" s="151"/>
      <c r="AB25" s="310" t="s">
        <v>580</v>
      </c>
      <c r="AC25" s="582">
        <f ca="1">DATE(YEAR($AD$3)+$AD$6,MONTH($AD$3)+6,MIN(DAY($AD$3),$AE$25)+1)</f>
        <v>46144</v>
      </c>
      <c r="AD25" s="586">
        <f>MONTH($AD$3)+IF(MONTH($AD$3)&lt;=6,6,-6)</f>
        <v>5</v>
      </c>
      <c r="AE25" s="603">
        <f>IF(OR($AD$25=1,$AD$25=3,$AD$25=5,$AD$25=7,$AD$25=8,$AD$25=10,$AD$25=12),31,IF(OR($AD$25=4,$AD$25=6,$AD$25=9,$AD$25=11),30,IF(AND($AD$25=2,YEAR($C$3)/4=INT(YEAR($C$3)/4),YEAR($C$3)/400&lt;&gt;INT(YEAR($C$3)/400)),29,28)))</f>
        <v>31</v>
      </c>
      <c r="AF25" s="151"/>
      <c r="AK25" s="66" t="str">
        <f>IF(OR($AL25="",COUNTIF($AL$3:$AR$3,$AL$2)=0),"",MAX($AK$3:AK24)+1)</f>
        <v/>
      </c>
      <c r="AL25" s="66" t="s">
        <v>366</v>
      </c>
    </row>
    <row r="26" spans="2:38" ht="18" hidden="1" customHeight="1">
      <c r="B26" s="26" t="s">
        <v>22</v>
      </c>
      <c r="C26" s="310">
        <f>IF(OR($C$22="",$C$24=""),"",$N$42)</f>
        <v>0.5</v>
      </c>
      <c r="D26" s="605"/>
      <c r="K26" s="27" t="s">
        <v>1204</v>
      </c>
      <c r="R26" s="151"/>
      <c r="S26" s="151"/>
      <c r="T26" s="151"/>
      <c r="U26" s="151"/>
      <c r="V26" s="73"/>
      <c r="W26" s="151"/>
      <c r="X26" s="151"/>
      <c r="Y26" s="151"/>
      <c r="Z26" s="151"/>
      <c r="AA26" s="151"/>
      <c r="AB26" s="310"/>
      <c r="AC26" s="603" t="str">
        <f ca="1">IF(AC25&lt;$C$3,"",AC25-$C$3)</f>
        <v/>
      </c>
      <c r="AD26" s="606" t="str">
        <f ca="1">IF(C85=0,"",IF(OR($D$53=1,AC26=""),"",IF(AND(AC26&gt;=1,AC26&lt;=30),"提醒您：被保險人"&amp;$AC$1&amp;"將於 "&amp;MONTH(AC25)&amp;" 月 "&amp;DAY(AC25)&amp;" 日 ( "&amp;AC26&amp;"天後 ) 保險年齡增加一歲"&amp;IF(D85=0,"。","，"&amp;$C$22&amp;$C$32&amp;"保險費"&amp;IF($C$32="躉繳","","每期")&amp;IF(AE27&gt;=0,"增加 ","減少 ")&amp;TEXT(AE27,"#,##0 元")&amp;"。"),"")))</f>
        <v/>
      </c>
      <c r="AE26" s="603"/>
      <c r="AF26" s="151"/>
      <c r="AK26" s="66" t="str">
        <f>IF(OR($AL26="",COUNTIF($AL$3:$AR$3,$AL$2)=0),"",MAX($AK$3:AK25)+1)</f>
        <v/>
      </c>
      <c r="AL26" s="66" t="s">
        <v>367</v>
      </c>
    </row>
    <row r="27" spans="2:38" ht="17.25" hidden="1" customHeight="1">
      <c r="B27" s="26" t="s">
        <v>23</v>
      </c>
      <c r="C27" s="310">
        <f ca="1">IF(OR($C$22="",$C$24="",D20=1),,$O$42)</f>
        <v>2</v>
      </c>
      <c r="D27" s="312" t="str">
        <f>IF(C28*10&lt;&gt;ROUNDUP(C28,$E$28)*10,1,"")</f>
        <v/>
      </c>
      <c r="E27" s="27" t="s">
        <v>653</v>
      </c>
      <c r="H27" s="312" t="s">
        <v>328</v>
      </c>
      <c r="I27" s="406" t="str">
        <f>輸入頁!$E$21</f>
        <v>無</v>
      </c>
      <c r="J27" s="434">
        <f>IF(ISNA(VLOOKUP($I$27,$H$28:$I$30,2,0)),0,VLOOKUP($I$27,$H$28:$I$30,2,0))</f>
        <v>0</v>
      </c>
      <c r="K27" s="434">
        <f>IF(AND($J$27=1,$C$40&gt;0),1,IF(AND($J$27=2,OR($C$38&gt;0,$C$39&gt;0)),2,0))</f>
        <v>0</v>
      </c>
      <c r="R27" s="151"/>
      <c r="S27" s="151"/>
      <c r="T27" s="151"/>
      <c r="U27" s="151"/>
      <c r="V27" s="73"/>
      <c r="W27" s="151"/>
      <c r="X27" s="151"/>
      <c r="Y27" s="151"/>
      <c r="Z27" s="151"/>
      <c r="AA27" s="151"/>
      <c r="AB27" s="310" t="s">
        <v>581</v>
      </c>
      <c r="AC27" s="603" t="str">
        <f ca="1">C88</f>
        <v>LTT300216</v>
      </c>
      <c r="AD27" s="607">
        <f ca="1">IF(ISNA(VLOOKUP(AC27,GP,2,0)),0,IF($C$21=1,ROUND(VLOOKUP(AC27,GP,2,0)*$C$28*$C$34,0),IF($C$21=2,ROUNDDOWN(VLOOKUP(AC27,GP,2,0)*$C$28*$C$34,0),"")))</f>
        <v>11660</v>
      </c>
      <c r="AE27" s="607">
        <f ca="1">AD27-$C$35</f>
        <v>220</v>
      </c>
      <c r="AF27" s="151"/>
      <c r="AK27" s="66" t="str">
        <f>IF(OR($AL27="",COUNTIF($AL$3:$AR$3,$AL$2)=0),"",MAX($AK$3:AK26)+1)</f>
        <v/>
      </c>
      <c r="AL27" s="66" t="s">
        <v>368</v>
      </c>
    </row>
    <row r="28" spans="2:38" ht="16.5" hidden="1" customHeight="1">
      <c r="B28" s="26" t="s">
        <v>64</v>
      </c>
      <c r="C28" s="409">
        <f>ROUND(input_s!$H$61,$E$28)</f>
        <v>1</v>
      </c>
      <c r="D28" s="593" t="str">
        <f ca="1">IF(OR(C28="",C28=0,C28&lt;C26,C28&gt;C27,D27&lt;&gt;""),1,"")</f>
        <v/>
      </c>
      <c r="E28" s="668">
        <v>1</v>
      </c>
      <c r="H28" s="406" t="s">
        <v>329</v>
      </c>
      <c r="I28" s="312">
        <v>0</v>
      </c>
      <c r="J28" s="312"/>
      <c r="K28" s="407"/>
      <c r="R28" s="151"/>
      <c r="S28" s="151"/>
      <c r="T28" s="151"/>
      <c r="U28" s="151"/>
      <c r="V28" s="73"/>
      <c r="W28" s="151"/>
      <c r="X28" s="151"/>
      <c r="Y28" s="151"/>
      <c r="Z28" s="151"/>
      <c r="AA28" s="151"/>
      <c r="AB28" s="151"/>
      <c r="AC28" s="151"/>
      <c r="AD28" s="151"/>
      <c r="AE28" s="151"/>
      <c r="AF28" s="151"/>
      <c r="AK28" s="66" t="str">
        <f>IF(OR($AL28="",COUNTIF($AL$3:$AR$3,$AL$2)=0),"",MAX($AK$3:AK27)+1)</f>
        <v/>
      </c>
      <c r="AL28" s="66" t="s">
        <v>369</v>
      </c>
    </row>
    <row r="29" spans="2:38" ht="16.5" hidden="1" customHeight="1">
      <c r="B29" s="31" t="s">
        <v>24</v>
      </c>
      <c r="C29" s="31"/>
      <c r="D29" s="596" t="str">
        <f ca="1">IF(SUM(D28)&gt;=1,"*保額錯誤*","")</f>
        <v/>
      </c>
      <c r="H29" s="312" t="s">
        <v>338</v>
      </c>
      <c r="I29" s="312">
        <v>1</v>
      </c>
      <c r="J29" s="312"/>
      <c r="K29" s="407"/>
      <c r="R29" s="151"/>
      <c r="S29" s="151"/>
      <c r="T29" s="151"/>
      <c r="U29" s="151"/>
      <c r="V29" s="73"/>
      <c r="W29" s="151"/>
      <c r="X29" s="151"/>
      <c r="Y29" s="151"/>
      <c r="Z29" s="151"/>
      <c r="AA29" s="151"/>
      <c r="AB29" s="151"/>
      <c r="AC29" s="151"/>
      <c r="AD29" s="151"/>
      <c r="AE29" s="151"/>
      <c r="AF29" s="151"/>
      <c r="AK29" s="66" t="str">
        <f>IF(OR($AL29="",COUNTIF($AL$3:$AR$3,$AL$2)=0),"",MAX($AK$3:AK28)+1)</f>
        <v/>
      </c>
      <c r="AL29" s="66" t="s">
        <v>370</v>
      </c>
    </row>
    <row r="30" spans="2:38" ht="17.25" hidden="1" customHeight="1">
      <c r="B30" s="26" t="s">
        <v>66</v>
      </c>
      <c r="C30" s="34">
        <f ca="1">IF(OR(C18=0,C22=0,D28=1),0,IF(ISNA(VLOOKUP($C$55,GP,2,0)),0,VLOOKUP($C$55,GP,2,0)))</f>
        <v>11440</v>
      </c>
      <c r="H30" s="312" t="s">
        <v>1145</v>
      </c>
      <c r="I30" s="312">
        <v>2</v>
      </c>
      <c r="J30" s="312"/>
      <c r="K30" s="407"/>
      <c r="R30" s="151"/>
      <c r="S30" s="151"/>
      <c r="T30" s="151"/>
      <c r="U30" s="151"/>
      <c r="V30" s="73"/>
      <c r="W30" s="151"/>
      <c r="X30" s="151"/>
      <c r="Y30" s="151"/>
      <c r="Z30" s="151"/>
      <c r="AA30" s="151"/>
      <c r="AB30" s="151"/>
      <c r="AC30" s="151"/>
      <c r="AD30" s="151"/>
      <c r="AE30" s="151"/>
      <c r="AF30" s="151"/>
      <c r="AK30" s="66" t="str">
        <f>IF(OR($AL30="",COUNTIF($AL$3:$AR$3,$AL$2)=0),"",MAX($AK$3:AK29)+1)</f>
        <v/>
      </c>
      <c r="AL30" s="66" t="s">
        <v>371</v>
      </c>
    </row>
    <row r="31" spans="2:38" ht="17.25" hidden="1" customHeight="1">
      <c r="B31" s="26" t="s">
        <v>27</v>
      </c>
      <c r="C31" s="35">
        <f ca="1">IF($C$21=1,ROUND(C28*C30,1),IF(C21=2,ROUND(C28*C30,1),""))</f>
        <v>11440</v>
      </c>
      <c r="D31" s="36"/>
      <c r="H31" s="312"/>
      <c r="I31" s="312"/>
      <c r="J31" s="312"/>
      <c r="K31" s="312"/>
      <c r="R31" s="151"/>
      <c r="S31" s="151"/>
      <c r="T31" s="151"/>
      <c r="U31" s="151"/>
      <c r="V31" s="73"/>
      <c r="W31" s="151"/>
      <c r="X31" s="151"/>
      <c r="Y31" s="151"/>
      <c r="Z31" s="151"/>
      <c r="AA31" s="151"/>
      <c r="AB31" s="151"/>
      <c r="AC31" s="151"/>
      <c r="AD31" s="151"/>
      <c r="AE31" s="151"/>
      <c r="AF31" s="151"/>
      <c r="AK31" s="66" t="str">
        <f>IF(OR($AL31="",COUNTIF($AL$3:$AR$3,$AL$2)=0),"",MAX($AK$3:AK30)+1)</f>
        <v/>
      </c>
      <c r="AL31" s="66" t="s">
        <v>372</v>
      </c>
    </row>
    <row r="32" spans="2:38" ht="16.5" hidden="1" customHeight="1">
      <c r="B32" s="26" t="s">
        <v>25</v>
      </c>
      <c r="C32" s="394" t="str">
        <f>IF(input_s!$H$40="","",input_s!$H$40)</f>
        <v>年繳</v>
      </c>
      <c r="D32" s="608" t="str">
        <f>IF(OR(AND($C$24&lt;&gt;1,$C$32="躉繳"),COUNTIF(En_PayT,$C$32)&lt;&gt;1),1,"")</f>
        <v/>
      </c>
      <c r="R32" s="151"/>
      <c r="S32" s="151"/>
      <c r="T32" s="151"/>
      <c r="U32" s="151"/>
      <c r="V32" s="73"/>
      <c r="W32" s="151"/>
      <c r="X32" s="151"/>
      <c r="Y32" s="151"/>
      <c r="Z32" s="151"/>
      <c r="AA32" s="151"/>
      <c r="AB32" s="151"/>
      <c r="AC32" s="151"/>
      <c r="AD32" s="151"/>
      <c r="AE32" s="151"/>
      <c r="AF32" s="151"/>
      <c r="AK32" s="66" t="str">
        <f>IF(OR($AL32="",COUNTIF($AL$3:$AR$3,$AL$2)=0),"",MAX($AK$3:AK31)+1)</f>
        <v/>
      </c>
      <c r="AL32" s="66" t="s">
        <v>827</v>
      </c>
    </row>
    <row r="33" spans="2:44" ht="16.5" hidden="1" customHeight="1">
      <c r="B33" s="26" t="s">
        <v>30</v>
      </c>
      <c r="C33" s="576">
        <v>1</v>
      </c>
      <c r="D33" s="593" t="str">
        <f>IF(OR(C33="",C33=0),1,"")</f>
        <v/>
      </c>
      <c r="R33" s="72"/>
      <c r="S33" s="72"/>
      <c r="T33" s="72"/>
      <c r="U33" s="72"/>
      <c r="V33" s="73"/>
      <c r="W33" s="72"/>
      <c r="X33" s="72"/>
      <c r="Y33" s="72"/>
      <c r="Z33" s="72"/>
      <c r="AA33" s="72"/>
      <c r="AB33" s="72"/>
      <c r="AC33" s="72"/>
      <c r="AD33" s="72"/>
      <c r="AE33" s="72"/>
      <c r="AF33" s="72"/>
      <c r="AK33" s="66" t="str">
        <f>IF(OR($AL33="",COUNTIF($AL$3:$AR$3,$AL$2)=0),"",MAX($AK$3:AK32)+1)</f>
        <v/>
      </c>
      <c r="AL33" s="66"/>
    </row>
    <row r="34" spans="2:44" ht="16.5" hidden="1" customHeight="1">
      <c r="B34" s="26" t="s">
        <v>31</v>
      </c>
      <c r="C34" s="26">
        <f>IF(D32=1,,VLOOKUP(C32,H2:K7,1+C33,FALSE))</f>
        <v>1</v>
      </c>
      <c r="D34" s="609"/>
      <c r="R34" s="72"/>
      <c r="S34" s="72"/>
      <c r="T34" s="72"/>
      <c r="U34" s="72"/>
      <c r="V34" s="73"/>
      <c r="W34" s="72"/>
      <c r="X34" s="72"/>
      <c r="Y34" s="72"/>
      <c r="Z34" s="72"/>
      <c r="AA34" s="72"/>
      <c r="AB34" s="72"/>
      <c r="AC34" s="72"/>
      <c r="AD34" s="72"/>
      <c r="AE34" s="72"/>
      <c r="AF34" s="72"/>
      <c r="AK34" s="66" t="str">
        <f>IF(OR($AL34="",COUNTIF($AL$3:$AR$3,$AL$2)=0),"",MAX($AK$3:AK33)+1)</f>
        <v/>
      </c>
      <c r="AL34" s="66" t="s">
        <v>829</v>
      </c>
    </row>
    <row r="35" spans="2:44" ht="16.5" hidden="1" customHeight="1">
      <c r="B35" s="26" t="s">
        <v>33</v>
      </c>
      <c r="C35" s="35">
        <f ca="1">IF($C$21=1,ROUND(C31*C34,0),IF($C$21=2,ROUNDDOWN(C31*C34,0),""))</f>
        <v>11440</v>
      </c>
      <c r="D35" s="27">
        <f ca="1">IF($C$50=12,$C$35*2,$C$35*1)</f>
        <v>11440</v>
      </c>
      <c r="E35" s="27" t="s">
        <v>817</v>
      </c>
      <c r="R35" s="72"/>
      <c r="S35" s="72"/>
      <c r="T35" s="72"/>
      <c r="U35" s="72"/>
      <c r="V35" s="73"/>
      <c r="W35" s="72"/>
      <c r="X35" s="72"/>
      <c r="Y35" s="72"/>
      <c r="Z35" s="72"/>
      <c r="AA35" s="72"/>
      <c r="AB35" s="72"/>
      <c r="AC35" s="72"/>
      <c r="AD35" s="72"/>
      <c r="AE35" s="72"/>
      <c r="AF35" s="72"/>
      <c r="AK35" s="66" t="str">
        <f>IF(OR($AL35="",COUNTIF($AL$3:$AR$3,$AL$2)=0),"",MAX($AK$3:AK34)+1)</f>
        <v/>
      </c>
      <c r="AL35" s="66" t="s">
        <v>373</v>
      </c>
    </row>
    <row r="36" spans="2:44" ht="17.25" hidden="1" customHeight="1">
      <c r="B36" s="26" t="s">
        <v>34</v>
      </c>
      <c r="C36" s="38"/>
      <c r="D36" s="27" t="s">
        <v>35</v>
      </c>
      <c r="R36" s="72"/>
      <c r="S36" s="72"/>
      <c r="T36" s="72"/>
      <c r="U36" s="72"/>
      <c r="V36" s="73"/>
      <c r="W36" s="72"/>
      <c r="X36" s="72"/>
      <c r="Y36" s="72"/>
      <c r="Z36" s="72"/>
      <c r="AA36" s="72"/>
      <c r="AB36" s="72"/>
      <c r="AC36" s="72"/>
      <c r="AD36" s="72"/>
      <c r="AE36" s="72"/>
      <c r="AF36" s="72"/>
      <c r="AK36" s="66" t="str">
        <f>IF(OR($AL36="",COUNTIF($AL$3:$AR$3,$AL$2)=0),"",MAX($AK$3:AK35)+1)</f>
        <v/>
      </c>
      <c r="AL36" s="66" t="s">
        <v>374</v>
      </c>
    </row>
    <row r="37" spans="2:44" ht="17.25" hidden="1" customHeight="1">
      <c r="B37" s="26" t="s">
        <v>37</v>
      </c>
      <c r="C37" s="669">
        <f>IF(D64=1,,IF(AND($C$28&gt;=50,$C$28&lt;100),0%,IF(AND($C$28&gt;=100),0%,0%)))</f>
        <v>0</v>
      </c>
      <c r="D37" s="39" t="str">
        <f>IF(C37&gt;0,"本保件享有 "&amp;TEXT(C37,"0.0%")&amp;" 高保額折扣","")</f>
        <v/>
      </c>
      <c r="E37" s="185"/>
      <c r="R37" s="72"/>
      <c r="S37" s="72"/>
      <c r="T37" s="72"/>
      <c r="U37" s="72"/>
      <c r="V37" s="73"/>
      <c r="W37" s="72"/>
      <c r="X37" s="72"/>
      <c r="Y37" s="72"/>
      <c r="Z37" s="72"/>
      <c r="AA37" s="72"/>
      <c r="AB37" s="72"/>
      <c r="AC37" s="72"/>
      <c r="AD37" s="72"/>
      <c r="AE37" s="72"/>
      <c r="AF37" s="72"/>
      <c r="AK37" s="66" t="str">
        <f>IF(OR($AL37="",COUNTIF($AL$3:$AR$3,$AL$2)=0),"",MAX($AK$3:AK36)+1)</f>
        <v/>
      </c>
      <c r="AL37" s="66"/>
    </row>
    <row r="38" spans="2:44" ht="16.5" hidden="1" customHeight="1">
      <c r="B38" s="26" t="s">
        <v>325</v>
      </c>
      <c r="C38" s="669"/>
      <c r="D38" s="312" t="str">
        <f>IF(C38&gt;0,"本主約首期保費享有 "&amp;TEXT(C38,"0%")&amp;" 集體彙繳折扣","")</f>
        <v/>
      </c>
      <c r="H38" s="310" t="s">
        <v>322</v>
      </c>
      <c r="I38" s="310" t="s">
        <v>1208</v>
      </c>
      <c r="J38" s="310" t="s">
        <v>321</v>
      </c>
      <c r="R38" s="72"/>
      <c r="S38" s="72"/>
      <c r="T38" s="72"/>
      <c r="U38" s="72"/>
      <c r="V38" s="73"/>
      <c r="W38" s="72"/>
      <c r="X38" s="72"/>
      <c r="Y38" s="72"/>
      <c r="Z38" s="72"/>
      <c r="AA38" s="72"/>
      <c r="AB38" s="72"/>
      <c r="AC38" s="72"/>
      <c r="AD38" s="72"/>
      <c r="AE38" s="72"/>
      <c r="AF38" s="72"/>
      <c r="AK38" s="66" t="str">
        <f>IF(OR($AL38="",COUNTIF($AL$3:$AR$3,$AL$2)=0),"",MAX($AK$3:AK37)+1)</f>
        <v/>
      </c>
      <c r="AL38" s="66"/>
    </row>
    <row r="39" spans="2:44" ht="16.5" hidden="1" customHeight="1">
      <c r="B39" s="26" t="s">
        <v>326</v>
      </c>
      <c r="C39" s="669"/>
      <c r="D39" s="312" t="str">
        <f>IF(C39&gt;0,"本主約續期保費享有 "&amp;TEXT(C39,"0%")&amp;" 集體彙繳折扣","")</f>
        <v/>
      </c>
      <c r="H39" s="408">
        <f>$K$42</f>
        <v>0</v>
      </c>
      <c r="I39" s="442" t="str">
        <f ca="1">TEXT(RDATA!$I$2-1%,"0.00%")</f>
        <v>0.75%</v>
      </c>
      <c r="J39" s="442" t="str">
        <f ca="1">TEXT(RDATA!$I$2,"0.00%")</f>
        <v>1.75%</v>
      </c>
      <c r="R39" s="72"/>
      <c r="S39" s="72"/>
      <c r="T39" s="72"/>
      <c r="U39" s="72"/>
      <c r="V39" s="73"/>
      <c r="W39" s="72"/>
      <c r="X39" s="72"/>
      <c r="Y39" s="72"/>
      <c r="Z39" s="72"/>
      <c r="AA39" s="72"/>
      <c r="AB39" s="72"/>
      <c r="AC39" s="72"/>
      <c r="AD39" s="72"/>
      <c r="AE39" s="72"/>
      <c r="AF39" s="72"/>
      <c r="AK39" s="66" t="str">
        <f>IF(OR($AL39="",COUNTIF($AL$3:$AR$3,$AL$2)=0),"",MAX($AK$3:AK38)+1)</f>
        <v/>
      </c>
      <c r="AL39" s="66"/>
    </row>
    <row r="40" spans="2:44" ht="16.5" hidden="1" customHeight="1">
      <c r="B40" s="26" t="s">
        <v>327</v>
      </c>
      <c r="C40" s="669">
        <f>IF(AND($J$27=1,C41=H21,OR(C43=H21,C43=H24)),IF($C$24=10,6%,IF($C$24=20,5%,IF($C$24=30,4%,0%))),0%)</f>
        <v>0</v>
      </c>
      <c r="D40" s="312" t="str">
        <f>IF(C40&gt;0,"本主約保費享有 "&amp;TEXT(C40,"0.0%")&amp;H29&amp;"折扣","")</f>
        <v/>
      </c>
      <c r="R40" s="72"/>
      <c r="S40" s="72"/>
      <c r="T40" s="72"/>
      <c r="U40" s="72"/>
      <c r="V40" s="73"/>
      <c r="W40" s="72"/>
      <c r="X40" s="72"/>
      <c r="Y40" s="72"/>
      <c r="Z40" s="72"/>
      <c r="AA40" s="72"/>
      <c r="AB40" s="72"/>
      <c r="AC40" s="72"/>
      <c r="AD40" s="72"/>
      <c r="AE40" s="72"/>
      <c r="AF40" s="72"/>
      <c r="AK40" s="66" t="str">
        <f>IF(OR($AL40="",COUNTIF($AL$3:$AR$3,$AL$2)=0),"",MAX($AK$3:AK39)+1)</f>
        <v/>
      </c>
      <c r="AL40" s="66"/>
    </row>
    <row r="41" spans="2:44" ht="16.5" hidden="1" customHeight="1">
      <c r="B41" s="26" t="s">
        <v>39</v>
      </c>
      <c r="C41" s="394" t="str">
        <f>input_s!$H$45</f>
        <v>匯款</v>
      </c>
      <c r="D41" s="608" t="str">
        <f>IF(COUNTIF(En_PayMF,$C$41)&lt;&gt;1,1,"")</f>
        <v/>
      </c>
      <c r="H41" s="310" t="s">
        <v>18</v>
      </c>
      <c r="I41" s="310" t="s">
        <v>20</v>
      </c>
      <c r="J41" s="310" t="s">
        <v>1139</v>
      </c>
      <c r="K41" s="312" t="s">
        <v>1140</v>
      </c>
      <c r="L41" s="312" t="s">
        <v>1141</v>
      </c>
      <c r="M41" s="312" t="s">
        <v>1142</v>
      </c>
      <c r="N41" s="312" t="s">
        <v>1143</v>
      </c>
      <c r="O41" s="312" t="s">
        <v>1144</v>
      </c>
      <c r="R41" s="72"/>
      <c r="S41" s="72"/>
      <c r="T41" s="72"/>
      <c r="U41" s="72"/>
      <c r="V41" s="73"/>
      <c r="W41" s="72"/>
      <c r="X41" s="72"/>
      <c r="Y41" s="72"/>
      <c r="Z41" s="72"/>
      <c r="AA41" s="72"/>
      <c r="AB41" s="72"/>
      <c r="AC41" s="72"/>
      <c r="AD41" s="72"/>
      <c r="AE41" s="72"/>
      <c r="AF41" s="72"/>
      <c r="AK41" s="66" t="str">
        <f>IF(OR($AL41="",COUNTIF($AL$3:$AR$3,$AL$2)=0),"",MAX($AK$3:AK40)+1)</f>
        <v/>
      </c>
      <c r="AL41" s="66"/>
    </row>
    <row r="42" spans="2:44" ht="16.5" hidden="1" customHeight="1">
      <c r="B42" s="26" t="s">
        <v>40</v>
      </c>
      <c r="C42" s="38">
        <f>IF(OR($K$27&lt;&gt;0,ISNA(VLOOKUP(C41,$H$19:$I$25,2,0))),0,VLOOKUP(C41,$H$19:$I$25,2,0))</f>
        <v>0.01</v>
      </c>
      <c r="D42" s="39" t="str">
        <f>IF(C42&gt;0,"-首期享有1%繳別折扣-","")</f>
        <v>-首期享有1%繳別折扣-</v>
      </c>
      <c r="H42" s="434" t="str">
        <f>$C$22</f>
        <v>LTT</v>
      </c>
      <c r="I42" s="442">
        <f>$C$24</f>
        <v>30</v>
      </c>
      <c r="J42" s="434" t="str">
        <f t="shared" ref="J42:J62" si="0">$I42&amp;$H42</f>
        <v>30LTT</v>
      </c>
      <c r="K42" s="408">
        <f>VLOOKUP($J$42,$J$43:$O$62,2,0)</f>
        <v>0</v>
      </c>
      <c r="L42" s="442">
        <f>VLOOKUP($J$42,$J$43:$O$62,3,0)</f>
        <v>15</v>
      </c>
      <c r="M42" s="442">
        <f>VLOOKUP($J$42,$J$43:$O$62,4,0)</f>
        <v>45</v>
      </c>
      <c r="N42" s="434">
        <f>VLOOKUP($J$42,$J$43:$O$62,5,0)</f>
        <v>0.5</v>
      </c>
      <c r="O42" s="434">
        <f ca="1">VLOOKUP($J$42,$J$43:$O$62,6,0)</f>
        <v>2</v>
      </c>
      <c r="R42" s="72"/>
      <c r="S42" s="72"/>
      <c r="T42" s="72"/>
      <c r="U42" s="72"/>
      <c r="V42" s="73"/>
      <c r="W42" s="72"/>
      <c r="X42" s="72"/>
      <c r="Y42" s="72"/>
      <c r="Z42" s="72"/>
      <c r="AA42" s="72"/>
      <c r="AB42" s="72"/>
      <c r="AC42" s="72"/>
      <c r="AD42" s="72"/>
      <c r="AE42" s="72"/>
      <c r="AF42" s="72"/>
      <c r="AK42" s="66" t="str">
        <f>IF(OR($AL42="",COUNTIF($AL$3:$AR$3,$AL$2)=0),"",MAX($AK$3:AK41)+1)</f>
        <v/>
      </c>
      <c r="AL42" s="66"/>
    </row>
    <row r="43" spans="2:44" ht="16.5" hidden="1" customHeight="1">
      <c r="B43" s="26" t="s">
        <v>41</v>
      </c>
      <c r="C43" s="394" t="str">
        <f>input_s!H53</f>
        <v>金融機構轉帳</v>
      </c>
      <c r="D43" s="608" t="str">
        <f>IF(AND($C$24&lt;&gt;1,COUNTIF(En_PayMR,$C$43)&lt;&gt;1),1,"")</f>
        <v/>
      </c>
      <c r="H43" s="668" t="s">
        <v>1365</v>
      </c>
      <c r="I43" s="576">
        <v>10</v>
      </c>
      <c r="J43" s="434" t="str">
        <f t="shared" si="0"/>
        <v>10LTT</v>
      </c>
      <c r="K43" s="669">
        <v>0</v>
      </c>
      <c r="L43" s="576">
        <v>15</v>
      </c>
      <c r="M43" s="576">
        <v>65</v>
      </c>
      <c r="N43" s="668">
        <v>0.5</v>
      </c>
      <c r="O43" s="668">
        <f ca="1">VLOOKUP($F$55,$H$81:$I$161,2,0)</f>
        <v>2</v>
      </c>
      <c r="R43" s="72"/>
      <c r="S43" s="72"/>
      <c r="T43" s="72"/>
      <c r="U43" s="72"/>
      <c r="V43" s="73"/>
      <c r="W43" s="72"/>
      <c r="X43" s="72"/>
      <c r="Y43" s="72"/>
      <c r="Z43" s="72"/>
      <c r="AA43" s="72"/>
      <c r="AB43" s="72"/>
      <c r="AC43" s="72"/>
      <c r="AD43" s="72"/>
      <c r="AE43" s="72"/>
      <c r="AF43" s="72"/>
      <c r="AK43" s="66" t="str">
        <f>IF(OR($AL43="",COUNTIF($AL$3:$AR$3,$AL$2)=0),"",MAX($AK$3:AK42)+1)</f>
        <v/>
      </c>
      <c r="AL43" s="66"/>
    </row>
    <row r="44" spans="2:44" ht="16.5" hidden="1" customHeight="1">
      <c r="B44" s="26" t="s">
        <v>42</v>
      </c>
      <c r="C44" s="38">
        <f>IF(OR($K$27&lt;&gt;0,ISNA(VLOOKUP(C43,$H$21:$I$25,2,FALSE))),0,VLOOKUP(C43,$H$21:$I$25,2,FALSE))</f>
        <v>0.01</v>
      </c>
      <c r="D44" s="39" t="str">
        <f>IF(C44&gt;0,"-續期享有1%繳別折扣-","")</f>
        <v>-續期享有1%繳別折扣-</v>
      </c>
      <c r="H44" s="668" t="s">
        <v>1365</v>
      </c>
      <c r="I44" s="576">
        <v>20</v>
      </c>
      <c r="J44" s="434" t="str">
        <f t="shared" si="0"/>
        <v>20LTT</v>
      </c>
      <c r="K44" s="669">
        <v>0</v>
      </c>
      <c r="L44" s="576">
        <v>15</v>
      </c>
      <c r="M44" s="576">
        <v>55</v>
      </c>
      <c r="N44" s="668">
        <v>0.5</v>
      </c>
      <c r="O44" s="668">
        <f t="shared" ref="O44:O45" ca="1" si="1">VLOOKUP($F$55,$H$81:$I$161,2,0)</f>
        <v>2</v>
      </c>
      <c r="R44" s="72"/>
      <c r="S44" s="72"/>
      <c r="T44" s="72"/>
      <c r="U44" s="72"/>
      <c r="V44" s="73"/>
      <c r="W44" s="72"/>
      <c r="X44" s="72"/>
      <c r="Y44" s="72"/>
      <c r="Z44" s="72"/>
      <c r="AA44" s="72"/>
      <c r="AB44" s="72"/>
      <c r="AC44" s="72"/>
      <c r="AD44" s="72"/>
      <c r="AE44" s="72"/>
      <c r="AF44" s="72"/>
      <c r="AK44" s="66" t="str">
        <f>IF(OR($AL44="",COUNTIF($AL$3:$AR$3,$AL$2)=0),"",MAX($AK$3:AK43)+1)</f>
        <v/>
      </c>
      <c r="AL44" s="66"/>
    </row>
    <row r="45" spans="2:44" ht="16.5" hidden="1" customHeight="1">
      <c r="B45" s="26" t="s">
        <v>43</v>
      </c>
      <c r="C45" s="669">
        <f>IF($K$27=1,IF($C$24=10,6%,IF($C$24=20,5%,IF($C$24=30,4%,1%))),1%)</f>
        <v>0.01</v>
      </c>
      <c r="D45" s="593" t="str">
        <f>IF(OR(C45="",),1,"")</f>
        <v/>
      </c>
      <c r="H45" s="668" t="s">
        <v>1365</v>
      </c>
      <c r="I45" s="576">
        <v>30</v>
      </c>
      <c r="J45" s="434" t="str">
        <f t="shared" si="0"/>
        <v>30LTT</v>
      </c>
      <c r="K45" s="669">
        <v>0</v>
      </c>
      <c r="L45" s="576">
        <v>15</v>
      </c>
      <c r="M45" s="576">
        <v>45</v>
      </c>
      <c r="N45" s="668">
        <v>0.5</v>
      </c>
      <c r="O45" s="668">
        <f t="shared" ca="1" si="1"/>
        <v>2</v>
      </c>
      <c r="R45" s="72"/>
      <c r="S45" s="72"/>
      <c r="T45" s="72"/>
      <c r="U45" s="72"/>
      <c r="V45" s="73"/>
      <c r="W45" s="72"/>
      <c r="X45" s="72"/>
      <c r="Y45" s="72"/>
      <c r="Z45" s="72"/>
      <c r="AA45" s="72"/>
      <c r="AB45" s="72"/>
      <c r="AC45" s="72"/>
      <c r="AD45" s="72"/>
      <c r="AE45" s="72"/>
      <c r="AF45" s="72"/>
      <c r="AK45" s="66" t="str">
        <f>IF(OR($AL45="",COUNTIF($AL$3:$AR$3,$AL$2)=0),"",MAX($AK$3:AK44)+1)</f>
        <v/>
      </c>
      <c r="AL45" s="66"/>
    </row>
    <row r="46" spans="2:44" ht="16.5" hidden="1" customHeight="1">
      <c r="B46" s="26" t="s">
        <v>44</v>
      </c>
      <c r="C46" s="40">
        <f>MIN(SUM(C36:C40,C42),C45)</f>
        <v>0.01</v>
      </c>
      <c r="D46" s="41"/>
      <c r="H46" s="668"/>
      <c r="I46" s="576"/>
      <c r="J46" s="434" t="str">
        <f t="shared" si="0"/>
        <v/>
      </c>
      <c r="K46" s="669"/>
      <c r="L46" s="576"/>
      <c r="M46" s="576"/>
      <c r="N46" s="668"/>
      <c r="O46" s="668"/>
      <c r="R46" s="72"/>
      <c r="S46" s="72"/>
      <c r="T46" s="72"/>
      <c r="U46" s="72"/>
      <c r="V46" s="73"/>
      <c r="W46" s="72"/>
      <c r="X46" s="72"/>
      <c r="Y46" s="72"/>
      <c r="Z46" s="72"/>
      <c r="AA46" s="72"/>
      <c r="AB46" s="72"/>
      <c r="AC46" s="72"/>
      <c r="AD46" s="72"/>
      <c r="AE46" s="72"/>
      <c r="AF46" s="72"/>
      <c r="AK46" s="66"/>
      <c r="AL46" s="434" t="s">
        <v>375</v>
      </c>
      <c r="AM46" s="434" t="s">
        <v>403</v>
      </c>
      <c r="AN46" s="434" t="s">
        <v>808</v>
      </c>
      <c r="AO46" s="434"/>
      <c r="AP46" s="434"/>
      <c r="AQ46" s="434"/>
      <c r="AR46" s="434"/>
    </row>
    <row r="47" spans="2:44" ht="16.5" hidden="1" customHeight="1">
      <c r="B47" s="26" t="s">
        <v>45</v>
      </c>
      <c r="C47" s="40">
        <f>MIN(SUM(C36:C40,C44),C45)</f>
        <v>0.01</v>
      </c>
      <c r="H47" s="668"/>
      <c r="I47" s="668"/>
      <c r="J47" s="434" t="str">
        <f t="shared" si="0"/>
        <v/>
      </c>
      <c r="K47" s="668"/>
      <c r="L47" s="576"/>
      <c r="M47" s="576"/>
      <c r="N47" s="668"/>
      <c r="O47" s="668"/>
      <c r="R47" s="72"/>
      <c r="S47" s="72"/>
      <c r="T47" s="72"/>
      <c r="U47" s="72"/>
      <c r="V47" s="73"/>
      <c r="W47" s="72"/>
      <c r="X47" s="72"/>
      <c r="Y47" s="72"/>
      <c r="Z47" s="72"/>
      <c r="AA47" s="72"/>
      <c r="AB47" s="72"/>
      <c r="AC47" s="72"/>
      <c r="AD47" s="72"/>
      <c r="AE47" s="72"/>
      <c r="AF47" s="72"/>
      <c r="AK47" s="66">
        <f>IF(OR($AL47="",COUNTIF($AL$46:$AR$46,$AL$2)=0),"",MAX($AK$3:AK46)+1)</f>
        <v>1</v>
      </c>
      <c r="AL47" s="66" t="s">
        <v>352</v>
      </c>
    </row>
    <row r="48" spans="2:44" ht="17.25" hidden="1" customHeight="1">
      <c r="B48" s="26" t="s">
        <v>46</v>
      </c>
      <c r="C48" s="34">
        <f ca="1">ROUND(C35*(1-C46),0)</f>
        <v>11326</v>
      </c>
      <c r="D48" s="596"/>
      <c r="H48" s="668"/>
      <c r="I48" s="668"/>
      <c r="J48" s="434" t="str">
        <f t="shared" si="0"/>
        <v/>
      </c>
      <c r="K48" s="668"/>
      <c r="L48" s="576"/>
      <c r="M48" s="576"/>
      <c r="N48" s="668"/>
      <c r="O48" s="668"/>
      <c r="R48" s="72"/>
      <c r="S48" s="72"/>
      <c r="T48" s="72"/>
      <c r="U48" s="72"/>
      <c r="V48" s="73"/>
      <c r="W48" s="72"/>
      <c r="X48" s="72"/>
      <c r="Y48" s="72"/>
      <c r="Z48" s="72"/>
      <c r="AA48" s="72"/>
      <c r="AB48" s="72"/>
      <c r="AC48" s="72"/>
      <c r="AD48" s="72"/>
      <c r="AE48" s="72"/>
      <c r="AF48" s="72"/>
      <c r="AK48" s="66">
        <f>IF(OR($AL48="",COUNTIF($AL$46:$AR$46,$AL$2)=0),"",MAX($AK$3:AK47)+1)</f>
        <v>2</v>
      </c>
      <c r="AL48" s="66" t="s">
        <v>353</v>
      </c>
    </row>
    <row r="49" spans="2:38" ht="17.25" hidden="1" customHeight="1">
      <c r="B49" s="26" t="s">
        <v>47</v>
      </c>
      <c r="C49" s="34">
        <f ca="1">ROUND(C35*(1-C47),0)</f>
        <v>11326</v>
      </c>
      <c r="D49" s="596" t="str">
        <f>IF($C$50=12,"-月繳首期須繳2個月"&amp;TEXT($C$48*2,"#,##0元"),"")</f>
        <v/>
      </c>
      <c r="H49" s="668"/>
      <c r="I49" s="668"/>
      <c r="J49" s="434" t="str">
        <f t="shared" si="0"/>
        <v/>
      </c>
      <c r="K49" s="668"/>
      <c r="L49" s="576"/>
      <c r="M49" s="576"/>
      <c r="N49" s="668"/>
      <c r="O49" s="668"/>
      <c r="R49" s="72"/>
      <c r="S49" s="72"/>
      <c r="T49" s="72"/>
      <c r="U49" s="72"/>
      <c r="V49" s="73"/>
      <c r="W49" s="72"/>
      <c r="X49" s="72"/>
      <c r="Y49" s="72"/>
      <c r="Z49" s="72"/>
      <c r="AA49" s="72"/>
      <c r="AB49" s="72"/>
      <c r="AC49" s="72"/>
      <c r="AD49" s="72"/>
      <c r="AE49" s="72"/>
      <c r="AF49" s="72"/>
      <c r="AK49" s="66">
        <f>IF(OR($AL49="",COUNTIF($AL$46:$AR$46,$AL$2)=0),"",MAX($AK$3:AK48)+1)</f>
        <v>3</v>
      </c>
      <c r="AL49" s="66" t="s">
        <v>354</v>
      </c>
    </row>
    <row r="50" spans="2:38" ht="16.5" hidden="1" customHeight="1">
      <c r="B50" s="26" t="s">
        <v>48</v>
      </c>
      <c r="C50" s="26">
        <f>IF(D32=1,,VLOOKUP(C32,H2:K7,4,FALSE))</f>
        <v>1</v>
      </c>
      <c r="D50" s="593"/>
      <c r="E50" s="27" t="s">
        <v>49</v>
      </c>
      <c r="H50" s="668"/>
      <c r="I50" s="668"/>
      <c r="J50" s="434" t="str">
        <f t="shared" si="0"/>
        <v/>
      </c>
      <c r="K50" s="668"/>
      <c r="L50" s="576"/>
      <c r="M50" s="576"/>
      <c r="N50" s="668"/>
      <c r="O50" s="668"/>
      <c r="R50" s="72"/>
      <c r="S50" s="72"/>
      <c r="T50" s="72"/>
      <c r="U50" s="72"/>
      <c r="V50" s="73"/>
      <c r="W50" s="72"/>
      <c r="X50" s="72"/>
      <c r="Y50" s="72"/>
      <c r="Z50" s="72"/>
      <c r="AA50" s="72"/>
      <c r="AB50" s="72"/>
      <c r="AC50" s="72"/>
      <c r="AD50" s="72"/>
      <c r="AE50" s="72"/>
      <c r="AF50" s="72"/>
      <c r="AK50" s="66">
        <f>IF(OR($AL50="",COUNTIF($AL$46:$AR$46,$AL$2)=0),"",MAX($AK$3:AK49)+1)</f>
        <v>4</v>
      </c>
      <c r="AL50" s="66" t="s">
        <v>355</v>
      </c>
    </row>
    <row r="51" spans="2:38" hidden="1">
      <c r="B51" s="26" t="s">
        <v>52</v>
      </c>
      <c r="C51" s="34">
        <f ca="1">IF(C50=12,C48*2+C49*10,C48*1+C49*(C50-1))</f>
        <v>11326</v>
      </c>
      <c r="D51" s="443" t="str">
        <f>IF($C$96=0,1,"")</f>
        <v/>
      </c>
      <c r="H51" s="668"/>
      <c r="I51" s="668"/>
      <c r="J51" s="434" t="str">
        <f t="shared" si="0"/>
        <v/>
      </c>
      <c r="K51" s="668"/>
      <c r="L51" s="576"/>
      <c r="M51" s="576"/>
      <c r="N51" s="668"/>
      <c r="O51" s="668"/>
      <c r="R51" s="72"/>
      <c r="S51" s="72"/>
      <c r="T51" s="72"/>
      <c r="U51" s="72"/>
      <c r="V51" s="73"/>
      <c r="W51" s="72"/>
      <c r="X51" s="72"/>
      <c r="Y51" s="72"/>
      <c r="Z51" s="72"/>
      <c r="AA51" s="72"/>
      <c r="AB51" s="72"/>
      <c r="AC51" s="72"/>
      <c r="AD51" s="72"/>
      <c r="AF51" s="72"/>
      <c r="AK51" s="66">
        <f>IF(OR($AL51="",COUNTIF($AL$46:$AR$46,$AL$2)=0),"",MAX($AK$3:AK50)+1)</f>
        <v>5</v>
      </c>
      <c r="AL51" s="66" t="s">
        <v>356</v>
      </c>
    </row>
    <row r="52" spans="2:38" hidden="1">
      <c r="B52" s="26" t="s">
        <v>53</v>
      </c>
      <c r="C52" s="34">
        <f ca="1">C49*C50</f>
        <v>11326</v>
      </c>
      <c r="D52" s="610"/>
      <c r="H52" s="668"/>
      <c r="I52" s="668"/>
      <c r="J52" s="434" t="str">
        <f t="shared" si="0"/>
        <v/>
      </c>
      <c r="K52" s="668"/>
      <c r="L52" s="576"/>
      <c r="M52" s="576"/>
      <c r="N52" s="668"/>
      <c r="O52" s="668"/>
      <c r="R52" s="72"/>
      <c r="S52" s="72"/>
      <c r="T52" s="72"/>
      <c r="U52" s="72"/>
      <c r="V52" s="73"/>
      <c r="W52" s="72"/>
      <c r="X52" s="72"/>
      <c r="Y52" s="72"/>
      <c r="Z52" s="72"/>
      <c r="AA52" s="72"/>
      <c r="AB52" s="72"/>
      <c r="AC52" s="72"/>
      <c r="AD52" s="72"/>
      <c r="AE52" s="72"/>
      <c r="AF52" s="72"/>
      <c r="AK52" s="66">
        <f>IF(OR($AL52="",COUNTIF($AL$46:$AR$46,$AL$2)=0),"",MAX($AK$3:AK51)+1)</f>
        <v>6</v>
      </c>
      <c r="AL52" s="66" t="s">
        <v>357</v>
      </c>
    </row>
    <row r="53" spans="2:38" hidden="1">
      <c r="B53" s="31" t="s">
        <v>54</v>
      </c>
      <c r="C53" s="593" t="str">
        <f ca="1">IF(SUM(D15:D16,D18,D28,D32:D33,D40:D41,D43,D45,D50,D51,D64,E96)&gt;=1,1,"")</f>
        <v/>
      </c>
      <c r="D53" s="593" t="str">
        <f ca="1">IF($B$2=1,$C$53,IF(SUM(C53,AD20)&gt;=1,1,""))</f>
        <v/>
      </c>
      <c r="H53" s="668"/>
      <c r="I53" s="668"/>
      <c r="J53" s="434" t="str">
        <f t="shared" si="0"/>
        <v/>
      </c>
      <c r="K53" s="668"/>
      <c r="L53" s="576"/>
      <c r="M53" s="576"/>
      <c r="N53" s="668"/>
      <c r="O53" s="668"/>
      <c r="R53" s="72"/>
      <c r="S53" s="72"/>
      <c r="T53" s="72"/>
      <c r="U53" s="72"/>
      <c r="V53" s="73"/>
      <c r="W53" s="72"/>
      <c r="X53" s="72"/>
      <c r="Y53" s="72"/>
      <c r="Z53" s="72"/>
      <c r="AA53" s="72"/>
      <c r="AB53" s="72"/>
      <c r="AC53" s="72"/>
      <c r="AD53" s="72"/>
      <c r="AE53" s="72"/>
      <c r="AF53" s="72"/>
      <c r="AK53" s="66">
        <f>IF(OR($AL53="",COUNTIF($AL$46:$AR$46,$AL$2)=0),"",MAX($AK$3:AK52)+1)</f>
        <v>7</v>
      </c>
      <c r="AL53" s="66" t="s">
        <v>358</v>
      </c>
    </row>
    <row r="54" spans="2:38" hidden="1">
      <c r="B54" s="26" t="s">
        <v>55</v>
      </c>
      <c r="C54" s="675" t="s">
        <v>1337</v>
      </c>
      <c r="F54" s="27" t="s">
        <v>1329</v>
      </c>
      <c r="H54" s="668"/>
      <c r="I54" s="668"/>
      <c r="J54" s="434" t="str">
        <f t="shared" si="0"/>
        <v/>
      </c>
      <c r="K54" s="668"/>
      <c r="L54" s="576"/>
      <c r="M54" s="576"/>
      <c r="N54" s="668"/>
      <c r="O54" s="668"/>
      <c r="R54" s="72"/>
      <c r="S54" s="72"/>
      <c r="T54" s="72"/>
      <c r="U54" s="72"/>
      <c r="V54" s="73"/>
      <c r="W54" s="72"/>
      <c r="X54" s="72"/>
      <c r="Y54" s="72"/>
      <c r="Z54" s="72"/>
      <c r="AA54" s="72"/>
      <c r="AB54" s="72"/>
      <c r="AC54" s="72"/>
      <c r="AD54" s="72"/>
      <c r="AE54" s="72"/>
      <c r="AF54" s="72"/>
      <c r="AK54" s="66">
        <f>IF(OR($AL54="",COUNTIF($AL$46:$AR$46,$AL$2)=0),"",MAX($AK$3:AK53)+1)</f>
        <v>8</v>
      </c>
      <c r="AL54" s="66" t="s">
        <v>359</v>
      </c>
    </row>
    <row r="55" spans="2:38" hidden="1">
      <c r="B55" s="26" t="s">
        <v>73</v>
      </c>
      <c r="C55" s="26" t="str">
        <f ca="1">C22&amp;IF($C$24=1,"",TEXT($C$24,"00"))&amp;IF($B$2=1,TEXT($C$18,"00")&amp;TEXT($D$5,"00"),$D$55)</f>
        <v>LTT300215</v>
      </c>
      <c r="D55" s="647" t="str">
        <f>IF($B$2=2,IF($D$5&gt;$AD$5,TEXT($AC$18,"00")&amp;TEXT($AD$5,"00")&amp;TEXT($C$18,"00")&amp;TEXT($D$5,"00"),TEXT($C$18,"00")&amp;TEXT($D$5,"00")&amp;TEXT($AC$18,"00")&amp;TEXT($AD$5,"00")),"")</f>
        <v/>
      </c>
      <c r="E55" s="27" t="s">
        <v>56</v>
      </c>
      <c r="F55" s="647">
        <f ca="1">IF($B$2=1,$D$5,MIN($D$5,$AD$5))</f>
        <v>15</v>
      </c>
      <c r="H55" s="668"/>
      <c r="I55" s="668"/>
      <c r="J55" s="434" t="str">
        <f t="shared" si="0"/>
        <v/>
      </c>
      <c r="K55" s="668"/>
      <c r="L55" s="576"/>
      <c r="M55" s="576"/>
      <c r="N55" s="668"/>
      <c r="O55" s="668"/>
      <c r="R55" s="72"/>
      <c r="S55" s="72"/>
      <c r="T55" s="72"/>
      <c r="U55" s="72"/>
      <c r="V55" s="73"/>
      <c r="W55" s="72"/>
      <c r="X55" s="72"/>
      <c r="Y55" s="72"/>
      <c r="Z55" s="72"/>
      <c r="AA55" s="72"/>
      <c r="AB55" s="72"/>
      <c r="AC55" s="72"/>
      <c r="AD55" s="72"/>
      <c r="AE55" s="72"/>
      <c r="AF55" s="72"/>
      <c r="AK55" s="66">
        <f>IF(OR($AL55="",COUNTIF($AL$46:$AR$46,$AL$2)=0),"",MAX($AK$3:AK54)+1)</f>
        <v>9</v>
      </c>
      <c r="AL55" s="66" t="s">
        <v>360</v>
      </c>
    </row>
    <row r="56" spans="2:38" ht="17.25" hidden="1" customHeight="1">
      <c r="B56" s="26" t="s">
        <v>57</v>
      </c>
      <c r="C56" s="26" t="str">
        <f>C22&amp;IF($C$24=1,"",TEXT($C$24,"00"))</f>
        <v>LTT30</v>
      </c>
      <c r="D56" s="41" t="s">
        <v>1360</v>
      </c>
      <c r="H56" s="668"/>
      <c r="I56" s="668"/>
      <c r="J56" s="434" t="str">
        <f t="shared" si="0"/>
        <v/>
      </c>
      <c r="K56" s="668"/>
      <c r="L56" s="576"/>
      <c r="M56" s="576"/>
      <c r="N56" s="668"/>
      <c r="O56" s="668"/>
      <c r="R56" s="72"/>
      <c r="S56" s="72"/>
      <c r="T56" s="72"/>
      <c r="U56" s="72"/>
      <c r="V56" s="73"/>
      <c r="W56" s="72"/>
      <c r="X56" s="72"/>
      <c r="Y56" s="72"/>
      <c r="Z56" s="72"/>
      <c r="AA56" s="72"/>
      <c r="AB56" s="72"/>
      <c r="AC56" s="72"/>
      <c r="AD56" s="72"/>
      <c r="AE56" s="72"/>
      <c r="AF56" s="72"/>
      <c r="AK56" s="66">
        <f>IF(OR($AL56="",COUNTIF($AL$46:$AR$46,$AL$2)=0),"",MAX($AK$3:AK55)+1)</f>
        <v>10</v>
      </c>
      <c r="AL56" s="66" t="s">
        <v>361</v>
      </c>
    </row>
    <row r="57" spans="2:38" ht="17.25" hidden="1" customHeight="1">
      <c r="B57" s="26" t="s">
        <v>310</v>
      </c>
      <c r="C57" s="26">
        <f ca="1">$F$57-D5+1</f>
        <v>71</v>
      </c>
      <c r="D57" s="583">
        <f ca="1">IF($B$2=1,$C$57,MAX($C$57,$AC$21))</f>
        <v>71</v>
      </c>
      <c r="E57" s="37" t="s">
        <v>619</v>
      </c>
      <c r="F57" s="668">
        <v>85</v>
      </c>
      <c r="H57" s="668"/>
      <c r="I57" s="668"/>
      <c r="J57" s="434" t="str">
        <f t="shared" si="0"/>
        <v/>
      </c>
      <c r="K57" s="668"/>
      <c r="L57" s="576"/>
      <c r="M57" s="576"/>
      <c r="N57" s="668"/>
      <c r="O57" s="668"/>
      <c r="R57" s="72"/>
      <c r="S57" s="72"/>
      <c r="T57" s="72"/>
      <c r="U57" s="72"/>
      <c r="V57" s="73"/>
      <c r="W57" s="72"/>
      <c r="X57" s="72"/>
      <c r="Y57" s="72"/>
      <c r="Z57" s="72"/>
      <c r="AA57" s="72"/>
      <c r="AB57" s="72"/>
      <c r="AC57" s="72"/>
      <c r="AD57" s="72"/>
      <c r="AE57" s="72"/>
      <c r="AK57" s="66">
        <f>IF(OR($AL57="",COUNTIF($AL$46:$AR$46,$AL$2)=0),"",MAX($AK$3:AK56)+1)</f>
        <v>11</v>
      </c>
      <c r="AL57" s="66" t="s">
        <v>362</v>
      </c>
    </row>
    <row r="58" spans="2:38" hidden="1">
      <c r="B58" s="26" t="s">
        <v>341</v>
      </c>
      <c r="C58" s="576">
        <v>1</v>
      </c>
      <c r="D58" s="42"/>
      <c r="H58" s="668"/>
      <c r="I58" s="668"/>
      <c r="J58" s="434" t="str">
        <f t="shared" si="0"/>
        <v/>
      </c>
      <c r="K58" s="668"/>
      <c r="L58" s="576"/>
      <c r="M58" s="576"/>
      <c r="N58" s="668"/>
      <c r="O58" s="668"/>
      <c r="R58" s="72"/>
      <c r="S58" s="72"/>
      <c r="T58" s="72"/>
      <c r="U58" s="72"/>
      <c r="V58" s="73"/>
      <c r="W58" s="72"/>
      <c r="X58" s="72"/>
      <c r="Y58" s="72"/>
      <c r="Z58" s="72"/>
      <c r="AA58" s="72"/>
      <c r="AB58" s="72"/>
      <c r="AC58" s="72"/>
      <c r="AD58" s="72"/>
      <c r="AE58" s="72"/>
      <c r="AK58" s="66">
        <f>IF(OR($AL58="",COUNTIF($AL$46:$AR$46,$AL$2)=0),"",MAX($AK$3:AK57)+1)</f>
        <v>12</v>
      </c>
      <c r="AL58" s="66" t="s">
        <v>406</v>
      </c>
    </row>
    <row r="59" spans="2:38" hidden="1">
      <c r="B59" s="26" t="s">
        <v>342</v>
      </c>
      <c r="H59" s="668"/>
      <c r="I59" s="668"/>
      <c r="J59" s="434" t="str">
        <f t="shared" si="0"/>
        <v/>
      </c>
      <c r="K59" s="668"/>
      <c r="L59" s="576"/>
      <c r="M59" s="576"/>
      <c r="N59" s="668"/>
      <c r="O59" s="668"/>
      <c r="R59" s="72"/>
      <c r="S59" s="72"/>
      <c r="T59" s="72"/>
      <c r="U59" s="72"/>
      <c r="V59" s="73"/>
      <c r="W59" s="72"/>
      <c r="X59" s="72"/>
      <c r="Y59" s="72"/>
      <c r="Z59" s="72"/>
      <c r="AA59" s="72"/>
      <c r="AB59" s="72"/>
      <c r="AC59" s="72"/>
      <c r="AD59" s="72"/>
      <c r="AE59" s="72"/>
      <c r="AK59" s="66">
        <f>IF(OR($AL59="",COUNTIF($AL$46:$AR$46,$AL$2)=0),"",MAX($AK$3:AK58)+1)</f>
        <v>13</v>
      </c>
      <c r="AL59" s="66" t="s">
        <v>407</v>
      </c>
    </row>
    <row r="60" spans="2:38" hidden="1">
      <c r="B60" s="26" t="s">
        <v>343</v>
      </c>
      <c r="H60" s="668"/>
      <c r="I60" s="668"/>
      <c r="J60" s="434" t="str">
        <f t="shared" si="0"/>
        <v/>
      </c>
      <c r="K60" s="668"/>
      <c r="L60" s="576"/>
      <c r="M60" s="576"/>
      <c r="N60" s="668"/>
      <c r="O60" s="668"/>
      <c r="Q60" s="611"/>
      <c r="R60" s="611"/>
      <c r="S60" s="611"/>
      <c r="T60" s="611"/>
      <c r="U60" s="611"/>
      <c r="V60" s="611"/>
      <c r="W60" s="611"/>
      <c r="X60" s="611"/>
      <c r="Y60" s="611"/>
      <c r="Z60" s="611"/>
      <c r="AA60" s="611"/>
      <c r="AB60" s="611"/>
      <c r="AC60" s="611"/>
      <c r="AD60" s="611"/>
      <c r="AE60" s="72"/>
      <c r="AK60" s="66">
        <f>IF(OR($AL60="",COUNTIF($AL$46:$AR$46,$AL$2)=0),"",MAX($AK$3:AK59)+1)</f>
        <v>14</v>
      </c>
      <c r="AL60" s="66" t="s">
        <v>363</v>
      </c>
    </row>
    <row r="61" spans="2:38" hidden="1">
      <c r="B61" s="310" t="s">
        <v>574</v>
      </c>
      <c r="C61" s="310">
        <f>輸入頁!$E$53</f>
        <v>100000</v>
      </c>
      <c r="H61" s="668"/>
      <c r="I61" s="668"/>
      <c r="J61" s="434" t="str">
        <f t="shared" si="0"/>
        <v/>
      </c>
      <c r="K61" s="668"/>
      <c r="L61" s="576"/>
      <c r="M61" s="576"/>
      <c r="N61" s="668"/>
      <c r="O61" s="668"/>
      <c r="Q61" s="612"/>
      <c r="R61" s="612"/>
      <c r="S61" s="612"/>
      <c r="T61" s="612"/>
      <c r="U61" s="612"/>
      <c r="V61" s="612"/>
      <c r="W61" s="612"/>
      <c r="X61" s="612"/>
      <c r="Y61" s="612"/>
      <c r="Z61" s="612"/>
      <c r="AA61" s="612"/>
      <c r="AB61" s="612"/>
      <c r="AC61" s="612"/>
      <c r="AD61" s="612"/>
      <c r="AE61" s="72"/>
      <c r="AK61" s="66">
        <f>IF(OR($AL61="",COUNTIF($AL$46:$AR$46,$AL$2)=0),"",MAX($AK$3:AK60)+1)</f>
        <v>15</v>
      </c>
      <c r="AL61" s="66" t="s">
        <v>828</v>
      </c>
    </row>
    <row r="62" spans="2:38" hidden="1">
      <c r="B62" s="310" t="s">
        <v>575</v>
      </c>
      <c r="C62" s="310">
        <f ca="1">ROUNDDOWN(C61/C30,$E$28)</f>
        <v>8.6999999999999993</v>
      </c>
      <c r="H62" s="668"/>
      <c r="I62" s="668"/>
      <c r="J62" s="434" t="str">
        <f t="shared" si="0"/>
        <v/>
      </c>
      <c r="K62" s="668"/>
      <c r="L62" s="576"/>
      <c r="M62" s="576"/>
      <c r="N62" s="668"/>
      <c r="O62" s="668"/>
      <c r="Q62" s="612"/>
      <c r="R62" s="612"/>
      <c r="S62" s="612"/>
      <c r="T62" s="612"/>
      <c r="U62" s="612"/>
      <c r="V62" s="612"/>
      <c r="W62" s="612"/>
      <c r="X62" s="612"/>
      <c r="Y62" s="612"/>
      <c r="Z62" s="612"/>
      <c r="AA62" s="612"/>
      <c r="AB62" s="612"/>
      <c r="AC62" s="612"/>
      <c r="AD62" s="612"/>
      <c r="AE62" s="72"/>
      <c r="AK62" s="66">
        <f>IF(OR($AL62="",COUNTIF($AL$46:$AR$46,$AL$2)=0),"",MAX($AK$3:AK61)+1)</f>
        <v>16</v>
      </c>
      <c r="AL62" s="66" t="s">
        <v>824</v>
      </c>
    </row>
    <row r="63" spans="2:38" hidden="1">
      <c r="B63" s="310" t="s">
        <v>576</v>
      </c>
      <c r="C63" s="310">
        <f ca="1">ROUNDDOWN((C61*(1+C46))/C30,$E$28)</f>
        <v>8.8000000000000007</v>
      </c>
      <c r="Q63" s="612"/>
      <c r="R63" s="612"/>
      <c r="S63" s="612"/>
      <c r="T63" s="612"/>
      <c r="U63" s="612"/>
      <c r="V63" s="612"/>
      <c r="W63" s="612"/>
      <c r="X63" s="612"/>
      <c r="Y63" s="612"/>
      <c r="Z63" s="612"/>
      <c r="AA63" s="612"/>
      <c r="AB63" s="612"/>
      <c r="AC63" s="612"/>
      <c r="AD63" s="612"/>
      <c r="AE63" s="72"/>
      <c r="AK63" s="66">
        <f>IF(OR($AL63="",COUNTIF($AL$46:$AR$46,$AL$2)=0),"",MAX($AK$3:AK62)+1)</f>
        <v>17</v>
      </c>
      <c r="AL63" s="66" t="s">
        <v>825</v>
      </c>
    </row>
    <row r="64" spans="2:38" ht="17.25" hidden="1" customHeight="1">
      <c r="B64" s="613" t="s">
        <v>578</v>
      </c>
      <c r="C64" s="404">
        <f>input_s!$H$61</f>
        <v>1</v>
      </c>
      <c r="D64" s="614" t="str">
        <f>IF(ROUND($C$64,$E$28)&lt;&gt;$C$64,1,"")</f>
        <v/>
      </c>
      <c r="E64" s="614" t="str">
        <f>IF(D64=1,"保額輸入"&amp;C64&amp;"不符投保規則，請重新輸入","")</f>
        <v/>
      </c>
      <c r="Q64" s="612"/>
      <c r="R64" s="612"/>
      <c r="S64" s="612"/>
      <c r="T64" s="612"/>
      <c r="U64" s="612"/>
      <c r="V64" s="612"/>
      <c r="W64" s="612"/>
      <c r="X64" s="612"/>
      <c r="Y64" s="612"/>
      <c r="Z64" s="612"/>
      <c r="AA64" s="612"/>
      <c r="AB64" s="612"/>
      <c r="AC64" s="612"/>
      <c r="AD64" s="612"/>
      <c r="AE64" s="72"/>
      <c r="AK64" s="66">
        <f>IF(OR($AL64="",COUNTIF($AL$46:$AR$46,$AL$2)=0),"",MAX($AK$3:AK63)+1)</f>
        <v>18</v>
      </c>
      <c r="AL64" s="66" t="s">
        <v>376</v>
      </c>
    </row>
    <row r="65" spans="2:38" ht="17.25" hidden="1" customHeight="1">
      <c r="Q65" s="612"/>
      <c r="R65" s="612"/>
      <c r="S65" s="612"/>
      <c r="T65" s="612"/>
      <c r="U65" s="612"/>
      <c r="V65" s="612"/>
      <c r="W65" s="612"/>
      <c r="X65" s="612"/>
      <c r="Y65" s="612"/>
      <c r="Z65" s="612"/>
      <c r="AA65" s="612"/>
      <c r="AB65" s="612"/>
      <c r="AC65" s="612"/>
      <c r="AD65" s="612"/>
      <c r="AE65" s="72"/>
      <c r="AK65" s="66">
        <f>IF(OR($AL65="",COUNTIF($AL$46:$AR$46,$AL$2)=0),"",MAX($AK$3:AK64)+1)</f>
        <v>19</v>
      </c>
      <c r="AL65" s="66" t="s">
        <v>364</v>
      </c>
    </row>
    <row r="66" spans="2:38" hidden="1">
      <c r="H66" s="26"/>
      <c r="I66" s="26"/>
      <c r="J66" s="26"/>
      <c r="Q66" s="612"/>
      <c r="R66" s="612"/>
      <c r="S66" s="612"/>
      <c r="T66" s="612"/>
      <c r="U66" s="612"/>
      <c r="V66" s="612"/>
      <c r="W66" s="612"/>
      <c r="X66" s="612"/>
      <c r="Y66" s="612"/>
      <c r="Z66" s="612"/>
      <c r="AA66" s="612"/>
      <c r="AB66" s="612"/>
      <c r="AC66" s="612"/>
      <c r="AD66" s="612"/>
      <c r="AE66" s="72"/>
      <c r="AK66" s="66">
        <f>IF(OR($AL66="",COUNTIF($AL$46:$AR$46,$AL$2)=0),"",MAX($AK$3:AK65)+1)</f>
        <v>20</v>
      </c>
      <c r="AL66" s="66" t="s">
        <v>365</v>
      </c>
    </row>
    <row r="67" spans="2:38" hidden="1">
      <c r="B67" s="313"/>
      <c r="C67" s="314"/>
      <c r="Q67" s="612"/>
      <c r="R67" s="612"/>
      <c r="S67" s="612"/>
      <c r="T67" s="612"/>
      <c r="U67" s="612"/>
      <c r="V67" s="612"/>
      <c r="W67" s="612"/>
      <c r="X67" s="612"/>
      <c r="Y67" s="612"/>
      <c r="Z67" s="612"/>
      <c r="AA67" s="612"/>
      <c r="AB67" s="612"/>
      <c r="AC67" s="612"/>
      <c r="AD67" s="612"/>
      <c r="AE67" s="72"/>
      <c r="AK67" s="66">
        <f>IF(OR($AL67="",COUNTIF($AL$46:$AR$46,$AL$2)=0),"",MAX($AK$3:AK66)+1)</f>
        <v>21</v>
      </c>
      <c r="AL67" s="66" t="s">
        <v>366</v>
      </c>
    </row>
    <row r="68" spans="2:38" hidden="1">
      <c r="B68" s="313"/>
      <c r="C68" s="313"/>
      <c r="H68" s="26"/>
      <c r="I68" s="26"/>
      <c r="J68" s="26"/>
      <c r="K68" s="26"/>
      <c r="L68" s="26"/>
      <c r="Q68" s="612"/>
      <c r="R68" s="612"/>
      <c r="S68" s="612"/>
      <c r="T68" s="612"/>
      <c r="U68" s="612"/>
      <c r="V68" s="612"/>
      <c r="W68" s="612"/>
      <c r="X68" s="612"/>
      <c r="Y68" s="612"/>
      <c r="Z68" s="612"/>
      <c r="AA68" s="612"/>
      <c r="AB68" s="612"/>
      <c r="AC68" s="612"/>
      <c r="AD68" s="612"/>
      <c r="AE68" s="72"/>
      <c r="AK68" s="66">
        <f>IF(OR($AL68="",COUNTIF($AL$46:$AR$46,$AL$2)=0),"",MAX($AK$3:AK67)+1)</f>
        <v>22</v>
      </c>
      <c r="AL68" s="66" t="s">
        <v>367</v>
      </c>
    </row>
    <row r="69" spans="2:38" hidden="1">
      <c r="B69" s="310" t="s">
        <v>319</v>
      </c>
      <c r="C69" s="672" t="s">
        <v>807</v>
      </c>
      <c r="D69" s="27" t="s">
        <v>607</v>
      </c>
      <c r="E69" s="673"/>
      <c r="F69" s="27" t="s">
        <v>618</v>
      </c>
      <c r="H69" s="310" t="s">
        <v>1194</v>
      </c>
      <c r="I69" s="312" t="str">
        <f>$C$22&amp;"折扣率"</f>
        <v>LTT折扣率</v>
      </c>
      <c r="J69" s="312" t="str">
        <f>$C$22&amp;"續年度折扣後實繳保費"&amp;IF($C$47&gt;0,"(含"&amp;IF($K$27=1,"員工轉帳","續期繳費方式")&amp;"折扣"&amp;TEXT($C$47,"0.0%")&amp;")","")</f>
        <v>LTT續年度折扣後實繳保費(含續期繳費方式折扣1.0%)</v>
      </c>
      <c r="K69" s="26"/>
      <c r="L69" s="26"/>
      <c r="Q69" s="612"/>
      <c r="R69" s="612"/>
      <c r="S69" s="612"/>
      <c r="T69" s="612"/>
      <c r="U69" s="612"/>
      <c r="V69" s="612"/>
      <c r="W69" s="612"/>
      <c r="X69" s="612"/>
      <c r="Y69" s="612"/>
      <c r="Z69" s="612"/>
      <c r="AA69" s="612"/>
      <c r="AB69" s="612"/>
      <c r="AC69" s="612"/>
      <c r="AD69" s="612"/>
      <c r="AE69" s="72"/>
      <c r="AK69" s="66">
        <f>IF(OR($AL69="",COUNTIF($AL$46:$AR$46,$AL$2)=0),"",MAX($AK$3:AK68)+1)</f>
        <v>23</v>
      </c>
      <c r="AL69" s="66" t="s">
        <v>368</v>
      </c>
    </row>
    <row r="70" spans="2:38" hidden="1">
      <c r="B70" s="27"/>
      <c r="C70" s="27"/>
      <c r="H70" s="312" t="s">
        <v>1338</v>
      </c>
      <c r="I70" s="559">
        <v>0.01</v>
      </c>
      <c r="J70" s="312">
        <f ca="1">ROUND($C$35*(1-($C$47+$I$70)),0)</f>
        <v>11211</v>
      </c>
      <c r="K70" s="26"/>
      <c r="L70" s="26"/>
      <c r="Q70" s="612"/>
      <c r="R70" s="612"/>
      <c r="S70" s="612"/>
      <c r="T70" s="612"/>
      <c r="U70" s="612"/>
      <c r="V70" s="612"/>
      <c r="W70" s="612"/>
      <c r="X70" s="612"/>
      <c r="Y70" s="612"/>
      <c r="Z70" s="612"/>
      <c r="AA70" s="612"/>
      <c r="AB70" s="612"/>
      <c r="AC70" s="612"/>
      <c r="AD70" s="612"/>
      <c r="AE70" s="72"/>
      <c r="AK70" s="66">
        <f>IF(OR($AL70="",COUNTIF($AL$46:$AR$46,$AL$2)=0),"",MAX($AK$3:AK69)+1)</f>
        <v>24</v>
      </c>
      <c r="AL70" s="66" t="s">
        <v>369</v>
      </c>
    </row>
    <row r="71" spans="2:38" hidden="1">
      <c r="B71" s="110" t="s">
        <v>388</v>
      </c>
      <c r="C71" s="110"/>
      <c r="D71" s="110"/>
      <c r="E71" s="110"/>
      <c r="H71" s="312"/>
      <c r="I71" s="559"/>
      <c r="J71" s="312"/>
      <c r="Q71" s="612"/>
      <c r="R71" s="612"/>
      <c r="S71" s="612"/>
      <c r="T71" s="612"/>
      <c r="U71" s="612"/>
      <c r="V71" s="612"/>
      <c r="W71" s="612"/>
      <c r="X71" s="612"/>
      <c r="Y71" s="612"/>
      <c r="Z71" s="612"/>
      <c r="AA71" s="612"/>
      <c r="AB71" s="612"/>
      <c r="AC71" s="612"/>
      <c r="AD71" s="612"/>
      <c r="AE71" s="72"/>
      <c r="AK71" s="66">
        <f>IF(OR($AL71="",COUNTIF($AL$46:$AR$46,$AL$2)=0),"",MAX($AK$3:AK70)+1)</f>
        <v>25</v>
      </c>
      <c r="AL71" s="66" t="s">
        <v>370</v>
      </c>
    </row>
    <row r="72" spans="2:38" hidden="1">
      <c r="B72" s="110" t="s">
        <v>58</v>
      </c>
      <c r="C72" s="395" t="str">
        <f>input_s!$H$21</f>
        <v>客戶</v>
      </c>
      <c r="D72" s="110" t="s">
        <v>389</v>
      </c>
      <c r="E72" s="615">
        <v>0</v>
      </c>
      <c r="H72" s="312"/>
      <c r="I72" s="559"/>
      <c r="J72" s="312"/>
      <c r="Q72" s="612"/>
      <c r="R72" s="612"/>
      <c r="S72" s="612"/>
      <c r="T72" s="612"/>
      <c r="U72" s="612"/>
      <c r="V72" s="612"/>
      <c r="W72" s="612"/>
      <c r="X72" s="612"/>
      <c r="Y72" s="612"/>
      <c r="Z72" s="612"/>
      <c r="AA72" s="612"/>
      <c r="AB72" s="612"/>
      <c r="AC72" s="612"/>
      <c r="AD72" s="612"/>
      <c r="AE72" s="72"/>
      <c r="AK72" s="66">
        <f>IF(OR($AL72="",COUNTIF($AL$46:$AR$46,$AL$2)=0),"",MAX($AK$3:AK71)+1)</f>
        <v>26</v>
      </c>
      <c r="AL72" s="66" t="s">
        <v>371</v>
      </c>
    </row>
    <row r="73" spans="2:38" hidden="1">
      <c r="B73" s="110" t="s">
        <v>390</v>
      </c>
      <c r="C73" s="616" t="str">
        <f>IF(E72=0,C72,IF(OR(E73=1,C72="",C72=0)," ",IF(AND(E82=0),C74&amp;MID(C72,7,50),IF(LEN(C72)=1,C72,LEFT(C72,LEN(C72)-2)&amp;"○"&amp;RIGHT(C72,1)))))</f>
        <v>客戶</v>
      </c>
      <c r="D73" s="335" t="s">
        <v>391</v>
      </c>
      <c r="E73" s="335"/>
      <c r="H73" s="312"/>
      <c r="I73" s="559"/>
      <c r="J73" s="312"/>
      <c r="Q73" s="612"/>
      <c r="R73" s="612"/>
      <c r="S73" s="612"/>
      <c r="T73" s="612"/>
      <c r="U73" s="612"/>
      <c r="V73" s="612"/>
      <c r="W73" s="612"/>
      <c r="X73" s="612"/>
      <c r="Y73" s="612"/>
      <c r="Z73" s="612"/>
      <c r="AA73" s="612"/>
      <c r="AB73" s="612"/>
      <c r="AC73" s="612"/>
      <c r="AD73" s="612"/>
      <c r="AE73" s="72"/>
      <c r="AK73" s="66">
        <f>IF(OR($AL73="",COUNTIF($AL$46:$AR$46,$AL$2)=0),"",MAX($AK$3:AK72)+1)</f>
        <v>27</v>
      </c>
      <c r="AL73" s="66" t="s">
        <v>372</v>
      </c>
    </row>
    <row r="74" spans="2:38" hidden="1">
      <c r="B74" s="335" t="str">
        <f>IF(OR(E73=1,C72="",C72=0),"",IF(AND(E82=0),LEN(C72),""))</f>
        <v/>
      </c>
      <c r="C74" s="617" t="str">
        <f>IF(OR(B74=""),"",IF(ISERROR(VLOOKUP(B74,B75:C80,2,0)),C80,VLOOKUP(B74,B75:C80,2,0)))</f>
        <v/>
      </c>
      <c r="D74" s="618" t="s">
        <v>392</v>
      </c>
      <c r="E74" s="619">
        <f>IF(AND(ISNUMBER(C72),LEN(C72)=11),1,0)</f>
        <v>0</v>
      </c>
      <c r="H74" s="312"/>
      <c r="I74" s="559"/>
      <c r="J74" s="312"/>
      <c r="Q74" s="612"/>
      <c r="R74" s="612"/>
      <c r="S74" s="612"/>
      <c r="T74" s="612"/>
      <c r="U74" s="612"/>
      <c r="V74" s="612"/>
      <c r="W74" s="612"/>
      <c r="X74" s="612"/>
      <c r="Y74" s="612"/>
      <c r="Z74" s="612"/>
      <c r="AA74" s="612"/>
      <c r="AB74" s="612"/>
      <c r="AC74" s="612"/>
      <c r="AD74" s="612"/>
      <c r="AE74" s="72"/>
      <c r="AK74" s="66">
        <f>IF(OR($AL74="",COUNTIF($AL$46:$AR$46,$AL$2)=0),"",MAX($AK$3:AK73)+1)</f>
        <v>28</v>
      </c>
      <c r="AL74" s="66" t="s">
        <v>827</v>
      </c>
    </row>
    <row r="75" spans="2:38" hidden="1">
      <c r="B75" s="620">
        <v>1</v>
      </c>
      <c r="C75" s="620" t="s">
        <v>393</v>
      </c>
      <c r="D75" s="618" t="s">
        <v>394</v>
      </c>
      <c r="E75" s="619">
        <f>IF(AND(LEN(C72)=10,ISTEXT(LEFT(C72,1)),ISNUMBER(RIGHT(C72,1)*1)),1,0)</f>
        <v>0</v>
      </c>
      <c r="H75" s="312"/>
      <c r="I75" s="559"/>
      <c r="J75" s="312"/>
      <c r="Q75" s="612"/>
      <c r="R75" s="612"/>
      <c r="S75" s="612"/>
      <c r="T75" s="612"/>
      <c r="U75" s="612"/>
      <c r="V75" s="612"/>
      <c r="W75" s="612"/>
      <c r="X75" s="612"/>
      <c r="Y75" s="612"/>
      <c r="Z75" s="612"/>
      <c r="AA75" s="612"/>
      <c r="AB75" s="612"/>
      <c r="AC75" s="612"/>
      <c r="AD75" s="612"/>
      <c r="AE75" s="72"/>
      <c r="AK75" s="66" t="str">
        <f>IF(OR($AL75="",COUNTIF($AL$46:$AR$46,$AL$2)=0),"",MAX($AK$3:AK74)+1)</f>
        <v/>
      </c>
      <c r="AL75" s="66"/>
    </row>
    <row r="76" spans="2:38" hidden="1">
      <c r="B76" s="620">
        <v>2</v>
      </c>
      <c r="C76" s="620" t="s">
        <v>395</v>
      </c>
      <c r="D76" s="618" t="s">
        <v>396</v>
      </c>
      <c r="E76" s="619">
        <f>IF(AND(ISNUMBER(C72),LEN(C72)=9),1,0)</f>
        <v>0</v>
      </c>
      <c r="Q76" s="612"/>
      <c r="R76" s="612"/>
      <c r="S76" s="612"/>
      <c r="T76" s="612"/>
      <c r="U76" s="612"/>
      <c r="V76" s="612"/>
      <c r="W76" s="612"/>
      <c r="X76" s="612"/>
      <c r="Y76" s="612"/>
      <c r="Z76" s="612"/>
      <c r="AA76" s="612"/>
      <c r="AB76" s="612"/>
      <c r="AC76" s="612"/>
      <c r="AD76" s="612"/>
      <c r="AE76" s="72"/>
      <c r="AK76" s="66">
        <f>IF(OR($AL76="",COUNTIF($AL$46:$AR$46,$AL$2)=0),"",MAX($AK$3:AK75)+1)</f>
        <v>29</v>
      </c>
      <c r="AL76" s="66" t="s">
        <v>829</v>
      </c>
    </row>
    <row r="77" spans="2:38" hidden="1">
      <c r="B77" s="620">
        <v>3</v>
      </c>
      <c r="C77" s="620" t="s">
        <v>397</v>
      </c>
      <c r="D77" s="619"/>
      <c r="E77" s="619"/>
      <c r="Q77" s="612"/>
      <c r="R77" s="612"/>
      <c r="S77" s="612"/>
      <c r="T77" s="612"/>
      <c r="U77" s="612"/>
      <c r="V77" s="612"/>
      <c r="W77" s="612"/>
      <c r="X77" s="612"/>
      <c r="Y77" s="612"/>
      <c r="Z77" s="612"/>
      <c r="AA77" s="612"/>
      <c r="AB77" s="612"/>
      <c r="AC77" s="612"/>
      <c r="AD77" s="612"/>
      <c r="AE77" s="72"/>
      <c r="AK77" s="66">
        <f>IF(OR($AL77="",COUNTIF($AL$46:$AR$46,$AL$2)=0),"",MAX($AK$3:AK76)+1)</f>
        <v>30</v>
      </c>
      <c r="AL77" s="66" t="s">
        <v>373</v>
      </c>
    </row>
    <row r="78" spans="2:38" hidden="1">
      <c r="B78" s="620">
        <v>4</v>
      </c>
      <c r="C78" s="620" t="s">
        <v>398</v>
      </c>
      <c r="D78" s="619"/>
      <c r="E78" s="619"/>
      <c r="Q78" s="612"/>
      <c r="R78" s="612"/>
      <c r="S78" s="612"/>
      <c r="T78" s="612"/>
      <c r="U78" s="612"/>
      <c r="V78" s="612"/>
      <c r="W78" s="612"/>
      <c r="X78" s="612"/>
      <c r="Y78" s="612"/>
      <c r="Z78" s="612"/>
      <c r="AA78" s="612"/>
      <c r="AB78" s="612"/>
      <c r="AC78" s="612"/>
      <c r="AD78" s="612"/>
      <c r="AE78" s="72"/>
      <c r="AK78" s="66">
        <f>IF(OR($AL78="",COUNTIF($AL$46:$AR$46,$AL$2)=0),"",MAX($AK$3:AK77)+1)</f>
        <v>31</v>
      </c>
      <c r="AL78" s="66" t="s">
        <v>374</v>
      </c>
    </row>
    <row r="79" spans="2:38" hidden="1">
      <c r="B79" s="620">
        <v>5</v>
      </c>
      <c r="C79" s="620" t="s">
        <v>399</v>
      </c>
      <c r="D79" s="619"/>
      <c r="E79" s="619"/>
      <c r="R79" s="72"/>
      <c r="S79" s="72"/>
      <c r="T79" s="72"/>
      <c r="U79" s="72"/>
      <c r="V79" s="73"/>
      <c r="W79" s="72"/>
      <c r="X79" s="72"/>
      <c r="Y79" s="72"/>
      <c r="Z79" s="72"/>
      <c r="AA79" s="72"/>
      <c r="AB79" s="72"/>
      <c r="AC79" s="72"/>
      <c r="AD79" s="72"/>
      <c r="AE79" s="72"/>
      <c r="AK79" s="66" t="str">
        <f>IF(OR($AL79="",COUNTIF($AL$46:$AR$46,$AL$2)=0),"",MAX($AK$3:AK78)+1)</f>
        <v/>
      </c>
      <c r="AL79" s="66"/>
    </row>
    <row r="80" spans="2:38" hidden="1">
      <c r="B80" s="620">
        <v>6</v>
      </c>
      <c r="C80" s="620" t="s">
        <v>400</v>
      </c>
      <c r="D80" s="619"/>
      <c r="E80" s="619"/>
      <c r="H80" s="668" t="s">
        <v>659</v>
      </c>
      <c r="I80" s="674" t="s">
        <v>660</v>
      </c>
      <c r="J80" s="668" t="s">
        <v>654</v>
      </c>
      <c r="K80" s="668" t="s">
        <v>655</v>
      </c>
      <c r="L80" s="668" t="s">
        <v>656</v>
      </c>
      <c r="M80" s="668" t="s">
        <v>657</v>
      </c>
      <c r="N80" s="668" t="s">
        <v>658</v>
      </c>
      <c r="R80" s="72"/>
      <c r="S80" s="72"/>
      <c r="T80" s="72"/>
      <c r="U80" s="72"/>
      <c r="V80" s="73"/>
      <c r="W80" s="72"/>
      <c r="X80" s="72"/>
      <c r="Y80" s="72"/>
      <c r="Z80" s="72"/>
      <c r="AA80" s="72"/>
      <c r="AB80" s="72"/>
      <c r="AC80" s="72"/>
      <c r="AD80" s="72"/>
      <c r="AE80" s="72"/>
      <c r="AK80" s="66" t="str">
        <f>IF(OR($AL80="",COUNTIF($AL$46:$AR$46,$AL$2)=0),"",MAX($AK$3:AK79)+1)</f>
        <v/>
      </c>
      <c r="AL80" s="66"/>
    </row>
    <row r="81" spans="2:38" hidden="1">
      <c r="B81" s="334" t="s">
        <v>401</v>
      </c>
      <c r="C81" s="621" t="str">
        <f>IF(OR(ISERROR(SEARCH(" ",C72)),CODE(C72)&gt;255),"",SEARCH(" ",C72))</f>
        <v/>
      </c>
      <c r="D81" s="619"/>
      <c r="E81" s="619"/>
      <c r="H81" s="312">
        <v>0</v>
      </c>
      <c r="I81" s="622"/>
      <c r="J81" s="312"/>
      <c r="K81" s="312"/>
      <c r="L81" s="67">
        <v>1000</v>
      </c>
      <c r="M81" s="67">
        <v>100</v>
      </c>
      <c r="N81" s="67">
        <v>100</v>
      </c>
      <c r="Q81" s="154"/>
      <c r="R81" s="154"/>
      <c r="S81" s="154"/>
      <c r="T81" s="154"/>
      <c r="U81" s="154"/>
      <c r="V81" s="154"/>
      <c r="W81" s="154"/>
      <c r="X81" s="154"/>
      <c r="Y81" s="154"/>
      <c r="Z81" s="154"/>
      <c r="AA81" s="154"/>
      <c r="AB81" s="154"/>
      <c r="AC81" s="154"/>
      <c r="AD81" s="154"/>
      <c r="AE81" s="72"/>
      <c r="AK81" s="66" t="str">
        <f>IF(OR($AL81="",COUNTIF($AL$46:$AR$46,$AL$2)=0),"",MAX($AK$3:AK80)+1)</f>
        <v/>
      </c>
      <c r="AL81" s="66"/>
    </row>
    <row r="82" spans="2:38" hidden="1">
      <c r="B82" s="334" t="s">
        <v>582</v>
      </c>
      <c r="C82" s="621" t="str">
        <f>IF(OR(ISERROR(SEARCH(" ",C72)),CODE(C72)&gt;255),"",UPPER(LEFT(C72,1)&amp;"."&amp;MID(C72,C81+1,1)))</f>
        <v/>
      </c>
      <c r="D82" s="335" t="s">
        <v>583</v>
      </c>
      <c r="E82" s="335">
        <f>IF(OR(LEN(C72)*2=LENB(C72),$E$83=1),1,0)</f>
        <v>1</v>
      </c>
      <c r="H82" s="312">
        <v>1</v>
      </c>
      <c r="I82" s="622"/>
      <c r="J82" s="312"/>
      <c r="K82" s="312"/>
      <c r="L82" s="67">
        <v>1000</v>
      </c>
      <c r="M82" s="67">
        <v>100</v>
      </c>
      <c r="N82" s="67">
        <v>100</v>
      </c>
      <c r="Q82" s="151"/>
      <c r="R82" s="151"/>
      <c r="S82" s="151"/>
      <c r="T82" s="151"/>
      <c r="U82" s="151"/>
      <c r="V82" s="151"/>
      <c r="W82" s="151"/>
      <c r="X82" s="151"/>
      <c r="Y82" s="151"/>
      <c r="Z82" s="151"/>
      <c r="AA82" s="151"/>
      <c r="AB82" s="151"/>
      <c r="AC82" s="151"/>
      <c r="AD82" s="151"/>
      <c r="AE82" s="72"/>
      <c r="AK82" s="66" t="str">
        <f>IF(OR($AL82="",COUNTIF($AL$46:$AR$46,$AL$2)=0),"",MAX($AK$3:AK81)+1)</f>
        <v/>
      </c>
      <c r="AL82" s="66"/>
    </row>
    <row r="83" spans="2:38" hidden="1">
      <c r="B83" s="434" t="s">
        <v>584</v>
      </c>
      <c r="C83" s="434" t="s">
        <v>585</v>
      </c>
      <c r="E83" s="27">
        <f>IF(LENB($B$83)=LEN($C$83),1,0)</f>
        <v>0</v>
      </c>
      <c r="H83" s="312">
        <v>2</v>
      </c>
      <c r="I83" s="622"/>
      <c r="J83" s="312"/>
      <c r="K83" s="312"/>
      <c r="L83" s="67">
        <v>1000</v>
      </c>
      <c r="M83" s="67">
        <v>100</v>
      </c>
      <c r="N83" s="67">
        <v>100</v>
      </c>
      <c r="Q83" s="151"/>
      <c r="R83" s="151"/>
      <c r="S83" s="151"/>
      <c r="T83" s="151"/>
      <c r="U83" s="151"/>
      <c r="V83" s="151"/>
      <c r="W83" s="151"/>
      <c r="X83" s="151"/>
      <c r="Y83" s="151"/>
      <c r="Z83" s="151"/>
      <c r="AA83" s="151"/>
      <c r="AB83" s="151"/>
      <c r="AC83" s="151"/>
      <c r="AD83" s="151"/>
      <c r="AE83" s="72"/>
      <c r="AK83" s="66" t="str">
        <f>IF(OR($AL83="",COUNTIF($AL$46:$AR$46,$AL$2)=0),"",MAX($AK$3:AK82)+1)</f>
        <v/>
      </c>
      <c r="AL83" s="66"/>
    </row>
    <row r="84" spans="2:38" hidden="1">
      <c r="H84" s="312">
        <v>3</v>
      </c>
      <c r="I84" s="622"/>
      <c r="J84" s="312"/>
      <c r="K84" s="312"/>
      <c r="L84" s="67">
        <v>1000</v>
      </c>
      <c r="M84" s="67">
        <v>100</v>
      </c>
      <c r="N84" s="67">
        <v>100</v>
      </c>
      <c r="Q84" s="151"/>
      <c r="R84" s="151"/>
      <c r="S84" s="151"/>
      <c r="T84" s="151"/>
      <c r="U84" s="151"/>
      <c r="V84" s="151"/>
      <c r="W84" s="151"/>
      <c r="X84" s="151"/>
      <c r="Y84" s="151"/>
      <c r="Z84" s="151"/>
      <c r="AA84" s="151"/>
      <c r="AB84" s="151"/>
      <c r="AC84" s="151"/>
      <c r="AD84" s="151"/>
      <c r="AE84" s="72"/>
      <c r="AK84" s="66" t="str">
        <f>IF(OR($AL84="",COUNTIF($AL$46:$AR$46,$AL$2)=0),"",MAX($AK$3:AK83)+1)</f>
        <v/>
      </c>
      <c r="AL84" s="66"/>
    </row>
    <row r="85" spans="2:38" hidden="1">
      <c r="B85" s="442" t="s">
        <v>579</v>
      </c>
      <c r="C85" s="442">
        <v>1</v>
      </c>
      <c r="D85" s="442">
        <v>0</v>
      </c>
      <c r="H85" s="312">
        <v>4</v>
      </c>
      <c r="I85" s="622"/>
      <c r="J85" s="312"/>
      <c r="K85" s="312"/>
      <c r="L85" s="67">
        <v>1000</v>
      </c>
      <c r="M85" s="67">
        <v>100</v>
      </c>
      <c r="N85" s="67">
        <v>100</v>
      </c>
      <c r="Q85" s="151"/>
      <c r="R85" s="151"/>
      <c r="S85" s="151"/>
      <c r="T85" s="151"/>
      <c r="U85" s="151"/>
      <c r="V85" s="151"/>
      <c r="W85" s="151"/>
      <c r="X85" s="151"/>
      <c r="Y85" s="151"/>
      <c r="Z85" s="151"/>
      <c r="AA85" s="151"/>
      <c r="AB85" s="151"/>
      <c r="AC85" s="151"/>
      <c r="AD85" s="151"/>
      <c r="AE85" s="72"/>
      <c r="AK85" s="66" t="str">
        <f>IF(OR($AL85="",COUNTIF($AL$46:$AR$46,$AL$2)=0),"",MAX($AK$3:AK84)+1)</f>
        <v/>
      </c>
      <c r="AL85" s="66"/>
    </row>
    <row r="86" spans="2:38" hidden="1">
      <c r="B86" s="623" t="s">
        <v>580</v>
      </c>
      <c r="C86" s="624">
        <f ca="1">DATE(YEAR($D$3)+$D$6,MONTH($D$3)+6,MIN(DAY($D$3),$E$86)+1)</f>
        <v>46205</v>
      </c>
      <c r="D86" s="625">
        <f>MONTH($D$3)+IF(MONTH($D$3)&lt;=6,6,-6)</f>
        <v>7</v>
      </c>
      <c r="E86" s="310">
        <f>IF(OR($D$86=1,$D$86=3,$D$86=5,$D$86=7,$D$86=8,$D$86=10,$D$86=12),31,IF(OR($D$86=4,$D$86=6,$D$86=9,$D$86=11),30,IF(AND($D$86=2,YEAR($C$3)/4=INT(YEAR($C$3)/4),YEAR($C$3)/400&lt;&gt;INT(YEAR($C$3)/400)),29,28)))</f>
        <v>31</v>
      </c>
      <c r="H86" s="312">
        <v>5</v>
      </c>
      <c r="I86" s="622"/>
      <c r="J86" s="312"/>
      <c r="K86" s="312"/>
      <c r="L86" s="67">
        <v>1000</v>
      </c>
      <c r="M86" s="67">
        <v>100</v>
      </c>
      <c r="N86" s="67">
        <v>100</v>
      </c>
      <c r="Q86" s="151"/>
      <c r="R86" s="151"/>
      <c r="S86" s="151"/>
      <c r="T86" s="151"/>
      <c r="U86" s="151"/>
      <c r="V86" s="151"/>
      <c r="W86" s="151"/>
      <c r="X86" s="151"/>
      <c r="Y86" s="151"/>
      <c r="Z86" s="151"/>
      <c r="AA86" s="151"/>
      <c r="AB86" s="151"/>
      <c r="AC86" s="151"/>
      <c r="AD86" s="151"/>
      <c r="AE86" s="72"/>
      <c r="AK86" s="66" t="str">
        <f>IF(OR($AL86="",COUNTIF($AL$46:$AR$46,$AL$2)=0),"",MAX($AK$3:AK85)+1)</f>
        <v/>
      </c>
      <c r="AL86" s="66"/>
    </row>
    <row r="87" spans="2:38" hidden="1">
      <c r="B87" s="310"/>
      <c r="C87" s="310" t="str">
        <f ca="1">IF(C86&lt;$C$3,"",C86-$C$3)</f>
        <v/>
      </c>
      <c r="D87" s="310" t="str">
        <f ca="1">IF(C85=0,"",IF(OR($D$53=1,C87=""),"",IF(AND(C87&gt;=1,C87&lt;=30),"提醒您：被保險人"&amp;$C$73&amp;"將於 "&amp;MONTH(C86)&amp;" 月 "&amp;DAY(C86)&amp;" 日 ( "&amp;C87&amp;"天後 ) 保險年齡增加一歲"&amp;IF(D85=0,"。","，"&amp;$C$22&amp;$C$32&amp;"保險費"&amp;IF($C$32="躉繳","","每期")&amp;IF(E88&gt;=0,"增加 ","減少 ")&amp;TEXT(E88,"#,##0 元")&amp;"。"),"")))</f>
        <v/>
      </c>
      <c r="E87" s="310"/>
      <c r="H87" s="312">
        <v>6</v>
      </c>
      <c r="I87" s="622"/>
      <c r="J87" s="312"/>
      <c r="K87" s="312"/>
      <c r="L87" s="67">
        <v>1000</v>
      </c>
      <c r="M87" s="67">
        <v>100</v>
      </c>
      <c r="N87" s="67">
        <v>100</v>
      </c>
      <c r="Q87" s="151"/>
      <c r="R87" s="151"/>
      <c r="S87" s="151"/>
      <c r="T87" s="151"/>
      <c r="U87" s="151"/>
      <c r="V87" s="151"/>
      <c r="W87" s="151"/>
      <c r="X87" s="151"/>
      <c r="Y87" s="151"/>
      <c r="Z87" s="151"/>
      <c r="AA87" s="151"/>
      <c r="AB87" s="151"/>
      <c r="AC87" s="151"/>
      <c r="AD87" s="151"/>
      <c r="AE87" s="72"/>
      <c r="AK87" s="66" t="str">
        <f>IF(OR($AL87="",COUNTIF($AL$46:$AR$46,$AL$2)=0),"",MAX($AK$3:AK86)+1)</f>
        <v/>
      </c>
      <c r="AL87" s="66"/>
    </row>
    <row r="88" spans="2:38" hidden="1">
      <c r="B88" s="310" t="s">
        <v>581</v>
      </c>
      <c r="C88" s="310" t="str">
        <f ca="1">C22&amp;IF($C$24=1,"",TEXT($C$24,"00"))&amp;TEXT($C$18,"00")&amp;TEXT($D$5+1,"00")</f>
        <v>LTT300216</v>
      </c>
      <c r="D88" s="626">
        <f ca="1">IF(ISNA(VLOOKUP(C88,GP,2,0)),0,IF($C$21=1,ROUND(VLOOKUP(C88,GP,2,0)*$C$28*$C$34,0),IF($C$21=2,ROUNDDOWN(VLOOKUP(C88,GP,2,0)*$C$28*C34,0),"")))</f>
        <v>11660</v>
      </c>
      <c r="E88" s="626">
        <f ca="1">D88-$C$35</f>
        <v>220</v>
      </c>
      <c r="H88" s="312">
        <v>7</v>
      </c>
      <c r="I88" s="622"/>
      <c r="J88" s="312"/>
      <c r="K88" s="312"/>
      <c r="L88" s="67">
        <v>1000</v>
      </c>
      <c r="M88" s="67">
        <v>100</v>
      </c>
      <c r="N88" s="67">
        <v>100</v>
      </c>
      <c r="Q88" s="151"/>
      <c r="R88" s="151"/>
      <c r="S88" s="151"/>
      <c r="T88" s="151"/>
      <c r="U88" s="151"/>
      <c r="V88" s="151"/>
      <c r="W88" s="151"/>
      <c r="X88" s="151"/>
      <c r="Y88" s="151"/>
      <c r="Z88" s="151"/>
      <c r="AA88" s="151"/>
      <c r="AB88" s="151"/>
      <c r="AC88" s="151"/>
      <c r="AD88" s="151"/>
      <c r="AE88" s="72"/>
      <c r="AK88" s="66" t="str">
        <f>IF(OR($AL88="",COUNTIF($AL$46:$AR$46,$AL$2)=0),"",MAX($AK$3:AK87)+1)</f>
        <v/>
      </c>
      <c r="AL88" s="66"/>
    </row>
    <row r="89" spans="2:38" hidden="1">
      <c r="H89" s="312">
        <v>8</v>
      </c>
      <c r="I89" s="622"/>
      <c r="J89" s="312"/>
      <c r="K89" s="312"/>
      <c r="L89" s="67">
        <v>1000</v>
      </c>
      <c r="M89" s="67">
        <v>100</v>
      </c>
      <c r="N89" s="67">
        <v>100</v>
      </c>
      <c r="Q89" s="151"/>
      <c r="R89" s="151"/>
      <c r="S89" s="151"/>
      <c r="T89" s="151"/>
      <c r="U89" s="151"/>
      <c r="V89" s="151"/>
      <c r="W89" s="151"/>
      <c r="X89" s="151"/>
      <c r="Y89" s="151"/>
      <c r="Z89" s="151"/>
      <c r="AA89" s="151"/>
      <c r="AB89" s="151"/>
      <c r="AC89" s="151"/>
      <c r="AD89" s="151"/>
      <c r="AE89" s="72"/>
      <c r="AK89" s="66" t="str">
        <f>IF(OR($AL89="",COUNTIF($AL$46:$AR$46,$AL$2)=0),"",MAX($AK$3:AK88)+1)</f>
        <v/>
      </c>
      <c r="AL89" s="66"/>
    </row>
    <row r="90" spans="2:38" hidden="1">
      <c r="B90" s="400" t="s">
        <v>623</v>
      </c>
      <c r="C90" s="401" t="s">
        <v>587</v>
      </c>
      <c r="D90" s="402" t="s">
        <v>588</v>
      </c>
      <c r="E90" s="441" t="s">
        <v>1157</v>
      </c>
      <c r="H90" s="312">
        <v>9</v>
      </c>
      <c r="I90" s="622"/>
      <c r="J90" s="312"/>
      <c r="K90" s="312"/>
      <c r="L90" s="67">
        <v>1000</v>
      </c>
      <c r="M90" s="67">
        <v>100</v>
      </c>
      <c r="N90" s="67">
        <v>100</v>
      </c>
      <c r="Q90" s="151"/>
      <c r="R90" s="151"/>
      <c r="S90" s="151"/>
      <c r="T90" s="151"/>
      <c r="U90" s="151"/>
      <c r="V90" s="151"/>
      <c r="W90" s="151"/>
      <c r="X90" s="151"/>
      <c r="Y90" s="151"/>
      <c r="Z90" s="151"/>
      <c r="AA90" s="151"/>
      <c r="AB90" s="151"/>
      <c r="AC90" s="151"/>
      <c r="AD90" s="151"/>
      <c r="AE90" s="72"/>
      <c r="AK90" s="66" t="str">
        <f>IF(OR($AL90="",COUNTIF($AL$46:$AR$46,$AL$2)=0),"",MAX($AK$3:AK89)+1)</f>
        <v/>
      </c>
      <c r="AL90" s="66"/>
    </row>
    <row r="91" spans="2:38" hidden="1">
      <c r="B91" s="560" t="s">
        <v>624</v>
      </c>
      <c r="C91" s="310"/>
      <c r="D91" s="434" t="str">
        <f ca="1">IF(OR(OP!$D$53=1,AND(OP!C46=0,OP!C47=0)),"","本保件符合保費折扣條件："&amp;OP!$K$9&amp;OP!$D$46)</f>
        <v>本保件符合保費折扣條件：繳費方式 1.0%折扣。</v>
      </c>
      <c r="E91" s="453"/>
      <c r="H91" s="312">
        <v>10</v>
      </c>
      <c r="I91" s="622"/>
      <c r="J91" s="312"/>
      <c r="K91" s="312"/>
      <c r="L91" s="67">
        <v>1000</v>
      </c>
      <c r="M91" s="67">
        <v>100</v>
      </c>
      <c r="N91" s="67">
        <v>100</v>
      </c>
      <c r="Q91" s="151"/>
      <c r="R91" s="151"/>
      <c r="S91" s="151"/>
      <c r="T91" s="151"/>
      <c r="U91" s="151"/>
      <c r="V91" s="151"/>
      <c r="W91" s="151"/>
      <c r="X91" s="151"/>
      <c r="Y91" s="151"/>
      <c r="Z91" s="151"/>
      <c r="AA91" s="151"/>
      <c r="AB91" s="151"/>
      <c r="AC91" s="151"/>
      <c r="AD91" s="151"/>
      <c r="AE91" s="72"/>
    </row>
    <row r="92" spans="2:38" hidden="1">
      <c r="B92" s="560" t="s">
        <v>625</v>
      </c>
      <c r="C92" s="310"/>
      <c r="D92" s="434" t="str">
        <f ca="1">IF(OR(OP!$D$53=1),"",$C$32&amp;"總保費"&amp;TEXT($C$35,"#,##0元")&amp;IF(AND($C$46=0,$C$47=0),"","，"&amp;IF($C$24=1,IF(OP!$C$46&gt;0,"躉繳折扣後保費"&amp;TEXT($C$48,"#,##0元"),""),IF($C$46&gt;0,"首期折扣後保費"&amp;TEXT($C$48,"#,##0元"),"首期保費"&amp;TEXT($C$48,"#,##0元"))&amp;"，"&amp;IF($C$47&gt;0,"續期折扣後保費"&amp;TEXT($C$49,"#,##0元"),"續期保費"&amp;TEXT($C$49,"#,##0元"))))&amp;$D$49)</f>
        <v>年繳總保費11,440元，首期折扣後保費11,326元，續期折扣後保費11,326元</v>
      </c>
      <c r="E92" s="453"/>
      <c r="H92" s="312">
        <v>11</v>
      </c>
      <c r="I92" s="622"/>
      <c r="J92" s="312"/>
      <c r="K92" s="312"/>
      <c r="L92" s="67">
        <v>1000</v>
      </c>
      <c r="M92" s="67">
        <v>100</v>
      </c>
      <c r="N92" s="67">
        <v>100</v>
      </c>
      <c r="Q92" s="151"/>
      <c r="R92" s="151"/>
      <c r="S92" s="151"/>
      <c r="T92" s="151"/>
      <c r="U92" s="151"/>
      <c r="V92" s="151"/>
      <c r="W92" s="151"/>
      <c r="X92" s="151"/>
      <c r="Y92" s="151"/>
      <c r="Z92" s="151"/>
      <c r="AA92" s="151"/>
      <c r="AB92" s="151"/>
      <c r="AC92" s="151"/>
      <c r="AD92" s="151"/>
      <c r="AE92" s="72"/>
    </row>
    <row r="93" spans="2:38" hidden="1">
      <c r="B93" s="560" t="s">
        <v>626</v>
      </c>
      <c r="C93" s="310"/>
      <c r="D93" s="627" t="str">
        <f ca="1">IF(OP!$D$53=1,"",OP!$C$23&amp;IF(OP!C24=1,"(躉繳)",IF(OP!$C$24&gt;=40,"(繳費至"&amp;OP!$C$24&amp;"歲滿期)","(繳費"&amp;OP!$C$24&amp;"年)")))</f>
        <v>富邦人壽順馨久久長期照顧定期健康保險(繳費30年)</v>
      </c>
      <c r="E93" s="453"/>
      <c r="H93" s="312">
        <v>12</v>
      </c>
      <c r="I93" s="622"/>
      <c r="J93" s="312"/>
      <c r="K93" s="312"/>
      <c r="L93" s="67">
        <v>1000</v>
      </c>
      <c r="M93" s="67">
        <v>100</v>
      </c>
      <c r="N93" s="67">
        <v>100</v>
      </c>
      <c r="Q93" s="151"/>
      <c r="R93" s="151"/>
      <c r="S93" s="151"/>
      <c r="T93" s="151"/>
      <c r="U93" s="151"/>
      <c r="V93" s="151"/>
      <c r="W93" s="151"/>
      <c r="X93" s="151"/>
      <c r="Y93" s="151"/>
      <c r="Z93" s="151"/>
      <c r="AA93" s="151"/>
      <c r="AB93" s="151"/>
      <c r="AC93" s="151"/>
      <c r="AD93" s="151"/>
      <c r="AE93" s="72"/>
    </row>
    <row r="94" spans="2:38" hidden="1">
      <c r="B94" s="560" t="s">
        <v>797</v>
      </c>
      <c r="C94" s="442" t="str">
        <f>$E$21</f>
        <v>新臺幣</v>
      </c>
      <c r="D94" s="627" t="str">
        <f>$B$94&amp;$C$94</f>
        <v>本保單計價幣別：新臺幣</v>
      </c>
      <c r="E94" s="453"/>
      <c r="H94" s="312">
        <v>13</v>
      </c>
      <c r="I94" s="622"/>
      <c r="J94" s="312"/>
      <c r="K94" s="312"/>
      <c r="L94" s="67">
        <v>1000</v>
      </c>
      <c r="M94" s="67">
        <v>100</v>
      </c>
      <c r="N94" s="67">
        <v>100</v>
      </c>
      <c r="Q94" s="151"/>
      <c r="R94" s="151"/>
      <c r="S94" s="151"/>
      <c r="T94" s="151"/>
      <c r="U94" s="151"/>
      <c r="V94" s="151"/>
      <c r="W94" s="151"/>
      <c r="X94" s="151"/>
      <c r="Y94" s="151"/>
      <c r="Z94" s="151"/>
      <c r="AA94" s="151"/>
      <c r="AB94" s="151"/>
      <c r="AC94" s="151"/>
      <c r="AD94" s="151"/>
      <c r="AE94" s="72"/>
    </row>
    <row r="95" spans="2:38" hidden="1">
      <c r="B95" s="628" t="s">
        <v>791</v>
      </c>
      <c r="C95" s="442" t="str">
        <f ca="1">TEXT(RDATA!$I$2,"0.00%")</f>
        <v>1.75%</v>
      </c>
      <c r="D95" s="629" t="str">
        <f ca="1">$B$95&amp;$C$95</f>
        <v>假設儲存生息利率1.75%</v>
      </c>
      <c r="E95" s="407"/>
      <c r="H95" s="312">
        <v>14</v>
      </c>
      <c r="I95" s="622"/>
      <c r="J95" s="312"/>
      <c r="K95" s="312"/>
      <c r="L95" s="67">
        <v>1000</v>
      </c>
      <c r="M95" s="67">
        <v>100</v>
      </c>
      <c r="N95" s="67">
        <v>100</v>
      </c>
      <c r="Q95" s="151"/>
      <c r="R95" s="151"/>
      <c r="S95" s="151"/>
      <c r="T95" s="151"/>
      <c r="U95" s="151"/>
      <c r="V95" s="151"/>
      <c r="W95" s="151"/>
      <c r="X95" s="151"/>
      <c r="Y95" s="151"/>
      <c r="Z95" s="151"/>
      <c r="AA95" s="151"/>
      <c r="AB95" s="151"/>
      <c r="AC95" s="151"/>
      <c r="AD95" s="151"/>
      <c r="AE95" s="47"/>
    </row>
    <row r="96" spans="2:38" hidden="1">
      <c r="B96" s="560" t="s">
        <v>678</v>
      </c>
      <c r="C96" s="393" t="str">
        <f>input_s!$H$71</f>
        <v>現金給付</v>
      </c>
      <c r="D96" s="629" t="str">
        <f>IF($C$96="儲存生息",$B$96&amp;$C$96&amp;"",$B$96&amp;$C$96)</f>
        <v>年度保單紅利給付方式：現金給付</v>
      </c>
      <c r="E96" s="608" t="str">
        <f>IF(AND(input_s!$I$8&lt;&gt;3,COUNTIF(En_BFM,$C$96)&lt;&gt;1),1,"")</f>
        <v/>
      </c>
      <c r="H96" s="312">
        <v>15</v>
      </c>
      <c r="I96" s="678">
        <f ca="1">IF($D$6&lt;15,2,5)</f>
        <v>2</v>
      </c>
      <c r="J96" s="312"/>
      <c r="K96" s="312"/>
      <c r="L96" s="67">
        <v>1000</v>
      </c>
      <c r="M96" s="67">
        <v>100</v>
      </c>
      <c r="N96" s="67">
        <v>100</v>
      </c>
      <c r="Q96" s="151"/>
      <c r="R96" s="151"/>
      <c r="S96" s="151"/>
      <c r="T96" s="151"/>
      <c r="U96" s="151"/>
      <c r="V96" s="151"/>
      <c r="W96" s="151"/>
      <c r="X96" s="151"/>
      <c r="Y96" s="151"/>
      <c r="Z96" s="151"/>
      <c r="AA96" s="151"/>
      <c r="AB96" s="151"/>
      <c r="AC96" s="151"/>
      <c r="AD96" s="151"/>
      <c r="AE96" s="47"/>
    </row>
    <row r="97" spans="2:31" hidden="1">
      <c r="B97" s="560" t="s">
        <v>675</v>
      </c>
      <c r="C97" s="310"/>
      <c r="D97" s="434" t="str">
        <f>$D$96</f>
        <v>年度保單紅利給付方式：現金給付</v>
      </c>
      <c r="E97" s="310" t="s">
        <v>627</v>
      </c>
      <c r="H97" s="312">
        <v>16</v>
      </c>
      <c r="I97" s="68">
        <v>3</v>
      </c>
      <c r="J97" s="312"/>
      <c r="K97" s="312"/>
      <c r="L97" s="67">
        <v>1000</v>
      </c>
      <c r="M97" s="229">
        <v>100</v>
      </c>
      <c r="N97" s="229">
        <v>100</v>
      </c>
      <c r="Q97" s="151"/>
      <c r="R97" s="151"/>
      <c r="S97" s="151"/>
      <c r="T97" s="151"/>
      <c r="U97" s="151"/>
      <c r="V97" s="151"/>
      <c r="W97" s="151"/>
      <c r="X97" s="151"/>
      <c r="Y97" s="151"/>
      <c r="Z97" s="151"/>
      <c r="AA97" s="151"/>
      <c r="AB97" s="151"/>
      <c r="AC97" s="151"/>
      <c r="AD97" s="151"/>
      <c r="AE97" s="47"/>
    </row>
    <row r="98" spans="2:31" hidden="1">
      <c r="B98" s="560" t="s">
        <v>675</v>
      </c>
      <c r="C98" s="627" t="str">
        <f>"本險種預定利率："&amp;TEXT($K$42,"0.00%")</f>
        <v>本險種預定利率：0.00%</v>
      </c>
      <c r="D98" s="631" t="str">
        <f ca="1">$C$98&amp;"，"&amp;$D$95</f>
        <v>本險種預定利率：0.00%，假設儲存生息利率1.75%</v>
      </c>
      <c r="E98" s="310" t="s">
        <v>628</v>
      </c>
      <c r="H98" s="312">
        <v>17</v>
      </c>
      <c r="I98" s="68">
        <v>3</v>
      </c>
      <c r="J98" s="312"/>
      <c r="K98" s="312"/>
      <c r="L98" s="67">
        <v>1000</v>
      </c>
      <c r="M98" s="229">
        <v>100</v>
      </c>
      <c r="N98" s="229">
        <v>100</v>
      </c>
      <c r="Q98" s="151"/>
      <c r="R98" s="151"/>
      <c r="S98" s="151"/>
      <c r="T98" s="151"/>
      <c r="U98" s="151"/>
      <c r="V98" s="151"/>
      <c r="W98" s="151"/>
      <c r="X98" s="151"/>
      <c r="Y98" s="151"/>
      <c r="Z98" s="151"/>
      <c r="AA98" s="151"/>
      <c r="AB98" s="151"/>
      <c r="AC98" s="151"/>
      <c r="AD98" s="151"/>
      <c r="AE98" s="47"/>
    </row>
    <row r="99" spans="2:31" hidden="1">
      <c r="B99" s="310"/>
      <c r="C99" s="310"/>
      <c r="D99" s="632"/>
      <c r="E99" s="453"/>
      <c r="H99" s="312">
        <v>18</v>
      </c>
      <c r="I99" s="68">
        <v>3</v>
      </c>
      <c r="J99" s="312"/>
      <c r="K99" s="312"/>
      <c r="L99" s="67">
        <v>1000</v>
      </c>
      <c r="M99" s="229">
        <v>100</v>
      </c>
      <c r="N99" s="229">
        <v>100</v>
      </c>
      <c r="Q99" s="151"/>
      <c r="R99" s="151"/>
      <c r="S99" s="151"/>
      <c r="T99" s="151"/>
      <c r="U99" s="151"/>
      <c r="V99" s="151"/>
      <c r="W99" s="151"/>
      <c r="X99" s="151"/>
      <c r="Y99" s="151"/>
      <c r="Z99" s="151"/>
      <c r="AA99" s="151"/>
      <c r="AB99" s="151"/>
      <c r="AC99" s="151"/>
      <c r="AD99" s="151"/>
      <c r="AE99" s="47"/>
    </row>
    <row r="100" spans="2:31" hidden="1">
      <c r="B100" s="560" t="s">
        <v>629</v>
      </c>
      <c r="C100" s="310" t="s">
        <v>648</v>
      </c>
      <c r="D100" s="434" t="str">
        <f>$B$100&amp;$C$100</f>
        <v>商品文號：109.07.01富壽商精字第1090002113號函備查、109.09.01依109.07.08金管保壽字第1090423012號函修正</v>
      </c>
      <c r="E100" s="453"/>
      <c r="H100" s="312">
        <v>19</v>
      </c>
      <c r="I100" s="68">
        <v>3</v>
      </c>
      <c r="J100" s="312"/>
      <c r="K100" s="312"/>
      <c r="L100" s="67">
        <v>1000</v>
      </c>
      <c r="M100" s="229">
        <v>100</v>
      </c>
      <c r="N100" s="229">
        <v>100</v>
      </c>
      <c r="AE100" s="47"/>
    </row>
    <row r="101" spans="2:31" hidden="1">
      <c r="B101" s="560" t="s">
        <v>1330</v>
      </c>
      <c r="C101" s="576" t="s">
        <v>1367</v>
      </c>
      <c r="D101" s="434" t="str">
        <f>$C$101</f>
        <v>最高33.7%，最低25.9%</v>
      </c>
      <c r="E101" s="453"/>
      <c r="H101" s="312">
        <v>20</v>
      </c>
      <c r="I101" s="68">
        <v>3</v>
      </c>
      <c r="J101" s="312"/>
      <c r="K101" s="312"/>
      <c r="L101" s="67">
        <v>1000</v>
      </c>
      <c r="M101" s="229">
        <v>100</v>
      </c>
      <c r="N101" s="229">
        <v>100</v>
      </c>
    </row>
    <row r="102" spans="2:31" hidden="1">
      <c r="B102" s="560"/>
      <c r="C102" s="310"/>
      <c r="D102" s="312"/>
      <c r="E102" s="453"/>
      <c r="H102" s="312">
        <v>21</v>
      </c>
      <c r="I102" s="68">
        <v>3</v>
      </c>
      <c r="J102" s="312"/>
      <c r="K102" s="312"/>
      <c r="L102" s="67">
        <v>1000</v>
      </c>
      <c r="M102" s="229">
        <v>100</v>
      </c>
      <c r="N102" s="229">
        <v>100</v>
      </c>
    </row>
    <row r="103" spans="2:31" hidden="1">
      <c r="B103" s="560"/>
      <c r="C103" s="310"/>
      <c r="D103" s="632"/>
      <c r="E103" s="453"/>
      <c r="H103" s="312">
        <v>22</v>
      </c>
      <c r="I103" s="68">
        <v>3</v>
      </c>
      <c r="J103" s="312"/>
      <c r="K103" s="312"/>
      <c r="L103" s="67">
        <v>1000</v>
      </c>
      <c r="M103" s="229">
        <v>100</v>
      </c>
      <c r="N103" s="229">
        <v>100</v>
      </c>
    </row>
    <row r="104" spans="2:31" hidden="1">
      <c r="B104" s="560"/>
      <c r="C104" s="310"/>
      <c r="D104" s="632"/>
      <c r="E104" s="453"/>
      <c r="H104" s="312">
        <v>23</v>
      </c>
      <c r="I104" s="68">
        <v>3</v>
      </c>
      <c r="J104" s="312"/>
      <c r="K104" s="312"/>
      <c r="L104" s="67">
        <v>1000</v>
      </c>
      <c r="M104" s="229">
        <v>100</v>
      </c>
      <c r="N104" s="229">
        <v>100</v>
      </c>
    </row>
    <row r="105" spans="2:31" hidden="1">
      <c r="B105" s="560" t="s">
        <v>630</v>
      </c>
      <c r="C105" s="576" t="s">
        <v>841</v>
      </c>
      <c r="D105" s="434" t="str">
        <f ca="1">IF($C$105&lt;&gt;"現售",$C$105&amp;"-","")&amp;OP!$C$54&amp;" 試算日："&amp;TEXT(YEAR(OP!$C$3)-1911,"000")&amp;TEXT(MONTH(OP!$C$3),"00")&amp;TEXT(DAY(OP!$C$3),"00")</f>
        <v>V1.0-1150720 試算日：1150825</v>
      </c>
      <c r="E105" s="453"/>
      <c r="H105" s="312">
        <v>24</v>
      </c>
      <c r="I105" s="68">
        <v>3</v>
      </c>
      <c r="J105" s="312"/>
      <c r="K105" s="312"/>
      <c r="L105" s="67">
        <v>1000</v>
      </c>
      <c r="M105" s="229">
        <v>100</v>
      </c>
      <c r="N105" s="229">
        <v>100</v>
      </c>
    </row>
    <row r="106" spans="2:31" hidden="1">
      <c r="B106" s="560" t="s">
        <v>631</v>
      </c>
      <c r="C106" s="633" t="s">
        <v>677</v>
      </c>
      <c r="D106" s="627" t="str">
        <f>$C$106</f>
        <v>※本契約條款樣張須於訂立契約前提供要保人至少三日審閱期間</v>
      </c>
      <c r="E106" s="453"/>
      <c r="H106" s="312">
        <v>25</v>
      </c>
      <c r="I106" s="68">
        <v>3</v>
      </c>
      <c r="J106" s="312"/>
      <c r="K106" s="312"/>
      <c r="L106" s="67">
        <v>1000</v>
      </c>
      <c r="M106" s="229">
        <v>100</v>
      </c>
      <c r="N106" s="229">
        <v>100</v>
      </c>
    </row>
    <row r="107" spans="2:31" hidden="1">
      <c r="B107" s="560" t="s">
        <v>632</v>
      </c>
      <c r="C107" s="633" t="s">
        <v>833</v>
      </c>
      <c r="D107" s="631" t="str">
        <f>$C$107</f>
        <v>本建議書僅供參考，詳細商品內容及其變更，應以投保當時保單條款內容及本公司核保、保全作業規定為準</v>
      </c>
      <c r="E107" s="453"/>
      <c r="H107" s="312">
        <v>26</v>
      </c>
      <c r="I107" s="68">
        <v>3</v>
      </c>
      <c r="J107" s="312"/>
      <c r="K107" s="312"/>
      <c r="L107" s="67">
        <v>1000</v>
      </c>
      <c r="M107" s="229">
        <v>100</v>
      </c>
      <c r="N107" s="229">
        <v>100</v>
      </c>
    </row>
    <row r="108" spans="2:31" hidden="1">
      <c r="B108" s="560"/>
      <c r="D108" s="632"/>
      <c r="E108" s="453"/>
      <c r="H108" s="312">
        <v>27</v>
      </c>
      <c r="I108" s="68">
        <v>3</v>
      </c>
      <c r="J108" s="312"/>
      <c r="K108" s="312"/>
      <c r="L108" s="67">
        <v>1000</v>
      </c>
      <c r="M108" s="229">
        <v>100</v>
      </c>
      <c r="N108" s="229">
        <v>100</v>
      </c>
    </row>
    <row r="109" spans="2:31" hidden="1">
      <c r="B109" s="560"/>
      <c r="C109" s="634"/>
      <c r="D109" s="632"/>
      <c r="E109" s="453"/>
      <c r="H109" s="312">
        <v>28</v>
      </c>
      <c r="I109" s="68">
        <v>3</v>
      </c>
      <c r="J109" s="312"/>
      <c r="K109" s="312"/>
      <c r="L109" s="67">
        <v>1000</v>
      </c>
      <c r="M109" s="229">
        <v>100</v>
      </c>
      <c r="N109" s="229">
        <v>100</v>
      </c>
    </row>
    <row r="110" spans="2:31" hidden="1">
      <c r="B110" s="560"/>
      <c r="C110" s="634"/>
      <c r="D110" s="632"/>
      <c r="E110" s="453"/>
      <c r="H110" s="312">
        <v>29</v>
      </c>
      <c r="I110" s="68">
        <v>3</v>
      </c>
      <c r="J110" s="312"/>
      <c r="K110" s="312"/>
      <c r="L110" s="67">
        <v>1000</v>
      </c>
      <c r="M110" s="229">
        <v>100</v>
      </c>
      <c r="N110" s="229">
        <v>100</v>
      </c>
    </row>
    <row r="111" spans="2:31" hidden="1">
      <c r="E111" s="205"/>
      <c r="H111" s="312">
        <v>30</v>
      </c>
      <c r="I111" s="68">
        <v>3</v>
      </c>
      <c r="J111" s="312"/>
      <c r="K111" s="312"/>
      <c r="L111" s="67">
        <v>1000</v>
      </c>
      <c r="M111" s="229">
        <v>100</v>
      </c>
      <c r="N111" s="229">
        <v>100</v>
      </c>
    </row>
    <row r="112" spans="2:31" hidden="1">
      <c r="B112" s="590" t="s">
        <v>633</v>
      </c>
      <c r="C112" s="401" t="s">
        <v>587</v>
      </c>
      <c r="D112" s="402" t="s">
        <v>588</v>
      </c>
      <c r="E112" s="441" t="s">
        <v>634</v>
      </c>
      <c r="H112" s="312">
        <v>31</v>
      </c>
      <c r="I112" s="68">
        <v>3</v>
      </c>
      <c r="J112" s="312"/>
      <c r="K112" s="312"/>
      <c r="L112" s="67">
        <v>1000</v>
      </c>
      <c r="M112" s="230">
        <v>100</v>
      </c>
      <c r="N112" s="230">
        <v>100</v>
      </c>
    </row>
    <row r="113" spans="2:31" hidden="1">
      <c r="B113" s="560" t="s">
        <v>635</v>
      </c>
      <c r="C113" s="312"/>
      <c r="D113" s="627" t="str">
        <f ca="1">IF(OP!$F$55&lt;15,IF(OP!$C$24=1,"16歲前限儲存生息","16歲前限抵繳保費後儲存生息"),"")</f>
        <v/>
      </c>
      <c r="E113" s="453"/>
      <c r="H113" s="312">
        <v>32</v>
      </c>
      <c r="I113" s="68">
        <v>3</v>
      </c>
      <c r="J113" s="312"/>
      <c r="K113" s="312"/>
      <c r="L113" s="67">
        <v>1000</v>
      </c>
      <c r="M113" s="230">
        <v>100</v>
      </c>
      <c r="N113" s="230">
        <v>100</v>
      </c>
    </row>
    <row r="114" spans="2:31" hidden="1">
      <c r="B114" s="560" t="s">
        <v>636</v>
      </c>
      <c r="C114" s="634"/>
      <c r="D114" s="627" t="str">
        <f ca="1">IF(OP!$F$55&lt;15,"16歲前無保額以年度末增值回饋分享金加總顯示","")</f>
        <v/>
      </c>
      <c r="E114" s="453"/>
      <c r="H114" s="312">
        <v>33</v>
      </c>
      <c r="I114" s="68">
        <v>3</v>
      </c>
      <c r="J114" s="312"/>
      <c r="K114" s="312"/>
      <c r="L114" s="67">
        <v>1000</v>
      </c>
      <c r="M114" s="230">
        <v>100</v>
      </c>
      <c r="N114" s="230">
        <v>100</v>
      </c>
    </row>
    <row r="115" spans="2:31" hidden="1">
      <c r="B115" s="560" t="s">
        <v>637</v>
      </c>
      <c r="C115" s="634"/>
      <c r="D115" s="627" t="str">
        <f ca="1">IF(OP!$F$55&lt;15,"16歲前無保額以累積年度末增值回饋分享金顯示","")</f>
        <v/>
      </c>
      <c r="E115" s="453"/>
      <c r="H115" s="312">
        <v>34</v>
      </c>
      <c r="I115" s="68">
        <v>3</v>
      </c>
      <c r="J115" s="312"/>
      <c r="K115" s="312"/>
      <c r="L115" s="67">
        <v>1000</v>
      </c>
      <c r="M115" s="230">
        <v>100</v>
      </c>
      <c r="N115" s="230">
        <v>100</v>
      </c>
      <c r="AD115" s="72"/>
    </row>
    <row r="116" spans="2:31" ht="16" hidden="1">
      <c r="B116" s="560"/>
      <c r="C116" s="634"/>
      <c r="D116" s="632"/>
      <c r="E116" s="453"/>
      <c r="H116" s="312">
        <v>35</v>
      </c>
      <c r="I116" s="68">
        <v>3</v>
      </c>
      <c r="J116" s="312"/>
      <c r="K116" s="312"/>
      <c r="L116" s="67">
        <v>1000</v>
      </c>
      <c r="M116" s="230">
        <v>100</v>
      </c>
      <c r="N116" s="230">
        <v>100</v>
      </c>
      <c r="V116" s="1"/>
    </row>
    <row r="117" spans="2:31" hidden="1">
      <c r="B117" s="560"/>
      <c r="C117" s="634"/>
      <c r="D117" s="632"/>
      <c r="E117" s="453"/>
      <c r="H117" s="312">
        <v>36</v>
      </c>
      <c r="I117" s="68">
        <v>3</v>
      </c>
      <c r="J117" s="312"/>
      <c r="K117" s="312"/>
      <c r="L117" s="67">
        <v>1000</v>
      </c>
      <c r="M117" s="230">
        <v>100</v>
      </c>
      <c r="N117" s="230">
        <v>100</v>
      </c>
      <c r="R117" s="96"/>
      <c r="S117" s="96"/>
      <c r="T117" s="96"/>
      <c r="U117" s="96"/>
      <c r="V117" s="96"/>
      <c r="W117" s="96"/>
      <c r="X117" s="96"/>
      <c r="Y117" s="96"/>
      <c r="Z117" s="96"/>
      <c r="AA117" s="96"/>
      <c r="AB117" s="96"/>
      <c r="AC117" s="96"/>
      <c r="AD117" s="96"/>
      <c r="AE117" s="96"/>
    </row>
    <row r="118" spans="2:31" hidden="1">
      <c r="B118" s="310"/>
      <c r="C118" s="634"/>
      <c r="D118" s="632"/>
      <c r="E118" s="453"/>
      <c r="H118" s="312">
        <v>37</v>
      </c>
      <c r="I118" s="68">
        <v>3</v>
      </c>
      <c r="J118" s="312"/>
      <c r="K118" s="312"/>
      <c r="L118" s="67">
        <v>1000</v>
      </c>
      <c r="M118" s="230">
        <v>100</v>
      </c>
      <c r="N118" s="230">
        <v>100</v>
      </c>
      <c r="R118" s="72"/>
      <c r="S118" s="72"/>
      <c r="T118" s="72"/>
      <c r="U118" s="72"/>
      <c r="V118" s="72"/>
      <c r="W118" s="72"/>
      <c r="X118" s="72"/>
      <c r="Y118" s="72"/>
      <c r="Z118" s="72"/>
      <c r="AA118" s="72"/>
      <c r="AB118" s="72"/>
      <c r="AC118" s="72"/>
      <c r="AD118" s="72"/>
      <c r="AE118" s="72"/>
    </row>
    <row r="119" spans="2:31" hidden="1">
      <c r="C119" s="110"/>
      <c r="D119" s="206"/>
      <c r="E119" s="205"/>
      <c r="H119" s="312">
        <v>38</v>
      </c>
      <c r="I119" s="68">
        <v>3</v>
      </c>
      <c r="J119" s="312"/>
      <c r="K119" s="312"/>
      <c r="L119" s="67">
        <v>1000</v>
      </c>
      <c r="M119" s="230">
        <v>100</v>
      </c>
      <c r="N119" s="230">
        <v>100</v>
      </c>
      <c r="R119" s="72"/>
      <c r="S119" s="72"/>
      <c r="T119" s="72"/>
      <c r="U119" s="72"/>
      <c r="V119" s="72"/>
      <c r="W119" s="72"/>
      <c r="X119" s="72"/>
      <c r="Y119" s="72"/>
      <c r="Z119" s="72"/>
      <c r="AA119" s="72"/>
      <c r="AB119" s="72"/>
      <c r="AC119" s="72"/>
      <c r="AD119" s="72"/>
      <c r="AE119" s="72"/>
    </row>
    <row r="120" spans="2:31" hidden="1">
      <c r="B120" s="400" t="s">
        <v>638</v>
      </c>
      <c r="C120" s="401" t="s">
        <v>587</v>
      </c>
      <c r="D120" s="402" t="s">
        <v>588</v>
      </c>
      <c r="E120" s="441" t="s">
        <v>634</v>
      </c>
      <c r="H120" s="312">
        <v>39</v>
      </c>
      <c r="I120" s="68">
        <v>3</v>
      </c>
      <c r="J120" s="312"/>
      <c r="K120" s="312"/>
      <c r="L120" s="67">
        <v>1000</v>
      </c>
      <c r="M120" s="230">
        <v>100</v>
      </c>
      <c r="N120" s="230">
        <v>100</v>
      </c>
      <c r="R120" s="72"/>
      <c r="S120" s="72"/>
      <c r="T120" s="72"/>
      <c r="U120" s="72"/>
      <c r="V120" s="72"/>
      <c r="W120" s="72"/>
      <c r="X120" s="72"/>
      <c r="Y120" s="72"/>
      <c r="Z120" s="72"/>
      <c r="AA120" s="72"/>
      <c r="AB120" s="72"/>
      <c r="AC120" s="72"/>
      <c r="AD120" s="72"/>
      <c r="AE120" s="72"/>
    </row>
    <row r="121" spans="2:31" hidden="1">
      <c r="B121" s="560" t="s">
        <v>639</v>
      </c>
      <c r="C121" s="310"/>
      <c r="D121" s="610" t="str">
        <f ca="1">TEXT(YEAR(OP!$C$3)-1911,"000")&amp;TEXT(MONTH(OP!$C$3),"00")&amp;TEXT(DAY(OP!$C$3),"00")</f>
        <v>1150825</v>
      </c>
      <c r="E121" s="453"/>
      <c r="H121" s="312">
        <v>40</v>
      </c>
      <c r="I121" s="68">
        <v>3</v>
      </c>
      <c r="J121" s="312"/>
      <c r="K121" s="312"/>
      <c r="L121" s="67">
        <v>1000</v>
      </c>
      <c r="M121" s="230">
        <v>100</v>
      </c>
      <c r="N121" s="230">
        <v>100</v>
      </c>
      <c r="R121" s="72"/>
      <c r="S121" s="72"/>
      <c r="T121" s="72"/>
      <c r="U121" s="72"/>
      <c r="V121" s="72"/>
      <c r="W121" s="72"/>
      <c r="X121" s="72"/>
      <c r="Y121" s="72"/>
      <c r="Z121" s="72"/>
      <c r="AA121" s="72"/>
      <c r="AB121" s="72"/>
      <c r="AC121" s="72"/>
      <c r="AD121" s="72"/>
      <c r="AE121" s="72"/>
    </row>
    <row r="122" spans="2:31" hidden="1">
      <c r="B122" s="560" t="s">
        <v>640</v>
      </c>
      <c r="C122" s="633" t="s">
        <v>641</v>
      </c>
      <c r="D122" s="633" t="str">
        <f ca="1">IF($D$6&lt;15,$C$122,"")</f>
        <v>※未滿15足歲同一被保險人累計本公司及產、壽險同業之壽險及傷害險最高總保額為2,000萬。</v>
      </c>
      <c r="E122" s="453"/>
      <c r="H122" s="312">
        <v>41</v>
      </c>
      <c r="I122" s="68">
        <v>3</v>
      </c>
      <c r="J122" s="312"/>
      <c r="K122" s="312"/>
      <c r="L122" s="67">
        <v>700</v>
      </c>
      <c r="M122" s="231">
        <v>100</v>
      </c>
      <c r="N122" s="231">
        <v>100</v>
      </c>
      <c r="R122" s="72"/>
      <c r="S122" s="72"/>
      <c r="T122" s="72"/>
      <c r="U122" s="72"/>
      <c r="V122" s="72"/>
      <c r="W122" s="72"/>
      <c r="X122" s="72"/>
      <c r="Y122" s="72"/>
      <c r="Z122" s="72"/>
      <c r="AA122" s="72"/>
      <c r="AB122" s="72"/>
      <c r="AC122" s="72"/>
      <c r="AD122" s="72"/>
      <c r="AE122" s="72"/>
    </row>
    <row r="123" spans="2:31" hidden="1">
      <c r="B123" s="560"/>
      <c r="C123" s="335"/>
      <c r="D123" s="632"/>
      <c r="E123" s="453"/>
      <c r="H123" s="312">
        <v>42</v>
      </c>
      <c r="I123" s="68">
        <v>3</v>
      </c>
      <c r="J123" s="312"/>
      <c r="K123" s="312"/>
      <c r="L123" s="67">
        <v>700</v>
      </c>
      <c r="M123" s="231">
        <v>100</v>
      </c>
      <c r="N123" s="231">
        <v>100</v>
      </c>
      <c r="R123" s="72"/>
      <c r="S123" s="72"/>
      <c r="T123" s="72"/>
      <c r="U123" s="72"/>
      <c r="V123" s="72"/>
      <c r="W123" s="72"/>
      <c r="X123" s="72"/>
      <c r="Y123" s="72"/>
      <c r="Z123" s="72"/>
      <c r="AA123" s="72"/>
      <c r="AB123" s="72"/>
      <c r="AC123" s="72"/>
      <c r="AD123" s="72"/>
      <c r="AE123" s="72"/>
    </row>
    <row r="124" spans="2:31" hidden="1">
      <c r="B124" s="560"/>
      <c r="C124" s="335"/>
      <c r="D124" s="632"/>
      <c r="E124" s="453"/>
      <c r="H124" s="312">
        <v>43</v>
      </c>
      <c r="I124" s="68">
        <v>3</v>
      </c>
      <c r="J124" s="312"/>
      <c r="K124" s="312"/>
      <c r="L124" s="67">
        <v>700</v>
      </c>
      <c r="M124" s="231">
        <v>100</v>
      </c>
      <c r="N124" s="231">
        <v>100</v>
      </c>
      <c r="R124" s="72"/>
      <c r="S124" s="72"/>
      <c r="T124" s="72"/>
      <c r="U124" s="72"/>
      <c r="V124" s="72"/>
      <c r="W124" s="72"/>
      <c r="X124" s="72"/>
      <c r="Y124" s="72"/>
      <c r="Z124" s="72"/>
      <c r="AA124" s="72"/>
      <c r="AB124" s="72"/>
      <c r="AC124" s="72"/>
    </row>
    <row r="125" spans="2:31" hidden="1">
      <c r="B125" s="37"/>
      <c r="D125" s="206"/>
      <c r="E125" s="205"/>
      <c r="H125" s="312">
        <v>44</v>
      </c>
      <c r="I125" s="68">
        <v>3</v>
      </c>
      <c r="J125" s="312"/>
      <c r="K125" s="312"/>
      <c r="L125" s="67">
        <v>700</v>
      </c>
      <c r="M125" s="231">
        <v>100</v>
      </c>
      <c r="N125" s="231">
        <v>100</v>
      </c>
      <c r="R125" s="72"/>
      <c r="S125" s="72"/>
      <c r="T125" s="72"/>
      <c r="U125" s="72"/>
      <c r="V125" s="72"/>
      <c r="W125" s="72"/>
      <c r="X125" s="72"/>
      <c r="Y125" s="72"/>
      <c r="Z125" s="72"/>
      <c r="AA125" s="72"/>
      <c r="AB125" s="72"/>
      <c r="AC125" s="72"/>
      <c r="AD125" s="72"/>
      <c r="AE125" s="72"/>
    </row>
    <row r="126" spans="2:31" hidden="1">
      <c r="B126" s="400" t="s">
        <v>642</v>
      </c>
      <c r="C126" s="401" t="s">
        <v>587</v>
      </c>
      <c r="D126" s="402" t="s">
        <v>588</v>
      </c>
      <c r="E126" s="441" t="s">
        <v>634</v>
      </c>
      <c r="H126" s="312">
        <v>45</v>
      </c>
      <c r="I126" s="68">
        <v>3</v>
      </c>
      <c r="J126" s="312"/>
      <c r="K126" s="312"/>
      <c r="L126" s="67">
        <v>700</v>
      </c>
      <c r="M126" s="231">
        <v>100</v>
      </c>
      <c r="N126" s="231">
        <v>100</v>
      </c>
      <c r="R126" s="72"/>
      <c r="S126" s="72"/>
      <c r="T126" s="72"/>
      <c r="U126" s="72"/>
      <c r="V126" s="72"/>
      <c r="W126" s="72"/>
      <c r="X126" s="72"/>
      <c r="Y126" s="72"/>
      <c r="Z126" s="72"/>
      <c r="AA126" s="72"/>
      <c r="AB126" s="72"/>
      <c r="AC126" s="72"/>
      <c r="AD126" s="72"/>
      <c r="AE126" s="72"/>
    </row>
    <row r="127" spans="2:31" hidden="1">
      <c r="B127" s="560" t="s">
        <v>669</v>
      </c>
      <c r="C127" s="633" t="s">
        <v>830</v>
      </c>
      <c r="D127" s="633" t="str">
        <f>$C$127</f>
        <v>‧下表保險相關給付為保證給付項目，可能紅利金額為零之情境</v>
      </c>
      <c r="E127" s="453"/>
      <c r="H127" s="312">
        <v>46</v>
      </c>
      <c r="I127" s="68">
        <v>3</v>
      </c>
      <c r="J127" s="312"/>
      <c r="K127" s="312"/>
      <c r="L127" s="67">
        <v>700</v>
      </c>
      <c r="M127" s="231">
        <v>100</v>
      </c>
      <c r="N127" s="231">
        <v>100</v>
      </c>
      <c r="R127" s="72"/>
      <c r="S127" s="72"/>
      <c r="T127" s="72"/>
      <c r="U127" s="72"/>
      <c r="V127" s="72"/>
      <c r="W127" s="72"/>
      <c r="X127" s="72"/>
      <c r="Y127" s="72"/>
      <c r="Z127" s="72"/>
      <c r="AA127" s="72"/>
      <c r="AB127" s="72"/>
      <c r="AC127" s="72"/>
      <c r="AD127" s="72"/>
      <c r="AE127" s="72"/>
    </row>
    <row r="128" spans="2:31" hidden="1">
      <c r="B128" s="26" t="s">
        <v>674</v>
      </c>
      <c r="C128" s="203" t="s">
        <v>831</v>
      </c>
      <c r="D128" s="203" t="str">
        <f>$C$128</f>
        <v>‧本保險為分紅保險單，保單紅利部分非本保險單之保證給付項目，本公司不保證其給付金額。</v>
      </c>
      <c r="E128" s="453"/>
      <c r="H128" s="312">
        <v>47</v>
      </c>
      <c r="I128" s="68">
        <v>3</v>
      </c>
      <c r="J128" s="312"/>
      <c r="K128" s="312"/>
      <c r="L128" s="67">
        <v>700</v>
      </c>
      <c r="M128" s="231">
        <v>100</v>
      </c>
      <c r="N128" s="231">
        <v>100</v>
      </c>
      <c r="R128" s="72"/>
      <c r="S128" s="72"/>
      <c r="T128" s="72"/>
      <c r="U128" s="72"/>
      <c r="V128" s="72"/>
      <c r="W128" s="72"/>
      <c r="X128" s="72"/>
      <c r="Y128" s="72"/>
      <c r="Z128" s="72"/>
      <c r="AA128" s="72"/>
      <c r="AB128" s="72"/>
      <c r="AC128" s="72"/>
      <c r="AD128" s="72"/>
      <c r="AE128" s="72"/>
    </row>
    <row r="129" spans="2:31" hidden="1">
      <c r="B129" s="560"/>
      <c r="C129" s="634"/>
      <c r="D129" s="632"/>
      <c r="E129" s="453"/>
      <c r="H129" s="312">
        <v>48</v>
      </c>
      <c r="I129" s="68">
        <v>3</v>
      </c>
      <c r="J129" s="312"/>
      <c r="K129" s="312"/>
      <c r="L129" s="67">
        <v>700</v>
      </c>
      <c r="M129" s="231">
        <v>100</v>
      </c>
      <c r="N129" s="231">
        <v>100</v>
      </c>
      <c r="R129" s="72"/>
      <c r="S129" s="72"/>
      <c r="T129" s="72"/>
      <c r="U129" s="72"/>
      <c r="V129" s="72"/>
      <c r="W129" s="72"/>
      <c r="X129" s="72"/>
      <c r="Y129" s="72"/>
      <c r="Z129" s="72"/>
      <c r="AA129" s="72"/>
      <c r="AB129" s="72"/>
      <c r="AC129" s="72"/>
      <c r="AD129" s="72"/>
      <c r="AE129" s="72"/>
    </row>
    <row r="130" spans="2:31" hidden="1">
      <c r="B130" s="560"/>
      <c r="C130" s="634"/>
      <c r="D130" s="632"/>
      <c r="E130" s="453"/>
      <c r="H130" s="312">
        <v>49</v>
      </c>
      <c r="I130" s="68">
        <v>3</v>
      </c>
      <c r="J130" s="312"/>
      <c r="K130" s="312"/>
      <c r="L130" s="67">
        <v>700</v>
      </c>
      <c r="M130" s="231">
        <v>100</v>
      </c>
      <c r="N130" s="231">
        <v>100</v>
      </c>
      <c r="R130" s="72"/>
      <c r="S130" s="72"/>
      <c r="T130" s="72"/>
      <c r="U130" s="72"/>
      <c r="V130" s="72"/>
      <c r="W130" s="72"/>
      <c r="X130" s="72"/>
      <c r="Y130" s="72"/>
      <c r="Z130" s="72"/>
      <c r="AA130" s="72"/>
      <c r="AB130" s="72"/>
      <c r="AC130" s="72"/>
      <c r="AD130" s="72"/>
      <c r="AE130" s="72"/>
    </row>
    <row r="131" spans="2:31" hidden="1">
      <c r="D131" s="206"/>
      <c r="E131" s="205"/>
      <c r="H131" s="312">
        <v>50</v>
      </c>
      <c r="I131" s="68">
        <v>3</v>
      </c>
      <c r="J131" s="312"/>
      <c r="K131" s="312"/>
      <c r="L131" s="67">
        <v>700</v>
      </c>
      <c r="M131" s="231">
        <v>100</v>
      </c>
      <c r="N131" s="231">
        <v>100</v>
      </c>
      <c r="R131" s="72"/>
      <c r="S131" s="72"/>
      <c r="T131" s="72"/>
      <c r="U131" s="72"/>
      <c r="V131" s="72"/>
      <c r="W131" s="72"/>
      <c r="X131" s="72"/>
      <c r="Y131" s="72"/>
      <c r="Z131" s="72"/>
      <c r="AA131" s="72"/>
      <c r="AB131" s="72"/>
      <c r="AC131" s="72"/>
      <c r="AD131" s="72"/>
      <c r="AE131" s="72"/>
    </row>
    <row r="132" spans="2:31" hidden="1">
      <c r="B132" s="400" t="s">
        <v>589</v>
      </c>
      <c r="C132" s="401" t="s">
        <v>587</v>
      </c>
      <c r="D132" s="402" t="s">
        <v>588</v>
      </c>
      <c r="E132" s="441" t="s">
        <v>1157</v>
      </c>
      <c r="H132" s="312">
        <v>51</v>
      </c>
      <c r="I132" s="68">
        <v>3</v>
      </c>
      <c r="J132" s="312"/>
      <c r="K132" s="312"/>
      <c r="L132" s="67">
        <v>400</v>
      </c>
      <c r="M132" s="232">
        <v>100</v>
      </c>
      <c r="N132" s="232">
        <v>0.5</v>
      </c>
      <c r="R132" s="72"/>
      <c r="S132" s="72"/>
      <c r="T132" s="72"/>
      <c r="U132" s="72"/>
      <c r="V132" s="72"/>
      <c r="W132" s="72"/>
      <c r="X132" s="72"/>
      <c r="Y132" s="72"/>
      <c r="Z132" s="72"/>
      <c r="AA132" s="72"/>
      <c r="AB132" s="72"/>
      <c r="AC132" s="72"/>
      <c r="AD132" s="72"/>
      <c r="AE132" s="72"/>
    </row>
    <row r="133" spans="2:31" hidden="1">
      <c r="B133" s="560" t="s">
        <v>643</v>
      </c>
      <c r="C133" s="441" t="e">
        <f ca="1">總表!$H$115</f>
        <v>#N/A</v>
      </c>
      <c r="D133" s="633" t="e">
        <f ca="1">$B$133&amp;TEXT($C$133,"#,##0 元")</f>
        <v>#N/A</v>
      </c>
      <c r="E133" s="453"/>
      <c r="H133" s="312">
        <v>52</v>
      </c>
      <c r="I133" s="68">
        <v>3</v>
      </c>
      <c r="J133" s="312"/>
      <c r="K133" s="312"/>
      <c r="L133" s="67">
        <v>400</v>
      </c>
      <c r="M133" s="232">
        <v>0.5</v>
      </c>
      <c r="N133" s="232">
        <v>0.5</v>
      </c>
      <c r="R133" s="72"/>
      <c r="S133" s="72"/>
      <c r="T133" s="72"/>
      <c r="U133" s="72"/>
      <c r="V133" s="72"/>
      <c r="W133" s="72"/>
      <c r="X133" s="72"/>
      <c r="Y133" s="72"/>
      <c r="Z133" s="72"/>
      <c r="AA133" s="72"/>
      <c r="AB133" s="72"/>
      <c r="AC133" s="72"/>
      <c r="AD133" s="72"/>
      <c r="AE133" s="72"/>
    </row>
    <row r="134" spans="2:31" hidden="1">
      <c r="B134" s="560" t="s">
        <v>644</v>
      </c>
      <c r="C134" s="441">
        <f>總表!$Q$115</f>
        <v>0</v>
      </c>
      <c r="D134" s="633" t="str">
        <f>$B$134&amp;TEXT($C$134,"#,##0 元")</f>
        <v>增額繳清保險金額祝壽保險金(預估值)：0 元</v>
      </c>
      <c r="E134" s="312"/>
      <c r="H134" s="312">
        <v>53</v>
      </c>
      <c r="I134" s="68">
        <v>3</v>
      </c>
      <c r="J134" s="312"/>
      <c r="K134" s="312"/>
      <c r="L134" s="67">
        <v>400</v>
      </c>
      <c r="M134" s="232">
        <v>0.5</v>
      </c>
      <c r="N134" s="232">
        <v>0.5</v>
      </c>
      <c r="R134" s="72"/>
      <c r="S134" s="72"/>
      <c r="T134" s="72"/>
      <c r="U134" s="72"/>
      <c r="V134" s="72"/>
      <c r="W134" s="72"/>
      <c r="X134" s="72"/>
      <c r="Y134" s="72"/>
      <c r="Z134" s="72"/>
      <c r="AA134" s="72"/>
      <c r="AB134" s="72"/>
      <c r="AC134" s="72"/>
      <c r="AD134" s="72"/>
      <c r="AE134" s="72"/>
    </row>
    <row r="135" spans="2:31" hidden="1">
      <c r="B135" s="560" t="s">
        <v>645</v>
      </c>
      <c r="C135" s="441" t="e">
        <f ca="1">C133+C134</f>
        <v>#N/A</v>
      </c>
      <c r="D135" s="633" t="e">
        <f ca="1">$B$135&amp;TEXT($C$135,"#,##0 元")</f>
        <v>#N/A</v>
      </c>
      <c r="E135" s="453"/>
      <c r="H135" s="312">
        <v>54</v>
      </c>
      <c r="I135" s="68">
        <v>3</v>
      </c>
      <c r="J135" s="312"/>
      <c r="K135" s="312"/>
      <c r="L135" s="67">
        <v>400</v>
      </c>
      <c r="M135" s="232">
        <v>0.5</v>
      </c>
      <c r="N135" s="232">
        <v>0.5</v>
      </c>
      <c r="R135" s="72"/>
      <c r="S135" s="72"/>
      <c r="T135" s="72"/>
      <c r="U135" s="72"/>
      <c r="V135" s="72"/>
      <c r="W135" s="72"/>
      <c r="X135" s="72"/>
      <c r="Y135" s="72"/>
      <c r="Z135" s="72"/>
      <c r="AA135" s="72"/>
      <c r="AB135" s="72"/>
      <c r="AC135" s="72"/>
      <c r="AE135" s="72"/>
    </row>
    <row r="136" spans="2:31" hidden="1">
      <c r="B136" s="310"/>
      <c r="C136" s="310"/>
      <c r="D136" s="632"/>
      <c r="E136" s="453"/>
      <c r="H136" s="312">
        <v>55</v>
      </c>
      <c r="I136" s="68">
        <v>3</v>
      </c>
      <c r="J136" s="312"/>
      <c r="K136" s="312"/>
      <c r="L136" s="67">
        <v>400</v>
      </c>
      <c r="M136" s="232">
        <v>0.5</v>
      </c>
      <c r="N136" s="232">
        <v>0.5</v>
      </c>
      <c r="R136" s="72"/>
      <c r="S136" s="72"/>
      <c r="T136" s="72"/>
      <c r="U136" s="72"/>
      <c r="V136" s="72"/>
      <c r="W136" s="72"/>
      <c r="X136" s="72"/>
      <c r="Y136" s="72"/>
      <c r="Z136" s="72"/>
      <c r="AA136" s="72"/>
      <c r="AB136" s="72"/>
      <c r="AC136" s="72"/>
      <c r="AD136" s="72"/>
      <c r="AE136" s="72"/>
    </row>
    <row r="137" spans="2:31" hidden="1">
      <c r="B137" s="560"/>
      <c r="C137" s="634"/>
      <c r="D137" s="632"/>
      <c r="E137" s="453"/>
      <c r="H137" s="312">
        <v>56</v>
      </c>
      <c r="I137" s="68">
        <v>3</v>
      </c>
      <c r="J137" s="312"/>
      <c r="K137" s="312"/>
      <c r="L137" s="67">
        <v>400</v>
      </c>
      <c r="M137" s="232">
        <v>0.5</v>
      </c>
      <c r="N137" s="232">
        <v>0.5</v>
      </c>
      <c r="R137" s="72"/>
      <c r="S137" s="72"/>
      <c r="T137" s="72"/>
      <c r="U137" s="72"/>
      <c r="V137" s="72"/>
      <c r="W137" s="72"/>
      <c r="X137" s="72"/>
      <c r="Y137" s="72"/>
      <c r="Z137" s="72"/>
      <c r="AA137" s="72"/>
      <c r="AB137" s="72"/>
      <c r="AC137" s="72"/>
      <c r="AD137" s="72"/>
      <c r="AE137" s="72"/>
    </row>
    <row r="138" spans="2:31" hidden="1">
      <c r="B138" s="310"/>
      <c r="C138" s="310"/>
      <c r="D138" s="312"/>
      <c r="E138" s="453"/>
      <c r="H138" s="312">
        <v>57</v>
      </c>
      <c r="I138" s="68">
        <v>3</v>
      </c>
      <c r="J138" s="312"/>
      <c r="K138" s="312"/>
      <c r="L138" s="67">
        <v>400</v>
      </c>
      <c r="M138" s="232">
        <v>0.5</v>
      </c>
      <c r="N138" s="232">
        <v>0.5</v>
      </c>
      <c r="R138" s="72"/>
      <c r="S138" s="72"/>
      <c r="T138" s="72"/>
      <c r="U138" s="72"/>
      <c r="V138" s="72"/>
      <c r="W138" s="72"/>
      <c r="X138" s="72"/>
      <c r="Y138" s="72"/>
      <c r="Z138" s="72"/>
      <c r="AA138" s="72"/>
      <c r="AB138" s="72"/>
      <c r="AC138" s="72"/>
      <c r="AD138" s="72"/>
      <c r="AE138" s="72"/>
    </row>
    <row r="139" spans="2:31" hidden="1">
      <c r="C139" s="203"/>
      <c r="D139" s="204"/>
      <c r="H139" s="312">
        <v>58</v>
      </c>
      <c r="I139" s="68">
        <v>3</v>
      </c>
      <c r="J139" s="312"/>
      <c r="K139" s="312"/>
      <c r="L139" s="67">
        <v>400</v>
      </c>
      <c r="M139" s="232">
        <v>0.5</v>
      </c>
      <c r="N139" s="232">
        <v>0.5</v>
      </c>
      <c r="R139" s="72"/>
      <c r="S139" s="72"/>
      <c r="T139" s="72"/>
      <c r="U139" s="72"/>
      <c r="V139" s="72"/>
      <c r="W139" s="72"/>
      <c r="X139" s="72"/>
      <c r="Y139" s="72"/>
      <c r="Z139" s="72"/>
      <c r="AA139" s="72"/>
      <c r="AB139" s="72"/>
      <c r="AC139" s="72"/>
      <c r="AD139" s="72"/>
      <c r="AE139" s="72"/>
    </row>
    <row r="140" spans="2:31" hidden="1">
      <c r="B140" s="400" t="s">
        <v>1129</v>
      </c>
      <c r="C140" s="401" t="s">
        <v>587</v>
      </c>
      <c r="D140" s="402" t="s">
        <v>588</v>
      </c>
      <c r="E140" s="441" t="s">
        <v>1157</v>
      </c>
      <c r="H140" s="312">
        <v>59</v>
      </c>
      <c r="I140" s="68">
        <v>3</v>
      </c>
      <c r="J140" s="312"/>
      <c r="K140" s="312"/>
      <c r="L140" s="67">
        <v>400</v>
      </c>
      <c r="M140" s="232">
        <v>0.5</v>
      </c>
      <c r="N140" s="232">
        <v>0.5</v>
      </c>
      <c r="R140" s="72"/>
      <c r="S140" s="72"/>
      <c r="T140" s="72"/>
      <c r="U140" s="72"/>
      <c r="V140" s="72"/>
      <c r="W140" s="72"/>
      <c r="X140" s="72"/>
      <c r="Y140" s="72"/>
      <c r="Z140" s="72"/>
      <c r="AA140" s="72"/>
      <c r="AB140" s="72"/>
      <c r="AC140" s="72"/>
      <c r="AD140" s="72"/>
      <c r="AE140" s="72"/>
    </row>
    <row r="141" spans="2:31" hidden="1">
      <c r="B141" s="310" t="s">
        <v>801</v>
      </c>
      <c r="C141" s="399">
        <f>input_s!$H$79</f>
        <v>0</v>
      </c>
      <c r="D141" s="403"/>
      <c r="E141" s="453"/>
      <c r="H141" s="312">
        <v>60</v>
      </c>
      <c r="I141" s="68">
        <v>3</v>
      </c>
      <c r="J141" s="312"/>
      <c r="K141" s="312"/>
      <c r="L141" s="67">
        <v>400</v>
      </c>
      <c r="M141" s="232">
        <v>0.5</v>
      </c>
      <c r="N141" s="232">
        <v>0.5</v>
      </c>
      <c r="R141" s="72"/>
      <c r="S141" s="72"/>
      <c r="T141" s="72"/>
      <c r="U141" s="72"/>
      <c r="V141" s="72"/>
      <c r="W141" s="72"/>
      <c r="X141" s="72"/>
      <c r="Y141" s="72"/>
      <c r="Z141" s="72"/>
      <c r="AA141" s="72"/>
      <c r="AB141" s="72"/>
      <c r="AC141" s="72"/>
      <c r="AD141" s="72"/>
      <c r="AE141" s="72"/>
    </row>
    <row r="142" spans="2:31" hidden="1">
      <c r="B142" s="310" t="s">
        <v>1128</v>
      </c>
      <c r="C142" s="394">
        <f>input_s!$H$81</f>
        <v>10</v>
      </c>
      <c r="D142" s="312"/>
      <c r="E142" s="312"/>
      <c r="H142" s="312">
        <v>61</v>
      </c>
      <c r="I142" s="68">
        <v>3</v>
      </c>
      <c r="J142" s="312"/>
      <c r="K142" s="312"/>
      <c r="L142" s="67">
        <v>100</v>
      </c>
      <c r="M142" s="233">
        <v>100</v>
      </c>
      <c r="N142" s="233">
        <v>100</v>
      </c>
      <c r="R142" s="72"/>
      <c r="S142" s="72"/>
      <c r="T142" s="72"/>
      <c r="U142" s="72"/>
      <c r="V142" s="72"/>
      <c r="W142" s="72"/>
      <c r="X142" s="72"/>
      <c r="Y142" s="72"/>
      <c r="Z142" s="72"/>
      <c r="AA142" s="72"/>
      <c r="AB142" s="72"/>
      <c r="AC142" s="72"/>
      <c r="AD142" s="72"/>
      <c r="AE142" s="72"/>
    </row>
    <row r="143" spans="2:31" hidden="1">
      <c r="H143" s="312">
        <v>62</v>
      </c>
      <c r="I143" s="68">
        <v>3</v>
      </c>
      <c r="J143" s="312"/>
      <c r="K143" s="312"/>
      <c r="L143" s="67">
        <v>100</v>
      </c>
      <c r="M143" s="233">
        <v>100</v>
      </c>
      <c r="N143" s="233">
        <v>100</v>
      </c>
      <c r="R143" s="72"/>
      <c r="S143" s="72"/>
      <c r="T143" s="72"/>
      <c r="U143" s="72"/>
      <c r="V143" s="72"/>
      <c r="W143" s="72"/>
      <c r="X143" s="72"/>
      <c r="Y143" s="72"/>
      <c r="Z143" s="72"/>
      <c r="AA143" s="72"/>
      <c r="AB143" s="72"/>
      <c r="AC143" s="72"/>
      <c r="AD143" s="72"/>
      <c r="AE143" s="72"/>
    </row>
    <row r="144" spans="2:31" hidden="1">
      <c r="H144" s="312">
        <v>63</v>
      </c>
      <c r="I144" s="68">
        <v>3</v>
      </c>
      <c r="J144" s="312"/>
      <c r="K144" s="312"/>
      <c r="L144" s="67">
        <v>100</v>
      </c>
      <c r="M144" s="233">
        <v>100</v>
      </c>
      <c r="N144" s="233">
        <v>100</v>
      </c>
      <c r="R144" s="72"/>
      <c r="S144" s="72"/>
      <c r="T144" s="72"/>
      <c r="U144" s="72"/>
      <c r="V144" s="72"/>
      <c r="W144" s="72"/>
      <c r="X144" s="72"/>
      <c r="Y144" s="72"/>
      <c r="Z144" s="72"/>
      <c r="AA144" s="72"/>
      <c r="AB144" s="72"/>
      <c r="AC144" s="72"/>
      <c r="AD144" s="72"/>
      <c r="AE144" s="72"/>
    </row>
    <row r="145" spans="8:31" hidden="1">
      <c r="H145" s="312">
        <v>64</v>
      </c>
      <c r="I145" s="68">
        <v>3</v>
      </c>
      <c r="J145" s="312"/>
      <c r="K145" s="312"/>
      <c r="L145" s="67">
        <v>100</v>
      </c>
      <c r="M145" s="233">
        <v>100</v>
      </c>
      <c r="N145" s="233">
        <v>100</v>
      </c>
      <c r="R145" s="72"/>
      <c r="S145" s="72"/>
      <c r="T145" s="72"/>
      <c r="U145" s="72"/>
      <c r="V145" s="72"/>
      <c r="W145" s="72"/>
      <c r="X145" s="72"/>
      <c r="Y145" s="72"/>
      <c r="Z145" s="72"/>
      <c r="AA145" s="72"/>
      <c r="AB145" s="72"/>
      <c r="AC145" s="72"/>
      <c r="AD145" s="72"/>
      <c r="AE145" s="72"/>
    </row>
    <row r="146" spans="8:31" hidden="1">
      <c r="H146" s="312">
        <v>65</v>
      </c>
      <c r="I146" s="68">
        <v>3</v>
      </c>
      <c r="J146" s="312"/>
      <c r="K146" s="312"/>
      <c r="L146" s="67">
        <v>100</v>
      </c>
      <c r="M146" s="233">
        <v>100</v>
      </c>
      <c r="N146" s="233">
        <v>100</v>
      </c>
      <c r="R146" s="72"/>
      <c r="S146" s="72"/>
      <c r="T146" s="72"/>
      <c r="U146" s="72"/>
      <c r="V146" s="72"/>
      <c r="W146" s="72"/>
      <c r="X146" s="72"/>
      <c r="Y146" s="72"/>
      <c r="Z146" s="72"/>
      <c r="AA146" s="72"/>
      <c r="AB146" s="72"/>
      <c r="AC146" s="72"/>
      <c r="AD146" s="72"/>
      <c r="AE146" s="72"/>
    </row>
    <row r="147" spans="8:31" hidden="1">
      <c r="H147" s="312">
        <v>66</v>
      </c>
      <c r="I147" s="68">
        <v>0</v>
      </c>
      <c r="J147" s="312"/>
      <c r="K147" s="312"/>
      <c r="L147" s="67">
        <v>100</v>
      </c>
      <c r="M147" s="233">
        <v>0</v>
      </c>
      <c r="N147" s="233">
        <v>0</v>
      </c>
      <c r="R147" s="72"/>
      <c r="S147" s="72"/>
      <c r="T147" s="72"/>
      <c r="U147" s="72"/>
      <c r="V147" s="72"/>
      <c r="W147" s="72"/>
      <c r="X147" s="72"/>
      <c r="Y147" s="72"/>
      <c r="Z147" s="72"/>
      <c r="AA147" s="72"/>
      <c r="AB147" s="72"/>
      <c r="AC147" s="72"/>
      <c r="AD147" s="72"/>
      <c r="AE147" s="72"/>
    </row>
    <row r="148" spans="8:31" hidden="1">
      <c r="H148" s="312">
        <v>67</v>
      </c>
      <c r="I148" s="630">
        <v>0</v>
      </c>
      <c r="J148" s="312"/>
      <c r="K148" s="312"/>
      <c r="L148" s="67">
        <v>100</v>
      </c>
      <c r="M148" s="233">
        <v>0</v>
      </c>
      <c r="N148" s="233">
        <v>0</v>
      </c>
      <c r="R148" s="72"/>
      <c r="S148" s="72"/>
      <c r="T148" s="72"/>
      <c r="U148" s="72"/>
      <c r="V148" s="72"/>
      <c r="W148" s="72"/>
      <c r="X148" s="72"/>
      <c r="Y148" s="72"/>
      <c r="Z148" s="72"/>
      <c r="AA148" s="72"/>
      <c r="AB148" s="72"/>
      <c r="AC148" s="72"/>
      <c r="AD148" s="72"/>
      <c r="AE148" s="72"/>
    </row>
    <row r="149" spans="8:31" hidden="1">
      <c r="H149" s="312">
        <v>68</v>
      </c>
      <c r="I149" s="630">
        <v>0</v>
      </c>
      <c r="J149" s="312"/>
      <c r="K149" s="312"/>
      <c r="L149" s="67">
        <v>100</v>
      </c>
      <c r="M149" s="233">
        <v>0</v>
      </c>
      <c r="N149" s="233">
        <v>0</v>
      </c>
      <c r="R149" s="72"/>
      <c r="S149" s="72"/>
      <c r="T149" s="72"/>
      <c r="U149" s="72"/>
      <c r="V149" s="72"/>
      <c r="W149" s="72"/>
      <c r="X149" s="72"/>
      <c r="Y149" s="72"/>
      <c r="Z149" s="72"/>
      <c r="AA149" s="72"/>
      <c r="AB149" s="72"/>
      <c r="AC149" s="72"/>
      <c r="AD149" s="72"/>
      <c r="AE149" s="72"/>
    </row>
    <row r="150" spans="8:31" hidden="1">
      <c r="H150" s="312">
        <v>69</v>
      </c>
      <c r="I150" s="630">
        <v>0</v>
      </c>
      <c r="J150" s="312"/>
      <c r="K150" s="312"/>
      <c r="L150" s="67">
        <v>100</v>
      </c>
      <c r="M150" s="233">
        <v>0</v>
      </c>
      <c r="N150" s="233">
        <v>0</v>
      </c>
      <c r="R150" s="72"/>
      <c r="S150" s="72"/>
      <c r="T150" s="72"/>
      <c r="U150" s="72"/>
      <c r="V150" s="72"/>
      <c r="W150" s="72"/>
      <c r="X150" s="72"/>
      <c r="Y150" s="72"/>
      <c r="Z150" s="72"/>
      <c r="AA150" s="72"/>
      <c r="AB150" s="72"/>
      <c r="AC150" s="72"/>
      <c r="AD150" s="72"/>
      <c r="AE150" s="72"/>
    </row>
    <row r="151" spans="8:31" hidden="1">
      <c r="H151" s="312">
        <v>70</v>
      </c>
      <c r="I151" s="630">
        <v>0</v>
      </c>
      <c r="J151" s="312"/>
      <c r="K151" s="312"/>
      <c r="L151" s="67">
        <v>100</v>
      </c>
      <c r="M151" s="233">
        <v>0</v>
      </c>
      <c r="N151" s="233">
        <v>0</v>
      </c>
      <c r="R151" s="72"/>
      <c r="S151" s="72"/>
      <c r="T151" s="72"/>
      <c r="U151" s="72"/>
      <c r="V151" s="72"/>
      <c r="W151" s="72"/>
      <c r="X151" s="72"/>
      <c r="Y151" s="72"/>
      <c r="Z151" s="72"/>
      <c r="AA151" s="72"/>
      <c r="AB151" s="72"/>
      <c r="AC151" s="72"/>
      <c r="AD151" s="72"/>
      <c r="AE151" s="72"/>
    </row>
    <row r="152" spans="8:31" hidden="1">
      <c r="H152" s="312">
        <v>71</v>
      </c>
      <c r="I152" s="630">
        <v>0</v>
      </c>
      <c r="J152" s="312"/>
      <c r="K152" s="312"/>
      <c r="L152" s="67">
        <v>0</v>
      </c>
      <c r="M152" s="67">
        <v>0</v>
      </c>
      <c r="N152" s="67">
        <v>0</v>
      </c>
      <c r="R152" s="72"/>
      <c r="S152" s="72"/>
      <c r="T152" s="72"/>
      <c r="U152" s="72"/>
      <c r="V152" s="72"/>
      <c r="W152" s="72"/>
      <c r="X152" s="72"/>
      <c r="Y152" s="72"/>
      <c r="Z152" s="72"/>
      <c r="AA152" s="72"/>
      <c r="AB152" s="72"/>
      <c r="AC152" s="72"/>
      <c r="AD152" s="72"/>
      <c r="AE152" s="72"/>
    </row>
    <row r="153" spans="8:31" hidden="1">
      <c r="H153" s="312">
        <v>72</v>
      </c>
      <c r="I153" s="630">
        <v>0</v>
      </c>
      <c r="J153" s="312"/>
      <c r="K153" s="312"/>
      <c r="L153" s="67">
        <v>0</v>
      </c>
      <c r="M153" s="67">
        <v>0</v>
      </c>
      <c r="N153" s="67">
        <v>0</v>
      </c>
      <c r="R153" s="72"/>
      <c r="S153" s="72"/>
      <c r="T153" s="72"/>
      <c r="U153" s="72"/>
      <c r="V153" s="72"/>
      <c r="W153" s="72"/>
      <c r="X153" s="72"/>
      <c r="Y153" s="72"/>
      <c r="Z153" s="72"/>
      <c r="AA153" s="72"/>
      <c r="AB153" s="72"/>
      <c r="AC153" s="72"/>
      <c r="AD153" s="72"/>
      <c r="AE153" s="72"/>
    </row>
    <row r="154" spans="8:31" hidden="1">
      <c r="H154" s="312">
        <v>73</v>
      </c>
      <c r="I154" s="630">
        <v>0</v>
      </c>
      <c r="J154" s="312"/>
      <c r="K154" s="312"/>
      <c r="L154" s="67">
        <v>0</v>
      </c>
      <c r="M154" s="67">
        <v>0</v>
      </c>
      <c r="N154" s="67">
        <v>0</v>
      </c>
      <c r="R154" s="72"/>
      <c r="S154" s="72"/>
      <c r="T154" s="72"/>
      <c r="U154" s="72"/>
      <c r="V154" s="72"/>
      <c r="W154" s="72"/>
      <c r="X154" s="72"/>
      <c r="Y154" s="72"/>
      <c r="Z154" s="72"/>
      <c r="AA154" s="72"/>
      <c r="AB154" s="72"/>
      <c r="AC154" s="72"/>
      <c r="AE154" s="72"/>
    </row>
    <row r="155" spans="8:31" hidden="1">
      <c r="H155" s="312">
        <v>74</v>
      </c>
      <c r="I155" s="630">
        <v>0</v>
      </c>
      <c r="J155" s="312"/>
      <c r="K155" s="312"/>
      <c r="L155" s="67">
        <v>0</v>
      </c>
      <c r="M155" s="67">
        <v>0</v>
      </c>
      <c r="N155" s="67">
        <v>0</v>
      </c>
      <c r="R155" s="72"/>
      <c r="S155" s="72"/>
      <c r="T155" s="72"/>
      <c r="U155" s="72"/>
      <c r="V155" s="72"/>
      <c r="W155" s="72"/>
      <c r="X155" s="72"/>
      <c r="Y155" s="72"/>
      <c r="Z155" s="72"/>
      <c r="AA155" s="72"/>
      <c r="AB155" s="72"/>
      <c r="AC155" s="72"/>
      <c r="AD155" s="72"/>
      <c r="AE155" s="72"/>
    </row>
    <row r="156" spans="8:31" hidden="1">
      <c r="H156" s="312">
        <v>75</v>
      </c>
      <c r="I156" s="630">
        <v>0</v>
      </c>
      <c r="J156" s="312"/>
      <c r="K156" s="312"/>
      <c r="L156" s="67">
        <v>0</v>
      </c>
      <c r="M156" s="67">
        <v>0</v>
      </c>
      <c r="N156" s="67">
        <v>0</v>
      </c>
      <c r="R156" s="72"/>
      <c r="S156" s="72"/>
      <c r="T156" s="72"/>
      <c r="U156" s="72"/>
      <c r="V156" s="72"/>
      <c r="W156" s="72"/>
      <c r="X156" s="72"/>
      <c r="Y156" s="72"/>
      <c r="Z156" s="72"/>
      <c r="AA156" s="72"/>
      <c r="AB156" s="72"/>
      <c r="AC156" s="72"/>
      <c r="AD156" s="72"/>
      <c r="AE156" s="72"/>
    </row>
    <row r="157" spans="8:31" hidden="1">
      <c r="H157" s="312">
        <v>76</v>
      </c>
      <c r="I157" s="630">
        <v>0</v>
      </c>
      <c r="J157" s="312"/>
      <c r="K157" s="312"/>
      <c r="L157" s="67">
        <v>0</v>
      </c>
      <c r="M157" s="67">
        <v>0</v>
      </c>
      <c r="N157" s="67">
        <v>0</v>
      </c>
      <c r="R157" s="72"/>
      <c r="S157" s="72"/>
      <c r="T157" s="72"/>
      <c r="U157" s="72"/>
      <c r="V157" s="72"/>
      <c r="W157" s="72"/>
      <c r="X157" s="72"/>
      <c r="Y157" s="72"/>
      <c r="Z157" s="72"/>
      <c r="AA157" s="72"/>
      <c r="AB157" s="72"/>
      <c r="AC157" s="72"/>
      <c r="AD157" s="72"/>
      <c r="AE157" s="72"/>
    </row>
    <row r="158" spans="8:31" hidden="1">
      <c r="H158" s="312">
        <v>77</v>
      </c>
      <c r="I158" s="630">
        <v>0</v>
      </c>
      <c r="J158" s="312"/>
      <c r="K158" s="312"/>
      <c r="L158" s="67">
        <v>0</v>
      </c>
      <c r="M158" s="67">
        <v>0</v>
      </c>
      <c r="N158" s="67">
        <v>0</v>
      </c>
      <c r="R158" s="72"/>
      <c r="S158" s="72"/>
      <c r="T158" s="72"/>
      <c r="U158" s="72"/>
      <c r="V158" s="72"/>
      <c r="W158" s="72"/>
      <c r="X158" s="72"/>
      <c r="Y158" s="72"/>
      <c r="Z158" s="72"/>
      <c r="AA158" s="72"/>
      <c r="AB158" s="72"/>
      <c r="AC158" s="72"/>
      <c r="AD158" s="72"/>
      <c r="AE158" s="72"/>
    </row>
    <row r="159" spans="8:31" hidden="1">
      <c r="H159" s="312">
        <v>78</v>
      </c>
      <c r="I159" s="630">
        <v>0</v>
      </c>
      <c r="J159" s="312"/>
      <c r="K159" s="312"/>
      <c r="L159" s="67">
        <v>0</v>
      </c>
      <c r="M159" s="67">
        <v>0</v>
      </c>
      <c r="N159" s="67">
        <v>0</v>
      </c>
      <c r="R159" s="72"/>
      <c r="S159" s="72"/>
      <c r="T159" s="72"/>
      <c r="U159" s="72"/>
      <c r="V159" s="72"/>
      <c r="W159" s="72"/>
      <c r="X159" s="72"/>
      <c r="Y159" s="72"/>
      <c r="Z159" s="72"/>
      <c r="AA159" s="72"/>
      <c r="AB159" s="72"/>
      <c r="AC159" s="72"/>
      <c r="AD159" s="72"/>
      <c r="AE159" s="72"/>
    </row>
    <row r="160" spans="8:31" hidden="1">
      <c r="H160" s="312">
        <v>79</v>
      </c>
      <c r="I160" s="630">
        <v>0</v>
      </c>
      <c r="J160" s="312"/>
      <c r="K160" s="312"/>
      <c r="L160" s="67">
        <v>0</v>
      </c>
      <c r="M160" s="67">
        <v>0</v>
      </c>
      <c r="N160" s="67">
        <v>0</v>
      </c>
      <c r="AD160" s="72"/>
      <c r="AE160" s="72"/>
    </row>
    <row r="161" spans="2:31" hidden="1">
      <c r="H161" s="312">
        <v>80</v>
      </c>
      <c r="I161" s="630">
        <v>0</v>
      </c>
      <c r="J161" s="312"/>
      <c r="K161" s="312"/>
      <c r="L161" s="67">
        <v>0</v>
      </c>
      <c r="M161" s="67">
        <v>0</v>
      </c>
      <c r="N161" s="67">
        <v>0</v>
      </c>
      <c r="AD161" s="72"/>
      <c r="AE161" s="72"/>
    </row>
    <row r="168" spans="2:31" hidden="1">
      <c r="C168" s="203"/>
      <c r="D168" s="204"/>
    </row>
    <row r="169" spans="2:31" hidden="1">
      <c r="C169" s="203"/>
      <c r="D169" s="204"/>
    </row>
    <row r="170" spans="2:31" hidden="1">
      <c r="D170" s="204"/>
    </row>
    <row r="171" spans="2:31" hidden="1">
      <c r="B171" s="635" t="s">
        <v>670</v>
      </c>
      <c r="C171" s="442" t="s">
        <v>320</v>
      </c>
      <c r="D171" s="442" t="s">
        <v>321</v>
      </c>
      <c r="E171" s="627" t="s">
        <v>796</v>
      </c>
      <c r="F171" s="442" t="s">
        <v>668</v>
      </c>
    </row>
    <row r="172" spans="2:31" hidden="1">
      <c r="D172" s="204"/>
    </row>
    <row r="173" spans="2:31" hidden="1">
      <c r="B173" s="434" t="s">
        <v>1161</v>
      </c>
      <c r="C173" s="636" t="s">
        <v>671</v>
      </c>
      <c r="D173" s="434">
        <v>2</v>
      </c>
      <c r="E173" s="637">
        <v>5.5E-2</v>
      </c>
      <c r="F173" s="434" t="str">
        <f ca="1">$C$55&amp;$D173</f>
        <v>LTT3002152</v>
      </c>
      <c r="G173" s="434" t="str">
        <f>$B173&amp;"；
"&amp;$D$96</f>
        <v>假設分紅：最可能紅利；
年度保單紅利給付方式：現金給付</v>
      </c>
    </row>
    <row r="174" spans="2:31" hidden="1">
      <c r="B174" s="434" t="s">
        <v>1162</v>
      </c>
      <c r="C174" s="631" t="s">
        <v>672</v>
      </c>
      <c r="D174" s="434">
        <v>1</v>
      </c>
      <c r="E174" s="637">
        <v>0.03</v>
      </c>
      <c r="F174" s="434" t="str">
        <f ca="1">$C$55&amp;$D174</f>
        <v>LTT3002151</v>
      </c>
      <c r="G174" s="434" t="str">
        <f>$B174&amp;"；
"&amp;$D$96</f>
        <v>假設分紅：較低紅利；
年度保單紅利給付方式：現金給付</v>
      </c>
    </row>
    <row r="175" spans="2:31" ht="32" hidden="1">
      <c r="B175" s="435" t="s">
        <v>1163</v>
      </c>
      <c r="C175" s="434" t="s">
        <v>673</v>
      </c>
      <c r="D175" s="434">
        <v>3</v>
      </c>
      <c r="E175" s="637">
        <v>0.06</v>
      </c>
      <c r="F175" s="434" t="str">
        <f ca="1">$C$55&amp;$D175</f>
        <v>LTT3002153</v>
      </c>
      <c r="G175" s="434" t="str">
        <f>$B175&amp;"；
"&amp;$D$96</f>
        <v>假設分紅：
可能紅利金額為零；
年度保單紅利給付方式：現金給付</v>
      </c>
    </row>
    <row r="176" spans="2:31" hidden="1">
      <c r="B176" s="434" t="s">
        <v>832</v>
      </c>
      <c r="C176" s="203"/>
      <c r="D176" s="204"/>
    </row>
    <row r="177" spans="2:5" hidden="1">
      <c r="C177" s="203"/>
      <c r="D177" s="204"/>
    </row>
    <row r="178" spans="2:5" hidden="1">
      <c r="C178" s="203"/>
      <c r="D178" s="204"/>
    </row>
    <row r="179" spans="2:5" hidden="1">
      <c r="C179" s="203"/>
      <c r="D179" s="204"/>
    </row>
    <row r="180" spans="2:5" hidden="1">
      <c r="C180" s="203"/>
      <c r="D180" s="204"/>
    </row>
    <row r="181" spans="2:5" hidden="1">
      <c r="B181" s="310" t="str">
        <f>IF($C$181=1,"要保人、被保險人、繳款人皆為 "&amp;OP!$D$182&amp;" 君  ",IF(AND($D$184=1),"要保人："&amp;OP!$D$181&amp;" 君  ","")&amp;IF(AND($D$185=1),"被保險人："&amp;OP!$D$182&amp;" 君  ","")&amp;IF(AND($D$186=1),"繳款人："&amp;OP!$D$183&amp;" 君  ",""))</f>
        <v xml:space="preserve">要保人、被保險人、繳款人皆為 客戶 君  </v>
      </c>
      <c r="C181" s="578">
        <f>IF(OR(E189=0,E189=""),"請選擇",VLOOKUP($E$189,$B$182:$C$186,2,0))</f>
        <v>1</v>
      </c>
      <c r="D181" s="403" t="str">
        <f>IF(OR(OP!$C$181=1,OP!$C$181=2),TEXT(輸入頁!$E$5,"#"),TEXT(輸入頁!$E$13,"#"))</f>
        <v>客戶</v>
      </c>
      <c r="E181" s="312" t="s">
        <v>814</v>
      </c>
    </row>
    <row r="182" spans="2:5" hidden="1">
      <c r="B182" s="310" t="s">
        <v>809</v>
      </c>
      <c r="C182" s="578">
        <v>1</v>
      </c>
      <c r="D182" s="403" t="str">
        <f>TEXT(輸入頁!$E$5,"#")</f>
        <v>客戶</v>
      </c>
      <c r="E182" s="312" t="s">
        <v>815</v>
      </c>
    </row>
    <row r="183" spans="2:5" hidden="1">
      <c r="B183" s="310" t="s">
        <v>810</v>
      </c>
      <c r="C183" s="578">
        <v>2</v>
      </c>
      <c r="D183" s="403" t="str">
        <f>IF(OR(OP!$C$181=1,OP!$C$181=3),TEXT(輸入頁!$E$5,"#"),IF(OR(OP!$C$181=4),TEXT(輸入頁!$E$13,"#"),TEXT(輸入頁!$O$13,"#")))</f>
        <v>客戶</v>
      </c>
      <c r="E183" s="312" t="s">
        <v>816</v>
      </c>
    </row>
    <row r="184" spans="2:5" hidden="1">
      <c r="B184" s="310" t="s">
        <v>811</v>
      </c>
      <c r="C184" s="578">
        <v>3</v>
      </c>
      <c r="D184" s="403" t="str">
        <f>IF($C$181=1,"",IF(OR(AND($E$194&lt;&gt;1,$D$193&gt;=$B$195+1),$D$185=1,$D$186=1),1,""))</f>
        <v/>
      </c>
      <c r="E184" s="312" t="s">
        <v>814</v>
      </c>
    </row>
    <row r="185" spans="2:5" hidden="1">
      <c r="B185" s="310" t="s">
        <v>812</v>
      </c>
      <c r="C185" s="578">
        <v>4</v>
      </c>
      <c r="D185" s="403" t="str">
        <f>IF($C$181=1,"",IF(OR(AND($E$6&lt;&gt;1,$D$5&gt;=$B$195+1)),1,""))</f>
        <v/>
      </c>
      <c r="E185" s="312" t="s">
        <v>815</v>
      </c>
    </row>
    <row r="186" spans="2:5" hidden="1">
      <c r="B186" s="310" t="s">
        <v>813</v>
      </c>
      <c r="C186" s="578">
        <v>5</v>
      </c>
      <c r="D186" s="403" t="str">
        <f>IF($C$181=1,"",IF($D$198=1,1,""))</f>
        <v/>
      </c>
      <c r="E186" s="312" t="s">
        <v>816</v>
      </c>
    </row>
    <row r="187" spans="2:5" hidden="1">
      <c r="C187" s="203"/>
      <c r="D187" s="204"/>
    </row>
    <row r="188" spans="2:5" hidden="1">
      <c r="C188" s="203"/>
      <c r="D188" s="204"/>
    </row>
    <row r="189" spans="2:5" ht="16" hidden="1">
      <c r="B189" s="152" t="s">
        <v>611</v>
      </c>
      <c r="C189" s="396" t="str">
        <f>IF(input_s!$H$16=input_s!$H$21,$C$73,input_s!$H$16)</f>
        <v/>
      </c>
      <c r="E189" s="222" t="str">
        <f>輸入頁!$E$12</f>
        <v>同被保險人</v>
      </c>
    </row>
    <row r="190" spans="2:5" hidden="1">
      <c r="B190" s="310" t="s">
        <v>304</v>
      </c>
      <c r="C190" s="310" t="s">
        <v>305</v>
      </c>
      <c r="D190" s="310" t="s">
        <v>306</v>
      </c>
      <c r="E190" s="310" t="s">
        <v>307</v>
      </c>
    </row>
    <row r="191" spans="2:5" hidden="1">
      <c r="B191" s="310">
        <f>IF(C192=0,0,VALUE(MID(C192,IF(LEN(C192)=7,4,3),2)))</f>
        <v>1</v>
      </c>
      <c r="C191" s="580">
        <f ca="1">$C$3</f>
        <v>46259</v>
      </c>
      <c r="D191" s="580">
        <f>IF(C192=0,0,DATE(LEFT(C192,IF(LEN(C192)=7,3,2))+1911,MID(C192,IF(LEN(C192)=7,4,3),2),RIGHT(C192,2)))</f>
        <v>40909</v>
      </c>
      <c r="E191" s="585">
        <f>IF(E192=1,0,IF(OR(B191=1,B191=3,B191=5,B191=7,B191=8,B191=10,B191=12),31,IF(OR(B191=4,B191=6,B191=9,B191=11),30,IF(AND(B191=2,YEAR(D191)/4=INT(YEAR(D191)/4),YEAR(D191)/400&lt;&gt;INT(YEAR(D191)/400)),29,28))))</f>
        <v>31</v>
      </c>
    </row>
    <row r="192" spans="2:5" hidden="1">
      <c r="B192" s="310" t="s">
        <v>306</v>
      </c>
      <c r="C192" s="585">
        <f>IF(OR($C$181=1,$C$181=2),$C$10,輸入頁!$E$14)</f>
        <v>1010101</v>
      </c>
      <c r="D192" s="581"/>
      <c r="E192" s="310" t="str">
        <f>IF(OR(B191&lt;1,B191&gt;12),1,"")</f>
        <v/>
      </c>
    </row>
    <row r="193" spans="2:5" hidden="1">
      <c r="B193" s="310" t="s">
        <v>612</v>
      </c>
      <c r="C193" s="588" t="s">
        <v>2</v>
      </c>
      <c r="D193" s="588">
        <f ca="1">IF(SUM(E194)&gt;=1,0,IF(D191&gt;C191,0,IF(MONTH(C191)&lt;B191,IF(OR(MONTH(C191)+12-B191&gt;6,AND(MONTH(C191)+12-B191=6,DAY(C191)&gt;DAY(D191))),YEAR(C191)-1-YEAR(D191)+1,IF(OR(MONTH(C191)+12-B191&lt;6,AND(MONTH(C191)+12-B191=6,DAY(C191)&lt;=DAY(D191))),YEAR(C191)-1-YEAR(D191))),IF(OR(MONTH(C191)-B191&gt;6,AND(MONTH(C191)-B191=6,DAY(C191)&gt;DAY(D191))),YEAR(C191)-YEAR(D191)+1,IF(OR(MONTH(C191)-B191&lt;=6,AND(MONTH(C191)-B191=6,DAY(C191)&lt;=DAY(D191))),YEAR(C191)-YEAR(D191),)))))</f>
        <v>15</v>
      </c>
      <c r="E193" s="310" t="str">
        <f>IF(OR(VALUE(RIGHT(C192,2))&lt;1,VALUE(RIGHT(C192,2))&gt;E191),1,"")</f>
        <v/>
      </c>
    </row>
    <row r="194" spans="2:5" hidden="1">
      <c r="B194" s="638" t="str">
        <f ca="1">IF(OR(AND($E$194&lt;&gt;1,$D$193&gt;=$B$195+1),AND($E$6&lt;&gt;1,$D$5&gt;=$B$195+1),$D$198=1),"本件需進行錄音","")&amp;$B$196&amp;$B$197</f>
        <v/>
      </c>
      <c r="C194" s="588" t="s">
        <v>4</v>
      </c>
      <c r="D194" s="588">
        <f ca="1">IF(SUM(E194)&gt;=1,"生日格式錯誤",IF(D191&gt;C191,"被保險人未出生",DATEDIF(D191,C191,"y")))</f>
        <v>14</v>
      </c>
      <c r="E194" s="583" t="str">
        <f>IF(OR(E192=1,E193=1),1,"")</f>
        <v/>
      </c>
    </row>
    <row r="195" spans="2:5" hidden="1">
      <c r="B195" s="221">
        <f>IF(D197=0,100,64)</f>
        <v>100</v>
      </c>
      <c r="C195" s="221">
        <f>IF($D$197=0,0,((LEFT(TEXT(DATE(YEAR($C$3)-$B$195,MONTH($C$3)-6,DAY($C$3)-1),"yyyymmdd"),4)*1)-IF(LEN($C$10)=8,0,1911)&amp;TEXT(MID(TEXT(DATE(YEAR($C$3)-$B$195,MONTH($C$3)-6,DAY($C$3)-1),"yyyymmdd"),5,2),"00")&amp;TEXT(RIGHT(TEXT(DATE(YEAR($C$3)-$B$195,MONTH($C$3)-6,DAY($C$3)-1),"yyyymmdd"),2),"00"))*1)</f>
        <v>0</v>
      </c>
      <c r="D195" s="26" t="str">
        <f ca="1">TEXT(DATE(YEAR($C$3)-$B$195,MONTH($C$3)-6,DAY($C$3)),"yyyy/m/d")</f>
        <v>1926/2/25</v>
      </c>
      <c r="E195" s="614" t="str">
        <f>IF($E$69="一銀",IF(OR(AND($E$194&lt;&gt;1,$D$193&gt;=$B$195+1),AND($E$6&lt;&gt;1,$D$5&gt;=$B$195+1),$D$198=1),1,""),"")</f>
        <v/>
      </c>
    </row>
    <row r="196" spans="2:5" hidden="1">
      <c r="B196" s="310" t="str">
        <f ca="1">IF(AND(C192&gt;$C$195,$C$192&lt;=$E$196),"*請注意要保人將於"&amp;D191-D195+1&amp;"天後達"&amp;$B$195+1&amp;"歲*","")</f>
        <v/>
      </c>
      <c r="C196" s="310" t="s">
        <v>613</v>
      </c>
      <c r="D196" s="310">
        <v>7</v>
      </c>
      <c r="E196" s="312">
        <f ca="1">((LEFT(TEXT(DATE(YEAR($C$3)-$B$195,MONTH($C$3)-6,DAY($C$3)+$D$196),"yyyymmdd"),4)*1)-IF(LEN($C$10)=8,0,1911)&amp;TEXT(MID(TEXT(DATE(YEAR($C$3)-$B$195,MONTH($C$3)-6,DAY($C$3)+$D$196),"yyyymmdd"),5,2),"00")&amp;TEXT(RIGHT(TEXT(DATE(YEAR($C$3)-$B$195,MONTH($C$3)-6,DAY($C$3)+$D$196),"yyyymmdd"),2),"00"))*1</f>
        <v>150304</v>
      </c>
    </row>
    <row r="197" spans="2:5" hidden="1">
      <c r="B197" s="310" t="str">
        <f ca="1">IF(AND($C$4&gt;$C$195,$C$4&lt;=$E$196),"*請注意被保人將於"&amp;$D$3-$D$195+1&amp;"天後達"&amp;$B$195+1&amp;"歲*","")</f>
        <v/>
      </c>
      <c r="C197" s="310" t="s">
        <v>614</v>
      </c>
      <c r="D197" s="310">
        <f>IF($E$69&lt;&gt;"",1,0)</f>
        <v>0</v>
      </c>
      <c r="E197" s="312" t="s">
        <v>615</v>
      </c>
    </row>
    <row r="198" spans="2:5" hidden="1">
      <c r="B198" s="639" t="s">
        <v>616</v>
      </c>
      <c r="C198" s="640">
        <f>IF(OR($C$181=1,$C$181=3),$C$10,IF(OR($C$181=4),$C$192,輸入頁!$O$14))</f>
        <v>1010101</v>
      </c>
      <c r="D198" s="640" t="str">
        <f>IF(OR($D$197=0,$C$198=0,$C$198=""),"",IF($C$198*1&lt;=$C$195*1,1,""))</f>
        <v/>
      </c>
    </row>
    <row r="199" spans="2:5" hidden="1">
      <c r="B199" s="310" t="s">
        <v>651</v>
      </c>
      <c r="C199" s="641" t="s">
        <v>652</v>
      </c>
      <c r="D199" s="204"/>
    </row>
    <row r="200" spans="2:5" hidden="1">
      <c r="C200" s="203"/>
      <c r="D200" s="204"/>
    </row>
    <row r="201" spans="2:5" hidden="1">
      <c r="C201" s="203"/>
      <c r="D201" s="204"/>
    </row>
    <row r="202" spans="2:5" hidden="1">
      <c r="C202" s="203"/>
      <c r="D202" s="204"/>
    </row>
    <row r="203" spans="2:5" hidden="1">
      <c r="C203" s="203"/>
      <c r="D203" s="204"/>
    </row>
    <row r="204" spans="2:5" hidden="1">
      <c r="C204" s="203"/>
      <c r="D204" s="204"/>
    </row>
    <row r="205" spans="2:5" hidden="1">
      <c r="C205" s="203"/>
      <c r="D205" s="203"/>
    </row>
    <row r="206" spans="2:5" hidden="1">
      <c r="C206" s="203"/>
      <c r="D206" s="203"/>
    </row>
    <row r="207" spans="2:5" hidden="1">
      <c r="C207" s="203"/>
      <c r="D207" s="203"/>
    </row>
    <row r="208" spans="2:5" hidden="1">
      <c r="C208" s="203"/>
      <c r="D208" s="203"/>
    </row>
    <row r="209" spans="3:4" hidden="1">
      <c r="C209" s="203"/>
      <c r="D209" s="203"/>
    </row>
    <row r="210" spans="3:4" hidden="1">
      <c r="C210" s="203"/>
      <c r="D210" s="203"/>
    </row>
    <row r="211" spans="3:4" hidden="1">
      <c r="C211" s="203"/>
      <c r="D211" s="203"/>
    </row>
    <row r="212" spans="3:4" hidden="1">
      <c r="C212" s="203"/>
      <c r="D212" s="203"/>
    </row>
    <row r="213" spans="3:4" hidden="1">
      <c r="C213" s="203"/>
      <c r="D213" s="203"/>
    </row>
    <row r="570" spans="2:2" hidden="1">
      <c r="B570" s="26" t="str">
        <f>PDN1_1&amp;"("</f>
        <v>富邦人壽順馨久久長期照顧定期健康保險(</v>
      </c>
    </row>
  </sheetData>
  <sheetProtection algorithmName="SHA-512" hashValue="C6TJlAsJLmbBJtyH3VeI1DjI9V0obiZAy7efq+f7bDKFteQSihjYfVZnRmB8l0ALGSTA1rKN6A6j5q3sgZv2Sw==" saltValue="G+bzZ8mtRzY5sbefaeue1A==" spinCount="100000" sheet="1" objects="1" scenarios="1"/>
  <phoneticPr fontId="17" type="noConversion"/>
  <conditionalFormatting sqref="B189 B194">
    <cfRule type="expression" dxfId="28" priority="1" stopIfTrue="1">
      <formula>$A$46=1</formula>
    </cfRule>
  </conditionalFormatting>
  <conditionalFormatting sqref="O2:O3 O6 O12:O13">
    <cfRule type="expression" dxfId="27" priority="3" stopIfTrue="1">
      <formula>$A$46=1</formula>
    </cfRule>
  </conditionalFormatting>
  <conditionalFormatting sqref="O10:O11">
    <cfRule type="expression" dxfId="26" priority="2" stopIfTrue="1">
      <formula>$A$50=1</formula>
    </cfRule>
  </conditionalFormatting>
  <dataValidations count="18">
    <dataValidation allowBlank="1" showInputMessage="1" showErrorMessage="1" prompt="1.足歲_x000a_2.保險年齡" sqref="AE16" xr:uid="{8153B1DE-CA75-4A4A-BB10-9A39B31DFBC5}"/>
    <dataValidation type="list" allowBlank="1" showInputMessage="1" showErrorMessage="1" sqref="C199" xr:uid="{0EE95181-6BC9-4667-9220-82C71EFE9886}">
      <formula1>"公版,兆豐,台新"</formula1>
    </dataValidation>
    <dataValidation type="list" allowBlank="1" showInputMessage="1" showErrorMessage="1" sqref="E69" xr:uid="{079CF8D9-6338-452D-BF9E-59DF84E3A542}">
      <formula1>"銀保通路,一銀,花旗"</formula1>
    </dataValidation>
    <dataValidation type="list" allowBlank="1" showInputMessage="1" showErrorMessage="1" sqref="E21" xr:uid="{E1ECCE1C-A4F4-4EC9-98A4-6DB0F078435E}">
      <formula1>"新臺幣,美元,澳幣,人民幣"</formula1>
    </dataValidation>
    <dataValidation type="list" allowBlank="1" showInputMessage="1" showErrorMessage="1" sqref="C105" xr:uid="{BDB0DEC8-FA85-42C3-B0BB-5239DF62419C}">
      <formula1>"現售,高額,停售"</formula1>
    </dataValidation>
    <dataValidation allowBlank="1" showInputMessage="1" showErrorMessage="1" prompt="輸入頁E8_x000a_顯示文字" sqref="D87 AD26" xr:uid="{44EFCEFB-D9E7-47F1-BD10-C18A1111B477}"/>
    <dataValidation allowBlank="1" showInputMessage="1" showErrorMessage="1" prompt="跳歲_x000a_1=提醒_x000a_0=不提醒" sqref="C85" xr:uid="{8E3C18C2-5833-4E09-9C0B-16A2488228BB}"/>
    <dataValidation allowBlank="1" showInputMessage="1" showErrorMessage="1" prompt="保費_x000a_1=提醒_x000a_0=不提醒" sqref="D85" xr:uid="{40DA6BE9-1F71-4C72-8AD3-601A9F39AD06}"/>
    <dataValidation type="list" allowBlank="1" showInputMessage="1" showErrorMessage="1" sqref="C69" xr:uid="{FACD40A0-4B7C-432A-9AA8-D91953678643}">
      <formula1>"業務、服展、北富銀,保經代,業務,業務、服展,北富銀,整銷,多元,銀保,錠嵂保經"</formula1>
    </dataValidation>
    <dataValidation allowBlank="1" showInputMessage="1" showErrorMessage="1" prompt="0-不遮_x000a_1-遮" sqref="E72" xr:uid="{0559D06D-1879-41E7-99ED-CA80824EB8D1}"/>
    <dataValidation allowBlank="1" showInputMessage="1" showErrorMessage="1" prompt="台幣小數點下四捨五入，外幣小數點下捨去" sqref="C35" xr:uid="{13AAEBEF-FCA3-455F-8C2E-DC63F4F43477}"/>
    <dataValidation allowBlank="1" showInputMessage="1" showErrorMessage="1" prompt="台幣小數點下四捨五入，外幣小數點下1位四捨五入" sqref="C31" xr:uid="{3FFBAD7C-59DD-4906-B8D6-0D1A1EF7D919}"/>
    <dataValidation allowBlank="1" showInputMessage="1" showErrorMessage="1" prompt="1.男性 2.女性" sqref="C18 AC18" xr:uid="{3AA113EC-D76E-4074-B3B0-D84F318393D5}"/>
    <dataValidation allowBlank="1" showInputMessage="1" showErrorMessage="1" prompt="日驗證" sqref="E5 E193 AE5" xr:uid="{9865DE20-916F-4FD1-AF07-81832C348512}"/>
    <dataValidation allowBlank="1" showInputMessage="1" showErrorMessage="1" prompt="月驗證" sqref="E4 E192 AE4" xr:uid="{65FED71E-2665-45D5-99AF-3FDBE0005332}"/>
    <dataValidation allowBlank="1" showInputMessage="1" showErrorMessage="1" prompt="生日月份最終日" sqref="E3 E191 AE3" xr:uid="{C1B163B1-141D-4D81-828E-D519E977EB60}"/>
    <dataValidation allowBlank="1" showInputMessage="1" showErrorMessage="1" prompt="生日-月" sqref="B3 B191 AB3" xr:uid="{02C9ABA0-9E0F-40C0-9E4E-19C8F0D18CC4}"/>
    <dataValidation type="list" allowBlank="1" showInputMessage="1" showErrorMessage="1" prompt="1.足歲_x000a_2.保險年齡" sqref="E16" xr:uid="{83AB937D-2F2B-4E47-A1E5-A87ADBA3684C}">
      <formula1>"1,2"</formula1>
    </dataValidation>
  </dataValidations>
  <pageMargins left="0.74803149606299213" right="0.74803149606299213" top="0.98425196850393704" bottom="0.98425196850393704" header="0.51181102362204722" footer="0.51181102362204722"/>
  <pageSetup paperSize="9" scale="16"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
    <pageSetUpPr fitToPage="1"/>
  </sheetPr>
  <dimension ref="A1:T208"/>
  <sheetViews>
    <sheetView showGridLines="0" showRowColHeaders="0" tabSelected="1" workbookViewId="0">
      <selection activeCell="E21" sqref="E21:G21"/>
    </sheetView>
  </sheetViews>
  <sheetFormatPr baseColWidth="10" defaultColWidth="0" defaultRowHeight="13" zeroHeight="1"/>
  <cols>
    <col min="1" max="1" width="2.3984375" customWidth="1"/>
    <col min="2" max="2" width="6.796875" customWidth="1"/>
    <col min="3" max="3" width="17.796875" customWidth="1"/>
    <col min="4" max="4" width="12.796875" customWidth="1"/>
    <col min="5" max="10" width="5.796875" customWidth="1"/>
    <col min="11" max="12" width="6.796875" customWidth="1"/>
    <col min="13" max="14" width="20.796875" customWidth="1"/>
    <col min="15" max="15" width="16.796875" customWidth="1"/>
    <col min="16" max="16" width="14.796875" customWidth="1"/>
    <col min="17" max="17" width="16.796875" customWidth="1"/>
    <col min="18" max="18" width="14.796875" customWidth="1"/>
    <col min="19" max="19" width="3.19921875" customWidth="1"/>
    <col min="20" max="20" width="2.3984375" customWidth="1"/>
  </cols>
  <sheetData>
    <row r="1" spans="1:20" s="5" customFormat="1" ht="7.5" customHeight="1">
      <c r="A1" s="2"/>
      <c r="B1" s="2"/>
      <c r="C1" s="2"/>
      <c r="D1" s="2"/>
      <c r="E1" s="2"/>
      <c r="F1" s="2"/>
      <c r="G1" s="2"/>
      <c r="H1" s="2"/>
      <c r="I1" s="2"/>
      <c r="J1" s="2"/>
      <c r="K1" s="2"/>
      <c r="L1" s="2"/>
      <c r="M1" s="2"/>
      <c r="N1" s="3"/>
      <c r="O1" s="3"/>
      <c r="P1" s="3"/>
      <c r="Q1" s="3"/>
      <c r="R1" s="3"/>
      <c r="S1" s="3"/>
      <c r="T1" s="3"/>
    </row>
    <row r="2" spans="1:20" s="5" customFormat="1" ht="34">
      <c r="A2" s="4" t="str">
        <f ca="1">OP!$D$53</f>
        <v/>
      </c>
      <c r="B2" s="714" t="str">
        <f>OP!$E$23</f>
        <v>富邦人壽順馨久久長期照顧定期健康保險建議書</v>
      </c>
      <c r="C2" s="715"/>
      <c r="D2" s="715"/>
      <c r="E2" s="715"/>
      <c r="F2" s="715"/>
      <c r="G2" s="715"/>
      <c r="H2" s="715"/>
      <c r="I2" s="715"/>
      <c r="J2" s="715"/>
      <c r="K2" s="715"/>
      <c r="L2" s="715"/>
      <c r="M2" s="715"/>
      <c r="N2" s="715"/>
      <c r="O2" s="715"/>
      <c r="P2" s="715"/>
      <c r="Q2" s="715"/>
      <c r="R2" s="715"/>
      <c r="S2" s="716"/>
      <c r="T2" s="3"/>
    </row>
    <row r="3" spans="1:20" s="5" customFormat="1" ht="20.25" customHeight="1">
      <c r="A3" s="4"/>
      <c r="B3" s="719" t="s">
        <v>834</v>
      </c>
      <c r="C3" s="720"/>
      <c r="D3" s="720"/>
      <c r="E3" s="720"/>
      <c r="F3" s="720"/>
      <c r="G3" s="720"/>
      <c r="H3" s="720"/>
      <c r="I3" s="720"/>
      <c r="J3" s="720"/>
      <c r="K3" s="720"/>
      <c r="L3" s="720"/>
      <c r="M3" s="720"/>
      <c r="N3" s="720"/>
      <c r="O3" s="720"/>
      <c r="P3" s="720"/>
      <c r="Q3" s="720"/>
      <c r="R3" s="720"/>
      <c r="S3" s="721"/>
      <c r="T3" s="3"/>
    </row>
    <row r="4" spans="1:20" s="5" customFormat="1" ht="24" customHeight="1">
      <c r="A4" s="2"/>
      <c r="B4" s="274"/>
      <c r="C4" s="426" t="s">
        <v>311</v>
      </c>
      <c r="D4" s="112"/>
      <c r="E4" s="112"/>
      <c r="F4" s="112"/>
      <c r="G4" s="112"/>
      <c r="H4" s="112"/>
      <c r="I4" s="112"/>
      <c r="J4" s="112"/>
      <c r="K4" s="112"/>
      <c r="L4" s="112"/>
      <c r="M4" s="28" t="s">
        <v>1130</v>
      </c>
      <c r="N4" s="712" t="str">
        <f ca="1">OP!$C$16&amp;OP!$E$15&amp;"  ~  "&amp;OP!$C$15&amp;"歲 "&amp;"("&amp;IF(OP!$C$9=1,OP!$C$7,OP!F4&amp;" / "&amp;OP!F5&amp;" / "&amp;OP!F6)&amp;")"</f>
        <v>15歲  ~  45歲 (700225)</v>
      </c>
      <c r="O4" s="713"/>
      <c r="P4" s="572"/>
      <c r="Q4" s="111"/>
      <c r="R4" s="223" t="str">
        <f>IF(OP!$C$105="停售","本商品已停售","")</f>
        <v/>
      </c>
      <c r="S4" s="290"/>
      <c r="T4" s="3"/>
    </row>
    <row r="5" spans="1:20" s="5" customFormat="1" ht="20" customHeight="1">
      <c r="A5" s="4" t="str">
        <f>OP!$E$6</f>
        <v/>
      </c>
      <c r="B5" s="275"/>
      <c r="C5" s="25"/>
      <c r="D5" s="29" t="s">
        <v>58</v>
      </c>
      <c r="E5" s="690" t="s">
        <v>593</v>
      </c>
      <c r="F5" s="717"/>
      <c r="G5" s="717"/>
      <c r="H5" s="718"/>
      <c r="I5" s="10"/>
      <c r="J5" s="29" t="s">
        <v>59</v>
      </c>
      <c r="K5" s="690" t="s">
        <v>1210</v>
      </c>
      <c r="L5" s="718"/>
      <c r="M5" s="29" t="s">
        <v>609</v>
      </c>
      <c r="N5" s="643">
        <v>1010101</v>
      </c>
      <c r="O5" s="9" t="s">
        <v>339</v>
      </c>
      <c r="P5" s="645">
        <f ca="1">OP!$D$5</f>
        <v>15</v>
      </c>
      <c r="Q5" s="9" t="s">
        <v>610</v>
      </c>
      <c r="R5" s="646">
        <f ca="1">OP!$D$6</f>
        <v>14</v>
      </c>
      <c r="S5" s="291">
        <f ca="1">IF(OR(K5="",E7="",E17="",Q17="",Q19="",E39="",J39="",OR(J39&lt;J40,J39&gt;K40),A2=1),1,"")</f>
        <v>1</v>
      </c>
      <c r="T5" s="2"/>
    </row>
    <row r="6" spans="1:20" s="5" customFormat="1" ht="20">
      <c r="A6" s="4"/>
      <c r="B6" s="276"/>
      <c r="C6" s="25"/>
      <c r="D6" s="22"/>
      <c r="E6" s="238" t="str">
        <f ca="1">IF(OP!$E$6=1,"生日日期錯誤",IF($A$2=1,"部分內容空白或錯誤",OP!$D$17))&amp;OP!$B$194&amp;"  "&amp;OP!$D$87</f>
        <v xml:space="preserve">  </v>
      </c>
      <c r="F6" s="16"/>
      <c r="G6" s="16"/>
      <c r="H6" s="16"/>
      <c r="I6" s="16"/>
      <c r="J6" s="16"/>
      <c r="K6" s="16"/>
      <c r="L6" s="16"/>
      <c r="M6" s="16"/>
      <c r="N6" s="16"/>
      <c r="O6" s="16"/>
      <c r="P6" s="16"/>
      <c r="Q6" s="16"/>
      <c r="R6" s="16"/>
      <c r="S6" s="292"/>
      <c r="T6" s="2"/>
    </row>
    <row r="7" spans="1:20" s="5" customFormat="1" ht="6" hidden="1" customHeight="1">
      <c r="A7" s="4"/>
      <c r="B7" s="276"/>
      <c r="C7" s="25"/>
      <c r="D7" s="29"/>
      <c r="E7" s="10"/>
      <c r="F7" s="10"/>
      <c r="G7" s="18"/>
      <c r="H7" s="10"/>
      <c r="I7" s="9"/>
      <c r="J7" s="10"/>
      <c r="K7" s="9"/>
      <c r="L7" s="3"/>
      <c r="M7" s="422"/>
      <c r="N7" s="9"/>
      <c r="O7" s="642"/>
      <c r="P7" s="642"/>
      <c r="Q7" s="9"/>
      <c r="R7" s="644"/>
      <c r="S7" s="292"/>
      <c r="T7" s="2"/>
    </row>
    <row r="8" spans="1:20" s="5" customFormat="1" ht="20" hidden="1">
      <c r="A8" s="4" t="str">
        <f>OP!$AE$6</f>
        <v/>
      </c>
      <c r="B8" s="276"/>
      <c r="C8" s="29" t="s">
        <v>1206</v>
      </c>
      <c r="D8" s="29" t="s">
        <v>58</v>
      </c>
      <c r="E8" s="690" t="s">
        <v>593</v>
      </c>
      <c r="F8" s="717"/>
      <c r="G8" s="717"/>
      <c r="H8" s="718"/>
      <c r="I8" s="10"/>
      <c r="J8" s="29" t="s">
        <v>59</v>
      </c>
      <c r="K8" s="690" t="s">
        <v>1209</v>
      </c>
      <c r="L8" s="718"/>
      <c r="M8" s="29" t="s">
        <v>63</v>
      </c>
      <c r="N8" s="643">
        <v>981101</v>
      </c>
      <c r="O8" s="9" t="s">
        <v>60</v>
      </c>
      <c r="P8" s="645">
        <f ca="1">OP!$AD$5</f>
        <v>17</v>
      </c>
      <c r="Q8" s="9" t="s">
        <v>61</v>
      </c>
      <c r="R8" s="646">
        <f ca="1">OP!$AD$6</f>
        <v>16</v>
      </c>
      <c r="S8" s="292"/>
      <c r="T8" s="2"/>
    </row>
    <row r="9" spans="1:20" s="5" customFormat="1" ht="20" hidden="1">
      <c r="A9" s="4"/>
      <c r="B9" s="277"/>
      <c r="C9" s="219"/>
      <c r="D9" s="22"/>
      <c r="E9" s="238" t="str">
        <f ca="1">IF(OP!$AE$6=1,"生日日期錯誤",IF($A$2=1,"部分內容空白或錯誤",OP!$AD$17))&amp;OP!$B$194&amp;"  "&amp;OP!$AD$26</f>
        <v xml:space="preserve">  </v>
      </c>
      <c r="F9" s="16"/>
      <c r="G9" s="16"/>
      <c r="H9" s="16"/>
      <c r="I9" s="16"/>
      <c r="J9" s="16"/>
      <c r="K9" s="16"/>
      <c r="L9" s="16"/>
      <c r="M9" s="16"/>
      <c r="N9" s="16"/>
      <c r="O9" s="16"/>
      <c r="P9" s="16"/>
      <c r="Q9" s="16"/>
      <c r="R9" s="16"/>
      <c r="S9" s="292"/>
      <c r="T9" s="2"/>
    </row>
    <row r="10" spans="1:20" s="5" customFormat="1" ht="6" hidden="1" customHeight="1">
      <c r="A10" s="4"/>
      <c r="B10" s="278"/>
      <c r="C10" s="3"/>
      <c r="D10" s="44"/>
      <c r="E10" s="4">
        <f ca="1">IF(OP!$C$9=1,OP!$C$7,OP!$F$4)</f>
        <v>700225</v>
      </c>
      <c r="F10" s="4">
        <f ca="1">IF(OP!$C$9=1,OP!$E$7,OP!$F$3)</f>
        <v>1150825</v>
      </c>
      <c r="G10" s="4"/>
      <c r="H10" s="4"/>
      <c r="I10" s="45"/>
      <c r="J10" s="45">
        <f>OP!E3</f>
        <v>31</v>
      </c>
      <c r="K10" s="45"/>
      <c r="L10" s="17"/>
      <c r="M10" s="17"/>
      <c r="N10" s="23"/>
      <c r="O10" s="8"/>
      <c r="P10" s="17"/>
      <c r="Q10" s="46"/>
      <c r="R10" s="17"/>
      <c r="S10" s="293"/>
      <c r="T10" s="2"/>
    </row>
    <row r="11" spans="1:20" s="5" customFormat="1" ht="6" hidden="1" customHeight="1">
      <c r="A11" s="4"/>
      <c r="B11" s="279"/>
      <c r="C11" s="220"/>
      <c r="D11" s="220"/>
      <c r="E11" s="220"/>
      <c r="F11" s="220"/>
      <c r="G11" s="220"/>
      <c r="H11" s="220"/>
      <c r="I11" s="220"/>
      <c r="J11" s="220"/>
      <c r="K11" s="220"/>
      <c r="L11" s="220"/>
      <c r="M11" s="220"/>
      <c r="N11" s="220"/>
      <c r="O11" s="220"/>
      <c r="P11" s="220"/>
      <c r="Q11" s="220"/>
      <c r="R11" s="220"/>
      <c r="S11" s="292"/>
      <c r="T11" s="2"/>
    </row>
    <row r="12" spans="1:20" s="5" customFormat="1" ht="16.5" hidden="1" customHeight="1">
      <c r="A12" s="4"/>
      <c r="B12" s="280"/>
      <c r="C12" s="29"/>
      <c r="D12" s="272" t="s">
        <v>823</v>
      </c>
      <c r="E12" s="730" t="s">
        <v>1382</v>
      </c>
      <c r="F12" s="730"/>
      <c r="G12" s="730"/>
      <c r="H12" s="730"/>
      <c r="I12" s="273" t="str">
        <f>IF(OP!$C$181&lt;10,"",OP!$C$181)</f>
        <v/>
      </c>
      <c r="J12" s="10"/>
      <c r="K12" s="752" t="str">
        <f>"請確認右方內容："&amp;IF(OP!$C$181=1,"要保人、被保險人、繳款人皆為 "&amp;OP!$D$182,"要保人："&amp;IF(OR(OP!$C$181=1,OP!$C$181=2),OP!$D$182,OP!$D$181)&amp;"  "&amp;"被保險人："&amp;OP!$D$182&amp;"  "&amp;"繳款人："&amp;IF(OR(OP!$C$181=1,OP!$C$181=3),OP!$D$182,IF(OR(OP!$C$181=4),OP!$D$181,OP!$D$183)))</f>
        <v>請確認右方內容：要保人、被保險人、繳款人皆為 客戶</v>
      </c>
      <c r="L12" s="753"/>
      <c r="M12" s="753"/>
      <c r="N12" s="753"/>
      <c r="O12" s="753"/>
      <c r="P12" s="753"/>
      <c r="Q12" s="753"/>
      <c r="R12" s="753"/>
      <c r="S12" s="292"/>
      <c r="T12" s="2"/>
    </row>
    <row r="13" spans="1:20" s="5" customFormat="1" ht="16.5" hidden="1" customHeight="1">
      <c r="A13" s="4"/>
      <c r="B13" s="276"/>
      <c r="C13" s="25"/>
      <c r="D13" s="29" t="str">
        <f>IF(OR(OP!$C$181=1,OP!$C$181=2),"","要保人姓名：")</f>
        <v/>
      </c>
      <c r="E13" s="692"/>
      <c r="F13" s="692"/>
      <c r="G13" s="692"/>
      <c r="H13" s="692"/>
      <c r="I13" s="16"/>
      <c r="J13" s="16"/>
      <c r="K13" s="16"/>
      <c r="L13" s="16"/>
      <c r="M13" s="16"/>
      <c r="N13" s="29" t="str">
        <f>IF(OR(OP!$C$181=1,OP!$C$181=3,OP!$C$181=4),"","繳款人姓名：")</f>
        <v/>
      </c>
      <c r="O13" s="692"/>
      <c r="P13" s="697"/>
      <c r="Q13" s="16"/>
      <c r="R13" s="16"/>
      <c r="S13" s="292"/>
      <c r="T13" s="2"/>
    </row>
    <row r="14" spans="1:20" s="5" customFormat="1" ht="16.5" hidden="1" customHeight="1">
      <c r="A14" s="4"/>
      <c r="B14" s="280"/>
      <c r="C14" s="29"/>
      <c r="D14" s="29" t="str">
        <f>IF(OR($D$13=""),"","要保人生日(民國)：")</f>
        <v/>
      </c>
      <c r="E14" s="723"/>
      <c r="F14" s="717"/>
      <c r="G14" s="717"/>
      <c r="H14" s="718"/>
      <c r="I14" s="722" t="str">
        <f>IF(OR($D$13=""),"","保險年齡："&amp;OP!$D$193&amp;"歲")</f>
        <v/>
      </c>
      <c r="J14" s="722"/>
      <c r="K14" s="722"/>
      <c r="L14" s="722"/>
      <c r="N14" s="29" t="str">
        <f>IF(OR($N$13=""),"","繳款人生日(民國)：")</f>
        <v/>
      </c>
      <c r="O14" s="693"/>
      <c r="P14" s="694"/>
      <c r="Q14" s="8" t="s">
        <v>608</v>
      </c>
      <c r="R14" s="10"/>
      <c r="S14" s="292"/>
      <c r="T14" s="2"/>
    </row>
    <row r="15" spans="1:20" s="5" customFormat="1" ht="16.5" hidden="1" customHeight="1">
      <c r="A15" s="4"/>
      <c r="B15" s="279"/>
      <c r="C15" s="16"/>
      <c r="D15" s="9"/>
      <c r="E15" s="238" t="str">
        <f ca="1">IF(AND($E$14&lt;&gt;"",OP!$E$194=1),"要保人生日日期錯誤","")&amp;OP!$B$194</f>
        <v/>
      </c>
      <c r="F15" s="16"/>
      <c r="G15" s="16"/>
      <c r="H15" s="16"/>
      <c r="I15" s="16"/>
      <c r="J15" s="16"/>
      <c r="K15" s="16"/>
      <c r="L15" s="16"/>
      <c r="M15" s="16"/>
      <c r="N15" s="16"/>
      <c r="O15" s="235" t="str">
        <f>IF(AND($O$14&lt;&gt;"",OP!$D$198=1),"本件需進行錄音","")</f>
        <v/>
      </c>
      <c r="P15" s="16"/>
      <c r="Q15" s="16"/>
      <c r="R15" s="16"/>
      <c r="S15" s="292"/>
      <c r="T15" s="2"/>
    </row>
    <row r="16" spans="1:20" s="5" customFormat="1" ht="6" customHeight="1">
      <c r="A16" s="4"/>
      <c r="B16" s="281"/>
      <c r="C16" s="76"/>
      <c r="D16" s="76"/>
      <c r="E16" s="76"/>
      <c r="F16" s="76"/>
      <c r="G16" s="76"/>
      <c r="H16" s="76"/>
      <c r="I16" s="76"/>
      <c r="J16" s="76"/>
      <c r="K16" s="76"/>
      <c r="L16" s="76"/>
      <c r="M16" s="85"/>
      <c r="N16" s="76"/>
      <c r="O16" s="76"/>
      <c r="P16" s="76"/>
      <c r="Q16" s="76"/>
      <c r="R16" s="76"/>
      <c r="S16" s="294"/>
      <c r="T16" s="2"/>
    </row>
    <row r="17" spans="1:20" s="5" customFormat="1" ht="17.25" customHeight="1">
      <c r="A17" s="4"/>
      <c r="B17" s="709" t="s">
        <v>74</v>
      </c>
      <c r="C17" s="710"/>
      <c r="D17" s="710"/>
      <c r="E17" s="725" t="s">
        <v>1160</v>
      </c>
      <c r="F17" s="726"/>
      <c r="G17" s="727"/>
      <c r="H17" s="731" t="str">
        <f>OP!D49</f>
        <v/>
      </c>
      <c r="I17" s="731"/>
      <c r="J17" s="731"/>
      <c r="K17" s="731"/>
      <c r="L17" s="731"/>
      <c r="M17" s="731"/>
      <c r="N17" s="23"/>
      <c r="O17" s="29" t="s">
        <v>75</v>
      </c>
      <c r="P17" s="51" t="str">
        <f>IF(OP!$C$24=1,"","首期")</f>
        <v>首期</v>
      </c>
      <c r="Q17" s="690" t="s">
        <v>1384</v>
      </c>
      <c r="R17" s="691"/>
      <c r="S17" s="295"/>
      <c r="T17" s="2"/>
    </row>
    <row r="18" spans="1:20" s="5" customFormat="1" ht="6" customHeight="1">
      <c r="A18" s="4"/>
      <c r="B18" s="282"/>
      <c r="C18" s="10"/>
      <c r="D18" s="10"/>
      <c r="E18" s="9"/>
      <c r="F18" s="9"/>
      <c r="G18" s="9"/>
      <c r="H18" s="8"/>
      <c r="I18" s="8"/>
      <c r="J18" s="8"/>
      <c r="K18" s="8"/>
      <c r="L18" s="8"/>
      <c r="M18" s="8"/>
      <c r="N18" s="23"/>
      <c r="O18" s="9"/>
      <c r="P18" s="9"/>
      <c r="Q18" s="24"/>
      <c r="R18" s="24"/>
      <c r="S18" s="295"/>
      <c r="T18" s="2"/>
    </row>
    <row r="19" spans="1:20" s="5" customFormat="1" ht="17.25" customHeight="1">
      <c r="A19" s="4"/>
      <c r="B19" s="283"/>
      <c r="C19" s="3"/>
      <c r="D19" s="561" t="s">
        <v>678</v>
      </c>
      <c r="E19" s="695" t="s">
        <v>1159</v>
      </c>
      <c r="F19" s="695"/>
      <c r="G19" s="695"/>
      <c r="H19" s="696"/>
      <c r="I19" s="91"/>
      <c r="J19" s="52"/>
      <c r="K19" s="52"/>
      <c r="L19" s="52"/>
      <c r="M19" s="52"/>
      <c r="N19" s="52"/>
      <c r="O19" s="11"/>
      <c r="P19" s="256" t="str">
        <f>IF(OP!$C$24=1,"","續期")</f>
        <v>續期</v>
      </c>
      <c r="Q19" s="728" t="s">
        <v>1146</v>
      </c>
      <c r="R19" s="729"/>
      <c r="S19" s="295"/>
      <c r="T19" s="2"/>
    </row>
    <row r="20" spans="1:20" s="5" customFormat="1" ht="6" customHeight="1">
      <c r="A20" s="4"/>
      <c r="B20" s="279"/>
      <c r="C20" s="10"/>
      <c r="D20" s="10"/>
      <c r="E20" s="71"/>
      <c r="F20" s="90"/>
      <c r="G20" s="90"/>
      <c r="H20" s="90"/>
      <c r="I20" s="3"/>
      <c r="J20" s="3"/>
      <c r="K20" s="3"/>
      <c r="L20" s="3"/>
      <c r="M20" s="3"/>
      <c r="N20" s="3"/>
      <c r="O20" s="3"/>
      <c r="P20" s="3"/>
      <c r="Q20" s="3"/>
      <c r="R20" s="3"/>
      <c r="S20" s="296"/>
      <c r="T20" s="2"/>
    </row>
    <row r="21" spans="1:20" s="5" customFormat="1" ht="16">
      <c r="A21" s="309" t="str">
        <f>IF(AND(OP!I13&lt;=0,OP!J13&lt;=0,OP!J27=1),1,"")</f>
        <v/>
      </c>
      <c r="B21" s="279"/>
      <c r="C21" s="10"/>
      <c r="D21" s="308" t="s">
        <v>843</v>
      </c>
      <c r="E21" s="725" t="s">
        <v>1376</v>
      </c>
      <c r="F21" s="726"/>
      <c r="G21" s="727"/>
      <c r="H21" s="234"/>
      <c r="I21" s="50"/>
      <c r="J21" s="50"/>
      <c r="K21" s="50"/>
      <c r="L21" s="50"/>
      <c r="N21" s="50"/>
      <c r="O21" s="50"/>
      <c r="P21" s="50"/>
      <c r="Q21" s="50"/>
      <c r="R21" s="236" t="str">
        <f ca="1">IF($S$5=1,"",IF(OR(OP!$C$42&gt;0,OP!$C$44&gt;0),"本保件如符合本公司繳費方式折扣條件，","")&amp;IF(AND(OP!$C$42&gt;0,OP!$C$44&gt;0),"首、續期享有1%繳費方式折扣",IF(AND(OP!$C$42=0,OP!$C$44&gt;0),"續期享有1%繳費方式折扣",IF(AND(OP!$C$42&gt;0,OP!$C$44=0),"首期享有1%繳費方式折扣",""))))</f>
        <v/>
      </c>
      <c r="S21" s="297"/>
      <c r="T21" s="2"/>
    </row>
    <row r="22" spans="1:20" s="5" customFormat="1" ht="16">
      <c r="A22" s="4"/>
      <c r="B22" s="284"/>
      <c r="C22" s="86"/>
      <c r="D22" s="79"/>
      <c r="E22" s="260" t="str">
        <f ca="1">IF($A$2=1,"",OP!K12&amp;OP!K13)</f>
        <v/>
      </c>
      <c r="F22" s="81"/>
      <c r="G22" s="81"/>
      <c r="H22" s="81"/>
      <c r="I22" s="87"/>
      <c r="J22" s="88"/>
      <c r="K22" s="88"/>
      <c r="L22" s="87"/>
      <c r="M22" s="87"/>
      <c r="N22" s="88"/>
      <c r="O22" s="88"/>
      <c r="P22" s="88"/>
      <c r="Q22" s="88"/>
      <c r="R22" s="88"/>
      <c r="S22" s="298"/>
      <c r="T22" s="2"/>
    </row>
    <row r="23" spans="1:20" s="5" customFormat="1" ht="16" hidden="1">
      <c r="A23" s="4"/>
      <c r="B23" s="281"/>
      <c r="C23" s="175"/>
      <c r="D23" s="176"/>
      <c r="E23" s="177"/>
      <c r="F23" s="177"/>
      <c r="G23" s="177"/>
      <c r="H23" s="177"/>
      <c r="I23" s="114"/>
      <c r="J23" s="178"/>
      <c r="K23" s="178"/>
      <c r="L23" s="114"/>
      <c r="M23" s="114"/>
      <c r="N23" s="178"/>
      <c r="O23" s="178"/>
      <c r="P23" s="178"/>
      <c r="Q23" s="178"/>
      <c r="R23" s="178"/>
      <c r="S23" s="299"/>
      <c r="T23" s="2"/>
    </row>
    <row r="24" spans="1:20" s="5" customFormat="1" ht="17.25" hidden="1" customHeight="1">
      <c r="A24" s="4"/>
      <c r="B24" s="279"/>
      <c r="D24" s="16"/>
      <c r="E24" s="16"/>
      <c r="F24" s="29" t="s">
        <v>445</v>
      </c>
      <c r="G24" s="16"/>
      <c r="H24" s="16"/>
      <c r="I24" s="16"/>
      <c r="J24" s="16"/>
      <c r="K24" s="19"/>
      <c r="L24" s="16"/>
      <c r="M24" s="16"/>
      <c r="N24" s="11"/>
      <c r="O24" s="11"/>
      <c r="P24" s="11"/>
      <c r="Q24" s="11"/>
      <c r="R24" s="11"/>
      <c r="S24" s="300"/>
      <c r="T24" s="2"/>
    </row>
    <row r="25" spans="1:20" s="5" customFormat="1" ht="6" hidden="1" customHeight="1">
      <c r="A25" s="4"/>
      <c r="B25" s="279"/>
      <c r="C25" s="16"/>
      <c r="D25" s="16"/>
      <c r="E25" s="16"/>
      <c r="F25" s="16"/>
      <c r="G25" s="16"/>
      <c r="H25" s="16"/>
      <c r="I25" s="16"/>
      <c r="J25" s="16"/>
      <c r="K25" s="19"/>
      <c r="L25" s="16"/>
      <c r="M25" s="16"/>
      <c r="N25" s="11"/>
      <c r="O25" s="11"/>
      <c r="P25" s="11"/>
      <c r="Q25" s="11"/>
      <c r="R25" s="11"/>
      <c r="S25" s="300"/>
      <c r="T25" s="2"/>
    </row>
    <row r="26" spans="1:20" s="5" customFormat="1" ht="17.25" hidden="1" customHeight="1">
      <c r="A26" s="4"/>
      <c r="B26" s="279"/>
      <c r="C26" s="16"/>
      <c r="E26" s="16"/>
      <c r="F26" s="29" t="str">
        <f>PY!$B$4</f>
        <v>指定保險金比例：</v>
      </c>
      <c r="G26" s="724">
        <v>0</v>
      </c>
      <c r="H26" s="724"/>
      <c r="I26" s="724"/>
      <c r="J26" s="436" t="s">
        <v>1131</v>
      </c>
      <c r="K26" s="235" t="str">
        <f>"0% ~ 100%"&amp;"      約定分期給付換算比例："&amp;TEXT(PY!$C$4,"0%")</f>
        <v>0% ~ 100%      約定分期給付換算比例：0%</v>
      </c>
      <c r="L26" s="16"/>
      <c r="M26" s="23"/>
      <c r="N26" s="11"/>
      <c r="O26" s="11"/>
      <c r="P26" s="11"/>
      <c r="Q26" s="11"/>
      <c r="R26" s="11"/>
      <c r="S26" s="300"/>
      <c r="T26" s="2"/>
    </row>
    <row r="27" spans="1:20" s="5" customFormat="1" ht="6" hidden="1" customHeight="1">
      <c r="A27" s="4"/>
      <c r="B27" s="279"/>
      <c r="C27" s="16"/>
      <c r="D27" s="16"/>
      <c r="E27" s="16"/>
      <c r="F27" s="16"/>
      <c r="G27" s="16"/>
      <c r="H27" s="16"/>
      <c r="I27" s="16"/>
      <c r="J27" s="16"/>
      <c r="K27" s="19"/>
      <c r="L27" s="16"/>
      <c r="M27" s="16"/>
      <c r="N27" s="11"/>
      <c r="O27" s="11"/>
      <c r="P27" s="11"/>
      <c r="Q27" s="11"/>
      <c r="R27" s="11"/>
      <c r="S27" s="300"/>
      <c r="T27" s="2"/>
    </row>
    <row r="28" spans="1:20" s="5" customFormat="1" ht="17.25" hidden="1" customHeight="1">
      <c r="A28" s="4"/>
      <c r="B28" s="279"/>
      <c r="C28" s="16"/>
      <c r="E28" s="16"/>
      <c r="F28" s="29" t="str">
        <f>IF(OR($G$26&lt;=0,$G$26="",$G$26&gt;100),"",PY!$B$7)</f>
        <v/>
      </c>
      <c r="G28" s="744" t="str">
        <f>IF(OR($G$26&lt;=0,$G$26="",$G$26&gt;100),"",PY!$C$7)</f>
        <v/>
      </c>
      <c r="H28" s="744"/>
      <c r="I28" s="744"/>
      <c r="J28" s="255" t="str">
        <f>IF(OR($G$26&lt;=0,$G$26="",$G$26&gt;100),"","   計算分期給付金額之利率")</f>
        <v/>
      </c>
      <c r="K28" s="19"/>
      <c r="L28" s="16"/>
      <c r="M28" s="16"/>
      <c r="N28" s="11"/>
      <c r="O28" s="11"/>
      <c r="P28" s="11"/>
      <c r="Q28" s="11"/>
      <c r="R28" s="11"/>
      <c r="S28" s="300"/>
      <c r="T28" s="2"/>
    </row>
    <row r="29" spans="1:20" s="5" customFormat="1" ht="6" hidden="1" customHeight="1">
      <c r="A29" s="4"/>
      <c r="B29" s="279"/>
      <c r="C29" s="16"/>
      <c r="D29" s="16"/>
      <c r="E29" s="16"/>
      <c r="F29" s="16"/>
      <c r="G29" s="16"/>
      <c r="H29" s="16"/>
      <c r="I29" s="16"/>
      <c r="J29" s="16"/>
      <c r="K29" s="19"/>
      <c r="L29" s="16"/>
      <c r="M29" s="16"/>
      <c r="N29" s="11"/>
      <c r="O29" s="11"/>
      <c r="P29" s="11"/>
      <c r="Q29" s="11"/>
      <c r="R29" s="11"/>
      <c r="S29" s="300"/>
      <c r="T29" s="2"/>
    </row>
    <row r="30" spans="1:20" s="5" customFormat="1" ht="17.25" hidden="1" customHeight="1">
      <c r="A30" s="4"/>
      <c r="B30" s="279"/>
      <c r="C30" s="16"/>
      <c r="D30" s="16"/>
      <c r="E30" s="16"/>
      <c r="F30" s="29" t="str">
        <f>IF(OR($G$26&lt;=0,$G$26="",$G$26&gt;100),"",PY!$B$6)</f>
        <v/>
      </c>
      <c r="G30" s="739">
        <v>10</v>
      </c>
      <c r="H30" s="739"/>
      <c r="I30" s="739"/>
      <c r="J30" s="16"/>
      <c r="K30" s="19"/>
      <c r="L30" s="16"/>
      <c r="M30" s="16"/>
      <c r="N30" s="11"/>
      <c r="O30" s="11"/>
      <c r="P30" s="11"/>
      <c r="Q30" s="11"/>
      <c r="R30" s="11"/>
      <c r="S30" s="300"/>
      <c r="T30" s="2"/>
    </row>
    <row r="31" spans="1:20" s="5" customFormat="1" ht="6" hidden="1" customHeight="1">
      <c r="A31" s="4"/>
      <c r="B31" s="279"/>
      <c r="C31" s="174"/>
      <c r="D31" s="3"/>
      <c r="E31" s="48"/>
      <c r="F31" s="48"/>
      <c r="G31" s="48"/>
      <c r="H31" s="48"/>
      <c r="J31" s="49"/>
      <c r="K31" s="49"/>
      <c r="N31" s="49"/>
      <c r="O31" s="49"/>
      <c r="P31" s="49"/>
      <c r="Q31" s="49"/>
      <c r="R31" s="49"/>
      <c r="S31" s="301"/>
      <c r="T31" s="2"/>
    </row>
    <row r="32" spans="1:20" s="5" customFormat="1" ht="6" hidden="1" customHeight="1">
      <c r="A32" s="4"/>
      <c r="B32" s="281"/>
      <c r="C32" s="410"/>
      <c r="D32" s="411"/>
      <c r="E32" s="412"/>
      <c r="F32" s="412"/>
      <c r="G32" s="412"/>
      <c r="H32" s="412"/>
      <c r="I32" s="413"/>
      <c r="J32" s="414"/>
      <c r="K32" s="414"/>
      <c r="L32" s="413"/>
      <c r="M32" s="413"/>
      <c r="N32" s="414"/>
      <c r="O32" s="414"/>
      <c r="P32" s="414"/>
      <c r="Q32" s="414"/>
      <c r="R32" s="414"/>
      <c r="S32" s="299"/>
      <c r="T32" s="2"/>
    </row>
    <row r="33" spans="1:20" s="5" customFormat="1" ht="21.75" hidden="1" customHeight="1">
      <c r="A33" s="4"/>
      <c r="B33" s="279"/>
      <c r="C33" s="174"/>
      <c r="D33" s="3"/>
      <c r="E33" s="48"/>
      <c r="F33" s="48"/>
      <c r="G33" s="48"/>
      <c r="H33" s="48"/>
      <c r="J33" s="49"/>
      <c r="K33" s="49"/>
      <c r="N33" s="49"/>
      <c r="O33" s="49"/>
      <c r="P33" s="49"/>
      <c r="Q33" s="49"/>
      <c r="R33" s="49"/>
      <c r="S33" s="415"/>
      <c r="T33" s="2"/>
    </row>
    <row r="34" spans="1:20" s="5" customFormat="1" ht="16" hidden="1">
      <c r="A34" s="4"/>
      <c r="B34" s="279"/>
      <c r="D34" s="21"/>
      <c r="E34" s="48"/>
      <c r="F34" s="48"/>
      <c r="G34" s="48"/>
      <c r="H34" s="48"/>
      <c r="I34" s="49"/>
      <c r="J34" s="49"/>
      <c r="K34" s="49"/>
      <c r="L34" s="49"/>
      <c r="M34" s="49"/>
      <c r="N34" s="49"/>
      <c r="O34" s="49"/>
      <c r="P34" s="49"/>
      <c r="Q34" s="49"/>
      <c r="R34" s="49"/>
      <c r="S34" s="415"/>
      <c r="T34" s="2"/>
    </row>
    <row r="35" spans="1:20" s="5" customFormat="1" ht="17.25" hidden="1" customHeight="1">
      <c r="A35" s="4"/>
      <c r="B35" s="279"/>
      <c r="C35" s="10"/>
      <c r="D35" s="21"/>
      <c r="E35" s="746"/>
      <c r="F35" s="746"/>
      <c r="G35" s="746"/>
      <c r="H35" s="416"/>
      <c r="I35" s="416"/>
      <c r="J35" s="416"/>
      <c r="K35" s="49"/>
      <c r="L35" s="417"/>
      <c r="M35" s="49"/>
      <c r="N35" s="49"/>
      <c r="O35" s="49"/>
      <c r="P35" s="49"/>
      <c r="Q35" s="49"/>
      <c r="S35" s="415"/>
      <c r="T35" s="2"/>
    </row>
    <row r="36" spans="1:20" s="5" customFormat="1" ht="16">
      <c r="A36" s="4"/>
      <c r="B36" s="281"/>
      <c r="C36" s="220"/>
      <c r="D36" s="220"/>
      <c r="E36" s="220"/>
      <c r="F36" s="220"/>
      <c r="G36" s="220"/>
      <c r="H36" s="220"/>
      <c r="I36" s="220"/>
      <c r="J36" s="220"/>
      <c r="K36" s="573"/>
      <c r="L36" s="220"/>
      <c r="M36" s="220"/>
      <c r="N36" s="574"/>
      <c r="O36" s="574"/>
      <c r="P36" s="574"/>
      <c r="Q36" s="574"/>
      <c r="R36" s="574"/>
      <c r="S36" s="575" t="str">
        <f>IF(OR(E39="",J39=""),1,"")</f>
        <v/>
      </c>
      <c r="T36" s="2"/>
    </row>
    <row r="37" spans="1:20" s="5" customFormat="1" ht="17.25" customHeight="1">
      <c r="A37" s="4"/>
      <c r="B37" s="285"/>
      <c r="D37" s="29" t="s">
        <v>387</v>
      </c>
      <c r="E37" s="741">
        <v>30</v>
      </c>
      <c r="F37" s="742"/>
      <c r="G37" s="745" t="s">
        <v>667</v>
      </c>
      <c r="H37" s="745"/>
      <c r="I37" s="745"/>
      <c r="J37" s="745"/>
      <c r="K37" s="745"/>
      <c r="L37" s="745"/>
      <c r="M37" s="418" t="s">
        <v>65</v>
      </c>
      <c r="N37" s="419"/>
      <c r="O37" s="23"/>
      <c r="P37" s="743" t="str">
        <f>OP!$C$32&amp;"保費："</f>
        <v>年繳保費：</v>
      </c>
      <c r="Q37" s="743"/>
      <c r="R37" s="420">
        <f ca="1">IF($A$2=1,"",OP!$C$35)</f>
        <v>11440</v>
      </c>
      <c r="S37" s="421"/>
      <c r="T37" s="2"/>
    </row>
    <row r="38" spans="1:20" s="5" customFormat="1" ht="6" customHeight="1">
      <c r="A38" s="4"/>
      <c r="B38" s="285"/>
      <c r="C38" s="22"/>
      <c r="D38" s="16"/>
      <c r="E38" s="16"/>
      <c r="F38" s="16"/>
      <c r="G38" s="16"/>
      <c r="H38" s="16"/>
      <c r="I38" s="16"/>
      <c r="J38" s="16"/>
      <c r="K38" s="19"/>
      <c r="L38" s="16"/>
      <c r="M38" s="16"/>
      <c r="N38" s="11"/>
      <c r="O38" s="11"/>
      <c r="P38" s="11"/>
      <c r="Q38" s="11"/>
      <c r="R38" s="11"/>
      <c r="S38" s="421"/>
      <c r="T38" s="2"/>
    </row>
    <row r="39" spans="1:20" s="5" customFormat="1" ht="17.25" customHeight="1">
      <c r="A39" s="4" t="str">
        <f ca="1">OP!D28</f>
        <v/>
      </c>
      <c r="B39" s="286"/>
      <c r="C39" s="422"/>
      <c r="D39" s="29" t="s">
        <v>382</v>
      </c>
      <c r="E39" s="740" t="s">
        <v>1365</v>
      </c>
      <c r="F39" s="740"/>
      <c r="G39" s="733" t="s">
        <v>67</v>
      </c>
      <c r="H39" s="734"/>
      <c r="I39" s="735"/>
      <c r="J39" s="736">
        <v>1</v>
      </c>
      <c r="K39" s="737"/>
      <c r="L39" s="738"/>
      <c r="M39" s="48" t="str">
        <f ca="1">IF(E39="","",TEXT($J$40,IF(OP!$E$28=0,"#,##0","#,##0.0"))&amp;" ~ "&amp;TEXT($K$40,IF(OP!$E$28=0,"#,##0","#,##0.0")))</f>
        <v>0.5 ~ 2.0</v>
      </c>
      <c r="N39" s="260" t="str">
        <f>OP!E64&amp;OP!$D$37</f>
        <v/>
      </c>
      <c r="O39" s="260"/>
      <c r="P39" s="260"/>
      <c r="Q39" s="260"/>
      <c r="R39" s="260"/>
      <c r="S39" s="423"/>
      <c r="T39" s="2"/>
    </row>
    <row r="40" spans="1:20" s="5" customFormat="1" ht="6" customHeight="1">
      <c r="A40" s="2"/>
      <c r="B40" s="285"/>
      <c r="C40" s="22"/>
      <c r="D40" s="16"/>
      <c r="E40" s="16"/>
      <c r="F40" s="16"/>
      <c r="G40" s="424"/>
      <c r="H40" s="424"/>
      <c r="I40" s="424"/>
      <c r="J40" s="425">
        <f>OP!$C$26</f>
        <v>0.5</v>
      </c>
      <c r="K40" s="6">
        <f ca="1">OP!$C$27</f>
        <v>2</v>
      </c>
      <c r="L40" s="424"/>
      <c r="M40" s="11"/>
      <c r="N40" s="11"/>
      <c r="O40" s="11"/>
      <c r="P40" s="11"/>
      <c r="Q40" s="11"/>
      <c r="R40" s="11"/>
      <c r="S40" s="421"/>
      <c r="T40" s="2"/>
    </row>
    <row r="41" spans="1:20" s="5" customFormat="1" ht="17.25" customHeight="1">
      <c r="A41" s="4"/>
      <c r="B41" s="285"/>
      <c r="C41" s="29" t="str">
        <f ca="1">IF(OR(O7&gt;N4,E39="",M39="保額超過限制，請修正"),"","保障年期：")</f>
        <v>保障年期：</v>
      </c>
      <c r="D41" s="426" t="str">
        <f ca="1">IF(OR(O7&gt;N4,E39="",M39="保額超過限制，請修正"),"","終身（保險年齡屆滿"&amp;OP!$F$57&amp;"歲）")</f>
        <v>終身（保險年齡屆滿85歲）</v>
      </c>
      <c r="E41" s="422"/>
      <c r="F41" s="422"/>
      <c r="G41" s="422"/>
      <c r="H41" s="422"/>
      <c r="I41" s="422"/>
      <c r="J41" s="422"/>
      <c r="K41" s="422"/>
      <c r="L41" s="427"/>
      <c r="M41" s="16"/>
      <c r="N41" s="11"/>
      <c r="O41" s="732" t="str">
        <f ca="1">IF(OR(AND(OP!$C$24=1,OP!$C$46&lt;=0),A2=1),"",IF(OP!$C$46&gt;0,"折扣後","")&amp;OP!$C$32&amp;IF(OP!$C$24=1,"保費：","首期保費："))</f>
        <v>折扣後年繳首期保費：</v>
      </c>
      <c r="P41" s="732"/>
      <c r="Q41" s="732"/>
      <c r="R41" s="429">
        <f ca="1">IF(OR($A$2=1,AND(OP!$C$24=1,OP!$C$46&lt;=0)),"",OP!C48)</f>
        <v>11326</v>
      </c>
      <c r="S41" s="421"/>
      <c r="T41" s="4"/>
    </row>
    <row r="42" spans="1:20" s="5" customFormat="1" ht="6" customHeight="1">
      <c r="A42" s="4"/>
      <c r="B42" s="279"/>
      <c r="C42" s="10"/>
      <c r="D42" s="17"/>
      <c r="E42" s="17"/>
      <c r="F42" s="17"/>
      <c r="G42" s="16"/>
      <c r="H42" s="16"/>
      <c r="I42" s="16"/>
      <c r="J42" s="16"/>
      <c r="K42" s="19"/>
      <c r="L42" s="16"/>
      <c r="M42" s="16"/>
      <c r="N42" s="11"/>
      <c r="O42" s="430"/>
      <c r="P42" s="431"/>
      <c r="Q42" s="431"/>
      <c r="R42" s="432"/>
      <c r="S42" s="421"/>
      <c r="T42" s="4"/>
    </row>
    <row r="43" spans="1:20" s="5" customFormat="1" ht="17.25" customHeight="1">
      <c r="A43" s="4"/>
      <c r="B43" s="747"/>
      <c r="C43" s="748"/>
      <c r="D43" s="748"/>
      <c r="E43" s="748"/>
      <c r="F43" s="748"/>
      <c r="G43" s="748"/>
      <c r="H43" s="748"/>
      <c r="I43" s="748"/>
      <c r="J43" s="748"/>
      <c r="K43" s="748"/>
      <c r="L43" s="748"/>
      <c r="M43" s="748"/>
      <c r="N43" s="433"/>
      <c r="O43" s="732" t="str">
        <f ca="1">IF(OR(OP!$C$24=1,A2=1),"",IF(OP!$C$47&gt;0,"折扣後","")&amp;OP!$C$32&amp;"續期保費：")</f>
        <v>折扣後年繳續期保費：</v>
      </c>
      <c r="P43" s="732"/>
      <c r="Q43" s="732"/>
      <c r="R43" s="429">
        <f ca="1">IF(OR($A$2=1,OP!$C$24=1),"",OP!$C$49)</f>
        <v>11326</v>
      </c>
      <c r="S43" s="421"/>
      <c r="T43" s="4"/>
    </row>
    <row r="44" spans="1:20" s="5" customFormat="1" ht="7.5" customHeight="1">
      <c r="A44" s="4"/>
      <c r="B44" s="749"/>
      <c r="C44" s="748"/>
      <c r="D44" s="748"/>
      <c r="E44" s="748"/>
      <c r="F44" s="748"/>
      <c r="G44" s="748"/>
      <c r="H44" s="748"/>
      <c r="I44" s="748"/>
      <c r="J44" s="748"/>
      <c r="K44" s="748"/>
      <c r="L44" s="748"/>
      <c r="M44" s="748"/>
      <c r="N44" s="433"/>
      <c r="O44" s="428"/>
      <c r="P44" s="428"/>
      <c r="Q44" s="428"/>
      <c r="R44" s="429"/>
      <c r="S44" s="421"/>
      <c r="T44" s="4"/>
    </row>
    <row r="45" spans="1:20" s="5" customFormat="1" ht="17.25" customHeight="1">
      <c r="A45" s="4"/>
      <c r="B45" s="749"/>
      <c r="C45" s="748"/>
      <c r="D45" s="748"/>
      <c r="E45" s="748"/>
      <c r="F45" s="748"/>
      <c r="G45" s="748"/>
      <c r="H45" s="748"/>
      <c r="I45" s="748"/>
      <c r="J45" s="748"/>
      <c r="K45" s="748"/>
      <c r="L45" s="748"/>
      <c r="M45" s="748"/>
      <c r="N45" s="433"/>
      <c r="O45" s="428"/>
      <c r="P45" s="428"/>
      <c r="Q45" s="428"/>
      <c r="R45" s="429"/>
      <c r="S45" s="421"/>
      <c r="T45" s="4"/>
    </row>
    <row r="46" spans="1:20" s="5" customFormat="1" ht="34.5" customHeight="1">
      <c r="A46" s="4"/>
      <c r="B46" s="750"/>
      <c r="C46" s="751"/>
      <c r="D46" s="751"/>
      <c r="E46" s="751"/>
      <c r="F46" s="751"/>
      <c r="G46" s="751"/>
      <c r="H46" s="751"/>
      <c r="I46" s="751"/>
      <c r="J46" s="751"/>
      <c r="K46" s="751"/>
      <c r="L46" s="751"/>
      <c r="M46" s="751"/>
      <c r="N46" s="317"/>
      <c r="O46" s="83"/>
      <c r="P46" s="83"/>
      <c r="Q46" s="83"/>
      <c r="R46" s="84" t="str">
        <f>OP!$D$94</f>
        <v>本保單計價幣別：新臺幣</v>
      </c>
      <c r="S46" s="302"/>
      <c r="T46" s="4"/>
    </row>
    <row r="47" spans="1:20" s="5" customFormat="1" ht="3.75" customHeight="1">
      <c r="A47" s="4"/>
      <c r="B47" s="281"/>
      <c r="C47" s="74"/>
      <c r="D47" s="75"/>
      <c r="E47" s="76"/>
      <c r="F47" s="76"/>
      <c r="G47" s="76"/>
      <c r="H47" s="76"/>
      <c r="I47" s="76"/>
      <c r="J47" s="76"/>
      <c r="K47" s="76"/>
      <c r="L47" s="76"/>
      <c r="M47" s="76"/>
      <c r="N47" s="77"/>
      <c r="O47" s="77"/>
      <c r="P47" s="77"/>
      <c r="Q47" s="77"/>
      <c r="R47" s="77"/>
      <c r="S47" s="294"/>
      <c r="T47" s="4"/>
    </row>
    <row r="48" spans="1:20" s="5" customFormat="1" ht="18" hidden="1">
      <c r="A48" s="4"/>
      <c r="B48" s="279"/>
      <c r="C48" s="18"/>
      <c r="D48" s="53"/>
      <c r="E48" s="20"/>
      <c r="F48" s="55"/>
      <c r="G48" s="55"/>
      <c r="H48" s="55"/>
      <c r="I48" s="54"/>
      <c r="J48" s="54"/>
      <c r="K48" s="54"/>
      <c r="L48" s="12"/>
      <c r="M48" s="13"/>
      <c r="N48" s="20"/>
      <c r="O48" s="20"/>
      <c r="P48" s="20"/>
      <c r="Q48" s="14"/>
      <c r="R48" s="14"/>
      <c r="S48" s="300"/>
      <c r="T48" s="4"/>
    </row>
    <row r="49" spans="1:20" s="5" customFormat="1" ht="18" hidden="1">
      <c r="A49" s="2"/>
      <c r="B49" s="279"/>
      <c r="C49" s="10"/>
      <c r="D49" s="10"/>
      <c r="E49" s="10"/>
      <c r="F49" s="10"/>
      <c r="G49" s="10"/>
      <c r="H49" s="10"/>
      <c r="I49" s="10"/>
      <c r="J49" s="10"/>
      <c r="K49" s="15"/>
      <c r="L49" s="15"/>
      <c r="M49" s="15"/>
      <c r="N49" s="10"/>
      <c r="O49" s="10"/>
      <c r="P49" s="10"/>
      <c r="Q49" s="15"/>
      <c r="R49" s="15"/>
      <c r="S49" s="300"/>
      <c r="T49" s="3"/>
    </row>
    <row r="50" spans="1:20" s="5" customFormat="1" ht="25.5" customHeight="1">
      <c r="A50" s="2"/>
      <c r="B50" s="287" t="str">
        <f>OP!$C$54</f>
        <v>V1.0-1150720</v>
      </c>
      <c r="C50" s="78"/>
      <c r="D50" s="79"/>
      <c r="E50" s="80"/>
      <c r="F50" s="81"/>
      <c r="G50" s="261"/>
      <c r="H50" s="261"/>
      <c r="I50" s="261"/>
      <c r="J50" s="261"/>
      <c r="K50" s="82"/>
      <c r="L50" s="82"/>
      <c r="M50" s="82"/>
      <c r="N50" s="82"/>
      <c r="O50" s="237"/>
      <c r="P50" s="257" t="s">
        <v>402</v>
      </c>
      <c r="Q50" s="711" t="str">
        <f ca="1">OP!$D$121</f>
        <v>1150825</v>
      </c>
      <c r="R50" s="711"/>
      <c r="S50" s="303"/>
      <c r="T50" s="3"/>
    </row>
    <row r="51" spans="1:20" s="5" customFormat="1" ht="3" hidden="1" customHeight="1">
      <c r="A51" s="3"/>
      <c r="B51" s="288"/>
      <c r="C51" s="16"/>
      <c r="D51" s="3"/>
      <c r="E51" s="98"/>
      <c r="F51" s="48"/>
      <c r="G51" s="103"/>
      <c r="H51" s="103"/>
      <c r="I51" s="103"/>
      <c r="J51" s="103"/>
      <c r="K51" s="99"/>
      <c r="L51" s="99"/>
      <c r="M51" s="99"/>
      <c r="N51" s="99"/>
      <c r="O51" s="100"/>
      <c r="P51" s="101"/>
      <c r="Q51" s="102"/>
      <c r="R51" s="102"/>
      <c r="S51" s="300"/>
      <c r="T51" s="3"/>
    </row>
    <row r="52" spans="1:20" s="5" customFormat="1" ht="39" hidden="1" customHeight="1">
      <c r="A52" s="3"/>
      <c r="B52" s="704" t="s">
        <v>385</v>
      </c>
      <c r="C52" s="705"/>
      <c r="D52" s="705"/>
      <c r="E52" s="705"/>
      <c r="F52" s="705"/>
      <c r="G52" s="706">
        <v>50000</v>
      </c>
      <c r="H52" s="707"/>
      <c r="I52" s="708"/>
      <c r="J52" s="104" t="str">
        <f ca="1">TEXT(J40*10000*1.5%,"#,##0")&amp;"~"&amp;TEXT(K40*10000*1.5%,"#,##0")</f>
        <v>75~300</v>
      </c>
      <c r="K52" s="105"/>
      <c r="L52" s="106"/>
      <c r="M52" s="106"/>
      <c r="N52" s="21" t="s">
        <v>386</v>
      </c>
      <c r="O52" s="107">
        <f ca="1">MAX(J40,MIN(K40,ROUNDUP(G52/1.5%,-4)/10000))</f>
        <v>2</v>
      </c>
      <c r="P52" s="698" t="str">
        <f ca="1">IF(G52&lt;J40*10000*1.5%,"換算保額低於最低承保保額，顯示最低承保保額。",IF(G52&gt;K40*10000*1.5%,"換算保額高於最高承保保額，顯示最高承保保額。",""))</f>
        <v>換算保額高於最高承保保額，顯示最高承保保額。</v>
      </c>
      <c r="Q52" s="699"/>
      <c r="R52" s="699"/>
      <c r="S52" s="700"/>
      <c r="T52" s="3"/>
    </row>
    <row r="53" spans="1:20" s="5" customFormat="1" ht="21" hidden="1" customHeight="1">
      <c r="A53" s="2"/>
      <c r="B53" s="288"/>
      <c r="D53" s="258" t="s">
        <v>571</v>
      </c>
      <c r="E53" s="701">
        <v>100000</v>
      </c>
      <c r="F53" s="702"/>
      <c r="G53" s="702"/>
      <c r="H53" s="703"/>
      <c r="I53" s="195"/>
      <c r="K53" s="196"/>
      <c r="L53" s="196"/>
      <c r="M53" s="197" t="s">
        <v>572</v>
      </c>
      <c r="N53" s="677">
        <f ca="1">OP!$C$62</f>
        <v>8.6999999999999993</v>
      </c>
      <c r="O53" s="259" t="s">
        <v>573</v>
      </c>
      <c r="P53" s="101"/>
      <c r="Q53" s="102"/>
      <c r="R53" s="102"/>
      <c r="S53" s="300"/>
      <c r="T53" s="3"/>
    </row>
    <row r="54" spans="1:20" hidden="1">
      <c r="B54" s="289"/>
      <c r="S54" s="304"/>
    </row>
    <row r="55" spans="1:20" hidden="1">
      <c r="B55" s="289"/>
      <c r="S55" s="304"/>
    </row>
    <row r="56" spans="1:20" hidden="1">
      <c r="B56" s="289"/>
      <c r="S56" s="304"/>
    </row>
    <row r="57" spans="1:20" hidden="1">
      <c r="B57" s="289"/>
      <c r="S57" s="304"/>
    </row>
    <row r="58" spans="1:20" hidden="1">
      <c r="B58" s="289"/>
      <c r="S58" s="304"/>
    </row>
    <row r="59" spans="1:20" hidden="1">
      <c r="B59" s="289"/>
      <c r="S59" s="304"/>
    </row>
    <row r="60" spans="1:20" hidden="1">
      <c r="B60" s="289"/>
      <c r="S60" s="304"/>
    </row>
    <row r="61" spans="1:20" hidden="1">
      <c r="B61" s="289"/>
      <c r="S61" s="304"/>
    </row>
    <row r="62" spans="1:20" hidden="1">
      <c r="B62" s="289"/>
      <c r="S62" s="304"/>
    </row>
    <row r="63" spans="1:20" hidden="1">
      <c r="B63" s="289"/>
      <c r="S63" s="304"/>
    </row>
    <row r="64" spans="1:20" hidden="1">
      <c r="B64" s="289"/>
      <c r="S64" s="304"/>
    </row>
    <row r="65" spans="2:19" hidden="1">
      <c r="B65" s="289"/>
      <c r="S65" s="304"/>
    </row>
    <row r="66" spans="2:19" hidden="1">
      <c r="B66" s="289"/>
      <c r="S66" s="304"/>
    </row>
    <row r="67" spans="2:19" hidden="1">
      <c r="B67" s="289"/>
      <c r="S67" s="304"/>
    </row>
    <row r="68" spans="2:19" hidden="1">
      <c r="B68" s="289"/>
      <c r="S68" s="304"/>
    </row>
    <row r="69" spans="2:19" hidden="1">
      <c r="B69" s="289"/>
      <c r="S69" s="304"/>
    </row>
    <row r="70" spans="2:19" hidden="1">
      <c r="B70" s="289"/>
      <c r="S70" s="304"/>
    </row>
    <row r="71" spans="2:19" hidden="1">
      <c r="B71" s="289"/>
      <c r="S71" s="304"/>
    </row>
    <row r="72" spans="2:19" hidden="1">
      <c r="B72" s="289"/>
      <c r="S72" s="304"/>
    </row>
    <row r="73" spans="2:19" hidden="1">
      <c r="B73" s="289"/>
      <c r="S73" s="304"/>
    </row>
    <row r="74" spans="2:19" hidden="1">
      <c r="B74" s="289"/>
      <c r="S74" s="304"/>
    </row>
    <row r="75" spans="2:19" hidden="1">
      <c r="B75" s="289"/>
      <c r="S75" s="304"/>
    </row>
    <row r="76" spans="2:19" hidden="1">
      <c r="B76" s="289"/>
      <c r="S76" s="304"/>
    </row>
    <row r="77" spans="2:19" hidden="1">
      <c r="B77" s="289"/>
      <c r="S77" s="304"/>
    </row>
    <row r="78" spans="2:19" hidden="1">
      <c r="B78" s="289"/>
      <c r="S78" s="304"/>
    </row>
    <row r="79" spans="2:19" hidden="1">
      <c r="B79" s="289"/>
      <c r="S79" s="304"/>
    </row>
    <row r="80" spans="2:19" hidden="1">
      <c r="B80" s="289"/>
      <c r="S80" s="304"/>
    </row>
    <row r="81" spans="2:19" hidden="1">
      <c r="B81" s="289"/>
      <c r="S81" s="304"/>
    </row>
    <row r="82" spans="2:19" hidden="1">
      <c r="B82" s="289"/>
      <c r="S82" s="304"/>
    </row>
    <row r="83" spans="2:19" hidden="1">
      <c r="B83" s="289"/>
      <c r="S83" s="304"/>
    </row>
    <row r="84" spans="2:19" hidden="1">
      <c r="B84" s="289"/>
      <c r="S84" s="304"/>
    </row>
    <row r="85" spans="2:19" hidden="1">
      <c r="B85" s="289"/>
      <c r="S85" s="304"/>
    </row>
    <row r="86" spans="2:19" hidden="1">
      <c r="B86" s="289"/>
      <c r="S86" s="304"/>
    </row>
    <row r="87" spans="2:19" hidden="1">
      <c r="B87" s="289"/>
      <c r="S87" s="304"/>
    </row>
    <row r="88" spans="2:19" hidden="1">
      <c r="B88" s="289"/>
      <c r="S88" s="304"/>
    </row>
    <row r="89" spans="2:19" hidden="1">
      <c r="B89" s="289"/>
      <c r="S89" s="304"/>
    </row>
    <row r="90" spans="2:19" hidden="1">
      <c r="B90" s="289"/>
      <c r="S90" s="304"/>
    </row>
    <row r="91" spans="2:19" hidden="1">
      <c r="B91" s="289"/>
      <c r="S91" s="304"/>
    </row>
    <row r="92" spans="2:19" hidden="1">
      <c r="B92" s="289"/>
      <c r="S92" s="304"/>
    </row>
    <row r="93" spans="2:19" hidden="1">
      <c r="B93" s="289"/>
      <c r="S93" s="304"/>
    </row>
    <row r="94" spans="2:19" hidden="1">
      <c r="B94" s="289"/>
      <c r="S94" s="304"/>
    </row>
    <row r="95" spans="2:19" hidden="1">
      <c r="B95" s="289"/>
      <c r="S95" s="304"/>
    </row>
    <row r="96" spans="2:19" hidden="1">
      <c r="B96" s="289"/>
      <c r="S96" s="304"/>
    </row>
    <row r="97" spans="2:19" hidden="1">
      <c r="B97" s="289"/>
      <c r="S97" s="304"/>
    </row>
    <row r="98" spans="2:19" hidden="1">
      <c r="B98" s="289"/>
      <c r="S98" s="304"/>
    </row>
    <row r="99" spans="2:19" hidden="1">
      <c r="B99" s="289"/>
      <c r="S99" s="304"/>
    </row>
    <row r="100" spans="2:19" hidden="1">
      <c r="B100" s="289"/>
      <c r="S100" s="304"/>
    </row>
    <row r="101" spans="2:19" hidden="1">
      <c r="B101" s="289"/>
      <c r="S101" s="304"/>
    </row>
    <row r="102" spans="2:19" hidden="1">
      <c r="B102" s="289"/>
      <c r="S102" s="304"/>
    </row>
    <row r="103" spans="2:19" hidden="1">
      <c r="B103" s="289"/>
      <c r="S103" s="304"/>
    </row>
    <row r="104" spans="2:19" hidden="1">
      <c r="B104" s="289"/>
      <c r="S104" s="304"/>
    </row>
    <row r="105" spans="2:19" hidden="1">
      <c r="B105" s="289"/>
      <c r="S105" s="304"/>
    </row>
    <row r="106" spans="2:19" hidden="1">
      <c r="B106" s="289"/>
      <c r="S106" s="304"/>
    </row>
    <row r="107" spans="2:19" hidden="1">
      <c r="B107" s="289"/>
      <c r="S107" s="304"/>
    </row>
    <row r="108" spans="2:19" hidden="1">
      <c r="B108" s="289"/>
      <c r="S108" s="304"/>
    </row>
    <row r="109" spans="2:19" hidden="1">
      <c r="B109" s="289"/>
      <c r="S109" s="304"/>
    </row>
    <row r="110" spans="2:19" hidden="1">
      <c r="B110" s="289"/>
      <c r="S110" s="304"/>
    </row>
    <row r="111" spans="2:19" hidden="1">
      <c r="B111" s="289"/>
      <c r="S111" s="304"/>
    </row>
    <row r="112" spans="2:19" hidden="1">
      <c r="B112" s="289"/>
      <c r="S112" s="304"/>
    </row>
    <row r="113" spans="2:19" hidden="1">
      <c r="B113" s="289"/>
      <c r="S113" s="304"/>
    </row>
    <row r="114" spans="2:19" hidden="1">
      <c r="B114" s="289"/>
      <c r="S114" s="304"/>
    </row>
    <row r="115" spans="2:19" hidden="1">
      <c r="B115" s="289"/>
      <c r="S115" s="304"/>
    </row>
    <row r="116" spans="2:19" hidden="1">
      <c r="B116" s="289"/>
      <c r="S116" s="304"/>
    </row>
    <row r="117" spans="2:19" hidden="1">
      <c r="B117" s="289"/>
      <c r="S117" s="304"/>
    </row>
    <row r="118" spans="2:19" hidden="1">
      <c r="B118" s="289"/>
      <c r="S118" s="304"/>
    </row>
    <row r="119" spans="2:19" hidden="1">
      <c r="B119" s="289"/>
      <c r="S119" s="304"/>
    </row>
    <row r="120" spans="2:19" hidden="1">
      <c r="B120" s="289"/>
      <c r="S120" s="304"/>
    </row>
    <row r="121" spans="2:19" hidden="1">
      <c r="B121" s="289"/>
      <c r="S121" s="304"/>
    </row>
    <row r="122" spans="2:19" hidden="1">
      <c r="B122" s="289"/>
      <c r="S122" s="304"/>
    </row>
    <row r="123" spans="2:19" hidden="1">
      <c r="B123" s="289"/>
      <c r="S123" s="304"/>
    </row>
    <row r="124" spans="2:19" hidden="1">
      <c r="B124" s="289"/>
      <c r="S124" s="304"/>
    </row>
    <row r="125" spans="2:19" hidden="1">
      <c r="B125" s="289"/>
      <c r="S125" s="304"/>
    </row>
    <row r="126" spans="2:19" hidden="1">
      <c r="B126" s="289"/>
      <c r="S126" s="304"/>
    </row>
    <row r="127" spans="2:19" hidden="1">
      <c r="B127" s="289"/>
      <c r="S127" s="304"/>
    </row>
    <row r="128" spans="2:19" hidden="1">
      <c r="B128" s="289"/>
      <c r="S128" s="304"/>
    </row>
    <row r="129" spans="2:19" hidden="1">
      <c r="B129" s="289"/>
      <c r="S129" s="304"/>
    </row>
    <row r="130" spans="2:19" hidden="1">
      <c r="B130" s="289"/>
      <c r="S130" s="304"/>
    </row>
    <row r="131" spans="2:19" hidden="1">
      <c r="B131" s="289"/>
      <c r="S131" s="304"/>
    </row>
    <row r="132" spans="2:19" hidden="1">
      <c r="B132" s="289"/>
      <c r="S132" s="304"/>
    </row>
    <row r="133" spans="2:19" hidden="1">
      <c r="B133" s="289"/>
      <c r="S133" s="304"/>
    </row>
    <row r="134" spans="2:19" hidden="1">
      <c r="B134" s="289"/>
      <c r="S134" s="304"/>
    </row>
    <row r="135" spans="2:19" hidden="1">
      <c r="B135" s="289"/>
      <c r="S135" s="304"/>
    </row>
    <row r="136" spans="2:19" hidden="1">
      <c r="B136" s="289"/>
      <c r="S136" s="304"/>
    </row>
    <row r="137" spans="2:19" hidden="1">
      <c r="B137" s="289"/>
      <c r="S137" s="304"/>
    </row>
    <row r="138" spans="2:19" hidden="1">
      <c r="B138" s="289"/>
      <c r="S138" s="304"/>
    </row>
    <row r="139" spans="2:19" hidden="1">
      <c r="B139" s="289"/>
      <c r="S139" s="304"/>
    </row>
    <row r="140" spans="2:19" hidden="1">
      <c r="B140" s="289"/>
      <c r="S140" s="304"/>
    </row>
    <row r="141" spans="2:19" hidden="1">
      <c r="B141" s="289"/>
      <c r="S141" s="304"/>
    </row>
    <row r="142" spans="2:19" hidden="1">
      <c r="B142" s="289"/>
      <c r="S142" s="304"/>
    </row>
    <row r="143" spans="2:19" hidden="1">
      <c r="B143" s="289"/>
      <c r="S143" s="304"/>
    </row>
    <row r="144" spans="2:19" hidden="1">
      <c r="B144" s="289"/>
      <c r="S144" s="304"/>
    </row>
    <row r="145" spans="2:19" hidden="1">
      <c r="B145" s="289"/>
      <c r="S145" s="304"/>
    </row>
    <row r="146" spans="2:19" hidden="1">
      <c r="B146" s="289"/>
      <c r="S146" s="304"/>
    </row>
    <row r="147" spans="2:19" hidden="1">
      <c r="B147" s="289"/>
      <c r="S147" s="304"/>
    </row>
    <row r="148" spans="2:19" hidden="1">
      <c r="B148" s="289"/>
      <c r="S148" s="304"/>
    </row>
    <row r="149" spans="2:19" hidden="1">
      <c r="B149" s="289"/>
      <c r="S149" s="304"/>
    </row>
    <row r="150" spans="2:19" hidden="1">
      <c r="B150" s="289"/>
      <c r="S150" s="304"/>
    </row>
    <row r="151" spans="2:19" hidden="1">
      <c r="B151" s="289"/>
      <c r="S151" s="304"/>
    </row>
    <row r="152" spans="2:19" hidden="1">
      <c r="B152" s="289"/>
      <c r="S152" s="304"/>
    </row>
    <row r="153" spans="2:19" hidden="1">
      <c r="B153" s="289"/>
      <c r="S153" s="304"/>
    </row>
    <row r="154" spans="2:19" hidden="1">
      <c r="B154" s="289"/>
      <c r="S154" s="304"/>
    </row>
    <row r="155" spans="2:19" hidden="1">
      <c r="B155" s="289"/>
      <c r="S155" s="304"/>
    </row>
    <row r="156" spans="2:19" hidden="1">
      <c r="B156" s="289"/>
      <c r="S156" s="304"/>
    </row>
    <row r="157" spans="2:19" hidden="1">
      <c r="B157" s="289"/>
      <c r="S157" s="304"/>
    </row>
    <row r="158" spans="2:19" hidden="1">
      <c r="B158" s="289"/>
      <c r="S158" s="304"/>
    </row>
    <row r="159" spans="2:19" hidden="1">
      <c r="B159" s="289"/>
      <c r="S159" s="304"/>
    </row>
    <row r="160" spans="2:19" hidden="1">
      <c r="B160" s="289"/>
      <c r="S160" s="304"/>
    </row>
    <row r="161" spans="2:19" hidden="1">
      <c r="B161" s="289"/>
      <c r="S161" s="304"/>
    </row>
    <row r="162" spans="2:19" hidden="1">
      <c r="B162" s="289"/>
      <c r="S162" s="304"/>
    </row>
    <row r="163" spans="2:19" hidden="1">
      <c r="B163" s="289"/>
      <c r="S163" s="304"/>
    </row>
    <row r="164" spans="2:19" hidden="1">
      <c r="B164" s="289"/>
      <c r="S164" s="304"/>
    </row>
    <row r="165" spans="2:19" hidden="1">
      <c r="B165" s="289"/>
      <c r="S165" s="304"/>
    </row>
    <row r="166" spans="2:19" hidden="1">
      <c r="B166" s="289"/>
      <c r="S166" s="304"/>
    </row>
    <row r="167" spans="2:19" hidden="1">
      <c r="B167" s="289"/>
      <c r="S167" s="304"/>
    </row>
    <row r="168" spans="2:19" hidden="1">
      <c r="B168" s="289"/>
      <c r="S168" s="304"/>
    </row>
    <row r="169" spans="2:19" hidden="1">
      <c r="B169" s="289"/>
      <c r="S169" s="304"/>
    </row>
    <row r="170" spans="2:19" hidden="1">
      <c r="B170" s="289"/>
      <c r="S170" s="304"/>
    </row>
    <row r="171" spans="2:19" hidden="1">
      <c r="B171" s="289"/>
      <c r="S171" s="304"/>
    </row>
    <row r="172" spans="2:19" hidden="1">
      <c r="B172" s="289"/>
      <c r="S172" s="304"/>
    </row>
    <row r="173" spans="2:19" hidden="1">
      <c r="B173" s="289"/>
      <c r="S173" s="304"/>
    </row>
    <row r="174" spans="2:19" hidden="1">
      <c r="B174" s="289"/>
      <c r="S174" s="304"/>
    </row>
    <row r="175" spans="2:19" hidden="1">
      <c r="B175" s="289"/>
      <c r="S175" s="304"/>
    </row>
    <row r="176" spans="2:19" hidden="1">
      <c r="B176" s="289"/>
      <c r="S176" s="304"/>
    </row>
    <row r="177" spans="2:19" hidden="1">
      <c r="B177" s="289"/>
      <c r="S177" s="304"/>
    </row>
    <row r="178" spans="2:19" hidden="1">
      <c r="B178" s="289"/>
      <c r="S178" s="304"/>
    </row>
    <row r="179" spans="2:19" hidden="1">
      <c r="B179" s="289"/>
      <c r="S179" s="304"/>
    </row>
    <row r="180" spans="2:19" hidden="1">
      <c r="B180" s="289"/>
      <c r="S180" s="304"/>
    </row>
    <row r="181" spans="2:19" hidden="1">
      <c r="B181" s="289"/>
      <c r="S181" s="304"/>
    </row>
    <row r="182" spans="2:19" hidden="1">
      <c r="B182" s="289"/>
      <c r="S182" s="304"/>
    </row>
    <row r="183" spans="2:19" hidden="1">
      <c r="B183" s="289"/>
      <c r="S183" s="304"/>
    </row>
    <row r="184" spans="2:19" hidden="1">
      <c r="B184" s="289"/>
      <c r="S184" s="304"/>
    </row>
    <row r="185" spans="2:19" hidden="1">
      <c r="B185" s="289"/>
      <c r="S185" s="304"/>
    </row>
    <row r="186" spans="2:19" hidden="1">
      <c r="B186" s="289"/>
      <c r="S186" s="304"/>
    </row>
    <row r="187" spans="2:19" hidden="1">
      <c r="B187" s="289"/>
      <c r="S187" s="304"/>
    </row>
    <row r="188" spans="2:19" hidden="1">
      <c r="B188" s="289"/>
      <c r="S188" s="304"/>
    </row>
    <row r="189" spans="2:19" hidden="1">
      <c r="B189" s="289"/>
      <c r="S189" s="304"/>
    </row>
    <row r="190" spans="2:19" hidden="1">
      <c r="B190" s="289"/>
      <c r="S190" s="304"/>
    </row>
    <row r="191" spans="2:19" hidden="1">
      <c r="B191" s="289"/>
      <c r="S191" s="304"/>
    </row>
    <row r="192" spans="2:19" hidden="1">
      <c r="B192" s="289"/>
      <c r="S192" s="304"/>
    </row>
    <row r="193" spans="2:19" hidden="1">
      <c r="B193" s="289"/>
      <c r="S193" s="304"/>
    </row>
    <row r="194" spans="2:19" hidden="1">
      <c r="B194" s="289"/>
      <c r="S194" s="304"/>
    </row>
    <row r="195" spans="2:19" hidden="1">
      <c r="B195" s="289"/>
      <c r="S195" s="304"/>
    </row>
    <row r="196" spans="2:19" hidden="1">
      <c r="B196" s="289"/>
      <c r="S196" s="304"/>
    </row>
    <row r="197" spans="2:19" hidden="1">
      <c r="B197" s="289"/>
      <c r="S197" s="304"/>
    </row>
    <row r="198" spans="2:19" hidden="1">
      <c r="B198" s="289"/>
      <c r="S198" s="304"/>
    </row>
    <row r="199" spans="2:19" hidden="1">
      <c r="B199" s="289"/>
      <c r="S199" s="304"/>
    </row>
    <row r="200" spans="2:19" hidden="1">
      <c r="B200" s="289"/>
      <c r="S200" s="304"/>
    </row>
    <row r="201" spans="2:19" ht="19.5" hidden="1" customHeight="1">
      <c r="B201" s="289"/>
      <c r="S201" s="304"/>
    </row>
    <row r="202" spans="2:19" ht="19.5" hidden="1" customHeight="1">
      <c r="B202" s="289"/>
      <c r="D202" s="271" t="s">
        <v>818</v>
      </c>
      <c r="E202" s="687" t="s">
        <v>450</v>
      </c>
      <c r="F202" s="688"/>
      <c r="G202" s="688"/>
      <c r="H202" s="688"/>
      <c r="I202" s="688"/>
      <c r="J202" s="688"/>
      <c r="K202" s="688"/>
      <c r="L202" s="689"/>
      <c r="O202" s="271" t="s">
        <v>617</v>
      </c>
      <c r="P202" s="687" t="s">
        <v>1383</v>
      </c>
      <c r="Q202" s="688"/>
      <c r="R202" s="689"/>
      <c r="S202" s="304"/>
    </row>
    <row r="203" spans="2:19" ht="19.5" hidden="1" customHeight="1">
      <c r="B203" s="289"/>
      <c r="D203" s="271" t="s">
        <v>819</v>
      </c>
      <c r="E203" s="687" t="s">
        <v>450</v>
      </c>
      <c r="F203" s="688"/>
      <c r="G203" s="688"/>
      <c r="H203" s="688"/>
      <c r="I203" s="688"/>
      <c r="J203" s="688"/>
      <c r="K203" s="688"/>
      <c r="L203" s="689"/>
      <c r="S203" s="305" t="s">
        <v>647</v>
      </c>
    </row>
    <row r="204" spans="2:19" ht="19.5" hidden="1" customHeight="1">
      <c r="B204" s="289"/>
      <c r="D204" s="271" t="s">
        <v>820</v>
      </c>
      <c r="E204" s="687" t="s">
        <v>450</v>
      </c>
      <c r="F204" s="688"/>
      <c r="G204" s="688"/>
      <c r="H204" s="688"/>
      <c r="I204" s="688"/>
      <c r="J204" s="688"/>
      <c r="K204" s="688"/>
      <c r="L204" s="689"/>
      <c r="S204" s="304"/>
    </row>
    <row r="205" spans="2:19" ht="19.5" hidden="1" customHeight="1">
      <c r="B205" s="289"/>
      <c r="D205" s="271" t="s">
        <v>821</v>
      </c>
      <c r="E205" s="687" t="s">
        <v>450</v>
      </c>
      <c r="F205" s="688"/>
      <c r="G205" s="688"/>
      <c r="H205" s="688"/>
      <c r="I205" s="688"/>
      <c r="J205" s="688"/>
      <c r="K205" s="688"/>
      <c r="L205" s="689"/>
      <c r="S205" s="304"/>
    </row>
    <row r="206" spans="2:19" ht="19.5" hidden="1" customHeight="1">
      <c r="B206" s="289"/>
      <c r="D206" s="271" t="s">
        <v>822</v>
      </c>
      <c r="E206" s="687" t="s">
        <v>450</v>
      </c>
      <c r="F206" s="688"/>
      <c r="G206" s="688"/>
      <c r="H206" s="688"/>
      <c r="I206" s="688"/>
      <c r="J206" s="688"/>
      <c r="K206" s="688"/>
      <c r="L206" s="689"/>
      <c r="S206" s="304"/>
    </row>
    <row r="207" spans="2:19" ht="19.5" hidden="1" customHeight="1">
      <c r="B207" s="306"/>
      <c r="C207" s="261"/>
      <c r="D207" s="261"/>
      <c r="E207" s="261"/>
      <c r="F207" s="261"/>
      <c r="G207" s="261"/>
      <c r="H207" s="261"/>
      <c r="I207" s="261"/>
      <c r="J207" s="261"/>
      <c r="K207" s="261"/>
      <c r="L207" s="261"/>
      <c r="M207" s="261"/>
      <c r="N207" s="261"/>
      <c r="O207" s="261"/>
      <c r="P207" s="261"/>
      <c r="Q207" s="261"/>
      <c r="R207" s="261"/>
      <c r="S207" s="307"/>
    </row>
    <row r="208" spans="2:19" ht="19.5" customHeight="1"/>
  </sheetData>
  <sheetProtection algorithmName="SHA-512" hashValue="HV5IjmLbfDpQs/Ys1/jM8tucL/RTf/gwyRiY+NNqhjmpedg+ZxO3O7AaafR+VZb7LnLc6AFvqyZsclmm7WUXmA==" saltValue="cI7dkL63Hrm1Tt2Icqu6iA==" spinCount="100000" sheet="1" objects="1" scenarios="1" selectLockedCells="1"/>
  <mergeCells count="45">
    <mergeCell ref="E8:H8"/>
    <mergeCell ref="K8:L8"/>
    <mergeCell ref="O43:Q43"/>
    <mergeCell ref="E21:G21"/>
    <mergeCell ref="G39:I39"/>
    <mergeCell ref="J39:L39"/>
    <mergeCell ref="G30:I30"/>
    <mergeCell ref="E39:F39"/>
    <mergeCell ref="E37:F37"/>
    <mergeCell ref="P37:Q37"/>
    <mergeCell ref="G28:I28"/>
    <mergeCell ref="G37:L37"/>
    <mergeCell ref="E35:G35"/>
    <mergeCell ref="O41:Q41"/>
    <mergeCell ref="B43:M46"/>
    <mergeCell ref="K12:R12"/>
    <mergeCell ref="N4:O4"/>
    <mergeCell ref="E205:L205"/>
    <mergeCell ref="E206:L206"/>
    <mergeCell ref="B2:S2"/>
    <mergeCell ref="E5:H5"/>
    <mergeCell ref="K5:L5"/>
    <mergeCell ref="B3:S3"/>
    <mergeCell ref="I14:L14"/>
    <mergeCell ref="E14:H14"/>
    <mergeCell ref="G26:I26"/>
    <mergeCell ref="E17:G17"/>
    <mergeCell ref="Q19:R19"/>
    <mergeCell ref="E12:H12"/>
    <mergeCell ref="H17:M17"/>
    <mergeCell ref="P202:R202"/>
    <mergeCell ref="E202:L202"/>
    <mergeCell ref="E203:L203"/>
    <mergeCell ref="E204:L204"/>
    <mergeCell ref="Q17:R17"/>
    <mergeCell ref="E13:H13"/>
    <mergeCell ref="O14:P14"/>
    <mergeCell ref="E19:H19"/>
    <mergeCell ref="O13:P13"/>
    <mergeCell ref="P52:S52"/>
    <mergeCell ref="E53:H53"/>
    <mergeCell ref="B52:F52"/>
    <mergeCell ref="G52:I52"/>
    <mergeCell ref="B17:D17"/>
    <mergeCell ref="Q50:R50"/>
  </mergeCells>
  <phoneticPr fontId="17" type="noConversion"/>
  <conditionalFormatting sqref="D12">
    <cfRule type="expression" dxfId="25" priority="22" stopIfTrue="1">
      <formula>$O$12="本人"</formula>
    </cfRule>
  </conditionalFormatting>
  <conditionalFormatting sqref="E19">
    <cfRule type="cellIs" dxfId="24" priority="32" stopIfTrue="1" operator="equal">
      <formula>""</formula>
    </cfRule>
  </conditionalFormatting>
  <conditionalFormatting sqref="E17:G17">
    <cfRule type="cellIs" dxfId="23" priority="43" stopIfTrue="1" operator="equal">
      <formula>""</formula>
    </cfRule>
    <cfRule type="expression" dxfId="22" priority="42" stopIfTrue="1">
      <formula>$A$17=1</formula>
    </cfRule>
  </conditionalFormatting>
  <conditionalFormatting sqref="E21:G21">
    <cfRule type="expression" dxfId="21" priority="7" stopIfTrue="1">
      <formula>$A$21=1</formula>
    </cfRule>
    <cfRule type="cellIs" dxfId="20" priority="8" stopIfTrue="1" operator="equal">
      <formula>""</formula>
    </cfRule>
  </conditionalFormatting>
  <conditionalFormatting sqref="E5:H5">
    <cfRule type="cellIs" dxfId="19" priority="54" stopIfTrue="1" operator="equal">
      <formula>""</formula>
    </cfRule>
  </conditionalFormatting>
  <conditionalFormatting sqref="E8:H8">
    <cfRule type="cellIs" dxfId="18" priority="6" stopIfTrue="1" operator="equal">
      <formula>""</formula>
    </cfRule>
  </conditionalFormatting>
  <conditionalFormatting sqref="E12:H12 K12">
    <cfRule type="expression" dxfId="17" priority="21" stopIfTrue="1">
      <formula>$O$12="本人"</formula>
    </cfRule>
  </conditionalFormatting>
  <conditionalFormatting sqref="E13:H13">
    <cfRule type="expression" dxfId="16" priority="14" stopIfTrue="1">
      <formula>$E$12="同被保險人"</formula>
    </cfRule>
  </conditionalFormatting>
  <conditionalFormatting sqref="E13:H14">
    <cfRule type="expression" dxfId="15" priority="11">
      <formula>$D$13=""</formula>
    </cfRule>
  </conditionalFormatting>
  <conditionalFormatting sqref="E14:H14">
    <cfRule type="expression" dxfId="14" priority="17">
      <formula>$O$12="本人"</formula>
    </cfRule>
  </conditionalFormatting>
  <conditionalFormatting sqref="G30:I30">
    <cfRule type="expression" dxfId="13" priority="30" stopIfTrue="1">
      <formula>OR($G$26&lt;=0,$G$26&gt;100,$G$26="")</formula>
    </cfRule>
  </conditionalFormatting>
  <conditionalFormatting sqref="J39:L39">
    <cfRule type="expression" dxfId="12" priority="44" stopIfTrue="1">
      <formula>$A$39=1</formula>
    </cfRule>
    <cfRule type="cellIs" dxfId="11" priority="45" stopIfTrue="1" operator="equal">
      <formula>""</formula>
    </cfRule>
  </conditionalFormatting>
  <conditionalFormatting sqref="K5:L5">
    <cfRule type="cellIs" dxfId="10" priority="41" stopIfTrue="1" operator="equal">
      <formula>""</formula>
    </cfRule>
  </conditionalFormatting>
  <conditionalFormatting sqref="K8:L8">
    <cfRule type="cellIs" dxfId="9" priority="5" stopIfTrue="1" operator="equal">
      <formula>""</formula>
    </cfRule>
  </conditionalFormatting>
  <conditionalFormatting sqref="N5">
    <cfRule type="expression" dxfId="8" priority="16" stopIfTrue="1">
      <formula>$A$5=1</formula>
    </cfRule>
    <cfRule type="cellIs" dxfId="7" priority="1" stopIfTrue="1" operator="equal">
      <formula>""</formula>
    </cfRule>
  </conditionalFormatting>
  <conditionalFormatting sqref="N8">
    <cfRule type="expression" dxfId="6" priority="3" stopIfTrue="1">
      <formula>$A$8=1</formula>
    </cfRule>
    <cfRule type="cellIs" dxfId="5" priority="2" stopIfTrue="1" operator="equal">
      <formula>""</formula>
    </cfRule>
  </conditionalFormatting>
  <conditionalFormatting sqref="O14">
    <cfRule type="expression" dxfId="4" priority="18">
      <formula>$O$12="本人"</formula>
    </cfRule>
  </conditionalFormatting>
  <conditionalFormatting sqref="O13:P14">
    <cfRule type="expression" dxfId="3" priority="9">
      <formula>$N$13=""</formula>
    </cfRule>
  </conditionalFormatting>
  <conditionalFormatting sqref="Q19:R19">
    <cfRule type="expression" dxfId="2" priority="13" stopIfTrue="1">
      <formula>$E$17="躉繳"</formula>
    </cfRule>
  </conditionalFormatting>
  <conditionalFormatting sqref="S10">
    <cfRule type="expression" dxfId="1" priority="19" stopIfTrue="1">
      <formula>#REF!&lt;14</formula>
    </cfRule>
  </conditionalFormatting>
  <dataValidations count="22">
    <dataValidation type="list" allowBlank="1" showInputMessage="1" showErrorMessage="1" sqref="E35" xr:uid="{00000000-0002-0000-0A00-000000000000}">
      <formula1>"無,員工轉帳件"</formula1>
    </dataValidation>
    <dataValidation type="list" allowBlank="1" showErrorMessage="1" sqref="E21:G21" xr:uid="{00000000-0002-0000-0A00-000001000000}">
      <formula1>"無,員工轉帳件"</formula1>
    </dataValidation>
    <dataValidation type="list" allowBlank="1" showInputMessage="1" showErrorMessage="1" errorTitle="繳別" error="繳別錯誤" sqref="Q19:R19" xr:uid="{00000000-0002-0000-0A00-000002000000}">
      <formula1>En_PayMR</formula1>
    </dataValidation>
    <dataValidation allowBlank="1" showErrorMessage="1" promptTitle="6位數輸入生日" prompt="請以六位數輸入生日_x000a_EX_x000a_52年5月28日_x000a_→520528_x000a_48年9月1日_x000a_→480901" sqref="G7" xr:uid="{00000000-0002-0000-0A00-000003000000}"/>
    <dataValidation type="whole" allowBlank="1" showErrorMessage="1" promptTitle="6位數輸入生日" prompt="請以六位數輸入生日_x000a_EX_x000a_52年5月28日_x000a_→520528_x000a_48年9月1日_x000a_→480901" sqref="H7" xr:uid="{00000000-0002-0000-0A00-000004000000}">
      <formula1>1</formula1>
      <formula2>12</formula2>
    </dataValidation>
    <dataValidation allowBlank="1" showInputMessage="1" showErrorMessage="1" errorTitle="繳別" error="繳別錯誤" sqref="Q18:R18" xr:uid="{00000000-0002-0000-0A00-000005000000}"/>
    <dataValidation type="list" allowBlank="1" showInputMessage="1" showErrorMessage="1" errorTitle="性別" error="性別輸入錯誤" sqref="K5:L5 K8:L8" xr:uid="{00000000-0002-0000-0A00-000007000000}">
      <formula1>En_Sex</formula1>
    </dataValidation>
    <dataValidation allowBlank="1" showInputMessage="1" showErrorMessage="1" errorTitle="繳法" error="繳法錯誤" sqref="E18:G18" xr:uid="{00000000-0002-0000-0A00-000008000000}"/>
    <dataValidation type="whole" allowBlank="1" showErrorMessage="1" promptTitle="6位數輸入生日" prompt="請以六位數輸入生日_x000a_EX_x000a_52年5月28日_x000a_→520528_x000a_48年9月1日_x000a_→480901" sqref="E7:F7" xr:uid="{00000000-0002-0000-0A00-000009000000}">
      <formula1>E10</formula1>
      <formula2>F10</formula2>
    </dataValidation>
    <dataValidation type="whole" allowBlank="1" showInputMessage="1" showErrorMessage="1" sqref="J7" xr:uid="{00000000-0002-0000-0A00-00000A000000}">
      <formula1>1</formula1>
      <formula2>J10</formula2>
    </dataValidation>
    <dataValidation type="list" allowBlank="1" showInputMessage="1" showErrorMessage="1" errorTitle="繳法" error="繳法錯誤" sqref="E17:G17" xr:uid="{00000000-0002-0000-0A00-00000B000000}">
      <formula1>En_PayT</formula1>
    </dataValidation>
    <dataValidation type="list" allowBlank="1" showErrorMessage="1" errorTitle="保額錯誤" error="請確認並輸入正確保額" prompt="請確認輸入內容" sqref="E19:H19" xr:uid="{00000000-0002-0000-0A00-00000C000000}">
      <formula1>En_BFM</formula1>
    </dataValidation>
    <dataValidation type="list" allowBlank="1" showInputMessage="1" showErrorMessage="1" errorTitle="繳別" error="繳別錯誤" sqref="Q17:R17" xr:uid="{00000000-0002-0000-0A00-00000D000000}">
      <formula1>En_PayMF</formula1>
    </dataValidation>
    <dataValidation type="whole" allowBlank="1" showInputMessage="1" showErrorMessage="1" sqref="G26:I26" xr:uid="{00000000-0002-0000-0A00-00000E000000}">
      <formula1>0</formula1>
      <formula2>100</formula2>
    </dataValidation>
    <dataValidation type="list" allowBlank="1" showInputMessage="1" showErrorMessage="1" sqref="G30:I30" xr:uid="{00000000-0002-0000-0A00-00000F000000}">
      <formula1>"10,20"</formula1>
    </dataValidation>
    <dataValidation type="decimal" allowBlank="1" showInputMessage="1" showErrorMessage="1" errorTitle="保額錯誤" error="請注意承保保額限制" sqref="J39:L39" xr:uid="{00000000-0002-0000-0A00-000010000000}">
      <formula1>J40</formula1>
      <formula2>K40</formula2>
    </dataValidation>
    <dataValidation showInputMessage="1" showErrorMessage="1" sqref="R4" xr:uid="{00000000-0002-0000-0A00-000011000000}"/>
    <dataValidation type="list" allowBlank="1" showInputMessage="1" showErrorMessage="1" sqref="P202:R202" xr:uid="{00000000-0002-0000-0A00-000012000000}">
      <formula1>"保障,房屋貸款,個人退休規劃,子女教育經費,其他(請自行填入)"</formula1>
    </dataValidation>
    <dataValidation type="custom" errorStyle="warning" allowBlank="1" showInputMessage="1" showErrorMessage="1" errorTitle="共同招攬人" error="無共同招攬人請勿填入任何內容" promptTitle="共同招攬人" prompt="無共同招攬人請勿填入任何內容" sqref="E205:L205" xr:uid="{00000000-0002-0000-0A00-000013000000}">
      <formula1>$E$205=""</formula1>
    </dataValidation>
    <dataValidation type="custom" errorStyle="warning" allowBlank="1" showInputMessage="1" showErrorMessage="1" errorTitle="共同招攬人" error="無共同招攬人請勿填入任何內容" promptTitle="共同招攬人" prompt="無共同招攬人請勿填入任何內容" sqref="E206:L206" xr:uid="{00000000-0002-0000-0A00-000014000000}">
      <formula1>$E$206=""</formula1>
    </dataValidation>
    <dataValidation type="list" allowBlank="1" showInputMessage="1" showErrorMessage="1" sqref="E12:H12" xr:uid="{00000000-0002-0000-0A00-000015000000}">
      <formula1>關係</formula1>
    </dataValidation>
    <dataValidation type="list" allowBlank="1" showInputMessage="1" showErrorMessage="1" sqref="E37:F37" xr:uid="{B697DE48-EA01-41C2-A068-FD81E1A9ABB5}">
      <formula1>"10,20,30"</formula1>
    </dataValidation>
  </dataValidations>
  <pageMargins left="0.75" right="0.75" top="1" bottom="1" header="0.5" footer="0.5"/>
  <pageSetup paperSize="9" scale="58" orientation="portrait" r:id="rId1"/>
  <headerFooter alignWithMargins="0"/>
  <extLst>
    <ext xmlns:x14="http://schemas.microsoft.com/office/spreadsheetml/2009/9/main" uri="{CCE6A557-97BC-4b89-ADB6-D9C93CAAB3DF}">
      <x14:dataValidations xmlns:xm="http://schemas.microsoft.com/office/excel/2006/main" count="4">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日期輸入" prompt="以六或七位數輸入生日_x000a_EX_x000a_52年5月28日_x000a_→520528_x000a_48年9月1日_x000a_→480901" xr:uid="{00000000-0002-0000-0A00-000016000000}">
          <x14:formula1>
            <xm:f>OP!C195</xm:f>
          </x14:formula1>
          <xm:sqref>N5</xm:sqref>
        </x14:dataValidation>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日期輸入" prompt="以六或七位數輸入生日_x000a_EX_x000a_52年5月28日_x000a_→520528_x000a_48年9月1日_x000a_→480901" xr:uid="{00000000-0002-0000-0A00-000017000000}">
          <x14:formula1>
            <xm:f>OP!C195</xm:f>
          </x14:formula1>
          <xm:sqref>E14:H14</xm:sqref>
        </x14:dataValidation>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日期輸入" prompt="以六或七位數輸入生日_x000a_EX_x000a_52年5月28日_x000a_→520528_x000a_48年9月1日_x000a_→480901" xr:uid="{00000000-0002-0000-0A00-000018000000}">
          <x14:formula1>
            <xm:f>OP!C195</xm:f>
          </x14:formula1>
          <xm:sqref>O14:P14</xm:sqref>
        </x14:dataValidation>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日期輸入" prompt="以六或七位數輸入生日_x000a_EX_x000a_52年5月28日_x000a_→520528_x000a_48年9月1日_x000a_→480901" xr:uid="{28A1E30A-A77B-4EAC-870E-195754B4000C}">
          <x14:formula1>
            <xm:f>OP!C195</xm:f>
          </x14:formula1>
          <xm:sqref>N8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06211-7906-44BF-9647-50911499F4A3}">
  <sheetPr>
    <tabColor rgb="FF002060"/>
    <pageSetUpPr fitToPage="1"/>
  </sheetPr>
  <dimension ref="A1:W216"/>
  <sheetViews>
    <sheetView showGridLines="0" showRowColHeaders="0" view="pageBreakPreview" zoomScale="130" zoomScaleNormal="130" zoomScaleSheetLayoutView="130" workbookViewId="0">
      <selection activeCell="D163" sqref="D163:P163"/>
    </sheetView>
  </sheetViews>
  <sheetFormatPr baseColWidth="10" defaultColWidth="0" defaultRowHeight="13" zeroHeight="1"/>
  <cols>
    <col min="1" max="1" width="1.59765625" style="545" customWidth="1"/>
    <col min="2" max="3" width="5.19921875" style="454" customWidth="1"/>
    <col min="4" max="11" width="5.59765625" style="454" customWidth="1"/>
    <col min="12" max="13" width="5.19921875" style="454" customWidth="1"/>
    <col min="14" max="22" width="5.59765625" style="454" customWidth="1"/>
    <col min="23" max="23" width="1.59765625" style="454" customWidth="1"/>
    <col min="24" max="16384" width="0" style="454" hidden="1"/>
  </cols>
  <sheetData>
    <row r="1" spans="1:22" ht="3" customHeight="1">
      <c r="A1" s="454"/>
    </row>
    <row r="2" spans="1:22" ht="20" customHeight="1">
      <c r="A2" s="455" t="str">
        <f ca="1">OP!$D$53</f>
        <v/>
      </c>
      <c r="B2" s="802" t="str">
        <f>OP!$E$23</f>
        <v>富邦人壽順馨久久長期照顧定期健康保險建議書</v>
      </c>
      <c r="C2" s="802"/>
      <c r="D2" s="802"/>
      <c r="E2" s="802"/>
      <c r="F2" s="802"/>
      <c r="G2" s="802"/>
      <c r="H2" s="802"/>
      <c r="I2" s="802"/>
      <c r="J2" s="802"/>
      <c r="K2" s="802"/>
      <c r="L2" s="802"/>
      <c r="M2" s="802"/>
      <c r="N2" s="802"/>
      <c r="O2" s="802"/>
      <c r="P2" s="802"/>
      <c r="Q2" s="802"/>
      <c r="R2" s="802"/>
      <c r="S2" s="802"/>
      <c r="T2" s="802"/>
      <c r="U2" s="802"/>
      <c r="V2" s="802"/>
    </row>
    <row r="3" spans="1:22" ht="4.5" hidden="1" customHeight="1">
      <c r="A3" s="456"/>
    </row>
    <row r="4" spans="1:22" s="460" customFormat="1" ht="14" customHeight="1">
      <c r="A4" s="457"/>
      <c r="C4" s="562"/>
      <c r="D4" s="568" t="s">
        <v>1164</v>
      </c>
      <c r="E4" s="825" t="str">
        <f>OP!$C$73</f>
        <v>客戶</v>
      </c>
      <c r="F4" s="826"/>
      <c r="G4" s="826"/>
      <c r="H4" s="826"/>
      <c r="I4" s="826"/>
      <c r="J4" s="567"/>
      <c r="K4" s="567"/>
      <c r="L4" s="566" t="s">
        <v>1165</v>
      </c>
      <c r="M4" s="823">
        <f ca="1">OP!$D$5</f>
        <v>15</v>
      </c>
      <c r="N4" s="824"/>
      <c r="P4" s="458" t="s">
        <v>1166</v>
      </c>
      <c r="Q4" s="459" t="str">
        <f>OP!$E$18</f>
        <v>女</v>
      </c>
      <c r="R4" s="819" t="str">
        <f>OP!$D$94</f>
        <v>本保單計價幣別：新臺幣</v>
      </c>
      <c r="S4" s="819"/>
      <c r="T4" s="819"/>
      <c r="U4" s="819"/>
      <c r="V4" s="819"/>
    </row>
    <row r="5" spans="1:22" s="462" customFormat="1" ht="14" customHeight="1">
      <c r="A5" s="461"/>
      <c r="B5" s="837" t="s">
        <v>1167</v>
      </c>
      <c r="C5" s="838"/>
      <c r="D5" s="838"/>
      <c r="E5" s="838"/>
      <c r="F5" s="838"/>
      <c r="G5" s="838"/>
      <c r="H5" s="838"/>
      <c r="I5" s="838"/>
      <c r="J5" s="838"/>
      <c r="K5" s="838"/>
      <c r="L5" s="839"/>
      <c r="M5" s="820" t="s">
        <v>1168</v>
      </c>
      <c r="N5" s="820"/>
      <c r="O5" s="820"/>
      <c r="P5" s="820" t="s">
        <v>1169</v>
      </c>
      <c r="Q5" s="820"/>
      <c r="R5" s="820"/>
      <c r="S5" s="820" t="str">
        <f>OP!$C$32&amp;"應繳保費/元"</f>
        <v>年繳應繳保費/元</v>
      </c>
      <c r="T5" s="820"/>
      <c r="U5" s="820"/>
      <c r="V5" s="820"/>
    </row>
    <row r="6" spans="1:22" s="462" customFormat="1" ht="14" customHeight="1">
      <c r="A6" s="461">
        <v>1</v>
      </c>
      <c r="B6" s="840" t="str">
        <f ca="1">OP!$D$93</f>
        <v>富邦人壽順馨久久長期照顧定期健康保險(繳費30年)</v>
      </c>
      <c r="C6" s="841"/>
      <c r="D6" s="841"/>
      <c r="E6" s="841"/>
      <c r="F6" s="841"/>
      <c r="G6" s="841"/>
      <c r="H6" s="841"/>
      <c r="I6" s="841"/>
      <c r="J6" s="841"/>
      <c r="K6" s="841"/>
      <c r="L6" s="842"/>
      <c r="M6" s="821" t="str">
        <f ca="1">IF($A$2=1,"",OP!$C$22)</f>
        <v>LTT</v>
      </c>
      <c r="N6" s="822"/>
      <c r="O6" s="797"/>
      <c r="P6" s="843" t="str">
        <f ca="1">IF($A$2=1,"",TEXT(OP!$C$28,IF(OP!$E$28=0,"#,##0 ","#,##0.0 "))&amp;"萬")</f>
        <v>1.0 萬</v>
      </c>
      <c r="Q6" s="843"/>
      <c r="R6" s="843"/>
      <c r="S6" s="844">
        <f ca="1">IF($A$2=1,"",OP!C35)</f>
        <v>11440</v>
      </c>
      <c r="T6" s="844"/>
      <c r="U6" s="844"/>
      <c r="V6" s="844"/>
    </row>
    <row r="7" spans="1:22" s="467" customFormat="1" ht="14" customHeight="1">
      <c r="A7" s="463"/>
      <c r="B7" s="464" t="str">
        <f ca="1">OP!$D$91</f>
        <v>本保件符合保費折扣條件：繳費方式 1.0%折扣。</v>
      </c>
      <c r="C7" s="465"/>
      <c r="D7" s="465"/>
      <c r="E7" s="465"/>
      <c r="F7" s="465"/>
      <c r="G7" s="465"/>
      <c r="H7" s="465"/>
      <c r="I7" s="465"/>
      <c r="J7" s="465"/>
      <c r="K7" s="465"/>
      <c r="L7" s="465"/>
      <c r="M7" s="465"/>
      <c r="N7" s="465"/>
      <c r="O7" s="465"/>
      <c r="P7" s="465"/>
      <c r="Q7" s="465"/>
      <c r="R7" s="465"/>
      <c r="S7" s="465"/>
      <c r="T7" s="465"/>
      <c r="U7" s="465"/>
      <c r="V7" s="466"/>
    </row>
    <row r="8" spans="1:22" s="467" customFormat="1" ht="14" customHeight="1">
      <c r="A8" s="463"/>
      <c r="B8" s="833" t="str">
        <f ca="1">OP!$D$92</f>
        <v>年繳總保費11,440元，首期折扣後保費11,326元，續期折扣後保費11,326元</v>
      </c>
      <c r="C8" s="833"/>
      <c r="D8" s="833"/>
      <c r="E8" s="833"/>
      <c r="F8" s="833"/>
      <c r="G8" s="833"/>
      <c r="H8" s="833"/>
      <c r="I8" s="833"/>
      <c r="J8" s="833"/>
      <c r="K8" s="833"/>
      <c r="L8" s="833"/>
      <c r="M8" s="833"/>
      <c r="N8" s="833"/>
      <c r="O8" s="833"/>
      <c r="P8" s="833"/>
      <c r="Q8" s="833"/>
      <c r="R8" s="833"/>
      <c r="S8" s="833"/>
      <c r="T8" s="833"/>
      <c r="U8" s="833"/>
      <c r="V8" s="833"/>
    </row>
    <row r="9" spans="1:22" ht="14" customHeight="1">
      <c r="A9" s="456"/>
      <c r="B9" s="563"/>
      <c r="C9" s="563"/>
      <c r="D9" s="563"/>
      <c r="E9" s="563"/>
      <c r="F9" s="563"/>
      <c r="G9" s="563"/>
      <c r="H9" s="563"/>
      <c r="I9" s="563"/>
      <c r="J9" s="563"/>
      <c r="K9" s="563"/>
      <c r="L9" s="563"/>
      <c r="M9" s="563"/>
      <c r="N9" s="563"/>
      <c r="O9" s="563"/>
      <c r="P9" s="563"/>
      <c r="Q9" s="563"/>
      <c r="R9" s="563"/>
      <c r="S9" s="563"/>
      <c r="T9" s="563"/>
      <c r="U9" s="563"/>
      <c r="V9" s="563"/>
    </row>
    <row r="10" spans="1:22" ht="14" hidden="1" customHeight="1">
      <c r="A10" s="456"/>
      <c r="B10" s="468"/>
      <c r="C10" s="469"/>
      <c r="D10" s="469"/>
      <c r="E10" s="469"/>
      <c r="F10" s="469"/>
      <c r="G10" s="469"/>
      <c r="H10" s="469"/>
      <c r="I10" s="469"/>
      <c r="J10" s="469"/>
      <c r="K10" s="469"/>
      <c r="L10" s="469"/>
      <c r="M10" s="469"/>
      <c r="N10" s="469"/>
      <c r="O10" s="469"/>
      <c r="P10" s="469"/>
      <c r="Q10" s="469"/>
      <c r="R10" s="469"/>
      <c r="S10" s="469"/>
      <c r="T10" s="470"/>
      <c r="U10" s="471"/>
      <c r="V10" s="471"/>
    </row>
    <row r="11" spans="1:22" ht="18" customHeight="1">
      <c r="A11" s="456"/>
      <c r="B11" s="834" t="str">
        <f ca="1">IF($A$2=1,"",OP!$C$22&amp;"第二保單年度起之續期健康管理保險費折扣")</f>
        <v>LTT第二保單年度起之續期健康管理保險費折扣</v>
      </c>
      <c r="C11" s="834"/>
      <c r="D11" s="834"/>
      <c r="E11" s="834"/>
      <c r="F11" s="834"/>
      <c r="G11" s="834"/>
      <c r="H11" s="834"/>
      <c r="I11" s="834"/>
      <c r="J11" s="834"/>
      <c r="K11" s="834"/>
      <c r="L11" s="834"/>
      <c r="M11" s="834"/>
      <c r="N11" s="834"/>
      <c r="O11" s="834"/>
      <c r="P11" s="834"/>
      <c r="Q11" s="834"/>
      <c r="R11" s="834"/>
      <c r="S11" s="834"/>
      <c r="T11" s="834"/>
      <c r="U11" s="834"/>
      <c r="V11" s="834"/>
    </row>
    <row r="12" spans="1:22" ht="3" customHeight="1">
      <c r="A12" s="456"/>
      <c r="B12" s="468"/>
      <c r="C12" s="469"/>
      <c r="D12" s="469"/>
      <c r="E12" s="469"/>
      <c r="F12" s="469"/>
      <c r="G12" s="469"/>
      <c r="H12" s="469"/>
      <c r="I12" s="469"/>
      <c r="J12" s="469"/>
      <c r="K12" s="469"/>
      <c r="L12" s="469"/>
      <c r="M12" s="469"/>
      <c r="N12" s="469"/>
      <c r="O12" s="469"/>
      <c r="P12" s="469"/>
      <c r="Q12" s="469"/>
      <c r="R12" s="469"/>
      <c r="S12" s="469"/>
      <c r="T12" s="470"/>
      <c r="U12" s="471"/>
      <c r="V12" s="471"/>
    </row>
    <row r="13" spans="1:22" s="473" customFormat="1" ht="14" customHeight="1">
      <c r="A13" s="472"/>
      <c r="B13" s="827" t="str">
        <f ca="1">IF($A$2=1,"",OP!$H$69)</f>
        <v>健康管理保險費折扣項目</v>
      </c>
      <c r="C13" s="835"/>
      <c r="D13" s="835"/>
      <c r="E13" s="835"/>
      <c r="F13" s="835"/>
      <c r="G13" s="829"/>
      <c r="H13" s="836" t="str">
        <f ca="1">IF($A$2=1,"",OP!$I$69)</f>
        <v>LTT折扣率</v>
      </c>
      <c r="I13" s="829"/>
      <c r="J13" s="829"/>
      <c r="K13" s="836" t="str">
        <f ca="1">IF($A$2=1,"",OP!$J$69)</f>
        <v>LTT續年度折扣後實繳保費(含續期繳費方式折扣1.0%)</v>
      </c>
      <c r="L13" s="829"/>
      <c r="M13" s="829"/>
      <c r="N13" s="829"/>
      <c r="O13" s="829"/>
      <c r="P13" s="829"/>
      <c r="Q13" s="829"/>
      <c r="R13" s="829"/>
      <c r="S13" s="829"/>
      <c r="T13" s="829"/>
      <c r="U13" s="829"/>
      <c r="V13" s="829"/>
    </row>
    <row r="14" spans="1:22" ht="14" customHeight="1">
      <c r="A14" s="456"/>
      <c r="B14" s="827" t="str">
        <f ca="1">IF($A$2=1,"",OP!$H$70)</f>
        <v>指定疫苗接種或健康檢查</v>
      </c>
      <c r="C14" s="828"/>
      <c r="D14" s="828"/>
      <c r="E14" s="828"/>
      <c r="F14" s="828"/>
      <c r="G14" s="829"/>
      <c r="H14" s="830">
        <f ca="1">IF($A$2=1,"",OP!$I$70)</f>
        <v>0.01</v>
      </c>
      <c r="I14" s="831"/>
      <c r="J14" s="831"/>
      <c r="K14" s="832" t="str">
        <f ca="1">IF($A$2=1,"",TEXT(OP!$J$70,"#,### 元"))</f>
        <v>11,211 元</v>
      </c>
      <c r="L14" s="831"/>
      <c r="M14" s="831"/>
      <c r="N14" s="831"/>
      <c r="O14" s="831"/>
      <c r="P14" s="831"/>
      <c r="Q14" s="831"/>
      <c r="R14" s="831"/>
      <c r="S14" s="831"/>
      <c r="T14" s="831"/>
      <c r="U14" s="831"/>
      <c r="V14" s="831"/>
    </row>
    <row r="15" spans="1:22" s="473" customFormat="1" ht="14" customHeight="1">
      <c r="A15" s="472"/>
      <c r="B15" s="474" t="s">
        <v>1170</v>
      </c>
      <c r="C15" s="475"/>
      <c r="D15" s="475"/>
      <c r="E15" s="475"/>
      <c r="F15" s="475"/>
      <c r="G15" s="475"/>
      <c r="H15" s="475"/>
      <c r="I15" s="475"/>
      <c r="J15" s="475"/>
      <c r="K15" s="475"/>
      <c r="L15" s="475"/>
      <c r="M15" s="475"/>
      <c r="N15" s="475"/>
      <c r="O15" s="475"/>
      <c r="P15" s="475"/>
      <c r="Q15" s="475"/>
      <c r="R15" s="475"/>
      <c r="S15" s="475"/>
      <c r="T15" s="470"/>
      <c r="U15" s="471"/>
      <c r="V15" s="471"/>
    </row>
    <row r="16" spans="1:22" s="473" customFormat="1" ht="6" customHeight="1">
      <c r="A16" s="472"/>
      <c r="B16" s="474"/>
      <c r="C16" s="475"/>
      <c r="D16" s="475"/>
      <c r="E16" s="475"/>
      <c r="F16" s="475"/>
      <c r="G16" s="475"/>
      <c r="H16" s="475"/>
      <c r="I16" s="475"/>
      <c r="J16" s="475"/>
      <c r="K16" s="475"/>
      <c r="L16" s="475"/>
      <c r="M16" s="475"/>
      <c r="N16" s="475"/>
      <c r="O16" s="475"/>
      <c r="P16" s="475"/>
      <c r="Q16" s="475"/>
      <c r="R16" s="475"/>
      <c r="S16" s="475"/>
      <c r="T16" s="470"/>
      <c r="U16" s="471"/>
      <c r="V16" s="471"/>
    </row>
    <row r="17" spans="1:23" ht="18" customHeight="1">
      <c r="A17" s="454"/>
      <c r="B17" s="834" t="s">
        <v>1171</v>
      </c>
      <c r="C17" s="834"/>
      <c r="D17" s="834"/>
      <c r="E17" s="834"/>
      <c r="F17" s="834"/>
      <c r="G17" s="834"/>
      <c r="H17" s="834"/>
      <c r="I17" s="834"/>
      <c r="J17" s="834"/>
      <c r="K17" s="834"/>
      <c r="L17" s="834"/>
      <c r="M17" s="834"/>
      <c r="N17" s="834"/>
      <c r="O17" s="834"/>
      <c r="P17" s="834"/>
      <c r="Q17" s="834"/>
      <c r="R17" s="834"/>
      <c r="S17" s="834"/>
      <c r="T17" s="834"/>
      <c r="U17" s="834"/>
      <c r="V17" s="834"/>
      <c r="W17" s="476"/>
    </row>
    <row r="18" spans="1:23" s="460" customFormat="1" ht="14" customHeight="1">
      <c r="C18" s="477"/>
      <c r="D18" s="478"/>
      <c r="E18" s="478"/>
      <c r="F18" s="479"/>
      <c r="G18" s="479"/>
      <c r="H18" s="480"/>
      <c r="I18" s="480"/>
      <c r="J18" s="479"/>
      <c r="K18" s="479"/>
      <c r="L18" s="481"/>
      <c r="M18" s="481"/>
      <c r="N18" s="481"/>
      <c r="O18" s="479"/>
      <c r="P18" s="479"/>
      <c r="Q18" s="482"/>
      <c r="U18" s="483"/>
      <c r="V18" s="484" t="str">
        <f>IF(OP!$C$105="停售","本商品已停售","")</f>
        <v/>
      </c>
      <c r="W18" s="485"/>
    </row>
    <row r="19" spans="1:23" ht="14.25" hidden="1" customHeight="1">
      <c r="A19" s="454"/>
      <c r="B19" s="486"/>
      <c r="C19" s="486"/>
      <c r="D19" s="487"/>
      <c r="E19" s="487"/>
      <c r="F19" s="486"/>
      <c r="G19" s="486"/>
      <c r="H19" s="487"/>
      <c r="I19" s="487"/>
      <c r="J19" s="488"/>
      <c r="K19" s="488"/>
      <c r="L19" s="489"/>
      <c r="M19" s="489"/>
      <c r="N19" s="489"/>
      <c r="O19" s="486"/>
      <c r="P19" s="486"/>
      <c r="Q19" s="490"/>
      <c r="R19" s="491"/>
      <c r="S19" s="492"/>
      <c r="T19" s="493"/>
      <c r="U19" s="494"/>
      <c r="V19" s="495"/>
      <c r="W19" s="476"/>
    </row>
    <row r="20" spans="1:23" s="676" customFormat="1" ht="90" customHeight="1">
      <c r="B20" s="808" t="s">
        <v>1331</v>
      </c>
      <c r="C20" s="809"/>
      <c r="D20" s="809"/>
      <c r="E20" s="817" t="str">
        <f ca="1">IF(OR($A$2=1),"",TEXT(OP!$C$28*10000*15,"#,##0")&amp;"元")</f>
        <v>150,000元</v>
      </c>
      <c r="F20" s="818"/>
      <c r="G20" s="818"/>
      <c r="H20" s="818"/>
      <c r="I20" s="810" t="s">
        <v>1378</v>
      </c>
      <c r="J20" s="809"/>
      <c r="K20" s="809"/>
      <c r="L20" s="809"/>
      <c r="M20" s="809"/>
      <c r="N20" s="809"/>
      <c r="O20" s="809"/>
      <c r="P20" s="809"/>
      <c r="Q20" s="809"/>
      <c r="R20" s="809"/>
      <c r="S20" s="809"/>
      <c r="T20" s="809"/>
      <c r="U20" s="809"/>
      <c r="V20" s="809"/>
    </row>
    <row r="21" spans="1:23" s="676" customFormat="1" ht="35" customHeight="1">
      <c r="B21" s="803" t="s">
        <v>1332</v>
      </c>
      <c r="C21" s="845"/>
      <c r="D21" s="805"/>
      <c r="E21" s="812" t="s">
        <v>1333</v>
      </c>
      <c r="F21" s="813"/>
      <c r="G21" s="812" t="s">
        <v>1334</v>
      </c>
      <c r="H21" s="813"/>
      <c r="I21" s="846" t="s">
        <v>1377</v>
      </c>
      <c r="J21" s="845"/>
      <c r="K21" s="845"/>
      <c r="L21" s="845"/>
      <c r="M21" s="845"/>
      <c r="N21" s="845"/>
      <c r="O21" s="845"/>
      <c r="P21" s="845"/>
      <c r="Q21" s="845"/>
      <c r="R21" s="845"/>
      <c r="S21" s="845"/>
      <c r="T21" s="845"/>
      <c r="U21" s="845"/>
      <c r="V21" s="805"/>
    </row>
    <row r="22" spans="1:23" s="676" customFormat="1" ht="12" customHeight="1">
      <c r="B22" s="749"/>
      <c r="C22" s="748"/>
      <c r="D22" s="806"/>
      <c r="E22" s="796">
        <v>1</v>
      </c>
      <c r="F22" s="797"/>
      <c r="G22" s="796" t="str">
        <f ca="1">IF(OR($A$2=1,ISERROR(VLOOKUP(OP!$C$56&amp;TEXT($E22,"00"),PVal,2,0))),"",TEXT(OP!$C$28*VLOOKUP(OP!$C$56&amp;TEXT($E22,"00"),PVal,2,0),"#,##0"))</f>
        <v>20,000</v>
      </c>
      <c r="H22" s="811"/>
      <c r="I22" s="749"/>
      <c r="J22" s="748"/>
      <c r="K22" s="748"/>
      <c r="L22" s="748"/>
      <c r="M22" s="748"/>
      <c r="N22" s="748"/>
      <c r="O22" s="748"/>
      <c r="P22" s="748"/>
      <c r="Q22" s="748"/>
      <c r="R22" s="748"/>
      <c r="S22" s="748"/>
      <c r="T22" s="748"/>
      <c r="U22" s="748"/>
      <c r="V22" s="806"/>
    </row>
    <row r="23" spans="1:23" s="676" customFormat="1" ht="12" customHeight="1">
      <c r="B23" s="749"/>
      <c r="C23" s="748"/>
      <c r="D23" s="806"/>
      <c r="E23" s="796">
        <f t="shared" ref="E23:E36" si="0">$E22+1</f>
        <v>2</v>
      </c>
      <c r="F23" s="797"/>
      <c r="G23" s="796" t="str">
        <f ca="1">IF(OR($A$2=1,ISERROR(VLOOKUP(OP!$C$56&amp;TEXT($E23,"00"),PVal,2,0))),"",TEXT(OP!$C$28*VLOOKUP(OP!$C$56&amp;TEXT($E23,"00"),PVal,2,0),"#,##0"))</f>
        <v>20,400</v>
      </c>
      <c r="H23" s="811"/>
      <c r="I23" s="749"/>
      <c r="J23" s="748"/>
      <c r="K23" s="748"/>
      <c r="L23" s="748"/>
      <c r="M23" s="748"/>
      <c r="N23" s="748"/>
      <c r="O23" s="748"/>
      <c r="P23" s="748"/>
      <c r="Q23" s="748"/>
      <c r="R23" s="748"/>
      <c r="S23" s="748"/>
      <c r="T23" s="748"/>
      <c r="U23" s="748"/>
      <c r="V23" s="806"/>
    </row>
    <row r="24" spans="1:23" s="676" customFormat="1" ht="12" customHeight="1">
      <c r="B24" s="749"/>
      <c r="C24" s="748"/>
      <c r="D24" s="806"/>
      <c r="E24" s="796">
        <f t="shared" si="0"/>
        <v>3</v>
      </c>
      <c r="F24" s="797"/>
      <c r="G24" s="796" t="str">
        <f ca="1">IF(OR($A$2=1,ISERROR(VLOOKUP(OP!$C$56&amp;TEXT($E24,"00"),PVal,2,0))),"",TEXT(OP!$C$28*VLOOKUP(OP!$C$56&amp;TEXT($E24,"00"),PVal,2,0),"#,##0"))</f>
        <v>20,800</v>
      </c>
      <c r="H24" s="811"/>
      <c r="I24" s="749"/>
      <c r="J24" s="748"/>
      <c r="K24" s="748"/>
      <c r="L24" s="748"/>
      <c r="M24" s="748"/>
      <c r="N24" s="748"/>
      <c r="O24" s="748"/>
      <c r="P24" s="748"/>
      <c r="Q24" s="748"/>
      <c r="R24" s="748"/>
      <c r="S24" s="748"/>
      <c r="T24" s="748"/>
      <c r="U24" s="748"/>
      <c r="V24" s="806"/>
    </row>
    <row r="25" spans="1:23" s="676" customFormat="1" ht="12" customHeight="1">
      <c r="B25" s="749"/>
      <c r="C25" s="748"/>
      <c r="D25" s="806"/>
      <c r="E25" s="796">
        <f t="shared" si="0"/>
        <v>4</v>
      </c>
      <c r="F25" s="797"/>
      <c r="G25" s="796" t="str">
        <f ca="1">IF(OR($A$2=1,ISERROR(VLOOKUP(OP!$C$56&amp;TEXT($E25,"00"),PVal,2,0))),"",TEXT(OP!$C$28*VLOOKUP(OP!$C$56&amp;TEXT($E25,"00"),PVal,2,0),"#,##0"))</f>
        <v>21,200</v>
      </c>
      <c r="H25" s="811"/>
      <c r="I25" s="749"/>
      <c r="J25" s="748"/>
      <c r="K25" s="748"/>
      <c r="L25" s="748"/>
      <c r="M25" s="748"/>
      <c r="N25" s="748"/>
      <c r="O25" s="748"/>
      <c r="P25" s="748"/>
      <c r="Q25" s="748"/>
      <c r="R25" s="748"/>
      <c r="S25" s="748"/>
      <c r="T25" s="748"/>
      <c r="U25" s="748"/>
      <c r="V25" s="806"/>
    </row>
    <row r="26" spans="1:23" s="676" customFormat="1" ht="12" customHeight="1">
      <c r="B26" s="749"/>
      <c r="C26" s="748"/>
      <c r="D26" s="806"/>
      <c r="E26" s="796">
        <f t="shared" si="0"/>
        <v>5</v>
      </c>
      <c r="F26" s="797"/>
      <c r="G26" s="796" t="str">
        <f ca="1">IF(OR($A$2=1,ISERROR(VLOOKUP(OP!$C$56&amp;TEXT($E26,"00"),PVal,2,0))),"",TEXT(OP!$C$28*VLOOKUP(OP!$C$56&amp;TEXT($E26,"00"),PVal,2,0),"#,##0"))</f>
        <v>21,600</v>
      </c>
      <c r="H26" s="811"/>
      <c r="I26" s="749"/>
      <c r="J26" s="748"/>
      <c r="K26" s="748"/>
      <c r="L26" s="748"/>
      <c r="M26" s="748"/>
      <c r="N26" s="748"/>
      <c r="O26" s="748"/>
      <c r="P26" s="748"/>
      <c r="Q26" s="748"/>
      <c r="R26" s="748"/>
      <c r="S26" s="748"/>
      <c r="T26" s="748"/>
      <c r="U26" s="748"/>
      <c r="V26" s="806"/>
    </row>
    <row r="27" spans="1:23" s="676" customFormat="1" ht="12" customHeight="1">
      <c r="B27" s="749"/>
      <c r="C27" s="748"/>
      <c r="D27" s="806"/>
      <c r="E27" s="796">
        <f t="shared" si="0"/>
        <v>6</v>
      </c>
      <c r="F27" s="797"/>
      <c r="G27" s="796" t="str">
        <f ca="1">IF(OR($A$2=1,ISERROR(VLOOKUP(OP!$C$56&amp;TEXT($E27,"00"),PVal,2,0))),"",TEXT(OP!$C$28*VLOOKUP(OP!$C$56&amp;TEXT($E27,"00"),PVal,2,0),"#,##0"))</f>
        <v>22,000</v>
      </c>
      <c r="H27" s="811"/>
      <c r="I27" s="749"/>
      <c r="J27" s="748"/>
      <c r="K27" s="748"/>
      <c r="L27" s="748"/>
      <c r="M27" s="748"/>
      <c r="N27" s="748"/>
      <c r="O27" s="748"/>
      <c r="P27" s="748"/>
      <c r="Q27" s="748"/>
      <c r="R27" s="748"/>
      <c r="S27" s="748"/>
      <c r="T27" s="748"/>
      <c r="U27" s="748"/>
      <c r="V27" s="806"/>
    </row>
    <row r="28" spans="1:23" s="676" customFormat="1" ht="12" customHeight="1">
      <c r="B28" s="749"/>
      <c r="C28" s="748"/>
      <c r="D28" s="806"/>
      <c r="E28" s="796">
        <f t="shared" si="0"/>
        <v>7</v>
      </c>
      <c r="F28" s="797"/>
      <c r="G28" s="796" t="str">
        <f ca="1">IF(OR($A$2=1,ISERROR(VLOOKUP(OP!$C$56&amp;TEXT($E28,"00"),PVal,2,0))),"",TEXT(OP!$C$28*VLOOKUP(OP!$C$56&amp;TEXT($E28,"00"),PVal,2,0),"#,##0"))</f>
        <v>22,400</v>
      </c>
      <c r="H28" s="811"/>
      <c r="I28" s="749"/>
      <c r="J28" s="748"/>
      <c r="K28" s="748"/>
      <c r="L28" s="748"/>
      <c r="M28" s="748"/>
      <c r="N28" s="748"/>
      <c r="O28" s="748"/>
      <c r="P28" s="748"/>
      <c r="Q28" s="748"/>
      <c r="R28" s="748"/>
      <c r="S28" s="748"/>
      <c r="T28" s="748"/>
      <c r="U28" s="748"/>
      <c r="V28" s="806"/>
    </row>
    <row r="29" spans="1:23" s="676" customFormat="1" ht="12" customHeight="1">
      <c r="B29" s="749"/>
      <c r="C29" s="748"/>
      <c r="D29" s="806"/>
      <c r="E29" s="796">
        <f t="shared" si="0"/>
        <v>8</v>
      </c>
      <c r="F29" s="797"/>
      <c r="G29" s="796" t="str">
        <f ca="1">IF(OR($A$2=1,ISERROR(VLOOKUP(OP!$C$56&amp;TEXT($E29,"00"),PVal,2,0))),"",TEXT(OP!$C$28*VLOOKUP(OP!$C$56&amp;TEXT($E29,"00"),PVal,2,0),"#,##0"))</f>
        <v>22,800</v>
      </c>
      <c r="H29" s="811"/>
      <c r="I29" s="749"/>
      <c r="J29" s="748"/>
      <c r="K29" s="748"/>
      <c r="L29" s="748"/>
      <c r="M29" s="748"/>
      <c r="N29" s="748"/>
      <c r="O29" s="748"/>
      <c r="P29" s="748"/>
      <c r="Q29" s="748"/>
      <c r="R29" s="748"/>
      <c r="S29" s="748"/>
      <c r="T29" s="748"/>
      <c r="U29" s="748"/>
      <c r="V29" s="806"/>
    </row>
    <row r="30" spans="1:23" s="676" customFormat="1" ht="12" customHeight="1">
      <c r="B30" s="749"/>
      <c r="C30" s="748"/>
      <c r="D30" s="806"/>
      <c r="E30" s="796">
        <f t="shared" si="0"/>
        <v>9</v>
      </c>
      <c r="F30" s="797"/>
      <c r="G30" s="796" t="str">
        <f ca="1">IF(OR($A$2=1,ISERROR(VLOOKUP(OP!$C$56&amp;TEXT($E30,"00"),PVal,2,0))),"",TEXT(OP!$C$28*VLOOKUP(OP!$C$56&amp;TEXT($E30,"00"),PVal,2,0),"#,##0"))</f>
        <v>23,200</v>
      </c>
      <c r="H30" s="811"/>
      <c r="I30" s="749"/>
      <c r="J30" s="748"/>
      <c r="K30" s="748"/>
      <c r="L30" s="748"/>
      <c r="M30" s="748"/>
      <c r="N30" s="748"/>
      <c r="O30" s="748"/>
      <c r="P30" s="748"/>
      <c r="Q30" s="748"/>
      <c r="R30" s="748"/>
      <c r="S30" s="748"/>
      <c r="T30" s="748"/>
      <c r="U30" s="748"/>
      <c r="V30" s="806"/>
    </row>
    <row r="31" spans="1:23" s="676" customFormat="1" ht="12" customHeight="1">
      <c r="B31" s="749"/>
      <c r="C31" s="748"/>
      <c r="D31" s="806"/>
      <c r="E31" s="796">
        <f t="shared" si="0"/>
        <v>10</v>
      </c>
      <c r="F31" s="797"/>
      <c r="G31" s="796" t="str">
        <f ca="1">IF(OR($A$2=1,ISERROR(VLOOKUP(OP!$C$56&amp;TEXT($E31,"00"),PVal,2,0))),"",TEXT(OP!$C$28*VLOOKUP(OP!$C$56&amp;TEXT($E31,"00"),PVal,2,0),"#,##0"))</f>
        <v>23,600</v>
      </c>
      <c r="H31" s="811"/>
      <c r="I31" s="749"/>
      <c r="J31" s="748"/>
      <c r="K31" s="748"/>
      <c r="L31" s="748"/>
      <c r="M31" s="748"/>
      <c r="N31" s="748"/>
      <c r="O31" s="748"/>
      <c r="P31" s="748"/>
      <c r="Q31" s="748"/>
      <c r="R31" s="748"/>
      <c r="S31" s="748"/>
      <c r="T31" s="748"/>
      <c r="U31" s="748"/>
      <c r="V31" s="806"/>
    </row>
    <row r="32" spans="1:23" s="676" customFormat="1" ht="12" customHeight="1">
      <c r="B32" s="749"/>
      <c r="C32" s="748"/>
      <c r="D32" s="806"/>
      <c r="E32" s="796">
        <f t="shared" si="0"/>
        <v>11</v>
      </c>
      <c r="F32" s="797"/>
      <c r="G32" s="796" t="str">
        <f ca="1">IF(OR($A$2=1,ISERROR(VLOOKUP(OP!$C$56&amp;TEXT($E32,"00"),PVal,2,0))),"",TEXT(OP!$C$28*VLOOKUP(OP!$C$56&amp;TEXT($E32,"00"),PVal,2,0),"#,##0"))</f>
        <v>24,000</v>
      </c>
      <c r="H32" s="811"/>
      <c r="I32" s="749"/>
      <c r="J32" s="748"/>
      <c r="K32" s="748"/>
      <c r="L32" s="748"/>
      <c r="M32" s="748"/>
      <c r="N32" s="748"/>
      <c r="O32" s="748"/>
      <c r="P32" s="748"/>
      <c r="Q32" s="748"/>
      <c r="R32" s="748"/>
      <c r="S32" s="748"/>
      <c r="T32" s="748"/>
      <c r="U32" s="748"/>
      <c r="V32" s="806"/>
    </row>
    <row r="33" spans="1:23" s="676" customFormat="1" ht="12" customHeight="1">
      <c r="B33" s="749"/>
      <c r="C33" s="748"/>
      <c r="D33" s="806"/>
      <c r="E33" s="796">
        <f t="shared" si="0"/>
        <v>12</v>
      </c>
      <c r="F33" s="797"/>
      <c r="G33" s="796" t="str">
        <f ca="1">IF(OR($A$2=1,ISERROR(VLOOKUP(OP!$C$56&amp;TEXT($E33,"00"),PVal,2,0))),"",TEXT(OP!$C$28*VLOOKUP(OP!$C$56&amp;TEXT($E33,"00"),PVal,2,0),"#,##0"))</f>
        <v>24,400</v>
      </c>
      <c r="H33" s="811"/>
      <c r="I33" s="749"/>
      <c r="J33" s="748"/>
      <c r="K33" s="748"/>
      <c r="L33" s="748"/>
      <c r="M33" s="748"/>
      <c r="N33" s="748"/>
      <c r="O33" s="748"/>
      <c r="P33" s="748"/>
      <c r="Q33" s="748"/>
      <c r="R33" s="748"/>
      <c r="S33" s="748"/>
      <c r="T33" s="748"/>
      <c r="U33" s="748"/>
      <c r="V33" s="806"/>
    </row>
    <row r="34" spans="1:23" s="676" customFormat="1" ht="12" customHeight="1">
      <c r="B34" s="749"/>
      <c r="C34" s="748"/>
      <c r="D34" s="806"/>
      <c r="E34" s="796">
        <f t="shared" si="0"/>
        <v>13</v>
      </c>
      <c r="F34" s="797"/>
      <c r="G34" s="796" t="str">
        <f ca="1">IF(OR($A$2=1,ISERROR(VLOOKUP(OP!$C$56&amp;TEXT($E34,"00"),PVal,2,0))),"",TEXT(OP!$C$28*VLOOKUP(OP!$C$56&amp;TEXT($E34,"00"),PVal,2,0),"#,##0"))</f>
        <v>24,800</v>
      </c>
      <c r="H34" s="811"/>
      <c r="I34" s="749"/>
      <c r="J34" s="748"/>
      <c r="K34" s="748"/>
      <c r="L34" s="748"/>
      <c r="M34" s="748"/>
      <c r="N34" s="748"/>
      <c r="O34" s="748"/>
      <c r="P34" s="748"/>
      <c r="Q34" s="748"/>
      <c r="R34" s="748"/>
      <c r="S34" s="748"/>
      <c r="T34" s="748"/>
      <c r="U34" s="748"/>
      <c r="V34" s="806"/>
    </row>
    <row r="35" spans="1:23" s="676" customFormat="1" ht="12" customHeight="1">
      <c r="B35" s="749"/>
      <c r="C35" s="748"/>
      <c r="D35" s="806"/>
      <c r="E35" s="796">
        <f t="shared" si="0"/>
        <v>14</v>
      </c>
      <c r="F35" s="797"/>
      <c r="G35" s="796" t="str">
        <f ca="1">IF(OR($A$2=1,ISERROR(VLOOKUP(OP!$C$56&amp;TEXT($E35,"00"),PVal,2,0))),"",TEXT(OP!$C$28*VLOOKUP(OP!$C$56&amp;TEXT($E35,"00"),PVal,2,0),"#,##0"))</f>
        <v>25,200</v>
      </c>
      <c r="H35" s="811"/>
      <c r="I35" s="749"/>
      <c r="J35" s="748"/>
      <c r="K35" s="748"/>
      <c r="L35" s="748"/>
      <c r="M35" s="748"/>
      <c r="N35" s="748"/>
      <c r="O35" s="748"/>
      <c r="P35" s="748"/>
      <c r="Q35" s="748"/>
      <c r="R35" s="748"/>
      <c r="S35" s="748"/>
      <c r="T35" s="748"/>
      <c r="U35" s="748"/>
      <c r="V35" s="806"/>
    </row>
    <row r="36" spans="1:23" s="676" customFormat="1" ht="12" customHeight="1">
      <c r="B36" s="749"/>
      <c r="C36" s="748"/>
      <c r="D36" s="806"/>
      <c r="E36" s="796">
        <f t="shared" si="0"/>
        <v>15</v>
      </c>
      <c r="F36" s="797"/>
      <c r="G36" s="796" t="str">
        <f ca="1">IF(OR($A$2=1,ISERROR(VLOOKUP(OP!$C$56&amp;TEXT($E36,"00"),PVal,2,0))),"",TEXT(OP!$C$28*VLOOKUP(OP!$C$56&amp;TEXT($E36,"00"),PVal,2,0),"#,##0"))</f>
        <v>25,600</v>
      </c>
      <c r="H36" s="811"/>
      <c r="I36" s="749"/>
      <c r="J36" s="748"/>
      <c r="K36" s="748"/>
      <c r="L36" s="748"/>
      <c r="M36" s="748"/>
      <c r="N36" s="748"/>
      <c r="O36" s="748"/>
      <c r="P36" s="748"/>
      <c r="Q36" s="748"/>
      <c r="R36" s="748"/>
      <c r="S36" s="748"/>
      <c r="T36" s="748"/>
      <c r="U36" s="748"/>
      <c r="V36" s="806"/>
    </row>
    <row r="37" spans="1:23" s="676" customFormat="1" ht="50" customHeight="1">
      <c r="B37" s="803" t="s">
        <v>1335</v>
      </c>
      <c r="C37" s="804"/>
      <c r="D37" s="805"/>
      <c r="E37" s="817" t="str">
        <f ca="1">IF(OR($A$2=1),"",TEXT(OP!$C$28*10000*15,"#,##0")&amp;"元")</f>
        <v>150,000元</v>
      </c>
      <c r="F37" s="818"/>
      <c r="G37" s="818"/>
      <c r="H37" s="818"/>
      <c r="I37" s="810" t="s">
        <v>1374</v>
      </c>
      <c r="J37" s="809"/>
      <c r="K37" s="809"/>
      <c r="L37" s="809"/>
      <c r="M37" s="809"/>
      <c r="N37" s="809"/>
      <c r="O37" s="809"/>
      <c r="P37" s="809"/>
      <c r="Q37" s="809"/>
      <c r="R37" s="809"/>
      <c r="S37" s="809"/>
      <c r="T37" s="809"/>
      <c r="U37" s="809"/>
      <c r="V37" s="809"/>
    </row>
    <row r="38" spans="1:23" s="676" customFormat="1" ht="80" customHeight="1">
      <c r="B38" s="749"/>
      <c r="C38" s="748"/>
      <c r="D38" s="806"/>
      <c r="E38" s="817" t="str">
        <f ca="1">IF(OR($A$2=1),"",TEXT(OP!$C$28*10000*10,"#,##0")&amp;"元")</f>
        <v>100,000元</v>
      </c>
      <c r="F38" s="818"/>
      <c r="G38" s="818"/>
      <c r="H38" s="818"/>
      <c r="I38" s="810" t="s">
        <v>1381</v>
      </c>
      <c r="J38" s="809"/>
      <c r="K38" s="809"/>
      <c r="L38" s="809"/>
      <c r="M38" s="809"/>
      <c r="N38" s="809"/>
      <c r="O38" s="809"/>
      <c r="P38" s="809"/>
      <c r="Q38" s="809"/>
      <c r="R38" s="809"/>
      <c r="S38" s="809"/>
      <c r="T38" s="809"/>
      <c r="U38" s="809"/>
      <c r="V38" s="809"/>
    </row>
    <row r="39" spans="1:23" s="676" customFormat="1" ht="60" customHeight="1">
      <c r="B39" s="750"/>
      <c r="C39" s="751"/>
      <c r="D39" s="807"/>
      <c r="E39" s="814" t="s">
        <v>1379</v>
      </c>
      <c r="F39" s="815"/>
      <c r="G39" s="815"/>
      <c r="H39" s="815"/>
      <c r="I39" s="815"/>
      <c r="J39" s="815"/>
      <c r="K39" s="815"/>
      <c r="L39" s="815"/>
      <c r="M39" s="815"/>
      <c r="N39" s="815"/>
      <c r="O39" s="815"/>
      <c r="P39" s="815"/>
      <c r="Q39" s="815"/>
      <c r="R39" s="815"/>
      <c r="S39" s="815"/>
      <c r="T39" s="815"/>
      <c r="U39" s="815"/>
      <c r="V39" s="816"/>
    </row>
    <row r="40" spans="1:23" s="676" customFormat="1">
      <c r="B40" s="683"/>
      <c r="C40" s="683"/>
      <c r="D40" s="683"/>
      <c r="E40" s="684"/>
      <c r="F40" s="685"/>
      <c r="G40" s="684"/>
      <c r="H40" s="209"/>
      <c r="I40" s="683"/>
      <c r="J40" s="683"/>
      <c r="K40" s="683"/>
      <c r="L40" s="683"/>
      <c r="M40" s="683"/>
      <c r="N40" s="683"/>
      <c r="O40" s="683"/>
      <c r="P40" s="683"/>
      <c r="Q40" s="683"/>
      <c r="R40" s="683"/>
      <c r="S40" s="683"/>
      <c r="T40" s="683"/>
      <c r="U40" s="683"/>
      <c r="V40" s="683"/>
    </row>
    <row r="41" spans="1:23" s="676" customFormat="1">
      <c r="B41" s="683"/>
      <c r="C41" s="683"/>
      <c r="D41" s="683"/>
      <c r="E41" s="684"/>
      <c r="F41" s="685"/>
      <c r="G41" s="684"/>
      <c r="H41" s="209"/>
      <c r="I41" s="683"/>
      <c r="J41" s="683"/>
      <c r="K41" s="683"/>
      <c r="L41" s="683"/>
      <c r="M41" s="683"/>
      <c r="N41" s="683"/>
      <c r="O41" s="683"/>
      <c r="P41" s="683"/>
      <c r="Q41" s="683"/>
      <c r="R41" s="683"/>
      <c r="S41" s="683"/>
      <c r="T41" s="683"/>
      <c r="U41" s="683"/>
      <c r="V41" s="683"/>
    </row>
    <row r="42" spans="1:23" s="676" customFormat="1">
      <c r="B42" s="683"/>
      <c r="C42" s="683"/>
      <c r="D42" s="683"/>
      <c r="E42" s="684"/>
      <c r="F42" s="685"/>
      <c r="G42" s="684"/>
      <c r="H42" s="209"/>
      <c r="I42" s="683"/>
      <c r="J42" s="683"/>
      <c r="K42" s="683"/>
      <c r="L42" s="683"/>
      <c r="M42" s="683"/>
      <c r="N42" s="683"/>
      <c r="O42" s="683"/>
      <c r="P42" s="683"/>
      <c r="Q42" s="683"/>
      <c r="R42" s="683"/>
      <c r="S42" s="683"/>
      <c r="T42" s="683"/>
      <c r="U42" s="683"/>
      <c r="V42" s="683"/>
    </row>
    <row r="43" spans="1:23" s="676" customFormat="1">
      <c r="B43" s="683"/>
      <c r="C43" s="683"/>
      <c r="D43" s="683"/>
      <c r="E43" s="684"/>
      <c r="F43" s="685"/>
      <c r="G43" s="684"/>
      <c r="H43" s="209"/>
      <c r="I43" s="683"/>
      <c r="J43" s="683"/>
      <c r="K43" s="683"/>
      <c r="L43" s="683"/>
      <c r="M43" s="683"/>
      <c r="N43" s="683"/>
      <c r="O43" s="683"/>
      <c r="P43" s="683"/>
      <c r="Q43" s="683"/>
      <c r="R43" s="683"/>
      <c r="S43" s="683"/>
      <c r="T43" s="683"/>
      <c r="U43" s="683"/>
      <c r="V43" s="683"/>
    </row>
    <row r="44" spans="1:23" s="676" customFormat="1">
      <c r="B44" s="683"/>
      <c r="C44" s="683"/>
      <c r="D44" s="683"/>
      <c r="E44" s="684"/>
      <c r="F44" s="685"/>
      <c r="G44" s="684"/>
      <c r="H44" s="209"/>
      <c r="I44" s="683"/>
      <c r="J44" s="683"/>
      <c r="K44" s="683"/>
      <c r="L44" s="683"/>
      <c r="M44" s="683"/>
      <c r="N44" s="683"/>
      <c r="O44" s="683"/>
      <c r="P44" s="683"/>
      <c r="Q44" s="683"/>
      <c r="R44" s="683"/>
      <c r="S44" s="683"/>
      <c r="T44" s="683"/>
      <c r="U44" s="683"/>
      <c r="V44" s="683"/>
    </row>
    <row r="45" spans="1:23" s="676" customFormat="1">
      <c r="B45" s="683"/>
      <c r="C45" s="683"/>
      <c r="D45" s="683"/>
      <c r="E45" s="684"/>
      <c r="F45" s="685"/>
      <c r="G45" s="684"/>
      <c r="H45" s="209"/>
      <c r="I45" s="683"/>
      <c r="J45" s="683"/>
      <c r="K45" s="683"/>
      <c r="L45" s="683"/>
      <c r="M45" s="683"/>
      <c r="N45" s="683"/>
      <c r="O45" s="683"/>
      <c r="P45" s="683"/>
      <c r="Q45" s="683"/>
      <c r="R45" s="683"/>
      <c r="S45" s="683"/>
      <c r="T45" s="683"/>
      <c r="U45" s="683"/>
      <c r="V45" s="683"/>
    </row>
    <row r="46" spans="1:23" s="676" customFormat="1">
      <c r="B46" s="683"/>
      <c r="C46" s="683"/>
      <c r="D46" s="683"/>
      <c r="E46" s="684"/>
      <c r="F46" s="685"/>
      <c r="G46" s="684"/>
      <c r="H46" s="209"/>
      <c r="I46" s="683"/>
      <c r="J46" s="683"/>
      <c r="K46" s="683"/>
      <c r="L46" s="683"/>
      <c r="M46" s="683"/>
      <c r="N46" s="683"/>
      <c r="O46" s="683"/>
      <c r="P46" s="683"/>
      <c r="Q46" s="683"/>
      <c r="R46" s="683"/>
      <c r="S46" s="683"/>
      <c r="T46" s="683"/>
      <c r="U46" s="683"/>
      <c r="V46" s="683"/>
    </row>
    <row r="47" spans="1:23" s="676" customFormat="1">
      <c r="B47" s="683"/>
      <c r="C47" s="683"/>
      <c r="D47" s="683"/>
      <c r="E47" s="684"/>
      <c r="F47" s="685"/>
      <c r="G47" s="684"/>
      <c r="H47" s="209"/>
      <c r="I47" s="683"/>
      <c r="J47" s="683"/>
      <c r="K47" s="683"/>
      <c r="L47" s="683"/>
      <c r="M47" s="683"/>
      <c r="N47" s="683"/>
      <c r="O47" s="683"/>
      <c r="P47" s="683"/>
      <c r="Q47" s="683"/>
      <c r="R47" s="683"/>
      <c r="S47" s="683"/>
      <c r="T47" s="683"/>
      <c r="U47" s="683"/>
      <c r="V47" s="683"/>
    </row>
    <row r="48" spans="1:23" s="497" customFormat="1" ht="15" customHeight="1">
      <c r="A48" s="461">
        <v>1</v>
      </c>
      <c r="B48" s="798" t="str">
        <f>OP!$D$107</f>
        <v>本建議書僅供參考，詳細商品內容及其變更，應以投保當時保單條款內容及本公司核保、保全作業規定為準</v>
      </c>
      <c r="C48" s="798"/>
      <c r="D48" s="798"/>
      <c r="E48" s="798"/>
      <c r="F48" s="798"/>
      <c r="G48" s="798"/>
      <c r="H48" s="798"/>
      <c r="I48" s="798"/>
      <c r="J48" s="798"/>
      <c r="K48" s="798"/>
      <c r="L48" s="798"/>
      <c r="M48" s="798"/>
      <c r="N48" s="798"/>
      <c r="O48" s="798"/>
      <c r="P48" s="798"/>
      <c r="Q48" s="798"/>
      <c r="R48" s="798"/>
      <c r="S48" s="798"/>
      <c r="T48" s="798"/>
      <c r="U48" s="798"/>
      <c r="V48" s="798"/>
      <c r="W48" s="496"/>
    </row>
    <row r="49" spans="2:23" s="497" customFormat="1" ht="15" customHeight="1">
      <c r="B49" s="498"/>
      <c r="C49" s="499"/>
      <c r="D49" s="799"/>
      <c r="E49" s="800"/>
      <c r="F49" s="800"/>
      <c r="G49" s="800"/>
      <c r="H49" s="800"/>
      <c r="I49" s="800"/>
      <c r="J49" s="800"/>
      <c r="K49" s="800"/>
      <c r="L49" s="800"/>
      <c r="M49" s="800"/>
      <c r="N49" s="800"/>
      <c r="O49" s="800"/>
      <c r="P49" s="800"/>
      <c r="Q49" s="500"/>
      <c r="S49" s="501"/>
      <c r="T49" s="501"/>
      <c r="U49" s="501"/>
      <c r="V49" s="502" t="str">
        <f ca="1">OP!$D$105</f>
        <v>V1.0-1150720 試算日：1150825</v>
      </c>
      <c r="W49" s="496"/>
    </row>
    <row r="50" spans="2:23" s="497" customFormat="1" ht="12" customHeight="1">
      <c r="B50" s="498"/>
      <c r="C50" s="499"/>
      <c r="D50" s="564"/>
      <c r="E50" s="565"/>
      <c r="F50" s="565"/>
      <c r="G50" s="565"/>
      <c r="H50" s="565"/>
      <c r="I50" s="565"/>
      <c r="J50" s="565"/>
      <c r="K50" s="565"/>
      <c r="L50" s="565"/>
      <c r="M50" s="565"/>
      <c r="N50" s="565"/>
      <c r="O50" s="565"/>
      <c r="P50" s="565"/>
      <c r="Q50" s="500"/>
      <c r="S50" s="501"/>
      <c r="T50" s="501"/>
      <c r="U50" s="501"/>
      <c r="V50" s="484" t="str">
        <f>IF(OP!$C$105="停售","本商品已停售","")</f>
        <v/>
      </c>
      <c r="W50" s="496"/>
    </row>
    <row r="51" spans="2:23" s="497" customFormat="1" ht="3" customHeight="1">
      <c r="B51" s="498"/>
      <c r="C51" s="499"/>
      <c r="D51" s="564"/>
      <c r="E51" s="565"/>
      <c r="F51" s="565"/>
      <c r="G51" s="565"/>
      <c r="H51" s="565"/>
      <c r="I51" s="565"/>
      <c r="J51" s="565"/>
      <c r="K51" s="565"/>
      <c r="L51" s="565"/>
      <c r="M51" s="565"/>
      <c r="N51" s="565"/>
      <c r="O51" s="565"/>
      <c r="P51" s="565"/>
      <c r="Q51" s="500"/>
      <c r="S51" s="501"/>
      <c r="T51" s="501"/>
      <c r="U51" s="501"/>
      <c r="V51" s="502"/>
      <c r="W51" s="496"/>
    </row>
    <row r="52" spans="2:23" s="676" customFormat="1" ht="35" customHeight="1">
      <c r="B52" s="803" t="s">
        <v>1336</v>
      </c>
      <c r="C52" s="804"/>
      <c r="D52" s="805"/>
      <c r="E52" s="812" t="s">
        <v>1333</v>
      </c>
      <c r="F52" s="813"/>
      <c r="G52" s="812" t="s">
        <v>1334</v>
      </c>
      <c r="H52" s="813"/>
      <c r="I52" s="846" t="s">
        <v>1380</v>
      </c>
      <c r="J52" s="804"/>
      <c r="K52" s="804"/>
      <c r="L52" s="804"/>
      <c r="M52" s="804"/>
      <c r="N52" s="804"/>
      <c r="O52" s="804"/>
      <c r="P52" s="804"/>
      <c r="Q52" s="804"/>
      <c r="R52" s="804"/>
      <c r="S52" s="804"/>
      <c r="T52" s="804"/>
      <c r="U52" s="804"/>
      <c r="V52" s="805"/>
    </row>
    <row r="53" spans="2:23" s="676" customFormat="1" ht="12" customHeight="1">
      <c r="B53" s="749"/>
      <c r="C53" s="748"/>
      <c r="D53" s="806"/>
      <c r="E53" s="796">
        <v>1</v>
      </c>
      <c r="F53" s="797"/>
      <c r="G53" s="796" t="str">
        <f ca="1">IF(OR($A$2=1,ISERROR(VLOOKUP(OP!$C$56&amp;TEXT($E53,"00"),PVal,2,0))),"",TEXT(OP!$C$28*VLOOKUP(OP!$C$56&amp;TEXT($E53,"00"),PVal,2,0),"#,##0"))</f>
        <v>20,000</v>
      </c>
      <c r="H53" s="811"/>
      <c r="I53" s="749"/>
      <c r="J53" s="748"/>
      <c r="K53" s="748"/>
      <c r="L53" s="748"/>
      <c r="M53" s="748"/>
      <c r="N53" s="748"/>
      <c r="O53" s="748"/>
      <c r="P53" s="748"/>
      <c r="Q53" s="748"/>
      <c r="R53" s="748"/>
      <c r="S53" s="748"/>
      <c r="T53" s="748"/>
      <c r="U53" s="748"/>
      <c r="V53" s="806"/>
    </row>
    <row r="54" spans="2:23" s="676" customFormat="1" ht="12" customHeight="1">
      <c r="B54" s="749"/>
      <c r="C54" s="748"/>
      <c r="D54" s="806"/>
      <c r="E54" s="796">
        <f t="shared" ref="E54:E67" si="1">$E53+1</f>
        <v>2</v>
      </c>
      <c r="F54" s="797"/>
      <c r="G54" s="796" t="str">
        <f ca="1">IF(OR($A$2=1,ISERROR(VLOOKUP(OP!$C$56&amp;TEXT($E54,"00"),PVal,2,0))),"",TEXT(OP!$C$28*VLOOKUP(OP!$C$56&amp;TEXT($E54,"00"),PVal,2,0),"#,##0"))</f>
        <v>20,400</v>
      </c>
      <c r="H54" s="811"/>
      <c r="I54" s="749"/>
      <c r="J54" s="748"/>
      <c r="K54" s="748"/>
      <c r="L54" s="748"/>
      <c r="M54" s="748"/>
      <c r="N54" s="748"/>
      <c r="O54" s="748"/>
      <c r="P54" s="748"/>
      <c r="Q54" s="748"/>
      <c r="R54" s="748"/>
      <c r="S54" s="748"/>
      <c r="T54" s="748"/>
      <c r="U54" s="748"/>
      <c r="V54" s="806"/>
    </row>
    <row r="55" spans="2:23" s="676" customFormat="1" ht="12" customHeight="1">
      <c r="B55" s="749"/>
      <c r="C55" s="748"/>
      <c r="D55" s="806"/>
      <c r="E55" s="796">
        <f t="shared" si="1"/>
        <v>3</v>
      </c>
      <c r="F55" s="797"/>
      <c r="G55" s="796" t="str">
        <f ca="1">IF(OR($A$2=1,ISERROR(VLOOKUP(OP!$C$56&amp;TEXT($E55,"00"),PVal,2,0))),"",TEXT(OP!$C$28*VLOOKUP(OP!$C$56&amp;TEXT($E55,"00"),PVal,2,0),"#,##0"))</f>
        <v>20,800</v>
      </c>
      <c r="H55" s="811"/>
      <c r="I55" s="749"/>
      <c r="J55" s="748"/>
      <c r="K55" s="748"/>
      <c r="L55" s="748"/>
      <c r="M55" s="748"/>
      <c r="N55" s="748"/>
      <c r="O55" s="748"/>
      <c r="P55" s="748"/>
      <c r="Q55" s="748"/>
      <c r="R55" s="748"/>
      <c r="S55" s="748"/>
      <c r="T55" s="748"/>
      <c r="U55" s="748"/>
      <c r="V55" s="806"/>
    </row>
    <row r="56" spans="2:23" s="676" customFormat="1" ht="12" customHeight="1">
      <c r="B56" s="749"/>
      <c r="C56" s="748"/>
      <c r="D56" s="806"/>
      <c r="E56" s="796">
        <f t="shared" si="1"/>
        <v>4</v>
      </c>
      <c r="F56" s="797"/>
      <c r="G56" s="796" t="str">
        <f ca="1">IF(OR($A$2=1,ISERROR(VLOOKUP(OP!$C$56&amp;TEXT($E56,"00"),PVal,2,0))),"",TEXT(OP!$C$28*VLOOKUP(OP!$C$56&amp;TEXT($E56,"00"),PVal,2,0),"#,##0"))</f>
        <v>21,200</v>
      </c>
      <c r="H56" s="811"/>
      <c r="I56" s="749"/>
      <c r="J56" s="748"/>
      <c r="K56" s="748"/>
      <c r="L56" s="748"/>
      <c r="M56" s="748"/>
      <c r="N56" s="748"/>
      <c r="O56" s="748"/>
      <c r="P56" s="748"/>
      <c r="Q56" s="748"/>
      <c r="R56" s="748"/>
      <c r="S56" s="748"/>
      <c r="T56" s="748"/>
      <c r="U56" s="748"/>
      <c r="V56" s="806"/>
    </row>
    <row r="57" spans="2:23" s="676" customFormat="1" ht="12" customHeight="1">
      <c r="B57" s="749"/>
      <c r="C57" s="748"/>
      <c r="D57" s="806"/>
      <c r="E57" s="796">
        <f t="shared" si="1"/>
        <v>5</v>
      </c>
      <c r="F57" s="797"/>
      <c r="G57" s="796" t="str">
        <f ca="1">IF(OR($A$2=1,ISERROR(VLOOKUP(OP!$C$56&amp;TEXT($E57,"00"),PVal,2,0))),"",TEXT(OP!$C$28*VLOOKUP(OP!$C$56&amp;TEXT($E57,"00"),PVal,2,0),"#,##0"))</f>
        <v>21,600</v>
      </c>
      <c r="H57" s="811"/>
      <c r="I57" s="749"/>
      <c r="J57" s="748"/>
      <c r="K57" s="748"/>
      <c r="L57" s="748"/>
      <c r="M57" s="748"/>
      <c r="N57" s="748"/>
      <c r="O57" s="748"/>
      <c r="P57" s="748"/>
      <c r="Q57" s="748"/>
      <c r="R57" s="748"/>
      <c r="S57" s="748"/>
      <c r="T57" s="748"/>
      <c r="U57" s="748"/>
      <c r="V57" s="806"/>
    </row>
    <row r="58" spans="2:23" s="676" customFormat="1" ht="12" customHeight="1">
      <c r="B58" s="749"/>
      <c r="C58" s="748"/>
      <c r="D58" s="806"/>
      <c r="E58" s="796">
        <f t="shared" si="1"/>
        <v>6</v>
      </c>
      <c r="F58" s="797"/>
      <c r="G58" s="796" t="str">
        <f ca="1">IF(OR($A$2=1,ISERROR(VLOOKUP(OP!$C$56&amp;TEXT($E58,"00"),PVal,2,0))),"",TEXT(OP!$C$28*VLOOKUP(OP!$C$56&amp;TEXT($E58,"00"),PVal,2,0),"#,##0"))</f>
        <v>22,000</v>
      </c>
      <c r="H58" s="811"/>
      <c r="I58" s="749"/>
      <c r="J58" s="748"/>
      <c r="K58" s="748"/>
      <c r="L58" s="748"/>
      <c r="M58" s="748"/>
      <c r="N58" s="748"/>
      <c r="O58" s="748"/>
      <c r="P58" s="748"/>
      <c r="Q58" s="748"/>
      <c r="R58" s="748"/>
      <c r="S58" s="748"/>
      <c r="T58" s="748"/>
      <c r="U58" s="748"/>
      <c r="V58" s="806"/>
    </row>
    <row r="59" spans="2:23" s="676" customFormat="1" ht="12" customHeight="1">
      <c r="B59" s="749"/>
      <c r="C59" s="748"/>
      <c r="D59" s="806"/>
      <c r="E59" s="796">
        <f t="shared" si="1"/>
        <v>7</v>
      </c>
      <c r="F59" s="797"/>
      <c r="G59" s="796" t="str">
        <f ca="1">IF(OR($A$2=1,ISERROR(VLOOKUP(OP!$C$56&amp;TEXT($E59,"00"),PVal,2,0))),"",TEXT(OP!$C$28*VLOOKUP(OP!$C$56&amp;TEXT($E59,"00"),PVal,2,0),"#,##0"))</f>
        <v>22,400</v>
      </c>
      <c r="H59" s="811"/>
      <c r="I59" s="749"/>
      <c r="J59" s="748"/>
      <c r="K59" s="748"/>
      <c r="L59" s="748"/>
      <c r="M59" s="748"/>
      <c r="N59" s="748"/>
      <c r="O59" s="748"/>
      <c r="P59" s="748"/>
      <c r="Q59" s="748"/>
      <c r="R59" s="748"/>
      <c r="S59" s="748"/>
      <c r="T59" s="748"/>
      <c r="U59" s="748"/>
      <c r="V59" s="806"/>
    </row>
    <row r="60" spans="2:23" s="676" customFormat="1" ht="12" customHeight="1">
      <c r="B60" s="749"/>
      <c r="C60" s="748"/>
      <c r="D60" s="806"/>
      <c r="E60" s="796">
        <f t="shared" si="1"/>
        <v>8</v>
      </c>
      <c r="F60" s="797"/>
      <c r="G60" s="796" t="str">
        <f ca="1">IF(OR($A$2=1,ISERROR(VLOOKUP(OP!$C$56&amp;TEXT($E60,"00"),PVal,2,0))),"",TEXT(OP!$C$28*VLOOKUP(OP!$C$56&amp;TEXT($E60,"00"),PVal,2,0),"#,##0"))</f>
        <v>22,800</v>
      </c>
      <c r="H60" s="811"/>
      <c r="I60" s="749"/>
      <c r="J60" s="748"/>
      <c r="K60" s="748"/>
      <c r="L60" s="748"/>
      <c r="M60" s="748"/>
      <c r="N60" s="748"/>
      <c r="O60" s="748"/>
      <c r="P60" s="748"/>
      <c r="Q60" s="748"/>
      <c r="R60" s="748"/>
      <c r="S60" s="748"/>
      <c r="T60" s="748"/>
      <c r="U60" s="748"/>
      <c r="V60" s="806"/>
    </row>
    <row r="61" spans="2:23" s="676" customFormat="1" ht="12" customHeight="1">
      <c r="B61" s="749"/>
      <c r="C61" s="748"/>
      <c r="D61" s="806"/>
      <c r="E61" s="796">
        <f t="shared" si="1"/>
        <v>9</v>
      </c>
      <c r="F61" s="797"/>
      <c r="G61" s="796" t="str">
        <f ca="1">IF(OR($A$2=1,ISERROR(VLOOKUP(OP!$C$56&amp;TEXT($E61,"00"),PVal,2,0))),"",TEXT(OP!$C$28*VLOOKUP(OP!$C$56&amp;TEXT($E61,"00"),PVal,2,0),"#,##0"))</f>
        <v>23,200</v>
      </c>
      <c r="H61" s="811"/>
      <c r="I61" s="749"/>
      <c r="J61" s="748"/>
      <c r="K61" s="748"/>
      <c r="L61" s="748"/>
      <c r="M61" s="748"/>
      <c r="N61" s="748"/>
      <c r="O61" s="748"/>
      <c r="P61" s="748"/>
      <c r="Q61" s="748"/>
      <c r="R61" s="748"/>
      <c r="S61" s="748"/>
      <c r="T61" s="748"/>
      <c r="U61" s="748"/>
      <c r="V61" s="806"/>
    </row>
    <row r="62" spans="2:23" s="676" customFormat="1" ht="12" customHeight="1">
      <c r="B62" s="749"/>
      <c r="C62" s="748"/>
      <c r="D62" s="806"/>
      <c r="E62" s="796">
        <f t="shared" si="1"/>
        <v>10</v>
      </c>
      <c r="F62" s="797"/>
      <c r="G62" s="796" t="str">
        <f ca="1">IF(OR($A$2=1,ISERROR(VLOOKUP(OP!$C$56&amp;TEXT($E62,"00"),PVal,2,0))),"",TEXT(OP!$C$28*VLOOKUP(OP!$C$56&amp;TEXT($E62,"00"),PVal,2,0),"#,##0"))</f>
        <v>23,600</v>
      </c>
      <c r="H62" s="811"/>
      <c r="I62" s="749"/>
      <c r="J62" s="748"/>
      <c r="K62" s="748"/>
      <c r="L62" s="748"/>
      <c r="M62" s="748"/>
      <c r="N62" s="748"/>
      <c r="O62" s="748"/>
      <c r="P62" s="748"/>
      <c r="Q62" s="748"/>
      <c r="R62" s="748"/>
      <c r="S62" s="748"/>
      <c r="T62" s="748"/>
      <c r="U62" s="748"/>
      <c r="V62" s="806"/>
    </row>
    <row r="63" spans="2:23" s="676" customFormat="1" ht="12" customHeight="1">
      <c r="B63" s="749"/>
      <c r="C63" s="748"/>
      <c r="D63" s="806"/>
      <c r="E63" s="796">
        <f t="shared" si="1"/>
        <v>11</v>
      </c>
      <c r="F63" s="797"/>
      <c r="G63" s="796" t="str">
        <f ca="1">IF(OR($A$2=1,ISERROR(VLOOKUP(OP!$C$56&amp;TEXT($E63,"00"),PVal,2,0))),"",TEXT(OP!$C$28*VLOOKUP(OP!$C$56&amp;TEXT($E63,"00"),PVal,2,0),"#,##0"))</f>
        <v>24,000</v>
      </c>
      <c r="H63" s="811"/>
      <c r="I63" s="749"/>
      <c r="J63" s="748"/>
      <c r="K63" s="748"/>
      <c r="L63" s="748"/>
      <c r="M63" s="748"/>
      <c r="N63" s="748"/>
      <c r="O63" s="748"/>
      <c r="P63" s="748"/>
      <c r="Q63" s="748"/>
      <c r="R63" s="748"/>
      <c r="S63" s="748"/>
      <c r="T63" s="748"/>
      <c r="U63" s="748"/>
      <c r="V63" s="806"/>
    </row>
    <row r="64" spans="2:23" s="676" customFormat="1" ht="12" customHeight="1">
      <c r="B64" s="749"/>
      <c r="C64" s="748"/>
      <c r="D64" s="806"/>
      <c r="E64" s="796">
        <f t="shared" si="1"/>
        <v>12</v>
      </c>
      <c r="F64" s="797"/>
      <c r="G64" s="796" t="str">
        <f ca="1">IF(OR($A$2=1,ISERROR(VLOOKUP(OP!$C$56&amp;TEXT($E64,"00"),PVal,2,0))),"",TEXT(OP!$C$28*VLOOKUP(OP!$C$56&amp;TEXT($E64,"00"),PVal,2,0),"#,##0"))</f>
        <v>24,400</v>
      </c>
      <c r="H64" s="811"/>
      <c r="I64" s="749"/>
      <c r="J64" s="748"/>
      <c r="K64" s="748"/>
      <c r="L64" s="748"/>
      <c r="M64" s="748"/>
      <c r="N64" s="748"/>
      <c r="O64" s="748"/>
      <c r="P64" s="748"/>
      <c r="Q64" s="748"/>
      <c r="R64" s="748"/>
      <c r="S64" s="748"/>
      <c r="T64" s="748"/>
      <c r="U64" s="748"/>
      <c r="V64" s="806"/>
    </row>
    <row r="65" spans="1:23" s="676" customFormat="1" ht="12" customHeight="1">
      <c r="B65" s="749"/>
      <c r="C65" s="748"/>
      <c r="D65" s="806"/>
      <c r="E65" s="796">
        <f t="shared" si="1"/>
        <v>13</v>
      </c>
      <c r="F65" s="797"/>
      <c r="G65" s="796" t="str">
        <f ca="1">IF(OR($A$2=1,ISERROR(VLOOKUP(OP!$C$56&amp;TEXT($E65,"00"),PVal,2,0))),"",TEXT(OP!$C$28*VLOOKUP(OP!$C$56&amp;TEXT($E65,"00"),PVal,2,0),"#,##0"))</f>
        <v>24,800</v>
      </c>
      <c r="H65" s="811"/>
      <c r="I65" s="749"/>
      <c r="J65" s="748"/>
      <c r="K65" s="748"/>
      <c r="L65" s="748"/>
      <c r="M65" s="748"/>
      <c r="N65" s="748"/>
      <c r="O65" s="748"/>
      <c r="P65" s="748"/>
      <c r="Q65" s="748"/>
      <c r="R65" s="748"/>
      <c r="S65" s="748"/>
      <c r="T65" s="748"/>
      <c r="U65" s="748"/>
      <c r="V65" s="806"/>
    </row>
    <row r="66" spans="1:23" s="676" customFormat="1" ht="12" customHeight="1">
      <c r="B66" s="749"/>
      <c r="C66" s="748"/>
      <c r="D66" s="806"/>
      <c r="E66" s="796">
        <f t="shared" si="1"/>
        <v>14</v>
      </c>
      <c r="F66" s="797"/>
      <c r="G66" s="796" t="str">
        <f ca="1">IF(OR($A$2=1,ISERROR(VLOOKUP(OP!$C$56&amp;TEXT($E66,"00"),PVal,2,0))),"",TEXT(OP!$C$28*VLOOKUP(OP!$C$56&amp;TEXT($E66,"00"),PVal,2,0),"#,##0"))</f>
        <v>25,200</v>
      </c>
      <c r="H66" s="811"/>
      <c r="I66" s="749"/>
      <c r="J66" s="748"/>
      <c r="K66" s="748"/>
      <c r="L66" s="748"/>
      <c r="M66" s="748"/>
      <c r="N66" s="748"/>
      <c r="O66" s="748"/>
      <c r="P66" s="748"/>
      <c r="Q66" s="748"/>
      <c r="R66" s="748"/>
      <c r="S66" s="748"/>
      <c r="T66" s="748"/>
      <c r="U66" s="748"/>
      <c r="V66" s="806"/>
    </row>
    <row r="67" spans="1:23" s="676" customFormat="1" ht="12" customHeight="1">
      <c r="B67" s="750"/>
      <c r="C67" s="751"/>
      <c r="D67" s="807"/>
      <c r="E67" s="796">
        <f t="shared" si="1"/>
        <v>15</v>
      </c>
      <c r="F67" s="797"/>
      <c r="G67" s="796" t="str">
        <f ca="1">IF(OR($A$2=1,ISERROR(VLOOKUP(OP!$C$56&amp;TEXT($E67,"00"),PVal,2,0))),"",TEXT(OP!$C$28*VLOOKUP(OP!$C$56&amp;TEXT($E67,"00"),PVal,2,0),"#,##0"))</f>
        <v>25,600</v>
      </c>
      <c r="H67" s="811"/>
      <c r="I67" s="750"/>
      <c r="J67" s="751"/>
      <c r="K67" s="751"/>
      <c r="L67" s="751"/>
      <c r="M67" s="751"/>
      <c r="N67" s="751"/>
      <c r="O67" s="751"/>
      <c r="P67" s="751"/>
      <c r="Q67" s="751"/>
      <c r="R67" s="751"/>
      <c r="S67" s="751"/>
      <c r="T67" s="751"/>
      <c r="U67" s="751"/>
      <c r="V67" s="807"/>
    </row>
    <row r="68" spans="1:23" ht="110" customHeight="1">
      <c r="A68" s="454"/>
      <c r="B68" s="808" t="s">
        <v>1339</v>
      </c>
      <c r="C68" s="809"/>
      <c r="D68" s="809"/>
      <c r="E68" s="814" t="s">
        <v>1340</v>
      </c>
      <c r="F68" s="815"/>
      <c r="G68" s="815"/>
      <c r="H68" s="815"/>
      <c r="I68" s="815"/>
      <c r="J68" s="815"/>
      <c r="K68" s="815"/>
      <c r="L68" s="815"/>
      <c r="M68" s="815"/>
      <c r="N68" s="815"/>
      <c r="O68" s="815"/>
      <c r="P68" s="815"/>
      <c r="Q68" s="815"/>
      <c r="R68" s="815"/>
      <c r="S68" s="815"/>
      <c r="T68" s="815"/>
      <c r="U68" s="815"/>
      <c r="V68" s="816"/>
      <c r="W68" s="476"/>
    </row>
    <row r="69" spans="1:23" s="497" customFormat="1" ht="14" customHeight="1">
      <c r="B69" s="503" t="s">
        <v>1172</v>
      </c>
      <c r="C69" s="504"/>
      <c r="D69" s="504"/>
      <c r="E69" s="504"/>
      <c r="F69" s="504"/>
      <c r="G69" s="504"/>
      <c r="H69" s="504"/>
      <c r="I69" s="504"/>
      <c r="J69" s="504"/>
      <c r="K69" s="504"/>
      <c r="L69" s="504"/>
      <c r="M69" s="504"/>
      <c r="N69" s="504"/>
      <c r="O69" s="504"/>
      <c r="P69" s="504"/>
      <c r="Q69" s="504"/>
      <c r="R69" s="505"/>
      <c r="T69" s="460"/>
      <c r="U69" s="483"/>
      <c r="W69" s="496"/>
    </row>
    <row r="70" spans="1:23" s="497" customFormat="1" ht="14" customHeight="1">
      <c r="B70" s="503"/>
      <c r="C70" s="504"/>
      <c r="D70" s="504"/>
      <c r="E70" s="504"/>
      <c r="F70" s="504"/>
      <c r="G70" s="504"/>
      <c r="H70" s="504"/>
      <c r="I70" s="504"/>
      <c r="J70" s="504"/>
      <c r="K70" s="504"/>
      <c r="L70" s="504"/>
      <c r="M70" s="504"/>
      <c r="N70" s="504"/>
      <c r="O70" s="504"/>
      <c r="P70" s="504"/>
      <c r="Q70" s="504"/>
      <c r="R70" s="505"/>
      <c r="T70" s="460"/>
      <c r="U70" s="483"/>
      <c r="W70" s="496"/>
    </row>
    <row r="71" spans="1:23" s="497" customFormat="1" ht="14" customHeight="1">
      <c r="B71" s="503"/>
      <c r="C71" s="504"/>
      <c r="D71" s="504"/>
      <c r="E71" s="504"/>
      <c r="F71" s="504"/>
      <c r="G71" s="504"/>
      <c r="H71" s="504"/>
      <c r="I71" s="504"/>
      <c r="J71" s="504"/>
      <c r="K71" s="504"/>
      <c r="L71" s="504"/>
      <c r="M71" s="504"/>
      <c r="N71" s="504"/>
      <c r="O71" s="504"/>
      <c r="P71" s="504"/>
      <c r="Q71" s="504"/>
      <c r="R71" s="505"/>
      <c r="T71" s="460"/>
      <c r="U71" s="483"/>
      <c r="W71" s="496"/>
    </row>
    <row r="72" spans="1:23" s="497" customFormat="1" ht="14" customHeight="1">
      <c r="B72" s="503"/>
      <c r="C72" s="504"/>
      <c r="D72" s="504"/>
      <c r="E72" s="504"/>
      <c r="F72" s="504"/>
      <c r="G72" s="504"/>
      <c r="H72" s="504"/>
      <c r="I72" s="504"/>
      <c r="J72" s="504"/>
      <c r="K72" s="504"/>
      <c r="L72" s="504"/>
      <c r="M72" s="504"/>
      <c r="N72" s="504"/>
      <c r="O72" s="504"/>
      <c r="P72" s="504"/>
      <c r="Q72" s="504"/>
      <c r="R72" s="505"/>
      <c r="T72" s="460"/>
      <c r="U72" s="483"/>
      <c r="W72" s="496"/>
    </row>
    <row r="73" spans="1:23" s="497" customFormat="1" ht="14" customHeight="1">
      <c r="B73" s="503"/>
      <c r="C73" s="504"/>
      <c r="D73" s="504"/>
      <c r="E73" s="504"/>
      <c r="F73" s="504"/>
      <c r="G73" s="504"/>
      <c r="H73" s="504"/>
      <c r="I73" s="504"/>
      <c r="J73" s="504"/>
      <c r="K73" s="504"/>
      <c r="L73" s="504"/>
      <c r="M73" s="504"/>
      <c r="N73" s="504"/>
      <c r="O73" s="504"/>
      <c r="P73" s="504"/>
      <c r="Q73" s="504"/>
      <c r="R73" s="505"/>
      <c r="T73" s="460"/>
      <c r="U73" s="483"/>
      <c r="W73" s="496"/>
    </row>
    <row r="74" spans="1:23" s="497" customFormat="1" ht="14" customHeight="1">
      <c r="B74" s="503"/>
      <c r="C74" s="504"/>
      <c r="D74" s="504"/>
      <c r="E74" s="504"/>
      <c r="F74" s="504"/>
      <c r="G74" s="504"/>
      <c r="H74" s="504"/>
      <c r="I74" s="504"/>
      <c r="J74" s="504"/>
      <c r="K74" s="504"/>
      <c r="L74" s="504"/>
      <c r="M74" s="504"/>
      <c r="N74" s="504"/>
      <c r="O74" s="504"/>
      <c r="P74" s="504"/>
      <c r="Q74" s="504"/>
      <c r="R74" s="505"/>
      <c r="T74" s="460"/>
      <c r="U74" s="483"/>
      <c r="W74" s="496"/>
    </row>
    <row r="75" spans="1:23" s="497" customFormat="1" ht="14" customHeight="1">
      <c r="B75" s="503"/>
      <c r="C75" s="504"/>
      <c r="D75" s="504"/>
      <c r="E75" s="504"/>
      <c r="F75" s="504"/>
      <c r="G75" s="504"/>
      <c r="H75" s="504"/>
      <c r="I75" s="504"/>
      <c r="J75" s="504"/>
      <c r="K75" s="504"/>
      <c r="L75" s="504"/>
      <c r="M75" s="504"/>
      <c r="N75" s="504"/>
      <c r="O75" s="504"/>
      <c r="P75" s="504"/>
      <c r="Q75" s="504"/>
      <c r="R75" s="505"/>
      <c r="T75" s="460"/>
      <c r="U75" s="483"/>
      <c r="W75" s="496"/>
    </row>
    <row r="76" spans="1:23" s="497" customFormat="1" ht="14" customHeight="1">
      <c r="B76" s="503"/>
      <c r="C76" s="504"/>
      <c r="D76" s="504"/>
      <c r="E76" s="504"/>
      <c r="F76" s="504"/>
      <c r="G76" s="504"/>
      <c r="H76" s="504"/>
      <c r="I76" s="504"/>
      <c r="J76" s="504"/>
      <c r="K76" s="504"/>
      <c r="L76" s="504"/>
      <c r="M76" s="504"/>
      <c r="N76" s="504"/>
      <c r="O76" s="504"/>
      <c r="P76" s="504"/>
      <c r="Q76" s="504"/>
      <c r="R76" s="505"/>
      <c r="T76" s="460"/>
      <c r="U76" s="483"/>
      <c r="W76" s="496"/>
    </row>
    <row r="77" spans="1:23" s="497" customFormat="1" ht="14" customHeight="1">
      <c r="B77" s="503"/>
      <c r="C77" s="504"/>
      <c r="D77" s="504"/>
      <c r="E77" s="504"/>
      <c r="F77" s="504"/>
      <c r="G77" s="504"/>
      <c r="H77" s="504"/>
      <c r="I77" s="504"/>
      <c r="J77" s="504"/>
      <c r="K77" s="504"/>
      <c r="L77" s="504"/>
      <c r="M77" s="504"/>
      <c r="N77" s="504"/>
      <c r="O77" s="504"/>
      <c r="P77" s="504"/>
      <c r="Q77" s="504"/>
      <c r="R77" s="505"/>
      <c r="T77" s="460"/>
      <c r="U77" s="483"/>
      <c r="W77" s="496"/>
    </row>
    <row r="78" spans="1:23" s="497" customFormat="1" ht="14" customHeight="1">
      <c r="B78" s="503"/>
      <c r="C78" s="504"/>
      <c r="D78" s="504"/>
      <c r="E78" s="504"/>
      <c r="F78" s="504"/>
      <c r="G78" s="504"/>
      <c r="H78" s="504"/>
      <c r="I78" s="504"/>
      <c r="J78" s="504"/>
      <c r="K78" s="504"/>
      <c r="L78" s="504"/>
      <c r="M78" s="504"/>
      <c r="N78" s="504"/>
      <c r="O78" s="504"/>
      <c r="P78" s="504"/>
      <c r="Q78" s="504"/>
      <c r="R78" s="505"/>
      <c r="T78" s="460"/>
      <c r="U78" s="483"/>
      <c r="W78" s="496"/>
    </row>
    <row r="79" spans="1:23" s="497" customFormat="1" ht="14" customHeight="1">
      <c r="B79" s="503"/>
      <c r="C79" s="504"/>
      <c r="D79" s="504"/>
      <c r="E79" s="504"/>
      <c r="F79" s="504"/>
      <c r="G79" s="504"/>
      <c r="H79" s="504"/>
      <c r="I79" s="504"/>
      <c r="J79" s="504"/>
      <c r="K79" s="504"/>
      <c r="L79" s="504"/>
      <c r="M79" s="504"/>
      <c r="N79" s="504"/>
      <c r="O79" s="504"/>
      <c r="P79" s="504"/>
      <c r="Q79" s="504"/>
      <c r="R79" s="505"/>
      <c r="T79" s="460"/>
      <c r="U79" s="483"/>
      <c r="W79" s="496"/>
    </row>
    <row r="80" spans="1:23" s="497" customFormat="1" ht="14" customHeight="1">
      <c r="B80" s="503"/>
      <c r="C80" s="504"/>
      <c r="D80" s="504"/>
      <c r="E80" s="504"/>
      <c r="F80" s="504"/>
      <c r="G80" s="504"/>
      <c r="H80" s="504"/>
      <c r="I80" s="504"/>
      <c r="J80" s="504"/>
      <c r="K80" s="504"/>
      <c r="L80" s="504"/>
      <c r="M80" s="504"/>
      <c r="N80" s="504"/>
      <c r="O80" s="504"/>
      <c r="P80" s="504"/>
      <c r="Q80" s="504"/>
      <c r="R80" s="505"/>
      <c r="T80" s="460"/>
      <c r="U80" s="483"/>
      <c r="W80" s="496"/>
    </row>
    <row r="81" spans="2:23" s="497" customFormat="1" ht="14" customHeight="1">
      <c r="B81" s="503"/>
      <c r="C81" s="504"/>
      <c r="D81" s="504"/>
      <c r="E81" s="504"/>
      <c r="F81" s="504"/>
      <c r="G81" s="504"/>
      <c r="H81" s="504"/>
      <c r="I81" s="504"/>
      <c r="J81" s="504"/>
      <c r="K81" s="504"/>
      <c r="L81" s="504"/>
      <c r="M81" s="504"/>
      <c r="N81" s="504"/>
      <c r="O81" s="504"/>
      <c r="P81" s="504"/>
      <c r="Q81" s="504"/>
      <c r="R81" s="505"/>
      <c r="T81" s="460"/>
      <c r="U81" s="483"/>
      <c r="W81" s="496"/>
    </row>
    <row r="82" spans="2:23" s="497" customFormat="1" ht="14" customHeight="1">
      <c r="B82" s="503"/>
      <c r="C82" s="504"/>
      <c r="D82" s="504"/>
      <c r="E82" s="504"/>
      <c r="F82" s="504"/>
      <c r="G82" s="504"/>
      <c r="H82" s="504"/>
      <c r="I82" s="504"/>
      <c r="J82" s="504"/>
      <c r="K82" s="504"/>
      <c r="L82" s="504"/>
      <c r="M82" s="504"/>
      <c r="N82" s="504"/>
      <c r="O82" s="504"/>
      <c r="P82" s="504"/>
      <c r="Q82" s="504"/>
      <c r="R82" s="505"/>
      <c r="T82" s="460"/>
      <c r="U82" s="483"/>
      <c r="W82" s="496"/>
    </row>
    <row r="83" spans="2:23" s="497" customFormat="1" ht="14" customHeight="1">
      <c r="B83" s="503"/>
      <c r="C83" s="504"/>
      <c r="D83" s="504"/>
      <c r="E83" s="504"/>
      <c r="F83" s="504"/>
      <c r="G83" s="504"/>
      <c r="H83" s="504"/>
      <c r="I83" s="504"/>
      <c r="J83" s="504"/>
      <c r="K83" s="504"/>
      <c r="L83" s="504"/>
      <c r="M83" s="504"/>
      <c r="N83" s="504"/>
      <c r="O83" s="504"/>
      <c r="P83" s="504"/>
      <c r="Q83" s="504"/>
      <c r="R83" s="505"/>
      <c r="T83" s="460"/>
      <c r="U83" s="483"/>
      <c r="W83" s="496"/>
    </row>
    <row r="84" spans="2:23" s="497" customFormat="1" ht="14" customHeight="1">
      <c r="B84" s="503"/>
      <c r="C84" s="504"/>
      <c r="D84" s="504"/>
      <c r="E84" s="504"/>
      <c r="F84" s="504"/>
      <c r="G84" s="504"/>
      <c r="H84" s="504"/>
      <c r="I84" s="504"/>
      <c r="J84" s="504"/>
      <c r="K84" s="504"/>
      <c r="L84" s="504"/>
      <c r="M84" s="504"/>
      <c r="N84" s="504"/>
      <c r="O84" s="504"/>
      <c r="P84" s="504"/>
      <c r="Q84" s="504"/>
      <c r="R84" s="505"/>
      <c r="T84" s="460"/>
      <c r="U84" s="483"/>
      <c r="W84" s="496"/>
    </row>
    <row r="85" spans="2:23" s="497" customFormat="1" ht="14" customHeight="1">
      <c r="B85" s="503"/>
      <c r="C85" s="504"/>
      <c r="D85" s="504"/>
      <c r="E85" s="504"/>
      <c r="F85" s="504"/>
      <c r="G85" s="504"/>
      <c r="H85" s="504"/>
      <c r="I85" s="504"/>
      <c r="J85" s="504"/>
      <c r="K85" s="504"/>
      <c r="L85" s="504"/>
      <c r="M85" s="504"/>
      <c r="N85" s="504"/>
      <c r="O85" s="504"/>
      <c r="P85" s="504"/>
      <c r="Q85" s="504"/>
      <c r="R85" s="505"/>
      <c r="T85" s="460"/>
      <c r="U85" s="483"/>
      <c r="W85" s="496"/>
    </row>
    <row r="86" spans="2:23" s="497" customFormat="1" ht="14" customHeight="1">
      <c r="B86" s="503"/>
      <c r="C86" s="504"/>
      <c r="D86" s="504"/>
      <c r="E86" s="504"/>
      <c r="F86" s="504"/>
      <c r="G86" s="504"/>
      <c r="H86" s="504"/>
      <c r="I86" s="504"/>
      <c r="J86" s="504"/>
      <c r="K86" s="504"/>
      <c r="L86" s="504"/>
      <c r="M86" s="504"/>
      <c r="N86" s="504"/>
      <c r="O86" s="504"/>
      <c r="P86" s="504"/>
      <c r="Q86" s="504"/>
      <c r="R86" s="505"/>
      <c r="T86" s="460"/>
      <c r="U86" s="483"/>
      <c r="W86" s="496"/>
    </row>
    <row r="87" spans="2:23" s="497" customFormat="1" ht="14" customHeight="1">
      <c r="B87" s="503"/>
      <c r="C87" s="504"/>
      <c r="D87" s="504"/>
      <c r="E87" s="504"/>
      <c r="F87" s="504"/>
      <c r="G87" s="504"/>
      <c r="H87" s="504"/>
      <c r="I87" s="504"/>
      <c r="J87" s="504"/>
      <c r="K87" s="504"/>
      <c r="L87" s="504"/>
      <c r="M87" s="504"/>
      <c r="N87" s="504"/>
      <c r="O87" s="504"/>
      <c r="P87" s="504"/>
      <c r="Q87" s="504"/>
      <c r="R87" s="505"/>
      <c r="T87" s="460"/>
      <c r="U87" s="483"/>
      <c r="W87" s="496"/>
    </row>
    <row r="88" spans="2:23" s="497" customFormat="1" ht="14" customHeight="1">
      <c r="B88" s="503"/>
      <c r="C88" s="504"/>
      <c r="D88" s="504"/>
      <c r="E88" s="504"/>
      <c r="F88" s="504"/>
      <c r="G88" s="504"/>
      <c r="H88" s="504"/>
      <c r="I88" s="504"/>
      <c r="J88" s="504"/>
      <c r="K88" s="504"/>
      <c r="L88" s="504"/>
      <c r="M88" s="504"/>
      <c r="N88" s="504"/>
      <c r="O88" s="504"/>
      <c r="P88" s="504"/>
      <c r="Q88" s="504"/>
      <c r="R88" s="505"/>
      <c r="T88" s="460"/>
      <c r="U88" s="483"/>
      <c r="W88" s="496"/>
    </row>
    <row r="89" spans="2:23" s="497" customFormat="1" ht="14" customHeight="1">
      <c r="B89" s="503"/>
      <c r="C89" s="504"/>
      <c r="D89" s="504"/>
      <c r="E89" s="504"/>
      <c r="F89" s="504"/>
      <c r="G89" s="504"/>
      <c r="H89" s="504"/>
      <c r="I89" s="504"/>
      <c r="J89" s="504"/>
      <c r="K89" s="504"/>
      <c r="L89" s="504"/>
      <c r="M89" s="504"/>
      <c r="N89" s="504"/>
      <c r="O89" s="504"/>
      <c r="P89" s="504"/>
      <c r="Q89" s="504"/>
      <c r="R89" s="505"/>
      <c r="T89" s="460"/>
      <c r="U89" s="483"/>
      <c r="W89" s="496"/>
    </row>
    <row r="90" spans="2:23" s="497" customFormat="1" ht="14" customHeight="1">
      <c r="B90" s="503"/>
      <c r="C90" s="504"/>
      <c r="D90" s="504"/>
      <c r="E90" s="504"/>
      <c r="F90" s="504"/>
      <c r="G90" s="504"/>
      <c r="H90" s="504"/>
      <c r="I90" s="504"/>
      <c r="J90" s="504"/>
      <c r="K90" s="504"/>
      <c r="L90" s="504"/>
      <c r="M90" s="504"/>
      <c r="N90" s="504"/>
      <c r="O90" s="504"/>
      <c r="P90" s="504"/>
      <c r="Q90" s="504"/>
      <c r="R90" s="505"/>
      <c r="T90" s="460"/>
      <c r="U90" s="483"/>
      <c r="W90" s="496"/>
    </row>
    <row r="91" spans="2:23" s="497" customFormat="1" ht="14" customHeight="1">
      <c r="B91" s="503"/>
      <c r="C91" s="504"/>
      <c r="D91" s="504"/>
      <c r="E91" s="504"/>
      <c r="F91" s="504"/>
      <c r="G91" s="504"/>
      <c r="H91" s="504"/>
      <c r="I91" s="504"/>
      <c r="J91" s="504"/>
      <c r="K91" s="504"/>
      <c r="L91" s="504"/>
      <c r="M91" s="504"/>
      <c r="N91" s="504"/>
      <c r="O91" s="504"/>
      <c r="P91" s="504"/>
      <c r="Q91" s="504"/>
      <c r="R91" s="505"/>
      <c r="T91" s="460"/>
      <c r="U91" s="483"/>
      <c r="W91" s="496"/>
    </row>
    <row r="92" spans="2:23" s="497" customFormat="1" ht="14" customHeight="1">
      <c r="B92" s="503"/>
      <c r="C92" s="504"/>
      <c r="D92" s="504"/>
      <c r="E92" s="504"/>
      <c r="F92" s="504"/>
      <c r="G92" s="504"/>
      <c r="H92" s="504"/>
      <c r="I92" s="504"/>
      <c r="J92" s="504"/>
      <c r="K92" s="504"/>
      <c r="L92" s="504"/>
      <c r="M92" s="504"/>
      <c r="N92" s="504"/>
      <c r="O92" s="504"/>
      <c r="P92" s="504"/>
      <c r="Q92" s="504"/>
      <c r="R92" s="505"/>
      <c r="T92" s="460"/>
      <c r="U92" s="483"/>
      <c r="W92" s="496"/>
    </row>
    <row r="93" spans="2:23" s="497" customFormat="1" ht="14" customHeight="1">
      <c r="B93" s="503"/>
      <c r="C93" s="504"/>
      <c r="D93" s="504"/>
      <c r="E93" s="504"/>
      <c r="F93" s="504"/>
      <c r="G93" s="504"/>
      <c r="H93" s="504"/>
      <c r="I93" s="504"/>
      <c r="J93" s="504"/>
      <c r="K93" s="504"/>
      <c r="L93" s="504"/>
      <c r="M93" s="504"/>
      <c r="N93" s="504"/>
      <c r="O93" s="504"/>
      <c r="P93" s="504"/>
      <c r="Q93" s="504"/>
      <c r="R93" s="505"/>
      <c r="T93" s="460"/>
      <c r="U93" s="483"/>
      <c r="W93" s="496"/>
    </row>
    <row r="94" spans="2:23" s="497" customFormat="1" ht="14" customHeight="1">
      <c r="B94" s="503"/>
      <c r="C94" s="504"/>
      <c r="D94" s="504"/>
      <c r="E94" s="504"/>
      <c r="F94" s="504"/>
      <c r="G94" s="504"/>
      <c r="H94" s="504"/>
      <c r="I94" s="504"/>
      <c r="J94" s="504"/>
      <c r="K94" s="504"/>
      <c r="L94" s="504"/>
      <c r="M94" s="504"/>
      <c r="N94" s="504"/>
      <c r="O94" s="504"/>
      <c r="P94" s="504"/>
      <c r="Q94" s="504"/>
      <c r="R94" s="505"/>
      <c r="T94" s="460"/>
      <c r="U94" s="483"/>
      <c r="W94" s="496"/>
    </row>
    <row r="95" spans="2:23" s="497" customFormat="1" ht="14" customHeight="1">
      <c r="B95" s="503"/>
      <c r="C95" s="504"/>
      <c r="D95" s="504"/>
      <c r="E95" s="504"/>
      <c r="F95" s="504"/>
      <c r="G95" s="504"/>
      <c r="H95" s="504"/>
      <c r="I95" s="504"/>
      <c r="J95" s="504"/>
      <c r="K95" s="504"/>
      <c r="L95" s="504"/>
      <c r="M95" s="504"/>
      <c r="N95" s="504"/>
      <c r="O95" s="504"/>
      <c r="P95" s="504"/>
      <c r="Q95" s="504"/>
      <c r="R95" s="505"/>
      <c r="T95" s="460"/>
      <c r="U95" s="483"/>
      <c r="W95" s="496"/>
    </row>
    <row r="96" spans="2:23" s="497" customFormat="1" ht="14" customHeight="1">
      <c r="B96" s="503"/>
      <c r="C96" s="504"/>
      <c r="D96" s="504"/>
      <c r="E96" s="504"/>
      <c r="F96" s="504"/>
      <c r="G96" s="504"/>
      <c r="H96" s="504"/>
      <c r="I96" s="504"/>
      <c r="J96" s="504"/>
      <c r="K96" s="504"/>
      <c r="L96" s="504"/>
      <c r="M96" s="504"/>
      <c r="N96" s="504"/>
      <c r="O96" s="504"/>
      <c r="P96" s="504"/>
      <c r="Q96" s="504"/>
      <c r="R96" s="505"/>
      <c r="T96" s="460"/>
      <c r="U96" s="483"/>
      <c r="W96" s="496"/>
    </row>
    <row r="97" spans="1:23" s="497" customFormat="1" ht="14" customHeight="1">
      <c r="B97" s="503"/>
      <c r="C97" s="504"/>
      <c r="D97" s="504"/>
      <c r="E97" s="504"/>
      <c r="F97" s="504"/>
      <c r="G97" s="504"/>
      <c r="H97" s="504"/>
      <c r="I97" s="504"/>
      <c r="J97" s="504"/>
      <c r="K97" s="504"/>
      <c r="L97" s="504"/>
      <c r="M97" s="504"/>
      <c r="N97" s="504"/>
      <c r="O97" s="504"/>
      <c r="P97" s="504"/>
      <c r="Q97" s="504"/>
      <c r="R97" s="505"/>
      <c r="T97" s="460"/>
      <c r="U97" s="483"/>
      <c r="W97" s="496"/>
    </row>
    <row r="98" spans="1:23" s="497" customFormat="1" ht="14" customHeight="1">
      <c r="B98" s="503"/>
      <c r="C98" s="504"/>
      <c r="D98" s="504"/>
      <c r="E98" s="504"/>
      <c r="F98" s="504"/>
      <c r="G98" s="504"/>
      <c r="H98" s="504"/>
      <c r="I98" s="504"/>
      <c r="J98" s="504"/>
      <c r="K98" s="504"/>
      <c r="L98" s="504"/>
      <c r="M98" s="504"/>
      <c r="N98" s="504"/>
      <c r="O98" s="504"/>
      <c r="P98" s="504"/>
      <c r="Q98" s="504"/>
      <c r="R98" s="505"/>
      <c r="T98" s="460"/>
      <c r="U98" s="483"/>
      <c r="W98" s="496"/>
    </row>
    <row r="99" spans="1:23" s="497" customFormat="1" ht="14" customHeight="1">
      <c r="B99" s="503"/>
      <c r="C99" s="504"/>
      <c r="D99" s="504"/>
      <c r="E99" s="504"/>
      <c r="F99" s="504"/>
      <c r="G99" s="504"/>
      <c r="H99" s="504"/>
      <c r="I99" s="504"/>
      <c r="J99" s="504"/>
      <c r="K99" s="504"/>
      <c r="L99" s="504"/>
      <c r="M99" s="504"/>
      <c r="N99" s="504"/>
      <c r="O99" s="504"/>
      <c r="P99" s="504"/>
      <c r="Q99" s="504"/>
      <c r="R99" s="505"/>
      <c r="T99" s="460"/>
      <c r="U99" s="483"/>
      <c r="W99" s="496"/>
    </row>
    <row r="100" spans="1:23" s="497" customFormat="1" ht="14" customHeight="1">
      <c r="B100" s="503"/>
      <c r="C100" s="504"/>
      <c r="D100" s="504"/>
      <c r="E100" s="504"/>
      <c r="F100" s="504"/>
      <c r="G100" s="504"/>
      <c r="H100" s="504"/>
      <c r="I100" s="504"/>
      <c r="J100" s="504"/>
      <c r="K100" s="504"/>
      <c r="L100" s="504"/>
      <c r="M100" s="504"/>
      <c r="N100" s="504"/>
      <c r="O100" s="504"/>
      <c r="P100" s="504"/>
      <c r="Q100" s="504"/>
      <c r="R100" s="505"/>
      <c r="T100" s="460"/>
      <c r="U100" s="483"/>
      <c r="W100" s="496"/>
    </row>
    <row r="101" spans="1:23" s="497" customFormat="1" ht="14" customHeight="1">
      <c r="B101" s="503"/>
      <c r="C101" s="504"/>
      <c r="D101" s="504"/>
      <c r="E101" s="504"/>
      <c r="F101" s="504"/>
      <c r="G101" s="504"/>
      <c r="H101" s="504"/>
      <c r="I101" s="504"/>
      <c r="J101" s="504"/>
      <c r="K101" s="504"/>
      <c r="L101" s="504"/>
      <c r="M101" s="504"/>
      <c r="N101" s="504"/>
      <c r="O101" s="504"/>
      <c r="P101" s="504"/>
      <c r="Q101" s="504"/>
      <c r="R101" s="505"/>
      <c r="T101" s="460"/>
      <c r="U101" s="483"/>
      <c r="W101" s="496"/>
    </row>
    <row r="102" spans="1:23" s="497" customFormat="1" ht="14" customHeight="1">
      <c r="B102" s="503"/>
      <c r="C102" s="504"/>
      <c r="D102" s="504"/>
      <c r="E102" s="504"/>
      <c r="F102" s="504"/>
      <c r="G102" s="504"/>
      <c r="H102" s="504"/>
      <c r="I102" s="504"/>
      <c r="J102" s="504"/>
      <c r="K102" s="504"/>
      <c r="L102" s="504"/>
      <c r="M102" s="504"/>
      <c r="N102" s="504"/>
      <c r="O102" s="504"/>
      <c r="P102" s="504"/>
      <c r="Q102" s="504"/>
      <c r="R102" s="505"/>
      <c r="T102" s="460"/>
      <c r="U102" s="483"/>
      <c r="W102" s="496"/>
    </row>
    <row r="103" spans="1:23" s="497" customFormat="1" ht="15" customHeight="1">
      <c r="A103" s="461">
        <v>1</v>
      </c>
      <c r="B103" s="798" t="str">
        <f>OP!$D$107</f>
        <v>本建議書僅供參考，詳細商品內容及其變更，應以投保當時保單條款內容及本公司核保、保全作業規定為準</v>
      </c>
      <c r="C103" s="798"/>
      <c r="D103" s="798"/>
      <c r="E103" s="798"/>
      <c r="F103" s="798"/>
      <c r="G103" s="798"/>
      <c r="H103" s="798"/>
      <c r="I103" s="798"/>
      <c r="J103" s="798"/>
      <c r="K103" s="798"/>
      <c r="L103" s="798"/>
      <c r="M103" s="798"/>
      <c r="N103" s="798"/>
      <c r="O103" s="798"/>
      <c r="P103" s="798"/>
      <c r="Q103" s="798"/>
      <c r="R103" s="798"/>
      <c r="S103" s="798"/>
      <c r="T103" s="798"/>
      <c r="U103" s="798"/>
      <c r="V103" s="798"/>
      <c r="W103" s="496"/>
    </row>
    <row r="104" spans="1:23" s="497" customFormat="1" ht="15" customHeight="1">
      <c r="B104" s="498"/>
      <c r="C104" s="499"/>
      <c r="D104" s="799"/>
      <c r="E104" s="800"/>
      <c r="F104" s="800"/>
      <c r="G104" s="800"/>
      <c r="H104" s="800"/>
      <c r="I104" s="800"/>
      <c r="J104" s="800"/>
      <c r="K104" s="800"/>
      <c r="L104" s="800"/>
      <c r="M104" s="800"/>
      <c r="N104" s="800"/>
      <c r="O104" s="800"/>
      <c r="P104" s="800"/>
      <c r="Q104" s="500"/>
      <c r="S104" s="501"/>
      <c r="T104" s="501"/>
      <c r="U104" s="501"/>
      <c r="V104" s="502" t="str">
        <f ca="1">OP!$D$105</f>
        <v>V1.0-1150720 試算日：1150825</v>
      </c>
      <c r="W104" s="496"/>
    </row>
    <row r="105" spans="1:23">
      <c r="A105" s="456"/>
      <c r="B105" s="506"/>
      <c r="C105" s="507"/>
      <c r="D105" s="507"/>
      <c r="E105" s="507"/>
      <c r="F105" s="507"/>
      <c r="G105" s="507"/>
      <c r="H105" s="507"/>
      <c r="I105" s="507"/>
      <c r="J105" s="507"/>
      <c r="K105" s="507"/>
      <c r="L105" s="507"/>
      <c r="M105" s="507"/>
      <c r="N105" s="507"/>
      <c r="O105" s="507"/>
      <c r="P105" s="507"/>
      <c r="Q105" s="507"/>
      <c r="R105" s="508"/>
      <c r="S105" s="509"/>
      <c r="T105" s="509"/>
      <c r="U105" s="510"/>
      <c r="V105" s="484" t="str">
        <f>IF(OP!$C$105="停售","本商品已停售","")</f>
        <v/>
      </c>
    </row>
    <row r="106" spans="1:23" ht="18" customHeight="1">
      <c r="A106" s="456"/>
      <c r="B106" s="802" t="s">
        <v>1173</v>
      </c>
      <c r="C106" s="802"/>
      <c r="D106" s="802"/>
      <c r="E106" s="802"/>
      <c r="F106" s="802"/>
      <c r="G106" s="802"/>
      <c r="H106" s="802"/>
      <c r="I106" s="802"/>
      <c r="J106" s="802"/>
      <c r="K106" s="802"/>
      <c r="L106" s="802"/>
      <c r="M106" s="802"/>
      <c r="N106" s="802"/>
      <c r="O106" s="802"/>
      <c r="P106" s="802"/>
      <c r="Q106" s="802"/>
      <c r="R106" s="802"/>
      <c r="S106" s="802"/>
      <c r="T106" s="802"/>
      <c r="U106" s="802"/>
      <c r="V106" s="802"/>
    </row>
    <row r="107" spans="1:23" s="460" customFormat="1" ht="14" customHeight="1">
      <c r="A107" s="457">
        <v>1</v>
      </c>
      <c r="B107" s="511" t="str">
        <f>OP!$C$23&amp;"("&amp;OP!$C$22&amp;")"</f>
        <v>富邦人壽順馨久久長期照顧定期健康保險(LTT)</v>
      </c>
      <c r="D107" s="512"/>
      <c r="E107" s="512"/>
      <c r="F107" s="512"/>
      <c r="G107" s="512"/>
      <c r="H107" s="512"/>
      <c r="I107" s="512"/>
      <c r="J107" s="512"/>
      <c r="K107" s="512"/>
      <c r="L107" s="512"/>
      <c r="M107" s="512"/>
      <c r="N107" s="512"/>
      <c r="O107" s="512"/>
      <c r="P107" s="512"/>
      <c r="Q107" s="512"/>
      <c r="R107" s="512"/>
      <c r="S107" s="512"/>
      <c r="T107" s="512"/>
      <c r="U107" s="512"/>
      <c r="V107" s="512"/>
    </row>
    <row r="108" spans="1:23" s="460" customFormat="1" ht="14" customHeight="1">
      <c r="A108" s="457"/>
      <c r="B108" s="511" t="s">
        <v>1366</v>
      </c>
      <c r="D108" s="512"/>
      <c r="E108" s="512"/>
      <c r="F108" s="512"/>
      <c r="G108" s="512"/>
      <c r="H108" s="512"/>
      <c r="I108" s="512"/>
      <c r="J108" s="512"/>
      <c r="K108" s="512"/>
      <c r="L108" s="512"/>
      <c r="M108" s="512"/>
      <c r="N108" s="512"/>
      <c r="O108" s="512"/>
      <c r="P108" s="512"/>
      <c r="Q108" s="512"/>
      <c r="R108" s="512"/>
      <c r="S108" s="512"/>
      <c r="T108" s="512"/>
      <c r="U108" s="512"/>
      <c r="V108" s="512"/>
    </row>
    <row r="109" spans="1:23" s="460" customFormat="1" ht="14" customHeight="1">
      <c r="A109" s="457"/>
      <c r="B109" s="511" t="s">
        <v>1174</v>
      </c>
      <c r="D109" s="512"/>
      <c r="E109" s="512"/>
      <c r="F109" s="512"/>
      <c r="G109" s="512"/>
      <c r="H109" s="512"/>
      <c r="I109" s="512"/>
      <c r="J109" s="512"/>
      <c r="K109" s="512"/>
      <c r="L109" s="512"/>
      <c r="M109" s="512"/>
      <c r="N109" s="512"/>
      <c r="O109" s="512"/>
      <c r="P109" s="512"/>
      <c r="Q109" s="512"/>
      <c r="R109" s="512"/>
      <c r="S109" s="512"/>
      <c r="T109" s="512"/>
      <c r="U109" s="512"/>
      <c r="V109" s="512"/>
    </row>
    <row r="110" spans="1:23" s="460" customFormat="1" ht="14" customHeight="1">
      <c r="A110" s="457"/>
      <c r="B110" s="679" t="s">
        <v>1341</v>
      </c>
      <c r="D110" s="512"/>
      <c r="E110" s="512"/>
      <c r="F110" s="512"/>
      <c r="G110" s="512"/>
      <c r="H110" s="512"/>
      <c r="I110" s="512"/>
      <c r="J110" s="512"/>
      <c r="K110" s="512"/>
      <c r="L110" s="512"/>
      <c r="M110" s="512"/>
      <c r="N110" s="512"/>
      <c r="O110" s="512"/>
      <c r="P110" s="512"/>
      <c r="Q110" s="512"/>
      <c r="R110" s="512"/>
      <c r="S110" s="512"/>
      <c r="T110" s="512"/>
      <c r="U110" s="512"/>
      <c r="V110" s="512"/>
    </row>
    <row r="111" spans="1:23" s="460" customFormat="1" ht="14" customHeight="1">
      <c r="A111" s="457"/>
      <c r="B111" s="679" t="s">
        <v>1342</v>
      </c>
      <c r="D111" s="512"/>
      <c r="E111" s="512"/>
      <c r="F111" s="512"/>
      <c r="G111" s="512"/>
      <c r="H111" s="512"/>
      <c r="I111" s="512"/>
      <c r="J111" s="512"/>
      <c r="K111" s="512"/>
      <c r="L111" s="512"/>
      <c r="M111" s="512"/>
      <c r="N111" s="512"/>
      <c r="O111" s="512"/>
      <c r="P111" s="512"/>
      <c r="Q111" s="512"/>
      <c r="R111" s="512"/>
      <c r="S111" s="512"/>
      <c r="T111" s="512"/>
      <c r="U111" s="512"/>
      <c r="V111" s="512"/>
    </row>
    <row r="112" spans="1:23" s="460" customFormat="1" ht="14" customHeight="1">
      <c r="A112" s="457"/>
      <c r="B112" s="679" t="s">
        <v>1343</v>
      </c>
      <c r="D112" s="512"/>
      <c r="E112" s="512"/>
      <c r="F112" s="512"/>
      <c r="G112" s="512"/>
      <c r="H112" s="512"/>
      <c r="I112" s="512"/>
      <c r="J112" s="512"/>
      <c r="K112" s="512"/>
      <c r="L112" s="512"/>
      <c r="M112" s="512"/>
      <c r="N112" s="512"/>
      <c r="O112" s="512"/>
      <c r="P112" s="512"/>
      <c r="Q112" s="512"/>
      <c r="R112" s="512"/>
      <c r="S112" s="512"/>
      <c r="T112" s="512"/>
      <c r="U112" s="512"/>
      <c r="V112" s="512"/>
    </row>
    <row r="113" spans="1:22" s="460" customFormat="1" ht="14" customHeight="1">
      <c r="A113" s="457"/>
      <c r="B113" s="679" t="s">
        <v>1175</v>
      </c>
      <c r="D113" s="512"/>
      <c r="E113" s="512"/>
      <c r="F113" s="512"/>
      <c r="G113" s="512"/>
      <c r="H113" s="512"/>
      <c r="I113" s="512"/>
      <c r="J113" s="512"/>
      <c r="K113" s="512"/>
      <c r="L113" s="512"/>
      <c r="M113" s="512"/>
      <c r="N113" s="512"/>
      <c r="O113" s="512"/>
      <c r="P113" s="512"/>
      <c r="Q113" s="512"/>
      <c r="R113" s="512"/>
      <c r="S113" s="512"/>
      <c r="T113" s="512"/>
      <c r="U113" s="512"/>
      <c r="V113" s="512"/>
    </row>
    <row r="114" spans="1:22" s="460" customFormat="1" ht="14" customHeight="1">
      <c r="A114" s="457"/>
      <c r="B114" s="679" t="s">
        <v>1344</v>
      </c>
      <c r="C114" s="513"/>
      <c r="D114" s="514"/>
      <c r="E114" s="514"/>
      <c r="F114" s="514"/>
      <c r="G114" s="514"/>
      <c r="H114" s="514"/>
      <c r="I114" s="514"/>
      <c r="J114" s="514"/>
      <c r="K114" s="514"/>
      <c r="L114" s="514"/>
      <c r="M114" s="514"/>
      <c r="N114" s="514"/>
      <c r="O114" s="514"/>
      <c r="P114" s="514"/>
      <c r="Q114" s="512"/>
      <c r="R114" s="512"/>
      <c r="S114" s="512"/>
      <c r="T114" s="512"/>
      <c r="U114" s="512"/>
      <c r="V114" s="512"/>
    </row>
    <row r="115" spans="1:22" s="460" customFormat="1" ht="14" customHeight="1">
      <c r="A115" s="457"/>
      <c r="B115" s="680" t="s">
        <v>1176</v>
      </c>
      <c r="D115" s="512"/>
      <c r="E115" s="512"/>
      <c r="F115" s="512"/>
      <c r="G115" s="512"/>
      <c r="H115" s="512"/>
      <c r="I115" s="512"/>
      <c r="J115" s="512"/>
      <c r="K115" s="512"/>
      <c r="L115" s="512"/>
      <c r="M115" s="512"/>
      <c r="N115" s="512"/>
      <c r="O115" s="512"/>
      <c r="P115" s="512"/>
      <c r="Q115" s="512"/>
      <c r="R115" s="512"/>
      <c r="S115" s="512"/>
      <c r="T115" s="512"/>
      <c r="U115" s="512"/>
      <c r="V115" s="512"/>
    </row>
    <row r="116" spans="1:22" s="460" customFormat="1" ht="14" customHeight="1">
      <c r="A116" s="457"/>
      <c r="B116" s="680" t="s">
        <v>1177</v>
      </c>
      <c r="D116" s="512"/>
      <c r="E116" s="512"/>
      <c r="F116" s="512"/>
      <c r="G116" s="512"/>
      <c r="H116" s="512"/>
      <c r="I116" s="512"/>
      <c r="J116" s="512"/>
      <c r="K116" s="512"/>
      <c r="L116" s="512"/>
      <c r="M116" s="512"/>
      <c r="N116" s="512"/>
      <c r="O116" s="512"/>
      <c r="P116" s="512"/>
      <c r="Q116" s="512"/>
      <c r="R116" s="512"/>
      <c r="S116" s="512"/>
      <c r="T116" s="512"/>
      <c r="U116" s="512"/>
      <c r="V116" s="512"/>
    </row>
    <row r="117" spans="1:22" s="460" customFormat="1" ht="14" customHeight="1">
      <c r="A117" s="457"/>
      <c r="B117" s="680" t="s">
        <v>1371</v>
      </c>
      <c r="D117" s="512"/>
      <c r="E117" s="512"/>
      <c r="F117" s="512"/>
      <c r="G117" s="512"/>
      <c r="H117" s="512"/>
      <c r="I117" s="512"/>
      <c r="J117" s="512"/>
      <c r="K117" s="512"/>
      <c r="L117" s="512"/>
      <c r="M117" s="512"/>
      <c r="N117" s="512"/>
      <c r="O117" s="512"/>
      <c r="P117" s="512"/>
      <c r="Q117" s="512"/>
      <c r="R117" s="512"/>
      <c r="S117" s="512"/>
      <c r="T117" s="512"/>
      <c r="U117" s="512"/>
      <c r="V117" s="512"/>
    </row>
    <row r="118" spans="1:22" s="460" customFormat="1" ht="14" customHeight="1">
      <c r="A118" s="457"/>
      <c r="B118" s="680" t="s">
        <v>1178</v>
      </c>
      <c r="D118" s="512"/>
      <c r="E118" s="512"/>
      <c r="F118" s="512"/>
      <c r="G118" s="512"/>
      <c r="H118" s="512"/>
      <c r="I118" s="512"/>
      <c r="J118" s="512"/>
      <c r="K118" s="512"/>
      <c r="L118" s="512"/>
      <c r="M118" s="512"/>
      <c r="N118" s="512"/>
      <c r="O118" s="512"/>
      <c r="P118" s="512"/>
      <c r="Q118" s="512"/>
      <c r="R118" s="512"/>
      <c r="S118" s="512"/>
      <c r="T118" s="512"/>
      <c r="U118" s="512"/>
      <c r="V118" s="512"/>
    </row>
    <row r="119" spans="1:22" s="460" customFormat="1" ht="14" customHeight="1">
      <c r="A119" s="457"/>
      <c r="B119" s="680" t="s">
        <v>1370</v>
      </c>
      <c r="D119" s="512"/>
      <c r="E119" s="512"/>
      <c r="F119" s="512"/>
      <c r="G119" s="512"/>
      <c r="H119" s="512"/>
      <c r="I119" s="512"/>
      <c r="J119" s="512"/>
      <c r="K119" s="512"/>
      <c r="L119" s="512"/>
      <c r="M119" s="512"/>
      <c r="N119" s="512"/>
      <c r="O119" s="512"/>
      <c r="P119" s="512"/>
      <c r="Q119" s="512"/>
      <c r="R119" s="512"/>
      <c r="S119" s="512"/>
      <c r="T119" s="512"/>
      <c r="U119" s="512"/>
      <c r="V119" s="512"/>
    </row>
    <row r="120" spans="1:22" s="460" customFormat="1" ht="14" customHeight="1">
      <c r="A120" s="457"/>
      <c r="B120" s="686" t="s">
        <v>1373</v>
      </c>
      <c r="D120" s="512"/>
      <c r="E120" s="512"/>
      <c r="F120" s="512"/>
      <c r="G120" s="512"/>
      <c r="H120" s="512"/>
      <c r="I120" s="512"/>
      <c r="J120" s="512"/>
      <c r="K120" s="512"/>
      <c r="L120" s="512"/>
      <c r="M120" s="512"/>
      <c r="N120" s="512"/>
      <c r="O120" s="512"/>
      <c r="P120" s="512"/>
      <c r="Q120" s="512"/>
      <c r="R120" s="512"/>
      <c r="S120" s="512"/>
      <c r="T120" s="512"/>
      <c r="U120" s="512"/>
      <c r="V120" s="512"/>
    </row>
    <row r="121" spans="1:22" s="491" customFormat="1" ht="14" customHeight="1">
      <c r="A121" s="515"/>
      <c r="B121" s="686" t="s">
        <v>1372</v>
      </c>
      <c r="C121" s="460"/>
      <c r="D121" s="482"/>
      <c r="E121" s="516"/>
      <c r="F121" s="516"/>
      <c r="G121" s="516"/>
      <c r="H121" s="516"/>
      <c r="I121" s="516"/>
      <c r="J121" s="516"/>
      <c r="K121" s="516"/>
      <c r="L121" s="516"/>
      <c r="M121" s="516"/>
      <c r="N121" s="516"/>
      <c r="O121" s="516"/>
      <c r="P121" s="516"/>
      <c r="Q121" s="516"/>
      <c r="R121" s="516"/>
      <c r="S121" s="516"/>
      <c r="T121" s="516"/>
      <c r="U121" s="517"/>
      <c r="V121" s="518"/>
    </row>
    <row r="122" spans="1:22" s="491" customFormat="1" ht="14" customHeight="1">
      <c r="A122" s="515"/>
      <c r="B122" s="680" t="s">
        <v>1345</v>
      </c>
      <c r="C122" s="460"/>
      <c r="D122" s="459"/>
      <c r="E122" s="519"/>
      <c r="F122" s="519"/>
      <c r="G122" s="519"/>
      <c r="H122" s="519"/>
      <c r="I122" s="519"/>
      <c r="J122" s="519"/>
      <c r="K122" s="519"/>
      <c r="L122" s="519"/>
      <c r="M122" s="519"/>
      <c r="N122" s="519"/>
      <c r="O122" s="519"/>
      <c r="P122" s="519"/>
      <c r="Q122" s="519"/>
      <c r="R122" s="519"/>
      <c r="S122" s="519"/>
      <c r="T122" s="519"/>
      <c r="U122" s="482"/>
      <c r="V122" s="518"/>
    </row>
    <row r="123" spans="1:22" s="491" customFormat="1" ht="14" customHeight="1">
      <c r="A123" s="515"/>
      <c r="B123" s="680" t="s">
        <v>1346</v>
      </c>
      <c r="C123" s="460"/>
      <c r="D123" s="459"/>
      <c r="E123" s="519"/>
      <c r="F123" s="519"/>
      <c r="G123" s="519"/>
      <c r="H123" s="519"/>
      <c r="I123" s="519"/>
      <c r="J123" s="519"/>
      <c r="K123" s="519"/>
      <c r="L123" s="519"/>
      <c r="M123" s="519"/>
      <c r="N123" s="519"/>
      <c r="O123" s="519"/>
      <c r="P123" s="519"/>
      <c r="Q123" s="519"/>
      <c r="R123" s="519"/>
      <c r="S123" s="519"/>
      <c r="T123" s="519"/>
      <c r="U123" s="520"/>
      <c r="V123" s="518"/>
    </row>
    <row r="124" spans="1:22" s="491" customFormat="1" ht="14" customHeight="1">
      <c r="A124" s="515"/>
      <c r="B124" s="680" t="s">
        <v>1347</v>
      </c>
      <c r="D124" s="521"/>
      <c r="E124" s="522"/>
      <c r="F124" s="522"/>
      <c r="G124" s="522"/>
      <c r="H124" s="522"/>
      <c r="I124" s="522"/>
      <c r="J124" s="522"/>
      <c r="K124" s="522"/>
      <c r="L124" s="522"/>
      <c r="M124" s="522"/>
      <c r="N124" s="522"/>
      <c r="O124" s="522"/>
      <c r="P124" s="522"/>
      <c r="Q124" s="522"/>
      <c r="R124" s="522"/>
      <c r="S124" s="522"/>
      <c r="T124" s="521"/>
      <c r="U124" s="523"/>
      <c r="V124" s="523"/>
    </row>
    <row r="125" spans="1:22" s="491" customFormat="1" ht="14" customHeight="1">
      <c r="A125" s="515"/>
      <c r="B125" s="680" t="s">
        <v>1375</v>
      </c>
      <c r="D125" s="524"/>
      <c r="E125" s="524"/>
      <c r="F125" s="524"/>
      <c r="G125" s="524"/>
      <c r="H125" s="525"/>
      <c r="I125" s="525"/>
      <c r="J125" s="525"/>
      <c r="K125" s="525"/>
      <c r="L125" s="525"/>
      <c r="M125" s="525"/>
      <c r="N125" s="525"/>
      <c r="O125" s="525"/>
      <c r="P125" s="525"/>
      <c r="Q125" s="525"/>
      <c r="R125" s="525"/>
      <c r="S125" s="525"/>
      <c r="T125" s="525"/>
      <c r="U125" s="526"/>
      <c r="V125" s="526"/>
    </row>
    <row r="126" spans="1:22" s="491" customFormat="1" ht="14" customHeight="1">
      <c r="A126" s="515"/>
      <c r="B126" s="680" t="s">
        <v>1355</v>
      </c>
      <c r="D126" s="524"/>
      <c r="E126" s="524"/>
      <c r="F126" s="524"/>
      <c r="G126" s="524"/>
      <c r="H126" s="525"/>
      <c r="I126" s="525"/>
      <c r="J126" s="525"/>
      <c r="K126" s="525"/>
      <c r="L126" s="525"/>
      <c r="M126" s="525"/>
      <c r="N126" s="525"/>
      <c r="O126" s="525"/>
      <c r="P126" s="525"/>
      <c r="Q126" s="525"/>
      <c r="R126" s="525"/>
      <c r="S126" s="525"/>
      <c r="T126" s="525"/>
      <c r="U126" s="526"/>
      <c r="V126" s="526"/>
    </row>
    <row r="127" spans="1:22" s="491" customFormat="1" ht="14" customHeight="1">
      <c r="A127" s="515"/>
      <c r="B127" s="680" t="s">
        <v>1357</v>
      </c>
      <c r="D127" s="524"/>
      <c r="E127" s="524"/>
      <c r="F127" s="524"/>
      <c r="G127" s="524"/>
      <c r="H127" s="525"/>
      <c r="I127" s="525"/>
      <c r="J127" s="525"/>
      <c r="K127" s="525"/>
      <c r="L127" s="525"/>
      <c r="M127" s="525"/>
      <c r="N127" s="525"/>
      <c r="O127" s="525"/>
      <c r="P127" s="525"/>
      <c r="Q127" s="525"/>
      <c r="R127" s="525"/>
      <c r="S127" s="525"/>
      <c r="T127" s="525"/>
      <c r="U127" s="526"/>
      <c r="V127" s="526"/>
    </row>
    <row r="128" spans="1:22" s="491" customFormat="1" ht="14" customHeight="1">
      <c r="A128" s="515"/>
      <c r="B128" s="680" t="s">
        <v>1356</v>
      </c>
      <c r="D128" s="524"/>
      <c r="E128" s="524"/>
      <c r="F128" s="524"/>
      <c r="G128" s="524"/>
      <c r="H128" s="525"/>
      <c r="I128" s="525"/>
      <c r="J128" s="525"/>
      <c r="K128" s="525"/>
      <c r="L128" s="525"/>
      <c r="M128" s="525"/>
      <c r="N128" s="525"/>
      <c r="O128" s="525"/>
      <c r="P128" s="525"/>
      <c r="Q128" s="525"/>
      <c r="R128" s="525"/>
      <c r="S128" s="525"/>
      <c r="T128" s="525"/>
      <c r="U128" s="526"/>
      <c r="V128" s="526"/>
    </row>
    <row r="129" spans="1:22" s="491" customFormat="1" ht="14" customHeight="1">
      <c r="A129" s="515"/>
      <c r="B129" s="680" t="s">
        <v>1348</v>
      </c>
      <c r="D129" s="524"/>
      <c r="E129" s="524"/>
      <c r="F129" s="524"/>
      <c r="G129" s="524"/>
      <c r="H129" s="525"/>
      <c r="I129" s="525"/>
      <c r="J129" s="525"/>
      <c r="K129" s="525"/>
      <c r="L129" s="525"/>
      <c r="M129" s="525"/>
      <c r="N129" s="525"/>
      <c r="O129" s="525"/>
      <c r="P129" s="525"/>
      <c r="Q129" s="525"/>
      <c r="R129" s="525"/>
      <c r="S129" s="525"/>
      <c r="T129" s="525"/>
      <c r="U129" s="526"/>
      <c r="V129" s="526"/>
    </row>
    <row r="130" spans="1:22" s="491" customFormat="1" ht="14" customHeight="1">
      <c r="A130" s="515"/>
      <c r="B130" s="680" t="s">
        <v>1349</v>
      </c>
      <c r="D130" s="524"/>
      <c r="E130" s="524"/>
      <c r="F130" s="524"/>
      <c r="G130" s="524"/>
      <c r="H130" s="525"/>
      <c r="I130" s="525"/>
      <c r="J130" s="525"/>
      <c r="K130" s="525"/>
      <c r="L130" s="525"/>
      <c r="M130" s="525"/>
      <c r="N130" s="525"/>
      <c r="O130" s="525"/>
      <c r="P130" s="525"/>
      <c r="Q130" s="525"/>
      <c r="R130" s="525"/>
      <c r="S130" s="525"/>
      <c r="T130" s="525"/>
      <c r="U130" s="526"/>
      <c r="V130" s="526"/>
    </row>
    <row r="131" spans="1:22" s="491" customFormat="1" ht="14" customHeight="1">
      <c r="A131" s="515"/>
      <c r="B131" s="680" t="s">
        <v>1350</v>
      </c>
      <c r="D131" s="527"/>
      <c r="E131" s="528"/>
      <c r="F131" s="528"/>
      <c r="G131" s="528"/>
      <c r="H131" s="529"/>
      <c r="I131" s="529"/>
      <c r="J131" s="529"/>
      <c r="K131" s="529"/>
      <c r="L131" s="529"/>
      <c r="M131" s="529"/>
      <c r="N131" s="529"/>
      <c r="O131" s="529"/>
      <c r="P131" s="529"/>
      <c r="Q131" s="529"/>
      <c r="R131" s="529"/>
      <c r="S131" s="529"/>
      <c r="T131" s="529"/>
      <c r="U131" s="526"/>
      <c r="V131" s="526"/>
    </row>
    <row r="132" spans="1:22" s="491" customFormat="1" ht="14" customHeight="1">
      <c r="A132" s="515"/>
      <c r="B132" s="680" t="s">
        <v>1351</v>
      </c>
      <c r="D132" s="521"/>
      <c r="E132" s="530"/>
      <c r="F132" s="530"/>
      <c r="G132" s="530"/>
      <c r="H132" s="531"/>
      <c r="I132" s="531"/>
      <c r="J132" s="531"/>
      <c r="K132" s="531"/>
      <c r="L132" s="531"/>
      <c r="M132" s="531"/>
      <c r="N132" s="531"/>
      <c r="O132" s="531"/>
      <c r="P132" s="531"/>
      <c r="Q132" s="531"/>
      <c r="R132" s="531"/>
      <c r="S132" s="531"/>
      <c r="T132" s="531"/>
      <c r="U132" s="526"/>
      <c r="V132" s="526"/>
    </row>
    <row r="133" spans="1:22" s="491" customFormat="1" ht="14" customHeight="1">
      <c r="A133" s="515"/>
      <c r="B133" s="680" t="s">
        <v>1352</v>
      </c>
      <c r="D133" s="521"/>
      <c r="E133" s="530"/>
      <c r="F133" s="530"/>
      <c r="G133" s="530"/>
      <c r="H133" s="531"/>
      <c r="I133" s="531"/>
      <c r="J133" s="531"/>
      <c r="K133" s="531"/>
      <c r="L133" s="531"/>
      <c r="M133" s="531"/>
      <c r="N133" s="531"/>
      <c r="O133" s="531"/>
      <c r="P133" s="531"/>
      <c r="Q133" s="531"/>
      <c r="R133" s="531"/>
      <c r="S133" s="531"/>
      <c r="T133" s="531"/>
      <c r="U133" s="526"/>
      <c r="V133" s="526"/>
    </row>
    <row r="134" spans="1:22" s="491" customFormat="1" ht="14" customHeight="1">
      <c r="A134" s="515"/>
      <c r="B134" s="680" t="s">
        <v>1353</v>
      </c>
      <c r="D134" s="521"/>
      <c r="E134" s="530"/>
      <c r="F134" s="530"/>
      <c r="G134" s="530"/>
      <c r="H134" s="531"/>
      <c r="I134" s="531"/>
      <c r="J134" s="531"/>
      <c r="K134" s="531"/>
      <c r="L134" s="531"/>
      <c r="M134" s="531"/>
      <c r="N134" s="531"/>
      <c r="O134" s="531"/>
      <c r="P134" s="531"/>
      <c r="Q134" s="531"/>
      <c r="R134" s="531"/>
      <c r="S134" s="531"/>
      <c r="T134" s="531"/>
      <c r="U134" s="526"/>
      <c r="V134" s="526"/>
    </row>
    <row r="135" spans="1:22" s="491" customFormat="1" ht="14" customHeight="1">
      <c r="A135" s="515"/>
      <c r="B135" s="680" t="s">
        <v>1354</v>
      </c>
      <c r="D135" s="521"/>
      <c r="E135" s="530"/>
      <c r="F135" s="530"/>
      <c r="G135" s="530"/>
      <c r="H135" s="531"/>
      <c r="I135" s="531"/>
      <c r="J135" s="531"/>
      <c r="K135" s="531"/>
      <c r="L135" s="531"/>
      <c r="M135" s="531"/>
      <c r="N135" s="531"/>
      <c r="O135" s="531"/>
      <c r="P135" s="531"/>
      <c r="Q135" s="531"/>
      <c r="R135" s="531"/>
      <c r="S135" s="531"/>
      <c r="T135" s="531"/>
      <c r="U135" s="526"/>
      <c r="V135" s="526"/>
    </row>
    <row r="136" spans="1:22" s="491" customFormat="1" ht="14" customHeight="1">
      <c r="A136" s="515"/>
      <c r="B136" s="680"/>
      <c r="D136" s="521"/>
      <c r="E136" s="530"/>
      <c r="F136" s="530"/>
      <c r="G136" s="530"/>
      <c r="H136" s="531"/>
      <c r="I136" s="531"/>
      <c r="J136" s="531"/>
      <c r="K136" s="531"/>
      <c r="L136" s="531"/>
      <c r="M136" s="531"/>
      <c r="N136" s="531"/>
      <c r="O136" s="531"/>
      <c r="P136" s="531"/>
      <c r="Q136" s="531"/>
      <c r="R136" s="531"/>
      <c r="S136" s="531"/>
      <c r="T136" s="531"/>
      <c r="U136" s="526"/>
      <c r="V136" s="526"/>
    </row>
    <row r="137" spans="1:22" s="491" customFormat="1" ht="14" customHeight="1">
      <c r="A137" s="515"/>
      <c r="B137" s="680"/>
      <c r="D137" s="521"/>
      <c r="E137" s="530"/>
      <c r="F137" s="530"/>
      <c r="G137" s="530"/>
      <c r="H137" s="531"/>
      <c r="I137" s="531"/>
      <c r="J137" s="531"/>
      <c r="K137" s="531"/>
      <c r="L137" s="531"/>
      <c r="M137" s="531"/>
      <c r="N137" s="531"/>
      <c r="O137" s="531"/>
      <c r="P137" s="531"/>
      <c r="Q137" s="531"/>
      <c r="R137" s="531"/>
      <c r="S137" s="531"/>
      <c r="T137" s="531"/>
      <c r="U137" s="526"/>
      <c r="V137" s="526"/>
    </row>
    <row r="138" spans="1:22" s="491" customFormat="1" ht="14" customHeight="1">
      <c r="A138" s="515"/>
      <c r="B138" s="680"/>
      <c r="D138" s="521"/>
      <c r="E138" s="530"/>
      <c r="F138" s="530"/>
      <c r="G138" s="530"/>
      <c r="H138" s="531"/>
      <c r="I138" s="531"/>
      <c r="J138" s="531"/>
      <c r="K138" s="531"/>
      <c r="L138" s="531"/>
      <c r="M138" s="531"/>
      <c r="N138" s="531"/>
      <c r="O138" s="531"/>
      <c r="P138" s="531"/>
      <c r="Q138" s="531"/>
      <c r="R138" s="531"/>
      <c r="S138" s="531"/>
      <c r="T138" s="531"/>
      <c r="U138" s="526"/>
      <c r="V138" s="526"/>
    </row>
    <row r="139" spans="1:22" s="491" customFormat="1" ht="14" customHeight="1">
      <c r="A139" s="515"/>
      <c r="B139" s="680"/>
      <c r="D139" s="521"/>
      <c r="E139" s="530"/>
      <c r="F139" s="530"/>
      <c r="G139" s="530"/>
      <c r="H139" s="531"/>
      <c r="I139" s="531"/>
      <c r="J139" s="531"/>
      <c r="K139" s="531"/>
      <c r="L139" s="531"/>
      <c r="M139" s="531"/>
      <c r="N139" s="531"/>
      <c r="O139" s="531"/>
      <c r="P139" s="531"/>
      <c r="Q139" s="531"/>
      <c r="R139" s="531"/>
      <c r="S139" s="531"/>
      <c r="T139" s="531"/>
      <c r="U139" s="526"/>
      <c r="V139" s="526"/>
    </row>
    <row r="140" spans="1:22" s="491" customFormat="1" ht="14" customHeight="1">
      <c r="A140" s="515"/>
      <c r="D140" s="521"/>
      <c r="E140" s="530"/>
      <c r="F140" s="530"/>
      <c r="G140" s="530"/>
      <c r="H140" s="531"/>
      <c r="I140" s="531"/>
      <c r="J140" s="531"/>
      <c r="K140" s="531"/>
      <c r="L140" s="531"/>
      <c r="M140" s="531"/>
      <c r="N140" s="531"/>
      <c r="O140" s="531"/>
      <c r="P140" s="531"/>
      <c r="Q140" s="531"/>
      <c r="R140" s="531"/>
      <c r="S140" s="531"/>
      <c r="T140" s="531"/>
      <c r="U140" s="526"/>
      <c r="V140" s="526"/>
    </row>
    <row r="141" spans="1:22" s="491" customFormat="1" ht="14" customHeight="1">
      <c r="A141" s="515"/>
      <c r="D141" s="521"/>
      <c r="E141" s="530"/>
      <c r="F141" s="530"/>
      <c r="G141" s="530"/>
      <c r="H141" s="531"/>
      <c r="I141" s="531"/>
      <c r="J141" s="531"/>
      <c r="K141" s="531"/>
      <c r="L141" s="531"/>
      <c r="M141" s="531"/>
      <c r="N141" s="531"/>
      <c r="O141" s="531"/>
      <c r="P141" s="531"/>
      <c r="Q141" s="531"/>
      <c r="R141" s="531"/>
      <c r="S141" s="531"/>
      <c r="T141" s="531"/>
      <c r="U141" s="526"/>
      <c r="V141" s="526"/>
    </row>
    <row r="142" spans="1:22" s="491" customFormat="1" ht="14" customHeight="1">
      <c r="A142" s="515"/>
      <c r="D142" s="521"/>
      <c r="E142" s="530"/>
      <c r="F142" s="530"/>
      <c r="G142" s="530"/>
      <c r="H142" s="531"/>
      <c r="I142" s="531"/>
      <c r="J142" s="531"/>
      <c r="K142" s="531"/>
      <c r="L142" s="531"/>
      <c r="M142" s="531"/>
      <c r="N142" s="531"/>
      <c r="O142" s="531"/>
      <c r="P142" s="531"/>
      <c r="Q142" s="531"/>
      <c r="R142" s="531"/>
      <c r="S142" s="531"/>
      <c r="T142" s="531"/>
      <c r="U142" s="526"/>
      <c r="V142" s="526"/>
    </row>
    <row r="143" spans="1:22" s="491" customFormat="1" ht="14" customHeight="1">
      <c r="A143" s="515"/>
      <c r="D143" s="521"/>
      <c r="E143" s="530"/>
      <c r="F143" s="530"/>
      <c r="G143" s="530"/>
      <c r="H143" s="531"/>
      <c r="I143" s="531"/>
      <c r="J143" s="531"/>
      <c r="K143" s="531"/>
      <c r="L143" s="531"/>
      <c r="M143" s="531"/>
      <c r="N143" s="531"/>
      <c r="O143" s="531"/>
      <c r="P143" s="531"/>
      <c r="Q143" s="531"/>
      <c r="R143" s="531"/>
      <c r="S143" s="531"/>
      <c r="T143" s="531"/>
      <c r="U143" s="526"/>
      <c r="V143" s="526"/>
    </row>
    <row r="144" spans="1:22" s="491" customFormat="1" ht="14" customHeight="1">
      <c r="A144" s="515"/>
      <c r="B144" s="536" t="s">
        <v>1179</v>
      </c>
      <c r="D144" s="521"/>
      <c r="E144" s="532"/>
      <c r="F144" s="532"/>
      <c r="G144" s="532"/>
      <c r="H144" s="533"/>
      <c r="I144" s="533"/>
      <c r="J144" s="533"/>
      <c r="K144" s="533"/>
      <c r="L144" s="533"/>
      <c r="M144" s="533"/>
      <c r="N144" s="533"/>
      <c r="O144" s="533"/>
      <c r="P144" s="533"/>
      <c r="Q144" s="533"/>
      <c r="R144" s="533"/>
      <c r="S144" s="533"/>
      <c r="T144" s="533"/>
      <c r="U144" s="534"/>
      <c r="V144" s="534"/>
    </row>
    <row r="145" spans="1:22" s="460" customFormat="1" ht="14" customHeight="1">
      <c r="A145" s="457"/>
      <c r="B145" s="537" t="s">
        <v>605</v>
      </c>
      <c r="D145" s="535"/>
      <c r="E145" s="538"/>
      <c r="F145" s="538"/>
      <c r="G145" s="538"/>
      <c r="H145" s="539"/>
      <c r="I145" s="539"/>
      <c r="J145" s="539"/>
      <c r="K145" s="539"/>
      <c r="L145" s="539"/>
      <c r="M145" s="539"/>
      <c r="N145" s="539"/>
      <c r="O145" s="539"/>
      <c r="P145" s="539"/>
      <c r="Q145" s="539"/>
      <c r="R145" s="539"/>
      <c r="S145" s="539"/>
      <c r="T145" s="539"/>
      <c r="U145" s="540"/>
      <c r="V145" s="540"/>
    </row>
    <row r="146" spans="1:22" s="460" customFormat="1" ht="14" customHeight="1">
      <c r="A146" s="457"/>
      <c r="B146" s="537" t="s">
        <v>606</v>
      </c>
      <c r="D146" s="535"/>
      <c r="E146" s="538"/>
      <c r="F146" s="538"/>
      <c r="G146" s="538"/>
      <c r="H146" s="539"/>
      <c r="I146" s="539"/>
      <c r="J146" s="539"/>
      <c r="K146" s="539"/>
      <c r="L146" s="539"/>
      <c r="M146" s="539"/>
      <c r="N146" s="539"/>
      <c r="O146" s="539"/>
      <c r="P146" s="539"/>
      <c r="Q146" s="539"/>
      <c r="R146" s="539"/>
      <c r="S146" s="539"/>
      <c r="T146" s="539"/>
      <c r="U146" s="540"/>
      <c r="V146" s="540"/>
    </row>
    <row r="147" spans="1:22" s="460" customFormat="1" ht="14" customHeight="1">
      <c r="A147" s="457"/>
      <c r="B147" s="541" t="s">
        <v>1180</v>
      </c>
      <c r="D147" s="535"/>
      <c r="E147" s="538"/>
      <c r="F147" s="538"/>
      <c r="G147" s="538"/>
      <c r="H147" s="539"/>
      <c r="I147" s="539"/>
      <c r="J147" s="539"/>
      <c r="K147" s="539"/>
      <c r="L147" s="539"/>
      <c r="M147" s="539"/>
      <c r="N147" s="539"/>
      <c r="O147" s="539"/>
      <c r="P147" s="539"/>
      <c r="Q147" s="539"/>
      <c r="R147" s="539"/>
      <c r="S147" s="539"/>
      <c r="T147" s="539"/>
      <c r="U147" s="540"/>
      <c r="V147" s="540"/>
    </row>
    <row r="148" spans="1:22" s="460" customFormat="1" ht="14" customHeight="1">
      <c r="A148" s="457"/>
      <c r="B148" s="542" t="s">
        <v>1181</v>
      </c>
      <c r="D148" s="535"/>
      <c r="E148" s="538"/>
      <c r="F148" s="538"/>
      <c r="G148" s="538"/>
      <c r="H148" s="539"/>
      <c r="I148" s="539"/>
      <c r="J148" s="539"/>
      <c r="K148" s="539"/>
      <c r="L148" s="539"/>
      <c r="M148" s="539"/>
      <c r="N148" s="539"/>
      <c r="O148" s="539"/>
      <c r="P148" s="539"/>
      <c r="Q148" s="539"/>
      <c r="R148" s="539"/>
      <c r="S148" s="539"/>
      <c r="T148" s="539"/>
      <c r="U148" s="540"/>
      <c r="V148" s="540"/>
    </row>
    <row r="149" spans="1:22" s="460" customFormat="1" ht="14" customHeight="1">
      <c r="A149" s="457"/>
      <c r="B149" s="542" t="s">
        <v>1182</v>
      </c>
      <c r="C149" s="482"/>
      <c r="D149" s="543"/>
      <c r="E149" s="538"/>
      <c r="F149" s="538"/>
      <c r="G149" s="538"/>
      <c r="H149" s="539"/>
      <c r="I149" s="539"/>
      <c r="J149" s="539"/>
      <c r="K149" s="539"/>
      <c r="L149" s="539"/>
      <c r="M149" s="539"/>
      <c r="N149" s="539"/>
      <c r="O149" s="539"/>
      <c r="P149" s="539"/>
      <c r="Q149" s="539"/>
      <c r="R149" s="539"/>
      <c r="S149" s="539"/>
      <c r="T149" s="539"/>
      <c r="U149" s="540"/>
      <c r="V149" s="540"/>
    </row>
    <row r="150" spans="1:22" s="460" customFormat="1" ht="14" customHeight="1">
      <c r="A150" s="457"/>
      <c r="B150" s="542" t="s">
        <v>1183</v>
      </c>
      <c r="C150" s="482"/>
      <c r="D150" s="543"/>
      <c r="E150" s="538"/>
      <c r="F150" s="538"/>
      <c r="G150" s="538"/>
      <c r="H150" s="539"/>
      <c r="I150" s="539"/>
      <c r="J150" s="539"/>
      <c r="K150" s="539"/>
      <c r="L150" s="539"/>
      <c r="M150" s="539"/>
      <c r="N150" s="539"/>
      <c r="O150" s="539"/>
      <c r="P150" s="539"/>
      <c r="Q150" s="539"/>
      <c r="R150" s="539"/>
      <c r="S150" s="539"/>
      <c r="T150" s="539"/>
      <c r="U150" s="540"/>
      <c r="V150" s="540"/>
    </row>
    <row r="151" spans="1:22" s="460" customFormat="1" ht="14" customHeight="1">
      <c r="A151" s="457"/>
      <c r="B151" s="542" t="s">
        <v>62</v>
      </c>
      <c r="C151" s="482"/>
      <c r="D151" s="543"/>
      <c r="E151" s="538"/>
      <c r="F151" s="538"/>
      <c r="G151" s="538"/>
      <c r="H151" s="539"/>
      <c r="I151" s="539"/>
      <c r="J151" s="539"/>
      <c r="K151" s="539"/>
      <c r="L151" s="539"/>
      <c r="M151" s="539"/>
      <c r="N151" s="539"/>
      <c r="O151" s="539"/>
      <c r="P151" s="539"/>
      <c r="Q151" s="539"/>
      <c r="R151" s="539"/>
      <c r="S151" s="539"/>
      <c r="T151" s="539"/>
      <c r="U151" s="540"/>
      <c r="V151" s="540"/>
    </row>
    <row r="152" spans="1:22" s="462" customFormat="1" ht="14" customHeight="1">
      <c r="B152" s="542" t="s">
        <v>1184</v>
      </c>
      <c r="C152" s="544"/>
      <c r="D152" s="544"/>
      <c r="E152" s="540"/>
      <c r="F152" s="540"/>
      <c r="G152" s="540"/>
      <c r="H152" s="540"/>
      <c r="I152" s="540"/>
      <c r="J152" s="540"/>
      <c r="K152" s="540"/>
      <c r="L152" s="540"/>
      <c r="M152" s="540"/>
      <c r="N152" s="540"/>
      <c r="O152" s="540"/>
      <c r="P152" s="540"/>
      <c r="Q152" s="540"/>
      <c r="R152" s="540"/>
      <c r="S152" s="540"/>
      <c r="T152" s="540"/>
      <c r="U152" s="540"/>
      <c r="V152" s="540"/>
    </row>
    <row r="153" spans="1:22" s="462" customFormat="1" ht="14" customHeight="1">
      <c r="B153" s="542" t="s">
        <v>1185</v>
      </c>
      <c r="C153" s="544"/>
      <c r="D153" s="544"/>
      <c r="E153" s="540"/>
      <c r="F153" s="540"/>
      <c r="G153" s="540"/>
      <c r="H153" s="540"/>
      <c r="I153" s="540"/>
      <c r="J153" s="540"/>
      <c r="K153" s="540"/>
      <c r="L153" s="540"/>
      <c r="M153" s="540"/>
      <c r="N153" s="540"/>
      <c r="O153" s="540"/>
      <c r="P153" s="540"/>
      <c r="Q153" s="540"/>
      <c r="R153" s="540"/>
      <c r="S153" s="540"/>
      <c r="T153" s="540"/>
      <c r="U153" s="540"/>
      <c r="V153" s="540"/>
    </row>
    <row r="154" spans="1:22" s="462" customFormat="1" ht="14" customHeight="1">
      <c r="B154" s="542" t="s">
        <v>1186</v>
      </c>
      <c r="C154" s="482"/>
      <c r="D154" s="544"/>
      <c r="E154" s="540"/>
      <c r="F154" s="540"/>
      <c r="G154" s="540"/>
      <c r="H154" s="540"/>
      <c r="I154" s="540"/>
      <c r="J154" s="540"/>
      <c r="K154" s="540"/>
      <c r="L154" s="540"/>
      <c r="M154" s="540"/>
      <c r="N154" s="540"/>
      <c r="O154" s="540"/>
      <c r="P154" s="540"/>
      <c r="Q154" s="540"/>
      <c r="R154" s="540"/>
      <c r="S154" s="540"/>
      <c r="T154" s="540"/>
      <c r="U154" s="540"/>
      <c r="V154" s="540"/>
    </row>
    <row r="155" spans="1:22" s="462" customFormat="1" ht="14" customHeight="1">
      <c r="B155" s="459" t="s">
        <v>1187</v>
      </c>
      <c r="C155" s="482"/>
      <c r="D155" s="544"/>
      <c r="E155" s="540"/>
      <c r="F155" s="540"/>
      <c r="G155" s="540"/>
      <c r="H155" s="540"/>
      <c r="I155" s="540"/>
      <c r="J155" s="540"/>
      <c r="K155" s="540"/>
      <c r="L155" s="540"/>
      <c r="M155" s="540"/>
      <c r="N155" s="540"/>
      <c r="O155" s="540"/>
      <c r="P155" s="540"/>
      <c r="Q155" s="540"/>
      <c r="R155" s="540"/>
      <c r="S155" s="540"/>
      <c r="T155" s="540"/>
      <c r="U155" s="540"/>
      <c r="V155" s="540"/>
    </row>
    <row r="156" spans="1:22" s="462" customFormat="1" ht="14" customHeight="1">
      <c r="B156" s="459" t="s">
        <v>1188</v>
      </c>
      <c r="C156" s="482"/>
      <c r="D156" s="544"/>
      <c r="E156" s="540"/>
      <c r="F156" s="540"/>
      <c r="G156" s="540"/>
      <c r="H156" s="540"/>
      <c r="I156" s="540"/>
      <c r="J156" s="540"/>
      <c r="K156" s="540"/>
      <c r="L156" s="540"/>
      <c r="M156" s="540"/>
      <c r="N156" s="540"/>
      <c r="O156" s="540"/>
      <c r="P156" s="540"/>
      <c r="Q156" s="540"/>
      <c r="R156" s="540"/>
      <c r="S156" s="540"/>
      <c r="T156" s="540"/>
      <c r="U156" s="540"/>
      <c r="V156" s="540"/>
    </row>
    <row r="157" spans="1:22" s="462" customFormat="1" ht="14" customHeight="1">
      <c r="B157" s="459" t="s">
        <v>1189</v>
      </c>
      <c r="C157" s="460"/>
      <c r="D157" s="544"/>
      <c r="E157" s="540"/>
      <c r="F157" s="540"/>
      <c r="G157" s="540"/>
      <c r="H157" s="540"/>
      <c r="I157" s="540"/>
      <c r="J157" s="540"/>
      <c r="K157" s="540"/>
      <c r="L157" s="540"/>
      <c r="M157" s="540"/>
      <c r="N157" s="540"/>
      <c r="O157" s="540"/>
      <c r="P157" s="540"/>
      <c r="Q157" s="540"/>
      <c r="R157" s="540"/>
      <c r="S157" s="540"/>
      <c r="T157" s="540"/>
      <c r="U157" s="540"/>
      <c r="V157" s="540"/>
    </row>
    <row r="158" spans="1:22" s="462" customFormat="1" ht="14" customHeight="1">
      <c r="B158" s="459" t="s">
        <v>842</v>
      </c>
      <c r="C158" s="460"/>
      <c r="D158" s="544"/>
      <c r="E158" s="540"/>
      <c r="F158" s="540"/>
      <c r="G158" s="540"/>
      <c r="H158" s="540"/>
      <c r="I158" s="540"/>
      <c r="J158" s="540"/>
      <c r="K158" s="540"/>
      <c r="L158" s="540"/>
      <c r="M158" s="540"/>
      <c r="N158" s="540"/>
      <c r="O158" s="540"/>
      <c r="P158" s="540"/>
      <c r="Q158" s="540"/>
      <c r="R158" s="540"/>
      <c r="S158" s="540"/>
      <c r="T158" s="540"/>
      <c r="U158" s="540"/>
      <c r="V158" s="540"/>
    </row>
    <row r="159" spans="1:22" s="462" customFormat="1" ht="14" customHeight="1">
      <c r="B159" s="667" t="str">
        <f>"‧消費者於購買前，應詳閱各種銷售文件內容，本商品之預定附加費用率，"&amp;OP!$D$101&amp;"；如要詳細了解其他"</f>
        <v>‧消費者於購買前，應詳閱各種銷售文件內容，本商品之預定附加費用率，最高33.7%，最低25.9%；如要詳細了解其他</v>
      </c>
      <c r="C159" s="460"/>
      <c r="D159" s="544"/>
      <c r="E159" s="540"/>
      <c r="F159" s="540"/>
      <c r="G159" s="540"/>
      <c r="H159" s="540"/>
      <c r="I159" s="540"/>
      <c r="J159" s="540"/>
      <c r="K159" s="540"/>
      <c r="L159" s="540"/>
      <c r="M159" s="540"/>
      <c r="N159" s="540"/>
      <c r="O159" s="540"/>
      <c r="P159" s="540"/>
      <c r="Q159" s="540"/>
      <c r="R159" s="540"/>
      <c r="S159" s="540"/>
      <c r="T159" s="540"/>
      <c r="U159" s="540"/>
      <c r="V159" s="540"/>
    </row>
    <row r="160" spans="1:22" s="462" customFormat="1" ht="14" customHeight="1">
      <c r="B160" s="667" t="s">
        <v>1327</v>
      </c>
      <c r="C160" s="460"/>
      <c r="D160" s="544"/>
      <c r="E160" s="540"/>
      <c r="F160" s="540"/>
      <c r="G160" s="540"/>
      <c r="H160" s="540"/>
      <c r="I160" s="540"/>
      <c r="J160" s="540"/>
      <c r="K160" s="540"/>
      <c r="L160" s="540"/>
      <c r="M160" s="540"/>
      <c r="N160" s="540"/>
      <c r="O160" s="540"/>
      <c r="P160" s="540"/>
      <c r="Q160" s="540"/>
      <c r="R160" s="540"/>
      <c r="S160" s="540"/>
      <c r="T160" s="540"/>
      <c r="U160" s="540"/>
      <c r="V160" s="540"/>
    </row>
    <row r="161" spans="1:23" s="462" customFormat="1" ht="14" customHeight="1">
      <c r="B161" s="667" t="s">
        <v>1328</v>
      </c>
      <c r="C161" s="460"/>
      <c r="D161" s="544"/>
      <c r="E161" s="540"/>
      <c r="F161" s="540"/>
      <c r="G161" s="540"/>
      <c r="H161" s="540"/>
      <c r="I161" s="540"/>
      <c r="J161" s="540"/>
      <c r="K161" s="540"/>
      <c r="L161" s="540"/>
      <c r="M161" s="540"/>
      <c r="N161" s="540"/>
      <c r="O161" s="540"/>
      <c r="P161" s="540"/>
      <c r="Q161" s="540"/>
      <c r="R161" s="540"/>
      <c r="S161" s="540"/>
      <c r="T161" s="540"/>
      <c r="U161" s="540"/>
      <c r="V161" s="540"/>
    </row>
    <row r="162" spans="1:23" s="497" customFormat="1" ht="15" customHeight="1">
      <c r="A162" s="461">
        <v>1</v>
      </c>
      <c r="B162" s="798" t="str">
        <f>OP!$D$107</f>
        <v>本建議書僅供參考，詳細商品內容及其變更，應以投保當時保單條款內容及本公司核保、保全作業規定為準</v>
      </c>
      <c r="C162" s="798"/>
      <c r="D162" s="798"/>
      <c r="E162" s="798"/>
      <c r="F162" s="798"/>
      <c r="G162" s="798"/>
      <c r="H162" s="798"/>
      <c r="I162" s="798"/>
      <c r="J162" s="798"/>
      <c r="K162" s="798"/>
      <c r="L162" s="798"/>
      <c r="M162" s="798"/>
      <c r="N162" s="798"/>
      <c r="O162" s="798"/>
      <c r="P162" s="798"/>
      <c r="Q162" s="798"/>
      <c r="R162" s="798"/>
      <c r="S162" s="798"/>
      <c r="T162" s="798"/>
      <c r="U162" s="798"/>
      <c r="V162" s="798"/>
      <c r="W162" s="496"/>
    </row>
    <row r="163" spans="1:23" s="497" customFormat="1" ht="15" customHeight="1">
      <c r="B163" s="498"/>
      <c r="C163" s="499"/>
      <c r="D163" s="799"/>
      <c r="E163" s="800"/>
      <c r="F163" s="800"/>
      <c r="G163" s="800"/>
      <c r="H163" s="800"/>
      <c r="I163" s="800"/>
      <c r="J163" s="800"/>
      <c r="K163" s="800"/>
      <c r="L163" s="800"/>
      <c r="M163" s="800"/>
      <c r="N163" s="800"/>
      <c r="O163" s="800"/>
      <c r="P163" s="800"/>
      <c r="Q163" s="500"/>
      <c r="S163" s="501"/>
      <c r="T163" s="501"/>
      <c r="U163" s="501"/>
      <c r="V163" s="502" t="str">
        <f ca="1">OP!$D$105</f>
        <v>V1.0-1150720 試算日：1150825</v>
      </c>
      <c r="W163" s="496"/>
    </row>
    <row r="164" spans="1:23"/>
    <row r="165" spans="1:23"/>
    <row r="166" spans="1:23" ht="25">
      <c r="A166" s="546">
        <v>1</v>
      </c>
      <c r="B166" s="801" t="str">
        <f>IF(ISERROR(VLOOKUP(A166,PI,2,0)),"",VLOOKUP(A166,PI,2,0))</f>
        <v>富邦人壽保險股份有限公司履行個人資料保護法告知說明書</v>
      </c>
      <c r="C166" s="801"/>
      <c r="D166" s="801"/>
      <c r="E166" s="801"/>
      <c r="F166" s="801"/>
      <c r="G166" s="801"/>
      <c r="H166" s="801"/>
      <c r="I166" s="801"/>
      <c r="J166" s="801"/>
      <c r="K166" s="801"/>
      <c r="L166" s="801"/>
      <c r="M166" s="801"/>
      <c r="N166" s="801"/>
      <c r="O166" s="801"/>
      <c r="P166" s="801"/>
      <c r="Q166" s="801"/>
      <c r="R166" s="801"/>
      <c r="S166" s="801"/>
      <c r="T166" s="801"/>
      <c r="U166" s="801"/>
      <c r="V166" s="801"/>
    </row>
    <row r="167" spans="1:23" ht="15">
      <c r="A167" s="546">
        <v>2</v>
      </c>
      <c r="B167" s="547"/>
      <c r="C167" s="547" t="str">
        <f t="shared" ref="C167:C205" si="2">IF(ISERROR(VLOOKUP(A167,PI,2,0)),"",VLOOKUP(A167,PI,2,0))</f>
        <v xml:space="preserve"> </v>
      </c>
    </row>
    <row r="168" spans="1:23" ht="15">
      <c r="A168" s="546">
        <v>3</v>
      </c>
      <c r="B168" s="547"/>
      <c r="C168" s="547" t="str">
        <f t="shared" si="2"/>
        <v>富邦人壽保險股份有限公司（下稱本公司）依據個人資料保護法（以下稱個資法）</v>
      </c>
    </row>
    <row r="169" spans="1:23" ht="15">
      <c r="A169" s="546">
        <v>4</v>
      </c>
      <c r="B169" s="547"/>
      <c r="C169" s="547" t="str">
        <f t="shared" si="2"/>
        <v>規定，向 台端告知下列事項，請 台端詳閱：</v>
      </c>
    </row>
    <row r="170" spans="1:23" ht="15">
      <c r="A170" s="546">
        <v>5</v>
      </c>
      <c r="B170" s="547"/>
      <c r="C170" s="547" t="str">
        <f t="shared" si="2"/>
        <v>一、蒐集之目的：</v>
      </c>
    </row>
    <row r="171" spans="1:23" ht="15">
      <c r="A171" s="546">
        <v>6</v>
      </c>
      <c r="B171" s="547"/>
      <c r="C171" s="547" t="str">
        <f t="shared" si="2"/>
        <v>（一）人身保險（００一）</v>
      </c>
    </row>
    <row r="172" spans="1:23" ht="15">
      <c r="A172" s="546">
        <v>7</v>
      </c>
      <c r="B172" s="547"/>
      <c r="C172" s="547" t="str">
        <f t="shared" si="2"/>
        <v>（二）其他經營合於營業登記項目或組織章程所定之業務（一八一）</v>
      </c>
    </row>
    <row r="173" spans="1:23" ht="15">
      <c r="A173" s="546">
        <v>8</v>
      </c>
      <c r="B173" s="547"/>
      <c r="C173" s="547" t="str">
        <f t="shared" si="2"/>
        <v>二、蒐集之個人資料類別：</v>
      </c>
    </row>
    <row r="174" spans="1:23" ht="15">
      <c r="A174" s="546">
        <v>9</v>
      </c>
      <c r="B174" s="547"/>
      <c r="C174" s="547" t="str">
        <f t="shared" si="2"/>
        <v>（一）姓名。</v>
      </c>
    </row>
    <row r="175" spans="1:23" ht="15">
      <c r="A175" s="546">
        <v>10</v>
      </c>
      <c r="B175" s="547"/>
      <c r="C175" s="547" t="str">
        <f t="shared" si="2"/>
        <v>（二）身分證統一編號。</v>
      </c>
    </row>
    <row r="176" spans="1:23" ht="15">
      <c r="A176" s="546">
        <v>11</v>
      </c>
      <c r="B176" s="547"/>
      <c r="C176" s="547" t="str">
        <f t="shared" si="2"/>
        <v>（三）地址。</v>
      </c>
    </row>
    <row r="177" spans="1:3" ht="15">
      <c r="A177" s="546">
        <v>12</v>
      </c>
      <c r="B177" s="547"/>
      <c r="C177" s="547" t="str">
        <f t="shared" si="2"/>
        <v>（四）病歷、醫療、健康檢查 。</v>
      </c>
    </row>
    <row r="178" spans="1:3" ht="15">
      <c r="A178" s="546">
        <v>13</v>
      </c>
      <c r="B178" s="547"/>
      <c r="C178" s="547" t="str">
        <f t="shared" si="2"/>
        <v>（五）要保書、要保文件等其他基於保險契約所提供之個人資料。</v>
      </c>
    </row>
    <row r="179" spans="1:3" ht="15">
      <c r="A179" s="546">
        <v>14</v>
      </c>
      <c r="B179" s="547"/>
      <c r="C179" s="547" t="str">
        <f t="shared" si="2"/>
        <v>三、個人資料利用之期間、地區、對象、方式：</v>
      </c>
    </row>
    <row r="180" spans="1:3" ht="15">
      <c r="A180" s="546">
        <v>15</v>
      </c>
      <c r="B180" s="547"/>
      <c r="C180" s="547" t="str">
        <f t="shared" si="2"/>
        <v>（一）期間：因執行業務所必須及依法令規定應為保存之期間。</v>
      </c>
    </row>
    <row r="181" spans="1:3" ht="15">
      <c r="A181" s="546">
        <v>16</v>
      </c>
      <c r="B181" s="547"/>
      <c r="C181" s="547" t="str">
        <f t="shared" si="2"/>
        <v>（二）對象：本公司、中華民國人壽保險商業同業公會、財團法人保險事業發展</v>
      </c>
    </row>
    <row r="182" spans="1:3" ht="15">
      <c r="A182" s="546">
        <v>17</v>
      </c>
      <c r="B182" s="547"/>
      <c r="C182" s="547" t="str">
        <f t="shared" si="2"/>
        <v xml:space="preserve">      中心、財團法人金融消費評議中心、業務委外機構、臺灣網路認證(股)公司、</v>
      </c>
    </row>
    <row r="183" spans="1:3" ht="15">
      <c r="A183" s="546">
        <v>18</v>
      </c>
      <c r="B183" s="547"/>
      <c r="C183" s="547" t="str">
        <f t="shared" si="2"/>
        <v xml:space="preserve">      與本公司有再保業務往來之公司、依法有調查權機關或金融監理機關。</v>
      </c>
    </row>
    <row r="184" spans="1:3" ht="15">
      <c r="A184" s="546">
        <v>19</v>
      </c>
      <c r="B184" s="547"/>
      <c r="C184" s="547" t="str">
        <f t="shared" si="2"/>
        <v>（三）地區：上述對象所在之地區。</v>
      </c>
    </row>
    <row r="185" spans="1:3" ht="15">
      <c r="A185" s="546">
        <v>20</v>
      </c>
      <c r="B185" s="547"/>
      <c r="C185" s="547" t="str">
        <f t="shared" si="2"/>
        <v>（四）方式：合於法令規定之利用方式。</v>
      </c>
    </row>
    <row r="186" spans="1:3" ht="15">
      <c r="A186" s="546">
        <v>21</v>
      </c>
      <c r="B186" s="547"/>
      <c r="C186" s="547" t="str">
        <f t="shared" si="2"/>
        <v>四、依據個資法第三條規定，台端就本公司保有 台端之個人資料得行使之權利及</v>
      </c>
    </row>
    <row r="187" spans="1:3" ht="15">
      <c r="A187" s="546">
        <v>22</v>
      </c>
      <c r="B187" s="547"/>
      <c r="C187" s="547" t="str">
        <f t="shared" si="2"/>
        <v xml:space="preserve">    方式：</v>
      </c>
    </row>
    <row r="188" spans="1:3" ht="15">
      <c r="A188" s="546">
        <v>23</v>
      </c>
      <c r="B188" s="547"/>
      <c r="C188" s="547" t="str">
        <f t="shared" si="2"/>
        <v>（一）得向本公司行使之權利：</v>
      </c>
    </row>
    <row r="189" spans="1:3" ht="15">
      <c r="A189" s="546">
        <v>24</v>
      </c>
      <c r="B189" s="547"/>
      <c r="C189" s="547" t="str">
        <f t="shared" si="2"/>
        <v xml:space="preserve">      1.向本公司查詢、請求閱覽或請求製給複製本。</v>
      </c>
    </row>
    <row r="190" spans="1:3" ht="15">
      <c r="A190" s="546">
        <v>25</v>
      </c>
      <c r="B190" s="547"/>
      <c r="C190" s="547" t="str">
        <f t="shared" si="2"/>
        <v xml:space="preserve">      2.向本公司請求補充或更正。</v>
      </c>
    </row>
    <row r="191" spans="1:3" ht="15">
      <c r="A191" s="546">
        <v>26</v>
      </c>
      <c r="B191" s="547"/>
      <c r="C191" s="547" t="str">
        <f t="shared" si="2"/>
        <v xml:space="preserve">      3.向本公司請求停止蒐集、處理或利用及請求刪除。</v>
      </c>
    </row>
    <row r="192" spans="1:3" ht="15">
      <c r="A192" s="546">
        <v>27</v>
      </c>
      <c r="B192" s="547"/>
      <c r="C192" s="547" t="str">
        <f t="shared" si="2"/>
        <v>（二）行使權利之方式：</v>
      </c>
    </row>
    <row r="193" spans="1:22" ht="15">
      <c r="A193" s="546">
        <v>28</v>
      </c>
      <c r="B193" s="547"/>
      <c r="C193" s="547" t="str">
        <f t="shared" si="2"/>
        <v xml:space="preserve">      您可以透過書面（包含電子郵件、傳真、電子文件）方式行使權利。</v>
      </c>
    </row>
    <row r="194" spans="1:22" ht="15">
      <c r="A194" s="546">
        <v>29</v>
      </c>
      <c r="B194" s="547"/>
      <c r="C194" s="547" t="str">
        <f t="shared" si="2"/>
        <v>五、台端不提供個人資料所致權益之影響</v>
      </c>
    </row>
    <row r="195" spans="1:22" ht="15">
      <c r="A195" s="546">
        <v>30</v>
      </c>
      <c r="B195" s="547"/>
      <c r="C195" s="547" t="str">
        <f t="shared" si="2"/>
        <v xml:space="preserve">    台端若未能提供相關個人資料時，本公司將可能延後或無法進行必要之審核</v>
      </c>
    </row>
    <row r="196" spans="1:22" ht="15">
      <c r="A196" s="546">
        <v>31</v>
      </c>
      <c r="B196" s="547"/>
      <c r="C196" s="547" t="str">
        <f t="shared" si="2"/>
        <v xml:space="preserve">    及處理作業，因此可能婉謝承保、遲延或無法承保。</v>
      </c>
    </row>
    <row r="197" spans="1:22" ht="15">
      <c r="A197" s="546">
        <v>32</v>
      </c>
      <c r="B197" s="547"/>
      <c r="C197" s="547" t="str">
        <f t="shared" si="2"/>
        <v/>
      </c>
    </row>
    <row r="198" spans="1:22" ht="15">
      <c r="A198" s="546">
        <v>33</v>
      </c>
      <c r="B198" s="547"/>
      <c r="C198" s="547" t="str">
        <f t="shared" si="2"/>
        <v/>
      </c>
    </row>
    <row r="199" spans="1:22" ht="15">
      <c r="A199" s="546">
        <v>34</v>
      </c>
      <c r="B199" s="547"/>
      <c r="C199" s="547" t="str">
        <f t="shared" si="2"/>
        <v/>
      </c>
    </row>
    <row r="200" spans="1:22" ht="15">
      <c r="A200" s="546">
        <v>35</v>
      </c>
      <c r="B200" s="547"/>
      <c r="C200" s="547" t="str">
        <f t="shared" si="2"/>
        <v/>
      </c>
    </row>
    <row r="201" spans="1:22" ht="15">
      <c r="A201" s="546">
        <v>36</v>
      </c>
      <c r="B201" s="547"/>
      <c r="C201" s="547" t="str">
        <f t="shared" si="2"/>
        <v/>
      </c>
    </row>
    <row r="202" spans="1:22" ht="15">
      <c r="A202" s="546">
        <v>37</v>
      </c>
      <c r="B202" s="547"/>
      <c r="C202" s="547" t="str">
        <f t="shared" si="2"/>
        <v/>
      </c>
    </row>
    <row r="203" spans="1:22" ht="15">
      <c r="A203" s="546">
        <v>38</v>
      </c>
      <c r="B203" s="547"/>
      <c r="C203" s="547" t="str">
        <f t="shared" si="2"/>
        <v/>
      </c>
    </row>
    <row r="204" spans="1:22" ht="15">
      <c r="A204" s="546">
        <v>39</v>
      </c>
      <c r="B204" s="547"/>
      <c r="C204" s="547" t="str">
        <f t="shared" si="2"/>
        <v/>
      </c>
    </row>
    <row r="205" spans="1:22" ht="15">
      <c r="A205" s="546">
        <v>40</v>
      </c>
      <c r="B205" s="547"/>
      <c r="C205" s="547" t="str">
        <f t="shared" si="2"/>
        <v/>
      </c>
    </row>
    <row r="206" spans="1:22"/>
    <row r="207" spans="1:22"/>
    <row r="208" spans="1:22">
      <c r="L208" s="548"/>
      <c r="M208" s="548"/>
      <c r="N208" s="548"/>
      <c r="O208" s="548"/>
      <c r="P208" s="548"/>
      <c r="Q208" s="548"/>
      <c r="R208" s="548"/>
      <c r="S208" s="548"/>
      <c r="T208" s="548"/>
      <c r="U208" s="548"/>
      <c r="V208" s="548"/>
    </row>
    <row r="209" spans="2:22">
      <c r="B209" s="549"/>
      <c r="C209" s="550"/>
      <c r="D209" s="550"/>
      <c r="E209" s="550"/>
      <c r="F209" s="550"/>
      <c r="G209" s="550"/>
      <c r="H209" s="550"/>
      <c r="I209" s="550"/>
      <c r="J209" s="550"/>
      <c r="K209" s="551"/>
      <c r="L209" s="550"/>
      <c r="M209" s="550"/>
      <c r="N209" s="550"/>
      <c r="O209" s="550"/>
      <c r="P209" s="550"/>
      <c r="Q209" s="550"/>
      <c r="R209" s="550"/>
      <c r="S209" s="550"/>
      <c r="T209" s="550"/>
      <c r="U209" s="550"/>
      <c r="V209" s="551"/>
    </row>
    <row r="210" spans="2:22">
      <c r="B210" s="552" t="s">
        <v>1190</v>
      </c>
      <c r="C210" s="553"/>
      <c r="D210" s="553"/>
      <c r="E210" s="553"/>
      <c r="F210" s="553"/>
      <c r="G210" s="553"/>
      <c r="H210" s="553"/>
      <c r="I210" s="553"/>
      <c r="J210" s="553"/>
      <c r="K210" s="554"/>
      <c r="L210" s="553" t="s">
        <v>1191</v>
      </c>
      <c r="M210" s="553"/>
      <c r="N210" s="553"/>
      <c r="O210" s="553"/>
      <c r="P210" s="553"/>
      <c r="Q210" s="553"/>
      <c r="R210" s="553"/>
      <c r="S210" s="553"/>
      <c r="T210" s="553"/>
      <c r="U210" s="553"/>
      <c r="V210" s="554"/>
    </row>
    <row r="211" spans="2:22">
      <c r="B211" s="552"/>
      <c r="C211" s="553"/>
      <c r="D211" s="553"/>
      <c r="E211" s="553"/>
      <c r="F211" s="553"/>
      <c r="G211" s="553"/>
      <c r="H211" s="553"/>
      <c r="I211" s="553"/>
      <c r="J211" s="553"/>
      <c r="K211" s="554"/>
      <c r="L211" s="553"/>
      <c r="M211" s="553"/>
      <c r="N211" s="553"/>
      <c r="O211" s="553"/>
      <c r="P211" s="553"/>
      <c r="Q211" s="553"/>
      <c r="R211" s="553"/>
      <c r="S211" s="553"/>
      <c r="T211" s="553"/>
      <c r="U211" s="553"/>
      <c r="V211" s="554"/>
    </row>
    <row r="212" spans="2:22">
      <c r="B212" s="552"/>
      <c r="C212" s="553"/>
      <c r="D212" s="553"/>
      <c r="E212" s="553"/>
      <c r="F212" s="553"/>
      <c r="G212" s="553"/>
      <c r="H212" s="553"/>
      <c r="I212" s="553"/>
      <c r="J212" s="553"/>
      <c r="K212" s="554"/>
      <c r="L212" s="553"/>
      <c r="M212" s="553"/>
      <c r="N212" s="553"/>
      <c r="O212" s="553"/>
      <c r="P212" s="553"/>
      <c r="Q212" s="553"/>
      <c r="R212" s="553"/>
      <c r="S212" s="553"/>
      <c r="T212" s="553"/>
      <c r="U212" s="553"/>
      <c r="V212" s="554"/>
    </row>
    <row r="213" spans="2:22">
      <c r="B213" s="552"/>
      <c r="C213" s="555" t="s">
        <v>1192</v>
      </c>
      <c r="D213" s="553"/>
      <c r="E213" s="553"/>
      <c r="F213" s="553"/>
      <c r="G213" s="553"/>
      <c r="H213" s="553"/>
      <c r="I213" s="553"/>
      <c r="J213" s="553"/>
      <c r="K213" s="554"/>
      <c r="L213" s="553"/>
      <c r="M213" s="553"/>
      <c r="N213" s="555" t="s">
        <v>1193</v>
      </c>
      <c r="O213" s="553"/>
      <c r="P213" s="553"/>
      <c r="Q213" s="553"/>
      <c r="R213" s="553"/>
      <c r="S213" s="553"/>
      <c r="T213" s="553"/>
      <c r="U213" s="553"/>
      <c r="V213" s="554"/>
    </row>
    <row r="214" spans="2:22">
      <c r="B214" s="556"/>
      <c r="C214" s="557"/>
      <c r="D214" s="557"/>
      <c r="E214" s="557"/>
      <c r="F214" s="557"/>
      <c r="G214" s="557"/>
      <c r="H214" s="557"/>
      <c r="I214" s="557"/>
      <c r="J214" s="557"/>
      <c r="K214" s="558"/>
      <c r="L214" s="557"/>
      <c r="M214" s="557"/>
      <c r="N214" s="557"/>
      <c r="O214" s="557"/>
      <c r="P214" s="557"/>
      <c r="Q214" s="557"/>
      <c r="R214" s="557"/>
      <c r="S214" s="557"/>
      <c r="T214" s="557"/>
      <c r="U214" s="557"/>
      <c r="V214" s="558"/>
    </row>
    <row r="215" spans="2:22">
      <c r="V215" s="502" t="str">
        <f ca="1">"富邦人壽提供，"&amp;OP!$D$105</f>
        <v>富邦人壽提供，V1.0-1150720 試算日：1150825</v>
      </c>
    </row>
    <row r="216" spans="2:22" ht="15.75" customHeight="1">
      <c r="V216" s="509"/>
    </row>
  </sheetData>
  <sheetProtection algorithmName="SHA-512" hashValue="eYwSXXJ2aNO4VRA5/S4G6fFMlHMESmb+T298Uwvy2DID2URjKqTiv2x8U6ZjeaNp5JGkayDCD1fNBu4P7h6VUg==" saltValue="Hna1CxK6lW5xXYgrXMfMSg==" spinCount="100000" sheet="1" objects="1" scenarios="1" selectLockedCells="1" selectUnlockedCells="1"/>
  <mergeCells count="108">
    <mergeCell ref="B103:V103"/>
    <mergeCell ref="D104:P104"/>
    <mergeCell ref="G67:H67"/>
    <mergeCell ref="I21:V36"/>
    <mergeCell ref="I52:V67"/>
    <mergeCell ref="E68:V68"/>
    <mergeCell ref="E62:F62"/>
    <mergeCell ref="G62:H62"/>
    <mergeCell ref="E63:F63"/>
    <mergeCell ref="G63:H63"/>
    <mergeCell ref="E64:F64"/>
    <mergeCell ref="G64:H64"/>
    <mergeCell ref="E65:F65"/>
    <mergeCell ref="G65:H65"/>
    <mergeCell ref="E66:F66"/>
    <mergeCell ref="G66:H66"/>
    <mergeCell ref="E57:F57"/>
    <mergeCell ref="G57:H57"/>
    <mergeCell ref="E58:F58"/>
    <mergeCell ref="G33:H33"/>
    <mergeCell ref="G58:H58"/>
    <mergeCell ref="E59:F59"/>
    <mergeCell ref="G59:H59"/>
    <mergeCell ref="G56:H56"/>
    <mergeCell ref="E27:F27"/>
    <mergeCell ref="G27:H27"/>
    <mergeCell ref="E28:F28"/>
    <mergeCell ref="G28:H28"/>
    <mergeCell ref="B37:D39"/>
    <mergeCell ref="B21:D36"/>
    <mergeCell ref="G22:H22"/>
    <mergeCell ref="E23:F23"/>
    <mergeCell ref="G23:H23"/>
    <mergeCell ref="E24:F24"/>
    <mergeCell ref="E34:F34"/>
    <mergeCell ref="G34:H34"/>
    <mergeCell ref="E35:F35"/>
    <mergeCell ref="G35:H35"/>
    <mergeCell ref="E36:F36"/>
    <mergeCell ref="G36:H36"/>
    <mergeCell ref="G24:H24"/>
    <mergeCell ref="B17:V17"/>
    <mergeCell ref="E21:F21"/>
    <mergeCell ref="G21:H21"/>
    <mergeCell ref="B20:D20"/>
    <mergeCell ref="E20:H20"/>
    <mergeCell ref="I20:V20"/>
    <mergeCell ref="E25:F25"/>
    <mergeCell ref="G25:H25"/>
    <mergeCell ref="E26:F26"/>
    <mergeCell ref="G26:H26"/>
    <mergeCell ref="B2:V2"/>
    <mergeCell ref="R4:V4"/>
    <mergeCell ref="M5:O5"/>
    <mergeCell ref="M6:O6"/>
    <mergeCell ref="M4:N4"/>
    <mergeCell ref="E4:I4"/>
    <mergeCell ref="B14:G14"/>
    <mergeCell ref="H14:J14"/>
    <mergeCell ref="K14:V14"/>
    <mergeCell ref="B8:V8"/>
    <mergeCell ref="B11:V11"/>
    <mergeCell ref="B13:G13"/>
    <mergeCell ref="H13:J13"/>
    <mergeCell ref="K13:V13"/>
    <mergeCell ref="B5:L5"/>
    <mergeCell ref="P5:R5"/>
    <mergeCell ref="S5:V5"/>
    <mergeCell ref="B6:L6"/>
    <mergeCell ref="P6:R6"/>
    <mergeCell ref="S6:V6"/>
    <mergeCell ref="G55:H55"/>
    <mergeCell ref="G29:H29"/>
    <mergeCell ref="E30:F30"/>
    <mergeCell ref="G30:H30"/>
    <mergeCell ref="E31:F31"/>
    <mergeCell ref="G31:H31"/>
    <mergeCell ref="E32:F32"/>
    <mergeCell ref="G32:H32"/>
    <mergeCell ref="E39:V39"/>
    <mergeCell ref="E29:F29"/>
    <mergeCell ref="E38:H38"/>
    <mergeCell ref="I38:V38"/>
    <mergeCell ref="E37:H37"/>
    <mergeCell ref="E56:F56"/>
    <mergeCell ref="E22:F22"/>
    <mergeCell ref="E67:F67"/>
    <mergeCell ref="E33:F33"/>
    <mergeCell ref="B162:V162"/>
    <mergeCell ref="D163:P163"/>
    <mergeCell ref="B166:V166"/>
    <mergeCell ref="B106:V106"/>
    <mergeCell ref="B52:D67"/>
    <mergeCell ref="B48:V48"/>
    <mergeCell ref="D49:P49"/>
    <mergeCell ref="B68:D68"/>
    <mergeCell ref="I37:V37"/>
    <mergeCell ref="E60:F60"/>
    <mergeCell ref="G60:H60"/>
    <mergeCell ref="E61:F61"/>
    <mergeCell ref="G61:H61"/>
    <mergeCell ref="E52:F52"/>
    <mergeCell ref="G52:H52"/>
    <mergeCell ref="E53:F53"/>
    <mergeCell ref="G53:H53"/>
    <mergeCell ref="E54:F54"/>
    <mergeCell ref="G54:H54"/>
    <mergeCell ref="E55:F55"/>
  </mergeCells>
  <phoneticPr fontId="142" type="noConversion"/>
  <printOptions horizontalCentered="1" verticalCentered="1"/>
  <pageMargins left="0.19685039370078741" right="0.19685039370078741" top="0.39370078740157483" bottom="0.39370078740157483" header="0.51181102362204722" footer="0.23622047244094491"/>
  <pageSetup paperSize="9" scale="92" fitToHeight="4" orientation="portrait" horizontalDpi="1200" verticalDpi="1200" r:id="rId1"/>
  <headerFooter alignWithMargins="0">
    <oddFooter>&amp;L&amp;9第&amp;"Arial,標準"&amp;P&amp;"新細明體,標準"頁&amp;"Arial,標準"/&amp;"新細明體,標準"共&amp;"Arial,標準"&amp;N&amp;"新細明體,標準"頁</oddFooter>
  </headerFooter>
  <extLst>
    <ext xmlns:x14="http://schemas.microsoft.com/office/spreadsheetml/2009/9/main" uri="{78C0D931-6437-407d-A8EE-F0AAD7539E65}">
      <x14:conditionalFormattings>
        <x14:conditionalFormatting xmlns:xm="http://schemas.microsoft.com/office/excel/2006/main">
          <x14:cfRule type="expression" priority="10" stopIfTrue="1" id="{00000000-000E-0000-0800-000001000000}">
            <xm:f>OP!$C$69&lt;&gt;"錠嵂保經"</xm:f>
            <x14:dxf>
              <font>
                <color theme="0"/>
              </font>
              <fill>
                <patternFill>
                  <bgColor theme="0"/>
                </patternFill>
              </fill>
              <border>
                <left/>
                <right/>
                <top/>
                <bottom/>
                <vertical/>
                <horizontal/>
              </border>
            </x14:dxf>
          </x14:cfRule>
          <xm:sqref>B209:V215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3</vt:i4>
      </vt:variant>
      <vt:variant>
        <vt:lpstr>具名範圍</vt:lpstr>
      </vt:variant>
      <vt:variant>
        <vt:i4>27</vt:i4>
      </vt:variant>
    </vt:vector>
  </HeadingPairs>
  <TitlesOfParts>
    <vt:vector size="30" baseType="lpstr">
      <vt:lpstr>input_s</vt:lpstr>
      <vt:lpstr>輸入頁</vt:lpstr>
      <vt:lpstr>列印頁</vt:lpstr>
      <vt:lpstr>CV</vt:lpstr>
      <vt:lpstr>DIE</vt:lpstr>
      <vt:lpstr>En_BFM</vt:lpstr>
      <vt:lpstr>En_PayMF</vt:lpstr>
      <vt:lpstr>En_PayMR</vt:lpstr>
      <vt:lpstr>En_PayT</vt:lpstr>
      <vt:lpstr>En_Sex</vt:lpstr>
      <vt:lpstr>EXP</vt:lpstr>
      <vt:lpstr>GP</vt:lpstr>
      <vt:lpstr>HL_1</vt:lpstr>
      <vt:lpstr>HL_2</vt:lpstr>
      <vt:lpstr>PA</vt:lpstr>
      <vt:lpstr>PDN1_1</vt:lpstr>
      <vt:lpstr>PDSN1</vt:lpstr>
      <vt:lpstr>PDSN1_1</vt:lpstr>
      <vt:lpstr>PI</vt:lpstr>
      <vt:lpstr>列印頁!Print_Area</vt:lpstr>
      <vt:lpstr>輸入頁!Print_Area</vt:lpstr>
      <vt:lpstr>PV</vt:lpstr>
      <vt:lpstr>PV0</vt:lpstr>
      <vt:lpstr>PVal</vt:lpstr>
      <vt:lpstr>PYO</vt:lpstr>
      <vt:lpstr>PYR</vt:lpstr>
      <vt:lpstr>PYY</vt:lpstr>
      <vt:lpstr>SRV</vt:lpstr>
      <vt:lpstr>TOV</vt:lpstr>
      <vt:lpstr>關係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吳幸旻</dc:creator>
  <cp:lastModifiedBy>謝念樺</cp:lastModifiedBy>
  <cp:lastPrinted>2026-07-06T06:39:50Z</cp:lastPrinted>
  <dcterms:created xsi:type="dcterms:W3CDTF">2006-07-31T15:34:04Z</dcterms:created>
  <dcterms:modified xsi:type="dcterms:W3CDTF">2026-08-25T02:13:56Z</dcterms:modified>
</cp:coreProperties>
</file>